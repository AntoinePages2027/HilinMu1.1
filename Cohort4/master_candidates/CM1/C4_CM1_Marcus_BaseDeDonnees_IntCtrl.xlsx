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defaultThemeVersion="124226"/>
  <mc:AlternateContent xmlns:mc="http://schemas.openxmlformats.org/markup-compatibility/2006">
    <mc:Choice Requires="x15">
      <x15ac:absPath xmlns:x15ac="http://schemas.microsoft.com/office/spreadsheetml/2010/11/ac" url="/Users/marcus/Desktop/"/>
    </mc:Choice>
  </mc:AlternateContent>
  <xr:revisionPtr revIDLastSave="0" documentId="8_{9C1AA47E-BA66-6F4A-A6D5-127628FC20EA}" xr6:coauthVersionLast="47" xr6:coauthVersionMax="47" xr10:uidLastSave="{00000000-0000-0000-0000-000000000000}"/>
  <bookViews>
    <workbookView xWindow="0" yWindow="760" windowWidth="30240" windowHeight="17640" activeTab="2" xr2:uid="{00000000-000D-0000-FFFF-FFFF00000000}"/>
  </bookViews>
  <sheets>
    <sheet name="Explication des identifiants" sheetId="8" r:id="rId1"/>
    <sheet name="1. Base de donnée Intervention" sheetId="3" r:id="rId2"/>
    <sheet name="2. Base de données Control" sheetId="7" r:id="rId3"/>
    <sheet name="3. Matching du primaire" sheetId="5" r:id="rId4"/>
  </sheets>
  <definedNames>
    <definedName name="_xlnm.Print_Titles" localSheetId="2">'2. Base de données Control'!$4:$4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998" i="3" l="1"/>
  <c r="M999" i="3"/>
  <c r="L851"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M856" i="7"/>
  <c r="P851" i="7"/>
  <c r="M851" i="7"/>
  <c r="M855" i="7"/>
  <c r="O851" i="7"/>
  <c r="M854" i="7"/>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P998" i="3"/>
  <c r="Q998" i="3"/>
  <c r="R998" i="3"/>
  <c r="R999"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N998" i="3"/>
  <c r="O998" i="3"/>
  <c r="O999" i="3"/>
  <c r="O1003" i="3"/>
  <c r="Q999" i="3"/>
  <c r="N999" i="3"/>
  <c r="O1002" i="3"/>
  <c r="P999" i="3"/>
  <c r="O1001" i="3"/>
  <c r="BJ999" i="3"/>
  <c r="I997" i="3"/>
  <c r="V997" i="3"/>
  <c r="BI997" i="3"/>
  <c r="H193" i="7"/>
  <c r="U193" i="7"/>
  <c r="H194" i="7"/>
  <c r="U194" i="7"/>
  <c r="I970" i="3"/>
  <c r="V970" i="3"/>
  <c r="BI970" i="3"/>
  <c r="I964" i="3"/>
  <c r="I965" i="3"/>
  <c r="I966" i="3"/>
  <c r="I967" i="3"/>
  <c r="I968" i="3"/>
  <c r="I969" i="3"/>
  <c r="I963" i="3"/>
  <c r="V996" i="3"/>
  <c r="BI996" i="3"/>
  <c r="V995" i="3"/>
  <c r="BI995" i="3"/>
  <c r="I994" i="3"/>
  <c r="V994" i="3"/>
  <c r="BI994" i="3"/>
  <c r="I992" i="3"/>
  <c r="V992" i="3"/>
  <c r="BI992" i="3"/>
  <c r="I993" i="3"/>
  <c r="V993" i="3"/>
  <c r="BI993" i="3"/>
  <c r="I983" i="3"/>
  <c r="V983" i="3"/>
  <c r="BI983" i="3"/>
  <c r="I984" i="3"/>
  <c r="V984" i="3"/>
  <c r="BI984" i="3"/>
  <c r="I985" i="3"/>
  <c r="V985" i="3"/>
  <c r="BI985" i="3"/>
  <c r="I986" i="3"/>
  <c r="V986" i="3"/>
  <c r="BI986" i="3"/>
  <c r="I987" i="3"/>
  <c r="V987" i="3"/>
  <c r="BI987" i="3"/>
  <c r="I988" i="3"/>
  <c r="V988" i="3"/>
  <c r="BI988" i="3"/>
  <c r="I989" i="3"/>
  <c r="V989" i="3"/>
  <c r="BI989" i="3"/>
  <c r="I980" i="3"/>
  <c r="V980" i="3"/>
  <c r="BI980" i="3"/>
  <c r="I981" i="3"/>
  <c r="V981" i="3"/>
  <c r="BI981" i="3"/>
  <c r="I982" i="3"/>
  <c r="V982" i="3"/>
  <c r="BI982" i="3"/>
  <c r="I990" i="3"/>
  <c r="V990" i="3"/>
  <c r="BI990" i="3"/>
  <c r="I991" i="3"/>
  <c r="V991" i="3"/>
  <c r="BI991" i="3"/>
  <c r="I979" i="3"/>
  <c r="V979" i="3"/>
  <c r="BI979" i="3"/>
  <c r="I971" i="3"/>
  <c r="V971" i="3"/>
  <c r="BI971" i="3"/>
  <c r="I972" i="3"/>
  <c r="V972" i="3"/>
  <c r="BI972" i="3"/>
  <c r="I973" i="3"/>
  <c r="V973" i="3"/>
  <c r="BI973" i="3"/>
  <c r="I974" i="3"/>
  <c r="V974" i="3"/>
  <c r="BI974" i="3"/>
  <c r="I975" i="3"/>
  <c r="V975" i="3"/>
  <c r="BI975" i="3"/>
  <c r="I976" i="3"/>
  <c r="V976" i="3"/>
  <c r="BI976" i="3"/>
  <c r="I977" i="3"/>
  <c r="V977" i="3"/>
  <c r="BI977" i="3"/>
  <c r="I978" i="3"/>
  <c r="V978" i="3"/>
  <c r="BI978" i="3"/>
  <c r="V968" i="3"/>
  <c r="BI968" i="3"/>
  <c r="V969" i="3"/>
  <c r="BI969" i="3"/>
  <c r="V967" i="3"/>
  <c r="BI967" i="3"/>
  <c r="V964" i="3"/>
  <c r="BI964" i="3"/>
  <c r="V965" i="3"/>
  <c r="BI965" i="3"/>
  <c r="V966" i="3"/>
  <c r="BI966" i="3"/>
  <c r="I397" i="3"/>
  <c r="I396" i="3"/>
  <c r="H567" i="7"/>
  <c r="H566" i="7"/>
  <c r="H565" i="7"/>
  <c r="H564" i="7"/>
  <c r="H563" i="7"/>
  <c r="H562" i="7"/>
  <c r="H561" i="7"/>
  <c r="H560" i="7"/>
  <c r="H559" i="7"/>
  <c r="H558" i="7"/>
  <c r="H557" i="7"/>
  <c r="H556" i="7"/>
  <c r="H555" i="7"/>
  <c r="H554" i="7"/>
  <c r="H553" i="7"/>
  <c r="H552" i="7"/>
  <c r="H551" i="7"/>
  <c r="H550" i="7"/>
  <c r="H549" i="7"/>
  <c r="H548" i="7"/>
  <c r="H547" i="7"/>
  <c r="H546" i="7"/>
  <c r="H545" i="7"/>
  <c r="H544" i="7"/>
  <c r="H543" i="7"/>
  <c r="H542" i="7"/>
  <c r="H541" i="7"/>
  <c r="H540" i="7"/>
  <c r="H539" i="7"/>
  <c r="H538" i="7"/>
  <c r="H537" i="7"/>
  <c r="H536" i="7"/>
  <c r="H535" i="7"/>
  <c r="H534" i="7"/>
  <c r="H533" i="7"/>
  <c r="H532" i="7"/>
  <c r="H531" i="7"/>
  <c r="H530" i="7"/>
  <c r="H529" i="7"/>
  <c r="H528" i="7"/>
  <c r="H527" i="7"/>
  <c r="H526" i="7"/>
  <c r="H525" i="7"/>
  <c r="H524" i="7"/>
  <c r="H523" i="7"/>
  <c r="H522" i="7"/>
  <c r="H521" i="7"/>
  <c r="H520" i="7"/>
  <c r="H519" i="7"/>
  <c r="H518" i="7"/>
  <c r="H517" i="7"/>
  <c r="H516" i="7"/>
  <c r="H515" i="7"/>
  <c r="H514" i="7"/>
  <c r="H513" i="7"/>
  <c r="H512" i="7"/>
  <c r="H511" i="7"/>
  <c r="H510" i="7"/>
  <c r="H509" i="7"/>
  <c r="H508" i="7"/>
  <c r="H507" i="7"/>
  <c r="H506" i="7"/>
  <c r="H505" i="7"/>
  <c r="H504" i="7"/>
  <c r="H503" i="7"/>
  <c r="H502" i="7"/>
  <c r="H501" i="7"/>
  <c r="H500" i="7"/>
  <c r="H499" i="7"/>
  <c r="H498" i="7"/>
  <c r="H497" i="7"/>
  <c r="H496" i="7"/>
  <c r="H495" i="7"/>
  <c r="H494" i="7"/>
  <c r="H493" i="7"/>
  <c r="H492" i="7"/>
  <c r="H491" i="7"/>
  <c r="H490" i="7"/>
  <c r="H489" i="7"/>
  <c r="H488" i="7"/>
  <c r="H487" i="7"/>
  <c r="H486" i="7"/>
  <c r="H485" i="7"/>
  <c r="H484" i="7"/>
  <c r="H483" i="7"/>
  <c r="H482" i="7"/>
  <c r="H481" i="7"/>
  <c r="H480" i="7"/>
  <c r="H479" i="7"/>
  <c r="H478" i="7"/>
  <c r="H477" i="7"/>
  <c r="H476" i="7"/>
  <c r="H475" i="7"/>
  <c r="H474" i="7"/>
  <c r="H473" i="7"/>
  <c r="H472" i="7"/>
  <c r="H471" i="7"/>
  <c r="H470" i="7"/>
  <c r="H469" i="7"/>
  <c r="H468" i="7"/>
  <c r="H467" i="7"/>
  <c r="H466" i="7"/>
  <c r="H465" i="7"/>
  <c r="H464" i="7"/>
  <c r="H463" i="7"/>
  <c r="H462" i="7"/>
  <c r="H461" i="7"/>
  <c r="H460" i="7"/>
  <c r="H459" i="7"/>
  <c r="H458" i="7"/>
  <c r="H457" i="7"/>
  <c r="H456" i="7"/>
  <c r="H455" i="7"/>
  <c r="H454" i="7"/>
  <c r="H453" i="7"/>
  <c r="H452" i="7"/>
  <c r="H451" i="7"/>
  <c r="H450" i="7"/>
  <c r="H449" i="7"/>
  <c r="H448" i="7"/>
  <c r="H447" i="7"/>
  <c r="H446" i="7"/>
  <c r="H445" i="7"/>
  <c r="H444" i="7"/>
  <c r="H443" i="7"/>
  <c r="H442" i="7"/>
  <c r="H441" i="7"/>
  <c r="H440" i="7"/>
  <c r="H439" i="7"/>
  <c r="H438" i="7"/>
  <c r="H437" i="7"/>
  <c r="H436" i="7"/>
  <c r="H435" i="7"/>
  <c r="H434" i="7"/>
  <c r="H433" i="7"/>
  <c r="H432" i="7"/>
  <c r="H431" i="7"/>
  <c r="H430" i="7"/>
  <c r="H429" i="7"/>
  <c r="H428" i="7"/>
  <c r="H427" i="7"/>
  <c r="H426" i="7"/>
  <c r="H425" i="7"/>
  <c r="H424" i="7"/>
  <c r="H423" i="7"/>
  <c r="H422" i="7"/>
  <c r="H421" i="7"/>
  <c r="H420" i="7"/>
  <c r="H419" i="7"/>
  <c r="H418" i="7"/>
  <c r="H417" i="7"/>
  <c r="H416" i="7"/>
  <c r="H415" i="7"/>
  <c r="H414" i="7"/>
  <c r="H413" i="7"/>
  <c r="H412" i="7"/>
  <c r="H411" i="7"/>
  <c r="H410" i="7"/>
  <c r="H409" i="7"/>
  <c r="H408" i="7"/>
  <c r="H407" i="7"/>
  <c r="H406" i="7"/>
  <c r="H405" i="7"/>
  <c r="H404" i="7"/>
  <c r="H403" i="7"/>
  <c r="H402" i="7"/>
  <c r="H401" i="7"/>
  <c r="H400" i="7"/>
  <c r="H399" i="7"/>
  <c r="H398" i="7"/>
  <c r="H397" i="7"/>
  <c r="H396" i="7"/>
  <c r="H395" i="7"/>
  <c r="H394" i="7"/>
  <c r="H393" i="7"/>
  <c r="H392" i="7"/>
  <c r="H391" i="7"/>
  <c r="H390" i="7"/>
  <c r="H389" i="7"/>
  <c r="H388" i="7"/>
  <c r="H387" i="7"/>
  <c r="H386" i="7"/>
  <c r="H385" i="7"/>
  <c r="H384" i="7"/>
  <c r="H383" i="7"/>
  <c r="H382" i="7"/>
  <c r="H381" i="7"/>
  <c r="H380" i="7"/>
  <c r="H379" i="7"/>
  <c r="H378" i="7"/>
  <c r="H377" i="7"/>
  <c r="H376" i="7"/>
  <c r="H375" i="7"/>
  <c r="H374" i="7"/>
  <c r="H373" i="7"/>
  <c r="H372" i="7"/>
  <c r="H371" i="7"/>
  <c r="H370" i="7"/>
  <c r="H369" i="7"/>
  <c r="H368" i="7"/>
  <c r="H367" i="7"/>
  <c r="H366" i="7"/>
  <c r="H365" i="7"/>
  <c r="H364" i="7"/>
  <c r="H363"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9" i="7"/>
  <c r="H288" i="7"/>
  <c r="H287" i="7"/>
  <c r="H286" i="7"/>
  <c r="H285" i="7"/>
  <c r="H284" i="7"/>
  <c r="H283" i="7"/>
  <c r="H282" i="7"/>
  <c r="H281" i="7"/>
  <c r="H280" i="7"/>
  <c r="H279" i="7"/>
  <c r="H278" i="7"/>
  <c r="H277" i="7"/>
  <c r="H276" i="7"/>
  <c r="H275" i="7"/>
  <c r="H274" i="7"/>
  <c r="H273" i="7"/>
  <c r="H272" i="7"/>
  <c r="H271" i="7"/>
  <c r="H270" i="7"/>
  <c r="H269" i="7"/>
  <c r="H268" i="7"/>
  <c r="H267" i="7"/>
  <c r="H266" i="7"/>
  <c r="H265" i="7"/>
  <c r="H264" i="7"/>
  <c r="H263" i="7"/>
  <c r="H262" i="7"/>
  <c r="H261" i="7"/>
  <c r="H260" i="7"/>
  <c r="H259" i="7"/>
  <c r="H258" i="7"/>
  <c r="H257"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3" i="7"/>
  <c r="H212" i="7"/>
  <c r="H211" i="7"/>
  <c r="H210" i="7"/>
  <c r="H209" i="7"/>
  <c r="H208" i="7"/>
  <c r="H207" i="7"/>
  <c r="H206" i="7"/>
  <c r="H205" i="7"/>
  <c r="H204" i="7"/>
  <c r="H203" i="7"/>
  <c r="H202" i="7"/>
  <c r="H201" i="7"/>
  <c r="H200" i="7"/>
  <c r="H199" i="7"/>
  <c r="H198" i="7"/>
  <c r="H197" i="7"/>
  <c r="H196" i="7"/>
  <c r="H195"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623" i="7"/>
  <c r="H622" i="7"/>
  <c r="H621" i="7"/>
  <c r="H620" i="7"/>
  <c r="H619" i="7"/>
  <c r="H618" i="7"/>
  <c r="H617" i="7"/>
  <c r="H616" i="7"/>
  <c r="H615" i="7"/>
  <c r="H614" i="7"/>
  <c r="H613" i="7"/>
  <c r="H612" i="7"/>
  <c r="H611" i="7"/>
  <c r="H610" i="7"/>
  <c r="H609" i="7"/>
  <c r="H608" i="7"/>
  <c r="H607" i="7"/>
  <c r="H606" i="7"/>
  <c r="H605" i="7"/>
  <c r="H604" i="7"/>
  <c r="H603" i="7"/>
  <c r="H602" i="7"/>
  <c r="H601" i="7"/>
  <c r="H600" i="7"/>
  <c r="H599" i="7"/>
  <c r="H598" i="7"/>
  <c r="H597" i="7"/>
  <c r="H596" i="7"/>
  <c r="H595" i="7"/>
  <c r="H594" i="7"/>
  <c r="H593" i="7"/>
  <c r="H592" i="7"/>
  <c r="H591" i="7"/>
  <c r="H590" i="7"/>
  <c r="H589" i="7"/>
  <c r="H588" i="7"/>
  <c r="H587" i="7"/>
  <c r="H586" i="7"/>
  <c r="H585" i="7"/>
  <c r="H584" i="7"/>
  <c r="H583" i="7"/>
  <c r="H582" i="7"/>
  <c r="H581" i="7"/>
  <c r="H580" i="7"/>
  <c r="H579" i="7"/>
  <c r="H578" i="7"/>
  <c r="H577" i="7"/>
  <c r="H576" i="7"/>
  <c r="H575" i="7"/>
  <c r="H574" i="7"/>
  <c r="H573" i="7"/>
  <c r="H572" i="7"/>
  <c r="H571" i="7"/>
  <c r="H570" i="7"/>
  <c r="H569" i="7"/>
  <c r="H568" i="7"/>
  <c r="H675" i="7"/>
  <c r="H674" i="7"/>
  <c r="H673" i="7"/>
  <c r="H672" i="7"/>
  <c r="H671" i="7"/>
  <c r="H670" i="7"/>
  <c r="H669" i="7"/>
  <c r="H668" i="7"/>
  <c r="H667" i="7"/>
  <c r="H666" i="7"/>
  <c r="H665" i="7"/>
  <c r="H664" i="7"/>
  <c r="H663" i="7"/>
  <c r="H662" i="7"/>
  <c r="H661" i="7"/>
  <c r="H660" i="7"/>
  <c r="H659" i="7"/>
  <c r="H658" i="7"/>
  <c r="H657" i="7"/>
  <c r="H656" i="7"/>
  <c r="H655" i="7"/>
  <c r="H654" i="7"/>
  <c r="H653" i="7"/>
  <c r="H652" i="7"/>
  <c r="H651" i="7"/>
  <c r="H650" i="7"/>
  <c r="H649" i="7"/>
  <c r="H648" i="7"/>
  <c r="H647" i="7"/>
  <c r="H646" i="7"/>
  <c r="H645" i="7"/>
  <c r="H644" i="7"/>
  <c r="H643" i="7"/>
  <c r="H642" i="7"/>
  <c r="H641" i="7"/>
  <c r="H640" i="7"/>
  <c r="H639" i="7"/>
  <c r="H638" i="7"/>
  <c r="H637" i="7"/>
  <c r="H636" i="7"/>
  <c r="H635" i="7"/>
  <c r="H634" i="7"/>
  <c r="H633" i="7"/>
  <c r="H632" i="7"/>
  <c r="H631" i="7"/>
  <c r="H630" i="7"/>
  <c r="H629" i="7"/>
  <c r="H628" i="7"/>
  <c r="H627" i="7"/>
  <c r="H626" i="7"/>
  <c r="H625" i="7"/>
  <c r="H624" i="7"/>
  <c r="H779" i="7"/>
  <c r="H778" i="7"/>
  <c r="H777" i="7"/>
  <c r="H776" i="7"/>
  <c r="H775" i="7"/>
  <c r="H774" i="7"/>
  <c r="H773" i="7"/>
  <c r="H850" i="7"/>
  <c r="H849" i="7"/>
  <c r="H848" i="7"/>
  <c r="H847" i="7"/>
  <c r="H846" i="7"/>
  <c r="H845" i="7"/>
  <c r="H844" i="7"/>
  <c r="H843" i="7"/>
  <c r="H842" i="7"/>
  <c r="H841" i="7"/>
  <c r="H840" i="7"/>
  <c r="H839" i="7"/>
  <c r="H838" i="7"/>
  <c r="H837" i="7"/>
  <c r="H836" i="7"/>
  <c r="H835" i="7"/>
  <c r="H834" i="7"/>
  <c r="H833" i="7"/>
  <c r="H832" i="7"/>
  <c r="H831" i="7"/>
  <c r="H830" i="7"/>
  <c r="H829" i="7"/>
  <c r="H828" i="7"/>
  <c r="H827" i="7"/>
  <c r="H826" i="7"/>
  <c r="H825" i="7"/>
  <c r="H824" i="7"/>
  <c r="H823" i="7"/>
  <c r="H822" i="7"/>
  <c r="H821" i="7"/>
  <c r="H820" i="7"/>
  <c r="H819" i="7"/>
  <c r="H818" i="7"/>
  <c r="H817" i="7"/>
  <c r="H816" i="7"/>
  <c r="H815" i="7"/>
  <c r="H814" i="7"/>
  <c r="H813" i="7"/>
  <c r="H812" i="7"/>
  <c r="H811" i="7"/>
  <c r="H810" i="7"/>
  <c r="H809" i="7"/>
  <c r="H808" i="7"/>
  <c r="H807" i="7"/>
  <c r="H806" i="7"/>
  <c r="H805" i="7"/>
  <c r="H804" i="7"/>
  <c r="H803" i="7"/>
  <c r="H802" i="7"/>
  <c r="H801" i="7"/>
  <c r="H800" i="7"/>
  <c r="H799" i="7"/>
  <c r="H798" i="7"/>
  <c r="H797" i="7"/>
  <c r="H796" i="7"/>
  <c r="H795" i="7"/>
  <c r="H794" i="7"/>
  <c r="H793" i="7"/>
  <c r="H792" i="7"/>
  <c r="H791" i="7"/>
  <c r="H790" i="7"/>
  <c r="H789" i="7"/>
  <c r="H788" i="7"/>
  <c r="H787" i="7"/>
  <c r="H786" i="7"/>
  <c r="H785" i="7"/>
  <c r="H784" i="7"/>
  <c r="H783" i="7"/>
  <c r="H782" i="7"/>
  <c r="H781" i="7"/>
  <c r="H780" i="7"/>
  <c r="H772" i="7"/>
  <c r="H771" i="7"/>
  <c r="H770" i="7"/>
  <c r="H769" i="7"/>
  <c r="H768" i="7"/>
  <c r="H767" i="7"/>
  <c r="H766" i="7"/>
  <c r="H765" i="7"/>
  <c r="H764" i="7"/>
  <c r="H763" i="7"/>
  <c r="H762" i="7"/>
  <c r="H761" i="7"/>
  <c r="H760" i="7"/>
  <c r="H759" i="7"/>
  <c r="H758" i="7"/>
  <c r="H757" i="7"/>
  <c r="H756" i="7"/>
  <c r="H755" i="7"/>
  <c r="H754" i="7"/>
  <c r="H753" i="7"/>
  <c r="H752" i="7"/>
  <c r="H751" i="7"/>
  <c r="H750" i="7"/>
  <c r="H749" i="7"/>
  <c r="H748" i="7"/>
  <c r="H747" i="7"/>
  <c r="H746" i="7"/>
  <c r="H745" i="7"/>
  <c r="H744" i="7"/>
  <c r="H743" i="7"/>
  <c r="H742" i="7"/>
  <c r="H741" i="7"/>
  <c r="H740" i="7"/>
  <c r="H739" i="7"/>
  <c r="H738" i="7"/>
  <c r="H737" i="7"/>
  <c r="H736" i="7"/>
  <c r="H735" i="7"/>
  <c r="H734" i="7"/>
  <c r="H733" i="7"/>
  <c r="H732" i="7"/>
  <c r="H731" i="7"/>
  <c r="H730" i="7"/>
  <c r="H729" i="7"/>
  <c r="H728" i="7"/>
  <c r="H727" i="7"/>
  <c r="H726" i="7"/>
  <c r="H725" i="7"/>
  <c r="H724" i="7"/>
  <c r="H723" i="7"/>
  <c r="H722" i="7"/>
  <c r="H721" i="7"/>
  <c r="H720" i="7"/>
  <c r="H719" i="7"/>
  <c r="H718" i="7"/>
  <c r="H717" i="7"/>
  <c r="H716" i="7"/>
  <c r="H715" i="7"/>
  <c r="H714" i="7"/>
  <c r="H713" i="7"/>
  <c r="H712" i="7"/>
  <c r="H711" i="7"/>
  <c r="H710" i="7"/>
  <c r="H709" i="7"/>
  <c r="H708" i="7"/>
  <c r="H707" i="7"/>
  <c r="H706" i="7"/>
  <c r="H705" i="7"/>
  <c r="H704" i="7"/>
  <c r="H703" i="7"/>
  <c r="H702" i="7"/>
  <c r="H701" i="7"/>
  <c r="H700" i="7"/>
  <c r="H699" i="7"/>
  <c r="H698" i="7"/>
  <c r="H697" i="7"/>
  <c r="H696" i="7"/>
  <c r="H695" i="7"/>
  <c r="H694" i="7"/>
  <c r="H693" i="7"/>
  <c r="H692" i="7"/>
  <c r="H691" i="7"/>
  <c r="H690" i="7"/>
  <c r="H689" i="7"/>
  <c r="H688" i="7"/>
  <c r="H687" i="7"/>
  <c r="I751" i="3"/>
  <c r="U711" i="7"/>
  <c r="U649" i="7"/>
  <c r="U648" i="7"/>
  <c r="I671" i="3"/>
  <c r="V671" i="3"/>
  <c r="BI671" i="3"/>
  <c r="I672" i="3"/>
  <c r="V672" i="3"/>
  <c r="BI672" i="3"/>
  <c r="I673" i="3"/>
  <c r="V673" i="3"/>
  <c r="BI673" i="3"/>
  <c r="I674" i="3"/>
  <c r="V674" i="3"/>
  <c r="BI674" i="3"/>
  <c r="I675" i="3"/>
  <c r="V675" i="3"/>
  <c r="BI675" i="3"/>
  <c r="I676" i="3"/>
  <c r="V676" i="3"/>
  <c r="BI676"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645" i="7"/>
  <c r="U646" i="7"/>
  <c r="U647" i="7"/>
  <c r="U639" i="7"/>
  <c r="U640" i="7"/>
  <c r="U641" i="7"/>
  <c r="U642" i="7"/>
  <c r="U643" i="7"/>
  <c r="U651" i="7"/>
  <c r="U650" i="7"/>
  <c r="U652" i="7"/>
  <c r="U653" i="7"/>
  <c r="U654" i="7"/>
  <c r="U655" i="7"/>
  <c r="U656" i="7"/>
  <c r="U657" i="7"/>
  <c r="U658" i="7"/>
  <c r="U659" i="7"/>
  <c r="U660" i="7"/>
  <c r="U661" i="7"/>
  <c r="U662" i="7"/>
  <c r="U663" i="7"/>
  <c r="U664" i="7"/>
  <c r="U665" i="7"/>
  <c r="U666" i="7"/>
  <c r="U667" i="7"/>
  <c r="U668" i="7"/>
  <c r="U669" i="7"/>
  <c r="U670" i="7"/>
  <c r="U671" i="7"/>
  <c r="U672" i="7"/>
  <c r="U673" i="7"/>
  <c r="U674" i="7"/>
  <c r="U675" i="7"/>
  <c r="H676" i="7"/>
  <c r="U676" i="7"/>
  <c r="H677" i="7"/>
  <c r="U677" i="7"/>
  <c r="H678" i="7"/>
  <c r="U678" i="7"/>
  <c r="I283" i="3"/>
  <c r="U783" i="7"/>
  <c r="U781" i="7"/>
  <c r="U782" i="7"/>
  <c r="U687" i="7"/>
  <c r="H686" i="7"/>
  <c r="U686" i="7"/>
  <c r="H685" i="7"/>
  <c r="U685" i="7"/>
  <c r="H679" i="7"/>
  <c r="H680" i="7"/>
  <c r="H681" i="7"/>
  <c r="H682" i="7"/>
  <c r="H683" i="7"/>
  <c r="H684" i="7"/>
  <c r="I750" i="3"/>
  <c r="V750" i="3"/>
  <c r="BI750" i="3"/>
  <c r="V751" i="3"/>
  <c r="BI751" i="3"/>
  <c r="I732" i="3"/>
  <c r="V732" i="3"/>
  <c r="BI732" i="3"/>
  <c r="I733" i="3"/>
  <c r="V733" i="3"/>
  <c r="BI733" i="3"/>
  <c r="I734" i="3"/>
  <c r="V734" i="3"/>
  <c r="BI734" i="3"/>
  <c r="I487" i="3"/>
  <c r="V487" i="3"/>
  <c r="BI487" i="3"/>
  <c r="U216" i="7"/>
  <c r="U217" i="7"/>
  <c r="U218" i="7"/>
  <c r="U219" i="7"/>
  <c r="U220" i="7"/>
  <c r="U205" i="7"/>
  <c r="U206" i="7"/>
  <c r="U207" i="7"/>
  <c r="U208" i="7"/>
  <c r="U209" i="7"/>
  <c r="U210" i="7"/>
  <c r="U211" i="7"/>
  <c r="U212" i="7"/>
  <c r="U213" i="7"/>
  <c r="U214" i="7"/>
  <c r="U215" i="7"/>
  <c r="U784" i="7"/>
  <c r="U785" i="7"/>
  <c r="U786" i="7"/>
  <c r="U787" i="7"/>
  <c r="U788" i="7"/>
  <c r="U789" i="7"/>
  <c r="U790" i="7"/>
  <c r="U791" i="7"/>
  <c r="U792" i="7"/>
  <c r="U793" i="7"/>
  <c r="U794" i="7"/>
  <c r="U795" i="7"/>
  <c r="U796" i="7"/>
  <c r="U797" i="7"/>
  <c r="U798" i="7"/>
  <c r="U799" i="7"/>
  <c r="U800" i="7"/>
  <c r="U801" i="7"/>
  <c r="U802" i="7"/>
  <c r="U803" i="7"/>
  <c r="U804" i="7"/>
  <c r="U805" i="7"/>
  <c r="U806" i="7"/>
  <c r="U807" i="7"/>
  <c r="U808" i="7"/>
  <c r="U809" i="7"/>
  <c r="U810" i="7"/>
  <c r="U811" i="7"/>
  <c r="U812" i="7"/>
  <c r="U813" i="7"/>
  <c r="U814" i="7"/>
  <c r="U815" i="7"/>
  <c r="U816" i="7"/>
  <c r="U817" i="7"/>
  <c r="U818" i="7"/>
  <c r="U819" i="7"/>
  <c r="U820" i="7"/>
  <c r="U821" i="7"/>
  <c r="U822" i="7"/>
  <c r="U823" i="7"/>
  <c r="U824" i="7"/>
  <c r="U825" i="7"/>
  <c r="U826" i="7"/>
  <c r="U827" i="7"/>
  <c r="U828" i="7"/>
  <c r="U829" i="7"/>
  <c r="U830" i="7"/>
  <c r="U831" i="7"/>
  <c r="U832" i="7"/>
  <c r="U833" i="7"/>
  <c r="U834" i="7"/>
  <c r="U835" i="7"/>
  <c r="U836" i="7"/>
  <c r="U837" i="7"/>
  <c r="U838" i="7"/>
  <c r="U839" i="7"/>
  <c r="U840" i="7"/>
  <c r="U841" i="7"/>
  <c r="U842" i="7"/>
  <c r="U843" i="7"/>
  <c r="U844" i="7"/>
  <c r="U845" i="7"/>
  <c r="U846" i="7"/>
  <c r="U847" i="7"/>
  <c r="U848" i="7"/>
  <c r="U849" i="7"/>
  <c r="U850" i="7"/>
  <c r="I246" i="3"/>
  <c r="U750" i="7"/>
  <c r="U751" i="7"/>
  <c r="U752" i="7"/>
  <c r="U753" i="7"/>
  <c r="U754" i="7"/>
  <c r="U755" i="7"/>
  <c r="U756" i="7"/>
  <c r="U757" i="7"/>
  <c r="U758" i="7"/>
  <c r="U759" i="7"/>
  <c r="U760" i="7"/>
  <c r="U761" i="7"/>
  <c r="U762" i="7"/>
  <c r="U763" i="7"/>
  <c r="U764" i="7"/>
  <c r="U765" i="7"/>
  <c r="U766" i="7"/>
  <c r="U767" i="7"/>
  <c r="U768" i="7"/>
  <c r="U769" i="7"/>
  <c r="U770" i="7"/>
  <c r="U771" i="7"/>
  <c r="U772" i="7"/>
  <c r="U773" i="7"/>
  <c r="U774" i="7"/>
  <c r="U775" i="7"/>
  <c r="U776" i="7"/>
  <c r="U777" i="7"/>
  <c r="U778" i="7"/>
  <c r="U719" i="7"/>
  <c r="U720" i="7"/>
  <c r="U721" i="7"/>
  <c r="U722" i="7"/>
  <c r="U723" i="7"/>
  <c r="U724" i="7"/>
  <c r="U725" i="7"/>
  <c r="U726" i="7"/>
  <c r="U727" i="7"/>
  <c r="U728" i="7"/>
  <c r="U729" i="7"/>
  <c r="U730" i="7"/>
  <c r="U731" i="7"/>
  <c r="U732" i="7"/>
  <c r="U733" i="7"/>
  <c r="U734" i="7"/>
  <c r="U735" i="7"/>
  <c r="U736" i="7"/>
  <c r="U737" i="7"/>
  <c r="U738" i="7"/>
  <c r="U739" i="7"/>
  <c r="U740" i="7"/>
  <c r="U741" i="7"/>
  <c r="U742" i="7"/>
  <c r="U743" i="7"/>
  <c r="U744" i="7"/>
  <c r="U745" i="7"/>
  <c r="U746" i="7"/>
  <c r="U747" i="7"/>
  <c r="U748" i="7"/>
  <c r="U679" i="7"/>
  <c r="U680" i="7"/>
  <c r="U681" i="7"/>
  <c r="U682" i="7"/>
  <c r="U683" i="7"/>
  <c r="U684" i="7"/>
  <c r="U688" i="7"/>
  <c r="U689" i="7"/>
  <c r="U690" i="7"/>
  <c r="U691" i="7"/>
  <c r="U692" i="7"/>
  <c r="U693" i="7"/>
  <c r="U694" i="7"/>
  <c r="U695" i="7"/>
  <c r="U696" i="7"/>
  <c r="U697" i="7"/>
  <c r="U698" i="7"/>
  <c r="U699" i="7"/>
  <c r="U700" i="7"/>
  <c r="U701" i="7"/>
  <c r="U702" i="7"/>
  <c r="U703" i="7"/>
  <c r="U704" i="7"/>
  <c r="U705" i="7"/>
  <c r="U706" i="7"/>
  <c r="U707" i="7"/>
  <c r="U708" i="7"/>
  <c r="U709" i="7"/>
  <c r="U710" i="7"/>
  <c r="U712" i="7"/>
  <c r="U713" i="7"/>
  <c r="U714" i="7"/>
  <c r="U715"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716" i="7"/>
  <c r="U717" i="7"/>
  <c r="U718" i="7"/>
  <c r="U749" i="7"/>
  <c r="U779" i="7"/>
  <c r="U780"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I210" i="3"/>
  <c r="V434" i="3"/>
  <c r="BI434" i="3"/>
  <c r="V429" i="3"/>
  <c r="BI429" i="3"/>
  <c r="V428" i="3"/>
  <c r="BI428" i="3"/>
  <c r="V427" i="3"/>
  <c r="BI427" i="3"/>
  <c r="V421" i="3"/>
  <c r="BI421" i="3"/>
  <c r="V417" i="3"/>
  <c r="BI417" i="3"/>
  <c r="V405" i="3"/>
  <c r="BI405" i="3"/>
  <c r="V406" i="3"/>
  <c r="BI406" i="3"/>
  <c r="V400" i="3"/>
  <c r="BI400" i="3"/>
  <c r="I183" i="3"/>
  <c r="V183" i="3"/>
  <c r="BI183" i="3"/>
  <c r="I180" i="3"/>
  <c r="V180" i="3"/>
  <c r="BI180" i="3"/>
  <c r="I181" i="3"/>
  <c r="V181" i="3"/>
  <c r="BI181" i="3"/>
  <c r="I182" i="3"/>
  <c r="V182" i="3"/>
  <c r="BI182" i="3"/>
  <c r="I184" i="3"/>
  <c r="V184" i="3"/>
  <c r="BI184" i="3"/>
  <c r="I636" i="3"/>
  <c r="V636" i="3"/>
  <c r="BI636" i="3"/>
  <c r="I637" i="3"/>
  <c r="V637" i="3"/>
  <c r="BI637" i="3"/>
  <c r="I638" i="3"/>
  <c r="V638" i="3"/>
  <c r="BI638" i="3"/>
  <c r="I639" i="3"/>
  <c r="V639" i="3"/>
  <c r="BI639" i="3"/>
  <c r="I640" i="3"/>
  <c r="V640" i="3"/>
  <c r="BI640" i="3"/>
  <c r="I641" i="3"/>
  <c r="V641" i="3"/>
  <c r="BI641" i="3"/>
  <c r="I642" i="3"/>
  <c r="V642" i="3"/>
  <c r="BI642" i="3"/>
  <c r="I643" i="3"/>
  <c r="V643" i="3"/>
  <c r="BI643" i="3"/>
  <c r="I644" i="3"/>
  <c r="V644" i="3"/>
  <c r="BI644" i="3"/>
  <c r="I645" i="3"/>
  <c r="V645" i="3"/>
  <c r="BI645" i="3"/>
  <c r="I598" i="3"/>
  <c r="V598" i="3"/>
  <c r="BI598" i="3"/>
  <c r="I597" i="3"/>
  <c r="V597" i="3"/>
  <c r="BI597" i="3"/>
  <c r="I599" i="3"/>
  <c r="V599" i="3"/>
  <c r="BI599" i="3"/>
  <c r="I839" i="3"/>
  <c r="V839" i="3"/>
  <c r="BI839" i="3"/>
  <c r="I809" i="3"/>
  <c r="V809" i="3"/>
  <c r="BI809" i="3"/>
  <c r="I808" i="3"/>
  <c r="V808" i="3"/>
  <c r="BI808" i="3"/>
  <c r="I815" i="3"/>
  <c r="V815" i="3"/>
  <c r="BI815" i="3"/>
  <c r="I859" i="3"/>
  <c r="V859" i="3"/>
  <c r="BI859" i="3"/>
  <c r="I837" i="3"/>
  <c r="V837" i="3"/>
  <c r="BI837" i="3"/>
  <c r="I828" i="3"/>
  <c r="V828" i="3"/>
  <c r="BI828" i="3"/>
  <c r="I801" i="3"/>
  <c r="V801" i="3"/>
  <c r="BI801" i="3"/>
  <c r="I802" i="3"/>
  <c r="V802" i="3"/>
  <c r="BI802" i="3"/>
  <c r="I799" i="3"/>
  <c r="V799" i="3"/>
  <c r="BI799" i="3"/>
  <c r="I591" i="3"/>
  <c r="V591" i="3"/>
  <c r="BI591" i="3"/>
  <c r="I585" i="3"/>
  <c r="V585" i="3"/>
  <c r="BI585" i="3"/>
  <c r="I563" i="3"/>
  <c r="V563" i="3"/>
  <c r="BI563" i="3"/>
  <c r="I568" i="3"/>
  <c r="V568" i="3"/>
  <c r="BI568" i="3"/>
  <c r="I582" i="3"/>
  <c r="V582" i="3"/>
  <c r="BI582"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5" i="3"/>
  <c r="I736" i="3"/>
  <c r="I737" i="3"/>
  <c r="I738" i="3"/>
  <c r="I739" i="3"/>
  <c r="I740" i="3"/>
  <c r="I741" i="3"/>
  <c r="I742" i="3"/>
  <c r="I743" i="3"/>
  <c r="I744" i="3"/>
  <c r="I745" i="3"/>
  <c r="I746" i="3"/>
  <c r="I747" i="3"/>
  <c r="I748" i="3"/>
  <c r="I749"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800" i="3"/>
  <c r="I803" i="3"/>
  <c r="I804" i="3"/>
  <c r="I805" i="3"/>
  <c r="I806" i="3"/>
  <c r="I807" i="3"/>
  <c r="I810" i="3"/>
  <c r="I811" i="3"/>
  <c r="I812" i="3"/>
  <c r="I813" i="3"/>
  <c r="I814" i="3"/>
  <c r="I816" i="3"/>
  <c r="I817" i="3"/>
  <c r="I818" i="3"/>
  <c r="I819" i="3"/>
  <c r="I820" i="3"/>
  <c r="I821" i="3"/>
  <c r="I822" i="3"/>
  <c r="I823" i="3"/>
  <c r="I824" i="3"/>
  <c r="I825" i="3"/>
  <c r="I826" i="3"/>
  <c r="I827" i="3"/>
  <c r="I829" i="3"/>
  <c r="I830" i="3"/>
  <c r="I831" i="3"/>
  <c r="I832" i="3"/>
  <c r="I833" i="3"/>
  <c r="I834" i="3"/>
  <c r="I835" i="3"/>
  <c r="I836" i="3"/>
  <c r="I838" i="3"/>
  <c r="I840" i="3"/>
  <c r="I841" i="3"/>
  <c r="I842" i="3"/>
  <c r="I843" i="3"/>
  <c r="I844" i="3"/>
  <c r="I845" i="3"/>
  <c r="I846" i="3"/>
  <c r="I847" i="3"/>
  <c r="I848" i="3"/>
  <c r="I849" i="3"/>
  <c r="I850" i="3"/>
  <c r="I851" i="3"/>
  <c r="I852" i="3"/>
  <c r="I853" i="3"/>
  <c r="I854" i="3"/>
  <c r="I855" i="3"/>
  <c r="I856" i="3"/>
  <c r="I857" i="3"/>
  <c r="I858"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4" i="3"/>
  <c r="I565" i="3"/>
  <c r="I566" i="3"/>
  <c r="I567" i="3"/>
  <c r="I569" i="3"/>
  <c r="I570" i="3"/>
  <c r="I571" i="3"/>
  <c r="I572" i="3"/>
  <c r="I573" i="3"/>
  <c r="I574" i="3"/>
  <c r="I575" i="3"/>
  <c r="I576" i="3"/>
  <c r="I577" i="3"/>
  <c r="I578" i="3"/>
  <c r="I579" i="3"/>
  <c r="I580" i="3"/>
  <c r="I581" i="3"/>
  <c r="I583" i="3"/>
  <c r="I584" i="3"/>
  <c r="I586" i="3"/>
  <c r="I587" i="3"/>
  <c r="I588" i="3"/>
  <c r="I589" i="3"/>
  <c r="I590" i="3"/>
  <c r="I592" i="3"/>
  <c r="I593" i="3"/>
  <c r="I594" i="3"/>
  <c r="I595" i="3"/>
  <c r="I596"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46" i="3"/>
  <c r="I47" i="3"/>
  <c r="I48" i="3"/>
  <c r="I49" i="3"/>
  <c r="I50" i="3"/>
  <c r="I51" i="3"/>
  <c r="I52" i="3"/>
  <c r="I53" i="3"/>
  <c r="I54" i="3"/>
  <c r="I55" i="3"/>
  <c r="I56" i="3"/>
  <c r="I57" i="3"/>
  <c r="I58" i="3"/>
  <c r="I59" i="3"/>
  <c r="I36" i="3"/>
  <c r="I37" i="3"/>
  <c r="I38" i="3"/>
  <c r="I39" i="3"/>
  <c r="I40" i="3"/>
  <c r="I41" i="3"/>
  <c r="I42" i="3"/>
  <c r="I43" i="3"/>
  <c r="I44" i="3"/>
  <c r="I45" i="3"/>
  <c r="I29" i="3"/>
  <c r="I30" i="3"/>
  <c r="I31" i="3"/>
  <c r="I32" i="3"/>
  <c r="I33" i="3"/>
  <c r="I34" i="3"/>
  <c r="I35" i="3"/>
  <c r="I22" i="3"/>
  <c r="I23" i="3"/>
  <c r="I24" i="3"/>
  <c r="I25" i="3"/>
  <c r="I26" i="3"/>
  <c r="I27" i="3"/>
  <c r="I28" i="3"/>
  <c r="I6" i="3"/>
  <c r="I7" i="3"/>
  <c r="I8" i="3"/>
  <c r="I9" i="3"/>
  <c r="I10" i="3"/>
  <c r="I11" i="3"/>
  <c r="I12" i="3"/>
  <c r="I13" i="3"/>
  <c r="I14" i="3"/>
  <c r="I15" i="3"/>
  <c r="I16" i="3"/>
  <c r="I17" i="3"/>
  <c r="I18" i="3"/>
  <c r="I19" i="3"/>
  <c r="I20" i="3"/>
  <c r="I21" i="3"/>
  <c r="I5" i="3"/>
  <c r="V910" i="3"/>
  <c r="BI910" i="3"/>
  <c r="V911" i="3"/>
  <c r="BI911" i="3"/>
  <c r="V912" i="3"/>
  <c r="BI912" i="3"/>
  <c r="V913" i="3"/>
  <c r="BI913" i="3"/>
  <c r="V914" i="3"/>
  <c r="BI914" i="3"/>
  <c r="V915" i="3"/>
  <c r="BI915" i="3"/>
  <c r="V916" i="3"/>
  <c r="BI916" i="3"/>
  <c r="V917" i="3"/>
  <c r="BI917" i="3"/>
  <c r="V918" i="3"/>
  <c r="BI918" i="3"/>
  <c r="V919" i="3"/>
  <c r="BI919" i="3"/>
  <c r="V920" i="3"/>
  <c r="BI920" i="3"/>
  <c r="V921" i="3"/>
  <c r="BI921" i="3"/>
  <c r="V922" i="3"/>
  <c r="BI922" i="3"/>
  <c r="V923" i="3"/>
  <c r="BI923" i="3"/>
  <c r="V924" i="3"/>
  <c r="BI924" i="3"/>
  <c r="V925" i="3"/>
  <c r="BI925" i="3"/>
  <c r="V926" i="3"/>
  <c r="BI926" i="3"/>
  <c r="V927" i="3"/>
  <c r="BI927" i="3"/>
  <c r="V928" i="3"/>
  <c r="BI928" i="3"/>
  <c r="V929" i="3"/>
  <c r="BI929" i="3"/>
  <c r="V930" i="3"/>
  <c r="BI930" i="3"/>
  <c r="V931" i="3"/>
  <c r="BI931" i="3"/>
  <c r="V932" i="3"/>
  <c r="BI932" i="3"/>
  <c r="V933" i="3"/>
  <c r="BI933" i="3"/>
  <c r="V934" i="3"/>
  <c r="BI934" i="3"/>
  <c r="V935" i="3"/>
  <c r="BI935" i="3"/>
  <c r="V936" i="3"/>
  <c r="BI936" i="3"/>
  <c r="V937" i="3"/>
  <c r="BI937" i="3"/>
  <c r="V938" i="3"/>
  <c r="BI938" i="3"/>
  <c r="V939" i="3"/>
  <c r="BI939" i="3"/>
  <c r="V940" i="3"/>
  <c r="BI940" i="3"/>
  <c r="V941" i="3"/>
  <c r="BI941" i="3"/>
  <c r="V942" i="3"/>
  <c r="BI942" i="3"/>
  <c r="V943" i="3"/>
  <c r="BI943" i="3"/>
  <c r="V944" i="3"/>
  <c r="BI944" i="3"/>
  <c r="V945" i="3"/>
  <c r="BI945" i="3"/>
  <c r="V946" i="3"/>
  <c r="BI946" i="3"/>
  <c r="V947" i="3"/>
  <c r="BI947" i="3"/>
  <c r="V948" i="3"/>
  <c r="BI948" i="3"/>
  <c r="V949" i="3"/>
  <c r="BI949" i="3"/>
  <c r="V950" i="3"/>
  <c r="BI950" i="3"/>
  <c r="V951" i="3"/>
  <c r="BI951" i="3"/>
  <c r="V952" i="3"/>
  <c r="BI952" i="3"/>
  <c r="V953" i="3"/>
  <c r="BI953" i="3"/>
  <c r="V954" i="3"/>
  <c r="BI954" i="3"/>
  <c r="V955" i="3"/>
  <c r="BI955" i="3"/>
  <c r="V956" i="3"/>
  <c r="BI956" i="3"/>
  <c r="V957" i="3"/>
  <c r="BI957" i="3"/>
  <c r="V958" i="3"/>
  <c r="BI958" i="3"/>
  <c r="V959" i="3"/>
  <c r="BI959" i="3"/>
  <c r="V960" i="3"/>
  <c r="BI960" i="3"/>
  <c r="V961" i="3"/>
  <c r="BI961" i="3"/>
  <c r="V962" i="3"/>
  <c r="BI962" i="3"/>
  <c r="V963" i="3"/>
  <c r="BI963" i="3"/>
  <c r="V840" i="3"/>
  <c r="BI840" i="3"/>
  <c r="V841" i="3"/>
  <c r="BI841" i="3"/>
  <c r="V842" i="3"/>
  <c r="BI842" i="3"/>
  <c r="V843" i="3"/>
  <c r="BI843" i="3"/>
  <c r="V844" i="3"/>
  <c r="BI844" i="3"/>
  <c r="V845" i="3"/>
  <c r="BI845" i="3"/>
  <c r="V846" i="3"/>
  <c r="BI846" i="3"/>
  <c r="V847" i="3"/>
  <c r="BI847" i="3"/>
  <c r="V848" i="3"/>
  <c r="BI848" i="3"/>
  <c r="V849" i="3"/>
  <c r="BI849" i="3"/>
  <c r="V850" i="3"/>
  <c r="BI850" i="3"/>
  <c r="V851" i="3"/>
  <c r="BI851" i="3"/>
  <c r="V852" i="3"/>
  <c r="BI852" i="3"/>
  <c r="V853" i="3"/>
  <c r="BI853" i="3"/>
  <c r="V854" i="3"/>
  <c r="BI854" i="3"/>
  <c r="V855" i="3"/>
  <c r="BI855" i="3"/>
  <c r="V856" i="3"/>
  <c r="BI856" i="3"/>
  <c r="V857" i="3"/>
  <c r="BI857" i="3"/>
  <c r="V858" i="3"/>
  <c r="BI858" i="3"/>
  <c r="V860" i="3"/>
  <c r="BI860" i="3"/>
  <c r="V861" i="3"/>
  <c r="BI861" i="3"/>
  <c r="V862" i="3"/>
  <c r="BI862" i="3"/>
  <c r="V863" i="3"/>
  <c r="BI863" i="3"/>
  <c r="V864" i="3"/>
  <c r="BI864" i="3"/>
  <c r="V865" i="3"/>
  <c r="BI865" i="3"/>
  <c r="V866" i="3"/>
  <c r="BI866" i="3"/>
  <c r="V867" i="3"/>
  <c r="BI867" i="3"/>
  <c r="V868" i="3"/>
  <c r="BI868" i="3"/>
  <c r="V869" i="3"/>
  <c r="BI869" i="3"/>
  <c r="V870" i="3"/>
  <c r="BI870" i="3"/>
  <c r="V871" i="3"/>
  <c r="BI871" i="3"/>
  <c r="V872" i="3"/>
  <c r="BI872" i="3"/>
  <c r="V873" i="3"/>
  <c r="BI873" i="3"/>
  <c r="V874" i="3"/>
  <c r="BI874" i="3"/>
  <c r="V875" i="3"/>
  <c r="BI875" i="3"/>
  <c r="V876" i="3"/>
  <c r="BI876" i="3"/>
  <c r="V877" i="3"/>
  <c r="BI877" i="3"/>
  <c r="V878" i="3"/>
  <c r="BI878" i="3"/>
  <c r="V879" i="3"/>
  <c r="BI879" i="3"/>
  <c r="V880" i="3"/>
  <c r="BI880" i="3"/>
  <c r="V881" i="3"/>
  <c r="BI881" i="3"/>
  <c r="V882" i="3"/>
  <c r="BI882" i="3"/>
  <c r="V883" i="3"/>
  <c r="BI883" i="3"/>
  <c r="V884" i="3"/>
  <c r="BI884" i="3"/>
  <c r="V885" i="3"/>
  <c r="BI885" i="3"/>
  <c r="V886" i="3"/>
  <c r="BI886" i="3"/>
  <c r="V887" i="3"/>
  <c r="BI887" i="3"/>
  <c r="V888" i="3"/>
  <c r="BI888" i="3"/>
  <c r="V889" i="3"/>
  <c r="BI889" i="3"/>
  <c r="V890" i="3"/>
  <c r="BI890" i="3"/>
  <c r="V891" i="3"/>
  <c r="BI891" i="3"/>
  <c r="V892" i="3"/>
  <c r="BI892" i="3"/>
  <c r="V893" i="3"/>
  <c r="BI893" i="3"/>
  <c r="V894" i="3"/>
  <c r="BI894" i="3"/>
  <c r="V895" i="3"/>
  <c r="BI895" i="3"/>
  <c r="V896" i="3"/>
  <c r="BI896" i="3"/>
  <c r="V897" i="3"/>
  <c r="BI897" i="3"/>
  <c r="V898" i="3"/>
  <c r="BI898" i="3"/>
  <c r="V899" i="3"/>
  <c r="BI899" i="3"/>
  <c r="V900" i="3"/>
  <c r="BI900" i="3"/>
  <c r="V901" i="3"/>
  <c r="BI901" i="3"/>
  <c r="V902" i="3"/>
  <c r="BI902" i="3"/>
  <c r="V903" i="3"/>
  <c r="BI903" i="3"/>
  <c r="V904" i="3"/>
  <c r="BI904" i="3"/>
  <c r="V905" i="3"/>
  <c r="BI905" i="3"/>
  <c r="V906" i="3"/>
  <c r="BI906" i="3"/>
  <c r="V907" i="3"/>
  <c r="BI907" i="3"/>
  <c r="V908" i="3"/>
  <c r="BI908" i="3"/>
  <c r="V909" i="3"/>
  <c r="BI909" i="3"/>
  <c r="V767" i="3"/>
  <c r="BI767" i="3"/>
  <c r="V768" i="3"/>
  <c r="BI768" i="3"/>
  <c r="V769" i="3"/>
  <c r="BI769" i="3"/>
  <c r="V770" i="3"/>
  <c r="BI770" i="3"/>
  <c r="V771" i="3"/>
  <c r="BI771" i="3"/>
  <c r="V772" i="3"/>
  <c r="BI772" i="3"/>
  <c r="V773" i="3"/>
  <c r="BI773" i="3"/>
  <c r="V774" i="3"/>
  <c r="BI774" i="3"/>
  <c r="V775" i="3"/>
  <c r="BI775" i="3"/>
  <c r="V776" i="3"/>
  <c r="BI776" i="3"/>
  <c r="V777" i="3"/>
  <c r="BI777" i="3"/>
  <c r="V778" i="3"/>
  <c r="BI778" i="3"/>
  <c r="V779" i="3"/>
  <c r="BI779" i="3"/>
  <c r="V780" i="3"/>
  <c r="BI780" i="3"/>
  <c r="V781" i="3"/>
  <c r="BI781" i="3"/>
  <c r="V782" i="3"/>
  <c r="BI782" i="3"/>
  <c r="V783" i="3"/>
  <c r="BI783" i="3"/>
  <c r="V784" i="3"/>
  <c r="BI784" i="3"/>
  <c r="V785" i="3"/>
  <c r="BI785" i="3"/>
  <c r="V786" i="3"/>
  <c r="BI786" i="3"/>
  <c r="V787" i="3"/>
  <c r="BI787" i="3"/>
  <c r="V788" i="3"/>
  <c r="BI788" i="3"/>
  <c r="V789" i="3"/>
  <c r="BI789" i="3"/>
  <c r="V790" i="3"/>
  <c r="BI790" i="3"/>
  <c r="V791" i="3"/>
  <c r="BI791" i="3"/>
  <c r="V792" i="3"/>
  <c r="BI792" i="3"/>
  <c r="V793" i="3"/>
  <c r="BI793" i="3"/>
  <c r="V794" i="3"/>
  <c r="BI794" i="3"/>
  <c r="V795" i="3"/>
  <c r="BI795" i="3"/>
  <c r="V796" i="3"/>
  <c r="BI796" i="3"/>
  <c r="V797" i="3"/>
  <c r="BI797" i="3"/>
  <c r="V798" i="3"/>
  <c r="BI798" i="3"/>
  <c r="V800" i="3"/>
  <c r="BI800" i="3"/>
  <c r="V803" i="3"/>
  <c r="BI803" i="3"/>
  <c r="V804" i="3"/>
  <c r="BI804" i="3"/>
  <c r="V805" i="3"/>
  <c r="BI805" i="3"/>
  <c r="V806" i="3"/>
  <c r="BI806" i="3"/>
  <c r="V807" i="3"/>
  <c r="BI807" i="3"/>
  <c r="V810" i="3"/>
  <c r="BI810" i="3"/>
  <c r="V811" i="3"/>
  <c r="BI811" i="3"/>
  <c r="V812" i="3"/>
  <c r="BI812" i="3"/>
  <c r="V813" i="3"/>
  <c r="BI813" i="3"/>
  <c r="V814" i="3"/>
  <c r="BI814" i="3"/>
  <c r="V816" i="3"/>
  <c r="BI816" i="3"/>
  <c r="V817" i="3"/>
  <c r="BI817" i="3"/>
  <c r="V818" i="3"/>
  <c r="BI818" i="3"/>
  <c r="V819" i="3"/>
  <c r="BI819" i="3"/>
  <c r="V820" i="3"/>
  <c r="BI820" i="3"/>
  <c r="V821" i="3"/>
  <c r="BI821" i="3"/>
  <c r="V822" i="3"/>
  <c r="BI822" i="3"/>
  <c r="V823" i="3"/>
  <c r="BI823" i="3"/>
  <c r="V824" i="3"/>
  <c r="BI824" i="3"/>
  <c r="V825" i="3"/>
  <c r="BI825" i="3"/>
  <c r="V826" i="3"/>
  <c r="BI826" i="3"/>
  <c r="V827" i="3"/>
  <c r="BI827" i="3"/>
  <c r="V829" i="3"/>
  <c r="BI829" i="3"/>
  <c r="V830" i="3"/>
  <c r="BI830" i="3"/>
  <c r="V831" i="3"/>
  <c r="BI831" i="3"/>
  <c r="V832" i="3"/>
  <c r="BI832" i="3"/>
  <c r="V833" i="3"/>
  <c r="BI833" i="3"/>
  <c r="V834" i="3"/>
  <c r="BI834" i="3"/>
  <c r="V835" i="3"/>
  <c r="BI835" i="3"/>
  <c r="V836" i="3"/>
  <c r="BI836" i="3"/>
  <c r="V838" i="3"/>
  <c r="BI838" i="3"/>
  <c r="V739" i="3"/>
  <c r="BI739" i="3"/>
  <c r="V740" i="3"/>
  <c r="BI740" i="3"/>
  <c r="V741" i="3"/>
  <c r="BI741" i="3"/>
  <c r="V742" i="3"/>
  <c r="BI742" i="3"/>
  <c r="V743" i="3"/>
  <c r="BI743" i="3"/>
  <c r="V744" i="3"/>
  <c r="BI744" i="3"/>
  <c r="V745" i="3"/>
  <c r="BI745" i="3"/>
  <c r="V746" i="3"/>
  <c r="BI746" i="3"/>
  <c r="V747" i="3"/>
  <c r="BI747" i="3"/>
  <c r="V748" i="3"/>
  <c r="BI748" i="3"/>
  <c r="V749" i="3"/>
  <c r="BI749" i="3"/>
  <c r="V752" i="3"/>
  <c r="BI752" i="3"/>
  <c r="V753" i="3"/>
  <c r="BI753" i="3"/>
  <c r="V754" i="3"/>
  <c r="BI754" i="3"/>
  <c r="V755" i="3"/>
  <c r="BI755" i="3"/>
  <c r="V756" i="3"/>
  <c r="BI756" i="3"/>
  <c r="V757" i="3"/>
  <c r="BI757" i="3"/>
  <c r="V758" i="3"/>
  <c r="BI758" i="3"/>
  <c r="V759" i="3"/>
  <c r="BI759" i="3"/>
  <c r="V760" i="3"/>
  <c r="BI760" i="3"/>
  <c r="V761" i="3"/>
  <c r="BI761" i="3"/>
  <c r="V762" i="3"/>
  <c r="BI762" i="3"/>
  <c r="V763" i="3"/>
  <c r="BI763" i="3"/>
  <c r="V764" i="3"/>
  <c r="BI764" i="3"/>
  <c r="V765" i="3"/>
  <c r="BI765" i="3"/>
  <c r="V766" i="3"/>
  <c r="BI766" i="3"/>
  <c r="V704" i="3"/>
  <c r="BI704" i="3"/>
  <c r="V705" i="3"/>
  <c r="BI705" i="3"/>
  <c r="V706" i="3"/>
  <c r="BI706" i="3"/>
  <c r="V707" i="3"/>
  <c r="BI707" i="3"/>
  <c r="V708" i="3"/>
  <c r="BI708" i="3"/>
  <c r="V709" i="3"/>
  <c r="BI709" i="3"/>
  <c r="V710" i="3"/>
  <c r="BI710" i="3"/>
  <c r="V711" i="3"/>
  <c r="BI711" i="3"/>
  <c r="V712" i="3"/>
  <c r="BI712" i="3"/>
  <c r="V713" i="3"/>
  <c r="BI713" i="3"/>
  <c r="V714" i="3"/>
  <c r="BI714" i="3"/>
  <c r="V715" i="3"/>
  <c r="BI715" i="3"/>
  <c r="V716" i="3"/>
  <c r="BI716" i="3"/>
  <c r="V717" i="3"/>
  <c r="BI717" i="3"/>
  <c r="V718" i="3"/>
  <c r="BI718" i="3"/>
  <c r="V719" i="3"/>
  <c r="BI719" i="3"/>
  <c r="V720" i="3"/>
  <c r="BI720" i="3"/>
  <c r="V721" i="3"/>
  <c r="BI721" i="3"/>
  <c r="V722" i="3"/>
  <c r="BI722" i="3"/>
  <c r="V723" i="3"/>
  <c r="BI723" i="3"/>
  <c r="V724" i="3"/>
  <c r="BI724" i="3"/>
  <c r="V725" i="3"/>
  <c r="BI725" i="3"/>
  <c r="V726" i="3"/>
  <c r="BI726" i="3"/>
  <c r="V727" i="3"/>
  <c r="BI727" i="3"/>
  <c r="V728" i="3"/>
  <c r="BI728" i="3"/>
  <c r="V729" i="3"/>
  <c r="BI729" i="3"/>
  <c r="V730" i="3"/>
  <c r="BI730" i="3"/>
  <c r="V731" i="3"/>
  <c r="BI731" i="3"/>
  <c r="V735" i="3"/>
  <c r="BI735" i="3"/>
  <c r="V736" i="3"/>
  <c r="BI736" i="3"/>
  <c r="V737" i="3"/>
  <c r="BI737" i="3"/>
  <c r="V738" i="3"/>
  <c r="BI738" i="3"/>
  <c r="V634" i="3"/>
  <c r="BI634" i="3"/>
  <c r="V635" i="3"/>
  <c r="BI635" i="3"/>
  <c r="V646" i="3"/>
  <c r="BI646" i="3"/>
  <c r="V647" i="3"/>
  <c r="BI647" i="3"/>
  <c r="V648" i="3"/>
  <c r="BI648" i="3"/>
  <c r="V649" i="3"/>
  <c r="BI649" i="3"/>
  <c r="V650" i="3"/>
  <c r="BI650" i="3"/>
  <c r="V651" i="3"/>
  <c r="BI651" i="3"/>
  <c r="V652" i="3"/>
  <c r="BI652" i="3"/>
  <c r="V653" i="3"/>
  <c r="BI653" i="3"/>
  <c r="V654" i="3"/>
  <c r="BI654" i="3"/>
  <c r="V655" i="3"/>
  <c r="BI655" i="3"/>
  <c r="V656" i="3"/>
  <c r="BI656" i="3"/>
  <c r="V657" i="3"/>
  <c r="BI657" i="3"/>
  <c r="V658" i="3"/>
  <c r="BI658" i="3"/>
  <c r="V659" i="3"/>
  <c r="BI659" i="3"/>
  <c r="V660" i="3"/>
  <c r="BI660" i="3"/>
  <c r="V661" i="3"/>
  <c r="BI661" i="3"/>
  <c r="V662" i="3"/>
  <c r="BI662" i="3"/>
  <c r="V663" i="3"/>
  <c r="BI663" i="3"/>
  <c r="V664" i="3"/>
  <c r="BI664" i="3"/>
  <c r="V665" i="3"/>
  <c r="BI665" i="3"/>
  <c r="V666" i="3"/>
  <c r="BI666" i="3"/>
  <c r="V667" i="3"/>
  <c r="BI667" i="3"/>
  <c r="V668" i="3"/>
  <c r="BI668" i="3"/>
  <c r="V669" i="3"/>
  <c r="BI669" i="3"/>
  <c r="V670" i="3"/>
  <c r="BI670" i="3"/>
  <c r="V677" i="3"/>
  <c r="BI677" i="3"/>
  <c r="V678" i="3"/>
  <c r="BI678" i="3"/>
  <c r="V679" i="3"/>
  <c r="BI679" i="3"/>
  <c r="V680" i="3"/>
  <c r="BI680" i="3"/>
  <c r="V681" i="3"/>
  <c r="BI681" i="3"/>
  <c r="V682" i="3"/>
  <c r="BI682" i="3"/>
  <c r="V683" i="3"/>
  <c r="BI683" i="3"/>
  <c r="V684" i="3"/>
  <c r="BI684" i="3"/>
  <c r="V685" i="3"/>
  <c r="BI685" i="3"/>
  <c r="V686" i="3"/>
  <c r="BI686" i="3"/>
  <c r="V687" i="3"/>
  <c r="BI687" i="3"/>
  <c r="V688" i="3"/>
  <c r="BI688" i="3"/>
  <c r="V689" i="3"/>
  <c r="BI689" i="3"/>
  <c r="V690" i="3"/>
  <c r="BI690" i="3"/>
  <c r="V691" i="3"/>
  <c r="BI691" i="3"/>
  <c r="V692" i="3"/>
  <c r="BI692" i="3"/>
  <c r="V693" i="3"/>
  <c r="BI693" i="3"/>
  <c r="V694" i="3"/>
  <c r="BI694" i="3"/>
  <c r="V695" i="3"/>
  <c r="BI695" i="3"/>
  <c r="V696" i="3"/>
  <c r="BI696" i="3"/>
  <c r="V697" i="3"/>
  <c r="BI697" i="3"/>
  <c r="V698" i="3"/>
  <c r="BI698" i="3"/>
  <c r="V699" i="3"/>
  <c r="BI699" i="3"/>
  <c r="V700" i="3"/>
  <c r="BI700" i="3"/>
  <c r="V701" i="3"/>
  <c r="BI701" i="3"/>
  <c r="V702" i="3"/>
  <c r="BI702" i="3"/>
  <c r="V703" i="3"/>
  <c r="BI703" i="3"/>
  <c r="V622" i="3"/>
  <c r="BI622" i="3"/>
  <c r="V623" i="3"/>
  <c r="BI623" i="3"/>
  <c r="V624" i="3"/>
  <c r="BI624" i="3"/>
  <c r="V625" i="3"/>
  <c r="BI625" i="3"/>
  <c r="V626" i="3"/>
  <c r="BI626" i="3"/>
  <c r="V627" i="3"/>
  <c r="BI627" i="3"/>
  <c r="V628" i="3"/>
  <c r="BI628" i="3"/>
  <c r="V629" i="3"/>
  <c r="BI629" i="3"/>
  <c r="V630" i="3"/>
  <c r="BI630" i="3"/>
  <c r="V631" i="3"/>
  <c r="BI631" i="3"/>
  <c r="V632" i="3"/>
  <c r="BI632" i="3"/>
  <c r="V606" i="3"/>
  <c r="BI606" i="3"/>
  <c r="V607" i="3"/>
  <c r="BI607" i="3"/>
  <c r="V608" i="3"/>
  <c r="BI608" i="3"/>
  <c r="V609" i="3"/>
  <c r="BI609" i="3"/>
  <c r="V610" i="3"/>
  <c r="BI610" i="3"/>
  <c r="V611" i="3"/>
  <c r="BI611" i="3"/>
  <c r="V612" i="3"/>
  <c r="BI612" i="3"/>
  <c r="V613" i="3"/>
  <c r="BI613" i="3"/>
  <c r="V614" i="3"/>
  <c r="BI614" i="3"/>
  <c r="V615" i="3"/>
  <c r="BI615" i="3"/>
  <c r="V616" i="3"/>
  <c r="BI616" i="3"/>
  <c r="V617" i="3"/>
  <c r="BI617" i="3"/>
  <c r="V618" i="3"/>
  <c r="BI618" i="3"/>
  <c r="V619" i="3"/>
  <c r="BI619" i="3"/>
  <c r="V620" i="3"/>
  <c r="BI620" i="3"/>
  <c r="V621" i="3"/>
  <c r="BI621" i="3"/>
  <c r="V633" i="3"/>
  <c r="BI633" i="3"/>
  <c r="V579" i="3"/>
  <c r="BI579" i="3"/>
  <c r="V580" i="3"/>
  <c r="BI580" i="3"/>
  <c r="V581" i="3"/>
  <c r="BI581" i="3"/>
  <c r="V583" i="3"/>
  <c r="BI583" i="3"/>
  <c r="V584" i="3"/>
  <c r="BI584" i="3"/>
  <c r="V586" i="3"/>
  <c r="BI586" i="3"/>
  <c r="V587" i="3"/>
  <c r="BI587" i="3"/>
  <c r="V588" i="3"/>
  <c r="BI588" i="3"/>
  <c r="V589" i="3"/>
  <c r="BI589" i="3"/>
  <c r="V590" i="3"/>
  <c r="BI590" i="3"/>
  <c r="V592" i="3"/>
  <c r="BI592" i="3"/>
  <c r="V593" i="3"/>
  <c r="BI593" i="3"/>
  <c r="V594" i="3"/>
  <c r="BI594" i="3"/>
  <c r="V595" i="3"/>
  <c r="BI595" i="3"/>
  <c r="V596" i="3"/>
  <c r="BI596" i="3"/>
  <c r="V600" i="3"/>
  <c r="BI600" i="3"/>
  <c r="V601" i="3"/>
  <c r="BI601" i="3"/>
  <c r="V602" i="3"/>
  <c r="BI602" i="3"/>
  <c r="V603" i="3"/>
  <c r="BI603" i="3"/>
  <c r="V604" i="3"/>
  <c r="BI604" i="3"/>
  <c r="V605" i="3"/>
  <c r="BI605" i="3"/>
  <c r="V560" i="3"/>
  <c r="BI560" i="3"/>
  <c r="V561" i="3"/>
  <c r="BI561" i="3"/>
  <c r="V562" i="3"/>
  <c r="BI562" i="3"/>
  <c r="V564" i="3"/>
  <c r="BI564" i="3"/>
  <c r="V565" i="3"/>
  <c r="BI565" i="3"/>
  <c r="V566" i="3"/>
  <c r="BI566" i="3"/>
  <c r="V567" i="3"/>
  <c r="BI567" i="3"/>
  <c r="V569" i="3"/>
  <c r="BI569" i="3"/>
  <c r="V570" i="3"/>
  <c r="BI570" i="3"/>
  <c r="V571" i="3"/>
  <c r="BI571" i="3"/>
  <c r="V572" i="3"/>
  <c r="BI572" i="3"/>
  <c r="V573" i="3"/>
  <c r="BI573" i="3"/>
  <c r="V574" i="3"/>
  <c r="BI574" i="3"/>
  <c r="V575" i="3"/>
  <c r="BI575" i="3"/>
  <c r="V576" i="3"/>
  <c r="BI576" i="3"/>
  <c r="V577" i="3"/>
  <c r="BI577" i="3"/>
  <c r="V578" i="3"/>
  <c r="BI578" i="3"/>
  <c r="V559" i="3"/>
  <c r="BI559" i="3"/>
  <c r="V557" i="3"/>
  <c r="BI557" i="3"/>
  <c r="V558" i="3"/>
  <c r="BI558" i="3"/>
  <c r="V556" i="3"/>
  <c r="BI556" i="3"/>
  <c r="V555" i="3"/>
  <c r="BI555" i="3"/>
  <c r="V6" i="3"/>
  <c r="BI6" i="3"/>
  <c r="V7" i="3"/>
  <c r="BI7" i="3"/>
  <c r="V8" i="3"/>
  <c r="BI8" i="3"/>
  <c r="V9" i="3"/>
  <c r="BI9" i="3"/>
  <c r="V10" i="3"/>
  <c r="BI10" i="3"/>
  <c r="V11" i="3"/>
  <c r="BI11" i="3"/>
  <c r="V12" i="3"/>
  <c r="BI12" i="3"/>
  <c r="V13" i="3"/>
  <c r="BI13" i="3"/>
  <c r="V14" i="3"/>
  <c r="BI14" i="3"/>
  <c r="V15" i="3"/>
  <c r="BI15" i="3"/>
  <c r="V16" i="3"/>
  <c r="BI16" i="3"/>
  <c r="V17" i="3"/>
  <c r="BI17" i="3"/>
  <c r="V18" i="3"/>
  <c r="BI18" i="3"/>
  <c r="V19" i="3"/>
  <c r="BI19" i="3"/>
  <c r="V20" i="3"/>
  <c r="BI20" i="3"/>
  <c r="V21" i="3"/>
  <c r="BI21" i="3"/>
  <c r="V22" i="3"/>
  <c r="BI22" i="3"/>
  <c r="V23" i="3"/>
  <c r="BI23" i="3"/>
  <c r="V24" i="3"/>
  <c r="BI24" i="3"/>
  <c r="V25" i="3"/>
  <c r="BI25" i="3"/>
  <c r="V26" i="3"/>
  <c r="BI26" i="3"/>
  <c r="V27" i="3"/>
  <c r="BI27" i="3"/>
  <c r="V28" i="3"/>
  <c r="BI28" i="3"/>
  <c r="V29" i="3"/>
  <c r="BI29" i="3"/>
  <c r="V30" i="3"/>
  <c r="BI30" i="3"/>
  <c r="V31" i="3"/>
  <c r="BI31" i="3"/>
  <c r="V32" i="3"/>
  <c r="BI32" i="3"/>
  <c r="V33" i="3"/>
  <c r="BI33" i="3"/>
  <c r="V34" i="3"/>
  <c r="BI34" i="3"/>
  <c r="V35" i="3"/>
  <c r="BI35" i="3"/>
  <c r="V36" i="3"/>
  <c r="BI36" i="3"/>
  <c r="V37" i="3"/>
  <c r="BI37" i="3"/>
  <c r="V38" i="3"/>
  <c r="BI38" i="3"/>
  <c r="V39" i="3"/>
  <c r="BI39" i="3"/>
  <c r="V40" i="3"/>
  <c r="BI40" i="3"/>
  <c r="V41" i="3"/>
  <c r="BI41" i="3"/>
  <c r="V42" i="3"/>
  <c r="BI42" i="3"/>
  <c r="V43" i="3"/>
  <c r="BI43" i="3"/>
  <c r="V44" i="3"/>
  <c r="BI44" i="3"/>
  <c r="V45" i="3"/>
  <c r="BI45" i="3"/>
  <c r="V46" i="3"/>
  <c r="BI46" i="3"/>
  <c r="V47" i="3"/>
  <c r="BI47" i="3"/>
  <c r="V48" i="3"/>
  <c r="BI48" i="3"/>
  <c r="V49" i="3"/>
  <c r="BI49" i="3"/>
  <c r="V50" i="3"/>
  <c r="BI50" i="3"/>
  <c r="V51" i="3"/>
  <c r="BI51" i="3"/>
  <c r="V52" i="3"/>
  <c r="BI52" i="3"/>
  <c r="V53" i="3"/>
  <c r="BI53" i="3"/>
  <c r="V54" i="3"/>
  <c r="BI54" i="3"/>
  <c r="V55" i="3"/>
  <c r="BI55" i="3"/>
  <c r="V56" i="3"/>
  <c r="BI56" i="3"/>
  <c r="V57" i="3"/>
  <c r="BI57" i="3"/>
  <c r="V58" i="3"/>
  <c r="BI58" i="3"/>
  <c r="V59" i="3"/>
  <c r="BI59" i="3"/>
  <c r="V60" i="3"/>
  <c r="BI60" i="3"/>
  <c r="V61" i="3"/>
  <c r="BI61" i="3"/>
  <c r="V62" i="3"/>
  <c r="BI62" i="3"/>
  <c r="V63" i="3"/>
  <c r="BI63" i="3"/>
  <c r="V64" i="3"/>
  <c r="BI64" i="3"/>
  <c r="V65" i="3"/>
  <c r="BI65" i="3"/>
  <c r="V66" i="3"/>
  <c r="BI66" i="3"/>
  <c r="V67" i="3"/>
  <c r="BI67" i="3"/>
  <c r="V68" i="3"/>
  <c r="BI68" i="3"/>
  <c r="V69" i="3"/>
  <c r="BI69" i="3"/>
  <c r="V70" i="3"/>
  <c r="BI70" i="3"/>
  <c r="V71" i="3"/>
  <c r="BI71" i="3"/>
  <c r="V72" i="3"/>
  <c r="BI72" i="3"/>
  <c r="V73" i="3"/>
  <c r="BI73" i="3"/>
  <c r="V74" i="3"/>
  <c r="BI74" i="3"/>
  <c r="V75" i="3"/>
  <c r="BI75" i="3"/>
  <c r="V76" i="3"/>
  <c r="BI76" i="3"/>
  <c r="V77" i="3"/>
  <c r="BI77" i="3"/>
  <c r="V78" i="3"/>
  <c r="BI78" i="3"/>
  <c r="V79" i="3"/>
  <c r="BI79" i="3"/>
  <c r="V80" i="3"/>
  <c r="BI80" i="3"/>
  <c r="V81" i="3"/>
  <c r="BI81" i="3"/>
  <c r="V82" i="3"/>
  <c r="BI82" i="3"/>
  <c r="V83" i="3"/>
  <c r="BI83" i="3"/>
  <c r="V84" i="3"/>
  <c r="BI84" i="3"/>
  <c r="V85" i="3"/>
  <c r="BI85" i="3"/>
  <c r="V86" i="3"/>
  <c r="BI86" i="3"/>
  <c r="V87" i="3"/>
  <c r="BI87" i="3"/>
  <c r="V88" i="3"/>
  <c r="BI88" i="3"/>
  <c r="V89" i="3"/>
  <c r="BI89" i="3"/>
  <c r="V90" i="3"/>
  <c r="BI90" i="3"/>
  <c r="V91" i="3"/>
  <c r="BI91" i="3"/>
  <c r="V92" i="3"/>
  <c r="BI92" i="3"/>
  <c r="V93" i="3"/>
  <c r="BI93" i="3"/>
  <c r="V94" i="3"/>
  <c r="BI94" i="3"/>
  <c r="V95" i="3"/>
  <c r="BI95" i="3"/>
  <c r="V96" i="3"/>
  <c r="BI96" i="3"/>
  <c r="V97" i="3"/>
  <c r="BI97" i="3"/>
  <c r="V98" i="3"/>
  <c r="BI98" i="3"/>
  <c r="V99" i="3"/>
  <c r="BI99" i="3"/>
  <c r="V100" i="3"/>
  <c r="BI100" i="3"/>
  <c r="V101" i="3"/>
  <c r="BI101" i="3"/>
  <c r="V102" i="3"/>
  <c r="BI102" i="3"/>
  <c r="V103" i="3"/>
  <c r="BI103" i="3"/>
  <c r="V104" i="3"/>
  <c r="BI104" i="3"/>
  <c r="V105" i="3"/>
  <c r="BI105" i="3"/>
  <c r="V106" i="3"/>
  <c r="BI106" i="3"/>
  <c r="V107" i="3"/>
  <c r="BI107" i="3"/>
  <c r="V108" i="3"/>
  <c r="BI108" i="3"/>
  <c r="V109" i="3"/>
  <c r="BI109" i="3"/>
  <c r="V110" i="3"/>
  <c r="BI110" i="3"/>
  <c r="V111" i="3"/>
  <c r="BI111" i="3"/>
  <c r="V112" i="3"/>
  <c r="BI112" i="3"/>
  <c r="V113" i="3"/>
  <c r="BI113" i="3"/>
  <c r="V114" i="3"/>
  <c r="BI114" i="3"/>
  <c r="V115" i="3"/>
  <c r="BI115" i="3"/>
  <c r="V116" i="3"/>
  <c r="BI116" i="3"/>
  <c r="V117" i="3"/>
  <c r="BI117" i="3"/>
  <c r="V118" i="3"/>
  <c r="BI118" i="3"/>
  <c r="V119" i="3"/>
  <c r="BI119" i="3"/>
  <c r="V120" i="3"/>
  <c r="BI120" i="3"/>
  <c r="V121" i="3"/>
  <c r="BI121" i="3"/>
  <c r="V122" i="3"/>
  <c r="BI122" i="3"/>
  <c r="V123" i="3"/>
  <c r="BI123" i="3"/>
  <c r="V124" i="3"/>
  <c r="BI124" i="3"/>
  <c r="V125" i="3"/>
  <c r="BI125" i="3"/>
  <c r="V126" i="3"/>
  <c r="BI126" i="3"/>
  <c r="V127" i="3"/>
  <c r="BI127" i="3"/>
  <c r="V128" i="3"/>
  <c r="BI128" i="3"/>
  <c r="V129" i="3"/>
  <c r="BI129" i="3"/>
  <c r="V130" i="3"/>
  <c r="BI130" i="3"/>
  <c r="V131" i="3"/>
  <c r="BI131" i="3"/>
  <c r="V132" i="3"/>
  <c r="BI132" i="3"/>
  <c r="V133" i="3"/>
  <c r="BI133" i="3"/>
  <c r="V134" i="3"/>
  <c r="BI134" i="3"/>
  <c r="V135" i="3"/>
  <c r="BI135" i="3"/>
  <c r="V136" i="3"/>
  <c r="BI136" i="3"/>
  <c r="V137" i="3"/>
  <c r="BI137" i="3"/>
  <c r="V138" i="3"/>
  <c r="BI138" i="3"/>
  <c r="V139" i="3"/>
  <c r="BI139" i="3"/>
  <c r="V140" i="3"/>
  <c r="BI140" i="3"/>
  <c r="V141" i="3"/>
  <c r="BI141" i="3"/>
  <c r="V142" i="3"/>
  <c r="BI142" i="3"/>
  <c r="V143" i="3"/>
  <c r="BI143" i="3"/>
  <c r="V144" i="3"/>
  <c r="BI144" i="3"/>
  <c r="V145" i="3"/>
  <c r="BI145" i="3"/>
  <c r="V146" i="3"/>
  <c r="BI146" i="3"/>
  <c r="V147" i="3"/>
  <c r="BI147" i="3"/>
  <c r="V148" i="3"/>
  <c r="BI148" i="3"/>
  <c r="V149" i="3"/>
  <c r="BI149" i="3"/>
  <c r="V150" i="3"/>
  <c r="BI150" i="3"/>
  <c r="V151" i="3"/>
  <c r="BI151" i="3"/>
  <c r="V152" i="3"/>
  <c r="BI152" i="3"/>
  <c r="V153" i="3"/>
  <c r="BI153" i="3"/>
  <c r="V154" i="3"/>
  <c r="BI154" i="3"/>
  <c r="V155" i="3"/>
  <c r="BI155" i="3"/>
  <c r="V156" i="3"/>
  <c r="BI156" i="3"/>
  <c r="V157" i="3"/>
  <c r="BI157" i="3"/>
  <c r="V158" i="3"/>
  <c r="BI158" i="3"/>
  <c r="V159" i="3"/>
  <c r="BI159" i="3"/>
  <c r="V160" i="3"/>
  <c r="BI160" i="3"/>
  <c r="V161" i="3"/>
  <c r="BI161" i="3"/>
  <c r="V162" i="3"/>
  <c r="BI162" i="3"/>
  <c r="V163" i="3"/>
  <c r="BI163" i="3"/>
  <c r="V164" i="3"/>
  <c r="BI164" i="3"/>
  <c r="V165" i="3"/>
  <c r="BI165" i="3"/>
  <c r="V166" i="3"/>
  <c r="BI166" i="3"/>
  <c r="V167" i="3"/>
  <c r="BI167" i="3"/>
  <c r="V168" i="3"/>
  <c r="BI168" i="3"/>
  <c r="V169" i="3"/>
  <c r="BI169" i="3"/>
  <c r="V170" i="3"/>
  <c r="BI170" i="3"/>
  <c r="V171" i="3"/>
  <c r="BI171" i="3"/>
  <c r="V172" i="3"/>
  <c r="BI172" i="3"/>
  <c r="V173" i="3"/>
  <c r="BI173" i="3"/>
  <c r="V174" i="3"/>
  <c r="BI174" i="3"/>
  <c r="V175" i="3"/>
  <c r="BI175" i="3"/>
  <c r="V176" i="3"/>
  <c r="BI176" i="3"/>
  <c r="V177" i="3"/>
  <c r="BI177" i="3"/>
  <c r="V178" i="3"/>
  <c r="BI178" i="3"/>
  <c r="V179" i="3"/>
  <c r="BI179" i="3"/>
  <c r="V185" i="3"/>
  <c r="BI185" i="3"/>
  <c r="V186" i="3"/>
  <c r="BI186" i="3"/>
  <c r="V187" i="3"/>
  <c r="BI187" i="3"/>
  <c r="V188" i="3"/>
  <c r="BI188" i="3"/>
  <c r="V189" i="3"/>
  <c r="BI189" i="3"/>
  <c r="V190" i="3"/>
  <c r="BI190" i="3"/>
  <c r="V191" i="3"/>
  <c r="BI191" i="3"/>
  <c r="V192" i="3"/>
  <c r="BI192" i="3"/>
  <c r="V193" i="3"/>
  <c r="BI193" i="3"/>
  <c r="V194" i="3"/>
  <c r="BI194" i="3"/>
  <c r="V195" i="3"/>
  <c r="BI195" i="3"/>
  <c r="V196" i="3"/>
  <c r="BI196" i="3"/>
  <c r="V197" i="3"/>
  <c r="BI197" i="3"/>
  <c r="V198" i="3"/>
  <c r="BI198" i="3"/>
  <c r="V199" i="3"/>
  <c r="BI199" i="3"/>
  <c r="V200" i="3"/>
  <c r="BI200" i="3"/>
  <c r="V201" i="3"/>
  <c r="BI201" i="3"/>
  <c r="V202" i="3"/>
  <c r="BI202" i="3"/>
  <c r="V203" i="3"/>
  <c r="BI203" i="3"/>
  <c r="V204" i="3"/>
  <c r="BI204" i="3"/>
  <c r="V205" i="3"/>
  <c r="BI205" i="3"/>
  <c r="V206" i="3"/>
  <c r="BI206" i="3"/>
  <c r="V207" i="3"/>
  <c r="BI207" i="3"/>
  <c r="V208" i="3"/>
  <c r="BI208" i="3"/>
  <c r="V209" i="3"/>
  <c r="BI209" i="3"/>
  <c r="V210" i="3"/>
  <c r="BI210" i="3"/>
  <c r="V211" i="3"/>
  <c r="BI211" i="3"/>
  <c r="V212" i="3"/>
  <c r="BI212" i="3"/>
  <c r="V213" i="3"/>
  <c r="BI213" i="3"/>
  <c r="V214" i="3"/>
  <c r="BI214" i="3"/>
  <c r="V215" i="3"/>
  <c r="BI215" i="3"/>
  <c r="V216" i="3"/>
  <c r="BI216" i="3"/>
  <c r="V217" i="3"/>
  <c r="BI217" i="3"/>
  <c r="V218" i="3"/>
  <c r="BI218" i="3"/>
  <c r="V219" i="3"/>
  <c r="BI219" i="3"/>
  <c r="V220" i="3"/>
  <c r="BI220" i="3"/>
  <c r="V221" i="3"/>
  <c r="BI221" i="3"/>
  <c r="V222" i="3"/>
  <c r="BI222" i="3"/>
  <c r="V223" i="3"/>
  <c r="BI223" i="3"/>
  <c r="V224" i="3"/>
  <c r="BI224" i="3"/>
  <c r="V225" i="3"/>
  <c r="BI225" i="3"/>
  <c r="V226" i="3"/>
  <c r="BI226" i="3"/>
  <c r="V227" i="3"/>
  <c r="BI227" i="3"/>
  <c r="V228" i="3"/>
  <c r="BI228" i="3"/>
  <c r="V229" i="3"/>
  <c r="BI229" i="3"/>
  <c r="V230" i="3"/>
  <c r="BI230" i="3"/>
  <c r="V231" i="3"/>
  <c r="BI231" i="3"/>
  <c r="V232" i="3"/>
  <c r="BI232" i="3"/>
  <c r="V233" i="3"/>
  <c r="BI233" i="3"/>
  <c r="V234" i="3"/>
  <c r="BI234" i="3"/>
  <c r="V235" i="3"/>
  <c r="BI235" i="3"/>
  <c r="V236" i="3"/>
  <c r="BI236" i="3"/>
  <c r="V237" i="3"/>
  <c r="BI237" i="3"/>
  <c r="V238" i="3"/>
  <c r="BI238" i="3"/>
  <c r="V239" i="3"/>
  <c r="BI239" i="3"/>
  <c r="V240" i="3"/>
  <c r="BI240" i="3"/>
  <c r="V241" i="3"/>
  <c r="BI241" i="3"/>
  <c r="V242" i="3"/>
  <c r="BI242" i="3"/>
  <c r="V243" i="3"/>
  <c r="BI243" i="3"/>
  <c r="V244" i="3"/>
  <c r="BI244" i="3"/>
  <c r="V245" i="3"/>
  <c r="BI245" i="3"/>
  <c r="V246" i="3"/>
  <c r="V5" i="3"/>
  <c r="V554"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1" i="3"/>
  <c r="V402" i="3"/>
  <c r="V403" i="3"/>
  <c r="V404" i="3"/>
  <c r="V407" i="3"/>
  <c r="V411" i="3"/>
  <c r="V413" i="3"/>
  <c r="V414" i="3"/>
  <c r="V415" i="3"/>
  <c r="V416" i="3"/>
  <c r="V420" i="3"/>
  <c r="V422" i="3"/>
  <c r="V423" i="3"/>
  <c r="V424" i="3"/>
  <c r="V425" i="3"/>
  <c r="V426" i="3"/>
  <c r="V431" i="3"/>
  <c r="V432" i="3"/>
  <c r="V438" i="3"/>
  <c r="V439" i="3"/>
  <c r="V440" i="3"/>
  <c r="V441" i="3"/>
  <c r="V442" i="3"/>
  <c r="V443" i="3"/>
  <c r="V444" i="3"/>
  <c r="V445" i="3"/>
  <c r="V446" i="3"/>
  <c r="V447" i="3"/>
  <c r="V448" i="3"/>
  <c r="V449" i="3"/>
  <c r="V453" i="3"/>
  <c r="V454" i="3"/>
  <c r="V455" i="3"/>
  <c r="V456" i="3"/>
  <c r="V457" i="3"/>
  <c r="V460" i="3"/>
  <c r="V467" i="3"/>
  <c r="V468" i="3"/>
  <c r="V469" i="3"/>
  <c r="V472" i="3"/>
  <c r="V473" i="3"/>
  <c r="V474" i="3"/>
  <c r="V476" i="3"/>
  <c r="V477" i="3"/>
  <c r="V479" i="3"/>
  <c r="V481" i="3"/>
  <c r="V482" i="3"/>
  <c r="V484" i="3"/>
  <c r="V486" i="3"/>
  <c r="V409" i="3"/>
  <c r="V433" i="3"/>
  <c r="V435" i="3"/>
  <c r="V436" i="3"/>
  <c r="V437" i="3"/>
  <c r="V461" i="3"/>
  <c r="V462" i="3"/>
  <c r="V465" i="3"/>
  <c r="V485" i="3"/>
  <c r="V489" i="3"/>
  <c r="V492" i="3"/>
  <c r="V504" i="3"/>
  <c r="V511" i="3"/>
  <c r="V408" i="3"/>
  <c r="V410" i="3"/>
  <c r="V412" i="3"/>
  <c r="V418" i="3"/>
  <c r="V419" i="3"/>
  <c r="V430" i="3"/>
  <c r="V450" i="3"/>
  <c r="V451" i="3"/>
  <c r="V452" i="3"/>
  <c r="V458" i="3"/>
  <c r="V459" i="3"/>
  <c r="V463" i="3"/>
  <c r="V464" i="3"/>
  <c r="V466" i="3"/>
  <c r="V470" i="3"/>
  <c r="V471" i="3"/>
  <c r="V475" i="3"/>
  <c r="V478" i="3"/>
  <c r="V480" i="3"/>
  <c r="V483" i="3"/>
  <c r="V488" i="3"/>
  <c r="V490" i="3"/>
  <c r="V491" i="3"/>
  <c r="V493" i="3"/>
  <c r="V494" i="3"/>
  <c r="V495" i="3"/>
  <c r="V496" i="3"/>
  <c r="V497" i="3"/>
  <c r="V498" i="3"/>
  <c r="V499" i="3"/>
  <c r="V500" i="3"/>
  <c r="V501" i="3"/>
  <c r="V502" i="3"/>
  <c r="V503" i="3"/>
  <c r="V505" i="3"/>
  <c r="V506" i="3"/>
  <c r="V507" i="3"/>
  <c r="V508" i="3"/>
  <c r="V509" i="3"/>
  <c r="V510" i="3"/>
  <c r="V512" i="3"/>
  <c r="V513" i="3"/>
  <c r="V514" i="3"/>
  <c r="V515" i="3"/>
  <c r="V516" i="3"/>
  <c r="V517" i="3"/>
  <c r="V518" i="3"/>
  <c r="V519" i="3"/>
  <c r="BI246" i="3"/>
  <c r="BI247" i="3"/>
  <c r="BI248" i="3"/>
  <c r="BI249" i="3"/>
  <c r="BI250" i="3"/>
  <c r="BI251" i="3"/>
  <c r="BI252" i="3"/>
  <c r="BI253" i="3"/>
  <c r="BI254" i="3"/>
  <c r="BI255" i="3"/>
  <c r="BI256" i="3"/>
  <c r="BI257" i="3"/>
  <c r="BI258" i="3"/>
  <c r="BI259" i="3"/>
  <c r="BI260" i="3"/>
  <c r="BI261" i="3"/>
  <c r="BI262" i="3"/>
  <c r="BI263" i="3"/>
  <c r="BI264" i="3"/>
  <c r="BI265" i="3"/>
  <c r="BI266" i="3"/>
  <c r="BI267" i="3"/>
  <c r="BI268" i="3"/>
  <c r="BI269" i="3"/>
  <c r="BI270" i="3"/>
  <c r="BI271" i="3"/>
  <c r="BI272" i="3"/>
  <c r="BI273" i="3"/>
  <c r="BI274" i="3"/>
  <c r="BI275" i="3"/>
  <c r="BI276" i="3"/>
  <c r="BI277" i="3"/>
  <c r="BI278" i="3"/>
  <c r="BI279" i="3"/>
  <c r="BI280" i="3"/>
  <c r="BI281" i="3"/>
  <c r="BI282" i="3"/>
  <c r="BI283" i="3"/>
  <c r="BI284" i="3"/>
  <c r="BI285" i="3"/>
  <c r="BI286" i="3"/>
  <c r="BI287" i="3"/>
  <c r="BI288" i="3"/>
  <c r="BI289" i="3"/>
  <c r="BI290" i="3"/>
  <c r="BI291" i="3"/>
  <c r="BI292" i="3"/>
  <c r="BI293" i="3"/>
  <c r="BI294" i="3"/>
  <c r="BI295" i="3"/>
  <c r="BI296" i="3"/>
  <c r="BI297" i="3"/>
  <c r="BI298" i="3"/>
  <c r="BI299" i="3"/>
  <c r="BI300" i="3"/>
  <c r="BI301" i="3"/>
  <c r="BI302" i="3"/>
  <c r="BI303" i="3"/>
  <c r="BI304" i="3"/>
  <c r="BI305" i="3"/>
  <c r="BI306" i="3"/>
  <c r="BI307" i="3"/>
  <c r="BI308" i="3"/>
  <c r="BI309" i="3"/>
  <c r="BI310" i="3"/>
  <c r="BI311" i="3"/>
  <c r="BI312" i="3"/>
  <c r="BI313" i="3"/>
  <c r="BI314" i="3"/>
  <c r="BI315" i="3"/>
  <c r="BI316" i="3"/>
  <c r="BI317" i="3"/>
  <c r="BI318" i="3"/>
  <c r="BI319" i="3"/>
  <c r="BI320" i="3"/>
  <c r="BI321" i="3"/>
  <c r="BI322" i="3"/>
  <c r="BI323" i="3"/>
  <c r="BI324" i="3"/>
  <c r="BI325" i="3"/>
  <c r="BI326" i="3"/>
  <c r="BI327" i="3"/>
  <c r="BI328" i="3"/>
  <c r="BI329" i="3"/>
  <c r="BI330" i="3"/>
  <c r="BI331" i="3"/>
  <c r="BI332" i="3"/>
  <c r="BI333" i="3"/>
  <c r="BI334" i="3"/>
  <c r="BI335" i="3"/>
  <c r="BI336" i="3"/>
  <c r="BI337" i="3"/>
  <c r="BI338" i="3"/>
  <c r="BI339" i="3"/>
  <c r="BI340" i="3"/>
  <c r="BI341" i="3"/>
  <c r="BI342" i="3"/>
  <c r="BI343" i="3"/>
  <c r="BI344" i="3"/>
  <c r="BI345" i="3"/>
  <c r="BI346" i="3"/>
  <c r="BI347" i="3"/>
  <c r="BI348" i="3"/>
  <c r="BI349" i="3"/>
  <c r="BI350" i="3"/>
  <c r="BI351" i="3"/>
  <c r="BI352" i="3"/>
  <c r="BI353" i="3"/>
  <c r="BI354" i="3"/>
  <c r="BI355" i="3"/>
  <c r="BI356" i="3"/>
  <c r="BI357" i="3"/>
  <c r="BI358" i="3"/>
  <c r="BI359" i="3"/>
  <c r="BI360" i="3"/>
  <c r="BI361" i="3"/>
  <c r="BI362" i="3"/>
  <c r="BI363" i="3"/>
  <c r="BI364" i="3"/>
  <c r="BI365" i="3"/>
  <c r="BI366" i="3"/>
  <c r="BI367" i="3"/>
  <c r="BI368" i="3"/>
  <c r="BI369" i="3"/>
  <c r="BI370" i="3"/>
  <c r="BI371" i="3"/>
  <c r="BI372" i="3"/>
  <c r="BI373" i="3"/>
  <c r="BI374" i="3"/>
  <c r="BI375" i="3"/>
  <c r="BI376" i="3"/>
  <c r="BI377" i="3"/>
  <c r="BI378" i="3"/>
  <c r="BI379" i="3"/>
  <c r="BI380" i="3"/>
  <c r="BI381" i="3"/>
  <c r="BI382" i="3"/>
  <c r="BI383" i="3"/>
  <c r="BI384" i="3"/>
  <c r="BI385" i="3"/>
  <c r="BI386" i="3"/>
  <c r="BI387" i="3"/>
  <c r="BI388" i="3"/>
  <c r="BI389" i="3"/>
  <c r="BI390" i="3"/>
  <c r="BI391" i="3"/>
  <c r="BI392" i="3"/>
  <c r="BI393" i="3"/>
  <c r="BI394" i="3"/>
  <c r="BI395" i="3"/>
  <c r="BI396" i="3"/>
  <c r="BI397" i="3"/>
  <c r="BI398" i="3"/>
  <c r="BI399" i="3"/>
  <c r="BI401" i="3"/>
  <c r="BI402" i="3"/>
  <c r="BI403" i="3"/>
  <c r="BI404" i="3"/>
  <c r="BI5" i="3"/>
  <c r="BI554" i="3"/>
  <c r="BI407" i="3"/>
  <c r="BI411" i="3"/>
  <c r="BI413" i="3"/>
  <c r="BI414" i="3"/>
  <c r="BI415" i="3"/>
  <c r="BI416" i="3"/>
  <c r="BI420" i="3"/>
  <c r="BI422" i="3"/>
  <c r="BI423" i="3"/>
  <c r="BI424" i="3"/>
  <c r="BI425" i="3"/>
  <c r="BI426" i="3"/>
  <c r="BI431" i="3"/>
  <c r="BI432" i="3"/>
  <c r="BI438" i="3"/>
  <c r="BI439" i="3"/>
  <c r="BI440" i="3"/>
  <c r="BI441" i="3"/>
  <c r="BI442" i="3"/>
  <c r="BI443" i="3"/>
  <c r="BI444" i="3"/>
  <c r="BI445" i="3"/>
  <c r="BI446" i="3"/>
  <c r="BI447" i="3"/>
  <c r="BI448" i="3"/>
  <c r="BI449" i="3"/>
  <c r="BI453" i="3"/>
  <c r="BI454" i="3"/>
  <c r="BI455" i="3"/>
  <c r="BI456" i="3"/>
  <c r="BI457" i="3"/>
  <c r="BI460" i="3"/>
  <c r="BI467" i="3"/>
  <c r="BI468" i="3"/>
  <c r="BI469" i="3"/>
  <c r="BI472" i="3"/>
  <c r="BI473" i="3"/>
  <c r="BI474" i="3"/>
  <c r="BI476" i="3"/>
  <c r="BI477" i="3"/>
  <c r="BI479" i="3"/>
  <c r="BI481" i="3"/>
  <c r="BI482" i="3"/>
  <c r="BI484" i="3"/>
  <c r="BI486" i="3"/>
  <c r="BI521" i="3"/>
  <c r="BI523" i="3"/>
  <c r="BI524" i="3"/>
  <c r="BI525" i="3"/>
  <c r="BI526" i="3"/>
  <c r="BI527" i="3"/>
  <c r="BI529" i="3"/>
  <c r="BI530" i="3"/>
  <c r="BI528" i="3"/>
  <c r="BI531" i="3"/>
  <c r="BI532" i="3"/>
  <c r="BI533" i="3"/>
  <c r="BI534" i="3"/>
  <c r="BI537" i="3"/>
  <c r="BI538" i="3"/>
  <c r="BI539" i="3"/>
  <c r="BI542" i="3"/>
  <c r="BI540" i="3"/>
  <c r="BI541" i="3"/>
  <c r="BI544" i="3"/>
  <c r="BI545" i="3"/>
  <c r="BI550" i="3"/>
  <c r="BI551" i="3"/>
  <c r="BI552" i="3"/>
  <c r="BI553" i="3"/>
  <c r="BI409" i="3"/>
  <c r="BI433" i="3"/>
  <c r="BI435" i="3"/>
  <c r="BI436" i="3"/>
  <c r="BI437" i="3"/>
  <c r="BI461" i="3"/>
  <c r="BI462" i="3"/>
  <c r="BI465" i="3"/>
  <c r="BI485" i="3"/>
  <c r="BI489" i="3"/>
  <c r="BI492" i="3"/>
  <c r="BI504" i="3"/>
  <c r="BI511" i="3"/>
  <c r="BI520" i="3"/>
  <c r="BI543" i="3"/>
  <c r="BI547" i="3"/>
  <c r="BI408" i="3"/>
  <c r="BI410" i="3"/>
  <c r="BI412" i="3"/>
  <c r="BI418" i="3"/>
  <c r="BI419" i="3"/>
  <c r="BI430" i="3"/>
  <c r="BI450" i="3"/>
  <c r="BI451" i="3"/>
  <c r="BI452" i="3"/>
  <c r="BI458" i="3"/>
  <c r="BI459" i="3"/>
  <c r="BI463" i="3"/>
  <c r="BI464" i="3"/>
  <c r="BI466" i="3"/>
  <c r="BI470" i="3"/>
  <c r="BI471" i="3"/>
  <c r="BI475" i="3"/>
  <c r="BI478" i="3"/>
  <c r="BI480" i="3"/>
  <c r="BI483" i="3"/>
  <c r="BI488" i="3"/>
  <c r="BI490" i="3"/>
  <c r="BI491" i="3"/>
  <c r="BI493" i="3"/>
  <c r="BI494" i="3"/>
  <c r="BI495" i="3"/>
  <c r="BI496" i="3"/>
  <c r="BI497" i="3"/>
  <c r="BI498" i="3"/>
  <c r="BI499" i="3"/>
  <c r="BI500" i="3"/>
  <c r="BI501" i="3"/>
  <c r="BI502" i="3"/>
  <c r="BI503" i="3"/>
  <c r="BI505" i="3"/>
  <c r="BI506" i="3"/>
  <c r="BI507" i="3"/>
  <c r="BI508" i="3"/>
  <c r="BI509" i="3"/>
  <c r="BI510" i="3"/>
  <c r="BI512" i="3"/>
  <c r="BI513" i="3"/>
  <c r="BI514" i="3"/>
  <c r="BI515" i="3"/>
  <c r="BI516" i="3"/>
  <c r="BI517" i="3"/>
  <c r="BI518" i="3"/>
  <c r="BI519" i="3"/>
  <c r="BI522" i="3"/>
  <c r="BI535" i="3"/>
  <c r="BI536" i="3"/>
  <c r="BI546" i="3"/>
  <c r="BI548" i="3"/>
  <c r="BI54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U122" i="7"/>
  <c r="U123" i="7"/>
  <c r="U119" i="7"/>
  <c r="U124" i="7"/>
  <c r="U125" i="7"/>
  <c r="U120" i="7"/>
  <c r="U126" i="7"/>
  <c r="U127" i="7"/>
  <c r="U128" i="7"/>
  <c r="U129" i="7"/>
  <c r="U130" i="7"/>
  <c r="U131" i="7"/>
  <c r="U132" i="7"/>
  <c r="U121" i="7"/>
  <c r="U133" i="7"/>
  <c r="U134" i="7"/>
  <c r="U135" i="7"/>
  <c r="U136" i="7"/>
  <c r="U137" i="7"/>
  <c r="U138" i="7"/>
  <c r="U139" i="7"/>
  <c r="U140" i="7"/>
  <c r="U141" i="7"/>
  <c r="U142" i="7"/>
  <c r="U143" i="7"/>
  <c r="U144" i="7"/>
  <c r="U145" i="7"/>
  <c r="U146" i="7"/>
  <c r="U147" i="7"/>
  <c r="U148" i="7"/>
  <c r="U149" i="7"/>
  <c r="U150" i="7"/>
  <c r="U151" i="7"/>
  <c r="U152" i="7"/>
  <c r="U153" i="7"/>
  <c r="U154" i="7"/>
  <c r="U298" i="7"/>
  <c r="U299" i="7"/>
  <c r="U300" i="7"/>
  <c r="U294" i="7"/>
  <c r="U301" i="7"/>
  <c r="U302" i="7"/>
  <c r="U303" i="7"/>
  <c r="U304" i="7"/>
  <c r="U295" i="7"/>
  <c r="U305" i="7"/>
  <c r="U306" i="7"/>
  <c r="U307" i="7"/>
  <c r="U296" i="7"/>
  <c r="U308" i="7"/>
  <c r="U309" i="7"/>
  <c r="U310" i="7"/>
  <c r="U311" i="7"/>
  <c r="U312" i="7"/>
  <c r="U313" i="7"/>
  <c r="U314" i="7"/>
  <c r="U297" i="7"/>
  <c r="U183" i="7"/>
  <c r="U184" i="7"/>
  <c r="U185" i="7"/>
  <c r="U112" i="7"/>
  <c r="U113" i="7"/>
  <c r="U114" i="7"/>
  <c r="U115" i="7"/>
  <c r="U116" i="7"/>
  <c r="U117" i="7"/>
  <c r="U118" i="7"/>
  <c r="U377" i="7"/>
  <c r="U371" i="7"/>
  <c r="U372" i="7"/>
  <c r="U378" i="7"/>
  <c r="U379" i="7"/>
  <c r="U373" i="7"/>
  <c r="U380" i="7"/>
  <c r="U374" i="7"/>
  <c r="U375" i="7"/>
  <c r="U376" i="7"/>
  <c r="U381" i="7"/>
  <c r="U382" i="7"/>
  <c r="U383" i="7"/>
  <c r="U111" i="7"/>
  <c r="U103" i="7"/>
  <c r="U104" i="7"/>
  <c r="U105" i="7"/>
  <c r="U106" i="7"/>
  <c r="U107" i="7"/>
  <c r="U108" i="7"/>
  <c r="U109" i="7"/>
  <c r="U110" i="7"/>
  <c r="U278" i="7"/>
  <c r="U274" i="7"/>
  <c r="U279" i="7"/>
  <c r="U280" i="7"/>
  <c r="U275" i="7"/>
  <c r="U276" i="7"/>
  <c r="U281" i="7"/>
  <c r="U282" i="7"/>
  <c r="U283" i="7"/>
  <c r="U284" i="7"/>
  <c r="U285" i="7"/>
  <c r="U277" i="7"/>
  <c r="U286" i="7"/>
  <c r="U287" i="7"/>
  <c r="U288" i="7"/>
  <c r="U289" i="7"/>
  <c r="U290" i="7"/>
  <c r="U291" i="7"/>
  <c r="U292" i="7"/>
  <c r="U293" i="7"/>
  <c r="U250" i="7"/>
  <c r="U253" i="7"/>
  <c r="U254" i="7"/>
  <c r="U255" i="7"/>
  <c r="U256" i="7"/>
  <c r="U257" i="7"/>
  <c r="U258" i="7"/>
  <c r="U259" i="7"/>
  <c r="U260" i="7"/>
  <c r="U261" i="7"/>
  <c r="U262" i="7"/>
  <c r="U263" i="7"/>
  <c r="U264" i="7"/>
  <c r="U251" i="7"/>
  <c r="U265" i="7"/>
  <c r="U266" i="7"/>
  <c r="U267" i="7"/>
  <c r="U268" i="7"/>
  <c r="U269" i="7"/>
  <c r="U270" i="7"/>
  <c r="U271" i="7"/>
  <c r="U252" i="7"/>
  <c r="U272" i="7"/>
  <c r="U273" i="7"/>
  <c r="U72" i="7"/>
  <c r="U73" i="7"/>
  <c r="U74" i="7"/>
  <c r="U75" i="7"/>
  <c r="U76" i="7"/>
  <c r="U77" i="7"/>
  <c r="U78" i="7"/>
  <c r="U79" i="7"/>
  <c r="U70" i="7"/>
  <c r="U80" i="7"/>
  <c r="U81" i="7"/>
  <c r="U82" i="7"/>
  <c r="U71" i="7"/>
  <c r="U83" i="7"/>
  <c r="U318" i="7"/>
  <c r="U319" i="7"/>
  <c r="U320" i="7"/>
  <c r="U315" i="7"/>
  <c r="U321" i="7"/>
  <c r="U322" i="7"/>
  <c r="U323" i="7"/>
  <c r="U324" i="7"/>
  <c r="U325" i="7"/>
  <c r="U326" i="7"/>
  <c r="U327" i="7"/>
  <c r="U328" i="7"/>
  <c r="U329" i="7"/>
  <c r="U330" i="7"/>
  <c r="U331" i="7"/>
  <c r="U332" i="7"/>
  <c r="U316" i="7"/>
  <c r="U333" i="7"/>
  <c r="U334" i="7"/>
  <c r="U335" i="7"/>
  <c r="U336" i="7"/>
  <c r="U337" i="7"/>
  <c r="U338" i="7"/>
  <c r="U317" i="7"/>
  <c r="U339"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84" i="7"/>
  <c r="U85" i="7"/>
  <c r="U86" i="7"/>
  <c r="U87" i="7"/>
  <c r="U88" i="7"/>
  <c r="U89" i="7"/>
  <c r="U90" i="7"/>
  <c r="U91" i="7"/>
  <c r="U92" i="7"/>
  <c r="U93" i="7"/>
  <c r="U94" i="7"/>
  <c r="U95" i="7"/>
  <c r="U96" i="7"/>
  <c r="U97" i="7"/>
  <c r="U98" i="7"/>
  <c r="U99" i="7"/>
  <c r="U100" i="7"/>
  <c r="U101" i="7"/>
  <c r="U102" i="7"/>
  <c r="U202" i="7"/>
  <c r="U203" i="7"/>
  <c r="U204"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186" i="7"/>
  <c r="U187" i="7"/>
  <c r="U188" i="7"/>
  <c r="U189" i="7"/>
  <c r="U190" i="7"/>
  <c r="U191" i="7"/>
  <c r="U192" i="7"/>
  <c r="U195" i="7"/>
  <c r="U196" i="7"/>
  <c r="U197" i="7"/>
  <c r="U198" i="7"/>
  <c r="U199" i="7"/>
  <c r="U200" i="7"/>
  <c r="U201"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T851" i="7"/>
  <c r="S851" i="7"/>
  <c r="R851" i="7"/>
  <c r="U853" i="7"/>
  <c r="U854" i="7"/>
  <c r="V1004" i="3"/>
  <c r="U851" i="7"/>
  <c r="V1001" i="3"/>
  <c r="V100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Allyson</author>
  </authors>
  <commentList>
    <comment ref="L4" authorId="0" shapeId="0" xr:uid="{00000000-0006-0000-0100-000001000000}">
      <text>
        <r>
          <rPr>
            <b/>
            <sz val="9"/>
            <color rgb="FF000000"/>
            <rFont val="Tahoma"/>
            <family val="2"/>
          </rPr>
          <t>Allyson:</t>
        </r>
        <r>
          <rPr>
            <sz val="9"/>
            <color rgb="FF000000"/>
            <rFont val="Tahoma"/>
            <family val="2"/>
          </rPr>
          <t xml:space="preserve">
</t>
        </r>
        <r>
          <rPr>
            <sz val="9"/>
            <color rgb="FF000000"/>
            <rFont val="Tahoma"/>
            <family val="2"/>
          </rPr>
          <t xml:space="preserve">Verifier son statut quand vous faites le recrutement. Dans cette colonne il faut choisir un des options suivantes:
</t>
        </r>
        <r>
          <rPr>
            <sz val="9"/>
            <color rgb="FF000000"/>
            <rFont val="Tahoma"/>
            <family val="2"/>
          </rPr>
          <t xml:space="preserve">-Inscrite en CM2
</t>
        </r>
        <r>
          <rPr>
            <sz val="9"/>
            <color rgb="FF000000"/>
            <rFont val="Tahoma"/>
            <family val="2"/>
          </rPr>
          <t xml:space="preserve">-Inscrite en 6e (1ere fois)
</t>
        </r>
        <r>
          <rPr>
            <sz val="9"/>
            <color rgb="FF000000"/>
            <rFont val="Tahoma"/>
            <family val="2"/>
          </rPr>
          <t xml:space="preserve">- Redouble 6e
</t>
        </r>
        <r>
          <rPr>
            <sz val="9"/>
            <color rgb="FF000000"/>
            <rFont val="Tahoma"/>
            <family val="2"/>
          </rPr>
          <t xml:space="preserve">-Transferer
</t>
        </r>
        <r>
          <rPr>
            <sz val="9"/>
            <color rgb="FF000000"/>
            <rFont val="Tahoma"/>
            <family val="2"/>
          </rPr>
          <t xml:space="preserve">-Abandonner
</t>
        </r>
        <r>
          <rPr>
            <sz val="9"/>
            <color rgb="FF000000"/>
            <rFont val="Tahoma"/>
            <family val="2"/>
          </rPr>
          <t>-Autre (preciser)</t>
        </r>
      </text>
    </comment>
    <comment ref="B167" authorId="0" shapeId="0" xr:uid="{00000000-0006-0000-0100-000002000000}">
      <text>
        <r>
          <rPr>
            <b/>
            <sz val="9"/>
            <color rgb="FF000000"/>
            <rFont val="Tahoma"/>
            <family val="2"/>
          </rPr>
          <t>Allyson:</t>
        </r>
        <r>
          <rPr>
            <sz val="9"/>
            <color rgb="FF000000"/>
            <rFont val="Tahoma"/>
            <family val="2"/>
          </rPr>
          <t xml:space="preserve">
</t>
        </r>
        <r>
          <rPr>
            <sz val="9"/>
            <color rgb="FF000000"/>
            <rFont val="Tahoma"/>
            <family val="2"/>
          </rPr>
          <t>Il y a un Oumalker Sani a Soura Sarkin Galma 2 en 2020-2021. Si c'est pas la meme personne, enlever le code que j'ai mis.</t>
        </r>
      </text>
    </comment>
    <comment ref="B538" authorId="0" shapeId="0" xr:uid="{00000000-0006-0000-0100-000003000000}">
      <text>
        <r>
          <rPr>
            <b/>
            <sz val="9"/>
            <color rgb="FF000000"/>
            <rFont val="Tahoma"/>
            <family val="2"/>
          </rPr>
          <t>Allyson:</t>
        </r>
        <r>
          <rPr>
            <sz val="9"/>
            <color rgb="FF000000"/>
            <rFont val="Tahoma"/>
            <family val="2"/>
          </rPr>
          <t xml:space="preserve">
</t>
        </r>
        <r>
          <rPr>
            <sz val="9"/>
            <color rgb="FF000000"/>
            <rFont val="Tahoma"/>
            <family val="2"/>
          </rPr>
          <t>Il y a Manina Ali en 2020-2021 avec pere Ali, ne vers 1/1/2009. Si c'est pas la meme personne,enleve le code que j'ai mis.</t>
        </r>
      </text>
    </comment>
    <comment ref="B570" authorId="0" shapeId="0" xr:uid="{00000000-0006-0000-0100-000004000000}">
      <text>
        <r>
          <rPr>
            <b/>
            <sz val="9"/>
            <color rgb="FF000000"/>
            <rFont val="Tahoma"/>
            <family val="2"/>
          </rPr>
          <t>Allyson:</t>
        </r>
        <r>
          <rPr>
            <sz val="9"/>
            <color rgb="FF000000"/>
            <rFont val="Tahoma"/>
            <family val="2"/>
          </rPr>
          <t xml:space="preserve">
</t>
        </r>
        <r>
          <rPr>
            <sz val="9"/>
            <color rgb="FF000000"/>
            <rFont val="Tahoma"/>
            <family val="2"/>
          </rPr>
          <t>Il y a 2 Kadidja Laouli en 2020-2021. Pour une c'est note "Abandon". Il faut verifier c'est lequel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Allyson</author>
  </authors>
  <commentList>
    <comment ref="K4" authorId="0" shapeId="0" xr:uid="{00000000-0006-0000-0200-000001000000}">
      <text>
        <r>
          <rPr>
            <b/>
            <sz val="9"/>
            <color rgb="FF000000"/>
            <rFont val="Tahoma"/>
            <family val="2"/>
          </rPr>
          <t>Allyson:</t>
        </r>
        <r>
          <rPr>
            <sz val="9"/>
            <color rgb="FF000000"/>
            <rFont val="Tahoma"/>
            <family val="2"/>
          </rPr>
          <t xml:space="preserve">
</t>
        </r>
        <r>
          <rPr>
            <sz val="9"/>
            <color rgb="FF000000"/>
            <rFont val="Tahoma"/>
            <family val="2"/>
          </rPr>
          <t xml:space="preserve">Verifier son statut quand vous faites le recrutement. Dans cette colonne il faut choisir un des options suivantes:
</t>
        </r>
        <r>
          <rPr>
            <sz val="9"/>
            <color rgb="FF000000"/>
            <rFont val="Tahoma"/>
            <family val="2"/>
          </rPr>
          <t xml:space="preserve">-Inscrite en CM2
</t>
        </r>
        <r>
          <rPr>
            <sz val="9"/>
            <color rgb="FF000000"/>
            <rFont val="Tahoma"/>
            <family val="2"/>
          </rPr>
          <t xml:space="preserve">-Inscrite en 6e (1ere fois)
</t>
        </r>
        <r>
          <rPr>
            <sz val="9"/>
            <color rgb="FF000000"/>
            <rFont val="Tahoma"/>
            <family val="2"/>
          </rPr>
          <t xml:space="preserve">- Redouble 6e
</t>
        </r>
        <r>
          <rPr>
            <sz val="9"/>
            <color rgb="FF000000"/>
            <rFont val="Tahoma"/>
            <family val="2"/>
          </rPr>
          <t xml:space="preserve">-Transferer
</t>
        </r>
        <r>
          <rPr>
            <sz val="9"/>
            <color rgb="FF000000"/>
            <rFont val="Tahoma"/>
            <family val="2"/>
          </rPr>
          <t xml:space="preserve">-Abandonner
</t>
        </r>
        <r>
          <rPr>
            <sz val="9"/>
            <color rgb="FF000000"/>
            <rFont val="Tahoma"/>
            <family val="2"/>
          </rPr>
          <t>-Autre (preciser)</t>
        </r>
      </text>
    </comment>
  </commentList>
</comments>
</file>

<file path=xl/sharedStrings.xml><?xml version="1.0" encoding="utf-8"?>
<sst xmlns="http://schemas.openxmlformats.org/spreadsheetml/2006/main" count="11764" uniqueCount="3955">
  <si>
    <t>Nom et Prénom</t>
  </si>
  <si>
    <t>Date et lieu de naissance</t>
  </si>
  <si>
    <t>Kalgon Waraou</t>
  </si>
  <si>
    <t>Waraou</t>
  </si>
  <si>
    <t xml:space="preserve"> </t>
  </si>
  <si>
    <t>Ecole</t>
  </si>
  <si>
    <t>Nom et prénom du père</t>
  </si>
  <si>
    <t xml:space="preserve">Nom de la commune </t>
  </si>
  <si>
    <t>Baseline</t>
  </si>
  <si>
    <t>Mathématique/20</t>
  </si>
  <si>
    <t>Français/20</t>
  </si>
  <si>
    <t>Séance 1</t>
  </si>
  <si>
    <t>Séance 2</t>
  </si>
  <si>
    <t>Séance 3</t>
  </si>
  <si>
    <t>Séance 4</t>
  </si>
  <si>
    <t>Séance 5</t>
  </si>
  <si>
    <t>Séance 6</t>
  </si>
  <si>
    <t>Séance 7</t>
  </si>
  <si>
    <t>Séance 8</t>
  </si>
  <si>
    <t>Colonne 9</t>
  </si>
  <si>
    <t>Séance 10</t>
  </si>
  <si>
    <t>Séance 11</t>
  </si>
  <si>
    <t>Séance 12</t>
  </si>
  <si>
    <t>Séance 13</t>
  </si>
  <si>
    <t>Séance 14</t>
  </si>
  <si>
    <t>Séance 15</t>
  </si>
  <si>
    <t>Séance 16</t>
  </si>
  <si>
    <t>Séance 17</t>
  </si>
  <si>
    <t>Séance 18</t>
  </si>
  <si>
    <t>Séance 19</t>
  </si>
  <si>
    <t>Séance 20</t>
  </si>
  <si>
    <t>Séance 21</t>
  </si>
  <si>
    <t>Séance 22</t>
  </si>
  <si>
    <t>Séance 23</t>
  </si>
  <si>
    <t>Séance 24</t>
  </si>
  <si>
    <t>Séance 25</t>
  </si>
  <si>
    <t>Séance 26</t>
  </si>
  <si>
    <t>Séance 27</t>
  </si>
  <si>
    <t>Séance 28</t>
  </si>
  <si>
    <t>Séance 29</t>
  </si>
  <si>
    <t>Séance 30</t>
  </si>
  <si>
    <t>Séance 31</t>
  </si>
  <si>
    <t>Séance 32</t>
  </si>
  <si>
    <t>Séance 33</t>
  </si>
  <si>
    <t>Séance 34</t>
  </si>
  <si>
    <t>Séance 35</t>
  </si>
  <si>
    <t>Séance 36</t>
  </si>
  <si>
    <t>Séance 37</t>
  </si>
  <si>
    <t>Séance 38</t>
  </si>
  <si>
    <t>1ère composition/10</t>
  </si>
  <si>
    <t>2è composition/10</t>
  </si>
  <si>
    <t>Katare2</t>
  </si>
  <si>
    <t>Katare 1</t>
  </si>
  <si>
    <t>Moundourkoussa</t>
  </si>
  <si>
    <t>Madara</t>
  </si>
  <si>
    <t>Soura Aboubacar 4</t>
  </si>
  <si>
    <t>Tibiri Nord 3</t>
  </si>
  <si>
    <t>Garin Yara Idi</t>
  </si>
  <si>
    <t>Moyenne</t>
  </si>
  <si>
    <t>Nombre de filles qui ont une moyenne &gt;=5</t>
  </si>
  <si>
    <t>Soura 3</t>
  </si>
  <si>
    <t>Kara-Kara 3</t>
  </si>
  <si>
    <t>Guigamaoua Sofoua</t>
  </si>
  <si>
    <t>Yan Zango</t>
  </si>
  <si>
    <t>Soura 2</t>
  </si>
  <si>
    <t>Garin Daouré 1</t>
  </si>
  <si>
    <t>Soura S Galma 2</t>
  </si>
  <si>
    <t>Garin Malan Hamza</t>
  </si>
  <si>
    <t>INTERVENTION</t>
  </si>
  <si>
    <t>CONTRÔLE</t>
  </si>
  <si>
    <t>Endline</t>
  </si>
  <si>
    <t>3è composition</t>
  </si>
  <si>
    <t>Moyenne générale</t>
  </si>
  <si>
    <t>Mathématique/202</t>
  </si>
  <si>
    <t>Francais/20</t>
  </si>
  <si>
    <t>Dan fillo III</t>
  </si>
  <si>
    <t>sabon gari kolta</t>
  </si>
  <si>
    <t>Houdel</t>
  </si>
  <si>
    <t>Elkokia</t>
  </si>
  <si>
    <t>Rigial sarki</t>
  </si>
  <si>
    <t>Takalmaoua</t>
  </si>
  <si>
    <t>koderaoua</t>
  </si>
  <si>
    <t>Danja II</t>
  </si>
  <si>
    <t>soura s Galama 1</t>
  </si>
  <si>
    <t>Dallia</t>
  </si>
  <si>
    <t>Dan kari</t>
  </si>
  <si>
    <t>garin dogo</t>
  </si>
  <si>
    <t>tajae djiratawa</t>
  </si>
  <si>
    <t>kontagora sofoua</t>
  </si>
  <si>
    <t>Oumarou lawali gago</t>
  </si>
  <si>
    <t>Djiratawa bilingue</t>
  </si>
  <si>
    <t>Imbelbelou 3</t>
  </si>
  <si>
    <t>Commentaire</t>
  </si>
  <si>
    <t>Nbre d'absence/fille</t>
  </si>
  <si>
    <t>DATE ET LIEU DE NAISSANCE</t>
  </si>
  <si>
    <t>Français/202</t>
  </si>
  <si>
    <t>1ère composition</t>
  </si>
  <si>
    <t>2em composition</t>
  </si>
  <si>
    <t>3è Composition</t>
  </si>
  <si>
    <t>X: Si la fille n'a pas composé</t>
  </si>
  <si>
    <t xml:space="preserve">Nombre de filles qui ont une moyenne &gt;=5 </t>
  </si>
  <si>
    <t xml:space="preserve"> (partie au Nigeria)</t>
  </si>
  <si>
    <t>Identifiant de la fille</t>
  </si>
  <si>
    <t>Annee d'inscription au programme</t>
  </si>
  <si>
    <t>Code d'ecole</t>
  </si>
  <si>
    <t>Numero HM de la fille</t>
  </si>
  <si>
    <t>Identifiant Unique</t>
  </si>
  <si>
    <t>Situation (fin d'annee scolaire 20-21)</t>
  </si>
  <si>
    <t>Situation</t>
  </si>
  <si>
    <t xml:space="preserve">Examens </t>
  </si>
  <si>
    <t>Participation aux clubs Hilin Mu</t>
  </si>
  <si>
    <t xml:space="preserve">Situation au moment de recrutement HM annee 2 (Dec 2021) </t>
  </si>
  <si>
    <t>Examens</t>
  </si>
  <si>
    <t>NOM ET PRENOM</t>
  </si>
  <si>
    <t>Matching du 2020-2021</t>
  </si>
  <si>
    <t xml:space="preserve">Ecole </t>
  </si>
  <si>
    <t xml:space="preserve">ECOLE </t>
  </si>
  <si>
    <t>Dan Fillo 3</t>
  </si>
  <si>
    <t>Aminatou Abdou</t>
  </si>
  <si>
    <t>Abdou Souley</t>
  </si>
  <si>
    <t>Tibiri</t>
  </si>
  <si>
    <t>Aicha Moussa</t>
  </si>
  <si>
    <t>Moussa Ibrahim</t>
  </si>
  <si>
    <t>Issoufou Ibrahim</t>
  </si>
  <si>
    <t>Aichatou Issoufou</t>
  </si>
  <si>
    <t>Charifa Abdoul Moumouni</t>
  </si>
  <si>
    <t>Abdou Moumouni</t>
  </si>
  <si>
    <t>Fatima ousseini</t>
  </si>
  <si>
    <t>Oussein Rabiou</t>
  </si>
  <si>
    <t>Faiza Hamidou</t>
  </si>
  <si>
    <t>Hamidou dan Bougari</t>
  </si>
  <si>
    <t>Fatiha Mahabou</t>
  </si>
  <si>
    <t>Mahabou Sani</t>
  </si>
  <si>
    <t>Halimatou Maman</t>
  </si>
  <si>
    <t>Maman Mahaman</t>
  </si>
  <si>
    <t>Hannatou Mahamadou</t>
  </si>
  <si>
    <t>Mahamadou Abdou</t>
  </si>
  <si>
    <t>Hadiza Laouli</t>
  </si>
  <si>
    <t>Laouli Ibrahim</t>
  </si>
  <si>
    <t>Maroufa Oumarou</t>
  </si>
  <si>
    <t>Oumarou Kasso</t>
  </si>
  <si>
    <t>Manira Abdoulahie</t>
  </si>
  <si>
    <t>Abdoulahie Aboubacar</t>
  </si>
  <si>
    <t>Manira Sani</t>
  </si>
  <si>
    <t>Sani Ila</t>
  </si>
  <si>
    <t>Manira Laouli</t>
  </si>
  <si>
    <t xml:space="preserve">Laouli </t>
  </si>
  <si>
    <t>Maryam Manirou</t>
  </si>
  <si>
    <t>Manirou Rabiou</t>
  </si>
  <si>
    <t>Nana Maryama Laouli</t>
  </si>
  <si>
    <t>Laouli Illi</t>
  </si>
  <si>
    <t>Naajatou Bassirou</t>
  </si>
  <si>
    <t>Bassirou Mahamoudou</t>
  </si>
  <si>
    <t>Nana Firdaoussi salissou</t>
  </si>
  <si>
    <t>salissou Habibou</t>
  </si>
  <si>
    <t>Nana Firdaoussi sanoussi</t>
  </si>
  <si>
    <t>Sanoussi</t>
  </si>
  <si>
    <t>Nasseiba Rabiou</t>
  </si>
  <si>
    <t>Rabiou Tassiou</t>
  </si>
  <si>
    <t>Naima Sameila</t>
  </si>
  <si>
    <t>Sameila Bara</t>
  </si>
  <si>
    <t>Nasseiba Ilia</t>
  </si>
  <si>
    <t>Ilia soumeila</t>
  </si>
  <si>
    <t>Nana Firdoussi Ibrahim</t>
  </si>
  <si>
    <t>Ibrahim Tinou</t>
  </si>
  <si>
    <t>Nana Firdoussi Laouli</t>
  </si>
  <si>
    <t>Oumal Hair Zakari Yaou</t>
  </si>
  <si>
    <t xml:space="preserve"> Zakari Yaou</t>
  </si>
  <si>
    <t>Rabi Issoufou</t>
  </si>
  <si>
    <t>Issoufou Kane</t>
  </si>
  <si>
    <t>Manirou Adamou</t>
  </si>
  <si>
    <t>Roukaya Manirou</t>
  </si>
  <si>
    <t>Rabiatou Aboubacar</t>
  </si>
  <si>
    <t>Aboubacar Ousmane</t>
  </si>
  <si>
    <t>Roukaya Laouli</t>
  </si>
  <si>
    <t>Laouli Hamza</t>
  </si>
  <si>
    <t>Roukaya souley</t>
  </si>
  <si>
    <t>Souley Abdou</t>
  </si>
  <si>
    <t>Rabiatou Laouli</t>
  </si>
  <si>
    <t>Laouli Chitou</t>
  </si>
  <si>
    <t>Razina Harouna</t>
  </si>
  <si>
    <t>Harouna Elh Souley</t>
  </si>
  <si>
    <t>Roufaida Aboubacar</t>
  </si>
  <si>
    <t>Aboubacar ELH Bakoye</t>
  </si>
  <si>
    <t>Ramatou yacouba</t>
  </si>
  <si>
    <t>Yacouba Issaka</t>
  </si>
  <si>
    <t>Ramlatou Abdou</t>
  </si>
  <si>
    <t>Abdou Harouna</t>
  </si>
  <si>
    <t>Laouali Abdou</t>
  </si>
  <si>
    <t>Roufaida Laouali</t>
  </si>
  <si>
    <t>Rahanatou Laouali</t>
  </si>
  <si>
    <t>Ramatou Oumarou</t>
  </si>
  <si>
    <t>Oumarou</t>
  </si>
  <si>
    <t>Soumaya Saidou</t>
  </si>
  <si>
    <t>Saidou Ibrahim</t>
  </si>
  <si>
    <t>Soueba Ousmane</t>
  </si>
  <si>
    <t>Ousmane salaou</t>
  </si>
  <si>
    <t>Seymaou Abdou</t>
  </si>
  <si>
    <t>Abdou Yacouba</t>
  </si>
  <si>
    <t xml:space="preserve">saratou Inoussa </t>
  </si>
  <si>
    <t>Inoussa Laloun</t>
  </si>
  <si>
    <t>Zeinab Abdou</t>
  </si>
  <si>
    <t>Abdou Mai Nassara</t>
  </si>
  <si>
    <t>Zeinab Illiassou</t>
  </si>
  <si>
    <t>Illiassou Harouna</t>
  </si>
  <si>
    <t>Zeinab Salissou</t>
  </si>
  <si>
    <t>Salissou Abdou</t>
  </si>
  <si>
    <t>Zina Abdou</t>
  </si>
  <si>
    <t>Zeinab Abdoul Moumouni</t>
  </si>
  <si>
    <t>Abdoul Moumouni</t>
  </si>
  <si>
    <t>Bassira Inoussa</t>
  </si>
  <si>
    <t xml:space="preserve">Inoussa </t>
  </si>
  <si>
    <t>Fatiya Issa</t>
  </si>
  <si>
    <t>Issa</t>
  </si>
  <si>
    <t>Faiza Abdou</t>
  </si>
  <si>
    <t>Abdou</t>
  </si>
  <si>
    <t>Faiza Yacouba</t>
  </si>
  <si>
    <t>Yacouba</t>
  </si>
  <si>
    <t>Hannatou Nouhou</t>
  </si>
  <si>
    <t>Nouhou</t>
  </si>
  <si>
    <t>Hasira Mamane</t>
  </si>
  <si>
    <t>Mamane</t>
  </si>
  <si>
    <t>Hasira Ali</t>
  </si>
  <si>
    <t>Ali</t>
  </si>
  <si>
    <t>Habiba Illia</t>
  </si>
  <si>
    <t>Illia</t>
  </si>
  <si>
    <t>Izatou Tsahirou</t>
  </si>
  <si>
    <t>tsahirou</t>
  </si>
  <si>
    <t>Kadidja Ali</t>
  </si>
  <si>
    <t>Moufida Mamane</t>
  </si>
  <si>
    <t>Mabarouka Ibrahim</t>
  </si>
  <si>
    <t xml:space="preserve">Ibrahim </t>
  </si>
  <si>
    <t>Maryam Mamane</t>
  </si>
  <si>
    <t>Mansoura Issa</t>
  </si>
  <si>
    <t>Nazifa Saminou</t>
  </si>
  <si>
    <t>Saminou</t>
  </si>
  <si>
    <t>Nazifa Souley</t>
  </si>
  <si>
    <t>Souley</t>
  </si>
  <si>
    <t>Nafissa Hamissou</t>
  </si>
  <si>
    <t>Hamissou</t>
  </si>
  <si>
    <t>Naseiba Yacouba</t>
  </si>
  <si>
    <t>Najaatou Issaka</t>
  </si>
  <si>
    <t>Issaka</t>
  </si>
  <si>
    <t>Najaatou Hamissou</t>
  </si>
  <si>
    <t>31-12-2010 a Fagagaou</t>
  </si>
  <si>
    <t>Naseiba Mahaman</t>
  </si>
  <si>
    <t>Mahaman</t>
  </si>
  <si>
    <t>Nana Basira Adamou</t>
  </si>
  <si>
    <t>Adamou</t>
  </si>
  <si>
    <t>Nadia Inoussa</t>
  </si>
  <si>
    <t>Inoussa</t>
  </si>
  <si>
    <t>Ouma Idi</t>
  </si>
  <si>
    <t>Idi</t>
  </si>
  <si>
    <t>Ramatou Idrissa</t>
  </si>
  <si>
    <t>Idrissa</t>
  </si>
  <si>
    <t>Roufaida Salissou</t>
  </si>
  <si>
    <t>Salisou</t>
  </si>
  <si>
    <t>Rafia kokari</t>
  </si>
  <si>
    <t>Kokari</t>
  </si>
  <si>
    <t>Rachida Laouli</t>
  </si>
  <si>
    <t>Laouli</t>
  </si>
  <si>
    <t>Roufeida Ibrahim</t>
  </si>
  <si>
    <t>Ibrahim</t>
  </si>
  <si>
    <t>Rafia Nouhou</t>
  </si>
  <si>
    <t>Roumanatou Hamza</t>
  </si>
  <si>
    <t>Hamza</t>
  </si>
  <si>
    <t>Rachida Abou</t>
  </si>
  <si>
    <t>Abou</t>
  </si>
  <si>
    <t>Salamatou Illia</t>
  </si>
  <si>
    <t>Soureya Daouda</t>
  </si>
  <si>
    <t>Daouda</t>
  </si>
  <si>
    <t>Salima Ibrahim</t>
  </si>
  <si>
    <t>Safia Sanoussi</t>
  </si>
  <si>
    <t xml:space="preserve">Soueba Issa </t>
  </si>
  <si>
    <t>Saratou Ibrahim</t>
  </si>
  <si>
    <t>Samira Issaka</t>
  </si>
  <si>
    <t>Saadia Ila</t>
  </si>
  <si>
    <t>Ila</t>
  </si>
  <si>
    <t>Yesmina Moutari</t>
  </si>
  <si>
    <t>Moutari</t>
  </si>
  <si>
    <t>Yesmina Ali</t>
  </si>
  <si>
    <t>Yesmina Moussa</t>
  </si>
  <si>
    <t>Moussa</t>
  </si>
  <si>
    <t>Zeinabou Sabiou</t>
  </si>
  <si>
    <t>Sabiou</t>
  </si>
  <si>
    <t>Zakia Zakari Yaou</t>
  </si>
  <si>
    <t>Zakari Yaou</t>
  </si>
  <si>
    <t>Zeinabou Ali</t>
  </si>
  <si>
    <t>Zeinabou Souley</t>
  </si>
  <si>
    <t>Zeinabou Abdou</t>
  </si>
  <si>
    <t>Zakia Sani</t>
  </si>
  <si>
    <t>Sani</t>
  </si>
  <si>
    <t>Zoulfaou Laouli</t>
  </si>
  <si>
    <t>Soura Sarkin Galma 1</t>
  </si>
  <si>
    <t>Soura Sarkin Galma 2</t>
  </si>
  <si>
    <t>Amira Chaibou</t>
  </si>
  <si>
    <t>Chaibou Issa</t>
  </si>
  <si>
    <t>passante</t>
  </si>
  <si>
    <t>Inscrite en CM2</t>
  </si>
  <si>
    <t xml:space="preserve">Amira Amadou </t>
  </si>
  <si>
    <t>Amadou</t>
  </si>
  <si>
    <t>Aichatou Sani</t>
  </si>
  <si>
    <t>Sani Salissou</t>
  </si>
  <si>
    <t>Amira Sani</t>
  </si>
  <si>
    <t>Sani Moussa</t>
  </si>
  <si>
    <t>Aminatou Nassirou</t>
  </si>
  <si>
    <t>Nassirou Issaka</t>
  </si>
  <si>
    <t>Bassira Sani</t>
  </si>
  <si>
    <t>Daliba Abdou</t>
  </si>
  <si>
    <t>Abdou Issoufou</t>
  </si>
  <si>
    <t>Djamila Hassan</t>
  </si>
  <si>
    <t>Hassan Issaka</t>
  </si>
  <si>
    <t>Firdoussi Nassirou</t>
  </si>
  <si>
    <t>Nassirou Moussa</t>
  </si>
  <si>
    <t>Fatiya Abdoul Rachidou</t>
  </si>
  <si>
    <t>Abdoul Rachidou Oumarou</t>
  </si>
  <si>
    <t>Fadila Rabiou</t>
  </si>
  <si>
    <t>Rabiou Mani</t>
  </si>
  <si>
    <t>Fatima sada</t>
  </si>
  <si>
    <t>Sada Elh Mani</t>
  </si>
  <si>
    <t>Halissa Salifou</t>
  </si>
  <si>
    <t>salifou Aboubacar</t>
  </si>
  <si>
    <t>Kadidja Saminou</t>
  </si>
  <si>
    <t>Saminou Halilou</t>
  </si>
  <si>
    <t xml:space="preserve">Kadidja Harouna </t>
  </si>
  <si>
    <t xml:space="preserve">Harouna </t>
  </si>
  <si>
    <t>Laoussa Abdou</t>
  </si>
  <si>
    <t>Maaroufa Issoufou</t>
  </si>
  <si>
    <t>Issoufou Hamidou</t>
  </si>
  <si>
    <t>Mariama Hadi</t>
  </si>
  <si>
    <t>Hadi Amadou</t>
  </si>
  <si>
    <t>Mouhousouna Roufai</t>
  </si>
  <si>
    <t>Roufai Moussa</t>
  </si>
  <si>
    <t>Maaroufa Harouna</t>
  </si>
  <si>
    <t>Harouna</t>
  </si>
  <si>
    <t>Maraliya Sabiou</t>
  </si>
  <si>
    <t>Sabiou Hachimou</t>
  </si>
  <si>
    <t>Nana Souraya Rabiou</t>
  </si>
  <si>
    <t>Rabiou Labo</t>
  </si>
  <si>
    <t>Naseiba Yaou</t>
  </si>
  <si>
    <t>Yaou Hachimou</t>
  </si>
  <si>
    <t>Nana Balkissa Hamissou</t>
  </si>
  <si>
    <t>Hamissou Issaka</t>
  </si>
  <si>
    <t>Rafia Habibou</t>
  </si>
  <si>
    <t>Habibou Hahouza</t>
  </si>
  <si>
    <t>Ramlatou Achirou</t>
  </si>
  <si>
    <t>Achirou</t>
  </si>
  <si>
    <t>Ramatou Sani</t>
  </si>
  <si>
    <t>Rafia tsahirou</t>
  </si>
  <si>
    <t>Tsahirou Oumarou</t>
  </si>
  <si>
    <t>Roukaya Ali</t>
  </si>
  <si>
    <t>Ali Salifou</t>
  </si>
  <si>
    <t>Rabila Salissou</t>
  </si>
  <si>
    <t>Salissou alhadji</t>
  </si>
  <si>
    <t>Rafia Chiitou</t>
  </si>
  <si>
    <t>Chiitou amani</t>
  </si>
  <si>
    <t>Roufaatou Sanoussi</t>
  </si>
  <si>
    <t>Sanoussi Oumarou</t>
  </si>
  <si>
    <t xml:space="preserve">Raya Laouli </t>
  </si>
  <si>
    <t>Laouli Aboubacar</t>
  </si>
  <si>
    <t>Samira Aminou</t>
  </si>
  <si>
    <t xml:space="preserve">Aminou </t>
  </si>
  <si>
    <t>Soumaya Laouli</t>
  </si>
  <si>
    <t>Samira Kabirou</t>
  </si>
  <si>
    <t>Kabirou</t>
  </si>
  <si>
    <t>Souraya Salifou</t>
  </si>
  <si>
    <t>Yasmina Yaou</t>
  </si>
  <si>
    <t>Yaou</t>
  </si>
  <si>
    <t>Zaraou Bala</t>
  </si>
  <si>
    <t>Bala tsalha</t>
  </si>
  <si>
    <t xml:space="preserve">Zaharia Abdou </t>
  </si>
  <si>
    <t>Aminou Mahamadou</t>
  </si>
  <si>
    <t>Zeinabou Aminou</t>
  </si>
  <si>
    <t>Zeinabou Kabirou</t>
  </si>
  <si>
    <t>Redoublante</t>
  </si>
  <si>
    <t>Noura Ammani</t>
  </si>
  <si>
    <t>Aichatou Noura</t>
  </si>
  <si>
    <t>Noura Moussa</t>
  </si>
  <si>
    <t>Aminatou Abou</t>
  </si>
  <si>
    <t>Abou Abdou</t>
  </si>
  <si>
    <t>Aminatou Laouli</t>
  </si>
  <si>
    <t>Laouli Mamane</t>
  </si>
  <si>
    <t>Bassira Idi</t>
  </si>
  <si>
    <t>Idi Zakariou</t>
  </si>
  <si>
    <t>Balkissa Idrissa</t>
  </si>
  <si>
    <t>Idrissa Ali</t>
  </si>
  <si>
    <t>Baraatou Rabe</t>
  </si>
  <si>
    <t>Raba nayo</t>
  </si>
  <si>
    <t>Moussa Ali</t>
  </si>
  <si>
    <t xml:space="preserve">Bacharia Tassiou </t>
  </si>
  <si>
    <t>Tassiou Laouli</t>
  </si>
  <si>
    <t>Hanifa Abdou</t>
  </si>
  <si>
    <t>Abdou Idrissa</t>
  </si>
  <si>
    <t>Hanifa Laouli</t>
  </si>
  <si>
    <t>Laouli saidou</t>
  </si>
  <si>
    <t>Kairia Aboubacar</t>
  </si>
  <si>
    <t>Aboubacar Issoufou</t>
  </si>
  <si>
    <t xml:space="preserve">Mariam Sanoussi </t>
  </si>
  <si>
    <t>Sanoussi Moussa</t>
  </si>
  <si>
    <t>Moumouna Chaibou</t>
  </si>
  <si>
    <t>Chaibou Elh Mamane</t>
  </si>
  <si>
    <t>Mariama Ousmane</t>
  </si>
  <si>
    <t>Ousmane Aboubacar</t>
  </si>
  <si>
    <t>Mariama Rabiou</t>
  </si>
  <si>
    <t>Rabiou Abdou</t>
  </si>
  <si>
    <t>Mariam Tassiou</t>
  </si>
  <si>
    <t>Mariam Laouli</t>
  </si>
  <si>
    <t>Nana Nasiba Rabiou</t>
  </si>
  <si>
    <t>Rabiou Abdoulahie</t>
  </si>
  <si>
    <t>Nazira Amadou</t>
  </si>
  <si>
    <t>Amadou Moussa</t>
  </si>
  <si>
    <t>Nadia Ousmane</t>
  </si>
  <si>
    <t>Ousmane Sani</t>
  </si>
  <si>
    <t>Oumalahair Sani</t>
  </si>
  <si>
    <t>Sani Ibrahim</t>
  </si>
  <si>
    <t>Oumalahair Laouli</t>
  </si>
  <si>
    <t>Laouli Mahamane</t>
  </si>
  <si>
    <t>Rachida Abdoul Karim</t>
  </si>
  <si>
    <t>Abdou karim Mahamadou</t>
  </si>
  <si>
    <t>Rafia Issaka</t>
  </si>
  <si>
    <t>Issaka Salissou</t>
  </si>
  <si>
    <t>Ramatou Soumaila</t>
  </si>
  <si>
    <t>Soumaila Idi</t>
  </si>
  <si>
    <t>Roufaida Annafi</t>
  </si>
  <si>
    <t>Annafi Ali</t>
  </si>
  <si>
    <t>Sadika Ibrahim</t>
  </si>
  <si>
    <t>Ibrahim Saminou</t>
  </si>
  <si>
    <t>Salima Issoufou</t>
  </si>
  <si>
    <t>Issoufou Harouna</t>
  </si>
  <si>
    <t>Yesmina Issa</t>
  </si>
  <si>
    <t>Issa Isoufou</t>
  </si>
  <si>
    <t>Yasria Aboubacar</t>
  </si>
  <si>
    <t>Zimsaou Ibrahim</t>
  </si>
  <si>
    <t>Zaharaou souley</t>
  </si>
  <si>
    <t>Souley Madougou</t>
  </si>
  <si>
    <t>Zeinab Tassiou</t>
  </si>
  <si>
    <t>Tassiou Ibrahim</t>
  </si>
  <si>
    <t>Aichatou Adamou</t>
  </si>
  <si>
    <t>Adamou Hamidou</t>
  </si>
  <si>
    <t>Chamsiya Halirou</t>
  </si>
  <si>
    <t>Halirou</t>
  </si>
  <si>
    <t>Chafia Ammani</t>
  </si>
  <si>
    <t>Ammni Abou tahirou</t>
  </si>
  <si>
    <t>Moutari Maazou</t>
  </si>
  <si>
    <t>Choukouria Moutari</t>
  </si>
  <si>
    <t>Choukouria Abdoulahie</t>
  </si>
  <si>
    <t>Charifa Sani</t>
  </si>
  <si>
    <t>Oumarou Ousmane</t>
  </si>
  <si>
    <t>Daliba Achirou</t>
  </si>
  <si>
    <t>Farida Yahaya</t>
  </si>
  <si>
    <t>Yahaya Saddi</t>
  </si>
  <si>
    <t>Elh Djibril Boukari</t>
  </si>
  <si>
    <t>Fatimata El-Djibril</t>
  </si>
  <si>
    <t xml:space="preserve">Farida Saiyabou </t>
  </si>
  <si>
    <t>Saiyabou Salifou</t>
  </si>
  <si>
    <t>Farida Sani</t>
  </si>
  <si>
    <t>Sani zabeirou</t>
  </si>
  <si>
    <t>Faiza Yaou</t>
  </si>
  <si>
    <t>Yaou ichaka</t>
  </si>
  <si>
    <t>Kadidja Salissou</t>
  </si>
  <si>
    <t>Salissou Moussa</t>
  </si>
  <si>
    <t>Kadidja Tsayabou</t>
  </si>
  <si>
    <t>Tsayabou Harouna</t>
  </si>
  <si>
    <t>Maniba Souley</t>
  </si>
  <si>
    <t>Yaou Illia</t>
  </si>
  <si>
    <t>Nana Maryama Boukari</t>
  </si>
  <si>
    <t>Boukari Bahari</t>
  </si>
  <si>
    <t>Na ima Issoufou</t>
  </si>
  <si>
    <t>Issoufou Malam Laouli</t>
  </si>
  <si>
    <t>Nafissa Laouli</t>
  </si>
  <si>
    <t>Laouli illiassou</t>
  </si>
  <si>
    <t>Ouma Abdoul Aziz</t>
  </si>
  <si>
    <t>Abdoul Aziz Elh Adamou</t>
  </si>
  <si>
    <t>Ouma Sani</t>
  </si>
  <si>
    <t xml:space="preserve">Rahila Idrissa </t>
  </si>
  <si>
    <t>Idrissa Elh Aboubacar</t>
  </si>
  <si>
    <t>Rafia Maazou</t>
  </si>
  <si>
    <t>Maazou Issoufou</t>
  </si>
  <si>
    <t>Rachida Sani</t>
  </si>
  <si>
    <t>Sani Elh Almou</t>
  </si>
  <si>
    <t>Rachida Adamou</t>
  </si>
  <si>
    <t>Adamoou Djibo</t>
  </si>
  <si>
    <t>Salima Laouli</t>
  </si>
  <si>
    <t>Laouli Ali</t>
  </si>
  <si>
    <t>Soumaya Tsalha</t>
  </si>
  <si>
    <t>Tsalha Adamou</t>
  </si>
  <si>
    <t>Safaraou Inoussa</t>
  </si>
  <si>
    <t>Inoussa Garba</t>
  </si>
  <si>
    <t>Salima Ichaou</t>
  </si>
  <si>
    <t>Ichaou Souley</t>
  </si>
  <si>
    <t>Soueba Saddi</t>
  </si>
  <si>
    <t>Saddi</t>
  </si>
  <si>
    <t>Yesmina Salissou</t>
  </si>
  <si>
    <t>Salissou Maazou</t>
  </si>
  <si>
    <t>Choukouriya Oumarou</t>
  </si>
  <si>
    <t>Mabarouka waillou</t>
  </si>
  <si>
    <t>Soumaya Issa</t>
  </si>
  <si>
    <t>Karima Tahirou</t>
  </si>
  <si>
    <t>Samira Idi</t>
  </si>
  <si>
    <t>Zeinab Fallalou</t>
  </si>
  <si>
    <t>Katare 2</t>
  </si>
  <si>
    <t>Malam Amani</t>
  </si>
  <si>
    <t>Aziza Malam Amani</t>
  </si>
  <si>
    <t>Bouchara Abdoul Aziz</t>
  </si>
  <si>
    <t xml:space="preserve">Abdoul Aziz </t>
  </si>
  <si>
    <t>Chamsiya Adamou</t>
  </si>
  <si>
    <t>Chapia halilou</t>
  </si>
  <si>
    <t>Halilou</t>
  </si>
  <si>
    <t>Fati Issoufou</t>
  </si>
  <si>
    <t>issoufou Ousmane</t>
  </si>
  <si>
    <t>Hassana Issa</t>
  </si>
  <si>
    <t>Issa Moussa</t>
  </si>
  <si>
    <t>Hapiza Abou</t>
  </si>
  <si>
    <t>Leila Issaka</t>
  </si>
  <si>
    <t xml:space="preserve">Issaka </t>
  </si>
  <si>
    <t>Moufida Adamou</t>
  </si>
  <si>
    <t>Neseiba Ibrahim</t>
  </si>
  <si>
    <t>Nijaatou Lawarna Abdou</t>
  </si>
  <si>
    <t>Lawarna Abdou</t>
  </si>
  <si>
    <t>Nafissa Abou</t>
  </si>
  <si>
    <t>Abou Abou</t>
  </si>
  <si>
    <t>Oumema Souhelou</t>
  </si>
  <si>
    <t>Souhelou Tsalha</t>
  </si>
  <si>
    <t>Roufaida Abou</t>
  </si>
  <si>
    <t>Abou Idi</t>
  </si>
  <si>
    <t>Roufaida Saidou</t>
  </si>
  <si>
    <t>Saidou Sani</t>
  </si>
  <si>
    <t xml:space="preserve">Rafia Illiya </t>
  </si>
  <si>
    <t>Illiya Aboubacar</t>
  </si>
  <si>
    <t>Roukaya Sabiou</t>
  </si>
  <si>
    <t>Sabiou Ibrahim</t>
  </si>
  <si>
    <t>Salima Tsayabou</t>
  </si>
  <si>
    <t>Tsayabou Moussa</t>
  </si>
  <si>
    <t xml:space="preserve">Salima Nassirou </t>
  </si>
  <si>
    <t>Nassirou djibo</t>
  </si>
  <si>
    <t>Soumeya Bachir</t>
  </si>
  <si>
    <t>Bachir Moussa</t>
  </si>
  <si>
    <t>Wassila Maharazou</t>
  </si>
  <si>
    <t>Maharazou Abdo</t>
  </si>
  <si>
    <t>Hassana Abache</t>
  </si>
  <si>
    <t>Habsia Baraou</t>
  </si>
  <si>
    <t>Garin Yari Idi</t>
  </si>
  <si>
    <t>Amina Yahaya</t>
  </si>
  <si>
    <t>31-12-2009 a Garin Yari Idi</t>
  </si>
  <si>
    <t>Yahaya Souley</t>
  </si>
  <si>
    <t>Assama Ila</t>
  </si>
  <si>
    <t>31-12-2008 a Garin Yari Idi</t>
  </si>
  <si>
    <t>Ila Na didje</t>
  </si>
  <si>
    <t>Atouka Ousman</t>
  </si>
  <si>
    <t>Ousman Yari</t>
  </si>
  <si>
    <t>Balkissa Ali</t>
  </si>
  <si>
    <t>Ali Bala</t>
  </si>
  <si>
    <t>31-12-2009 a Samailla</t>
  </si>
  <si>
    <t>Chaffa Abou</t>
  </si>
  <si>
    <t>Abou Harouna</t>
  </si>
  <si>
    <t>Chapaatou Halilou</t>
  </si>
  <si>
    <t>Halilou Maman</t>
  </si>
  <si>
    <t>Choukouria Moussa</t>
  </si>
  <si>
    <t>Moussa Adamou</t>
  </si>
  <si>
    <t>Choukoria Rabiou</t>
  </si>
  <si>
    <t>Daouda Moussa</t>
  </si>
  <si>
    <t>Fatchima Souley</t>
  </si>
  <si>
    <t>Fatchima Daouda</t>
  </si>
  <si>
    <t>Souley Mahaman</t>
  </si>
  <si>
    <t xml:space="preserve">Firdaoussi Bala </t>
  </si>
  <si>
    <t>Bala Ada</t>
  </si>
  <si>
    <t>Firdaoussi Maman</t>
  </si>
  <si>
    <t>Maman Yari</t>
  </si>
  <si>
    <t>Haoulatou Ousseini</t>
  </si>
  <si>
    <t>Ousseini Yari</t>
  </si>
  <si>
    <t>Naima Ali</t>
  </si>
  <si>
    <t>Nana Firdaoussi Ousseini</t>
  </si>
  <si>
    <t>Ousseini Abou</t>
  </si>
  <si>
    <t>Najaatou Maman</t>
  </si>
  <si>
    <t>Maman Souley</t>
  </si>
  <si>
    <t>Nazifa Halilou</t>
  </si>
  <si>
    <t>Halilou Hama</t>
  </si>
  <si>
    <t>Nazira Ibrahim</t>
  </si>
  <si>
    <t>Ibrahim Ousseini</t>
  </si>
  <si>
    <t>Naseiba Abdou</t>
  </si>
  <si>
    <t>31-12-2009 a el kouka</t>
  </si>
  <si>
    <t>Abdou dan jouma</t>
  </si>
  <si>
    <t>Roukaya Sani</t>
  </si>
  <si>
    <t>Sani Yacouba</t>
  </si>
  <si>
    <t>Razina Moussa</t>
  </si>
  <si>
    <t>Moussa Nouhou</t>
  </si>
  <si>
    <t>Soumeya Souley</t>
  </si>
  <si>
    <t>Souley Dan Jouma</t>
  </si>
  <si>
    <t xml:space="preserve">Samira Nouhou </t>
  </si>
  <si>
    <t>Nouhou Issoufou</t>
  </si>
  <si>
    <t>31-12-2008 a el kouka</t>
  </si>
  <si>
    <t>Aichatou Salissou</t>
  </si>
  <si>
    <t>Salissou</t>
  </si>
  <si>
    <t xml:space="preserve">Passante </t>
  </si>
  <si>
    <t>Inscrite en CM 2</t>
  </si>
  <si>
    <t>Aichatou Ibrahim</t>
  </si>
  <si>
    <t>Balkissa Hamissou</t>
  </si>
  <si>
    <t>Hamissou Nouhou</t>
  </si>
  <si>
    <t>Faouzia Amadou</t>
  </si>
  <si>
    <t xml:space="preserve">Amadou Moussa </t>
  </si>
  <si>
    <t>Firdaoussi Salissou</t>
  </si>
  <si>
    <t xml:space="preserve">Salissou </t>
  </si>
  <si>
    <t xml:space="preserve">Hadiza Tsalha </t>
  </si>
  <si>
    <t>Tsalha Souley</t>
  </si>
  <si>
    <t xml:space="preserve">Hanifa Moustapha </t>
  </si>
  <si>
    <t>Moustapha</t>
  </si>
  <si>
    <t>Insrcite en CM2</t>
  </si>
  <si>
    <t xml:space="preserve">Kadiza Illa </t>
  </si>
  <si>
    <t>Illa Rabiou</t>
  </si>
  <si>
    <t>Kadiza Issoufou</t>
  </si>
  <si>
    <t>Issoufou Rabiou</t>
  </si>
  <si>
    <t xml:space="preserve">Nana Farida Inoussa </t>
  </si>
  <si>
    <t xml:space="preserve">Nana Firdaoussi Achirou </t>
  </si>
  <si>
    <t xml:space="preserve">Achirou </t>
  </si>
  <si>
    <t xml:space="preserve">Nadia Moustapha </t>
  </si>
  <si>
    <t>Moustapha Amani</t>
  </si>
  <si>
    <t xml:space="preserve">Nouriya Adamou </t>
  </si>
  <si>
    <t>Adamou Labo</t>
  </si>
  <si>
    <t>Nana Faouziya Sani</t>
  </si>
  <si>
    <t xml:space="preserve">Sani Harouna </t>
  </si>
  <si>
    <t xml:space="preserve">Elle reprend la classe de CM2 </t>
  </si>
  <si>
    <t xml:space="preserve">Ramatou Habibou </t>
  </si>
  <si>
    <t xml:space="preserve">Habibou Yahaya </t>
  </si>
  <si>
    <t>Rakia Ibrahim</t>
  </si>
  <si>
    <t xml:space="preserve">Ibrahim Dan Bara </t>
  </si>
  <si>
    <t xml:space="preserve">Safaraou Tassiou </t>
  </si>
  <si>
    <t xml:space="preserve">Tassiou Rabiou </t>
  </si>
  <si>
    <t xml:space="preserve">Soumaya Nafiou </t>
  </si>
  <si>
    <t>Nafiou Oumarou</t>
  </si>
  <si>
    <t xml:space="preserve">Soumaya Hamissou </t>
  </si>
  <si>
    <t>Hamissou Ibrahim</t>
  </si>
  <si>
    <t xml:space="preserve">Zeinab Ada </t>
  </si>
  <si>
    <t xml:space="preserve">Ada Mahaman </t>
  </si>
  <si>
    <t xml:space="preserve">Balkissa Kane </t>
  </si>
  <si>
    <t>Kané Barmo</t>
  </si>
  <si>
    <t xml:space="preserve">Firdaoussi Sabiou </t>
  </si>
  <si>
    <t xml:space="preserve">Sabiou Inoussa </t>
  </si>
  <si>
    <t xml:space="preserve">Haouaou Issa </t>
  </si>
  <si>
    <t xml:space="preserve">Issa Dan Zaki </t>
  </si>
  <si>
    <t xml:space="preserve">Hassana Adamou </t>
  </si>
  <si>
    <t xml:space="preserve">Adamou </t>
  </si>
  <si>
    <t xml:space="preserve">Malika Saminou </t>
  </si>
  <si>
    <t>Saminou Sani</t>
  </si>
  <si>
    <t>Mouchtahida Abdoulahi</t>
  </si>
  <si>
    <t>Abdoulahi Laouali</t>
  </si>
  <si>
    <t xml:space="preserve">Nana Aicha Hamissou </t>
  </si>
  <si>
    <t xml:space="preserve">Na'ima Yacouba </t>
  </si>
  <si>
    <t>Yacouba Hamissou</t>
  </si>
  <si>
    <t>Insrcite en CM 2</t>
  </si>
  <si>
    <t xml:space="preserve">Oumaira Hamissou </t>
  </si>
  <si>
    <t>Hamissou Ousmane</t>
  </si>
  <si>
    <t xml:space="preserve">Ousseina Adamou </t>
  </si>
  <si>
    <t xml:space="preserve">Roufaida Abdou </t>
  </si>
  <si>
    <t xml:space="preserve">Soumaya Abdou Rahamane </t>
  </si>
  <si>
    <t>Abdou Rahamane Hassane</t>
  </si>
  <si>
    <t xml:space="preserve">Souéba Salissou </t>
  </si>
  <si>
    <t xml:space="preserve">Salissou Oumarou </t>
  </si>
  <si>
    <t xml:space="preserve">Zeinab Adamou </t>
  </si>
  <si>
    <t>Zeinab Sani</t>
  </si>
  <si>
    <t xml:space="preserve">Sani </t>
  </si>
  <si>
    <t>Soura 1</t>
  </si>
  <si>
    <t xml:space="preserve">Aichatou Hamissou </t>
  </si>
  <si>
    <t xml:space="preserve">Hamisou </t>
  </si>
  <si>
    <t xml:space="preserve">Hamissou </t>
  </si>
  <si>
    <t xml:space="preserve">Inscrite en CM2 </t>
  </si>
  <si>
    <t>Balkissa Abdou</t>
  </si>
  <si>
    <t xml:space="preserve">Abdou </t>
  </si>
  <si>
    <t xml:space="preserve">Charifa Sani </t>
  </si>
  <si>
    <t xml:space="preserve">Chamsiya Sabiou </t>
  </si>
  <si>
    <t xml:space="preserve">Sabiou </t>
  </si>
  <si>
    <t xml:space="preserve">Chamsiya Abdoul Samadou </t>
  </si>
  <si>
    <t>Abdoul Samadou Saidou</t>
  </si>
  <si>
    <t>Insrcitre en CM 2</t>
  </si>
  <si>
    <t xml:space="preserve">Fatima Maman </t>
  </si>
  <si>
    <t xml:space="preserve">Maman </t>
  </si>
  <si>
    <t xml:space="preserve">Fahika Yahouza </t>
  </si>
  <si>
    <t xml:space="preserve">Yahouza </t>
  </si>
  <si>
    <t>Farida  Sani</t>
  </si>
  <si>
    <t xml:space="preserve">Farida Lawali </t>
  </si>
  <si>
    <t>Lawali</t>
  </si>
  <si>
    <t>Fadila Ibrahim</t>
  </si>
  <si>
    <t xml:space="preserve">Firdaoussi Hamissou </t>
  </si>
  <si>
    <t xml:space="preserve">Fadila Anass </t>
  </si>
  <si>
    <t xml:space="preserve">Fadila Lawali </t>
  </si>
  <si>
    <t xml:space="preserve">Lawali </t>
  </si>
  <si>
    <t xml:space="preserve">Fatchima Hassan </t>
  </si>
  <si>
    <t xml:space="preserve">Hassan Moussa </t>
  </si>
  <si>
    <t xml:space="preserve">Hadiza Harouna </t>
  </si>
  <si>
    <t xml:space="preserve">Hindou Moustapha </t>
  </si>
  <si>
    <t xml:space="preserve">Hanifa Kalla </t>
  </si>
  <si>
    <t xml:space="preserve">Kalla </t>
  </si>
  <si>
    <t>Hanifa Hamissou</t>
  </si>
  <si>
    <t xml:space="preserve">Halimatou Ousseini </t>
  </si>
  <si>
    <t xml:space="preserve">Ousseini Moussa </t>
  </si>
  <si>
    <t xml:space="preserve">Hanifa Saminou </t>
  </si>
  <si>
    <t>Kadidja Lawali</t>
  </si>
  <si>
    <t xml:space="preserve">Inscrite en CM 2 </t>
  </si>
  <si>
    <t xml:space="preserve">Malika Abdou </t>
  </si>
  <si>
    <t>Inscrite en C M 2</t>
  </si>
  <si>
    <t xml:space="preserve">Mouhoussina Hassan </t>
  </si>
  <si>
    <t xml:space="preserve">Hassan Zabeirou </t>
  </si>
  <si>
    <t xml:space="preserve">Maniba Moustapha </t>
  </si>
  <si>
    <t xml:space="preserve">Moustapha Hamissou </t>
  </si>
  <si>
    <t xml:space="preserve">Maryam Ousmane </t>
  </si>
  <si>
    <t xml:space="preserve">Ousmane </t>
  </si>
  <si>
    <t xml:space="preserve">Madjida Abdou </t>
  </si>
  <si>
    <t xml:space="preserve">Abdou Souleymane </t>
  </si>
  <si>
    <t>Nidja'atou Rabé</t>
  </si>
  <si>
    <t xml:space="preserve">Rabé Nouhou </t>
  </si>
  <si>
    <t xml:space="preserve">Redoublante  </t>
  </si>
  <si>
    <t xml:space="preserve">Nadia Kabirou </t>
  </si>
  <si>
    <t xml:space="preserve">Kabirou </t>
  </si>
  <si>
    <t xml:space="preserve">Nafiissa Sani </t>
  </si>
  <si>
    <t xml:space="preserve">Na'ima Abdou </t>
  </si>
  <si>
    <t>Abdou Hamissou</t>
  </si>
  <si>
    <t>Nana Firdaoussi Yaou</t>
  </si>
  <si>
    <t xml:space="preserve">Yaou Moussa </t>
  </si>
  <si>
    <t xml:space="preserve">Ouzeifatou Tanimoune </t>
  </si>
  <si>
    <t xml:space="preserve">Tanimoune Amani </t>
  </si>
  <si>
    <t xml:space="preserve">Ouma Djamila Nafiou </t>
  </si>
  <si>
    <t xml:space="preserve">Oumeima Moustapha </t>
  </si>
  <si>
    <t xml:space="preserve">Moustapha </t>
  </si>
  <si>
    <t xml:space="preserve">Razina Ibrahim </t>
  </si>
  <si>
    <t xml:space="preserve">Roufaida Abdoulaye  </t>
  </si>
  <si>
    <t>Abdoulaye</t>
  </si>
  <si>
    <t xml:space="preserve">Rahila Sani </t>
  </si>
  <si>
    <t xml:space="preserve">Saoudé Sa'adou </t>
  </si>
  <si>
    <t xml:space="preserve">Sa'adou </t>
  </si>
  <si>
    <t xml:space="preserve">Soumaya Rabiou </t>
  </si>
  <si>
    <t xml:space="preserve">Rabiou </t>
  </si>
  <si>
    <t xml:space="preserve">Soura 1 </t>
  </si>
  <si>
    <t xml:space="preserve">Salima Issa </t>
  </si>
  <si>
    <t xml:space="preserve">Issa </t>
  </si>
  <si>
    <t xml:space="preserve">Zeinab Idrissa </t>
  </si>
  <si>
    <t xml:space="preserve">Idrissa </t>
  </si>
  <si>
    <t xml:space="preserve">Soura Magadji Rogo </t>
  </si>
  <si>
    <t xml:space="preserve">Aminatou Salifou </t>
  </si>
  <si>
    <t xml:space="preserve">Salifou Oumarou </t>
  </si>
  <si>
    <t xml:space="preserve">Chérifa Maman </t>
  </si>
  <si>
    <t xml:space="preserve">Maman Moussa </t>
  </si>
  <si>
    <t xml:space="preserve">Habsia Laouali </t>
  </si>
  <si>
    <t>Laouali Kaini</t>
  </si>
  <si>
    <t xml:space="preserve">Habsatou Saminou </t>
  </si>
  <si>
    <t xml:space="preserve">Saminou Maman </t>
  </si>
  <si>
    <t>Hassana Tsahirou</t>
  </si>
  <si>
    <t>Tsahirou Maman</t>
  </si>
  <si>
    <t>Harouna Ibrahim</t>
  </si>
  <si>
    <t>Maryam Hadi</t>
  </si>
  <si>
    <t>Hadi</t>
  </si>
  <si>
    <t xml:space="preserve">Mariama Issaka </t>
  </si>
  <si>
    <t xml:space="preserve"> Issaka </t>
  </si>
  <si>
    <t xml:space="preserve">Mariama Saminou </t>
  </si>
  <si>
    <t xml:space="preserve">Saminou </t>
  </si>
  <si>
    <t xml:space="preserve">Majida Rabiou </t>
  </si>
  <si>
    <t xml:space="preserve">Nafissa Abdou </t>
  </si>
  <si>
    <t>Roufaida Adamou</t>
  </si>
  <si>
    <t xml:space="preserve">Roufaida Salissou  </t>
  </si>
  <si>
    <t xml:space="preserve">Salissou Garba </t>
  </si>
  <si>
    <t xml:space="preserve">Salissou Abdou </t>
  </si>
  <si>
    <t xml:space="preserve">Safaraou Rabiou </t>
  </si>
  <si>
    <t>Rabiou</t>
  </si>
  <si>
    <t xml:space="preserve">Wassila Harouna </t>
  </si>
  <si>
    <t xml:space="preserve">Zoulhatou Achirou </t>
  </si>
  <si>
    <t xml:space="preserve">Achirou Salifou </t>
  </si>
  <si>
    <t>Aicha Harouna</t>
  </si>
  <si>
    <t>Harouna Moussa</t>
  </si>
  <si>
    <t>Abida Saidou</t>
  </si>
  <si>
    <t>Saidou Kane</t>
  </si>
  <si>
    <t>Barira Souley</t>
  </si>
  <si>
    <t>Souley Moussa</t>
  </si>
  <si>
    <t>Halissa Moussa</t>
  </si>
  <si>
    <t>Moussa Kane</t>
  </si>
  <si>
    <t>Hafiza Aminou</t>
  </si>
  <si>
    <t>Aminou Abarchi</t>
  </si>
  <si>
    <t>Halissa Abdou</t>
  </si>
  <si>
    <t>Karima Saidou</t>
  </si>
  <si>
    <t>Kadidja Issaka</t>
  </si>
  <si>
    <t>Issaka Ada</t>
  </si>
  <si>
    <t>Mabarouka Mamane</t>
  </si>
  <si>
    <t>Mamane labo</t>
  </si>
  <si>
    <t>Maria Ibrahim</t>
  </si>
  <si>
    <t>Ibrahim Bako</t>
  </si>
  <si>
    <t>Nouseiba Zaberou</t>
  </si>
  <si>
    <t>Zaberou Kane</t>
  </si>
  <si>
    <t>Sakina Saidou</t>
  </si>
  <si>
    <t>Hamza Kane</t>
  </si>
  <si>
    <t>Zina Issa</t>
  </si>
  <si>
    <t>Issa Elh Maino</t>
  </si>
  <si>
    <t>Zeinab Ousmane</t>
  </si>
  <si>
    <t>Ousmane Oumarou</t>
  </si>
  <si>
    <t>Aminou Rabe</t>
  </si>
  <si>
    <t>Fatsouma Inoussa</t>
  </si>
  <si>
    <t>Hadjara Hassan</t>
  </si>
  <si>
    <t>Hassan Kane</t>
  </si>
  <si>
    <t>Hannatou Sanoussi</t>
  </si>
  <si>
    <t>Haouaou Bassirou</t>
  </si>
  <si>
    <t>Bassirou Ibrahim</t>
  </si>
  <si>
    <t>Loubabatou Aboubacar</t>
  </si>
  <si>
    <t>Aboubacar</t>
  </si>
  <si>
    <t>Nana Farida Rabiou</t>
  </si>
  <si>
    <t>Rabiou Harouna</t>
  </si>
  <si>
    <t>Nadia Abass</t>
  </si>
  <si>
    <t>Abass Kane</t>
  </si>
  <si>
    <t>Roukaya Adamou</t>
  </si>
  <si>
    <t>Adamou Kane</t>
  </si>
  <si>
    <t>Ramatou Laouli</t>
  </si>
  <si>
    <t>Saratou Issaka</t>
  </si>
  <si>
    <t>Issaka Ousmane</t>
  </si>
  <si>
    <t>Zeinab Mahaman</t>
  </si>
  <si>
    <t>Fatima Salissou</t>
  </si>
  <si>
    <t>salissou</t>
  </si>
  <si>
    <t>Kodéraoua</t>
  </si>
  <si>
    <t>Djirataoua</t>
  </si>
  <si>
    <t>Aicha mamouda</t>
  </si>
  <si>
    <t>Mamouda</t>
  </si>
  <si>
    <t>Aicha Abdoulahi</t>
  </si>
  <si>
    <t>Aboulahi Adamou</t>
  </si>
  <si>
    <t>Alhari Moussa</t>
  </si>
  <si>
    <t>Moussa Laouli</t>
  </si>
  <si>
    <t>Amira Saley</t>
  </si>
  <si>
    <t>Asmaou tsahirou</t>
  </si>
  <si>
    <t>Tsahirou</t>
  </si>
  <si>
    <t>Aicha hamissou</t>
  </si>
  <si>
    <t>Hamissou Moussa</t>
  </si>
  <si>
    <t>Aicha Rabiou</t>
  </si>
  <si>
    <t>Rabiou Moussa</t>
  </si>
  <si>
    <t>Basira Garba</t>
  </si>
  <si>
    <t>Garba Issa</t>
  </si>
  <si>
    <t>Chaffa Salisou</t>
  </si>
  <si>
    <t>salisou Harouna</t>
  </si>
  <si>
    <t>Fati issa</t>
  </si>
  <si>
    <t>Issa Maman</t>
  </si>
  <si>
    <t>Farilla Chaibou</t>
  </si>
  <si>
    <t>Chaibou Harou</t>
  </si>
  <si>
    <t>Fati Mahaman</t>
  </si>
  <si>
    <t>Fatsouma Souley</t>
  </si>
  <si>
    <t>Souley Harouna</t>
  </si>
  <si>
    <t>Fozia Rabe</t>
  </si>
  <si>
    <t>Rabe dan Daouda</t>
  </si>
  <si>
    <t>Halissa Salissou</t>
  </si>
  <si>
    <t>Hassia Saley</t>
  </si>
  <si>
    <t>Saley Garba</t>
  </si>
  <si>
    <t>Hamida Salissou</t>
  </si>
  <si>
    <t>Kadidja Issoufou</t>
  </si>
  <si>
    <t>Issoufou Rabo</t>
  </si>
  <si>
    <t>Kadidja Roufai</t>
  </si>
  <si>
    <t>Roufai</t>
  </si>
  <si>
    <t>Mariama Labo</t>
  </si>
  <si>
    <t>Labo Issa</t>
  </si>
  <si>
    <t>Sani Issa</t>
  </si>
  <si>
    <t>Oumera Sani</t>
  </si>
  <si>
    <t>Ouma Ali</t>
  </si>
  <si>
    <t>Ali yahaya</t>
  </si>
  <si>
    <t>Rabila Issoufou</t>
  </si>
  <si>
    <t>Issoufou Abdou</t>
  </si>
  <si>
    <t>Rahamatou Issaka</t>
  </si>
  <si>
    <t>Issaka Moussa</t>
  </si>
  <si>
    <t>Ousman Salifou</t>
  </si>
  <si>
    <t>Ramma Ousman</t>
  </si>
  <si>
    <t>Rabi Ousman</t>
  </si>
  <si>
    <t>Ousman Laouli</t>
  </si>
  <si>
    <t>Rabila Tasiou</t>
  </si>
  <si>
    <t>Tasiou Issa</t>
  </si>
  <si>
    <t>Rachida Rabe</t>
  </si>
  <si>
    <t>Rabe Amadou</t>
  </si>
  <si>
    <t>Safawila Issa</t>
  </si>
  <si>
    <t>Issa Mahaman</t>
  </si>
  <si>
    <t>Souraya Laouli</t>
  </si>
  <si>
    <t>Laouli Garba</t>
  </si>
  <si>
    <t>Soumaya Laminou</t>
  </si>
  <si>
    <t>Laminou Mani</t>
  </si>
  <si>
    <t>Souleymane Dan Moussa</t>
  </si>
  <si>
    <t>Souraya Souleymane</t>
  </si>
  <si>
    <t>Saadou Moussa</t>
  </si>
  <si>
    <t>Hamissou Oumarou</t>
  </si>
  <si>
    <t>Salamatou Sani</t>
  </si>
  <si>
    <t>Sabila Salissou</t>
  </si>
  <si>
    <t>Tabita Ichaya</t>
  </si>
  <si>
    <t>Ichaya Yahaya</t>
  </si>
  <si>
    <t>Yassira Ibrahim</t>
  </si>
  <si>
    <t>Ibrahim Baraou</t>
  </si>
  <si>
    <t>Zeinab Yaou</t>
  </si>
  <si>
    <t>Yaou Ousmane</t>
  </si>
  <si>
    <t>Zeinab Rabe</t>
  </si>
  <si>
    <t>Rabe Inoussa</t>
  </si>
  <si>
    <t>Zouera Labo</t>
  </si>
  <si>
    <t>Zahariya Salissou</t>
  </si>
  <si>
    <t>Salissou Issoufou</t>
  </si>
  <si>
    <t>Zeinab Achirou</t>
  </si>
  <si>
    <t>Danja 1</t>
  </si>
  <si>
    <t>Abida Ichaou</t>
  </si>
  <si>
    <t>Ichaou Danja</t>
  </si>
  <si>
    <t xml:space="preserve">Azima Souley </t>
  </si>
  <si>
    <t>Souley Maman</t>
  </si>
  <si>
    <t xml:space="preserve">Aicha Saminou </t>
  </si>
  <si>
    <t>Saminou Abdou</t>
  </si>
  <si>
    <t>Chamsiya Abdou</t>
  </si>
  <si>
    <t>Chamsiya Garba</t>
  </si>
  <si>
    <t>Garba Moussa</t>
  </si>
  <si>
    <t>Farida Chaibou</t>
  </si>
  <si>
    <t>Chaibou Mani</t>
  </si>
  <si>
    <t>Florence Illa</t>
  </si>
  <si>
    <t>Illa Hamidou</t>
  </si>
  <si>
    <t>Habsatou Ibrahim</t>
  </si>
  <si>
    <t>Ibrahim Aboubacar</t>
  </si>
  <si>
    <t>Hannatou Adamou</t>
  </si>
  <si>
    <t>Adamou Mahaman</t>
  </si>
  <si>
    <t xml:space="preserve">Haouaou Ayouba </t>
  </si>
  <si>
    <t>Ayouba Djibo</t>
  </si>
  <si>
    <t>Jokebed Ayouba</t>
  </si>
  <si>
    <t>Ayouba Aboubacar</t>
  </si>
  <si>
    <t>Jazoua Bachar</t>
  </si>
  <si>
    <t>Bachar Abdou</t>
  </si>
  <si>
    <t>Koursia  Zabeirou</t>
  </si>
  <si>
    <t>Zabeirou Raza</t>
  </si>
  <si>
    <t>Kadidja Chaibou</t>
  </si>
  <si>
    <t>Chaibou Miko</t>
  </si>
  <si>
    <t xml:space="preserve">Mouhousina Hassan </t>
  </si>
  <si>
    <t>Hassan Yahaya</t>
  </si>
  <si>
    <t>Maryama Ibrahim</t>
  </si>
  <si>
    <t>Ibrahim Chaibou</t>
  </si>
  <si>
    <t>Maraliya Issoufou</t>
  </si>
  <si>
    <t>Issoufou Ranaw</t>
  </si>
  <si>
    <t>Nadia Bassirou</t>
  </si>
  <si>
    <t>Bassirou Maman</t>
  </si>
  <si>
    <t>Nadia Abdou</t>
  </si>
  <si>
    <t>Abdou Nouhou</t>
  </si>
  <si>
    <t>Ouma Salma Aboubacar</t>
  </si>
  <si>
    <t>Aboubacar Moussa</t>
  </si>
  <si>
    <t>Rahima Elh Abdou</t>
  </si>
  <si>
    <t>Ramlatou Laouli</t>
  </si>
  <si>
    <t>Laouli Sani</t>
  </si>
  <si>
    <t>Elh Abdou Maman</t>
  </si>
  <si>
    <t>Roubara Garba</t>
  </si>
  <si>
    <t xml:space="preserve">Garba </t>
  </si>
  <si>
    <t>Roufaida Iro</t>
  </si>
  <si>
    <t>Iro Moussa</t>
  </si>
  <si>
    <t>Issaka Issa</t>
  </si>
  <si>
    <t>sawdiya Sani</t>
  </si>
  <si>
    <t>Sani Garba</t>
  </si>
  <si>
    <t>Salima Amadou</t>
  </si>
  <si>
    <t>Amadou Labo</t>
  </si>
  <si>
    <t>Sindiki Ali</t>
  </si>
  <si>
    <t>Ali Mati</t>
  </si>
  <si>
    <t>Walida Idi</t>
  </si>
  <si>
    <t>Idi Maman</t>
  </si>
  <si>
    <t>Mountari Issaka</t>
  </si>
  <si>
    <t>Danja 2</t>
  </si>
  <si>
    <t>affnan Sahabi</t>
  </si>
  <si>
    <t>Sahabi</t>
  </si>
  <si>
    <t>Amira Souley</t>
  </si>
  <si>
    <t>Souley garba</t>
  </si>
  <si>
    <t>Oumarou Hamidou</t>
  </si>
  <si>
    <t>Assanate Oumarou</t>
  </si>
  <si>
    <t>Azima Aminou</t>
  </si>
  <si>
    <t>Aminou Oumarou</t>
  </si>
  <si>
    <t>Baasiya</t>
  </si>
  <si>
    <t>Iro Issa</t>
  </si>
  <si>
    <t>Basira Ibrahim</t>
  </si>
  <si>
    <t>Ibrahim Karimou</t>
  </si>
  <si>
    <t>Badaria Laouli</t>
  </si>
  <si>
    <t>Binta Yahaya</t>
  </si>
  <si>
    <t>Yahaya bakoye</t>
  </si>
  <si>
    <t>Chikouriya Yahouza</t>
  </si>
  <si>
    <t>Yahouza Issoufou</t>
  </si>
  <si>
    <t>Djamila Laouli</t>
  </si>
  <si>
    <t>Laouli Moussa</t>
  </si>
  <si>
    <t>Fadila Allassan</t>
  </si>
  <si>
    <t>Allassan Mamane</t>
  </si>
  <si>
    <t>Fatiha Laouli</t>
  </si>
  <si>
    <t>Habsiya Salissou</t>
  </si>
  <si>
    <t>Salissou Chaibou</t>
  </si>
  <si>
    <t>Kadidja Garba</t>
  </si>
  <si>
    <t>Garba Issoufou</t>
  </si>
  <si>
    <t>Kadija Mamane</t>
  </si>
  <si>
    <t>Mamane hansi</t>
  </si>
  <si>
    <t>Louwana Yacouba</t>
  </si>
  <si>
    <t>Yacouba Mamane</t>
  </si>
  <si>
    <t>Lantana Garba</t>
  </si>
  <si>
    <t>Garba Abdou</t>
  </si>
  <si>
    <t>Marfoua Garba</t>
  </si>
  <si>
    <t>Garba sani</t>
  </si>
  <si>
    <t>Manira Ali</t>
  </si>
  <si>
    <t>Ali Sani</t>
  </si>
  <si>
    <t>Maryama Aminou</t>
  </si>
  <si>
    <t>Nafissa Laminou</t>
  </si>
  <si>
    <t>Laminou Moussa</t>
  </si>
  <si>
    <t>Nadjibatou Abdoul Salam</t>
  </si>
  <si>
    <t>Abdoul Salam Chaibou</t>
  </si>
  <si>
    <t>Naima Harouna</t>
  </si>
  <si>
    <t>Harouna Mamane</t>
  </si>
  <si>
    <t>Ramatou samaila</t>
  </si>
  <si>
    <t>Samaila</t>
  </si>
  <si>
    <t>Rahiba Abdou</t>
  </si>
  <si>
    <t>Abdou Chaibou</t>
  </si>
  <si>
    <t>Laouli Dan Moa</t>
  </si>
  <si>
    <t>Roufaida Moussa</t>
  </si>
  <si>
    <t>Rachida Issa</t>
  </si>
  <si>
    <t>Siyama Souley</t>
  </si>
  <si>
    <t>Samira Oumarou</t>
  </si>
  <si>
    <t>Oumarou Moussa</t>
  </si>
  <si>
    <t>El Kokia</t>
  </si>
  <si>
    <t>Rabe Naino</t>
  </si>
  <si>
    <t>Aicha Rabe</t>
  </si>
  <si>
    <t>Aicha Garba</t>
  </si>
  <si>
    <t>Garba</t>
  </si>
  <si>
    <t>Badarika Achirou</t>
  </si>
  <si>
    <t>Barira Issoufou</t>
  </si>
  <si>
    <t>Issoufou</t>
  </si>
  <si>
    <t>Bacharia yaou</t>
  </si>
  <si>
    <t>01-01-2009 a El Kokia</t>
  </si>
  <si>
    <t>Baria Hamidou</t>
  </si>
  <si>
    <t>Chaawa Moussa</t>
  </si>
  <si>
    <t>Chamsiya Saadou</t>
  </si>
  <si>
    <t>Saadou</t>
  </si>
  <si>
    <t>Chappa  Hassan</t>
  </si>
  <si>
    <t>Hassan</t>
  </si>
  <si>
    <t>Fatiha Sani</t>
  </si>
  <si>
    <t>Harira Saadou</t>
  </si>
  <si>
    <t>Haouaou Souley</t>
  </si>
  <si>
    <t>11-05-2009 a El Kokia</t>
  </si>
  <si>
    <t>Hadiza Issoufou</t>
  </si>
  <si>
    <t>Kadidja Saidou</t>
  </si>
  <si>
    <t>Saidou</t>
  </si>
  <si>
    <t>Yahaya</t>
  </si>
  <si>
    <t>Kabinatou Sani</t>
  </si>
  <si>
    <t>25-08-2010 a El Kokia</t>
  </si>
  <si>
    <t>kanamatou Yahaya</t>
  </si>
  <si>
    <t>kadidja Laouli</t>
  </si>
  <si>
    <t>Koubra Laouli</t>
  </si>
  <si>
    <t>Laouli Tanko</t>
  </si>
  <si>
    <t>Leianatou Chamsou</t>
  </si>
  <si>
    <t>Madjida Hassan</t>
  </si>
  <si>
    <t>Maiya Oumarou</t>
  </si>
  <si>
    <t>Massaouda Issa</t>
  </si>
  <si>
    <t>Maaroufa Ibrahim</t>
  </si>
  <si>
    <t>Nazira Hassan</t>
  </si>
  <si>
    <t>Nana Mounawara Rabe</t>
  </si>
  <si>
    <t>Rabe Naiou</t>
  </si>
  <si>
    <t xml:space="preserve">Nana Firdaoussi Inoussi </t>
  </si>
  <si>
    <t>Ouma khairou saadou</t>
  </si>
  <si>
    <t>Saadou Laouli</t>
  </si>
  <si>
    <t>Oumera Maazou</t>
  </si>
  <si>
    <t>Rachida Inoussa</t>
  </si>
  <si>
    <t>ramla Inoussa</t>
  </si>
  <si>
    <t>Saadia Moussa</t>
  </si>
  <si>
    <t>Tchouma Issaka</t>
  </si>
  <si>
    <t>Iyaro Tsahirou</t>
  </si>
  <si>
    <t>Zaliha Saadou</t>
  </si>
  <si>
    <t>Zakiya Idi</t>
  </si>
  <si>
    <t>Sabon gari kolta</t>
  </si>
  <si>
    <t>Aicha Laminou</t>
  </si>
  <si>
    <t>Laminou</t>
  </si>
  <si>
    <t>Choukouria Oumarou</t>
  </si>
  <si>
    <t>Djamila Issa</t>
  </si>
  <si>
    <t>Djamila Ibrahim</t>
  </si>
  <si>
    <t>Firdaoussi Abdou</t>
  </si>
  <si>
    <t>Faouzia Abdou</t>
  </si>
  <si>
    <t>Fadila Abdou</t>
  </si>
  <si>
    <t>Fatchima Harouna</t>
  </si>
  <si>
    <t>Fatchima Oumarou</t>
  </si>
  <si>
    <t>Fassima Abdoulahie</t>
  </si>
  <si>
    <t>Abdoulahie</t>
  </si>
  <si>
    <t>Haouaou Abdou</t>
  </si>
  <si>
    <t>Haoua Laouli</t>
  </si>
  <si>
    <t>Hadjara Oumarou</t>
  </si>
  <si>
    <t>Habsatou Oumarou</t>
  </si>
  <si>
    <t>Maraliya Hassan</t>
  </si>
  <si>
    <t>Nijaatou Maman</t>
  </si>
  <si>
    <t>Najabia Laouli</t>
  </si>
  <si>
    <t>Nazira Sani</t>
  </si>
  <si>
    <t>Nana Rassida Ibrahim</t>
  </si>
  <si>
    <t>Naseiba Sani</t>
  </si>
  <si>
    <t>Nadia Oumarou</t>
  </si>
  <si>
    <t>Rabila Abdou</t>
  </si>
  <si>
    <t>Zoulfatou Maarouf</t>
  </si>
  <si>
    <t>Maarouf</t>
  </si>
  <si>
    <t>Atchidakofoto bilingue</t>
  </si>
  <si>
    <t>Bacharia Salissou</t>
  </si>
  <si>
    <t>Salissou Illia</t>
  </si>
  <si>
    <t xml:space="preserve">Fatila Laminou </t>
  </si>
  <si>
    <t>Laminou Laouli</t>
  </si>
  <si>
    <t>Tassiou Maazou</t>
  </si>
  <si>
    <t>Harissa Zeiya</t>
  </si>
  <si>
    <t>Zeiya Ousmane</t>
  </si>
  <si>
    <t>Masharoufa Fallalou</t>
  </si>
  <si>
    <t>Fallalou Abdou</t>
  </si>
  <si>
    <t xml:space="preserve">Mansoura Kabirou </t>
  </si>
  <si>
    <t>Kabirou Abdou</t>
  </si>
  <si>
    <t>Marsila Maman</t>
  </si>
  <si>
    <t>Nana Marsila Abache</t>
  </si>
  <si>
    <t>Abache Abdou</t>
  </si>
  <si>
    <t>Nana Firdaoussi Yacouba</t>
  </si>
  <si>
    <t>Yacouba Zabeirou</t>
  </si>
  <si>
    <t>Harissou Maazou</t>
  </si>
  <si>
    <t>Rapia Soufianou</t>
  </si>
  <si>
    <t>Soufianou Garba</t>
  </si>
  <si>
    <t xml:space="preserve">Yazida Ouseini </t>
  </si>
  <si>
    <t>Ousseini Garba</t>
  </si>
  <si>
    <t>Zeinab Issia Illa</t>
  </si>
  <si>
    <t>Issia Illa</t>
  </si>
  <si>
    <t>Namaroua</t>
  </si>
  <si>
    <t>Basira Tsahirou</t>
  </si>
  <si>
    <t>Tsahirou Djibo</t>
  </si>
  <si>
    <t xml:space="preserve">Basira Saminou </t>
  </si>
  <si>
    <t>Saminou Ibrahim</t>
  </si>
  <si>
    <t>Baraka Hamza</t>
  </si>
  <si>
    <t>Hamza Soumeila</t>
  </si>
  <si>
    <t>Chamsiya Hassan</t>
  </si>
  <si>
    <t>Hassa Issaka</t>
  </si>
  <si>
    <t>Fasima sale</t>
  </si>
  <si>
    <t>sale Issaka</t>
  </si>
  <si>
    <t xml:space="preserve">Fourera sale </t>
  </si>
  <si>
    <t xml:space="preserve">Fourea Hassan </t>
  </si>
  <si>
    <t>Hassan Adamou</t>
  </si>
  <si>
    <t>Hanna sabiou</t>
  </si>
  <si>
    <t>Sabiou Saadou</t>
  </si>
  <si>
    <t xml:space="preserve">Harira Yaou </t>
  </si>
  <si>
    <t>Yaou Garba Labo</t>
  </si>
  <si>
    <t xml:space="preserve">Hassana Maman </t>
  </si>
  <si>
    <t>Maman Djibril</t>
  </si>
  <si>
    <t xml:space="preserve">Laure Tsalha </t>
  </si>
  <si>
    <t>Tsalha Maman</t>
  </si>
  <si>
    <t xml:space="preserve">Mansoura Sani Saadou </t>
  </si>
  <si>
    <t>Sani Saadou</t>
  </si>
  <si>
    <t xml:space="preserve">Mabarou chaibou </t>
  </si>
  <si>
    <t>Chaibou djibo</t>
  </si>
  <si>
    <t>Nazifa saidou</t>
  </si>
  <si>
    <t>Saidou Issaka</t>
  </si>
  <si>
    <t>Nafissa Rabiou</t>
  </si>
  <si>
    <t>Rabiou Idrissa</t>
  </si>
  <si>
    <t>Nouria Yacouba</t>
  </si>
  <si>
    <t>Yacouba Labo</t>
  </si>
  <si>
    <t xml:space="preserve">Naima Chitou </t>
  </si>
  <si>
    <t>Chitou Sani</t>
  </si>
  <si>
    <t xml:space="preserve">Roufaida Saidou </t>
  </si>
  <si>
    <t>Razina Amadou</t>
  </si>
  <si>
    <t>Amadou Ibrahim</t>
  </si>
  <si>
    <t xml:space="preserve">Rabi Yacouba </t>
  </si>
  <si>
    <t>Yacouba Garba</t>
  </si>
  <si>
    <t xml:space="preserve">Samira Maman </t>
  </si>
  <si>
    <t>Maman Ibrahim</t>
  </si>
  <si>
    <t xml:space="preserve">Tsahara Ousseini </t>
  </si>
  <si>
    <t>Ousseini Adamou</t>
  </si>
  <si>
    <t>Yesmina Sani</t>
  </si>
  <si>
    <t>Zina Sabiou</t>
  </si>
  <si>
    <t>Sabiou Issaka</t>
  </si>
  <si>
    <t>Zeinab Illa Sani</t>
  </si>
  <si>
    <t>Illa Sani</t>
  </si>
  <si>
    <t>Takalmaoua 1</t>
  </si>
  <si>
    <t>Azima Allassan</t>
  </si>
  <si>
    <t>Allasan</t>
  </si>
  <si>
    <t>Binta Malan Chaibou</t>
  </si>
  <si>
    <t>Chaibou</t>
  </si>
  <si>
    <t>Kadidja Kassoum</t>
  </si>
  <si>
    <t>Kassoum</t>
  </si>
  <si>
    <t>Nazira Saadou</t>
  </si>
  <si>
    <t>Nana Hadiza Habou</t>
  </si>
  <si>
    <t>Habou</t>
  </si>
  <si>
    <t>Firdaoussi Rabe</t>
  </si>
  <si>
    <t>Rabe</t>
  </si>
  <si>
    <t>Nadia Badamasi</t>
  </si>
  <si>
    <t>Badamasi</t>
  </si>
  <si>
    <t>Anifa Issoufou</t>
  </si>
  <si>
    <t>Rafia Abdou</t>
  </si>
  <si>
    <t>Maryama Issaka</t>
  </si>
  <si>
    <t>Halima Harouna</t>
  </si>
  <si>
    <t>Nazira Hamissou</t>
  </si>
  <si>
    <t>Bachara Issoufou</t>
  </si>
  <si>
    <t>Bachara Abdou</t>
  </si>
  <si>
    <t xml:space="preserve">Raya Harouna </t>
  </si>
  <si>
    <t>Hadiza Abdoul Madjid</t>
  </si>
  <si>
    <t>Abdoul Madjid</t>
  </si>
  <si>
    <t xml:space="preserve">Manira Issoufou </t>
  </si>
  <si>
    <t>Amira Salissou</t>
  </si>
  <si>
    <t>Maryama Rabiou</t>
  </si>
  <si>
    <t>Rafia Saidou</t>
  </si>
  <si>
    <t>Fadila Sanoussi</t>
  </si>
  <si>
    <t xml:space="preserve">Bacharia Ali </t>
  </si>
  <si>
    <t>Nazipa Illia</t>
  </si>
  <si>
    <t>Annass</t>
  </si>
  <si>
    <t>Zeinabou Annass</t>
  </si>
  <si>
    <t>Nana Ibrahim</t>
  </si>
  <si>
    <t>Ibrahim Oumarou</t>
  </si>
  <si>
    <t>Koubara Oumarou</t>
  </si>
  <si>
    <t>Oumarou Barmo</t>
  </si>
  <si>
    <t xml:space="preserve">Oumera Issaka </t>
  </si>
  <si>
    <t>Issaka Barmo</t>
  </si>
  <si>
    <t>Saparaou Idi</t>
  </si>
  <si>
    <t>Idi Komma</t>
  </si>
  <si>
    <t>01/01/2009 à Takalmaoua</t>
  </si>
  <si>
    <t>Zaharaou Souley</t>
  </si>
  <si>
    <t>Takalmaoua 2</t>
  </si>
  <si>
    <t>01/01/2008 à Takalmaoua</t>
  </si>
  <si>
    <t>Yasmina Issaka</t>
  </si>
  <si>
    <t>Laouali</t>
  </si>
  <si>
    <t>Wassila Laouali</t>
  </si>
  <si>
    <t>Nazifa Sani</t>
  </si>
  <si>
    <t xml:space="preserve">Yaou </t>
  </si>
  <si>
    <t>Mansoura Yaou</t>
  </si>
  <si>
    <t>01/01/2008 àTakalmaoua</t>
  </si>
  <si>
    <t>Laritou Abdou</t>
  </si>
  <si>
    <t>Illa</t>
  </si>
  <si>
    <t>Rafia Illa</t>
  </si>
  <si>
    <t>Rakia Abdou</t>
  </si>
  <si>
    <t>Housseina Hamissou</t>
  </si>
  <si>
    <t>Zayanou</t>
  </si>
  <si>
    <t>Habsia Zayanou</t>
  </si>
  <si>
    <t>Farida Samaila</t>
  </si>
  <si>
    <t>Larwanou</t>
  </si>
  <si>
    <t>Chamsia Larwanou</t>
  </si>
  <si>
    <t>Balki Illia</t>
  </si>
  <si>
    <t>Bassira Sahabi</t>
  </si>
  <si>
    <t>Ammatou Hamissou</t>
  </si>
  <si>
    <t>Sayabou</t>
  </si>
  <si>
    <t>28/09/2009 à Takamaoua</t>
  </si>
  <si>
    <t>Aichatou Sayabou</t>
  </si>
  <si>
    <t>Aminatou Sani</t>
  </si>
  <si>
    <t>Aminatou Moutari</t>
  </si>
  <si>
    <t>Aminatou Salissou</t>
  </si>
  <si>
    <t>Chamsssia Iro</t>
  </si>
  <si>
    <t>Iro</t>
  </si>
  <si>
    <t>Chawanatou Laouali</t>
  </si>
  <si>
    <t>Chamssia Soumaila</t>
  </si>
  <si>
    <t>Soumaila</t>
  </si>
  <si>
    <t>Djamila Mourtala</t>
  </si>
  <si>
    <t>Mourtala</t>
  </si>
  <si>
    <t>Fatsima Ibrahim</t>
  </si>
  <si>
    <t>Fatsima Oumarou</t>
  </si>
  <si>
    <t>Hapsatou Abdou Rahamane</t>
  </si>
  <si>
    <t>Abdou Rahamane</t>
  </si>
  <si>
    <t>Haouaou Salissou</t>
  </si>
  <si>
    <t>Ikilima Sani</t>
  </si>
  <si>
    <t>Kadidja Sani</t>
  </si>
  <si>
    <t>Kadidja Yahaya</t>
  </si>
  <si>
    <t>Kadidja Hamissou</t>
  </si>
  <si>
    <t>Malika Souley</t>
  </si>
  <si>
    <t>Mariam Laouali</t>
  </si>
  <si>
    <t>Nana Nadira Abou</t>
  </si>
  <si>
    <t>Nana Firdaoussi Maawouya</t>
  </si>
  <si>
    <t>Maawouya</t>
  </si>
  <si>
    <t>Nisseiba Salissou</t>
  </si>
  <si>
    <t>Nana Farida Idrissa</t>
  </si>
  <si>
    <t>Nana Farida Oumarou</t>
  </si>
  <si>
    <t>Ousseina Hamissou</t>
  </si>
  <si>
    <t>Razina Aboubacar</t>
  </si>
  <si>
    <t>Ramatou Bahari</t>
  </si>
  <si>
    <t>Bahari</t>
  </si>
  <si>
    <t>Salamatou Ousmane</t>
  </si>
  <si>
    <t>Ousmane</t>
  </si>
  <si>
    <t>Safaraou Bahari</t>
  </si>
  <si>
    <t>Sadiya Bala</t>
  </si>
  <si>
    <t>Bala</t>
  </si>
  <si>
    <t>Souraya Abdou Rahamane</t>
  </si>
  <si>
    <t>Souweba Ali</t>
  </si>
  <si>
    <t>Safaraou Mahamadou</t>
  </si>
  <si>
    <t>Mahamadou</t>
  </si>
  <si>
    <t>Youssira Sani</t>
  </si>
  <si>
    <t>Youssira Souleymane</t>
  </si>
  <si>
    <t>Souleymane</t>
  </si>
  <si>
    <t>Zeinab Mahamadou</t>
  </si>
  <si>
    <t>Mahamadou Rachid</t>
  </si>
  <si>
    <t>Colonne1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</si>
  <si>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</si>
  <si>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</si>
  <si>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</si>
  <si>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</si>
  <si>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</si>
  <si>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</si>
  <si>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</si>
  <si>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</si>
  <si>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</si>
  <si>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</si>
  <si>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</si>
  <si>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</si>
  <si>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</si>
  <si>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</si>
  <si>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</si>
  <si>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</si>
  <si>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</si>
  <si>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</si>
  <si>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</si>
  <si>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</si>
  <si>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</si>
  <si>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</si>
  <si>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</si>
  <si>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</si>
  <si>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</si>
  <si>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</si>
  <si>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</si>
  <si>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</si>
  <si>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</si>
  <si>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</si>
  <si>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</si>
  <si>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</si>
  <si>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</si>
  <si>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</si>
  <si>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</si>
  <si>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</si>
  <si>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</si>
  <si>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</si>
  <si>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</si>
  <si>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</si>
  <si>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</si>
  <si>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</si>
  <si>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</si>
  <si>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</si>
  <si>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</si>
  <si>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</si>
  <si>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</si>
  <si>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</si>
  <si>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</si>
  <si>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</si>
  <si>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</si>
  <si>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</si>
  <si>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</si>
  <si>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</si>
  <si>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</si>
  <si>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</si>
  <si>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</si>
  <si>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</si>
  <si>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</si>
  <si>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</si>
  <si>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</si>
  <si>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</si>
  <si>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</si>
  <si>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</si>
  <si>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</si>
  <si>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</si>
  <si>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</si>
  <si>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</si>
  <si>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</si>
  <si>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</si>
  <si>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</si>
  <si>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</si>
  <si>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</si>
  <si>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</si>
  <si>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</si>
  <si>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</si>
  <si>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</si>
  <si>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</si>
  <si>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</si>
  <si>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</si>
  <si>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</si>
  <si>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</si>
  <si>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</si>
  <si>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</si>
  <si>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</si>
  <si>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</si>
  <si>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</si>
  <si>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</si>
  <si>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</si>
  <si>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</si>
  <si>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</si>
  <si>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</si>
  <si>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</si>
  <si>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</si>
  <si>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</si>
  <si>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</si>
  <si>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</si>
  <si>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</si>
  <si>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</si>
  <si>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</si>
  <si>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</si>
  <si>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</si>
  <si>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</si>
  <si>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</si>
  <si>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</si>
  <si>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</si>
  <si>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</si>
  <si>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</si>
  <si>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</si>
  <si>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</si>
  <si>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</si>
  <si>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</si>
  <si>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</si>
  <si>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</si>
  <si>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</si>
  <si>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</si>
  <si>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</si>
  <si>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</si>
  <si>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</si>
  <si>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</si>
  <si>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</si>
  <si>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</si>
  <si>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</si>
  <si>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</si>
  <si>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</si>
  <si>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</si>
  <si>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</si>
  <si>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</si>
  <si>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</si>
  <si>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</si>
  <si>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</si>
  <si>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</si>
  <si>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</si>
  <si>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</si>
  <si>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</si>
  <si>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</si>
  <si>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</si>
  <si>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</si>
  <si>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</si>
  <si>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</si>
  <si>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</si>
  <si>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</si>
  <si>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</si>
  <si>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</si>
  <si>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</si>
  <si>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</si>
  <si>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</si>
  <si>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</si>
  <si>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</si>
  <si>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</si>
  <si>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</si>
  <si>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</si>
  <si>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</si>
  <si>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</si>
  <si>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</si>
  <si>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</si>
  <si>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</si>
  <si>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</si>
  <si>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</si>
  <si>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</si>
  <si>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</si>
  <si>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</si>
  <si>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</si>
  <si>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</si>
  <si>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</si>
  <si>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</si>
  <si>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</si>
  <si>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</si>
  <si>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</si>
  <si>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</si>
  <si>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</si>
  <si>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</si>
  <si>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</si>
  <si>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</si>
  <si>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</si>
  <si>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</si>
  <si>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</si>
  <si>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</si>
  <si>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</si>
  <si>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</si>
  <si>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</si>
  <si>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</si>
  <si>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</si>
  <si>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</si>
  <si>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</si>
  <si>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</si>
  <si>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</si>
  <si>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</si>
  <si>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</si>
  <si>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</si>
  <si>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</si>
  <si>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</si>
  <si>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</si>
  <si>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</si>
  <si>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</si>
  <si>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</si>
  <si>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</si>
  <si>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</si>
  <si>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</si>
  <si>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</si>
  <si>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</si>
  <si>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</si>
  <si>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</si>
  <si>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</si>
  <si>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</si>
  <si>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</si>
  <si>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</si>
  <si>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</si>
  <si>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</si>
  <si>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</si>
  <si>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</si>
  <si>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</si>
  <si>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</si>
  <si>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</si>
  <si>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</si>
  <si>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</si>
  <si>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</si>
  <si>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</si>
  <si>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</si>
  <si>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</si>
  <si>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</si>
  <si>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</si>
  <si>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</si>
  <si>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</si>
  <si>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</si>
  <si>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</si>
  <si>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</si>
  <si>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</si>
  <si>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</si>
  <si>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</si>
  <si>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</si>
  <si>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</si>
  <si>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</si>
  <si>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</si>
  <si>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</si>
  <si>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</si>
  <si>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</si>
  <si>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</si>
  <si>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</si>
  <si>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</si>
  <si>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</si>
  <si>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</si>
  <si>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</si>
  <si>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</si>
  <si>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</si>
  <si>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</si>
  <si>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</si>
  <si>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</si>
  <si>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</si>
  <si>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</si>
  <si>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</si>
  <si>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</si>
  <si>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</si>
  <si>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</si>
  <si>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</si>
  <si>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</si>
  <si>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</si>
  <si>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</si>
  <si>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</si>
  <si>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</si>
  <si>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</si>
  <si>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</si>
  <si>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</si>
  <si>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</si>
  <si>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</si>
  <si>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</si>
  <si>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</si>
  <si>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</si>
  <si>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</si>
  <si>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</si>
  <si>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</si>
  <si>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</si>
  <si>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</si>
  <si>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</si>
  <si>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</si>
  <si>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</si>
  <si>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</si>
  <si>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</si>
  <si>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</si>
  <si>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</si>
  <si>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</si>
  <si>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</si>
  <si>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</si>
  <si>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</si>
  <si>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</si>
  <si>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</si>
  <si>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</si>
  <si>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</si>
  <si>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</si>
  <si>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</si>
  <si>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</si>
  <si>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</si>
  <si>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</si>
  <si>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</si>
  <si>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</si>
  <si>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</si>
  <si>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</si>
  <si>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</si>
  <si>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</si>
  <si>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</si>
  <si>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</si>
  <si>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</si>
  <si>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</si>
  <si>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</si>
  <si>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</si>
  <si>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</si>
  <si>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</si>
  <si>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</si>
  <si>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</si>
  <si>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</si>
  <si>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</si>
  <si>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</si>
  <si>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</si>
  <si>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</si>
  <si>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</si>
  <si>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</si>
  <si>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</si>
  <si>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</si>
  <si>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</si>
  <si>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</si>
  <si>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</si>
  <si>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</si>
  <si>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</si>
  <si>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</si>
  <si>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</si>
  <si>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</si>
  <si>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</si>
  <si>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</si>
  <si>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</si>
  <si>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</si>
  <si>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</si>
  <si>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</si>
  <si>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</si>
  <si>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</si>
  <si>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</si>
  <si>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</si>
  <si>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</si>
  <si>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</si>
  <si>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</si>
  <si>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</si>
  <si>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</si>
  <si>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</si>
  <si>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</si>
  <si>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</si>
  <si>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</si>
  <si>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</si>
  <si>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</si>
  <si>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</si>
  <si>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</si>
  <si>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</si>
  <si>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</si>
  <si>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</si>
  <si>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</si>
  <si>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</si>
  <si>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</si>
  <si>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</si>
  <si>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</si>
  <si>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</si>
  <si>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</si>
  <si>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</si>
  <si>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</si>
  <si>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</si>
  <si>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</si>
  <si>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</si>
  <si>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</si>
  <si>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</si>
  <si>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</si>
  <si>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</si>
  <si>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</si>
  <si>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</si>
  <si>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</si>
  <si>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</si>
  <si>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</si>
  <si>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</si>
  <si>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</si>
  <si>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</si>
  <si>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</si>
  <si>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</si>
  <si>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</si>
  <si>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</si>
  <si>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</si>
  <si>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</si>
  <si>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</si>
  <si>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</si>
  <si>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</si>
  <si>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</si>
  <si>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</si>
  <si>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</si>
  <si>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</si>
  <si>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</si>
  <si>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</si>
  <si>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</si>
  <si>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</si>
  <si>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</si>
  <si>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</si>
  <si>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</si>
  <si>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</si>
  <si>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</si>
  <si>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</si>
  <si>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</si>
  <si>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</si>
  <si>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</si>
  <si>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</si>
  <si>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</si>
  <si>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</si>
  <si>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</si>
  <si>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</si>
  <si>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</si>
  <si>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</si>
  <si>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</si>
  <si>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</si>
  <si>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</si>
  <si>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</si>
  <si>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</si>
  <si>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</si>
  <si>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</si>
  <si>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</si>
  <si>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</si>
  <si>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</si>
  <si>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</si>
  <si>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</si>
  <si>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</si>
  <si>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</si>
  <si>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</si>
  <si>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</si>
  <si>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</si>
  <si>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</si>
  <si>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</si>
  <si>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</si>
  <si>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</si>
  <si>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</si>
  <si>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</si>
  <si>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</si>
  <si>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</si>
  <si>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</si>
  <si>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</si>
  <si>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</si>
  <si>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</si>
  <si>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</si>
  <si>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</si>
  <si>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</si>
  <si>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</si>
  <si>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</si>
  <si>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</si>
  <si>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</si>
  <si>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</si>
  <si>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</si>
  <si>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</si>
  <si>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</si>
  <si>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</si>
  <si>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</si>
  <si>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</si>
  <si>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</si>
  <si>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</si>
  <si>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</si>
  <si>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</si>
  <si>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</si>
  <si>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</si>
  <si>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</si>
  <si>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</si>
  <si>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</si>
  <si>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</si>
  <si>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</si>
  <si>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</si>
  <si>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</si>
  <si>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</si>
  <si>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</si>
  <si>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</si>
  <si>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</si>
  <si>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</si>
  <si>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</si>
  <si>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</si>
  <si>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</si>
  <si>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</si>
  <si>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</si>
  <si>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</si>
  <si>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</si>
  <si>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</si>
  <si>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</si>
  <si>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</si>
  <si>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</si>
  <si>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</si>
  <si>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</si>
  <si>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</si>
  <si>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</si>
  <si>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</si>
  <si>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</si>
  <si>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</si>
  <si>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</si>
  <si>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</si>
  <si>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</si>
  <si>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</si>
  <si>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</si>
  <si>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</si>
  <si>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</si>
  <si>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</si>
  <si>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</si>
  <si>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</si>
  <si>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</si>
  <si>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</si>
  <si>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</si>
  <si>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</si>
  <si>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</si>
  <si>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</si>
  <si>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</si>
  <si>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</si>
  <si>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</si>
  <si>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</si>
  <si>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</si>
  <si>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</si>
  <si>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</si>
  <si>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</si>
  <si>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</si>
  <si>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</si>
  <si>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</si>
  <si>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</si>
  <si>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</si>
  <si>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</si>
  <si>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</si>
  <si>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</si>
  <si>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</si>
  <si>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</si>
  <si>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</si>
  <si>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</si>
  <si>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</si>
  <si>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</si>
  <si>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</si>
  <si>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</si>
  <si>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</si>
  <si>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</si>
  <si>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</si>
  <si>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</si>
  <si>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</si>
  <si>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</si>
  <si>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</si>
  <si>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</si>
  <si>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</si>
  <si>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</si>
  <si>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</si>
  <si>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</si>
  <si>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</si>
  <si>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</si>
  <si>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</si>
  <si>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</si>
  <si>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</si>
  <si>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</si>
  <si>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</si>
  <si>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</si>
  <si>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</si>
  <si>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</si>
  <si>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</si>
  <si>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</si>
  <si>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</si>
  <si>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</si>
  <si>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</si>
  <si>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</si>
  <si>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</si>
  <si>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</si>
  <si>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</si>
  <si>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</si>
  <si>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</si>
  <si>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</si>
  <si>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</si>
  <si>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</si>
  <si>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</si>
  <si>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</si>
  <si>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</si>
  <si>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</si>
  <si>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</si>
  <si>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</si>
  <si>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</si>
  <si>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</si>
  <si>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</si>
  <si>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</si>
  <si>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</si>
  <si>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</si>
  <si>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</si>
  <si>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</si>
  <si>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</si>
  <si>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</si>
  <si>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</si>
  <si>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</si>
  <si>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</si>
  <si>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</si>
  <si>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</si>
  <si>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</si>
  <si>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</si>
  <si>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</si>
  <si>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</si>
  <si>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</si>
  <si>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</si>
  <si>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</si>
  <si>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</si>
  <si>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</si>
  <si>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</si>
  <si>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</si>
  <si>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</si>
  <si>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</si>
  <si>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</si>
  <si>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</si>
  <si>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</si>
  <si>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</si>
  <si>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</si>
  <si>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</si>
  <si>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</si>
  <si>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</si>
  <si>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</si>
  <si>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</si>
  <si>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</si>
  <si>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</si>
  <si>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</si>
  <si>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</si>
  <si>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</si>
  <si>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626</t>
  </si>
  <si>
    <t>627</t>
  </si>
  <si>
    <t>629</t>
  </si>
  <si>
    <t>630</t>
  </si>
  <si>
    <t>632</t>
  </si>
  <si>
    <t>633</t>
  </si>
  <si>
    <t>634</t>
  </si>
  <si>
    <t>635</t>
  </si>
  <si>
    <t>637</t>
  </si>
  <si>
    <t>638</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</si>
  <si>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</si>
  <si>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</si>
  <si>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</si>
  <si>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</si>
  <si>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</si>
  <si>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</si>
  <si>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</si>
  <si>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</si>
  <si>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</si>
  <si>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</si>
  <si>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</si>
  <si>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</si>
  <si>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</si>
  <si>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</si>
  <si>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</si>
  <si>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</si>
  <si>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</si>
  <si>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</si>
  <si>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</si>
  <si>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</si>
  <si>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</si>
  <si>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</si>
  <si>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</si>
  <si>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</si>
  <si>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</si>
  <si>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</si>
  <si>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</si>
  <si>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</si>
  <si>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</si>
  <si>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</si>
  <si>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</si>
  <si>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</si>
  <si>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</si>
  <si>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</si>
  <si>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</si>
  <si>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</si>
  <si>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</si>
  <si>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</si>
  <si>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</si>
  <si>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</si>
  <si>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</si>
  <si>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</si>
  <si>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</si>
  <si>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</si>
  <si>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</si>
  <si>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</si>
  <si>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</si>
  <si>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</si>
  <si>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</si>
  <si>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</si>
  <si>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</si>
  <si>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</si>
  <si>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</si>
  <si>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</si>
  <si>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</si>
  <si>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</si>
  <si>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</si>
  <si>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</si>
  <si>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</si>
  <si>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</si>
  <si>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</si>
  <si>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</si>
  <si>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</si>
  <si>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</si>
  <si>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</si>
  <si>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</si>
  <si>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</si>
  <si>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</si>
  <si>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</si>
  <si>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</si>
  <si>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</si>
  <si>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</si>
  <si>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</si>
  <si>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</si>
  <si>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</si>
  <si>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</si>
  <si>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</si>
  <si>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</si>
  <si>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</si>
  <si>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</si>
  <si>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</si>
  <si>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</si>
  <si>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</si>
  <si>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</si>
  <si>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</si>
  <si>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</si>
  <si>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</si>
  <si>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</si>
  <si>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</si>
  <si>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</si>
  <si>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</si>
  <si>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</si>
  <si>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</si>
  <si>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</si>
  <si>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</si>
  <si>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</si>
  <si>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</si>
  <si>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</si>
  <si>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</si>
  <si>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</si>
  <si>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</si>
  <si>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</si>
  <si>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</si>
  <si>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</si>
  <si>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</si>
  <si>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</si>
  <si>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</si>
  <si>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</si>
  <si>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</si>
  <si>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</si>
  <si>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</si>
  <si>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</si>
  <si>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</si>
  <si>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</si>
  <si>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</si>
  <si>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</si>
  <si>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</si>
  <si>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</si>
  <si>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</si>
  <si>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</si>
  <si>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</si>
  <si>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</si>
  <si>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</si>
  <si>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</si>
  <si>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</si>
  <si>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</si>
  <si>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</si>
  <si>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</si>
  <si>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</si>
  <si>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</si>
  <si>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</si>
  <si>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</si>
  <si>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</si>
  <si>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</si>
  <si>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</si>
  <si>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</si>
  <si>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</si>
  <si>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</si>
  <si>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</si>
  <si>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</si>
  <si>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</si>
  <si>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</si>
  <si>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</si>
  <si>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</si>
  <si>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</si>
  <si>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</si>
  <si>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</si>
  <si>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</si>
  <si>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</si>
  <si>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</si>
  <si>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</si>
  <si>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</si>
  <si>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</si>
  <si>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</si>
  <si>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</si>
  <si>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</si>
  <si>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</si>
  <si>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</si>
  <si>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</si>
  <si>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</si>
  <si>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</si>
  <si>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</si>
  <si>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</si>
  <si>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</si>
  <si>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</si>
  <si>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</si>
  <si>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</si>
  <si>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</si>
  <si>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</si>
  <si>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</si>
  <si>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</si>
  <si>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</si>
  <si>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</si>
  <si>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</si>
  <si>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</si>
  <si>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</si>
  <si>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</si>
  <si>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</si>
  <si>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</si>
  <si>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</si>
  <si>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</si>
  <si>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</si>
  <si>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</si>
  <si>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</si>
  <si>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</si>
  <si>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</si>
  <si>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</si>
  <si>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</si>
  <si>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</si>
  <si>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</si>
  <si>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</si>
  <si>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</si>
  <si>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</si>
  <si>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</si>
  <si>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</si>
  <si>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</si>
  <si>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</si>
  <si>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</si>
  <si>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</si>
  <si>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</si>
  <si>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</si>
  <si>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</si>
  <si>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</si>
  <si>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</si>
  <si>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</si>
  <si>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</si>
  <si>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</si>
  <si>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</si>
  <si>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</si>
  <si>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</si>
  <si>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</si>
  <si>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</si>
  <si>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</si>
  <si>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</si>
  <si>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</si>
  <si>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</si>
  <si>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</si>
  <si>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</si>
  <si>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</si>
  <si>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</si>
  <si>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</si>
  <si>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</si>
  <si>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</si>
  <si>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</si>
  <si>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</si>
  <si>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</si>
  <si>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</si>
  <si>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</si>
  <si>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</si>
  <si>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</si>
  <si>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</si>
  <si>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</si>
  <si>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</si>
  <si>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</si>
  <si>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</si>
  <si>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</si>
  <si>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</si>
  <si>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</si>
  <si>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</si>
  <si>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</si>
  <si>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</si>
  <si>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</si>
  <si>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</si>
  <si>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</si>
  <si>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</si>
  <si>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</si>
  <si>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</si>
  <si>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</si>
  <si>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</si>
  <si>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</si>
  <si>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</si>
  <si>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</si>
  <si>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</si>
  <si>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</si>
  <si>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</si>
  <si>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</si>
  <si>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</si>
  <si>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</si>
  <si>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</si>
  <si>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</si>
  <si>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</si>
  <si>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</si>
  <si>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</si>
  <si>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</si>
  <si>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</si>
  <si>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</si>
  <si>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</si>
  <si>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</si>
  <si>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</si>
  <si>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</si>
  <si>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</si>
  <si>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</si>
  <si>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</si>
  <si>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</si>
  <si>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</si>
  <si>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</si>
  <si>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</si>
  <si>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</si>
  <si>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</si>
  <si>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</si>
  <si>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</si>
  <si>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</si>
  <si>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</si>
  <si>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</si>
  <si>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</si>
  <si>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</si>
  <si>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</si>
  <si>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</si>
  <si>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</si>
  <si>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</si>
  <si>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</si>
  <si>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</si>
  <si>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</si>
  <si>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</si>
  <si>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</si>
  <si>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</si>
  <si>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</si>
  <si>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</si>
  <si>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</si>
  <si>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</si>
  <si>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</si>
  <si>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</si>
  <si>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</si>
  <si>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</si>
  <si>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</si>
  <si>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</si>
  <si>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</si>
  <si>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</si>
  <si>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</si>
  <si>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</si>
  <si>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</si>
  <si>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</si>
  <si>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</si>
  <si>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</si>
  <si>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</si>
  <si>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959</t>
  </si>
  <si>
    <t>960</t>
  </si>
  <si>
    <t>961</t>
  </si>
  <si>
    <t>962</t>
  </si>
  <si>
    <t>963</t>
  </si>
  <si>
    <t>964</t>
  </si>
  <si>
    <t>965</t>
  </si>
  <si>
    <t>966</t>
  </si>
  <si>
    <t>Safo El Mougou</t>
  </si>
  <si>
    <t>Bassira Rabiou</t>
  </si>
  <si>
    <t>Rabiou Garba</t>
  </si>
  <si>
    <t>Safo</t>
  </si>
  <si>
    <t>Chamsiya Falalou</t>
  </si>
  <si>
    <t>Falalou Baraiwe</t>
  </si>
  <si>
    <t>Chamsiya  Abdou</t>
  </si>
  <si>
    <t>Abdou Garba</t>
  </si>
  <si>
    <t>Fadila Sani</t>
  </si>
  <si>
    <t>Sani Issaka</t>
  </si>
  <si>
    <t>Fati Oumarou</t>
  </si>
  <si>
    <t>Oumarou Adamou</t>
  </si>
  <si>
    <t>Farida yahaya</t>
  </si>
  <si>
    <t>Hawa Abdou</t>
  </si>
  <si>
    <t>Hayatou Moumouni</t>
  </si>
  <si>
    <t>Moumouni Adamou</t>
  </si>
  <si>
    <t>Kadija Amadou01</t>
  </si>
  <si>
    <t>Adamou Mahamane</t>
  </si>
  <si>
    <t>Lawissa Sabiou</t>
  </si>
  <si>
    <t>Sabiou Moussa</t>
  </si>
  <si>
    <t>Moufida Hadi</t>
  </si>
  <si>
    <t>Marliya Falalou</t>
  </si>
  <si>
    <t>Mariama Adamou</t>
  </si>
  <si>
    <t>Adamou Mai Kaka</t>
  </si>
  <si>
    <t>Rahamou Laouali</t>
  </si>
  <si>
    <t>Laouali Labo</t>
  </si>
  <si>
    <t>Saade Laouali</t>
  </si>
  <si>
    <t>Laouali Moussa</t>
  </si>
  <si>
    <t>Yasmina Tanimoune</t>
  </si>
  <si>
    <t>Tanimoune Salissou</t>
  </si>
  <si>
    <t>Safo Dan Ali</t>
  </si>
  <si>
    <t>Azima Issoufou</t>
  </si>
  <si>
    <t>Issoufou Issa</t>
  </si>
  <si>
    <t>Amira Miko</t>
  </si>
  <si>
    <t>Miko Adamou</t>
  </si>
  <si>
    <t>Farida Tanimoune</t>
  </si>
  <si>
    <t>Tanimoune Maman</t>
  </si>
  <si>
    <t>Halifa Rabe</t>
  </si>
  <si>
    <t>Rabe Issa</t>
  </si>
  <si>
    <t>Halimatou Harouna</t>
  </si>
  <si>
    <t>Harouna Inoussa</t>
  </si>
  <si>
    <t>Kadija Haladou</t>
  </si>
  <si>
    <t>Haladou Sani</t>
  </si>
  <si>
    <t>Mariama Harouna</t>
  </si>
  <si>
    <t>Harouna Sani</t>
  </si>
  <si>
    <t>Nana Rachida Badamassi</t>
  </si>
  <si>
    <t>Badamassi Adamou</t>
  </si>
  <si>
    <t xml:space="preserve">Nana Naima Garba </t>
  </si>
  <si>
    <t>Garba Chaibou</t>
  </si>
  <si>
    <t>Nana Manifa Moussa</t>
  </si>
  <si>
    <t>Nazira Salissou</t>
  </si>
  <si>
    <t>Salissou Sani</t>
  </si>
  <si>
    <t>Rachida Yaou</t>
  </si>
  <si>
    <t>Yaou Maman</t>
  </si>
  <si>
    <t>Samira Maliki</t>
  </si>
  <si>
    <t>Maliki Yahaya</t>
  </si>
  <si>
    <t>Zeinab Tsahirou</t>
  </si>
  <si>
    <t>Zalika Saada</t>
  </si>
  <si>
    <t>Saada Adamou</t>
  </si>
  <si>
    <t>Safo Nassaraoua</t>
  </si>
  <si>
    <t>Abida Salissou</t>
  </si>
  <si>
    <t>Salissou Saidou</t>
  </si>
  <si>
    <t>Aichatou Mahamadou</t>
  </si>
  <si>
    <t>Amira Aboubacar</t>
  </si>
  <si>
    <t>Aboubacar Ibrahim</t>
  </si>
  <si>
    <t>Alawiya Abdou</t>
  </si>
  <si>
    <t>Abdou Maman</t>
  </si>
  <si>
    <t>Batoula Adamou</t>
  </si>
  <si>
    <t>Adamou Daouda</t>
  </si>
  <si>
    <t>Choukouria Illa</t>
  </si>
  <si>
    <t>Illa Laouali</t>
  </si>
  <si>
    <t>Dahira Mamane</t>
  </si>
  <si>
    <t>Mamane Ousmane</t>
  </si>
  <si>
    <t>Firdaoussi Tassiou</t>
  </si>
  <si>
    <t>Tassiou Salifou</t>
  </si>
  <si>
    <t>Firdaoussi Sanoussi</t>
  </si>
  <si>
    <t>Sanoussi Harouna</t>
  </si>
  <si>
    <t>Farida Laouali</t>
  </si>
  <si>
    <t>Laouali Mamane</t>
  </si>
  <si>
    <t>Kadidjatou Laouali</t>
  </si>
  <si>
    <t>Kadidja Zeyanou</t>
  </si>
  <si>
    <t>Zeyanou Issoufou</t>
  </si>
  <si>
    <t>Layouba Moustapha</t>
  </si>
  <si>
    <t>Moustapha Rabé</t>
  </si>
  <si>
    <t>Moufadallah Laminou</t>
  </si>
  <si>
    <t>Laminou Mamane</t>
  </si>
  <si>
    <t>Mariama Sabiou</t>
  </si>
  <si>
    <t>Sabiou Garba</t>
  </si>
  <si>
    <t>Mariama Abdou</t>
  </si>
  <si>
    <t>Abdou Salifou</t>
  </si>
  <si>
    <t xml:space="preserve">Nijaatou Hamissou </t>
  </si>
  <si>
    <t>Hamissou Laouali</t>
  </si>
  <si>
    <t>Oumaira Malicki</t>
  </si>
  <si>
    <t>Malicki Salifou</t>
  </si>
  <si>
    <t>Oumma Nouhou</t>
  </si>
  <si>
    <t>Nouhou Garba</t>
  </si>
  <si>
    <t>Oumoulkhair Sani</t>
  </si>
  <si>
    <t>Sani Souley</t>
  </si>
  <si>
    <t>Ramné Sabiou</t>
  </si>
  <si>
    <t>Sabiou Abdoul Moumouni</t>
  </si>
  <si>
    <t>Souwaiba Sabiou</t>
  </si>
  <si>
    <t>Saoudé Salissou</t>
  </si>
  <si>
    <t>Salissou Inoussa</t>
  </si>
  <si>
    <t>Walida Rabé</t>
  </si>
  <si>
    <t>Rabe Ibrahim</t>
  </si>
  <si>
    <t>Zaharaou Abdou</t>
  </si>
  <si>
    <t>Abdou Aboubacar</t>
  </si>
  <si>
    <t>Maradou Quartier</t>
  </si>
  <si>
    <t>Aichatou Hamidou</t>
  </si>
  <si>
    <t>01/01/2010 à Maradou</t>
  </si>
  <si>
    <t>Hamidou Rabo</t>
  </si>
  <si>
    <t>Bassira Salissou</t>
  </si>
  <si>
    <t>01/01/2009 à Maradou</t>
  </si>
  <si>
    <t>Salissou Adamou</t>
  </si>
  <si>
    <t>Badariya Yaro</t>
  </si>
  <si>
    <t>Yaro Maman</t>
  </si>
  <si>
    <t>Chamsia Mahamadou</t>
  </si>
  <si>
    <t xml:space="preserve"> Mahamadou Mamane</t>
  </si>
  <si>
    <t>Firdaoussi Bachar</t>
  </si>
  <si>
    <t>Bachar Yahaya</t>
  </si>
  <si>
    <t>Fajimata Sani</t>
  </si>
  <si>
    <t>Sani Mamane</t>
  </si>
  <si>
    <t>Farida Hamissou</t>
  </si>
  <si>
    <t>Hamissou Saidou</t>
  </si>
  <si>
    <t>Fadila Bassirou</t>
  </si>
  <si>
    <t>Bassirou Mahamane</t>
  </si>
  <si>
    <t>Kadidja Laouali</t>
  </si>
  <si>
    <t>Kadidja Illa</t>
  </si>
  <si>
    <t>Illa Ibrahim</t>
  </si>
  <si>
    <t>Ismiya Rabé</t>
  </si>
  <si>
    <t>Rabé Yahaya</t>
  </si>
  <si>
    <t>Izatou Moudi</t>
  </si>
  <si>
    <t>Moudi Saidou</t>
  </si>
  <si>
    <t>Djamila Sani</t>
  </si>
  <si>
    <t>Sani Labo</t>
  </si>
  <si>
    <t>Malika Ado</t>
  </si>
  <si>
    <t>Ado Jari</t>
  </si>
  <si>
    <t>Naima Rabiou</t>
  </si>
  <si>
    <t>Nadira Daouda</t>
  </si>
  <si>
    <t>Daouda chaibou</t>
  </si>
  <si>
    <t>Nazifa Bachar</t>
  </si>
  <si>
    <t>01/01/2010 à Garin Gona</t>
  </si>
  <si>
    <t>Bachar Mamane</t>
  </si>
  <si>
    <t>Rahima Siradji</t>
  </si>
  <si>
    <t>Siradji Saidou</t>
  </si>
  <si>
    <t>Rapia Ado</t>
  </si>
  <si>
    <t>Mariama Saley</t>
  </si>
  <si>
    <t>Saley Amatakol</t>
  </si>
  <si>
    <t>Zeynabou Yahaya</t>
  </si>
  <si>
    <t>Yahaya Harouna</t>
  </si>
  <si>
    <t>Tchikadji Centre</t>
  </si>
  <si>
    <t xml:space="preserve">Kadidja Kabirou </t>
  </si>
  <si>
    <t>Manira Ibrahim</t>
  </si>
  <si>
    <t>Mariama Salissou</t>
  </si>
  <si>
    <t>Nadia Kalla</t>
  </si>
  <si>
    <t>kalla</t>
  </si>
  <si>
    <t>Nana Bassira Sani</t>
  </si>
  <si>
    <t>Noussaira Roufai</t>
  </si>
  <si>
    <t>Njaatou Adamou</t>
  </si>
  <si>
    <t>Nana Issoufou</t>
  </si>
  <si>
    <t>Nouriya Ibrahim</t>
  </si>
  <si>
    <t>Ramatou  Maliki</t>
  </si>
  <si>
    <t>Maliki</t>
  </si>
  <si>
    <t>Rabila Maman Moustapha</t>
  </si>
  <si>
    <t>Maman Moustapha</t>
  </si>
  <si>
    <t>Rafia Harou</t>
  </si>
  <si>
    <t>Harou</t>
  </si>
  <si>
    <t>Ramatou Rabe</t>
  </si>
  <si>
    <t>Rachida Rabiou</t>
  </si>
  <si>
    <t>Rachida Oumarou</t>
  </si>
  <si>
    <t>Yassira Daouda</t>
  </si>
  <si>
    <t>Yasmina Rabe</t>
  </si>
  <si>
    <t>Zeinab Mountari</t>
  </si>
  <si>
    <t>Mountari</t>
  </si>
  <si>
    <t>Tarna</t>
  </si>
  <si>
    <t>Amira Mikailou</t>
  </si>
  <si>
    <t>Mikailou Bachar</t>
  </si>
  <si>
    <t>Aichatou Saadou</t>
  </si>
  <si>
    <t>Saadou Labo</t>
  </si>
  <si>
    <t>Choukouria Ousmane</t>
  </si>
  <si>
    <t>Ousmane Maman</t>
  </si>
  <si>
    <t>Choukouria Abdoul Moutalabe</t>
  </si>
  <si>
    <t>Abdoul Moutalabe Inoussa</t>
  </si>
  <si>
    <t>Choukouria Mani</t>
  </si>
  <si>
    <t>Mani</t>
  </si>
  <si>
    <t>Fadimatou Abdoulaye</t>
  </si>
  <si>
    <t>Abdoulaye Sani</t>
  </si>
  <si>
    <t>Fati Moutari</t>
  </si>
  <si>
    <t>Moutari Mamane</t>
  </si>
  <si>
    <t>Fati Sani</t>
  </si>
  <si>
    <t>Farida Sanoussi</t>
  </si>
  <si>
    <t>Sanoussi Inoussa</t>
  </si>
  <si>
    <t>Goumaissaou Laouali</t>
  </si>
  <si>
    <t>Haouaou Maazou</t>
  </si>
  <si>
    <t>Maazou Ali</t>
  </si>
  <si>
    <t>Hadiza Maman</t>
  </si>
  <si>
    <t>Maman Garba</t>
  </si>
  <si>
    <t>Haouaou Daouda</t>
  </si>
  <si>
    <t>24/05/2010 a Tarna</t>
  </si>
  <si>
    <t>Halissa Souley</t>
  </si>
  <si>
    <t>Jamila Ousmane</t>
  </si>
  <si>
    <t>Ousmane Issoufou</t>
  </si>
  <si>
    <t>Kadidja Ibrahim</t>
  </si>
  <si>
    <t>Ibrahim Abdou</t>
  </si>
  <si>
    <t>Kadija Tassiou</t>
  </si>
  <si>
    <t>Tassiou Ali</t>
  </si>
  <si>
    <t>Kadija Issoufou</t>
  </si>
  <si>
    <t>Issoufou Inoussa</t>
  </si>
  <si>
    <t>Kadidja Bassirou</t>
  </si>
  <si>
    <t>Bassirou</t>
  </si>
  <si>
    <t>Moufida Yaou</t>
  </si>
  <si>
    <t>Maimouna Garba</t>
  </si>
  <si>
    <t>Garba Oumarou</t>
  </si>
  <si>
    <t>Mariam Mamane</t>
  </si>
  <si>
    <t>Mouhoussina Chamssou</t>
  </si>
  <si>
    <t>Chamssou</t>
  </si>
  <si>
    <t>Moufida Daouda</t>
  </si>
  <si>
    <t xml:space="preserve">Nafissa Abou </t>
  </si>
  <si>
    <t>Abou Kassoum</t>
  </si>
  <si>
    <t>Nana Charifa Abdou Rahamane</t>
  </si>
  <si>
    <t>Nana Firdaoussi Tahirou</t>
  </si>
  <si>
    <t>Tahirou</t>
  </si>
  <si>
    <t>Nana Aichatou Mamane</t>
  </si>
  <si>
    <t>Mamane Noura</t>
  </si>
  <si>
    <t>Nana Fatchima Yaou</t>
  </si>
  <si>
    <t>Yaou Alhassan</t>
  </si>
  <si>
    <t>Nazifa Adamou</t>
  </si>
  <si>
    <t>Adamou Illia</t>
  </si>
  <si>
    <t>Nana Soumaya Sagirou</t>
  </si>
  <si>
    <t>Sagirou ALI</t>
  </si>
  <si>
    <t>Nana Halissa Mahamadou</t>
  </si>
  <si>
    <t>Mahamado Abdou</t>
  </si>
  <si>
    <t>Ouma Salma Mourtala</t>
  </si>
  <si>
    <t>Roumaissaou Moussa</t>
  </si>
  <si>
    <t>Ramatou Abdou</t>
  </si>
  <si>
    <t>Raya Abdou</t>
  </si>
  <si>
    <t>Abdou Mai Haki</t>
  </si>
  <si>
    <t>Roufaida Maman</t>
  </si>
  <si>
    <t>Maman Rabiou</t>
  </si>
  <si>
    <t>Roufaida Saadou</t>
  </si>
  <si>
    <t>Saadou Iro</t>
  </si>
  <si>
    <t>Razina  Alkassoum</t>
  </si>
  <si>
    <t>Alkassoum</t>
  </si>
  <si>
    <t>Raoufa Issoufou</t>
  </si>
  <si>
    <t>Roukaya Abou Maharazou</t>
  </si>
  <si>
    <t>Maharazou Ali</t>
  </si>
  <si>
    <t>Soumaya Abdoul Hamid</t>
  </si>
  <si>
    <t>Abdoul Hamid</t>
  </si>
  <si>
    <t>Saratou Mahamane</t>
  </si>
  <si>
    <t>Mahamane Achirou</t>
  </si>
  <si>
    <t>Selouvia Seidou</t>
  </si>
  <si>
    <t>Seidou Mamane</t>
  </si>
  <si>
    <t>Saadatou Laouali</t>
  </si>
  <si>
    <t>Laouali Saminou</t>
  </si>
  <si>
    <t>Saida Saadou</t>
  </si>
  <si>
    <t>Saadou Ali</t>
  </si>
  <si>
    <t>Saliha Hassan</t>
  </si>
  <si>
    <t>Hassan Moussa</t>
  </si>
  <si>
    <t>Soumaya Saadou</t>
  </si>
  <si>
    <t>Saadou Garba</t>
  </si>
  <si>
    <t>Yassira Souley</t>
  </si>
  <si>
    <t>Yasmina Amadou</t>
  </si>
  <si>
    <t>Yasmina Mamane</t>
  </si>
  <si>
    <t>Mamane Oumarou</t>
  </si>
  <si>
    <t>Yasmina Abdoulaye</t>
  </si>
  <si>
    <t>Zeinab Laouali</t>
  </si>
  <si>
    <t>Laouali Issoufou</t>
  </si>
  <si>
    <t>Zeinab Mamane</t>
  </si>
  <si>
    <t>Mamane Issa</t>
  </si>
  <si>
    <t>Tchikadji Quartier</t>
  </si>
  <si>
    <t>Chaawa Dayabou</t>
  </si>
  <si>
    <t>Dayabou</t>
  </si>
  <si>
    <t>Chikouria Salisou</t>
  </si>
  <si>
    <t>TChikadji Quartier</t>
  </si>
  <si>
    <t>Fati Sanoussi</t>
  </si>
  <si>
    <t xml:space="preserve">Sanoussi </t>
  </si>
  <si>
    <t>Firdaoussi Abdoul Hamid</t>
  </si>
  <si>
    <t xml:space="preserve">Haouaou Laouali </t>
  </si>
  <si>
    <t>Kadidja Sanoussi</t>
  </si>
  <si>
    <t>Kadidja Tanimou</t>
  </si>
  <si>
    <t>Tanimou</t>
  </si>
  <si>
    <t>Mariam Moussa</t>
  </si>
  <si>
    <t>Nana Kadidja Hamissou</t>
  </si>
  <si>
    <t>Nadia Laouali</t>
  </si>
  <si>
    <t>Ouma Oumarou</t>
  </si>
  <si>
    <t xml:space="preserve">Ouma Mahamane </t>
  </si>
  <si>
    <t>Mahamane Dahirou</t>
  </si>
  <si>
    <t>Soumaya Achirou</t>
  </si>
  <si>
    <t>Zeinab Salmanou</t>
  </si>
  <si>
    <t>Salmanou</t>
  </si>
  <si>
    <t>Aicha Saidou</t>
  </si>
  <si>
    <t>Badaria Abdou</t>
  </si>
  <si>
    <t>Badaria kassimou</t>
  </si>
  <si>
    <t>Kassimou</t>
  </si>
  <si>
    <t>Chaawa Mountari</t>
  </si>
  <si>
    <t>Chapa Garba</t>
  </si>
  <si>
    <t>Chamssia Laouali</t>
  </si>
  <si>
    <t>Djamila Chaibou</t>
  </si>
  <si>
    <t>Fadila Mountari</t>
  </si>
  <si>
    <t xml:space="preserve">Moutari </t>
  </si>
  <si>
    <t>Fadila Harou</t>
  </si>
  <si>
    <t>Fatimatou Zaharaou Harou</t>
  </si>
  <si>
    <t>Farida Garba</t>
  </si>
  <si>
    <t>Fati Salissou</t>
  </si>
  <si>
    <t>Habsat Issa</t>
  </si>
  <si>
    <t>Habsatou Kabirou</t>
  </si>
  <si>
    <t>Haouaou Sani</t>
  </si>
  <si>
    <t>sani</t>
  </si>
  <si>
    <t>Houmaira Zayanou</t>
  </si>
  <si>
    <t>Houweila Garba</t>
  </si>
  <si>
    <t>Paima Hassan</t>
  </si>
  <si>
    <t>L'annee precedent, Soura Sarkin Galma 1 et 2 ont ete des sites temoins. Cette annee, ce sont des sites interventions. Donc les filles qui ont redouble ont toujours des codesde 2020, mais c'est pas parce qu'elle faisait Hilin Mu en 2020-2021. C'est parce qu'elles etaient teste comme filles temoins.</t>
  </si>
  <si>
    <t>Pour les filles interventions qui ont redouble apres 2020-2021, on a garde les memes identifiants qu'elles ont eu l'annee passee (2020-2021) pour suivre la progression.</t>
  </si>
  <si>
    <t>Explication d'attribution des identifiants</t>
  </si>
  <si>
    <t>Maradou Centre</t>
  </si>
  <si>
    <t>Arfa Harissou</t>
  </si>
  <si>
    <t>Nana Baraatou Issaka</t>
  </si>
  <si>
    <t>Balkissa Adamou</t>
  </si>
  <si>
    <t>Nana Salamatou Mahamadou</t>
  </si>
  <si>
    <t>Ousseina Saminou</t>
  </si>
  <si>
    <t>Hassana Saminou</t>
  </si>
  <si>
    <t>Fati Ali</t>
  </si>
  <si>
    <t>Fatima Zara Mamane</t>
  </si>
  <si>
    <t>Roumanatou Garba</t>
  </si>
  <si>
    <t>Achirou Moussa</t>
  </si>
  <si>
    <t>Issoufou Oumarou</t>
  </si>
  <si>
    <t>Yaou Yahaya</t>
  </si>
  <si>
    <t>Hamidou Abdou</t>
  </si>
  <si>
    <t>Chaawa Mamoudou</t>
  </si>
  <si>
    <t>mamoudou Ibrahim</t>
  </si>
  <si>
    <t>Saadou Issoufou</t>
  </si>
  <si>
    <t>Hassan Abdou</t>
  </si>
  <si>
    <t>Hassan Issoufou</t>
  </si>
  <si>
    <t>Saadou Adamou</t>
  </si>
  <si>
    <t>Souley Mati</t>
  </si>
  <si>
    <t>Saidou Salihou</t>
  </si>
  <si>
    <t>Yahaya Issoufou</t>
  </si>
  <si>
    <t>Laouli Hassan</t>
  </si>
  <si>
    <t>Chamsou Kaouje</t>
  </si>
  <si>
    <t>Oumarou  Sani</t>
  </si>
  <si>
    <t>Issa Yaou</t>
  </si>
  <si>
    <t>Ibrahim Mato</t>
  </si>
  <si>
    <t>Nassaria Inoussa</t>
  </si>
  <si>
    <t>Inoussa  dayabou</t>
  </si>
  <si>
    <t>Inoussa Salissou</t>
  </si>
  <si>
    <t>Laouli Ousman</t>
  </si>
  <si>
    <t>Maazou Chaibou</t>
  </si>
  <si>
    <t>Inoussa salihou</t>
  </si>
  <si>
    <t>Chaibou Abdou</t>
  </si>
  <si>
    <t>Ramma Chaibou</t>
  </si>
  <si>
    <t>Moussa Garba</t>
  </si>
  <si>
    <t>Inoussa Sani</t>
  </si>
  <si>
    <t>Tsahirou Harouna</t>
  </si>
  <si>
    <t>Idi Maikaka</t>
  </si>
  <si>
    <t>Zeinabou Rabe</t>
  </si>
  <si>
    <t>Rabe Abdou</t>
  </si>
  <si>
    <t>Amina Moussa</t>
  </si>
  <si>
    <t>Moussa Elh Karaou</t>
  </si>
  <si>
    <t>Leila Ousmane</t>
  </si>
  <si>
    <t>Bacharia Laouli</t>
  </si>
  <si>
    <t>Aichatou Haladou</t>
  </si>
  <si>
    <t>Aminatou Harouna</t>
  </si>
  <si>
    <t>Harouna Saidou</t>
  </si>
  <si>
    <t>Chamsiya Chaibou</t>
  </si>
  <si>
    <t>Chaibou Sani</t>
  </si>
  <si>
    <t>Chamsiya Saidou</t>
  </si>
  <si>
    <t xml:space="preserve">Saidou </t>
  </si>
  <si>
    <t>Fadila Issaka</t>
  </si>
  <si>
    <t>Faouziya Chitou</t>
  </si>
  <si>
    <t>Chitou Balla</t>
  </si>
  <si>
    <t>Fatchima Hassan</t>
  </si>
  <si>
    <t>Hassan Issa</t>
  </si>
  <si>
    <t>Fatchima Saminou</t>
  </si>
  <si>
    <t>Firdaoussi Kassoum</t>
  </si>
  <si>
    <t>Firdaoussi Nouhou</t>
  </si>
  <si>
    <t>Nouhou Adamou</t>
  </si>
  <si>
    <t>Rabe Mani</t>
  </si>
  <si>
    <t>Habsatou Sani</t>
  </si>
  <si>
    <t>Sani Chaibou</t>
  </si>
  <si>
    <t>Hafiza Hamza</t>
  </si>
  <si>
    <t>Hamza Adamou</t>
  </si>
  <si>
    <t>Halima Aboubacar</t>
  </si>
  <si>
    <t>Aboubacar Kane</t>
  </si>
  <si>
    <t>Halissa Yaro</t>
  </si>
  <si>
    <t>Yaro Adamou</t>
  </si>
  <si>
    <t>Haoua Mahaman</t>
  </si>
  <si>
    <t>Mahaman Garba</t>
  </si>
  <si>
    <t>Harira Dodo</t>
  </si>
  <si>
    <t>Dodo Adamou</t>
  </si>
  <si>
    <t>Kadidja Habiou</t>
  </si>
  <si>
    <t>Habibou</t>
  </si>
  <si>
    <t>kadidja Samaila</t>
  </si>
  <si>
    <t>Samaila Issoufou</t>
  </si>
  <si>
    <t>Kadidja Yaou</t>
  </si>
  <si>
    <t>Yaou Idi</t>
  </si>
  <si>
    <t>Kalifa Yahaya</t>
  </si>
  <si>
    <t>Yahaya Souleymane</t>
  </si>
  <si>
    <t>Keizia Ibrahim</t>
  </si>
  <si>
    <t>Ibrahim Moussa</t>
  </si>
  <si>
    <t>Lawissa Abdou</t>
  </si>
  <si>
    <t>Abdou Labo</t>
  </si>
  <si>
    <t>Malika Aboubacar</t>
  </si>
  <si>
    <t>Mariama Samaila</t>
  </si>
  <si>
    <t>Marwa Jari</t>
  </si>
  <si>
    <t>Jari Saidou</t>
  </si>
  <si>
    <t>Moudahara Saidou</t>
  </si>
  <si>
    <t>Moustahida Issaka</t>
  </si>
  <si>
    <t xml:space="preserve">Nadia Haladou </t>
  </si>
  <si>
    <t>Nafissa Abdou</t>
  </si>
  <si>
    <t>Nafissa Issaka</t>
  </si>
  <si>
    <t xml:space="preserve">Issaka Salissou </t>
  </si>
  <si>
    <t>Najaatou Dodo</t>
  </si>
  <si>
    <t>Nazira Djafar</t>
  </si>
  <si>
    <t>Djafar</t>
  </si>
  <si>
    <t>Nisseiba Abdou</t>
  </si>
  <si>
    <t>Abdou Oumarou</t>
  </si>
  <si>
    <t>Ouzeifa Issaka</t>
  </si>
  <si>
    <t>Issaka Makaou</t>
  </si>
  <si>
    <t>Rouwaida Salissou</t>
  </si>
  <si>
    <t>Salissou Souleymane</t>
  </si>
  <si>
    <t>Inoussa Mati</t>
  </si>
  <si>
    <t>Saoude Sabiou</t>
  </si>
  <si>
    <t>Sabiou Sani</t>
  </si>
  <si>
    <t>Soumayya Ibrahim</t>
  </si>
  <si>
    <t>Ibrahim Issoufou</t>
  </si>
  <si>
    <t>Soumayya Tsayabou</t>
  </si>
  <si>
    <t xml:space="preserve">Tsayabou </t>
  </si>
  <si>
    <t>Sourayya Boukari</t>
  </si>
  <si>
    <t>Boukari</t>
  </si>
  <si>
    <t>Syvia Yahaya</t>
  </si>
  <si>
    <t xml:space="preserve">Yahaya </t>
  </si>
  <si>
    <t>Yassira Sani</t>
  </si>
  <si>
    <t>Zouera Hassan</t>
  </si>
  <si>
    <t>Hassan Rabe</t>
  </si>
  <si>
    <t>Najaatou Hassan</t>
  </si>
  <si>
    <t>Sourayya Garba</t>
  </si>
  <si>
    <t>Kalifa Tassiou</t>
  </si>
  <si>
    <t>Maman Illia</t>
  </si>
  <si>
    <t>Nana Safiha Maman</t>
  </si>
  <si>
    <t>Maman Abdou</t>
  </si>
  <si>
    <t>Nana Badaria Harissou</t>
  </si>
  <si>
    <t>Roufaida Baraou</t>
  </si>
  <si>
    <t>Baraou Abache</t>
  </si>
  <si>
    <t>Rouwanatou Nafiou</t>
  </si>
  <si>
    <t>Nafiou Balla</t>
  </si>
  <si>
    <t>Safia Ousseini</t>
  </si>
  <si>
    <t>Ousseini Maazou</t>
  </si>
  <si>
    <t>Yahanatou Nassirou</t>
  </si>
  <si>
    <t>Nassirou Hamidou</t>
  </si>
  <si>
    <t>Yazida Seyni</t>
  </si>
  <si>
    <t>Seyni Daouda</t>
  </si>
  <si>
    <t>Firdaoussi Idrissa</t>
  </si>
  <si>
    <t>Idrissa Issa</t>
  </si>
  <si>
    <t>Liyaatou Kabirou</t>
  </si>
  <si>
    <t>Kabirou Alh Saadou</t>
  </si>
  <si>
    <t>Mariam Ibrahim</t>
  </si>
  <si>
    <t>Ibrahim Labo</t>
  </si>
  <si>
    <t>Roufaida Souleymane</t>
  </si>
  <si>
    <t>Souleymane Falalou</t>
  </si>
  <si>
    <t>Sahane Rabiou</t>
  </si>
  <si>
    <t>Rabiou Issa</t>
  </si>
  <si>
    <t xml:space="preserve">31-11-2008 </t>
  </si>
  <si>
    <t>Aicha Hassan</t>
  </si>
  <si>
    <t>Chaawanatou Adamou</t>
  </si>
  <si>
    <t>Charifa Adamou</t>
  </si>
  <si>
    <t>Habsate Abdourahamane</t>
  </si>
  <si>
    <t>Abdourahamane</t>
  </si>
  <si>
    <t>Kadidja Adamou</t>
  </si>
  <si>
    <t>Nana faouzia Agaliou</t>
  </si>
  <si>
    <t>Agaliou</t>
  </si>
  <si>
    <t>Nazifa tsayabou</t>
  </si>
  <si>
    <t>Tsayabou</t>
  </si>
  <si>
    <t>Nana Abida Illiassou</t>
  </si>
  <si>
    <t>Illiasou</t>
  </si>
  <si>
    <t>Ouma kaltoum Ibrahim</t>
  </si>
  <si>
    <t>Ramatou Ada</t>
  </si>
  <si>
    <t>Ada</t>
  </si>
  <si>
    <t>428</t>
  </si>
  <si>
    <t>429</t>
  </si>
  <si>
    <t>430</t>
  </si>
  <si>
    <t>431</t>
  </si>
  <si>
    <t>432</t>
  </si>
  <si>
    <t>433</t>
  </si>
  <si>
    <t>434</t>
  </si>
  <si>
    <t>435</t>
  </si>
  <si>
    <t>bassaraoua</t>
  </si>
  <si>
    <t>Asma Maman Nouradine</t>
  </si>
  <si>
    <t>Aicha Iro</t>
  </si>
  <si>
    <t>Abiguel Idi</t>
  </si>
  <si>
    <t>Ashley Ado</t>
  </si>
  <si>
    <t>Aicha Mahamadou</t>
  </si>
  <si>
    <t>Bishnobia Moussa</t>
  </si>
  <si>
    <t>Balkissa laouali</t>
  </si>
  <si>
    <t>Chamsia Moussa</t>
  </si>
  <si>
    <t>chaawa Salissou</t>
  </si>
  <si>
    <t>Dinatou Ado</t>
  </si>
  <si>
    <t>Damaris Joshoua</t>
  </si>
  <si>
    <t>Dinatou Issiakou</t>
  </si>
  <si>
    <t>Dibora Mahamadou</t>
  </si>
  <si>
    <t>Esta Maman</t>
  </si>
  <si>
    <t>Godia Issiakou</t>
  </si>
  <si>
    <t>Hannatou SOULEY</t>
  </si>
  <si>
    <t>Hannatou Hassan</t>
  </si>
  <si>
    <t>Hannatou Abdou</t>
  </si>
  <si>
    <t>Jamima Moussa</t>
  </si>
  <si>
    <t>Jerousha Yohanna</t>
  </si>
  <si>
    <t>Jamima Habibou</t>
  </si>
  <si>
    <t>Jerisha Daouda</t>
  </si>
  <si>
    <t>Janet Abdou</t>
  </si>
  <si>
    <t>Joke Yacouba</t>
  </si>
  <si>
    <t>Kesia ALI</t>
  </si>
  <si>
    <t>Ketira Idi</t>
  </si>
  <si>
    <t>Kristine Maman</t>
  </si>
  <si>
    <t>Maralia Oumarou</t>
  </si>
  <si>
    <t>Mariama Ado</t>
  </si>
  <si>
    <t xml:space="preserve">Mariama Garba </t>
  </si>
  <si>
    <t>Maika Rabe</t>
  </si>
  <si>
    <t>Mairaf Rabe</t>
  </si>
  <si>
    <t>Nafissa Maazou</t>
  </si>
  <si>
    <t>Naomi Ibrahim</t>
  </si>
  <si>
    <t>Nana Safanatou Moussa</t>
  </si>
  <si>
    <t>Rahila Ayouba</t>
  </si>
  <si>
    <t>Rafia Halilou</t>
  </si>
  <si>
    <t>Rachel Maman</t>
  </si>
  <si>
    <t>Rachida Abdou</t>
  </si>
  <si>
    <t>Safia Issoufou</t>
  </si>
  <si>
    <t>Sintik Hamissou</t>
  </si>
  <si>
    <t>Sintiki Moussa</t>
  </si>
  <si>
    <t>Saiba Harouna</t>
  </si>
  <si>
    <t>Tabita Issaka</t>
  </si>
  <si>
    <t>Yossi Manya</t>
  </si>
  <si>
    <t>Zafora Joshoua</t>
  </si>
  <si>
    <t>Zouera Ali Nanaya</t>
  </si>
  <si>
    <t>Zina Moussa</t>
  </si>
  <si>
    <t>Zouera Ali issoufou</t>
  </si>
  <si>
    <t>Hadjaratou Ado</t>
  </si>
  <si>
    <t>Contact Parent</t>
  </si>
  <si>
    <t>Amira Hamza</t>
  </si>
  <si>
    <t>Bassira  Abdou</t>
  </si>
  <si>
    <t>Bassira Hamissou</t>
  </si>
  <si>
    <t>Djamila Abdou</t>
  </si>
  <si>
    <t>Falila Djafarou</t>
  </si>
  <si>
    <t>Fatsouma Maman</t>
  </si>
  <si>
    <t>Habsatou Issoufou</t>
  </si>
  <si>
    <t>Habsatou Ali</t>
  </si>
  <si>
    <t>Habiba Lawali</t>
  </si>
  <si>
    <t>Hassana Mahaman Tassiou</t>
  </si>
  <si>
    <t>Kadjija Mahamouda</t>
  </si>
  <si>
    <t>Kadjija Tassiou</t>
  </si>
  <si>
    <t>Mariama Zabeirou</t>
  </si>
  <si>
    <t>Mariama Tourey</t>
  </si>
  <si>
    <t>Mariama Younoussa</t>
  </si>
  <si>
    <t>Mouhousna Lawal</t>
  </si>
  <si>
    <t>Mariama Souleymane</t>
  </si>
  <si>
    <t>Nana Soumaya Mahaman Bachir</t>
  </si>
  <si>
    <t>Naima Salissou</t>
  </si>
  <si>
    <t>Naima Moussa</t>
  </si>
  <si>
    <t>Nafissa Oumarou</t>
  </si>
  <si>
    <t>Nana Roufeida Abdoul Kader</t>
  </si>
  <si>
    <t>Nana Amira Lawali</t>
  </si>
  <si>
    <t>Nana Kamila Kabirou</t>
  </si>
  <si>
    <t>Rayanatou Boukari</t>
  </si>
  <si>
    <t>Rabila Ali Ousmane</t>
  </si>
  <si>
    <t>Ramatou Amadou</t>
  </si>
  <si>
    <t>Rahila Ousseini</t>
  </si>
  <si>
    <t>Roukaya Souleymane</t>
  </si>
  <si>
    <t>Saratou Larwanou</t>
  </si>
  <si>
    <t xml:space="preserve">Saadiya Ibrahim </t>
  </si>
  <si>
    <t>Zeynab Illia</t>
  </si>
  <si>
    <t>Zeynab Maman</t>
  </si>
  <si>
    <t>Zeynab Chaibou</t>
  </si>
  <si>
    <t>Zeynabou Harouna</t>
  </si>
  <si>
    <t xml:space="preserve">Zeynab Maman Bassirou </t>
  </si>
  <si>
    <t>96 18 88 09</t>
  </si>
  <si>
    <t>95 12 91 92</t>
  </si>
  <si>
    <t>94 17 59 48</t>
  </si>
  <si>
    <t>94 32 28 75</t>
  </si>
  <si>
    <t>84 84 59 95</t>
  </si>
  <si>
    <t>90 27 40 53</t>
  </si>
  <si>
    <t>94 50 41 53</t>
  </si>
  <si>
    <t>96 60 41 48</t>
  </si>
  <si>
    <t>94 36 21 95</t>
  </si>
  <si>
    <t>96 22 61 89</t>
  </si>
  <si>
    <t>90 58 01 50</t>
  </si>
  <si>
    <t>96 55 45 51</t>
  </si>
  <si>
    <t>97 28 68 44</t>
  </si>
  <si>
    <t xml:space="preserve">94 02 65 76 </t>
  </si>
  <si>
    <t>99 40 57 92</t>
  </si>
  <si>
    <t>94 11 50 98</t>
  </si>
  <si>
    <t>85 85 93 97</t>
  </si>
  <si>
    <t>98 02 88 32</t>
  </si>
  <si>
    <t>94 90 25 10</t>
  </si>
  <si>
    <t>94 92 04 26</t>
  </si>
  <si>
    <t>89 79 17 71</t>
  </si>
  <si>
    <t>94 05 80 65</t>
  </si>
  <si>
    <t>99 95 74 37</t>
  </si>
  <si>
    <t>88 82 57 51</t>
  </si>
  <si>
    <t>94 80 40 62</t>
  </si>
  <si>
    <t>74 48 12 68</t>
  </si>
  <si>
    <t>99 80 69 99</t>
  </si>
  <si>
    <t>96 11 72 47</t>
  </si>
  <si>
    <t>95 25 48 51</t>
  </si>
  <si>
    <t>94 01 78 74</t>
  </si>
  <si>
    <t>Maisso</t>
  </si>
  <si>
    <t>Aicha Badamassi</t>
  </si>
  <si>
    <t>Balkissa Salissou</t>
  </si>
  <si>
    <t>Chamsiya Ibrahim</t>
  </si>
  <si>
    <t>Fatima Aboubacar</t>
  </si>
  <si>
    <t xml:space="preserve">Haouaou Salissou </t>
  </si>
  <si>
    <t>Hassana Ibrahim</t>
  </si>
  <si>
    <t>Lantana Bahari</t>
  </si>
  <si>
    <t>Lantana Ibrahim</t>
  </si>
  <si>
    <t>Mafida Sadi</t>
  </si>
  <si>
    <t>Maimouna Rabiou</t>
  </si>
  <si>
    <t>Mariama Issa</t>
  </si>
  <si>
    <t>Marwiya Habibou</t>
  </si>
  <si>
    <t>Marwa Mourtala</t>
  </si>
  <si>
    <t>Nana Bassira Salissou</t>
  </si>
  <si>
    <t>Nijaatou Tahirou</t>
  </si>
  <si>
    <t>Oumeira Salelé</t>
  </si>
  <si>
    <t>Rahila Harouna</t>
  </si>
  <si>
    <t>Razina Tanimoune</t>
  </si>
  <si>
    <t>Aminatou Idi</t>
  </si>
  <si>
    <t>Baraatou Hamza</t>
  </si>
  <si>
    <t>Charifa Harouna</t>
  </si>
  <si>
    <t>Cherifa Mani</t>
  </si>
  <si>
    <t>Fatouma Saidou</t>
  </si>
  <si>
    <t>Hassiya Idrissa</t>
  </si>
  <si>
    <t>Mabarouka Issa</t>
  </si>
  <si>
    <t>Mashaouda Kachimou</t>
  </si>
  <si>
    <t>Massaouda Mourtala</t>
  </si>
  <si>
    <t>Mariama Chaibou</t>
  </si>
  <si>
    <t>Moufida Rabiou</t>
  </si>
  <si>
    <t>Nadia Mourtala</t>
  </si>
  <si>
    <t>Nana Firdaoussi Abdou</t>
  </si>
  <si>
    <t>Nafissa Hassan</t>
  </si>
  <si>
    <t>Rachida Moussa</t>
  </si>
  <si>
    <t>Rakia Issoufou</t>
  </si>
  <si>
    <t>Rafia Nafiou</t>
  </si>
  <si>
    <t>Roufaida Abdou</t>
  </si>
  <si>
    <t>Soueba Issa</t>
  </si>
  <si>
    <t>Sahiba Ali</t>
  </si>
  <si>
    <t>Soumaiya Mourtala</t>
  </si>
  <si>
    <t>Yasmina Tassiou</t>
  </si>
  <si>
    <t>Yasmina Maman</t>
  </si>
  <si>
    <t>Zeinab Adamou</t>
  </si>
  <si>
    <t>Dan Kari</t>
  </si>
  <si>
    <t>Aichatou Illa</t>
  </si>
  <si>
    <t>Atika Maman</t>
  </si>
  <si>
    <t>Balkissa Gambo</t>
  </si>
  <si>
    <t>Fatima Ichaou</t>
  </si>
  <si>
    <t>Hassana Laouali</t>
  </si>
  <si>
    <t>Hadiza Abdou</t>
  </si>
  <si>
    <t>Hadiza Mahamadou</t>
  </si>
  <si>
    <t>Kadidja Hassan</t>
  </si>
  <si>
    <t>Karima Saminou</t>
  </si>
  <si>
    <t>Nana Kawsar Sani</t>
  </si>
  <si>
    <t>Ramatou Aboubacar</t>
  </si>
  <si>
    <t>Sahiba Sani</t>
  </si>
  <si>
    <t>Samira Noura</t>
  </si>
  <si>
    <t>Saliha Moussa</t>
  </si>
  <si>
    <t>Zeinabou Yahouza</t>
  </si>
  <si>
    <t>Amira Maman</t>
  </si>
  <si>
    <t>Bacharia Amadou</t>
  </si>
  <si>
    <t>Charifa Illa</t>
  </si>
  <si>
    <t>Farida Chitou</t>
  </si>
  <si>
    <t>Jamila Yacouba</t>
  </si>
  <si>
    <t>Kadidja Haladou</t>
  </si>
  <si>
    <t>Kadidja Aboubacar</t>
  </si>
  <si>
    <t>Mouhousna Tassiou</t>
  </si>
  <si>
    <t>Mariama Nouhou</t>
  </si>
  <si>
    <t>Massaouda Mamouda</t>
  </si>
  <si>
    <t>Najaatou Oumarou</t>
  </si>
  <si>
    <t>Naima Aboubacar</t>
  </si>
  <si>
    <t>Naima Mourtala</t>
  </si>
  <si>
    <t>Nana Souraya Issa</t>
  </si>
  <si>
    <t>Ouzeima Chitou</t>
  </si>
  <si>
    <t>Saadia Nassirou</t>
  </si>
  <si>
    <t>Safia Illa</t>
  </si>
  <si>
    <t>Saratou Hamissou</t>
  </si>
  <si>
    <t>Samira Hamidou</t>
  </si>
  <si>
    <t>Rabiatou Mahamane</t>
  </si>
  <si>
    <t>Roukaya Yaou</t>
  </si>
  <si>
    <t>Saratou Salissou</t>
  </si>
  <si>
    <t>Rayanatou Ali</t>
  </si>
  <si>
    <t>Roukaya Mamouda</t>
  </si>
  <si>
    <t>Sarkin Aski</t>
  </si>
  <si>
    <t>Aichatou  Baraou</t>
  </si>
  <si>
    <t>Bassira Boubacar</t>
  </si>
  <si>
    <t>Chamsia Mamouda</t>
  </si>
  <si>
    <t>Chapaatou Harouna</t>
  </si>
  <si>
    <t>Hadiza Salissou</t>
  </si>
  <si>
    <t>Nijaatou Souleymane</t>
  </si>
  <si>
    <t>Nana Farida Aminou</t>
  </si>
  <si>
    <t>Nana Farida Arma Yaou</t>
  </si>
  <si>
    <t>Roukaya Inoussa</t>
  </si>
  <si>
    <t>Rachida Hamza</t>
  </si>
  <si>
    <t>Soumaya Chaibou</t>
  </si>
  <si>
    <t>Saadia Dayabou</t>
  </si>
  <si>
    <t>Salima Tassiou</t>
  </si>
  <si>
    <t>Wassila Abdoulaye</t>
  </si>
  <si>
    <t>Yasmina Hamidou</t>
  </si>
  <si>
    <t>Zahara Hamza</t>
  </si>
  <si>
    <t>Zeinab Bouhari</t>
  </si>
  <si>
    <t>Maza Tsaye 1</t>
  </si>
  <si>
    <t>Daoussia Hamidou</t>
  </si>
  <si>
    <t>Fatima Zara Siradji</t>
  </si>
  <si>
    <t>Khadija Djamilou</t>
  </si>
  <si>
    <t>Nafissa Issoufou</t>
  </si>
  <si>
    <t>Najaatou Mati</t>
  </si>
  <si>
    <t>Mariam Moutari</t>
  </si>
  <si>
    <t>Rahila Mamane</t>
  </si>
  <si>
    <t>Soumaya Salissou</t>
  </si>
  <si>
    <t>Yasmina Iro</t>
  </si>
  <si>
    <t>Zeinab Siradji</t>
  </si>
  <si>
    <t>Maza Tsaye 2</t>
  </si>
  <si>
    <t>Bacharia  Marwanou</t>
  </si>
  <si>
    <t>Bassira Adamou</t>
  </si>
  <si>
    <t>Chamsia Salissou Garba</t>
  </si>
  <si>
    <t>Chamsia Salissou</t>
  </si>
  <si>
    <t>Fati Hamidou</t>
  </si>
  <si>
    <t>Farida Amirou</t>
  </si>
  <si>
    <t>Fati Aminou</t>
  </si>
  <si>
    <t>Firdaoussi Inoussa</t>
  </si>
  <si>
    <t>Hassana Salissou</t>
  </si>
  <si>
    <t>Habssia Illa</t>
  </si>
  <si>
    <t>Hassaou Bahari</t>
  </si>
  <si>
    <t>kadidja Mamane</t>
  </si>
  <si>
    <t>khalifa Maman</t>
  </si>
  <si>
    <t>Khadija Illa</t>
  </si>
  <si>
    <t>Kamalia Adamou</t>
  </si>
  <si>
    <t>Leila Illia</t>
  </si>
  <si>
    <t>Manira Tassiou</t>
  </si>
  <si>
    <t>Mansoura Idi</t>
  </si>
  <si>
    <t>Mariama Habibou</t>
  </si>
  <si>
    <t>Nisseiba Abdoulahi</t>
  </si>
  <si>
    <t>Nafissa Yahaya</t>
  </si>
  <si>
    <t>Naima Laouali</t>
  </si>
  <si>
    <t>Nana Kaoussar Moussa</t>
  </si>
  <si>
    <t>Naima Abdoulaye</t>
  </si>
  <si>
    <t>Nabila Hakilou</t>
  </si>
  <si>
    <t>Nana Mariama Harouna</t>
  </si>
  <si>
    <t>Ousseina Salissou</t>
  </si>
  <si>
    <t>Ouma Djamila Souley</t>
  </si>
  <si>
    <t>Rafia Maman</t>
  </si>
  <si>
    <t>Roukaya Yacouba</t>
  </si>
  <si>
    <t>Salima Hassan</t>
  </si>
  <si>
    <t>Saadia Oumarou</t>
  </si>
  <si>
    <t>Sabila Idi</t>
  </si>
  <si>
    <t>Salifa Saadou</t>
  </si>
  <si>
    <t>Youssira Souley</t>
  </si>
  <si>
    <t>Zeinab Rabiou</t>
  </si>
  <si>
    <t>Guigamawa Sofoua</t>
  </si>
  <si>
    <t>Aicha Ibrahim</t>
  </si>
  <si>
    <t>Azima Maman</t>
  </si>
  <si>
    <t>Aicha Sanoussi</t>
  </si>
  <si>
    <t>Baraka Illiassou</t>
  </si>
  <si>
    <t>Badaria Amadou</t>
  </si>
  <si>
    <t>Binta Mani</t>
  </si>
  <si>
    <t>Fatima Ibarahim</t>
  </si>
  <si>
    <t>Faiza Arma Yaou</t>
  </si>
  <si>
    <t>Habsatou Aboubacar</t>
  </si>
  <si>
    <t>Najaatou Abdou</t>
  </si>
  <si>
    <t>Nana Firdaoussi Ichaou</t>
  </si>
  <si>
    <t>Nazira Chaibou</t>
  </si>
  <si>
    <t>Nana Hadiza Amadou</t>
  </si>
  <si>
    <t>Souraya Hadi</t>
  </si>
  <si>
    <t>Soumaya Mani</t>
  </si>
  <si>
    <t>Salima Issaka</t>
  </si>
  <si>
    <t>Saray Mani</t>
  </si>
  <si>
    <t>Zeinabou Laouali Issoufou</t>
  </si>
  <si>
    <t>Zahara Illa</t>
  </si>
  <si>
    <t>Zeinabou Laouali Ichaou</t>
  </si>
  <si>
    <t>Garin Barmo</t>
  </si>
  <si>
    <t>Binta Mahabou</t>
  </si>
  <si>
    <t>Chamsia Sani</t>
  </si>
  <si>
    <t>Chaawanatou Abdoulaye</t>
  </si>
  <si>
    <t>Djamila Yacouba</t>
  </si>
  <si>
    <t>Hourera Abdou</t>
  </si>
  <si>
    <t>Kadidja Aliou</t>
  </si>
  <si>
    <t>Mariama Mahaman</t>
  </si>
  <si>
    <t>Mariama Aboubacar</t>
  </si>
  <si>
    <t>Mariam Abdou Salam</t>
  </si>
  <si>
    <t>Chaawanatou Kabirou</t>
  </si>
  <si>
    <t>Roukaya Ousmane</t>
  </si>
  <si>
    <t>Roufaatou Ibrahim</t>
  </si>
  <si>
    <t>Salima Aminou</t>
  </si>
  <si>
    <t>Salima Abdou</t>
  </si>
  <si>
    <t>Saratou Abdoul Aziz</t>
  </si>
  <si>
    <t>Sahoura Mansour</t>
  </si>
  <si>
    <t>Souweiba Yahouza</t>
  </si>
  <si>
    <t>Soumaya Sani</t>
  </si>
  <si>
    <t>Wassila Mansour</t>
  </si>
  <si>
    <t>Oumarou Laouali Gago</t>
  </si>
  <si>
    <t>Aminatou Ousmane</t>
  </si>
  <si>
    <t xml:space="preserve">Aicha Mahaman </t>
  </si>
  <si>
    <t>Amira Haladou</t>
  </si>
  <si>
    <t>Amira Hachimou</t>
  </si>
  <si>
    <t>Darajatou Mani</t>
  </si>
  <si>
    <t>Da'ifa Halilou</t>
  </si>
  <si>
    <t>Djamila kassoumou</t>
  </si>
  <si>
    <t>Farila Sadda</t>
  </si>
  <si>
    <t>Fatchima Mamane</t>
  </si>
  <si>
    <t>Fati Farouk</t>
  </si>
  <si>
    <t>Fati Abdou</t>
  </si>
  <si>
    <t>Harira Souley</t>
  </si>
  <si>
    <t>Habsatou Samaila</t>
  </si>
  <si>
    <t>Habsatou Bello</t>
  </si>
  <si>
    <t>Kadidja Rabé</t>
  </si>
  <si>
    <t>Mouhoussina Saadou</t>
  </si>
  <si>
    <t>Na'ima Rabé</t>
  </si>
  <si>
    <t>Nana Aichatou Harouna</t>
  </si>
  <si>
    <t>Nissaiba samaila</t>
  </si>
  <si>
    <t>Nabila Hamza</t>
  </si>
  <si>
    <t>Nana Mariama Rabé</t>
  </si>
  <si>
    <t xml:space="preserve">Nana Bassira Moussa </t>
  </si>
  <si>
    <t>Na'imatou Laouali</t>
  </si>
  <si>
    <t>Nabila Souley</t>
  </si>
  <si>
    <t>Nisseiba Issaka</t>
  </si>
  <si>
    <t>Saoudatou Sadda</t>
  </si>
  <si>
    <t>Saratou Tahirou</t>
  </si>
  <si>
    <t>Youssoura Tassiou</t>
  </si>
  <si>
    <t>Zeinab Iro</t>
  </si>
  <si>
    <t>Zaharaou Tahirou</t>
  </si>
  <si>
    <t>Zeinab Samaila</t>
  </si>
  <si>
    <t>Zeinabou Djamilou</t>
  </si>
  <si>
    <t>Saho Chadaoua</t>
  </si>
  <si>
    <t>Aicha Aminou</t>
  </si>
  <si>
    <t>Balkissou Saidou</t>
  </si>
  <si>
    <t>Bassira Tsahirou</t>
  </si>
  <si>
    <t>Fatima Zaharou Ali</t>
  </si>
  <si>
    <t>Jamila Adamou</t>
  </si>
  <si>
    <t>Mariama Aminou</t>
  </si>
  <si>
    <t>Rabia Saadou</t>
  </si>
  <si>
    <t>Samira Hakilou</t>
  </si>
  <si>
    <t>Zaharaou Nafiou</t>
  </si>
  <si>
    <t>Djirataoua Bilingue</t>
  </si>
  <si>
    <t>Aicha Souley</t>
  </si>
  <si>
    <t>Amira Rabé</t>
  </si>
  <si>
    <t>Abida Hamissou</t>
  </si>
  <si>
    <t>Azima Ali</t>
  </si>
  <si>
    <t>Bassira Mamane</t>
  </si>
  <si>
    <t>Chamsya Saminou</t>
  </si>
  <si>
    <t>Djamila ila</t>
  </si>
  <si>
    <t>Firdaussi Oumarou</t>
  </si>
  <si>
    <t>Farida Issoufou</t>
  </si>
  <si>
    <t>Fati hallarou</t>
  </si>
  <si>
    <t>Firdaoussi Hamidou</t>
  </si>
  <si>
    <t>Harira Garba</t>
  </si>
  <si>
    <t>Habsatou Souley</t>
  </si>
  <si>
    <t>Hassia Hamissou</t>
  </si>
  <si>
    <t>Haouaou Laouali</t>
  </si>
  <si>
    <t>Kadjia Abdoulaye</t>
  </si>
  <si>
    <t>Nassiba Idi</t>
  </si>
  <si>
    <t>Makka Sani</t>
  </si>
  <si>
    <t>Nana Aicha Salissou</t>
  </si>
  <si>
    <t>Nana Firdaussi Ousmane</t>
  </si>
  <si>
    <t>Oubaida Mousssa</t>
  </si>
  <si>
    <t>Rabilatou Saidou</t>
  </si>
  <si>
    <t>Zeinabou Sanoussi</t>
  </si>
  <si>
    <t xml:space="preserve">Zakiya Sani </t>
  </si>
  <si>
    <t>Amira Laouali</t>
  </si>
  <si>
    <t>Amira yacouba</t>
  </si>
  <si>
    <t>Aichatou Ousmane</t>
  </si>
  <si>
    <t>Bassira Ada</t>
  </si>
  <si>
    <t>Baraatou Sahaibou</t>
  </si>
  <si>
    <t>Chappaatou Issoufou</t>
  </si>
  <si>
    <t>Farida Hafizou</t>
  </si>
  <si>
    <t>Halimatou Mousbahou</t>
  </si>
  <si>
    <t>Hanifa Laouali</t>
  </si>
  <si>
    <t>Hassana Amadou</t>
  </si>
  <si>
    <t>Hassana Ousmane</t>
  </si>
  <si>
    <t>kadidja Ismael</t>
  </si>
  <si>
    <t>kadidja Hassan</t>
  </si>
  <si>
    <t>Manira Adamou</t>
  </si>
  <si>
    <t>Mansoura Tanimoun</t>
  </si>
  <si>
    <t>Nisseiba Daouda</t>
  </si>
  <si>
    <t>Nisseiba Rabe</t>
  </si>
  <si>
    <t>Nijaatou Sabiou</t>
  </si>
  <si>
    <t>Nouratou Maman Siradji</t>
  </si>
  <si>
    <t>Naima Mahamadou</t>
  </si>
  <si>
    <t>Oummal Khair Saidou</t>
  </si>
  <si>
    <t>Ousseina Ousmane</t>
  </si>
  <si>
    <t>Ousseina Abass</t>
  </si>
  <si>
    <t>Ousseina Illa</t>
  </si>
  <si>
    <t>Razina Ali</t>
  </si>
  <si>
    <t>Rahila Adamou</t>
  </si>
  <si>
    <t>Roufaida Sabiou</t>
  </si>
  <si>
    <t>Saida Laouali</t>
  </si>
  <si>
    <t>Saoudé Daouda</t>
  </si>
  <si>
    <t>Zeinabou Laouli</t>
  </si>
  <si>
    <t>Zeinab Souley</t>
  </si>
  <si>
    <t>Kagara</t>
  </si>
  <si>
    <t>Aicha Sani</t>
  </si>
  <si>
    <t>Farida Youssoufa</t>
  </si>
  <si>
    <t>Moustahida Illa</t>
  </si>
  <si>
    <t>Mariam Adamou</t>
  </si>
  <si>
    <t>Nana Firdaoussi Tassiou</t>
  </si>
  <si>
    <t>Nana Firdaoussi Manirou</t>
  </si>
  <si>
    <t>Nana Amira Ali</t>
  </si>
  <si>
    <t>Saratou Hamza</t>
  </si>
  <si>
    <t>Zeinabou Illa</t>
  </si>
  <si>
    <t>Kara Kara   3</t>
  </si>
  <si>
    <t>Kankara Safo</t>
  </si>
  <si>
    <t>Zeinabou Saminou</t>
  </si>
  <si>
    <t>Zalika Moussa</t>
  </si>
  <si>
    <t>Tsahara Illa</t>
  </si>
  <si>
    <t xml:space="preserve">Salima Issaka </t>
  </si>
  <si>
    <t>Sadika Laouali</t>
  </si>
  <si>
    <t>Safia Habibou</t>
  </si>
  <si>
    <t>Ramma Laminou</t>
  </si>
  <si>
    <t>Rakia Stahirou</t>
  </si>
  <si>
    <t>Rachida Maliki</t>
  </si>
  <si>
    <t>Rabi Issaka</t>
  </si>
  <si>
    <t xml:space="preserve">Ouma Maman </t>
  </si>
  <si>
    <t>Oubeida Roufa'i</t>
  </si>
  <si>
    <t>Nana Bassira Maliki</t>
  </si>
  <si>
    <t>Nafissa Ousseini</t>
  </si>
  <si>
    <t>Nana Roufaida Yacouba</t>
  </si>
  <si>
    <t>Nana Bassira Adamou</t>
  </si>
  <si>
    <t>Mariama Ibrahim</t>
  </si>
  <si>
    <t>Koubra Laouali</t>
  </si>
  <si>
    <t>Hindatou Abdou</t>
  </si>
  <si>
    <t>Hassana Moussa</t>
  </si>
  <si>
    <t>Fatchima Salissou</t>
  </si>
  <si>
    <t>Chamsia Maliki</t>
  </si>
  <si>
    <t>Bacharia Salha</t>
  </si>
  <si>
    <t xml:space="preserve">  Gadé</t>
  </si>
  <si>
    <t>Zaharaou Moutari</t>
  </si>
  <si>
    <t>Saratou Ichaou</t>
  </si>
  <si>
    <t>Rafia Amadou</t>
  </si>
  <si>
    <t>Rahila Moussa</t>
  </si>
  <si>
    <t>Rahila Inoussa</t>
  </si>
  <si>
    <t>Nana Izzatou Hassane</t>
  </si>
  <si>
    <t>Mariama Amadou</t>
  </si>
  <si>
    <t>Mansoura Hamissou</t>
  </si>
  <si>
    <t>Kadidja Abdou</t>
  </si>
  <si>
    <t>Kadidja Amadou</t>
  </si>
  <si>
    <t>Kalila Aminou</t>
  </si>
  <si>
    <t>Farida Salissou</t>
  </si>
  <si>
    <t>Djamila Moussa</t>
  </si>
  <si>
    <t>Bassira Issaka</t>
  </si>
  <si>
    <t>Bouchiranatou Issaka</t>
  </si>
  <si>
    <t>Balkissa Laouali</t>
  </si>
  <si>
    <t>Aicha Laouali</t>
  </si>
  <si>
    <t>Amira Abdou</t>
  </si>
  <si>
    <t xml:space="preserve">  </t>
  </si>
  <si>
    <t>Kara kara 2</t>
  </si>
  <si>
    <t>Amira Laouali Arzika</t>
  </si>
  <si>
    <t>Charifa Issaka</t>
  </si>
  <si>
    <t>Charifa Chitou</t>
  </si>
  <si>
    <t xml:space="preserve">Chapia Ousmane </t>
  </si>
  <si>
    <t>Halimatou Idrissa</t>
  </si>
  <si>
    <t>Hadizatou Ali</t>
  </si>
  <si>
    <t xml:space="preserve">Hannatou Rabé </t>
  </si>
  <si>
    <t>Hindatou Issoufou</t>
  </si>
  <si>
    <t>Kalifatou Salissou</t>
  </si>
  <si>
    <t>Kadidjatou Moussa</t>
  </si>
  <si>
    <t>Mourjanatou Saadou</t>
  </si>
  <si>
    <t>Mouchtahida Mourtala</t>
  </si>
  <si>
    <t>Mouchtahida Bachir</t>
  </si>
  <si>
    <t>Mariama Souley</t>
  </si>
  <si>
    <t>Mariama Mourtala</t>
  </si>
  <si>
    <t>Malika Ibrahim</t>
  </si>
  <si>
    <t>Madjida Kabirou</t>
  </si>
  <si>
    <t>Nousseiba Hamissou</t>
  </si>
  <si>
    <t>Nazira Malam Adamou</t>
  </si>
  <si>
    <t>Nana Roufaida Moutari</t>
  </si>
  <si>
    <t>Nana Mounira Mahaman Bachir</t>
  </si>
  <si>
    <t xml:space="preserve">Nana Farida Mahaman Laouali </t>
  </si>
  <si>
    <t>Nana Firdaoussi Laouali</t>
  </si>
  <si>
    <t>Nana Farida Laouali</t>
  </si>
  <si>
    <t>Nana Farida Ali</t>
  </si>
  <si>
    <t>Nana Fatchima Abdoul Hadi</t>
  </si>
  <si>
    <t>Naima Oumarou</t>
  </si>
  <si>
    <t>Nissayba Rabé</t>
  </si>
  <si>
    <t>Nana Mariama Souley</t>
  </si>
  <si>
    <t>Nana Aichatou Amadou</t>
  </si>
  <si>
    <t>Ramatou Souley</t>
  </si>
  <si>
    <t>Souraya Abdou</t>
  </si>
  <si>
    <t>Soueba Oumarou</t>
  </si>
  <si>
    <t>Salima Salissou</t>
  </si>
  <si>
    <t>Salamatou Issa</t>
  </si>
  <si>
    <t>Souraya Rabé</t>
  </si>
  <si>
    <t>Souraya Laouali</t>
  </si>
  <si>
    <t>Youssoura Moussa</t>
  </si>
  <si>
    <t xml:space="preserve">Zeitouna Abdou </t>
  </si>
  <si>
    <t>Zeinabou Tsahirou</t>
  </si>
  <si>
    <t>Zeinab Ibrahim</t>
  </si>
  <si>
    <t>Bassira Mahamadou</t>
  </si>
  <si>
    <t>Amira sani</t>
  </si>
  <si>
    <t>Farida Inoussa</t>
  </si>
  <si>
    <t>Riadi Quartier</t>
  </si>
  <si>
    <t>Azima Illa</t>
  </si>
  <si>
    <t>Aminatou Tifidi</t>
  </si>
  <si>
    <t>Ainaou Siradji</t>
  </si>
  <si>
    <t>Bassira Moussa</t>
  </si>
  <si>
    <t>Chamwila Hamissou</t>
  </si>
  <si>
    <t xml:space="preserve">Charifa Salissou </t>
  </si>
  <si>
    <t>Faouzia Hamissou</t>
  </si>
  <si>
    <t>Fatima Moutari</t>
  </si>
  <si>
    <t>Farida Hachirou</t>
  </si>
  <si>
    <t>Firdaoussi Yahaya</t>
  </si>
  <si>
    <t>Hadiza Chitou</t>
  </si>
  <si>
    <t>Harissa Mikael</t>
  </si>
  <si>
    <t>Kadidja Roufa'i</t>
  </si>
  <si>
    <t>Kadidja Badmassi</t>
  </si>
  <si>
    <t>Kadidja  Adamou</t>
  </si>
  <si>
    <t>Maimounatou Abdou</t>
  </si>
  <si>
    <t>Mariama Daouda</t>
  </si>
  <si>
    <t>Mastoura Illa</t>
  </si>
  <si>
    <t>Malika Rabiou</t>
  </si>
  <si>
    <t>Malika Issoufou</t>
  </si>
  <si>
    <t>Marsila Noura</t>
  </si>
  <si>
    <t>Moustahida Maliki</t>
  </si>
  <si>
    <t>Mabrouka Abdou</t>
  </si>
  <si>
    <t>Nazifa Saadou</t>
  </si>
  <si>
    <t>Nana Karima Ousseini</t>
  </si>
  <si>
    <t>Na'ima Hassan</t>
  </si>
  <si>
    <t>Nadia Maman Sani</t>
  </si>
  <si>
    <t>Nana Kadidja Ali</t>
  </si>
  <si>
    <t>Oumal Kheir Laouali</t>
  </si>
  <si>
    <t>Oumal Kheir Oumarou</t>
  </si>
  <si>
    <t>Oumairat Hamidou</t>
  </si>
  <si>
    <t xml:space="preserve">Rachida Issaka </t>
  </si>
  <si>
    <t>Rahika Illa Batouré</t>
  </si>
  <si>
    <t>Safia Sani</t>
  </si>
  <si>
    <t>Sap'ra Saadou</t>
  </si>
  <si>
    <t>Saadia Siradji</t>
  </si>
  <si>
    <t>Yassira Iro</t>
  </si>
  <si>
    <t>Riadi Centre 1</t>
  </si>
  <si>
    <t>Azima Saadou</t>
  </si>
  <si>
    <t>Cha'anatou Yahaya</t>
  </si>
  <si>
    <t>Firdaoussi Djafarou</t>
  </si>
  <si>
    <t>Fatouma Zahara Salissou</t>
  </si>
  <si>
    <t>Farida Mahamadou</t>
  </si>
  <si>
    <t>Facthima Abdoulaye</t>
  </si>
  <si>
    <t xml:space="preserve">Hadiza Mamane </t>
  </si>
  <si>
    <t>Habsatou Hakilou</t>
  </si>
  <si>
    <t>Halimatou Saadiya Laouali</t>
  </si>
  <si>
    <t>Djamila Boukari</t>
  </si>
  <si>
    <t>Leila Hamissou</t>
  </si>
  <si>
    <t>Mansoura Abdoul Fataou</t>
  </si>
  <si>
    <t>Mariam Rabiou</t>
  </si>
  <si>
    <t>Malika Hamissou</t>
  </si>
  <si>
    <t>Maria Laouali</t>
  </si>
  <si>
    <t>Mariama Abdoulaye</t>
  </si>
  <si>
    <t>Nana Aicha Ousseini</t>
  </si>
  <si>
    <t>Nana Sapariya Salissou</t>
  </si>
  <si>
    <t>Nafissatou Abdoul Aziz</t>
  </si>
  <si>
    <t>Nadia Aboubaca</t>
  </si>
  <si>
    <t>Ramatou Salissou</t>
  </si>
  <si>
    <t>Rapia Saadou</t>
  </si>
  <si>
    <t>Rapia Ibrahim</t>
  </si>
  <si>
    <t>Soumaya Yahaya</t>
  </si>
  <si>
    <t>Yassiba Saminou</t>
  </si>
  <si>
    <t>Zeinabou Ibrahim</t>
  </si>
  <si>
    <t>Riadi Centre 2</t>
  </si>
  <si>
    <t>Atika Maazou</t>
  </si>
  <si>
    <t xml:space="preserve">Balkissa Issaka </t>
  </si>
  <si>
    <t>Charifa Abdou</t>
  </si>
  <si>
    <t>Fati Ayouba</t>
  </si>
  <si>
    <t>Faiza Ayouba</t>
  </si>
  <si>
    <t>Fadila Saadou</t>
  </si>
  <si>
    <t>Hassia Sani</t>
  </si>
  <si>
    <t>Nafissa Sabiou</t>
  </si>
  <si>
    <t>Nana Kadidja Aminou</t>
  </si>
  <si>
    <t>Masha'atou Ibrahim</t>
  </si>
  <si>
    <t>Soumayya Issoufou</t>
  </si>
  <si>
    <t>Salima Rabiou</t>
  </si>
  <si>
    <t>Roukayya Idi</t>
  </si>
  <si>
    <t>Rahinatou Issaka</t>
  </si>
  <si>
    <t>Rayanatou Haraouna</t>
  </si>
  <si>
    <t>Zeinabou Salissou</t>
  </si>
  <si>
    <t>Zeinab Stayabou</t>
  </si>
  <si>
    <t xml:space="preserve">Zeinabou Issaka </t>
  </si>
  <si>
    <t>aybatou Idi</t>
  </si>
  <si>
    <t>Choukouriya Zaharadine</t>
  </si>
  <si>
    <t>Chounatou Ibrahim</t>
  </si>
  <si>
    <t>Charifa Laouali</t>
  </si>
  <si>
    <t>Darajatou Sani</t>
  </si>
  <si>
    <t>Fatima Sabiou</t>
  </si>
  <si>
    <t>Firdaoussi Achirou</t>
  </si>
  <si>
    <t>Fatima Moussa</t>
  </si>
  <si>
    <t>Firdaoussi Seidou</t>
  </si>
  <si>
    <t>Nana Mariama Maharazou</t>
  </si>
  <si>
    <t>Nana Mariama Illia</t>
  </si>
  <si>
    <t>Na'ima Issaka</t>
  </si>
  <si>
    <t>Oumou Djamila Idi</t>
  </si>
  <si>
    <t>Ouma Issaka</t>
  </si>
  <si>
    <t>Kamila Laouali</t>
  </si>
  <si>
    <t>Kadidjatou Illia</t>
  </si>
  <si>
    <t>Rafia Harouna</t>
  </si>
  <si>
    <t>Zaytouna Issaka</t>
  </si>
  <si>
    <t>Chapa'atou Rabiou</t>
  </si>
  <si>
    <t xml:space="preserve">Firdaoussi Harouna </t>
  </si>
  <si>
    <t>Fatiha Salissou</t>
  </si>
  <si>
    <t>Oubayda Adamou</t>
  </si>
  <si>
    <t>Nadiya Moussa</t>
  </si>
  <si>
    <t>Nana Jamila Laouali</t>
  </si>
  <si>
    <t>Nazifa Boukari</t>
  </si>
  <si>
    <t>Roufaida Yawalé</t>
  </si>
  <si>
    <t>Souraya Souley</t>
  </si>
  <si>
    <t>Yasmina Sani</t>
  </si>
  <si>
    <t xml:space="preserve">Chaffa'atou HAmidou </t>
  </si>
  <si>
    <t>Fati Saidou</t>
  </si>
  <si>
    <t>Fadila Inoussa</t>
  </si>
  <si>
    <t xml:space="preserve">Latifa Garba </t>
  </si>
  <si>
    <t>Roufaida Admaou</t>
  </si>
  <si>
    <t>Roukaya Hamidou</t>
  </si>
  <si>
    <t>Salima Issa</t>
  </si>
  <si>
    <t>Nissayba Laouali</t>
  </si>
  <si>
    <t>Laylatou Salissou</t>
  </si>
  <si>
    <t>Zeinab Amadou</t>
  </si>
  <si>
    <t>Zeinab Oumarou</t>
  </si>
  <si>
    <t>Zeinab Ali</t>
  </si>
  <si>
    <t>Zalika Yacouba</t>
  </si>
  <si>
    <t>Tajae Djirataoua</t>
  </si>
  <si>
    <t>Aichatou Ali</t>
  </si>
  <si>
    <t>Charifa Maazou</t>
  </si>
  <si>
    <t>Djamila Laouali</t>
  </si>
  <si>
    <t>Faouziya Massaoudou</t>
  </si>
  <si>
    <t>Faiza Kabirou</t>
  </si>
  <si>
    <t>Fati Yacouba</t>
  </si>
  <si>
    <t>Haouaou Saadou</t>
  </si>
  <si>
    <t>Hamida Illia</t>
  </si>
  <si>
    <t>Harissa Sanoussi</t>
  </si>
  <si>
    <t>Kadidja Abdoulaye</t>
  </si>
  <si>
    <t>Kadidja Maazou</t>
  </si>
  <si>
    <t>Kadidja Yacouba</t>
  </si>
  <si>
    <t>Mabarouka Halidou</t>
  </si>
  <si>
    <t>Nana Najaatou Saadou</t>
  </si>
  <si>
    <t>Nana Manssoura Saadou</t>
  </si>
  <si>
    <t>Rabi Garba</t>
  </si>
  <si>
    <t>Rahamatou Issia</t>
  </si>
  <si>
    <t>Rabila Amadou</t>
  </si>
  <si>
    <t>Soumaya Sabiou</t>
  </si>
  <si>
    <t>Safina Oumarou</t>
  </si>
  <si>
    <t>safaraou Issoufou</t>
  </si>
  <si>
    <t>Souraya Sani</t>
  </si>
  <si>
    <t>Safina Issaka</t>
  </si>
  <si>
    <t>Garin Daoure 1</t>
  </si>
  <si>
    <t>Firdaoussi Sabiou</t>
  </si>
  <si>
    <t>Mouchitahida Abdoul Hadi</t>
  </si>
  <si>
    <t>Mabarouka Inoussa</t>
  </si>
  <si>
    <t>Nazifa Chiitou</t>
  </si>
  <si>
    <t>Nabila Haladou</t>
  </si>
  <si>
    <t>Nijaatou Ali</t>
  </si>
  <si>
    <t>Saratou Saidou</t>
  </si>
  <si>
    <t>Samira Ayouba</t>
  </si>
  <si>
    <t>kwantagora  Goussaoua</t>
  </si>
  <si>
    <t>Aicha Samaila</t>
  </si>
  <si>
    <t>Balkissa Ibrahim</t>
  </si>
  <si>
    <t>Choukouriya Kabirou</t>
  </si>
  <si>
    <t>Farida Hassane</t>
  </si>
  <si>
    <t>Fidilawou Illiassou</t>
  </si>
  <si>
    <t>Firdaoussi Kabirou</t>
  </si>
  <si>
    <t>Firdaoussi Tsahirou</t>
  </si>
  <si>
    <t>Hadiza Harouna</t>
  </si>
  <si>
    <t>Hassia Salissou</t>
  </si>
  <si>
    <t>Kadidja Mamoudou</t>
  </si>
  <si>
    <t>Mourjanatou Ibrahim</t>
  </si>
  <si>
    <t>Najaatou Issoufou</t>
  </si>
  <si>
    <t>Noussayba Saidou</t>
  </si>
  <si>
    <t>Oumeira Laouali</t>
  </si>
  <si>
    <t>Rafia Aboubacar</t>
  </si>
  <si>
    <t>Salamatou samaila</t>
  </si>
  <si>
    <t>Souraya Sabiou</t>
  </si>
  <si>
    <t>Yassira Aboubacar</t>
  </si>
  <si>
    <t>Yassira Salissou</t>
  </si>
  <si>
    <t>Zina Yacouba</t>
  </si>
  <si>
    <t>Garin Madji</t>
  </si>
  <si>
    <t>Amara Ousseini</t>
  </si>
  <si>
    <t>Aicha LAOUALI</t>
  </si>
  <si>
    <t>Aicha Bassirou</t>
  </si>
  <si>
    <t>AMira kassoum</t>
  </si>
  <si>
    <t>Badia Saminou</t>
  </si>
  <si>
    <t>Chamssiya Almou</t>
  </si>
  <si>
    <t>Farida Sabiou</t>
  </si>
  <si>
    <t>Oumoulkhair Hamissou</t>
  </si>
  <si>
    <t>Ouma Bassirou</t>
  </si>
  <si>
    <t>Malika Oumarou</t>
  </si>
  <si>
    <t>Maamoura Chaibou</t>
  </si>
  <si>
    <t>Mourja Illa</t>
  </si>
  <si>
    <t>Noussayba Abdou</t>
  </si>
  <si>
    <t>Rachida Gambo</t>
  </si>
  <si>
    <t>Rahila Sani</t>
  </si>
  <si>
    <t>Soueba Zabeyrou</t>
  </si>
  <si>
    <t xml:space="preserve">Safaraou Siradji </t>
  </si>
  <si>
    <t>Wassila Zabeirou</t>
  </si>
  <si>
    <t>Zayanatou Siradji</t>
  </si>
  <si>
    <t>Zalika Gambo</t>
  </si>
  <si>
    <t>Galadanci</t>
  </si>
  <si>
    <t>Anida Sani</t>
  </si>
  <si>
    <t>Assama Issa</t>
  </si>
  <si>
    <t>Bouchra Hamissou</t>
  </si>
  <si>
    <t>Bassira Bouhari</t>
  </si>
  <si>
    <t>Bouchra Laouali</t>
  </si>
  <si>
    <t>Chamsia Kassoumou</t>
  </si>
  <si>
    <t>Charhassila Ayouba</t>
  </si>
  <si>
    <t xml:space="preserve">Djaouharatou </t>
  </si>
  <si>
    <t>Fati Irwatou</t>
  </si>
  <si>
    <t>Farida Adamou</t>
  </si>
  <si>
    <t>Faouziya Saadou</t>
  </si>
  <si>
    <t>Fatima Illia</t>
  </si>
  <si>
    <t>Fatima Hachimou</t>
  </si>
  <si>
    <t>Fatiha Issoufou</t>
  </si>
  <si>
    <t>Faouziya Achirou</t>
  </si>
  <si>
    <t>Faouziya Ado</t>
  </si>
  <si>
    <t>Habsatou Sanoussi</t>
  </si>
  <si>
    <t>Hadjaratou Amirou</t>
  </si>
  <si>
    <t>Mariama Saidou</t>
  </si>
  <si>
    <t>Maraliya Saadou</t>
  </si>
  <si>
    <t>Malika Mourtala</t>
  </si>
  <si>
    <t xml:space="preserve">Moufida Tassiou </t>
  </si>
  <si>
    <t>Malika Chaibou</t>
  </si>
  <si>
    <t>Naima Rabe</t>
  </si>
  <si>
    <t>Niimatou Hassane</t>
  </si>
  <si>
    <t>Oumma Oumarou</t>
  </si>
  <si>
    <t>Oubeida Tassiou</t>
  </si>
  <si>
    <t>Oumaima Abdou Rahamane</t>
  </si>
  <si>
    <t>Rachida Tsayabou</t>
  </si>
  <si>
    <t>Roufaida Saminou</t>
  </si>
  <si>
    <t>Sakina Tassiou</t>
  </si>
  <si>
    <t>Safia Mahamadou</t>
  </si>
  <si>
    <t>Souraya Hamissou</t>
  </si>
  <si>
    <t>Saima Biniya</t>
  </si>
  <si>
    <t>Wassila Ayouba</t>
  </si>
  <si>
    <t>Wassila Souley</t>
  </si>
  <si>
    <t>Zakiya Sani</t>
  </si>
  <si>
    <t>Zaharaou Hassan</t>
  </si>
  <si>
    <t>Yassira Sabiou</t>
  </si>
  <si>
    <t>Garin Daoure 2</t>
  </si>
  <si>
    <t>Garin Daoure2</t>
  </si>
  <si>
    <t>Fatouma Moussa</t>
  </si>
  <si>
    <t>Nana Haouaou Moussa</t>
  </si>
  <si>
    <t>Nana Sabila Tassiou</t>
  </si>
  <si>
    <t>Napia Ayouba</t>
  </si>
  <si>
    <t>Souraya Daouada</t>
  </si>
  <si>
    <t>Zeinab Yahouza</t>
  </si>
  <si>
    <t>Atouka Saminou</t>
  </si>
  <si>
    <t>Chikouria Chitou</t>
  </si>
  <si>
    <t>Chamsiya Tsalha</t>
  </si>
  <si>
    <t>Hawaou Yahouza</t>
  </si>
  <si>
    <t>Fati Youssoufa</t>
  </si>
  <si>
    <t>Harira Maman</t>
  </si>
  <si>
    <t>Liyaatou Adamou</t>
  </si>
  <si>
    <t>Mariama Sani</t>
  </si>
  <si>
    <t xml:space="preserve">Nana Firdaoussi Tanimoune </t>
  </si>
  <si>
    <t>Nijaatou Hamissou</t>
  </si>
  <si>
    <t>Ouma Maman</t>
  </si>
  <si>
    <t>Ouma Ismaila</t>
  </si>
  <si>
    <t>Roumassaou Hamissou</t>
  </si>
  <si>
    <t>Samira EL Oumarou</t>
  </si>
  <si>
    <t>Zeinabou Chapiou</t>
  </si>
  <si>
    <t>Amira Moussou</t>
  </si>
  <si>
    <t>Bassira Yacouba</t>
  </si>
  <si>
    <t>Chamsiya Tsahirou</t>
  </si>
  <si>
    <t>Fatsouma Achirou</t>
  </si>
  <si>
    <t>Halimatou Saadiya Sani</t>
  </si>
  <si>
    <t>Imamatou Maazou</t>
  </si>
  <si>
    <t>Liyaatou Abou</t>
  </si>
  <si>
    <t>Moustabchina Lawali</t>
  </si>
  <si>
    <t>Nana Ramlatou Issa</t>
  </si>
  <si>
    <t>Nana Hadiza Hambali</t>
  </si>
  <si>
    <t>Nana Bassira Lawali</t>
  </si>
  <si>
    <t>Nana Firdaoussi Abou</t>
  </si>
  <si>
    <t>Razina Lawali</t>
  </si>
  <si>
    <t>Rachida Ousmane</t>
  </si>
  <si>
    <t>Saparaou Maman Moussa</t>
  </si>
  <si>
    <t>Soumaya Moussa</t>
  </si>
  <si>
    <t>Yasmina Zabeirou</t>
  </si>
  <si>
    <t>Yasmina Roufai</t>
  </si>
  <si>
    <t>Choukouriya Ichaou</t>
  </si>
  <si>
    <t>Fatouma Kakale</t>
  </si>
  <si>
    <t>Habiba Sagir</t>
  </si>
  <si>
    <t>Hadiza Kassimou</t>
  </si>
  <si>
    <t>Habiba  Mahamadou</t>
  </si>
  <si>
    <t>Nana Farida Moutari</t>
  </si>
  <si>
    <t>Rahane Lawali</t>
  </si>
  <si>
    <t>Zeinabou Saddi</t>
  </si>
  <si>
    <t xml:space="preserve">Soumarana </t>
  </si>
  <si>
    <t>Saley Laouali</t>
  </si>
  <si>
    <t>956</t>
  </si>
  <si>
    <t>957</t>
  </si>
  <si>
    <t>958</t>
  </si>
  <si>
    <t>Abondon</t>
  </si>
  <si>
    <t>Sylbia Hachimou</t>
  </si>
  <si>
    <t>Firdaoussi Aminou</t>
  </si>
  <si>
    <t>Chappa Oumarou</t>
  </si>
  <si>
    <t>Hachimou</t>
  </si>
  <si>
    <t xml:space="preserve">Nadia Amadou </t>
  </si>
  <si>
    <t xml:space="preserve">Daradjatou Chaibou </t>
  </si>
  <si>
    <t xml:space="preserve">Firdaoussi Issa </t>
  </si>
  <si>
    <t>Fatchima Issoufou</t>
  </si>
  <si>
    <t>Garin Daouré 2</t>
  </si>
  <si>
    <t>Passante</t>
  </si>
  <si>
    <t>625</t>
  </si>
  <si>
    <t>Kantagora Stohoua</t>
  </si>
  <si>
    <t>Azima Issa</t>
  </si>
  <si>
    <t>Anassia Issa</t>
  </si>
  <si>
    <t>Nouseiba Hamisou</t>
  </si>
  <si>
    <t>Sahiba Hamissou</t>
  </si>
  <si>
    <t>Aibatou Tsahirou</t>
  </si>
  <si>
    <t>Assama Badamsi</t>
  </si>
  <si>
    <t>Nadjaatou Idrissa</t>
  </si>
  <si>
    <t>Rayanatou Sabiou</t>
  </si>
  <si>
    <t>Roubeika Oumarou</t>
  </si>
  <si>
    <t>Samira Salihou</t>
  </si>
  <si>
    <t>Elle reprend la classe de CM2</t>
  </si>
  <si>
    <t>Kadidja Issouffou</t>
  </si>
  <si>
    <t>Chapaatou Akassoumou</t>
  </si>
  <si>
    <t>Elle avait redouble CM2</t>
  </si>
  <si>
    <t xml:space="preserve">Abandon </t>
  </si>
  <si>
    <t>Abondante</t>
  </si>
  <si>
    <t>Faouzia Aminou</t>
  </si>
  <si>
    <t xml:space="preserve">Na'ima Salissou </t>
  </si>
  <si>
    <t xml:space="preserve">Ousseina Arzika </t>
  </si>
  <si>
    <t xml:space="preserve">Arzika </t>
  </si>
  <si>
    <t>Elle avait redouble  C M 2</t>
  </si>
  <si>
    <t>Elle avait redouble C M 2</t>
  </si>
  <si>
    <t>Elle reprend la classe C M 2</t>
  </si>
  <si>
    <t>Nana Hadiza Yaou</t>
  </si>
  <si>
    <t>Saadé Issa</t>
  </si>
  <si>
    <t>Nazifa Siradji</t>
  </si>
  <si>
    <t>Siradji</t>
  </si>
  <si>
    <t>Nousseiba Issoufou</t>
  </si>
  <si>
    <t>Abondonte</t>
  </si>
  <si>
    <t>Chaouna Hamidou</t>
  </si>
  <si>
    <t>301</t>
  </si>
  <si>
    <t>394</t>
  </si>
  <si>
    <t>Fadila Yahouza</t>
  </si>
  <si>
    <t>Yassira Laouali</t>
  </si>
  <si>
    <t>Rabia Sahabi</t>
  </si>
  <si>
    <t>Zeinab Salaou</t>
  </si>
  <si>
    <t>Hakima Halilou</t>
  </si>
  <si>
    <t>Hawlatou Abdou</t>
  </si>
  <si>
    <t xml:space="preserve">Habsatou Sani </t>
  </si>
  <si>
    <t xml:space="preserve">Kadidja Inoussa </t>
  </si>
  <si>
    <t>Fatima Issoufou</t>
  </si>
  <si>
    <t xml:space="preserve">Firdaoussi Yahouza </t>
  </si>
  <si>
    <t>Nana Amira Abdoulaye</t>
  </si>
  <si>
    <t>31/12/2008 à Kataré</t>
  </si>
  <si>
    <t>31/12/09 à Katare</t>
  </si>
  <si>
    <t>30/07/09 à Maradi</t>
  </si>
  <si>
    <t>11/11/09 à Maradi</t>
  </si>
  <si>
    <t xml:space="preserve">31/12/2009 à S S Galma </t>
  </si>
  <si>
    <t>13/03/2009 à Dallia</t>
  </si>
  <si>
    <t>27/10/2008 à Dallia</t>
  </si>
  <si>
    <t>31/03/2009 à Dallia</t>
  </si>
  <si>
    <t>01/01/2009 à Dallia</t>
  </si>
  <si>
    <t>12/01/2008 à Dallia</t>
  </si>
  <si>
    <t>07/02/2008 à Dallia</t>
  </si>
  <si>
    <t>02/07/2008 à Dallia</t>
  </si>
  <si>
    <t>12/02/2009 à Dallia</t>
  </si>
  <si>
    <t>31/11/2008 à Dallia</t>
  </si>
  <si>
    <t>02/11/2009 à Dallia</t>
  </si>
  <si>
    <t>12/12/2009 à Dallia</t>
  </si>
  <si>
    <t>25/02/2009 à Dallia</t>
  </si>
  <si>
    <t>01/01/2010 à Dallia</t>
  </si>
  <si>
    <t>12/01/2010 à Dallia</t>
  </si>
  <si>
    <t>12/01/2009 à Dallia</t>
  </si>
  <si>
    <t>18/12/2009 à Dallia</t>
  </si>
  <si>
    <t>15/06/2008 à Dallia</t>
  </si>
  <si>
    <t>12/04/2009 à Dallia</t>
  </si>
  <si>
    <t>12/12/2010 à Dallia</t>
  </si>
  <si>
    <t>24/07/2009 à Dallia</t>
  </si>
  <si>
    <t>13/05/2009 à Garin Kabey</t>
  </si>
  <si>
    <t>01/01/2010 à Garin Kabey</t>
  </si>
  <si>
    <t>01/01/2007 à Garin Kabey</t>
  </si>
  <si>
    <t>01/01/2007 à Yan Zango</t>
  </si>
  <si>
    <t>05/10/2010 à Maradi</t>
  </si>
  <si>
    <t>02/05/2010 à Yan Zango</t>
  </si>
  <si>
    <t>27/07/2009 à Yan Zango</t>
  </si>
  <si>
    <t>01/01/2008 à Garin Kabey</t>
  </si>
  <si>
    <t>01/01/2010 à Dan Gao</t>
  </si>
  <si>
    <t>01/01/2009 à Garin Kessa</t>
  </si>
  <si>
    <t>01/01/2008 à Garin Kessa</t>
  </si>
  <si>
    <t>01/01/2010 à Yan Zango</t>
  </si>
  <si>
    <t>01/01/2010 à Kagara</t>
  </si>
  <si>
    <t>01/02/2009 à Kagara</t>
  </si>
  <si>
    <t>14/02/2009 à Kagara</t>
  </si>
  <si>
    <t>01/01/2009 à Kagara</t>
  </si>
  <si>
    <t>01/01/2011 à Kagara</t>
  </si>
  <si>
    <t>01/01/2008 à Kagara</t>
  </si>
  <si>
    <t>27/03/2009 à Kagara</t>
  </si>
  <si>
    <t>01/07/2008 à Kagara</t>
  </si>
  <si>
    <t>01/02/2008 à Kagara</t>
  </si>
  <si>
    <t>06/06/2011 à Kagara</t>
  </si>
  <si>
    <t>01/01/2009 à Sarkin Aski</t>
  </si>
  <si>
    <t>01/01/2009 à Tajae Djiratawa</t>
  </si>
  <si>
    <t>01/01/2009 à Dan Gamji</t>
  </si>
  <si>
    <t>01/01/2008 à Tajae Djiratawa</t>
  </si>
  <si>
    <t>01/01/2008 à Dan Gamji</t>
  </si>
  <si>
    <t>01/01/2010 à Soumarana</t>
  </si>
  <si>
    <t>26/02/2010 à Soumarana</t>
  </si>
  <si>
    <t>13/09/2010 à Soumarana</t>
  </si>
  <si>
    <t>30/03/2011 à Soumarana</t>
  </si>
  <si>
    <t>06/06/2010 à Soumarana</t>
  </si>
  <si>
    <t>01/01/2009 à Garin Malan Hamza</t>
  </si>
  <si>
    <t>Zouera Salissou</t>
  </si>
  <si>
    <t xml:space="preserve">Aminatou Yahaya </t>
  </si>
  <si>
    <t>01/01/2009 à Garin Daouré</t>
  </si>
  <si>
    <t>26/12/2008 à Garin Daouré</t>
  </si>
  <si>
    <t>01/01/2007 à Garin Daouré</t>
  </si>
  <si>
    <t>01/01/2010 à Garin Daouré</t>
  </si>
  <si>
    <t>01/01/2008 à Garin Daouré</t>
  </si>
  <si>
    <t>Oumma Ouseini</t>
  </si>
  <si>
    <t>25/08/2011 à Garin Daouré</t>
  </si>
  <si>
    <t>01/01/2010 à Gadé</t>
  </si>
  <si>
    <t>Nana Mansoura Sani</t>
  </si>
  <si>
    <t>01/01/2009 à Gadé</t>
  </si>
  <si>
    <t>Nana karazna Ibrahim</t>
  </si>
  <si>
    <t>01/01/2010 à Mazatsayé</t>
  </si>
  <si>
    <t>11/08/10 à Maradi</t>
  </si>
  <si>
    <t>31/12/2010 à Maradi</t>
  </si>
  <si>
    <t>Hafiza Souleymane</t>
  </si>
  <si>
    <t>Masaouda Adamou</t>
  </si>
  <si>
    <t>13/04/2009 à Garin Madji</t>
  </si>
  <si>
    <t>31/12/2007 à Garin Madji</t>
  </si>
  <si>
    <t>12/04/2009 à Garin Madji</t>
  </si>
  <si>
    <t>16/03/2009 à Garin Madji</t>
  </si>
  <si>
    <t>18/03/2009 à Garin Madji</t>
  </si>
  <si>
    <t>16/01/2009 à Garin Madji</t>
  </si>
  <si>
    <t>07/03/2009 à Garin Madji</t>
  </si>
  <si>
    <t>06/02/2009 à Garin Madji</t>
  </si>
  <si>
    <t>02/03/2009 à Garin Madji</t>
  </si>
  <si>
    <t>08/02/2009 à Garin Madji</t>
  </si>
  <si>
    <t>03/02/2009 à Garin Madji</t>
  </si>
  <si>
    <t>21/02/2009 à Garin Madji</t>
  </si>
  <si>
    <t>16/02/2009 à Garin Madji</t>
  </si>
  <si>
    <t>01/07/2009 à Garin Madji</t>
  </si>
  <si>
    <t>21/12/2009 à Garin Madji</t>
  </si>
  <si>
    <t>31/12/2009 à Garin Madji</t>
  </si>
  <si>
    <t>27/08/2009 à Garin Madji</t>
  </si>
  <si>
    <t>21/03/2009 à Garin Madji</t>
  </si>
  <si>
    <t>01/01/2010 à Maisso</t>
  </si>
  <si>
    <t>01/01/2009 à Maisso</t>
  </si>
  <si>
    <t>Azima Illia</t>
  </si>
  <si>
    <t>01/01/09 à Riadi</t>
  </si>
  <si>
    <t>27/12/08 à Riadi</t>
  </si>
  <si>
    <t>13/03/09 à Riadi</t>
  </si>
  <si>
    <t>13/08/2009 à Riadi</t>
  </si>
  <si>
    <t>01/01/08 à Riadi</t>
  </si>
  <si>
    <t>19/08/08 à Riadi</t>
  </si>
  <si>
    <t>29/11/08 à Riadi</t>
  </si>
  <si>
    <t>03/01/08 à Riadi</t>
  </si>
  <si>
    <t>26/01/2010 à Riadi</t>
  </si>
  <si>
    <t>01/02/09 à Riadi</t>
  </si>
  <si>
    <t>06/06/07 à Riadi</t>
  </si>
  <si>
    <t>07/11/08 à Riadi</t>
  </si>
  <si>
    <t>28/01/10 à Riadi</t>
  </si>
  <si>
    <t>17/09/09 à Riadi</t>
  </si>
  <si>
    <t>01/01/2009 à Riadi</t>
  </si>
  <si>
    <t>01/01/2008 à Riadi</t>
  </si>
  <si>
    <t>Nissayba Ibahim</t>
  </si>
  <si>
    <t>Rouma Maman Garba</t>
  </si>
  <si>
    <t>01/01/2009 à Maradi</t>
  </si>
  <si>
    <t>31/12/2009 à Maradi</t>
  </si>
  <si>
    <t>31/10/2009 à Imbalbelou</t>
  </si>
  <si>
    <t>05/06/2008 à Maradi</t>
  </si>
  <si>
    <t>02/01/2009 à Maradi</t>
  </si>
  <si>
    <t>01/01/2010 à Maradi</t>
  </si>
  <si>
    <t>25/02/2011 à Maradi</t>
  </si>
  <si>
    <t>11/01/2010 à Maradi</t>
  </si>
  <si>
    <t>01/12/2009 à Maradi</t>
  </si>
  <si>
    <t>01/01 2010 à Imbelbelou</t>
  </si>
  <si>
    <t>11/12/2009 à Takalmaoua</t>
  </si>
  <si>
    <t>03/01/2009 à Imbelbelou</t>
  </si>
  <si>
    <t>12/11/2009 à Maradi</t>
  </si>
  <si>
    <t>10/02/2010 à Maradi</t>
  </si>
  <si>
    <t>18/07/2008 à Maradi</t>
  </si>
  <si>
    <t>03/05/11 à Maradi</t>
  </si>
  <si>
    <t>24/04/2009 à Maradi</t>
  </si>
  <si>
    <t>29/01/2011 à Maradi</t>
  </si>
  <si>
    <t>10/01/2009 à Maradi</t>
  </si>
  <si>
    <t>01/01/2008 à Maradi</t>
  </si>
  <si>
    <t>01/01/2009  à Maradi</t>
  </si>
  <si>
    <t>31/10/2009 à Maradi</t>
  </si>
  <si>
    <t>21/08/2008 à Maradi</t>
  </si>
  <si>
    <t>01/01/2010  à Maradi</t>
  </si>
  <si>
    <t>31/10/2010 à Imbelbelou</t>
  </si>
  <si>
    <t>01/09/2008 à Maradi</t>
  </si>
  <si>
    <t>Zouera Mahamadou</t>
  </si>
  <si>
    <t>06/01/2009 à Imbelbelou</t>
  </si>
  <si>
    <t>01/04/2009 à Imbelbelou</t>
  </si>
  <si>
    <t>31/12/2008 à Imbelbelou</t>
  </si>
  <si>
    <t>22/11/2009 a Imbelbelou</t>
  </si>
  <si>
    <t>01/01/2009 à Djirataoua</t>
  </si>
  <si>
    <t>01/01/2007 à Djirataoua</t>
  </si>
  <si>
    <t>12/03/2010 à Djrataoua</t>
  </si>
  <si>
    <t>03/05/2009 à Djirataoua</t>
  </si>
  <si>
    <t>12/11/2009 à Djirataoua</t>
  </si>
  <si>
    <t>20/12/2009 à Djirataoua</t>
  </si>
  <si>
    <t>22/02/2008 à Djirataoua</t>
  </si>
  <si>
    <t>24/02/2009 à Djirataoua</t>
  </si>
  <si>
    <t>18/02/2010 à Djirataoua</t>
  </si>
  <si>
    <t>14/06/2009 à Djirataoua</t>
  </si>
  <si>
    <t>01/01/2010 à Djirataoua</t>
  </si>
  <si>
    <t>06/02/2010 à Djirataoua</t>
  </si>
  <si>
    <t>10/11/2009 à Djirataoua</t>
  </si>
  <si>
    <t>27/01/2009 à Djirataoua</t>
  </si>
  <si>
    <t>13/09/2009 à Djirataoua</t>
  </si>
  <si>
    <t>20/05/2009 à Djirataoua</t>
  </si>
  <si>
    <t>23/03/2010 à Djirataoua</t>
  </si>
  <si>
    <t>Parida Oumarou</t>
  </si>
  <si>
    <t>09/10/2009 à Djirataoua</t>
  </si>
  <si>
    <t>05/03/2010 à Djirataoua</t>
  </si>
  <si>
    <t>18/03/2009 à Djirataoua</t>
  </si>
  <si>
    <t>10/05/2009 à Djirataoua</t>
  </si>
  <si>
    <t>01/01/2008 à Djirataoua</t>
  </si>
  <si>
    <t>14/01//2008 à Djirataoua</t>
  </si>
  <si>
    <t>15/01/2008 à Djirataoua</t>
  </si>
  <si>
    <t>11/05/2008 à Djirataoua</t>
  </si>
  <si>
    <t>21/05/2006 à Djirataoua</t>
  </si>
  <si>
    <t>31/12/2007 à Djirataoua</t>
  </si>
  <si>
    <t>01/01/2010 à Safo Chadaoua</t>
  </si>
  <si>
    <t>01/01/2009 à Safo Chadaoua</t>
  </si>
  <si>
    <t>14/12/2008 à Safo Chadaoua</t>
  </si>
  <si>
    <t>01/01/2011 à Safo Chadaoua</t>
  </si>
  <si>
    <t>Safna Tsayabou</t>
  </si>
  <si>
    <t>01/01/2008 à Safo Chadaoua</t>
  </si>
  <si>
    <t>01/01/2009 à Dan kari</t>
  </si>
  <si>
    <t>01/01/2010 à Dan kari</t>
  </si>
  <si>
    <t>01/01/10 à Oubandawaki</t>
  </si>
  <si>
    <t>01/01/2010 à Zouroudou</t>
  </si>
  <si>
    <t>01/01/2010 à Garan Barmo</t>
  </si>
  <si>
    <t>01/01/2010 à Garin Barmo</t>
  </si>
  <si>
    <t>01/01/2011 à Garin Barmo</t>
  </si>
  <si>
    <t>01/01/2008 à Garin Barmo</t>
  </si>
  <si>
    <t>01/01/2012 à Garin Barmo</t>
  </si>
  <si>
    <t xml:space="preserve">01/01/2010 à Kankare </t>
  </si>
  <si>
    <t>01/01/2010 à Kankare</t>
  </si>
  <si>
    <t>01/01/2009 à Kankare</t>
  </si>
  <si>
    <t>Faiza Chitou</t>
  </si>
  <si>
    <t>Habiba Mamoudou</t>
  </si>
  <si>
    <t>10/11/2010 à Tibiri</t>
  </si>
  <si>
    <t>01/01/2010 à Tibiri</t>
  </si>
  <si>
    <t>01/01/2009 à Kaoukaye</t>
  </si>
  <si>
    <t>15/06/2010 à Garin Daoure</t>
  </si>
  <si>
    <t>01/01/2010 à Kaoukaye</t>
  </si>
  <si>
    <t>Hawaou Souleymane</t>
  </si>
  <si>
    <t>26/06/09 à Tibiri</t>
  </si>
  <si>
    <t>04/07/2010 à Kwantagora Goussaoua</t>
  </si>
  <si>
    <t>O1/10/2010 à Kwantagora Goussaoua</t>
  </si>
  <si>
    <t>19/03/2010 à Kwantagora Goussaoua</t>
  </si>
  <si>
    <t>03/01/2010 à Kwantagora Goussaoua</t>
  </si>
  <si>
    <t>01/08/2010 à Kwantagora Goussaoua</t>
  </si>
  <si>
    <t>24/12/2011 à Kwantagora Goussaoua</t>
  </si>
  <si>
    <t>25/10/2010 à Kwantagora Goussaoua</t>
  </si>
  <si>
    <t>01/01/2008 à Kwantagora Goussaoua</t>
  </si>
  <si>
    <t>01/01/2009 à Kwantagora Goussaoua</t>
  </si>
  <si>
    <t>01/01/2007 à Kwantagora Goussaoua</t>
  </si>
  <si>
    <t>08/01/2010 à Kwantagora Goussaoua</t>
  </si>
  <si>
    <t>10/01/2008 à Kwantagora Goussaoua</t>
  </si>
  <si>
    <t>28/01/2010 à Kwantagora Goussaoua</t>
  </si>
  <si>
    <t>24/12/2010 à Kwantagora Goussaoua</t>
  </si>
  <si>
    <t>Assamaou Laminou</t>
  </si>
  <si>
    <t>30/03/2010 à Djirataoua</t>
  </si>
  <si>
    <t>20/01/2009 à Kwantagora Goussaoua</t>
  </si>
  <si>
    <t>31/08/2008 à Djirataoua</t>
  </si>
  <si>
    <t>Habibou Idi</t>
  </si>
  <si>
    <t xml:space="preserve">01/01/2009 à Soura </t>
  </si>
  <si>
    <t xml:space="preserve">01/01/2008 à Soura </t>
  </si>
  <si>
    <t>01/01/2007 à Tibiri</t>
  </si>
  <si>
    <t>01/01/2008 à Tibiri</t>
  </si>
  <si>
    <t xml:space="preserve">01/01/2010 à Soura </t>
  </si>
  <si>
    <t>01/01/2009 à Soura Magajin Rogo</t>
  </si>
  <si>
    <t>01/01/2010 à Soura Magajin Rogo</t>
  </si>
  <si>
    <t xml:space="preserve">Aminatou Abdou </t>
  </si>
  <si>
    <t xml:space="preserve">Lamissou Harouna </t>
  </si>
  <si>
    <t>Roufaida Salissou Garba</t>
  </si>
  <si>
    <t>Wassila Hamza</t>
  </si>
  <si>
    <t>01/01/2009 à Atchiré</t>
  </si>
  <si>
    <t>01/01/2009 a Kalgon Waraou</t>
  </si>
  <si>
    <t>01/01/2011 a Kalgon Waraou</t>
  </si>
  <si>
    <t>31/12/2009 à Tibiri</t>
  </si>
  <si>
    <t>31/12/2010 à Tibiri</t>
  </si>
  <si>
    <t>28/02/2010 à Tibiri</t>
  </si>
  <si>
    <t>18/12/2009 à Tibiri</t>
  </si>
  <si>
    <t>01/01/2009 à Tibiri</t>
  </si>
  <si>
    <t>Nadia Sani</t>
  </si>
  <si>
    <t>31/01/2009 à Kodéraoua</t>
  </si>
  <si>
    <t>01/01/2010 à Kodéraoua</t>
  </si>
  <si>
    <t>01/01/2010 à Garin Daji</t>
  </si>
  <si>
    <t>Sahiba Salissou</t>
  </si>
  <si>
    <t>01/01/2009 à Safo Nassaraoua</t>
  </si>
  <si>
    <t>01/01/2008 à Safo Nassaraoua</t>
  </si>
  <si>
    <t>14/04/2010 à Safo Nassaraoua</t>
  </si>
  <si>
    <t>01/01/2011 à Safo Nassaraoua</t>
  </si>
  <si>
    <t>01/01/2010 à Tarna</t>
  </si>
  <si>
    <t>30/07/2010 à Tarna</t>
  </si>
  <si>
    <t>07/08/2008 à Tarna</t>
  </si>
  <si>
    <t>01/01/2009 à Tarna</t>
  </si>
  <si>
    <t>27/04/2008 à Tarna</t>
  </si>
  <si>
    <t>12/02/2010 à Tarna</t>
  </si>
  <si>
    <t>10/06/2009 à Tarna</t>
  </si>
  <si>
    <t>23/03/2010 à Tarna</t>
  </si>
  <si>
    <t>09/12/2008 à Tarna</t>
  </si>
  <si>
    <t xml:space="preserve"> 18/09/2010 à Tarna</t>
  </si>
  <si>
    <t>18/09/2010 à Tarna</t>
  </si>
  <si>
    <t>01/01/2008 à Tarna</t>
  </si>
  <si>
    <t>22/07/2009 à Tarna</t>
  </si>
  <si>
    <t>03/09/2007 à Tarna</t>
  </si>
  <si>
    <t>19/04/2008 à Tarna</t>
  </si>
  <si>
    <t>15/08/2008 à Tarna</t>
  </si>
  <si>
    <t>23/07/2009 à Tarna</t>
  </si>
  <si>
    <t>19/02/2008 à Tarna</t>
  </si>
  <si>
    <t>06/02/2010 à Tarna</t>
  </si>
  <si>
    <t>12/03/2010 à Tarna</t>
  </si>
  <si>
    <t>07/07/2009 à Tarna</t>
  </si>
  <si>
    <t>19/09/2009 à Tarna</t>
  </si>
  <si>
    <t>27/08/2008 à Tarna</t>
  </si>
  <si>
    <t>01/01/2007 à Tarna</t>
  </si>
  <si>
    <t>24/04/2009 à Tarna</t>
  </si>
  <si>
    <t>16/07/2009 à Tarna</t>
  </si>
  <si>
    <t>23/01/2009 à Tarna</t>
  </si>
  <si>
    <t>01/01/2009 à Tchikadji</t>
  </si>
  <si>
    <t>01 /01/ 2008 à Maradou</t>
  </si>
  <si>
    <t>01 /02/ 2008 à Maradou</t>
  </si>
  <si>
    <t>01 /01/ 2007 à Maradou</t>
  </si>
  <si>
    <t>01 /01/ 2010 à Maradou</t>
  </si>
  <si>
    <t>11/12/2009 à Maradou</t>
  </si>
  <si>
    <t>01/01/2010 à Danja</t>
  </si>
  <si>
    <t>01/01/2008 à Danja</t>
  </si>
  <si>
    <t>17/11/2007 à Danja</t>
  </si>
  <si>
    <t>01/01/2009 à Danja</t>
  </si>
  <si>
    <t>01/01/2011 à Danja</t>
  </si>
  <si>
    <t>02/12/2010 à Danja</t>
  </si>
  <si>
    <t>01/01/2010 à El Kokia</t>
  </si>
  <si>
    <t>01/01/2011 à El Kokia</t>
  </si>
  <si>
    <t>09/02/2010 à El Kokia</t>
  </si>
  <si>
    <t>01/01/2009 à El Kokia</t>
  </si>
  <si>
    <t>18/11/2008  à El Kokia</t>
  </si>
  <si>
    <t>28/10/2009 à El Kokia</t>
  </si>
  <si>
    <t>01/01/2010 à pazgiya</t>
  </si>
  <si>
    <t>01/01/2009 à Sabon gari kolta</t>
  </si>
  <si>
    <t>01/01/2008 à Sabon gari kolta</t>
  </si>
  <si>
    <t>01/01/2010 à Sabon gari kolta</t>
  </si>
  <si>
    <t>01/01/2005 à Sabon gari kolta</t>
  </si>
  <si>
    <t>31/12/2010 à Atchidakofoto</t>
  </si>
  <si>
    <t>01/01/2010 à Atchidakofoto</t>
  </si>
  <si>
    <t>01/01/2009 à Atchidakofoto</t>
  </si>
  <si>
    <t>31/12/2010 à Namaroua</t>
  </si>
  <si>
    <t>31/12/2010 à Natsale</t>
  </si>
  <si>
    <t>01/01/2010 à Takalmaoua</t>
  </si>
  <si>
    <t>01/01/2010 à Safo El Mougou</t>
  </si>
  <si>
    <t>01/01/2009 a Safo El Mougou</t>
  </si>
  <si>
    <t>01/01/2010 à Safo Dan Ali</t>
  </si>
  <si>
    <t>31/12/2010 à Waraou</t>
  </si>
  <si>
    <t>31/12/2010 à mamawa</t>
  </si>
  <si>
    <t>31/12/2010 à fagagaou</t>
  </si>
  <si>
    <t>31/12/2009 à mamawa</t>
  </si>
  <si>
    <t>31/12/2010 à Fagagaou</t>
  </si>
  <si>
    <t>31/12/2009 à Waraou</t>
  </si>
  <si>
    <t>31/12/2009 à Fagagaou</t>
  </si>
  <si>
    <t>01/01/2009 à Katare</t>
  </si>
  <si>
    <t>01/01/2008 à Katare</t>
  </si>
  <si>
    <t>Farida Abou</t>
  </si>
  <si>
    <t>Elle avait redouble CM2(Abandonne )</t>
  </si>
  <si>
    <t xml:space="preserve">Nazifa Abdoul Aziz </t>
  </si>
  <si>
    <t>967</t>
  </si>
  <si>
    <t>968</t>
  </si>
  <si>
    <t>969</t>
  </si>
  <si>
    <t>AtchidaKofoto bilingue</t>
  </si>
  <si>
    <t>Salbiya Abdoul Malik</t>
  </si>
  <si>
    <t>970</t>
  </si>
  <si>
    <t>971</t>
  </si>
  <si>
    <t>Balkissa Illia</t>
  </si>
  <si>
    <t>Aminatou Zabeirou</t>
  </si>
  <si>
    <t xml:space="preserve">Zabeirou  </t>
  </si>
  <si>
    <t>Faiza Issaka</t>
  </si>
  <si>
    <t>Rafia Garba</t>
  </si>
  <si>
    <t>Izzatou Laouali</t>
  </si>
  <si>
    <t>Baraka Abdou</t>
  </si>
  <si>
    <t>Aicha Ousmane</t>
  </si>
  <si>
    <t>Kadija Salissou</t>
  </si>
  <si>
    <t>Kadija Samaila</t>
  </si>
  <si>
    <t>Nana Aicha Issoufou</t>
  </si>
  <si>
    <t>Halimatou Saadia Abdou</t>
  </si>
  <si>
    <t>Tchikaji Centre</t>
  </si>
  <si>
    <t>Chaawa Issoufou</t>
  </si>
  <si>
    <t>Halimatou Moustapha</t>
  </si>
  <si>
    <t>Nadjaatou Saidou</t>
  </si>
  <si>
    <t>Amira Noura</t>
  </si>
  <si>
    <t>Badia Moussa</t>
  </si>
  <si>
    <t>Rouweda Abdou</t>
  </si>
  <si>
    <t>Soueba Siraji</t>
  </si>
  <si>
    <t>Siraji</t>
  </si>
  <si>
    <t>Salima Rabe</t>
  </si>
  <si>
    <t xml:space="preserve">Rabe </t>
  </si>
  <si>
    <t>Nana Mariama Ibrahim</t>
  </si>
  <si>
    <t>Mariam Balla</t>
  </si>
  <si>
    <t xml:space="preserve"> Bala</t>
  </si>
  <si>
    <t>Lantana Abdou</t>
  </si>
  <si>
    <t>Naima Abdou</t>
  </si>
  <si>
    <t>Nana Safia Yacouba</t>
  </si>
  <si>
    <t>Zeinab Abou</t>
  </si>
  <si>
    <t xml:space="preserve">01/01/2010 à Galadanci </t>
  </si>
  <si>
    <t xml:space="preserve">01/01/2009 à Galadanci </t>
  </si>
  <si>
    <t>01/01/2010 à Kara Kara</t>
  </si>
  <si>
    <t>01/01/2009 à Kara Kara</t>
  </si>
  <si>
    <t>01/01/2008 à Bassaraoua</t>
  </si>
  <si>
    <t>01/01/2007 à Bassaraoua</t>
  </si>
  <si>
    <t>12/08/2009 à Bassaraoua</t>
  </si>
  <si>
    <t>01/01/2009 à Bassaraoua</t>
  </si>
  <si>
    <t>01/05/2008 à Bassaraoua</t>
  </si>
  <si>
    <t>01/01/2008 à Tsatoua</t>
  </si>
  <si>
    <t>23/10/2008 à Bassaraoua</t>
  </si>
  <si>
    <t>01/01/2009 à Gidan Bassaré</t>
  </si>
  <si>
    <t>23/12/2007 à Bassaraoua</t>
  </si>
  <si>
    <t>14/03/2009 à Elkokia</t>
  </si>
  <si>
    <t>01/01/2008 à Gidan Bassaré</t>
  </si>
  <si>
    <t>01/01/2007 à Gidan Bassaré</t>
  </si>
  <si>
    <t>01/01/2010 à Gidan Bassaré</t>
  </si>
  <si>
    <t>07/11/2009 à Bassaraoua</t>
  </si>
  <si>
    <t>30/03/2008 à Bassaraoua</t>
  </si>
  <si>
    <t>16/02/2010 à Bassaraoua</t>
  </si>
  <si>
    <t>07/02/2007 à Bassaraoua</t>
  </si>
  <si>
    <t>Calina Garba</t>
  </si>
  <si>
    <t>04/12/2009 à Bassaraoua</t>
  </si>
  <si>
    <t>25/04/2009 à Riadi</t>
  </si>
  <si>
    <t>19/02/2009 à Riadi</t>
  </si>
  <si>
    <t>06/05/2008 à Riadi</t>
  </si>
  <si>
    <t>Yesmina Mountari</t>
  </si>
  <si>
    <t>Moyenne /20</t>
  </si>
  <si>
    <t>Moyenne /202</t>
  </si>
  <si>
    <t>Sakina Saadou</t>
  </si>
  <si>
    <t xml:space="preserve">Sahila Hamissou </t>
  </si>
  <si>
    <t>Halissa Manirou</t>
  </si>
  <si>
    <t>Chamsiya Wa'ilou</t>
  </si>
  <si>
    <t>Nana Firdaoussi Oumarou</t>
  </si>
  <si>
    <t>Nadja'atou Manirou</t>
  </si>
  <si>
    <t>Rachida Abdoul Rachid</t>
  </si>
  <si>
    <t>Nadia Hamissou</t>
  </si>
  <si>
    <t>2021 '44 17</t>
  </si>
  <si>
    <t>2021 44 18</t>
  </si>
  <si>
    <t>Zaliha Ali</t>
  </si>
  <si>
    <t>Haoua'ou Zabeirou</t>
  </si>
  <si>
    <t>median</t>
  </si>
  <si>
    <t>Moyenne/ mean</t>
  </si>
  <si>
    <t>Total</t>
  </si>
  <si>
    <t>Math</t>
  </si>
  <si>
    <t>Avge</t>
  </si>
  <si>
    <t>French</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</si>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</sst>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Red]\-#,##0.00\ &quot;€&quot;"/>
  </numFmts>
  <fonts count="24" x14ac:knownFonts="1">
    <font>
      <sz val="11"/>
      <color theme="1"/>
      <name val="Calibri"/>
      <family val="2"/>
      <scheme val="minor"/>
    </font>
    <font>
      <b/>
      <sz val="11"/>
      <color theme="1"/>
      <name val="Calibri"/>
      <family val="2"/>
      <scheme val="minor"/>
    </font>
    <font>
      <sz val="11"/>
      <name val="Calibri"/>
      <family val="2"/>
      <scheme val="minor"/>
    </font>
    <font>
      <b/>
      <sz val="11"/>
      <color theme="1"/>
      <name val="Calibri"/>
      <family val="2"/>
      <scheme val="minor"/>
    </font>
    <font>
      <b/>
      <sz val="11"/>
      <color theme="1"/>
      <name val="Calibri"/>
      <family val="2"/>
      <scheme val="minor"/>
    </font>
    <font>
      <b/>
      <sz val="11"/>
      <color theme="1"/>
      <name val="Calibri"/>
      <family val="2"/>
      <scheme val="minor"/>
    </font>
    <font>
      <sz val="11"/>
      <color theme="1"/>
      <name val="Calibri"/>
      <family val="2"/>
      <scheme val="minor"/>
    </font>
    <font>
      <b/>
      <i/>
      <sz val="12"/>
      <color theme="1"/>
      <name val="Calibri"/>
      <family val="2"/>
      <scheme val="minor"/>
    </font>
    <font>
      <sz val="11"/>
      <color rgb="FF000000"/>
      <name val="Times New Roman"/>
      <family val="1"/>
    </font>
    <font>
      <sz val="11"/>
      <color theme="1"/>
      <name val="Calibri"/>
      <family val="2"/>
    </font>
    <font>
      <b/>
      <i/>
      <sz val="11"/>
      <color theme="1"/>
      <name val="Calibri"/>
      <family val="2"/>
      <scheme val="minor"/>
    </font>
    <font>
      <sz val="11"/>
      <color rgb="FFFF0000"/>
      <name val="Calibri"/>
      <family val="2"/>
      <scheme val="minor"/>
    </font>
    <font>
      <sz val="11"/>
      <name val="Calibri"/>
      <family val="2"/>
      <scheme val="minor"/>
    </font>
    <font>
      <i/>
      <sz val="11"/>
      <name val="Calibri"/>
      <family val="2"/>
      <scheme val="minor"/>
    </font>
    <font>
      <sz val="11"/>
      <color rgb="FF000000"/>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9"/>
      <color rgb="FF000000"/>
      <name val="Tahoma"/>
      <family val="2"/>
    </font>
    <font>
      <sz val="9"/>
      <color rgb="FF000000"/>
      <name val="Tahoma"/>
      <family val="2"/>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9" fontId="6" fillId="0" borderId="0" applyFont="0" applyFill="0" applyBorder="0" applyAlignment="0" applyProtection="0"/>
  </cellStyleXfs>
  <cellXfs count="117">
    <xf numFmtId="0" fontId="0" fillId="0" borderId="0" xfId="0"/>
    <xf numFmtId="0" fontId="0" fillId="0" borderId="1" xfId="0" applyBorder="1"/>
    <xf numFmtId="0" fontId="0" fillId="0" borderId="0" xfId="0" applyAlignment="1">
      <alignment horizontal="center"/>
    </xf>
    <xf numFmtId="0" fontId="1" fillId="0" borderId="6" xfId="0" applyFont="1" applyBorder="1"/>
    <xf numFmtId="0" fontId="1" fillId="0" borderId="7" xfId="0" applyFont="1" applyBorder="1"/>
    <xf numFmtId="0" fontId="1" fillId="0" borderId="6" xfId="0" applyFont="1" applyBorder="1" applyAlignment="1">
      <alignment horizontal="center"/>
    </xf>
    <xf numFmtId="0" fontId="3" fillId="0" borderId="6" xfId="0" applyFont="1" applyBorder="1" applyAlignment="1">
      <alignment horizontal="center"/>
    </xf>
    <xf numFmtId="0" fontId="4" fillId="0" borderId="6" xfId="0" applyFont="1" applyBorder="1"/>
    <xf numFmtId="0" fontId="5" fillId="0" borderId="6" xfId="0" applyFont="1" applyBorder="1"/>
    <xf numFmtId="9" fontId="0" fillId="0" borderId="0" xfId="1" applyFont="1" applyAlignment="1">
      <alignment horizontal="center"/>
    </xf>
    <xf numFmtId="0" fontId="1" fillId="0" borderId="0" xfId="0" applyFont="1" applyAlignment="1">
      <alignment horizontal="center"/>
    </xf>
    <xf numFmtId="9" fontId="1" fillId="0" borderId="0" xfId="1" applyFont="1" applyAlignment="1">
      <alignment horizontal="center"/>
    </xf>
    <xf numFmtId="0" fontId="0" fillId="2" borderId="1" xfId="0" applyFill="1" applyBorder="1"/>
    <xf numFmtId="0" fontId="1" fillId="0" borderId="1" xfId="0" applyFont="1" applyBorder="1" applyAlignment="1">
      <alignment horizontal="center"/>
    </xf>
    <xf numFmtId="0" fontId="0" fillId="2" borderId="0" xfId="0" applyFill="1"/>
    <xf numFmtId="0" fontId="0" fillId="2" borderId="2" xfId="0" applyFill="1" applyBorder="1"/>
    <xf numFmtId="0" fontId="7" fillId="0" borderId="0" xfId="0" applyFont="1"/>
    <xf numFmtId="0" fontId="0" fillId="0" borderId="11" xfId="0" applyBorder="1"/>
    <xf numFmtId="0" fontId="1" fillId="0" borderId="0" xfId="0" applyFont="1"/>
    <xf numFmtId="0" fontId="10" fillId="0" borderId="0" xfId="0" applyFont="1"/>
    <xf numFmtId="0" fontId="1" fillId="0" borderId="13" xfId="0" applyFont="1" applyBorder="1"/>
    <xf numFmtId="0" fontId="0" fillId="0" borderId="6" xfId="0" applyBorder="1" applyAlignment="1">
      <alignment horizontal="center"/>
    </xf>
    <xf numFmtId="0" fontId="1" fillId="0" borderId="7" xfId="0" applyFont="1" applyBorder="1" applyAlignment="1">
      <alignment horizontal="center"/>
    </xf>
    <xf numFmtId="0" fontId="0" fillId="0" borderId="4" xfId="0" applyBorder="1"/>
    <xf numFmtId="9" fontId="1" fillId="0" borderId="1" xfId="1" applyFont="1" applyBorder="1" applyAlignment="1">
      <alignment horizontal="center"/>
    </xf>
    <xf numFmtId="0" fontId="11" fillId="0" borderId="0" xfId="0" applyFont="1"/>
    <xf numFmtId="0" fontId="0" fillId="3" borderId="1" xfId="0" applyFill="1" applyBorder="1" applyAlignment="1">
      <alignment horizontal="center"/>
    </xf>
    <xf numFmtId="0" fontId="0" fillId="4" borderId="1" xfId="0" applyFill="1" applyBorder="1" applyAlignment="1">
      <alignment horizontal="center"/>
    </xf>
    <xf numFmtId="0" fontId="1" fillId="0" borderId="6" xfId="0" applyFont="1" applyBorder="1" applyAlignment="1">
      <alignment horizontal="center" wrapText="1"/>
    </xf>
    <xf numFmtId="0" fontId="0" fillId="0" borderId="0" xfId="0" applyAlignment="1">
      <alignment wrapText="1"/>
    </xf>
    <xf numFmtId="0" fontId="1" fillId="0" borderId="6" xfId="0" applyFont="1" applyBorder="1" applyAlignment="1">
      <alignment wrapText="1"/>
    </xf>
    <xf numFmtId="0" fontId="1" fillId="0" borderId="7" xfId="0" applyFont="1" applyBorder="1" applyAlignment="1">
      <alignment horizontal="center" wrapText="1"/>
    </xf>
    <xf numFmtId="0" fontId="0" fillId="0" borderId="6" xfId="0" applyBorder="1" applyAlignment="1">
      <alignment horizontal="center" wrapText="1"/>
    </xf>
    <xf numFmtId="49" fontId="0" fillId="0" borderId="0" xfId="0" applyNumberFormat="1"/>
    <xf numFmtId="49" fontId="1" fillId="0" borderId="3" xfId="0" applyNumberFormat="1" applyFont="1" applyBorder="1" applyAlignment="1">
      <alignment horizontal="center"/>
    </xf>
    <xf numFmtId="0" fontId="0" fillId="0" borderId="1" xfId="0" applyBorder="1" applyAlignment="1">
      <alignment horizontal="center"/>
    </xf>
    <xf numFmtId="0" fontId="0" fillId="5" borderId="0" xfId="0" applyFill="1"/>
    <xf numFmtId="0" fontId="18" fillId="0" borderId="4" xfId="0" applyFont="1" applyBorder="1"/>
    <xf numFmtId="0" fontId="19" fillId="0" borderId="0" xfId="0" applyFont="1" applyAlignment="1">
      <alignment horizontal="center"/>
    </xf>
    <xf numFmtId="0" fontId="1" fillId="0" borderId="3" xfId="0" applyFont="1" applyBorder="1" applyAlignment="1">
      <alignment horizontal="center"/>
    </xf>
    <xf numFmtId="0" fontId="1" fillId="0" borderId="8" xfId="0" applyFont="1" applyBorder="1" applyAlignment="1">
      <alignment horizontal="center"/>
    </xf>
    <xf numFmtId="0" fontId="0" fillId="0" borderId="7" xfId="0" applyBorder="1" applyAlignment="1">
      <alignment horizontal="center"/>
    </xf>
    <xf numFmtId="0" fontId="0" fillId="6" borderId="1" xfId="0" applyFill="1" applyBorder="1"/>
    <xf numFmtId="0" fontId="17" fillId="6" borderId="1" xfId="0" applyFont="1" applyFill="1" applyBorder="1" applyAlignment="1">
      <alignment horizontal="left"/>
    </xf>
    <xf numFmtId="0" fontId="2" fillId="0" borderId="1" xfId="0" applyFont="1" applyBorder="1" applyAlignment="1">
      <alignment horizontal="left"/>
    </xf>
    <xf numFmtId="49" fontId="2" fillId="0" borderId="1" xfId="0" applyNumberFormat="1" applyFont="1" applyBorder="1" applyAlignment="1">
      <alignment horizontal="left"/>
    </xf>
    <xf numFmtId="0" fontId="8" fillId="0" borderId="1" xfId="0" applyFont="1" applyBorder="1" applyAlignment="1">
      <alignment horizontal="center"/>
    </xf>
    <xf numFmtId="164" fontId="2" fillId="0" borderId="1" xfId="0" applyNumberFormat="1" applyFont="1" applyBorder="1" applyAlignment="1">
      <alignment horizontal="left"/>
    </xf>
    <xf numFmtId="0" fontId="12" fillId="0" borderId="1" xfId="0" applyFont="1" applyBorder="1" applyAlignment="1">
      <alignment horizontal="left"/>
    </xf>
    <xf numFmtId="0" fontId="12" fillId="0" borderId="3" xfId="0" applyFont="1" applyBorder="1" applyAlignment="1">
      <alignment horizontal="left"/>
    </xf>
    <xf numFmtId="0" fontId="0" fillId="0" borderId="3" xfId="0" applyBorder="1" applyAlignment="1">
      <alignment horizontal="center"/>
    </xf>
    <xf numFmtId="0" fontId="0" fillId="0" borderId="8" xfId="0" applyBorder="1" applyAlignment="1">
      <alignment horizontal="center"/>
    </xf>
    <xf numFmtId="164" fontId="0" fillId="0" borderId="1" xfId="0" applyNumberFormat="1" applyBorder="1" applyAlignment="1">
      <alignment horizontal="center"/>
    </xf>
    <xf numFmtId="0" fontId="2" fillId="0" borderId="1" xfId="0" applyFont="1" applyBorder="1" applyAlignment="1">
      <alignment horizontal="left" vertical="center"/>
    </xf>
    <xf numFmtId="0" fontId="2" fillId="0" borderId="3" xfId="0" applyFont="1" applyBorder="1" applyAlignment="1">
      <alignment horizontal="left"/>
    </xf>
    <xf numFmtId="0" fontId="0" fillId="0" borderId="12" xfId="0" applyBorder="1" applyAlignment="1">
      <alignment horizontal="center"/>
    </xf>
    <xf numFmtId="0" fontId="0" fillId="0" borderId="10" xfId="0" applyBorder="1" applyAlignment="1">
      <alignment horizontal="center"/>
    </xf>
    <xf numFmtId="0" fontId="0" fillId="0" borderId="2" xfId="0"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left"/>
    </xf>
    <xf numFmtId="0" fontId="17" fillId="0" borderId="1" xfId="0" applyFont="1" applyBorder="1" applyAlignment="1">
      <alignment horizontal="left"/>
    </xf>
    <xf numFmtId="0" fontId="17" fillId="0" borderId="3" xfId="0" applyFont="1" applyBorder="1" applyAlignment="1">
      <alignment horizontal="left"/>
    </xf>
    <xf numFmtId="0" fontId="13" fillId="0" borderId="1" xfId="0" applyFont="1" applyBorder="1" applyAlignment="1">
      <alignment horizontal="left"/>
    </xf>
    <xf numFmtId="0" fontId="2" fillId="0" borderId="1" xfId="0" applyFont="1" applyBorder="1"/>
    <xf numFmtId="0" fontId="2" fillId="0" borderId="4" xfId="0" applyFont="1" applyBorder="1" applyAlignment="1">
      <alignment horizontal="left"/>
    </xf>
    <xf numFmtId="49" fontId="2" fillId="0" borderId="4" xfId="0" applyNumberFormat="1" applyFont="1" applyBorder="1" applyAlignment="1">
      <alignment horizontal="left"/>
    </xf>
    <xf numFmtId="0" fontId="2" fillId="0" borderId="4" xfId="0" applyFont="1" applyBorder="1"/>
    <xf numFmtId="0" fontId="0" fillId="0" borderId="4" xfId="0" applyBorder="1" applyAlignment="1">
      <alignment horizontal="center"/>
    </xf>
    <xf numFmtId="0" fontId="14" fillId="0" borderId="1" xfId="0" applyFont="1" applyBorder="1" applyAlignment="1">
      <alignment vertical="center"/>
    </xf>
    <xf numFmtId="164" fontId="12" fillId="0" borderId="1" xfId="0" applyNumberFormat="1" applyFont="1" applyBorder="1" applyAlignment="1">
      <alignment horizontal="left"/>
    </xf>
    <xf numFmtId="16" fontId="2" fillId="0" borderId="1" xfId="0" applyNumberFormat="1" applyFont="1" applyBorder="1" applyAlignment="1">
      <alignment horizontal="left"/>
    </xf>
    <xf numFmtId="0" fontId="20" fillId="0" borderId="1" xfId="0" applyFont="1" applyBorder="1" applyAlignment="1">
      <alignment horizontal="left"/>
    </xf>
    <xf numFmtId="49" fontId="20" fillId="0" borderId="1" xfId="0" applyNumberFormat="1" applyFont="1" applyBorder="1" applyAlignment="1">
      <alignment horizontal="left"/>
    </xf>
    <xf numFmtId="0" fontId="1" fillId="0" borderId="13" xfId="0" applyFont="1" applyBorder="1" applyAlignment="1">
      <alignment horizontal="center"/>
    </xf>
    <xf numFmtId="0" fontId="1" fillId="0" borderId="9" xfId="0" applyFont="1" applyBorder="1" applyAlignment="1">
      <alignment horizontal="center"/>
    </xf>
    <xf numFmtId="14" fontId="0" fillId="0" borderId="1" xfId="0" applyNumberFormat="1" applyBorder="1"/>
    <xf numFmtId="14" fontId="0" fillId="0" borderId="1" xfId="0" applyNumberFormat="1" applyBorder="1" applyAlignment="1">
      <alignment horizontal="left"/>
    </xf>
    <xf numFmtId="0" fontId="0" fillId="0" borderId="9" xfId="0" applyBorder="1"/>
    <xf numFmtId="0" fontId="0" fillId="0" borderId="3" xfId="0" applyBorder="1"/>
    <xf numFmtId="0" fontId="0" fillId="0" borderId="1" xfId="0" applyBorder="1" applyAlignment="1">
      <alignment horizontal="left"/>
    </xf>
    <xf numFmtId="0" fontId="18" fillId="0" borderId="1" xfId="0" applyFont="1" applyBorder="1"/>
    <xf numFmtId="0" fontId="15" fillId="0" borderId="1" xfId="0" applyFont="1" applyBorder="1"/>
    <xf numFmtId="0" fontId="16" fillId="0" borderId="0" xfId="0" applyFont="1" applyAlignment="1">
      <alignment horizontal="center"/>
    </xf>
    <xf numFmtId="14" fontId="2" fillId="0" borderId="4" xfId="0" applyNumberFormat="1" applyFont="1" applyBorder="1" applyAlignment="1">
      <alignment horizontal="left"/>
    </xf>
    <xf numFmtId="0" fontId="2" fillId="0" borderId="4" xfId="0" applyFont="1" applyBorder="1" applyAlignment="1">
      <alignment horizontal="center"/>
    </xf>
    <xf numFmtId="0" fontId="2" fillId="0" borderId="6" xfId="0" applyFont="1" applyBorder="1" applyAlignment="1">
      <alignment horizontal="left"/>
    </xf>
    <xf numFmtId="14" fontId="2" fillId="0" borderId="6" xfId="0" applyNumberFormat="1" applyFont="1" applyBorder="1" applyAlignment="1">
      <alignment horizontal="left"/>
    </xf>
    <xf numFmtId="49" fontId="2" fillId="0" borderId="6" xfId="0" applyNumberFormat="1" applyFont="1" applyBorder="1" applyAlignment="1">
      <alignment horizontal="left"/>
    </xf>
    <xf numFmtId="0" fontId="2" fillId="0" borderId="6" xfId="0" applyFont="1" applyBorder="1" applyAlignment="1">
      <alignment horizontal="center"/>
    </xf>
    <xf numFmtId="0" fontId="9" fillId="0" borderId="1" xfId="0" applyFont="1" applyBorder="1" applyAlignment="1">
      <alignment horizontal="center"/>
    </xf>
    <xf numFmtId="0" fontId="0" fillId="2" borderId="1" xfId="0" applyFill="1" applyBorder="1" applyAlignment="1">
      <alignment horizontal="center"/>
    </xf>
    <xf numFmtId="0" fontId="0" fillId="0" borderId="1" xfId="0" quotePrefix="1" applyBorder="1" applyAlignment="1">
      <alignment horizontal="center"/>
    </xf>
    <xf numFmtId="0" fontId="6" fillId="0" borderId="1" xfId="0" applyFont="1" applyBorder="1" applyAlignment="1">
      <alignment horizontal="center"/>
    </xf>
    <xf numFmtId="0" fontId="20" fillId="0" borderId="3" xfId="0" applyFont="1" applyBorder="1" applyAlignment="1">
      <alignment horizontal="left"/>
    </xf>
    <xf numFmtId="49" fontId="20" fillId="0" borderId="2" xfId="0" applyNumberFormat="1" applyFont="1" applyBorder="1" applyAlignment="1">
      <alignment horizontal="left"/>
    </xf>
    <xf numFmtId="0" fontId="21" fillId="0" borderId="1" xfId="0" applyFont="1" applyBorder="1" applyAlignment="1">
      <alignment horizontal="left"/>
    </xf>
    <xf numFmtId="49" fontId="21" fillId="0" borderId="1" xfId="0" applyNumberFormat="1" applyFont="1" applyBorder="1" applyAlignment="1">
      <alignment horizontal="left"/>
    </xf>
    <xf numFmtId="0" fontId="21" fillId="0" borderId="1" xfId="0" applyFont="1" applyBorder="1" applyAlignment="1">
      <alignment horizontal="center"/>
    </xf>
    <xf numFmtId="0" fontId="1" fillId="6" borderId="1" xfId="0" applyFont="1" applyFill="1" applyBorder="1"/>
    <xf numFmtId="0" fontId="0" fillId="0" borderId="1" xfId="0" applyBorder="1" applyAlignment="1">
      <alignment horizontal="left" wrapText="1"/>
    </xf>
    <xf numFmtId="0" fontId="0" fillId="0" borderId="1" xfId="0" applyBorder="1" applyAlignment="1">
      <alignment horizontal="center" wrapText="1"/>
    </xf>
    <xf numFmtId="0" fontId="1" fillId="0" borderId="1" xfId="0" applyFont="1" applyBorder="1" applyAlignment="1">
      <alignment horizontal="left"/>
    </xf>
    <xf numFmtId="0" fontId="1" fillId="0" borderId="3" xfId="0" applyFont="1" applyBorder="1" applyAlignment="1">
      <alignment horizontal="center"/>
    </xf>
    <xf numFmtId="0" fontId="1" fillId="0" borderId="8"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xf>
    <xf numFmtId="0" fontId="1" fillId="2" borderId="3" xfId="0" applyFont="1" applyFill="1" applyBorder="1" applyAlignment="1">
      <alignment horizontal="center"/>
    </xf>
    <xf numFmtId="0" fontId="1" fillId="2" borderId="9" xfId="0" applyFont="1" applyFill="1" applyBorder="1" applyAlignment="1">
      <alignment horizontal="center"/>
    </xf>
    <xf numFmtId="0" fontId="1" fillId="2" borderId="8" xfId="0" applyFont="1" applyFill="1" applyBorder="1" applyAlignment="1">
      <alignment horizontal="center"/>
    </xf>
    <xf numFmtId="0" fontId="2" fillId="6" borderId="1" xfId="0" applyFont="1" applyFill="1" applyBorder="1" applyAlignment="1">
      <alignment horizontal="left"/>
    </xf>
    <xf numFmtId="0" fontId="2" fillId="6" borderId="1" xfId="0" applyNumberFormat="1" applyFont="1" applyFill="1" applyBorder="1" applyAlignment="1">
      <alignment horizontal="left"/>
    </xf>
    <xf numFmtId="0" fontId="0" fillId="6" borderId="1" xfId="0" applyFill="1" applyBorder="1" applyAlignment="1">
      <alignment horizontal="center"/>
    </xf>
    <xf numFmtId="0" fontId="0" fillId="6" borderId="1" xfId="0" applyNumberFormat="1" applyFill="1" applyBorder="1" applyAlignment="1">
      <alignment horizontal="center"/>
    </xf>
    <xf numFmtId="2" fontId="0" fillId="6" borderId="1" xfId="0" applyNumberFormat="1" applyFill="1" applyBorder="1" applyAlignment="1">
      <alignment horizontal="center"/>
    </xf>
    <xf numFmtId="2" fontId="0" fillId="0" borderId="0" xfId="0" applyNumberFormat="1" applyAlignment="1">
      <alignment horizontal="center"/>
    </xf>
    <xf numFmtId="2" fontId="0" fillId="0" borderId="4" xfId="0" applyNumberFormat="1" applyFont="1" applyBorder="1" applyAlignment="1">
      <alignment horizontal="center"/>
    </xf>
    <xf numFmtId="2" fontId="0" fillId="0" borderId="5" xfId="0" applyNumberFormat="1" applyBorder="1" applyAlignment="1">
      <alignment horizontal="center"/>
    </xf>
  </cellXfs>
  <cellStyles count="2">
    <cellStyle name="Normal" xfId="0" builtinId="0"/>
    <cellStyle name="Percent" xfId="1" builtinId="5"/>
  </cellStyles>
  <dxfs count="182">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top style="thin">
          <color indexed="64"/>
        </top>
        <bottom/>
      </border>
    </dxf>
    <dxf>
      <numFmt numFmtId="2" formatCode="0.00"/>
      <alignment horizontal="center" vertical="bottom" textRotation="0" wrapText="0" indent="0" justifyLastLine="0" shrinkToFit="0" readingOrder="0"/>
      <border diagonalUp="0" diagonalDown="0" outline="0">
        <left style="thin">
          <color indexed="64"/>
        </left>
        <right/>
        <top style="thin">
          <color indexed="64"/>
        </top>
        <bottom/>
      </border>
    </dxf>
    <dxf>
      <numFmt numFmtId="2"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font>
      <numFmt numFmtId="0" formatCode="General"/>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font>
      <fill>
        <patternFill patternType="none">
          <fgColor indexed="64"/>
          <bgColor auto="1"/>
        </patternFill>
      </fill>
      <alignment horizontal="center" vertical="bottom" textRotation="0" wrapText="0" indent="0" justifyLastLine="0" shrinkToFit="0" readingOrder="0"/>
      <border diagonalUp="0" diagonalDown="0">
        <left/>
        <right/>
        <top style="thin">
          <color indexed="64"/>
        </top>
        <bottom style="thin">
          <color indexed="64"/>
        </bottom>
      </border>
    </dxf>
    <dxf>
      <font>
        <b val="0"/>
      </font>
      <fill>
        <patternFill patternType="none">
          <fgColor indexed="64"/>
          <bgColor auto="1"/>
        </patternFill>
      </fill>
      <alignment horizontal="center" vertical="bottom" textRotation="0" wrapText="0" indent="0" justifyLastLine="0" shrinkToFit="0" readingOrder="0"/>
      <border diagonalUp="0" diagonalDown="0">
        <left/>
        <right/>
        <top style="thin">
          <color indexed="64"/>
        </top>
        <bottom style="thin">
          <color indexed="64"/>
        </bottom>
      </border>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border>
    </dxf>
    <dxf>
      <font>
        <b val="0"/>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right style="thin">
          <color indexed="64"/>
        </right>
        <top/>
        <bottom/>
      </border>
    </dxf>
    <dxf>
      <numFmt numFmtId="0" formatCode="General"/>
      <fill>
        <patternFill patternType="none">
          <fgColor auto="1"/>
          <bgColor auto="1"/>
        </patternFill>
      </fill>
      <alignment horizontal="center" vertical="bottom" textRotation="0" wrapText="0" indent="0" justifyLastLine="0" shrinkToFit="0" readingOrder="0"/>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top/>
        <bottom/>
      </border>
    </dxf>
    <dxf>
      <fill>
        <patternFill patternType="none">
          <fgColor auto="1"/>
          <bgColor auto="1"/>
        </patternFill>
      </fill>
      <alignment horizontal="center" vertical="bottom" textRotation="0" wrapText="0" indent="0" justifyLastLine="0" shrinkToFit="0" readingOrder="0"/>
      <border diagonalUp="0" diagonalDown="0">
        <left/>
        <right style="thin">
          <color indexed="64"/>
        </right>
        <top/>
        <bottom/>
      </border>
    </dxf>
    <dxf>
      <numFmt numFmtId="0" formatCode="General"/>
      <fill>
        <patternFill patternType="none">
          <fgColor auto="1"/>
          <bgColor auto="1"/>
        </patternFill>
      </fill>
      <alignment horizontal="center" vertical="bottom" textRotation="0" wrapText="0" indent="0" justifyLastLine="0" shrinkToFit="0" readingOrder="0"/>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FF"/>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auto="1"/>
      </font>
      <fill>
        <patternFill patternType="none">
          <fgColor auto="1"/>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30" formatCode="@"/>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auto="1"/>
          <bgColor auto="1"/>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auto="1"/>
          <bgColor auto="1"/>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auto="1"/>
          <bgColor auto="1"/>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auto="1"/>
          <bgColor auto="1"/>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auto="1"/>
          <bgColor auto="1"/>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auto="1"/>
          <bgColor auto="1"/>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auto="1"/>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auto="1"/>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auto="1"/>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solid">
          <fgColor indexed="64"/>
          <bgColor rgb="FFFFFFFF"/>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auto="1"/>
          <bgColor auto="1"/>
        </patternFill>
      </fill>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ill>
        <patternFill patternType="none">
          <fgColor auto="1"/>
          <bgColor auto="1"/>
        </patternFill>
      </fill>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CC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au2" displayName="Tableau2" ref="A4:BJ999" totalsRowCount="1" headerRowDxfId="181" dataDxfId="179" headerRowBorderDxfId="180" tableBorderDxfId="178">
  <autoFilter ref="A4:BJ998" xr:uid="{00000000-0009-0000-0100-000002000000}">
    <filterColumn colId="0">
      <filters>
        <filter val="Maradou Centre"/>
      </filters>
    </filterColumn>
  </autoFilter>
  <tableColumns count="62">
    <tableColumn id="62" xr3:uid="{00000000-0010-0000-0000-00003E000000}" name="Ecole " totalsRowLabel="Total" dataDxfId="177" totalsRowDxfId="176"/>
    <tableColumn id="3" xr3:uid="{00000000-0010-0000-0000-000003000000}" name="Nom et Prénom" dataDxfId="175" totalsRowDxfId="174"/>
    <tableColumn id="4" xr3:uid="{00000000-0010-0000-0000-000004000000}" name="Date et lieu de naissance" dataDxfId="173" totalsRowDxfId="172"/>
    <tableColumn id="5" xr3:uid="{00000000-0010-0000-0000-000005000000}" name="Nom et prénom du père" dataDxfId="171" totalsRowDxfId="170"/>
    <tableColumn id="6" xr3:uid="{00000000-0010-0000-0000-000006000000}" name="Nom de la commune " dataDxfId="169" totalsRowDxfId="168"/>
    <tableColumn id="56" xr3:uid="{00000000-0010-0000-0000-000038000000}" name="Annee d'inscription au programme" dataDxfId="167" totalsRowDxfId="166"/>
    <tableColumn id="57" xr3:uid="{00000000-0010-0000-0000-000039000000}" name="Code d'ecole" dataDxfId="165" totalsRowDxfId="164"/>
    <tableColumn id="59" xr3:uid="{00000000-0010-0000-0000-00003B000000}" name="Numero HM de la fille" dataDxfId="163" totalsRowDxfId="162"/>
    <tableColumn id="60" xr3:uid="{00000000-0010-0000-0000-00003C000000}" name="Identifiant Unique" dataDxfId="161" totalsRowDxfId="160">
      <calculatedColumnFormula>Tableau2[[#This Row],[Annee d''inscription au programme]]&amp;"-"&amp;Tableau2[[#This Row],[Code d''ecole]]&amp;"-"&amp;Tableau2[[#This Row],[Numero HM de la fille]]</calculatedColumnFormula>
    </tableColumn>
    <tableColumn id="51" xr3:uid="{00000000-0010-0000-0000-000033000000}" name="Colonne1" dataDxfId="159" totalsRowDxfId="158"/>
    <tableColumn id="55" xr3:uid="{00000000-0010-0000-0000-000037000000}" name="Situation (fin d'annee scolaire 20-21)" dataDxfId="157" totalsRowDxfId="156"/>
    <tableColumn id="61" xr3:uid="{00000000-0010-0000-0000-00003D000000}" name="Situation au moment de recrutement HM annee 2 (Dec 2021) " dataDxfId="155" totalsRowDxfId="154"/>
    <tableColumn id="7" xr3:uid="{00000000-0010-0000-0000-000007000000}" name="Mathématique/20" totalsRowFunction="average" dataDxfId="153" totalsRowDxfId="2"/>
    <tableColumn id="8" xr3:uid="{00000000-0010-0000-0000-000008000000}" name="Français/20" totalsRowFunction="average" dataDxfId="152" totalsRowDxfId="7"/>
    <tableColumn id="2" xr3:uid="{00000000-0010-0000-0000-000002000000}" name="Moyenne /20" totalsRowFunction="average" dataDxfId="151" totalsRowDxfId="6">
      <calculatedColumnFormula>AVERAGE(M5+N5)/2</calculatedColumnFormula>
    </tableColumn>
    <tableColumn id="53" xr3:uid="{00000000-0010-0000-0000-000035000000}" name="Mathématique/202" totalsRowFunction="average" dataDxfId="150" totalsRowDxfId="5"/>
    <tableColumn id="52" xr3:uid="{00000000-0010-0000-0000-000034000000}" name="Francais/20" totalsRowFunction="average" dataDxfId="149" totalsRowDxfId="4"/>
    <tableColumn id="63" xr3:uid="{00000000-0010-0000-0000-00003F000000}" name="Moyenne /202" totalsRowFunction="average" dataDxfId="148" totalsRowDxfId="3">
      <calculatedColumnFormula>AVERAGE(P5+Q5)/2</calculatedColumnFormula>
    </tableColumn>
    <tableColumn id="11" xr3:uid="{00000000-0010-0000-0000-00000B000000}" name="1ère composition/10" dataDxfId="147" totalsRowDxfId="146"/>
    <tableColumn id="10" xr3:uid="{00000000-0010-0000-0000-00000A000000}" name="2è composition/10" dataDxfId="145" totalsRowDxfId="144"/>
    <tableColumn id="12" xr3:uid="{00000000-0010-0000-0000-00000C000000}" name="3è composition" dataDxfId="143" totalsRowDxfId="142"/>
    <tableColumn id="54" xr3:uid="{00000000-0010-0000-0000-000036000000}" name="Moyenne générale" dataDxfId="141" totalsRowDxfId="140">
      <calculatedColumnFormula>AVERAGE(Tableau2[[#This Row],[1ère composition/10]:[3è composition]])</calculatedColumnFormula>
    </tableColumn>
    <tableColumn id="1" xr3:uid="{00000000-0010-0000-0000-000001000000}" name="Séance 1" dataDxfId="139" totalsRowDxfId="138"/>
    <tableColumn id="13" xr3:uid="{00000000-0010-0000-0000-00000D000000}" name="Séance 2" dataDxfId="137" totalsRowDxfId="136"/>
    <tableColumn id="14" xr3:uid="{00000000-0010-0000-0000-00000E000000}" name="Séance 3" dataDxfId="135" totalsRowDxfId="134"/>
    <tableColumn id="15" xr3:uid="{00000000-0010-0000-0000-00000F000000}" name="Séance 4" dataDxfId="133" totalsRowDxfId="132"/>
    <tableColumn id="16" xr3:uid="{00000000-0010-0000-0000-000010000000}" name="Séance 5" dataDxfId="131" totalsRowDxfId="130"/>
    <tableColumn id="17" xr3:uid="{00000000-0010-0000-0000-000011000000}" name="Séance 6" dataDxfId="129" totalsRowDxfId="128"/>
    <tableColumn id="18" xr3:uid="{00000000-0010-0000-0000-000012000000}" name="Séance 7" dataDxfId="127" totalsRowDxfId="126"/>
    <tableColumn id="19" xr3:uid="{00000000-0010-0000-0000-000013000000}" name="Séance 8" dataDxfId="125" totalsRowDxfId="124"/>
    <tableColumn id="20" xr3:uid="{00000000-0010-0000-0000-000014000000}" name="Colonne 9" dataDxfId="123" totalsRowDxfId="122"/>
    <tableColumn id="21" xr3:uid="{00000000-0010-0000-0000-000015000000}" name="Séance 10" dataDxfId="121" totalsRowDxfId="120"/>
    <tableColumn id="22" xr3:uid="{00000000-0010-0000-0000-000016000000}" name="Séance 11" dataDxfId="119" totalsRowDxfId="118"/>
    <tableColumn id="23" xr3:uid="{00000000-0010-0000-0000-000017000000}" name="Séance 12" dataDxfId="117" totalsRowDxfId="116"/>
    <tableColumn id="24" xr3:uid="{00000000-0010-0000-0000-000018000000}" name="Séance 13" dataDxfId="115" totalsRowDxfId="114"/>
    <tableColumn id="25" xr3:uid="{00000000-0010-0000-0000-000019000000}" name="Séance 14" dataDxfId="113" totalsRowDxfId="112"/>
    <tableColumn id="26" xr3:uid="{00000000-0010-0000-0000-00001A000000}" name="Séance 15" dataDxfId="111" totalsRowDxfId="110"/>
    <tableColumn id="27" xr3:uid="{00000000-0010-0000-0000-00001B000000}" name="Séance 16" dataDxfId="109" totalsRowDxfId="108"/>
    <tableColumn id="28" xr3:uid="{00000000-0010-0000-0000-00001C000000}" name="Séance 17" dataDxfId="107" totalsRowDxfId="106"/>
    <tableColumn id="29" xr3:uid="{00000000-0010-0000-0000-00001D000000}" name="Séance 18" dataDxfId="105" totalsRowDxfId="104"/>
    <tableColumn id="30" xr3:uid="{00000000-0010-0000-0000-00001E000000}" name="Séance 19" dataDxfId="103" totalsRowDxfId="102"/>
    <tableColumn id="31" xr3:uid="{00000000-0010-0000-0000-00001F000000}" name="Séance 20" dataDxfId="101" totalsRowDxfId="100"/>
    <tableColumn id="32" xr3:uid="{00000000-0010-0000-0000-000020000000}" name="Séance 21" dataDxfId="99" totalsRowDxfId="98"/>
    <tableColumn id="33" xr3:uid="{00000000-0010-0000-0000-000021000000}" name="Séance 22" dataDxfId="97" totalsRowDxfId="96"/>
    <tableColumn id="34" xr3:uid="{00000000-0010-0000-0000-000022000000}" name="Séance 23" dataDxfId="95" totalsRowDxfId="94"/>
    <tableColumn id="35" xr3:uid="{00000000-0010-0000-0000-000023000000}" name="Séance 24" dataDxfId="93" totalsRowDxfId="92"/>
    <tableColumn id="36" xr3:uid="{00000000-0010-0000-0000-000024000000}" name="Séance 25" dataDxfId="91" totalsRowDxfId="90"/>
    <tableColumn id="37" xr3:uid="{00000000-0010-0000-0000-000025000000}" name="Séance 26" dataDxfId="89" totalsRowDxfId="88"/>
    <tableColumn id="38" xr3:uid="{00000000-0010-0000-0000-000026000000}" name="Séance 27" dataDxfId="87" totalsRowDxfId="86"/>
    <tableColumn id="39" xr3:uid="{00000000-0010-0000-0000-000027000000}" name="Séance 28" dataDxfId="85" totalsRowDxfId="84"/>
    <tableColumn id="40" xr3:uid="{00000000-0010-0000-0000-000028000000}" name="Séance 29" dataDxfId="83" totalsRowDxfId="82"/>
    <tableColumn id="41" xr3:uid="{00000000-0010-0000-0000-000029000000}" name="Séance 30" dataDxfId="81" totalsRowDxfId="80"/>
    <tableColumn id="42" xr3:uid="{00000000-0010-0000-0000-00002A000000}" name="Séance 31" dataDxfId="79" totalsRowDxfId="78"/>
    <tableColumn id="43" xr3:uid="{00000000-0010-0000-0000-00002B000000}" name="Séance 32" dataDxfId="77" totalsRowDxfId="76"/>
    <tableColumn id="44" xr3:uid="{00000000-0010-0000-0000-00002C000000}" name="Séance 33" dataDxfId="75" totalsRowDxfId="74"/>
    <tableColumn id="45" xr3:uid="{00000000-0010-0000-0000-00002D000000}" name="Séance 34" dataDxfId="73" totalsRowDxfId="72"/>
    <tableColumn id="46" xr3:uid="{00000000-0010-0000-0000-00002E000000}" name="Séance 35" dataDxfId="71" totalsRowDxfId="70"/>
    <tableColumn id="47" xr3:uid="{00000000-0010-0000-0000-00002F000000}" name="Séance 36" dataDxfId="69" totalsRowDxfId="68"/>
    <tableColumn id="48" xr3:uid="{00000000-0010-0000-0000-000030000000}" name="Séance 37" dataDxfId="67" totalsRowDxfId="66"/>
    <tableColumn id="49" xr3:uid="{00000000-0010-0000-0000-000031000000}" name="Séance 38" dataDxfId="65" totalsRowDxfId="64"/>
    <tableColumn id="58" xr3:uid="{00000000-0010-0000-0000-00003A000000}" name="Nbre d'absence/fille" dataDxfId="63" totalsRowDxfId="62">
      <calculatedColumnFormula>COUNTIF(Tableau2[[#This Row],[Séance 1]:[Séance 38]],"A")</calculatedColumnFormula>
    </tableColumn>
    <tableColumn id="50" xr3:uid="{00000000-0010-0000-0000-000032000000}" name="Commentaire" totalsRowFunction="count" dataDxfId="61" totalsRowDxfId="6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au1" displayName="Tableau1" ref="A4:U851" totalsRowCount="1" headerRowDxfId="59" dataDxfId="57" headerRowBorderDxfId="58" tableBorderDxfId="56">
  <autoFilter ref="A4:U850" xr:uid="{00000000-0009-0000-0100-000001000000}">
    <filterColumn colId="0">
      <filters>
        <filter val="Riadi Quartier"/>
      </filters>
    </filterColumn>
  </autoFilter>
  <sortState xmlns:xlrd2="http://schemas.microsoft.com/office/spreadsheetml/2017/richdata2" ref="A137:S154">
    <sortCondition ref="A4:A861"/>
  </sortState>
  <tableColumns count="21">
    <tableColumn id="19" xr3:uid="{00000000-0010-0000-0100-000013000000}" name="ECOLE " dataDxfId="55" totalsRowDxfId="54"/>
    <tableColumn id="2" xr3:uid="{00000000-0010-0000-0100-000002000000}" name="NOM ET PRENOM" totalsRowLabel="Moyenne" dataDxfId="53" totalsRowDxfId="52"/>
    <tableColumn id="1" xr3:uid="{00000000-0010-0000-0100-000001000000}" name="DATE ET LIEU DE NAISSANCE" dataDxfId="51" totalsRowDxfId="50"/>
    <tableColumn id="3" xr3:uid="{00000000-0010-0000-0100-000003000000}" name="Contact Parent" totalsRowLabel="Moyenne" dataDxfId="49" totalsRowDxfId="48"/>
    <tableColumn id="15" xr3:uid="{00000000-0010-0000-0100-00000F000000}" name="Annee d'inscription au programme" dataDxfId="47" totalsRowDxfId="46"/>
    <tableColumn id="16" xr3:uid="{00000000-0010-0000-0100-000010000000}" name="Code d'ecole" dataDxfId="45" totalsRowDxfId="44"/>
    <tableColumn id="17" xr3:uid="{00000000-0010-0000-0100-000011000000}" name="Numero HM de la fille" dataDxfId="43" totalsRowDxfId="42"/>
    <tableColumn id="18" xr3:uid="{00000000-0010-0000-0100-000012000000}" name="Identifiant Unique" dataDxfId="41" totalsRowDxfId="40">
      <calculatedColumnFormula>Tableau1[[#This Row],[Annee d''inscription au programme]]&amp;"-"&amp;Tableau1[[#This Row],[Code d''ecole]]&amp;"-"&amp;Tableau1[[#This Row],[Numero HM de la fille]]</calculatedColumnFormula>
    </tableColumn>
    <tableColumn id="6" xr3:uid="{00000000-0010-0000-0100-000006000000}" name="Colonne1" dataDxfId="39" totalsRowDxfId="38"/>
    <tableColumn id="14" xr3:uid="{00000000-0010-0000-0100-00000E000000}" name="Situation (fin d'annee scolaire 20-21)" dataDxfId="37" totalsRowDxfId="36"/>
    <tableColumn id="20" xr3:uid="{00000000-0010-0000-0100-000014000000}" name="Situation au moment de recrutement HM annee 2 (Dec 2021) " dataDxfId="35" totalsRowDxfId="34"/>
    <tableColumn id="4" xr3:uid="{00000000-0010-0000-0100-000004000000}" name="Mathématique/20" totalsRowFunction="average" dataDxfId="33" totalsRowDxfId="1"/>
    <tableColumn id="5" xr3:uid="{00000000-0010-0000-0100-000005000000}" name="Français/20" totalsRowFunction="average" dataDxfId="32" totalsRowDxfId="0"/>
    <tableColumn id="10" xr3:uid="{00000000-0010-0000-0100-00000A000000}" name="Moyenne /20" totalsRowFunction="average" dataDxfId="31" totalsRowDxfId="11">
      <calculatedColumnFormula xml:space="preserve"> AVERAGE(L5+M5)/2</calculatedColumnFormula>
    </tableColumn>
    <tableColumn id="12" xr3:uid="{00000000-0010-0000-0100-00000C000000}" name="Mathématique/202" totalsRowFunction="average" dataDxfId="30" totalsRowDxfId="10"/>
    <tableColumn id="11" xr3:uid="{00000000-0010-0000-0100-00000B000000}" name="Français/202" totalsRowFunction="average" dataDxfId="29" totalsRowDxfId="9"/>
    <tableColumn id="21" xr3:uid="{00000000-0010-0000-0100-000015000000}" name="Moyenne /202" totalsRowFunction="average" dataDxfId="28" totalsRowDxfId="8">
      <calculatedColumnFormula>AVERAGE(O5+P5)/2</calculatedColumnFormula>
    </tableColumn>
    <tableColumn id="7" xr3:uid="{00000000-0010-0000-0100-000007000000}" name="1ère composition" totalsRowFunction="custom" dataDxfId="27" totalsRowDxfId="26">
      <totalsRowFormula>AVERAGE(Tableau1[1ère composition])</totalsRowFormula>
    </tableColumn>
    <tableColumn id="8" xr3:uid="{00000000-0010-0000-0100-000008000000}" name="2em composition" totalsRowFunction="custom" dataDxfId="25" totalsRowDxfId="24">
      <totalsRowFormula>AVERAGE(Tableau1[2em composition])</totalsRowFormula>
    </tableColumn>
    <tableColumn id="13" xr3:uid="{00000000-0010-0000-0100-00000D000000}" name="3è Composition" totalsRowFunction="custom" dataDxfId="23" totalsRowDxfId="22">
      <totalsRowFormula>AVERAGE(Tableau1[3è Composition])</totalsRowFormula>
    </tableColumn>
    <tableColumn id="9" xr3:uid="{00000000-0010-0000-0100-000009000000}" name="Moyenne générale" totalsRowFunction="average" dataDxfId="21" totalsRowDxfId="20">
      <calculatedColumnFormula>AVERAGE(Tableau1[[#This Row],[1ère composition]:[3è Composition]])</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
  <sheetViews>
    <sheetView workbookViewId="0">
      <selection activeCell="B3" sqref="B3:I3"/>
    </sheetView>
  </sheetViews>
  <sheetFormatPr baseColWidth="10" defaultColWidth="8.83203125" defaultRowHeight="15" x14ac:dyDescent="0.2"/>
  <cols>
    <col min="1" max="1" width="2" bestFit="1" customWidth="1"/>
  </cols>
  <sheetData>
    <row r="2" spans="1:9" x14ac:dyDescent="0.2">
      <c r="A2" s="18" t="s">
        <v>2522</v>
      </c>
    </row>
    <row r="3" spans="1:9" ht="58.25" customHeight="1" x14ac:dyDescent="0.2">
      <c r="A3" s="1">
        <v>1</v>
      </c>
      <c r="B3" s="99" t="s">
        <v>2520</v>
      </c>
      <c r="C3" s="99"/>
      <c r="D3" s="99"/>
      <c r="E3" s="99"/>
      <c r="F3" s="99"/>
      <c r="G3" s="99"/>
      <c r="H3" s="99"/>
      <c r="I3" s="99"/>
    </row>
    <row r="4" spans="1:9" ht="35" customHeight="1" x14ac:dyDescent="0.2">
      <c r="A4" s="1">
        <v>2</v>
      </c>
      <c r="B4" s="100" t="s">
        <v>2521</v>
      </c>
      <c r="C4" s="100"/>
      <c r="D4" s="100"/>
      <c r="E4" s="100"/>
      <c r="F4" s="100"/>
      <c r="G4" s="100"/>
      <c r="H4" s="100"/>
      <c r="I4" s="100"/>
    </row>
  </sheetData>
  <mergeCells count="2">
    <mergeCell ref="B3:I3"/>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005"/>
  <sheetViews>
    <sheetView zoomScaleNormal="100" workbookViewId="0">
      <pane xSplit="2" ySplit="4" topLeftCell="C943" activePane="bottomRight" state="frozen"/>
      <selection pane="topRight" activeCell="C1" sqref="C1"/>
      <selection pane="bottomLeft" activeCell="A5" sqref="A5"/>
      <selection pane="bottomRight" activeCell="B4" sqref="B4"/>
    </sheetView>
  </sheetViews>
  <sheetFormatPr baseColWidth="10" defaultColWidth="11.5" defaultRowHeight="15" x14ac:dyDescent="0.2"/>
  <cols>
    <col min="1" max="1" width="21" customWidth="1"/>
    <col min="2" max="2" width="24.5" customWidth="1"/>
    <col min="3" max="3" width="18.33203125" customWidth="1"/>
    <col min="4" max="4" width="9.5" customWidth="1"/>
    <col min="5" max="5" width="11.5" customWidth="1"/>
    <col min="6" max="6" width="6.6640625" customWidth="1"/>
    <col min="7" max="7" width="6.83203125" customWidth="1"/>
    <col min="8" max="8" width="7.5" customWidth="1"/>
    <col min="9" max="9" width="11.33203125" customWidth="1"/>
    <col min="10" max="10" width="22.33203125" style="33" hidden="1" customWidth="1"/>
    <col min="11" max="11" width="14.5" style="2" hidden="1" customWidth="1"/>
    <col min="12" max="12" width="26.1640625" style="2" hidden="1" customWidth="1"/>
    <col min="13" max="13" width="12.1640625" style="2" customWidth="1"/>
    <col min="14" max="14" width="15.1640625" style="2" bestFit="1" customWidth="1"/>
    <col min="15" max="15" width="15.1640625" style="2" customWidth="1"/>
    <col min="16" max="16" width="11.83203125" style="2" customWidth="1"/>
    <col min="17" max="18" width="12.5" style="2" customWidth="1"/>
    <col min="19" max="19" width="15.83203125" style="2" customWidth="1"/>
    <col min="20" max="20" width="15.6640625" style="2" customWidth="1"/>
    <col min="21" max="21" width="11.33203125" style="2" customWidth="1"/>
    <col min="22" max="22" width="12.6640625" style="2" customWidth="1"/>
    <col min="23" max="23" width="0" hidden="1" customWidth="1"/>
    <col min="24" max="24" width="14" style="2" hidden="1" customWidth="1"/>
    <col min="25" max="25" width="12.5" style="2" hidden="1" customWidth="1"/>
    <col min="26" max="26" width="14.5" style="2" hidden="1" customWidth="1"/>
    <col min="27" max="27" width="13" style="2" hidden="1" customWidth="1"/>
    <col min="28" max="31" width="0" hidden="1" customWidth="1"/>
    <col min="32" max="32" width="13.1640625" hidden="1" customWidth="1"/>
    <col min="33" max="61" width="0" hidden="1" customWidth="1"/>
    <col min="62" max="62" width="22.33203125" hidden="1" customWidth="1"/>
    <col min="63" max="63" width="17.33203125" customWidth="1"/>
  </cols>
  <sheetData>
    <row r="1" spans="1:62" ht="16" x14ac:dyDescent="0.2">
      <c r="A1" s="16"/>
      <c r="C1" s="16"/>
      <c r="W1" s="2"/>
      <c r="AA1"/>
    </row>
    <row r="2" spans="1:62" ht="22.5" customHeight="1" x14ac:dyDescent="0.2">
      <c r="A2" s="25"/>
      <c r="C2" t="s">
        <v>4</v>
      </c>
      <c r="W2" s="2"/>
      <c r="AA2"/>
    </row>
    <row r="3" spans="1:62" x14ac:dyDescent="0.2">
      <c r="F3" s="105" t="s">
        <v>102</v>
      </c>
      <c r="G3" s="105"/>
      <c r="H3" s="105"/>
      <c r="I3" s="105"/>
      <c r="J3" s="34"/>
      <c r="K3" s="106" t="s">
        <v>108</v>
      </c>
      <c r="L3" s="107"/>
      <c r="M3" s="102" t="s">
        <v>8</v>
      </c>
      <c r="N3" s="103"/>
      <c r="O3" s="40"/>
      <c r="P3" s="105" t="s">
        <v>70</v>
      </c>
      <c r="Q3" s="105"/>
      <c r="R3" s="39"/>
      <c r="S3" s="106" t="s">
        <v>109</v>
      </c>
      <c r="T3" s="108"/>
      <c r="U3" s="108"/>
      <c r="V3" s="107"/>
      <c r="W3" s="101" t="s">
        <v>110</v>
      </c>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row>
    <row r="4" spans="1:62" ht="48" x14ac:dyDescent="0.2">
      <c r="A4" s="3" t="s">
        <v>115</v>
      </c>
      <c r="B4" s="3" t="s">
        <v>0</v>
      </c>
      <c r="C4" s="3" t="s">
        <v>1</v>
      </c>
      <c r="D4" s="3" t="s">
        <v>6</v>
      </c>
      <c r="E4" s="4" t="s">
        <v>7</v>
      </c>
      <c r="F4" t="s">
        <v>103</v>
      </c>
      <c r="G4" t="s">
        <v>104</v>
      </c>
      <c r="H4" t="s">
        <v>105</v>
      </c>
      <c r="I4" t="s">
        <v>106</v>
      </c>
      <c r="J4" s="33" t="s">
        <v>1262</v>
      </c>
      <c r="K4" s="28" t="s">
        <v>107</v>
      </c>
      <c r="L4" s="29" t="s">
        <v>111</v>
      </c>
      <c r="M4" s="28" t="s">
        <v>9</v>
      </c>
      <c r="N4" s="5" t="s">
        <v>10</v>
      </c>
      <c r="O4" s="5" t="s">
        <v>3934</v>
      </c>
      <c r="P4" s="28" t="s">
        <v>73</v>
      </c>
      <c r="Q4" s="5" t="s">
        <v>74</v>
      </c>
      <c r="R4" s="5" t="s">
        <v>3935</v>
      </c>
      <c r="S4" s="28" t="s">
        <v>49</v>
      </c>
      <c r="T4" s="28" t="s">
        <v>50</v>
      </c>
      <c r="U4" s="28" t="s">
        <v>71</v>
      </c>
      <c r="V4" s="28" t="s">
        <v>72</v>
      </c>
      <c r="W4" s="6" t="s">
        <v>11</v>
      </c>
      <c r="X4" s="6" t="s">
        <v>12</v>
      </c>
      <c r="Y4" s="6" t="s">
        <v>13</v>
      </c>
      <c r="Z4" s="6" t="s">
        <v>14</v>
      </c>
      <c r="AA4" s="7" t="s">
        <v>15</v>
      </c>
      <c r="AB4" s="7" t="s">
        <v>16</v>
      </c>
      <c r="AC4" s="7" t="s">
        <v>17</v>
      </c>
      <c r="AD4" s="7" t="s">
        <v>18</v>
      </c>
      <c r="AE4" s="7" t="s">
        <v>19</v>
      </c>
      <c r="AF4" s="7" t="s">
        <v>20</v>
      </c>
      <c r="AG4" s="3" t="s">
        <v>21</v>
      </c>
      <c r="AH4" s="3" t="s">
        <v>22</v>
      </c>
      <c r="AI4" s="3" t="s">
        <v>23</v>
      </c>
      <c r="AJ4" s="3" t="s">
        <v>24</v>
      </c>
      <c r="AK4" s="3" t="s">
        <v>25</v>
      </c>
      <c r="AL4" s="3" t="s">
        <v>26</v>
      </c>
      <c r="AM4" s="8" t="s">
        <v>27</v>
      </c>
      <c r="AN4" s="8" t="s">
        <v>28</v>
      </c>
      <c r="AO4" s="8" t="s">
        <v>29</v>
      </c>
      <c r="AP4" s="8" t="s">
        <v>30</v>
      </c>
      <c r="AQ4" s="8" t="s">
        <v>31</v>
      </c>
      <c r="AR4" s="8" t="s">
        <v>32</v>
      </c>
      <c r="AS4" s="8" t="s">
        <v>33</v>
      </c>
      <c r="AT4" s="8" t="s">
        <v>34</v>
      </c>
      <c r="AU4" s="8" t="s">
        <v>35</v>
      </c>
      <c r="AV4" s="8" t="s">
        <v>36</v>
      </c>
      <c r="AW4" s="8" t="s">
        <v>37</v>
      </c>
      <c r="AX4" s="8" t="s">
        <v>38</v>
      </c>
      <c r="AY4" s="8" t="s">
        <v>39</v>
      </c>
      <c r="AZ4" s="8" t="s">
        <v>40</v>
      </c>
      <c r="BA4" s="8" t="s">
        <v>41</v>
      </c>
      <c r="BB4" s="8" t="s">
        <v>42</v>
      </c>
      <c r="BC4" s="8" t="s">
        <v>43</v>
      </c>
      <c r="BD4" s="8" t="s">
        <v>44</v>
      </c>
      <c r="BE4" s="8" t="s">
        <v>45</v>
      </c>
      <c r="BF4" s="8" t="s">
        <v>46</v>
      </c>
      <c r="BG4" s="8" t="s">
        <v>47</v>
      </c>
      <c r="BH4" s="8" t="s">
        <v>48</v>
      </c>
      <c r="BI4" s="3" t="s">
        <v>93</v>
      </c>
      <c r="BJ4" s="3" t="s">
        <v>92</v>
      </c>
    </row>
    <row r="5" spans="1:62" hidden="1" x14ac:dyDescent="0.2">
      <c r="A5" s="44" t="s">
        <v>117</v>
      </c>
      <c r="B5" s="44" t="s">
        <v>118</v>
      </c>
      <c r="C5" s="44" t="s">
        <v>3773</v>
      </c>
      <c r="D5" s="44" t="s">
        <v>119</v>
      </c>
      <c r="E5" s="44" t="s">
        <v>120</v>
      </c>
      <c r="F5" s="44">
        <v>2020</v>
      </c>
      <c r="G5" s="44">
        <v>8</v>
      </c>
      <c r="H5" s="44">
        <v>7</v>
      </c>
      <c r="I5" s="44" t="str">
        <f>Tableau2[[#This Row],[Annee d''inscription au programme]]&amp;"-"&amp;Tableau2[[#This Row],[Code d''ecole]]&amp;"-"&amp;Tableau2[[#This Row],[Numero HM de la fille]]</f>
        <v>2020-8-7</v>
      </c>
      <c r="J5" s="45" t="s">
        <v>1263</v>
      </c>
      <c r="K5" s="44" t="s">
        <v>374</v>
      </c>
      <c r="L5" s="35" t="s">
        <v>620</v>
      </c>
      <c r="M5" s="35">
        <v>0</v>
      </c>
      <c r="N5" s="35">
        <v>0</v>
      </c>
      <c r="O5" s="35">
        <f>AVERAGE(M5+N5)/2</f>
        <v>0</v>
      </c>
      <c r="P5" s="35">
        <v>15</v>
      </c>
      <c r="Q5" s="35">
        <v>11.5</v>
      </c>
      <c r="R5" s="35">
        <f t="shared" ref="R5:R68" si="0">AVERAGE(P5+Q5)/2</f>
        <v>13.25</v>
      </c>
      <c r="S5" s="46"/>
      <c r="T5" s="46"/>
      <c r="U5" s="46"/>
      <c r="V5" s="35" t="e">
        <f>AVERAGE(Tableau2[[#This Row],[1ère composition/10]:[3è composition]])</f>
        <v>#DIV/0!</v>
      </c>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f>COUNTIF(Tableau2[[#This Row],[Séance 1]:[Séance 38]],"A")</f>
        <v>0</v>
      </c>
      <c r="BJ5" s="35"/>
    </row>
    <row r="6" spans="1:62" hidden="1" x14ac:dyDescent="0.2">
      <c r="A6" s="44" t="s">
        <v>117</v>
      </c>
      <c r="B6" s="44" t="s">
        <v>121</v>
      </c>
      <c r="C6" s="44" t="s">
        <v>3774</v>
      </c>
      <c r="D6" s="44" t="s">
        <v>122</v>
      </c>
      <c r="E6" s="44" t="s">
        <v>120</v>
      </c>
      <c r="F6" s="44">
        <v>2021</v>
      </c>
      <c r="G6" s="44">
        <v>8</v>
      </c>
      <c r="H6" s="44">
        <v>1</v>
      </c>
      <c r="I6" s="44" t="str">
        <f>Tableau2[[#This Row],[Annee d''inscription au programme]]&amp;"-"&amp;Tableau2[[#This Row],[Code d''ecole]]&amp;"-"&amp;Tableau2[[#This Row],[Numero HM de la fille]]</f>
        <v>2021-8-1</v>
      </c>
      <c r="J6" s="45" t="s">
        <v>1264</v>
      </c>
      <c r="K6" s="44" t="s">
        <v>297</v>
      </c>
      <c r="L6" s="35" t="s">
        <v>298</v>
      </c>
      <c r="M6" s="35">
        <v>10.5</v>
      </c>
      <c r="N6" s="35">
        <v>6</v>
      </c>
      <c r="O6" s="35">
        <f t="shared" ref="O6:O68" si="1">AVERAGE(M6+N6)/2</f>
        <v>8.25</v>
      </c>
      <c r="P6" s="35">
        <v>17</v>
      </c>
      <c r="Q6" s="35">
        <v>16.5</v>
      </c>
      <c r="R6" s="35">
        <f t="shared" si="0"/>
        <v>16.75</v>
      </c>
      <c r="S6" s="46"/>
      <c r="T6" s="46"/>
      <c r="U6" s="46"/>
      <c r="V6" s="35" t="e">
        <f>AVERAGE(Tableau2[[#This Row],[1ère composition/10]:[3è composition]])</f>
        <v>#DIV/0!</v>
      </c>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f>COUNTIF(Tableau2[[#This Row],[Séance 1]:[Séance 38]],"A")</f>
        <v>0</v>
      </c>
      <c r="BJ6" s="35"/>
    </row>
    <row r="7" spans="1:62" hidden="1" x14ac:dyDescent="0.2">
      <c r="A7" s="44" t="s">
        <v>117</v>
      </c>
      <c r="B7" s="44" t="s">
        <v>124</v>
      </c>
      <c r="C7" s="44" t="s">
        <v>3773</v>
      </c>
      <c r="D7" s="44" t="s">
        <v>123</v>
      </c>
      <c r="E7" s="44" t="s">
        <v>120</v>
      </c>
      <c r="F7" s="44">
        <v>2021</v>
      </c>
      <c r="G7" s="44">
        <v>8</v>
      </c>
      <c r="H7" s="44">
        <v>2</v>
      </c>
      <c r="I7" s="44" t="str">
        <f>Tableau2[[#This Row],[Annee d''inscription au programme]]&amp;"-"&amp;Tableau2[[#This Row],[Code d''ecole]]&amp;"-"&amp;Tableau2[[#This Row],[Numero HM de la fille]]</f>
        <v>2021-8-2</v>
      </c>
      <c r="J7" s="45" t="s">
        <v>1265</v>
      </c>
      <c r="K7" s="44" t="s">
        <v>297</v>
      </c>
      <c r="L7" s="35" t="s">
        <v>298</v>
      </c>
      <c r="M7" s="35">
        <v>11</v>
      </c>
      <c r="N7" s="35">
        <v>7.5</v>
      </c>
      <c r="O7" s="35">
        <f t="shared" si="1"/>
        <v>9.25</v>
      </c>
      <c r="P7" s="35">
        <v>13</v>
      </c>
      <c r="Q7" s="35">
        <v>5.25</v>
      </c>
      <c r="R7" s="35">
        <f t="shared" si="0"/>
        <v>9.125</v>
      </c>
      <c r="S7" s="46"/>
      <c r="T7" s="46"/>
      <c r="U7" s="46"/>
      <c r="V7" s="35" t="e">
        <f>AVERAGE(Tableau2[[#This Row],[1ère composition/10]:[3è composition]])</f>
        <v>#DIV/0!</v>
      </c>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f>COUNTIF(Tableau2[[#This Row],[Séance 1]:[Séance 38]],"A")</f>
        <v>0</v>
      </c>
      <c r="BJ7" s="35"/>
    </row>
    <row r="8" spans="1:62" hidden="1" x14ac:dyDescent="0.2">
      <c r="A8" s="44" t="s">
        <v>117</v>
      </c>
      <c r="B8" s="44" t="s">
        <v>3361</v>
      </c>
      <c r="C8" s="44"/>
      <c r="D8" s="44" t="s">
        <v>262</v>
      </c>
      <c r="E8" s="44" t="s">
        <v>120</v>
      </c>
      <c r="F8" s="44">
        <v>2021</v>
      </c>
      <c r="G8" s="44">
        <v>8</v>
      </c>
      <c r="H8" s="44">
        <v>3</v>
      </c>
      <c r="I8" s="44" t="str">
        <f>Tableau2[[#This Row],[Annee d''inscription au programme]]&amp;"-"&amp;Tableau2[[#This Row],[Code d''ecole]]&amp;"-"&amp;Tableau2[[#This Row],[Numero HM de la fille]]</f>
        <v>2021-8-3</v>
      </c>
      <c r="J8" s="45" t="s">
        <v>1266</v>
      </c>
      <c r="K8" s="44" t="s">
        <v>297</v>
      </c>
      <c r="L8" s="35" t="s">
        <v>298</v>
      </c>
      <c r="M8" s="35">
        <v>0</v>
      </c>
      <c r="N8" s="35">
        <v>0</v>
      </c>
      <c r="O8" s="35">
        <f t="shared" si="1"/>
        <v>0</v>
      </c>
      <c r="P8" s="35">
        <v>15</v>
      </c>
      <c r="Q8" s="35">
        <v>14.5</v>
      </c>
      <c r="R8" s="35">
        <f t="shared" si="0"/>
        <v>14.75</v>
      </c>
      <c r="S8" s="46"/>
      <c r="T8" s="46"/>
      <c r="U8" s="46"/>
      <c r="V8" s="35" t="e">
        <f>AVERAGE(Tableau2[[#This Row],[1ère composition/10]:[3è composition]])</f>
        <v>#DIV/0!</v>
      </c>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f>COUNTIF(Tableau2[[#This Row],[Séance 1]:[Séance 38]],"A")</f>
        <v>0</v>
      </c>
      <c r="BJ8" s="35"/>
    </row>
    <row r="9" spans="1:62" hidden="1" x14ac:dyDescent="0.2">
      <c r="A9" s="44" t="s">
        <v>117</v>
      </c>
      <c r="B9" s="44" t="s">
        <v>125</v>
      </c>
      <c r="C9" s="44"/>
      <c r="D9" s="44" t="s">
        <v>126</v>
      </c>
      <c r="E9" s="44" t="s">
        <v>120</v>
      </c>
      <c r="F9" s="44">
        <v>2021</v>
      </c>
      <c r="G9" s="44">
        <v>8</v>
      </c>
      <c r="H9" s="44">
        <v>4</v>
      </c>
      <c r="I9" s="44" t="str">
        <f>Tableau2[[#This Row],[Annee d''inscription au programme]]&amp;"-"&amp;Tableau2[[#This Row],[Code d''ecole]]&amp;"-"&amp;Tableau2[[#This Row],[Numero HM de la fille]]</f>
        <v>2021-8-4</v>
      </c>
      <c r="J9" s="45" t="s">
        <v>1267</v>
      </c>
      <c r="K9" s="44" t="s">
        <v>297</v>
      </c>
      <c r="L9" s="35" t="s">
        <v>298</v>
      </c>
      <c r="M9" s="35">
        <v>12</v>
      </c>
      <c r="N9" s="35">
        <v>6.5</v>
      </c>
      <c r="O9" s="35">
        <f t="shared" si="1"/>
        <v>9.25</v>
      </c>
      <c r="P9" s="35"/>
      <c r="Q9" s="35"/>
      <c r="R9" s="35">
        <f t="shared" si="0"/>
        <v>0</v>
      </c>
      <c r="S9" s="46"/>
      <c r="T9" s="46"/>
      <c r="U9" s="46"/>
      <c r="V9" s="35" t="e">
        <f>AVERAGE(Tableau2[[#This Row],[1ère composition/10]:[3è composition]])</f>
        <v>#DIV/0!</v>
      </c>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f>COUNTIF(Tableau2[[#This Row],[Séance 1]:[Séance 38]],"A")</f>
        <v>0</v>
      </c>
      <c r="BJ9" s="35"/>
    </row>
    <row r="10" spans="1:62" hidden="1" x14ac:dyDescent="0.2">
      <c r="A10" s="44" t="s">
        <v>117</v>
      </c>
      <c r="B10" s="44" t="s">
        <v>127</v>
      </c>
      <c r="C10" s="44" t="s">
        <v>3774</v>
      </c>
      <c r="D10" s="44" t="s">
        <v>128</v>
      </c>
      <c r="E10" s="44" t="s">
        <v>120</v>
      </c>
      <c r="F10" s="44">
        <v>2021</v>
      </c>
      <c r="G10" s="44">
        <v>8</v>
      </c>
      <c r="H10" s="44">
        <v>5</v>
      </c>
      <c r="I10" s="44" t="str">
        <f>Tableau2[[#This Row],[Annee d''inscription au programme]]&amp;"-"&amp;Tableau2[[#This Row],[Code d''ecole]]&amp;"-"&amp;Tableau2[[#This Row],[Numero HM de la fille]]</f>
        <v>2021-8-5</v>
      </c>
      <c r="J10" s="45" t="s">
        <v>1268</v>
      </c>
      <c r="K10" s="44" t="s">
        <v>297</v>
      </c>
      <c r="L10" s="35" t="s">
        <v>298</v>
      </c>
      <c r="M10" s="35">
        <v>0</v>
      </c>
      <c r="N10" s="35">
        <v>0</v>
      </c>
      <c r="O10" s="35">
        <f t="shared" si="1"/>
        <v>0</v>
      </c>
      <c r="P10" s="35">
        <v>18.5</v>
      </c>
      <c r="Q10" s="35">
        <v>19.5</v>
      </c>
      <c r="R10" s="35">
        <f t="shared" si="0"/>
        <v>19</v>
      </c>
      <c r="S10" s="46"/>
      <c r="T10" s="46"/>
      <c r="U10" s="46"/>
      <c r="V10" s="35" t="e">
        <f>AVERAGE(Tableau2[[#This Row],[1ère composition/10]:[3è composition]])</f>
        <v>#DIV/0!</v>
      </c>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f>COUNTIF(Tableau2[[#This Row],[Séance 1]:[Séance 38]],"A")</f>
        <v>0</v>
      </c>
      <c r="BJ10" s="35"/>
    </row>
    <row r="11" spans="1:62" s="14" customFormat="1" hidden="1" x14ac:dyDescent="0.2">
      <c r="A11" s="44" t="s">
        <v>117</v>
      </c>
      <c r="B11" s="44" t="s">
        <v>129</v>
      </c>
      <c r="C11" s="44" t="s">
        <v>3773</v>
      </c>
      <c r="D11" s="44" t="s">
        <v>130</v>
      </c>
      <c r="E11" s="44" t="s">
        <v>120</v>
      </c>
      <c r="F11" s="44">
        <v>2021</v>
      </c>
      <c r="G11" s="44">
        <v>8</v>
      </c>
      <c r="H11" s="44">
        <v>6</v>
      </c>
      <c r="I11" s="44" t="str">
        <f>Tableau2[[#This Row],[Annee d''inscription au programme]]&amp;"-"&amp;Tableau2[[#This Row],[Code d''ecole]]&amp;"-"&amp;Tableau2[[#This Row],[Numero HM de la fille]]</f>
        <v>2021-8-6</v>
      </c>
      <c r="J11" s="45" t="s">
        <v>1269</v>
      </c>
      <c r="K11" s="44" t="s">
        <v>593</v>
      </c>
      <c r="L11" s="35" t="s">
        <v>298</v>
      </c>
      <c r="M11" s="35">
        <v>0</v>
      </c>
      <c r="N11" s="35">
        <v>0</v>
      </c>
      <c r="O11" s="35">
        <f t="shared" si="1"/>
        <v>0</v>
      </c>
      <c r="P11" s="35">
        <v>15.5</v>
      </c>
      <c r="Q11" s="35">
        <v>20</v>
      </c>
      <c r="R11" s="35">
        <f t="shared" si="0"/>
        <v>17.75</v>
      </c>
      <c r="S11" s="46"/>
      <c r="T11" s="46"/>
      <c r="U11" s="46"/>
      <c r="V11" s="35" t="e">
        <f>AVERAGE(Tableau2[[#This Row],[1ère composition/10]:[3è composition]])</f>
        <v>#DIV/0!</v>
      </c>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f>COUNTIF(Tableau2[[#This Row],[Séance 1]:[Séance 38]],"A")</f>
        <v>0</v>
      </c>
      <c r="BJ11" s="35"/>
    </row>
    <row r="12" spans="1:62" hidden="1" x14ac:dyDescent="0.2">
      <c r="A12" s="44" t="s">
        <v>117</v>
      </c>
      <c r="B12" s="44" t="s">
        <v>131</v>
      </c>
      <c r="C12" s="44" t="s">
        <v>3774</v>
      </c>
      <c r="D12" s="44" t="s">
        <v>132</v>
      </c>
      <c r="E12" s="44" t="s">
        <v>120</v>
      </c>
      <c r="F12" s="44">
        <v>2021</v>
      </c>
      <c r="G12" s="44">
        <v>8</v>
      </c>
      <c r="H12" s="44">
        <v>7</v>
      </c>
      <c r="I12" s="44" t="str">
        <f>Tableau2[[#This Row],[Annee d''inscription au programme]]&amp;"-"&amp;Tableau2[[#This Row],[Code d''ecole]]&amp;"-"&amp;Tableau2[[#This Row],[Numero HM de la fille]]</f>
        <v>2021-8-7</v>
      </c>
      <c r="J12" s="45" t="s">
        <v>1270</v>
      </c>
      <c r="K12" s="44" t="s">
        <v>297</v>
      </c>
      <c r="L12" s="35" t="s">
        <v>298</v>
      </c>
      <c r="M12" s="35">
        <v>12.5</v>
      </c>
      <c r="N12" s="35">
        <v>18.5</v>
      </c>
      <c r="O12" s="35">
        <f t="shared" si="1"/>
        <v>15.5</v>
      </c>
      <c r="P12" s="35">
        <v>15.5</v>
      </c>
      <c r="Q12" s="35">
        <v>14.5</v>
      </c>
      <c r="R12" s="35">
        <f t="shared" si="0"/>
        <v>15</v>
      </c>
      <c r="S12" s="46"/>
      <c r="T12" s="46"/>
      <c r="U12" s="46"/>
      <c r="V12" s="35" t="e">
        <f>AVERAGE(Tableau2[[#This Row],[1ère composition/10]:[3è composition]])</f>
        <v>#DIV/0!</v>
      </c>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f>COUNTIF(Tableau2[[#This Row],[Séance 1]:[Séance 38]],"A")</f>
        <v>0</v>
      </c>
      <c r="BJ12" s="35"/>
    </row>
    <row r="13" spans="1:62" hidden="1" x14ac:dyDescent="0.2">
      <c r="A13" s="44" t="s">
        <v>117</v>
      </c>
      <c r="B13" s="44" t="s">
        <v>133</v>
      </c>
      <c r="C13" s="44" t="s">
        <v>3774</v>
      </c>
      <c r="D13" s="44" t="s">
        <v>134</v>
      </c>
      <c r="E13" s="44" t="s">
        <v>120</v>
      </c>
      <c r="F13" s="44">
        <v>2021</v>
      </c>
      <c r="G13" s="44">
        <v>8</v>
      </c>
      <c r="H13" s="44">
        <v>8</v>
      </c>
      <c r="I13" s="44" t="str">
        <f>Tableau2[[#This Row],[Annee d''inscription au programme]]&amp;"-"&amp;Tableau2[[#This Row],[Code d''ecole]]&amp;"-"&amp;Tableau2[[#This Row],[Numero HM de la fille]]</f>
        <v>2021-8-8</v>
      </c>
      <c r="J13" s="45" t="s">
        <v>1271</v>
      </c>
      <c r="K13" s="44" t="s">
        <v>297</v>
      </c>
      <c r="L13" s="35" t="s">
        <v>298</v>
      </c>
      <c r="M13" s="35">
        <v>13.5</v>
      </c>
      <c r="N13" s="35">
        <v>3</v>
      </c>
      <c r="O13" s="35">
        <f t="shared" si="1"/>
        <v>8.25</v>
      </c>
      <c r="P13" s="35"/>
      <c r="Q13" s="35"/>
      <c r="R13" s="35">
        <f t="shared" si="0"/>
        <v>0</v>
      </c>
      <c r="S13" s="46"/>
      <c r="T13" s="46"/>
      <c r="U13" s="46"/>
      <c r="V13" s="35" t="e">
        <f>AVERAGE(Tableau2[[#This Row],[1ère composition/10]:[3è composition]])</f>
        <v>#DIV/0!</v>
      </c>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f>COUNTIF(Tableau2[[#This Row],[Séance 1]:[Séance 38]],"A")</f>
        <v>0</v>
      </c>
      <c r="BJ13" s="35"/>
    </row>
    <row r="14" spans="1:62" hidden="1" x14ac:dyDescent="0.2">
      <c r="A14" s="44" t="s">
        <v>117</v>
      </c>
      <c r="B14" s="44" t="s">
        <v>135</v>
      </c>
      <c r="C14" s="44" t="s">
        <v>3774</v>
      </c>
      <c r="D14" s="44" t="s">
        <v>136</v>
      </c>
      <c r="E14" s="44" t="s">
        <v>120</v>
      </c>
      <c r="F14" s="44">
        <v>2021</v>
      </c>
      <c r="G14" s="44">
        <v>8</v>
      </c>
      <c r="H14" s="44">
        <v>9</v>
      </c>
      <c r="I14" s="44" t="str">
        <f>Tableau2[[#This Row],[Annee d''inscription au programme]]&amp;"-"&amp;Tableau2[[#This Row],[Code d''ecole]]&amp;"-"&amp;Tableau2[[#This Row],[Numero HM de la fille]]</f>
        <v>2021-8-9</v>
      </c>
      <c r="J14" s="45" t="s">
        <v>1272</v>
      </c>
      <c r="K14" s="44" t="s">
        <v>297</v>
      </c>
      <c r="L14" s="35" t="s">
        <v>298</v>
      </c>
      <c r="M14" s="35">
        <v>13.5</v>
      </c>
      <c r="N14" s="35">
        <v>19</v>
      </c>
      <c r="O14" s="35">
        <f t="shared" si="1"/>
        <v>16.25</v>
      </c>
      <c r="P14" s="35">
        <v>14</v>
      </c>
      <c r="Q14" s="35">
        <v>13</v>
      </c>
      <c r="R14" s="35">
        <f t="shared" si="0"/>
        <v>13.5</v>
      </c>
      <c r="S14" s="46"/>
      <c r="T14" s="46"/>
      <c r="U14" s="46"/>
      <c r="V14" s="35" t="e">
        <f>AVERAGE(Tableau2[[#This Row],[1ère composition/10]:[3è composition]])</f>
        <v>#DIV/0!</v>
      </c>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f>COUNTIF(Tableau2[[#This Row],[Séance 1]:[Séance 38]],"A")</f>
        <v>0</v>
      </c>
      <c r="BJ14" s="35"/>
    </row>
    <row r="15" spans="1:62" hidden="1" x14ac:dyDescent="0.2">
      <c r="A15" s="44" t="s">
        <v>117</v>
      </c>
      <c r="B15" s="44" t="s">
        <v>137</v>
      </c>
      <c r="C15" s="44" t="s">
        <v>3773</v>
      </c>
      <c r="D15" s="44" t="s">
        <v>138</v>
      </c>
      <c r="E15" s="44" t="s">
        <v>120</v>
      </c>
      <c r="F15" s="44">
        <v>2021</v>
      </c>
      <c r="G15" s="44">
        <v>8</v>
      </c>
      <c r="H15" s="44">
        <v>10</v>
      </c>
      <c r="I15" s="44" t="str">
        <f>Tableau2[[#This Row],[Annee d''inscription au programme]]&amp;"-"&amp;Tableau2[[#This Row],[Code d''ecole]]&amp;"-"&amp;Tableau2[[#This Row],[Numero HM de la fille]]</f>
        <v>2021-8-10</v>
      </c>
      <c r="J15" s="45" t="s">
        <v>1273</v>
      </c>
      <c r="K15" s="44" t="s">
        <v>297</v>
      </c>
      <c r="L15" s="35" t="s">
        <v>298</v>
      </c>
      <c r="M15" s="35">
        <v>7.25</v>
      </c>
      <c r="N15" s="35">
        <v>4.5</v>
      </c>
      <c r="O15" s="35">
        <f t="shared" si="1"/>
        <v>5.875</v>
      </c>
      <c r="P15" s="35">
        <v>6</v>
      </c>
      <c r="Q15" s="35">
        <v>10</v>
      </c>
      <c r="R15" s="35">
        <f t="shared" si="0"/>
        <v>8</v>
      </c>
      <c r="S15" s="46"/>
      <c r="T15" s="46"/>
      <c r="U15" s="46"/>
      <c r="V15" s="35" t="e">
        <f>AVERAGE(Tableau2[[#This Row],[1ère composition/10]:[3è composition]])</f>
        <v>#DIV/0!</v>
      </c>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f>COUNTIF(Tableau2[[#This Row],[Séance 1]:[Séance 38]],"A")</f>
        <v>0</v>
      </c>
      <c r="BJ15" s="35"/>
    </row>
    <row r="16" spans="1:62" hidden="1" x14ac:dyDescent="0.2">
      <c r="A16" s="44" t="s">
        <v>117</v>
      </c>
      <c r="B16" s="44" t="s">
        <v>139</v>
      </c>
      <c r="C16" s="44" t="s">
        <v>3774</v>
      </c>
      <c r="D16" s="44" t="s">
        <v>140</v>
      </c>
      <c r="E16" s="44" t="s">
        <v>120</v>
      </c>
      <c r="F16" s="44">
        <v>2021</v>
      </c>
      <c r="G16" s="44">
        <v>8</v>
      </c>
      <c r="H16" s="44">
        <v>11</v>
      </c>
      <c r="I16" s="44" t="str">
        <f>Tableau2[[#This Row],[Annee d''inscription au programme]]&amp;"-"&amp;Tableau2[[#This Row],[Code d''ecole]]&amp;"-"&amp;Tableau2[[#This Row],[Numero HM de la fille]]</f>
        <v>2021-8-11</v>
      </c>
      <c r="J16" s="45" t="s">
        <v>1274</v>
      </c>
      <c r="K16" s="44" t="s">
        <v>297</v>
      </c>
      <c r="L16" s="35" t="s">
        <v>298</v>
      </c>
      <c r="M16" s="35">
        <v>1.5</v>
      </c>
      <c r="N16" s="35">
        <v>5</v>
      </c>
      <c r="O16" s="35">
        <f t="shared" si="1"/>
        <v>3.25</v>
      </c>
      <c r="P16" s="35">
        <v>12</v>
      </c>
      <c r="Q16" s="35">
        <v>7</v>
      </c>
      <c r="R16" s="35">
        <f t="shared" si="0"/>
        <v>9.5</v>
      </c>
      <c r="S16" s="46"/>
      <c r="T16" s="46"/>
      <c r="U16" s="46"/>
      <c r="V16" s="35" t="e">
        <f>AVERAGE(Tableau2[[#This Row],[1ère composition/10]:[3è composition]])</f>
        <v>#DIV/0!</v>
      </c>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f>COUNTIF(Tableau2[[#This Row],[Séance 1]:[Séance 38]],"A")</f>
        <v>0</v>
      </c>
      <c r="BJ16" s="35"/>
    </row>
    <row r="17" spans="1:62" hidden="1" x14ac:dyDescent="0.2">
      <c r="A17" s="44" t="s">
        <v>117</v>
      </c>
      <c r="B17" s="44" t="s">
        <v>141</v>
      </c>
      <c r="C17" s="44" t="s">
        <v>3774</v>
      </c>
      <c r="D17" s="44" t="s">
        <v>142</v>
      </c>
      <c r="E17" s="44" t="s">
        <v>120</v>
      </c>
      <c r="F17" s="44">
        <v>2021</v>
      </c>
      <c r="G17" s="44">
        <v>8</v>
      </c>
      <c r="H17" s="44">
        <v>12</v>
      </c>
      <c r="I17" s="44" t="str">
        <f>Tableau2[[#This Row],[Annee d''inscription au programme]]&amp;"-"&amp;Tableau2[[#This Row],[Code d''ecole]]&amp;"-"&amp;Tableau2[[#This Row],[Numero HM de la fille]]</f>
        <v>2021-8-12</v>
      </c>
      <c r="J17" s="45" t="s">
        <v>1275</v>
      </c>
      <c r="K17" s="44" t="s">
        <v>297</v>
      </c>
      <c r="L17" s="35" t="s">
        <v>298</v>
      </c>
      <c r="M17" s="35">
        <v>2.5</v>
      </c>
      <c r="N17" s="35">
        <v>2</v>
      </c>
      <c r="O17" s="35">
        <f t="shared" si="1"/>
        <v>2.25</v>
      </c>
      <c r="P17" s="35">
        <v>13</v>
      </c>
      <c r="Q17" s="35">
        <v>13.5</v>
      </c>
      <c r="R17" s="35">
        <f t="shared" si="0"/>
        <v>13.25</v>
      </c>
      <c r="S17" s="46"/>
      <c r="T17" s="46"/>
      <c r="U17" s="46"/>
      <c r="V17" s="35" t="e">
        <f>AVERAGE(Tableau2[[#This Row],[1ère composition/10]:[3è composition]])</f>
        <v>#DIV/0!</v>
      </c>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f>COUNTIF(Tableau2[[#This Row],[Séance 1]:[Séance 38]],"A")</f>
        <v>0</v>
      </c>
      <c r="BJ17" s="35"/>
    </row>
    <row r="18" spans="1:62" hidden="1" x14ac:dyDescent="0.2">
      <c r="A18" s="44" t="s">
        <v>117</v>
      </c>
      <c r="B18" s="44" t="s">
        <v>143</v>
      </c>
      <c r="C18" s="44" t="s">
        <v>3774</v>
      </c>
      <c r="D18" s="44" t="s">
        <v>144</v>
      </c>
      <c r="E18" s="44" t="s">
        <v>120</v>
      </c>
      <c r="F18" s="44">
        <v>2021</v>
      </c>
      <c r="G18" s="44">
        <v>8</v>
      </c>
      <c r="H18" s="44">
        <v>13</v>
      </c>
      <c r="I18" s="44" t="str">
        <f>Tableau2[[#This Row],[Annee d''inscription au programme]]&amp;"-"&amp;Tableau2[[#This Row],[Code d''ecole]]&amp;"-"&amp;Tableau2[[#This Row],[Numero HM de la fille]]</f>
        <v>2021-8-13</v>
      </c>
      <c r="J18" s="45" t="s">
        <v>1276</v>
      </c>
      <c r="K18" s="44" t="s">
        <v>297</v>
      </c>
      <c r="L18" s="35" t="s">
        <v>298</v>
      </c>
      <c r="M18" s="35">
        <v>13</v>
      </c>
      <c r="N18" s="35">
        <v>9</v>
      </c>
      <c r="O18" s="35">
        <f t="shared" si="1"/>
        <v>11</v>
      </c>
      <c r="P18" s="35">
        <v>18.5</v>
      </c>
      <c r="Q18" s="35">
        <v>20</v>
      </c>
      <c r="R18" s="35">
        <f t="shared" si="0"/>
        <v>19.25</v>
      </c>
      <c r="S18" s="46"/>
      <c r="T18" s="46"/>
      <c r="U18" s="46"/>
      <c r="V18" s="35" t="e">
        <f>AVERAGE(Tableau2[[#This Row],[1ère composition/10]:[3è composition]])</f>
        <v>#DIV/0!</v>
      </c>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f>COUNTIF(Tableau2[[#This Row],[Séance 1]:[Séance 38]],"A")</f>
        <v>0</v>
      </c>
      <c r="BJ18" s="35"/>
    </row>
    <row r="19" spans="1:62" hidden="1" x14ac:dyDescent="0.2">
      <c r="A19" s="44" t="s">
        <v>117</v>
      </c>
      <c r="B19" s="44" t="s">
        <v>145</v>
      </c>
      <c r="C19" s="44"/>
      <c r="D19" s="44" t="s">
        <v>146</v>
      </c>
      <c r="E19" s="44" t="s">
        <v>120</v>
      </c>
      <c r="F19" s="44">
        <v>2021</v>
      </c>
      <c r="G19" s="44">
        <v>8</v>
      </c>
      <c r="H19" s="44">
        <v>14</v>
      </c>
      <c r="I19" s="44" t="str">
        <f>Tableau2[[#This Row],[Annee d''inscription au programme]]&amp;"-"&amp;Tableau2[[#This Row],[Code d''ecole]]&amp;"-"&amp;Tableau2[[#This Row],[Numero HM de la fille]]</f>
        <v>2021-8-14</v>
      </c>
      <c r="J19" s="45" t="s">
        <v>1277</v>
      </c>
      <c r="K19" s="44" t="s">
        <v>297</v>
      </c>
      <c r="L19" s="35" t="s">
        <v>298</v>
      </c>
      <c r="M19" s="35">
        <v>15.5</v>
      </c>
      <c r="N19" s="35">
        <v>20</v>
      </c>
      <c r="O19" s="35">
        <f t="shared" si="1"/>
        <v>17.75</v>
      </c>
      <c r="P19" s="35">
        <v>10.5</v>
      </c>
      <c r="Q19" s="35">
        <v>4</v>
      </c>
      <c r="R19" s="35">
        <f t="shared" si="0"/>
        <v>7.25</v>
      </c>
      <c r="S19" s="46"/>
      <c r="T19" s="46"/>
      <c r="U19" s="46"/>
      <c r="V19" s="35" t="e">
        <f>AVERAGE(Tableau2[[#This Row],[1ère composition/10]:[3è composition]])</f>
        <v>#DIV/0!</v>
      </c>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f>COUNTIF(Tableau2[[#This Row],[Séance 1]:[Séance 38]],"A")</f>
        <v>0</v>
      </c>
      <c r="BJ19" s="35"/>
    </row>
    <row r="20" spans="1:62" hidden="1" x14ac:dyDescent="0.2">
      <c r="A20" s="44" t="s">
        <v>117</v>
      </c>
      <c r="B20" s="44" t="s">
        <v>147</v>
      </c>
      <c r="C20" s="44" t="s">
        <v>3774</v>
      </c>
      <c r="D20" s="44" t="s">
        <v>148</v>
      </c>
      <c r="E20" s="44" t="s">
        <v>120</v>
      </c>
      <c r="F20" s="44">
        <v>2021</v>
      </c>
      <c r="G20" s="44">
        <v>8</v>
      </c>
      <c r="H20" s="44">
        <v>15</v>
      </c>
      <c r="I20" s="44" t="str">
        <f>Tableau2[[#This Row],[Annee d''inscription au programme]]&amp;"-"&amp;Tableau2[[#This Row],[Code d''ecole]]&amp;"-"&amp;Tableau2[[#This Row],[Numero HM de la fille]]</f>
        <v>2021-8-15</v>
      </c>
      <c r="J20" s="45" t="s">
        <v>1278</v>
      </c>
      <c r="K20" s="44" t="s">
        <v>297</v>
      </c>
      <c r="L20" s="35" t="s">
        <v>298</v>
      </c>
      <c r="M20" s="35">
        <v>14.5</v>
      </c>
      <c r="N20" s="35">
        <v>3.5</v>
      </c>
      <c r="O20" s="35">
        <f t="shared" si="1"/>
        <v>9</v>
      </c>
      <c r="P20" s="35">
        <v>20</v>
      </c>
      <c r="Q20" s="35">
        <v>19.5</v>
      </c>
      <c r="R20" s="35">
        <f t="shared" si="0"/>
        <v>19.75</v>
      </c>
      <c r="S20" s="46"/>
      <c r="T20" s="46"/>
      <c r="U20" s="46"/>
      <c r="V20" s="35" t="e">
        <f>AVERAGE(Tableau2[[#This Row],[1ère composition/10]:[3è composition]])</f>
        <v>#DIV/0!</v>
      </c>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f>COUNTIF(Tableau2[[#This Row],[Séance 1]:[Séance 38]],"A")</f>
        <v>0</v>
      </c>
      <c r="BJ20" s="35"/>
    </row>
    <row r="21" spans="1:62" hidden="1" x14ac:dyDescent="0.2">
      <c r="A21" s="44" t="s">
        <v>117</v>
      </c>
      <c r="B21" s="44" t="s">
        <v>149</v>
      </c>
      <c r="C21" s="44" t="s">
        <v>3773</v>
      </c>
      <c r="D21" s="44" t="s">
        <v>150</v>
      </c>
      <c r="E21" s="44" t="s">
        <v>120</v>
      </c>
      <c r="F21" s="44">
        <v>2021</v>
      </c>
      <c r="G21" s="44">
        <v>8</v>
      </c>
      <c r="H21" s="44">
        <v>16</v>
      </c>
      <c r="I21" s="44" t="str">
        <f>Tableau2[[#This Row],[Annee d''inscription au programme]]&amp;"-"&amp;Tableau2[[#This Row],[Code d''ecole]]&amp;"-"&amp;Tableau2[[#This Row],[Numero HM de la fille]]</f>
        <v>2021-8-16</v>
      </c>
      <c r="J21" s="45" t="s">
        <v>1279</v>
      </c>
      <c r="K21" s="44"/>
      <c r="L21" s="35" t="s">
        <v>3522</v>
      </c>
      <c r="M21" s="35">
        <v>0</v>
      </c>
      <c r="N21" s="35">
        <v>0</v>
      </c>
      <c r="O21" s="35">
        <f t="shared" si="1"/>
        <v>0</v>
      </c>
      <c r="P21" s="35">
        <v>18</v>
      </c>
      <c r="Q21" s="35">
        <v>20</v>
      </c>
      <c r="R21" s="35">
        <f t="shared" si="0"/>
        <v>19</v>
      </c>
      <c r="S21" s="46"/>
      <c r="T21" s="46"/>
      <c r="U21" s="46"/>
      <c r="V21" s="35" t="e">
        <f>AVERAGE(Tableau2[[#This Row],[1ère composition/10]:[3è composition]])</f>
        <v>#DIV/0!</v>
      </c>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f>COUNTIF(Tableau2[[#This Row],[Séance 1]:[Séance 38]],"A")</f>
        <v>0</v>
      </c>
      <c r="BJ21" s="35"/>
    </row>
    <row r="22" spans="1:62" s="14" customFormat="1" hidden="1" x14ac:dyDescent="0.2">
      <c r="A22" s="44" t="s">
        <v>117</v>
      </c>
      <c r="B22" s="44" t="s">
        <v>151</v>
      </c>
      <c r="C22" s="44" t="s">
        <v>3773</v>
      </c>
      <c r="D22" s="44" t="s">
        <v>152</v>
      </c>
      <c r="E22" s="44" t="s">
        <v>120</v>
      </c>
      <c r="F22" s="44">
        <v>2020</v>
      </c>
      <c r="G22" s="44">
        <v>8</v>
      </c>
      <c r="H22" s="44">
        <v>23</v>
      </c>
      <c r="I22" s="44" t="str">
        <f>Tableau2[[#This Row],[Annee d''inscription au programme]]&amp;"-"&amp;Tableau2[[#This Row],[Code d''ecole]]&amp;"-"&amp;Tableau2[[#This Row],[Numero HM de la fille]]</f>
        <v>2020-8-23</v>
      </c>
      <c r="J22" s="45" t="s">
        <v>1280</v>
      </c>
      <c r="K22" s="44" t="s">
        <v>374</v>
      </c>
      <c r="L22" s="35" t="s">
        <v>620</v>
      </c>
      <c r="M22" s="35">
        <v>0</v>
      </c>
      <c r="N22" s="35">
        <v>0</v>
      </c>
      <c r="O22" s="35">
        <f t="shared" si="1"/>
        <v>0</v>
      </c>
      <c r="P22" s="35"/>
      <c r="Q22" s="35"/>
      <c r="R22" s="35">
        <f t="shared" si="0"/>
        <v>0</v>
      </c>
      <c r="S22" s="46"/>
      <c r="T22" s="46"/>
      <c r="U22" s="46"/>
      <c r="V22" s="35" t="e">
        <f>AVERAGE(Tableau2[[#This Row],[1ère composition/10]:[3è composition]])</f>
        <v>#DIV/0!</v>
      </c>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f>COUNTIF(Tableau2[[#This Row],[Séance 1]:[Séance 38]],"A")</f>
        <v>0</v>
      </c>
      <c r="BJ22" s="35"/>
    </row>
    <row r="23" spans="1:62" hidden="1" x14ac:dyDescent="0.2">
      <c r="A23" s="44" t="s">
        <v>117</v>
      </c>
      <c r="B23" s="44" t="s">
        <v>153</v>
      </c>
      <c r="C23" s="44"/>
      <c r="D23" s="44" t="s">
        <v>154</v>
      </c>
      <c r="E23" s="44" t="s">
        <v>120</v>
      </c>
      <c r="F23" s="44">
        <v>2021</v>
      </c>
      <c r="G23" s="44">
        <v>8</v>
      </c>
      <c r="H23" s="44">
        <v>17</v>
      </c>
      <c r="I23" s="44" t="str">
        <f>Tableau2[[#This Row],[Annee d''inscription au programme]]&amp;"-"&amp;Tableau2[[#This Row],[Code d''ecole]]&amp;"-"&amp;Tableau2[[#This Row],[Numero HM de la fille]]</f>
        <v>2021-8-17</v>
      </c>
      <c r="J23" s="45" t="s">
        <v>1281</v>
      </c>
      <c r="K23" s="44" t="s">
        <v>297</v>
      </c>
      <c r="L23" s="35" t="s">
        <v>298</v>
      </c>
      <c r="M23" s="35">
        <v>0</v>
      </c>
      <c r="N23" s="35">
        <v>0</v>
      </c>
      <c r="O23" s="35">
        <f t="shared" si="1"/>
        <v>0</v>
      </c>
      <c r="P23" s="35">
        <v>10</v>
      </c>
      <c r="Q23" s="35">
        <v>12.5</v>
      </c>
      <c r="R23" s="35">
        <f t="shared" si="0"/>
        <v>11.25</v>
      </c>
      <c r="S23" s="46"/>
      <c r="T23" s="46"/>
      <c r="U23" s="46"/>
      <c r="V23" s="35" t="e">
        <f>AVERAGE(Tableau2[[#This Row],[1ère composition/10]:[3è composition]])</f>
        <v>#DIV/0!</v>
      </c>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f>COUNTIF(Tableau2[[#This Row],[Séance 1]:[Séance 38]],"A")</f>
        <v>0</v>
      </c>
      <c r="BJ23" s="35"/>
    </row>
    <row r="24" spans="1:62" hidden="1" x14ac:dyDescent="0.2">
      <c r="A24" s="44" t="s">
        <v>117</v>
      </c>
      <c r="B24" s="44" t="s">
        <v>155</v>
      </c>
      <c r="C24" s="44" t="s">
        <v>3774</v>
      </c>
      <c r="D24" s="44" t="s">
        <v>156</v>
      </c>
      <c r="E24" s="44" t="s">
        <v>120</v>
      </c>
      <c r="F24" s="44">
        <v>2021</v>
      </c>
      <c r="G24" s="44">
        <v>8</v>
      </c>
      <c r="H24" s="44">
        <v>18</v>
      </c>
      <c r="I24" s="44" t="str">
        <f>Tableau2[[#This Row],[Annee d''inscription au programme]]&amp;"-"&amp;Tableau2[[#This Row],[Code d''ecole]]&amp;"-"&amp;Tableau2[[#This Row],[Numero HM de la fille]]</f>
        <v>2021-8-18</v>
      </c>
      <c r="J24" s="45" t="s">
        <v>1282</v>
      </c>
      <c r="K24" s="44" t="s">
        <v>374</v>
      </c>
      <c r="L24" s="35" t="s">
        <v>620</v>
      </c>
      <c r="M24" s="35">
        <v>0</v>
      </c>
      <c r="N24" s="35">
        <v>0</v>
      </c>
      <c r="O24" s="35">
        <f t="shared" si="1"/>
        <v>0</v>
      </c>
      <c r="P24" s="35">
        <v>15.5</v>
      </c>
      <c r="Q24" s="35">
        <v>12.25</v>
      </c>
      <c r="R24" s="35">
        <f t="shared" si="0"/>
        <v>13.875</v>
      </c>
      <c r="S24" s="46"/>
      <c r="T24" s="46"/>
      <c r="U24" s="46"/>
      <c r="V24" s="35" t="e">
        <f>AVERAGE(Tableau2[[#This Row],[1ère composition/10]:[3è composition]])</f>
        <v>#DIV/0!</v>
      </c>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f>COUNTIF(Tableau2[[#This Row],[Séance 1]:[Séance 38]],"A")</f>
        <v>0</v>
      </c>
      <c r="BJ24" s="35"/>
    </row>
    <row r="25" spans="1:62" hidden="1" x14ac:dyDescent="0.2">
      <c r="A25" s="44" t="s">
        <v>117</v>
      </c>
      <c r="B25" s="44" t="s">
        <v>157</v>
      </c>
      <c r="C25" s="44" t="s">
        <v>3773</v>
      </c>
      <c r="D25" s="44" t="s">
        <v>158</v>
      </c>
      <c r="E25" s="44" t="s">
        <v>120</v>
      </c>
      <c r="F25" s="44">
        <v>2021</v>
      </c>
      <c r="G25" s="44">
        <v>8</v>
      </c>
      <c r="H25" s="44">
        <v>19</v>
      </c>
      <c r="I25" s="44" t="str">
        <f>Tableau2[[#This Row],[Annee d''inscription au programme]]&amp;"-"&amp;Tableau2[[#This Row],[Code d''ecole]]&amp;"-"&amp;Tableau2[[#This Row],[Numero HM de la fille]]</f>
        <v>2021-8-19</v>
      </c>
      <c r="J25" s="45" t="s">
        <v>1283</v>
      </c>
      <c r="K25" s="44" t="s">
        <v>374</v>
      </c>
      <c r="L25" s="35" t="s">
        <v>620</v>
      </c>
      <c r="M25" s="35">
        <v>0</v>
      </c>
      <c r="N25" s="35">
        <v>0</v>
      </c>
      <c r="O25" s="35">
        <f t="shared" si="1"/>
        <v>0</v>
      </c>
      <c r="P25" s="35">
        <v>15</v>
      </c>
      <c r="Q25" s="35">
        <v>15.5</v>
      </c>
      <c r="R25" s="35">
        <f t="shared" si="0"/>
        <v>15.25</v>
      </c>
      <c r="S25" s="46"/>
      <c r="T25" s="46"/>
      <c r="U25" s="46"/>
      <c r="V25" s="35" t="e">
        <f>AVERAGE(Tableau2[[#This Row],[1ère composition/10]:[3è composition]])</f>
        <v>#DIV/0!</v>
      </c>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f>COUNTIF(Tableau2[[#This Row],[Séance 1]:[Séance 38]],"A")</f>
        <v>0</v>
      </c>
      <c r="BJ25" s="35"/>
    </row>
    <row r="26" spans="1:62" hidden="1" x14ac:dyDescent="0.2">
      <c r="A26" s="44" t="s">
        <v>117</v>
      </c>
      <c r="B26" s="44" t="s">
        <v>159</v>
      </c>
      <c r="C26" s="44" t="s">
        <v>3774</v>
      </c>
      <c r="D26" s="44" t="s">
        <v>160</v>
      </c>
      <c r="E26" s="44" t="s">
        <v>120</v>
      </c>
      <c r="F26" s="44">
        <v>2021</v>
      </c>
      <c r="G26" s="44">
        <v>8</v>
      </c>
      <c r="H26" s="44">
        <v>20</v>
      </c>
      <c r="I26" s="44" t="str">
        <f>Tableau2[[#This Row],[Annee d''inscription au programme]]&amp;"-"&amp;Tableau2[[#This Row],[Code d''ecole]]&amp;"-"&amp;Tableau2[[#This Row],[Numero HM de la fille]]</f>
        <v>2021-8-20</v>
      </c>
      <c r="J26" s="45" t="s">
        <v>1284</v>
      </c>
      <c r="K26" s="44" t="s">
        <v>297</v>
      </c>
      <c r="L26" s="35" t="s">
        <v>298</v>
      </c>
      <c r="M26" s="35">
        <v>4</v>
      </c>
      <c r="N26" s="35">
        <v>6</v>
      </c>
      <c r="O26" s="35">
        <f t="shared" si="1"/>
        <v>5</v>
      </c>
      <c r="P26" s="35">
        <v>20</v>
      </c>
      <c r="Q26" s="35">
        <v>6.5</v>
      </c>
      <c r="R26" s="35">
        <f t="shared" si="0"/>
        <v>13.25</v>
      </c>
      <c r="S26" s="46"/>
      <c r="T26" s="46"/>
      <c r="U26" s="46"/>
      <c r="V26" s="35" t="e">
        <f>AVERAGE(Tableau2[[#This Row],[1ère composition/10]:[3è composition]])</f>
        <v>#DIV/0!</v>
      </c>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f>COUNTIF(Tableau2[[#This Row],[Séance 1]:[Séance 38]],"A")</f>
        <v>0</v>
      </c>
      <c r="BJ26" s="35"/>
    </row>
    <row r="27" spans="1:62" hidden="1" x14ac:dyDescent="0.2">
      <c r="A27" s="44" t="s">
        <v>117</v>
      </c>
      <c r="B27" s="44" t="s">
        <v>161</v>
      </c>
      <c r="C27" s="44" t="s">
        <v>3774</v>
      </c>
      <c r="D27" s="44" t="s">
        <v>162</v>
      </c>
      <c r="E27" s="44" t="s">
        <v>120</v>
      </c>
      <c r="F27" s="44">
        <v>2021</v>
      </c>
      <c r="G27" s="44">
        <v>8</v>
      </c>
      <c r="H27" s="44">
        <v>21</v>
      </c>
      <c r="I27" s="44" t="str">
        <f>Tableau2[[#This Row],[Annee d''inscription au programme]]&amp;"-"&amp;Tableau2[[#This Row],[Code d''ecole]]&amp;"-"&amp;Tableau2[[#This Row],[Numero HM de la fille]]</f>
        <v>2021-8-21</v>
      </c>
      <c r="J27" s="45" t="s">
        <v>1285</v>
      </c>
      <c r="K27" s="44" t="s">
        <v>297</v>
      </c>
      <c r="L27" s="35" t="s">
        <v>298</v>
      </c>
      <c r="M27" s="35">
        <v>11</v>
      </c>
      <c r="N27" s="35">
        <v>3</v>
      </c>
      <c r="O27" s="35">
        <f t="shared" si="1"/>
        <v>7</v>
      </c>
      <c r="P27" s="35">
        <v>16</v>
      </c>
      <c r="Q27" s="35">
        <v>19</v>
      </c>
      <c r="R27" s="35">
        <f t="shared" si="0"/>
        <v>17.5</v>
      </c>
      <c r="S27" s="46"/>
      <c r="T27" s="46"/>
      <c r="U27" s="46"/>
      <c r="V27" s="35" t="e">
        <f>AVERAGE(Tableau2[[#This Row],[1ère composition/10]:[3è composition]])</f>
        <v>#DIV/0!</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f>COUNTIF(Tableau2[[#This Row],[Séance 1]:[Séance 38]],"A")</f>
        <v>0</v>
      </c>
      <c r="BJ27" s="35"/>
    </row>
    <row r="28" spans="1:62" hidden="1" x14ac:dyDescent="0.2">
      <c r="A28" s="44" t="s">
        <v>117</v>
      </c>
      <c r="B28" s="44" t="s">
        <v>163</v>
      </c>
      <c r="C28" s="44" t="s">
        <v>3774</v>
      </c>
      <c r="D28" s="44" t="s">
        <v>164</v>
      </c>
      <c r="E28" s="44" t="s">
        <v>120</v>
      </c>
      <c r="F28" s="44">
        <v>2021</v>
      </c>
      <c r="G28" s="44">
        <v>8</v>
      </c>
      <c r="H28" s="44">
        <v>22</v>
      </c>
      <c r="I28" s="44" t="str">
        <f>Tableau2[[#This Row],[Annee d''inscription au programme]]&amp;"-"&amp;Tableau2[[#This Row],[Code d''ecole]]&amp;"-"&amp;Tableau2[[#This Row],[Numero HM de la fille]]</f>
        <v>2021-8-22</v>
      </c>
      <c r="J28" s="45" t="s">
        <v>1286</v>
      </c>
      <c r="K28" s="44" t="s">
        <v>297</v>
      </c>
      <c r="L28" s="35" t="s">
        <v>298</v>
      </c>
      <c r="M28" s="35">
        <v>14</v>
      </c>
      <c r="N28" s="35">
        <v>6</v>
      </c>
      <c r="O28" s="35">
        <f t="shared" si="1"/>
        <v>10</v>
      </c>
      <c r="P28" s="35">
        <v>11.5</v>
      </c>
      <c r="Q28" s="35">
        <v>14.5</v>
      </c>
      <c r="R28" s="35">
        <f t="shared" si="0"/>
        <v>13</v>
      </c>
      <c r="S28" s="46"/>
      <c r="T28" s="46"/>
      <c r="U28" s="46"/>
      <c r="V28" s="35" t="e">
        <f>AVERAGE(Tableau2[[#This Row],[1ère composition/10]:[3è composition]])</f>
        <v>#DIV/0!</v>
      </c>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f>COUNTIF(Tableau2[[#This Row],[Séance 1]:[Séance 38]],"A")</f>
        <v>0</v>
      </c>
      <c r="BJ28" s="35"/>
    </row>
    <row r="29" spans="1:62" hidden="1" x14ac:dyDescent="0.2">
      <c r="A29" s="44" t="s">
        <v>117</v>
      </c>
      <c r="B29" s="44" t="s">
        <v>165</v>
      </c>
      <c r="C29" s="44"/>
      <c r="D29" s="44" t="s">
        <v>146</v>
      </c>
      <c r="E29" s="44" t="s">
        <v>120</v>
      </c>
      <c r="F29" s="44">
        <v>2021</v>
      </c>
      <c r="G29" s="44">
        <v>8</v>
      </c>
      <c r="H29" s="44">
        <v>23</v>
      </c>
      <c r="I29" s="44" t="str">
        <f>Tableau2[[#This Row],[Annee d''inscription au programme]]&amp;"-"&amp;Tableau2[[#This Row],[Code d''ecole]]&amp;"-"&amp;Tableau2[[#This Row],[Numero HM de la fille]]</f>
        <v>2021-8-23</v>
      </c>
      <c r="J29" s="45" t="s">
        <v>1287</v>
      </c>
      <c r="K29" s="44" t="s">
        <v>297</v>
      </c>
      <c r="L29" s="35" t="s">
        <v>298</v>
      </c>
      <c r="M29" s="35">
        <v>7.5</v>
      </c>
      <c r="N29" s="35">
        <v>5.5</v>
      </c>
      <c r="O29" s="35">
        <f t="shared" si="1"/>
        <v>6.5</v>
      </c>
      <c r="P29" s="35">
        <v>14</v>
      </c>
      <c r="Q29" s="35">
        <v>6</v>
      </c>
      <c r="R29" s="35">
        <f t="shared" si="0"/>
        <v>10</v>
      </c>
      <c r="S29" s="35"/>
      <c r="T29" s="35"/>
      <c r="U29" s="35"/>
      <c r="V29" s="35" t="e">
        <f>AVERAGE(Tableau2[[#This Row],[1ère composition/10]:[3è composition]])</f>
        <v>#DIV/0!</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f>COUNTIF(Tableau2[[#This Row],[Séance 1]:[Séance 38]],"A")</f>
        <v>0</v>
      </c>
      <c r="BJ29" s="35"/>
    </row>
    <row r="30" spans="1:62" hidden="1" x14ac:dyDescent="0.2">
      <c r="A30" s="44" t="s">
        <v>117</v>
      </c>
      <c r="B30" s="44" t="s">
        <v>166</v>
      </c>
      <c r="C30" s="44" t="s">
        <v>3773</v>
      </c>
      <c r="D30" s="44" t="s">
        <v>167</v>
      </c>
      <c r="E30" s="44" t="s">
        <v>120</v>
      </c>
      <c r="F30" s="44">
        <v>2021</v>
      </c>
      <c r="G30" s="44">
        <v>8</v>
      </c>
      <c r="H30" s="44">
        <v>24</v>
      </c>
      <c r="I30" s="44" t="str">
        <f>Tableau2[[#This Row],[Annee d''inscription au programme]]&amp;"-"&amp;Tableau2[[#This Row],[Code d''ecole]]&amp;"-"&amp;Tableau2[[#This Row],[Numero HM de la fille]]</f>
        <v>2021-8-24</v>
      </c>
      <c r="J30" s="45" t="s">
        <v>1288</v>
      </c>
      <c r="K30" s="44" t="s">
        <v>374</v>
      </c>
      <c r="L30" s="35" t="s">
        <v>620</v>
      </c>
      <c r="M30" s="35">
        <v>0</v>
      </c>
      <c r="N30" s="35">
        <v>0</v>
      </c>
      <c r="O30" s="35">
        <f t="shared" si="1"/>
        <v>0</v>
      </c>
      <c r="P30" s="35">
        <v>8.5</v>
      </c>
      <c r="Q30" s="35">
        <v>9</v>
      </c>
      <c r="R30" s="35">
        <f t="shared" si="0"/>
        <v>8.75</v>
      </c>
      <c r="S30" s="35"/>
      <c r="T30" s="35"/>
      <c r="U30" s="35"/>
      <c r="V30" s="35" t="e">
        <f>AVERAGE(Tableau2[[#This Row],[1ère composition/10]:[3è composition]])</f>
        <v>#DIV/0!</v>
      </c>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f>COUNTIF(Tableau2[[#This Row],[Séance 1]:[Séance 38]],"A")</f>
        <v>0</v>
      </c>
      <c r="BJ30" s="35"/>
    </row>
    <row r="31" spans="1:62" hidden="1" x14ac:dyDescent="0.2">
      <c r="A31" s="44" t="s">
        <v>117</v>
      </c>
      <c r="B31" s="44" t="s">
        <v>168</v>
      </c>
      <c r="C31" s="44" t="s">
        <v>3774</v>
      </c>
      <c r="D31" s="44" t="s">
        <v>169</v>
      </c>
      <c r="E31" s="44" t="s">
        <v>120</v>
      </c>
      <c r="F31" s="44">
        <v>2021</v>
      </c>
      <c r="G31" s="44">
        <v>8</v>
      </c>
      <c r="H31" s="44">
        <v>25</v>
      </c>
      <c r="I31" s="44" t="str">
        <f>Tableau2[[#This Row],[Annee d''inscription au programme]]&amp;"-"&amp;Tableau2[[#This Row],[Code d''ecole]]&amp;"-"&amp;Tableau2[[#This Row],[Numero HM de la fille]]</f>
        <v>2021-8-25</v>
      </c>
      <c r="J31" s="45" t="s">
        <v>1289</v>
      </c>
      <c r="K31" s="44" t="s">
        <v>297</v>
      </c>
      <c r="L31" s="35" t="s">
        <v>298</v>
      </c>
      <c r="M31" s="35">
        <v>4.5</v>
      </c>
      <c r="N31" s="35">
        <v>3.5</v>
      </c>
      <c r="O31" s="35">
        <f t="shared" si="1"/>
        <v>4</v>
      </c>
      <c r="P31" s="35">
        <v>17</v>
      </c>
      <c r="Q31" s="35">
        <v>5.5</v>
      </c>
      <c r="R31" s="35">
        <f t="shared" si="0"/>
        <v>11.25</v>
      </c>
      <c r="S31" s="35"/>
      <c r="T31" s="35"/>
      <c r="U31" s="35"/>
      <c r="V31" s="35" t="e">
        <f>AVERAGE(Tableau2[[#This Row],[1ère composition/10]:[3è composition]])</f>
        <v>#DIV/0!</v>
      </c>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f>COUNTIF(Tableau2[[#This Row],[Séance 1]:[Séance 38]],"A")</f>
        <v>0</v>
      </c>
      <c r="BJ31" s="35"/>
    </row>
    <row r="32" spans="1:62" hidden="1" x14ac:dyDescent="0.2">
      <c r="A32" s="44" t="s">
        <v>117</v>
      </c>
      <c r="B32" s="44" t="s">
        <v>171</v>
      </c>
      <c r="C32" s="44" t="s">
        <v>3774</v>
      </c>
      <c r="D32" s="44" t="s">
        <v>170</v>
      </c>
      <c r="E32" s="44" t="s">
        <v>120</v>
      </c>
      <c r="F32" s="44">
        <v>2021</v>
      </c>
      <c r="G32" s="44">
        <v>8</v>
      </c>
      <c r="H32" s="44">
        <v>26</v>
      </c>
      <c r="I32" s="44" t="str">
        <f>Tableau2[[#This Row],[Annee d''inscription au programme]]&amp;"-"&amp;Tableau2[[#This Row],[Code d''ecole]]&amp;"-"&amp;Tableau2[[#This Row],[Numero HM de la fille]]</f>
        <v>2021-8-26</v>
      </c>
      <c r="J32" s="45" t="s">
        <v>1290</v>
      </c>
      <c r="K32" s="44" t="s">
        <v>297</v>
      </c>
      <c r="L32" s="35" t="s">
        <v>298</v>
      </c>
      <c r="M32" s="35">
        <v>13.5</v>
      </c>
      <c r="N32" s="35">
        <v>3.5</v>
      </c>
      <c r="O32" s="35">
        <f t="shared" si="1"/>
        <v>8.5</v>
      </c>
      <c r="P32" s="35">
        <v>18.5</v>
      </c>
      <c r="Q32" s="35">
        <v>20</v>
      </c>
      <c r="R32" s="35">
        <f t="shared" si="0"/>
        <v>19.25</v>
      </c>
      <c r="S32" s="35"/>
      <c r="T32" s="35"/>
      <c r="U32" s="35"/>
      <c r="V32" s="35" t="e">
        <f>AVERAGE(Tableau2[[#This Row],[1ère composition/10]:[3è composition]])</f>
        <v>#DIV/0!</v>
      </c>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f>COUNTIF(Tableau2[[#This Row],[Séance 1]:[Séance 38]],"A")</f>
        <v>0</v>
      </c>
      <c r="BJ32" s="35"/>
    </row>
    <row r="33" spans="1:62" hidden="1" x14ac:dyDescent="0.2">
      <c r="A33" s="44" t="s">
        <v>117</v>
      </c>
      <c r="B33" s="44" t="s">
        <v>172</v>
      </c>
      <c r="C33" s="44" t="s">
        <v>3774</v>
      </c>
      <c r="D33" s="44" t="s">
        <v>173</v>
      </c>
      <c r="E33" s="44" t="s">
        <v>120</v>
      </c>
      <c r="F33" s="44">
        <v>2021</v>
      </c>
      <c r="G33" s="44">
        <v>8</v>
      </c>
      <c r="H33" s="44">
        <v>27</v>
      </c>
      <c r="I33" s="44" t="str">
        <f>Tableau2[[#This Row],[Annee d''inscription au programme]]&amp;"-"&amp;Tableau2[[#This Row],[Code d''ecole]]&amp;"-"&amp;Tableau2[[#This Row],[Numero HM de la fille]]</f>
        <v>2021-8-27</v>
      </c>
      <c r="J33" s="45" t="s">
        <v>1291</v>
      </c>
      <c r="K33" s="44" t="s">
        <v>297</v>
      </c>
      <c r="L33" s="35" t="s">
        <v>298</v>
      </c>
      <c r="M33" s="35">
        <v>17.5</v>
      </c>
      <c r="N33" s="35">
        <v>20</v>
      </c>
      <c r="O33" s="35">
        <f t="shared" si="1"/>
        <v>18.75</v>
      </c>
      <c r="P33" s="35"/>
      <c r="Q33" s="35"/>
      <c r="R33" s="35">
        <f t="shared" si="0"/>
        <v>0</v>
      </c>
      <c r="S33" s="35"/>
      <c r="T33" s="35"/>
      <c r="U33" s="35"/>
      <c r="V33" s="35" t="e">
        <f>AVERAGE(Tableau2[[#This Row],[1ère composition/10]:[3è composition]])</f>
        <v>#DIV/0!</v>
      </c>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f>COUNTIF(Tableau2[[#This Row],[Séance 1]:[Séance 38]],"A")</f>
        <v>0</v>
      </c>
      <c r="BJ33" s="35"/>
    </row>
    <row r="34" spans="1:62" hidden="1" x14ac:dyDescent="0.2">
      <c r="A34" s="44" t="s">
        <v>117</v>
      </c>
      <c r="B34" s="44" t="s">
        <v>174</v>
      </c>
      <c r="C34" s="44" t="s">
        <v>3774</v>
      </c>
      <c r="D34" s="44" t="s">
        <v>175</v>
      </c>
      <c r="E34" s="44" t="s">
        <v>120</v>
      </c>
      <c r="F34" s="44">
        <v>2021</v>
      </c>
      <c r="G34" s="44">
        <v>8</v>
      </c>
      <c r="H34" s="44">
        <v>28</v>
      </c>
      <c r="I34" s="44" t="str">
        <f>Tableau2[[#This Row],[Annee d''inscription au programme]]&amp;"-"&amp;Tableau2[[#This Row],[Code d''ecole]]&amp;"-"&amp;Tableau2[[#This Row],[Numero HM de la fille]]</f>
        <v>2021-8-28</v>
      </c>
      <c r="J34" s="45" t="s">
        <v>1292</v>
      </c>
      <c r="K34" s="44" t="s">
        <v>297</v>
      </c>
      <c r="L34" s="35" t="s">
        <v>298</v>
      </c>
      <c r="M34" s="35">
        <v>8</v>
      </c>
      <c r="N34" s="35">
        <v>2</v>
      </c>
      <c r="O34" s="35">
        <f t="shared" si="1"/>
        <v>5</v>
      </c>
      <c r="P34" s="35">
        <v>12.5</v>
      </c>
      <c r="Q34" s="35">
        <v>17</v>
      </c>
      <c r="R34" s="35">
        <f t="shared" si="0"/>
        <v>14.75</v>
      </c>
      <c r="S34" s="35"/>
      <c r="T34" s="35"/>
      <c r="U34" s="35"/>
      <c r="V34" s="35" t="e">
        <f>AVERAGE(Tableau2[[#This Row],[1ère composition/10]:[3è composition]])</f>
        <v>#DIV/0!</v>
      </c>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f>COUNTIF(Tableau2[[#This Row],[Séance 1]:[Séance 38]],"A")</f>
        <v>0</v>
      </c>
      <c r="BJ34" s="35"/>
    </row>
    <row r="35" spans="1:62" hidden="1" x14ac:dyDescent="0.2">
      <c r="A35" s="44" t="s">
        <v>117</v>
      </c>
      <c r="B35" s="44" t="s">
        <v>176</v>
      </c>
      <c r="C35" s="44" t="s">
        <v>3774</v>
      </c>
      <c r="D35" s="44" t="s">
        <v>177</v>
      </c>
      <c r="E35" s="44" t="s">
        <v>120</v>
      </c>
      <c r="F35" s="44">
        <v>2021</v>
      </c>
      <c r="G35" s="44">
        <v>8</v>
      </c>
      <c r="H35" s="44">
        <v>29</v>
      </c>
      <c r="I35" s="44" t="str">
        <f>Tableau2[[#This Row],[Annee d''inscription au programme]]&amp;"-"&amp;Tableau2[[#This Row],[Code d''ecole]]&amp;"-"&amp;Tableau2[[#This Row],[Numero HM de la fille]]</f>
        <v>2021-8-29</v>
      </c>
      <c r="J35" s="45" t="s">
        <v>1293</v>
      </c>
      <c r="K35" s="44" t="s">
        <v>297</v>
      </c>
      <c r="L35" s="35" t="s">
        <v>298</v>
      </c>
      <c r="M35" s="35">
        <v>12</v>
      </c>
      <c r="N35" s="35">
        <v>13.5</v>
      </c>
      <c r="O35" s="35">
        <f t="shared" si="1"/>
        <v>12.75</v>
      </c>
      <c r="P35" s="35">
        <v>16</v>
      </c>
      <c r="Q35" s="35">
        <v>18</v>
      </c>
      <c r="R35" s="35">
        <f t="shared" si="0"/>
        <v>17</v>
      </c>
      <c r="S35" s="35"/>
      <c r="T35" s="35"/>
      <c r="U35" s="35"/>
      <c r="V35" s="35" t="e">
        <f>AVERAGE(Tableau2[[#This Row],[1ère composition/10]:[3è composition]])</f>
        <v>#DIV/0!</v>
      </c>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f>COUNTIF(Tableau2[[#This Row],[Séance 1]:[Séance 38]],"A")</f>
        <v>0</v>
      </c>
      <c r="BJ35" s="35"/>
    </row>
    <row r="36" spans="1:62" hidden="1" x14ac:dyDescent="0.2">
      <c r="A36" s="44" t="s">
        <v>117</v>
      </c>
      <c r="B36" s="44" t="s">
        <v>178</v>
      </c>
      <c r="C36" s="44" t="s">
        <v>3774</v>
      </c>
      <c r="D36" s="44" t="s">
        <v>179</v>
      </c>
      <c r="E36" s="44" t="s">
        <v>120</v>
      </c>
      <c r="F36" s="44">
        <v>2021</v>
      </c>
      <c r="G36" s="44">
        <v>8</v>
      </c>
      <c r="H36" s="44">
        <v>30</v>
      </c>
      <c r="I36" s="44" t="str">
        <f>Tableau2[[#This Row],[Annee d''inscription au programme]]&amp;"-"&amp;Tableau2[[#This Row],[Code d''ecole]]&amp;"-"&amp;Tableau2[[#This Row],[Numero HM de la fille]]</f>
        <v>2021-8-30</v>
      </c>
      <c r="J36" s="45" t="s">
        <v>1294</v>
      </c>
      <c r="K36" s="44" t="s">
        <v>297</v>
      </c>
      <c r="L36" s="35" t="s">
        <v>298</v>
      </c>
      <c r="M36" s="35">
        <v>11.5</v>
      </c>
      <c r="N36" s="35">
        <v>9.5</v>
      </c>
      <c r="O36" s="35">
        <f t="shared" si="1"/>
        <v>10.5</v>
      </c>
      <c r="P36" s="35">
        <v>17.5</v>
      </c>
      <c r="Q36" s="35">
        <v>20</v>
      </c>
      <c r="R36" s="35">
        <f t="shared" si="0"/>
        <v>18.75</v>
      </c>
      <c r="S36" s="35"/>
      <c r="T36" s="35"/>
      <c r="U36" s="35"/>
      <c r="V36" s="35" t="e">
        <f>AVERAGE(Tableau2[[#This Row],[1ère composition/10]:[3è composition]])</f>
        <v>#DIV/0!</v>
      </c>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f>COUNTIF(Tableau2[[#This Row],[Séance 1]:[Séance 38]],"A")</f>
        <v>0</v>
      </c>
      <c r="BJ36" s="35"/>
    </row>
    <row r="37" spans="1:62" hidden="1" x14ac:dyDescent="0.2">
      <c r="A37" s="44" t="s">
        <v>117</v>
      </c>
      <c r="B37" s="44" t="s">
        <v>180</v>
      </c>
      <c r="C37" s="44" t="s">
        <v>3774</v>
      </c>
      <c r="D37" s="44" t="s">
        <v>181</v>
      </c>
      <c r="E37" s="44" t="s">
        <v>120</v>
      </c>
      <c r="F37" s="44">
        <v>2021</v>
      </c>
      <c r="G37" s="44">
        <v>8</v>
      </c>
      <c r="H37" s="44">
        <v>31</v>
      </c>
      <c r="I37" s="44" t="str">
        <f>Tableau2[[#This Row],[Annee d''inscription au programme]]&amp;"-"&amp;Tableau2[[#This Row],[Code d''ecole]]&amp;"-"&amp;Tableau2[[#This Row],[Numero HM de la fille]]</f>
        <v>2021-8-31</v>
      </c>
      <c r="J37" s="45" t="s">
        <v>1295</v>
      </c>
      <c r="K37" s="44" t="s">
        <v>297</v>
      </c>
      <c r="L37" s="35" t="s">
        <v>298</v>
      </c>
      <c r="M37" s="35">
        <v>14.5</v>
      </c>
      <c r="N37" s="35">
        <v>16.5</v>
      </c>
      <c r="O37" s="35">
        <f t="shared" si="1"/>
        <v>15.5</v>
      </c>
      <c r="P37" s="35">
        <v>16</v>
      </c>
      <c r="Q37" s="35">
        <v>20</v>
      </c>
      <c r="R37" s="35">
        <f t="shared" si="0"/>
        <v>18</v>
      </c>
      <c r="S37" s="35"/>
      <c r="T37" s="35"/>
      <c r="U37" s="35"/>
      <c r="V37" s="35" t="e">
        <f>AVERAGE(Tableau2[[#This Row],[1ère composition/10]:[3è composition]])</f>
        <v>#DIV/0!</v>
      </c>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f>COUNTIF(Tableau2[[#This Row],[Séance 1]:[Séance 38]],"A")</f>
        <v>0</v>
      </c>
      <c r="BJ37" s="35"/>
    </row>
    <row r="38" spans="1:62" hidden="1" x14ac:dyDescent="0.2">
      <c r="A38" s="44" t="s">
        <v>117</v>
      </c>
      <c r="B38" s="44" t="s">
        <v>182</v>
      </c>
      <c r="C38" s="44" t="s">
        <v>3774</v>
      </c>
      <c r="D38" s="44" t="s">
        <v>183</v>
      </c>
      <c r="E38" s="44" t="s">
        <v>120</v>
      </c>
      <c r="F38" s="44">
        <v>2021</v>
      </c>
      <c r="G38" s="44">
        <v>8</v>
      </c>
      <c r="H38" s="44">
        <v>32</v>
      </c>
      <c r="I38" s="44" t="str">
        <f>Tableau2[[#This Row],[Annee d''inscription au programme]]&amp;"-"&amp;Tableau2[[#This Row],[Code d''ecole]]&amp;"-"&amp;Tableau2[[#This Row],[Numero HM de la fille]]</f>
        <v>2021-8-32</v>
      </c>
      <c r="J38" s="45" t="s">
        <v>1296</v>
      </c>
      <c r="K38" s="44" t="s">
        <v>297</v>
      </c>
      <c r="L38" s="35" t="s">
        <v>298</v>
      </c>
      <c r="M38" s="35">
        <v>15.5</v>
      </c>
      <c r="N38" s="35">
        <v>18</v>
      </c>
      <c r="O38" s="35">
        <f t="shared" si="1"/>
        <v>16.75</v>
      </c>
      <c r="P38" s="35">
        <v>16.5</v>
      </c>
      <c r="Q38" s="35">
        <v>19</v>
      </c>
      <c r="R38" s="35">
        <f t="shared" si="0"/>
        <v>17.75</v>
      </c>
      <c r="S38" s="35"/>
      <c r="T38" s="35"/>
      <c r="U38" s="35"/>
      <c r="V38" s="35" t="e">
        <f>AVERAGE(Tableau2[[#This Row],[1ère composition/10]:[3è composition]])</f>
        <v>#DIV/0!</v>
      </c>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f>COUNTIF(Tableau2[[#This Row],[Séance 1]:[Séance 38]],"A")</f>
        <v>0</v>
      </c>
      <c r="BJ38" s="35"/>
    </row>
    <row r="39" spans="1:62" hidden="1" x14ac:dyDescent="0.2">
      <c r="A39" s="44" t="s">
        <v>117</v>
      </c>
      <c r="B39" s="44" t="s">
        <v>184</v>
      </c>
      <c r="C39" s="44" t="s">
        <v>3774</v>
      </c>
      <c r="D39" s="44" t="s">
        <v>185</v>
      </c>
      <c r="E39" s="44" t="s">
        <v>120</v>
      </c>
      <c r="F39" s="44">
        <v>2021</v>
      </c>
      <c r="G39" s="44">
        <v>8</v>
      </c>
      <c r="H39" s="44">
        <v>33</v>
      </c>
      <c r="I39" s="44" t="str">
        <f>Tableau2[[#This Row],[Annee d''inscription au programme]]&amp;"-"&amp;Tableau2[[#This Row],[Code d''ecole]]&amp;"-"&amp;Tableau2[[#This Row],[Numero HM de la fille]]</f>
        <v>2021-8-33</v>
      </c>
      <c r="J39" s="45" t="s">
        <v>1297</v>
      </c>
      <c r="K39" s="44" t="s">
        <v>297</v>
      </c>
      <c r="L39" s="35" t="s">
        <v>298</v>
      </c>
      <c r="M39" s="35">
        <v>0</v>
      </c>
      <c r="N39" s="35">
        <v>0</v>
      </c>
      <c r="O39" s="35">
        <f t="shared" si="1"/>
        <v>0</v>
      </c>
      <c r="P39" s="35">
        <v>16.5</v>
      </c>
      <c r="Q39" s="35">
        <v>16</v>
      </c>
      <c r="R39" s="35">
        <f t="shared" si="0"/>
        <v>16.25</v>
      </c>
      <c r="S39" s="35"/>
      <c r="T39" s="35"/>
      <c r="U39" s="35"/>
      <c r="V39" s="35" t="e">
        <f>AVERAGE(Tableau2[[#This Row],[1ère composition/10]:[3è composition]])</f>
        <v>#DIV/0!</v>
      </c>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f>COUNTIF(Tableau2[[#This Row],[Séance 1]:[Séance 38]],"A")</f>
        <v>0</v>
      </c>
      <c r="BJ39" s="35"/>
    </row>
    <row r="40" spans="1:62" hidden="1" x14ac:dyDescent="0.2">
      <c r="A40" s="44" t="s">
        <v>117</v>
      </c>
      <c r="B40" s="44" t="s">
        <v>189</v>
      </c>
      <c r="C40" s="44" t="s">
        <v>3774</v>
      </c>
      <c r="D40" s="44" t="s">
        <v>188</v>
      </c>
      <c r="E40" s="44" t="s">
        <v>120</v>
      </c>
      <c r="F40" s="44">
        <v>2021</v>
      </c>
      <c r="G40" s="44">
        <v>8</v>
      </c>
      <c r="H40" s="44">
        <v>34</v>
      </c>
      <c r="I40" s="44" t="str">
        <f>Tableau2[[#This Row],[Annee d''inscription au programme]]&amp;"-"&amp;Tableau2[[#This Row],[Code d''ecole]]&amp;"-"&amp;Tableau2[[#This Row],[Numero HM de la fille]]</f>
        <v>2021-8-34</v>
      </c>
      <c r="J40" s="45" t="s">
        <v>1298</v>
      </c>
      <c r="K40" s="44" t="s">
        <v>297</v>
      </c>
      <c r="L40" s="35" t="s">
        <v>298</v>
      </c>
      <c r="M40" s="35">
        <v>5.75</v>
      </c>
      <c r="N40" s="35">
        <v>1</v>
      </c>
      <c r="O40" s="35">
        <f t="shared" si="1"/>
        <v>3.375</v>
      </c>
      <c r="P40" s="35">
        <v>10</v>
      </c>
      <c r="Q40" s="35">
        <v>8</v>
      </c>
      <c r="R40" s="35">
        <f t="shared" si="0"/>
        <v>9</v>
      </c>
      <c r="S40" s="35"/>
      <c r="T40" s="35"/>
      <c r="U40" s="35"/>
      <c r="V40" s="35" t="e">
        <f>AVERAGE(Tableau2[[#This Row],[1ère composition/10]:[3è composition]])</f>
        <v>#DIV/0!</v>
      </c>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f>COUNTIF(Tableau2[[#This Row],[Séance 1]:[Séance 38]],"A")</f>
        <v>0</v>
      </c>
      <c r="BJ40" s="35"/>
    </row>
    <row r="41" spans="1:62" hidden="1" x14ac:dyDescent="0.2">
      <c r="A41" s="44" t="s">
        <v>117</v>
      </c>
      <c r="B41" s="44" t="s">
        <v>186</v>
      </c>
      <c r="C41" s="44" t="s">
        <v>3774</v>
      </c>
      <c r="D41" s="44" t="s">
        <v>187</v>
      </c>
      <c r="E41" s="44" t="s">
        <v>120</v>
      </c>
      <c r="F41" s="44">
        <v>2021</v>
      </c>
      <c r="G41" s="44">
        <v>8</v>
      </c>
      <c r="H41" s="44">
        <v>35</v>
      </c>
      <c r="I41" s="44" t="str">
        <f>Tableau2[[#This Row],[Annee d''inscription au programme]]&amp;"-"&amp;Tableau2[[#This Row],[Code d''ecole]]&amp;"-"&amp;Tableau2[[#This Row],[Numero HM de la fille]]</f>
        <v>2021-8-35</v>
      </c>
      <c r="J41" s="45" t="s">
        <v>1299</v>
      </c>
      <c r="K41" s="44" t="s">
        <v>297</v>
      </c>
      <c r="L41" s="35" t="s">
        <v>298</v>
      </c>
      <c r="M41" s="35">
        <v>16</v>
      </c>
      <c r="N41" s="35">
        <v>18</v>
      </c>
      <c r="O41" s="35">
        <f t="shared" si="1"/>
        <v>17</v>
      </c>
      <c r="P41" s="35">
        <v>13.5</v>
      </c>
      <c r="Q41" s="35">
        <v>15.5</v>
      </c>
      <c r="R41" s="35">
        <f t="shared" si="0"/>
        <v>14.5</v>
      </c>
      <c r="S41" s="35"/>
      <c r="T41" s="35"/>
      <c r="U41" s="35"/>
      <c r="V41" s="35" t="e">
        <f>AVERAGE(Tableau2[[#This Row],[1ère composition/10]:[3è composition]])</f>
        <v>#DIV/0!</v>
      </c>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f>COUNTIF(Tableau2[[#This Row],[Séance 1]:[Séance 38]],"A")</f>
        <v>0</v>
      </c>
      <c r="BJ41" s="35"/>
    </row>
    <row r="42" spans="1:62" hidden="1" x14ac:dyDescent="0.2">
      <c r="A42" s="44" t="s">
        <v>117</v>
      </c>
      <c r="B42" s="44" t="s">
        <v>190</v>
      </c>
      <c r="C42" s="44" t="s">
        <v>3773</v>
      </c>
      <c r="D42" s="44" t="s">
        <v>188</v>
      </c>
      <c r="E42" s="44" t="s">
        <v>120</v>
      </c>
      <c r="F42" s="44">
        <v>2021</v>
      </c>
      <c r="G42" s="44">
        <v>8</v>
      </c>
      <c r="H42" s="44">
        <v>36</v>
      </c>
      <c r="I42" s="44" t="str">
        <f>Tableau2[[#This Row],[Annee d''inscription au programme]]&amp;"-"&amp;Tableau2[[#This Row],[Code d''ecole]]&amp;"-"&amp;Tableau2[[#This Row],[Numero HM de la fille]]</f>
        <v>2021-8-36</v>
      </c>
      <c r="J42" s="45" t="s">
        <v>1300</v>
      </c>
      <c r="K42" s="44" t="s">
        <v>374</v>
      </c>
      <c r="L42" s="35" t="s">
        <v>620</v>
      </c>
      <c r="M42" s="35">
        <v>10.5</v>
      </c>
      <c r="N42" s="35">
        <v>4</v>
      </c>
      <c r="O42" s="35">
        <f t="shared" si="1"/>
        <v>7.25</v>
      </c>
      <c r="P42" s="35">
        <v>17.5</v>
      </c>
      <c r="Q42" s="35">
        <v>13.5</v>
      </c>
      <c r="R42" s="35">
        <f t="shared" si="0"/>
        <v>15.5</v>
      </c>
      <c r="S42" s="35"/>
      <c r="T42" s="35"/>
      <c r="U42" s="35"/>
      <c r="V42" s="35" t="e">
        <f>AVERAGE(Tableau2[[#This Row],[1ère composition/10]:[3è composition]])</f>
        <v>#DIV/0!</v>
      </c>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f>COUNTIF(Tableau2[[#This Row],[Séance 1]:[Séance 38]],"A")</f>
        <v>0</v>
      </c>
      <c r="BJ42" s="35"/>
    </row>
    <row r="43" spans="1:62" hidden="1" x14ac:dyDescent="0.2">
      <c r="A43" s="44" t="s">
        <v>117</v>
      </c>
      <c r="B43" s="44" t="s">
        <v>191</v>
      </c>
      <c r="C43" s="44" t="s">
        <v>3773</v>
      </c>
      <c r="D43" s="44" t="s">
        <v>192</v>
      </c>
      <c r="E43" s="44" t="s">
        <v>120</v>
      </c>
      <c r="F43" s="44">
        <v>2021</v>
      </c>
      <c r="G43" s="44">
        <v>8</v>
      </c>
      <c r="H43" s="44">
        <v>37</v>
      </c>
      <c r="I43" s="44" t="str">
        <f>Tableau2[[#This Row],[Annee d''inscription au programme]]&amp;"-"&amp;Tableau2[[#This Row],[Code d''ecole]]&amp;"-"&amp;Tableau2[[#This Row],[Numero HM de la fille]]</f>
        <v>2021-8-37</v>
      </c>
      <c r="J43" s="45" t="s">
        <v>1301</v>
      </c>
      <c r="K43" s="44" t="s">
        <v>297</v>
      </c>
      <c r="L43" s="35" t="s">
        <v>298</v>
      </c>
      <c r="M43" s="35">
        <v>5.5</v>
      </c>
      <c r="N43" s="35">
        <v>8.5</v>
      </c>
      <c r="O43" s="35">
        <f t="shared" si="1"/>
        <v>7</v>
      </c>
      <c r="P43" s="35"/>
      <c r="Q43" s="35"/>
      <c r="R43" s="35">
        <f t="shared" si="0"/>
        <v>0</v>
      </c>
      <c r="S43" s="35"/>
      <c r="T43" s="35"/>
      <c r="U43" s="35"/>
      <c r="V43" s="35" t="e">
        <f>AVERAGE(Tableau2[[#This Row],[1ère composition/10]:[3è composition]])</f>
        <v>#DIV/0!</v>
      </c>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f>COUNTIF(Tableau2[[#This Row],[Séance 1]:[Séance 38]],"A")</f>
        <v>0</v>
      </c>
      <c r="BJ43" s="35"/>
    </row>
    <row r="44" spans="1:62" hidden="1" x14ac:dyDescent="0.2">
      <c r="A44" s="44" t="s">
        <v>117</v>
      </c>
      <c r="B44" s="44" t="s">
        <v>193</v>
      </c>
      <c r="C44" s="44" t="s">
        <v>3774</v>
      </c>
      <c r="D44" s="44" t="s">
        <v>194</v>
      </c>
      <c r="E44" s="44" t="s">
        <v>120</v>
      </c>
      <c r="F44" s="44">
        <v>2021</v>
      </c>
      <c r="G44" s="44">
        <v>8</v>
      </c>
      <c r="H44" s="44">
        <v>38</v>
      </c>
      <c r="I44" s="44" t="str">
        <f>Tableau2[[#This Row],[Annee d''inscription au programme]]&amp;"-"&amp;Tableau2[[#This Row],[Code d''ecole]]&amp;"-"&amp;Tableau2[[#This Row],[Numero HM de la fille]]</f>
        <v>2021-8-38</v>
      </c>
      <c r="J44" s="45" t="s">
        <v>1302</v>
      </c>
      <c r="K44" s="44" t="s">
        <v>297</v>
      </c>
      <c r="L44" s="35" t="s">
        <v>298</v>
      </c>
      <c r="M44" s="35">
        <v>0</v>
      </c>
      <c r="N44" s="35">
        <v>0</v>
      </c>
      <c r="O44" s="35">
        <f t="shared" si="1"/>
        <v>0</v>
      </c>
      <c r="P44" s="35">
        <v>11.5</v>
      </c>
      <c r="Q44" s="35">
        <v>5.5</v>
      </c>
      <c r="R44" s="35">
        <f t="shared" si="0"/>
        <v>8.5</v>
      </c>
      <c r="S44" s="35"/>
      <c r="T44" s="35"/>
      <c r="U44" s="35"/>
      <c r="V44" s="35" t="e">
        <f>AVERAGE(Tableau2[[#This Row],[1ère composition/10]:[3è composition]])</f>
        <v>#DIV/0!</v>
      </c>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f>COUNTIF(Tableau2[[#This Row],[Séance 1]:[Séance 38]],"A")</f>
        <v>0</v>
      </c>
      <c r="BJ44" s="35"/>
    </row>
    <row r="45" spans="1:62" hidden="1" x14ac:dyDescent="0.2">
      <c r="A45" s="44" t="s">
        <v>117</v>
      </c>
      <c r="B45" s="44" t="s">
        <v>195</v>
      </c>
      <c r="C45" s="44" t="s">
        <v>3773</v>
      </c>
      <c r="D45" s="44" t="s">
        <v>196</v>
      </c>
      <c r="E45" s="44" t="s">
        <v>120</v>
      </c>
      <c r="F45" s="44">
        <v>2020</v>
      </c>
      <c r="G45" s="44">
        <v>8</v>
      </c>
      <c r="H45" s="44">
        <v>39</v>
      </c>
      <c r="I45" s="44" t="str">
        <f>Tableau2[[#This Row],[Annee d''inscription au programme]]&amp;"-"&amp;Tableau2[[#This Row],[Code d''ecole]]&amp;"-"&amp;Tableau2[[#This Row],[Numero HM de la fille]]</f>
        <v>2020-8-39</v>
      </c>
      <c r="J45" s="45" t="s">
        <v>1303</v>
      </c>
      <c r="K45" s="44" t="s">
        <v>374</v>
      </c>
      <c r="L45" s="35" t="s">
        <v>620</v>
      </c>
      <c r="M45" s="35">
        <v>4.75</v>
      </c>
      <c r="N45" s="35">
        <v>1</v>
      </c>
      <c r="O45" s="35">
        <f t="shared" si="1"/>
        <v>2.875</v>
      </c>
      <c r="P45" s="35">
        <v>13</v>
      </c>
      <c r="Q45" s="35">
        <v>19</v>
      </c>
      <c r="R45" s="35">
        <f t="shared" si="0"/>
        <v>16</v>
      </c>
      <c r="S45" s="35"/>
      <c r="T45" s="35"/>
      <c r="U45" s="35"/>
      <c r="V45" s="35" t="e">
        <f>AVERAGE(Tableau2[[#This Row],[1ère composition/10]:[3è composition]])</f>
        <v>#DIV/0!</v>
      </c>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f>COUNTIF(Tableau2[[#This Row],[Séance 1]:[Séance 38]],"A")</f>
        <v>0</v>
      </c>
      <c r="BJ45" s="35"/>
    </row>
    <row r="46" spans="1:62" hidden="1" x14ac:dyDescent="0.2">
      <c r="A46" s="44" t="s">
        <v>117</v>
      </c>
      <c r="B46" s="44" t="s">
        <v>197</v>
      </c>
      <c r="C46" s="44"/>
      <c r="D46" s="44" t="s">
        <v>198</v>
      </c>
      <c r="E46" s="44" t="s">
        <v>120</v>
      </c>
      <c r="F46" s="44">
        <v>2021</v>
      </c>
      <c r="G46" s="44">
        <v>8</v>
      </c>
      <c r="H46" s="44">
        <v>40</v>
      </c>
      <c r="I46" s="44" t="str">
        <f>Tableau2[[#This Row],[Annee d''inscription au programme]]&amp;"-"&amp;Tableau2[[#This Row],[Code d''ecole]]&amp;"-"&amp;Tableau2[[#This Row],[Numero HM de la fille]]</f>
        <v>2021-8-40</v>
      </c>
      <c r="J46" s="45" t="s">
        <v>1304</v>
      </c>
      <c r="K46" s="44" t="s">
        <v>297</v>
      </c>
      <c r="L46" s="35" t="s">
        <v>298</v>
      </c>
      <c r="M46" s="35">
        <v>0</v>
      </c>
      <c r="N46" s="35">
        <v>0</v>
      </c>
      <c r="O46" s="35">
        <f t="shared" si="1"/>
        <v>0</v>
      </c>
      <c r="P46" s="35">
        <v>14.5</v>
      </c>
      <c r="Q46" s="35">
        <v>20</v>
      </c>
      <c r="R46" s="35">
        <f t="shared" si="0"/>
        <v>17.25</v>
      </c>
      <c r="S46" s="35"/>
      <c r="T46" s="35"/>
      <c r="U46" s="35"/>
      <c r="V46" s="35" t="e">
        <f>AVERAGE(Tableau2[[#This Row],[1ère composition/10]:[3è composition]])</f>
        <v>#DIV/0!</v>
      </c>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f>COUNTIF(Tableau2[[#This Row],[Séance 1]:[Séance 38]],"A")</f>
        <v>0</v>
      </c>
      <c r="BJ46" s="35"/>
    </row>
    <row r="47" spans="1:62" hidden="1" x14ac:dyDescent="0.2">
      <c r="A47" s="44" t="s">
        <v>117</v>
      </c>
      <c r="B47" s="44" t="s">
        <v>199</v>
      </c>
      <c r="C47" s="44" t="s">
        <v>3773</v>
      </c>
      <c r="D47" s="44" t="s">
        <v>200</v>
      </c>
      <c r="E47" s="44" t="s">
        <v>120</v>
      </c>
      <c r="F47" s="44">
        <v>2021</v>
      </c>
      <c r="G47" s="44">
        <v>8</v>
      </c>
      <c r="H47" s="44">
        <v>41</v>
      </c>
      <c r="I47" s="44" t="str">
        <f>Tableau2[[#This Row],[Annee d''inscription au programme]]&amp;"-"&amp;Tableau2[[#This Row],[Code d''ecole]]&amp;"-"&amp;Tableau2[[#This Row],[Numero HM de la fille]]</f>
        <v>2021-8-41</v>
      </c>
      <c r="J47" s="45" t="s">
        <v>1305</v>
      </c>
      <c r="K47" s="44" t="s">
        <v>374</v>
      </c>
      <c r="L47" s="35" t="s">
        <v>620</v>
      </c>
      <c r="M47" s="35">
        <v>0</v>
      </c>
      <c r="N47" s="35">
        <v>0</v>
      </c>
      <c r="O47" s="35">
        <f t="shared" si="1"/>
        <v>0</v>
      </c>
      <c r="P47" s="35">
        <v>18</v>
      </c>
      <c r="Q47" s="35">
        <v>19.5</v>
      </c>
      <c r="R47" s="35">
        <f t="shared" si="0"/>
        <v>18.75</v>
      </c>
      <c r="S47" s="35"/>
      <c r="T47" s="35"/>
      <c r="U47" s="35"/>
      <c r="V47" s="35" t="e">
        <f>AVERAGE(Tableau2[[#This Row],[1ère composition/10]:[3è composition]])</f>
        <v>#DIV/0!</v>
      </c>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f>COUNTIF(Tableau2[[#This Row],[Séance 1]:[Séance 38]],"A")</f>
        <v>0</v>
      </c>
      <c r="BJ47" s="35"/>
    </row>
    <row r="48" spans="1:62" hidden="1" x14ac:dyDescent="0.2">
      <c r="A48" s="44" t="s">
        <v>117</v>
      </c>
      <c r="B48" s="44" t="s">
        <v>201</v>
      </c>
      <c r="C48" s="44" t="s">
        <v>3774</v>
      </c>
      <c r="D48" s="44" t="s">
        <v>202</v>
      </c>
      <c r="E48" s="44" t="s">
        <v>120</v>
      </c>
      <c r="F48" s="44">
        <v>2021</v>
      </c>
      <c r="G48" s="44">
        <v>8</v>
      </c>
      <c r="H48" s="44">
        <v>42</v>
      </c>
      <c r="I48" s="44" t="str">
        <f>Tableau2[[#This Row],[Annee d''inscription au programme]]&amp;"-"&amp;Tableau2[[#This Row],[Code d''ecole]]&amp;"-"&amp;Tableau2[[#This Row],[Numero HM de la fille]]</f>
        <v>2021-8-42</v>
      </c>
      <c r="J48" s="45" t="s">
        <v>1306</v>
      </c>
      <c r="K48" s="44" t="s">
        <v>297</v>
      </c>
      <c r="L48" s="35" t="s">
        <v>298</v>
      </c>
      <c r="M48" s="35">
        <v>0</v>
      </c>
      <c r="N48" s="35">
        <v>0</v>
      </c>
      <c r="O48" s="35">
        <f t="shared" si="1"/>
        <v>0</v>
      </c>
      <c r="P48" s="35">
        <v>7.5</v>
      </c>
      <c r="Q48" s="35">
        <v>11</v>
      </c>
      <c r="R48" s="35">
        <f t="shared" si="0"/>
        <v>9.25</v>
      </c>
      <c r="S48" s="35"/>
      <c r="T48" s="35"/>
      <c r="U48" s="35"/>
      <c r="V48" s="35" t="e">
        <f>AVERAGE(Tableau2[[#This Row],[1ère composition/10]:[3è composition]])</f>
        <v>#DIV/0!</v>
      </c>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f>COUNTIF(Tableau2[[#This Row],[Séance 1]:[Séance 38]],"A")</f>
        <v>0</v>
      </c>
      <c r="BJ48" s="35"/>
    </row>
    <row r="49" spans="1:62" hidden="1" x14ac:dyDescent="0.2">
      <c r="A49" s="44" t="s">
        <v>117</v>
      </c>
      <c r="B49" s="44" t="s">
        <v>203</v>
      </c>
      <c r="C49" s="44" t="s">
        <v>3773</v>
      </c>
      <c r="D49" s="44" t="s">
        <v>204</v>
      </c>
      <c r="E49" s="44" t="s">
        <v>120</v>
      </c>
      <c r="F49" s="44">
        <v>2020</v>
      </c>
      <c r="G49" s="44">
        <v>8</v>
      </c>
      <c r="H49" s="44">
        <v>43</v>
      </c>
      <c r="I49" s="44" t="str">
        <f>Tableau2[[#This Row],[Annee d''inscription au programme]]&amp;"-"&amp;Tableau2[[#This Row],[Code d''ecole]]&amp;"-"&amp;Tableau2[[#This Row],[Numero HM de la fille]]</f>
        <v>2020-8-43</v>
      </c>
      <c r="J49" s="45" t="s">
        <v>1307</v>
      </c>
      <c r="K49" s="44" t="s">
        <v>374</v>
      </c>
      <c r="L49" s="35" t="s">
        <v>620</v>
      </c>
      <c r="M49" s="35">
        <v>4</v>
      </c>
      <c r="N49" s="35">
        <v>14</v>
      </c>
      <c r="O49" s="35">
        <f t="shared" si="1"/>
        <v>9</v>
      </c>
      <c r="P49" s="35">
        <v>11</v>
      </c>
      <c r="Q49" s="35">
        <v>6</v>
      </c>
      <c r="R49" s="35">
        <f t="shared" si="0"/>
        <v>8.5</v>
      </c>
      <c r="S49" s="35"/>
      <c r="T49" s="35"/>
      <c r="U49" s="35"/>
      <c r="V49" s="35" t="e">
        <f>AVERAGE(Tableau2[[#This Row],[1ère composition/10]:[3è composition]])</f>
        <v>#DIV/0!</v>
      </c>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f>COUNTIF(Tableau2[[#This Row],[Séance 1]:[Séance 38]],"A")</f>
        <v>0</v>
      </c>
      <c r="BJ49" s="35"/>
    </row>
    <row r="50" spans="1:62" hidden="1" x14ac:dyDescent="0.2">
      <c r="A50" s="44" t="s">
        <v>117</v>
      </c>
      <c r="B50" s="44" t="s">
        <v>205</v>
      </c>
      <c r="C50" s="44" t="s">
        <v>3773</v>
      </c>
      <c r="D50" s="44" t="s">
        <v>206</v>
      </c>
      <c r="E50" s="44" t="s">
        <v>120</v>
      </c>
      <c r="F50" s="44">
        <v>2020</v>
      </c>
      <c r="G50" s="44">
        <v>8</v>
      </c>
      <c r="H50" s="44">
        <v>44</v>
      </c>
      <c r="I50" s="44" t="str">
        <f>Tableau2[[#This Row],[Annee d''inscription au programme]]&amp;"-"&amp;Tableau2[[#This Row],[Code d''ecole]]&amp;"-"&amp;Tableau2[[#This Row],[Numero HM de la fille]]</f>
        <v>2020-8-44</v>
      </c>
      <c r="J50" s="45" t="s">
        <v>1308</v>
      </c>
      <c r="K50" s="44" t="s">
        <v>374</v>
      </c>
      <c r="L50" s="35" t="s">
        <v>620</v>
      </c>
      <c r="M50" s="35">
        <v>6.25</v>
      </c>
      <c r="N50" s="35">
        <v>1</v>
      </c>
      <c r="O50" s="35">
        <f t="shared" si="1"/>
        <v>3.625</v>
      </c>
      <c r="P50" s="35">
        <v>16.5</v>
      </c>
      <c r="Q50" s="35">
        <v>9</v>
      </c>
      <c r="R50" s="35">
        <f t="shared" si="0"/>
        <v>12.75</v>
      </c>
      <c r="S50" s="35"/>
      <c r="T50" s="35"/>
      <c r="U50" s="35"/>
      <c r="V50" s="35" t="e">
        <f>AVERAGE(Tableau2[[#This Row],[1ère composition/10]:[3è composition]])</f>
        <v>#DIV/0!</v>
      </c>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f>COUNTIF(Tableau2[[#This Row],[Séance 1]:[Séance 38]],"A")</f>
        <v>0</v>
      </c>
      <c r="BJ50" s="35"/>
    </row>
    <row r="51" spans="1:62" hidden="1" x14ac:dyDescent="0.2">
      <c r="A51" s="44" t="s">
        <v>117</v>
      </c>
      <c r="B51" s="44" t="s">
        <v>207</v>
      </c>
      <c r="C51" s="44" t="s">
        <v>3774</v>
      </c>
      <c r="D51" s="44" t="s">
        <v>198</v>
      </c>
      <c r="E51" s="44" t="s">
        <v>120</v>
      </c>
      <c r="F51" s="44">
        <v>2021</v>
      </c>
      <c r="G51" s="44">
        <v>8</v>
      </c>
      <c r="H51" s="44">
        <v>45</v>
      </c>
      <c r="I51" s="44" t="str">
        <f>Tableau2[[#This Row],[Annee d''inscription au programme]]&amp;"-"&amp;Tableau2[[#This Row],[Code d''ecole]]&amp;"-"&amp;Tableau2[[#This Row],[Numero HM de la fille]]</f>
        <v>2021-8-45</v>
      </c>
      <c r="J51" s="45" t="s">
        <v>1309</v>
      </c>
      <c r="K51" s="44" t="s">
        <v>297</v>
      </c>
      <c r="L51" s="35" t="s">
        <v>298</v>
      </c>
      <c r="M51" s="35">
        <v>0</v>
      </c>
      <c r="N51" s="35">
        <v>0</v>
      </c>
      <c r="O51" s="35">
        <f t="shared" si="1"/>
        <v>0</v>
      </c>
      <c r="P51" s="35">
        <v>14</v>
      </c>
      <c r="Q51" s="35">
        <v>10.75</v>
      </c>
      <c r="R51" s="35">
        <f t="shared" si="0"/>
        <v>12.375</v>
      </c>
      <c r="S51" s="35"/>
      <c r="T51" s="35"/>
      <c r="U51" s="35"/>
      <c r="V51" s="35" t="e">
        <f>AVERAGE(Tableau2[[#This Row],[1ère composition/10]:[3è composition]])</f>
        <v>#DIV/0!</v>
      </c>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f>COUNTIF(Tableau2[[#This Row],[Séance 1]:[Séance 38]],"A")</f>
        <v>0</v>
      </c>
      <c r="BJ51" s="35"/>
    </row>
    <row r="52" spans="1:62" hidden="1" x14ac:dyDescent="0.2">
      <c r="A52" s="44" t="s">
        <v>117</v>
      </c>
      <c r="B52" s="44" t="s">
        <v>208</v>
      </c>
      <c r="C52" s="44"/>
      <c r="D52" s="44" t="s">
        <v>209</v>
      </c>
      <c r="E52" s="44" t="s">
        <v>120</v>
      </c>
      <c r="F52" s="44">
        <v>2021</v>
      </c>
      <c r="G52" s="44">
        <v>8</v>
      </c>
      <c r="H52" s="44">
        <v>46</v>
      </c>
      <c r="I52" s="44" t="str">
        <f>Tableau2[[#This Row],[Annee d''inscription au programme]]&amp;"-"&amp;Tableau2[[#This Row],[Code d''ecole]]&amp;"-"&amp;Tableau2[[#This Row],[Numero HM de la fille]]</f>
        <v>2021-8-46</v>
      </c>
      <c r="J52" s="45" t="s">
        <v>1310</v>
      </c>
      <c r="K52" s="44" t="s">
        <v>297</v>
      </c>
      <c r="L52" s="35" t="s">
        <v>298</v>
      </c>
      <c r="M52" s="35">
        <v>0</v>
      </c>
      <c r="N52" s="35">
        <v>0</v>
      </c>
      <c r="O52" s="35">
        <f t="shared" si="1"/>
        <v>0</v>
      </c>
      <c r="P52" s="35"/>
      <c r="Q52" s="35"/>
      <c r="R52" s="35">
        <f t="shared" si="0"/>
        <v>0</v>
      </c>
      <c r="S52" s="35"/>
      <c r="T52" s="35"/>
      <c r="U52" s="35"/>
      <c r="V52" s="35" t="e">
        <f>AVERAGE(Tableau2[[#This Row],[1ère composition/10]:[3è composition]])</f>
        <v>#DIV/0!</v>
      </c>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f>COUNTIF(Tableau2[[#This Row],[Séance 1]:[Séance 38]],"A")</f>
        <v>0</v>
      </c>
      <c r="BJ52" s="35"/>
    </row>
    <row r="53" spans="1:62" hidden="1" x14ac:dyDescent="0.2">
      <c r="A53" s="1" t="s">
        <v>3</v>
      </c>
      <c r="B53" s="44" t="s">
        <v>210</v>
      </c>
      <c r="C53" s="44" t="s">
        <v>3858</v>
      </c>
      <c r="D53" s="44" t="s">
        <v>211</v>
      </c>
      <c r="E53" s="44" t="s">
        <v>120</v>
      </c>
      <c r="F53" s="44">
        <v>2021</v>
      </c>
      <c r="G53" s="44">
        <v>15</v>
      </c>
      <c r="H53" s="44">
        <v>1</v>
      </c>
      <c r="I53" s="44" t="str">
        <f>Tableau2[[#This Row],[Annee d''inscription au programme]]&amp;"-"&amp;Tableau2[[#This Row],[Code d''ecole]]&amp;"-"&amp;Tableau2[[#This Row],[Numero HM de la fille]]</f>
        <v>2021-15-1</v>
      </c>
      <c r="J53" s="45" t="s">
        <v>1311</v>
      </c>
      <c r="K53" s="44" t="s">
        <v>297</v>
      </c>
      <c r="L53" s="35" t="s">
        <v>298</v>
      </c>
      <c r="M53" s="35">
        <v>12.5</v>
      </c>
      <c r="N53" s="35">
        <v>13</v>
      </c>
      <c r="O53" s="35">
        <f t="shared" si="1"/>
        <v>12.75</v>
      </c>
      <c r="P53" s="35">
        <v>18</v>
      </c>
      <c r="Q53" s="35">
        <v>11</v>
      </c>
      <c r="R53" s="35">
        <f t="shared" si="0"/>
        <v>14.5</v>
      </c>
      <c r="S53" s="35"/>
      <c r="T53" s="35"/>
      <c r="U53" s="35"/>
      <c r="V53" s="35" t="e">
        <f>AVERAGE(Tableau2[[#This Row],[1ère composition/10]:[3è composition]])</f>
        <v>#DIV/0!</v>
      </c>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f>COUNTIF(Tableau2[[#This Row],[Séance 1]:[Séance 38]],"A")</f>
        <v>0</v>
      </c>
      <c r="BJ53" s="35"/>
    </row>
    <row r="54" spans="1:62" hidden="1" x14ac:dyDescent="0.2">
      <c r="A54" s="1" t="s">
        <v>3</v>
      </c>
      <c r="B54" s="44" t="s">
        <v>212</v>
      </c>
      <c r="C54" s="44" t="s">
        <v>3858</v>
      </c>
      <c r="D54" s="44" t="s">
        <v>213</v>
      </c>
      <c r="E54" s="44" t="s">
        <v>120</v>
      </c>
      <c r="F54" s="44">
        <v>2021</v>
      </c>
      <c r="G54" s="44">
        <v>15</v>
      </c>
      <c r="H54" s="44">
        <v>2</v>
      </c>
      <c r="I54" s="44" t="str">
        <f>Tableau2[[#This Row],[Annee d''inscription au programme]]&amp;"-"&amp;Tableau2[[#This Row],[Code d''ecole]]&amp;"-"&amp;Tableau2[[#This Row],[Numero HM de la fille]]</f>
        <v>2021-15-2</v>
      </c>
      <c r="J54" s="45" t="s">
        <v>1312</v>
      </c>
      <c r="K54" s="44" t="s">
        <v>297</v>
      </c>
      <c r="L54" s="35" t="s">
        <v>298</v>
      </c>
      <c r="M54" s="35">
        <v>6.5</v>
      </c>
      <c r="N54" s="35">
        <v>3.5</v>
      </c>
      <c r="O54" s="35">
        <f t="shared" si="1"/>
        <v>5</v>
      </c>
      <c r="P54" s="35">
        <v>14</v>
      </c>
      <c r="Q54" s="35">
        <v>15.25</v>
      </c>
      <c r="R54" s="35">
        <f t="shared" si="0"/>
        <v>14.625</v>
      </c>
      <c r="S54" s="35"/>
      <c r="T54" s="35"/>
      <c r="U54" s="35"/>
      <c r="V54" s="35" t="e">
        <f>AVERAGE(Tableau2[[#This Row],[1ère composition/10]:[3è composition]])</f>
        <v>#DIV/0!</v>
      </c>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f>COUNTIF(Tableau2[[#This Row],[Séance 1]:[Séance 38]],"A")</f>
        <v>0</v>
      </c>
      <c r="BJ54" s="35"/>
    </row>
    <row r="55" spans="1:62" hidden="1" x14ac:dyDescent="0.2">
      <c r="A55" s="1" t="s">
        <v>3</v>
      </c>
      <c r="B55" s="44" t="s">
        <v>214</v>
      </c>
      <c r="C55" s="44" t="s">
        <v>3858</v>
      </c>
      <c r="D55" s="44" t="s">
        <v>215</v>
      </c>
      <c r="E55" s="44" t="s">
        <v>120</v>
      </c>
      <c r="F55" s="44">
        <v>2021</v>
      </c>
      <c r="G55" s="44">
        <v>15</v>
      </c>
      <c r="H55" s="44">
        <v>3</v>
      </c>
      <c r="I55" s="44" t="str">
        <f>Tableau2[[#This Row],[Annee d''inscription au programme]]&amp;"-"&amp;Tableau2[[#This Row],[Code d''ecole]]&amp;"-"&amp;Tableau2[[#This Row],[Numero HM de la fille]]</f>
        <v>2021-15-3</v>
      </c>
      <c r="J55" s="45" t="s">
        <v>1313</v>
      </c>
      <c r="K55" s="44" t="s">
        <v>297</v>
      </c>
      <c r="L55" s="35" t="s">
        <v>298</v>
      </c>
      <c r="M55" s="35">
        <v>6</v>
      </c>
      <c r="N55" s="35">
        <v>5.5</v>
      </c>
      <c r="O55" s="35">
        <f t="shared" si="1"/>
        <v>5.75</v>
      </c>
      <c r="P55" s="35">
        <v>18.5</v>
      </c>
      <c r="Q55" s="35">
        <v>20</v>
      </c>
      <c r="R55" s="35">
        <f t="shared" si="0"/>
        <v>19.25</v>
      </c>
      <c r="S55" s="35"/>
      <c r="T55" s="35"/>
      <c r="U55" s="35"/>
      <c r="V55" s="35" t="e">
        <f>AVERAGE(Tableau2[[#This Row],[1ère composition/10]:[3è composition]])</f>
        <v>#DIV/0!</v>
      </c>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f>COUNTIF(Tableau2[[#This Row],[Séance 1]:[Séance 38]],"A")</f>
        <v>0</v>
      </c>
      <c r="BJ55" s="35"/>
    </row>
    <row r="56" spans="1:62" hidden="1" x14ac:dyDescent="0.2">
      <c r="A56" s="1" t="s">
        <v>3</v>
      </c>
      <c r="B56" s="44" t="s">
        <v>216</v>
      </c>
      <c r="C56" s="44" t="s">
        <v>3858</v>
      </c>
      <c r="D56" s="44" t="s">
        <v>217</v>
      </c>
      <c r="E56" s="44" t="s">
        <v>120</v>
      </c>
      <c r="F56" s="44">
        <v>2021</v>
      </c>
      <c r="G56" s="44">
        <v>15</v>
      </c>
      <c r="H56" s="44">
        <v>4</v>
      </c>
      <c r="I56" s="44" t="str">
        <f>Tableau2[[#This Row],[Annee d''inscription au programme]]&amp;"-"&amp;Tableau2[[#This Row],[Code d''ecole]]&amp;"-"&amp;Tableau2[[#This Row],[Numero HM de la fille]]</f>
        <v>2021-15-4</v>
      </c>
      <c r="J56" s="45" t="s">
        <v>1314</v>
      </c>
      <c r="K56" s="44" t="s">
        <v>297</v>
      </c>
      <c r="L56" s="35" t="s">
        <v>298</v>
      </c>
      <c r="M56" s="35">
        <v>16</v>
      </c>
      <c r="N56" s="35">
        <v>20</v>
      </c>
      <c r="O56" s="35">
        <f t="shared" si="1"/>
        <v>18</v>
      </c>
      <c r="P56" s="35">
        <v>14</v>
      </c>
      <c r="Q56" s="35">
        <v>11.25</v>
      </c>
      <c r="R56" s="35">
        <f t="shared" si="0"/>
        <v>12.625</v>
      </c>
      <c r="S56" s="35"/>
      <c r="T56" s="35"/>
      <c r="U56" s="35"/>
      <c r="V56" s="35" t="e">
        <f>AVERAGE(Tableau2[[#This Row],[1ère composition/10]:[3è composition]])</f>
        <v>#DIV/0!</v>
      </c>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f>COUNTIF(Tableau2[[#This Row],[Séance 1]:[Séance 38]],"A")</f>
        <v>0</v>
      </c>
      <c r="BJ56" s="35"/>
    </row>
    <row r="57" spans="1:62" hidden="1" x14ac:dyDescent="0.2">
      <c r="A57" s="1" t="s">
        <v>3</v>
      </c>
      <c r="B57" s="44" t="s">
        <v>218</v>
      </c>
      <c r="C57" s="44" t="s">
        <v>3859</v>
      </c>
      <c r="D57" s="44" t="s">
        <v>219</v>
      </c>
      <c r="E57" s="44" t="s">
        <v>120</v>
      </c>
      <c r="F57" s="44">
        <v>2021</v>
      </c>
      <c r="G57" s="44">
        <v>15</v>
      </c>
      <c r="H57" s="44">
        <v>5</v>
      </c>
      <c r="I57" s="44" t="str">
        <f>Tableau2[[#This Row],[Annee d''inscription au programme]]&amp;"-"&amp;Tableau2[[#This Row],[Code d''ecole]]&amp;"-"&amp;Tableau2[[#This Row],[Numero HM de la fille]]</f>
        <v>2021-15-5</v>
      </c>
      <c r="J57" s="45" t="s">
        <v>1315</v>
      </c>
      <c r="K57" s="44" t="s">
        <v>297</v>
      </c>
      <c r="L57" s="35" t="s">
        <v>298</v>
      </c>
      <c r="M57" s="35">
        <v>0</v>
      </c>
      <c r="N57" s="35">
        <v>0</v>
      </c>
      <c r="O57" s="35">
        <f t="shared" si="1"/>
        <v>0</v>
      </c>
      <c r="P57" s="35">
        <v>12</v>
      </c>
      <c r="Q57" s="35">
        <v>12.25</v>
      </c>
      <c r="R57" s="35">
        <f t="shared" si="0"/>
        <v>12.125</v>
      </c>
      <c r="S57" s="35"/>
      <c r="T57" s="35"/>
      <c r="U57" s="35"/>
      <c r="V57" s="35" t="e">
        <f>AVERAGE(Tableau2[[#This Row],[1ère composition/10]:[3è composition]])</f>
        <v>#DIV/0!</v>
      </c>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f>COUNTIF(Tableau2[[#This Row],[Séance 1]:[Séance 38]],"A")</f>
        <v>0</v>
      </c>
      <c r="BJ57" s="35"/>
    </row>
    <row r="58" spans="1:62" hidden="1" x14ac:dyDescent="0.2">
      <c r="A58" s="1" t="s">
        <v>3</v>
      </c>
      <c r="B58" s="44" t="s">
        <v>220</v>
      </c>
      <c r="C58" s="44" t="s">
        <v>3860</v>
      </c>
      <c r="D58" s="44" t="s">
        <v>221</v>
      </c>
      <c r="E58" s="44" t="s">
        <v>120</v>
      </c>
      <c r="F58" s="44">
        <v>2021</v>
      </c>
      <c r="G58" s="44">
        <v>15</v>
      </c>
      <c r="H58" s="44">
        <v>6</v>
      </c>
      <c r="I58" s="44" t="str">
        <f>Tableau2[[#This Row],[Annee d''inscription au programme]]&amp;"-"&amp;Tableau2[[#This Row],[Code d''ecole]]&amp;"-"&amp;Tableau2[[#This Row],[Numero HM de la fille]]</f>
        <v>2021-15-6</v>
      </c>
      <c r="J58" s="45" t="s">
        <v>1316</v>
      </c>
      <c r="K58" s="44" t="s">
        <v>297</v>
      </c>
      <c r="L58" s="35" t="s">
        <v>298</v>
      </c>
      <c r="M58" s="35">
        <v>7</v>
      </c>
      <c r="N58" s="35">
        <v>6</v>
      </c>
      <c r="O58" s="35">
        <f t="shared" si="1"/>
        <v>6.5</v>
      </c>
      <c r="P58" s="35">
        <v>19</v>
      </c>
      <c r="Q58" s="35">
        <v>17.5</v>
      </c>
      <c r="R58" s="35">
        <f t="shared" si="0"/>
        <v>18.25</v>
      </c>
      <c r="S58" s="35"/>
      <c r="T58" s="35"/>
      <c r="U58" s="35"/>
      <c r="V58" s="35" t="e">
        <f>AVERAGE(Tableau2[[#This Row],[1ère composition/10]:[3è composition]])</f>
        <v>#DIV/0!</v>
      </c>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f>COUNTIF(Tableau2[[#This Row],[Séance 1]:[Séance 38]],"A")</f>
        <v>0</v>
      </c>
      <c r="BJ58" s="35"/>
    </row>
    <row r="59" spans="1:62" hidden="1" x14ac:dyDescent="0.2">
      <c r="A59" s="1" t="s">
        <v>3</v>
      </c>
      <c r="B59" s="44" t="s">
        <v>222</v>
      </c>
      <c r="C59" s="44" t="s">
        <v>3859</v>
      </c>
      <c r="D59" s="44" t="s">
        <v>223</v>
      </c>
      <c r="E59" s="44" t="s">
        <v>120</v>
      </c>
      <c r="F59" s="44">
        <v>2021</v>
      </c>
      <c r="G59" s="44">
        <v>15</v>
      </c>
      <c r="H59" s="44">
        <v>7</v>
      </c>
      <c r="I59" s="44" t="str">
        <f>Tableau2[[#This Row],[Annee d''inscription au programme]]&amp;"-"&amp;Tableau2[[#This Row],[Code d''ecole]]&amp;"-"&amp;Tableau2[[#This Row],[Numero HM de la fille]]</f>
        <v>2021-15-7</v>
      </c>
      <c r="J59" s="45" t="s">
        <v>1317</v>
      </c>
      <c r="K59" s="44" t="s">
        <v>297</v>
      </c>
      <c r="L59" s="35" t="s">
        <v>298</v>
      </c>
      <c r="M59" s="35">
        <v>11</v>
      </c>
      <c r="N59" s="35">
        <v>14.25</v>
      </c>
      <c r="O59" s="35">
        <f t="shared" si="1"/>
        <v>12.625</v>
      </c>
      <c r="P59" s="35">
        <v>14</v>
      </c>
      <c r="Q59" s="35">
        <v>12.25</v>
      </c>
      <c r="R59" s="35">
        <f t="shared" si="0"/>
        <v>13.125</v>
      </c>
      <c r="S59" s="35"/>
      <c r="T59" s="35"/>
      <c r="U59" s="35"/>
      <c r="V59" s="35" t="e">
        <f>AVERAGE(Tableau2[[#This Row],[1ère composition/10]:[3è composition]])</f>
        <v>#DIV/0!</v>
      </c>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f>COUNTIF(Tableau2[[#This Row],[Séance 1]:[Séance 38]],"A")</f>
        <v>0</v>
      </c>
      <c r="BJ59" s="35"/>
    </row>
    <row r="60" spans="1:62" hidden="1" x14ac:dyDescent="0.2">
      <c r="A60" s="1" t="s">
        <v>3</v>
      </c>
      <c r="B60" s="44" t="s">
        <v>224</v>
      </c>
      <c r="C60" s="44" t="s">
        <v>3858</v>
      </c>
      <c r="D60" s="44" t="s">
        <v>225</v>
      </c>
      <c r="E60" s="44" t="s">
        <v>120</v>
      </c>
      <c r="F60" s="44">
        <v>2021</v>
      </c>
      <c r="G60" s="44">
        <v>15</v>
      </c>
      <c r="H60" s="44">
        <v>8</v>
      </c>
      <c r="I60" s="44" t="str">
        <f>Tableau2[[#This Row],[Annee d''inscription au programme]]&amp;"-"&amp;Tableau2[[#This Row],[Code d''ecole]]&amp;"-"&amp;Tableau2[[#This Row],[Numero HM de la fille]]</f>
        <v>2021-15-8</v>
      </c>
      <c r="J60" s="45" t="s">
        <v>1318</v>
      </c>
      <c r="K60" s="44" t="s">
        <v>297</v>
      </c>
      <c r="L60" s="35" t="s">
        <v>298</v>
      </c>
      <c r="M60" s="35">
        <v>10</v>
      </c>
      <c r="N60" s="35">
        <v>15.75</v>
      </c>
      <c r="O60" s="35">
        <f t="shared" si="1"/>
        <v>12.875</v>
      </c>
      <c r="P60" s="35">
        <v>15.5</v>
      </c>
      <c r="Q60" s="35">
        <v>19.5</v>
      </c>
      <c r="R60" s="35">
        <f t="shared" si="0"/>
        <v>17.5</v>
      </c>
      <c r="S60" s="35"/>
      <c r="T60" s="35"/>
      <c r="U60" s="35"/>
      <c r="V60" s="35" t="e">
        <f>AVERAGE(Tableau2[[#This Row],[1ère composition/10]:[3è composition]])</f>
        <v>#DIV/0!</v>
      </c>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f>COUNTIF(Tableau2[[#This Row],[Séance 1]:[Séance 38]],"A")</f>
        <v>0</v>
      </c>
      <c r="BJ60" s="35"/>
    </row>
    <row r="61" spans="1:62" hidden="1" x14ac:dyDescent="0.2">
      <c r="A61" s="1" t="s">
        <v>3</v>
      </c>
      <c r="B61" s="44" t="s">
        <v>226</v>
      </c>
      <c r="C61" s="44" t="s">
        <v>3858</v>
      </c>
      <c r="D61" s="44" t="s">
        <v>227</v>
      </c>
      <c r="E61" s="44" t="s">
        <v>120</v>
      </c>
      <c r="F61" s="44">
        <v>2021</v>
      </c>
      <c r="G61" s="44">
        <v>15</v>
      </c>
      <c r="H61" s="44">
        <v>9</v>
      </c>
      <c r="I61" s="44" t="str">
        <f>Tableau2[[#This Row],[Annee d''inscription au programme]]&amp;"-"&amp;Tableau2[[#This Row],[Code d''ecole]]&amp;"-"&amp;Tableau2[[#This Row],[Numero HM de la fille]]</f>
        <v>2021-15-9</v>
      </c>
      <c r="J61" s="45" t="s">
        <v>1319</v>
      </c>
      <c r="K61" s="44" t="s">
        <v>297</v>
      </c>
      <c r="L61" s="35" t="s">
        <v>298</v>
      </c>
      <c r="M61" s="35">
        <v>13.5</v>
      </c>
      <c r="N61" s="35">
        <v>12.25</v>
      </c>
      <c r="O61" s="35">
        <f t="shared" si="1"/>
        <v>12.875</v>
      </c>
      <c r="P61" s="35">
        <v>18</v>
      </c>
      <c r="Q61" s="35">
        <v>10</v>
      </c>
      <c r="R61" s="35">
        <f t="shared" si="0"/>
        <v>14</v>
      </c>
      <c r="S61" s="35"/>
      <c r="T61" s="35"/>
      <c r="U61" s="35"/>
      <c r="V61" s="35" t="e">
        <f>AVERAGE(Tableau2[[#This Row],[1ère composition/10]:[3è composition]])</f>
        <v>#DIV/0!</v>
      </c>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f>COUNTIF(Tableau2[[#This Row],[Séance 1]:[Séance 38]],"A")</f>
        <v>0</v>
      </c>
      <c r="BJ61" s="35"/>
    </row>
    <row r="62" spans="1:62" hidden="1" x14ac:dyDescent="0.2">
      <c r="A62" s="1" t="s">
        <v>3</v>
      </c>
      <c r="B62" s="44" t="s">
        <v>228</v>
      </c>
      <c r="C62" s="44" t="s">
        <v>3858</v>
      </c>
      <c r="D62" s="44" t="s">
        <v>223</v>
      </c>
      <c r="E62" s="44" t="s">
        <v>120</v>
      </c>
      <c r="F62" s="44">
        <v>2021</v>
      </c>
      <c r="G62" s="44">
        <v>15</v>
      </c>
      <c r="H62" s="44">
        <v>10</v>
      </c>
      <c r="I62" s="44" t="str">
        <f>Tableau2[[#This Row],[Annee d''inscription au programme]]&amp;"-"&amp;Tableau2[[#This Row],[Code d''ecole]]&amp;"-"&amp;Tableau2[[#This Row],[Numero HM de la fille]]</f>
        <v>2021-15-10</v>
      </c>
      <c r="J62" s="45" t="s">
        <v>1320</v>
      </c>
      <c r="K62" s="44" t="s">
        <v>297</v>
      </c>
      <c r="L62" s="35" t="s">
        <v>298</v>
      </c>
      <c r="M62" s="35">
        <v>0</v>
      </c>
      <c r="N62" s="35">
        <v>0</v>
      </c>
      <c r="O62" s="35">
        <f t="shared" si="1"/>
        <v>0</v>
      </c>
      <c r="P62" s="35">
        <v>18</v>
      </c>
      <c r="Q62" s="35">
        <v>19.5</v>
      </c>
      <c r="R62" s="35">
        <f t="shared" si="0"/>
        <v>18.75</v>
      </c>
      <c r="S62" s="35"/>
      <c r="T62" s="35"/>
      <c r="U62" s="35"/>
      <c r="V62" s="35" t="e">
        <f>AVERAGE(Tableau2[[#This Row],[1ère composition/10]:[3è composition]])</f>
        <v>#DIV/0!</v>
      </c>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f>COUNTIF(Tableau2[[#This Row],[Séance 1]:[Séance 38]],"A")</f>
        <v>0</v>
      </c>
      <c r="BJ62" s="35"/>
    </row>
    <row r="63" spans="1:62" hidden="1" x14ac:dyDescent="0.2">
      <c r="A63" s="1" t="s">
        <v>3</v>
      </c>
      <c r="B63" s="44" t="s">
        <v>229</v>
      </c>
      <c r="C63" s="44" t="s">
        <v>3858</v>
      </c>
      <c r="D63" s="44" t="s">
        <v>221</v>
      </c>
      <c r="E63" s="44" t="s">
        <v>120</v>
      </c>
      <c r="F63" s="44">
        <v>2021</v>
      </c>
      <c r="G63" s="44">
        <v>15</v>
      </c>
      <c r="H63" s="44">
        <v>11</v>
      </c>
      <c r="I63" s="44" t="str">
        <f>Tableau2[[#This Row],[Annee d''inscription au programme]]&amp;"-"&amp;Tableau2[[#This Row],[Code d''ecole]]&amp;"-"&amp;Tableau2[[#This Row],[Numero HM de la fille]]</f>
        <v>2021-15-11</v>
      </c>
      <c r="J63" s="45" t="s">
        <v>1321</v>
      </c>
      <c r="K63" s="44" t="s">
        <v>297</v>
      </c>
      <c r="L63" s="35" t="s">
        <v>298</v>
      </c>
      <c r="M63" s="35">
        <v>15.5</v>
      </c>
      <c r="N63" s="35">
        <v>17.75</v>
      </c>
      <c r="O63" s="35">
        <f t="shared" si="1"/>
        <v>16.625</v>
      </c>
      <c r="P63" s="35">
        <v>12</v>
      </c>
      <c r="Q63" s="35">
        <v>19</v>
      </c>
      <c r="R63" s="35">
        <f t="shared" si="0"/>
        <v>15.5</v>
      </c>
      <c r="S63" s="35"/>
      <c r="T63" s="35"/>
      <c r="U63" s="35"/>
      <c r="V63" s="35" t="e">
        <f>AVERAGE(Tableau2[[#This Row],[1ère composition/10]:[3è composition]])</f>
        <v>#DIV/0!</v>
      </c>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f>COUNTIF(Tableau2[[#This Row],[Séance 1]:[Séance 38]],"A")</f>
        <v>0</v>
      </c>
      <c r="BJ63" s="35"/>
    </row>
    <row r="64" spans="1:62" hidden="1" x14ac:dyDescent="0.2">
      <c r="A64" s="1" t="s">
        <v>3</v>
      </c>
      <c r="B64" s="47" t="s">
        <v>230</v>
      </c>
      <c r="C64" s="44" t="s">
        <v>3861</v>
      </c>
      <c r="D64" s="44" t="s">
        <v>231</v>
      </c>
      <c r="E64" s="44" t="s">
        <v>120</v>
      </c>
      <c r="F64" s="44">
        <v>2020</v>
      </c>
      <c r="G64" s="44">
        <v>15</v>
      </c>
      <c r="H64" s="44">
        <v>111</v>
      </c>
      <c r="I64" s="44" t="str">
        <f>Tableau2[[#This Row],[Annee d''inscription au programme]]&amp;"-"&amp;Tableau2[[#This Row],[Code d''ecole]]&amp;"-"&amp;Tableau2[[#This Row],[Numero HM de la fille]]</f>
        <v>2020-15-111</v>
      </c>
      <c r="J64" s="45" t="s">
        <v>1322</v>
      </c>
      <c r="K64" s="44" t="s">
        <v>374</v>
      </c>
      <c r="L64" s="35" t="s">
        <v>620</v>
      </c>
      <c r="M64" s="35">
        <v>0</v>
      </c>
      <c r="N64" s="35">
        <v>0</v>
      </c>
      <c r="O64" s="35">
        <f t="shared" si="1"/>
        <v>0</v>
      </c>
      <c r="P64" s="35">
        <v>14</v>
      </c>
      <c r="Q64" s="35">
        <v>12.5</v>
      </c>
      <c r="R64" s="35">
        <f t="shared" si="0"/>
        <v>13.25</v>
      </c>
      <c r="S64" s="35"/>
      <c r="T64" s="35"/>
      <c r="U64" s="35"/>
      <c r="V64" s="35" t="e">
        <f>AVERAGE(Tableau2[[#This Row],[1ère composition/10]:[3è composition]])</f>
        <v>#DIV/0!</v>
      </c>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f>COUNTIF(Tableau2[[#This Row],[Séance 1]:[Séance 38]],"A")</f>
        <v>0</v>
      </c>
      <c r="BJ64" s="35"/>
    </row>
    <row r="65" spans="1:62" hidden="1" x14ac:dyDescent="0.2">
      <c r="A65" s="1" t="s">
        <v>3</v>
      </c>
      <c r="B65" s="44" t="s">
        <v>232</v>
      </c>
      <c r="C65" s="44" t="s">
        <v>3858</v>
      </c>
      <c r="D65" s="44" t="s">
        <v>221</v>
      </c>
      <c r="E65" s="44" t="s">
        <v>120</v>
      </c>
      <c r="F65" s="44">
        <v>2021</v>
      </c>
      <c r="G65" s="44">
        <v>15</v>
      </c>
      <c r="H65" s="44">
        <v>12</v>
      </c>
      <c r="I65" s="44" t="str">
        <f>Tableau2[[#This Row],[Annee d''inscription au programme]]&amp;"-"&amp;Tableau2[[#This Row],[Code d''ecole]]&amp;"-"&amp;Tableau2[[#This Row],[Numero HM de la fille]]</f>
        <v>2021-15-12</v>
      </c>
      <c r="J65" s="45" t="s">
        <v>1323</v>
      </c>
      <c r="K65" s="44" t="s">
        <v>297</v>
      </c>
      <c r="L65" s="35" t="s">
        <v>298</v>
      </c>
      <c r="M65" s="35">
        <v>5</v>
      </c>
      <c r="N65" s="35">
        <v>11</v>
      </c>
      <c r="O65" s="35">
        <f t="shared" si="1"/>
        <v>8</v>
      </c>
      <c r="P65" s="35"/>
      <c r="Q65" s="35"/>
      <c r="R65" s="35">
        <f t="shared" si="0"/>
        <v>0</v>
      </c>
      <c r="S65" s="35"/>
      <c r="T65" s="35"/>
      <c r="U65" s="35"/>
      <c r="V65" s="35" t="e">
        <f>AVERAGE(Tableau2[[#This Row],[1ère composition/10]:[3è composition]])</f>
        <v>#DIV/0!</v>
      </c>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f>COUNTIF(Tableau2[[#This Row],[Séance 1]:[Séance 38]],"A")</f>
        <v>0</v>
      </c>
      <c r="BJ65" s="35"/>
    </row>
    <row r="66" spans="1:62" hidden="1" x14ac:dyDescent="0.2">
      <c r="A66" s="1" t="s">
        <v>3</v>
      </c>
      <c r="B66" s="44" t="s">
        <v>233</v>
      </c>
      <c r="C66" s="44" t="s">
        <v>3860</v>
      </c>
      <c r="D66" s="44" t="s">
        <v>213</v>
      </c>
      <c r="E66" s="44" t="s">
        <v>120</v>
      </c>
      <c r="F66" s="44">
        <v>2021</v>
      </c>
      <c r="G66" s="44">
        <v>15</v>
      </c>
      <c r="H66" s="44">
        <v>13</v>
      </c>
      <c r="I66" s="44" t="str">
        <f>Tableau2[[#This Row],[Annee d''inscription au programme]]&amp;"-"&amp;Tableau2[[#This Row],[Code d''ecole]]&amp;"-"&amp;Tableau2[[#This Row],[Numero HM de la fille]]</f>
        <v>2021-15-13</v>
      </c>
      <c r="J66" s="45" t="s">
        <v>1324</v>
      </c>
      <c r="K66" s="44" t="s">
        <v>297</v>
      </c>
      <c r="L66" s="35" t="s">
        <v>298</v>
      </c>
      <c r="M66" s="35">
        <v>0</v>
      </c>
      <c r="N66" s="35">
        <v>0</v>
      </c>
      <c r="O66" s="35">
        <f t="shared" si="1"/>
        <v>0</v>
      </c>
      <c r="P66" s="35">
        <v>20</v>
      </c>
      <c r="Q66" s="35">
        <v>20</v>
      </c>
      <c r="R66" s="35">
        <f t="shared" si="0"/>
        <v>20</v>
      </c>
      <c r="S66" s="35"/>
      <c r="T66" s="35"/>
      <c r="U66" s="35"/>
      <c r="V66" s="35" t="e">
        <f>AVERAGE(Tableau2[[#This Row],[1ère composition/10]:[3è composition]])</f>
        <v>#DIV/0!</v>
      </c>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f>COUNTIF(Tableau2[[#This Row],[Séance 1]:[Séance 38]],"A")</f>
        <v>0</v>
      </c>
      <c r="BJ66" s="35"/>
    </row>
    <row r="67" spans="1:62" hidden="1" x14ac:dyDescent="0.2">
      <c r="A67" s="1" t="s">
        <v>3</v>
      </c>
      <c r="B67" s="44" t="s">
        <v>234</v>
      </c>
      <c r="C67" s="44" t="s">
        <v>3858</v>
      </c>
      <c r="D67" s="44" t="s">
        <v>235</v>
      </c>
      <c r="E67" s="44" t="s">
        <v>120</v>
      </c>
      <c r="F67" s="44">
        <v>2021</v>
      </c>
      <c r="G67" s="44">
        <v>15</v>
      </c>
      <c r="H67" s="44">
        <v>14</v>
      </c>
      <c r="I67" s="44" t="str">
        <f>Tableau2[[#This Row],[Annee d''inscription au programme]]&amp;"-"&amp;Tableau2[[#This Row],[Code d''ecole]]&amp;"-"&amp;Tableau2[[#This Row],[Numero HM de la fille]]</f>
        <v>2021-15-14</v>
      </c>
      <c r="J67" s="45" t="s">
        <v>1325</v>
      </c>
      <c r="K67" s="44" t="s">
        <v>297</v>
      </c>
      <c r="L67" s="35" t="s">
        <v>298</v>
      </c>
      <c r="M67" s="35">
        <v>10.75</v>
      </c>
      <c r="N67" s="35">
        <v>8.5</v>
      </c>
      <c r="O67" s="35">
        <f t="shared" si="1"/>
        <v>9.625</v>
      </c>
      <c r="P67" s="35">
        <v>20</v>
      </c>
      <c r="Q67" s="35">
        <v>17.75</v>
      </c>
      <c r="R67" s="35">
        <f t="shared" si="0"/>
        <v>18.875</v>
      </c>
      <c r="S67" s="35"/>
      <c r="T67" s="35"/>
      <c r="U67" s="35"/>
      <c r="V67" s="35" t="e">
        <f>AVERAGE(Tableau2[[#This Row],[1ère composition/10]:[3è composition]])</f>
        <v>#DIV/0!</v>
      </c>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f>COUNTIF(Tableau2[[#This Row],[Séance 1]:[Séance 38]],"A")</f>
        <v>0</v>
      </c>
      <c r="BJ67" s="35"/>
    </row>
    <row r="68" spans="1:62" hidden="1" x14ac:dyDescent="0.2">
      <c r="A68" s="1" t="s">
        <v>3</v>
      </c>
      <c r="B68" s="44" t="s">
        <v>236</v>
      </c>
      <c r="C68" s="44" t="s">
        <v>3858</v>
      </c>
      <c r="D68" s="44" t="s">
        <v>237</v>
      </c>
      <c r="E68" s="44" t="s">
        <v>120</v>
      </c>
      <c r="F68" s="44">
        <v>2021</v>
      </c>
      <c r="G68" s="44">
        <v>15</v>
      </c>
      <c r="H68" s="44">
        <v>15</v>
      </c>
      <c r="I68" s="44" t="str">
        <f>Tableau2[[#This Row],[Annee d''inscription au programme]]&amp;"-"&amp;Tableau2[[#This Row],[Code d''ecole]]&amp;"-"&amp;Tableau2[[#This Row],[Numero HM de la fille]]</f>
        <v>2021-15-15</v>
      </c>
      <c r="J68" s="45" t="s">
        <v>1326</v>
      </c>
      <c r="K68" s="44" t="s">
        <v>297</v>
      </c>
      <c r="L68" s="35" t="s">
        <v>298</v>
      </c>
      <c r="M68" s="35">
        <v>15.5</v>
      </c>
      <c r="N68" s="35">
        <v>18.5</v>
      </c>
      <c r="O68" s="35">
        <f t="shared" si="1"/>
        <v>17</v>
      </c>
      <c r="P68" s="35">
        <v>10.5</v>
      </c>
      <c r="Q68" s="35">
        <v>12.75</v>
      </c>
      <c r="R68" s="35">
        <f t="shared" si="0"/>
        <v>11.625</v>
      </c>
      <c r="S68" s="35"/>
      <c r="T68" s="35"/>
      <c r="U68" s="35"/>
      <c r="V68" s="35" t="e">
        <f>AVERAGE(Tableau2[[#This Row],[1ère composition/10]:[3è composition]])</f>
        <v>#DIV/0!</v>
      </c>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f>COUNTIF(Tableau2[[#This Row],[Séance 1]:[Séance 38]],"A")</f>
        <v>0</v>
      </c>
      <c r="BJ68" s="35"/>
    </row>
    <row r="69" spans="1:62" hidden="1" x14ac:dyDescent="0.2">
      <c r="A69" s="1" t="s">
        <v>3</v>
      </c>
      <c r="B69" s="44" t="s">
        <v>238</v>
      </c>
      <c r="C69" s="44" t="s">
        <v>3858</v>
      </c>
      <c r="D69" s="44" t="s">
        <v>239</v>
      </c>
      <c r="E69" s="44" t="s">
        <v>120</v>
      </c>
      <c r="F69" s="44">
        <v>2019</v>
      </c>
      <c r="G69" s="44">
        <v>15</v>
      </c>
      <c r="H69" s="44">
        <v>232</v>
      </c>
      <c r="I69" s="44" t="str">
        <f>Tableau2[[#This Row],[Annee d''inscription au programme]]&amp;"-"&amp;Tableau2[[#This Row],[Code d''ecole]]&amp;"-"&amp;Tableau2[[#This Row],[Numero HM de la fille]]</f>
        <v>2019-15-232</v>
      </c>
      <c r="J69" s="45" t="s">
        <v>1327</v>
      </c>
      <c r="K69" s="44" t="s">
        <v>374</v>
      </c>
      <c r="L69" s="35" t="s">
        <v>620</v>
      </c>
      <c r="M69" s="35">
        <v>0</v>
      </c>
      <c r="N69" s="35">
        <v>0</v>
      </c>
      <c r="O69" s="35">
        <f t="shared" ref="O69:O132" si="2">AVERAGE(M69+N69)/2</f>
        <v>0</v>
      </c>
      <c r="P69" s="35">
        <v>20</v>
      </c>
      <c r="Q69" s="35">
        <v>20</v>
      </c>
      <c r="R69" s="35">
        <f t="shared" ref="R69:R132" si="3">AVERAGE(P69+Q69)/2</f>
        <v>20</v>
      </c>
      <c r="S69" s="35"/>
      <c r="T69" s="35"/>
      <c r="U69" s="35"/>
      <c r="V69" s="35" t="e">
        <f>AVERAGE(Tableau2[[#This Row],[1ère composition/10]:[3è composition]])</f>
        <v>#DIV/0!</v>
      </c>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f>COUNTIF(Tableau2[[#This Row],[Séance 1]:[Séance 38]],"A")</f>
        <v>0</v>
      </c>
      <c r="BJ69" s="35"/>
    </row>
    <row r="70" spans="1:62" hidden="1" x14ac:dyDescent="0.2">
      <c r="A70" s="1" t="s">
        <v>3</v>
      </c>
      <c r="B70" s="44" t="s">
        <v>240</v>
      </c>
      <c r="C70" s="44" t="s">
        <v>3858</v>
      </c>
      <c r="D70" s="44" t="s">
        <v>217</v>
      </c>
      <c r="E70" s="44" t="s">
        <v>120</v>
      </c>
      <c r="F70" s="44">
        <v>2021</v>
      </c>
      <c r="G70" s="44">
        <v>15</v>
      </c>
      <c r="H70" s="44">
        <v>16</v>
      </c>
      <c r="I70" s="44" t="str">
        <f>Tableau2[[#This Row],[Annee d''inscription au programme]]&amp;"-"&amp;Tableau2[[#This Row],[Code d''ecole]]&amp;"-"&amp;Tableau2[[#This Row],[Numero HM de la fille]]</f>
        <v>2021-15-16</v>
      </c>
      <c r="J70" s="45" t="s">
        <v>1328</v>
      </c>
      <c r="K70" s="44" t="s">
        <v>297</v>
      </c>
      <c r="L70" s="35" t="s">
        <v>298</v>
      </c>
      <c r="M70" s="35">
        <v>13.5</v>
      </c>
      <c r="N70" s="35">
        <v>17.5</v>
      </c>
      <c r="O70" s="35">
        <f t="shared" si="2"/>
        <v>15.5</v>
      </c>
      <c r="P70" s="35">
        <v>17.5</v>
      </c>
      <c r="Q70" s="35">
        <v>12</v>
      </c>
      <c r="R70" s="35">
        <f t="shared" si="3"/>
        <v>14.75</v>
      </c>
      <c r="S70" s="35"/>
      <c r="T70" s="35"/>
      <c r="U70" s="35"/>
      <c r="V70" s="35" t="e">
        <f>AVERAGE(Tableau2[[#This Row],[1ère composition/10]:[3è composition]])</f>
        <v>#DIV/0!</v>
      </c>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f>COUNTIF(Tableau2[[#This Row],[Séance 1]:[Séance 38]],"A")</f>
        <v>0</v>
      </c>
      <c r="BJ70" s="35"/>
    </row>
    <row r="71" spans="1:62" hidden="1" x14ac:dyDescent="0.2">
      <c r="A71" s="1" t="s">
        <v>3</v>
      </c>
      <c r="B71" s="44" t="s">
        <v>241</v>
      </c>
      <c r="C71" s="44" t="s">
        <v>3858</v>
      </c>
      <c r="D71" s="44" t="s">
        <v>242</v>
      </c>
      <c r="E71" s="44" t="s">
        <v>120</v>
      </c>
      <c r="F71" s="44">
        <v>2021</v>
      </c>
      <c r="G71" s="44">
        <v>15</v>
      </c>
      <c r="H71" s="44">
        <v>17</v>
      </c>
      <c r="I71" s="44" t="str">
        <f>Tableau2[[#This Row],[Annee d''inscription au programme]]&amp;"-"&amp;Tableau2[[#This Row],[Code d''ecole]]&amp;"-"&amp;Tableau2[[#This Row],[Numero HM de la fille]]</f>
        <v>2021-15-17</v>
      </c>
      <c r="J71" s="45" t="s">
        <v>1329</v>
      </c>
      <c r="K71" s="44" t="s">
        <v>297</v>
      </c>
      <c r="L71" s="35" t="s">
        <v>298</v>
      </c>
      <c r="M71" s="35">
        <v>16.5</v>
      </c>
      <c r="N71" s="35">
        <v>18</v>
      </c>
      <c r="O71" s="35">
        <f t="shared" si="2"/>
        <v>17.25</v>
      </c>
      <c r="P71" s="35">
        <v>19</v>
      </c>
      <c r="Q71" s="35">
        <v>20</v>
      </c>
      <c r="R71" s="35">
        <f t="shared" si="3"/>
        <v>19.5</v>
      </c>
      <c r="S71" s="35"/>
      <c r="T71" s="35"/>
      <c r="U71" s="35"/>
      <c r="V71" s="35" t="e">
        <f>AVERAGE(Tableau2[[#This Row],[1ère composition/10]:[3è composition]])</f>
        <v>#DIV/0!</v>
      </c>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f>COUNTIF(Tableau2[[#This Row],[Séance 1]:[Séance 38]],"A")</f>
        <v>0</v>
      </c>
      <c r="BJ71" s="35"/>
    </row>
    <row r="72" spans="1:62" hidden="1" x14ac:dyDescent="0.2">
      <c r="A72" s="1" t="s">
        <v>3</v>
      </c>
      <c r="B72" s="44" t="s">
        <v>243</v>
      </c>
      <c r="C72" s="44" t="s">
        <v>3860</v>
      </c>
      <c r="D72" s="44" t="s">
        <v>239</v>
      </c>
      <c r="E72" s="44" t="s">
        <v>120</v>
      </c>
      <c r="F72" s="44">
        <v>2021</v>
      </c>
      <c r="G72" s="44">
        <v>15</v>
      </c>
      <c r="H72" s="44">
        <v>18</v>
      </c>
      <c r="I72" s="44" t="str">
        <f>Tableau2[[#This Row],[Annee d''inscription au programme]]&amp;"-"&amp;Tableau2[[#This Row],[Code d''ecole]]&amp;"-"&amp;Tableau2[[#This Row],[Numero HM de la fille]]</f>
        <v>2021-15-18</v>
      </c>
      <c r="J72" s="45" t="s">
        <v>1330</v>
      </c>
      <c r="K72" s="44" t="s">
        <v>297</v>
      </c>
      <c r="L72" s="35" t="s">
        <v>298</v>
      </c>
      <c r="M72" s="35">
        <v>13.5</v>
      </c>
      <c r="N72" s="35">
        <v>13.5</v>
      </c>
      <c r="O72" s="35">
        <f t="shared" si="2"/>
        <v>13.5</v>
      </c>
      <c r="P72" s="35">
        <v>20</v>
      </c>
      <c r="Q72" s="35">
        <v>15</v>
      </c>
      <c r="R72" s="35">
        <f t="shared" si="3"/>
        <v>17.5</v>
      </c>
      <c r="S72" s="35"/>
      <c r="T72" s="35"/>
      <c r="U72" s="35"/>
      <c r="V72" s="35" t="e">
        <f>AVERAGE(Tableau2[[#This Row],[1ère composition/10]:[3è composition]])</f>
        <v>#DIV/0!</v>
      </c>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f>COUNTIF(Tableau2[[#This Row],[Séance 1]:[Séance 38]],"A")</f>
        <v>0</v>
      </c>
      <c r="BJ72" s="35"/>
    </row>
    <row r="73" spans="1:62" hidden="1" x14ac:dyDescent="0.2">
      <c r="A73" s="1" t="s">
        <v>3</v>
      </c>
      <c r="B73" s="44" t="s">
        <v>245</v>
      </c>
      <c r="C73" s="44" t="s">
        <v>3859</v>
      </c>
      <c r="D73" s="44" t="s">
        <v>246</v>
      </c>
      <c r="E73" s="44" t="s">
        <v>120</v>
      </c>
      <c r="F73" s="44">
        <v>2021</v>
      </c>
      <c r="G73" s="44">
        <v>15</v>
      </c>
      <c r="H73" s="44">
        <v>19</v>
      </c>
      <c r="I73" s="44" t="str">
        <f>Tableau2[[#This Row],[Annee d''inscription au programme]]&amp;"-"&amp;Tableau2[[#This Row],[Code d''ecole]]&amp;"-"&amp;Tableau2[[#This Row],[Numero HM de la fille]]</f>
        <v>2021-15-19</v>
      </c>
      <c r="J73" s="45" t="s">
        <v>1331</v>
      </c>
      <c r="K73" s="44" t="s">
        <v>297</v>
      </c>
      <c r="L73" s="35" t="s">
        <v>298</v>
      </c>
      <c r="M73" s="35">
        <v>16</v>
      </c>
      <c r="N73" s="35">
        <v>14.5</v>
      </c>
      <c r="O73" s="35">
        <f t="shared" si="2"/>
        <v>15.25</v>
      </c>
      <c r="P73" s="35">
        <v>11</v>
      </c>
      <c r="Q73" s="35">
        <v>12.5</v>
      </c>
      <c r="R73" s="35">
        <f t="shared" si="3"/>
        <v>11.75</v>
      </c>
      <c r="S73" s="35"/>
      <c r="T73" s="35"/>
      <c r="U73" s="35"/>
      <c r="V73" s="35" t="e">
        <f>AVERAGE(Tableau2[[#This Row],[1ère composition/10]:[3è composition]])</f>
        <v>#DIV/0!</v>
      </c>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f>COUNTIF(Tableau2[[#This Row],[Séance 1]:[Séance 38]],"A")</f>
        <v>0</v>
      </c>
      <c r="BJ73" s="35"/>
    </row>
    <row r="74" spans="1:62" hidden="1" x14ac:dyDescent="0.2">
      <c r="A74" s="1" t="s">
        <v>3</v>
      </c>
      <c r="B74" s="44" t="s">
        <v>247</v>
      </c>
      <c r="C74" s="44" t="s">
        <v>3858</v>
      </c>
      <c r="D74" s="44" t="s">
        <v>248</v>
      </c>
      <c r="E74" s="44" t="s">
        <v>120</v>
      </c>
      <c r="F74" s="44">
        <v>2021</v>
      </c>
      <c r="G74" s="44">
        <v>15</v>
      </c>
      <c r="H74" s="44">
        <v>20</v>
      </c>
      <c r="I74" s="44" t="str">
        <f>Tableau2[[#This Row],[Annee d''inscription au programme]]&amp;"-"&amp;Tableau2[[#This Row],[Code d''ecole]]&amp;"-"&amp;Tableau2[[#This Row],[Numero HM de la fille]]</f>
        <v>2021-15-20</v>
      </c>
      <c r="J74" s="45" t="s">
        <v>1332</v>
      </c>
      <c r="K74" s="44" t="s">
        <v>297</v>
      </c>
      <c r="L74" s="35" t="s">
        <v>298</v>
      </c>
      <c r="M74" s="35">
        <v>0</v>
      </c>
      <c r="N74" s="35">
        <v>0</v>
      </c>
      <c r="O74" s="35">
        <f t="shared" si="2"/>
        <v>0</v>
      </c>
      <c r="P74" s="35">
        <v>17</v>
      </c>
      <c r="Q74" s="35">
        <v>14.5</v>
      </c>
      <c r="R74" s="35">
        <f t="shared" si="3"/>
        <v>15.75</v>
      </c>
      <c r="S74" s="35"/>
      <c r="T74" s="35"/>
      <c r="U74" s="35"/>
      <c r="V74" s="35" t="e">
        <f>AVERAGE(Tableau2[[#This Row],[1ère composition/10]:[3è composition]])</f>
        <v>#DIV/0!</v>
      </c>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f>COUNTIF(Tableau2[[#This Row],[Séance 1]:[Séance 38]],"A")</f>
        <v>0</v>
      </c>
      <c r="BJ74" s="35"/>
    </row>
    <row r="75" spans="1:62" hidden="1" x14ac:dyDescent="0.2">
      <c r="A75" s="1" t="s">
        <v>3</v>
      </c>
      <c r="B75" s="44" t="s">
        <v>249</v>
      </c>
      <c r="C75" s="44" t="s">
        <v>3862</v>
      </c>
      <c r="D75" s="44" t="s">
        <v>250</v>
      </c>
      <c r="E75" s="44" t="s">
        <v>120</v>
      </c>
      <c r="F75" s="44">
        <v>2021</v>
      </c>
      <c r="G75" s="44">
        <v>15</v>
      </c>
      <c r="H75" s="44">
        <v>21</v>
      </c>
      <c r="I75" s="44" t="str">
        <f>Tableau2[[#This Row],[Annee d''inscription au programme]]&amp;"-"&amp;Tableau2[[#This Row],[Code d''ecole]]&amp;"-"&amp;Tableau2[[#This Row],[Numero HM de la fille]]</f>
        <v>2021-15-21</v>
      </c>
      <c r="J75" s="45" t="s">
        <v>1333</v>
      </c>
      <c r="K75" s="44" t="s">
        <v>297</v>
      </c>
      <c r="L75" s="35" t="s">
        <v>298</v>
      </c>
      <c r="M75" s="35">
        <v>10.5</v>
      </c>
      <c r="N75" s="35">
        <v>17</v>
      </c>
      <c r="O75" s="35">
        <f t="shared" si="2"/>
        <v>13.75</v>
      </c>
      <c r="P75" s="35">
        <v>17</v>
      </c>
      <c r="Q75" s="35">
        <v>17</v>
      </c>
      <c r="R75" s="35">
        <f t="shared" si="3"/>
        <v>17</v>
      </c>
      <c r="S75" s="35"/>
      <c r="T75" s="35"/>
      <c r="U75" s="35"/>
      <c r="V75" s="35" t="e">
        <f>AVERAGE(Tableau2[[#This Row],[1ère composition/10]:[3è composition]])</f>
        <v>#DIV/0!</v>
      </c>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f>COUNTIF(Tableau2[[#This Row],[Séance 1]:[Séance 38]],"A")</f>
        <v>0</v>
      </c>
      <c r="BJ75" s="35"/>
    </row>
    <row r="76" spans="1:62" hidden="1" x14ac:dyDescent="0.2">
      <c r="A76" s="1" t="s">
        <v>3</v>
      </c>
      <c r="B76" s="44" t="s">
        <v>251</v>
      </c>
      <c r="C76" s="44" t="s">
        <v>3862</v>
      </c>
      <c r="D76" s="44" t="s">
        <v>252</v>
      </c>
      <c r="E76" s="44" t="s">
        <v>120</v>
      </c>
      <c r="F76" s="44">
        <v>2021</v>
      </c>
      <c r="G76" s="44">
        <v>15</v>
      </c>
      <c r="H76" s="44">
        <v>22</v>
      </c>
      <c r="I76" s="44" t="str">
        <f>Tableau2[[#This Row],[Annee d''inscription au programme]]&amp;"-"&amp;Tableau2[[#This Row],[Code d''ecole]]&amp;"-"&amp;Tableau2[[#This Row],[Numero HM de la fille]]</f>
        <v>2021-15-22</v>
      </c>
      <c r="J76" s="45" t="s">
        <v>1334</v>
      </c>
      <c r="K76" s="44" t="s">
        <v>297</v>
      </c>
      <c r="L76" s="35" t="s">
        <v>298</v>
      </c>
      <c r="M76" s="35">
        <v>0</v>
      </c>
      <c r="N76" s="35">
        <v>0</v>
      </c>
      <c r="O76" s="35">
        <f t="shared" si="2"/>
        <v>0</v>
      </c>
      <c r="P76" s="35">
        <v>20</v>
      </c>
      <c r="Q76" s="35">
        <v>20</v>
      </c>
      <c r="R76" s="35">
        <f t="shared" si="3"/>
        <v>20</v>
      </c>
      <c r="S76" s="35"/>
      <c r="T76" s="35"/>
      <c r="U76" s="46"/>
      <c r="V76" s="35" t="e">
        <f>AVERAGE(Tableau2[[#This Row],[1ère composition/10]:[3è composition]])</f>
        <v>#DIV/0!</v>
      </c>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f>COUNTIF(Tableau2[[#This Row],[Séance 1]:[Séance 38]],"A")</f>
        <v>0</v>
      </c>
      <c r="BJ76" s="35"/>
    </row>
    <row r="77" spans="1:62" hidden="1" x14ac:dyDescent="0.2">
      <c r="A77" s="1" t="s">
        <v>3</v>
      </c>
      <c r="B77" s="44" t="s">
        <v>253</v>
      </c>
      <c r="C77" s="44" t="s">
        <v>3863</v>
      </c>
      <c r="D77" s="44" t="s">
        <v>254</v>
      </c>
      <c r="E77" s="44" t="s">
        <v>120</v>
      </c>
      <c r="F77" s="44">
        <v>2020</v>
      </c>
      <c r="G77" s="44">
        <v>15</v>
      </c>
      <c r="H77" s="44">
        <v>118</v>
      </c>
      <c r="I77" s="44" t="str">
        <f>Tableau2[[#This Row],[Annee d''inscription au programme]]&amp;"-"&amp;Tableau2[[#This Row],[Code d''ecole]]&amp;"-"&amp;Tableau2[[#This Row],[Numero HM de la fille]]</f>
        <v>2020-15-118</v>
      </c>
      <c r="J77" s="45" t="s">
        <v>1335</v>
      </c>
      <c r="K77" s="44" t="s">
        <v>374</v>
      </c>
      <c r="L77" s="35" t="s">
        <v>620</v>
      </c>
      <c r="M77" s="35">
        <v>0</v>
      </c>
      <c r="N77" s="35">
        <v>0</v>
      </c>
      <c r="O77" s="35">
        <f t="shared" si="2"/>
        <v>0</v>
      </c>
      <c r="P77" s="35">
        <v>18</v>
      </c>
      <c r="Q77" s="35">
        <v>18.5</v>
      </c>
      <c r="R77" s="35">
        <f t="shared" si="3"/>
        <v>18.25</v>
      </c>
      <c r="S77" s="35"/>
      <c r="T77" s="35"/>
      <c r="U77" s="46"/>
      <c r="V77" s="35" t="e">
        <f>AVERAGE(Tableau2[[#This Row],[1ère composition/10]:[3è composition]])</f>
        <v>#DIV/0!</v>
      </c>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f>COUNTIF(Tableau2[[#This Row],[Séance 1]:[Séance 38]],"A")</f>
        <v>0</v>
      </c>
      <c r="BJ77" s="35"/>
    </row>
    <row r="78" spans="1:62" hidden="1" x14ac:dyDescent="0.2">
      <c r="A78" s="1" t="s">
        <v>3</v>
      </c>
      <c r="B78" s="44" t="s">
        <v>255</v>
      </c>
      <c r="C78" s="44" t="s">
        <v>3861</v>
      </c>
      <c r="D78" s="44" t="s">
        <v>256</v>
      </c>
      <c r="E78" s="44" t="s">
        <v>120</v>
      </c>
      <c r="F78" s="44">
        <v>2020</v>
      </c>
      <c r="G78" s="44">
        <v>15</v>
      </c>
      <c r="H78" s="44">
        <v>121</v>
      </c>
      <c r="I78" s="44" t="str">
        <f>Tableau2[[#This Row],[Annee d''inscription au programme]]&amp;"-"&amp;Tableau2[[#This Row],[Code d''ecole]]&amp;"-"&amp;Tableau2[[#This Row],[Numero HM de la fille]]</f>
        <v>2020-15-121</v>
      </c>
      <c r="J78" s="45" t="s">
        <v>1336</v>
      </c>
      <c r="K78" s="44" t="s">
        <v>374</v>
      </c>
      <c r="L78" s="35" t="s">
        <v>620</v>
      </c>
      <c r="M78" s="35">
        <v>0</v>
      </c>
      <c r="N78" s="35">
        <v>0</v>
      </c>
      <c r="O78" s="35">
        <f t="shared" si="2"/>
        <v>0</v>
      </c>
      <c r="P78" s="35">
        <v>17.5</v>
      </c>
      <c r="Q78" s="35">
        <v>20</v>
      </c>
      <c r="R78" s="35">
        <f t="shared" si="3"/>
        <v>18.75</v>
      </c>
      <c r="S78" s="35"/>
      <c r="T78" s="35"/>
      <c r="U78" s="46"/>
      <c r="V78" s="35" t="e">
        <f>AVERAGE(Tableau2[[#This Row],[1ère composition/10]:[3è composition]])</f>
        <v>#DIV/0!</v>
      </c>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f>COUNTIF(Tableau2[[#This Row],[Séance 1]:[Séance 38]],"A")</f>
        <v>0</v>
      </c>
      <c r="BJ78" s="35"/>
    </row>
    <row r="79" spans="1:62" hidden="1" x14ac:dyDescent="0.2">
      <c r="A79" s="1" t="s">
        <v>3</v>
      </c>
      <c r="B79" s="44" t="s">
        <v>257</v>
      </c>
      <c r="C79" s="44" t="s">
        <v>3864</v>
      </c>
      <c r="D79" s="44" t="s">
        <v>258</v>
      </c>
      <c r="E79" s="44" t="s">
        <v>120</v>
      </c>
      <c r="F79" s="44">
        <v>2020</v>
      </c>
      <c r="G79" s="44">
        <v>15</v>
      </c>
      <c r="H79" s="44">
        <v>117</v>
      </c>
      <c r="I79" s="44" t="str">
        <f>Tableau2[[#This Row],[Annee d''inscription au programme]]&amp;"-"&amp;Tableau2[[#This Row],[Code d''ecole]]&amp;"-"&amp;Tableau2[[#This Row],[Numero HM de la fille]]</f>
        <v>2020-15-117</v>
      </c>
      <c r="J79" s="45" t="s">
        <v>1337</v>
      </c>
      <c r="K79" s="44" t="s">
        <v>374</v>
      </c>
      <c r="L79" s="35" t="s">
        <v>620</v>
      </c>
      <c r="M79" s="35">
        <v>0</v>
      </c>
      <c r="N79" s="35">
        <v>0</v>
      </c>
      <c r="O79" s="35">
        <f t="shared" si="2"/>
        <v>0</v>
      </c>
      <c r="P79" s="35">
        <v>18</v>
      </c>
      <c r="Q79" s="35">
        <v>17</v>
      </c>
      <c r="R79" s="35">
        <f t="shared" si="3"/>
        <v>17.5</v>
      </c>
      <c r="S79" s="35"/>
      <c r="T79" s="35"/>
      <c r="U79" s="46"/>
      <c r="V79" s="35" t="e">
        <f>AVERAGE(Tableau2[[#This Row],[1ère composition/10]:[3è composition]])</f>
        <v>#DIV/0!</v>
      </c>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f>COUNTIF(Tableau2[[#This Row],[Séance 1]:[Séance 38]],"A")</f>
        <v>0</v>
      </c>
      <c r="BJ79" s="35"/>
    </row>
    <row r="80" spans="1:62" hidden="1" x14ac:dyDescent="0.2">
      <c r="A80" s="1" t="s">
        <v>3</v>
      </c>
      <c r="B80" s="44" t="s">
        <v>259</v>
      </c>
      <c r="C80" s="44" t="s">
        <v>3858</v>
      </c>
      <c r="D80" s="44" t="s">
        <v>260</v>
      </c>
      <c r="E80" s="44" t="s">
        <v>120</v>
      </c>
      <c r="F80" s="44">
        <v>2021</v>
      </c>
      <c r="G80" s="44">
        <v>15</v>
      </c>
      <c r="H80" s="44">
        <v>23</v>
      </c>
      <c r="I80" s="44" t="str">
        <f>Tableau2[[#This Row],[Annee d''inscription au programme]]&amp;"-"&amp;Tableau2[[#This Row],[Code d''ecole]]&amp;"-"&amp;Tableau2[[#This Row],[Numero HM de la fille]]</f>
        <v>2021-15-23</v>
      </c>
      <c r="J80" s="45" t="s">
        <v>1338</v>
      </c>
      <c r="K80" s="44" t="s">
        <v>297</v>
      </c>
      <c r="L80" s="35" t="s">
        <v>298</v>
      </c>
      <c r="M80" s="35">
        <v>14</v>
      </c>
      <c r="N80" s="35">
        <v>15.5</v>
      </c>
      <c r="O80" s="35">
        <f t="shared" si="2"/>
        <v>14.75</v>
      </c>
      <c r="P80" s="35">
        <v>13.5</v>
      </c>
      <c r="Q80" s="35">
        <v>12</v>
      </c>
      <c r="R80" s="35">
        <f t="shared" si="3"/>
        <v>12.75</v>
      </c>
      <c r="S80" s="35"/>
      <c r="T80" s="35"/>
      <c r="U80" s="46"/>
      <c r="V80" s="35" t="e">
        <f>AVERAGE(Tableau2[[#This Row],[1ère composition/10]:[3è composition]])</f>
        <v>#DIV/0!</v>
      </c>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f>COUNTIF(Tableau2[[#This Row],[Séance 1]:[Séance 38]],"A")</f>
        <v>0</v>
      </c>
      <c r="BJ80" s="35"/>
    </row>
    <row r="81" spans="1:62" hidden="1" x14ac:dyDescent="0.2">
      <c r="A81" s="1" t="s">
        <v>3</v>
      </c>
      <c r="B81" s="44" t="s">
        <v>261</v>
      </c>
      <c r="C81" s="44" t="s">
        <v>3858</v>
      </c>
      <c r="D81" s="44" t="s">
        <v>262</v>
      </c>
      <c r="E81" s="44" t="s">
        <v>120</v>
      </c>
      <c r="F81" s="44">
        <v>2021</v>
      </c>
      <c r="G81" s="44">
        <v>15</v>
      </c>
      <c r="H81" s="44">
        <v>24</v>
      </c>
      <c r="I81" s="44" t="str">
        <f>Tableau2[[#This Row],[Annee d''inscription au programme]]&amp;"-"&amp;Tableau2[[#This Row],[Code d''ecole]]&amp;"-"&amp;Tableau2[[#This Row],[Numero HM de la fille]]</f>
        <v>2021-15-24</v>
      </c>
      <c r="J81" s="45" t="s">
        <v>1339</v>
      </c>
      <c r="K81" s="44" t="s">
        <v>297</v>
      </c>
      <c r="L81" s="35" t="s">
        <v>298</v>
      </c>
      <c r="M81" s="35">
        <v>0</v>
      </c>
      <c r="N81" s="35">
        <v>0</v>
      </c>
      <c r="O81" s="35">
        <f t="shared" si="2"/>
        <v>0</v>
      </c>
      <c r="P81" s="35">
        <v>18</v>
      </c>
      <c r="Q81" s="35">
        <v>18.75</v>
      </c>
      <c r="R81" s="35">
        <f t="shared" si="3"/>
        <v>18.375</v>
      </c>
      <c r="S81" s="35"/>
      <c r="T81" s="35"/>
      <c r="U81" s="35"/>
      <c r="V81" s="35" t="e">
        <f>AVERAGE(Tableau2[[#This Row],[1ère composition/10]:[3è composition]])</f>
        <v>#DIV/0!</v>
      </c>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f>COUNTIF(Tableau2[[#This Row],[Séance 1]:[Séance 38]],"A")</f>
        <v>0</v>
      </c>
      <c r="BJ81" s="35"/>
    </row>
    <row r="82" spans="1:62" hidden="1" x14ac:dyDescent="0.2">
      <c r="A82" s="1" t="s">
        <v>3</v>
      </c>
      <c r="B82" s="44" t="s">
        <v>263</v>
      </c>
      <c r="C82" s="44" t="s">
        <v>3862</v>
      </c>
      <c r="D82" s="44" t="s">
        <v>219</v>
      </c>
      <c r="E82" s="44" t="s">
        <v>120</v>
      </c>
      <c r="F82" s="44">
        <v>2021</v>
      </c>
      <c r="G82" s="44">
        <v>15</v>
      </c>
      <c r="H82" s="44">
        <v>25</v>
      </c>
      <c r="I82" s="44" t="str">
        <f>Tableau2[[#This Row],[Annee d''inscription au programme]]&amp;"-"&amp;Tableau2[[#This Row],[Code d''ecole]]&amp;"-"&amp;Tableau2[[#This Row],[Numero HM de la fille]]</f>
        <v>2021-15-25</v>
      </c>
      <c r="J82" s="45" t="s">
        <v>1340</v>
      </c>
      <c r="K82" s="44" t="s">
        <v>297</v>
      </c>
      <c r="L82" s="35" t="s">
        <v>298</v>
      </c>
      <c r="M82" s="35">
        <v>0</v>
      </c>
      <c r="N82" s="35">
        <v>0</v>
      </c>
      <c r="O82" s="35">
        <f t="shared" si="2"/>
        <v>0</v>
      </c>
      <c r="P82" s="35">
        <v>20</v>
      </c>
      <c r="Q82" s="35">
        <v>19.5</v>
      </c>
      <c r="R82" s="35">
        <f t="shared" si="3"/>
        <v>19.75</v>
      </c>
      <c r="S82" s="35"/>
      <c r="T82" s="35"/>
      <c r="U82" s="35"/>
      <c r="V82" s="35" t="e">
        <f>AVERAGE(Tableau2[[#This Row],[1ère composition/10]:[3è composition]])</f>
        <v>#DIV/0!</v>
      </c>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f>COUNTIF(Tableau2[[#This Row],[Séance 1]:[Séance 38]],"A")</f>
        <v>0</v>
      </c>
      <c r="BJ82" s="35"/>
    </row>
    <row r="83" spans="1:62" hidden="1" x14ac:dyDescent="0.2">
      <c r="A83" s="1" t="s">
        <v>3</v>
      </c>
      <c r="B83" s="48" t="s">
        <v>264</v>
      </c>
      <c r="C83" s="44" t="s">
        <v>3862</v>
      </c>
      <c r="D83" s="48" t="s">
        <v>265</v>
      </c>
      <c r="E83" s="49" t="s">
        <v>120</v>
      </c>
      <c r="F83" s="44">
        <v>2021</v>
      </c>
      <c r="G83" s="44">
        <v>15</v>
      </c>
      <c r="H83" s="44">
        <v>26</v>
      </c>
      <c r="I83" s="44" t="str">
        <f>Tableau2[[#This Row],[Annee d''inscription au programme]]&amp;"-"&amp;Tableau2[[#This Row],[Code d''ecole]]&amp;"-"&amp;Tableau2[[#This Row],[Numero HM de la fille]]</f>
        <v>2021-15-26</v>
      </c>
      <c r="J83" s="45" t="s">
        <v>1341</v>
      </c>
      <c r="K83" s="44" t="s">
        <v>297</v>
      </c>
      <c r="L83" s="35" t="s">
        <v>298</v>
      </c>
      <c r="M83" s="35">
        <v>0</v>
      </c>
      <c r="N83" s="35">
        <v>0</v>
      </c>
      <c r="O83" s="35">
        <f t="shared" si="2"/>
        <v>0</v>
      </c>
      <c r="P83" s="35">
        <v>17</v>
      </c>
      <c r="Q83" s="35">
        <v>17</v>
      </c>
      <c r="R83" s="35">
        <f t="shared" si="3"/>
        <v>17</v>
      </c>
      <c r="S83" s="35"/>
      <c r="T83" s="35"/>
      <c r="U83" s="35"/>
      <c r="V83" s="35" t="e">
        <f>AVERAGE(Tableau2[[#This Row],[1ère composition/10]:[3è composition]])</f>
        <v>#DIV/0!</v>
      </c>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f>COUNTIF(Tableau2[[#This Row],[Séance 1]:[Séance 38]],"A")</f>
        <v>0</v>
      </c>
      <c r="BJ83" s="35"/>
    </row>
    <row r="84" spans="1:62" hidden="1" x14ac:dyDescent="0.2">
      <c r="A84" s="1" t="s">
        <v>3</v>
      </c>
      <c r="B84" s="48" t="s">
        <v>253</v>
      </c>
      <c r="C84" s="44" t="s">
        <v>3863</v>
      </c>
      <c r="D84" s="48" t="s">
        <v>254</v>
      </c>
      <c r="E84" s="49" t="s">
        <v>120</v>
      </c>
      <c r="F84" s="44">
        <v>2021</v>
      </c>
      <c r="G84" s="44">
        <v>15</v>
      </c>
      <c r="H84" s="44">
        <v>27</v>
      </c>
      <c r="I84" s="44" t="str">
        <f>Tableau2[[#This Row],[Annee d''inscription au programme]]&amp;"-"&amp;Tableau2[[#This Row],[Code d''ecole]]&amp;"-"&amp;Tableau2[[#This Row],[Numero HM de la fille]]</f>
        <v>2021-15-27</v>
      </c>
      <c r="J84" s="45" t="s">
        <v>1342</v>
      </c>
      <c r="K84" s="44" t="s">
        <v>297</v>
      </c>
      <c r="L84" s="35" t="s">
        <v>298</v>
      </c>
      <c r="M84" s="35">
        <v>16.5</v>
      </c>
      <c r="N84" s="35">
        <v>15.5</v>
      </c>
      <c r="O84" s="35">
        <f t="shared" si="2"/>
        <v>16</v>
      </c>
      <c r="P84" s="35">
        <v>19</v>
      </c>
      <c r="Q84" s="35">
        <v>20</v>
      </c>
      <c r="R84" s="35">
        <f t="shared" si="3"/>
        <v>19.5</v>
      </c>
      <c r="S84" s="35"/>
      <c r="T84" s="35"/>
      <c r="U84" s="35"/>
      <c r="V84" s="35" t="e">
        <f>AVERAGE(Tableau2[[#This Row],[1ère composition/10]:[3è composition]])</f>
        <v>#DIV/0!</v>
      </c>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f>COUNTIF(Tableau2[[#This Row],[Séance 1]:[Séance 38]],"A")</f>
        <v>0</v>
      </c>
      <c r="BJ84" s="35"/>
    </row>
    <row r="85" spans="1:62" hidden="1" x14ac:dyDescent="0.2">
      <c r="A85" s="1" t="s">
        <v>3</v>
      </c>
      <c r="B85" s="48" t="s">
        <v>266</v>
      </c>
      <c r="C85" s="44" t="s">
        <v>3858</v>
      </c>
      <c r="D85" s="48" t="s">
        <v>267</v>
      </c>
      <c r="E85" s="49" t="s">
        <v>120</v>
      </c>
      <c r="F85" s="44">
        <v>2021</v>
      </c>
      <c r="G85" s="44">
        <v>15</v>
      </c>
      <c r="H85" s="44">
        <v>28</v>
      </c>
      <c r="I85" s="44" t="str">
        <f>Tableau2[[#This Row],[Annee d''inscription au programme]]&amp;"-"&amp;Tableau2[[#This Row],[Code d''ecole]]&amp;"-"&amp;Tableau2[[#This Row],[Numero HM de la fille]]</f>
        <v>2021-15-28</v>
      </c>
      <c r="J85" s="45" t="s">
        <v>1343</v>
      </c>
      <c r="K85" s="44" t="s">
        <v>297</v>
      </c>
      <c r="L85" s="35" t="s">
        <v>298</v>
      </c>
      <c r="M85" s="35">
        <v>15.5</v>
      </c>
      <c r="N85" s="35">
        <v>17.75</v>
      </c>
      <c r="O85" s="35">
        <f t="shared" si="2"/>
        <v>16.625</v>
      </c>
      <c r="P85" s="35">
        <v>20</v>
      </c>
      <c r="Q85" s="35">
        <v>18.5</v>
      </c>
      <c r="R85" s="35">
        <f t="shared" si="3"/>
        <v>19.25</v>
      </c>
      <c r="S85" s="35"/>
      <c r="T85" s="35"/>
      <c r="U85" s="35"/>
      <c r="V85" s="35" t="e">
        <f>AVERAGE(Tableau2[[#This Row],[1ère composition/10]:[3è composition]])</f>
        <v>#DIV/0!</v>
      </c>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f>COUNTIF(Tableau2[[#This Row],[Séance 1]:[Séance 38]],"A")</f>
        <v>0</v>
      </c>
      <c r="BJ85" s="35"/>
    </row>
    <row r="86" spans="1:62" hidden="1" x14ac:dyDescent="0.2">
      <c r="A86" s="1" t="s">
        <v>3</v>
      </c>
      <c r="B86" s="48" t="s">
        <v>268</v>
      </c>
      <c r="C86" s="44" t="s">
        <v>3858</v>
      </c>
      <c r="D86" s="48" t="s">
        <v>225</v>
      </c>
      <c r="E86" s="49" t="s">
        <v>120</v>
      </c>
      <c r="F86" s="44">
        <v>2021</v>
      </c>
      <c r="G86" s="44">
        <v>15</v>
      </c>
      <c r="H86" s="44">
        <v>29</v>
      </c>
      <c r="I86" s="44" t="str">
        <f>Tableau2[[#This Row],[Annee d''inscription au programme]]&amp;"-"&amp;Tableau2[[#This Row],[Code d''ecole]]&amp;"-"&amp;Tableau2[[#This Row],[Numero HM de la fille]]</f>
        <v>2021-15-29</v>
      </c>
      <c r="J86" s="45" t="s">
        <v>1344</v>
      </c>
      <c r="K86" s="44" t="s">
        <v>297</v>
      </c>
      <c r="L86" s="35" t="s">
        <v>298</v>
      </c>
      <c r="M86" s="35">
        <v>5</v>
      </c>
      <c r="N86" s="35">
        <v>10.5</v>
      </c>
      <c r="O86" s="35">
        <f t="shared" si="2"/>
        <v>7.75</v>
      </c>
      <c r="P86" s="35">
        <v>13</v>
      </c>
      <c r="Q86" s="35">
        <v>12</v>
      </c>
      <c r="R86" s="35">
        <f t="shared" si="3"/>
        <v>12.5</v>
      </c>
      <c r="S86" s="35"/>
      <c r="T86" s="35"/>
      <c r="U86" s="35"/>
      <c r="V86" s="35" t="e">
        <f>AVERAGE(Tableau2[[#This Row],[1ère composition/10]:[3è composition]])</f>
        <v>#DIV/0!</v>
      </c>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f>COUNTIF(Tableau2[[#This Row],[Séance 1]:[Séance 38]],"A")</f>
        <v>0</v>
      </c>
      <c r="BJ86" s="35"/>
    </row>
    <row r="87" spans="1:62" hidden="1" x14ac:dyDescent="0.2">
      <c r="A87" s="1" t="s">
        <v>3</v>
      </c>
      <c r="B87" s="48" t="s">
        <v>269</v>
      </c>
      <c r="C87" s="44" t="s">
        <v>3863</v>
      </c>
      <c r="D87" s="48" t="s">
        <v>270</v>
      </c>
      <c r="E87" s="49" t="s">
        <v>120</v>
      </c>
      <c r="F87" s="44">
        <v>2020</v>
      </c>
      <c r="G87" s="44">
        <v>15</v>
      </c>
      <c r="H87" s="44">
        <v>127</v>
      </c>
      <c r="I87" s="44" t="str">
        <f>Tableau2[[#This Row],[Annee d''inscription au programme]]&amp;"-"&amp;Tableau2[[#This Row],[Code d''ecole]]&amp;"-"&amp;Tableau2[[#This Row],[Numero HM de la fille]]</f>
        <v>2020-15-127</v>
      </c>
      <c r="J87" s="45" t="s">
        <v>1345</v>
      </c>
      <c r="K87" s="44" t="s">
        <v>374</v>
      </c>
      <c r="L87" s="35" t="s">
        <v>620</v>
      </c>
      <c r="M87" s="35">
        <v>0</v>
      </c>
      <c r="N87" s="35">
        <v>0</v>
      </c>
      <c r="O87" s="35">
        <f t="shared" si="2"/>
        <v>0</v>
      </c>
      <c r="P87" s="35">
        <v>20</v>
      </c>
      <c r="Q87" s="35">
        <v>19</v>
      </c>
      <c r="R87" s="35">
        <f t="shared" si="3"/>
        <v>19.5</v>
      </c>
      <c r="S87" s="35"/>
      <c r="T87" s="35"/>
      <c r="U87" s="35"/>
      <c r="V87" s="35" t="e">
        <f>AVERAGE(Tableau2[[#This Row],[1ère composition/10]:[3è composition]])</f>
        <v>#DIV/0!</v>
      </c>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f>COUNTIF(Tableau2[[#This Row],[Séance 1]:[Séance 38]],"A")</f>
        <v>0</v>
      </c>
      <c r="BJ87" s="35"/>
    </row>
    <row r="88" spans="1:62" hidden="1" x14ac:dyDescent="0.2">
      <c r="A88" s="1" t="s">
        <v>3</v>
      </c>
      <c r="B88" s="48" t="s">
        <v>271</v>
      </c>
      <c r="C88" s="44" t="s">
        <v>3863</v>
      </c>
      <c r="D88" s="48" t="s">
        <v>262</v>
      </c>
      <c r="E88" s="49" t="s">
        <v>120</v>
      </c>
      <c r="F88" s="44">
        <v>2020</v>
      </c>
      <c r="G88" s="44">
        <v>15</v>
      </c>
      <c r="H88" s="44">
        <v>124</v>
      </c>
      <c r="I88" s="44" t="str">
        <f>Tableau2[[#This Row],[Annee d''inscription au programme]]&amp;"-"&amp;Tableau2[[#This Row],[Code d''ecole]]&amp;"-"&amp;Tableau2[[#This Row],[Numero HM de la fille]]</f>
        <v>2020-15-124</v>
      </c>
      <c r="J88" s="45" t="s">
        <v>1346</v>
      </c>
      <c r="K88" s="44" t="s">
        <v>374</v>
      </c>
      <c r="L88" s="35" t="s">
        <v>620</v>
      </c>
      <c r="M88" s="35">
        <v>0</v>
      </c>
      <c r="N88" s="35">
        <v>0</v>
      </c>
      <c r="O88" s="35">
        <f t="shared" si="2"/>
        <v>0</v>
      </c>
      <c r="P88" s="35">
        <v>18</v>
      </c>
      <c r="Q88" s="35">
        <v>20</v>
      </c>
      <c r="R88" s="35">
        <f t="shared" si="3"/>
        <v>19</v>
      </c>
      <c r="S88" s="35"/>
      <c r="T88" s="35"/>
      <c r="U88" s="35"/>
      <c r="V88" s="35" t="e">
        <f>AVERAGE(Tableau2[[#This Row],[1ère composition/10]:[3è composition]])</f>
        <v>#DIV/0!</v>
      </c>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f>COUNTIF(Tableau2[[#This Row],[Séance 1]:[Séance 38]],"A")</f>
        <v>0</v>
      </c>
      <c r="BJ88" s="35"/>
    </row>
    <row r="89" spans="1:62" hidden="1" x14ac:dyDescent="0.2">
      <c r="A89" s="1" t="s">
        <v>3</v>
      </c>
      <c r="B89" s="48" t="s">
        <v>272</v>
      </c>
      <c r="C89" s="44" t="s">
        <v>3861</v>
      </c>
      <c r="D89" s="48" t="s">
        <v>156</v>
      </c>
      <c r="E89" s="49" t="s">
        <v>120</v>
      </c>
      <c r="F89" s="44">
        <v>2020</v>
      </c>
      <c r="G89" s="44">
        <v>15</v>
      </c>
      <c r="H89" s="44">
        <v>122</v>
      </c>
      <c r="I89" s="44" t="str">
        <f>Tableau2[[#This Row],[Annee d''inscription au programme]]&amp;"-"&amp;Tableau2[[#This Row],[Code d''ecole]]&amp;"-"&amp;Tableau2[[#This Row],[Numero HM de la fille]]</f>
        <v>2020-15-122</v>
      </c>
      <c r="J89" s="45" t="s">
        <v>1347</v>
      </c>
      <c r="K89" s="44" t="s">
        <v>374</v>
      </c>
      <c r="L89" s="35" t="s">
        <v>620</v>
      </c>
      <c r="M89" s="35">
        <v>0</v>
      </c>
      <c r="N89" s="35">
        <v>0</v>
      </c>
      <c r="O89" s="35">
        <f t="shared" si="2"/>
        <v>0</v>
      </c>
      <c r="P89" s="35">
        <v>14.5</v>
      </c>
      <c r="Q89" s="35">
        <v>13</v>
      </c>
      <c r="R89" s="35">
        <f t="shared" si="3"/>
        <v>13.75</v>
      </c>
      <c r="S89" s="35"/>
      <c r="T89" s="35"/>
      <c r="U89" s="35"/>
      <c r="V89" s="35" t="e">
        <f>AVERAGE(Tableau2[[#This Row],[1ère composition/10]:[3è composition]])</f>
        <v>#DIV/0!</v>
      </c>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f>COUNTIF(Tableau2[[#This Row],[Séance 1]:[Séance 38]],"A")</f>
        <v>0</v>
      </c>
      <c r="BJ89" s="35"/>
    </row>
    <row r="90" spans="1:62" hidden="1" x14ac:dyDescent="0.2">
      <c r="A90" s="1" t="s">
        <v>3</v>
      </c>
      <c r="B90" s="48" t="s">
        <v>273</v>
      </c>
      <c r="C90" s="44" t="s">
        <v>3858</v>
      </c>
      <c r="D90" s="48" t="s">
        <v>213</v>
      </c>
      <c r="E90" s="49" t="s">
        <v>120</v>
      </c>
      <c r="F90" s="44">
        <v>2021</v>
      </c>
      <c r="G90" s="44">
        <v>15</v>
      </c>
      <c r="H90" s="44">
        <v>30</v>
      </c>
      <c r="I90" s="44" t="str">
        <f>Tableau2[[#This Row],[Annee d''inscription au programme]]&amp;"-"&amp;Tableau2[[#This Row],[Code d''ecole]]&amp;"-"&amp;Tableau2[[#This Row],[Numero HM de la fille]]</f>
        <v>2021-15-30</v>
      </c>
      <c r="J90" s="45" t="s">
        <v>1348</v>
      </c>
      <c r="K90" s="44" t="s">
        <v>297</v>
      </c>
      <c r="L90" s="35" t="s">
        <v>298</v>
      </c>
      <c r="M90" s="35">
        <v>11.5</v>
      </c>
      <c r="N90" s="35">
        <v>15.5</v>
      </c>
      <c r="O90" s="35">
        <f t="shared" si="2"/>
        <v>13.5</v>
      </c>
      <c r="P90" s="35">
        <v>15</v>
      </c>
      <c r="Q90" s="35">
        <v>16.75</v>
      </c>
      <c r="R90" s="35">
        <f t="shared" si="3"/>
        <v>15.875</v>
      </c>
      <c r="S90" s="35"/>
      <c r="T90" s="35"/>
      <c r="U90" s="35"/>
      <c r="V90" s="35" t="e">
        <f>AVERAGE(Tableau2[[#This Row],[1ère composition/10]:[3è composition]])</f>
        <v>#DIV/0!</v>
      </c>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f>COUNTIF(Tableau2[[#This Row],[Séance 1]:[Séance 38]],"A")</f>
        <v>0</v>
      </c>
      <c r="BJ90" s="35"/>
    </row>
    <row r="91" spans="1:62" hidden="1" x14ac:dyDescent="0.2">
      <c r="A91" s="1" t="s">
        <v>3</v>
      </c>
      <c r="B91" s="48" t="s">
        <v>274</v>
      </c>
      <c r="C91" s="44" t="s">
        <v>3858</v>
      </c>
      <c r="D91" s="48" t="s">
        <v>262</v>
      </c>
      <c r="E91" s="49" t="s">
        <v>120</v>
      </c>
      <c r="F91" s="44">
        <v>2021</v>
      </c>
      <c r="G91" s="44">
        <v>15</v>
      </c>
      <c r="H91" s="44">
        <v>31</v>
      </c>
      <c r="I91" s="44" t="str">
        <f>Tableau2[[#This Row],[Annee d''inscription au programme]]&amp;"-"&amp;Tableau2[[#This Row],[Code d''ecole]]&amp;"-"&amp;Tableau2[[#This Row],[Numero HM de la fille]]</f>
        <v>2021-15-31</v>
      </c>
      <c r="J91" s="45" t="s">
        <v>1349</v>
      </c>
      <c r="K91" s="44" t="s">
        <v>297</v>
      </c>
      <c r="L91" s="35" t="s">
        <v>298</v>
      </c>
      <c r="M91" s="35">
        <v>0</v>
      </c>
      <c r="N91" s="35">
        <v>0</v>
      </c>
      <c r="O91" s="35">
        <f t="shared" si="2"/>
        <v>0</v>
      </c>
      <c r="P91" s="35">
        <v>19</v>
      </c>
      <c r="Q91" s="35">
        <v>18.5</v>
      </c>
      <c r="R91" s="35">
        <f t="shared" si="3"/>
        <v>18.75</v>
      </c>
      <c r="S91" s="35"/>
      <c r="T91" s="35"/>
      <c r="U91" s="35"/>
      <c r="V91" s="35" t="e">
        <f>AVERAGE(Tableau2[[#This Row],[1ère composition/10]:[3è composition]])</f>
        <v>#DIV/0!</v>
      </c>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f>COUNTIF(Tableau2[[#This Row],[Séance 1]:[Séance 38]],"A")</f>
        <v>0</v>
      </c>
      <c r="BJ91" s="35"/>
    </row>
    <row r="92" spans="1:62" hidden="1" x14ac:dyDescent="0.2">
      <c r="A92" s="1" t="s">
        <v>3</v>
      </c>
      <c r="B92" s="48" t="s">
        <v>275</v>
      </c>
      <c r="C92" s="44" t="s">
        <v>3862</v>
      </c>
      <c r="D92" s="48" t="s">
        <v>242</v>
      </c>
      <c r="E92" s="49" t="s">
        <v>120</v>
      </c>
      <c r="F92" s="44">
        <v>2021</v>
      </c>
      <c r="G92" s="44">
        <v>15</v>
      </c>
      <c r="H92" s="44">
        <v>32</v>
      </c>
      <c r="I92" s="44" t="str">
        <f>Tableau2[[#This Row],[Annee d''inscription au programme]]&amp;"-"&amp;Tableau2[[#This Row],[Code d''ecole]]&amp;"-"&amp;Tableau2[[#This Row],[Numero HM de la fille]]</f>
        <v>2021-15-32</v>
      </c>
      <c r="J92" s="45" t="s">
        <v>1350</v>
      </c>
      <c r="K92" s="44" t="s">
        <v>297</v>
      </c>
      <c r="L92" s="35" t="s">
        <v>298</v>
      </c>
      <c r="M92" s="35">
        <v>0</v>
      </c>
      <c r="N92" s="35">
        <v>0</v>
      </c>
      <c r="O92" s="35">
        <f t="shared" si="2"/>
        <v>0</v>
      </c>
      <c r="P92" s="35">
        <v>13.5</v>
      </c>
      <c r="Q92" s="35">
        <v>19</v>
      </c>
      <c r="R92" s="35">
        <f t="shared" si="3"/>
        <v>16.25</v>
      </c>
      <c r="S92" s="35"/>
      <c r="T92" s="35"/>
      <c r="U92" s="35"/>
      <c r="V92" s="35" t="e">
        <f>AVERAGE(Tableau2[[#This Row],[1ère composition/10]:[3è composition]])</f>
        <v>#DIV/0!</v>
      </c>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f>COUNTIF(Tableau2[[#This Row],[Séance 1]:[Séance 38]],"A")</f>
        <v>0</v>
      </c>
      <c r="BJ92" s="35"/>
    </row>
    <row r="93" spans="1:62" hidden="1" x14ac:dyDescent="0.2">
      <c r="A93" s="1" t="s">
        <v>3</v>
      </c>
      <c r="B93" s="48" t="s">
        <v>276</v>
      </c>
      <c r="C93" s="44" t="s">
        <v>3858</v>
      </c>
      <c r="D93" s="48" t="s">
        <v>277</v>
      </c>
      <c r="E93" s="49" t="s">
        <v>120</v>
      </c>
      <c r="F93" s="44">
        <v>2021</v>
      </c>
      <c r="G93" s="44">
        <v>15</v>
      </c>
      <c r="H93" s="44">
        <v>33</v>
      </c>
      <c r="I93" s="44" t="str">
        <f>Tableau2[[#This Row],[Annee d''inscription au programme]]&amp;"-"&amp;Tableau2[[#This Row],[Code d''ecole]]&amp;"-"&amp;Tableau2[[#This Row],[Numero HM de la fille]]</f>
        <v>2021-15-33</v>
      </c>
      <c r="J93" s="45" t="s">
        <v>1351</v>
      </c>
      <c r="K93" s="44" t="s">
        <v>297</v>
      </c>
      <c r="L93" s="35" t="s">
        <v>298</v>
      </c>
      <c r="M93" s="35">
        <v>0</v>
      </c>
      <c r="N93" s="35">
        <v>0</v>
      </c>
      <c r="O93" s="35">
        <f t="shared" si="2"/>
        <v>0</v>
      </c>
      <c r="P93" s="35">
        <v>5</v>
      </c>
      <c r="Q93" s="35">
        <v>5</v>
      </c>
      <c r="R93" s="35">
        <f t="shared" si="3"/>
        <v>5</v>
      </c>
      <c r="S93" s="35"/>
      <c r="T93" s="35"/>
      <c r="U93" s="35"/>
      <c r="V93" s="35" t="e">
        <f>AVERAGE(Tableau2[[#This Row],[1ère composition/10]:[3è composition]])</f>
        <v>#DIV/0!</v>
      </c>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f>COUNTIF(Tableau2[[#This Row],[Séance 1]:[Séance 38]],"A")</f>
        <v>0</v>
      </c>
      <c r="BJ93" s="35"/>
    </row>
    <row r="94" spans="1:62" hidden="1" x14ac:dyDescent="0.2">
      <c r="A94" s="1" t="s">
        <v>3</v>
      </c>
      <c r="B94" s="48" t="s">
        <v>278</v>
      </c>
      <c r="C94" s="44" t="s">
        <v>3862</v>
      </c>
      <c r="D94" s="48" t="s">
        <v>279</v>
      </c>
      <c r="E94" s="49" t="s">
        <v>120</v>
      </c>
      <c r="F94" s="44">
        <v>2021</v>
      </c>
      <c r="G94" s="44">
        <v>15</v>
      </c>
      <c r="H94" s="44">
        <v>34</v>
      </c>
      <c r="I94" s="44" t="str">
        <f>Tableau2[[#This Row],[Annee d''inscription au programme]]&amp;"-"&amp;Tableau2[[#This Row],[Code d''ecole]]&amp;"-"&amp;Tableau2[[#This Row],[Numero HM de la fille]]</f>
        <v>2021-15-34</v>
      </c>
      <c r="J94" s="45" t="s">
        <v>1352</v>
      </c>
      <c r="K94" s="44" t="s">
        <v>297</v>
      </c>
      <c r="L94" s="35" t="s">
        <v>298</v>
      </c>
      <c r="M94" s="35">
        <v>15</v>
      </c>
      <c r="N94" s="35">
        <v>12.75</v>
      </c>
      <c r="O94" s="35">
        <f t="shared" si="2"/>
        <v>13.875</v>
      </c>
      <c r="P94" s="35">
        <v>13</v>
      </c>
      <c r="Q94" s="35">
        <v>10.25</v>
      </c>
      <c r="R94" s="35">
        <f t="shared" si="3"/>
        <v>11.625</v>
      </c>
      <c r="S94" s="35"/>
      <c r="T94" s="35"/>
      <c r="U94" s="35"/>
      <c r="V94" s="35" t="e">
        <f>AVERAGE(Tableau2[[#This Row],[1ère composition/10]:[3è composition]])</f>
        <v>#DIV/0!</v>
      </c>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f>COUNTIF(Tableau2[[#This Row],[Séance 1]:[Séance 38]],"A")</f>
        <v>0</v>
      </c>
      <c r="BJ94" s="35"/>
    </row>
    <row r="95" spans="1:62" hidden="1" x14ac:dyDescent="0.2">
      <c r="A95" s="1" t="s">
        <v>3</v>
      </c>
      <c r="B95" s="48" t="s">
        <v>280</v>
      </c>
      <c r="C95" s="44" t="s">
        <v>3858</v>
      </c>
      <c r="D95" s="48" t="s">
        <v>223</v>
      </c>
      <c r="E95" s="49" t="s">
        <v>120</v>
      </c>
      <c r="F95" s="44">
        <v>2021</v>
      </c>
      <c r="G95" s="44">
        <v>15</v>
      </c>
      <c r="H95" s="44">
        <v>35</v>
      </c>
      <c r="I95" s="44" t="str">
        <f>Tableau2[[#This Row],[Annee d''inscription au programme]]&amp;"-"&amp;Tableau2[[#This Row],[Code d''ecole]]&amp;"-"&amp;Tableau2[[#This Row],[Numero HM de la fille]]</f>
        <v>2021-15-35</v>
      </c>
      <c r="J95" s="45" t="s">
        <v>1353</v>
      </c>
      <c r="K95" s="44" t="s">
        <v>297</v>
      </c>
      <c r="L95" s="35" t="s">
        <v>298</v>
      </c>
      <c r="M95" s="35">
        <v>13.5</v>
      </c>
      <c r="N95" s="35">
        <v>9.75</v>
      </c>
      <c r="O95" s="35">
        <f t="shared" si="2"/>
        <v>11.625</v>
      </c>
      <c r="P95" s="35">
        <v>20</v>
      </c>
      <c r="Q95" s="35">
        <v>17.5</v>
      </c>
      <c r="R95" s="35">
        <f t="shared" si="3"/>
        <v>18.75</v>
      </c>
      <c r="S95" s="35"/>
      <c r="T95" s="35"/>
      <c r="U95" s="35"/>
      <c r="V95" s="35" t="e">
        <f>AVERAGE(Tableau2[[#This Row],[1ère composition/10]:[3è composition]])</f>
        <v>#DIV/0!</v>
      </c>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f>COUNTIF(Tableau2[[#This Row],[Séance 1]:[Séance 38]],"A")</f>
        <v>0</v>
      </c>
      <c r="BJ95" s="35"/>
    </row>
    <row r="96" spans="1:62" hidden="1" x14ac:dyDescent="0.2">
      <c r="A96" s="1" t="s">
        <v>3</v>
      </c>
      <c r="B96" s="48" t="s">
        <v>281</v>
      </c>
      <c r="C96" s="44" t="s">
        <v>3863</v>
      </c>
      <c r="D96" s="48" t="s">
        <v>282</v>
      </c>
      <c r="E96" s="49" t="s">
        <v>120</v>
      </c>
      <c r="F96" s="44">
        <v>2020</v>
      </c>
      <c r="G96" s="44">
        <v>15</v>
      </c>
      <c r="H96" s="44">
        <v>129</v>
      </c>
      <c r="I96" s="44" t="str">
        <f>Tableau2[[#This Row],[Annee d''inscription au programme]]&amp;"-"&amp;Tableau2[[#This Row],[Code d''ecole]]&amp;"-"&amp;Tableau2[[#This Row],[Numero HM de la fille]]</f>
        <v>2020-15-129</v>
      </c>
      <c r="J96" s="45" t="s">
        <v>1354</v>
      </c>
      <c r="K96" s="44" t="s">
        <v>374</v>
      </c>
      <c r="L96" s="35" t="s">
        <v>620</v>
      </c>
      <c r="M96" s="35">
        <v>0</v>
      </c>
      <c r="N96" s="35">
        <v>0</v>
      </c>
      <c r="O96" s="35">
        <f t="shared" si="2"/>
        <v>0</v>
      </c>
      <c r="P96" s="35">
        <v>14.5</v>
      </c>
      <c r="Q96" s="35">
        <v>14</v>
      </c>
      <c r="R96" s="35">
        <f t="shared" si="3"/>
        <v>14.25</v>
      </c>
      <c r="S96" s="35"/>
      <c r="T96" s="35"/>
      <c r="U96" s="35"/>
      <c r="V96" s="35" t="e">
        <f>AVERAGE(Tableau2[[#This Row],[1ère composition/10]:[3è composition]])</f>
        <v>#DIV/0!</v>
      </c>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f>COUNTIF(Tableau2[[#This Row],[Séance 1]:[Séance 38]],"A")</f>
        <v>0</v>
      </c>
      <c r="BJ96" s="35"/>
    </row>
    <row r="97" spans="1:62" hidden="1" x14ac:dyDescent="0.2">
      <c r="A97" s="1" t="s">
        <v>3</v>
      </c>
      <c r="B97" s="48" t="s">
        <v>283</v>
      </c>
      <c r="C97" s="44" t="s">
        <v>3863</v>
      </c>
      <c r="D97" s="48" t="s">
        <v>284</v>
      </c>
      <c r="E97" s="49" t="s">
        <v>120</v>
      </c>
      <c r="F97" s="44">
        <v>2020</v>
      </c>
      <c r="G97" s="44">
        <v>15</v>
      </c>
      <c r="H97" s="44">
        <v>132</v>
      </c>
      <c r="I97" s="44" t="str">
        <f>Tableau2[[#This Row],[Annee d''inscription au programme]]&amp;"-"&amp;Tableau2[[#This Row],[Code d''ecole]]&amp;"-"&amp;Tableau2[[#This Row],[Numero HM de la fille]]</f>
        <v>2020-15-132</v>
      </c>
      <c r="J97" s="45" t="s">
        <v>1355</v>
      </c>
      <c r="K97" s="44" t="s">
        <v>374</v>
      </c>
      <c r="L97" s="35" t="s">
        <v>620</v>
      </c>
      <c r="M97" s="35">
        <v>0</v>
      </c>
      <c r="N97" s="35">
        <v>0</v>
      </c>
      <c r="O97" s="35">
        <f t="shared" si="2"/>
        <v>0</v>
      </c>
      <c r="P97" s="35">
        <v>19.5</v>
      </c>
      <c r="Q97" s="35">
        <v>14</v>
      </c>
      <c r="R97" s="35">
        <f t="shared" si="3"/>
        <v>16.75</v>
      </c>
      <c r="S97" s="35"/>
      <c r="T97" s="35"/>
      <c r="U97" s="35"/>
      <c r="V97" s="35" t="e">
        <f>AVERAGE(Tableau2[[#This Row],[1ère composition/10]:[3è composition]])</f>
        <v>#DIV/0!</v>
      </c>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f>COUNTIF(Tableau2[[#This Row],[Séance 1]:[Séance 38]],"A")</f>
        <v>0</v>
      </c>
      <c r="BJ97" s="35"/>
    </row>
    <row r="98" spans="1:62" hidden="1" x14ac:dyDescent="0.2">
      <c r="A98" s="1" t="s">
        <v>3</v>
      </c>
      <c r="B98" s="48" t="s">
        <v>285</v>
      </c>
      <c r="C98" s="44" t="s">
        <v>3858</v>
      </c>
      <c r="D98" s="48" t="s">
        <v>286</v>
      </c>
      <c r="E98" s="49" t="s">
        <v>120</v>
      </c>
      <c r="F98" s="44">
        <v>2021</v>
      </c>
      <c r="G98" s="44">
        <v>15</v>
      </c>
      <c r="H98" s="44">
        <v>36</v>
      </c>
      <c r="I98" s="44" t="str">
        <f>Tableau2[[#This Row],[Annee d''inscription au programme]]&amp;"-"&amp;Tableau2[[#This Row],[Code d''ecole]]&amp;"-"&amp;Tableau2[[#This Row],[Numero HM de la fille]]</f>
        <v>2021-15-36</v>
      </c>
      <c r="J98" s="45" t="s">
        <v>1356</v>
      </c>
      <c r="K98" s="44" t="s">
        <v>297</v>
      </c>
      <c r="L98" s="35" t="s">
        <v>298</v>
      </c>
      <c r="M98" s="35">
        <v>7</v>
      </c>
      <c r="N98" s="35">
        <v>7.75</v>
      </c>
      <c r="O98" s="35">
        <f t="shared" si="2"/>
        <v>7.375</v>
      </c>
      <c r="P98" s="35">
        <v>14.5</v>
      </c>
      <c r="Q98" s="35">
        <v>13</v>
      </c>
      <c r="R98" s="35">
        <f t="shared" si="3"/>
        <v>13.75</v>
      </c>
      <c r="S98" s="35"/>
      <c r="T98" s="35"/>
      <c r="U98" s="35"/>
      <c r="V98" s="35" t="e">
        <f>AVERAGE(Tableau2[[#This Row],[1ère composition/10]:[3è composition]])</f>
        <v>#DIV/0!</v>
      </c>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f>COUNTIF(Tableau2[[#This Row],[Séance 1]:[Séance 38]],"A")</f>
        <v>0</v>
      </c>
      <c r="BJ98" s="35"/>
    </row>
    <row r="99" spans="1:62" hidden="1" x14ac:dyDescent="0.2">
      <c r="A99" s="1" t="s">
        <v>3</v>
      </c>
      <c r="B99" s="48" t="s">
        <v>287</v>
      </c>
      <c r="C99" s="44" t="s">
        <v>3858</v>
      </c>
      <c r="D99" s="48" t="s">
        <v>223</v>
      </c>
      <c r="E99" s="49" t="s">
        <v>120</v>
      </c>
      <c r="F99" s="44">
        <v>2021</v>
      </c>
      <c r="G99" s="44">
        <v>15</v>
      </c>
      <c r="H99" s="44">
        <v>37</v>
      </c>
      <c r="I99" s="44" t="str">
        <f>Tableau2[[#This Row],[Annee d''inscription au programme]]&amp;"-"&amp;Tableau2[[#This Row],[Code d''ecole]]&amp;"-"&amp;Tableau2[[#This Row],[Numero HM de la fille]]</f>
        <v>2021-15-37</v>
      </c>
      <c r="J99" s="45" t="s">
        <v>1357</v>
      </c>
      <c r="K99" s="44" t="s">
        <v>297</v>
      </c>
      <c r="L99" s="35" t="s">
        <v>298</v>
      </c>
      <c r="M99" s="35">
        <v>0</v>
      </c>
      <c r="N99" s="35">
        <v>0</v>
      </c>
      <c r="O99" s="35">
        <f t="shared" si="2"/>
        <v>0</v>
      </c>
      <c r="P99" s="35">
        <v>16</v>
      </c>
      <c r="Q99" s="35">
        <v>17</v>
      </c>
      <c r="R99" s="35">
        <f t="shared" si="3"/>
        <v>16.5</v>
      </c>
      <c r="S99" s="35"/>
      <c r="T99" s="35"/>
      <c r="U99" s="35"/>
      <c r="V99" s="35" t="e">
        <f>AVERAGE(Tableau2[[#This Row],[1ère composition/10]:[3è composition]])</f>
        <v>#DIV/0!</v>
      </c>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f>COUNTIF(Tableau2[[#This Row],[Séance 1]:[Séance 38]],"A")</f>
        <v>0</v>
      </c>
      <c r="BJ99" s="35"/>
    </row>
    <row r="100" spans="1:62" hidden="1" x14ac:dyDescent="0.2">
      <c r="A100" s="1" t="s">
        <v>3</v>
      </c>
      <c r="B100" s="44" t="s">
        <v>288</v>
      </c>
      <c r="C100" s="44" t="s">
        <v>244</v>
      </c>
      <c r="D100" s="44" t="s">
        <v>237</v>
      </c>
      <c r="E100" s="44" t="s">
        <v>120</v>
      </c>
      <c r="F100" s="44">
        <v>2021</v>
      </c>
      <c r="G100" s="44">
        <v>15</v>
      </c>
      <c r="H100" s="44">
        <v>38</v>
      </c>
      <c r="I100" s="44" t="str">
        <f>Tableau2[[#This Row],[Annee d''inscription au programme]]&amp;"-"&amp;Tableau2[[#This Row],[Code d''ecole]]&amp;"-"&amp;Tableau2[[#This Row],[Numero HM de la fille]]</f>
        <v>2021-15-38</v>
      </c>
      <c r="J100" s="45" t="s">
        <v>1358</v>
      </c>
      <c r="K100" s="44" t="s">
        <v>297</v>
      </c>
      <c r="L100" s="35" t="s">
        <v>298</v>
      </c>
      <c r="M100" s="35">
        <v>0</v>
      </c>
      <c r="N100" s="35">
        <v>0</v>
      </c>
      <c r="O100" s="35">
        <f t="shared" si="2"/>
        <v>0</v>
      </c>
      <c r="P100" s="35">
        <v>17</v>
      </c>
      <c r="Q100" s="35">
        <v>17.5</v>
      </c>
      <c r="R100" s="35">
        <f t="shared" si="3"/>
        <v>17.25</v>
      </c>
      <c r="S100" s="35"/>
      <c r="T100" s="35"/>
      <c r="U100" s="35"/>
      <c r="V100" s="35" t="e">
        <f>AVERAGE(Tableau2[[#This Row],[1ère composition/10]:[3è composition]])</f>
        <v>#DIV/0!</v>
      </c>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f>COUNTIF(Tableau2[[#This Row],[Séance 1]:[Séance 38]],"A")</f>
        <v>0</v>
      </c>
      <c r="BJ100" s="35"/>
    </row>
    <row r="101" spans="1:62" hidden="1" x14ac:dyDescent="0.2">
      <c r="A101" s="1" t="s">
        <v>3</v>
      </c>
      <c r="B101" s="44" t="s">
        <v>289</v>
      </c>
      <c r="C101" s="44" t="s">
        <v>3858</v>
      </c>
      <c r="D101" s="44" t="s">
        <v>215</v>
      </c>
      <c r="E101" s="44" t="s">
        <v>120</v>
      </c>
      <c r="F101" s="44">
        <v>2021</v>
      </c>
      <c r="G101" s="44">
        <v>15</v>
      </c>
      <c r="H101" s="44">
        <v>39</v>
      </c>
      <c r="I101" s="44" t="str">
        <f>Tableau2[[#This Row],[Annee d''inscription au programme]]&amp;"-"&amp;Tableau2[[#This Row],[Code d''ecole]]&amp;"-"&amp;Tableau2[[#This Row],[Numero HM de la fille]]</f>
        <v>2021-15-39</v>
      </c>
      <c r="J101" s="45" t="s">
        <v>1359</v>
      </c>
      <c r="K101" s="44" t="s">
        <v>297</v>
      </c>
      <c r="L101" s="35" t="s">
        <v>298</v>
      </c>
      <c r="M101" s="35">
        <v>0</v>
      </c>
      <c r="N101" s="35">
        <v>0</v>
      </c>
      <c r="O101" s="35">
        <f t="shared" si="2"/>
        <v>0</v>
      </c>
      <c r="P101" s="35">
        <v>15</v>
      </c>
      <c r="Q101" s="35">
        <v>12.25</v>
      </c>
      <c r="R101" s="35">
        <f t="shared" si="3"/>
        <v>13.625</v>
      </c>
      <c r="S101" s="35"/>
      <c r="T101" s="35"/>
      <c r="U101" s="35"/>
      <c r="V101" s="35" t="e">
        <f>AVERAGE(Tableau2[[#This Row],[1ère composition/10]:[3è composition]])</f>
        <v>#DIV/0!</v>
      </c>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f>COUNTIF(Tableau2[[#This Row],[Séance 1]:[Séance 38]],"A")</f>
        <v>0</v>
      </c>
      <c r="BJ101" s="35"/>
    </row>
    <row r="102" spans="1:62" hidden="1" x14ac:dyDescent="0.2">
      <c r="A102" s="1" t="s">
        <v>3</v>
      </c>
      <c r="B102" s="44" t="s">
        <v>290</v>
      </c>
      <c r="C102" s="44" t="s">
        <v>3858</v>
      </c>
      <c r="D102" s="44" t="s">
        <v>291</v>
      </c>
      <c r="E102" s="44" t="s">
        <v>120</v>
      </c>
      <c r="F102" s="44">
        <v>2021</v>
      </c>
      <c r="G102" s="44">
        <v>15</v>
      </c>
      <c r="H102" s="44">
        <v>40</v>
      </c>
      <c r="I102" s="44" t="str">
        <f>Tableau2[[#This Row],[Annee d''inscription au programme]]&amp;"-"&amp;Tableau2[[#This Row],[Code d''ecole]]&amp;"-"&amp;Tableau2[[#This Row],[Numero HM de la fille]]</f>
        <v>2021-15-40</v>
      </c>
      <c r="J102" s="45" t="s">
        <v>1360</v>
      </c>
      <c r="K102" s="44" t="s">
        <v>297</v>
      </c>
      <c r="L102" s="35" t="s">
        <v>298</v>
      </c>
      <c r="M102" s="35">
        <v>0</v>
      </c>
      <c r="N102" s="35">
        <v>0</v>
      </c>
      <c r="O102" s="35">
        <f t="shared" si="2"/>
        <v>0</v>
      </c>
      <c r="P102" s="35">
        <v>17.5</v>
      </c>
      <c r="Q102" s="35">
        <v>11</v>
      </c>
      <c r="R102" s="35">
        <f t="shared" si="3"/>
        <v>14.25</v>
      </c>
      <c r="S102" s="35"/>
      <c r="T102" s="35"/>
      <c r="U102" s="35"/>
      <c r="V102" s="35" t="e">
        <f>AVERAGE(Tableau2[[#This Row],[1ère composition/10]:[3è composition]])</f>
        <v>#DIV/0!</v>
      </c>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f>COUNTIF(Tableau2[[#This Row],[Séance 1]:[Séance 38]],"A")</f>
        <v>0</v>
      </c>
      <c r="BJ102" s="35"/>
    </row>
    <row r="103" spans="1:62" hidden="1" x14ac:dyDescent="0.2">
      <c r="A103" s="1" t="s">
        <v>3</v>
      </c>
      <c r="B103" s="44" t="s">
        <v>292</v>
      </c>
      <c r="C103" s="44" t="s">
        <v>3863</v>
      </c>
      <c r="D103" s="44" t="s">
        <v>260</v>
      </c>
      <c r="E103" s="44" t="s">
        <v>120</v>
      </c>
      <c r="F103" s="44">
        <v>2020</v>
      </c>
      <c r="G103" s="44">
        <v>15</v>
      </c>
      <c r="H103" s="44">
        <v>133</v>
      </c>
      <c r="I103" s="44" t="str">
        <f>Tableau2[[#This Row],[Annee d''inscription au programme]]&amp;"-"&amp;Tableau2[[#This Row],[Code d''ecole]]&amp;"-"&amp;Tableau2[[#This Row],[Numero HM de la fille]]</f>
        <v>2020-15-133</v>
      </c>
      <c r="J103" s="45" t="s">
        <v>1361</v>
      </c>
      <c r="K103" s="44" t="s">
        <v>374</v>
      </c>
      <c r="L103" s="35" t="s">
        <v>620</v>
      </c>
      <c r="M103" s="35">
        <v>0</v>
      </c>
      <c r="N103" s="35">
        <v>0</v>
      </c>
      <c r="O103" s="35">
        <f t="shared" si="2"/>
        <v>0</v>
      </c>
      <c r="P103" s="35">
        <v>14</v>
      </c>
      <c r="Q103" s="35">
        <v>15</v>
      </c>
      <c r="R103" s="35">
        <f t="shared" si="3"/>
        <v>14.5</v>
      </c>
      <c r="S103" s="35"/>
      <c r="T103" s="35"/>
      <c r="U103" s="35"/>
      <c r="V103" s="35" t="e">
        <f>AVERAGE(Tableau2[[#This Row],[1ère composition/10]:[3è composition]])</f>
        <v>#DIV/0!</v>
      </c>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f>COUNTIF(Tableau2[[#This Row],[Séance 1]:[Séance 38]],"A")</f>
        <v>0</v>
      </c>
      <c r="BJ103" s="35"/>
    </row>
    <row r="104" spans="1:62" hidden="1" x14ac:dyDescent="0.2">
      <c r="A104" s="44" t="s">
        <v>293</v>
      </c>
      <c r="B104" s="44" t="s">
        <v>295</v>
      </c>
      <c r="C104" s="44" t="s">
        <v>3555</v>
      </c>
      <c r="D104" s="44" t="s">
        <v>296</v>
      </c>
      <c r="E104" s="44" t="s">
        <v>120</v>
      </c>
      <c r="F104" s="44">
        <v>2021</v>
      </c>
      <c r="G104" s="44">
        <v>31</v>
      </c>
      <c r="H104" s="44">
        <v>1</v>
      </c>
      <c r="I104" s="44" t="str">
        <f>Tableau2[[#This Row],[Annee d''inscription au programme]]&amp;"-"&amp;Tableau2[[#This Row],[Code d''ecole]]&amp;"-"&amp;Tableau2[[#This Row],[Numero HM de la fille]]</f>
        <v>2021-31-1</v>
      </c>
      <c r="J104" s="45" t="s">
        <v>1362</v>
      </c>
      <c r="K104" s="44" t="s">
        <v>297</v>
      </c>
      <c r="L104" s="35" t="s">
        <v>298</v>
      </c>
      <c r="M104" s="35">
        <v>10</v>
      </c>
      <c r="N104" s="35">
        <v>14.5</v>
      </c>
      <c r="O104" s="35">
        <f t="shared" si="2"/>
        <v>12.25</v>
      </c>
      <c r="P104" s="35">
        <v>18</v>
      </c>
      <c r="Q104" s="35">
        <v>16</v>
      </c>
      <c r="R104" s="35">
        <f t="shared" si="3"/>
        <v>17</v>
      </c>
      <c r="S104" s="35"/>
      <c r="T104" s="35"/>
      <c r="U104" s="35"/>
      <c r="V104" s="35" t="e">
        <f>AVERAGE(Tableau2[[#This Row],[1ère composition/10]:[3è composition]])</f>
        <v>#DIV/0!</v>
      </c>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f>COUNTIF(Tableau2[[#This Row],[Séance 1]:[Séance 38]],"A")</f>
        <v>0</v>
      </c>
      <c r="BJ104" s="35"/>
    </row>
    <row r="105" spans="1:62" hidden="1" x14ac:dyDescent="0.2">
      <c r="A105" s="44" t="s">
        <v>293</v>
      </c>
      <c r="B105" s="44" t="s">
        <v>299</v>
      </c>
      <c r="C105" s="44" t="s">
        <v>3555</v>
      </c>
      <c r="D105" s="44" t="s">
        <v>300</v>
      </c>
      <c r="E105" s="44" t="s">
        <v>120</v>
      </c>
      <c r="F105" s="44">
        <v>2021</v>
      </c>
      <c r="G105" s="44">
        <v>31</v>
      </c>
      <c r="H105" s="44">
        <v>2</v>
      </c>
      <c r="I105" s="44" t="str">
        <f>Tableau2[[#This Row],[Annee d''inscription au programme]]&amp;"-"&amp;Tableau2[[#This Row],[Code d''ecole]]&amp;"-"&amp;Tableau2[[#This Row],[Numero HM de la fille]]</f>
        <v>2021-31-2</v>
      </c>
      <c r="J105" s="45" t="s">
        <v>1363</v>
      </c>
      <c r="K105" s="44" t="s">
        <v>297</v>
      </c>
      <c r="L105" s="35" t="s">
        <v>298</v>
      </c>
      <c r="M105" s="35">
        <v>0</v>
      </c>
      <c r="N105" s="35">
        <v>0</v>
      </c>
      <c r="O105" s="35">
        <f t="shared" si="2"/>
        <v>0</v>
      </c>
      <c r="P105" s="35">
        <v>17</v>
      </c>
      <c r="Q105" s="35">
        <v>15</v>
      </c>
      <c r="R105" s="35">
        <f t="shared" si="3"/>
        <v>16</v>
      </c>
      <c r="S105" s="35"/>
      <c r="T105" s="35"/>
      <c r="U105" s="35"/>
      <c r="V105" s="35" t="e">
        <f>AVERAGE(Tableau2[[#This Row],[1ère composition/10]:[3è composition]])</f>
        <v>#DIV/0!</v>
      </c>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f>COUNTIF(Tableau2[[#This Row],[Séance 1]:[Séance 38]],"A")</f>
        <v>0</v>
      </c>
      <c r="BJ105" s="35"/>
    </row>
    <row r="106" spans="1:62" hidden="1" x14ac:dyDescent="0.2">
      <c r="A106" s="44" t="s">
        <v>293</v>
      </c>
      <c r="B106" s="44" t="s">
        <v>301</v>
      </c>
      <c r="C106" s="44" t="s">
        <v>3555</v>
      </c>
      <c r="D106" s="44" t="s">
        <v>302</v>
      </c>
      <c r="E106" s="44" t="s">
        <v>120</v>
      </c>
      <c r="F106" s="44">
        <v>2021</v>
      </c>
      <c r="G106" s="44">
        <v>31</v>
      </c>
      <c r="H106" s="44">
        <v>3</v>
      </c>
      <c r="I106" s="44" t="str">
        <f>Tableau2[[#This Row],[Annee d''inscription au programme]]&amp;"-"&amp;Tableau2[[#This Row],[Code d''ecole]]&amp;"-"&amp;Tableau2[[#This Row],[Numero HM de la fille]]</f>
        <v>2021-31-3</v>
      </c>
      <c r="J106" s="45" t="s">
        <v>1364</v>
      </c>
      <c r="K106" s="44" t="s">
        <v>297</v>
      </c>
      <c r="L106" s="35" t="s">
        <v>298</v>
      </c>
      <c r="M106" s="35">
        <v>13.5</v>
      </c>
      <c r="N106" s="50">
        <v>19</v>
      </c>
      <c r="O106" s="50">
        <f t="shared" si="2"/>
        <v>16.25</v>
      </c>
      <c r="P106" s="35">
        <v>15.5</v>
      </c>
      <c r="Q106" s="35">
        <v>18.5</v>
      </c>
      <c r="R106" s="35">
        <f t="shared" si="3"/>
        <v>17</v>
      </c>
      <c r="S106" s="35"/>
      <c r="T106" s="35"/>
      <c r="U106" s="35"/>
      <c r="V106" s="35" t="e">
        <f>AVERAGE(Tableau2[[#This Row],[1ère composition/10]:[3è composition]])</f>
        <v>#DIV/0!</v>
      </c>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f>COUNTIF(Tableau2[[#This Row],[Séance 1]:[Séance 38]],"A")</f>
        <v>0</v>
      </c>
      <c r="BJ106" s="35"/>
    </row>
    <row r="107" spans="1:62" hidden="1" x14ac:dyDescent="0.2">
      <c r="A107" s="44" t="s">
        <v>293</v>
      </c>
      <c r="B107" s="44" t="s">
        <v>303</v>
      </c>
      <c r="C107" s="44" t="s">
        <v>3555</v>
      </c>
      <c r="D107" s="44" t="s">
        <v>304</v>
      </c>
      <c r="E107" s="44" t="s">
        <v>120</v>
      </c>
      <c r="F107" s="44">
        <v>2021</v>
      </c>
      <c r="G107" s="44">
        <v>31</v>
      </c>
      <c r="H107" s="44">
        <v>4</v>
      </c>
      <c r="I107" s="44" t="str">
        <f>Tableau2[[#This Row],[Annee d''inscription au programme]]&amp;"-"&amp;Tableau2[[#This Row],[Code d''ecole]]&amp;"-"&amp;Tableau2[[#This Row],[Numero HM de la fille]]</f>
        <v>2021-31-4</v>
      </c>
      <c r="J107" s="45" t="s">
        <v>1365</v>
      </c>
      <c r="K107" s="44" t="s">
        <v>297</v>
      </c>
      <c r="L107" s="35" t="s">
        <v>298</v>
      </c>
      <c r="M107" s="35">
        <v>5.5</v>
      </c>
      <c r="N107" s="50">
        <v>5</v>
      </c>
      <c r="O107" s="50">
        <f t="shared" si="2"/>
        <v>5.25</v>
      </c>
      <c r="P107" s="35">
        <v>11.5</v>
      </c>
      <c r="Q107" s="35">
        <v>8</v>
      </c>
      <c r="R107" s="35">
        <f t="shared" si="3"/>
        <v>9.75</v>
      </c>
      <c r="S107" s="35"/>
      <c r="T107" s="35"/>
      <c r="U107" s="35"/>
      <c r="V107" s="35" t="e">
        <f>AVERAGE(Tableau2[[#This Row],[1ère composition/10]:[3è composition]])</f>
        <v>#DIV/0!</v>
      </c>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f>COUNTIF(Tableau2[[#This Row],[Séance 1]:[Séance 38]],"A")</f>
        <v>0</v>
      </c>
      <c r="BJ107" s="35"/>
    </row>
    <row r="108" spans="1:62" hidden="1" x14ac:dyDescent="0.2">
      <c r="A108" s="44" t="s">
        <v>293</v>
      </c>
      <c r="B108" s="44" t="s">
        <v>305</v>
      </c>
      <c r="C108" s="44" t="s">
        <v>3555</v>
      </c>
      <c r="D108" s="44" t="s">
        <v>306</v>
      </c>
      <c r="E108" s="44" t="s">
        <v>120</v>
      </c>
      <c r="F108" s="44">
        <v>2021</v>
      </c>
      <c r="G108" s="44">
        <v>31</v>
      </c>
      <c r="H108" s="44">
        <v>5</v>
      </c>
      <c r="I108" s="44" t="str">
        <f>Tableau2[[#This Row],[Annee d''inscription au programme]]&amp;"-"&amp;Tableau2[[#This Row],[Code d''ecole]]&amp;"-"&amp;Tableau2[[#This Row],[Numero HM de la fille]]</f>
        <v>2021-31-5</v>
      </c>
      <c r="J108" s="45" t="s">
        <v>1366</v>
      </c>
      <c r="K108" s="44" t="s">
        <v>297</v>
      </c>
      <c r="L108" s="35" t="s">
        <v>298</v>
      </c>
      <c r="M108" s="35">
        <v>11</v>
      </c>
      <c r="N108" s="50">
        <v>14.75</v>
      </c>
      <c r="O108" s="50">
        <f t="shared" si="2"/>
        <v>12.875</v>
      </c>
      <c r="P108" s="35">
        <v>17</v>
      </c>
      <c r="Q108" s="35">
        <v>18</v>
      </c>
      <c r="R108" s="35">
        <f t="shared" si="3"/>
        <v>17.5</v>
      </c>
      <c r="S108" s="35"/>
      <c r="T108" s="35"/>
      <c r="U108" s="35"/>
      <c r="V108" s="35" t="e">
        <f>AVERAGE(Tableau2[[#This Row],[1ère composition/10]:[3è composition]])</f>
        <v>#DIV/0!</v>
      </c>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f>COUNTIF(Tableau2[[#This Row],[Séance 1]:[Séance 38]],"A")</f>
        <v>0</v>
      </c>
      <c r="BJ108" s="35"/>
    </row>
    <row r="109" spans="1:62" hidden="1" x14ac:dyDescent="0.2">
      <c r="A109" s="44" t="s">
        <v>293</v>
      </c>
      <c r="B109" s="44" t="s">
        <v>307</v>
      </c>
      <c r="C109" s="44" t="s">
        <v>3555</v>
      </c>
      <c r="D109" s="44" t="s">
        <v>291</v>
      </c>
      <c r="E109" s="44" t="s">
        <v>120</v>
      </c>
      <c r="F109" s="44">
        <v>2021</v>
      </c>
      <c r="G109" s="44">
        <v>31</v>
      </c>
      <c r="H109" s="44">
        <v>6</v>
      </c>
      <c r="I109" s="44" t="str">
        <f>Tableau2[[#This Row],[Annee d''inscription au programme]]&amp;"-"&amp;Tableau2[[#This Row],[Code d''ecole]]&amp;"-"&amp;Tableau2[[#This Row],[Numero HM de la fille]]</f>
        <v>2021-31-6</v>
      </c>
      <c r="J109" s="45" t="s">
        <v>1367</v>
      </c>
      <c r="K109" s="44" t="s">
        <v>297</v>
      </c>
      <c r="L109" s="35" t="s">
        <v>298</v>
      </c>
      <c r="M109" s="35">
        <v>10</v>
      </c>
      <c r="N109" s="50">
        <v>6.5</v>
      </c>
      <c r="O109" s="50">
        <f t="shared" si="2"/>
        <v>8.25</v>
      </c>
      <c r="P109" s="35">
        <v>16</v>
      </c>
      <c r="Q109" s="35">
        <v>12</v>
      </c>
      <c r="R109" s="35">
        <f t="shared" si="3"/>
        <v>14</v>
      </c>
      <c r="S109" s="35"/>
      <c r="T109" s="35"/>
      <c r="U109" s="35"/>
      <c r="V109" s="35" t="e">
        <f>AVERAGE(Tableau2[[#This Row],[1ère composition/10]:[3è composition]])</f>
        <v>#DIV/0!</v>
      </c>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f>COUNTIF(Tableau2[[#This Row],[Séance 1]:[Séance 38]],"A")</f>
        <v>0</v>
      </c>
      <c r="BJ109" s="35"/>
    </row>
    <row r="110" spans="1:62" hidden="1" x14ac:dyDescent="0.2">
      <c r="A110" s="44" t="s">
        <v>293</v>
      </c>
      <c r="B110" s="44" t="s">
        <v>308</v>
      </c>
      <c r="C110" s="44" t="s">
        <v>3555</v>
      </c>
      <c r="D110" s="44" t="s">
        <v>309</v>
      </c>
      <c r="E110" s="44" t="s">
        <v>120</v>
      </c>
      <c r="F110" s="44">
        <v>2021</v>
      </c>
      <c r="G110" s="44">
        <v>31</v>
      </c>
      <c r="H110" s="44">
        <v>7</v>
      </c>
      <c r="I110" s="44" t="str">
        <f>Tableau2[[#This Row],[Annee d''inscription au programme]]&amp;"-"&amp;Tableau2[[#This Row],[Code d''ecole]]&amp;"-"&amp;Tableau2[[#This Row],[Numero HM de la fille]]</f>
        <v>2021-31-7</v>
      </c>
      <c r="J110" s="45" t="s">
        <v>1368</v>
      </c>
      <c r="K110" s="44" t="s">
        <v>297</v>
      </c>
      <c r="L110" s="35" t="s">
        <v>298</v>
      </c>
      <c r="M110" s="35">
        <v>11.5</v>
      </c>
      <c r="N110" s="50">
        <v>12.75</v>
      </c>
      <c r="O110" s="50">
        <f t="shared" si="2"/>
        <v>12.125</v>
      </c>
      <c r="P110" s="35">
        <v>17.5</v>
      </c>
      <c r="Q110" s="35">
        <v>11</v>
      </c>
      <c r="R110" s="35">
        <f t="shared" si="3"/>
        <v>14.25</v>
      </c>
      <c r="S110" s="35"/>
      <c r="T110" s="35"/>
      <c r="U110" s="35"/>
      <c r="V110" s="35" t="e">
        <f>AVERAGE(Tableau2[[#This Row],[1ère composition/10]:[3è composition]])</f>
        <v>#DIV/0!</v>
      </c>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f>COUNTIF(Tableau2[[#This Row],[Séance 1]:[Séance 38]],"A")</f>
        <v>0</v>
      </c>
      <c r="BJ110" s="35"/>
    </row>
    <row r="111" spans="1:62" hidden="1" x14ac:dyDescent="0.2">
      <c r="A111" s="44" t="s">
        <v>293</v>
      </c>
      <c r="B111" s="44" t="s">
        <v>310</v>
      </c>
      <c r="C111" s="44" t="s">
        <v>3555</v>
      </c>
      <c r="D111" s="44" t="s">
        <v>311</v>
      </c>
      <c r="E111" s="44" t="s">
        <v>120</v>
      </c>
      <c r="F111" s="44">
        <v>2021</v>
      </c>
      <c r="G111" s="44">
        <v>31</v>
      </c>
      <c r="H111" s="44">
        <v>8</v>
      </c>
      <c r="I111" s="44" t="str">
        <f>Tableau2[[#This Row],[Annee d''inscription au programme]]&amp;"-"&amp;Tableau2[[#This Row],[Code d''ecole]]&amp;"-"&amp;Tableau2[[#This Row],[Numero HM de la fille]]</f>
        <v>2021-31-8</v>
      </c>
      <c r="J111" s="45" t="s">
        <v>1369</v>
      </c>
      <c r="K111" s="44" t="s">
        <v>297</v>
      </c>
      <c r="L111" s="35" t="s">
        <v>298</v>
      </c>
      <c r="M111" s="35">
        <v>14.25</v>
      </c>
      <c r="N111" s="50">
        <v>19.75</v>
      </c>
      <c r="O111" s="50">
        <f t="shared" si="2"/>
        <v>17</v>
      </c>
      <c r="P111" s="35">
        <v>13</v>
      </c>
      <c r="Q111" s="35">
        <v>16.75</v>
      </c>
      <c r="R111" s="35">
        <f t="shared" si="3"/>
        <v>14.875</v>
      </c>
      <c r="S111" s="35"/>
      <c r="T111" s="35"/>
      <c r="U111" s="35"/>
      <c r="V111" s="35" t="e">
        <f>AVERAGE(Tableau2[[#This Row],[1ère composition/10]:[3è composition]])</f>
        <v>#DIV/0!</v>
      </c>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f>COUNTIF(Tableau2[[#This Row],[Séance 1]:[Séance 38]],"A")</f>
        <v>0</v>
      </c>
      <c r="BJ111" s="35"/>
    </row>
    <row r="112" spans="1:62" hidden="1" x14ac:dyDescent="0.2">
      <c r="A112" s="44" t="s">
        <v>293</v>
      </c>
      <c r="B112" s="44" t="s">
        <v>312</v>
      </c>
      <c r="C112" s="44" t="s">
        <v>3555</v>
      </c>
      <c r="D112" s="44" t="s">
        <v>313</v>
      </c>
      <c r="E112" s="44" t="s">
        <v>120</v>
      </c>
      <c r="F112" s="44">
        <v>2021</v>
      </c>
      <c r="G112" s="44">
        <v>31</v>
      </c>
      <c r="H112" s="44">
        <v>9</v>
      </c>
      <c r="I112" s="44" t="str">
        <f>Tableau2[[#This Row],[Annee d''inscription au programme]]&amp;"-"&amp;Tableau2[[#This Row],[Code d''ecole]]&amp;"-"&amp;Tableau2[[#This Row],[Numero HM de la fille]]</f>
        <v>2021-31-9</v>
      </c>
      <c r="J112" s="45" t="s">
        <v>1370</v>
      </c>
      <c r="K112" s="44" t="s">
        <v>297</v>
      </c>
      <c r="L112" s="35" t="s">
        <v>298</v>
      </c>
      <c r="M112" s="35">
        <v>10.5</v>
      </c>
      <c r="N112" s="50">
        <v>6</v>
      </c>
      <c r="O112" s="50">
        <f t="shared" si="2"/>
        <v>8.25</v>
      </c>
      <c r="P112" s="35">
        <v>14</v>
      </c>
      <c r="Q112" s="35">
        <v>5.25</v>
      </c>
      <c r="R112" s="35">
        <f t="shared" si="3"/>
        <v>9.625</v>
      </c>
      <c r="S112" s="35"/>
      <c r="T112" s="35"/>
      <c r="U112" s="35"/>
      <c r="V112" s="35" t="e">
        <f>AVERAGE(Tableau2[[#This Row],[1ère composition/10]:[3è composition]])</f>
        <v>#DIV/0!</v>
      </c>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f>COUNTIF(Tableau2[[#This Row],[Séance 1]:[Séance 38]],"A")</f>
        <v>0</v>
      </c>
      <c r="BJ112" s="35"/>
    </row>
    <row r="113" spans="1:62" hidden="1" x14ac:dyDescent="0.2">
      <c r="A113" s="44" t="s">
        <v>293</v>
      </c>
      <c r="B113" s="44" t="s">
        <v>314</v>
      </c>
      <c r="C113" s="44" t="s">
        <v>3555</v>
      </c>
      <c r="D113" s="44" t="s">
        <v>315</v>
      </c>
      <c r="E113" s="44" t="s">
        <v>120</v>
      </c>
      <c r="F113" s="44">
        <v>2021</v>
      </c>
      <c r="G113" s="44">
        <v>31</v>
      </c>
      <c r="H113" s="44">
        <v>10</v>
      </c>
      <c r="I113" s="44" t="str">
        <f>Tableau2[[#This Row],[Annee d''inscription au programme]]&amp;"-"&amp;Tableau2[[#This Row],[Code d''ecole]]&amp;"-"&amp;Tableau2[[#This Row],[Numero HM de la fille]]</f>
        <v>2021-31-10</v>
      </c>
      <c r="J113" s="45" t="s">
        <v>1371</v>
      </c>
      <c r="K113" s="44" t="s">
        <v>297</v>
      </c>
      <c r="L113" s="35" t="s">
        <v>298</v>
      </c>
      <c r="M113" s="35">
        <v>10.5</v>
      </c>
      <c r="N113" s="50">
        <v>12.5</v>
      </c>
      <c r="O113" s="50">
        <f t="shared" si="2"/>
        <v>11.5</v>
      </c>
      <c r="P113" s="35">
        <v>17</v>
      </c>
      <c r="Q113" s="35">
        <v>13.75</v>
      </c>
      <c r="R113" s="35">
        <f t="shared" si="3"/>
        <v>15.375</v>
      </c>
      <c r="S113" s="35"/>
      <c r="T113" s="35"/>
      <c r="U113" s="35"/>
      <c r="V113" s="35" t="e">
        <f>AVERAGE(Tableau2[[#This Row],[1ère composition/10]:[3è composition]])</f>
        <v>#DIV/0!</v>
      </c>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f>COUNTIF(Tableau2[[#This Row],[Séance 1]:[Séance 38]],"A")</f>
        <v>0</v>
      </c>
      <c r="BJ113" s="35"/>
    </row>
    <row r="114" spans="1:62" hidden="1" x14ac:dyDescent="0.2">
      <c r="A114" s="44" t="s">
        <v>293</v>
      </c>
      <c r="B114" s="44" t="s">
        <v>316</v>
      </c>
      <c r="C114" s="44" t="s">
        <v>3555</v>
      </c>
      <c r="D114" s="44" t="s">
        <v>317</v>
      </c>
      <c r="E114" s="44" t="s">
        <v>120</v>
      </c>
      <c r="F114" s="44">
        <v>2021</v>
      </c>
      <c r="G114" s="44">
        <v>31</v>
      </c>
      <c r="H114" s="44">
        <v>11</v>
      </c>
      <c r="I114" s="44" t="str">
        <f>Tableau2[[#This Row],[Annee d''inscription au programme]]&amp;"-"&amp;Tableau2[[#This Row],[Code d''ecole]]&amp;"-"&amp;Tableau2[[#This Row],[Numero HM de la fille]]</f>
        <v>2021-31-11</v>
      </c>
      <c r="J114" s="45" t="s">
        <v>1372</v>
      </c>
      <c r="K114" s="44" t="s">
        <v>297</v>
      </c>
      <c r="L114" s="35" t="s">
        <v>298</v>
      </c>
      <c r="M114" s="35">
        <v>12</v>
      </c>
      <c r="N114" s="35">
        <v>8</v>
      </c>
      <c r="O114" s="35">
        <f t="shared" si="2"/>
        <v>10</v>
      </c>
      <c r="P114" s="35">
        <v>12.5</v>
      </c>
      <c r="Q114" s="35">
        <v>14</v>
      </c>
      <c r="R114" s="35">
        <f t="shared" si="3"/>
        <v>13.25</v>
      </c>
      <c r="S114" s="35"/>
      <c r="T114" s="35"/>
      <c r="U114" s="35"/>
      <c r="V114" s="35" t="e">
        <f>AVERAGE(Tableau2[[#This Row],[1ère composition/10]:[3è composition]])</f>
        <v>#DIV/0!</v>
      </c>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f>COUNTIF(Tableau2[[#This Row],[Séance 1]:[Séance 38]],"A")</f>
        <v>0</v>
      </c>
      <c r="BJ114" s="35"/>
    </row>
    <row r="115" spans="1:62" hidden="1" x14ac:dyDescent="0.2">
      <c r="A115" s="44" t="s">
        <v>293</v>
      </c>
      <c r="B115" s="44" t="s">
        <v>318</v>
      </c>
      <c r="C115" s="44" t="s">
        <v>3555</v>
      </c>
      <c r="D115" s="44" t="s">
        <v>319</v>
      </c>
      <c r="E115" s="44" t="s">
        <v>120</v>
      </c>
      <c r="F115" s="44">
        <v>2020</v>
      </c>
      <c r="G115" s="44">
        <v>31</v>
      </c>
      <c r="H115" s="44">
        <v>157</v>
      </c>
      <c r="I115" s="44" t="str">
        <f>Tableau2[[#This Row],[Annee d''inscription au programme]]&amp;"-"&amp;Tableau2[[#This Row],[Code d''ecole]]&amp;"-"&amp;Tableau2[[#This Row],[Numero HM de la fille]]</f>
        <v>2020-31-157</v>
      </c>
      <c r="J115" s="45" t="s">
        <v>1373</v>
      </c>
      <c r="K115" s="44" t="s">
        <v>374</v>
      </c>
      <c r="L115" s="35" t="s">
        <v>620</v>
      </c>
      <c r="M115" s="35">
        <v>12</v>
      </c>
      <c r="N115" s="35">
        <v>9</v>
      </c>
      <c r="O115" s="35">
        <f t="shared" si="2"/>
        <v>10.5</v>
      </c>
      <c r="P115" s="35">
        <v>10.5</v>
      </c>
      <c r="Q115" s="35">
        <v>16.5</v>
      </c>
      <c r="R115" s="35">
        <f t="shared" si="3"/>
        <v>13.5</v>
      </c>
      <c r="S115" s="35"/>
      <c r="T115" s="35"/>
      <c r="U115" s="35"/>
      <c r="V115" s="35" t="e">
        <f>AVERAGE(Tableau2[[#This Row],[1ère composition/10]:[3è composition]])</f>
        <v>#DIV/0!</v>
      </c>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f>COUNTIF(Tableau2[[#This Row],[Séance 1]:[Séance 38]],"A")</f>
        <v>0</v>
      </c>
      <c r="BJ115" s="35"/>
    </row>
    <row r="116" spans="1:62" hidden="1" x14ac:dyDescent="0.2">
      <c r="A116" s="44" t="s">
        <v>293</v>
      </c>
      <c r="B116" s="44" t="s">
        <v>320</v>
      </c>
      <c r="C116" s="44" t="s">
        <v>3555</v>
      </c>
      <c r="D116" s="44" t="s">
        <v>321</v>
      </c>
      <c r="E116" s="44" t="s">
        <v>120</v>
      </c>
      <c r="F116" s="44">
        <v>2021</v>
      </c>
      <c r="G116" s="44">
        <v>31</v>
      </c>
      <c r="H116" s="44">
        <v>12</v>
      </c>
      <c r="I116" s="44" t="str">
        <f>Tableau2[[#This Row],[Annee d''inscription au programme]]&amp;"-"&amp;Tableau2[[#This Row],[Code d''ecole]]&amp;"-"&amp;Tableau2[[#This Row],[Numero HM de la fille]]</f>
        <v>2021-31-12</v>
      </c>
      <c r="J116" s="45" t="s">
        <v>1374</v>
      </c>
      <c r="K116" s="44" t="s">
        <v>297</v>
      </c>
      <c r="L116" s="35" t="s">
        <v>298</v>
      </c>
      <c r="M116" s="35">
        <v>4</v>
      </c>
      <c r="N116" s="35">
        <v>2</v>
      </c>
      <c r="O116" s="35">
        <f t="shared" si="2"/>
        <v>3</v>
      </c>
      <c r="P116" s="35">
        <v>8.5</v>
      </c>
      <c r="Q116" s="35">
        <v>9.25</v>
      </c>
      <c r="R116" s="35">
        <f t="shared" si="3"/>
        <v>8.875</v>
      </c>
      <c r="S116" s="35"/>
      <c r="T116" s="35"/>
      <c r="U116" s="35"/>
      <c r="V116" s="35" t="e">
        <f>AVERAGE(Tableau2[[#This Row],[1ère composition/10]:[3è composition]])</f>
        <v>#DIV/0!</v>
      </c>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f>COUNTIF(Tableau2[[#This Row],[Séance 1]:[Séance 38]],"A")</f>
        <v>0</v>
      </c>
      <c r="BJ116" s="35"/>
    </row>
    <row r="117" spans="1:62" hidden="1" x14ac:dyDescent="0.2">
      <c r="A117" s="44" t="s">
        <v>293</v>
      </c>
      <c r="B117" s="44" t="s">
        <v>322</v>
      </c>
      <c r="C117" s="44" t="s">
        <v>3555</v>
      </c>
      <c r="D117" s="44" t="s">
        <v>323</v>
      </c>
      <c r="E117" s="44" t="s">
        <v>120</v>
      </c>
      <c r="F117" s="44">
        <v>2021</v>
      </c>
      <c r="G117" s="44">
        <v>31</v>
      </c>
      <c r="H117" s="44">
        <v>13</v>
      </c>
      <c r="I117" s="44" t="str">
        <f>Tableau2[[#This Row],[Annee d''inscription au programme]]&amp;"-"&amp;Tableau2[[#This Row],[Code d''ecole]]&amp;"-"&amp;Tableau2[[#This Row],[Numero HM de la fille]]</f>
        <v>2021-31-13</v>
      </c>
      <c r="J117" s="45" t="s">
        <v>1375</v>
      </c>
      <c r="K117" s="44" t="s">
        <v>297</v>
      </c>
      <c r="L117" s="35" t="s">
        <v>298</v>
      </c>
      <c r="M117" s="35">
        <v>16</v>
      </c>
      <c r="N117" s="35">
        <v>19.5</v>
      </c>
      <c r="O117" s="35">
        <f t="shared" si="2"/>
        <v>17.75</v>
      </c>
      <c r="P117" s="35">
        <v>19.5</v>
      </c>
      <c r="Q117" s="35">
        <v>4.75</v>
      </c>
      <c r="R117" s="35">
        <f t="shared" si="3"/>
        <v>12.125</v>
      </c>
      <c r="S117" s="35"/>
      <c r="T117" s="35"/>
      <c r="U117" s="35"/>
      <c r="V117" s="35" t="e">
        <f>AVERAGE(Tableau2[[#This Row],[1ère composition/10]:[3è composition]])</f>
        <v>#DIV/0!</v>
      </c>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f>COUNTIF(Tableau2[[#This Row],[Séance 1]:[Séance 38]],"A")</f>
        <v>0</v>
      </c>
      <c r="BJ117" s="35"/>
    </row>
    <row r="118" spans="1:62" hidden="1" x14ac:dyDescent="0.2">
      <c r="A118" s="44" t="s">
        <v>293</v>
      </c>
      <c r="B118" s="44" t="s">
        <v>324</v>
      </c>
      <c r="C118" s="44" t="s">
        <v>3555</v>
      </c>
      <c r="D118" s="44" t="s">
        <v>325</v>
      </c>
      <c r="E118" s="44" t="s">
        <v>120</v>
      </c>
      <c r="F118" s="44">
        <v>2021</v>
      </c>
      <c r="G118" s="44">
        <v>31</v>
      </c>
      <c r="H118" s="44">
        <v>14</v>
      </c>
      <c r="I118" s="44" t="str">
        <f>Tableau2[[#This Row],[Annee d''inscription au programme]]&amp;"-"&amp;Tableau2[[#This Row],[Code d''ecole]]&amp;"-"&amp;Tableau2[[#This Row],[Numero HM de la fille]]</f>
        <v>2021-31-14</v>
      </c>
      <c r="J118" s="45" t="s">
        <v>1376</v>
      </c>
      <c r="K118" s="44" t="s">
        <v>297</v>
      </c>
      <c r="L118" s="35" t="s">
        <v>298</v>
      </c>
      <c r="M118" s="35">
        <v>5</v>
      </c>
      <c r="N118" s="50">
        <v>0</v>
      </c>
      <c r="O118" s="50">
        <f t="shared" si="2"/>
        <v>2.5</v>
      </c>
      <c r="P118" s="35">
        <v>10</v>
      </c>
      <c r="Q118" s="35">
        <v>11</v>
      </c>
      <c r="R118" s="35">
        <f t="shared" si="3"/>
        <v>10.5</v>
      </c>
      <c r="S118" s="35"/>
      <c r="T118" s="35"/>
      <c r="U118" s="35"/>
      <c r="V118" s="35" t="e">
        <f>AVERAGE(Tableau2[[#This Row],[1ère composition/10]:[3è composition]])</f>
        <v>#DIV/0!</v>
      </c>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f>COUNTIF(Tableau2[[#This Row],[Séance 1]:[Séance 38]],"A")</f>
        <v>0</v>
      </c>
      <c r="BJ118" s="35"/>
    </row>
    <row r="119" spans="1:62" hidden="1" x14ac:dyDescent="0.2">
      <c r="A119" s="44" t="s">
        <v>293</v>
      </c>
      <c r="B119" s="44" t="s">
        <v>326</v>
      </c>
      <c r="C119" s="44" t="s">
        <v>3555</v>
      </c>
      <c r="D119" s="44" t="s">
        <v>309</v>
      </c>
      <c r="E119" s="44" t="s">
        <v>120</v>
      </c>
      <c r="F119" s="44">
        <v>2021</v>
      </c>
      <c r="G119" s="44">
        <v>31</v>
      </c>
      <c r="H119" s="44">
        <v>15</v>
      </c>
      <c r="I119" s="44" t="str">
        <f>Tableau2[[#This Row],[Annee d''inscription au programme]]&amp;"-"&amp;Tableau2[[#This Row],[Code d''ecole]]&amp;"-"&amp;Tableau2[[#This Row],[Numero HM de la fille]]</f>
        <v>2021-31-15</v>
      </c>
      <c r="J119" s="45" t="s">
        <v>1377</v>
      </c>
      <c r="K119" s="44" t="s">
        <v>297</v>
      </c>
      <c r="L119" s="35" t="s">
        <v>298</v>
      </c>
      <c r="M119" s="35">
        <v>9</v>
      </c>
      <c r="N119" s="50">
        <v>11</v>
      </c>
      <c r="O119" s="50">
        <f t="shared" si="2"/>
        <v>10</v>
      </c>
      <c r="P119" s="35">
        <v>9</v>
      </c>
      <c r="Q119" s="35">
        <v>9</v>
      </c>
      <c r="R119" s="35">
        <f t="shared" si="3"/>
        <v>9</v>
      </c>
      <c r="S119" s="35"/>
      <c r="T119" s="35"/>
      <c r="U119" s="35"/>
      <c r="V119" s="35" t="e">
        <f>AVERAGE(Tableau2[[#This Row],[1ère composition/10]:[3è composition]])</f>
        <v>#DIV/0!</v>
      </c>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f>COUNTIF(Tableau2[[#This Row],[Séance 1]:[Séance 38]],"A")</f>
        <v>0</v>
      </c>
      <c r="BJ119" s="35"/>
    </row>
    <row r="120" spans="1:62" hidden="1" x14ac:dyDescent="0.2">
      <c r="A120" s="44" t="s">
        <v>293</v>
      </c>
      <c r="B120" s="44" t="s">
        <v>327</v>
      </c>
      <c r="C120" s="44" t="s">
        <v>3555</v>
      </c>
      <c r="D120" s="44" t="s">
        <v>328</v>
      </c>
      <c r="E120" s="44" t="s">
        <v>120</v>
      </c>
      <c r="F120" s="44">
        <v>2021</v>
      </c>
      <c r="G120" s="44">
        <v>31</v>
      </c>
      <c r="H120" s="44">
        <v>16</v>
      </c>
      <c r="I120" s="44" t="str">
        <f>Tableau2[[#This Row],[Annee d''inscription au programme]]&amp;"-"&amp;Tableau2[[#This Row],[Code d''ecole]]&amp;"-"&amp;Tableau2[[#This Row],[Numero HM de la fille]]</f>
        <v>2021-31-16</v>
      </c>
      <c r="J120" s="45" t="s">
        <v>1378</v>
      </c>
      <c r="K120" s="44" t="s">
        <v>297</v>
      </c>
      <c r="L120" s="35" t="s">
        <v>298</v>
      </c>
      <c r="M120" s="35">
        <v>13.5</v>
      </c>
      <c r="N120" s="50">
        <v>9.5</v>
      </c>
      <c r="O120" s="50">
        <f t="shared" si="2"/>
        <v>11.5</v>
      </c>
      <c r="P120" s="35">
        <v>11.5</v>
      </c>
      <c r="Q120" s="35">
        <v>13</v>
      </c>
      <c r="R120" s="35">
        <f t="shared" si="3"/>
        <v>12.25</v>
      </c>
      <c r="S120" s="35"/>
      <c r="T120" s="35"/>
      <c r="U120" s="35"/>
      <c r="V120" s="35" t="e">
        <f>AVERAGE(Tableau2[[#This Row],[1ère composition/10]:[3è composition]])</f>
        <v>#DIV/0!</v>
      </c>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f>COUNTIF(Tableau2[[#This Row],[Séance 1]:[Séance 38]],"A")</f>
        <v>0</v>
      </c>
      <c r="BJ120" s="35"/>
    </row>
    <row r="121" spans="1:62" hidden="1" x14ac:dyDescent="0.2">
      <c r="A121" s="44" t="s">
        <v>293</v>
      </c>
      <c r="B121" s="44" t="s">
        <v>329</v>
      </c>
      <c r="C121" s="44" t="s">
        <v>3555</v>
      </c>
      <c r="D121" s="44" t="s">
        <v>330</v>
      </c>
      <c r="E121" s="44" t="s">
        <v>120</v>
      </c>
      <c r="F121" s="44">
        <v>2021</v>
      </c>
      <c r="G121" s="44">
        <v>31</v>
      </c>
      <c r="H121" s="44">
        <v>17</v>
      </c>
      <c r="I121" s="44" t="str">
        <f>Tableau2[[#This Row],[Annee d''inscription au programme]]&amp;"-"&amp;Tableau2[[#This Row],[Code d''ecole]]&amp;"-"&amp;Tableau2[[#This Row],[Numero HM de la fille]]</f>
        <v>2021-31-17</v>
      </c>
      <c r="J121" s="45" t="s">
        <v>1379</v>
      </c>
      <c r="K121" s="44" t="s">
        <v>297</v>
      </c>
      <c r="L121" s="35" t="s">
        <v>298</v>
      </c>
      <c r="M121" s="35">
        <v>6.5</v>
      </c>
      <c r="N121" s="50">
        <v>11</v>
      </c>
      <c r="O121" s="50">
        <f t="shared" si="2"/>
        <v>8.75</v>
      </c>
      <c r="P121" s="35"/>
      <c r="Q121" s="35"/>
      <c r="R121" s="35">
        <f t="shared" si="3"/>
        <v>0</v>
      </c>
      <c r="S121" s="35"/>
      <c r="T121" s="35"/>
      <c r="U121" s="35"/>
      <c r="V121" s="35" t="e">
        <f>AVERAGE(Tableau2[[#This Row],[1ère composition/10]:[3è composition]])</f>
        <v>#DIV/0!</v>
      </c>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f>COUNTIF(Tableau2[[#This Row],[Séance 1]:[Séance 38]],"A")</f>
        <v>0</v>
      </c>
      <c r="BJ121" s="35"/>
    </row>
    <row r="122" spans="1:62" hidden="1" x14ac:dyDescent="0.2">
      <c r="A122" s="44" t="s">
        <v>293</v>
      </c>
      <c r="B122" s="44" t="s">
        <v>331</v>
      </c>
      <c r="C122" s="44" t="s">
        <v>3555</v>
      </c>
      <c r="D122" s="44" t="s">
        <v>332</v>
      </c>
      <c r="E122" s="44" t="s">
        <v>120</v>
      </c>
      <c r="F122" s="44">
        <v>2021</v>
      </c>
      <c r="G122" s="44">
        <v>31</v>
      </c>
      <c r="H122" s="44">
        <v>18</v>
      </c>
      <c r="I122" s="44" t="str">
        <f>Tableau2[[#This Row],[Annee d''inscription au programme]]&amp;"-"&amp;Tableau2[[#This Row],[Code d''ecole]]&amp;"-"&amp;Tableau2[[#This Row],[Numero HM de la fille]]</f>
        <v>2021-31-18</v>
      </c>
      <c r="J122" s="45" t="s">
        <v>1380</v>
      </c>
      <c r="K122" s="44" t="s">
        <v>297</v>
      </c>
      <c r="L122" s="35" t="s">
        <v>298</v>
      </c>
      <c r="M122" s="35">
        <v>3.5</v>
      </c>
      <c r="N122" s="35">
        <v>4.5</v>
      </c>
      <c r="O122" s="35">
        <f t="shared" si="2"/>
        <v>4</v>
      </c>
      <c r="P122" s="35"/>
      <c r="Q122" s="35"/>
      <c r="R122" s="35">
        <f t="shared" si="3"/>
        <v>0</v>
      </c>
      <c r="S122" s="35"/>
      <c r="T122" s="35"/>
      <c r="U122" s="35"/>
      <c r="V122" s="35" t="e">
        <f>AVERAGE(Tableau2[[#This Row],[1ère composition/10]:[3è composition]])</f>
        <v>#DIV/0!</v>
      </c>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f>COUNTIF(Tableau2[[#This Row],[Séance 1]:[Séance 38]],"A")</f>
        <v>0</v>
      </c>
      <c r="BJ122" s="35"/>
    </row>
    <row r="123" spans="1:62" hidden="1" x14ac:dyDescent="0.2">
      <c r="A123" s="44" t="s">
        <v>293</v>
      </c>
      <c r="B123" s="44" t="s">
        <v>333</v>
      </c>
      <c r="C123" s="44" t="s">
        <v>3555</v>
      </c>
      <c r="D123" s="44" t="s">
        <v>334</v>
      </c>
      <c r="E123" s="44" t="s">
        <v>120</v>
      </c>
      <c r="F123" s="44">
        <v>2021</v>
      </c>
      <c r="G123" s="44">
        <v>31</v>
      </c>
      <c r="H123" s="44">
        <v>19</v>
      </c>
      <c r="I123" s="44" t="str">
        <f>Tableau2[[#This Row],[Annee d''inscription au programme]]&amp;"-"&amp;Tableau2[[#This Row],[Code d''ecole]]&amp;"-"&amp;Tableau2[[#This Row],[Numero HM de la fille]]</f>
        <v>2021-31-19</v>
      </c>
      <c r="J123" s="45" t="s">
        <v>1381</v>
      </c>
      <c r="K123" s="44" t="s">
        <v>297</v>
      </c>
      <c r="L123" s="35" t="s">
        <v>298</v>
      </c>
      <c r="M123" s="35">
        <v>9.5</v>
      </c>
      <c r="N123" s="50">
        <v>8.5</v>
      </c>
      <c r="O123" s="50">
        <f t="shared" si="2"/>
        <v>9</v>
      </c>
      <c r="P123" s="35">
        <v>13</v>
      </c>
      <c r="Q123" s="35">
        <v>10</v>
      </c>
      <c r="R123" s="35">
        <f t="shared" si="3"/>
        <v>11.5</v>
      </c>
      <c r="S123" s="35"/>
      <c r="T123" s="35"/>
      <c r="U123" s="35"/>
      <c r="V123" s="35" t="e">
        <f>AVERAGE(Tableau2[[#This Row],[1ère composition/10]:[3è composition]])</f>
        <v>#DIV/0!</v>
      </c>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f>COUNTIF(Tableau2[[#This Row],[Séance 1]:[Séance 38]],"A")</f>
        <v>0</v>
      </c>
      <c r="BJ123" s="35"/>
    </row>
    <row r="124" spans="1:62" hidden="1" x14ac:dyDescent="0.2">
      <c r="A124" s="44" t="s">
        <v>293</v>
      </c>
      <c r="B124" s="44" t="s">
        <v>335</v>
      </c>
      <c r="C124" s="44" t="s">
        <v>3555</v>
      </c>
      <c r="D124" s="44" t="s">
        <v>336</v>
      </c>
      <c r="E124" s="44" t="s">
        <v>120</v>
      </c>
      <c r="F124" s="44">
        <v>2021</v>
      </c>
      <c r="G124" s="44">
        <v>31</v>
      </c>
      <c r="H124" s="44">
        <v>20</v>
      </c>
      <c r="I124" s="44" t="str">
        <f>Tableau2[[#This Row],[Annee d''inscription au programme]]&amp;"-"&amp;Tableau2[[#This Row],[Code d''ecole]]&amp;"-"&amp;Tableau2[[#This Row],[Numero HM de la fille]]</f>
        <v>2021-31-20</v>
      </c>
      <c r="J124" s="45" t="s">
        <v>1382</v>
      </c>
      <c r="K124" s="44" t="s">
        <v>297</v>
      </c>
      <c r="L124" s="35" t="s">
        <v>298</v>
      </c>
      <c r="M124" s="35">
        <v>0</v>
      </c>
      <c r="N124" s="50">
        <v>0</v>
      </c>
      <c r="O124" s="50">
        <f t="shared" si="2"/>
        <v>0</v>
      </c>
      <c r="P124" s="35">
        <v>12</v>
      </c>
      <c r="Q124" s="35">
        <v>6</v>
      </c>
      <c r="R124" s="35">
        <f t="shared" si="3"/>
        <v>9</v>
      </c>
      <c r="S124" s="35"/>
      <c r="T124" s="35"/>
      <c r="U124" s="35"/>
      <c r="V124" s="35" t="e">
        <f>AVERAGE(Tableau2[[#This Row],[1ère composition/10]:[3è composition]])</f>
        <v>#DIV/0!</v>
      </c>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f>COUNTIF(Tableau2[[#This Row],[Séance 1]:[Séance 38]],"A")</f>
        <v>0</v>
      </c>
      <c r="BJ124" s="35"/>
    </row>
    <row r="125" spans="1:62" hidden="1" x14ac:dyDescent="0.2">
      <c r="A125" s="44" t="s">
        <v>293</v>
      </c>
      <c r="B125" s="44" t="s">
        <v>337</v>
      </c>
      <c r="C125" s="44" t="s">
        <v>3555</v>
      </c>
      <c r="D125" s="44" t="s">
        <v>338</v>
      </c>
      <c r="E125" s="44" t="s">
        <v>120</v>
      </c>
      <c r="F125" s="44">
        <v>2021</v>
      </c>
      <c r="G125" s="44">
        <v>31</v>
      </c>
      <c r="H125" s="44">
        <v>21</v>
      </c>
      <c r="I125" s="44" t="str">
        <f>Tableau2[[#This Row],[Annee d''inscription au programme]]&amp;"-"&amp;Tableau2[[#This Row],[Code d''ecole]]&amp;"-"&amp;Tableau2[[#This Row],[Numero HM de la fille]]</f>
        <v>2021-31-21</v>
      </c>
      <c r="J125" s="45" t="s">
        <v>1383</v>
      </c>
      <c r="K125" s="44" t="s">
        <v>297</v>
      </c>
      <c r="L125" s="35" t="s">
        <v>298</v>
      </c>
      <c r="M125" s="35">
        <v>9.5</v>
      </c>
      <c r="N125" s="35">
        <v>7.5</v>
      </c>
      <c r="O125" s="35">
        <f t="shared" si="2"/>
        <v>8.5</v>
      </c>
      <c r="P125" s="35">
        <v>18</v>
      </c>
      <c r="Q125" s="35">
        <v>12</v>
      </c>
      <c r="R125" s="35">
        <f t="shared" si="3"/>
        <v>15</v>
      </c>
      <c r="S125" s="35"/>
      <c r="T125" s="35"/>
      <c r="U125" s="35"/>
      <c r="V125" s="35" t="e">
        <f>AVERAGE(Tableau2[[#This Row],[1ère composition/10]:[3è composition]])</f>
        <v>#DIV/0!</v>
      </c>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f>COUNTIF(Tableau2[[#This Row],[Séance 1]:[Séance 38]],"A")</f>
        <v>0</v>
      </c>
      <c r="BJ125" s="35"/>
    </row>
    <row r="126" spans="1:62" hidden="1" x14ac:dyDescent="0.2">
      <c r="A126" s="44" t="s">
        <v>293</v>
      </c>
      <c r="B126" s="44" t="s">
        <v>339</v>
      </c>
      <c r="C126" s="44" t="s">
        <v>3555</v>
      </c>
      <c r="D126" s="44" t="s">
        <v>340</v>
      </c>
      <c r="E126" s="44" t="s">
        <v>120</v>
      </c>
      <c r="F126" s="44">
        <v>2021</v>
      </c>
      <c r="G126" s="44">
        <v>31</v>
      </c>
      <c r="H126" s="44">
        <v>22</v>
      </c>
      <c r="I126" s="44" t="str">
        <f>Tableau2[[#This Row],[Annee d''inscription au programme]]&amp;"-"&amp;Tableau2[[#This Row],[Code d''ecole]]&amp;"-"&amp;Tableau2[[#This Row],[Numero HM de la fille]]</f>
        <v>2021-31-22</v>
      </c>
      <c r="J126" s="45" t="s">
        <v>1384</v>
      </c>
      <c r="K126" s="44" t="s">
        <v>297</v>
      </c>
      <c r="L126" s="35" t="s">
        <v>298</v>
      </c>
      <c r="M126" s="35">
        <v>13</v>
      </c>
      <c r="N126" s="50">
        <v>9.5</v>
      </c>
      <c r="O126" s="50">
        <f t="shared" si="2"/>
        <v>11.25</v>
      </c>
      <c r="P126" s="35">
        <v>17</v>
      </c>
      <c r="Q126" s="35">
        <v>12</v>
      </c>
      <c r="R126" s="35">
        <f t="shared" si="3"/>
        <v>14.5</v>
      </c>
      <c r="S126" s="35"/>
      <c r="T126" s="35"/>
      <c r="U126" s="35"/>
      <c r="V126" s="35" t="e">
        <f>AVERAGE(Tableau2[[#This Row],[1ère composition/10]:[3è composition]])</f>
        <v>#DIV/0!</v>
      </c>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f>COUNTIF(Tableau2[[#This Row],[Séance 1]:[Séance 38]],"A")</f>
        <v>0</v>
      </c>
      <c r="BJ126" s="35"/>
    </row>
    <row r="127" spans="1:62" hidden="1" x14ac:dyDescent="0.2">
      <c r="A127" s="44" t="s">
        <v>293</v>
      </c>
      <c r="B127" s="44" t="s">
        <v>341</v>
      </c>
      <c r="C127" s="44" t="s">
        <v>3555</v>
      </c>
      <c r="D127" s="44" t="s">
        <v>342</v>
      </c>
      <c r="E127" s="44" t="s">
        <v>120</v>
      </c>
      <c r="F127" s="44">
        <v>2021</v>
      </c>
      <c r="G127" s="44">
        <v>31</v>
      </c>
      <c r="H127" s="44">
        <v>23</v>
      </c>
      <c r="I127" s="44" t="str">
        <f>Tableau2[[#This Row],[Annee d''inscription au programme]]&amp;"-"&amp;Tableau2[[#This Row],[Code d''ecole]]&amp;"-"&amp;Tableau2[[#This Row],[Numero HM de la fille]]</f>
        <v>2021-31-23</v>
      </c>
      <c r="J127" s="45" t="s">
        <v>1385</v>
      </c>
      <c r="K127" s="44" t="s">
        <v>297</v>
      </c>
      <c r="L127" s="35" t="s">
        <v>298</v>
      </c>
      <c r="M127" s="35">
        <v>5</v>
      </c>
      <c r="N127" s="35">
        <v>16</v>
      </c>
      <c r="O127" s="35">
        <f t="shared" si="2"/>
        <v>10.5</v>
      </c>
      <c r="P127" s="35">
        <v>13.5</v>
      </c>
      <c r="Q127" s="35">
        <v>15.25</v>
      </c>
      <c r="R127" s="35">
        <f t="shared" si="3"/>
        <v>14.375</v>
      </c>
      <c r="S127" s="35"/>
      <c r="T127" s="35"/>
      <c r="U127" s="35"/>
      <c r="V127" s="35" t="e">
        <f>AVERAGE(Tableau2[[#This Row],[1ère composition/10]:[3è composition]])</f>
        <v>#DIV/0!</v>
      </c>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f>COUNTIF(Tableau2[[#This Row],[Séance 1]:[Séance 38]],"A")</f>
        <v>0</v>
      </c>
      <c r="BJ127" s="35"/>
    </row>
    <row r="128" spans="1:62" hidden="1" x14ac:dyDescent="0.2">
      <c r="A128" s="44" t="s">
        <v>293</v>
      </c>
      <c r="B128" s="44" t="s">
        <v>343</v>
      </c>
      <c r="C128" s="44" t="s">
        <v>3555</v>
      </c>
      <c r="D128" s="44" t="s">
        <v>344</v>
      </c>
      <c r="E128" s="44" t="s">
        <v>120</v>
      </c>
      <c r="F128" s="44">
        <v>2021</v>
      </c>
      <c r="G128" s="44">
        <v>31</v>
      </c>
      <c r="H128" s="44">
        <v>24</v>
      </c>
      <c r="I128" s="44" t="str">
        <f>Tableau2[[#This Row],[Annee d''inscription au programme]]&amp;"-"&amp;Tableau2[[#This Row],[Code d''ecole]]&amp;"-"&amp;Tableau2[[#This Row],[Numero HM de la fille]]</f>
        <v>2021-31-24</v>
      </c>
      <c r="J128" s="45" t="s">
        <v>1386</v>
      </c>
      <c r="K128" s="44" t="s">
        <v>297</v>
      </c>
      <c r="L128" s="35" t="s">
        <v>298</v>
      </c>
      <c r="M128" s="35">
        <v>2.25</v>
      </c>
      <c r="N128" s="35">
        <v>8</v>
      </c>
      <c r="O128" s="35">
        <f t="shared" si="2"/>
        <v>5.125</v>
      </c>
      <c r="P128" s="35">
        <v>6</v>
      </c>
      <c r="Q128" s="35">
        <v>14.75</v>
      </c>
      <c r="R128" s="35">
        <f t="shared" si="3"/>
        <v>10.375</v>
      </c>
      <c r="S128" s="35"/>
      <c r="T128" s="35"/>
      <c r="U128" s="35"/>
      <c r="V128" s="35" t="e">
        <f>AVERAGE(Tableau2[[#This Row],[1ère composition/10]:[3è composition]])</f>
        <v>#DIV/0!</v>
      </c>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f>COUNTIF(Tableau2[[#This Row],[Séance 1]:[Séance 38]],"A")</f>
        <v>0</v>
      </c>
      <c r="BJ128" s="35"/>
    </row>
    <row r="129" spans="1:62" hidden="1" x14ac:dyDescent="0.2">
      <c r="A129" s="44" t="s">
        <v>293</v>
      </c>
      <c r="B129" s="44" t="s">
        <v>345</v>
      </c>
      <c r="C129" s="44" t="s">
        <v>3555</v>
      </c>
      <c r="D129" s="44" t="s">
        <v>346</v>
      </c>
      <c r="E129" s="44" t="s">
        <v>120</v>
      </c>
      <c r="F129" s="44">
        <v>2021</v>
      </c>
      <c r="G129" s="44">
        <v>31</v>
      </c>
      <c r="H129" s="44">
        <v>25</v>
      </c>
      <c r="I129" s="44" t="str">
        <f>Tableau2[[#This Row],[Annee d''inscription au programme]]&amp;"-"&amp;Tableau2[[#This Row],[Code d''ecole]]&amp;"-"&amp;Tableau2[[#This Row],[Numero HM de la fille]]</f>
        <v>2021-31-25</v>
      </c>
      <c r="J129" s="45" t="s">
        <v>1387</v>
      </c>
      <c r="K129" s="44" t="s">
        <v>297</v>
      </c>
      <c r="L129" s="35" t="s">
        <v>298</v>
      </c>
      <c r="M129" s="35">
        <v>10.25</v>
      </c>
      <c r="N129" s="50">
        <v>4</v>
      </c>
      <c r="O129" s="50">
        <f t="shared" si="2"/>
        <v>7.125</v>
      </c>
      <c r="P129" s="35">
        <v>16</v>
      </c>
      <c r="Q129" s="35">
        <v>10.5</v>
      </c>
      <c r="R129" s="35">
        <f t="shared" si="3"/>
        <v>13.25</v>
      </c>
      <c r="S129" s="35"/>
      <c r="T129" s="35"/>
      <c r="U129" s="35"/>
      <c r="V129" s="35" t="e">
        <f>AVERAGE(Tableau2[[#This Row],[1ère composition/10]:[3è composition]])</f>
        <v>#DIV/0!</v>
      </c>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f>COUNTIF(Tableau2[[#This Row],[Séance 1]:[Séance 38]],"A")</f>
        <v>0</v>
      </c>
      <c r="BJ129" s="35"/>
    </row>
    <row r="130" spans="1:62" hidden="1" x14ac:dyDescent="0.2">
      <c r="A130" s="44" t="s">
        <v>293</v>
      </c>
      <c r="B130" s="44" t="s">
        <v>347</v>
      </c>
      <c r="C130" s="44" t="s">
        <v>3555</v>
      </c>
      <c r="D130" s="44" t="s">
        <v>291</v>
      </c>
      <c r="E130" s="44" t="s">
        <v>120</v>
      </c>
      <c r="F130" s="44">
        <v>2021</v>
      </c>
      <c r="G130" s="44">
        <v>31</v>
      </c>
      <c r="H130" s="44">
        <v>26</v>
      </c>
      <c r="I130" s="44" t="str">
        <f>Tableau2[[#This Row],[Annee d''inscription au programme]]&amp;"-"&amp;Tableau2[[#This Row],[Code d''ecole]]&amp;"-"&amp;Tableau2[[#This Row],[Numero HM de la fille]]</f>
        <v>2021-31-26</v>
      </c>
      <c r="J130" s="45" t="s">
        <v>1388</v>
      </c>
      <c r="K130" s="44" t="s">
        <v>297</v>
      </c>
      <c r="L130" s="35" t="s">
        <v>298</v>
      </c>
      <c r="M130" s="35">
        <v>5.5</v>
      </c>
      <c r="N130" s="50">
        <v>4.5</v>
      </c>
      <c r="O130" s="50">
        <f t="shared" si="2"/>
        <v>5</v>
      </c>
      <c r="P130" s="35">
        <v>11.5</v>
      </c>
      <c r="Q130" s="35">
        <v>4</v>
      </c>
      <c r="R130" s="35">
        <f t="shared" si="3"/>
        <v>7.75</v>
      </c>
      <c r="S130" s="35"/>
      <c r="T130" s="35"/>
      <c r="U130" s="35"/>
      <c r="V130" s="35" t="e">
        <f>AVERAGE(Tableau2[[#This Row],[1ère composition/10]:[3è composition]])</f>
        <v>#DIV/0!</v>
      </c>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f>COUNTIF(Tableau2[[#This Row],[Séance 1]:[Séance 38]],"A")</f>
        <v>0</v>
      </c>
      <c r="BJ130" s="35"/>
    </row>
    <row r="131" spans="1:62" hidden="1" x14ac:dyDescent="0.2">
      <c r="A131" s="44" t="s">
        <v>293</v>
      </c>
      <c r="B131" s="44" t="s">
        <v>348</v>
      </c>
      <c r="C131" s="44" t="s">
        <v>3555</v>
      </c>
      <c r="D131" s="44" t="s">
        <v>349</v>
      </c>
      <c r="E131" s="44" t="s">
        <v>120</v>
      </c>
      <c r="F131" s="44">
        <v>2021</v>
      </c>
      <c r="G131" s="44">
        <v>31</v>
      </c>
      <c r="H131" s="44">
        <v>27</v>
      </c>
      <c r="I131" s="44" t="str">
        <f>Tableau2[[#This Row],[Annee d''inscription au programme]]&amp;"-"&amp;Tableau2[[#This Row],[Code d''ecole]]&amp;"-"&amp;Tableau2[[#This Row],[Numero HM de la fille]]</f>
        <v>2021-31-27</v>
      </c>
      <c r="J131" s="45" t="s">
        <v>1389</v>
      </c>
      <c r="K131" s="44" t="s">
        <v>297</v>
      </c>
      <c r="L131" s="35" t="s">
        <v>298</v>
      </c>
      <c r="M131" s="35">
        <v>16</v>
      </c>
      <c r="N131" s="35">
        <v>19.5</v>
      </c>
      <c r="O131" s="35">
        <f t="shared" si="2"/>
        <v>17.75</v>
      </c>
      <c r="P131" s="35">
        <v>18.5</v>
      </c>
      <c r="Q131" s="35">
        <v>20</v>
      </c>
      <c r="R131" s="35">
        <f t="shared" si="3"/>
        <v>19.25</v>
      </c>
      <c r="S131" s="35"/>
      <c r="T131" s="35"/>
      <c r="U131" s="35"/>
      <c r="V131" s="35" t="e">
        <f>AVERAGE(Tableau2[[#This Row],[1ère composition/10]:[3è composition]])</f>
        <v>#DIV/0!</v>
      </c>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f>COUNTIF(Tableau2[[#This Row],[Séance 1]:[Séance 38]],"A")</f>
        <v>0</v>
      </c>
      <c r="BJ131" s="35"/>
    </row>
    <row r="132" spans="1:62" hidden="1" x14ac:dyDescent="0.2">
      <c r="A132" s="44" t="s">
        <v>293</v>
      </c>
      <c r="B132" s="44" t="s">
        <v>350</v>
      </c>
      <c r="C132" s="44" t="s">
        <v>3555</v>
      </c>
      <c r="D132" s="44" t="s">
        <v>351</v>
      </c>
      <c r="E132" s="44" t="s">
        <v>120</v>
      </c>
      <c r="F132" s="44">
        <v>2021</v>
      </c>
      <c r="G132" s="44">
        <v>31</v>
      </c>
      <c r="H132" s="44">
        <v>28</v>
      </c>
      <c r="I132" s="44" t="str">
        <f>Tableau2[[#This Row],[Annee d''inscription au programme]]&amp;"-"&amp;Tableau2[[#This Row],[Code d''ecole]]&amp;"-"&amp;Tableau2[[#This Row],[Numero HM de la fille]]</f>
        <v>2021-31-28</v>
      </c>
      <c r="J132" s="45" t="s">
        <v>1390</v>
      </c>
      <c r="K132" s="44" t="s">
        <v>297</v>
      </c>
      <c r="L132" s="35" t="s">
        <v>298</v>
      </c>
      <c r="M132" s="35">
        <v>2</v>
      </c>
      <c r="N132" s="35">
        <v>5.5</v>
      </c>
      <c r="O132" s="35">
        <f t="shared" si="2"/>
        <v>3.75</v>
      </c>
      <c r="P132" s="35">
        <v>17</v>
      </c>
      <c r="Q132" s="35">
        <v>13</v>
      </c>
      <c r="R132" s="35">
        <f t="shared" si="3"/>
        <v>15</v>
      </c>
      <c r="S132" s="35"/>
      <c r="T132" s="35"/>
      <c r="U132" s="35"/>
      <c r="V132" s="35" t="e">
        <f>AVERAGE(Tableau2[[#This Row],[1ère composition/10]:[3è composition]])</f>
        <v>#DIV/0!</v>
      </c>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f>COUNTIF(Tableau2[[#This Row],[Séance 1]:[Séance 38]],"A")</f>
        <v>0</v>
      </c>
      <c r="BJ132" s="35"/>
    </row>
    <row r="133" spans="1:62" hidden="1" x14ac:dyDescent="0.2">
      <c r="A133" s="44" t="s">
        <v>293</v>
      </c>
      <c r="B133" s="44" t="s">
        <v>352</v>
      </c>
      <c r="C133" s="44" t="s">
        <v>3555</v>
      </c>
      <c r="D133" s="44" t="s">
        <v>353</v>
      </c>
      <c r="E133" s="44" t="s">
        <v>120</v>
      </c>
      <c r="F133" s="44">
        <v>2021</v>
      </c>
      <c r="G133" s="44">
        <v>31</v>
      </c>
      <c r="H133" s="44">
        <v>29</v>
      </c>
      <c r="I133" s="44" t="str">
        <f>Tableau2[[#This Row],[Annee d''inscription au programme]]&amp;"-"&amp;Tableau2[[#This Row],[Code d''ecole]]&amp;"-"&amp;Tableau2[[#This Row],[Numero HM de la fille]]</f>
        <v>2021-31-29</v>
      </c>
      <c r="J133" s="45" t="s">
        <v>1391</v>
      </c>
      <c r="K133" s="44" t="s">
        <v>297</v>
      </c>
      <c r="L133" s="35" t="s">
        <v>298</v>
      </c>
      <c r="M133" s="35">
        <v>5.5</v>
      </c>
      <c r="N133" s="35">
        <v>7.5</v>
      </c>
      <c r="O133" s="35">
        <f t="shared" ref="O133:O196" si="4">AVERAGE(M133+N133)/2</f>
        <v>6.5</v>
      </c>
      <c r="P133" s="35">
        <v>8.5</v>
      </c>
      <c r="Q133" s="35">
        <v>13</v>
      </c>
      <c r="R133" s="35">
        <f t="shared" ref="R133:R196" si="5">AVERAGE(P133+Q133)/2</f>
        <v>10.75</v>
      </c>
      <c r="S133" s="35"/>
      <c r="T133" s="35"/>
      <c r="U133" s="35"/>
      <c r="V133" s="35" t="e">
        <f>AVERAGE(Tableau2[[#This Row],[1ère composition/10]:[3è composition]])</f>
        <v>#DIV/0!</v>
      </c>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f>COUNTIF(Tableau2[[#This Row],[Séance 1]:[Séance 38]],"A")</f>
        <v>0</v>
      </c>
      <c r="BJ133" s="35"/>
    </row>
    <row r="134" spans="1:62" hidden="1" x14ac:dyDescent="0.2">
      <c r="A134" s="44" t="s">
        <v>293</v>
      </c>
      <c r="B134" s="44" t="s">
        <v>354</v>
      </c>
      <c r="C134" s="44" t="s">
        <v>3555</v>
      </c>
      <c r="D134" s="44" t="s">
        <v>355</v>
      </c>
      <c r="E134" s="44" t="s">
        <v>120</v>
      </c>
      <c r="F134" s="44">
        <v>2021</v>
      </c>
      <c r="G134" s="44">
        <v>31</v>
      </c>
      <c r="H134" s="44">
        <v>30</v>
      </c>
      <c r="I134" s="44" t="str">
        <f>Tableau2[[#This Row],[Annee d''inscription au programme]]&amp;"-"&amp;Tableau2[[#This Row],[Code d''ecole]]&amp;"-"&amp;Tableau2[[#This Row],[Numero HM de la fille]]</f>
        <v>2021-31-30</v>
      </c>
      <c r="J134" s="45" t="s">
        <v>1392</v>
      </c>
      <c r="K134" s="44" t="s">
        <v>297</v>
      </c>
      <c r="L134" s="35" t="s">
        <v>298</v>
      </c>
      <c r="M134" s="35">
        <v>8</v>
      </c>
      <c r="N134" s="35">
        <v>4</v>
      </c>
      <c r="O134" s="35">
        <f t="shared" si="4"/>
        <v>6</v>
      </c>
      <c r="P134" s="35">
        <v>7</v>
      </c>
      <c r="Q134" s="35">
        <v>13.5</v>
      </c>
      <c r="R134" s="35">
        <f t="shared" si="5"/>
        <v>10.25</v>
      </c>
      <c r="S134" s="35"/>
      <c r="T134" s="35"/>
      <c r="U134" s="35"/>
      <c r="V134" s="35" t="e">
        <f>AVERAGE(Tableau2[[#This Row],[1ère composition/10]:[3è composition]])</f>
        <v>#DIV/0!</v>
      </c>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f>COUNTIF(Tableau2[[#This Row],[Séance 1]:[Séance 38]],"A")</f>
        <v>0</v>
      </c>
      <c r="BJ134" s="35"/>
    </row>
    <row r="135" spans="1:62" hidden="1" x14ac:dyDescent="0.2">
      <c r="A135" s="44" t="s">
        <v>293</v>
      </c>
      <c r="B135" s="44" t="s">
        <v>356</v>
      </c>
      <c r="C135" s="44" t="s">
        <v>3555</v>
      </c>
      <c r="D135" s="44" t="s">
        <v>357</v>
      </c>
      <c r="E135" s="44" t="s">
        <v>120</v>
      </c>
      <c r="F135" s="44">
        <v>2021</v>
      </c>
      <c r="G135" s="44">
        <v>31</v>
      </c>
      <c r="H135" s="44">
        <v>31</v>
      </c>
      <c r="I135" s="44" t="str">
        <f>Tableau2[[#This Row],[Annee d''inscription au programme]]&amp;"-"&amp;Tableau2[[#This Row],[Code d''ecole]]&amp;"-"&amp;Tableau2[[#This Row],[Numero HM de la fille]]</f>
        <v>2021-31-31</v>
      </c>
      <c r="J135" s="45" t="s">
        <v>1393</v>
      </c>
      <c r="K135" s="44" t="s">
        <v>297</v>
      </c>
      <c r="L135" s="35" t="s">
        <v>298</v>
      </c>
      <c r="M135" s="35">
        <v>7.5</v>
      </c>
      <c r="N135" s="35">
        <v>12</v>
      </c>
      <c r="O135" s="35">
        <f t="shared" si="4"/>
        <v>9.75</v>
      </c>
      <c r="P135" s="35">
        <v>16.5</v>
      </c>
      <c r="Q135" s="35">
        <v>15.5</v>
      </c>
      <c r="R135" s="35">
        <f t="shared" si="5"/>
        <v>16</v>
      </c>
      <c r="S135" s="35"/>
      <c r="T135" s="35"/>
      <c r="U135" s="35"/>
      <c r="V135" s="35" t="e">
        <f>AVERAGE(Tableau2[[#This Row],[1ère composition/10]:[3è composition]])</f>
        <v>#DIV/0!</v>
      </c>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f>COUNTIF(Tableau2[[#This Row],[Séance 1]:[Séance 38]],"A")</f>
        <v>0</v>
      </c>
      <c r="BJ135" s="35"/>
    </row>
    <row r="136" spans="1:62" hidden="1" x14ac:dyDescent="0.2">
      <c r="A136" s="44" t="s">
        <v>293</v>
      </c>
      <c r="B136" s="44" t="s">
        <v>358</v>
      </c>
      <c r="C136" s="44" t="s">
        <v>3555</v>
      </c>
      <c r="D136" s="44" t="s">
        <v>359</v>
      </c>
      <c r="E136" s="44" t="s">
        <v>120</v>
      </c>
      <c r="F136" s="44">
        <v>2021</v>
      </c>
      <c r="G136" s="44">
        <v>31</v>
      </c>
      <c r="H136" s="44">
        <v>32</v>
      </c>
      <c r="I136" s="44" t="str">
        <f>Tableau2[[#This Row],[Annee d''inscription au programme]]&amp;"-"&amp;Tableau2[[#This Row],[Code d''ecole]]&amp;"-"&amp;Tableau2[[#This Row],[Numero HM de la fille]]</f>
        <v>2021-31-32</v>
      </c>
      <c r="J136" s="45" t="s">
        <v>1394</v>
      </c>
      <c r="K136" s="44" t="s">
        <v>297</v>
      </c>
      <c r="L136" s="35" t="s">
        <v>298</v>
      </c>
      <c r="M136" s="35">
        <v>11</v>
      </c>
      <c r="N136" s="50">
        <v>6</v>
      </c>
      <c r="O136" s="50">
        <f t="shared" si="4"/>
        <v>8.5</v>
      </c>
      <c r="P136" s="35">
        <v>14.5</v>
      </c>
      <c r="Q136" s="35">
        <v>12.5</v>
      </c>
      <c r="R136" s="35">
        <f t="shared" si="5"/>
        <v>13.5</v>
      </c>
      <c r="S136" s="35"/>
      <c r="T136" s="35"/>
      <c r="U136" s="35"/>
      <c r="V136" s="35" t="e">
        <f>AVERAGE(Tableau2[[#This Row],[1ère composition/10]:[3è composition]])</f>
        <v>#DIV/0!</v>
      </c>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f>COUNTIF(Tableau2[[#This Row],[Séance 1]:[Séance 38]],"A")</f>
        <v>0</v>
      </c>
      <c r="BJ136" s="35"/>
    </row>
    <row r="137" spans="1:62" hidden="1" x14ac:dyDescent="0.2">
      <c r="A137" s="44" t="s">
        <v>293</v>
      </c>
      <c r="B137" s="44" t="s">
        <v>360</v>
      </c>
      <c r="C137" s="44" t="s">
        <v>3555</v>
      </c>
      <c r="D137" s="44" t="s">
        <v>361</v>
      </c>
      <c r="E137" s="44" t="s">
        <v>120</v>
      </c>
      <c r="F137" s="44">
        <v>2021</v>
      </c>
      <c r="G137" s="44">
        <v>31</v>
      </c>
      <c r="H137" s="44">
        <v>33</v>
      </c>
      <c r="I137" s="44" t="str">
        <f>Tableau2[[#This Row],[Annee d''inscription au programme]]&amp;"-"&amp;Tableau2[[#This Row],[Code d''ecole]]&amp;"-"&amp;Tableau2[[#This Row],[Numero HM de la fille]]</f>
        <v>2021-31-33</v>
      </c>
      <c r="J137" s="45" t="s">
        <v>1395</v>
      </c>
      <c r="K137" s="44" t="s">
        <v>297</v>
      </c>
      <c r="L137" s="35" t="s">
        <v>298</v>
      </c>
      <c r="M137" s="35">
        <v>7</v>
      </c>
      <c r="N137" s="50">
        <v>3.5</v>
      </c>
      <c r="O137" s="50">
        <f t="shared" si="4"/>
        <v>5.25</v>
      </c>
      <c r="P137" s="35">
        <v>10.5</v>
      </c>
      <c r="Q137" s="35">
        <v>11.25</v>
      </c>
      <c r="R137" s="35">
        <f t="shared" si="5"/>
        <v>10.875</v>
      </c>
      <c r="S137" s="35"/>
      <c r="T137" s="35"/>
      <c r="U137" s="35"/>
      <c r="V137" s="35" t="e">
        <f>AVERAGE(Tableau2[[#This Row],[1ère composition/10]:[3è composition]])</f>
        <v>#DIV/0!</v>
      </c>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f>COUNTIF(Tableau2[[#This Row],[Séance 1]:[Séance 38]],"A")</f>
        <v>0</v>
      </c>
      <c r="BJ137" s="35"/>
    </row>
    <row r="138" spans="1:62" hidden="1" x14ac:dyDescent="0.2">
      <c r="A138" s="44" t="s">
        <v>293</v>
      </c>
      <c r="B138" s="44" t="s">
        <v>362</v>
      </c>
      <c r="C138" s="44" t="s">
        <v>3555</v>
      </c>
      <c r="D138" s="44" t="s">
        <v>260</v>
      </c>
      <c r="E138" s="44" t="s">
        <v>120</v>
      </c>
      <c r="F138" s="44">
        <v>2021</v>
      </c>
      <c r="G138" s="44">
        <v>31</v>
      </c>
      <c r="H138" s="44">
        <v>34</v>
      </c>
      <c r="I138" s="44" t="str">
        <f>Tableau2[[#This Row],[Annee d''inscription au programme]]&amp;"-"&amp;Tableau2[[#This Row],[Code d''ecole]]&amp;"-"&amp;Tableau2[[#This Row],[Numero HM de la fille]]</f>
        <v>2021-31-34</v>
      </c>
      <c r="J138" s="45" t="s">
        <v>1396</v>
      </c>
      <c r="K138" s="44" t="s">
        <v>297</v>
      </c>
      <c r="L138" s="35" t="s">
        <v>298</v>
      </c>
      <c r="M138" s="35">
        <v>13.75</v>
      </c>
      <c r="N138" s="50">
        <v>19.5</v>
      </c>
      <c r="O138" s="50">
        <f t="shared" si="4"/>
        <v>16.625</v>
      </c>
      <c r="P138" s="35">
        <v>16.5</v>
      </c>
      <c r="Q138" s="35">
        <v>17.75</v>
      </c>
      <c r="R138" s="35">
        <f t="shared" si="5"/>
        <v>17.125</v>
      </c>
      <c r="S138" s="35"/>
      <c r="T138" s="35"/>
      <c r="U138" s="35"/>
      <c r="V138" s="35" t="e">
        <f>AVERAGE(Tableau2[[#This Row],[1ère composition/10]:[3è composition]])</f>
        <v>#DIV/0!</v>
      </c>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f>COUNTIF(Tableau2[[#This Row],[Séance 1]:[Séance 38]],"A")</f>
        <v>0</v>
      </c>
      <c r="BJ138" s="35"/>
    </row>
    <row r="139" spans="1:62" hidden="1" x14ac:dyDescent="0.2">
      <c r="A139" s="44" t="s">
        <v>293</v>
      </c>
      <c r="B139" s="44" t="s">
        <v>363</v>
      </c>
      <c r="C139" s="44" t="s">
        <v>3555</v>
      </c>
      <c r="D139" s="44" t="s">
        <v>364</v>
      </c>
      <c r="E139" s="44" t="s">
        <v>120</v>
      </c>
      <c r="F139" s="44">
        <v>2021</v>
      </c>
      <c r="G139" s="44">
        <v>31</v>
      </c>
      <c r="H139" s="44">
        <v>35</v>
      </c>
      <c r="I139" s="44" t="str">
        <f>Tableau2[[#This Row],[Annee d''inscription au programme]]&amp;"-"&amp;Tableau2[[#This Row],[Code d''ecole]]&amp;"-"&amp;Tableau2[[#This Row],[Numero HM de la fille]]</f>
        <v>2021-31-35</v>
      </c>
      <c r="J139" s="45" t="s">
        <v>1397</v>
      </c>
      <c r="K139" s="44" t="s">
        <v>297</v>
      </c>
      <c r="L139" s="35" t="s">
        <v>298</v>
      </c>
      <c r="M139" s="35">
        <v>11</v>
      </c>
      <c r="N139" s="35">
        <v>17.5</v>
      </c>
      <c r="O139" s="35">
        <f t="shared" si="4"/>
        <v>14.25</v>
      </c>
      <c r="P139" s="35">
        <v>17</v>
      </c>
      <c r="Q139" s="35">
        <v>16.25</v>
      </c>
      <c r="R139" s="35">
        <f t="shared" si="5"/>
        <v>16.625</v>
      </c>
      <c r="S139" s="35"/>
      <c r="T139" s="35"/>
      <c r="U139" s="35"/>
      <c r="V139" s="35" t="e">
        <f>AVERAGE(Tableau2[[#This Row],[1ère composition/10]:[3è composition]])</f>
        <v>#DIV/0!</v>
      </c>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f>COUNTIF(Tableau2[[#This Row],[Séance 1]:[Séance 38]],"A")</f>
        <v>0</v>
      </c>
      <c r="BJ139" s="35"/>
    </row>
    <row r="140" spans="1:62" hidden="1" x14ac:dyDescent="0.2">
      <c r="A140" s="44" t="s">
        <v>293</v>
      </c>
      <c r="B140" s="44" t="s">
        <v>365</v>
      </c>
      <c r="C140" s="44" t="s">
        <v>3555</v>
      </c>
      <c r="D140" s="44" t="s">
        <v>321</v>
      </c>
      <c r="E140" s="44" t="s">
        <v>120</v>
      </c>
      <c r="F140" s="44">
        <v>2021</v>
      </c>
      <c r="G140" s="44">
        <v>31</v>
      </c>
      <c r="H140" s="44">
        <v>36</v>
      </c>
      <c r="I140" s="44" t="str">
        <f>Tableau2[[#This Row],[Annee d''inscription au programme]]&amp;"-"&amp;Tableau2[[#This Row],[Code d''ecole]]&amp;"-"&amp;Tableau2[[#This Row],[Numero HM de la fille]]</f>
        <v>2021-31-36</v>
      </c>
      <c r="J140" s="45" t="s">
        <v>1398</v>
      </c>
      <c r="K140" s="44" t="s">
        <v>297</v>
      </c>
      <c r="L140" s="35" t="s">
        <v>298</v>
      </c>
      <c r="M140" s="35">
        <v>6</v>
      </c>
      <c r="N140" s="35">
        <v>0</v>
      </c>
      <c r="O140" s="35">
        <f t="shared" si="4"/>
        <v>3</v>
      </c>
      <c r="P140" s="35">
        <v>15</v>
      </c>
      <c r="Q140" s="35">
        <v>10</v>
      </c>
      <c r="R140" s="35">
        <f t="shared" si="5"/>
        <v>12.5</v>
      </c>
      <c r="S140" s="35"/>
      <c r="T140" s="35"/>
      <c r="U140" s="35"/>
      <c r="V140" s="35" t="e">
        <f>AVERAGE(Tableau2[[#This Row],[1ère composition/10]:[3è composition]])</f>
        <v>#DIV/0!</v>
      </c>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f>COUNTIF(Tableau2[[#This Row],[Séance 1]:[Séance 38]],"A")</f>
        <v>0</v>
      </c>
      <c r="BJ140" s="35"/>
    </row>
    <row r="141" spans="1:62" hidden="1" x14ac:dyDescent="0.2">
      <c r="A141" s="44" t="s">
        <v>293</v>
      </c>
      <c r="B141" s="44" t="s">
        <v>366</v>
      </c>
      <c r="C141" s="44" t="s">
        <v>3555</v>
      </c>
      <c r="D141" s="44" t="s">
        <v>367</v>
      </c>
      <c r="E141" s="44" t="s">
        <v>120</v>
      </c>
      <c r="F141" s="44">
        <v>2021</v>
      </c>
      <c r="G141" s="44">
        <v>31</v>
      </c>
      <c r="H141" s="44">
        <v>37</v>
      </c>
      <c r="I141" s="44" t="str">
        <f>Tableau2[[#This Row],[Annee d''inscription au programme]]&amp;"-"&amp;Tableau2[[#This Row],[Code d''ecole]]&amp;"-"&amp;Tableau2[[#This Row],[Numero HM de la fille]]</f>
        <v>2021-31-37</v>
      </c>
      <c r="J141" s="45" t="s">
        <v>1399</v>
      </c>
      <c r="K141" s="44" t="s">
        <v>297</v>
      </c>
      <c r="L141" s="35" t="s">
        <v>298</v>
      </c>
      <c r="M141" s="35">
        <v>12</v>
      </c>
      <c r="N141" s="35">
        <v>11.75</v>
      </c>
      <c r="O141" s="35">
        <f t="shared" si="4"/>
        <v>11.875</v>
      </c>
      <c r="P141" s="35">
        <v>17</v>
      </c>
      <c r="Q141" s="35">
        <v>18.5</v>
      </c>
      <c r="R141" s="35">
        <f t="shared" si="5"/>
        <v>17.75</v>
      </c>
      <c r="S141" s="35"/>
      <c r="T141" s="35"/>
      <c r="U141" s="35"/>
      <c r="V141" s="35" t="e">
        <f>AVERAGE(Tableau2[[#This Row],[1ère composition/10]:[3è composition]])</f>
        <v>#DIV/0!</v>
      </c>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f>COUNTIF(Tableau2[[#This Row],[Séance 1]:[Séance 38]],"A")</f>
        <v>0</v>
      </c>
      <c r="BJ141" s="35"/>
    </row>
    <row r="142" spans="1:62" hidden="1" x14ac:dyDescent="0.2">
      <c r="A142" s="44" t="s">
        <v>293</v>
      </c>
      <c r="B142" s="44" t="s">
        <v>368</v>
      </c>
      <c r="C142" s="44" t="s">
        <v>3555</v>
      </c>
      <c r="D142" s="44" t="s">
        <v>369</v>
      </c>
      <c r="E142" s="44" t="s">
        <v>120</v>
      </c>
      <c r="F142" s="44">
        <v>2021</v>
      </c>
      <c r="G142" s="44">
        <v>31</v>
      </c>
      <c r="H142" s="44">
        <v>38</v>
      </c>
      <c r="I142" s="44" t="str">
        <f>Tableau2[[#This Row],[Annee d''inscription au programme]]&amp;"-"&amp;Tableau2[[#This Row],[Code d''ecole]]&amp;"-"&amp;Tableau2[[#This Row],[Numero HM de la fille]]</f>
        <v>2021-31-38</v>
      </c>
      <c r="J142" s="45" t="s">
        <v>1400</v>
      </c>
      <c r="K142" s="44" t="s">
        <v>297</v>
      </c>
      <c r="L142" s="35" t="s">
        <v>298</v>
      </c>
      <c r="M142" s="35">
        <v>0.5</v>
      </c>
      <c r="N142" s="35">
        <v>0</v>
      </c>
      <c r="O142" s="35">
        <f t="shared" si="4"/>
        <v>0.25</v>
      </c>
      <c r="P142" s="35">
        <v>17.5</v>
      </c>
      <c r="Q142" s="35">
        <v>16</v>
      </c>
      <c r="R142" s="35">
        <f t="shared" si="5"/>
        <v>16.75</v>
      </c>
      <c r="S142" s="35"/>
      <c r="T142" s="35"/>
      <c r="U142" s="35"/>
      <c r="V142" s="35" t="e">
        <f>AVERAGE(Tableau2[[#This Row],[1ère composition/10]:[3è composition]])</f>
        <v>#DIV/0!</v>
      </c>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f>COUNTIF(Tableau2[[#This Row],[Séance 1]:[Séance 38]],"A")</f>
        <v>0</v>
      </c>
      <c r="BJ142" s="35"/>
    </row>
    <row r="143" spans="1:62" hidden="1" x14ac:dyDescent="0.2">
      <c r="A143" s="44" t="s">
        <v>293</v>
      </c>
      <c r="B143" s="44" t="s">
        <v>370</v>
      </c>
      <c r="C143" s="44" t="s">
        <v>3555</v>
      </c>
      <c r="D143" s="44" t="s">
        <v>215</v>
      </c>
      <c r="E143" s="44" t="s">
        <v>120</v>
      </c>
      <c r="F143" s="44">
        <v>2021</v>
      </c>
      <c r="G143" s="44">
        <v>31</v>
      </c>
      <c r="H143" s="44">
        <v>39</v>
      </c>
      <c r="I143" s="44" t="str">
        <f>Tableau2[[#This Row],[Annee d''inscription au programme]]&amp;"-"&amp;Tableau2[[#This Row],[Code d''ecole]]&amp;"-"&amp;Tableau2[[#This Row],[Numero HM de la fille]]</f>
        <v>2021-31-39</v>
      </c>
      <c r="J143" s="45" t="s">
        <v>1401</v>
      </c>
      <c r="K143" s="44" t="s">
        <v>297</v>
      </c>
      <c r="L143" s="35" t="s">
        <v>298</v>
      </c>
      <c r="M143" s="35">
        <v>0.25</v>
      </c>
      <c r="N143" s="35">
        <v>4.5</v>
      </c>
      <c r="O143" s="35">
        <f t="shared" si="4"/>
        <v>2.375</v>
      </c>
      <c r="P143" s="35">
        <v>8.5</v>
      </c>
      <c r="Q143" s="35">
        <v>5</v>
      </c>
      <c r="R143" s="35">
        <f t="shared" si="5"/>
        <v>6.75</v>
      </c>
      <c r="S143" s="35"/>
      <c r="T143" s="35"/>
      <c r="U143" s="35"/>
      <c r="V143" s="35" t="e">
        <f>AVERAGE(Tableau2[[#This Row],[1ère composition/10]:[3è composition]])</f>
        <v>#DIV/0!</v>
      </c>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f>COUNTIF(Tableau2[[#This Row],[Séance 1]:[Séance 38]],"A")</f>
        <v>0</v>
      </c>
      <c r="BJ143" s="35"/>
    </row>
    <row r="144" spans="1:62" hidden="1" x14ac:dyDescent="0.2">
      <c r="A144" s="44" t="s">
        <v>293</v>
      </c>
      <c r="B144" s="44" t="s">
        <v>372</v>
      </c>
      <c r="C144" s="44" t="s">
        <v>3555</v>
      </c>
      <c r="D144" s="44" t="s">
        <v>371</v>
      </c>
      <c r="E144" s="44" t="s">
        <v>120</v>
      </c>
      <c r="F144" s="44">
        <v>2021</v>
      </c>
      <c r="G144" s="44">
        <v>31</v>
      </c>
      <c r="H144" s="44">
        <v>40</v>
      </c>
      <c r="I144" s="44" t="str">
        <f>Tableau2[[#This Row],[Annee d''inscription au programme]]&amp;"-"&amp;Tableau2[[#This Row],[Code d''ecole]]&amp;"-"&amp;Tableau2[[#This Row],[Numero HM de la fille]]</f>
        <v>2021-31-40</v>
      </c>
      <c r="J144" s="45" t="s">
        <v>1402</v>
      </c>
      <c r="K144" s="44" t="s">
        <v>297</v>
      </c>
      <c r="L144" s="35" t="s">
        <v>298</v>
      </c>
      <c r="M144" s="35">
        <v>0</v>
      </c>
      <c r="N144" s="35">
        <v>0</v>
      </c>
      <c r="O144" s="35">
        <f t="shared" si="4"/>
        <v>0</v>
      </c>
      <c r="P144" s="35">
        <v>10</v>
      </c>
      <c r="Q144" s="35">
        <v>12.25</v>
      </c>
      <c r="R144" s="35">
        <f t="shared" si="5"/>
        <v>11.125</v>
      </c>
      <c r="S144" s="35"/>
      <c r="T144" s="35"/>
      <c r="U144" s="35"/>
      <c r="V144" s="35" t="e">
        <f>AVERAGE(Tableau2[[#This Row],[1ère composition/10]:[3è composition]])</f>
        <v>#DIV/0!</v>
      </c>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f>COUNTIF(Tableau2[[#This Row],[Séance 1]:[Séance 38]],"A")</f>
        <v>0</v>
      </c>
      <c r="BJ144" s="35"/>
    </row>
    <row r="145" spans="1:62" hidden="1" x14ac:dyDescent="0.2">
      <c r="A145" s="44" t="s">
        <v>293</v>
      </c>
      <c r="B145" s="44" t="s">
        <v>373</v>
      </c>
      <c r="C145" s="44" t="s">
        <v>3555</v>
      </c>
      <c r="D145" s="44" t="s">
        <v>364</v>
      </c>
      <c r="E145" s="44" t="s">
        <v>120</v>
      </c>
      <c r="F145" s="44">
        <v>2021</v>
      </c>
      <c r="G145" s="44">
        <v>31</v>
      </c>
      <c r="H145" s="44">
        <v>41</v>
      </c>
      <c r="I145" s="44" t="str">
        <f>Tableau2[[#This Row],[Annee d''inscription au programme]]&amp;"-"&amp;Tableau2[[#This Row],[Code d''ecole]]&amp;"-"&amp;Tableau2[[#This Row],[Numero HM de la fille]]</f>
        <v>2021-31-41</v>
      </c>
      <c r="J145" s="45" t="s">
        <v>1403</v>
      </c>
      <c r="K145" s="44" t="s">
        <v>297</v>
      </c>
      <c r="L145" s="35" t="s">
        <v>298</v>
      </c>
      <c r="M145" s="35">
        <v>5</v>
      </c>
      <c r="N145" s="35">
        <v>5</v>
      </c>
      <c r="O145" s="35">
        <f t="shared" si="4"/>
        <v>5</v>
      </c>
      <c r="P145" s="35">
        <v>14</v>
      </c>
      <c r="Q145" s="35">
        <v>10</v>
      </c>
      <c r="R145" s="35">
        <f t="shared" si="5"/>
        <v>12</v>
      </c>
      <c r="S145" s="35"/>
      <c r="T145" s="35"/>
      <c r="U145" s="35"/>
      <c r="V145" s="35" t="e">
        <f>AVERAGE(Tableau2[[#This Row],[1ère composition/10]:[3è composition]])</f>
        <v>#DIV/0!</v>
      </c>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f>COUNTIF(Tableau2[[#This Row],[Séance 1]:[Séance 38]],"A")</f>
        <v>0</v>
      </c>
      <c r="BJ145" s="35"/>
    </row>
    <row r="146" spans="1:62" hidden="1" x14ac:dyDescent="0.2">
      <c r="A146" s="44" t="s">
        <v>294</v>
      </c>
      <c r="B146" s="44" t="s">
        <v>3893</v>
      </c>
      <c r="C146" s="44" t="s">
        <v>3555</v>
      </c>
      <c r="D146" s="44" t="s">
        <v>375</v>
      </c>
      <c r="E146" s="44" t="s">
        <v>120</v>
      </c>
      <c r="F146" s="44">
        <v>2020</v>
      </c>
      <c r="G146" s="44">
        <v>16</v>
      </c>
      <c r="H146" s="44">
        <v>139</v>
      </c>
      <c r="I146" s="44" t="str">
        <f>Tableau2[[#This Row],[Annee d''inscription au programme]]&amp;"-"&amp;Tableau2[[#This Row],[Code d''ecole]]&amp;"-"&amp;Tableau2[[#This Row],[Numero HM de la fille]]</f>
        <v>2020-16-139</v>
      </c>
      <c r="J146" s="45" t="s">
        <v>1404</v>
      </c>
      <c r="K146" s="44" t="s">
        <v>374</v>
      </c>
      <c r="L146" s="35" t="s">
        <v>620</v>
      </c>
      <c r="M146" s="51">
        <v>15</v>
      </c>
      <c r="N146" s="51">
        <v>10.25</v>
      </c>
      <c r="O146" s="51">
        <f t="shared" si="4"/>
        <v>12.625</v>
      </c>
      <c r="P146" s="35">
        <v>14</v>
      </c>
      <c r="Q146" s="35">
        <v>11</v>
      </c>
      <c r="R146" s="35">
        <f t="shared" si="5"/>
        <v>12.5</v>
      </c>
      <c r="S146" s="35"/>
      <c r="T146" s="35"/>
      <c r="U146" s="35"/>
      <c r="V146" s="35" t="e">
        <f>AVERAGE(Tableau2[[#This Row],[1ère composition/10]:[3è composition]])</f>
        <v>#DIV/0!</v>
      </c>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f>COUNTIF(Tableau2[[#This Row],[Séance 1]:[Séance 38]],"A")</f>
        <v>0</v>
      </c>
      <c r="BJ146" s="35"/>
    </row>
    <row r="147" spans="1:62" hidden="1" x14ac:dyDescent="0.2">
      <c r="A147" s="44" t="s">
        <v>294</v>
      </c>
      <c r="B147" s="44" t="s">
        <v>376</v>
      </c>
      <c r="C147" s="44" t="s">
        <v>3555</v>
      </c>
      <c r="D147" s="44" t="s">
        <v>377</v>
      </c>
      <c r="E147" s="44" t="s">
        <v>120</v>
      </c>
      <c r="F147" s="44">
        <v>2020</v>
      </c>
      <c r="G147" s="44">
        <v>16</v>
      </c>
      <c r="H147" s="44">
        <v>127</v>
      </c>
      <c r="I147" s="44" t="str">
        <f>Tableau2[[#This Row],[Annee d''inscription au programme]]&amp;"-"&amp;Tableau2[[#This Row],[Code d''ecole]]&amp;"-"&amp;Tableau2[[#This Row],[Numero HM de la fille]]</f>
        <v>2020-16-127</v>
      </c>
      <c r="J147" s="45" t="s">
        <v>1405</v>
      </c>
      <c r="K147" s="44" t="s">
        <v>374</v>
      </c>
      <c r="L147" s="35" t="s">
        <v>620</v>
      </c>
      <c r="M147" s="51">
        <v>16.5</v>
      </c>
      <c r="N147" s="51">
        <v>16.75</v>
      </c>
      <c r="O147" s="51">
        <f t="shared" si="4"/>
        <v>16.625</v>
      </c>
      <c r="P147" s="35">
        <v>15</v>
      </c>
      <c r="Q147" s="35">
        <v>16</v>
      </c>
      <c r="R147" s="35">
        <f t="shared" si="5"/>
        <v>15.5</v>
      </c>
      <c r="S147" s="35"/>
      <c r="T147" s="35"/>
      <c r="U147" s="35"/>
      <c r="V147" s="35" t="e">
        <f>AVERAGE(Tableau2[[#This Row],[1ère composition/10]:[3è composition]])</f>
        <v>#DIV/0!</v>
      </c>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f>COUNTIF(Tableau2[[#This Row],[Séance 1]:[Séance 38]],"A")</f>
        <v>0</v>
      </c>
      <c r="BJ147" s="35"/>
    </row>
    <row r="148" spans="1:62" hidden="1" x14ac:dyDescent="0.2">
      <c r="A148" s="44" t="s">
        <v>294</v>
      </c>
      <c r="B148" s="44" t="s">
        <v>378</v>
      </c>
      <c r="C148" s="44" t="s">
        <v>3555</v>
      </c>
      <c r="D148" s="44" t="s">
        <v>379</v>
      </c>
      <c r="E148" s="44" t="s">
        <v>120</v>
      </c>
      <c r="F148" s="44">
        <v>2021</v>
      </c>
      <c r="G148" s="44">
        <v>16</v>
      </c>
      <c r="H148" s="44">
        <v>1</v>
      </c>
      <c r="I148" s="44" t="str">
        <f>Tableau2[[#This Row],[Annee d''inscription au programme]]&amp;"-"&amp;Tableau2[[#This Row],[Code d''ecole]]&amp;"-"&amp;Tableau2[[#This Row],[Numero HM de la fille]]</f>
        <v>2021-16-1</v>
      </c>
      <c r="J148" s="45" t="s">
        <v>1406</v>
      </c>
      <c r="K148" s="44" t="s">
        <v>297</v>
      </c>
      <c r="L148" s="35" t="s">
        <v>298</v>
      </c>
      <c r="M148" s="51">
        <v>9.5</v>
      </c>
      <c r="N148" s="51">
        <v>13</v>
      </c>
      <c r="O148" s="51">
        <f t="shared" si="4"/>
        <v>11.25</v>
      </c>
      <c r="P148" s="35">
        <v>16.5</v>
      </c>
      <c r="Q148" s="35">
        <v>14.5</v>
      </c>
      <c r="R148" s="35">
        <f t="shared" si="5"/>
        <v>15.5</v>
      </c>
      <c r="S148" s="35"/>
      <c r="T148" s="35"/>
      <c r="U148" s="35"/>
      <c r="V148" s="35" t="e">
        <f>AVERAGE(Tableau2[[#This Row],[1ère composition/10]:[3è composition]])</f>
        <v>#DIV/0!</v>
      </c>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f>COUNTIF(Tableau2[[#This Row],[Séance 1]:[Séance 38]],"A")</f>
        <v>0</v>
      </c>
      <c r="BJ148" s="35"/>
    </row>
    <row r="149" spans="1:62" hidden="1" x14ac:dyDescent="0.2">
      <c r="A149" s="44" t="s">
        <v>294</v>
      </c>
      <c r="B149" s="44" t="s">
        <v>380</v>
      </c>
      <c r="C149" s="44" t="s">
        <v>3555</v>
      </c>
      <c r="D149" s="44" t="s">
        <v>381</v>
      </c>
      <c r="E149" s="44" t="s">
        <v>120</v>
      </c>
      <c r="F149" s="44">
        <v>2021</v>
      </c>
      <c r="G149" s="44">
        <v>16</v>
      </c>
      <c r="H149" s="44">
        <v>2</v>
      </c>
      <c r="I149" s="44" t="str">
        <f>Tableau2[[#This Row],[Annee d''inscription au programme]]&amp;"-"&amp;Tableau2[[#This Row],[Code d''ecole]]&amp;"-"&amp;Tableau2[[#This Row],[Numero HM de la fille]]</f>
        <v>2021-16-2</v>
      </c>
      <c r="J149" s="45" t="s">
        <v>1407</v>
      </c>
      <c r="K149" s="44" t="s">
        <v>297</v>
      </c>
      <c r="L149" s="35" t="s">
        <v>298</v>
      </c>
      <c r="M149" s="51">
        <v>12.5</v>
      </c>
      <c r="N149" s="51">
        <v>10.5</v>
      </c>
      <c r="O149" s="51">
        <f t="shared" si="4"/>
        <v>11.5</v>
      </c>
      <c r="P149" s="35">
        <v>13.5</v>
      </c>
      <c r="Q149" s="35">
        <v>10</v>
      </c>
      <c r="R149" s="35">
        <f t="shared" si="5"/>
        <v>11.75</v>
      </c>
      <c r="S149" s="35"/>
      <c r="T149" s="35"/>
      <c r="U149" s="35"/>
      <c r="V149" s="35" t="e">
        <f>AVERAGE(Tableau2[[#This Row],[1ère composition/10]:[3è composition]])</f>
        <v>#DIV/0!</v>
      </c>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f>COUNTIF(Tableau2[[#This Row],[Séance 1]:[Séance 38]],"A")</f>
        <v>0</v>
      </c>
      <c r="BJ149" s="35"/>
    </row>
    <row r="150" spans="1:62" hidden="1" x14ac:dyDescent="0.2">
      <c r="A150" s="44" t="s">
        <v>294</v>
      </c>
      <c r="B150" s="44" t="s">
        <v>382</v>
      </c>
      <c r="C150" s="44" t="s">
        <v>3555</v>
      </c>
      <c r="D150" s="44" t="s">
        <v>383</v>
      </c>
      <c r="E150" s="44" t="s">
        <v>120</v>
      </c>
      <c r="F150" s="44">
        <v>2021</v>
      </c>
      <c r="G150" s="44">
        <v>16</v>
      </c>
      <c r="H150" s="44">
        <v>3</v>
      </c>
      <c r="I150" s="44" t="str">
        <f>Tableau2[[#This Row],[Annee d''inscription au programme]]&amp;"-"&amp;Tableau2[[#This Row],[Code d''ecole]]&amp;"-"&amp;Tableau2[[#This Row],[Numero HM de la fille]]</f>
        <v>2021-16-3</v>
      </c>
      <c r="J150" s="45" t="s">
        <v>1408</v>
      </c>
      <c r="K150" s="44" t="s">
        <v>297</v>
      </c>
      <c r="L150" s="35" t="s">
        <v>298</v>
      </c>
      <c r="M150" s="51">
        <v>9.5</v>
      </c>
      <c r="N150" s="51">
        <v>9.5</v>
      </c>
      <c r="O150" s="51">
        <f t="shared" si="4"/>
        <v>9.5</v>
      </c>
      <c r="P150" s="35">
        <v>7.5</v>
      </c>
      <c r="Q150" s="35">
        <v>8.25</v>
      </c>
      <c r="R150" s="35">
        <f t="shared" si="5"/>
        <v>7.875</v>
      </c>
      <c r="S150" s="35"/>
      <c r="T150" s="35"/>
      <c r="U150" s="35"/>
      <c r="V150" s="35" t="e">
        <f>AVERAGE(Tableau2[[#This Row],[1ère composition/10]:[3è composition]])</f>
        <v>#DIV/0!</v>
      </c>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f>COUNTIF(Tableau2[[#This Row],[Séance 1]:[Séance 38]],"A")</f>
        <v>0</v>
      </c>
      <c r="BJ150" s="35"/>
    </row>
    <row r="151" spans="1:62" hidden="1" x14ac:dyDescent="0.2">
      <c r="A151" s="44" t="s">
        <v>294</v>
      </c>
      <c r="B151" s="44" t="s">
        <v>384</v>
      </c>
      <c r="C151" s="44" t="s">
        <v>3555</v>
      </c>
      <c r="D151" s="44" t="s">
        <v>385</v>
      </c>
      <c r="E151" s="44" t="s">
        <v>120</v>
      </c>
      <c r="F151" s="44">
        <v>2021</v>
      </c>
      <c r="G151" s="44">
        <v>16</v>
      </c>
      <c r="H151" s="44">
        <v>4</v>
      </c>
      <c r="I151" s="44" t="str">
        <f>Tableau2[[#This Row],[Annee d''inscription au programme]]&amp;"-"&amp;Tableau2[[#This Row],[Code d''ecole]]&amp;"-"&amp;Tableau2[[#This Row],[Numero HM de la fille]]</f>
        <v>2021-16-4</v>
      </c>
      <c r="J151" s="45" t="s">
        <v>1409</v>
      </c>
      <c r="K151" s="44" t="s">
        <v>297</v>
      </c>
      <c r="L151" s="35" t="s">
        <v>298</v>
      </c>
      <c r="M151" s="51">
        <v>16.5</v>
      </c>
      <c r="N151" s="51">
        <v>18</v>
      </c>
      <c r="O151" s="51">
        <f t="shared" si="4"/>
        <v>17.25</v>
      </c>
      <c r="P151" s="35">
        <v>17</v>
      </c>
      <c r="Q151" s="35">
        <v>17.25</v>
      </c>
      <c r="R151" s="35">
        <f t="shared" si="5"/>
        <v>17.125</v>
      </c>
      <c r="S151" s="35"/>
      <c r="T151" s="35"/>
      <c r="U151" s="35"/>
      <c r="V151" s="35" t="e">
        <f>AVERAGE(Tableau2[[#This Row],[1ère composition/10]:[3è composition]])</f>
        <v>#DIV/0!</v>
      </c>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f>COUNTIF(Tableau2[[#This Row],[Séance 1]:[Séance 38]],"A")</f>
        <v>0</v>
      </c>
      <c r="BJ151" s="35"/>
    </row>
    <row r="152" spans="1:62" hidden="1" x14ac:dyDescent="0.2">
      <c r="A152" s="44" t="s">
        <v>294</v>
      </c>
      <c r="B152" s="44" t="s">
        <v>386</v>
      </c>
      <c r="C152" s="44" t="s">
        <v>3555</v>
      </c>
      <c r="D152" s="44" t="s">
        <v>387</v>
      </c>
      <c r="E152" s="44" t="s">
        <v>120</v>
      </c>
      <c r="F152" s="44">
        <v>2021</v>
      </c>
      <c r="G152" s="44">
        <v>16</v>
      </c>
      <c r="H152" s="44">
        <v>5</v>
      </c>
      <c r="I152" s="44" t="str">
        <f>Tableau2[[#This Row],[Annee d''inscription au programme]]&amp;"-"&amp;Tableau2[[#This Row],[Code d''ecole]]&amp;"-"&amp;Tableau2[[#This Row],[Numero HM de la fille]]</f>
        <v>2021-16-5</v>
      </c>
      <c r="J152" s="45" t="s">
        <v>1410</v>
      </c>
      <c r="K152" s="44" t="s">
        <v>297</v>
      </c>
      <c r="L152" s="35" t="s">
        <v>298</v>
      </c>
      <c r="M152" s="51">
        <v>14.5</v>
      </c>
      <c r="N152" s="51">
        <v>17.25</v>
      </c>
      <c r="O152" s="51">
        <f t="shared" si="4"/>
        <v>15.875</v>
      </c>
      <c r="P152" s="35">
        <v>17</v>
      </c>
      <c r="Q152" s="35">
        <v>17</v>
      </c>
      <c r="R152" s="35">
        <f t="shared" si="5"/>
        <v>17</v>
      </c>
      <c r="S152" s="35"/>
      <c r="T152" s="35"/>
      <c r="U152" s="35"/>
      <c r="V152" s="35" t="e">
        <f>AVERAGE(Tableau2[[#This Row],[1ère composition/10]:[3è composition]])</f>
        <v>#DIV/0!</v>
      </c>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f>COUNTIF(Tableau2[[#This Row],[Séance 1]:[Séance 38]],"A")</f>
        <v>0</v>
      </c>
      <c r="BJ152" s="35"/>
    </row>
    <row r="153" spans="1:62" hidden="1" x14ac:dyDescent="0.2">
      <c r="A153" s="44" t="s">
        <v>294</v>
      </c>
      <c r="B153" s="44" t="s">
        <v>3894</v>
      </c>
      <c r="C153" s="44" t="s">
        <v>3555</v>
      </c>
      <c r="D153" s="44" t="s">
        <v>388</v>
      </c>
      <c r="E153" s="44" t="s">
        <v>120</v>
      </c>
      <c r="F153" s="44">
        <v>2020</v>
      </c>
      <c r="G153" s="44">
        <v>16</v>
      </c>
      <c r="H153" s="44">
        <v>115</v>
      </c>
      <c r="I153" s="44" t="str">
        <f>Tableau2[[#This Row],[Annee d''inscription au programme]]&amp;"-"&amp;Tableau2[[#This Row],[Code d''ecole]]&amp;"-"&amp;Tableau2[[#This Row],[Numero HM de la fille]]</f>
        <v>2020-16-115</v>
      </c>
      <c r="J153" s="45" t="s">
        <v>1411</v>
      </c>
      <c r="K153" s="44" t="s">
        <v>374</v>
      </c>
      <c r="L153" s="35" t="s">
        <v>620</v>
      </c>
      <c r="M153" s="51">
        <v>7</v>
      </c>
      <c r="N153" s="51">
        <v>3</v>
      </c>
      <c r="O153" s="51">
        <f t="shared" si="4"/>
        <v>5</v>
      </c>
      <c r="P153" s="35">
        <v>5.5</v>
      </c>
      <c r="Q153" s="35">
        <v>3.75</v>
      </c>
      <c r="R153" s="35">
        <f t="shared" si="5"/>
        <v>4.625</v>
      </c>
      <c r="S153" s="35"/>
      <c r="T153" s="35"/>
      <c r="U153" s="35"/>
      <c r="V153" s="35" t="e">
        <f>AVERAGE(Tableau2[[#This Row],[1ère composition/10]:[3è composition]])</f>
        <v>#DIV/0!</v>
      </c>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f>COUNTIF(Tableau2[[#This Row],[Séance 1]:[Séance 38]],"A")</f>
        <v>0</v>
      </c>
      <c r="BJ153" s="35"/>
    </row>
    <row r="154" spans="1:62" hidden="1" x14ac:dyDescent="0.2">
      <c r="A154" s="44" t="s">
        <v>294</v>
      </c>
      <c r="B154" s="44" t="s">
        <v>389</v>
      </c>
      <c r="C154" s="44" t="s">
        <v>3555</v>
      </c>
      <c r="D154" s="44" t="s">
        <v>390</v>
      </c>
      <c r="E154" s="44" t="s">
        <v>120</v>
      </c>
      <c r="F154" s="44">
        <v>2021</v>
      </c>
      <c r="G154" s="44">
        <v>16</v>
      </c>
      <c r="H154" s="44">
        <v>6</v>
      </c>
      <c r="I154" s="44" t="str">
        <f>Tableau2[[#This Row],[Annee d''inscription au programme]]&amp;"-"&amp;Tableau2[[#This Row],[Code d''ecole]]&amp;"-"&amp;Tableau2[[#This Row],[Numero HM de la fille]]</f>
        <v>2021-16-6</v>
      </c>
      <c r="J154" s="45" t="s">
        <v>1412</v>
      </c>
      <c r="K154" s="44" t="s">
        <v>297</v>
      </c>
      <c r="L154" s="35" t="s">
        <v>298</v>
      </c>
      <c r="M154" s="51">
        <v>5.5</v>
      </c>
      <c r="N154" s="51">
        <v>11.25</v>
      </c>
      <c r="O154" s="51">
        <f t="shared" si="4"/>
        <v>8.375</v>
      </c>
      <c r="P154" s="35">
        <v>11.5</v>
      </c>
      <c r="Q154" s="35">
        <v>4</v>
      </c>
      <c r="R154" s="35">
        <f t="shared" si="5"/>
        <v>7.75</v>
      </c>
      <c r="S154" s="35"/>
      <c r="T154" s="35"/>
      <c r="U154" s="35"/>
      <c r="V154" s="35" t="e">
        <f>AVERAGE(Tableau2[[#This Row],[1ère composition/10]:[3è composition]])</f>
        <v>#DIV/0!</v>
      </c>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f>COUNTIF(Tableau2[[#This Row],[Séance 1]:[Séance 38]],"A")</f>
        <v>0</v>
      </c>
      <c r="BJ154" s="35"/>
    </row>
    <row r="155" spans="1:62" hidden="1" x14ac:dyDescent="0.2">
      <c r="A155" s="44" t="s">
        <v>294</v>
      </c>
      <c r="B155" s="44" t="s">
        <v>391</v>
      </c>
      <c r="C155" s="44" t="s">
        <v>3555</v>
      </c>
      <c r="D155" s="44" t="s">
        <v>392</v>
      </c>
      <c r="E155" s="44" t="s">
        <v>120</v>
      </c>
      <c r="F155" s="44">
        <v>2020</v>
      </c>
      <c r="G155" s="44">
        <v>16</v>
      </c>
      <c r="H155" s="44">
        <v>128</v>
      </c>
      <c r="I155" s="44" t="str">
        <f>Tableau2[[#This Row],[Annee d''inscription au programme]]&amp;"-"&amp;Tableau2[[#This Row],[Code d''ecole]]&amp;"-"&amp;Tableau2[[#This Row],[Numero HM de la fille]]</f>
        <v>2020-16-128</v>
      </c>
      <c r="J155" s="45" t="s">
        <v>1413</v>
      </c>
      <c r="K155" s="44" t="s">
        <v>374</v>
      </c>
      <c r="L155" s="35" t="s">
        <v>620</v>
      </c>
      <c r="M155" s="51">
        <v>1</v>
      </c>
      <c r="N155" s="51">
        <v>4</v>
      </c>
      <c r="O155" s="51">
        <f t="shared" si="4"/>
        <v>2.5</v>
      </c>
      <c r="P155" s="35">
        <v>9</v>
      </c>
      <c r="Q155" s="35">
        <v>7.75</v>
      </c>
      <c r="R155" s="35">
        <f t="shared" si="5"/>
        <v>8.375</v>
      </c>
      <c r="S155" s="35"/>
      <c r="T155" s="35"/>
      <c r="U155" s="35"/>
      <c r="V155" s="35" t="e">
        <f>AVERAGE(Tableau2[[#This Row],[1ère composition/10]:[3è composition]])</f>
        <v>#DIV/0!</v>
      </c>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f>COUNTIF(Tableau2[[#This Row],[Séance 1]:[Séance 38]],"A")</f>
        <v>0</v>
      </c>
      <c r="BJ155" s="35"/>
    </row>
    <row r="156" spans="1:62" hidden="1" x14ac:dyDescent="0.2">
      <c r="A156" s="44" t="s">
        <v>294</v>
      </c>
      <c r="B156" s="44" t="s">
        <v>393</v>
      </c>
      <c r="C156" s="44" t="s">
        <v>3555</v>
      </c>
      <c r="D156" s="44" t="s">
        <v>394</v>
      </c>
      <c r="E156" s="44" t="s">
        <v>120</v>
      </c>
      <c r="F156" s="44">
        <v>2021</v>
      </c>
      <c r="G156" s="44">
        <v>16</v>
      </c>
      <c r="H156" s="44">
        <v>7</v>
      </c>
      <c r="I156" s="44" t="str">
        <f>Tableau2[[#This Row],[Annee d''inscription au programme]]&amp;"-"&amp;Tableau2[[#This Row],[Code d''ecole]]&amp;"-"&amp;Tableau2[[#This Row],[Numero HM de la fille]]</f>
        <v>2021-16-7</v>
      </c>
      <c r="J156" s="45" t="s">
        <v>1414</v>
      </c>
      <c r="K156" s="44" t="s">
        <v>297</v>
      </c>
      <c r="L156" s="35" t="s">
        <v>298</v>
      </c>
      <c r="M156" s="51">
        <v>14</v>
      </c>
      <c r="N156" s="51">
        <v>8</v>
      </c>
      <c r="O156" s="51">
        <f t="shared" si="4"/>
        <v>11</v>
      </c>
      <c r="P156" s="35">
        <v>4</v>
      </c>
      <c r="Q156" s="35">
        <v>2.5</v>
      </c>
      <c r="R156" s="35">
        <f t="shared" si="5"/>
        <v>3.25</v>
      </c>
      <c r="S156" s="35"/>
      <c r="T156" s="35"/>
      <c r="U156" s="35"/>
      <c r="V156" s="35" t="e">
        <f>AVERAGE(Tableau2[[#This Row],[1ère composition/10]:[3è composition]])</f>
        <v>#DIV/0!</v>
      </c>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f>COUNTIF(Tableau2[[#This Row],[Séance 1]:[Séance 38]],"A")</f>
        <v>0</v>
      </c>
      <c r="BJ156" s="35"/>
    </row>
    <row r="157" spans="1:62" hidden="1" x14ac:dyDescent="0.2">
      <c r="A157" s="44" t="s">
        <v>294</v>
      </c>
      <c r="B157" s="44" t="s">
        <v>395</v>
      </c>
      <c r="C157" s="44" t="s">
        <v>3555</v>
      </c>
      <c r="D157" s="44" t="s">
        <v>396</v>
      </c>
      <c r="E157" s="44" t="s">
        <v>120</v>
      </c>
      <c r="F157" s="44">
        <v>2021</v>
      </c>
      <c r="G157" s="44">
        <v>16</v>
      </c>
      <c r="H157" s="44">
        <v>8</v>
      </c>
      <c r="I157" s="44" t="str">
        <f>Tableau2[[#This Row],[Annee d''inscription au programme]]&amp;"-"&amp;Tableau2[[#This Row],[Code d''ecole]]&amp;"-"&amp;Tableau2[[#This Row],[Numero HM de la fille]]</f>
        <v>2021-16-8</v>
      </c>
      <c r="J157" s="45" t="s">
        <v>1415</v>
      </c>
      <c r="K157" s="44" t="s">
        <v>3505</v>
      </c>
      <c r="L157" s="35" t="s">
        <v>298</v>
      </c>
      <c r="M157" s="51">
        <v>1</v>
      </c>
      <c r="N157" s="51">
        <v>4</v>
      </c>
      <c r="O157" s="51">
        <f t="shared" si="4"/>
        <v>2.5</v>
      </c>
      <c r="P157" s="35">
        <v>8.5</v>
      </c>
      <c r="Q157" s="35">
        <v>5.5</v>
      </c>
      <c r="R157" s="35">
        <f t="shared" si="5"/>
        <v>7</v>
      </c>
      <c r="S157" s="35"/>
      <c r="T157" s="35"/>
      <c r="U157" s="35"/>
      <c r="V157" s="35" t="e">
        <f>AVERAGE(Tableau2[[#This Row],[1ère composition/10]:[3è composition]])</f>
        <v>#DIV/0!</v>
      </c>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f>COUNTIF(Tableau2[[#This Row],[Séance 1]:[Séance 38]],"A")</f>
        <v>0</v>
      </c>
      <c r="BJ157" s="35"/>
    </row>
    <row r="158" spans="1:62" hidden="1" x14ac:dyDescent="0.2">
      <c r="A158" s="44" t="s">
        <v>294</v>
      </c>
      <c r="B158" s="44" t="s">
        <v>397</v>
      </c>
      <c r="C158" s="44" t="s">
        <v>3555</v>
      </c>
      <c r="D158" s="44" t="s">
        <v>398</v>
      </c>
      <c r="E158" s="44" t="s">
        <v>120</v>
      </c>
      <c r="F158" s="44">
        <v>2020</v>
      </c>
      <c r="G158" s="44">
        <v>16</v>
      </c>
      <c r="H158" s="44">
        <v>118</v>
      </c>
      <c r="I158" s="44" t="str">
        <f>Tableau2[[#This Row],[Annee d''inscription au programme]]&amp;"-"&amp;Tableau2[[#This Row],[Code d''ecole]]&amp;"-"&amp;Tableau2[[#This Row],[Numero HM de la fille]]</f>
        <v>2020-16-118</v>
      </c>
      <c r="J158" s="45" t="s">
        <v>1416</v>
      </c>
      <c r="K158" s="44" t="s">
        <v>374</v>
      </c>
      <c r="L158" s="35" t="s">
        <v>620</v>
      </c>
      <c r="M158" s="51">
        <v>8</v>
      </c>
      <c r="N158" s="51">
        <v>3</v>
      </c>
      <c r="O158" s="51">
        <f t="shared" si="4"/>
        <v>5.5</v>
      </c>
      <c r="P158" s="35"/>
      <c r="Q158" s="35"/>
      <c r="R158" s="35">
        <f t="shared" si="5"/>
        <v>0</v>
      </c>
      <c r="S158" s="35"/>
      <c r="T158" s="35"/>
      <c r="U158" s="35"/>
      <c r="V158" s="35" t="e">
        <f>AVERAGE(Tableau2[[#This Row],[1ère composition/10]:[3è composition]])</f>
        <v>#DIV/0!</v>
      </c>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f>COUNTIF(Tableau2[[#This Row],[Séance 1]:[Séance 38]],"A")</f>
        <v>0</v>
      </c>
      <c r="BJ158" s="35"/>
    </row>
    <row r="159" spans="1:62" hidden="1" x14ac:dyDescent="0.2">
      <c r="A159" s="44" t="s">
        <v>294</v>
      </c>
      <c r="B159" s="44" t="s">
        <v>399</v>
      </c>
      <c r="C159" s="44" t="s">
        <v>3555</v>
      </c>
      <c r="D159" s="44" t="s">
        <v>400</v>
      </c>
      <c r="E159" s="44" t="s">
        <v>120</v>
      </c>
      <c r="F159" s="44">
        <v>2021</v>
      </c>
      <c r="G159" s="44">
        <v>16</v>
      </c>
      <c r="H159" s="44">
        <v>9</v>
      </c>
      <c r="I159" s="44" t="str">
        <f>Tableau2[[#This Row],[Annee d''inscription au programme]]&amp;"-"&amp;Tableau2[[#This Row],[Code d''ecole]]&amp;"-"&amp;Tableau2[[#This Row],[Numero HM de la fille]]</f>
        <v>2021-16-9</v>
      </c>
      <c r="J159" s="45" t="s">
        <v>1417</v>
      </c>
      <c r="K159" s="44" t="s">
        <v>297</v>
      </c>
      <c r="L159" s="35" t="s">
        <v>298</v>
      </c>
      <c r="M159" s="51">
        <v>3</v>
      </c>
      <c r="N159" s="51">
        <v>3</v>
      </c>
      <c r="O159" s="51">
        <f t="shared" si="4"/>
        <v>3</v>
      </c>
      <c r="P159" s="35">
        <v>10</v>
      </c>
      <c r="Q159" s="35">
        <v>6</v>
      </c>
      <c r="R159" s="35">
        <f t="shared" si="5"/>
        <v>8</v>
      </c>
      <c r="S159" s="35"/>
      <c r="T159" s="35"/>
      <c r="U159" s="35"/>
      <c r="V159" s="35" t="e">
        <f>AVERAGE(Tableau2[[#This Row],[1ère composition/10]:[3è composition]])</f>
        <v>#DIV/0!</v>
      </c>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f>COUNTIF(Tableau2[[#This Row],[Séance 1]:[Séance 38]],"A")</f>
        <v>0</v>
      </c>
      <c r="BJ159" s="35"/>
    </row>
    <row r="160" spans="1:62" hidden="1" x14ac:dyDescent="0.2">
      <c r="A160" s="44" t="s">
        <v>294</v>
      </c>
      <c r="B160" s="44" t="s">
        <v>401</v>
      </c>
      <c r="C160" s="44" t="s">
        <v>3555</v>
      </c>
      <c r="D160" s="44" t="s">
        <v>402</v>
      </c>
      <c r="E160" s="44" t="s">
        <v>120</v>
      </c>
      <c r="F160" s="44">
        <v>2021</v>
      </c>
      <c r="G160" s="44">
        <v>16</v>
      </c>
      <c r="H160" s="44">
        <v>10</v>
      </c>
      <c r="I160" s="44" t="str">
        <f>Tableau2[[#This Row],[Annee d''inscription au programme]]&amp;"-"&amp;Tableau2[[#This Row],[Code d''ecole]]&amp;"-"&amp;Tableau2[[#This Row],[Numero HM de la fille]]</f>
        <v>2021-16-10</v>
      </c>
      <c r="J160" s="45" t="s">
        <v>1418</v>
      </c>
      <c r="K160" s="44" t="s">
        <v>297</v>
      </c>
      <c r="L160" s="35" t="s">
        <v>298</v>
      </c>
      <c r="M160" s="51">
        <v>11</v>
      </c>
      <c r="N160" s="51">
        <v>6</v>
      </c>
      <c r="O160" s="51">
        <f t="shared" si="4"/>
        <v>8.5</v>
      </c>
      <c r="P160" s="35">
        <v>15</v>
      </c>
      <c r="Q160" s="35">
        <v>13</v>
      </c>
      <c r="R160" s="35">
        <f t="shared" si="5"/>
        <v>14</v>
      </c>
      <c r="S160" s="35"/>
      <c r="T160" s="35"/>
      <c r="U160" s="35"/>
      <c r="V160" s="35" t="e">
        <f>AVERAGE(Tableau2[[#This Row],[1ère composition/10]:[3è composition]])</f>
        <v>#DIV/0!</v>
      </c>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f>COUNTIF(Tableau2[[#This Row],[Séance 1]:[Séance 38]],"A")</f>
        <v>0</v>
      </c>
      <c r="BJ160" s="35"/>
    </row>
    <row r="161" spans="1:62" hidden="1" x14ac:dyDescent="0.2">
      <c r="A161" s="44" t="s">
        <v>294</v>
      </c>
      <c r="B161" s="44" t="s">
        <v>403</v>
      </c>
      <c r="C161" s="44" t="s">
        <v>3555</v>
      </c>
      <c r="D161" s="44" t="s">
        <v>404</v>
      </c>
      <c r="E161" s="44" t="s">
        <v>120</v>
      </c>
      <c r="F161" s="44">
        <v>2021</v>
      </c>
      <c r="G161" s="44">
        <v>16</v>
      </c>
      <c r="H161" s="44">
        <v>11</v>
      </c>
      <c r="I161" s="44" t="str">
        <f>Tableau2[[#This Row],[Annee d''inscription au programme]]&amp;"-"&amp;Tableau2[[#This Row],[Code d''ecole]]&amp;"-"&amp;Tableau2[[#This Row],[Numero HM de la fille]]</f>
        <v>2021-16-11</v>
      </c>
      <c r="J161" s="45" t="s">
        <v>1419</v>
      </c>
      <c r="K161" s="44" t="s">
        <v>297</v>
      </c>
      <c r="L161" s="35" t="s">
        <v>298</v>
      </c>
      <c r="M161" s="51">
        <v>12.5</v>
      </c>
      <c r="N161" s="51">
        <v>4</v>
      </c>
      <c r="O161" s="51">
        <f t="shared" si="4"/>
        <v>8.25</v>
      </c>
      <c r="P161" s="35">
        <v>11</v>
      </c>
      <c r="Q161" s="35">
        <v>4</v>
      </c>
      <c r="R161" s="35">
        <f t="shared" si="5"/>
        <v>7.5</v>
      </c>
      <c r="S161" s="35"/>
      <c r="T161" s="35"/>
      <c r="U161" s="35"/>
      <c r="V161" s="35" t="e">
        <f>AVERAGE(Tableau2[[#This Row],[1ère composition/10]:[3è composition]])</f>
        <v>#DIV/0!</v>
      </c>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f>COUNTIF(Tableau2[[#This Row],[Séance 1]:[Séance 38]],"A")</f>
        <v>0</v>
      </c>
      <c r="BJ161" s="35"/>
    </row>
    <row r="162" spans="1:62" hidden="1" x14ac:dyDescent="0.2">
      <c r="A162" s="44" t="s">
        <v>294</v>
      </c>
      <c r="B162" s="44" t="s">
        <v>405</v>
      </c>
      <c r="C162" s="44" t="s">
        <v>3555</v>
      </c>
      <c r="D162" s="44" t="s">
        <v>390</v>
      </c>
      <c r="E162" s="44" t="s">
        <v>120</v>
      </c>
      <c r="F162" s="44">
        <v>2021</v>
      </c>
      <c r="G162" s="44">
        <v>16</v>
      </c>
      <c r="H162" s="44">
        <v>12</v>
      </c>
      <c r="I162" s="44" t="str">
        <f>Tableau2[[#This Row],[Annee d''inscription au programme]]&amp;"-"&amp;Tableau2[[#This Row],[Code d''ecole]]&amp;"-"&amp;Tableau2[[#This Row],[Numero HM de la fille]]</f>
        <v>2021-16-12</v>
      </c>
      <c r="J162" s="45" t="s">
        <v>1420</v>
      </c>
      <c r="K162" s="44" t="s">
        <v>297</v>
      </c>
      <c r="L162" s="35" t="s">
        <v>298</v>
      </c>
      <c r="M162" s="51">
        <v>9</v>
      </c>
      <c r="N162" s="51">
        <v>9</v>
      </c>
      <c r="O162" s="51">
        <f t="shared" si="4"/>
        <v>9</v>
      </c>
      <c r="P162" s="35">
        <v>15.5</v>
      </c>
      <c r="Q162" s="35">
        <v>19.5</v>
      </c>
      <c r="R162" s="35">
        <f t="shared" si="5"/>
        <v>17.5</v>
      </c>
      <c r="S162" s="35"/>
      <c r="T162" s="35"/>
      <c r="U162" s="35"/>
      <c r="V162" s="35" t="e">
        <f>AVERAGE(Tableau2[[#This Row],[1ère composition/10]:[3è composition]])</f>
        <v>#DIV/0!</v>
      </c>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f>COUNTIF(Tableau2[[#This Row],[Séance 1]:[Séance 38]],"A")</f>
        <v>0</v>
      </c>
      <c r="BJ162" s="35"/>
    </row>
    <row r="163" spans="1:62" hidden="1" x14ac:dyDescent="0.2">
      <c r="A163" s="44" t="s">
        <v>294</v>
      </c>
      <c r="B163" s="44" t="s">
        <v>406</v>
      </c>
      <c r="C163" s="44" t="s">
        <v>3555</v>
      </c>
      <c r="D163" s="44" t="s">
        <v>381</v>
      </c>
      <c r="E163" s="44" t="s">
        <v>120</v>
      </c>
      <c r="F163" s="44">
        <v>2021</v>
      </c>
      <c r="G163" s="44">
        <v>16</v>
      </c>
      <c r="H163" s="44">
        <v>13</v>
      </c>
      <c r="I163" s="44" t="str">
        <f>Tableau2[[#This Row],[Annee d''inscription au programme]]&amp;"-"&amp;Tableau2[[#This Row],[Code d''ecole]]&amp;"-"&amp;Tableau2[[#This Row],[Numero HM de la fille]]</f>
        <v>2021-16-13</v>
      </c>
      <c r="J163" s="45" t="s">
        <v>1421</v>
      </c>
      <c r="K163" s="44" t="s">
        <v>297</v>
      </c>
      <c r="L163" s="35" t="s">
        <v>298</v>
      </c>
      <c r="M163" s="51">
        <v>10</v>
      </c>
      <c r="N163" s="51">
        <v>3.75</v>
      </c>
      <c r="O163" s="51">
        <f t="shared" si="4"/>
        <v>6.875</v>
      </c>
      <c r="P163" s="35">
        <v>15.5</v>
      </c>
      <c r="Q163" s="35">
        <v>19</v>
      </c>
      <c r="R163" s="35">
        <f t="shared" si="5"/>
        <v>17.25</v>
      </c>
      <c r="S163" s="35"/>
      <c r="T163" s="35"/>
      <c r="U163" s="35"/>
      <c r="V163" s="35" t="e">
        <f>AVERAGE(Tableau2[[#This Row],[1ère composition/10]:[3è composition]])</f>
        <v>#DIV/0!</v>
      </c>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f>COUNTIF(Tableau2[[#This Row],[Séance 1]:[Séance 38]],"A")</f>
        <v>0</v>
      </c>
      <c r="BJ163" s="35"/>
    </row>
    <row r="164" spans="1:62" hidden="1" x14ac:dyDescent="0.2">
      <c r="A164" s="44" t="s">
        <v>294</v>
      </c>
      <c r="B164" s="44" t="s">
        <v>407</v>
      </c>
      <c r="C164" s="44" t="s">
        <v>3555</v>
      </c>
      <c r="D164" s="44" t="s">
        <v>408</v>
      </c>
      <c r="E164" s="44" t="s">
        <v>120</v>
      </c>
      <c r="F164" s="44">
        <v>2021</v>
      </c>
      <c r="G164" s="44">
        <v>16</v>
      </c>
      <c r="H164" s="44">
        <v>14</v>
      </c>
      <c r="I164" s="44" t="str">
        <f>Tableau2[[#This Row],[Annee d''inscription au programme]]&amp;"-"&amp;Tableau2[[#This Row],[Code d''ecole]]&amp;"-"&amp;Tableau2[[#This Row],[Numero HM de la fille]]</f>
        <v>2021-16-14</v>
      </c>
      <c r="J164" s="45" t="s">
        <v>1422</v>
      </c>
      <c r="K164" s="44" t="s">
        <v>297</v>
      </c>
      <c r="L164" s="35" t="s">
        <v>298</v>
      </c>
      <c r="M164" s="51">
        <v>12</v>
      </c>
      <c r="N164" s="51">
        <v>8.5</v>
      </c>
      <c r="O164" s="51">
        <f t="shared" si="4"/>
        <v>10.25</v>
      </c>
      <c r="P164" s="35">
        <v>15</v>
      </c>
      <c r="Q164" s="35">
        <v>3.25</v>
      </c>
      <c r="R164" s="35">
        <f t="shared" si="5"/>
        <v>9.125</v>
      </c>
      <c r="S164" s="35"/>
      <c r="T164" s="35"/>
      <c r="U164" s="35"/>
      <c r="V164" s="35" t="e">
        <f>AVERAGE(Tableau2[[#This Row],[1ère composition/10]:[3è composition]])</f>
        <v>#DIV/0!</v>
      </c>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f>COUNTIF(Tableau2[[#This Row],[Séance 1]:[Séance 38]],"A")</f>
        <v>0</v>
      </c>
      <c r="BJ164" s="35"/>
    </row>
    <row r="165" spans="1:62" hidden="1" x14ac:dyDescent="0.2">
      <c r="A165" s="44" t="s">
        <v>294</v>
      </c>
      <c r="B165" s="44" t="s">
        <v>409</v>
      </c>
      <c r="C165" s="44" t="s">
        <v>3555</v>
      </c>
      <c r="D165" s="44" t="s">
        <v>410</v>
      </c>
      <c r="E165" s="44" t="s">
        <v>120</v>
      </c>
      <c r="F165" s="44">
        <v>2021</v>
      </c>
      <c r="G165" s="44">
        <v>16</v>
      </c>
      <c r="H165" s="44">
        <v>15</v>
      </c>
      <c r="I165" s="44" t="str">
        <f>Tableau2[[#This Row],[Annee d''inscription au programme]]&amp;"-"&amp;Tableau2[[#This Row],[Code d''ecole]]&amp;"-"&amp;Tableau2[[#This Row],[Numero HM de la fille]]</f>
        <v>2021-16-15</v>
      </c>
      <c r="J165" s="45" t="s">
        <v>1423</v>
      </c>
      <c r="K165" s="44" t="s">
        <v>297</v>
      </c>
      <c r="L165" s="35" t="s">
        <v>298</v>
      </c>
      <c r="M165" s="51">
        <v>17</v>
      </c>
      <c r="N165" s="51">
        <v>17</v>
      </c>
      <c r="O165" s="51">
        <f t="shared" si="4"/>
        <v>17</v>
      </c>
      <c r="P165" s="35">
        <v>8.5</v>
      </c>
      <c r="Q165" s="35">
        <v>2</v>
      </c>
      <c r="R165" s="35">
        <f t="shared" si="5"/>
        <v>5.25</v>
      </c>
      <c r="S165" s="35"/>
      <c r="T165" s="35"/>
      <c r="U165" s="35"/>
      <c r="V165" s="35" t="e">
        <f>AVERAGE(Tableau2[[#This Row],[1ère composition/10]:[3è composition]])</f>
        <v>#DIV/0!</v>
      </c>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f>COUNTIF(Tableau2[[#This Row],[Séance 1]:[Séance 38]],"A")</f>
        <v>0</v>
      </c>
      <c r="BJ165" s="35"/>
    </row>
    <row r="166" spans="1:62" hidden="1" x14ac:dyDescent="0.2">
      <c r="A166" s="44" t="s">
        <v>294</v>
      </c>
      <c r="B166" s="44" t="s">
        <v>411</v>
      </c>
      <c r="C166" s="44" t="s">
        <v>3555</v>
      </c>
      <c r="D166" s="44" t="s">
        <v>412</v>
      </c>
      <c r="E166" s="44" t="s">
        <v>120</v>
      </c>
      <c r="F166" s="44">
        <v>2021</v>
      </c>
      <c r="G166" s="44">
        <v>16</v>
      </c>
      <c r="H166" s="44">
        <v>16</v>
      </c>
      <c r="I166" s="44" t="str">
        <f>Tableau2[[#This Row],[Annee d''inscription au programme]]&amp;"-"&amp;Tableau2[[#This Row],[Code d''ecole]]&amp;"-"&amp;Tableau2[[#This Row],[Numero HM de la fille]]</f>
        <v>2021-16-16</v>
      </c>
      <c r="J166" s="45" t="s">
        <v>1424</v>
      </c>
      <c r="K166" s="44" t="s">
        <v>3505</v>
      </c>
      <c r="L166" s="35" t="s">
        <v>298</v>
      </c>
      <c r="M166" s="51">
        <v>11.5</v>
      </c>
      <c r="N166" s="51">
        <v>3</v>
      </c>
      <c r="O166" s="51">
        <f t="shared" si="4"/>
        <v>7.25</v>
      </c>
      <c r="P166" s="35">
        <v>14</v>
      </c>
      <c r="Q166" s="35">
        <v>18.5</v>
      </c>
      <c r="R166" s="35">
        <f t="shared" si="5"/>
        <v>16.25</v>
      </c>
      <c r="S166" s="35"/>
      <c r="T166" s="35"/>
      <c r="U166" s="35"/>
      <c r="V166" s="35" t="e">
        <f>AVERAGE(Tableau2[[#This Row],[1ère composition/10]:[3è composition]])</f>
        <v>#DIV/0!</v>
      </c>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f>COUNTIF(Tableau2[[#This Row],[Séance 1]:[Séance 38]],"A")</f>
        <v>0</v>
      </c>
      <c r="BJ166" s="35"/>
    </row>
    <row r="167" spans="1:62" hidden="1" x14ac:dyDescent="0.2">
      <c r="A167" s="44" t="s">
        <v>294</v>
      </c>
      <c r="B167" s="44" t="s">
        <v>413</v>
      </c>
      <c r="C167" s="44" t="s">
        <v>3555</v>
      </c>
      <c r="D167" s="44" t="s">
        <v>414</v>
      </c>
      <c r="E167" s="44" t="s">
        <v>120</v>
      </c>
      <c r="F167" s="44">
        <v>2020</v>
      </c>
      <c r="G167" s="44">
        <v>16</v>
      </c>
      <c r="H167" s="44">
        <v>124</v>
      </c>
      <c r="I167" s="44" t="str">
        <f>Tableau2[[#This Row],[Annee d''inscription au programme]]&amp;"-"&amp;Tableau2[[#This Row],[Code d''ecole]]&amp;"-"&amp;Tableau2[[#This Row],[Numero HM de la fille]]</f>
        <v>2020-16-124</v>
      </c>
      <c r="J167" s="45" t="s">
        <v>1425</v>
      </c>
      <c r="K167" s="44" t="s">
        <v>374</v>
      </c>
      <c r="L167" s="35" t="s">
        <v>620</v>
      </c>
      <c r="M167" s="51">
        <v>2</v>
      </c>
      <c r="N167" s="51">
        <v>2</v>
      </c>
      <c r="O167" s="51">
        <f t="shared" si="4"/>
        <v>2</v>
      </c>
      <c r="P167" s="35">
        <v>16</v>
      </c>
      <c r="Q167" s="35">
        <v>6.75</v>
      </c>
      <c r="R167" s="35">
        <f t="shared" si="5"/>
        <v>11.375</v>
      </c>
      <c r="S167" s="35"/>
      <c r="T167" s="35"/>
      <c r="U167" s="35"/>
      <c r="V167" s="35" t="e">
        <f>AVERAGE(Tableau2[[#This Row],[1ère composition/10]:[3è composition]])</f>
        <v>#DIV/0!</v>
      </c>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f>COUNTIF(Tableau2[[#This Row],[Séance 1]:[Séance 38]],"A")</f>
        <v>0</v>
      </c>
      <c r="BJ167" s="35"/>
    </row>
    <row r="168" spans="1:62" hidden="1" x14ac:dyDescent="0.2">
      <c r="A168" s="44" t="s">
        <v>294</v>
      </c>
      <c r="B168" s="44" t="s">
        <v>415</v>
      </c>
      <c r="C168" s="44" t="s">
        <v>3555</v>
      </c>
      <c r="D168" s="44" t="s">
        <v>416</v>
      </c>
      <c r="E168" s="44" t="s">
        <v>120</v>
      </c>
      <c r="F168" s="44">
        <v>2021</v>
      </c>
      <c r="G168" s="44">
        <v>16</v>
      </c>
      <c r="H168" s="44">
        <v>17</v>
      </c>
      <c r="I168" s="44" t="str">
        <f>Tableau2[[#This Row],[Annee d''inscription au programme]]&amp;"-"&amp;Tableau2[[#This Row],[Code d''ecole]]&amp;"-"&amp;Tableau2[[#This Row],[Numero HM de la fille]]</f>
        <v>2021-16-17</v>
      </c>
      <c r="J168" s="45" t="s">
        <v>1426</v>
      </c>
      <c r="K168" s="44" t="s">
        <v>297</v>
      </c>
      <c r="L168" s="35" t="s">
        <v>298</v>
      </c>
      <c r="M168" s="51">
        <v>8</v>
      </c>
      <c r="N168" s="51">
        <v>4.25</v>
      </c>
      <c r="O168" s="51">
        <f t="shared" si="4"/>
        <v>6.125</v>
      </c>
      <c r="P168" s="35">
        <v>12</v>
      </c>
      <c r="Q168" s="35">
        <v>11</v>
      </c>
      <c r="R168" s="35">
        <f t="shared" si="5"/>
        <v>11.5</v>
      </c>
      <c r="S168" s="35"/>
      <c r="T168" s="35"/>
      <c r="U168" s="35"/>
      <c r="V168" s="35" t="e">
        <f>AVERAGE(Tableau2[[#This Row],[1ère composition/10]:[3è composition]])</f>
        <v>#DIV/0!</v>
      </c>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f>COUNTIF(Tableau2[[#This Row],[Séance 1]:[Séance 38]],"A")</f>
        <v>0</v>
      </c>
      <c r="BJ168" s="35"/>
    </row>
    <row r="169" spans="1:62" hidden="1" x14ac:dyDescent="0.2">
      <c r="A169" s="44" t="s">
        <v>294</v>
      </c>
      <c r="B169" s="44" t="s">
        <v>417</v>
      </c>
      <c r="C169" s="44" t="s">
        <v>3555</v>
      </c>
      <c r="D169" s="44" t="s">
        <v>418</v>
      </c>
      <c r="E169" s="44" t="s">
        <v>120</v>
      </c>
      <c r="F169" s="44">
        <v>2021</v>
      </c>
      <c r="G169" s="44">
        <v>16</v>
      </c>
      <c r="H169" s="44">
        <v>18</v>
      </c>
      <c r="I169" s="44" t="str">
        <f>Tableau2[[#This Row],[Annee d''inscription au programme]]&amp;"-"&amp;Tableau2[[#This Row],[Code d''ecole]]&amp;"-"&amp;Tableau2[[#This Row],[Numero HM de la fille]]</f>
        <v>2021-16-18</v>
      </c>
      <c r="J169" s="45" t="s">
        <v>1427</v>
      </c>
      <c r="K169" s="44" t="s">
        <v>3505</v>
      </c>
      <c r="L169" s="35" t="s">
        <v>298</v>
      </c>
      <c r="M169" s="51">
        <v>13.5</v>
      </c>
      <c r="N169" s="51">
        <v>17</v>
      </c>
      <c r="O169" s="51">
        <f t="shared" si="4"/>
        <v>15.25</v>
      </c>
      <c r="P169" s="35">
        <v>13.5</v>
      </c>
      <c r="Q169" s="35">
        <v>8</v>
      </c>
      <c r="R169" s="35">
        <f t="shared" si="5"/>
        <v>10.75</v>
      </c>
      <c r="S169" s="35"/>
      <c r="T169" s="35"/>
      <c r="U169" s="35"/>
      <c r="V169" s="35" t="e">
        <f>AVERAGE(Tableau2[[#This Row],[1ère composition/10]:[3è composition]])</f>
        <v>#DIV/0!</v>
      </c>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f>COUNTIF(Tableau2[[#This Row],[Séance 1]:[Séance 38]],"A")</f>
        <v>0</v>
      </c>
      <c r="BJ169" s="35"/>
    </row>
    <row r="170" spans="1:62" hidden="1" x14ac:dyDescent="0.2">
      <c r="A170" s="44" t="s">
        <v>294</v>
      </c>
      <c r="B170" s="44" t="s">
        <v>419</v>
      </c>
      <c r="C170" s="44" t="s">
        <v>3555</v>
      </c>
      <c r="D170" s="44" t="s">
        <v>420</v>
      </c>
      <c r="E170" s="44" t="s">
        <v>120</v>
      </c>
      <c r="F170" s="44">
        <v>2020</v>
      </c>
      <c r="G170" s="44">
        <v>16</v>
      </c>
      <c r="H170" s="44">
        <v>123</v>
      </c>
      <c r="I170" s="44" t="str">
        <f>Tableau2[[#This Row],[Annee d''inscription au programme]]&amp;"-"&amp;Tableau2[[#This Row],[Code d''ecole]]&amp;"-"&amp;Tableau2[[#This Row],[Numero HM de la fille]]</f>
        <v>2020-16-123</v>
      </c>
      <c r="J170" s="45" t="s">
        <v>1428</v>
      </c>
      <c r="K170" s="44" t="s">
        <v>374</v>
      </c>
      <c r="L170" s="35" t="s">
        <v>620</v>
      </c>
      <c r="M170" s="51">
        <v>14</v>
      </c>
      <c r="N170" s="51">
        <v>4</v>
      </c>
      <c r="O170" s="51">
        <f t="shared" si="4"/>
        <v>9</v>
      </c>
      <c r="P170" s="35">
        <v>15</v>
      </c>
      <c r="Q170" s="35">
        <v>8.5</v>
      </c>
      <c r="R170" s="35">
        <f t="shared" si="5"/>
        <v>11.75</v>
      </c>
      <c r="S170" s="35"/>
      <c r="T170" s="35"/>
      <c r="U170" s="35"/>
      <c r="V170" s="35" t="e">
        <f>AVERAGE(Tableau2[[#This Row],[1ère composition/10]:[3è composition]])</f>
        <v>#DIV/0!</v>
      </c>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f>COUNTIF(Tableau2[[#This Row],[Séance 1]:[Séance 38]],"A")</f>
        <v>0</v>
      </c>
      <c r="BJ170" s="35"/>
    </row>
    <row r="171" spans="1:62" hidden="1" x14ac:dyDescent="0.2">
      <c r="A171" s="44" t="s">
        <v>294</v>
      </c>
      <c r="B171" s="44" t="s">
        <v>421</v>
      </c>
      <c r="C171" s="44" t="s">
        <v>3555</v>
      </c>
      <c r="D171" s="44" t="s">
        <v>422</v>
      </c>
      <c r="E171" s="44" t="s">
        <v>120</v>
      </c>
      <c r="F171" s="44">
        <v>2021</v>
      </c>
      <c r="G171" s="44">
        <v>16</v>
      </c>
      <c r="H171" s="44">
        <v>19</v>
      </c>
      <c r="I171" s="44" t="str">
        <f>Tableau2[[#This Row],[Annee d''inscription au programme]]&amp;"-"&amp;Tableau2[[#This Row],[Code d''ecole]]&amp;"-"&amp;Tableau2[[#This Row],[Numero HM de la fille]]</f>
        <v>2021-16-19</v>
      </c>
      <c r="J171" s="45" t="s">
        <v>1429</v>
      </c>
      <c r="K171" s="44" t="s">
        <v>3505</v>
      </c>
      <c r="L171" s="35" t="s">
        <v>298</v>
      </c>
      <c r="M171" s="51">
        <v>14.5</v>
      </c>
      <c r="N171" s="51">
        <v>11</v>
      </c>
      <c r="O171" s="51">
        <f t="shared" si="4"/>
        <v>12.75</v>
      </c>
      <c r="P171" s="35">
        <v>10</v>
      </c>
      <c r="Q171" s="35">
        <v>14.5</v>
      </c>
      <c r="R171" s="35">
        <f t="shared" si="5"/>
        <v>12.25</v>
      </c>
      <c r="S171" s="35"/>
      <c r="T171" s="35"/>
      <c r="U171" s="35"/>
      <c r="V171" s="35" t="e">
        <f>AVERAGE(Tableau2[[#This Row],[1ère composition/10]:[3è composition]])</f>
        <v>#DIV/0!</v>
      </c>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f>COUNTIF(Tableau2[[#This Row],[Séance 1]:[Séance 38]],"A")</f>
        <v>0</v>
      </c>
      <c r="BJ171" s="35"/>
    </row>
    <row r="172" spans="1:62" hidden="1" x14ac:dyDescent="0.2">
      <c r="A172" s="44" t="s">
        <v>294</v>
      </c>
      <c r="B172" s="44" t="s">
        <v>423</v>
      </c>
      <c r="C172" s="44" t="s">
        <v>3555</v>
      </c>
      <c r="D172" s="44" t="s">
        <v>424</v>
      </c>
      <c r="E172" s="44" t="s">
        <v>120</v>
      </c>
      <c r="F172" s="44">
        <v>2021</v>
      </c>
      <c r="G172" s="44">
        <v>16</v>
      </c>
      <c r="H172" s="44">
        <v>20</v>
      </c>
      <c r="I172" s="44" t="str">
        <f>Tableau2[[#This Row],[Annee d''inscription au programme]]&amp;"-"&amp;Tableau2[[#This Row],[Code d''ecole]]&amp;"-"&amp;Tableau2[[#This Row],[Numero HM de la fille]]</f>
        <v>2021-16-20</v>
      </c>
      <c r="J172" s="45" t="s">
        <v>1430</v>
      </c>
      <c r="K172" s="44" t="s">
        <v>3505</v>
      </c>
      <c r="L172" s="35" t="s">
        <v>298</v>
      </c>
      <c r="M172" s="51">
        <v>5</v>
      </c>
      <c r="N172" s="51">
        <v>2.5</v>
      </c>
      <c r="O172" s="51">
        <f t="shared" si="4"/>
        <v>3.75</v>
      </c>
      <c r="P172" s="35">
        <v>6</v>
      </c>
      <c r="Q172" s="35">
        <v>1.5</v>
      </c>
      <c r="R172" s="35">
        <f t="shared" si="5"/>
        <v>3.75</v>
      </c>
      <c r="S172" s="35"/>
      <c r="T172" s="35"/>
      <c r="U172" s="35"/>
      <c r="V172" s="35" t="e">
        <f>AVERAGE(Tableau2[[#This Row],[1ère composition/10]:[3è composition]])</f>
        <v>#DIV/0!</v>
      </c>
      <c r="W172" s="35"/>
      <c r="X172" s="52"/>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f>COUNTIF(Tableau2[[#This Row],[Séance 1]:[Séance 38]],"A")</f>
        <v>0</v>
      </c>
      <c r="BJ172" s="35"/>
    </row>
    <row r="173" spans="1:62" hidden="1" x14ac:dyDescent="0.2">
      <c r="A173" s="44" t="s">
        <v>294</v>
      </c>
      <c r="B173" s="44" t="s">
        <v>425</v>
      </c>
      <c r="C173" s="44" t="s">
        <v>3555</v>
      </c>
      <c r="D173" s="44" t="s">
        <v>426</v>
      </c>
      <c r="E173" s="44" t="s">
        <v>120</v>
      </c>
      <c r="F173" s="44">
        <v>2021</v>
      </c>
      <c r="G173" s="44">
        <v>16</v>
      </c>
      <c r="H173" s="44">
        <v>21</v>
      </c>
      <c r="I173" s="44" t="str">
        <f>Tableau2[[#This Row],[Annee d''inscription au programme]]&amp;"-"&amp;Tableau2[[#This Row],[Code d''ecole]]&amp;"-"&amp;Tableau2[[#This Row],[Numero HM de la fille]]</f>
        <v>2021-16-21</v>
      </c>
      <c r="J173" s="45" t="s">
        <v>1431</v>
      </c>
      <c r="K173" s="44" t="s">
        <v>297</v>
      </c>
      <c r="L173" s="35" t="s">
        <v>298</v>
      </c>
      <c r="M173" s="51">
        <v>11</v>
      </c>
      <c r="N173" s="51">
        <v>6</v>
      </c>
      <c r="O173" s="51">
        <f t="shared" si="4"/>
        <v>8.5</v>
      </c>
      <c r="P173" s="35">
        <v>10.5</v>
      </c>
      <c r="Q173" s="35">
        <v>5.5</v>
      </c>
      <c r="R173" s="35">
        <f t="shared" si="5"/>
        <v>8</v>
      </c>
      <c r="S173" s="35"/>
      <c r="T173" s="35"/>
      <c r="U173" s="35"/>
      <c r="V173" s="35" t="e">
        <f>AVERAGE(Tableau2[[#This Row],[1ère composition/10]:[3è composition]])</f>
        <v>#DIV/0!</v>
      </c>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f>COUNTIF(Tableau2[[#This Row],[Séance 1]:[Séance 38]],"A")</f>
        <v>0</v>
      </c>
      <c r="BJ173" s="35"/>
    </row>
    <row r="174" spans="1:62" hidden="1" x14ac:dyDescent="0.2">
      <c r="A174" s="44" t="s">
        <v>294</v>
      </c>
      <c r="B174" s="44" t="s">
        <v>427</v>
      </c>
      <c r="C174" s="44" t="s">
        <v>3555</v>
      </c>
      <c r="D174" s="44" t="s">
        <v>428</v>
      </c>
      <c r="E174" s="44" t="s">
        <v>120</v>
      </c>
      <c r="F174" s="44">
        <v>2020</v>
      </c>
      <c r="G174" s="44">
        <v>16</v>
      </c>
      <c r="H174" s="44">
        <v>121</v>
      </c>
      <c r="I174" s="44" t="str">
        <f>Tableau2[[#This Row],[Annee d''inscription au programme]]&amp;"-"&amp;Tableau2[[#This Row],[Code d''ecole]]&amp;"-"&amp;Tableau2[[#This Row],[Numero HM de la fille]]</f>
        <v>2020-16-121</v>
      </c>
      <c r="J174" s="45" t="s">
        <v>1432</v>
      </c>
      <c r="K174" s="44" t="s">
        <v>374</v>
      </c>
      <c r="L174" s="35" t="s">
        <v>620</v>
      </c>
      <c r="M174" s="51">
        <v>6</v>
      </c>
      <c r="N174" s="51">
        <v>1</v>
      </c>
      <c r="O174" s="51">
        <f t="shared" si="4"/>
        <v>3.5</v>
      </c>
      <c r="P174" s="35">
        <v>10.5</v>
      </c>
      <c r="Q174" s="35">
        <v>10</v>
      </c>
      <c r="R174" s="35">
        <f t="shared" si="5"/>
        <v>10.25</v>
      </c>
      <c r="S174" s="35"/>
      <c r="T174" s="35"/>
      <c r="U174" s="35"/>
      <c r="V174" s="35" t="e">
        <f>AVERAGE(Tableau2[[#This Row],[1ère composition/10]:[3è composition]])</f>
        <v>#DIV/0!</v>
      </c>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f>COUNTIF(Tableau2[[#This Row],[Séance 1]:[Séance 38]],"A")</f>
        <v>0</v>
      </c>
      <c r="BJ174" s="35"/>
    </row>
    <row r="175" spans="1:62" hidden="1" x14ac:dyDescent="0.2">
      <c r="A175" s="44" t="s">
        <v>294</v>
      </c>
      <c r="B175" s="44" t="s">
        <v>429</v>
      </c>
      <c r="C175" s="44" t="s">
        <v>3555</v>
      </c>
      <c r="D175" s="44" t="s">
        <v>430</v>
      </c>
      <c r="E175" s="44" t="s">
        <v>120</v>
      </c>
      <c r="F175" s="44">
        <v>2021</v>
      </c>
      <c r="G175" s="44">
        <v>16</v>
      </c>
      <c r="H175" s="44">
        <v>22</v>
      </c>
      <c r="I175" s="44" t="str">
        <f>Tableau2[[#This Row],[Annee d''inscription au programme]]&amp;"-"&amp;Tableau2[[#This Row],[Code d''ecole]]&amp;"-"&amp;Tableau2[[#This Row],[Numero HM de la fille]]</f>
        <v>2021-16-22</v>
      </c>
      <c r="J175" s="45" t="s">
        <v>1433</v>
      </c>
      <c r="K175" s="44" t="s">
        <v>3505</v>
      </c>
      <c r="L175" s="35" t="s">
        <v>298</v>
      </c>
      <c r="M175" s="51">
        <v>13</v>
      </c>
      <c r="N175" s="51">
        <v>3.5</v>
      </c>
      <c r="O175" s="51">
        <f t="shared" si="4"/>
        <v>8.25</v>
      </c>
      <c r="P175" s="35">
        <v>14.5</v>
      </c>
      <c r="Q175" s="35">
        <v>12</v>
      </c>
      <c r="R175" s="35">
        <f t="shared" si="5"/>
        <v>13.25</v>
      </c>
      <c r="S175" s="35"/>
      <c r="T175" s="35"/>
      <c r="U175" s="35"/>
      <c r="V175" s="35" t="e">
        <f>AVERAGE(Tableau2[[#This Row],[1ère composition/10]:[3è composition]])</f>
        <v>#DIV/0!</v>
      </c>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f>COUNTIF(Tableau2[[#This Row],[Séance 1]:[Séance 38]],"A")</f>
        <v>0</v>
      </c>
      <c r="BJ175" s="35"/>
    </row>
    <row r="176" spans="1:62" hidden="1" x14ac:dyDescent="0.2">
      <c r="A176" s="44" t="s">
        <v>294</v>
      </c>
      <c r="B176" s="44" t="s">
        <v>431</v>
      </c>
      <c r="C176" s="44" t="s">
        <v>3555</v>
      </c>
      <c r="D176" s="44" t="s">
        <v>396</v>
      </c>
      <c r="E176" s="44" t="s">
        <v>120</v>
      </c>
      <c r="F176" s="44">
        <v>2021</v>
      </c>
      <c r="G176" s="44">
        <v>16</v>
      </c>
      <c r="H176" s="44">
        <v>23</v>
      </c>
      <c r="I176" s="44" t="str">
        <f>Tableau2[[#This Row],[Annee d''inscription au programme]]&amp;"-"&amp;Tableau2[[#This Row],[Code d''ecole]]&amp;"-"&amp;Tableau2[[#This Row],[Numero HM de la fille]]</f>
        <v>2021-16-23</v>
      </c>
      <c r="J176" s="45" t="s">
        <v>1434</v>
      </c>
      <c r="K176" s="44" t="s">
        <v>297</v>
      </c>
      <c r="L176" s="35" t="s">
        <v>298</v>
      </c>
      <c r="M176" s="51">
        <v>12</v>
      </c>
      <c r="N176" s="51">
        <v>8</v>
      </c>
      <c r="O176" s="51">
        <f t="shared" si="4"/>
        <v>10</v>
      </c>
      <c r="P176" s="35">
        <v>4</v>
      </c>
      <c r="Q176" s="35">
        <v>1</v>
      </c>
      <c r="R176" s="35">
        <f t="shared" si="5"/>
        <v>2.5</v>
      </c>
      <c r="S176" s="35"/>
      <c r="T176" s="35"/>
      <c r="U176" s="35"/>
      <c r="V176" s="35" t="e">
        <f>AVERAGE(Tableau2[[#This Row],[1ère composition/10]:[3è composition]])</f>
        <v>#DIV/0!</v>
      </c>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f>COUNTIF(Tableau2[[#This Row],[Séance 1]:[Séance 38]],"A")</f>
        <v>0</v>
      </c>
      <c r="BJ176" s="35"/>
    </row>
    <row r="177" spans="1:62" hidden="1" x14ac:dyDescent="0.2">
      <c r="A177" s="44" t="s">
        <v>294</v>
      </c>
      <c r="B177" s="44" t="s">
        <v>432</v>
      </c>
      <c r="C177" s="44" t="s">
        <v>3555</v>
      </c>
      <c r="D177" s="44" t="s">
        <v>262</v>
      </c>
      <c r="E177" s="44" t="s">
        <v>120</v>
      </c>
      <c r="F177" s="44">
        <v>2021</v>
      </c>
      <c r="G177" s="44">
        <v>16</v>
      </c>
      <c r="H177" s="44">
        <v>24</v>
      </c>
      <c r="I177" s="44" t="str">
        <f>Tableau2[[#This Row],[Annee d''inscription au programme]]&amp;"-"&amp;Tableau2[[#This Row],[Code d''ecole]]&amp;"-"&amp;Tableau2[[#This Row],[Numero HM de la fille]]</f>
        <v>2021-16-24</v>
      </c>
      <c r="J177" s="45" t="s">
        <v>1435</v>
      </c>
      <c r="K177" s="44" t="s">
        <v>3505</v>
      </c>
      <c r="L177" s="35" t="s">
        <v>298</v>
      </c>
      <c r="M177" s="51">
        <v>6</v>
      </c>
      <c r="N177" s="51">
        <v>2.5</v>
      </c>
      <c r="O177" s="51">
        <f t="shared" si="4"/>
        <v>4.25</v>
      </c>
      <c r="P177" s="35">
        <v>9.5</v>
      </c>
      <c r="Q177" s="35">
        <v>5.75</v>
      </c>
      <c r="R177" s="35">
        <f t="shared" si="5"/>
        <v>7.625</v>
      </c>
      <c r="S177" s="35"/>
      <c r="T177" s="35"/>
      <c r="U177" s="35"/>
      <c r="V177" s="35" t="e">
        <f>AVERAGE(Tableau2[[#This Row],[1ère composition/10]:[3è composition]])</f>
        <v>#DIV/0!</v>
      </c>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f>COUNTIF(Tableau2[[#This Row],[Séance 1]:[Séance 38]],"A")</f>
        <v>0</v>
      </c>
      <c r="BJ177" s="35"/>
    </row>
    <row r="178" spans="1:62" hidden="1" x14ac:dyDescent="0.2">
      <c r="A178" s="44" t="s">
        <v>294</v>
      </c>
      <c r="B178" s="44" t="s">
        <v>433</v>
      </c>
      <c r="C178" s="44" t="s">
        <v>3555</v>
      </c>
      <c r="D178" s="44" t="s">
        <v>434</v>
      </c>
      <c r="E178" s="44" t="s">
        <v>120</v>
      </c>
      <c r="F178" s="44">
        <v>2021</v>
      </c>
      <c r="G178" s="44">
        <v>16</v>
      </c>
      <c r="H178" s="44">
        <v>25</v>
      </c>
      <c r="I178" s="44" t="str">
        <f>Tableau2[[#This Row],[Annee d''inscription au programme]]&amp;"-"&amp;Tableau2[[#This Row],[Code d''ecole]]&amp;"-"&amp;Tableau2[[#This Row],[Numero HM de la fille]]</f>
        <v>2021-16-25</v>
      </c>
      <c r="J178" s="45" t="s">
        <v>1436</v>
      </c>
      <c r="K178" s="44" t="s">
        <v>3505</v>
      </c>
      <c r="L178" s="35" t="s">
        <v>298</v>
      </c>
      <c r="M178" s="51">
        <v>13.5</v>
      </c>
      <c r="N178" s="51">
        <v>5</v>
      </c>
      <c r="O178" s="51">
        <f t="shared" si="4"/>
        <v>9.25</v>
      </c>
      <c r="P178" s="35">
        <v>10.5</v>
      </c>
      <c r="Q178" s="35">
        <v>4.5</v>
      </c>
      <c r="R178" s="35">
        <f t="shared" si="5"/>
        <v>7.5</v>
      </c>
      <c r="S178" s="35"/>
      <c r="T178" s="35"/>
      <c r="U178" s="35"/>
      <c r="V178" s="35" t="e">
        <f>AVERAGE(Tableau2[[#This Row],[1ère composition/10]:[3è composition]])</f>
        <v>#DIV/0!</v>
      </c>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f>COUNTIF(Tableau2[[#This Row],[Séance 1]:[Séance 38]],"A")</f>
        <v>0</v>
      </c>
      <c r="BJ178" s="35"/>
    </row>
    <row r="179" spans="1:62" hidden="1" x14ac:dyDescent="0.2">
      <c r="A179" s="44" t="s">
        <v>294</v>
      </c>
      <c r="B179" s="44" t="s">
        <v>435</v>
      </c>
      <c r="C179" s="44" t="s">
        <v>3555</v>
      </c>
      <c r="D179" s="44" t="s">
        <v>436</v>
      </c>
      <c r="E179" s="44" t="s">
        <v>120</v>
      </c>
      <c r="F179" s="44">
        <v>2020</v>
      </c>
      <c r="G179" s="44">
        <v>16</v>
      </c>
      <c r="H179" s="44">
        <v>119</v>
      </c>
      <c r="I179" s="44" t="str">
        <f>Tableau2[[#This Row],[Annee d''inscription au programme]]&amp;"-"&amp;Tableau2[[#This Row],[Code d''ecole]]&amp;"-"&amp;Tableau2[[#This Row],[Numero HM de la fille]]</f>
        <v>2020-16-119</v>
      </c>
      <c r="J179" s="45" t="s">
        <v>1437</v>
      </c>
      <c r="K179" s="53" t="s">
        <v>374</v>
      </c>
      <c r="L179" s="35" t="s">
        <v>620</v>
      </c>
      <c r="M179" s="51">
        <v>13.5</v>
      </c>
      <c r="N179" s="51">
        <v>9</v>
      </c>
      <c r="O179" s="51">
        <f t="shared" si="4"/>
        <v>11.25</v>
      </c>
      <c r="P179" s="35">
        <v>7.5</v>
      </c>
      <c r="Q179" s="35">
        <v>3.5</v>
      </c>
      <c r="R179" s="35">
        <f t="shared" si="5"/>
        <v>5.5</v>
      </c>
      <c r="S179" s="35"/>
      <c r="T179" s="35"/>
      <c r="U179" s="35"/>
      <c r="V179" s="35" t="e">
        <f>AVERAGE(Tableau2[[#This Row],[1ère composition/10]:[3è composition]])</f>
        <v>#DIV/0!</v>
      </c>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f>COUNTIF(Tableau2[[#This Row],[Séance 1]:[Séance 38]],"A")</f>
        <v>0</v>
      </c>
      <c r="BJ179" s="35"/>
    </row>
    <row r="180" spans="1:62" hidden="1" x14ac:dyDescent="0.2">
      <c r="A180" s="44" t="s">
        <v>294</v>
      </c>
      <c r="B180" s="44" t="s">
        <v>2660</v>
      </c>
      <c r="C180" s="44" t="s">
        <v>3555</v>
      </c>
      <c r="D180" s="44" t="s">
        <v>2661</v>
      </c>
      <c r="E180" s="44" t="s">
        <v>120</v>
      </c>
      <c r="F180" s="54">
        <v>2021</v>
      </c>
      <c r="G180" s="44">
        <v>16</v>
      </c>
      <c r="H180" s="54">
        <v>26</v>
      </c>
      <c r="I180" s="54" t="str">
        <f>Tableau2[[#This Row],[Annee d''inscription au programme]]&amp;"-"&amp;Tableau2[[#This Row],[Code d''ecole]]&amp;"-"&amp;Tableau2[[#This Row],[Numero HM de la fille]]</f>
        <v>2021-16-26</v>
      </c>
      <c r="J180" s="45" t="s">
        <v>1438</v>
      </c>
      <c r="K180" s="53" t="s">
        <v>3505</v>
      </c>
      <c r="L180" s="35" t="s">
        <v>298</v>
      </c>
      <c r="M180" s="51">
        <v>15</v>
      </c>
      <c r="N180" s="51">
        <v>10</v>
      </c>
      <c r="O180" s="2">
        <f t="shared" si="4"/>
        <v>12.5</v>
      </c>
      <c r="P180" s="55">
        <v>9</v>
      </c>
      <c r="Q180" s="56">
        <v>12.25</v>
      </c>
      <c r="R180" s="2">
        <f t="shared" si="5"/>
        <v>10.625</v>
      </c>
      <c r="S180" s="55"/>
      <c r="T180" s="57"/>
      <c r="U180" s="57"/>
      <c r="V180" s="57" t="e">
        <f>AVERAGE(Tableau2[[#This Row],[1ère composition/10]:[3è composition]])</f>
        <v>#DIV/0!</v>
      </c>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f>COUNTIF(Tableau2[[#This Row],[Séance 1]:[Séance 38]],"A")</f>
        <v>0</v>
      </c>
      <c r="BJ180" s="35"/>
    </row>
    <row r="181" spans="1:62" hidden="1" x14ac:dyDescent="0.2">
      <c r="A181" s="44" t="s">
        <v>294</v>
      </c>
      <c r="B181" s="44" t="s">
        <v>2662</v>
      </c>
      <c r="C181" s="44" t="s">
        <v>3555</v>
      </c>
      <c r="D181" s="44" t="s">
        <v>2663</v>
      </c>
      <c r="E181" s="44" t="s">
        <v>120</v>
      </c>
      <c r="F181" s="54">
        <v>2021</v>
      </c>
      <c r="G181" s="44">
        <v>16</v>
      </c>
      <c r="H181" s="54">
        <v>27</v>
      </c>
      <c r="I181" s="54" t="str">
        <f>Tableau2[[#This Row],[Annee d''inscription au programme]]&amp;"-"&amp;Tableau2[[#This Row],[Code d''ecole]]&amp;"-"&amp;Tableau2[[#This Row],[Numero HM de la fille]]</f>
        <v>2021-16-27</v>
      </c>
      <c r="J181" s="45" t="s">
        <v>1439</v>
      </c>
      <c r="K181" s="53" t="s">
        <v>3505</v>
      </c>
      <c r="L181" s="35" t="s">
        <v>298</v>
      </c>
      <c r="M181" s="51">
        <v>5</v>
      </c>
      <c r="N181" s="51">
        <v>6</v>
      </c>
      <c r="O181" s="2">
        <f t="shared" si="4"/>
        <v>5.5</v>
      </c>
      <c r="P181" s="55">
        <v>10.5</v>
      </c>
      <c r="Q181" s="56">
        <v>2</v>
      </c>
      <c r="R181" s="2">
        <f t="shared" si="5"/>
        <v>6.25</v>
      </c>
      <c r="S181" s="55"/>
      <c r="T181" s="57"/>
      <c r="U181" s="57"/>
      <c r="V181" s="57" t="e">
        <f>AVERAGE(Tableau2[[#This Row],[1ère composition/10]:[3è composition]])</f>
        <v>#DIV/0!</v>
      </c>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f>COUNTIF(Tableau2[[#This Row],[Séance 1]:[Séance 38]],"A")</f>
        <v>0</v>
      </c>
      <c r="BJ181" s="35"/>
    </row>
    <row r="182" spans="1:62" hidden="1" x14ac:dyDescent="0.2">
      <c r="A182" s="44" t="s">
        <v>294</v>
      </c>
      <c r="B182" s="44" t="s">
        <v>2664</v>
      </c>
      <c r="C182" s="44" t="s">
        <v>3555</v>
      </c>
      <c r="D182" s="44" t="s">
        <v>2665</v>
      </c>
      <c r="E182" s="44" t="s">
        <v>120</v>
      </c>
      <c r="F182" s="54">
        <v>2021</v>
      </c>
      <c r="G182" s="44">
        <v>16</v>
      </c>
      <c r="H182" s="54">
        <v>28</v>
      </c>
      <c r="I182" s="54" t="str">
        <f>Tableau2[[#This Row],[Annee d''inscription au programme]]&amp;"-"&amp;Tableau2[[#This Row],[Code d''ecole]]&amp;"-"&amp;Tableau2[[#This Row],[Numero HM de la fille]]</f>
        <v>2021-16-28</v>
      </c>
      <c r="J182" s="45" t="s">
        <v>1440</v>
      </c>
      <c r="K182" s="53" t="s">
        <v>297</v>
      </c>
      <c r="L182" s="35" t="s">
        <v>298</v>
      </c>
      <c r="M182" s="51">
        <v>9</v>
      </c>
      <c r="N182" s="51">
        <v>5</v>
      </c>
      <c r="O182" s="2">
        <f t="shared" si="4"/>
        <v>7</v>
      </c>
      <c r="P182" s="55">
        <v>11.5</v>
      </c>
      <c r="Q182" s="56">
        <v>8.5</v>
      </c>
      <c r="R182" s="2">
        <f t="shared" si="5"/>
        <v>10</v>
      </c>
      <c r="S182" s="55"/>
      <c r="T182" s="57"/>
      <c r="U182" s="57"/>
      <c r="V182" s="57" t="e">
        <f>AVERAGE(Tableau2[[#This Row],[1ère composition/10]:[3è composition]])</f>
        <v>#DIV/0!</v>
      </c>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f>COUNTIF(Tableau2[[#This Row],[Séance 1]:[Séance 38]],"A")</f>
        <v>0</v>
      </c>
      <c r="BJ182" s="35"/>
    </row>
    <row r="183" spans="1:62" hidden="1" x14ac:dyDescent="0.2">
      <c r="A183" s="44" t="s">
        <v>294</v>
      </c>
      <c r="B183" s="44" t="s">
        <v>2666</v>
      </c>
      <c r="C183" s="44" t="s">
        <v>3555</v>
      </c>
      <c r="D183" s="44" t="s">
        <v>2667</v>
      </c>
      <c r="E183" s="44" t="s">
        <v>120</v>
      </c>
      <c r="F183" s="54">
        <v>2021</v>
      </c>
      <c r="G183" s="44">
        <v>16</v>
      </c>
      <c r="H183" s="54">
        <v>29</v>
      </c>
      <c r="I183" s="54" t="str">
        <f>Tableau2[[#This Row],[Annee d''inscription au programme]]&amp;"-"&amp;Tableau2[[#This Row],[Code d''ecole]]&amp;"-"&amp;Tableau2[[#This Row],[Numero HM de la fille]]</f>
        <v>2021-16-29</v>
      </c>
      <c r="J183" s="45" t="s">
        <v>1441</v>
      </c>
      <c r="K183" s="53" t="s">
        <v>297</v>
      </c>
      <c r="L183" s="35" t="s">
        <v>298</v>
      </c>
      <c r="M183" s="51">
        <v>8</v>
      </c>
      <c r="N183" s="51">
        <v>2.5</v>
      </c>
      <c r="O183" s="2">
        <f t="shared" si="4"/>
        <v>5.25</v>
      </c>
      <c r="P183" s="55">
        <v>10.5</v>
      </c>
      <c r="Q183" s="56">
        <v>8</v>
      </c>
      <c r="R183" s="2">
        <f t="shared" si="5"/>
        <v>9.25</v>
      </c>
      <c r="S183" s="55"/>
      <c r="T183" s="57"/>
      <c r="U183" s="57"/>
      <c r="V183" s="57" t="e">
        <f>AVERAGE(Tableau2[[#This Row],[1ère composition/10]:[3è composition]])</f>
        <v>#DIV/0!</v>
      </c>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f>COUNTIF(Tableau2[[#This Row],[Séance 1]:[Séance 38]],"A")</f>
        <v>0</v>
      </c>
      <c r="BJ183" s="35"/>
    </row>
    <row r="184" spans="1:62" hidden="1" x14ac:dyDescent="0.2">
      <c r="A184" s="44" t="s">
        <v>294</v>
      </c>
      <c r="B184" s="44" t="s">
        <v>2668</v>
      </c>
      <c r="C184" s="44" t="s">
        <v>3555</v>
      </c>
      <c r="D184" s="44" t="s">
        <v>2669</v>
      </c>
      <c r="E184" s="44" t="s">
        <v>120</v>
      </c>
      <c r="F184" s="54">
        <v>2021</v>
      </c>
      <c r="G184" s="44">
        <v>16</v>
      </c>
      <c r="H184" s="54">
        <v>30</v>
      </c>
      <c r="I184" s="54" t="str">
        <f>Tableau2[[#This Row],[Annee d''inscription au programme]]&amp;"-"&amp;Tableau2[[#This Row],[Code d''ecole]]&amp;"-"&amp;Tableau2[[#This Row],[Numero HM de la fille]]</f>
        <v>2021-16-30</v>
      </c>
      <c r="J184" s="45" t="s">
        <v>1442</v>
      </c>
      <c r="K184" s="53" t="s">
        <v>3505</v>
      </c>
      <c r="L184" s="35" t="s">
        <v>298</v>
      </c>
      <c r="M184" s="35">
        <v>4.5</v>
      </c>
      <c r="N184" s="35">
        <v>11</v>
      </c>
      <c r="O184" s="55">
        <f t="shared" si="4"/>
        <v>7.75</v>
      </c>
      <c r="P184" s="55">
        <v>5.5</v>
      </c>
      <c r="Q184" s="56">
        <v>1</v>
      </c>
      <c r="R184" s="2">
        <f t="shared" si="5"/>
        <v>3.25</v>
      </c>
      <c r="S184" s="55"/>
      <c r="T184" s="57"/>
      <c r="U184" s="57"/>
      <c r="V184" s="57" t="e">
        <f>AVERAGE(Tableau2[[#This Row],[1ère composition/10]:[3è composition]])</f>
        <v>#DIV/0!</v>
      </c>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f>COUNTIF(Tableau2[[#This Row],[Séance 1]:[Séance 38]],"A")</f>
        <v>0</v>
      </c>
      <c r="BJ184" s="35"/>
    </row>
    <row r="185" spans="1:62" hidden="1" x14ac:dyDescent="0.2">
      <c r="A185" s="1" t="s">
        <v>52</v>
      </c>
      <c r="B185" s="44" t="s">
        <v>437</v>
      </c>
      <c r="C185" s="44" t="s">
        <v>3551</v>
      </c>
      <c r="D185" s="44" t="s">
        <v>438</v>
      </c>
      <c r="E185" s="44" t="s">
        <v>120</v>
      </c>
      <c r="F185" s="44">
        <v>2020</v>
      </c>
      <c r="G185" s="44">
        <v>1</v>
      </c>
      <c r="H185" s="44">
        <v>219</v>
      </c>
      <c r="I185" s="44" t="str">
        <f>Tableau2[[#This Row],[Annee d''inscription au programme]]&amp;"-"&amp;Tableau2[[#This Row],[Code d''ecole]]&amp;"-"&amp;Tableau2[[#This Row],[Numero HM de la fille]]</f>
        <v>2020-1-219</v>
      </c>
      <c r="J185" s="45" t="s">
        <v>1443</v>
      </c>
      <c r="K185" s="44" t="s">
        <v>374</v>
      </c>
      <c r="L185" s="35" t="s">
        <v>620</v>
      </c>
      <c r="M185" s="35">
        <v>8.5</v>
      </c>
      <c r="N185" s="35">
        <v>7.5</v>
      </c>
      <c r="O185" s="35">
        <f t="shared" si="4"/>
        <v>8</v>
      </c>
      <c r="P185" s="35">
        <v>9.5</v>
      </c>
      <c r="Q185" s="35">
        <v>12.5</v>
      </c>
      <c r="R185" s="35">
        <f t="shared" si="5"/>
        <v>11</v>
      </c>
      <c r="S185" s="35"/>
      <c r="T185" s="35"/>
      <c r="U185" s="35"/>
      <c r="V185" s="35" t="e">
        <f>AVERAGE(Tableau2[[#This Row],[1ère composition/10]:[3è composition]])</f>
        <v>#DIV/0!</v>
      </c>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f>COUNTIF(Tableau2[[#This Row],[Séance 1]:[Séance 38]],"A")</f>
        <v>0</v>
      </c>
      <c r="BJ185" s="35"/>
    </row>
    <row r="186" spans="1:62" hidden="1" x14ac:dyDescent="0.2">
      <c r="A186" s="1" t="s">
        <v>52</v>
      </c>
      <c r="B186" s="44" t="s">
        <v>439</v>
      </c>
      <c r="C186" s="44" t="s">
        <v>3552</v>
      </c>
      <c r="D186" s="44" t="s">
        <v>440</v>
      </c>
      <c r="E186" s="44" t="s">
        <v>120</v>
      </c>
      <c r="F186" s="44">
        <v>2021</v>
      </c>
      <c r="G186" s="44">
        <v>1</v>
      </c>
      <c r="H186" s="44">
        <v>1</v>
      </c>
      <c r="I186" s="44" t="str">
        <f>Tableau2[[#This Row],[Annee d''inscription au programme]]&amp;"-"&amp;Tableau2[[#This Row],[Code d''ecole]]&amp;"-"&amp;Tableau2[[#This Row],[Numero HM de la fille]]</f>
        <v>2021-1-1</v>
      </c>
      <c r="J186" s="45" t="s">
        <v>1444</v>
      </c>
      <c r="K186" s="44" t="s">
        <v>3505</v>
      </c>
      <c r="L186" s="35" t="s">
        <v>298</v>
      </c>
      <c r="M186" s="35">
        <v>12.5</v>
      </c>
      <c r="N186" s="35">
        <v>10</v>
      </c>
      <c r="O186" s="35">
        <f t="shared" si="4"/>
        <v>11.25</v>
      </c>
      <c r="P186" s="35">
        <v>13</v>
      </c>
      <c r="Q186" s="35">
        <v>19.5</v>
      </c>
      <c r="R186" s="35">
        <f t="shared" si="5"/>
        <v>16.25</v>
      </c>
      <c r="S186" s="35"/>
      <c r="T186" s="35"/>
      <c r="U186" s="35"/>
      <c r="V186" s="35" t="e">
        <f>AVERAGE(Tableau2[[#This Row],[1ère composition/10]:[3è composition]])</f>
        <v>#DIV/0!</v>
      </c>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f>COUNTIF(Tableau2[[#This Row],[Séance 1]:[Séance 38]],"A")</f>
        <v>0</v>
      </c>
      <c r="BJ186" s="35"/>
    </row>
    <row r="187" spans="1:62" hidden="1" x14ac:dyDescent="0.2">
      <c r="A187" s="1" t="s">
        <v>52</v>
      </c>
      <c r="B187" s="44" t="s">
        <v>441</v>
      </c>
      <c r="C187" s="44" t="s">
        <v>3552</v>
      </c>
      <c r="D187" s="44" t="s">
        <v>442</v>
      </c>
      <c r="E187" s="44" t="s">
        <v>120</v>
      </c>
      <c r="F187" s="44">
        <v>2021</v>
      </c>
      <c r="G187" s="44">
        <v>1</v>
      </c>
      <c r="H187" s="44">
        <v>2</v>
      </c>
      <c r="I187" s="44" t="str">
        <f>Tableau2[[#This Row],[Annee d''inscription au programme]]&amp;"-"&amp;Tableau2[[#This Row],[Code d''ecole]]&amp;"-"&amp;Tableau2[[#This Row],[Numero HM de la fille]]</f>
        <v>2021-1-2</v>
      </c>
      <c r="J187" s="45" t="s">
        <v>1445</v>
      </c>
      <c r="K187" s="44" t="s">
        <v>3505</v>
      </c>
      <c r="L187" s="35" t="s">
        <v>298</v>
      </c>
      <c r="M187" s="35">
        <v>0</v>
      </c>
      <c r="N187" s="35">
        <v>0</v>
      </c>
      <c r="O187" s="35">
        <f t="shared" si="4"/>
        <v>0</v>
      </c>
      <c r="P187" s="35">
        <v>9</v>
      </c>
      <c r="Q187" s="35">
        <v>7</v>
      </c>
      <c r="R187" s="35">
        <f t="shared" si="5"/>
        <v>8</v>
      </c>
      <c r="S187" s="35"/>
      <c r="T187" s="35"/>
      <c r="U187" s="35"/>
      <c r="V187" s="35" t="e">
        <f>AVERAGE(Tableau2[[#This Row],[1ère composition/10]:[3è composition]])</f>
        <v>#DIV/0!</v>
      </c>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f>COUNTIF(Tableau2[[#This Row],[Séance 1]:[Séance 38]],"A")</f>
        <v>0</v>
      </c>
      <c r="BJ187" s="35"/>
    </row>
    <row r="188" spans="1:62" hidden="1" x14ac:dyDescent="0.2">
      <c r="A188" s="1" t="s">
        <v>52</v>
      </c>
      <c r="B188" s="44" t="s">
        <v>444</v>
      </c>
      <c r="C188" s="44" t="s">
        <v>3552</v>
      </c>
      <c r="D188" s="44" t="s">
        <v>443</v>
      </c>
      <c r="E188" s="44" t="s">
        <v>120</v>
      </c>
      <c r="F188" s="44">
        <v>2020</v>
      </c>
      <c r="G188" s="44">
        <v>1</v>
      </c>
      <c r="H188" s="44">
        <v>227</v>
      </c>
      <c r="I188" s="44" t="str">
        <f>Tableau2[[#This Row],[Annee d''inscription au programme]]&amp;"-"&amp;Tableau2[[#This Row],[Code d''ecole]]&amp;"-"&amp;Tableau2[[#This Row],[Numero HM de la fille]]</f>
        <v>2020-1-227</v>
      </c>
      <c r="J188" s="45" t="s">
        <v>1446</v>
      </c>
      <c r="K188" s="44" t="s">
        <v>374</v>
      </c>
      <c r="L188" s="35" t="s">
        <v>620</v>
      </c>
      <c r="M188" s="35">
        <v>12.5</v>
      </c>
      <c r="N188" s="35">
        <v>8</v>
      </c>
      <c r="O188" s="35">
        <f t="shared" si="4"/>
        <v>10.25</v>
      </c>
      <c r="P188" s="35"/>
      <c r="Q188" s="35"/>
      <c r="R188" s="35">
        <f t="shared" si="5"/>
        <v>0</v>
      </c>
      <c r="S188" s="35"/>
      <c r="T188" s="35"/>
      <c r="U188" s="35"/>
      <c r="V188" s="35" t="e">
        <f>AVERAGE(Tableau2[[#This Row],[1ère composition/10]:[3è composition]])</f>
        <v>#DIV/0!</v>
      </c>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f>COUNTIF(Tableau2[[#This Row],[Séance 1]:[Séance 38]],"A")</f>
        <v>0</v>
      </c>
      <c r="BJ188" s="35"/>
    </row>
    <row r="189" spans="1:62" hidden="1" x14ac:dyDescent="0.2">
      <c r="A189" s="1" t="s">
        <v>52</v>
      </c>
      <c r="B189" s="44" t="s">
        <v>445</v>
      </c>
      <c r="C189" s="44" t="s">
        <v>3552</v>
      </c>
      <c r="D189" s="44" t="s">
        <v>142</v>
      </c>
      <c r="E189" s="44" t="s">
        <v>120</v>
      </c>
      <c r="F189" s="44">
        <v>2021</v>
      </c>
      <c r="G189" s="44">
        <v>1</v>
      </c>
      <c r="H189" s="44">
        <v>3</v>
      </c>
      <c r="I189" s="44" t="str">
        <f>Tableau2[[#This Row],[Annee d''inscription au programme]]&amp;"-"&amp;Tableau2[[#This Row],[Code d''ecole]]&amp;"-"&amp;Tableau2[[#This Row],[Numero HM de la fille]]</f>
        <v>2021-1-3</v>
      </c>
      <c r="J189" s="45" t="s">
        <v>1447</v>
      </c>
      <c r="K189" s="44" t="s">
        <v>297</v>
      </c>
      <c r="L189" s="35" t="s">
        <v>298</v>
      </c>
      <c r="M189" s="35">
        <v>11</v>
      </c>
      <c r="N189" s="35">
        <v>7</v>
      </c>
      <c r="O189" s="35">
        <f t="shared" si="4"/>
        <v>9</v>
      </c>
      <c r="P189" s="35">
        <v>15</v>
      </c>
      <c r="Q189" s="35">
        <v>19.5</v>
      </c>
      <c r="R189" s="35">
        <f t="shared" si="5"/>
        <v>17.25</v>
      </c>
      <c r="S189" s="35"/>
      <c r="T189" s="35"/>
      <c r="U189" s="35"/>
      <c r="V189" s="35" t="e">
        <f>AVERAGE(Tableau2[[#This Row],[1ère composition/10]:[3è composition]])</f>
        <v>#DIV/0!</v>
      </c>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f>COUNTIF(Tableau2[[#This Row],[Séance 1]:[Séance 38]],"A")</f>
        <v>0</v>
      </c>
      <c r="BJ189" s="35"/>
    </row>
    <row r="190" spans="1:62" hidden="1" x14ac:dyDescent="0.2">
      <c r="A190" s="1" t="s">
        <v>52</v>
      </c>
      <c r="B190" s="44" t="s">
        <v>446</v>
      </c>
      <c r="C190" s="44" t="s">
        <v>3552</v>
      </c>
      <c r="D190" s="44" t="s">
        <v>291</v>
      </c>
      <c r="E190" s="44" t="s">
        <v>120</v>
      </c>
      <c r="F190" s="44">
        <v>2021</v>
      </c>
      <c r="G190" s="44">
        <v>1</v>
      </c>
      <c r="H190" s="44">
        <v>4</v>
      </c>
      <c r="I190" s="44" t="str">
        <f>Tableau2[[#This Row],[Annee d''inscription au programme]]&amp;"-"&amp;Tableau2[[#This Row],[Code d''ecole]]&amp;"-"&amp;Tableau2[[#This Row],[Numero HM de la fille]]</f>
        <v>2021-1-4</v>
      </c>
      <c r="J190" s="45" t="s">
        <v>1448</v>
      </c>
      <c r="K190" s="44" t="s">
        <v>3505</v>
      </c>
      <c r="L190" s="35" t="s">
        <v>298</v>
      </c>
      <c r="M190" s="35">
        <v>0</v>
      </c>
      <c r="N190" s="35">
        <v>0</v>
      </c>
      <c r="O190" s="35">
        <f t="shared" si="4"/>
        <v>0</v>
      </c>
      <c r="P190" s="35"/>
      <c r="Q190" s="35"/>
      <c r="R190" s="35">
        <f t="shared" si="5"/>
        <v>0</v>
      </c>
      <c r="S190" s="35"/>
      <c r="T190" s="35"/>
      <c r="U190" s="35"/>
      <c r="V190" s="35" t="e">
        <f>AVERAGE(Tableau2[[#This Row],[1ère composition/10]:[3è composition]])</f>
        <v>#DIV/0!</v>
      </c>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f>COUNTIF(Tableau2[[#This Row],[Séance 1]:[Séance 38]],"A")</f>
        <v>0</v>
      </c>
      <c r="BJ190" s="35"/>
    </row>
    <row r="191" spans="1:62" hidden="1" x14ac:dyDescent="0.2">
      <c r="A191" s="1" t="s">
        <v>52</v>
      </c>
      <c r="B191" s="44" t="s">
        <v>494</v>
      </c>
      <c r="C191" s="44" t="s">
        <v>3552</v>
      </c>
      <c r="D191" s="44" t="s">
        <v>447</v>
      </c>
      <c r="E191" s="44" t="s">
        <v>120</v>
      </c>
      <c r="F191" s="44">
        <v>2021</v>
      </c>
      <c r="G191" s="44">
        <v>1</v>
      </c>
      <c r="H191" s="44">
        <v>5</v>
      </c>
      <c r="I191" s="44" t="str">
        <f>Tableau2[[#This Row],[Annee d''inscription au programme]]&amp;"-"&amp;Tableau2[[#This Row],[Code d''ecole]]&amp;"-"&amp;Tableau2[[#This Row],[Numero HM de la fille]]</f>
        <v>2021-1-5</v>
      </c>
      <c r="J191" s="45" t="s">
        <v>1449</v>
      </c>
      <c r="K191" s="44" t="s">
        <v>3505</v>
      </c>
      <c r="L191" s="35" t="s">
        <v>298</v>
      </c>
      <c r="M191" s="35">
        <v>4</v>
      </c>
      <c r="N191" s="35">
        <v>3</v>
      </c>
      <c r="O191" s="35">
        <f t="shared" si="4"/>
        <v>3.5</v>
      </c>
      <c r="P191" s="35">
        <v>4</v>
      </c>
      <c r="Q191" s="35">
        <v>9.5</v>
      </c>
      <c r="R191" s="35">
        <f t="shared" si="5"/>
        <v>6.75</v>
      </c>
      <c r="S191" s="35"/>
      <c r="T191" s="35"/>
      <c r="U191" s="35"/>
      <c r="V191" s="35" t="e">
        <f>AVERAGE(Tableau2[[#This Row],[1ère composition/10]:[3è composition]])</f>
        <v>#DIV/0!</v>
      </c>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f>COUNTIF(Tableau2[[#This Row],[Séance 1]:[Séance 38]],"A")</f>
        <v>0</v>
      </c>
      <c r="BJ191" s="35"/>
    </row>
    <row r="192" spans="1:62" hidden="1" x14ac:dyDescent="0.2">
      <c r="A192" s="1" t="s">
        <v>52</v>
      </c>
      <c r="B192" s="44" t="s">
        <v>448</v>
      </c>
      <c r="C192" s="44" t="s">
        <v>3552</v>
      </c>
      <c r="D192" s="44" t="s">
        <v>346</v>
      </c>
      <c r="E192" s="44" t="s">
        <v>120</v>
      </c>
      <c r="F192" s="44">
        <v>2021</v>
      </c>
      <c r="G192" s="44">
        <v>1</v>
      </c>
      <c r="H192" s="44">
        <v>6</v>
      </c>
      <c r="I192" s="44" t="str">
        <f>Tableau2[[#This Row],[Annee d''inscription au programme]]&amp;"-"&amp;Tableau2[[#This Row],[Code d''ecole]]&amp;"-"&amp;Tableau2[[#This Row],[Numero HM de la fille]]</f>
        <v>2021-1-6</v>
      </c>
      <c r="J192" s="45" t="s">
        <v>1450</v>
      </c>
      <c r="K192" s="44" t="s">
        <v>3505</v>
      </c>
      <c r="L192" s="35" t="s">
        <v>298</v>
      </c>
      <c r="M192" s="35">
        <v>9.5</v>
      </c>
      <c r="N192" s="35">
        <v>3</v>
      </c>
      <c r="O192" s="35">
        <f t="shared" si="4"/>
        <v>6.25</v>
      </c>
      <c r="P192" s="35">
        <v>14</v>
      </c>
      <c r="Q192" s="35">
        <v>13</v>
      </c>
      <c r="R192" s="35">
        <f t="shared" si="5"/>
        <v>13.5</v>
      </c>
      <c r="S192" s="35"/>
      <c r="T192" s="35"/>
      <c r="U192" s="35"/>
      <c r="V192" s="35" t="e">
        <f>AVERAGE(Tableau2[[#This Row],[1ère composition/10]:[3è composition]])</f>
        <v>#DIV/0!</v>
      </c>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f>COUNTIF(Tableau2[[#This Row],[Séance 1]:[Séance 38]],"A")</f>
        <v>0</v>
      </c>
      <c r="BJ192" s="35"/>
    </row>
    <row r="193" spans="1:62" hidden="1" x14ac:dyDescent="0.2">
      <c r="A193" s="1" t="s">
        <v>52</v>
      </c>
      <c r="B193" s="44" t="s">
        <v>449</v>
      </c>
      <c r="C193" s="44" t="s">
        <v>3552</v>
      </c>
      <c r="D193" s="44" t="s">
        <v>450</v>
      </c>
      <c r="E193" s="44" t="s">
        <v>120</v>
      </c>
      <c r="F193" s="44">
        <v>2020</v>
      </c>
      <c r="G193" s="44">
        <v>1</v>
      </c>
      <c r="H193" s="44">
        <v>230</v>
      </c>
      <c r="I193" s="44" t="str">
        <f>Tableau2[[#This Row],[Annee d''inscription au programme]]&amp;"-"&amp;Tableau2[[#This Row],[Code d''ecole]]&amp;"-"&amp;Tableau2[[#This Row],[Numero HM de la fille]]</f>
        <v>2020-1-230</v>
      </c>
      <c r="J193" s="45" t="s">
        <v>1451</v>
      </c>
      <c r="K193" s="44" t="s">
        <v>374</v>
      </c>
      <c r="L193" s="35" t="s">
        <v>620</v>
      </c>
      <c r="M193" s="35">
        <v>0</v>
      </c>
      <c r="N193" s="35">
        <v>0</v>
      </c>
      <c r="O193" s="35">
        <f t="shared" si="4"/>
        <v>0</v>
      </c>
      <c r="P193" s="35">
        <v>13</v>
      </c>
      <c r="Q193" s="35">
        <v>15</v>
      </c>
      <c r="R193" s="35">
        <f t="shared" si="5"/>
        <v>14</v>
      </c>
      <c r="S193" s="35"/>
      <c r="T193" s="35"/>
      <c r="U193" s="35"/>
      <c r="V193" s="35" t="e">
        <f>AVERAGE(Tableau2[[#This Row],[1ère composition/10]:[3è composition]])</f>
        <v>#DIV/0!</v>
      </c>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f>COUNTIF(Tableau2[[#This Row],[Séance 1]:[Séance 38]],"A")</f>
        <v>0</v>
      </c>
      <c r="BJ193" s="35"/>
    </row>
    <row r="194" spans="1:62" hidden="1" x14ac:dyDescent="0.2">
      <c r="A194" s="1" t="s">
        <v>52</v>
      </c>
      <c r="B194" s="44" t="s">
        <v>452</v>
      </c>
      <c r="C194" s="44" t="s">
        <v>3553</v>
      </c>
      <c r="D194" s="44" t="s">
        <v>451</v>
      </c>
      <c r="E194" s="44" t="s">
        <v>120</v>
      </c>
      <c r="F194" s="44">
        <v>2021</v>
      </c>
      <c r="G194" s="44">
        <v>1</v>
      </c>
      <c r="H194" s="44">
        <v>7</v>
      </c>
      <c r="I194" s="44" t="str">
        <f>Tableau2[[#This Row],[Annee d''inscription au programme]]&amp;"-"&amp;Tableau2[[#This Row],[Code d''ecole]]&amp;"-"&amp;Tableau2[[#This Row],[Numero HM de la fille]]</f>
        <v>2021-1-7</v>
      </c>
      <c r="J194" s="45" t="s">
        <v>1452</v>
      </c>
      <c r="K194" s="44" t="s">
        <v>3505</v>
      </c>
      <c r="L194" s="35" t="s">
        <v>298</v>
      </c>
      <c r="M194" s="35">
        <v>12.5</v>
      </c>
      <c r="N194" s="35">
        <v>7</v>
      </c>
      <c r="O194" s="35">
        <f t="shared" si="4"/>
        <v>9.75</v>
      </c>
      <c r="P194" s="35">
        <v>12.5</v>
      </c>
      <c r="Q194" s="35">
        <v>15.5</v>
      </c>
      <c r="R194" s="35">
        <f t="shared" si="5"/>
        <v>14</v>
      </c>
      <c r="S194" s="35"/>
      <c r="T194" s="35"/>
      <c r="U194" s="35"/>
      <c r="V194" s="35" t="e">
        <f>AVERAGE(Tableau2[[#This Row],[1ère composition/10]:[3è composition]])</f>
        <v>#DIV/0!</v>
      </c>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f>COUNTIF(Tableau2[[#This Row],[Séance 1]:[Séance 38]],"A")</f>
        <v>0</v>
      </c>
      <c r="BJ194" s="35"/>
    </row>
    <row r="195" spans="1:62" hidden="1" x14ac:dyDescent="0.2">
      <c r="A195" s="1" t="s">
        <v>52</v>
      </c>
      <c r="B195" s="44" t="s">
        <v>453</v>
      </c>
      <c r="C195" s="44" t="s">
        <v>3552</v>
      </c>
      <c r="D195" s="44" t="s">
        <v>454</v>
      </c>
      <c r="E195" s="44" t="s">
        <v>120</v>
      </c>
      <c r="F195" s="44">
        <v>2021</v>
      </c>
      <c r="G195" s="44">
        <v>1</v>
      </c>
      <c r="H195" s="44">
        <v>8</v>
      </c>
      <c r="I195" s="44" t="str">
        <f>Tableau2[[#This Row],[Annee d''inscription au programme]]&amp;"-"&amp;Tableau2[[#This Row],[Code d''ecole]]&amp;"-"&amp;Tableau2[[#This Row],[Numero HM de la fille]]</f>
        <v>2021-1-8</v>
      </c>
      <c r="J195" s="45" t="s">
        <v>1453</v>
      </c>
      <c r="K195" s="44" t="s">
        <v>3505</v>
      </c>
      <c r="L195" s="35" t="s">
        <v>298</v>
      </c>
      <c r="M195" s="35">
        <v>8.5</v>
      </c>
      <c r="N195" s="35">
        <v>6</v>
      </c>
      <c r="O195" s="35">
        <f t="shared" si="4"/>
        <v>7.25</v>
      </c>
      <c r="P195" s="35">
        <v>14.5</v>
      </c>
      <c r="Q195" s="35">
        <v>19.5</v>
      </c>
      <c r="R195" s="35">
        <f t="shared" si="5"/>
        <v>17</v>
      </c>
      <c r="S195" s="35"/>
      <c r="T195" s="35"/>
      <c r="U195" s="35"/>
      <c r="V195" s="35" t="e">
        <f>AVERAGE(Tableau2[[#This Row],[1ère composition/10]:[3è composition]])</f>
        <v>#DIV/0!</v>
      </c>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f>COUNTIF(Tableau2[[#This Row],[Séance 1]:[Séance 38]],"A")</f>
        <v>0</v>
      </c>
      <c r="BJ195" s="35"/>
    </row>
    <row r="196" spans="1:62" hidden="1" x14ac:dyDescent="0.2">
      <c r="A196" s="1" t="s">
        <v>52</v>
      </c>
      <c r="B196" s="44" t="s">
        <v>455</v>
      </c>
      <c r="C196" s="44" t="s">
        <v>3552</v>
      </c>
      <c r="D196" s="44" t="s">
        <v>456</v>
      </c>
      <c r="E196" s="44" t="s">
        <v>120</v>
      </c>
      <c r="F196" s="44">
        <v>2021</v>
      </c>
      <c r="G196" s="44">
        <v>1</v>
      </c>
      <c r="H196" s="44">
        <v>9</v>
      </c>
      <c r="I196" s="44" t="str">
        <f>Tableau2[[#This Row],[Annee d''inscription au programme]]&amp;"-"&amp;Tableau2[[#This Row],[Code d''ecole]]&amp;"-"&amp;Tableau2[[#This Row],[Numero HM de la fille]]</f>
        <v>2021-1-9</v>
      </c>
      <c r="J196" s="45" t="s">
        <v>1454</v>
      </c>
      <c r="K196" s="44" t="s">
        <v>3505</v>
      </c>
      <c r="L196" s="35" t="s">
        <v>298</v>
      </c>
      <c r="M196" s="35">
        <v>11</v>
      </c>
      <c r="N196" s="35">
        <v>4</v>
      </c>
      <c r="O196" s="35">
        <f t="shared" si="4"/>
        <v>7.5</v>
      </c>
      <c r="P196" s="35">
        <v>14.5</v>
      </c>
      <c r="Q196" s="35">
        <v>18</v>
      </c>
      <c r="R196" s="35">
        <f t="shared" si="5"/>
        <v>16.25</v>
      </c>
      <c r="S196" s="35"/>
      <c r="T196" s="35"/>
      <c r="U196" s="35"/>
      <c r="V196" s="35" t="e">
        <f>AVERAGE(Tableau2[[#This Row],[1ère composition/10]:[3è composition]])</f>
        <v>#DIV/0!</v>
      </c>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f>COUNTIF(Tableau2[[#This Row],[Séance 1]:[Séance 38]],"A")</f>
        <v>0</v>
      </c>
      <c r="BJ196" s="35"/>
    </row>
    <row r="197" spans="1:62" hidden="1" x14ac:dyDescent="0.2">
      <c r="A197" s="1" t="s">
        <v>52</v>
      </c>
      <c r="B197" s="44" t="s">
        <v>457</v>
      </c>
      <c r="C197" s="44" t="s">
        <v>3552</v>
      </c>
      <c r="D197" s="44" t="s">
        <v>458</v>
      </c>
      <c r="E197" s="44" t="s">
        <v>120</v>
      </c>
      <c r="F197" s="44">
        <v>2021</v>
      </c>
      <c r="G197" s="44">
        <v>1</v>
      </c>
      <c r="H197" s="44">
        <v>10</v>
      </c>
      <c r="I197" s="44" t="str">
        <f>Tableau2[[#This Row],[Annee d''inscription au programme]]&amp;"-"&amp;Tableau2[[#This Row],[Code d''ecole]]&amp;"-"&amp;Tableau2[[#This Row],[Numero HM de la fille]]</f>
        <v>2021-1-10</v>
      </c>
      <c r="J197" s="45" t="s">
        <v>1455</v>
      </c>
      <c r="K197" s="44" t="s">
        <v>3505</v>
      </c>
      <c r="L197" s="35" t="s">
        <v>298</v>
      </c>
      <c r="M197" s="35">
        <v>5</v>
      </c>
      <c r="N197" s="35">
        <v>3</v>
      </c>
      <c r="O197" s="35">
        <f t="shared" ref="O197:O260" si="6">AVERAGE(M197+N197)/2</f>
        <v>4</v>
      </c>
      <c r="P197" s="35">
        <v>11.5</v>
      </c>
      <c r="Q197" s="35">
        <v>5</v>
      </c>
      <c r="R197" s="35">
        <f t="shared" ref="R197:R260" si="7">AVERAGE(P197+Q197)/2</f>
        <v>8.25</v>
      </c>
      <c r="S197" s="35"/>
      <c r="T197" s="35"/>
      <c r="U197" s="35"/>
      <c r="V197" s="35" t="e">
        <f>AVERAGE(Tableau2[[#This Row],[1ère composition/10]:[3è composition]])</f>
        <v>#DIV/0!</v>
      </c>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f>COUNTIF(Tableau2[[#This Row],[Séance 1]:[Séance 38]],"A")</f>
        <v>0</v>
      </c>
      <c r="BJ197" s="35"/>
    </row>
    <row r="198" spans="1:62" hidden="1" x14ac:dyDescent="0.2">
      <c r="A198" s="1" t="s">
        <v>52</v>
      </c>
      <c r="B198" s="44" t="s">
        <v>459</v>
      </c>
      <c r="C198" s="44" t="s">
        <v>3552</v>
      </c>
      <c r="D198" s="44" t="s">
        <v>460</v>
      </c>
      <c r="E198" s="44" t="s">
        <v>120</v>
      </c>
      <c r="F198" s="44">
        <v>2021</v>
      </c>
      <c r="G198" s="44">
        <v>1</v>
      </c>
      <c r="H198" s="44">
        <v>11</v>
      </c>
      <c r="I198" s="44" t="str">
        <f>Tableau2[[#This Row],[Annee d''inscription au programme]]&amp;"-"&amp;Tableau2[[#This Row],[Code d''ecole]]&amp;"-"&amp;Tableau2[[#This Row],[Numero HM de la fille]]</f>
        <v>2021-1-11</v>
      </c>
      <c r="J198" s="45" t="s">
        <v>1456</v>
      </c>
      <c r="K198" s="44" t="s">
        <v>3505</v>
      </c>
      <c r="L198" s="35" t="s">
        <v>298</v>
      </c>
      <c r="M198" s="35">
        <v>4</v>
      </c>
      <c r="N198" s="35">
        <v>3</v>
      </c>
      <c r="O198" s="35">
        <f t="shared" si="6"/>
        <v>3.5</v>
      </c>
      <c r="P198" s="35">
        <v>15.5</v>
      </c>
      <c r="Q198" s="35">
        <v>12</v>
      </c>
      <c r="R198" s="35">
        <f t="shared" si="7"/>
        <v>13.75</v>
      </c>
      <c r="S198" s="35"/>
      <c r="T198" s="35"/>
      <c r="U198" s="35"/>
      <c r="V198" s="35" t="e">
        <f>AVERAGE(Tableau2[[#This Row],[1ère composition/10]:[3è composition]])</f>
        <v>#DIV/0!</v>
      </c>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f>COUNTIF(Tableau2[[#This Row],[Séance 1]:[Séance 38]],"A")</f>
        <v>0</v>
      </c>
      <c r="BJ198" s="35"/>
    </row>
    <row r="199" spans="1:62" hidden="1" x14ac:dyDescent="0.2">
      <c r="A199" s="1" t="s">
        <v>52</v>
      </c>
      <c r="B199" s="44" t="s">
        <v>461</v>
      </c>
      <c r="C199" s="44" t="s">
        <v>3552</v>
      </c>
      <c r="D199" s="44" t="s">
        <v>462</v>
      </c>
      <c r="E199" s="44" t="s">
        <v>120</v>
      </c>
      <c r="F199" s="44">
        <v>2021</v>
      </c>
      <c r="G199" s="44">
        <v>1</v>
      </c>
      <c r="H199" s="44">
        <v>12</v>
      </c>
      <c r="I199" s="44" t="str">
        <f>Tableau2[[#This Row],[Annee d''inscription au programme]]&amp;"-"&amp;Tableau2[[#This Row],[Code d''ecole]]&amp;"-"&amp;Tableau2[[#This Row],[Numero HM de la fille]]</f>
        <v>2021-1-12</v>
      </c>
      <c r="J199" s="45" t="s">
        <v>1457</v>
      </c>
      <c r="K199" s="44" t="s">
        <v>3505</v>
      </c>
      <c r="L199" s="35" t="s">
        <v>298</v>
      </c>
      <c r="M199" s="35">
        <v>4.5</v>
      </c>
      <c r="N199" s="35">
        <v>1</v>
      </c>
      <c r="O199" s="35">
        <f t="shared" si="6"/>
        <v>2.75</v>
      </c>
      <c r="P199" s="35">
        <v>12.5</v>
      </c>
      <c r="Q199" s="35">
        <v>6</v>
      </c>
      <c r="R199" s="35">
        <f t="shared" si="7"/>
        <v>9.25</v>
      </c>
      <c r="S199" s="35"/>
      <c r="T199" s="35"/>
      <c r="U199" s="35"/>
      <c r="V199" s="35" t="e">
        <f>AVERAGE(Tableau2[[#This Row],[1ère composition/10]:[3è composition]])</f>
        <v>#DIV/0!</v>
      </c>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f>COUNTIF(Tableau2[[#This Row],[Séance 1]:[Séance 38]],"A")</f>
        <v>0</v>
      </c>
      <c r="BJ199" s="35"/>
    </row>
    <row r="200" spans="1:62" hidden="1" x14ac:dyDescent="0.2">
      <c r="A200" s="1" t="s">
        <v>52</v>
      </c>
      <c r="B200" s="44" t="s">
        <v>463</v>
      </c>
      <c r="C200" s="44" t="s">
        <v>3552</v>
      </c>
      <c r="D200" s="44" t="s">
        <v>177</v>
      </c>
      <c r="E200" s="44" t="s">
        <v>120</v>
      </c>
      <c r="F200" s="44">
        <v>2020</v>
      </c>
      <c r="G200" s="44">
        <v>1</v>
      </c>
      <c r="H200" s="44">
        <v>234</v>
      </c>
      <c r="I200" s="44" t="str">
        <f>Tableau2[[#This Row],[Annee d''inscription au programme]]&amp;"-"&amp;Tableau2[[#This Row],[Code d''ecole]]&amp;"-"&amp;Tableau2[[#This Row],[Numero HM de la fille]]</f>
        <v>2020-1-234</v>
      </c>
      <c r="J200" s="45" t="s">
        <v>1458</v>
      </c>
      <c r="K200" s="44" t="s">
        <v>374</v>
      </c>
      <c r="L200" s="35" t="s">
        <v>620</v>
      </c>
      <c r="M200" s="35">
        <v>11</v>
      </c>
      <c r="N200" s="35">
        <v>4</v>
      </c>
      <c r="O200" s="35">
        <f t="shared" si="6"/>
        <v>7.5</v>
      </c>
      <c r="P200" s="35">
        <v>13.5</v>
      </c>
      <c r="Q200" s="35">
        <v>18</v>
      </c>
      <c r="R200" s="35">
        <f t="shared" si="7"/>
        <v>15.75</v>
      </c>
      <c r="S200" s="35"/>
      <c r="T200" s="35"/>
      <c r="U200" s="35"/>
      <c r="V200" s="35" t="e">
        <f>AVERAGE(Tableau2[[#This Row],[1ère composition/10]:[3è composition]])</f>
        <v>#DIV/0!</v>
      </c>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f>COUNTIF(Tableau2[[#This Row],[Séance 1]:[Séance 38]],"A")</f>
        <v>0</v>
      </c>
      <c r="BJ200" s="35"/>
    </row>
    <row r="201" spans="1:62" hidden="1" x14ac:dyDescent="0.2">
      <c r="A201" s="1" t="s">
        <v>52</v>
      </c>
      <c r="B201" s="44" t="s">
        <v>339</v>
      </c>
      <c r="C201" s="44" t="s">
        <v>3552</v>
      </c>
      <c r="D201" s="44" t="s">
        <v>464</v>
      </c>
      <c r="E201" s="44" t="s">
        <v>120</v>
      </c>
      <c r="F201" s="44">
        <v>2021</v>
      </c>
      <c r="G201" s="44">
        <v>1</v>
      </c>
      <c r="H201" s="44">
        <v>13</v>
      </c>
      <c r="I201" s="44" t="str">
        <f>Tableau2[[#This Row],[Annee d''inscription au programme]]&amp;"-"&amp;Tableau2[[#This Row],[Code d''ecole]]&amp;"-"&amp;Tableau2[[#This Row],[Numero HM de la fille]]</f>
        <v>2021-1-13</v>
      </c>
      <c r="J201" s="45" t="s">
        <v>1459</v>
      </c>
      <c r="K201" s="44" t="s">
        <v>3505</v>
      </c>
      <c r="L201" s="35" t="s">
        <v>298</v>
      </c>
      <c r="M201" s="35">
        <v>2.5</v>
      </c>
      <c r="N201" s="35">
        <v>3</v>
      </c>
      <c r="O201" s="35">
        <f t="shared" si="6"/>
        <v>2.75</v>
      </c>
      <c r="P201" s="35">
        <v>7.5</v>
      </c>
      <c r="Q201" s="35">
        <v>9</v>
      </c>
      <c r="R201" s="35">
        <f t="shared" si="7"/>
        <v>8.25</v>
      </c>
      <c r="S201" s="35"/>
      <c r="T201" s="35"/>
      <c r="U201" s="35"/>
      <c r="V201" s="35" t="e">
        <f>AVERAGE(Tableau2[[#This Row],[1ère composition/10]:[3è composition]])</f>
        <v>#DIV/0!</v>
      </c>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f>COUNTIF(Tableau2[[#This Row],[Séance 1]:[Séance 38]],"A")</f>
        <v>0</v>
      </c>
      <c r="BJ201" s="35"/>
    </row>
    <row r="202" spans="1:62" hidden="1" x14ac:dyDescent="0.2">
      <c r="A202" s="1" t="s">
        <v>52</v>
      </c>
      <c r="B202" s="44" t="s">
        <v>465</v>
      </c>
      <c r="C202" s="44" t="s">
        <v>3554</v>
      </c>
      <c r="D202" s="44" t="s">
        <v>466</v>
      </c>
      <c r="E202" s="44" t="s">
        <v>120</v>
      </c>
      <c r="F202" s="44">
        <v>2021</v>
      </c>
      <c r="G202" s="44">
        <v>1</v>
      </c>
      <c r="H202" s="44">
        <v>14</v>
      </c>
      <c r="I202" s="44" t="str">
        <f>Tableau2[[#This Row],[Annee d''inscription au programme]]&amp;"-"&amp;Tableau2[[#This Row],[Code d''ecole]]&amp;"-"&amp;Tableau2[[#This Row],[Numero HM de la fille]]</f>
        <v>2021-1-14</v>
      </c>
      <c r="J202" s="45" t="s">
        <v>1460</v>
      </c>
      <c r="K202" s="44" t="s">
        <v>3505</v>
      </c>
      <c r="L202" s="35" t="s">
        <v>298</v>
      </c>
      <c r="M202" s="35">
        <v>5</v>
      </c>
      <c r="N202" s="35">
        <v>2.5</v>
      </c>
      <c r="O202" s="35">
        <f t="shared" si="6"/>
        <v>3.75</v>
      </c>
      <c r="P202" s="35">
        <v>14.5</v>
      </c>
      <c r="Q202" s="35">
        <v>8.5</v>
      </c>
      <c r="R202" s="35">
        <f t="shared" si="7"/>
        <v>11.5</v>
      </c>
      <c r="S202" s="35"/>
      <c r="T202" s="35"/>
      <c r="U202" s="35"/>
      <c r="V202" s="35" t="e">
        <f>AVERAGE(Tableau2[[#This Row],[1ère composition/10]:[3è composition]])</f>
        <v>#DIV/0!</v>
      </c>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f>COUNTIF(Tableau2[[#This Row],[Séance 1]:[Séance 38]],"A")</f>
        <v>0</v>
      </c>
      <c r="BJ202" s="35"/>
    </row>
    <row r="203" spans="1:62" hidden="1" x14ac:dyDescent="0.2">
      <c r="A203" s="1" t="s">
        <v>52</v>
      </c>
      <c r="B203" s="44" t="s">
        <v>467</v>
      </c>
      <c r="C203" s="44" t="s">
        <v>3552</v>
      </c>
      <c r="D203" s="44" t="s">
        <v>468</v>
      </c>
      <c r="E203" s="44" t="s">
        <v>120</v>
      </c>
      <c r="F203" s="44">
        <v>2021</v>
      </c>
      <c r="G203" s="44">
        <v>1</v>
      </c>
      <c r="H203" s="44">
        <v>15</v>
      </c>
      <c r="I203" s="44" t="str">
        <f>Tableau2[[#This Row],[Annee d''inscription au programme]]&amp;"-"&amp;Tableau2[[#This Row],[Code d''ecole]]&amp;"-"&amp;Tableau2[[#This Row],[Numero HM de la fille]]</f>
        <v>2021-1-15</v>
      </c>
      <c r="J203" s="45" t="s">
        <v>1461</v>
      </c>
      <c r="K203" s="44" t="s">
        <v>3505</v>
      </c>
      <c r="L203" s="35" t="s">
        <v>298</v>
      </c>
      <c r="M203" s="35">
        <v>10.5</v>
      </c>
      <c r="N203" s="35">
        <v>4</v>
      </c>
      <c r="O203" s="35">
        <f t="shared" si="6"/>
        <v>7.25</v>
      </c>
      <c r="P203" s="35">
        <v>12.5</v>
      </c>
      <c r="Q203" s="35">
        <v>11</v>
      </c>
      <c r="R203" s="35">
        <f t="shared" si="7"/>
        <v>11.75</v>
      </c>
      <c r="S203" s="35"/>
      <c r="T203" s="35"/>
      <c r="U203" s="35"/>
      <c r="V203" s="35" t="e">
        <f>AVERAGE(Tableau2[[#This Row],[1ère composition/10]:[3è composition]])</f>
        <v>#DIV/0!</v>
      </c>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f>COUNTIF(Tableau2[[#This Row],[Séance 1]:[Séance 38]],"A")</f>
        <v>0</v>
      </c>
      <c r="BJ203" s="35"/>
    </row>
    <row r="204" spans="1:62" hidden="1" x14ac:dyDescent="0.2">
      <c r="A204" s="1" t="s">
        <v>52</v>
      </c>
      <c r="B204" s="44" t="s">
        <v>469</v>
      </c>
      <c r="C204" s="44" t="s">
        <v>3552</v>
      </c>
      <c r="D204" s="44" t="s">
        <v>470</v>
      </c>
      <c r="E204" s="44" t="s">
        <v>120</v>
      </c>
      <c r="F204" s="44">
        <v>2020</v>
      </c>
      <c r="G204" s="44">
        <v>1</v>
      </c>
      <c r="H204" s="44">
        <v>236</v>
      </c>
      <c r="I204" s="44" t="str">
        <f>Tableau2[[#This Row],[Annee d''inscription au programme]]&amp;"-"&amp;Tableau2[[#This Row],[Code d''ecole]]&amp;"-"&amp;Tableau2[[#This Row],[Numero HM de la fille]]</f>
        <v>2020-1-236</v>
      </c>
      <c r="J204" s="45" t="s">
        <v>1462</v>
      </c>
      <c r="K204" s="44" t="s">
        <v>374</v>
      </c>
      <c r="L204" s="35" t="s">
        <v>620</v>
      </c>
      <c r="M204" s="35">
        <v>7</v>
      </c>
      <c r="N204" s="35">
        <v>5</v>
      </c>
      <c r="O204" s="35">
        <f t="shared" si="6"/>
        <v>6</v>
      </c>
      <c r="P204" s="35">
        <v>14.5</v>
      </c>
      <c r="Q204" s="35">
        <v>15.75</v>
      </c>
      <c r="R204" s="35">
        <f t="shared" si="7"/>
        <v>15.125</v>
      </c>
      <c r="S204" s="35"/>
      <c r="T204" s="35"/>
      <c r="U204" s="35"/>
      <c r="V204" s="35" t="e">
        <f>AVERAGE(Tableau2[[#This Row],[1ère composition/10]:[3è composition]])</f>
        <v>#DIV/0!</v>
      </c>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f>COUNTIF(Tableau2[[#This Row],[Séance 1]:[Séance 38]],"A")</f>
        <v>0</v>
      </c>
      <c r="BJ204" s="35"/>
    </row>
    <row r="205" spans="1:62" hidden="1" x14ac:dyDescent="0.2">
      <c r="A205" s="1" t="s">
        <v>52</v>
      </c>
      <c r="B205" s="44" t="s">
        <v>471</v>
      </c>
      <c r="C205" s="44" t="s">
        <v>3552</v>
      </c>
      <c r="D205" s="44" t="s">
        <v>472</v>
      </c>
      <c r="E205" s="44" t="s">
        <v>120</v>
      </c>
      <c r="F205" s="44">
        <v>2021</v>
      </c>
      <c r="G205" s="44">
        <v>1</v>
      </c>
      <c r="H205" s="44">
        <v>16</v>
      </c>
      <c r="I205" s="44" t="str">
        <f>Tableau2[[#This Row],[Annee d''inscription au programme]]&amp;"-"&amp;Tableau2[[#This Row],[Code d''ecole]]&amp;"-"&amp;Tableau2[[#This Row],[Numero HM de la fille]]</f>
        <v>2021-1-16</v>
      </c>
      <c r="J205" s="45" t="s">
        <v>1463</v>
      </c>
      <c r="K205" s="44" t="s">
        <v>3505</v>
      </c>
      <c r="L205" s="35" t="s">
        <v>298</v>
      </c>
      <c r="M205" s="35">
        <v>10</v>
      </c>
      <c r="N205" s="35">
        <v>5.5</v>
      </c>
      <c r="O205" s="35">
        <f t="shared" si="6"/>
        <v>7.75</v>
      </c>
      <c r="P205" s="35">
        <v>14</v>
      </c>
      <c r="Q205" s="35">
        <v>17</v>
      </c>
      <c r="R205" s="35">
        <f t="shared" si="7"/>
        <v>15.5</v>
      </c>
      <c r="S205" s="35"/>
      <c r="T205" s="35"/>
      <c r="U205" s="35"/>
      <c r="V205" s="35" t="e">
        <f>AVERAGE(Tableau2[[#This Row],[1ère composition/10]:[3è composition]])</f>
        <v>#DIV/0!</v>
      </c>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f>COUNTIF(Tableau2[[#This Row],[Séance 1]:[Séance 38]],"A")</f>
        <v>0</v>
      </c>
      <c r="BJ205" s="35"/>
    </row>
    <row r="206" spans="1:62" hidden="1" x14ac:dyDescent="0.2">
      <c r="A206" s="1" t="s">
        <v>52</v>
      </c>
      <c r="B206" s="44" t="s">
        <v>473</v>
      </c>
      <c r="C206" s="44" t="s">
        <v>3552</v>
      </c>
      <c r="D206" s="44" t="s">
        <v>302</v>
      </c>
      <c r="E206" s="44" t="s">
        <v>120</v>
      </c>
      <c r="F206" s="44">
        <v>2021</v>
      </c>
      <c r="G206" s="44">
        <v>1</v>
      </c>
      <c r="H206" s="44">
        <v>17</v>
      </c>
      <c r="I206" s="44" t="str">
        <f>Tableau2[[#This Row],[Annee d''inscription au programme]]&amp;"-"&amp;Tableau2[[#This Row],[Code d''ecole]]&amp;"-"&amp;Tableau2[[#This Row],[Numero HM de la fille]]</f>
        <v>2021-1-17</v>
      </c>
      <c r="J206" s="45" t="s">
        <v>1464</v>
      </c>
      <c r="K206" s="44" t="s">
        <v>3505</v>
      </c>
      <c r="L206" s="35" t="s">
        <v>298</v>
      </c>
      <c r="M206" s="35">
        <v>6</v>
      </c>
      <c r="N206" s="35">
        <v>4.75</v>
      </c>
      <c r="O206" s="35">
        <f t="shared" si="6"/>
        <v>5.375</v>
      </c>
      <c r="P206" s="35">
        <v>12</v>
      </c>
      <c r="Q206" s="35">
        <v>3</v>
      </c>
      <c r="R206" s="35">
        <f t="shared" si="7"/>
        <v>7.5</v>
      </c>
      <c r="S206" s="35"/>
      <c r="T206" s="35"/>
      <c r="U206" s="35"/>
      <c r="V206" s="35" t="e">
        <f>AVERAGE(Tableau2[[#This Row],[1ère composition/10]:[3è composition]])</f>
        <v>#DIV/0!</v>
      </c>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f>COUNTIF(Tableau2[[#This Row],[Séance 1]:[Séance 38]],"A")</f>
        <v>0</v>
      </c>
      <c r="BJ206" s="35"/>
    </row>
    <row r="207" spans="1:62" hidden="1" x14ac:dyDescent="0.2">
      <c r="A207" s="1" t="s">
        <v>52</v>
      </c>
      <c r="B207" s="44" t="s">
        <v>474</v>
      </c>
      <c r="C207" s="44" t="s">
        <v>3552</v>
      </c>
      <c r="D207" s="44" t="s">
        <v>475</v>
      </c>
      <c r="E207" s="44" t="s">
        <v>120</v>
      </c>
      <c r="F207" s="44">
        <v>2020</v>
      </c>
      <c r="G207" s="44">
        <v>1</v>
      </c>
      <c r="H207" s="44">
        <v>242</v>
      </c>
      <c r="I207" s="44" t="str">
        <f>Tableau2[[#This Row],[Annee d''inscription au programme]]&amp;"-"&amp;Tableau2[[#This Row],[Code d''ecole]]&amp;"-"&amp;Tableau2[[#This Row],[Numero HM de la fille]]</f>
        <v>2020-1-242</v>
      </c>
      <c r="J207" s="45" t="s">
        <v>1465</v>
      </c>
      <c r="K207" s="44" t="s">
        <v>374</v>
      </c>
      <c r="L207" s="35" t="s">
        <v>620</v>
      </c>
      <c r="M207" s="35">
        <v>9.5</v>
      </c>
      <c r="N207" s="35">
        <v>4</v>
      </c>
      <c r="O207" s="35">
        <f t="shared" si="6"/>
        <v>6.75</v>
      </c>
      <c r="P207" s="35">
        <v>11</v>
      </c>
      <c r="Q207" s="35">
        <v>4</v>
      </c>
      <c r="R207" s="35">
        <f t="shared" si="7"/>
        <v>7.5</v>
      </c>
      <c r="S207" s="35"/>
      <c r="T207" s="35"/>
      <c r="U207" s="35"/>
      <c r="V207" s="35" t="e">
        <f>AVERAGE(Tableau2[[#This Row],[1ère composition/10]:[3è composition]])</f>
        <v>#DIV/0!</v>
      </c>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f>COUNTIF(Tableau2[[#This Row],[Séance 1]:[Séance 38]],"A")</f>
        <v>0</v>
      </c>
      <c r="BJ207" s="35"/>
    </row>
    <row r="208" spans="1:62" hidden="1" x14ac:dyDescent="0.2">
      <c r="A208" s="1" t="s">
        <v>52</v>
      </c>
      <c r="B208" s="44" t="s">
        <v>476</v>
      </c>
      <c r="C208" s="44" t="s">
        <v>3552</v>
      </c>
      <c r="D208" s="44" t="s">
        <v>477</v>
      </c>
      <c r="E208" s="44" t="s">
        <v>120</v>
      </c>
      <c r="F208" s="44">
        <v>2021</v>
      </c>
      <c r="G208" s="44">
        <v>1</v>
      </c>
      <c r="H208" s="44">
        <v>18</v>
      </c>
      <c r="I208" s="44" t="str">
        <f>Tableau2[[#This Row],[Annee d''inscription au programme]]&amp;"-"&amp;Tableau2[[#This Row],[Code d''ecole]]&amp;"-"&amp;Tableau2[[#This Row],[Numero HM de la fille]]</f>
        <v>2021-1-18</v>
      </c>
      <c r="J208" s="45" t="s">
        <v>1466</v>
      </c>
      <c r="K208" s="44" t="s">
        <v>3505</v>
      </c>
      <c r="L208" s="35" t="s">
        <v>298</v>
      </c>
      <c r="M208" s="35">
        <v>11</v>
      </c>
      <c r="N208" s="35">
        <v>4.5</v>
      </c>
      <c r="O208" s="35">
        <f t="shared" si="6"/>
        <v>7.75</v>
      </c>
      <c r="P208" s="35">
        <v>13</v>
      </c>
      <c r="Q208" s="35">
        <v>0.5</v>
      </c>
      <c r="R208" s="35">
        <f t="shared" si="7"/>
        <v>6.75</v>
      </c>
      <c r="S208" s="35"/>
      <c r="T208" s="35"/>
      <c r="U208" s="35"/>
      <c r="V208" s="35" t="e">
        <f>AVERAGE(Tableau2[[#This Row],[1ère composition/10]:[3è composition]])</f>
        <v>#DIV/0!</v>
      </c>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f>COUNTIF(Tableau2[[#This Row],[Séance 1]:[Séance 38]],"A")</f>
        <v>0</v>
      </c>
      <c r="BJ208" s="35"/>
    </row>
    <row r="209" spans="1:62" hidden="1" x14ac:dyDescent="0.2">
      <c r="A209" s="1" t="s">
        <v>52</v>
      </c>
      <c r="B209" s="44" t="s">
        <v>478</v>
      </c>
      <c r="C209" s="44" t="s">
        <v>3552</v>
      </c>
      <c r="D209" s="44" t="s">
        <v>479</v>
      </c>
      <c r="E209" s="44" t="s">
        <v>120</v>
      </c>
      <c r="F209" s="44">
        <v>2020</v>
      </c>
      <c r="G209" s="44">
        <v>1</v>
      </c>
      <c r="H209" s="44">
        <v>241</v>
      </c>
      <c r="I209" s="44" t="str">
        <f>Tableau2[[#This Row],[Annee d''inscription au programme]]&amp;"-"&amp;Tableau2[[#This Row],[Code d''ecole]]&amp;"-"&amp;Tableau2[[#This Row],[Numero HM de la fille]]</f>
        <v>2020-1-241</v>
      </c>
      <c r="J209" s="45" t="s">
        <v>1467</v>
      </c>
      <c r="K209" s="44" t="s">
        <v>374</v>
      </c>
      <c r="L209" s="35" t="s">
        <v>620</v>
      </c>
      <c r="M209" s="35">
        <v>0</v>
      </c>
      <c r="N209" s="35">
        <v>0</v>
      </c>
      <c r="O209" s="35">
        <f t="shared" si="6"/>
        <v>0</v>
      </c>
      <c r="P209" s="35">
        <v>10.5</v>
      </c>
      <c r="Q209" s="35">
        <v>6.5</v>
      </c>
      <c r="R209" s="35">
        <f t="shared" si="7"/>
        <v>8.5</v>
      </c>
      <c r="S209" s="35"/>
      <c r="T209" s="35"/>
      <c r="U209" s="35"/>
      <c r="V209" s="35" t="e">
        <f>AVERAGE(Tableau2[[#This Row],[1ère composition/10]:[3è composition]])</f>
        <v>#DIV/0!</v>
      </c>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f>COUNTIF(Tableau2[[#This Row],[Séance 1]:[Séance 38]],"A")</f>
        <v>0</v>
      </c>
      <c r="BJ209" s="35"/>
    </row>
    <row r="210" spans="1:62" hidden="1" x14ac:dyDescent="0.2">
      <c r="A210" s="1" t="s">
        <v>52</v>
      </c>
      <c r="B210" s="44" t="s">
        <v>480</v>
      </c>
      <c r="C210" s="44" t="s">
        <v>3552</v>
      </c>
      <c r="D210" s="44" t="s">
        <v>481</v>
      </c>
      <c r="E210" s="44" t="s">
        <v>120</v>
      </c>
      <c r="F210" s="44">
        <v>2021</v>
      </c>
      <c r="G210" s="44">
        <v>1</v>
      </c>
      <c r="H210" s="44">
        <v>19</v>
      </c>
      <c r="I210" s="44" t="str">
        <f>Tableau2[[#This Row],[Annee d''inscription au programme]]&amp;"-"&amp;Tableau2[[#This Row],[Code d''ecole]]&amp;"-"&amp;Tableau2[[#This Row],[Numero HM de la fille]]</f>
        <v>2021-1-19</v>
      </c>
      <c r="J210" s="45" t="s">
        <v>1468</v>
      </c>
      <c r="K210" s="44" t="s">
        <v>3505</v>
      </c>
      <c r="L210" s="35" t="s">
        <v>298</v>
      </c>
      <c r="M210" s="35">
        <v>11.5</v>
      </c>
      <c r="N210" s="35">
        <v>16.5</v>
      </c>
      <c r="O210" s="35">
        <f t="shared" si="6"/>
        <v>14</v>
      </c>
      <c r="P210" s="35">
        <v>17</v>
      </c>
      <c r="Q210" s="35">
        <v>19</v>
      </c>
      <c r="R210" s="35">
        <f t="shared" si="7"/>
        <v>18</v>
      </c>
      <c r="S210" s="35"/>
      <c r="T210" s="35"/>
      <c r="U210" s="35"/>
      <c r="V210" s="35" t="e">
        <f>AVERAGE(Tableau2[[#This Row],[1ère composition/10]:[3è composition]])</f>
        <v>#DIV/0!</v>
      </c>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f>COUNTIF(Tableau2[[#This Row],[Séance 1]:[Séance 38]],"A")</f>
        <v>0</v>
      </c>
      <c r="BJ210" s="35"/>
    </row>
    <row r="211" spans="1:62" hidden="1" x14ac:dyDescent="0.2">
      <c r="A211" s="1" t="s">
        <v>52</v>
      </c>
      <c r="B211" s="44" t="s">
        <v>482</v>
      </c>
      <c r="C211" s="44" t="s">
        <v>3552</v>
      </c>
      <c r="D211" s="44" t="s">
        <v>483</v>
      </c>
      <c r="E211" s="44" t="s">
        <v>120</v>
      </c>
      <c r="F211" s="44">
        <v>2020</v>
      </c>
      <c r="G211" s="44">
        <v>1</v>
      </c>
      <c r="H211" s="44">
        <v>245</v>
      </c>
      <c r="I211" s="44" t="str">
        <f>Tableau2[[#This Row],[Annee d''inscription au programme]]&amp;"-"&amp;Tableau2[[#This Row],[Code d''ecole]]&amp;"-"&amp;Tableau2[[#This Row],[Numero HM de la fille]]</f>
        <v>2020-1-245</v>
      </c>
      <c r="J211" s="45" t="s">
        <v>1469</v>
      </c>
      <c r="K211" s="44" t="s">
        <v>374</v>
      </c>
      <c r="L211" s="35" t="s">
        <v>620</v>
      </c>
      <c r="M211" s="35">
        <v>6.5</v>
      </c>
      <c r="N211" s="35">
        <v>3</v>
      </c>
      <c r="O211" s="35">
        <f t="shared" si="6"/>
        <v>4.75</v>
      </c>
      <c r="P211" s="35">
        <v>9</v>
      </c>
      <c r="Q211" s="35">
        <v>6</v>
      </c>
      <c r="R211" s="35">
        <f t="shared" si="7"/>
        <v>7.5</v>
      </c>
      <c r="S211" s="35"/>
      <c r="T211" s="35"/>
      <c r="U211" s="35"/>
      <c r="V211" s="35" t="e">
        <f>AVERAGE(Tableau2[[#This Row],[1ère composition/10]:[3è composition]])</f>
        <v>#DIV/0!</v>
      </c>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f>COUNTIF(Tableau2[[#This Row],[Séance 1]:[Séance 38]],"A")</f>
        <v>0</v>
      </c>
      <c r="BJ211" s="35"/>
    </row>
    <row r="212" spans="1:62" hidden="1" x14ac:dyDescent="0.2">
      <c r="A212" s="1" t="s">
        <v>52</v>
      </c>
      <c r="B212" s="44" t="s">
        <v>484</v>
      </c>
      <c r="C212" s="44" t="s">
        <v>3552</v>
      </c>
      <c r="D212" s="44" t="s">
        <v>485</v>
      </c>
      <c r="E212" s="44" t="s">
        <v>120</v>
      </c>
      <c r="F212" s="44">
        <v>2021</v>
      </c>
      <c r="G212" s="44">
        <v>1</v>
      </c>
      <c r="H212" s="44">
        <v>20</v>
      </c>
      <c r="I212" s="44" t="str">
        <f>Tableau2[[#This Row],[Annee d''inscription au programme]]&amp;"-"&amp;Tableau2[[#This Row],[Code d''ecole]]&amp;"-"&amp;Tableau2[[#This Row],[Numero HM de la fille]]</f>
        <v>2021-1-20</v>
      </c>
      <c r="J212" s="45" t="s">
        <v>1470</v>
      </c>
      <c r="K212" s="44" t="s">
        <v>3505</v>
      </c>
      <c r="L212" s="35" t="s">
        <v>298</v>
      </c>
      <c r="M212" s="35">
        <v>6.5</v>
      </c>
      <c r="N212" s="35">
        <v>4.75</v>
      </c>
      <c r="O212" s="35">
        <f t="shared" si="6"/>
        <v>5.625</v>
      </c>
      <c r="P212" s="35">
        <v>12</v>
      </c>
      <c r="Q212" s="35">
        <v>10.5</v>
      </c>
      <c r="R212" s="35">
        <f t="shared" si="7"/>
        <v>11.25</v>
      </c>
      <c r="S212" s="35"/>
      <c r="T212" s="35"/>
      <c r="U212" s="35"/>
      <c r="V212" s="35" t="e">
        <f>AVERAGE(Tableau2[[#This Row],[1ère composition/10]:[3è composition]])</f>
        <v>#DIV/0!</v>
      </c>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f>COUNTIF(Tableau2[[#This Row],[Séance 1]:[Séance 38]],"A")</f>
        <v>0</v>
      </c>
      <c r="BJ212" s="35"/>
    </row>
    <row r="213" spans="1:62" hidden="1" x14ac:dyDescent="0.2">
      <c r="A213" s="1" t="s">
        <v>52</v>
      </c>
      <c r="B213" s="44" t="s">
        <v>3898</v>
      </c>
      <c r="C213" s="44" t="s">
        <v>3552</v>
      </c>
      <c r="D213" s="44" t="s">
        <v>3899</v>
      </c>
      <c r="E213" s="44" t="s">
        <v>120</v>
      </c>
      <c r="F213" s="44">
        <v>2021</v>
      </c>
      <c r="G213" s="44">
        <v>1</v>
      </c>
      <c r="H213" s="44">
        <v>21</v>
      </c>
      <c r="I213" s="44" t="str">
        <f>Tableau2[[#This Row],[Annee d''inscription au programme]]&amp;"-"&amp;Tableau2[[#This Row],[Code d''ecole]]&amp;"-"&amp;Tableau2[[#This Row],[Numero HM de la fille]]</f>
        <v>2021-1-21</v>
      </c>
      <c r="J213" s="45" t="s">
        <v>1471</v>
      </c>
      <c r="K213" s="44" t="s">
        <v>3505</v>
      </c>
      <c r="L213" s="35" t="s">
        <v>298</v>
      </c>
      <c r="M213" s="35">
        <v>9.5</v>
      </c>
      <c r="N213" s="35">
        <v>2.5</v>
      </c>
      <c r="O213" s="35">
        <f t="shared" si="6"/>
        <v>6</v>
      </c>
      <c r="P213" s="35">
        <v>14</v>
      </c>
      <c r="Q213" s="35">
        <v>6</v>
      </c>
      <c r="R213" s="35">
        <f t="shared" si="7"/>
        <v>10</v>
      </c>
      <c r="S213" s="35"/>
      <c r="T213" s="35"/>
      <c r="U213" s="35"/>
      <c r="V213" s="35" t="e">
        <f>AVERAGE(Tableau2[[#This Row],[1ère composition/10]:[3è composition]])</f>
        <v>#DIV/0!</v>
      </c>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f>COUNTIF(Tableau2[[#This Row],[Séance 1]:[Séance 38]],"A")</f>
        <v>0</v>
      </c>
      <c r="BJ213" s="35"/>
    </row>
    <row r="214" spans="1:62" hidden="1" x14ac:dyDescent="0.2">
      <c r="A214" s="1" t="s">
        <v>52</v>
      </c>
      <c r="B214" s="44" t="s">
        <v>486</v>
      </c>
      <c r="C214" s="44" t="s">
        <v>3552</v>
      </c>
      <c r="D214" s="44" t="s">
        <v>487</v>
      </c>
      <c r="E214" s="44" t="s">
        <v>120</v>
      </c>
      <c r="F214" s="44">
        <v>2021</v>
      </c>
      <c r="G214" s="44">
        <v>1</v>
      </c>
      <c r="H214" s="44">
        <v>22</v>
      </c>
      <c r="I214" s="44" t="str">
        <f>Tableau2[[#This Row],[Annee d''inscription au programme]]&amp;"-"&amp;Tableau2[[#This Row],[Code d''ecole]]&amp;"-"&amp;Tableau2[[#This Row],[Numero HM de la fille]]</f>
        <v>2021-1-22</v>
      </c>
      <c r="J214" s="45" t="s">
        <v>1472</v>
      </c>
      <c r="K214" s="44" t="s">
        <v>3505</v>
      </c>
      <c r="L214" s="35" t="s">
        <v>298</v>
      </c>
      <c r="M214" s="35">
        <v>0.5</v>
      </c>
      <c r="N214" s="35">
        <v>1</v>
      </c>
      <c r="O214" s="35">
        <f t="shared" si="6"/>
        <v>0.75</v>
      </c>
      <c r="P214" s="35">
        <v>6</v>
      </c>
      <c r="Q214" s="35">
        <v>0</v>
      </c>
      <c r="R214" s="35">
        <f t="shared" si="7"/>
        <v>3</v>
      </c>
      <c r="S214" s="35"/>
      <c r="T214" s="35"/>
      <c r="U214" s="35"/>
      <c r="V214" s="35" t="e">
        <f>AVERAGE(Tableau2[[#This Row],[1ère composition/10]:[3è composition]])</f>
        <v>#DIV/0!</v>
      </c>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f>COUNTIF(Tableau2[[#This Row],[Séance 1]:[Séance 38]],"A")</f>
        <v>0</v>
      </c>
      <c r="BJ214" s="35"/>
    </row>
    <row r="215" spans="1:62" hidden="1" x14ac:dyDescent="0.2">
      <c r="A215" s="1" t="s">
        <v>52</v>
      </c>
      <c r="B215" s="44" t="s">
        <v>488</v>
      </c>
      <c r="C215" s="44" t="s">
        <v>3552</v>
      </c>
      <c r="D215" s="44" t="s">
        <v>489</v>
      </c>
      <c r="E215" s="44" t="s">
        <v>120</v>
      </c>
      <c r="F215" s="44">
        <v>2021</v>
      </c>
      <c r="G215" s="44">
        <v>1</v>
      </c>
      <c r="H215" s="44">
        <v>23</v>
      </c>
      <c r="I215" s="44" t="str">
        <f>Tableau2[[#This Row],[Annee d''inscription au programme]]&amp;"-"&amp;Tableau2[[#This Row],[Code d''ecole]]&amp;"-"&amp;Tableau2[[#This Row],[Numero HM de la fille]]</f>
        <v>2021-1-23</v>
      </c>
      <c r="J215" s="45" t="s">
        <v>1473</v>
      </c>
      <c r="K215" s="44" t="s">
        <v>3505</v>
      </c>
      <c r="L215" s="35" t="s">
        <v>298</v>
      </c>
      <c r="M215" s="35">
        <v>9.5</v>
      </c>
      <c r="N215" s="35">
        <v>1.25</v>
      </c>
      <c r="O215" s="35">
        <f t="shared" si="6"/>
        <v>5.375</v>
      </c>
      <c r="P215" s="35">
        <v>11</v>
      </c>
      <c r="Q215" s="35">
        <v>5</v>
      </c>
      <c r="R215" s="35">
        <f t="shared" si="7"/>
        <v>8</v>
      </c>
      <c r="S215" s="35"/>
      <c r="T215" s="35"/>
      <c r="U215" s="35"/>
      <c r="V215" s="35" t="e">
        <f>AVERAGE(Tableau2[[#This Row],[1ère composition/10]:[3è composition]])</f>
        <v>#DIV/0!</v>
      </c>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f>COUNTIF(Tableau2[[#This Row],[Séance 1]:[Séance 38]],"A")</f>
        <v>0</v>
      </c>
      <c r="BJ215" s="35"/>
    </row>
    <row r="216" spans="1:62" hidden="1" x14ac:dyDescent="0.2">
      <c r="A216" s="1" t="s">
        <v>52</v>
      </c>
      <c r="B216" s="44" t="s">
        <v>490</v>
      </c>
      <c r="C216" s="44" t="s">
        <v>3552</v>
      </c>
      <c r="D216" s="44" t="s">
        <v>491</v>
      </c>
      <c r="E216" s="44" t="s">
        <v>120</v>
      </c>
      <c r="F216" s="44">
        <v>2021</v>
      </c>
      <c r="G216" s="44">
        <v>1</v>
      </c>
      <c r="H216" s="44">
        <v>24</v>
      </c>
      <c r="I216" s="44" t="str">
        <f>Tableau2[[#This Row],[Annee d''inscription au programme]]&amp;"-"&amp;Tableau2[[#This Row],[Code d''ecole]]&amp;"-"&amp;Tableau2[[#This Row],[Numero HM de la fille]]</f>
        <v>2021-1-24</v>
      </c>
      <c r="J216" s="45" t="s">
        <v>1474</v>
      </c>
      <c r="K216" s="44" t="s">
        <v>3505</v>
      </c>
      <c r="L216" s="35" t="s">
        <v>298</v>
      </c>
      <c r="M216" s="35">
        <v>1</v>
      </c>
      <c r="N216" s="35">
        <v>0.75</v>
      </c>
      <c r="O216" s="35">
        <f t="shared" si="6"/>
        <v>0.875</v>
      </c>
      <c r="P216" s="35">
        <v>10</v>
      </c>
      <c r="Q216" s="35">
        <v>3.5</v>
      </c>
      <c r="R216" s="35">
        <f t="shared" si="7"/>
        <v>6.75</v>
      </c>
      <c r="S216" s="35"/>
      <c r="T216" s="35"/>
      <c r="U216" s="35"/>
      <c r="V216" s="35" t="e">
        <f>AVERAGE(Tableau2[[#This Row],[1ère composition/10]:[3è composition]])</f>
        <v>#DIV/0!</v>
      </c>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f>COUNTIF(Tableau2[[#This Row],[Séance 1]:[Séance 38]],"A")</f>
        <v>0</v>
      </c>
      <c r="BJ216" s="35"/>
    </row>
    <row r="217" spans="1:62" hidden="1" x14ac:dyDescent="0.2">
      <c r="A217" s="1" t="s">
        <v>52</v>
      </c>
      <c r="B217" s="44" t="s">
        <v>3896</v>
      </c>
      <c r="C217" s="44" t="s">
        <v>3552</v>
      </c>
      <c r="D217" s="44" t="s">
        <v>3897</v>
      </c>
      <c r="E217" s="44" t="s">
        <v>120</v>
      </c>
      <c r="F217" s="44">
        <v>2021</v>
      </c>
      <c r="G217" s="44">
        <v>1</v>
      </c>
      <c r="H217" s="44">
        <v>25</v>
      </c>
      <c r="I217" s="44" t="str">
        <f>Tableau2[[#This Row],[Annee d''inscription au programme]]&amp;"-"&amp;Tableau2[[#This Row],[Code d''ecole]]&amp;"-"&amp;Tableau2[[#This Row],[Numero HM de la fille]]</f>
        <v>2021-1-25</v>
      </c>
      <c r="J217" s="45" t="s">
        <v>1475</v>
      </c>
      <c r="K217" s="44" t="s">
        <v>3505</v>
      </c>
      <c r="L217" s="35" t="s">
        <v>298</v>
      </c>
      <c r="M217" s="35">
        <v>9.5</v>
      </c>
      <c r="N217" s="35">
        <v>1.5</v>
      </c>
      <c r="O217" s="35">
        <f t="shared" si="6"/>
        <v>5.5</v>
      </c>
      <c r="P217" s="35">
        <v>9.5</v>
      </c>
      <c r="Q217" s="35">
        <v>5.75</v>
      </c>
      <c r="R217" s="35">
        <f t="shared" si="7"/>
        <v>7.625</v>
      </c>
      <c r="S217" s="35"/>
      <c r="T217" s="35"/>
      <c r="U217" s="35"/>
      <c r="V217" s="35" t="e">
        <f>AVERAGE(Tableau2[[#This Row],[1ère composition/10]:[3è composition]])</f>
        <v>#DIV/0!</v>
      </c>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f>COUNTIF(Tableau2[[#This Row],[Séance 1]:[Séance 38]],"A")</f>
        <v>0</v>
      </c>
      <c r="BJ217" s="35"/>
    </row>
    <row r="218" spans="1:62" hidden="1" x14ac:dyDescent="0.2">
      <c r="A218" s="1" t="s">
        <v>52</v>
      </c>
      <c r="B218" s="44" t="s">
        <v>492</v>
      </c>
      <c r="C218" s="44" t="s">
        <v>3552</v>
      </c>
      <c r="D218" s="44" t="s">
        <v>493</v>
      </c>
      <c r="E218" s="44" t="s">
        <v>120</v>
      </c>
      <c r="F218" s="44">
        <v>2020</v>
      </c>
      <c r="G218" s="44">
        <v>1</v>
      </c>
      <c r="H218" s="44">
        <v>246</v>
      </c>
      <c r="I218" s="44" t="str">
        <f>Tableau2[[#This Row],[Annee d''inscription au programme]]&amp;"-"&amp;Tableau2[[#This Row],[Code d''ecole]]&amp;"-"&amp;Tableau2[[#This Row],[Numero HM de la fille]]</f>
        <v>2020-1-246</v>
      </c>
      <c r="J218" s="45" t="s">
        <v>1476</v>
      </c>
      <c r="K218" s="44" t="s">
        <v>374</v>
      </c>
      <c r="L218" s="35" t="s">
        <v>620</v>
      </c>
      <c r="M218" s="35">
        <v>5</v>
      </c>
      <c r="N218" s="35">
        <v>2</v>
      </c>
      <c r="O218" s="35">
        <f t="shared" si="6"/>
        <v>3.5</v>
      </c>
      <c r="P218" s="35">
        <v>10</v>
      </c>
      <c r="Q218" s="35">
        <v>8.5</v>
      </c>
      <c r="R218" s="35">
        <f t="shared" si="7"/>
        <v>9.25</v>
      </c>
      <c r="S218" s="35"/>
      <c r="T218" s="35"/>
      <c r="U218" s="35"/>
      <c r="V218" s="35" t="e">
        <f>AVERAGE(Tableau2[[#This Row],[1ère composition/10]:[3è composition]])</f>
        <v>#DIV/0!</v>
      </c>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f>COUNTIF(Tableau2[[#This Row],[Séance 1]:[Séance 38]],"A")</f>
        <v>0</v>
      </c>
      <c r="BJ218" s="35"/>
    </row>
    <row r="219" spans="1:62" hidden="1" x14ac:dyDescent="0.2">
      <c r="A219" s="1" t="s">
        <v>52</v>
      </c>
      <c r="B219" s="44" t="s">
        <v>495</v>
      </c>
      <c r="C219" s="44" t="s">
        <v>3552</v>
      </c>
      <c r="D219" s="44"/>
      <c r="E219" s="44" t="s">
        <v>120</v>
      </c>
      <c r="F219" s="44">
        <v>2021</v>
      </c>
      <c r="G219" s="44">
        <v>1</v>
      </c>
      <c r="H219" s="44">
        <v>26</v>
      </c>
      <c r="I219" s="44" t="str">
        <f>Tableau2[[#This Row],[Annee d''inscription au programme]]&amp;"-"&amp;Tableau2[[#This Row],[Code d''ecole]]&amp;"-"&amp;Tableau2[[#This Row],[Numero HM de la fille]]</f>
        <v>2021-1-26</v>
      </c>
      <c r="J219" s="45" t="s">
        <v>1477</v>
      </c>
      <c r="K219" s="44" t="s">
        <v>3505</v>
      </c>
      <c r="L219" s="35" t="s">
        <v>298</v>
      </c>
      <c r="M219" s="35">
        <v>0</v>
      </c>
      <c r="N219" s="35">
        <v>0</v>
      </c>
      <c r="O219" s="35">
        <f t="shared" si="6"/>
        <v>0</v>
      </c>
      <c r="P219" s="35"/>
      <c r="Q219" s="35"/>
      <c r="R219" s="35">
        <f t="shared" si="7"/>
        <v>0</v>
      </c>
      <c r="S219" s="35"/>
      <c r="T219" s="35"/>
      <c r="U219" s="35"/>
      <c r="V219" s="35" t="e">
        <f>AVERAGE(Tableau2[[#This Row],[1ère composition/10]:[3è composition]])</f>
        <v>#DIV/0!</v>
      </c>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f>COUNTIF(Tableau2[[#This Row],[Séance 1]:[Séance 38]],"A")</f>
        <v>0</v>
      </c>
      <c r="BJ219" s="35"/>
    </row>
    <row r="220" spans="1:62" hidden="1" x14ac:dyDescent="0.2">
      <c r="A220" s="1" t="s">
        <v>52</v>
      </c>
      <c r="B220" s="44" t="s">
        <v>496</v>
      </c>
      <c r="C220" s="44" t="s">
        <v>3552</v>
      </c>
      <c r="D220" s="44"/>
      <c r="E220" s="44" t="s">
        <v>120</v>
      </c>
      <c r="F220" s="44">
        <v>2021</v>
      </c>
      <c r="G220" s="44">
        <v>1</v>
      </c>
      <c r="H220" s="44">
        <v>27</v>
      </c>
      <c r="I220" s="44" t="str">
        <f>Tableau2[[#This Row],[Annee d''inscription au programme]]&amp;"-"&amp;Tableau2[[#This Row],[Code d''ecole]]&amp;"-"&amp;Tableau2[[#This Row],[Numero HM de la fille]]</f>
        <v>2021-1-27</v>
      </c>
      <c r="J220" s="45" t="s">
        <v>1478</v>
      </c>
      <c r="K220" s="44" t="s">
        <v>3505</v>
      </c>
      <c r="L220" s="35" t="s">
        <v>298</v>
      </c>
      <c r="M220" s="35">
        <v>0</v>
      </c>
      <c r="N220" s="50">
        <v>0</v>
      </c>
      <c r="O220" s="50">
        <f t="shared" si="6"/>
        <v>0</v>
      </c>
      <c r="P220" s="35">
        <v>12</v>
      </c>
      <c r="Q220" s="35">
        <v>4.5</v>
      </c>
      <c r="R220" s="35">
        <f t="shared" si="7"/>
        <v>8.25</v>
      </c>
      <c r="S220" s="35"/>
      <c r="T220" s="35"/>
      <c r="U220" s="35"/>
      <c r="V220" s="35" t="e">
        <f>AVERAGE(Tableau2[[#This Row],[1ère composition/10]:[3è composition]])</f>
        <v>#DIV/0!</v>
      </c>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f>COUNTIF(Tableau2[[#This Row],[Séance 1]:[Séance 38]],"A")</f>
        <v>0</v>
      </c>
      <c r="BJ220" s="35"/>
    </row>
    <row r="221" spans="1:62" hidden="1" x14ac:dyDescent="0.2">
      <c r="A221" s="1" t="s">
        <v>52</v>
      </c>
      <c r="B221" s="44" t="s">
        <v>497</v>
      </c>
      <c r="C221" s="44" t="s">
        <v>3552</v>
      </c>
      <c r="D221" s="44"/>
      <c r="E221" s="44" t="s">
        <v>120</v>
      </c>
      <c r="F221" s="44">
        <v>2021</v>
      </c>
      <c r="G221" s="44">
        <v>1</v>
      </c>
      <c r="H221" s="44">
        <v>28</v>
      </c>
      <c r="I221" s="44" t="str">
        <f>Tableau2[[#This Row],[Annee d''inscription au programme]]&amp;"-"&amp;Tableau2[[#This Row],[Code d''ecole]]&amp;"-"&amp;Tableau2[[#This Row],[Numero HM de la fille]]</f>
        <v>2021-1-28</v>
      </c>
      <c r="J221" s="45" t="s">
        <v>1479</v>
      </c>
      <c r="K221" s="44" t="s">
        <v>3505</v>
      </c>
      <c r="L221" s="35" t="s">
        <v>298</v>
      </c>
      <c r="M221" s="35">
        <v>15</v>
      </c>
      <c r="N221" s="35">
        <v>19.25</v>
      </c>
      <c r="O221" s="35">
        <f t="shared" si="6"/>
        <v>17.125</v>
      </c>
      <c r="P221" s="35">
        <v>19.5</v>
      </c>
      <c r="Q221" s="35">
        <v>19.75</v>
      </c>
      <c r="R221" s="35">
        <f t="shared" si="7"/>
        <v>19.625</v>
      </c>
      <c r="S221" s="35"/>
      <c r="T221" s="35"/>
      <c r="U221" s="35"/>
      <c r="V221" s="35" t="e">
        <f>AVERAGE(Tableau2[[#This Row],[1ère composition/10]:[3è composition]])</f>
        <v>#DIV/0!</v>
      </c>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f>COUNTIF(Tableau2[[#This Row],[Séance 1]:[Séance 38]],"A")</f>
        <v>0</v>
      </c>
      <c r="BJ221" s="35"/>
    </row>
    <row r="222" spans="1:62" hidden="1" x14ac:dyDescent="0.2">
      <c r="A222" s="1" t="s">
        <v>52</v>
      </c>
      <c r="B222" s="44" t="s">
        <v>498</v>
      </c>
      <c r="C222" s="44" t="s">
        <v>3552</v>
      </c>
      <c r="D222" s="44"/>
      <c r="E222" s="44" t="s">
        <v>120</v>
      </c>
      <c r="F222" s="44">
        <v>2021</v>
      </c>
      <c r="G222" s="44">
        <v>1</v>
      </c>
      <c r="H222" s="44">
        <v>29</v>
      </c>
      <c r="I222" s="44" t="str">
        <f>Tableau2[[#This Row],[Annee d''inscription au programme]]&amp;"-"&amp;Tableau2[[#This Row],[Code d''ecole]]&amp;"-"&amp;Tableau2[[#This Row],[Numero HM de la fille]]</f>
        <v>2021-1-29</v>
      </c>
      <c r="J222" s="45" t="s">
        <v>1480</v>
      </c>
      <c r="K222" s="44" t="s">
        <v>3505</v>
      </c>
      <c r="L222" s="35" t="s">
        <v>298</v>
      </c>
      <c r="M222" s="35">
        <v>0</v>
      </c>
      <c r="N222" s="35">
        <v>0</v>
      </c>
      <c r="O222" s="35">
        <f t="shared" si="6"/>
        <v>0</v>
      </c>
      <c r="P222" s="35">
        <v>13</v>
      </c>
      <c r="Q222" s="35">
        <v>13.5</v>
      </c>
      <c r="R222" s="35">
        <f t="shared" si="7"/>
        <v>13.25</v>
      </c>
      <c r="S222" s="35"/>
      <c r="T222" s="35"/>
      <c r="U222" s="35"/>
      <c r="V222" s="35" t="e">
        <f>AVERAGE(Tableau2[[#This Row],[1ère composition/10]:[3è composition]])</f>
        <v>#DIV/0!</v>
      </c>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f>COUNTIF(Tableau2[[#This Row],[Séance 1]:[Séance 38]],"A")</f>
        <v>0</v>
      </c>
      <c r="BJ222" s="35"/>
    </row>
    <row r="223" spans="1:62" hidden="1" x14ac:dyDescent="0.2">
      <c r="A223" s="1" t="s">
        <v>52</v>
      </c>
      <c r="B223" s="44" t="s">
        <v>499</v>
      </c>
      <c r="C223" s="44" t="s">
        <v>3552</v>
      </c>
      <c r="D223" s="44"/>
      <c r="E223" s="44" t="s">
        <v>120</v>
      </c>
      <c r="F223" s="44">
        <v>2019</v>
      </c>
      <c r="G223" s="44">
        <v>1</v>
      </c>
      <c r="H223" s="44">
        <v>409</v>
      </c>
      <c r="I223" s="44" t="str">
        <f>Tableau2[[#This Row],[Annee d''inscription au programme]]&amp;"-"&amp;Tableau2[[#This Row],[Code d''ecole]]&amp;"-"&amp;Tableau2[[#This Row],[Numero HM de la fille]]</f>
        <v>2019-1-409</v>
      </c>
      <c r="J223" s="45" t="s">
        <v>1481</v>
      </c>
      <c r="K223" s="44" t="s">
        <v>374</v>
      </c>
      <c r="L223" s="35" t="s">
        <v>620</v>
      </c>
      <c r="M223" s="35">
        <v>10</v>
      </c>
      <c r="N223" s="35">
        <v>16</v>
      </c>
      <c r="O223" s="35">
        <f t="shared" si="6"/>
        <v>13</v>
      </c>
      <c r="P223" s="35">
        <v>15</v>
      </c>
      <c r="Q223" s="35">
        <v>16</v>
      </c>
      <c r="R223" s="35">
        <f t="shared" si="7"/>
        <v>15.5</v>
      </c>
      <c r="S223" s="35"/>
      <c r="T223" s="35"/>
      <c r="U223" s="35"/>
      <c r="V223" s="35" t="e">
        <f>AVERAGE(Tableau2[[#This Row],[1ère composition/10]:[3è composition]])</f>
        <v>#DIV/0!</v>
      </c>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f>COUNTIF(Tableau2[[#This Row],[Séance 1]:[Séance 38]],"A")</f>
        <v>0</v>
      </c>
      <c r="BJ223" s="35"/>
    </row>
    <row r="224" spans="1:62" hidden="1" x14ac:dyDescent="0.2">
      <c r="A224" s="1" t="s">
        <v>500</v>
      </c>
      <c r="B224" s="44" t="s">
        <v>502</v>
      </c>
      <c r="C224" s="44" t="s">
        <v>3865</v>
      </c>
      <c r="D224" s="44" t="s">
        <v>501</v>
      </c>
      <c r="E224" s="44" t="s">
        <v>120</v>
      </c>
      <c r="F224" s="44">
        <v>2021</v>
      </c>
      <c r="G224" s="44">
        <v>3</v>
      </c>
      <c r="H224" s="44">
        <v>1</v>
      </c>
      <c r="I224" s="44" t="str">
        <f>Tableau2[[#This Row],[Annee d''inscription au programme]]&amp;"-"&amp;Tableau2[[#This Row],[Code d''ecole]]&amp;"-"&amp;Tableau2[[#This Row],[Numero HM de la fille]]</f>
        <v>2021-3-1</v>
      </c>
      <c r="J224" s="45" t="s">
        <v>1482</v>
      </c>
      <c r="K224" s="44" t="s">
        <v>3505</v>
      </c>
      <c r="L224" s="35" t="s">
        <v>298</v>
      </c>
      <c r="M224" s="35">
        <v>5</v>
      </c>
      <c r="N224" s="35">
        <v>20</v>
      </c>
      <c r="O224" s="35">
        <f t="shared" si="6"/>
        <v>12.5</v>
      </c>
      <c r="P224" s="35">
        <v>10</v>
      </c>
      <c r="Q224" s="35">
        <v>17</v>
      </c>
      <c r="R224" s="35">
        <f t="shared" si="7"/>
        <v>13.5</v>
      </c>
      <c r="S224" s="35"/>
      <c r="T224" s="35"/>
      <c r="U224" s="35"/>
      <c r="V224" s="35" t="e">
        <f>AVERAGE(Tableau2[[#This Row],[1ère composition/10]:[3è composition]])</f>
        <v>#DIV/0!</v>
      </c>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f>COUNTIF(Tableau2[[#This Row],[Séance 1]:[Séance 38]],"A")</f>
        <v>0</v>
      </c>
      <c r="BJ224" s="35"/>
    </row>
    <row r="225" spans="1:62" hidden="1" x14ac:dyDescent="0.2">
      <c r="A225" s="1" t="s">
        <v>500</v>
      </c>
      <c r="B225" s="44" t="s">
        <v>503</v>
      </c>
      <c r="C225" s="44" t="s">
        <v>3865</v>
      </c>
      <c r="D225" s="44" t="s">
        <v>504</v>
      </c>
      <c r="E225" s="44" t="s">
        <v>120</v>
      </c>
      <c r="F225" s="44">
        <v>2021</v>
      </c>
      <c r="G225" s="44">
        <v>3</v>
      </c>
      <c r="H225" s="44">
        <v>2</v>
      </c>
      <c r="I225" s="44" t="str">
        <f>Tableau2[[#This Row],[Annee d''inscription au programme]]&amp;"-"&amp;Tableau2[[#This Row],[Code d''ecole]]&amp;"-"&amp;Tableau2[[#This Row],[Numero HM de la fille]]</f>
        <v>2021-3-2</v>
      </c>
      <c r="J225" s="45" t="s">
        <v>1483</v>
      </c>
      <c r="K225" s="44" t="s">
        <v>3505</v>
      </c>
      <c r="L225" s="35" t="s">
        <v>298</v>
      </c>
      <c r="M225" s="35">
        <v>8.5</v>
      </c>
      <c r="N225" s="35">
        <v>5.5</v>
      </c>
      <c r="O225" s="35">
        <f t="shared" si="6"/>
        <v>7</v>
      </c>
      <c r="P225" s="35">
        <v>15</v>
      </c>
      <c r="Q225" s="35">
        <v>19</v>
      </c>
      <c r="R225" s="35">
        <f t="shared" si="7"/>
        <v>17</v>
      </c>
      <c r="S225" s="35"/>
      <c r="T225" s="35"/>
      <c r="U225" s="35"/>
      <c r="V225" s="35" t="e">
        <f>AVERAGE(Tableau2[[#This Row],[1ère composition/10]:[3è composition]])</f>
        <v>#DIV/0!</v>
      </c>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f>COUNTIF(Tableau2[[#This Row],[Séance 1]:[Séance 38]],"A")</f>
        <v>0</v>
      </c>
      <c r="BJ225" s="35"/>
    </row>
    <row r="226" spans="1:62" hidden="1" x14ac:dyDescent="0.2">
      <c r="A226" s="1" t="s">
        <v>500</v>
      </c>
      <c r="B226" s="44" t="s">
        <v>505</v>
      </c>
      <c r="C226" s="44" t="s">
        <v>3865</v>
      </c>
      <c r="D226" s="44" t="s">
        <v>248</v>
      </c>
      <c r="E226" s="44" t="s">
        <v>120</v>
      </c>
      <c r="F226" s="44">
        <v>2021</v>
      </c>
      <c r="G226" s="44">
        <v>3</v>
      </c>
      <c r="H226" s="44">
        <v>3</v>
      </c>
      <c r="I226" s="44" t="str">
        <f>Tableau2[[#This Row],[Annee d''inscription au programme]]&amp;"-"&amp;Tableau2[[#This Row],[Code d''ecole]]&amp;"-"&amp;Tableau2[[#This Row],[Numero HM de la fille]]</f>
        <v>2021-3-3</v>
      </c>
      <c r="J226" s="45" t="s">
        <v>1484</v>
      </c>
      <c r="K226" s="44" t="s">
        <v>3505</v>
      </c>
      <c r="L226" s="35" t="s">
        <v>298</v>
      </c>
      <c r="M226" s="35">
        <v>16.5</v>
      </c>
      <c r="N226" s="35">
        <v>18.5</v>
      </c>
      <c r="O226" s="35">
        <f t="shared" si="6"/>
        <v>17.5</v>
      </c>
      <c r="P226" s="35">
        <v>15.5</v>
      </c>
      <c r="Q226" s="35">
        <v>3</v>
      </c>
      <c r="R226" s="35">
        <f t="shared" si="7"/>
        <v>9.25</v>
      </c>
      <c r="S226" s="35"/>
      <c r="T226" s="35"/>
      <c r="U226" s="35"/>
      <c r="V226" s="35" t="e">
        <f>AVERAGE(Tableau2[[#This Row],[1ère composition/10]:[3è composition]])</f>
        <v>#DIV/0!</v>
      </c>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f>COUNTIF(Tableau2[[#This Row],[Séance 1]:[Séance 38]],"A")</f>
        <v>0</v>
      </c>
      <c r="BJ226" s="35"/>
    </row>
    <row r="227" spans="1:62" hidden="1" x14ac:dyDescent="0.2">
      <c r="A227" s="1" t="s">
        <v>500</v>
      </c>
      <c r="B227" s="44" t="s">
        <v>506</v>
      </c>
      <c r="C227" s="44" t="s">
        <v>3865</v>
      </c>
      <c r="D227" s="44" t="s">
        <v>507</v>
      </c>
      <c r="E227" s="44" t="s">
        <v>120</v>
      </c>
      <c r="F227" s="44">
        <v>2021</v>
      </c>
      <c r="G227" s="44">
        <v>3</v>
      </c>
      <c r="H227" s="44">
        <v>4</v>
      </c>
      <c r="I227" s="44" t="str">
        <f>Tableau2[[#This Row],[Annee d''inscription au programme]]&amp;"-"&amp;Tableau2[[#This Row],[Code d''ecole]]&amp;"-"&amp;Tableau2[[#This Row],[Numero HM de la fille]]</f>
        <v>2021-3-4</v>
      </c>
      <c r="J227" s="45" t="s">
        <v>1485</v>
      </c>
      <c r="K227" s="44" t="s">
        <v>3505</v>
      </c>
      <c r="L227" s="35" t="s">
        <v>298</v>
      </c>
      <c r="M227" s="35">
        <v>10</v>
      </c>
      <c r="N227" s="35">
        <v>8.5</v>
      </c>
      <c r="O227" s="35">
        <f t="shared" si="6"/>
        <v>9.25</v>
      </c>
      <c r="P227" s="35">
        <v>14</v>
      </c>
      <c r="Q227" s="35">
        <v>14</v>
      </c>
      <c r="R227" s="35">
        <f t="shared" si="7"/>
        <v>14</v>
      </c>
      <c r="S227" s="35"/>
      <c r="T227" s="35"/>
      <c r="U227" s="35"/>
      <c r="V227" s="35" t="e">
        <f>AVERAGE(Tableau2[[#This Row],[1ère composition/10]:[3è composition]])</f>
        <v>#DIV/0!</v>
      </c>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f>COUNTIF(Tableau2[[#This Row],[Séance 1]:[Séance 38]],"A")</f>
        <v>0</v>
      </c>
      <c r="BJ227" s="35"/>
    </row>
    <row r="228" spans="1:62" hidden="1" x14ac:dyDescent="0.2">
      <c r="A228" s="1" t="s">
        <v>500</v>
      </c>
      <c r="B228" s="44" t="s">
        <v>508</v>
      </c>
      <c r="C228" s="44" t="s">
        <v>3866</v>
      </c>
      <c r="D228" s="44" t="s">
        <v>509</v>
      </c>
      <c r="E228" s="44" t="s">
        <v>120</v>
      </c>
      <c r="F228" s="44">
        <v>2020</v>
      </c>
      <c r="G228" s="44">
        <v>3</v>
      </c>
      <c r="H228" s="44">
        <v>255</v>
      </c>
      <c r="I228" s="44" t="str">
        <f>Tableau2[[#This Row],[Annee d''inscription au programme]]&amp;"-"&amp;Tableau2[[#This Row],[Code d''ecole]]&amp;"-"&amp;Tableau2[[#This Row],[Numero HM de la fille]]</f>
        <v>2020-3-255</v>
      </c>
      <c r="J228" s="45" t="s">
        <v>1486</v>
      </c>
      <c r="K228" s="44" t="s">
        <v>374</v>
      </c>
      <c r="L228" s="35" t="s">
        <v>620</v>
      </c>
      <c r="M228" s="35">
        <v>8.5</v>
      </c>
      <c r="N228" s="35">
        <v>11</v>
      </c>
      <c r="O228" s="35">
        <f t="shared" si="6"/>
        <v>9.75</v>
      </c>
      <c r="P228" s="35">
        <v>13</v>
      </c>
      <c r="Q228" s="35">
        <v>19</v>
      </c>
      <c r="R228" s="35">
        <f t="shared" si="7"/>
        <v>16</v>
      </c>
      <c r="S228" s="35"/>
      <c r="T228" s="35"/>
      <c r="U228" s="35"/>
      <c r="V228" s="35" t="e">
        <f>AVERAGE(Tableau2[[#This Row],[1ère composition/10]:[3è composition]])</f>
        <v>#DIV/0!</v>
      </c>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f>COUNTIF(Tableau2[[#This Row],[Séance 1]:[Séance 38]],"A")</f>
        <v>0</v>
      </c>
      <c r="BJ228" s="35"/>
    </row>
    <row r="229" spans="1:62" hidden="1" x14ac:dyDescent="0.2">
      <c r="A229" s="1" t="s">
        <v>500</v>
      </c>
      <c r="B229" s="44" t="s">
        <v>510</v>
      </c>
      <c r="C229" s="44" t="s">
        <v>3866</v>
      </c>
      <c r="D229" s="44" t="s">
        <v>511</v>
      </c>
      <c r="E229" s="44" t="s">
        <v>120</v>
      </c>
      <c r="F229" s="44">
        <v>2020</v>
      </c>
      <c r="G229" s="44">
        <v>3</v>
      </c>
      <c r="H229" s="44">
        <v>258</v>
      </c>
      <c r="I229" s="44" t="str">
        <f>Tableau2[[#This Row],[Annee d''inscription au programme]]&amp;"-"&amp;Tableau2[[#This Row],[Code d''ecole]]&amp;"-"&amp;Tableau2[[#This Row],[Numero HM de la fille]]</f>
        <v>2020-3-258</v>
      </c>
      <c r="J229" s="45" t="s">
        <v>1487</v>
      </c>
      <c r="K229" s="44" t="s">
        <v>374</v>
      </c>
      <c r="L229" s="35" t="s">
        <v>620</v>
      </c>
      <c r="M229" s="35">
        <v>8</v>
      </c>
      <c r="N229" s="35">
        <v>18.5</v>
      </c>
      <c r="O229" s="35">
        <f t="shared" si="6"/>
        <v>13.25</v>
      </c>
      <c r="P229" s="35">
        <v>15.5</v>
      </c>
      <c r="Q229" s="35">
        <v>18</v>
      </c>
      <c r="R229" s="35">
        <f t="shared" si="7"/>
        <v>16.75</v>
      </c>
      <c r="S229" s="35"/>
      <c r="T229" s="35"/>
      <c r="U229" s="35"/>
      <c r="V229" s="35" t="e">
        <f>AVERAGE(Tableau2[[#This Row],[1ère composition/10]:[3è composition]])</f>
        <v>#DIV/0!</v>
      </c>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f>COUNTIF(Tableau2[[#This Row],[Séance 1]:[Séance 38]],"A")</f>
        <v>0</v>
      </c>
      <c r="BJ229" s="35"/>
    </row>
    <row r="230" spans="1:62" hidden="1" x14ac:dyDescent="0.2">
      <c r="A230" s="1" t="s">
        <v>500</v>
      </c>
      <c r="B230" s="44" t="s">
        <v>512</v>
      </c>
      <c r="C230" s="44" t="s">
        <v>3865</v>
      </c>
      <c r="D230" s="44" t="s">
        <v>267</v>
      </c>
      <c r="E230" s="44" t="s">
        <v>120</v>
      </c>
      <c r="F230" s="44">
        <v>2021</v>
      </c>
      <c r="G230" s="44">
        <v>3</v>
      </c>
      <c r="H230" s="44">
        <v>5</v>
      </c>
      <c r="I230" s="44" t="str">
        <f>Tableau2[[#This Row],[Annee d''inscription au programme]]&amp;"-"&amp;Tableau2[[#This Row],[Code d''ecole]]&amp;"-"&amp;Tableau2[[#This Row],[Numero HM de la fille]]</f>
        <v>2021-3-5</v>
      </c>
      <c r="J230" s="45" t="s">
        <v>1488</v>
      </c>
      <c r="K230" s="44" t="s">
        <v>3505</v>
      </c>
      <c r="L230" s="35" t="s">
        <v>298</v>
      </c>
      <c r="M230" s="35">
        <v>12</v>
      </c>
      <c r="N230" s="35">
        <v>7</v>
      </c>
      <c r="O230" s="35">
        <f t="shared" si="6"/>
        <v>9.5</v>
      </c>
      <c r="P230" s="35"/>
      <c r="Q230" s="35"/>
      <c r="R230" s="35">
        <f t="shared" si="7"/>
        <v>0</v>
      </c>
      <c r="S230" s="35"/>
      <c r="T230" s="35"/>
      <c r="U230" s="35"/>
      <c r="V230" s="35" t="e">
        <f>AVERAGE(Tableau2[[#This Row],[1ère composition/10]:[3è composition]])</f>
        <v>#DIV/0!</v>
      </c>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f>COUNTIF(Tableau2[[#This Row],[Séance 1]:[Séance 38]],"A")</f>
        <v>0</v>
      </c>
      <c r="BJ230" s="35"/>
    </row>
    <row r="231" spans="1:62" hidden="1" x14ac:dyDescent="0.2">
      <c r="A231" s="1" t="s">
        <v>500</v>
      </c>
      <c r="B231" s="44" t="s">
        <v>513</v>
      </c>
      <c r="C231" s="44" t="s">
        <v>3865</v>
      </c>
      <c r="D231" s="44" t="s">
        <v>514</v>
      </c>
      <c r="E231" s="44" t="s">
        <v>120</v>
      </c>
      <c r="F231" s="44">
        <v>2021</v>
      </c>
      <c r="G231" s="44">
        <v>3</v>
      </c>
      <c r="H231" s="44">
        <v>6</v>
      </c>
      <c r="I231" s="44" t="str">
        <f>Tableau2[[#This Row],[Annee d''inscription au programme]]&amp;"-"&amp;Tableau2[[#This Row],[Code d''ecole]]&amp;"-"&amp;Tableau2[[#This Row],[Numero HM de la fille]]</f>
        <v>2021-3-6</v>
      </c>
      <c r="J231" s="45" t="s">
        <v>1489</v>
      </c>
      <c r="K231" s="44" t="s">
        <v>3505</v>
      </c>
      <c r="L231" s="35" t="s">
        <v>298</v>
      </c>
      <c r="M231" s="35">
        <v>4</v>
      </c>
      <c r="N231" s="35">
        <v>11.5</v>
      </c>
      <c r="O231" s="35">
        <f t="shared" si="6"/>
        <v>7.75</v>
      </c>
      <c r="P231" s="35">
        <v>11</v>
      </c>
      <c r="Q231" s="35">
        <v>15</v>
      </c>
      <c r="R231" s="35">
        <f t="shared" si="7"/>
        <v>13</v>
      </c>
      <c r="S231" s="35"/>
      <c r="T231" s="35"/>
      <c r="U231" s="35"/>
      <c r="V231" s="35" t="e">
        <f>AVERAGE(Tableau2[[#This Row],[1ère composition/10]:[3è composition]])</f>
        <v>#DIV/0!</v>
      </c>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f>COUNTIF(Tableau2[[#This Row],[Séance 1]:[Séance 38]],"A")</f>
        <v>0</v>
      </c>
      <c r="BJ231" s="35"/>
    </row>
    <row r="232" spans="1:62" hidden="1" x14ac:dyDescent="0.2">
      <c r="A232" s="1" t="s">
        <v>500</v>
      </c>
      <c r="B232" s="44" t="s">
        <v>515</v>
      </c>
      <c r="C232" s="44" t="s">
        <v>3865</v>
      </c>
      <c r="D232" s="44" t="s">
        <v>248</v>
      </c>
      <c r="E232" s="44" t="s">
        <v>120</v>
      </c>
      <c r="F232" s="44">
        <v>2021</v>
      </c>
      <c r="G232" s="44">
        <v>3</v>
      </c>
      <c r="H232" s="44">
        <v>7</v>
      </c>
      <c r="I232" s="44" t="str">
        <f>Tableau2[[#This Row],[Annee d''inscription au programme]]&amp;"-"&amp;Tableau2[[#This Row],[Code d''ecole]]&amp;"-"&amp;Tableau2[[#This Row],[Numero HM de la fille]]</f>
        <v>2021-3-7</v>
      </c>
      <c r="J232" s="45" t="s">
        <v>1490</v>
      </c>
      <c r="K232" s="44" t="s">
        <v>3505</v>
      </c>
      <c r="L232" s="35" t="s">
        <v>298</v>
      </c>
      <c r="M232" s="35">
        <v>17</v>
      </c>
      <c r="N232" s="35">
        <v>16.5</v>
      </c>
      <c r="O232" s="35">
        <f t="shared" si="6"/>
        <v>16.75</v>
      </c>
      <c r="P232" s="35">
        <v>17</v>
      </c>
      <c r="Q232" s="35">
        <v>17</v>
      </c>
      <c r="R232" s="35">
        <f t="shared" si="7"/>
        <v>17</v>
      </c>
      <c r="S232" s="35"/>
      <c r="T232" s="35"/>
      <c r="U232" s="35"/>
      <c r="V232" s="35" t="e">
        <f>AVERAGE(Tableau2[[#This Row],[1ère composition/10]:[3è composition]])</f>
        <v>#DIV/0!</v>
      </c>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f>COUNTIF(Tableau2[[#This Row],[Séance 1]:[Séance 38]],"A")</f>
        <v>0</v>
      </c>
      <c r="BJ232" s="35"/>
    </row>
    <row r="233" spans="1:62" hidden="1" x14ac:dyDescent="0.2">
      <c r="A233" s="1" t="s">
        <v>500</v>
      </c>
      <c r="B233" s="44" t="s">
        <v>516</v>
      </c>
      <c r="C233" s="44" t="s">
        <v>3865</v>
      </c>
      <c r="D233" s="44" t="s">
        <v>262</v>
      </c>
      <c r="E233" s="44" t="s">
        <v>120</v>
      </c>
      <c r="F233" s="44">
        <v>2021</v>
      </c>
      <c r="G233" s="44">
        <v>3</v>
      </c>
      <c r="H233" s="44">
        <v>8</v>
      </c>
      <c r="I233" s="44" t="str">
        <f>Tableau2[[#This Row],[Annee d''inscription au programme]]&amp;"-"&amp;Tableau2[[#This Row],[Code d''ecole]]&amp;"-"&amp;Tableau2[[#This Row],[Numero HM de la fille]]</f>
        <v>2021-3-8</v>
      </c>
      <c r="J233" s="45" t="s">
        <v>1491</v>
      </c>
      <c r="K233" s="44" t="s">
        <v>3505</v>
      </c>
      <c r="L233" s="35" t="s">
        <v>298</v>
      </c>
      <c r="M233" s="35">
        <v>3.5</v>
      </c>
      <c r="N233" s="35">
        <v>7</v>
      </c>
      <c r="O233" s="35">
        <f t="shared" si="6"/>
        <v>5.25</v>
      </c>
      <c r="P233" s="35">
        <v>12.5</v>
      </c>
      <c r="Q233" s="35">
        <v>11.5</v>
      </c>
      <c r="R233" s="35">
        <f t="shared" si="7"/>
        <v>12</v>
      </c>
      <c r="S233" s="35"/>
      <c r="T233" s="35"/>
      <c r="U233" s="35"/>
      <c r="V233" s="35" t="e">
        <f>AVERAGE(Tableau2[[#This Row],[1ère composition/10]:[3è composition]])</f>
        <v>#DIV/0!</v>
      </c>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f>COUNTIF(Tableau2[[#This Row],[Séance 1]:[Séance 38]],"A")</f>
        <v>0</v>
      </c>
      <c r="BJ233" s="35"/>
    </row>
    <row r="234" spans="1:62" hidden="1" x14ac:dyDescent="0.2">
      <c r="A234" s="1" t="s">
        <v>500</v>
      </c>
      <c r="B234" s="44" t="s">
        <v>517</v>
      </c>
      <c r="C234" s="44" t="s">
        <v>3865</v>
      </c>
      <c r="D234" s="44" t="s">
        <v>518</v>
      </c>
      <c r="E234" s="44" t="s">
        <v>120</v>
      </c>
      <c r="F234" s="44">
        <v>2021</v>
      </c>
      <c r="G234" s="44">
        <v>3</v>
      </c>
      <c r="H234" s="44">
        <v>9</v>
      </c>
      <c r="I234" s="44" t="str">
        <f>Tableau2[[#This Row],[Annee d''inscription au programme]]&amp;"-"&amp;Tableau2[[#This Row],[Code d''ecole]]&amp;"-"&amp;Tableau2[[#This Row],[Numero HM de la fille]]</f>
        <v>2021-3-9</v>
      </c>
      <c r="J234" s="45" t="s">
        <v>1492</v>
      </c>
      <c r="K234" s="44" t="s">
        <v>3505</v>
      </c>
      <c r="L234" s="35" t="s">
        <v>298</v>
      </c>
      <c r="M234" s="35">
        <v>8</v>
      </c>
      <c r="N234" s="35">
        <v>9</v>
      </c>
      <c r="O234" s="35">
        <f t="shared" si="6"/>
        <v>8.5</v>
      </c>
      <c r="P234" s="35">
        <v>13.5</v>
      </c>
      <c r="Q234" s="35">
        <v>15</v>
      </c>
      <c r="R234" s="35">
        <f t="shared" si="7"/>
        <v>14.25</v>
      </c>
      <c r="S234" s="35"/>
      <c r="T234" s="35"/>
      <c r="U234" s="35"/>
      <c r="V234" s="35" t="e">
        <f>AVERAGE(Tableau2[[#This Row],[1ère composition/10]:[3è composition]])</f>
        <v>#DIV/0!</v>
      </c>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f>COUNTIF(Tableau2[[#This Row],[Séance 1]:[Séance 38]],"A")</f>
        <v>0</v>
      </c>
      <c r="BJ234" s="35"/>
    </row>
    <row r="235" spans="1:62" hidden="1" x14ac:dyDescent="0.2">
      <c r="A235" s="1" t="s">
        <v>500</v>
      </c>
      <c r="B235" s="44" t="s">
        <v>519</v>
      </c>
      <c r="C235" s="44" t="s">
        <v>3865</v>
      </c>
      <c r="D235" s="44" t="s">
        <v>520</v>
      </c>
      <c r="E235" s="44" t="s">
        <v>120</v>
      </c>
      <c r="F235" s="44">
        <v>2021</v>
      </c>
      <c r="G235" s="44">
        <v>3</v>
      </c>
      <c r="H235" s="44">
        <v>10</v>
      </c>
      <c r="I235" s="44" t="str">
        <f>Tableau2[[#This Row],[Annee d''inscription au programme]]&amp;"-"&amp;Tableau2[[#This Row],[Code d''ecole]]&amp;"-"&amp;Tableau2[[#This Row],[Numero HM de la fille]]</f>
        <v>2021-3-10</v>
      </c>
      <c r="J235" s="45" t="s">
        <v>1493</v>
      </c>
      <c r="K235" s="44" t="s">
        <v>3505</v>
      </c>
      <c r="L235" s="35" t="s">
        <v>298</v>
      </c>
      <c r="M235" s="35">
        <v>6</v>
      </c>
      <c r="N235" s="35">
        <v>3</v>
      </c>
      <c r="O235" s="35">
        <f t="shared" si="6"/>
        <v>4.5</v>
      </c>
      <c r="P235" s="35">
        <v>4</v>
      </c>
      <c r="Q235" s="35">
        <v>10</v>
      </c>
      <c r="R235" s="35">
        <f t="shared" si="7"/>
        <v>7</v>
      </c>
      <c r="S235" s="35"/>
      <c r="T235" s="35"/>
      <c r="U235" s="35"/>
      <c r="V235" s="35" t="e">
        <f>AVERAGE(Tableau2[[#This Row],[1ère composition/10]:[3è composition]])</f>
        <v>#DIV/0!</v>
      </c>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f>COUNTIF(Tableau2[[#This Row],[Séance 1]:[Séance 38]],"A")</f>
        <v>0</v>
      </c>
      <c r="BJ235" s="35"/>
    </row>
    <row r="236" spans="1:62" hidden="1" x14ac:dyDescent="0.2">
      <c r="A236" s="1" t="s">
        <v>500</v>
      </c>
      <c r="B236" s="44" t="s">
        <v>521</v>
      </c>
      <c r="C236" s="44" t="s">
        <v>3865</v>
      </c>
      <c r="D236" s="44" t="s">
        <v>522</v>
      </c>
      <c r="E236" s="44" t="s">
        <v>120</v>
      </c>
      <c r="F236" s="44">
        <v>2021</v>
      </c>
      <c r="G236" s="44">
        <v>3</v>
      </c>
      <c r="H236" s="44">
        <v>11</v>
      </c>
      <c r="I236" s="44" t="str">
        <f>Tableau2[[#This Row],[Annee d''inscription au programme]]&amp;"-"&amp;Tableau2[[#This Row],[Code d''ecole]]&amp;"-"&amp;Tableau2[[#This Row],[Numero HM de la fille]]</f>
        <v>2021-3-11</v>
      </c>
      <c r="J236" s="45" t="s">
        <v>1494</v>
      </c>
      <c r="K236" s="44" t="s">
        <v>3505</v>
      </c>
      <c r="L236" s="35" t="s">
        <v>298</v>
      </c>
      <c r="M236" s="35">
        <v>14</v>
      </c>
      <c r="N236" s="35">
        <v>7.5</v>
      </c>
      <c r="O236" s="35">
        <f t="shared" si="6"/>
        <v>10.75</v>
      </c>
      <c r="P236" s="35">
        <v>17.5</v>
      </c>
      <c r="Q236" s="35">
        <v>14</v>
      </c>
      <c r="R236" s="35">
        <f t="shared" si="7"/>
        <v>15.75</v>
      </c>
      <c r="S236" s="35"/>
      <c r="T236" s="35"/>
      <c r="U236" s="35"/>
      <c r="V236" s="35" t="e">
        <f>AVERAGE(Tableau2[[#This Row],[1ère composition/10]:[3è composition]])</f>
        <v>#DIV/0!</v>
      </c>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f>COUNTIF(Tableau2[[#This Row],[Séance 1]:[Séance 38]],"A")</f>
        <v>0</v>
      </c>
      <c r="BJ236" s="35"/>
    </row>
    <row r="237" spans="1:62" hidden="1" x14ac:dyDescent="0.2">
      <c r="A237" s="1" t="s">
        <v>500</v>
      </c>
      <c r="B237" s="44" t="s">
        <v>523</v>
      </c>
      <c r="C237" s="44" t="s">
        <v>3865</v>
      </c>
      <c r="D237" s="44" t="s">
        <v>524</v>
      </c>
      <c r="E237" s="44" t="s">
        <v>120</v>
      </c>
      <c r="F237" s="44">
        <v>2021</v>
      </c>
      <c r="G237" s="44">
        <v>3</v>
      </c>
      <c r="H237" s="44">
        <v>12</v>
      </c>
      <c r="I237" s="44" t="str">
        <f>Tableau2[[#This Row],[Annee d''inscription au programme]]&amp;"-"&amp;Tableau2[[#This Row],[Code d''ecole]]&amp;"-"&amp;Tableau2[[#This Row],[Numero HM de la fille]]</f>
        <v>2021-3-12</v>
      </c>
      <c r="J237" s="45" t="s">
        <v>1495</v>
      </c>
      <c r="K237" s="44" t="s">
        <v>3505</v>
      </c>
      <c r="L237" s="35" t="s">
        <v>298</v>
      </c>
      <c r="M237" s="35">
        <v>0.5</v>
      </c>
      <c r="N237" s="35">
        <v>6</v>
      </c>
      <c r="O237" s="35">
        <f t="shared" si="6"/>
        <v>3.25</v>
      </c>
      <c r="P237" s="35">
        <v>7</v>
      </c>
      <c r="Q237" s="35">
        <v>10</v>
      </c>
      <c r="R237" s="35">
        <f t="shared" si="7"/>
        <v>8.5</v>
      </c>
      <c r="S237" s="35"/>
      <c r="T237" s="35"/>
      <c r="U237" s="35"/>
      <c r="V237" s="35" t="e">
        <f>AVERAGE(Tableau2[[#This Row],[1ère composition/10]:[3è composition]])</f>
        <v>#DIV/0!</v>
      </c>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f>COUNTIF(Tableau2[[#This Row],[Séance 1]:[Séance 38]],"A")</f>
        <v>0</v>
      </c>
      <c r="BJ237" s="35"/>
    </row>
    <row r="238" spans="1:62" hidden="1" x14ac:dyDescent="0.2">
      <c r="A238" s="1" t="s">
        <v>500</v>
      </c>
      <c r="B238" s="44" t="s">
        <v>525</v>
      </c>
      <c r="C238" s="44" t="s">
        <v>3865</v>
      </c>
      <c r="D238" s="44" t="s">
        <v>526</v>
      </c>
      <c r="E238" s="44" t="s">
        <v>120</v>
      </c>
      <c r="F238" s="44">
        <v>2021</v>
      </c>
      <c r="G238" s="44">
        <v>3</v>
      </c>
      <c r="H238" s="44">
        <v>13</v>
      </c>
      <c r="I238" s="44" t="str">
        <f>Tableau2[[#This Row],[Annee d''inscription au programme]]&amp;"-"&amp;Tableau2[[#This Row],[Code d''ecole]]&amp;"-"&amp;Tableau2[[#This Row],[Numero HM de la fille]]</f>
        <v>2021-3-13</v>
      </c>
      <c r="J238" s="45" t="s">
        <v>1496</v>
      </c>
      <c r="K238" s="44" t="s">
        <v>3505</v>
      </c>
      <c r="L238" s="35" t="s">
        <v>298</v>
      </c>
      <c r="M238" s="35">
        <v>4.5</v>
      </c>
      <c r="N238" s="35">
        <v>4.5</v>
      </c>
      <c r="O238" s="35">
        <f t="shared" si="6"/>
        <v>4.5</v>
      </c>
      <c r="P238" s="35"/>
      <c r="Q238" s="35"/>
      <c r="R238" s="35">
        <f t="shared" si="7"/>
        <v>0</v>
      </c>
      <c r="S238" s="35"/>
      <c r="T238" s="35"/>
      <c r="U238" s="35"/>
      <c r="V238" s="35" t="e">
        <f>AVERAGE(Tableau2[[#This Row],[1ère composition/10]:[3è composition]])</f>
        <v>#DIV/0!</v>
      </c>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f>COUNTIF(Tableau2[[#This Row],[Séance 1]:[Séance 38]],"A")</f>
        <v>0</v>
      </c>
      <c r="BJ238" s="35"/>
    </row>
    <row r="239" spans="1:62" hidden="1" x14ac:dyDescent="0.2">
      <c r="A239" s="1" t="s">
        <v>500</v>
      </c>
      <c r="B239" s="44" t="s">
        <v>527</v>
      </c>
      <c r="C239" s="44" t="s">
        <v>3866</v>
      </c>
      <c r="D239" s="44" t="s">
        <v>528</v>
      </c>
      <c r="E239" s="44" t="s">
        <v>120</v>
      </c>
      <c r="F239" s="44">
        <v>2019</v>
      </c>
      <c r="G239" s="44">
        <v>3</v>
      </c>
      <c r="H239" s="44">
        <v>453</v>
      </c>
      <c r="I239" s="44" t="str">
        <f>Tableau2[[#This Row],[Annee d''inscription au programme]]&amp;"-"&amp;Tableau2[[#This Row],[Code d''ecole]]&amp;"-"&amp;Tableau2[[#This Row],[Numero HM de la fille]]</f>
        <v>2019-3-453</v>
      </c>
      <c r="J239" s="45" t="s">
        <v>1497</v>
      </c>
      <c r="K239" s="44" t="s">
        <v>374</v>
      </c>
      <c r="L239" s="35" t="s">
        <v>620</v>
      </c>
      <c r="M239" s="35">
        <v>0</v>
      </c>
      <c r="N239" s="35">
        <v>0</v>
      </c>
      <c r="O239" s="35">
        <f t="shared" si="6"/>
        <v>0</v>
      </c>
      <c r="P239" s="35">
        <v>13</v>
      </c>
      <c r="Q239" s="35">
        <v>8.5</v>
      </c>
      <c r="R239" s="35">
        <f t="shared" si="7"/>
        <v>10.75</v>
      </c>
      <c r="S239" s="35"/>
      <c r="T239" s="35"/>
      <c r="U239" s="35"/>
      <c r="V239" s="35" t="e">
        <f>AVERAGE(Tableau2[[#This Row],[1ère composition/10]:[3è composition]])</f>
        <v>#DIV/0!</v>
      </c>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f>COUNTIF(Tableau2[[#This Row],[Séance 1]:[Séance 38]],"A")</f>
        <v>0</v>
      </c>
      <c r="BJ239" s="35"/>
    </row>
    <row r="240" spans="1:62" hidden="1" x14ac:dyDescent="0.2">
      <c r="A240" s="1" t="s">
        <v>500</v>
      </c>
      <c r="B240" s="44" t="s">
        <v>529</v>
      </c>
      <c r="C240" s="44" t="s">
        <v>3865</v>
      </c>
      <c r="D240" s="44" t="s">
        <v>530</v>
      </c>
      <c r="E240" s="44" t="s">
        <v>120</v>
      </c>
      <c r="F240" s="44">
        <v>2021</v>
      </c>
      <c r="G240" s="44">
        <v>3</v>
      </c>
      <c r="H240" s="44">
        <v>14</v>
      </c>
      <c r="I240" s="44" t="str">
        <f>Tableau2[[#This Row],[Annee d''inscription au programme]]&amp;"-"&amp;Tableau2[[#This Row],[Code d''ecole]]&amp;"-"&amp;Tableau2[[#This Row],[Numero HM de la fille]]</f>
        <v>2021-3-14</v>
      </c>
      <c r="J240" s="45" t="s">
        <v>1498</v>
      </c>
      <c r="K240" s="44" t="s">
        <v>3505</v>
      </c>
      <c r="L240" s="35" t="s">
        <v>298</v>
      </c>
      <c r="M240" s="35">
        <v>11.5</v>
      </c>
      <c r="N240" s="35">
        <v>17.5</v>
      </c>
      <c r="O240" s="35">
        <f t="shared" si="6"/>
        <v>14.5</v>
      </c>
      <c r="P240" s="35">
        <v>15.5</v>
      </c>
      <c r="Q240" s="35">
        <v>14</v>
      </c>
      <c r="R240" s="35">
        <f t="shared" si="7"/>
        <v>14.75</v>
      </c>
      <c r="S240" s="35"/>
      <c r="T240" s="35"/>
      <c r="U240" s="35"/>
      <c r="V240" s="35" t="e">
        <f>AVERAGE(Tableau2[[#This Row],[1ère composition/10]:[3è composition]])</f>
        <v>#DIV/0!</v>
      </c>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f>COUNTIF(Tableau2[[#This Row],[Séance 1]:[Séance 38]],"A")</f>
        <v>0</v>
      </c>
      <c r="BJ240" s="35"/>
    </row>
    <row r="241" spans="1:62" hidden="1" x14ac:dyDescent="0.2">
      <c r="A241" s="1" t="s">
        <v>500</v>
      </c>
      <c r="B241" s="44" t="s">
        <v>531</v>
      </c>
      <c r="C241" s="44" t="s">
        <v>3865</v>
      </c>
      <c r="D241" s="44" t="s">
        <v>532</v>
      </c>
      <c r="E241" s="44" t="s">
        <v>120</v>
      </c>
      <c r="F241" s="44">
        <v>2021</v>
      </c>
      <c r="G241" s="44">
        <v>3</v>
      </c>
      <c r="H241" s="44">
        <v>15</v>
      </c>
      <c r="I241" s="44" t="str">
        <f>Tableau2[[#This Row],[Annee d''inscription au programme]]&amp;"-"&amp;Tableau2[[#This Row],[Code d''ecole]]&amp;"-"&amp;Tableau2[[#This Row],[Numero HM de la fille]]</f>
        <v>2021-3-15</v>
      </c>
      <c r="J241" s="45" t="s">
        <v>1499</v>
      </c>
      <c r="K241" s="44" t="s">
        <v>3505</v>
      </c>
      <c r="L241" s="35" t="s">
        <v>298</v>
      </c>
      <c r="M241" s="35">
        <v>11.5</v>
      </c>
      <c r="N241" s="35">
        <v>7.5</v>
      </c>
      <c r="O241" s="35">
        <f t="shared" si="6"/>
        <v>9.5</v>
      </c>
      <c r="P241" s="35"/>
      <c r="Q241" s="35"/>
      <c r="R241" s="35">
        <f t="shared" si="7"/>
        <v>0</v>
      </c>
      <c r="S241" s="35"/>
      <c r="T241" s="35"/>
      <c r="U241" s="35"/>
      <c r="V241" s="35" t="e">
        <f>AVERAGE(Tableau2[[#This Row],[1ère composition/10]:[3è composition]])</f>
        <v>#DIV/0!</v>
      </c>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f>COUNTIF(Tableau2[[#This Row],[Séance 1]:[Séance 38]],"A")</f>
        <v>0</v>
      </c>
      <c r="BJ241" s="35"/>
    </row>
    <row r="242" spans="1:62" hidden="1" x14ac:dyDescent="0.2">
      <c r="A242" s="1" t="s">
        <v>500</v>
      </c>
      <c r="B242" s="44" t="s">
        <v>533</v>
      </c>
      <c r="C242" s="44" t="s">
        <v>3865</v>
      </c>
      <c r="D242" s="44" t="s">
        <v>534</v>
      </c>
      <c r="E242" s="44" t="s">
        <v>120</v>
      </c>
      <c r="F242" s="44">
        <v>2021</v>
      </c>
      <c r="G242" s="44">
        <v>3</v>
      </c>
      <c r="H242" s="44">
        <v>16</v>
      </c>
      <c r="I242" s="44" t="str">
        <f>Tableau2[[#This Row],[Annee d''inscription au programme]]&amp;"-"&amp;Tableau2[[#This Row],[Code d''ecole]]&amp;"-"&amp;Tableau2[[#This Row],[Numero HM de la fille]]</f>
        <v>2021-3-16</v>
      </c>
      <c r="J242" s="45" t="s">
        <v>1500</v>
      </c>
      <c r="K242" s="44" t="s">
        <v>3505</v>
      </c>
      <c r="L242" s="35" t="s">
        <v>298</v>
      </c>
      <c r="M242" s="35">
        <v>11</v>
      </c>
      <c r="N242" s="35">
        <v>8.5</v>
      </c>
      <c r="O242" s="35">
        <f t="shared" si="6"/>
        <v>9.75</v>
      </c>
      <c r="P242" s="35">
        <v>12</v>
      </c>
      <c r="Q242" s="35">
        <v>13.5</v>
      </c>
      <c r="R242" s="35">
        <f t="shared" si="7"/>
        <v>12.75</v>
      </c>
      <c r="S242" s="35"/>
      <c r="T242" s="35"/>
      <c r="U242" s="35"/>
      <c r="V242" s="35" t="e">
        <f>AVERAGE(Tableau2[[#This Row],[1ère composition/10]:[3è composition]])</f>
        <v>#DIV/0!</v>
      </c>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f>COUNTIF(Tableau2[[#This Row],[Séance 1]:[Séance 38]],"A")</f>
        <v>0</v>
      </c>
      <c r="BJ242" s="35"/>
    </row>
    <row r="243" spans="1:62" hidden="1" x14ac:dyDescent="0.2">
      <c r="A243" s="1" t="s">
        <v>500</v>
      </c>
      <c r="B243" s="44" t="s">
        <v>535</v>
      </c>
      <c r="C243" s="44" t="s">
        <v>3865</v>
      </c>
      <c r="D243" s="44" t="s">
        <v>536</v>
      </c>
      <c r="E243" s="44" t="s">
        <v>120</v>
      </c>
      <c r="F243" s="44">
        <v>2021</v>
      </c>
      <c r="G243" s="44">
        <v>3</v>
      </c>
      <c r="H243" s="44">
        <v>17</v>
      </c>
      <c r="I243" s="44" t="str">
        <f>Tableau2[[#This Row],[Annee d''inscription au programme]]&amp;"-"&amp;Tableau2[[#This Row],[Code d''ecole]]&amp;"-"&amp;Tableau2[[#This Row],[Numero HM de la fille]]</f>
        <v>2021-3-17</v>
      </c>
      <c r="J243" s="45" t="s">
        <v>1501</v>
      </c>
      <c r="K243" s="44" t="s">
        <v>3505</v>
      </c>
      <c r="L243" s="35" t="s">
        <v>298</v>
      </c>
      <c r="M243" s="35">
        <v>12</v>
      </c>
      <c r="N243" s="35">
        <v>11.5</v>
      </c>
      <c r="O243" s="35">
        <f t="shared" si="6"/>
        <v>11.75</v>
      </c>
      <c r="P243" s="35">
        <v>15</v>
      </c>
      <c r="Q243" s="35">
        <v>15</v>
      </c>
      <c r="R243" s="35">
        <f t="shared" si="7"/>
        <v>15</v>
      </c>
      <c r="S243" s="35"/>
      <c r="T243" s="35"/>
      <c r="U243" s="35"/>
      <c r="V243" s="35" t="e">
        <f>AVERAGE(Tableau2[[#This Row],[1ère composition/10]:[3è composition]])</f>
        <v>#DIV/0!</v>
      </c>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f>COUNTIF(Tableau2[[#This Row],[Séance 1]:[Séance 38]],"A")</f>
        <v>0</v>
      </c>
      <c r="BJ243" s="35"/>
    </row>
    <row r="244" spans="1:62" hidden="1" x14ac:dyDescent="0.2">
      <c r="A244" s="1" t="s">
        <v>500</v>
      </c>
      <c r="B244" s="44" t="s">
        <v>537</v>
      </c>
      <c r="C244" s="44" t="s">
        <v>3865</v>
      </c>
      <c r="D244" s="44" t="s">
        <v>538</v>
      </c>
      <c r="E244" s="44" t="s">
        <v>120</v>
      </c>
      <c r="F244" s="44">
        <v>2021</v>
      </c>
      <c r="G244" s="44">
        <v>3</v>
      </c>
      <c r="H244" s="44">
        <v>18</v>
      </c>
      <c r="I244" s="44" t="str">
        <f>Tableau2[[#This Row],[Annee d''inscription au programme]]&amp;"-"&amp;Tableau2[[#This Row],[Code d''ecole]]&amp;"-"&amp;Tableau2[[#This Row],[Numero HM de la fille]]</f>
        <v>2021-3-18</v>
      </c>
      <c r="J244" s="45" t="s">
        <v>1502</v>
      </c>
      <c r="K244" s="44" t="s">
        <v>3505</v>
      </c>
      <c r="L244" s="35" t="s">
        <v>298</v>
      </c>
      <c r="M244" s="35">
        <v>3</v>
      </c>
      <c r="N244" s="35">
        <v>2.5</v>
      </c>
      <c r="O244" s="35">
        <f t="shared" si="6"/>
        <v>2.75</v>
      </c>
      <c r="P244" s="35">
        <v>10</v>
      </c>
      <c r="Q244" s="35">
        <v>19</v>
      </c>
      <c r="R244" s="35">
        <f t="shared" si="7"/>
        <v>14.5</v>
      </c>
      <c r="S244" s="35"/>
      <c r="T244" s="35"/>
      <c r="U244" s="35"/>
      <c r="V244" s="35" t="e">
        <f>AVERAGE(Tableau2[[#This Row],[1ère composition/10]:[3è composition]])</f>
        <v>#DIV/0!</v>
      </c>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f>COUNTIF(Tableau2[[#This Row],[Séance 1]:[Séance 38]],"A")</f>
        <v>0</v>
      </c>
      <c r="BJ244" s="35"/>
    </row>
    <row r="245" spans="1:62" hidden="1" x14ac:dyDescent="0.2">
      <c r="A245" s="1" t="s">
        <v>500</v>
      </c>
      <c r="B245" s="44" t="s">
        <v>539</v>
      </c>
      <c r="C245" s="44" t="s">
        <v>3866</v>
      </c>
      <c r="D245" s="44"/>
      <c r="E245" s="44" t="s">
        <v>120</v>
      </c>
      <c r="F245" s="44">
        <v>2020</v>
      </c>
      <c r="G245" s="44">
        <v>3</v>
      </c>
      <c r="H245" s="44">
        <v>257</v>
      </c>
      <c r="I245" s="44" t="str">
        <f>Tableau2[[#This Row],[Annee d''inscription au programme]]&amp;"-"&amp;Tableau2[[#This Row],[Code d''ecole]]&amp;"-"&amp;Tableau2[[#This Row],[Numero HM de la fille]]</f>
        <v>2020-3-257</v>
      </c>
      <c r="J245" s="45" t="s">
        <v>1503</v>
      </c>
      <c r="K245" s="44" t="s">
        <v>374</v>
      </c>
      <c r="L245" s="35" t="s">
        <v>620</v>
      </c>
      <c r="M245" s="35">
        <v>5</v>
      </c>
      <c r="N245" s="35">
        <v>6.5</v>
      </c>
      <c r="O245" s="35">
        <f t="shared" si="6"/>
        <v>5.75</v>
      </c>
      <c r="P245" s="35"/>
      <c r="Q245" s="35"/>
      <c r="R245" s="35">
        <f t="shared" si="7"/>
        <v>0</v>
      </c>
      <c r="S245" s="35"/>
      <c r="T245" s="35"/>
      <c r="U245" s="35"/>
      <c r="V245" s="35" t="e">
        <f>AVERAGE(Tableau2[[#This Row],[1ère composition/10]:[3è composition]])</f>
        <v>#DIV/0!</v>
      </c>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f>COUNTIF(Tableau2[[#This Row],[Séance 1]:[Séance 38]],"A")</f>
        <v>0</v>
      </c>
      <c r="BJ245" s="35"/>
    </row>
    <row r="246" spans="1:62" hidden="1" x14ac:dyDescent="0.2">
      <c r="A246" s="1" t="s">
        <v>500</v>
      </c>
      <c r="B246" s="44" t="s">
        <v>540</v>
      </c>
      <c r="C246" s="44" t="s">
        <v>3865</v>
      </c>
      <c r="D246" s="44"/>
      <c r="E246" s="44" t="s">
        <v>120</v>
      </c>
      <c r="F246" s="44">
        <v>2021</v>
      </c>
      <c r="G246" s="44">
        <v>3</v>
      </c>
      <c r="H246" s="44">
        <v>19</v>
      </c>
      <c r="I246" s="44" t="str">
        <f>Tableau2[[#This Row],[Annee d''inscription au programme]]&amp;"-"&amp;Tableau2[[#This Row],[Code d''ecole]]&amp;"-"&amp;Tableau2[[#This Row],[Numero HM de la fille]]</f>
        <v>2021-3-19</v>
      </c>
      <c r="J246" s="45" t="s">
        <v>1504</v>
      </c>
      <c r="K246" s="44" t="s">
        <v>3505</v>
      </c>
      <c r="L246" s="35" t="s">
        <v>298</v>
      </c>
      <c r="M246" s="35">
        <v>0</v>
      </c>
      <c r="N246" s="35">
        <v>0</v>
      </c>
      <c r="O246" s="35">
        <f t="shared" si="6"/>
        <v>0</v>
      </c>
      <c r="P246" s="35"/>
      <c r="Q246" s="35"/>
      <c r="R246" s="35">
        <f t="shared" si="7"/>
        <v>0</v>
      </c>
      <c r="S246" s="35"/>
      <c r="T246" s="35"/>
      <c r="U246" s="35"/>
      <c r="V246" s="35" t="e">
        <f>AVERAGE(Tableau2[[#This Row],[1ère composition/10]:[3è composition]])</f>
        <v>#DIV/0!</v>
      </c>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f>COUNTIF(Tableau2[[#This Row],[Séance 1]:[Séance 38]],"A")</f>
        <v>0</v>
      </c>
      <c r="BJ246" s="35"/>
    </row>
    <row r="247" spans="1:62" hidden="1" x14ac:dyDescent="0.2">
      <c r="A247" s="44" t="s">
        <v>541</v>
      </c>
      <c r="B247" s="44" t="s">
        <v>542</v>
      </c>
      <c r="C247" s="44" t="s">
        <v>543</v>
      </c>
      <c r="D247" s="44" t="s">
        <v>544</v>
      </c>
      <c r="E247" s="44" t="s">
        <v>120</v>
      </c>
      <c r="F247" s="44">
        <v>2021</v>
      </c>
      <c r="G247" s="44">
        <v>13</v>
      </c>
      <c r="H247" s="44">
        <v>1</v>
      </c>
      <c r="I247" s="44" t="str">
        <f>Tableau2[[#This Row],[Annee d''inscription au programme]]&amp;"-"&amp;Tableau2[[#This Row],[Code d''ecole]]&amp;"-"&amp;Tableau2[[#This Row],[Numero HM de la fille]]</f>
        <v>2021-13-1</v>
      </c>
      <c r="J247" s="45" t="s">
        <v>1505</v>
      </c>
      <c r="K247" s="44" t="s">
        <v>3505</v>
      </c>
      <c r="L247" s="35" t="s">
        <v>298</v>
      </c>
      <c r="M247" s="35">
        <v>11</v>
      </c>
      <c r="N247" s="35">
        <v>6.5</v>
      </c>
      <c r="O247" s="35">
        <f t="shared" si="6"/>
        <v>8.75</v>
      </c>
      <c r="P247" s="35">
        <v>11</v>
      </c>
      <c r="Q247" s="35">
        <v>6.25</v>
      </c>
      <c r="R247" s="35">
        <f t="shared" si="7"/>
        <v>8.625</v>
      </c>
      <c r="S247" s="35"/>
      <c r="T247" s="35"/>
      <c r="U247" s="35"/>
      <c r="V247" s="35" t="e">
        <f>AVERAGE(Tableau2[[#This Row],[1ère composition/10]:[3è composition]])</f>
        <v>#DIV/0!</v>
      </c>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f>COUNTIF(Tableau2[[#This Row],[Séance 1]:[Séance 38]],"A")</f>
        <v>0</v>
      </c>
      <c r="BJ247" s="35"/>
    </row>
    <row r="248" spans="1:62" hidden="1" x14ac:dyDescent="0.2">
      <c r="A248" s="44" t="s">
        <v>541</v>
      </c>
      <c r="B248" s="44" t="s">
        <v>545</v>
      </c>
      <c r="C248" s="44" t="s">
        <v>546</v>
      </c>
      <c r="D248" s="44" t="s">
        <v>547</v>
      </c>
      <c r="E248" s="44" t="s">
        <v>120</v>
      </c>
      <c r="F248" s="44">
        <v>2020</v>
      </c>
      <c r="G248" s="44">
        <v>13</v>
      </c>
      <c r="H248" s="44">
        <v>80</v>
      </c>
      <c r="I248" s="44" t="str">
        <f>Tableau2[[#This Row],[Annee d''inscription au programme]]&amp;"-"&amp;Tableau2[[#This Row],[Code d''ecole]]&amp;"-"&amp;Tableau2[[#This Row],[Numero HM de la fille]]</f>
        <v>2020-13-80</v>
      </c>
      <c r="J248" s="45" t="s">
        <v>1506</v>
      </c>
      <c r="K248" s="44" t="s">
        <v>374</v>
      </c>
      <c r="L248" s="35" t="s">
        <v>620</v>
      </c>
      <c r="M248" s="35">
        <v>12.5</v>
      </c>
      <c r="N248" s="35">
        <v>5.5</v>
      </c>
      <c r="O248" s="35">
        <f t="shared" si="6"/>
        <v>9</v>
      </c>
      <c r="P248" s="35">
        <v>16</v>
      </c>
      <c r="Q248" s="35">
        <v>16</v>
      </c>
      <c r="R248" s="35">
        <f t="shared" si="7"/>
        <v>16</v>
      </c>
      <c r="S248" s="35"/>
      <c r="T248" s="35"/>
      <c r="U248" s="35"/>
      <c r="V248" s="35" t="e">
        <f>AVERAGE(Tableau2[[#This Row],[1ère composition/10]:[3è composition]])</f>
        <v>#DIV/0!</v>
      </c>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f>COUNTIF(Tableau2[[#This Row],[Séance 1]:[Séance 38]],"A")</f>
        <v>0</v>
      </c>
      <c r="BJ248" s="35"/>
    </row>
    <row r="249" spans="1:62" hidden="1" x14ac:dyDescent="0.2">
      <c r="A249" s="44" t="s">
        <v>541</v>
      </c>
      <c r="B249" s="44" t="s">
        <v>548</v>
      </c>
      <c r="C249" s="44" t="s">
        <v>543</v>
      </c>
      <c r="D249" s="44" t="s">
        <v>549</v>
      </c>
      <c r="E249" s="44" t="s">
        <v>120</v>
      </c>
      <c r="F249" s="44">
        <v>2021</v>
      </c>
      <c r="G249" s="44">
        <v>13</v>
      </c>
      <c r="H249" s="44">
        <v>2</v>
      </c>
      <c r="I249" s="44" t="str">
        <f>Tableau2[[#This Row],[Annee d''inscription au programme]]&amp;"-"&amp;Tableau2[[#This Row],[Code d''ecole]]&amp;"-"&amp;Tableau2[[#This Row],[Numero HM de la fille]]</f>
        <v>2021-13-2</v>
      </c>
      <c r="J249" s="45" t="s">
        <v>1507</v>
      </c>
      <c r="K249" s="44" t="s">
        <v>3505</v>
      </c>
      <c r="L249" s="35" t="s">
        <v>298</v>
      </c>
      <c r="M249" s="35">
        <v>1</v>
      </c>
      <c r="N249" s="35">
        <v>1.5</v>
      </c>
      <c r="O249" s="35">
        <f t="shared" si="6"/>
        <v>1.25</v>
      </c>
      <c r="P249" s="35">
        <v>5.5</v>
      </c>
      <c r="Q249" s="35">
        <v>3</v>
      </c>
      <c r="R249" s="35">
        <f t="shared" si="7"/>
        <v>4.25</v>
      </c>
      <c r="S249" s="35"/>
      <c r="T249" s="35"/>
      <c r="U249" s="35"/>
      <c r="V249" s="35" t="e">
        <f>AVERAGE(Tableau2[[#This Row],[1ère composition/10]:[3è composition]])</f>
        <v>#DIV/0!</v>
      </c>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f>COUNTIF(Tableau2[[#This Row],[Séance 1]:[Séance 38]],"A")</f>
        <v>0</v>
      </c>
      <c r="BJ249" s="35"/>
    </row>
    <row r="250" spans="1:62" hidden="1" x14ac:dyDescent="0.2">
      <c r="A250" s="44" t="s">
        <v>541</v>
      </c>
      <c r="B250" s="44" t="s">
        <v>550</v>
      </c>
      <c r="C250" s="44" t="s">
        <v>552</v>
      </c>
      <c r="D250" s="44" t="s">
        <v>551</v>
      </c>
      <c r="E250" s="44" t="s">
        <v>120</v>
      </c>
      <c r="F250" s="44">
        <v>2021</v>
      </c>
      <c r="G250" s="44">
        <v>13</v>
      </c>
      <c r="H250" s="44">
        <v>3</v>
      </c>
      <c r="I250" s="44" t="str">
        <f>Tableau2[[#This Row],[Annee d''inscription au programme]]&amp;"-"&amp;Tableau2[[#This Row],[Code d''ecole]]&amp;"-"&amp;Tableau2[[#This Row],[Numero HM de la fille]]</f>
        <v>2021-13-3</v>
      </c>
      <c r="J250" s="45" t="s">
        <v>1508</v>
      </c>
      <c r="K250" s="44" t="s">
        <v>3505</v>
      </c>
      <c r="L250" s="35" t="s">
        <v>298</v>
      </c>
      <c r="M250" s="35">
        <v>6.5</v>
      </c>
      <c r="N250" s="35">
        <v>4</v>
      </c>
      <c r="O250" s="35">
        <f t="shared" si="6"/>
        <v>5.25</v>
      </c>
      <c r="P250" s="35">
        <v>11</v>
      </c>
      <c r="Q250" s="35">
        <v>6</v>
      </c>
      <c r="R250" s="35">
        <f t="shared" si="7"/>
        <v>8.5</v>
      </c>
      <c r="S250" s="35"/>
      <c r="T250" s="35"/>
      <c r="U250" s="35"/>
      <c r="V250" s="35" t="e">
        <f>AVERAGE(Tableau2[[#This Row],[1ère composition/10]:[3è composition]])</f>
        <v>#DIV/0!</v>
      </c>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f>COUNTIF(Tableau2[[#This Row],[Séance 1]:[Séance 38]],"A")</f>
        <v>0</v>
      </c>
      <c r="BJ250" s="35"/>
    </row>
    <row r="251" spans="1:62" hidden="1" x14ac:dyDescent="0.2">
      <c r="A251" s="44" t="s">
        <v>541</v>
      </c>
      <c r="B251" s="44" t="s">
        <v>553</v>
      </c>
      <c r="C251" s="44" t="s">
        <v>543</v>
      </c>
      <c r="D251" s="44" t="s">
        <v>554</v>
      </c>
      <c r="E251" s="44" t="s">
        <v>120</v>
      </c>
      <c r="F251" s="44">
        <v>2021</v>
      </c>
      <c r="G251" s="44">
        <v>13</v>
      </c>
      <c r="H251" s="44">
        <v>4</v>
      </c>
      <c r="I251" s="44" t="str">
        <f>Tableau2[[#This Row],[Annee d''inscription au programme]]&amp;"-"&amp;Tableau2[[#This Row],[Code d''ecole]]&amp;"-"&amp;Tableau2[[#This Row],[Numero HM de la fille]]</f>
        <v>2021-13-4</v>
      </c>
      <c r="J251" s="45" t="s">
        <v>1509</v>
      </c>
      <c r="K251" s="44" t="s">
        <v>3505</v>
      </c>
      <c r="L251" s="35" t="s">
        <v>298</v>
      </c>
      <c r="M251" s="35">
        <v>6</v>
      </c>
      <c r="N251" s="35">
        <v>1</v>
      </c>
      <c r="O251" s="35">
        <f t="shared" si="6"/>
        <v>3.5</v>
      </c>
      <c r="P251" s="35">
        <v>9</v>
      </c>
      <c r="Q251" s="35">
        <v>2</v>
      </c>
      <c r="R251" s="35">
        <f t="shared" si="7"/>
        <v>5.5</v>
      </c>
      <c r="S251" s="35"/>
      <c r="T251" s="35"/>
      <c r="U251" s="35"/>
      <c r="V251" s="35" t="e">
        <f>AVERAGE(Tableau2[[#This Row],[1ère composition/10]:[3è composition]])</f>
        <v>#DIV/0!</v>
      </c>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f>COUNTIF(Tableau2[[#This Row],[Séance 1]:[Séance 38]],"A")</f>
        <v>0</v>
      </c>
      <c r="BJ251" s="35"/>
    </row>
    <row r="252" spans="1:62" hidden="1" x14ac:dyDescent="0.2">
      <c r="A252" s="44" t="s">
        <v>541</v>
      </c>
      <c r="B252" s="44" t="s">
        <v>555</v>
      </c>
      <c r="C252" s="44" t="s">
        <v>543</v>
      </c>
      <c r="D252" s="44" t="s">
        <v>556</v>
      </c>
      <c r="E252" s="44" t="s">
        <v>120</v>
      </c>
      <c r="F252" s="44">
        <v>2021</v>
      </c>
      <c r="G252" s="44">
        <v>13</v>
      </c>
      <c r="H252" s="44">
        <v>5</v>
      </c>
      <c r="I252" s="44" t="str">
        <f>Tableau2[[#This Row],[Annee d''inscription au programme]]&amp;"-"&amp;Tableau2[[#This Row],[Code d''ecole]]&amp;"-"&amp;Tableau2[[#This Row],[Numero HM de la fille]]</f>
        <v>2021-13-5</v>
      </c>
      <c r="J252" s="45" t="s">
        <v>1510</v>
      </c>
      <c r="K252" s="44" t="s">
        <v>3505</v>
      </c>
      <c r="L252" s="35" t="s">
        <v>298</v>
      </c>
      <c r="M252" s="35">
        <v>11</v>
      </c>
      <c r="N252" s="35">
        <v>9</v>
      </c>
      <c r="O252" s="35">
        <f t="shared" si="6"/>
        <v>10</v>
      </c>
      <c r="P252" s="35">
        <v>13</v>
      </c>
      <c r="Q252" s="35">
        <v>18</v>
      </c>
      <c r="R252" s="35">
        <f t="shared" si="7"/>
        <v>15.5</v>
      </c>
      <c r="S252" s="35"/>
      <c r="T252" s="35"/>
      <c r="U252" s="35"/>
      <c r="V252" s="35" t="e">
        <f>AVERAGE(Tableau2[[#This Row],[1ère composition/10]:[3è composition]])</f>
        <v>#DIV/0!</v>
      </c>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f>COUNTIF(Tableau2[[#This Row],[Séance 1]:[Séance 38]],"A")</f>
        <v>0</v>
      </c>
      <c r="BJ252" s="35"/>
    </row>
    <row r="253" spans="1:62" hidden="1" x14ac:dyDescent="0.2">
      <c r="A253" s="44" t="s">
        <v>541</v>
      </c>
      <c r="B253" s="44" t="s">
        <v>557</v>
      </c>
      <c r="C253" s="44" t="s">
        <v>543</v>
      </c>
      <c r="D253" s="44" t="s">
        <v>558</v>
      </c>
      <c r="E253" s="44" t="s">
        <v>120</v>
      </c>
      <c r="F253" s="44">
        <v>2020</v>
      </c>
      <c r="G253" s="44">
        <v>13</v>
      </c>
      <c r="H253" s="44">
        <v>83</v>
      </c>
      <c r="I253" s="44" t="str">
        <f>Tableau2[[#This Row],[Annee d''inscription au programme]]&amp;"-"&amp;Tableau2[[#This Row],[Code d''ecole]]&amp;"-"&amp;Tableau2[[#This Row],[Numero HM de la fille]]</f>
        <v>2020-13-83</v>
      </c>
      <c r="J253" s="45" t="s">
        <v>1511</v>
      </c>
      <c r="K253" s="44" t="s">
        <v>374</v>
      </c>
      <c r="L253" s="35" t="s">
        <v>620</v>
      </c>
      <c r="M253" s="35">
        <v>8.5</v>
      </c>
      <c r="N253" s="35">
        <v>5.5</v>
      </c>
      <c r="O253" s="35">
        <f t="shared" si="6"/>
        <v>7</v>
      </c>
      <c r="P253" s="35">
        <v>13.5</v>
      </c>
      <c r="Q253" s="35">
        <v>6.75</v>
      </c>
      <c r="R253" s="35">
        <f t="shared" si="7"/>
        <v>10.125</v>
      </c>
      <c r="S253" s="35"/>
      <c r="T253" s="35"/>
      <c r="U253" s="35"/>
      <c r="V253" s="35" t="e">
        <f>AVERAGE(Tableau2[[#This Row],[1ère composition/10]:[3è composition]])</f>
        <v>#DIV/0!</v>
      </c>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f>COUNTIF(Tableau2[[#This Row],[Séance 1]:[Séance 38]],"A")</f>
        <v>0</v>
      </c>
      <c r="BJ253" s="35"/>
    </row>
    <row r="254" spans="1:62" hidden="1" x14ac:dyDescent="0.2">
      <c r="A254" s="44" t="s">
        <v>541</v>
      </c>
      <c r="B254" s="44" t="s">
        <v>559</v>
      </c>
      <c r="C254" s="44" t="s">
        <v>543</v>
      </c>
      <c r="D254" s="44" t="s">
        <v>404</v>
      </c>
      <c r="E254" s="44" t="s">
        <v>120</v>
      </c>
      <c r="F254" s="44">
        <v>2021</v>
      </c>
      <c r="G254" s="44">
        <v>13</v>
      </c>
      <c r="H254" s="44">
        <v>6</v>
      </c>
      <c r="I254" s="44" t="str">
        <f>Tableau2[[#This Row],[Annee d''inscription au programme]]&amp;"-"&amp;Tableau2[[#This Row],[Code d''ecole]]&amp;"-"&amp;Tableau2[[#This Row],[Numero HM de la fille]]</f>
        <v>2021-13-6</v>
      </c>
      <c r="J254" s="45" t="s">
        <v>1512</v>
      </c>
      <c r="K254" s="44" t="s">
        <v>3505</v>
      </c>
      <c r="L254" s="35" t="s">
        <v>298</v>
      </c>
      <c r="M254" s="35">
        <v>13</v>
      </c>
      <c r="N254" s="35">
        <v>5</v>
      </c>
      <c r="O254" s="35">
        <f t="shared" si="6"/>
        <v>9</v>
      </c>
      <c r="P254" s="35">
        <v>16</v>
      </c>
      <c r="Q254" s="35">
        <v>8</v>
      </c>
      <c r="R254" s="35">
        <f t="shared" si="7"/>
        <v>12</v>
      </c>
      <c r="S254" s="35"/>
      <c r="T254" s="35"/>
      <c r="U254" s="35"/>
      <c r="V254" s="35" t="e">
        <f>AVERAGE(Tableau2[[#This Row],[1ère composition/10]:[3è composition]])</f>
        <v>#DIV/0!</v>
      </c>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f>COUNTIF(Tableau2[[#This Row],[Séance 1]:[Séance 38]],"A")</f>
        <v>0</v>
      </c>
      <c r="BJ254" s="35"/>
    </row>
    <row r="255" spans="1:62" hidden="1" x14ac:dyDescent="0.2">
      <c r="A255" s="44" t="s">
        <v>541</v>
      </c>
      <c r="B255" s="44" t="s">
        <v>562</v>
      </c>
      <c r="C255" s="44" t="s">
        <v>543</v>
      </c>
      <c r="D255" s="44" t="s">
        <v>560</v>
      </c>
      <c r="E255" s="44" t="s">
        <v>120</v>
      </c>
      <c r="F255" s="44">
        <v>2020</v>
      </c>
      <c r="G255" s="44">
        <v>13</v>
      </c>
      <c r="H255" s="44">
        <v>85</v>
      </c>
      <c r="I255" s="44" t="str">
        <f>Tableau2[[#This Row],[Annee d''inscription au programme]]&amp;"-"&amp;Tableau2[[#This Row],[Code d''ecole]]&amp;"-"&amp;Tableau2[[#This Row],[Numero HM de la fille]]</f>
        <v>2020-13-85</v>
      </c>
      <c r="J255" s="45" t="s">
        <v>1513</v>
      </c>
      <c r="K255" s="44" t="s">
        <v>374</v>
      </c>
      <c r="L255" s="35" t="s">
        <v>620</v>
      </c>
      <c r="M255" s="35">
        <v>15.5</v>
      </c>
      <c r="N255" s="35">
        <v>6</v>
      </c>
      <c r="O255" s="35">
        <f t="shared" si="6"/>
        <v>10.75</v>
      </c>
      <c r="P255" s="35">
        <v>14</v>
      </c>
      <c r="Q255" s="35">
        <v>13.25</v>
      </c>
      <c r="R255" s="35">
        <f t="shared" si="7"/>
        <v>13.625</v>
      </c>
      <c r="S255" s="35"/>
      <c r="T255" s="35"/>
      <c r="U255" s="35"/>
      <c r="V255" s="35" t="e">
        <f>AVERAGE(Tableau2[[#This Row],[1ère composition/10]:[3è composition]])</f>
        <v>#DIV/0!</v>
      </c>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f>COUNTIF(Tableau2[[#This Row],[Séance 1]:[Séance 38]],"A")</f>
        <v>0</v>
      </c>
      <c r="BJ255" s="35"/>
    </row>
    <row r="256" spans="1:62" hidden="1" x14ac:dyDescent="0.2">
      <c r="A256" s="44" t="s">
        <v>541</v>
      </c>
      <c r="B256" s="44" t="s">
        <v>561</v>
      </c>
      <c r="C256" s="44" t="s">
        <v>546</v>
      </c>
      <c r="D256" s="44" t="s">
        <v>563</v>
      </c>
      <c r="E256" s="44" t="s">
        <v>120</v>
      </c>
      <c r="F256" s="44">
        <v>2020</v>
      </c>
      <c r="G256" s="44">
        <v>13</v>
      </c>
      <c r="H256" s="44">
        <v>86</v>
      </c>
      <c r="I256" s="44" t="str">
        <f>Tableau2[[#This Row],[Annee d''inscription au programme]]&amp;"-"&amp;Tableau2[[#This Row],[Code d''ecole]]&amp;"-"&amp;Tableau2[[#This Row],[Numero HM de la fille]]</f>
        <v>2020-13-86</v>
      </c>
      <c r="J256" s="45" t="s">
        <v>1514</v>
      </c>
      <c r="K256" s="44" t="s">
        <v>374</v>
      </c>
      <c r="L256" s="35" t="s">
        <v>620</v>
      </c>
      <c r="M256" s="35">
        <v>5</v>
      </c>
      <c r="N256" s="35">
        <v>1</v>
      </c>
      <c r="O256" s="35">
        <f t="shared" si="6"/>
        <v>3</v>
      </c>
      <c r="P256" s="35">
        <v>8</v>
      </c>
      <c r="Q256" s="35">
        <v>3.5</v>
      </c>
      <c r="R256" s="35">
        <f t="shared" si="7"/>
        <v>5.75</v>
      </c>
      <c r="S256" s="35"/>
      <c r="T256" s="35"/>
      <c r="U256" s="35"/>
      <c r="V256" s="35" t="e">
        <f>AVERAGE(Tableau2[[#This Row],[1ère composition/10]:[3è composition]])</f>
        <v>#DIV/0!</v>
      </c>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f>COUNTIF(Tableau2[[#This Row],[Séance 1]:[Séance 38]],"A")</f>
        <v>0</v>
      </c>
      <c r="BJ256" s="35"/>
    </row>
    <row r="257" spans="1:62" hidden="1" x14ac:dyDescent="0.2">
      <c r="A257" s="44" t="s">
        <v>541</v>
      </c>
      <c r="B257" s="44" t="s">
        <v>564</v>
      </c>
      <c r="C257" s="44" t="s">
        <v>552</v>
      </c>
      <c r="D257" s="44" t="s">
        <v>565</v>
      </c>
      <c r="E257" s="44" t="s">
        <v>120</v>
      </c>
      <c r="F257" s="44">
        <v>2021</v>
      </c>
      <c r="G257" s="44">
        <v>13</v>
      </c>
      <c r="H257" s="44">
        <v>7</v>
      </c>
      <c r="I257" s="44" t="str">
        <f>Tableau2[[#This Row],[Annee d''inscription au programme]]&amp;"-"&amp;Tableau2[[#This Row],[Code d''ecole]]&amp;"-"&amp;Tableau2[[#This Row],[Numero HM de la fille]]</f>
        <v>2021-13-7</v>
      </c>
      <c r="J257" s="45" t="s">
        <v>1515</v>
      </c>
      <c r="K257" s="44" t="s">
        <v>3505</v>
      </c>
      <c r="L257" s="35" t="s">
        <v>298</v>
      </c>
      <c r="M257" s="35">
        <v>0</v>
      </c>
      <c r="N257" s="35">
        <v>0</v>
      </c>
      <c r="O257" s="35">
        <f t="shared" si="6"/>
        <v>0</v>
      </c>
      <c r="P257" s="35">
        <v>14</v>
      </c>
      <c r="Q257" s="35">
        <v>8.75</v>
      </c>
      <c r="R257" s="35">
        <f t="shared" si="7"/>
        <v>11.375</v>
      </c>
      <c r="S257" s="35"/>
      <c r="T257" s="35"/>
      <c r="U257" s="35"/>
      <c r="V257" s="35" t="e">
        <f>AVERAGE(Tableau2[[#This Row],[1ère composition/10]:[3è composition]])</f>
        <v>#DIV/0!</v>
      </c>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f>COUNTIF(Tableau2[[#This Row],[Séance 1]:[Séance 38]],"A")</f>
        <v>0</v>
      </c>
      <c r="BJ257" s="35"/>
    </row>
    <row r="258" spans="1:62" hidden="1" x14ac:dyDescent="0.2">
      <c r="A258" s="44" t="s">
        <v>541</v>
      </c>
      <c r="B258" s="44" t="s">
        <v>566</v>
      </c>
      <c r="C258" s="44" t="s">
        <v>543</v>
      </c>
      <c r="D258" s="44" t="s">
        <v>567</v>
      </c>
      <c r="E258" s="44" t="s">
        <v>120</v>
      </c>
      <c r="F258" s="44">
        <v>2021</v>
      </c>
      <c r="G258" s="44">
        <v>13</v>
      </c>
      <c r="H258" s="44">
        <v>8</v>
      </c>
      <c r="I258" s="44" t="str">
        <f>Tableau2[[#This Row],[Annee d''inscription au programme]]&amp;"-"&amp;Tableau2[[#This Row],[Code d''ecole]]&amp;"-"&amp;Tableau2[[#This Row],[Numero HM de la fille]]</f>
        <v>2021-13-8</v>
      </c>
      <c r="J258" s="45" t="s">
        <v>1516</v>
      </c>
      <c r="K258" s="44" t="s">
        <v>3505</v>
      </c>
      <c r="L258" s="35" t="s">
        <v>298</v>
      </c>
      <c r="M258" s="35">
        <v>1.5</v>
      </c>
      <c r="N258" s="35">
        <v>2.5</v>
      </c>
      <c r="O258" s="35">
        <f t="shared" si="6"/>
        <v>2</v>
      </c>
      <c r="P258" s="35">
        <v>5</v>
      </c>
      <c r="Q258" s="35">
        <v>3</v>
      </c>
      <c r="R258" s="35">
        <f t="shared" si="7"/>
        <v>4</v>
      </c>
      <c r="S258" s="35"/>
      <c r="T258" s="35"/>
      <c r="U258" s="35"/>
      <c r="V258" s="35" t="e">
        <f>AVERAGE(Tableau2[[#This Row],[1ère composition/10]:[3è composition]])</f>
        <v>#DIV/0!</v>
      </c>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f>COUNTIF(Tableau2[[#This Row],[Séance 1]:[Séance 38]],"A")</f>
        <v>0</v>
      </c>
      <c r="BJ258" s="35"/>
    </row>
    <row r="259" spans="1:62" hidden="1" x14ac:dyDescent="0.2">
      <c r="A259" s="44" t="s">
        <v>541</v>
      </c>
      <c r="B259" s="44" t="s">
        <v>568</v>
      </c>
      <c r="C259" s="44" t="s">
        <v>543</v>
      </c>
      <c r="D259" s="44" t="s">
        <v>569</v>
      </c>
      <c r="E259" s="44" t="s">
        <v>120</v>
      </c>
      <c r="F259" s="44">
        <v>2021</v>
      </c>
      <c r="G259" s="44">
        <v>13</v>
      </c>
      <c r="H259" s="44">
        <v>9</v>
      </c>
      <c r="I259" s="44" t="str">
        <f>Tableau2[[#This Row],[Annee d''inscription au programme]]&amp;"-"&amp;Tableau2[[#This Row],[Code d''ecole]]&amp;"-"&amp;Tableau2[[#This Row],[Numero HM de la fille]]</f>
        <v>2021-13-9</v>
      </c>
      <c r="J259" s="45" t="s">
        <v>1517</v>
      </c>
      <c r="K259" s="44" t="s">
        <v>3505</v>
      </c>
      <c r="L259" s="35" t="s">
        <v>298</v>
      </c>
      <c r="M259" s="35">
        <v>4.5</v>
      </c>
      <c r="N259" s="35">
        <v>2</v>
      </c>
      <c r="O259" s="35">
        <f t="shared" si="6"/>
        <v>3.25</v>
      </c>
      <c r="P259" s="35">
        <v>7</v>
      </c>
      <c r="Q259" s="35">
        <v>2.5</v>
      </c>
      <c r="R259" s="35">
        <f t="shared" si="7"/>
        <v>4.75</v>
      </c>
      <c r="S259" s="35"/>
      <c r="T259" s="35"/>
      <c r="U259" s="35"/>
      <c r="V259" s="35" t="e">
        <f>AVERAGE(Tableau2[[#This Row],[1ère composition/10]:[3è composition]])</f>
        <v>#DIV/0!</v>
      </c>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f>COUNTIF(Tableau2[[#This Row],[Séance 1]:[Séance 38]],"A")</f>
        <v>0</v>
      </c>
      <c r="BJ259" s="35"/>
    </row>
    <row r="260" spans="1:62" hidden="1" x14ac:dyDescent="0.2">
      <c r="A260" s="44" t="s">
        <v>541</v>
      </c>
      <c r="B260" s="44" t="s">
        <v>570</v>
      </c>
      <c r="C260" s="44" t="s">
        <v>552</v>
      </c>
      <c r="D260" s="44" t="s">
        <v>551</v>
      </c>
      <c r="E260" s="44" t="s">
        <v>120</v>
      </c>
      <c r="F260" s="44">
        <v>2021</v>
      </c>
      <c r="G260" s="44">
        <v>13</v>
      </c>
      <c r="H260" s="44">
        <v>10</v>
      </c>
      <c r="I260" s="44" t="str">
        <f>Tableau2[[#This Row],[Annee d''inscription au programme]]&amp;"-"&amp;Tableau2[[#This Row],[Code d''ecole]]&amp;"-"&amp;Tableau2[[#This Row],[Numero HM de la fille]]</f>
        <v>2021-13-10</v>
      </c>
      <c r="J260" s="45" t="s">
        <v>1518</v>
      </c>
      <c r="K260" s="44" t="s">
        <v>3505</v>
      </c>
      <c r="L260" s="35" t="s">
        <v>298</v>
      </c>
      <c r="M260" s="35">
        <v>2</v>
      </c>
      <c r="N260" s="35">
        <v>0</v>
      </c>
      <c r="O260" s="35">
        <f t="shared" si="6"/>
        <v>1</v>
      </c>
      <c r="P260" s="35">
        <v>6.5</v>
      </c>
      <c r="Q260" s="35">
        <v>2</v>
      </c>
      <c r="R260" s="35">
        <f t="shared" si="7"/>
        <v>4.25</v>
      </c>
      <c r="S260" s="35"/>
      <c r="T260" s="35"/>
      <c r="U260" s="35"/>
      <c r="V260" s="35" t="e">
        <f>AVERAGE(Tableau2[[#This Row],[1ère composition/10]:[3è composition]])</f>
        <v>#DIV/0!</v>
      </c>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f>COUNTIF(Tableau2[[#This Row],[Séance 1]:[Séance 38]],"A")</f>
        <v>0</v>
      </c>
      <c r="BJ260" s="35"/>
    </row>
    <row r="261" spans="1:62" hidden="1" x14ac:dyDescent="0.2">
      <c r="A261" s="44" t="s">
        <v>541</v>
      </c>
      <c r="B261" s="44" t="s">
        <v>571</v>
      </c>
      <c r="C261" s="44" t="s">
        <v>543</v>
      </c>
      <c r="D261" s="44" t="s">
        <v>572</v>
      </c>
      <c r="E261" s="44" t="s">
        <v>120</v>
      </c>
      <c r="F261" s="44">
        <v>2021</v>
      </c>
      <c r="G261" s="44">
        <v>13</v>
      </c>
      <c r="H261" s="44">
        <v>11</v>
      </c>
      <c r="I261" s="44" t="str">
        <f>Tableau2[[#This Row],[Annee d''inscription au programme]]&amp;"-"&amp;Tableau2[[#This Row],[Code d''ecole]]&amp;"-"&amp;Tableau2[[#This Row],[Numero HM de la fille]]</f>
        <v>2021-13-11</v>
      </c>
      <c r="J261" s="45" t="s">
        <v>1519</v>
      </c>
      <c r="K261" s="44" t="s">
        <v>3505</v>
      </c>
      <c r="L261" s="35" t="s">
        <v>298</v>
      </c>
      <c r="M261" s="35">
        <v>5.5</v>
      </c>
      <c r="N261" s="35">
        <v>4.25</v>
      </c>
      <c r="O261" s="35">
        <f t="shared" ref="O261:O324" si="8">AVERAGE(M261+N261)/2</f>
        <v>4.875</v>
      </c>
      <c r="P261" s="35">
        <v>9.5</v>
      </c>
      <c r="Q261" s="35">
        <v>8.5</v>
      </c>
      <c r="R261" s="35">
        <f t="shared" ref="R261:R324" si="9">AVERAGE(P261+Q261)/2</f>
        <v>9</v>
      </c>
      <c r="S261" s="35"/>
      <c r="T261" s="35"/>
      <c r="U261" s="35"/>
      <c r="V261" s="35" t="e">
        <f>AVERAGE(Tableau2[[#This Row],[1ère composition/10]:[3è composition]])</f>
        <v>#DIV/0!</v>
      </c>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f>COUNTIF(Tableau2[[#This Row],[Séance 1]:[Séance 38]],"A")</f>
        <v>0</v>
      </c>
      <c r="BJ261" s="35"/>
    </row>
    <row r="262" spans="1:62" hidden="1" x14ac:dyDescent="0.2">
      <c r="A262" s="44" t="s">
        <v>541</v>
      </c>
      <c r="B262" s="44" t="s">
        <v>573</v>
      </c>
      <c r="C262" s="44" t="s">
        <v>543</v>
      </c>
      <c r="D262" s="44" t="s">
        <v>574</v>
      </c>
      <c r="E262" s="44" t="s">
        <v>120</v>
      </c>
      <c r="F262" s="44">
        <v>2021</v>
      </c>
      <c r="G262" s="44">
        <v>13</v>
      </c>
      <c r="H262" s="44">
        <v>12</v>
      </c>
      <c r="I262" s="44" t="str">
        <f>Tableau2[[#This Row],[Annee d''inscription au programme]]&amp;"-"&amp;Tableau2[[#This Row],[Code d''ecole]]&amp;"-"&amp;Tableau2[[#This Row],[Numero HM de la fille]]</f>
        <v>2021-13-12</v>
      </c>
      <c r="J262" s="45" t="s">
        <v>1520</v>
      </c>
      <c r="K262" s="44" t="s">
        <v>3505</v>
      </c>
      <c r="L262" s="35" t="s">
        <v>298</v>
      </c>
      <c r="M262" s="35">
        <v>16</v>
      </c>
      <c r="N262" s="35">
        <v>15.25</v>
      </c>
      <c r="O262" s="35">
        <f t="shared" si="8"/>
        <v>15.625</v>
      </c>
      <c r="P262" s="35">
        <v>15.5</v>
      </c>
      <c r="Q262" s="35">
        <v>18</v>
      </c>
      <c r="R262" s="35">
        <f t="shared" si="9"/>
        <v>16.75</v>
      </c>
      <c r="S262" s="35"/>
      <c r="T262" s="35"/>
      <c r="U262" s="35"/>
      <c r="V262" s="35" t="e">
        <f>AVERAGE(Tableau2[[#This Row],[1ère composition/10]:[3è composition]])</f>
        <v>#DIV/0!</v>
      </c>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f>COUNTIF(Tableau2[[#This Row],[Séance 1]:[Séance 38]],"A")</f>
        <v>0</v>
      </c>
      <c r="BJ262" s="35"/>
    </row>
    <row r="263" spans="1:62" hidden="1" x14ac:dyDescent="0.2">
      <c r="A263" s="44" t="s">
        <v>541</v>
      </c>
      <c r="B263" s="44" t="s">
        <v>575</v>
      </c>
      <c r="C263" s="44" t="s">
        <v>543</v>
      </c>
      <c r="D263" s="44" t="s">
        <v>576</v>
      </c>
      <c r="E263" s="44" t="s">
        <v>120</v>
      </c>
      <c r="F263" s="44">
        <v>2021</v>
      </c>
      <c r="G263" s="44">
        <v>13</v>
      </c>
      <c r="H263" s="44">
        <v>13</v>
      </c>
      <c r="I263" s="44" t="str">
        <f>Tableau2[[#This Row],[Annee d''inscription au programme]]&amp;"-"&amp;Tableau2[[#This Row],[Code d''ecole]]&amp;"-"&amp;Tableau2[[#This Row],[Numero HM de la fille]]</f>
        <v>2021-13-13</v>
      </c>
      <c r="J263" s="45" t="s">
        <v>1521</v>
      </c>
      <c r="K263" s="44" t="s">
        <v>3505</v>
      </c>
      <c r="L263" s="35" t="s">
        <v>298</v>
      </c>
      <c r="M263" s="35">
        <v>15.5</v>
      </c>
      <c r="N263" s="35">
        <v>13</v>
      </c>
      <c r="O263" s="35">
        <f t="shared" si="8"/>
        <v>14.25</v>
      </c>
      <c r="P263" s="35">
        <v>15</v>
      </c>
      <c r="Q263" s="35">
        <v>18.25</v>
      </c>
      <c r="R263" s="35">
        <f t="shared" si="9"/>
        <v>16.625</v>
      </c>
      <c r="S263" s="35"/>
      <c r="T263" s="35"/>
      <c r="U263" s="35"/>
      <c r="V263" s="35" t="e">
        <f>AVERAGE(Tableau2[[#This Row],[1ère composition/10]:[3è composition]])</f>
        <v>#DIV/0!</v>
      </c>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f>COUNTIF(Tableau2[[#This Row],[Séance 1]:[Séance 38]],"A")</f>
        <v>0</v>
      </c>
      <c r="BJ263" s="35"/>
    </row>
    <row r="264" spans="1:62" hidden="1" x14ac:dyDescent="0.2">
      <c r="A264" s="44" t="s">
        <v>541</v>
      </c>
      <c r="B264" s="44" t="s">
        <v>577</v>
      </c>
      <c r="C264" s="44" t="s">
        <v>552</v>
      </c>
      <c r="D264" s="44" t="s">
        <v>578</v>
      </c>
      <c r="E264" s="44" t="s">
        <v>120</v>
      </c>
      <c r="F264" s="44">
        <v>2021</v>
      </c>
      <c r="G264" s="44">
        <v>13</v>
      </c>
      <c r="H264" s="44">
        <v>14</v>
      </c>
      <c r="I264" s="44" t="str">
        <f>Tableau2[[#This Row],[Annee d''inscription au programme]]&amp;"-"&amp;Tableau2[[#This Row],[Code d''ecole]]&amp;"-"&amp;Tableau2[[#This Row],[Numero HM de la fille]]</f>
        <v>2021-13-14</v>
      </c>
      <c r="J264" s="45" t="s">
        <v>1522</v>
      </c>
      <c r="K264" s="44" t="s">
        <v>3505</v>
      </c>
      <c r="L264" s="35" t="s">
        <v>298</v>
      </c>
      <c r="M264" s="35">
        <v>14.5</v>
      </c>
      <c r="N264" s="35">
        <v>7.5</v>
      </c>
      <c r="O264" s="35">
        <f t="shared" si="8"/>
        <v>11</v>
      </c>
      <c r="P264" s="35">
        <v>15</v>
      </c>
      <c r="Q264" s="35">
        <v>15.25</v>
      </c>
      <c r="R264" s="35">
        <f t="shared" si="9"/>
        <v>15.125</v>
      </c>
      <c r="S264" s="35"/>
      <c r="T264" s="35"/>
      <c r="U264" s="35"/>
      <c r="V264" s="35" t="e">
        <f>AVERAGE(Tableau2[[#This Row],[1ère composition/10]:[3è composition]])</f>
        <v>#DIV/0!</v>
      </c>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f>COUNTIF(Tableau2[[#This Row],[Séance 1]:[Séance 38]],"A")</f>
        <v>0</v>
      </c>
      <c r="BJ264" s="35"/>
    </row>
    <row r="265" spans="1:62" hidden="1" x14ac:dyDescent="0.2">
      <c r="A265" s="44" t="s">
        <v>541</v>
      </c>
      <c r="B265" s="44" t="s">
        <v>579</v>
      </c>
      <c r="C265" s="44" t="s">
        <v>580</v>
      </c>
      <c r="D265" s="44" t="s">
        <v>581</v>
      </c>
      <c r="E265" s="44" t="s">
        <v>120</v>
      </c>
      <c r="F265" s="44">
        <v>2021</v>
      </c>
      <c r="G265" s="44">
        <v>13</v>
      </c>
      <c r="H265" s="44">
        <v>15</v>
      </c>
      <c r="I265" s="44" t="str">
        <f>Tableau2[[#This Row],[Annee d''inscription au programme]]&amp;"-"&amp;Tableau2[[#This Row],[Code d''ecole]]&amp;"-"&amp;Tableau2[[#This Row],[Numero HM de la fille]]</f>
        <v>2021-13-15</v>
      </c>
      <c r="J265" s="45" t="s">
        <v>1523</v>
      </c>
      <c r="K265" s="44" t="s">
        <v>3505</v>
      </c>
      <c r="L265" s="35" t="s">
        <v>298</v>
      </c>
      <c r="M265" s="35">
        <v>5</v>
      </c>
      <c r="N265" s="35">
        <v>6</v>
      </c>
      <c r="O265" s="35">
        <f t="shared" si="8"/>
        <v>5.5</v>
      </c>
      <c r="P265" s="35">
        <v>13</v>
      </c>
      <c r="Q265" s="35">
        <v>4.5</v>
      </c>
      <c r="R265" s="35">
        <f t="shared" si="9"/>
        <v>8.75</v>
      </c>
      <c r="S265" s="35"/>
      <c r="T265" s="35"/>
      <c r="U265" s="35"/>
      <c r="V265" s="35" t="e">
        <f>AVERAGE(Tableau2[[#This Row],[1ère composition/10]:[3è composition]])</f>
        <v>#DIV/0!</v>
      </c>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f>COUNTIF(Tableau2[[#This Row],[Séance 1]:[Séance 38]],"A")</f>
        <v>0</v>
      </c>
      <c r="BJ265" s="35"/>
    </row>
    <row r="266" spans="1:62" hidden="1" x14ac:dyDescent="0.2">
      <c r="A266" s="44" t="s">
        <v>541</v>
      </c>
      <c r="B266" s="44" t="s">
        <v>582</v>
      </c>
      <c r="C266" s="44" t="s">
        <v>543</v>
      </c>
      <c r="D266" s="44" t="s">
        <v>583</v>
      </c>
      <c r="E266" s="44" t="s">
        <v>120</v>
      </c>
      <c r="F266" s="44">
        <v>2021</v>
      </c>
      <c r="G266" s="44">
        <v>13</v>
      </c>
      <c r="H266" s="44">
        <v>16</v>
      </c>
      <c r="I266" s="44" t="str">
        <f>Tableau2[[#This Row],[Annee d''inscription au programme]]&amp;"-"&amp;Tableau2[[#This Row],[Code d''ecole]]&amp;"-"&amp;Tableau2[[#This Row],[Numero HM de la fille]]</f>
        <v>2021-13-16</v>
      </c>
      <c r="J266" s="45" t="s">
        <v>1524</v>
      </c>
      <c r="K266" s="44" t="s">
        <v>3505</v>
      </c>
      <c r="L266" s="35" t="s">
        <v>298</v>
      </c>
      <c r="M266" s="35">
        <v>10.5</v>
      </c>
      <c r="N266" s="35">
        <v>5</v>
      </c>
      <c r="O266" s="35">
        <f t="shared" si="8"/>
        <v>7.75</v>
      </c>
      <c r="P266" s="35">
        <v>14.5</v>
      </c>
      <c r="Q266" s="35">
        <v>14.75</v>
      </c>
      <c r="R266" s="35">
        <f t="shared" si="9"/>
        <v>14.625</v>
      </c>
      <c r="S266" s="35"/>
      <c r="T266" s="35"/>
      <c r="U266" s="35"/>
      <c r="V266" s="35" t="e">
        <f>AVERAGE(Tableau2[[#This Row],[1ère composition/10]:[3è composition]])</f>
        <v>#DIV/0!</v>
      </c>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f>COUNTIF(Tableau2[[#This Row],[Séance 1]:[Séance 38]],"A")</f>
        <v>0</v>
      </c>
      <c r="BJ266" s="35"/>
    </row>
    <row r="267" spans="1:62" hidden="1" x14ac:dyDescent="0.2">
      <c r="A267" s="44" t="s">
        <v>541</v>
      </c>
      <c r="B267" s="44" t="s">
        <v>584</v>
      </c>
      <c r="C267" s="44" t="s">
        <v>546</v>
      </c>
      <c r="D267" s="44" t="s">
        <v>585</v>
      </c>
      <c r="E267" s="44" t="s">
        <v>120</v>
      </c>
      <c r="F267" s="44">
        <v>2020</v>
      </c>
      <c r="G267" s="44">
        <v>13</v>
      </c>
      <c r="H267" s="44">
        <v>95</v>
      </c>
      <c r="I267" s="44" t="str">
        <f>Tableau2[[#This Row],[Annee d''inscription au programme]]&amp;"-"&amp;Tableau2[[#This Row],[Code d''ecole]]&amp;"-"&amp;Tableau2[[#This Row],[Numero HM de la fille]]</f>
        <v>2020-13-95</v>
      </c>
      <c r="J267" s="45" t="s">
        <v>1525</v>
      </c>
      <c r="K267" s="44" t="s">
        <v>374</v>
      </c>
      <c r="L267" s="35" t="s">
        <v>620</v>
      </c>
      <c r="M267" s="35">
        <v>10.5</v>
      </c>
      <c r="N267" s="35">
        <v>6</v>
      </c>
      <c r="O267" s="35">
        <f t="shared" si="8"/>
        <v>8.25</v>
      </c>
      <c r="P267" s="35">
        <v>14.5</v>
      </c>
      <c r="Q267" s="35">
        <v>16.5</v>
      </c>
      <c r="R267" s="35">
        <f t="shared" si="9"/>
        <v>15.5</v>
      </c>
      <c r="S267" s="35"/>
      <c r="T267" s="35"/>
      <c r="U267" s="35"/>
      <c r="V267" s="35" t="e">
        <f>AVERAGE(Tableau2[[#This Row],[1ère composition/10]:[3è composition]])</f>
        <v>#DIV/0!</v>
      </c>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f>COUNTIF(Tableau2[[#This Row],[Séance 1]:[Séance 38]],"A")</f>
        <v>0</v>
      </c>
      <c r="BJ267" s="35"/>
    </row>
    <row r="268" spans="1:62" hidden="1" x14ac:dyDescent="0.2">
      <c r="A268" s="44" t="s">
        <v>541</v>
      </c>
      <c r="B268" s="44" t="s">
        <v>586</v>
      </c>
      <c r="C268" s="44" t="s">
        <v>580</v>
      </c>
      <c r="D268" s="44" t="s">
        <v>587</v>
      </c>
      <c r="E268" s="44" t="s">
        <v>120</v>
      </c>
      <c r="F268" s="44">
        <v>2021</v>
      </c>
      <c r="G268" s="44">
        <v>13</v>
      </c>
      <c r="H268" s="44">
        <v>17</v>
      </c>
      <c r="I268" s="44" t="str">
        <f>Tableau2[[#This Row],[Annee d''inscription au programme]]&amp;"-"&amp;Tableau2[[#This Row],[Code d''ecole]]&amp;"-"&amp;Tableau2[[#This Row],[Numero HM de la fille]]</f>
        <v>2021-13-17</v>
      </c>
      <c r="J268" s="45" t="s">
        <v>1526</v>
      </c>
      <c r="K268" s="44" t="s">
        <v>3505</v>
      </c>
      <c r="L268" s="35" t="s">
        <v>298</v>
      </c>
      <c r="M268" s="35">
        <v>4</v>
      </c>
      <c r="N268" s="35">
        <v>1</v>
      </c>
      <c r="O268" s="35">
        <f t="shared" si="8"/>
        <v>2.5</v>
      </c>
      <c r="P268" s="35">
        <v>8.5</v>
      </c>
      <c r="Q268" s="35">
        <v>4</v>
      </c>
      <c r="R268" s="35">
        <f t="shared" si="9"/>
        <v>6.25</v>
      </c>
      <c r="S268" s="35"/>
      <c r="T268" s="35"/>
      <c r="U268" s="35"/>
      <c r="V268" s="35" t="e">
        <f>AVERAGE(Tableau2[[#This Row],[1ère composition/10]:[3è composition]])</f>
        <v>#DIV/0!</v>
      </c>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f>COUNTIF(Tableau2[[#This Row],[Séance 1]:[Séance 38]],"A")</f>
        <v>0</v>
      </c>
      <c r="BJ268" s="35"/>
    </row>
    <row r="269" spans="1:62" hidden="1" x14ac:dyDescent="0.2">
      <c r="A269" s="44" t="s">
        <v>541</v>
      </c>
      <c r="B269" s="44" t="s">
        <v>588</v>
      </c>
      <c r="C269" s="44" t="s">
        <v>590</v>
      </c>
      <c r="D269" s="44" t="s">
        <v>589</v>
      </c>
      <c r="E269" s="44" t="s">
        <v>120</v>
      </c>
      <c r="F269" s="44">
        <v>2021</v>
      </c>
      <c r="G269" s="44">
        <v>13</v>
      </c>
      <c r="H269" s="44">
        <v>18</v>
      </c>
      <c r="I269" s="44" t="str">
        <f>Tableau2[[#This Row],[Annee d''inscription au programme]]&amp;"-"&amp;Tableau2[[#This Row],[Code d''ecole]]&amp;"-"&amp;Tableau2[[#This Row],[Numero HM de la fille]]</f>
        <v>2021-13-18</v>
      </c>
      <c r="J269" s="45" t="s">
        <v>1527</v>
      </c>
      <c r="K269" s="44" t="s">
        <v>3505</v>
      </c>
      <c r="L269" s="35" t="s">
        <v>298</v>
      </c>
      <c r="M269" s="35">
        <v>6</v>
      </c>
      <c r="N269" s="35">
        <v>2.5</v>
      </c>
      <c r="O269" s="35">
        <f t="shared" si="8"/>
        <v>4.25</v>
      </c>
      <c r="P269" s="35">
        <v>7</v>
      </c>
      <c r="Q269" s="35">
        <v>4.75</v>
      </c>
      <c r="R269" s="35">
        <f t="shared" si="9"/>
        <v>5.875</v>
      </c>
      <c r="S269" s="35"/>
      <c r="T269" s="35"/>
      <c r="U269" s="35"/>
      <c r="V269" s="35" t="e">
        <f>AVERAGE(Tableau2[[#This Row],[1ère composition/10]:[3è composition]])</f>
        <v>#DIV/0!</v>
      </c>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f>COUNTIF(Tableau2[[#This Row],[Séance 1]:[Séance 38]],"A")</f>
        <v>0</v>
      </c>
      <c r="BJ269" s="35"/>
    </row>
    <row r="270" spans="1:62" hidden="1" x14ac:dyDescent="0.2">
      <c r="A270" s="44" t="s">
        <v>60</v>
      </c>
      <c r="B270" s="44" t="s">
        <v>591</v>
      </c>
      <c r="C270" s="44" t="s">
        <v>3771</v>
      </c>
      <c r="D270" s="44" t="s">
        <v>592</v>
      </c>
      <c r="E270" s="44" t="s">
        <v>120</v>
      </c>
      <c r="F270" s="44">
        <v>2021</v>
      </c>
      <c r="G270" s="44">
        <v>2</v>
      </c>
      <c r="H270" s="44">
        <v>1</v>
      </c>
      <c r="I270" s="44" t="str">
        <f>Tableau2[[#This Row],[Annee d''inscription au programme]]&amp;"-"&amp;Tableau2[[#This Row],[Code d''ecole]]&amp;"-"&amp;Tableau2[[#This Row],[Numero HM de la fille]]</f>
        <v>2021-2-1</v>
      </c>
      <c r="J270" s="45" t="s">
        <v>1528</v>
      </c>
      <c r="K270" s="44" t="s">
        <v>3505</v>
      </c>
      <c r="L270" s="35" t="s">
        <v>594</v>
      </c>
      <c r="M270" s="35">
        <v>14.5</v>
      </c>
      <c r="N270" s="35">
        <v>19.5</v>
      </c>
      <c r="O270" s="35">
        <f t="shared" si="8"/>
        <v>17</v>
      </c>
      <c r="P270" s="35">
        <v>17</v>
      </c>
      <c r="Q270" s="35">
        <v>19.5</v>
      </c>
      <c r="R270" s="35">
        <f t="shared" si="9"/>
        <v>18.25</v>
      </c>
      <c r="S270" s="35"/>
      <c r="T270" s="35"/>
      <c r="U270" s="35"/>
      <c r="V270" s="35" t="e">
        <f>AVERAGE(Tableau2[[#This Row],[1ère composition/10]:[3è composition]])</f>
        <v>#DIV/0!</v>
      </c>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f>COUNTIF(Tableau2[[#This Row],[Séance 1]:[Séance 38]],"A")</f>
        <v>0</v>
      </c>
      <c r="BJ270" s="35"/>
    </row>
    <row r="271" spans="1:62" hidden="1" x14ac:dyDescent="0.2">
      <c r="A271" s="44" t="s">
        <v>60</v>
      </c>
      <c r="B271" s="44" t="s">
        <v>595</v>
      </c>
      <c r="C271" s="44" t="s">
        <v>3771</v>
      </c>
      <c r="D271" s="44" t="s">
        <v>262</v>
      </c>
      <c r="E271" s="44" t="s">
        <v>120</v>
      </c>
      <c r="F271" s="44">
        <v>2021</v>
      </c>
      <c r="G271" s="44">
        <v>2</v>
      </c>
      <c r="H271" s="44">
        <v>2</v>
      </c>
      <c r="I271" s="44" t="str">
        <f>Tableau2[[#This Row],[Annee d''inscription au programme]]&amp;"-"&amp;Tableau2[[#This Row],[Code d''ecole]]&amp;"-"&amp;Tableau2[[#This Row],[Numero HM de la fille]]</f>
        <v>2021-2-2</v>
      </c>
      <c r="J271" s="45" t="s">
        <v>1529</v>
      </c>
      <c r="K271" s="44" t="s">
        <v>593</v>
      </c>
      <c r="L271" s="35" t="s">
        <v>594</v>
      </c>
      <c r="M271" s="35">
        <v>12.5</v>
      </c>
      <c r="N271" s="35">
        <v>14.75</v>
      </c>
      <c r="O271" s="35">
        <f t="shared" si="8"/>
        <v>13.625</v>
      </c>
      <c r="P271" s="35">
        <v>12.5</v>
      </c>
      <c r="Q271" s="35">
        <v>17</v>
      </c>
      <c r="R271" s="35">
        <f t="shared" si="9"/>
        <v>14.75</v>
      </c>
      <c r="S271" s="35"/>
      <c r="T271" s="35"/>
      <c r="U271" s="35"/>
      <c r="V271" s="35" t="e">
        <f>AVERAGE(Tableau2[[#This Row],[1ère composition/10]:[3è composition]])</f>
        <v>#DIV/0!</v>
      </c>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f>COUNTIF(Tableau2[[#This Row],[Séance 1]:[Séance 38]],"A")</f>
        <v>0</v>
      </c>
      <c r="BJ271" s="35"/>
    </row>
    <row r="272" spans="1:62" hidden="1" x14ac:dyDescent="0.2">
      <c r="A272" s="44" t="s">
        <v>60</v>
      </c>
      <c r="B272" s="44" t="s">
        <v>596</v>
      </c>
      <c r="C272" s="44" t="s">
        <v>3771</v>
      </c>
      <c r="D272" s="44" t="s">
        <v>597</v>
      </c>
      <c r="E272" s="44" t="s">
        <v>120</v>
      </c>
      <c r="F272" s="44">
        <v>2021</v>
      </c>
      <c r="G272" s="44">
        <v>2</v>
      </c>
      <c r="H272" s="44">
        <v>3</v>
      </c>
      <c r="I272" s="44" t="str">
        <f>Tableau2[[#This Row],[Annee d''inscription au programme]]&amp;"-"&amp;Tableau2[[#This Row],[Code d''ecole]]&amp;"-"&amp;Tableau2[[#This Row],[Numero HM de la fille]]</f>
        <v>2021-2-3</v>
      </c>
      <c r="J272" s="45" t="s">
        <v>1530</v>
      </c>
      <c r="K272" s="44" t="s">
        <v>593</v>
      </c>
      <c r="L272" s="35" t="s">
        <v>594</v>
      </c>
      <c r="M272" s="35">
        <v>12</v>
      </c>
      <c r="N272" s="35">
        <v>19.25</v>
      </c>
      <c r="O272" s="35">
        <f t="shared" si="8"/>
        <v>15.625</v>
      </c>
      <c r="P272" s="35">
        <v>17</v>
      </c>
      <c r="Q272" s="35">
        <v>17.25</v>
      </c>
      <c r="R272" s="35">
        <f t="shared" si="9"/>
        <v>17.125</v>
      </c>
      <c r="S272" s="35"/>
      <c r="T272" s="35"/>
      <c r="U272" s="35"/>
      <c r="V272" s="35" t="e">
        <f>AVERAGE(Tableau2[[#This Row],[1ère composition/10]:[3è composition]])</f>
        <v>#DIV/0!</v>
      </c>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f>COUNTIF(Tableau2[[#This Row],[Séance 1]:[Séance 38]],"A")</f>
        <v>0</v>
      </c>
      <c r="BJ272" s="35"/>
    </row>
    <row r="273" spans="1:62" hidden="1" x14ac:dyDescent="0.2">
      <c r="A273" s="44" t="s">
        <v>60</v>
      </c>
      <c r="B273" s="44" t="s">
        <v>598</v>
      </c>
      <c r="C273" s="44" t="s">
        <v>3771</v>
      </c>
      <c r="D273" s="44" t="s">
        <v>599</v>
      </c>
      <c r="E273" s="44" t="s">
        <v>120</v>
      </c>
      <c r="F273" s="44">
        <v>2021</v>
      </c>
      <c r="G273" s="44">
        <v>2</v>
      </c>
      <c r="H273" s="44">
        <v>4</v>
      </c>
      <c r="I273" s="44" t="str">
        <f>Tableau2[[#This Row],[Annee d''inscription au programme]]&amp;"-"&amp;Tableau2[[#This Row],[Code d''ecole]]&amp;"-"&amp;Tableau2[[#This Row],[Numero HM de la fille]]</f>
        <v>2021-2-4</v>
      </c>
      <c r="J273" s="45" t="s">
        <v>1531</v>
      </c>
      <c r="K273" s="44" t="s">
        <v>593</v>
      </c>
      <c r="L273" s="35" t="s">
        <v>594</v>
      </c>
      <c r="M273" s="35">
        <v>8</v>
      </c>
      <c r="N273" s="35">
        <v>10.75</v>
      </c>
      <c r="O273" s="35">
        <f t="shared" si="8"/>
        <v>9.375</v>
      </c>
      <c r="P273" s="35">
        <v>13.5</v>
      </c>
      <c r="Q273" s="35">
        <v>16.5</v>
      </c>
      <c r="R273" s="35">
        <f t="shared" si="9"/>
        <v>15</v>
      </c>
      <c r="S273" s="35"/>
      <c r="T273" s="35"/>
      <c r="U273" s="35"/>
      <c r="V273" s="35" t="e">
        <f>AVERAGE(Tableau2[[#This Row],[1ère composition/10]:[3è composition]])</f>
        <v>#DIV/0!</v>
      </c>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f>COUNTIF(Tableau2[[#This Row],[Séance 1]:[Séance 38]],"A")</f>
        <v>0</v>
      </c>
      <c r="BJ273" s="35"/>
    </row>
    <row r="274" spans="1:62" hidden="1" x14ac:dyDescent="0.2">
      <c r="A274" s="44" t="s">
        <v>60</v>
      </c>
      <c r="B274" s="44" t="s">
        <v>600</v>
      </c>
      <c r="C274" s="44" t="s">
        <v>3771</v>
      </c>
      <c r="D274" s="44" t="s">
        <v>601</v>
      </c>
      <c r="E274" s="44" t="s">
        <v>120</v>
      </c>
      <c r="F274" s="44">
        <v>2021</v>
      </c>
      <c r="G274" s="44">
        <v>2</v>
      </c>
      <c r="H274" s="44">
        <v>5</v>
      </c>
      <c r="I274" s="44" t="str">
        <f>Tableau2[[#This Row],[Annee d''inscription au programme]]&amp;"-"&amp;Tableau2[[#This Row],[Code d''ecole]]&amp;"-"&amp;Tableau2[[#This Row],[Numero HM de la fille]]</f>
        <v>2021-2-5</v>
      </c>
      <c r="J274" s="45" t="s">
        <v>1532</v>
      </c>
      <c r="K274" s="44" t="s">
        <v>593</v>
      </c>
      <c r="L274" s="35" t="s">
        <v>594</v>
      </c>
      <c r="M274" s="35">
        <v>9.5</v>
      </c>
      <c r="N274" s="35">
        <v>12.25</v>
      </c>
      <c r="O274" s="35">
        <f t="shared" si="8"/>
        <v>10.875</v>
      </c>
      <c r="P274" s="35">
        <v>8</v>
      </c>
      <c r="Q274" s="35">
        <v>13</v>
      </c>
      <c r="R274" s="35">
        <f t="shared" si="9"/>
        <v>10.5</v>
      </c>
      <c r="S274" s="35"/>
      <c r="T274" s="35"/>
      <c r="U274" s="35"/>
      <c r="V274" s="35" t="e">
        <f>AVERAGE(Tableau2[[#This Row],[1ère composition/10]:[3è composition]])</f>
        <v>#DIV/0!</v>
      </c>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f>COUNTIF(Tableau2[[#This Row],[Séance 1]:[Séance 38]],"A")</f>
        <v>0</v>
      </c>
      <c r="BJ274" s="35"/>
    </row>
    <row r="275" spans="1:62" hidden="1" x14ac:dyDescent="0.2">
      <c r="A275" s="44" t="s">
        <v>60</v>
      </c>
      <c r="B275" s="44" t="s">
        <v>602</v>
      </c>
      <c r="C275" s="44" t="s">
        <v>3771</v>
      </c>
      <c r="D275" s="44" t="s">
        <v>603</v>
      </c>
      <c r="E275" s="44" t="s">
        <v>120</v>
      </c>
      <c r="F275" s="44">
        <v>2021</v>
      </c>
      <c r="G275" s="44">
        <v>2</v>
      </c>
      <c r="H275" s="44">
        <v>6</v>
      </c>
      <c r="I275" s="44" t="str">
        <f>Tableau2[[#This Row],[Annee d''inscription au programme]]&amp;"-"&amp;Tableau2[[#This Row],[Code d''ecole]]&amp;"-"&amp;Tableau2[[#This Row],[Numero HM de la fille]]</f>
        <v>2021-2-6</v>
      </c>
      <c r="J275" s="45" t="s">
        <v>1533</v>
      </c>
      <c r="K275" s="44" t="s">
        <v>593</v>
      </c>
      <c r="L275" s="35" t="s">
        <v>594</v>
      </c>
      <c r="M275" s="35">
        <v>14.5</v>
      </c>
      <c r="N275" s="35">
        <v>20</v>
      </c>
      <c r="O275" s="35">
        <f t="shared" si="8"/>
        <v>17.25</v>
      </c>
      <c r="P275" s="35">
        <v>18.5</v>
      </c>
      <c r="Q275" s="35">
        <v>19</v>
      </c>
      <c r="R275" s="35">
        <f t="shared" si="9"/>
        <v>18.75</v>
      </c>
      <c r="S275" s="35"/>
      <c r="T275" s="35"/>
      <c r="U275" s="35"/>
      <c r="V275" s="35" t="e">
        <f>AVERAGE(Tableau2[[#This Row],[1ère composition/10]:[3è composition]])</f>
        <v>#DIV/0!</v>
      </c>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f>COUNTIF(Tableau2[[#This Row],[Séance 1]:[Séance 38]],"A")</f>
        <v>0</v>
      </c>
      <c r="BJ275" s="35"/>
    </row>
    <row r="276" spans="1:62" hidden="1" x14ac:dyDescent="0.2">
      <c r="A276" s="44" t="s">
        <v>60</v>
      </c>
      <c r="B276" s="44" t="s">
        <v>604</v>
      </c>
      <c r="C276" s="44" t="s">
        <v>3771</v>
      </c>
      <c r="D276" s="44" t="s">
        <v>605</v>
      </c>
      <c r="E276" s="44" t="s">
        <v>120</v>
      </c>
      <c r="F276" s="44">
        <v>2021</v>
      </c>
      <c r="G276" s="44">
        <v>2</v>
      </c>
      <c r="H276" s="44">
        <v>7</v>
      </c>
      <c r="I276" s="44" t="str">
        <f>Tableau2[[#This Row],[Annee d''inscription au programme]]&amp;"-"&amp;Tableau2[[#This Row],[Code d''ecole]]&amp;"-"&amp;Tableau2[[#This Row],[Numero HM de la fille]]</f>
        <v>2021-2-7</v>
      </c>
      <c r="J276" s="45" t="s">
        <v>1534</v>
      </c>
      <c r="K276" s="44" t="s">
        <v>593</v>
      </c>
      <c r="L276" s="35" t="s">
        <v>606</v>
      </c>
      <c r="M276" s="35">
        <v>14</v>
      </c>
      <c r="N276" s="35">
        <v>8.5</v>
      </c>
      <c r="O276" s="35">
        <f t="shared" si="8"/>
        <v>11.25</v>
      </c>
      <c r="P276" s="35">
        <v>16.5</v>
      </c>
      <c r="Q276" s="35">
        <v>11</v>
      </c>
      <c r="R276" s="35">
        <f t="shared" si="9"/>
        <v>13.75</v>
      </c>
      <c r="S276" s="35"/>
      <c r="T276" s="35"/>
      <c r="U276" s="35"/>
      <c r="V276" s="35" t="e">
        <f>AVERAGE(Tableau2[[#This Row],[1ère composition/10]:[3è composition]])</f>
        <v>#DIV/0!</v>
      </c>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f>COUNTIF(Tableau2[[#This Row],[Séance 1]:[Séance 38]],"A")</f>
        <v>0</v>
      </c>
      <c r="BJ276" s="35"/>
    </row>
    <row r="277" spans="1:62" hidden="1" x14ac:dyDescent="0.2">
      <c r="A277" s="44" t="s">
        <v>60</v>
      </c>
      <c r="B277" s="44" t="s">
        <v>607</v>
      </c>
      <c r="C277" s="44" t="s">
        <v>3771</v>
      </c>
      <c r="D277" s="44" t="s">
        <v>608</v>
      </c>
      <c r="E277" s="44" t="s">
        <v>120</v>
      </c>
      <c r="F277" s="44">
        <v>2021</v>
      </c>
      <c r="G277" s="44">
        <v>2</v>
      </c>
      <c r="H277" s="44">
        <v>8</v>
      </c>
      <c r="I277" s="44" t="str">
        <f>Tableau2[[#This Row],[Annee d''inscription au programme]]&amp;"-"&amp;Tableau2[[#This Row],[Code d''ecole]]&amp;"-"&amp;Tableau2[[#This Row],[Numero HM de la fille]]</f>
        <v>2021-2-8</v>
      </c>
      <c r="J277" s="45" t="s">
        <v>1535</v>
      </c>
      <c r="K277" s="44" t="s">
        <v>593</v>
      </c>
      <c r="L277" s="35" t="s">
        <v>594</v>
      </c>
      <c r="M277" s="35">
        <v>10.5</v>
      </c>
      <c r="N277" s="35">
        <v>5</v>
      </c>
      <c r="O277" s="35">
        <f t="shared" si="8"/>
        <v>7.75</v>
      </c>
      <c r="P277" s="35">
        <v>10</v>
      </c>
      <c r="Q277" s="35">
        <v>14</v>
      </c>
      <c r="R277" s="35">
        <f t="shared" si="9"/>
        <v>12</v>
      </c>
      <c r="S277" s="35"/>
      <c r="T277" s="35"/>
      <c r="U277" s="35"/>
      <c r="V277" s="35" t="e">
        <f>AVERAGE(Tableau2[[#This Row],[1ère composition/10]:[3è composition]])</f>
        <v>#DIV/0!</v>
      </c>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f>COUNTIF(Tableau2[[#This Row],[Séance 1]:[Séance 38]],"A")</f>
        <v>0</v>
      </c>
      <c r="BJ277" s="35"/>
    </row>
    <row r="278" spans="1:62" hidden="1" x14ac:dyDescent="0.2">
      <c r="A278" s="44" t="s">
        <v>60</v>
      </c>
      <c r="B278" s="44" t="s">
        <v>609</v>
      </c>
      <c r="C278" s="44" t="s">
        <v>3771</v>
      </c>
      <c r="D278" s="44" t="s">
        <v>610</v>
      </c>
      <c r="E278" s="44" t="s">
        <v>120</v>
      </c>
      <c r="F278" s="44">
        <v>2021</v>
      </c>
      <c r="G278" s="44">
        <v>2</v>
      </c>
      <c r="H278" s="44">
        <v>9</v>
      </c>
      <c r="I278" s="44" t="str">
        <f>Tableau2[[#This Row],[Annee d''inscription au programme]]&amp;"-"&amp;Tableau2[[#This Row],[Code d''ecole]]&amp;"-"&amp;Tableau2[[#This Row],[Numero HM de la fille]]</f>
        <v>2021-2-9</v>
      </c>
      <c r="J278" s="45" t="s">
        <v>1536</v>
      </c>
      <c r="K278" s="44" t="s">
        <v>593</v>
      </c>
      <c r="L278" s="35" t="s">
        <v>594</v>
      </c>
      <c r="M278" s="35">
        <v>12.5</v>
      </c>
      <c r="N278" s="35">
        <v>16.25</v>
      </c>
      <c r="O278" s="35">
        <f t="shared" si="8"/>
        <v>14.375</v>
      </c>
      <c r="P278" s="35">
        <v>16.5</v>
      </c>
      <c r="Q278" s="35">
        <v>16</v>
      </c>
      <c r="R278" s="35">
        <f t="shared" si="9"/>
        <v>16.25</v>
      </c>
      <c r="S278" s="35"/>
      <c r="T278" s="35"/>
      <c r="U278" s="35"/>
      <c r="V278" s="35" t="e">
        <f>AVERAGE(Tableau2[[#This Row],[1ère composition/10]:[3è composition]])</f>
        <v>#DIV/0!</v>
      </c>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f>COUNTIF(Tableau2[[#This Row],[Séance 1]:[Séance 38]],"A")</f>
        <v>0</v>
      </c>
      <c r="BJ278" s="35"/>
    </row>
    <row r="279" spans="1:62" hidden="1" x14ac:dyDescent="0.2">
      <c r="A279" s="44" t="s">
        <v>60</v>
      </c>
      <c r="B279" s="44" t="s">
        <v>611</v>
      </c>
      <c r="C279" s="44" t="s">
        <v>3771</v>
      </c>
      <c r="D279" s="44" t="s">
        <v>211</v>
      </c>
      <c r="E279" s="44" t="s">
        <v>120</v>
      </c>
      <c r="F279" s="44">
        <v>2021</v>
      </c>
      <c r="G279" s="44">
        <v>2</v>
      </c>
      <c r="H279" s="44">
        <v>10</v>
      </c>
      <c r="I279" s="44" t="str">
        <f>Tableau2[[#This Row],[Annee d''inscription au programme]]&amp;"-"&amp;Tableau2[[#This Row],[Code d''ecole]]&amp;"-"&amp;Tableau2[[#This Row],[Numero HM de la fille]]</f>
        <v>2021-2-10</v>
      </c>
      <c r="J279" s="45" t="s">
        <v>1537</v>
      </c>
      <c r="K279" s="44" t="s">
        <v>593</v>
      </c>
      <c r="L279" s="35" t="s">
        <v>594</v>
      </c>
      <c r="M279" s="35">
        <v>8</v>
      </c>
      <c r="N279" s="35">
        <v>7</v>
      </c>
      <c r="O279" s="35">
        <f t="shared" si="8"/>
        <v>7.5</v>
      </c>
      <c r="P279" s="35">
        <v>12.5</v>
      </c>
      <c r="Q279" s="35">
        <v>8</v>
      </c>
      <c r="R279" s="35">
        <f t="shared" si="9"/>
        <v>10.25</v>
      </c>
      <c r="S279" s="35"/>
      <c r="T279" s="35"/>
      <c r="U279" s="35"/>
      <c r="V279" s="35" t="e">
        <f>AVERAGE(Tableau2[[#This Row],[1ère composition/10]:[3è composition]])</f>
        <v>#DIV/0!</v>
      </c>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f>COUNTIF(Tableau2[[#This Row],[Séance 1]:[Séance 38]],"A")</f>
        <v>0</v>
      </c>
      <c r="BJ279" s="35"/>
    </row>
    <row r="280" spans="1:62" hidden="1" x14ac:dyDescent="0.2">
      <c r="A280" s="44" t="s">
        <v>60</v>
      </c>
      <c r="B280" s="44" t="s">
        <v>612</v>
      </c>
      <c r="C280" s="44" t="s">
        <v>3771</v>
      </c>
      <c r="D280" s="44" t="s">
        <v>613</v>
      </c>
      <c r="E280" s="44" t="s">
        <v>120</v>
      </c>
      <c r="F280" s="44">
        <v>2021</v>
      </c>
      <c r="G280" s="44">
        <v>2</v>
      </c>
      <c r="H280" s="44">
        <v>11</v>
      </c>
      <c r="I280" s="44" t="str">
        <f>Tableau2[[#This Row],[Annee d''inscription au programme]]&amp;"-"&amp;Tableau2[[#This Row],[Code d''ecole]]&amp;"-"&amp;Tableau2[[#This Row],[Numero HM de la fille]]</f>
        <v>2021-2-11</v>
      </c>
      <c r="J280" s="45" t="s">
        <v>1538</v>
      </c>
      <c r="K280" s="44" t="s">
        <v>593</v>
      </c>
      <c r="L280" s="35" t="s">
        <v>594</v>
      </c>
      <c r="M280" s="35">
        <v>15</v>
      </c>
      <c r="N280" s="35">
        <v>18.25</v>
      </c>
      <c r="O280" s="35">
        <f t="shared" si="8"/>
        <v>16.625</v>
      </c>
      <c r="P280" s="35">
        <v>16</v>
      </c>
      <c r="Q280" s="35">
        <v>18.5</v>
      </c>
      <c r="R280" s="35">
        <f t="shared" si="9"/>
        <v>17.25</v>
      </c>
      <c r="S280" s="35"/>
      <c r="T280" s="35"/>
      <c r="U280" s="35"/>
      <c r="V280" s="35" t="e">
        <f>AVERAGE(Tableau2[[#This Row],[1ère composition/10]:[3è composition]])</f>
        <v>#DIV/0!</v>
      </c>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f>COUNTIF(Tableau2[[#This Row],[Séance 1]:[Séance 38]],"A")</f>
        <v>0</v>
      </c>
      <c r="BJ280" s="35"/>
    </row>
    <row r="281" spans="1:62" hidden="1" x14ac:dyDescent="0.2">
      <c r="A281" s="44" t="s">
        <v>60</v>
      </c>
      <c r="B281" s="44" t="s">
        <v>614</v>
      </c>
      <c r="C281" s="44" t="s">
        <v>3771</v>
      </c>
      <c r="D281" s="44" t="s">
        <v>615</v>
      </c>
      <c r="E281" s="44" t="s">
        <v>120</v>
      </c>
      <c r="F281" s="44">
        <v>2021</v>
      </c>
      <c r="G281" s="44">
        <v>2</v>
      </c>
      <c r="H281" s="44">
        <v>12</v>
      </c>
      <c r="I281" s="44" t="str">
        <f>Tableau2[[#This Row],[Annee d''inscription au programme]]&amp;"-"&amp;Tableau2[[#This Row],[Code d''ecole]]&amp;"-"&amp;Tableau2[[#This Row],[Numero HM de la fille]]</f>
        <v>2021-2-12</v>
      </c>
      <c r="J281" s="45" t="s">
        <v>1539</v>
      </c>
      <c r="K281" s="44" t="s">
        <v>593</v>
      </c>
      <c r="L281" s="35" t="s">
        <v>594</v>
      </c>
      <c r="M281" s="35">
        <v>12.5</v>
      </c>
      <c r="N281" s="35">
        <v>11</v>
      </c>
      <c r="O281" s="35">
        <f t="shared" si="8"/>
        <v>11.75</v>
      </c>
      <c r="P281" s="35">
        <v>13</v>
      </c>
      <c r="Q281" s="35">
        <v>15.25</v>
      </c>
      <c r="R281" s="35">
        <f t="shared" si="9"/>
        <v>14.125</v>
      </c>
      <c r="S281" s="35"/>
      <c r="T281" s="35"/>
      <c r="U281" s="35"/>
      <c r="V281" s="35" t="e">
        <f>AVERAGE(Tableau2[[#This Row],[1ère composition/10]:[3è composition]])</f>
        <v>#DIV/0!</v>
      </c>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f>COUNTIF(Tableau2[[#This Row],[Séance 1]:[Séance 38]],"A")</f>
        <v>0</v>
      </c>
      <c r="BJ281" s="35"/>
    </row>
    <row r="282" spans="1:62" hidden="1" x14ac:dyDescent="0.2">
      <c r="A282" s="44" t="s">
        <v>60</v>
      </c>
      <c r="B282" s="44" t="s">
        <v>616</v>
      </c>
      <c r="C282" s="44" t="s">
        <v>3771</v>
      </c>
      <c r="D282" s="44" t="s">
        <v>617</v>
      </c>
      <c r="E282" s="44" t="s">
        <v>120</v>
      </c>
      <c r="F282" s="44">
        <v>2021</v>
      </c>
      <c r="G282" s="44">
        <v>2</v>
      </c>
      <c r="H282" s="44">
        <v>13</v>
      </c>
      <c r="I282" s="44" t="str">
        <f>Tableau2[[#This Row],[Annee d''inscription au programme]]&amp;"-"&amp;Tableau2[[#This Row],[Code d''ecole]]&amp;"-"&amp;Tableau2[[#This Row],[Numero HM de la fille]]</f>
        <v>2021-2-13</v>
      </c>
      <c r="J282" s="45" t="s">
        <v>1540</v>
      </c>
      <c r="K282" s="44" t="s">
        <v>593</v>
      </c>
      <c r="L282" s="35" t="s">
        <v>594</v>
      </c>
      <c r="M282" s="35">
        <v>14</v>
      </c>
      <c r="N282" s="35">
        <v>20</v>
      </c>
      <c r="O282" s="35">
        <f t="shared" si="8"/>
        <v>17</v>
      </c>
      <c r="P282" s="35"/>
      <c r="Q282" s="35"/>
      <c r="R282" s="35">
        <f t="shared" si="9"/>
        <v>0</v>
      </c>
      <c r="S282" s="35"/>
      <c r="T282" s="35"/>
      <c r="U282" s="35"/>
      <c r="V282" s="35" t="e">
        <f>AVERAGE(Tableau2[[#This Row],[1ère composition/10]:[3è composition]])</f>
        <v>#DIV/0!</v>
      </c>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f>COUNTIF(Tableau2[[#This Row],[Séance 1]:[Séance 38]],"A")</f>
        <v>0</v>
      </c>
      <c r="BJ282" s="35"/>
    </row>
    <row r="283" spans="1:62" hidden="1" x14ac:dyDescent="0.2">
      <c r="A283" s="44" t="s">
        <v>60</v>
      </c>
      <c r="B283" s="44" t="s">
        <v>618</v>
      </c>
      <c r="C283" s="44" t="s">
        <v>3772</v>
      </c>
      <c r="D283" s="44" t="s">
        <v>619</v>
      </c>
      <c r="E283" s="44" t="s">
        <v>120</v>
      </c>
      <c r="F283" s="44">
        <v>2021</v>
      </c>
      <c r="G283" s="44">
        <v>2</v>
      </c>
      <c r="H283" s="44">
        <v>14</v>
      </c>
      <c r="I283" s="44" t="str">
        <f>Tableau2[[#This Row],[Annee d''inscription au programme]]&amp;"-"&amp;Tableau2[[#This Row],[Code d''ecole]]&amp;"-"&amp;Tableau2[[#This Row],[Numero HM de la fille]]</f>
        <v>2021-2-14</v>
      </c>
      <c r="J283" s="45" t="s">
        <v>1541</v>
      </c>
      <c r="K283" s="44" t="s">
        <v>374</v>
      </c>
      <c r="L283" s="35" t="s">
        <v>620</v>
      </c>
      <c r="M283" s="35">
        <v>14</v>
      </c>
      <c r="N283" s="35">
        <v>13.25</v>
      </c>
      <c r="O283" s="35">
        <f t="shared" si="8"/>
        <v>13.625</v>
      </c>
      <c r="P283" s="35">
        <v>16</v>
      </c>
      <c r="Q283" s="35">
        <v>17.5</v>
      </c>
      <c r="R283" s="35">
        <f t="shared" si="9"/>
        <v>16.75</v>
      </c>
      <c r="S283" s="35"/>
      <c r="T283" s="35"/>
      <c r="U283" s="35"/>
      <c r="V283" s="35" t="e">
        <f>AVERAGE(Tableau2[[#This Row],[1ère composition/10]:[3è composition]])</f>
        <v>#DIV/0!</v>
      </c>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f>COUNTIF(Tableau2[[#This Row],[Séance 1]:[Séance 38]],"A")</f>
        <v>0</v>
      </c>
      <c r="BJ283" s="35"/>
    </row>
    <row r="284" spans="1:62" hidden="1" x14ac:dyDescent="0.2">
      <c r="A284" s="44" t="s">
        <v>60</v>
      </c>
      <c r="B284" s="44" t="s">
        <v>621</v>
      </c>
      <c r="C284" s="44" t="s">
        <v>3771</v>
      </c>
      <c r="D284" s="44" t="s">
        <v>622</v>
      </c>
      <c r="E284" s="44" t="s">
        <v>120</v>
      </c>
      <c r="F284" s="44">
        <v>2021</v>
      </c>
      <c r="G284" s="44">
        <v>2</v>
      </c>
      <c r="H284" s="44">
        <v>15</v>
      </c>
      <c r="I284" s="44" t="str">
        <f>Tableau2[[#This Row],[Annee d''inscription au programme]]&amp;"-"&amp;Tableau2[[#This Row],[Code d''ecole]]&amp;"-"&amp;Tableau2[[#This Row],[Numero HM de la fille]]</f>
        <v>2021-2-15</v>
      </c>
      <c r="J284" s="45" t="s">
        <v>1542</v>
      </c>
      <c r="K284" s="44" t="s">
        <v>593</v>
      </c>
      <c r="L284" s="35" t="s">
        <v>594</v>
      </c>
      <c r="M284" s="35">
        <v>11.5</v>
      </c>
      <c r="N284" s="35">
        <v>11</v>
      </c>
      <c r="O284" s="35">
        <f t="shared" si="8"/>
        <v>11.25</v>
      </c>
      <c r="P284" s="35">
        <v>15</v>
      </c>
      <c r="Q284" s="35">
        <v>16.5</v>
      </c>
      <c r="R284" s="35">
        <f t="shared" si="9"/>
        <v>15.75</v>
      </c>
      <c r="S284" s="35"/>
      <c r="T284" s="35"/>
      <c r="U284" s="35"/>
      <c r="V284" s="35" t="e">
        <f>AVERAGE(Tableau2[[#This Row],[1ère composition/10]:[3è composition]])</f>
        <v>#DIV/0!</v>
      </c>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f>COUNTIF(Tableau2[[#This Row],[Séance 1]:[Séance 38]],"A")</f>
        <v>0</v>
      </c>
      <c r="BJ284" s="35"/>
    </row>
    <row r="285" spans="1:62" hidden="1" x14ac:dyDescent="0.2">
      <c r="A285" s="44" t="s">
        <v>60</v>
      </c>
      <c r="B285" s="44" t="s">
        <v>623</v>
      </c>
      <c r="C285" s="44" t="s">
        <v>3771</v>
      </c>
      <c r="D285" s="44" t="s">
        <v>624</v>
      </c>
      <c r="E285" s="44" t="s">
        <v>120</v>
      </c>
      <c r="F285" s="44">
        <v>2021</v>
      </c>
      <c r="G285" s="44">
        <v>2</v>
      </c>
      <c r="H285" s="44">
        <v>16</v>
      </c>
      <c r="I285" s="44" t="str">
        <f>Tableau2[[#This Row],[Annee d''inscription au programme]]&amp;"-"&amp;Tableau2[[#This Row],[Code d''ecole]]&amp;"-"&amp;Tableau2[[#This Row],[Numero HM de la fille]]</f>
        <v>2021-2-16</v>
      </c>
      <c r="J285" s="45" t="s">
        <v>1543</v>
      </c>
      <c r="K285" s="44" t="s">
        <v>593</v>
      </c>
      <c r="L285" s="35" t="s">
        <v>594</v>
      </c>
      <c r="M285" s="35">
        <v>10.5</v>
      </c>
      <c r="N285" s="35">
        <v>7.5</v>
      </c>
      <c r="O285" s="35">
        <f t="shared" si="8"/>
        <v>9</v>
      </c>
      <c r="P285" s="35">
        <v>13.75</v>
      </c>
      <c r="Q285" s="35">
        <v>8.75</v>
      </c>
      <c r="R285" s="35">
        <f t="shared" si="9"/>
        <v>11.25</v>
      </c>
      <c r="S285" s="35"/>
      <c r="T285" s="35"/>
      <c r="U285" s="35"/>
      <c r="V285" s="35" t="e">
        <f>AVERAGE(Tableau2[[#This Row],[1ère composition/10]:[3è composition]])</f>
        <v>#DIV/0!</v>
      </c>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f>COUNTIF(Tableau2[[#This Row],[Séance 1]:[Séance 38]],"A")</f>
        <v>0</v>
      </c>
      <c r="BJ285" s="35"/>
    </row>
    <row r="286" spans="1:62" hidden="1" x14ac:dyDescent="0.2">
      <c r="A286" s="44" t="s">
        <v>60</v>
      </c>
      <c r="B286" s="44" t="s">
        <v>625</v>
      </c>
      <c r="C286" s="44" t="s">
        <v>3771</v>
      </c>
      <c r="D286" s="44" t="s">
        <v>626</v>
      </c>
      <c r="E286" s="44" t="s">
        <v>120</v>
      </c>
      <c r="F286" s="44">
        <v>2021</v>
      </c>
      <c r="G286" s="44">
        <v>2</v>
      </c>
      <c r="H286" s="44">
        <v>17</v>
      </c>
      <c r="I286" s="44" t="str">
        <f>Tableau2[[#This Row],[Annee d''inscription au programme]]&amp;"-"&amp;Tableau2[[#This Row],[Code d''ecole]]&amp;"-"&amp;Tableau2[[#This Row],[Numero HM de la fille]]</f>
        <v>2021-2-17</v>
      </c>
      <c r="J286" s="45" t="s">
        <v>1544</v>
      </c>
      <c r="K286" s="44" t="s">
        <v>593</v>
      </c>
      <c r="L286" s="35" t="s">
        <v>606</v>
      </c>
      <c r="M286" s="35">
        <v>9</v>
      </c>
      <c r="N286" s="35">
        <v>4.5</v>
      </c>
      <c r="O286" s="35">
        <f t="shared" si="8"/>
        <v>6.75</v>
      </c>
      <c r="P286" s="35">
        <v>10</v>
      </c>
      <c r="Q286" s="35">
        <v>5.5</v>
      </c>
      <c r="R286" s="35">
        <f t="shared" si="9"/>
        <v>7.75</v>
      </c>
      <c r="S286" s="35"/>
      <c r="T286" s="35"/>
      <c r="U286" s="35"/>
      <c r="V286" s="35" t="e">
        <f>AVERAGE(Tableau2[[#This Row],[1ère composition/10]:[3è composition]])</f>
        <v>#DIV/0!</v>
      </c>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f>COUNTIF(Tableau2[[#This Row],[Séance 1]:[Séance 38]],"A")</f>
        <v>0</v>
      </c>
      <c r="BJ286" s="35"/>
    </row>
    <row r="287" spans="1:62" hidden="1" x14ac:dyDescent="0.2">
      <c r="A287" s="44" t="s">
        <v>60</v>
      </c>
      <c r="B287" s="44" t="s">
        <v>627</v>
      </c>
      <c r="C287" s="44" t="s">
        <v>3772</v>
      </c>
      <c r="D287" s="44" t="s">
        <v>628</v>
      </c>
      <c r="E287" s="44" t="s">
        <v>120</v>
      </c>
      <c r="F287" s="44">
        <v>2021</v>
      </c>
      <c r="G287" s="44">
        <v>2</v>
      </c>
      <c r="H287" s="44">
        <v>18</v>
      </c>
      <c r="I287" s="44" t="str">
        <f>Tableau2[[#This Row],[Annee d''inscription au programme]]&amp;"-"&amp;Tableau2[[#This Row],[Code d''ecole]]&amp;"-"&amp;Tableau2[[#This Row],[Numero HM de la fille]]</f>
        <v>2021-2-18</v>
      </c>
      <c r="J287" s="45" t="s">
        <v>1545</v>
      </c>
      <c r="K287" s="44" t="s">
        <v>374</v>
      </c>
      <c r="L287" s="35" t="s">
        <v>620</v>
      </c>
      <c r="M287" s="35">
        <v>11</v>
      </c>
      <c r="N287" s="35">
        <v>14.25</v>
      </c>
      <c r="O287" s="35">
        <f t="shared" si="8"/>
        <v>12.625</v>
      </c>
      <c r="P287" s="35">
        <v>14.5</v>
      </c>
      <c r="Q287" s="35">
        <v>14</v>
      </c>
      <c r="R287" s="35">
        <f t="shared" si="9"/>
        <v>14.25</v>
      </c>
      <c r="S287" s="35"/>
      <c r="T287" s="35"/>
      <c r="U287" s="35"/>
      <c r="V287" s="35" t="e">
        <f>AVERAGE(Tableau2[[#This Row],[1ère composition/10]:[3è composition]])</f>
        <v>#DIV/0!</v>
      </c>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f>COUNTIF(Tableau2[[#This Row],[Séance 1]:[Séance 38]],"A")</f>
        <v>0</v>
      </c>
      <c r="BJ287" s="35"/>
    </row>
    <row r="288" spans="1:62" hidden="1" x14ac:dyDescent="0.2">
      <c r="A288" s="44" t="s">
        <v>60</v>
      </c>
      <c r="B288" s="44" t="s">
        <v>629</v>
      </c>
      <c r="C288" s="44" t="s">
        <v>3771</v>
      </c>
      <c r="D288" s="44" t="s">
        <v>630</v>
      </c>
      <c r="E288" s="44" t="s">
        <v>120</v>
      </c>
      <c r="F288" s="44">
        <v>2021</v>
      </c>
      <c r="G288" s="44">
        <v>2</v>
      </c>
      <c r="H288" s="44">
        <v>19</v>
      </c>
      <c r="I288" s="44" t="str">
        <f>Tableau2[[#This Row],[Annee d''inscription au programme]]&amp;"-"&amp;Tableau2[[#This Row],[Code d''ecole]]&amp;"-"&amp;Tableau2[[#This Row],[Numero HM de la fille]]</f>
        <v>2021-2-19</v>
      </c>
      <c r="J288" s="45" t="s">
        <v>1546</v>
      </c>
      <c r="K288" s="44" t="s">
        <v>593</v>
      </c>
      <c r="L288" s="35" t="s">
        <v>606</v>
      </c>
      <c r="M288" s="35">
        <v>8</v>
      </c>
      <c r="N288" s="35">
        <v>4</v>
      </c>
      <c r="O288" s="35">
        <f t="shared" si="8"/>
        <v>6</v>
      </c>
      <c r="P288" s="35">
        <v>11.5</v>
      </c>
      <c r="Q288" s="35">
        <v>3.5</v>
      </c>
      <c r="R288" s="35">
        <f t="shared" si="9"/>
        <v>7.5</v>
      </c>
      <c r="S288" s="35"/>
      <c r="T288" s="35"/>
      <c r="U288" s="35"/>
      <c r="V288" s="35" t="e">
        <f>AVERAGE(Tableau2[[#This Row],[1ère composition/10]:[3è composition]])</f>
        <v>#DIV/0!</v>
      </c>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f>COUNTIF(Tableau2[[#This Row],[Séance 1]:[Séance 38]],"A")</f>
        <v>0</v>
      </c>
      <c r="BJ288" s="35"/>
    </row>
    <row r="289" spans="1:62" hidden="1" x14ac:dyDescent="0.2">
      <c r="A289" s="44">
        <v>15</v>
      </c>
      <c r="B289" s="44" t="s">
        <v>631</v>
      </c>
      <c r="C289" s="44" t="s">
        <v>3771</v>
      </c>
      <c r="D289" s="44" t="s">
        <v>632</v>
      </c>
      <c r="E289" s="44" t="s">
        <v>120</v>
      </c>
      <c r="F289" s="44">
        <v>2021</v>
      </c>
      <c r="G289" s="44">
        <v>2</v>
      </c>
      <c r="H289" s="44">
        <v>20</v>
      </c>
      <c r="I289" s="44" t="str">
        <f>Tableau2[[#This Row],[Annee d''inscription au programme]]&amp;"-"&amp;Tableau2[[#This Row],[Code d''ecole]]&amp;"-"&amp;Tableau2[[#This Row],[Numero HM de la fille]]</f>
        <v>2021-2-20</v>
      </c>
      <c r="J289" s="45" t="s">
        <v>1547</v>
      </c>
      <c r="K289" s="44" t="s">
        <v>593</v>
      </c>
      <c r="L289" s="35" t="s">
        <v>594</v>
      </c>
      <c r="M289" s="35">
        <v>11</v>
      </c>
      <c r="N289" s="35">
        <v>9.5</v>
      </c>
      <c r="O289" s="35">
        <f t="shared" si="8"/>
        <v>10.25</v>
      </c>
      <c r="P289" s="35">
        <v>14</v>
      </c>
      <c r="Q289" s="35">
        <v>15</v>
      </c>
      <c r="R289" s="35">
        <f t="shared" si="9"/>
        <v>14.5</v>
      </c>
      <c r="S289" s="35"/>
      <c r="T289" s="35"/>
      <c r="U289" s="35"/>
      <c r="V289" s="35" t="e">
        <f>AVERAGE(Tableau2[[#This Row],[1ère composition/10]:[3è composition]])</f>
        <v>#DIV/0!</v>
      </c>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f>COUNTIF(Tableau2[[#This Row],[Séance 1]:[Séance 38]],"A")</f>
        <v>0</v>
      </c>
      <c r="BJ289" s="35"/>
    </row>
    <row r="290" spans="1:62" hidden="1" x14ac:dyDescent="0.2">
      <c r="A290" s="44" t="s">
        <v>64</v>
      </c>
      <c r="B290" s="44" t="s">
        <v>633</v>
      </c>
      <c r="C290" s="44" t="s">
        <v>3771</v>
      </c>
      <c r="D290" s="44" t="s">
        <v>634</v>
      </c>
      <c r="E290" s="44" t="s">
        <v>120</v>
      </c>
      <c r="F290" s="44">
        <v>2021</v>
      </c>
      <c r="G290" s="44">
        <v>12</v>
      </c>
      <c r="H290" s="44">
        <v>1</v>
      </c>
      <c r="I290" s="44" t="str">
        <f>Tableau2[[#This Row],[Annee d''inscription au programme]]&amp;"-"&amp;Tableau2[[#This Row],[Code d''ecole]]&amp;"-"&amp;Tableau2[[#This Row],[Numero HM de la fille]]</f>
        <v>2021-12-1</v>
      </c>
      <c r="J290" s="45" t="s">
        <v>1548</v>
      </c>
      <c r="K290" s="44" t="s">
        <v>374</v>
      </c>
      <c r="L290" s="35" t="s">
        <v>620</v>
      </c>
      <c r="M290" s="35">
        <v>14.5</v>
      </c>
      <c r="N290" s="35">
        <v>11.5</v>
      </c>
      <c r="O290" s="35">
        <f t="shared" si="8"/>
        <v>13</v>
      </c>
      <c r="P290" s="35">
        <v>13</v>
      </c>
      <c r="Q290" s="35">
        <v>17</v>
      </c>
      <c r="R290" s="35">
        <f t="shared" si="9"/>
        <v>15</v>
      </c>
      <c r="S290" s="35"/>
      <c r="T290" s="35"/>
      <c r="U290" s="35"/>
      <c r="V290" s="35" t="e">
        <f>AVERAGE(Tableau2[[#This Row],[1ère composition/10]:[3è composition]])</f>
        <v>#DIV/0!</v>
      </c>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f>COUNTIF(Tableau2[[#This Row],[Séance 1]:[Séance 38]],"A")</f>
        <v>0</v>
      </c>
      <c r="BJ290" s="35"/>
    </row>
    <row r="291" spans="1:62" hidden="1" x14ac:dyDescent="0.2">
      <c r="A291" s="44" t="s">
        <v>64</v>
      </c>
      <c r="B291" s="44" t="s">
        <v>635</v>
      </c>
      <c r="C291" s="44" t="s">
        <v>3771</v>
      </c>
      <c r="D291" s="44" t="s">
        <v>636</v>
      </c>
      <c r="E291" s="44" t="s">
        <v>120</v>
      </c>
      <c r="F291" s="44">
        <v>2021</v>
      </c>
      <c r="G291" s="44">
        <v>12</v>
      </c>
      <c r="H291" s="44">
        <v>2</v>
      </c>
      <c r="I291" s="44" t="str">
        <f>Tableau2[[#This Row],[Annee d''inscription au programme]]&amp;"-"&amp;Tableau2[[#This Row],[Code d''ecole]]&amp;"-"&amp;Tableau2[[#This Row],[Numero HM de la fille]]</f>
        <v>2021-12-2</v>
      </c>
      <c r="J291" s="45" t="s">
        <v>1549</v>
      </c>
      <c r="K291" s="44" t="s">
        <v>593</v>
      </c>
      <c r="L291" s="35" t="s">
        <v>594</v>
      </c>
      <c r="M291" s="35">
        <v>11.5</v>
      </c>
      <c r="N291" s="35">
        <v>15.25</v>
      </c>
      <c r="O291" s="35">
        <f t="shared" si="8"/>
        <v>13.375</v>
      </c>
      <c r="P291" s="35">
        <v>15</v>
      </c>
      <c r="Q291" s="35">
        <v>19</v>
      </c>
      <c r="R291" s="35">
        <f t="shared" si="9"/>
        <v>17</v>
      </c>
      <c r="S291" s="35"/>
      <c r="T291" s="35"/>
      <c r="U291" s="35"/>
      <c r="V291" s="35" t="e">
        <f>AVERAGE(Tableau2[[#This Row],[1ère composition/10]:[3è composition]])</f>
        <v>#DIV/0!</v>
      </c>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f>COUNTIF(Tableau2[[#This Row],[Séance 1]:[Séance 38]],"A")</f>
        <v>0</v>
      </c>
      <c r="BJ291" s="35"/>
    </row>
    <row r="292" spans="1:62" hidden="1" x14ac:dyDescent="0.2">
      <c r="A292" s="44" t="s">
        <v>64</v>
      </c>
      <c r="B292" s="44" t="s">
        <v>637</v>
      </c>
      <c r="C292" s="44" t="s">
        <v>3771</v>
      </c>
      <c r="D292" s="44" t="s">
        <v>638</v>
      </c>
      <c r="E292" s="44" t="s">
        <v>120</v>
      </c>
      <c r="F292" s="44">
        <v>2021</v>
      </c>
      <c r="G292" s="44">
        <v>12</v>
      </c>
      <c r="H292" s="44">
        <v>3</v>
      </c>
      <c r="I292" s="44" t="str">
        <f>Tableau2[[#This Row],[Annee d''inscription au programme]]&amp;"-"&amp;Tableau2[[#This Row],[Code d''ecole]]&amp;"-"&amp;Tableau2[[#This Row],[Numero HM de la fille]]</f>
        <v>2021-12-3</v>
      </c>
      <c r="J292" s="45" t="s">
        <v>1550</v>
      </c>
      <c r="K292" s="44" t="s">
        <v>593</v>
      </c>
      <c r="L292" s="35" t="s">
        <v>594</v>
      </c>
      <c r="M292" s="35">
        <v>0</v>
      </c>
      <c r="N292" s="35">
        <v>0</v>
      </c>
      <c r="O292" s="35">
        <f t="shared" si="8"/>
        <v>0</v>
      </c>
      <c r="P292" s="35">
        <v>16</v>
      </c>
      <c r="Q292" s="35">
        <v>18.5</v>
      </c>
      <c r="R292" s="35">
        <f t="shared" si="9"/>
        <v>17.25</v>
      </c>
      <c r="S292" s="35"/>
      <c r="T292" s="35"/>
      <c r="U292" s="35"/>
      <c r="V292" s="35" t="e">
        <f>AVERAGE(Tableau2[[#This Row],[1ère composition/10]:[3è composition]])</f>
        <v>#DIV/0!</v>
      </c>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f>COUNTIF(Tableau2[[#This Row],[Séance 1]:[Séance 38]],"A")</f>
        <v>0</v>
      </c>
      <c r="BJ292" s="35"/>
    </row>
    <row r="293" spans="1:62" hidden="1" x14ac:dyDescent="0.2">
      <c r="A293" s="44" t="s">
        <v>64</v>
      </c>
      <c r="B293" s="44" t="s">
        <v>639</v>
      </c>
      <c r="C293" s="44" t="s">
        <v>3771</v>
      </c>
      <c r="D293" s="44" t="s">
        <v>640</v>
      </c>
      <c r="E293" s="44" t="s">
        <v>120</v>
      </c>
      <c r="F293" s="44">
        <v>2021</v>
      </c>
      <c r="G293" s="44">
        <v>12</v>
      </c>
      <c r="H293" s="44">
        <v>4</v>
      </c>
      <c r="I293" s="44" t="str">
        <f>Tableau2[[#This Row],[Annee d''inscription au programme]]&amp;"-"&amp;Tableau2[[#This Row],[Code d''ecole]]&amp;"-"&amp;Tableau2[[#This Row],[Numero HM de la fille]]</f>
        <v>2021-12-4</v>
      </c>
      <c r="J293" s="45" t="s">
        <v>1551</v>
      </c>
      <c r="K293" s="44" t="s">
        <v>593</v>
      </c>
      <c r="L293" s="35" t="s">
        <v>594</v>
      </c>
      <c r="M293" s="35">
        <v>3</v>
      </c>
      <c r="N293" s="35">
        <v>2</v>
      </c>
      <c r="O293" s="35">
        <f t="shared" si="8"/>
        <v>2.5</v>
      </c>
      <c r="P293" s="35">
        <v>5.5</v>
      </c>
      <c r="Q293" s="35">
        <v>8</v>
      </c>
      <c r="R293" s="35">
        <f t="shared" si="9"/>
        <v>6.75</v>
      </c>
      <c r="S293" s="35"/>
      <c r="T293" s="35"/>
      <c r="U293" s="35"/>
      <c r="V293" s="35" t="e">
        <f>AVERAGE(Tableau2[[#This Row],[1ère composition/10]:[3è composition]])</f>
        <v>#DIV/0!</v>
      </c>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f>COUNTIF(Tableau2[[#This Row],[Séance 1]:[Séance 38]],"A")</f>
        <v>0</v>
      </c>
      <c r="BJ293" s="35"/>
    </row>
    <row r="294" spans="1:62" hidden="1" x14ac:dyDescent="0.2">
      <c r="A294" s="44" t="s">
        <v>64</v>
      </c>
      <c r="B294" s="44" t="s">
        <v>641</v>
      </c>
      <c r="C294" s="44" t="s">
        <v>3771</v>
      </c>
      <c r="D294" s="44" t="s">
        <v>642</v>
      </c>
      <c r="E294" s="44" t="s">
        <v>120</v>
      </c>
      <c r="F294" s="44">
        <v>2021</v>
      </c>
      <c r="G294" s="44">
        <v>12</v>
      </c>
      <c r="H294" s="44">
        <v>5</v>
      </c>
      <c r="I294" s="44" t="str">
        <f>Tableau2[[#This Row],[Annee d''inscription au programme]]&amp;"-"&amp;Tableau2[[#This Row],[Code d''ecole]]&amp;"-"&amp;Tableau2[[#This Row],[Numero HM de la fille]]</f>
        <v>2021-12-5</v>
      </c>
      <c r="J294" s="45" t="s">
        <v>1552</v>
      </c>
      <c r="K294" s="44" t="s">
        <v>593</v>
      </c>
      <c r="L294" s="35" t="s">
        <v>594</v>
      </c>
      <c r="M294" s="35">
        <v>9</v>
      </c>
      <c r="N294" s="35">
        <v>11</v>
      </c>
      <c r="O294" s="35">
        <f t="shared" si="8"/>
        <v>10</v>
      </c>
      <c r="P294" s="35">
        <v>5.5</v>
      </c>
      <c r="Q294" s="35">
        <v>9.5</v>
      </c>
      <c r="R294" s="35">
        <f t="shared" si="9"/>
        <v>7.5</v>
      </c>
      <c r="S294" s="35"/>
      <c r="T294" s="35"/>
      <c r="U294" s="35"/>
      <c r="V294" s="35" t="e">
        <f>AVERAGE(Tableau2[[#This Row],[1ère composition/10]:[3è composition]])</f>
        <v>#DIV/0!</v>
      </c>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f>COUNTIF(Tableau2[[#This Row],[Séance 1]:[Séance 38]],"A")</f>
        <v>0</v>
      </c>
      <c r="BJ294" s="35"/>
    </row>
    <row r="295" spans="1:62" hidden="1" x14ac:dyDescent="0.2">
      <c r="A295" s="44" t="s">
        <v>64</v>
      </c>
      <c r="B295" s="44" t="s">
        <v>643</v>
      </c>
      <c r="C295" s="44" t="s">
        <v>3771</v>
      </c>
      <c r="D295" s="44" t="s">
        <v>644</v>
      </c>
      <c r="E295" s="44" t="s">
        <v>120</v>
      </c>
      <c r="F295" s="44">
        <v>2021</v>
      </c>
      <c r="G295" s="44">
        <v>12</v>
      </c>
      <c r="H295" s="44">
        <v>6</v>
      </c>
      <c r="I295" s="44" t="str">
        <f>Tableau2[[#This Row],[Annee d''inscription au programme]]&amp;"-"&amp;Tableau2[[#This Row],[Code d''ecole]]&amp;"-"&amp;Tableau2[[#This Row],[Numero HM de la fille]]</f>
        <v>2021-12-6</v>
      </c>
      <c r="J295" s="45" t="s">
        <v>1553</v>
      </c>
      <c r="K295" s="44" t="s">
        <v>593</v>
      </c>
      <c r="L295" s="35" t="s">
        <v>594</v>
      </c>
      <c r="M295" s="35">
        <v>9.5</v>
      </c>
      <c r="N295" s="35">
        <v>8</v>
      </c>
      <c r="O295" s="35">
        <f t="shared" si="8"/>
        <v>8.75</v>
      </c>
      <c r="P295" s="35">
        <v>9</v>
      </c>
      <c r="Q295" s="35">
        <v>10</v>
      </c>
      <c r="R295" s="35">
        <f t="shared" si="9"/>
        <v>9.5</v>
      </c>
      <c r="S295" s="35"/>
      <c r="T295" s="35"/>
      <c r="U295" s="35"/>
      <c r="V295" s="35" t="e">
        <f>AVERAGE(Tableau2[[#This Row],[1ère composition/10]:[3è composition]])</f>
        <v>#DIV/0!</v>
      </c>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f>COUNTIF(Tableau2[[#This Row],[Séance 1]:[Séance 38]],"A")</f>
        <v>0</v>
      </c>
      <c r="BJ295" s="35"/>
    </row>
    <row r="296" spans="1:62" hidden="1" x14ac:dyDescent="0.2">
      <c r="A296" s="44" t="s">
        <v>64</v>
      </c>
      <c r="B296" s="44" t="s">
        <v>645</v>
      </c>
      <c r="C296" s="44" t="s">
        <v>3771</v>
      </c>
      <c r="D296" s="44" t="s">
        <v>239</v>
      </c>
      <c r="E296" s="44" t="s">
        <v>120</v>
      </c>
      <c r="F296" s="44">
        <v>2021</v>
      </c>
      <c r="G296" s="44">
        <v>12</v>
      </c>
      <c r="H296" s="44">
        <v>7</v>
      </c>
      <c r="I296" s="44" t="str">
        <f>Tableau2[[#This Row],[Annee d''inscription au programme]]&amp;"-"&amp;Tableau2[[#This Row],[Code d''ecole]]&amp;"-"&amp;Tableau2[[#This Row],[Numero HM de la fille]]</f>
        <v>2021-12-7</v>
      </c>
      <c r="J296" s="45" t="s">
        <v>1554</v>
      </c>
      <c r="K296" s="44" t="s">
        <v>593</v>
      </c>
      <c r="L296" s="35" t="s">
        <v>594</v>
      </c>
      <c r="M296" s="35">
        <v>0</v>
      </c>
      <c r="N296" s="35">
        <v>0</v>
      </c>
      <c r="O296" s="35">
        <f t="shared" si="8"/>
        <v>0</v>
      </c>
      <c r="P296" s="35">
        <v>17.5</v>
      </c>
      <c r="Q296" s="35">
        <v>16</v>
      </c>
      <c r="R296" s="35">
        <f t="shared" si="9"/>
        <v>16.75</v>
      </c>
      <c r="S296" s="35"/>
      <c r="T296" s="35"/>
      <c r="U296" s="35"/>
      <c r="V296" s="35" t="e">
        <f>AVERAGE(Tableau2[[#This Row],[1ère composition/10]:[3è composition]])</f>
        <v>#DIV/0!</v>
      </c>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f>COUNTIF(Tableau2[[#This Row],[Séance 1]:[Séance 38]],"A")</f>
        <v>0</v>
      </c>
      <c r="BJ296" s="35"/>
    </row>
    <row r="297" spans="1:62" hidden="1" x14ac:dyDescent="0.2">
      <c r="A297" s="44" t="s">
        <v>64</v>
      </c>
      <c r="B297" s="44" t="s">
        <v>646</v>
      </c>
      <c r="C297" s="44" t="s">
        <v>3771</v>
      </c>
      <c r="D297" s="44" t="s">
        <v>647</v>
      </c>
      <c r="E297" s="44" t="s">
        <v>120</v>
      </c>
      <c r="F297" s="44">
        <v>2021</v>
      </c>
      <c r="G297" s="44">
        <v>12</v>
      </c>
      <c r="H297" s="44">
        <v>8</v>
      </c>
      <c r="I297" s="44" t="str">
        <f>Tableau2[[#This Row],[Annee d''inscription au programme]]&amp;"-"&amp;Tableau2[[#This Row],[Code d''ecole]]&amp;"-"&amp;Tableau2[[#This Row],[Numero HM de la fille]]</f>
        <v>2021-12-8</v>
      </c>
      <c r="J297" s="45" t="s">
        <v>1555</v>
      </c>
      <c r="K297" s="44" t="s">
        <v>593</v>
      </c>
      <c r="L297" s="35" t="s">
        <v>648</v>
      </c>
      <c r="M297" s="35">
        <v>15</v>
      </c>
      <c r="N297" s="35">
        <v>14.5</v>
      </c>
      <c r="O297" s="35">
        <f t="shared" si="8"/>
        <v>14.75</v>
      </c>
      <c r="P297" s="35">
        <v>15</v>
      </c>
      <c r="Q297" s="35">
        <v>17.5</v>
      </c>
      <c r="R297" s="35">
        <f t="shared" si="9"/>
        <v>16.25</v>
      </c>
      <c r="S297" s="35"/>
      <c r="T297" s="35"/>
      <c r="U297" s="35"/>
      <c r="V297" s="35" t="e">
        <f>AVERAGE(Tableau2[[#This Row],[1ère composition/10]:[3è composition]])</f>
        <v>#DIV/0!</v>
      </c>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f>COUNTIF(Tableau2[[#This Row],[Séance 1]:[Séance 38]],"A")</f>
        <v>0</v>
      </c>
      <c r="BJ297" s="35"/>
    </row>
    <row r="298" spans="1:62" hidden="1" x14ac:dyDescent="0.2">
      <c r="A298" s="44" t="s">
        <v>64</v>
      </c>
      <c r="B298" s="44" t="s">
        <v>649</v>
      </c>
      <c r="C298" s="44" t="s">
        <v>3771</v>
      </c>
      <c r="D298" s="44" t="s">
        <v>650</v>
      </c>
      <c r="E298" s="44" t="s">
        <v>120</v>
      </c>
      <c r="F298" s="44">
        <v>2021</v>
      </c>
      <c r="G298" s="44">
        <v>12</v>
      </c>
      <c r="H298" s="44">
        <v>9</v>
      </c>
      <c r="I298" s="44" t="str">
        <f>Tableau2[[#This Row],[Annee d''inscription au programme]]&amp;"-"&amp;Tableau2[[#This Row],[Code d''ecole]]&amp;"-"&amp;Tableau2[[#This Row],[Numero HM de la fille]]</f>
        <v>2021-12-9</v>
      </c>
      <c r="J298" s="45" t="s">
        <v>1556</v>
      </c>
      <c r="K298" s="44" t="s">
        <v>593</v>
      </c>
      <c r="L298" s="35" t="s">
        <v>594</v>
      </c>
      <c r="M298" s="35">
        <v>13</v>
      </c>
      <c r="N298" s="35">
        <v>13</v>
      </c>
      <c r="O298" s="35">
        <f t="shared" si="8"/>
        <v>13</v>
      </c>
      <c r="P298" s="35">
        <v>19</v>
      </c>
      <c r="Q298" s="35">
        <v>15.5</v>
      </c>
      <c r="R298" s="35">
        <f t="shared" si="9"/>
        <v>17.25</v>
      </c>
      <c r="S298" s="35"/>
      <c r="T298" s="35"/>
      <c r="U298" s="35"/>
      <c r="V298" s="35" t="e">
        <f>AVERAGE(Tableau2[[#This Row],[1ère composition/10]:[3è composition]])</f>
        <v>#DIV/0!</v>
      </c>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f>COUNTIF(Tableau2[[#This Row],[Séance 1]:[Séance 38]],"A")</f>
        <v>0</v>
      </c>
      <c r="BJ298" s="35"/>
    </row>
    <row r="299" spans="1:62" hidden="1" x14ac:dyDescent="0.2">
      <c r="A299" s="44" t="s">
        <v>64</v>
      </c>
      <c r="B299" s="44" t="s">
        <v>651</v>
      </c>
      <c r="C299" s="44" t="s">
        <v>3771</v>
      </c>
      <c r="D299" s="44" t="s">
        <v>640</v>
      </c>
      <c r="E299" s="44" t="s">
        <v>120</v>
      </c>
      <c r="F299" s="44">
        <v>2021</v>
      </c>
      <c r="G299" s="44">
        <v>12</v>
      </c>
      <c r="H299" s="44">
        <v>10</v>
      </c>
      <c r="I299" s="44" t="str">
        <f>Tableau2[[#This Row],[Annee d''inscription au programme]]&amp;"-"&amp;Tableau2[[#This Row],[Code d''ecole]]&amp;"-"&amp;Tableau2[[#This Row],[Numero HM de la fille]]</f>
        <v>2021-12-10</v>
      </c>
      <c r="J299" s="45" t="s">
        <v>1557</v>
      </c>
      <c r="K299" s="44" t="s">
        <v>593</v>
      </c>
      <c r="L299" s="35" t="s">
        <v>594</v>
      </c>
      <c r="M299" s="35">
        <v>6</v>
      </c>
      <c r="N299" s="35">
        <v>4.5</v>
      </c>
      <c r="O299" s="35">
        <f t="shared" si="8"/>
        <v>5.25</v>
      </c>
      <c r="P299" s="35">
        <v>8</v>
      </c>
      <c r="Q299" s="35">
        <v>10</v>
      </c>
      <c r="R299" s="35">
        <f t="shared" si="9"/>
        <v>9</v>
      </c>
      <c r="S299" s="35"/>
      <c r="T299" s="35"/>
      <c r="U299" s="35"/>
      <c r="V299" s="35" t="e">
        <f>AVERAGE(Tableau2[[#This Row],[1ère composition/10]:[3è composition]])</f>
        <v>#DIV/0!</v>
      </c>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f>COUNTIF(Tableau2[[#This Row],[Séance 1]:[Séance 38]],"A")</f>
        <v>0</v>
      </c>
      <c r="BJ299" s="35"/>
    </row>
    <row r="300" spans="1:62" hidden="1" x14ac:dyDescent="0.2">
      <c r="A300" s="44" t="s">
        <v>64</v>
      </c>
      <c r="B300" s="44" t="s">
        <v>652</v>
      </c>
      <c r="C300" s="44" t="s">
        <v>3771</v>
      </c>
      <c r="D300" s="44" t="s">
        <v>215</v>
      </c>
      <c r="E300" s="44" t="s">
        <v>120</v>
      </c>
      <c r="F300" s="44">
        <v>2021</v>
      </c>
      <c r="G300" s="44">
        <v>12</v>
      </c>
      <c r="H300" s="44">
        <v>11</v>
      </c>
      <c r="I300" s="44" t="str">
        <f>Tableau2[[#This Row],[Annee d''inscription au programme]]&amp;"-"&amp;Tableau2[[#This Row],[Code d''ecole]]&amp;"-"&amp;Tableau2[[#This Row],[Numero HM de la fille]]</f>
        <v>2021-12-11</v>
      </c>
      <c r="J300" s="45" t="s">
        <v>1558</v>
      </c>
      <c r="K300" s="44" t="s">
        <v>593</v>
      </c>
      <c r="L300" s="35" t="s">
        <v>594</v>
      </c>
      <c r="M300" s="35">
        <v>8</v>
      </c>
      <c r="N300" s="35">
        <v>3.5</v>
      </c>
      <c r="O300" s="35">
        <f t="shared" si="8"/>
        <v>5.75</v>
      </c>
      <c r="P300" s="35">
        <v>5.5</v>
      </c>
      <c r="Q300" s="35">
        <v>5</v>
      </c>
      <c r="R300" s="35">
        <f t="shared" si="9"/>
        <v>5.25</v>
      </c>
      <c r="S300" s="35"/>
      <c r="T300" s="35"/>
      <c r="U300" s="35"/>
      <c r="V300" s="35" t="e">
        <f>AVERAGE(Tableau2[[#This Row],[1ère composition/10]:[3è composition]])</f>
        <v>#DIV/0!</v>
      </c>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f>COUNTIF(Tableau2[[#This Row],[Séance 1]:[Séance 38]],"A")</f>
        <v>0</v>
      </c>
      <c r="BJ300" s="35"/>
    </row>
    <row r="301" spans="1:62" hidden="1" x14ac:dyDescent="0.2">
      <c r="A301" s="44" t="s">
        <v>64</v>
      </c>
      <c r="B301" s="44" t="s">
        <v>653</v>
      </c>
      <c r="C301" s="44" t="s">
        <v>3771</v>
      </c>
      <c r="D301" s="44" t="s">
        <v>654</v>
      </c>
      <c r="E301" s="44" t="s">
        <v>120</v>
      </c>
      <c r="F301" s="44">
        <v>2021</v>
      </c>
      <c r="G301" s="44">
        <v>12</v>
      </c>
      <c r="H301" s="44">
        <v>12</v>
      </c>
      <c r="I301" s="44" t="str">
        <f>Tableau2[[#This Row],[Annee d''inscription au programme]]&amp;"-"&amp;Tableau2[[#This Row],[Code d''ecole]]&amp;"-"&amp;Tableau2[[#This Row],[Numero HM de la fille]]</f>
        <v>2021-12-12</v>
      </c>
      <c r="J301" s="45" t="s">
        <v>1559</v>
      </c>
      <c r="K301" s="44" t="s">
        <v>593</v>
      </c>
      <c r="L301" s="35" t="s">
        <v>594</v>
      </c>
      <c r="M301" s="35">
        <v>8.5</v>
      </c>
      <c r="N301" s="35">
        <v>9.5</v>
      </c>
      <c r="O301" s="35">
        <f t="shared" si="8"/>
        <v>9</v>
      </c>
      <c r="P301" s="35">
        <v>13</v>
      </c>
      <c r="Q301" s="35">
        <v>16</v>
      </c>
      <c r="R301" s="35">
        <f t="shared" si="9"/>
        <v>14.5</v>
      </c>
      <c r="S301" s="35"/>
      <c r="T301" s="35"/>
      <c r="U301" s="35"/>
      <c r="V301" s="35" t="e">
        <f>AVERAGE(Tableau2[[#This Row],[1ère composition/10]:[3è composition]])</f>
        <v>#DIV/0!</v>
      </c>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f>COUNTIF(Tableau2[[#This Row],[Séance 1]:[Séance 38]],"A")</f>
        <v>0</v>
      </c>
      <c r="BJ301" s="35"/>
    </row>
    <row r="302" spans="1:62" ht="15.75" hidden="1" customHeight="1" x14ac:dyDescent="0.2">
      <c r="A302" s="44" t="s">
        <v>64</v>
      </c>
      <c r="B302" s="44" t="s">
        <v>655</v>
      </c>
      <c r="C302" s="44" t="s">
        <v>3771</v>
      </c>
      <c r="D302" s="44" t="s">
        <v>656</v>
      </c>
      <c r="E302" s="44" t="s">
        <v>120</v>
      </c>
      <c r="F302" s="44">
        <v>2021</v>
      </c>
      <c r="G302" s="44">
        <v>12</v>
      </c>
      <c r="H302" s="44">
        <v>13</v>
      </c>
      <c r="I302" s="44" t="str">
        <f>Tableau2[[#This Row],[Annee d''inscription au programme]]&amp;"-"&amp;Tableau2[[#This Row],[Code d''ecole]]&amp;"-"&amp;Tableau2[[#This Row],[Numero HM de la fille]]</f>
        <v>2021-12-13</v>
      </c>
      <c r="J302" s="45" t="s">
        <v>1560</v>
      </c>
      <c r="K302" s="44" t="s">
        <v>593</v>
      </c>
      <c r="L302" s="35" t="s">
        <v>594</v>
      </c>
      <c r="M302" s="35">
        <v>7</v>
      </c>
      <c r="N302" s="35">
        <v>6</v>
      </c>
      <c r="O302" s="35">
        <f t="shared" si="8"/>
        <v>6.5</v>
      </c>
      <c r="P302" s="35">
        <v>12</v>
      </c>
      <c r="Q302" s="35">
        <v>5.5</v>
      </c>
      <c r="R302" s="35">
        <f t="shared" si="9"/>
        <v>8.75</v>
      </c>
      <c r="S302" s="35"/>
      <c r="T302" s="35"/>
      <c r="U302" s="35"/>
      <c r="V302" s="35" t="e">
        <f>AVERAGE(Tableau2[[#This Row],[1ère composition/10]:[3è composition]])</f>
        <v>#DIV/0!</v>
      </c>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f>COUNTIF(Tableau2[[#This Row],[Séance 1]:[Séance 38]],"A")</f>
        <v>0</v>
      </c>
      <c r="BJ302" s="35"/>
    </row>
    <row r="303" spans="1:62" hidden="1" x14ac:dyDescent="0.2">
      <c r="A303" s="44" t="s">
        <v>64</v>
      </c>
      <c r="B303" s="44" t="s">
        <v>657</v>
      </c>
      <c r="C303" s="44" t="s">
        <v>3771</v>
      </c>
      <c r="D303" s="44" t="s">
        <v>617</v>
      </c>
      <c r="E303" s="44" t="s">
        <v>120</v>
      </c>
      <c r="F303" s="44">
        <v>2021</v>
      </c>
      <c r="G303" s="44">
        <v>12</v>
      </c>
      <c r="H303" s="44">
        <v>14</v>
      </c>
      <c r="I303" s="44" t="str">
        <f>Tableau2[[#This Row],[Annee d''inscription au programme]]&amp;"-"&amp;Tableau2[[#This Row],[Code d''ecole]]&amp;"-"&amp;Tableau2[[#This Row],[Numero HM de la fille]]</f>
        <v>2021-12-14</v>
      </c>
      <c r="J303" s="45" t="s">
        <v>1561</v>
      </c>
      <c r="K303" s="44" t="s">
        <v>593</v>
      </c>
      <c r="L303" s="35" t="s">
        <v>594</v>
      </c>
      <c r="M303" s="35">
        <v>13.5</v>
      </c>
      <c r="N303" s="35">
        <v>15.75</v>
      </c>
      <c r="O303" s="35">
        <f t="shared" si="8"/>
        <v>14.625</v>
      </c>
      <c r="P303" s="35">
        <v>10</v>
      </c>
      <c r="Q303" s="35">
        <v>17.5</v>
      </c>
      <c r="R303" s="35">
        <f t="shared" si="9"/>
        <v>13.75</v>
      </c>
      <c r="S303" s="35"/>
      <c r="T303" s="35"/>
      <c r="U303" s="35"/>
      <c r="V303" s="35" t="e">
        <f>AVERAGE(Tableau2[[#This Row],[1ère composition/10]:[3è composition]])</f>
        <v>#DIV/0!</v>
      </c>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f>COUNTIF(Tableau2[[#This Row],[Séance 1]:[Séance 38]],"A")</f>
        <v>0</v>
      </c>
      <c r="BJ303" s="35"/>
    </row>
    <row r="304" spans="1:62" hidden="1" x14ac:dyDescent="0.2">
      <c r="A304" s="44" t="s">
        <v>64</v>
      </c>
      <c r="B304" s="44" t="s">
        <v>658</v>
      </c>
      <c r="C304" s="44" t="s">
        <v>3771</v>
      </c>
      <c r="D304" s="44" t="s">
        <v>659</v>
      </c>
      <c r="E304" s="44" t="s">
        <v>120</v>
      </c>
      <c r="F304" s="44">
        <v>2021</v>
      </c>
      <c r="G304" s="44">
        <v>12</v>
      </c>
      <c r="H304" s="44">
        <v>15</v>
      </c>
      <c r="I304" s="44" t="str">
        <f>Tableau2[[#This Row],[Annee d''inscription au programme]]&amp;"-"&amp;Tableau2[[#This Row],[Code d''ecole]]&amp;"-"&amp;Tableau2[[#This Row],[Numero HM de la fille]]</f>
        <v>2021-12-15</v>
      </c>
      <c r="J304" s="45" t="s">
        <v>1562</v>
      </c>
      <c r="K304" s="44" t="s">
        <v>593</v>
      </c>
      <c r="L304" s="35" t="s">
        <v>594</v>
      </c>
      <c r="M304" s="35">
        <v>11.5</v>
      </c>
      <c r="N304" s="35">
        <v>10.25</v>
      </c>
      <c r="O304" s="35">
        <f t="shared" si="8"/>
        <v>10.875</v>
      </c>
      <c r="P304" s="35">
        <v>13</v>
      </c>
      <c r="Q304" s="35">
        <v>17</v>
      </c>
      <c r="R304" s="35">
        <f t="shared" si="9"/>
        <v>15</v>
      </c>
      <c r="S304" s="35"/>
      <c r="T304" s="35"/>
      <c r="U304" s="35"/>
      <c r="V304" s="35" t="e">
        <f>AVERAGE(Tableau2[[#This Row],[1ère composition/10]:[3è composition]])</f>
        <v>#DIV/0!</v>
      </c>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f>COUNTIF(Tableau2[[#This Row],[Séance 1]:[Séance 38]],"A")</f>
        <v>0</v>
      </c>
      <c r="BJ304" s="35"/>
    </row>
    <row r="305" spans="1:62" hidden="1" x14ac:dyDescent="0.2">
      <c r="A305" s="1" t="s">
        <v>660</v>
      </c>
      <c r="B305" s="44" t="s">
        <v>661</v>
      </c>
      <c r="C305" s="44" t="s">
        <v>3775</v>
      </c>
      <c r="D305" s="44" t="s">
        <v>662</v>
      </c>
      <c r="E305" s="44" t="s">
        <v>120</v>
      </c>
      <c r="F305" s="44">
        <v>2021</v>
      </c>
      <c r="G305" s="44">
        <v>46</v>
      </c>
      <c r="H305" s="44">
        <v>1</v>
      </c>
      <c r="I305" s="44" t="str">
        <f>Tableau2[[#This Row],[Annee d''inscription au programme]]&amp;"-"&amp;Tableau2[[#This Row],[Code d''ecole]]&amp;"-"&amp;Tableau2[[#This Row],[Numero HM de la fille]]</f>
        <v>2021-46-1</v>
      </c>
      <c r="J305" s="45" t="s">
        <v>3538</v>
      </c>
      <c r="K305" s="44" t="s">
        <v>593</v>
      </c>
      <c r="L305" s="35" t="s">
        <v>594</v>
      </c>
      <c r="M305" s="35">
        <v>0</v>
      </c>
      <c r="N305" s="35">
        <v>0</v>
      </c>
      <c r="O305" s="35">
        <f t="shared" si="8"/>
        <v>0</v>
      </c>
      <c r="P305" s="35">
        <v>17</v>
      </c>
      <c r="Q305" s="35">
        <v>18.5</v>
      </c>
      <c r="R305" s="35">
        <f t="shared" si="9"/>
        <v>17.75</v>
      </c>
      <c r="S305" s="35"/>
      <c r="T305" s="35"/>
      <c r="U305" s="35"/>
      <c r="V305" s="35" t="e">
        <f>AVERAGE(Tableau2[[#This Row],[1ère composition/10]:[3è composition]])</f>
        <v>#DIV/0!</v>
      </c>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f>COUNTIF(Tableau2[[#This Row],[Séance 1]:[Séance 38]],"A")</f>
        <v>0</v>
      </c>
      <c r="BJ305" s="35"/>
    </row>
    <row r="306" spans="1:62" hidden="1" x14ac:dyDescent="0.2">
      <c r="A306" s="1" t="s">
        <v>660</v>
      </c>
      <c r="B306" s="44" t="s">
        <v>596</v>
      </c>
      <c r="C306" s="44" t="s">
        <v>3775</v>
      </c>
      <c r="D306" s="44" t="s">
        <v>663</v>
      </c>
      <c r="E306" s="44" t="s">
        <v>120</v>
      </c>
      <c r="F306" s="44">
        <v>2021</v>
      </c>
      <c r="G306" s="44">
        <v>46</v>
      </c>
      <c r="H306" s="44">
        <v>2</v>
      </c>
      <c r="I306" s="44" t="str">
        <f>Tableau2[[#This Row],[Annee d''inscription au programme]]&amp;"-"&amp;Tableau2[[#This Row],[Code d''ecole]]&amp;"-"&amp;Tableau2[[#This Row],[Numero HM de la fille]]</f>
        <v>2021-46-2</v>
      </c>
      <c r="J306" s="45" t="s">
        <v>1563</v>
      </c>
      <c r="K306" s="44" t="s">
        <v>593</v>
      </c>
      <c r="L306" s="35" t="s">
        <v>664</v>
      </c>
      <c r="M306" s="35">
        <v>0</v>
      </c>
      <c r="N306" s="35">
        <v>0</v>
      </c>
      <c r="O306" s="35">
        <f t="shared" si="8"/>
        <v>0</v>
      </c>
      <c r="P306" s="35">
        <v>5.5</v>
      </c>
      <c r="Q306" s="35">
        <v>3</v>
      </c>
      <c r="R306" s="35">
        <f t="shared" si="9"/>
        <v>4.25</v>
      </c>
      <c r="S306" s="35"/>
      <c r="T306" s="35"/>
      <c r="U306" s="35"/>
      <c r="V306" s="35" t="e">
        <f>AVERAGE(Tableau2[[#This Row],[1ère composition/10]:[3è composition]])</f>
        <v>#DIV/0!</v>
      </c>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f>COUNTIF(Tableau2[[#This Row],[Séance 1]:[Séance 38]],"A")</f>
        <v>0</v>
      </c>
      <c r="BJ306" s="35"/>
    </row>
    <row r="307" spans="1:62" hidden="1" x14ac:dyDescent="0.2">
      <c r="A307" s="1" t="s">
        <v>660</v>
      </c>
      <c r="B307" s="44" t="s">
        <v>665</v>
      </c>
      <c r="C307" s="44" t="s">
        <v>3775</v>
      </c>
      <c r="D307" s="44" t="s">
        <v>666</v>
      </c>
      <c r="E307" s="44" t="s">
        <v>120</v>
      </c>
      <c r="F307" s="44">
        <v>2021</v>
      </c>
      <c r="G307" s="44">
        <v>46</v>
      </c>
      <c r="H307" s="44">
        <v>3</v>
      </c>
      <c r="I307" s="44" t="str">
        <f>Tableau2[[#This Row],[Annee d''inscription au programme]]&amp;"-"&amp;Tableau2[[#This Row],[Code d''ecole]]&amp;"-"&amp;Tableau2[[#This Row],[Numero HM de la fille]]</f>
        <v>2021-46-3</v>
      </c>
      <c r="J307" s="45" t="s">
        <v>1564</v>
      </c>
      <c r="K307" s="44" t="s">
        <v>593</v>
      </c>
      <c r="L307" s="35" t="s">
        <v>648</v>
      </c>
      <c r="M307" s="35">
        <v>0</v>
      </c>
      <c r="N307" s="35">
        <v>0</v>
      </c>
      <c r="O307" s="35">
        <f t="shared" si="8"/>
        <v>0</v>
      </c>
      <c r="P307" s="35"/>
      <c r="Q307" s="35"/>
      <c r="R307" s="35">
        <f t="shared" si="9"/>
        <v>0</v>
      </c>
      <c r="S307" s="35"/>
      <c r="T307" s="35"/>
      <c r="U307" s="35"/>
      <c r="V307" s="35" t="e">
        <f>AVERAGE(Tableau2[[#This Row],[1ère composition/10]:[3è composition]])</f>
        <v>#DIV/0!</v>
      </c>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f>COUNTIF(Tableau2[[#This Row],[Séance 1]:[Séance 38]],"A")</f>
        <v>0</v>
      </c>
      <c r="BJ307" s="35"/>
    </row>
    <row r="308" spans="1:62" hidden="1" x14ac:dyDescent="0.2">
      <c r="A308" s="1" t="s">
        <v>660</v>
      </c>
      <c r="B308" s="44" t="s">
        <v>667</v>
      </c>
      <c r="C308" s="44" t="s">
        <v>3775</v>
      </c>
      <c r="D308" s="44" t="s">
        <v>659</v>
      </c>
      <c r="E308" s="44" t="s">
        <v>120</v>
      </c>
      <c r="F308" s="44">
        <v>2021</v>
      </c>
      <c r="G308" s="44">
        <v>46</v>
      </c>
      <c r="H308" s="44">
        <v>4</v>
      </c>
      <c r="I308" s="44" t="str">
        <f>Tableau2[[#This Row],[Annee d''inscription au programme]]&amp;"-"&amp;Tableau2[[#This Row],[Code d''ecole]]&amp;"-"&amp;Tableau2[[#This Row],[Numero HM de la fille]]</f>
        <v>2021-46-4</v>
      </c>
      <c r="J308" s="45" t="s">
        <v>1565</v>
      </c>
      <c r="K308" s="44" t="s">
        <v>593</v>
      </c>
      <c r="L308" s="35" t="s">
        <v>648</v>
      </c>
      <c r="M308" s="35">
        <v>14</v>
      </c>
      <c r="N308" s="35">
        <v>12</v>
      </c>
      <c r="O308" s="35">
        <f t="shared" si="8"/>
        <v>13</v>
      </c>
      <c r="P308" s="35">
        <v>12.5</v>
      </c>
      <c r="Q308" s="35">
        <v>14.5</v>
      </c>
      <c r="R308" s="35">
        <f t="shared" si="9"/>
        <v>13.5</v>
      </c>
      <c r="S308" s="35"/>
      <c r="T308" s="35"/>
      <c r="U308" s="35"/>
      <c r="V308" s="35" t="e">
        <f>AVERAGE(Tableau2[[#This Row],[1ère composition/10]:[3è composition]])</f>
        <v>#DIV/0!</v>
      </c>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f>COUNTIF(Tableau2[[#This Row],[Séance 1]:[Séance 38]],"A")</f>
        <v>0</v>
      </c>
      <c r="BJ308" s="35"/>
    </row>
    <row r="309" spans="1:62" hidden="1" x14ac:dyDescent="0.2">
      <c r="A309" s="1" t="s">
        <v>660</v>
      </c>
      <c r="B309" s="44" t="s">
        <v>668</v>
      </c>
      <c r="C309" s="44" t="s">
        <v>3775</v>
      </c>
      <c r="D309" s="44" t="s">
        <v>669</v>
      </c>
      <c r="E309" s="44" t="s">
        <v>120</v>
      </c>
      <c r="F309" s="44">
        <v>2021</v>
      </c>
      <c r="G309" s="44">
        <v>46</v>
      </c>
      <c r="H309" s="44">
        <v>5</v>
      </c>
      <c r="I309" s="44" t="str">
        <f>Tableau2[[#This Row],[Annee d''inscription au programme]]&amp;"-"&amp;Tableau2[[#This Row],[Code d''ecole]]&amp;"-"&amp;Tableau2[[#This Row],[Numero HM de la fille]]</f>
        <v>2021-46-5</v>
      </c>
      <c r="J309" s="45" t="s">
        <v>1566</v>
      </c>
      <c r="K309" s="44" t="s">
        <v>593</v>
      </c>
      <c r="L309" s="35" t="s">
        <v>648</v>
      </c>
      <c r="M309" s="35">
        <v>0</v>
      </c>
      <c r="N309" s="35">
        <v>0</v>
      </c>
      <c r="O309" s="35">
        <f t="shared" si="8"/>
        <v>0</v>
      </c>
      <c r="P309" s="35">
        <v>15.5</v>
      </c>
      <c r="Q309" s="35">
        <v>19</v>
      </c>
      <c r="R309" s="35">
        <f t="shared" si="9"/>
        <v>17.25</v>
      </c>
      <c r="S309" s="35"/>
      <c r="T309" s="35"/>
      <c r="U309" s="35"/>
      <c r="V309" s="35" t="e">
        <f>AVERAGE(Tableau2[[#This Row],[1ère composition/10]:[3è composition]])</f>
        <v>#DIV/0!</v>
      </c>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f>COUNTIF(Tableau2[[#This Row],[Séance 1]:[Séance 38]],"A")</f>
        <v>0</v>
      </c>
      <c r="BJ309" s="35"/>
    </row>
    <row r="310" spans="1:62" hidden="1" x14ac:dyDescent="0.2">
      <c r="A310" s="1" t="s">
        <v>660</v>
      </c>
      <c r="B310" s="44" t="s">
        <v>670</v>
      </c>
      <c r="C310" s="44" t="s">
        <v>3775</v>
      </c>
      <c r="D310" s="44" t="s">
        <v>671</v>
      </c>
      <c r="E310" s="44" t="s">
        <v>120</v>
      </c>
      <c r="F310" s="44">
        <v>2021</v>
      </c>
      <c r="G310" s="44">
        <v>46</v>
      </c>
      <c r="H310" s="44">
        <v>6</v>
      </c>
      <c r="I310" s="44" t="str">
        <f>Tableau2[[#This Row],[Annee d''inscription au programme]]&amp;"-"&amp;Tableau2[[#This Row],[Code d''ecole]]&amp;"-"&amp;Tableau2[[#This Row],[Numero HM de la fille]]</f>
        <v>2021-46-6</v>
      </c>
      <c r="J310" s="45" t="s">
        <v>1567</v>
      </c>
      <c r="K310" s="44" t="s">
        <v>593</v>
      </c>
      <c r="L310" s="35" t="s">
        <v>672</v>
      </c>
      <c r="M310" s="35">
        <v>0</v>
      </c>
      <c r="N310" s="35">
        <v>0</v>
      </c>
      <c r="O310" s="35">
        <f t="shared" si="8"/>
        <v>0</v>
      </c>
      <c r="P310" s="35">
        <v>9</v>
      </c>
      <c r="Q310" s="35">
        <v>5</v>
      </c>
      <c r="R310" s="35">
        <f t="shared" si="9"/>
        <v>7</v>
      </c>
      <c r="S310" s="35"/>
      <c r="T310" s="35"/>
      <c r="U310" s="35"/>
      <c r="V310" s="35" t="e">
        <f>AVERAGE(Tableau2[[#This Row],[1ère composition/10]:[3è composition]])</f>
        <v>#DIV/0!</v>
      </c>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f>COUNTIF(Tableau2[[#This Row],[Séance 1]:[Séance 38]],"A")</f>
        <v>0</v>
      </c>
      <c r="BJ310" s="35"/>
    </row>
    <row r="311" spans="1:62" hidden="1" x14ac:dyDescent="0.2">
      <c r="A311" s="1" t="s">
        <v>660</v>
      </c>
      <c r="B311" s="44" t="s">
        <v>673</v>
      </c>
      <c r="C311" s="44" t="s">
        <v>3775</v>
      </c>
      <c r="D311" s="44" t="s">
        <v>674</v>
      </c>
      <c r="E311" s="44" t="s">
        <v>120</v>
      </c>
      <c r="F311" s="44">
        <v>2021</v>
      </c>
      <c r="G311" s="44">
        <v>46</v>
      </c>
      <c r="H311" s="44">
        <v>7</v>
      </c>
      <c r="I311" s="44" t="str">
        <f>Tableau2[[#This Row],[Annee d''inscription au programme]]&amp;"-"&amp;Tableau2[[#This Row],[Code d''ecole]]&amp;"-"&amp;Tableau2[[#This Row],[Numero HM de la fille]]</f>
        <v>2021-46-7</v>
      </c>
      <c r="J311" s="45" t="s">
        <v>1568</v>
      </c>
      <c r="K311" s="44" t="s">
        <v>593</v>
      </c>
      <c r="L311" s="35" t="s">
        <v>648</v>
      </c>
      <c r="M311" s="35">
        <v>0</v>
      </c>
      <c r="N311" s="35">
        <v>0</v>
      </c>
      <c r="O311" s="35">
        <f t="shared" si="8"/>
        <v>0</v>
      </c>
      <c r="P311" s="35">
        <v>15.5</v>
      </c>
      <c r="Q311" s="35">
        <v>19.5</v>
      </c>
      <c r="R311" s="35">
        <f t="shared" si="9"/>
        <v>17.5</v>
      </c>
      <c r="S311" s="35"/>
      <c r="T311" s="35"/>
      <c r="U311" s="35"/>
      <c r="V311" s="35" t="e">
        <f>AVERAGE(Tableau2[[#This Row],[1ère composition/10]:[3è composition]])</f>
        <v>#DIV/0!</v>
      </c>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f>COUNTIF(Tableau2[[#This Row],[Séance 1]:[Séance 38]],"A")</f>
        <v>0</v>
      </c>
      <c r="BJ311" s="35"/>
    </row>
    <row r="312" spans="1:62" hidden="1" x14ac:dyDescent="0.2">
      <c r="A312" s="1" t="s">
        <v>660</v>
      </c>
      <c r="B312" s="44" t="s">
        <v>675</v>
      </c>
      <c r="C312" s="44" t="s">
        <v>3771</v>
      </c>
      <c r="D312" s="44" t="s">
        <v>676</v>
      </c>
      <c r="E312" s="44" t="s">
        <v>120</v>
      </c>
      <c r="F312" s="44">
        <v>2021</v>
      </c>
      <c r="G312" s="44">
        <v>46</v>
      </c>
      <c r="H312" s="44">
        <v>8</v>
      </c>
      <c r="I312" s="44" t="str">
        <f>Tableau2[[#This Row],[Annee d''inscription au programme]]&amp;"-"&amp;Tableau2[[#This Row],[Code d''ecole]]&amp;"-"&amp;Tableau2[[#This Row],[Numero HM de la fille]]</f>
        <v>2021-46-8</v>
      </c>
      <c r="J312" s="45" t="s">
        <v>1569</v>
      </c>
      <c r="K312" s="44" t="s">
        <v>374</v>
      </c>
      <c r="L312" s="35" t="s">
        <v>620</v>
      </c>
      <c r="M312" s="35">
        <v>0</v>
      </c>
      <c r="N312" s="35">
        <v>0</v>
      </c>
      <c r="O312" s="35">
        <f t="shared" si="8"/>
        <v>0</v>
      </c>
      <c r="P312" s="35">
        <v>17.5</v>
      </c>
      <c r="Q312" s="35">
        <v>20</v>
      </c>
      <c r="R312" s="35">
        <f t="shared" si="9"/>
        <v>18.75</v>
      </c>
      <c r="S312" s="35"/>
      <c r="T312" s="35"/>
      <c r="U312" s="35"/>
      <c r="V312" s="35" t="e">
        <f>AVERAGE(Tableau2[[#This Row],[1ère composition/10]:[3è composition]])</f>
        <v>#DIV/0!</v>
      </c>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f>COUNTIF(Tableau2[[#This Row],[Séance 1]:[Séance 38]],"A")</f>
        <v>0</v>
      </c>
      <c r="BJ312" s="35"/>
    </row>
    <row r="313" spans="1:62" hidden="1" x14ac:dyDescent="0.2">
      <c r="A313" s="1" t="s">
        <v>660</v>
      </c>
      <c r="B313" s="44" t="s">
        <v>677</v>
      </c>
      <c r="C313" s="44" t="s">
        <v>3772</v>
      </c>
      <c r="D313" s="44" t="s">
        <v>659</v>
      </c>
      <c r="E313" s="44" t="s">
        <v>120</v>
      </c>
      <c r="F313" s="44">
        <v>2021</v>
      </c>
      <c r="G313" s="44">
        <v>46</v>
      </c>
      <c r="H313" s="44">
        <v>9</v>
      </c>
      <c r="I313" s="44" t="str">
        <f>Tableau2[[#This Row],[Annee d''inscription au programme]]&amp;"-"&amp;Tableau2[[#This Row],[Code d''ecole]]&amp;"-"&amp;Tableau2[[#This Row],[Numero HM de la fille]]</f>
        <v>2021-46-9</v>
      </c>
      <c r="J313" s="45" t="s">
        <v>1570</v>
      </c>
      <c r="K313" s="44" t="s">
        <v>374</v>
      </c>
      <c r="L313" s="35" t="s">
        <v>620</v>
      </c>
      <c r="M313" s="35">
        <v>11</v>
      </c>
      <c r="N313" s="35">
        <v>8.5</v>
      </c>
      <c r="O313" s="35">
        <f t="shared" si="8"/>
        <v>9.75</v>
      </c>
      <c r="P313" s="35"/>
      <c r="Q313" s="35"/>
      <c r="R313" s="35">
        <f t="shared" si="9"/>
        <v>0</v>
      </c>
      <c r="S313" s="35"/>
      <c r="T313" s="35"/>
      <c r="U313" s="35"/>
      <c r="V313" s="35" t="e">
        <f>AVERAGE(Tableau2[[#This Row],[1ère composition/10]:[3è composition]])</f>
        <v>#DIV/0!</v>
      </c>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f>COUNTIF(Tableau2[[#This Row],[Séance 1]:[Séance 38]],"A")</f>
        <v>0</v>
      </c>
      <c r="BJ313" s="35"/>
    </row>
    <row r="314" spans="1:62" hidden="1" x14ac:dyDescent="0.2">
      <c r="A314" s="1" t="s">
        <v>660</v>
      </c>
      <c r="B314" s="44" t="s">
        <v>678</v>
      </c>
      <c r="C314" s="44" t="s">
        <v>3775</v>
      </c>
      <c r="D314" s="44" t="s">
        <v>679</v>
      </c>
      <c r="E314" s="44" t="s">
        <v>120</v>
      </c>
      <c r="F314" s="44">
        <v>2021</v>
      </c>
      <c r="G314" s="44">
        <v>46</v>
      </c>
      <c r="H314" s="44">
        <v>10</v>
      </c>
      <c r="I314" s="44" t="str">
        <f>Tableau2[[#This Row],[Annee d''inscription au programme]]&amp;"-"&amp;Tableau2[[#This Row],[Code d''ecole]]&amp;"-"&amp;Tableau2[[#This Row],[Numero HM de la fille]]</f>
        <v>2021-46-10</v>
      </c>
      <c r="J314" s="45" t="s">
        <v>1571</v>
      </c>
      <c r="K314" s="44" t="s">
        <v>593</v>
      </c>
      <c r="L314" s="35" t="s">
        <v>594</v>
      </c>
      <c r="M314" s="35">
        <v>0</v>
      </c>
      <c r="N314" s="35">
        <v>0</v>
      </c>
      <c r="O314" s="35">
        <f t="shared" si="8"/>
        <v>0</v>
      </c>
      <c r="P314" s="35">
        <v>16.5</v>
      </c>
      <c r="Q314" s="35">
        <v>19.5</v>
      </c>
      <c r="R314" s="35">
        <f t="shared" si="9"/>
        <v>18</v>
      </c>
      <c r="S314" s="35"/>
      <c r="T314" s="35"/>
      <c r="U314" s="35"/>
      <c r="V314" s="35" t="e">
        <f>AVERAGE(Tableau2[[#This Row],[1ère composition/10]:[3è composition]])</f>
        <v>#DIV/0!</v>
      </c>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f>COUNTIF(Tableau2[[#This Row],[Séance 1]:[Séance 38]],"A")</f>
        <v>0</v>
      </c>
      <c r="BJ314" s="35"/>
    </row>
    <row r="315" spans="1:62" hidden="1" x14ac:dyDescent="0.2">
      <c r="A315" s="1" t="s">
        <v>660</v>
      </c>
      <c r="B315" s="44" t="s">
        <v>680</v>
      </c>
      <c r="C315" s="44" t="s">
        <v>3775</v>
      </c>
      <c r="D315" s="44" t="s">
        <v>262</v>
      </c>
      <c r="E315" s="44" t="s">
        <v>120</v>
      </c>
      <c r="F315" s="44">
        <v>2021</v>
      </c>
      <c r="G315" s="44">
        <v>46</v>
      </c>
      <c r="H315" s="44">
        <v>11</v>
      </c>
      <c r="I315" s="44" t="str">
        <f>Tableau2[[#This Row],[Annee d''inscription au programme]]&amp;"-"&amp;Tableau2[[#This Row],[Code d''ecole]]&amp;"-"&amp;Tableau2[[#This Row],[Numero HM de la fille]]</f>
        <v>2021-46-11</v>
      </c>
      <c r="J315" s="45" t="s">
        <v>1572</v>
      </c>
      <c r="K315" s="44" t="s">
        <v>593</v>
      </c>
      <c r="L315" s="35" t="s">
        <v>594</v>
      </c>
      <c r="M315" s="35">
        <v>0</v>
      </c>
      <c r="N315" s="35">
        <v>0</v>
      </c>
      <c r="O315" s="35">
        <f t="shared" si="8"/>
        <v>0</v>
      </c>
      <c r="P315" s="35">
        <v>14.5</v>
      </c>
      <c r="Q315" s="35">
        <v>19</v>
      </c>
      <c r="R315" s="35">
        <f t="shared" si="9"/>
        <v>16.75</v>
      </c>
      <c r="S315" s="35"/>
      <c r="T315" s="35"/>
      <c r="U315" s="35"/>
      <c r="V315" s="35" t="e">
        <f>AVERAGE(Tableau2[[#This Row],[1ère composition/10]:[3è composition]])</f>
        <v>#DIV/0!</v>
      </c>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f>COUNTIF(Tableau2[[#This Row],[Séance 1]:[Séance 38]],"A")</f>
        <v>0</v>
      </c>
      <c r="BJ315" s="35"/>
    </row>
    <row r="316" spans="1:62" hidden="1" x14ac:dyDescent="0.2">
      <c r="A316" s="1" t="s">
        <v>660</v>
      </c>
      <c r="B316" s="44" t="s">
        <v>681</v>
      </c>
      <c r="C316" s="44" t="s">
        <v>3775</v>
      </c>
      <c r="D316" s="44" t="s">
        <v>663</v>
      </c>
      <c r="E316" s="44" t="s">
        <v>120</v>
      </c>
      <c r="F316" s="44">
        <v>2021</v>
      </c>
      <c r="G316" s="44">
        <v>46</v>
      </c>
      <c r="H316" s="44">
        <v>12</v>
      </c>
      <c r="I316" s="44" t="str">
        <f>Tableau2[[#This Row],[Annee d''inscription au programme]]&amp;"-"&amp;Tableau2[[#This Row],[Code d''ecole]]&amp;"-"&amp;Tableau2[[#This Row],[Numero HM de la fille]]</f>
        <v>2021-46-12</v>
      </c>
      <c r="J316" s="45" t="s">
        <v>1573</v>
      </c>
      <c r="K316" s="44" t="s">
        <v>593</v>
      </c>
      <c r="L316" s="35" t="s">
        <v>594</v>
      </c>
      <c r="M316" s="35">
        <v>9</v>
      </c>
      <c r="N316" s="35">
        <v>1.75</v>
      </c>
      <c r="O316" s="35">
        <f t="shared" si="8"/>
        <v>5.375</v>
      </c>
      <c r="P316" s="35"/>
      <c r="Q316" s="35"/>
      <c r="R316" s="35">
        <f t="shared" si="9"/>
        <v>0</v>
      </c>
      <c r="S316" s="35"/>
      <c r="T316" s="35"/>
      <c r="U316" s="35"/>
      <c r="V316" s="35" t="e">
        <f>AVERAGE(Tableau2[[#This Row],[1ère composition/10]:[3è composition]])</f>
        <v>#DIV/0!</v>
      </c>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f>COUNTIF(Tableau2[[#This Row],[Séance 1]:[Séance 38]],"A")</f>
        <v>0</v>
      </c>
      <c r="BJ316" s="35"/>
    </row>
    <row r="317" spans="1:62" hidden="1" x14ac:dyDescent="0.2">
      <c r="A317" s="1" t="s">
        <v>660</v>
      </c>
      <c r="B317" s="44" t="s">
        <v>682</v>
      </c>
      <c r="C317" s="44" t="s">
        <v>3775</v>
      </c>
      <c r="D317" s="44" t="s">
        <v>674</v>
      </c>
      <c r="E317" s="44" t="s">
        <v>120</v>
      </c>
      <c r="F317" s="44">
        <v>2021</v>
      </c>
      <c r="G317" s="44">
        <v>46</v>
      </c>
      <c r="H317" s="44">
        <v>13</v>
      </c>
      <c r="I317" s="44" t="str">
        <f>Tableau2[[#This Row],[Annee d''inscription au programme]]&amp;"-"&amp;Tableau2[[#This Row],[Code d''ecole]]&amp;"-"&amp;Tableau2[[#This Row],[Numero HM de la fille]]</f>
        <v>2021-46-13</v>
      </c>
      <c r="J317" s="45" t="s">
        <v>1574</v>
      </c>
      <c r="K317" s="44" t="s">
        <v>593</v>
      </c>
      <c r="L317" s="35" t="s">
        <v>594</v>
      </c>
      <c r="M317" s="35">
        <v>16</v>
      </c>
      <c r="N317" s="35">
        <v>19</v>
      </c>
      <c r="O317" s="35">
        <f t="shared" si="8"/>
        <v>17.5</v>
      </c>
      <c r="P317" s="35">
        <v>19</v>
      </c>
      <c r="Q317" s="35">
        <v>20</v>
      </c>
      <c r="R317" s="35">
        <f t="shared" si="9"/>
        <v>19.5</v>
      </c>
      <c r="S317" s="35"/>
      <c r="T317" s="35"/>
      <c r="U317" s="35"/>
      <c r="V317" s="35" t="e">
        <f>AVERAGE(Tableau2[[#This Row],[1ère composition/10]:[3è composition]])</f>
        <v>#DIV/0!</v>
      </c>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f>COUNTIF(Tableau2[[#This Row],[Séance 1]:[Séance 38]],"A")</f>
        <v>0</v>
      </c>
      <c r="BJ317" s="35"/>
    </row>
    <row r="318" spans="1:62" hidden="1" x14ac:dyDescent="0.2">
      <c r="A318" s="1" t="s">
        <v>660</v>
      </c>
      <c r="B318" s="44" t="s">
        <v>683</v>
      </c>
      <c r="C318" s="44" t="s">
        <v>3775</v>
      </c>
      <c r="D318" s="44" t="s">
        <v>684</v>
      </c>
      <c r="E318" s="44" t="s">
        <v>120</v>
      </c>
      <c r="F318" s="44">
        <v>2021</v>
      </c>
      <c r="G318" s="44">
        <v>46</v>
      </c>
      <c r="H318" s="44">
        <v>14</v>
      </c>
      <c r="I318" s="44" t="str">
        <f>Tableau2[[#This Row],[Annee d''inscription au programme]]&amp;"-"&amp;Tableau2[[#This Row],[Code d''ecole]]&amp;"-"&amp;Tableau2[[#This Row],[Numero HM de la fille]]</f>
        <v>2021-46-14</v>
      </c>
      <c r="J318" s="45" t="s">
        <v>1575</v>
      </c>
      <c r="K318" s="44" t="s">
        <v>593</v>
      </c>
      <c r="L318" s="35" t="s">
        <v>594</v>
      </c>
      <c r="M318" s="35">
        <v>0</v>
      </c>
      <c r="N318" s="35">
        <v>0</v>
      </c>
      <c r="O318" s="35">
        <f t="shared" si="8"/>
        <v>0</v>
      </c>
      <c r="P318" s="35">
        <v>9</v>
      </c>
      <c r="Q318" s="35">
        <v>11</v>
      </c>
      <c r="R318" s="35">
        <f t="shared" si="9"/>
        <v>10</v>
      </c>
      <c r="S318" s="35"/>
      <c r="T318" s="35"/>
      <c r="U318" s="35"/>
      <c r="V318" s="35" t="e">
        <f>AVERAGE(Tableau2[[#This Row],[1ère composition/10]:[3è composition]])</f>
        <v>#DIV/0!</v>
      </c>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f>COUNTIF(Tableau2[[#This Row],[Séance 1]:[Séance 38]],"A")</f>
        <v>0</v>
      </c>
      <c r="BJ318" s="35"/>
    </row>
    <row r="319" spans="1:62" hidden="1" x14ac:dyDescent="0.2">
      <c r="A319" s="1" t="s">
        <v>660</v>
      </c>
      <c r="B319" s="44" t="s">
        <v>685</v>
      </c>
      <c r="C319" s="44" t="s">
        <v>3775</v>
      </c>
      <c r="D319" s="44" t="s">
        <v>686</v>
      </c>
      <c r="E319" s="44" t="s">
        <v>120</v>
      </c>
      <c r="F319" s="44">
        <v>2021</v>
      </c>
      <c r="G319" s="44">
        <v>46</v>
      </c>
      <c r="H319" s="44">
        <v>15</v>
      </c>
      <c r="I319" s="44" t="str">
        <f>Tableau2[[#This Row],[Annee d''inscription au programme]]&amp;"-"&amp;Tableau2[[#This Row],[Code d''ecole]]&amp;"-"&amp;Tableau2[[#This Row],[Numero HM de la fille]]</f>
        <v>2021-46-15</v>
      </c>
      <c r="J319" s="45" t="s">
        <v>1576</v>
      </c>
      <c r="K319" s="44" t="s">
        <v>593</v>
      </c>
      <c r="L319" s="35" t="s">
        <v>594</v>
      </c>
      <c r="M319" s="35">
        <v>0</v>
      </c>
      <c r="N319" s="35">
        <v>0</v>
      </c>
      <c r="O319" s="35">
        <f t="shared" si="8"/>
        <v>0</v>
      </c>
      <c r="P319" s="35">
        <v>17</v>
      </c>
      <c r="Q319" s="35">
        <v>17</v>
      </c>
      <c r="R319" s="35">
        <f t="shared" si="9"/>
        <v>17</v>
      </c>
      <c r="S319" s="35"/>
      <c r="T319" s="35"/>
      <c r="U319" s="35"/>
      <c r="V319" s="35" t="e">
        <f>AVERAGE(Tableau2[[#This Row],[1ère composition/10]:[3è composition]])</f>
        <v>#DIV/0!</v>
      </c>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f>COUNTIF(Tableau2[[#This Row],[Séance 1]:[Séance 38]],"A")</f>
        <v>0</v>
      </c>
      <c r="BJ319" s="35"/>
    </row>
    <row r="320" spans="1:62" hidden="1" x14ac:dyDescent="0.2">
      <c r="A320" s="1" t="s">
        <v>660</v>
      </c>
      <c r="B320" s="44" t="s">
        <v>687</v>
      </c>
      <c r="C320" s="44" t="s">
        <v>3772</v>
      </c>
      <c r="D320" s="44" t="s">
        <v>325</v>
      </c>
      <c r="E320" s="44" t="s">
        <v>120</v>
      </c>
      <c r="F320" s="44">
        <v>2021</v>
      </c>
      <c r="G320" s="44">
        <v>46</v>
      </c>
      <c r="H320" s="44">
        <v>16</v>
      </c>
      <c r="I320" s="44" t="str">
        <f>Tableau2[[#This Row],[Annee d''inscription au programme]]&amp;"-"&amp;Tableau2[[#This Row],[Code d''ecole]]&amp;"-"&amp;Tableau2[[#This Row],[Numero HM de la fille]]</f>
        <v>2021-46-16</v>
      </c>
      <c r="J320" s="45" t="s">
        <v>1577</v>
      </c>
      <c r="K320" s="44" t="s">
        <v>374</v>
      </c>
      <c r="L320" s="35" t="s">
        <v>620</v>
      </c>
      <c r="M320" s="35">
        <v>0</v>
      </c>
      <c r="N320" s="35">
        <v>0</v>
      </c>
      <c r="O320" s="35">
        <f t="shared" si="8"/>
        <v>0</v>
      </c>
      <c r="P320" s="35"/>
      <c r="Q320" s="35"/>
      <c r="R320" s="35">
        <f t="shared" si="9"/>
        <v>0</v>
      </c>
      <c r="S320" s="35"/>
      <c r="T320" s="35"/>
      <c r="U320" s="35"/>
      <c r="V320" s="35" t="e">
        <f>AVERAGE(Tableau2[[#This Row],[1ère composition/10]:[3è composition]])</f>
        <v>#DIV/0!</v>
      </c>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f>COUNTIF(Tableau2[[#This Row],[Séance 1]:[Séance 38]],"A")</f>
        <v>0</v>
      </c>
      <c r="BJ320" s="35"/>
    </row>
    <row r="321" spans="1:62" hidden="1" x14ac:dyDescent="0.2">
      <c r="A321" s="1" t="s">
        <v>660</v>
      </c>
      <c r="B321" s="44" t="s">
        <v>688</v>
      </c>
      <c r="C321" s="44" t="s">
        <v>3771</v>
      </c>
      <c r="D321" s="44" t="s">
        <v>615</v>
      </c>
      <c r="E321" s="44" t="s">
        <v>120</v>
      </c>
      <c r="F321" s="44">
        <v>2021</v>
      </c>
      <c r="G321" s="44">
        <v>46</v>
      </c>
      <c r="H321" s="44">
        <v>17</v>
      </c>
      <c r="I321" s="44" t="str">
        <f>Tableau2[[#This Row],[Annee d''inscription au programme]]&amp;"-"&amp;Tableau2[[#This Row],[Code d''ecole]]&amp;"-"&amp;Tableau2[[#This Row],[Numero HM de la fille]]</f>
        <v>2021-46-17</v>
      </c>
      <c r="J321" s="45" t="s">
        <v>1578</v>
      </c>
      <c r="K321" s="44" t="s">
        <v>374</v>
      </c>
      <c r="L321" s="35" t="s">
        <v>620</v>
      </c>
      <c r="M321" s="35">
        <v>15.5</v>
      </c>
      <c r="N321" s="35">
        <v>18.25</v>
      </c>
      <c r="O321" s="35">
        <f t="shared" si="8"/>
        <v>16.875</v>
      </c>
      <c r="P321" s="35">
        <v>16.5</v>
      </c>
      <c r="Q321" s="35">
        <v>19</v>
      </c>
      <c r="R321" s="35">
        <f t="shared" si="9"/>
        <v>17.75</v>
      </c>
      <c r="S321" s="35"/>
      <c r="T321" s="35"/>
      <c r="U321" s="35"/>
      <c r="V321" s="35" t="e">
        <f>AVERAGE(Tableau2[[#This Row],[1ère composition/10]:[3è composition]])</f>
        <v>#DIV/0!</v>
      </c>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f>COUNTIF(Tableau2[[#This Row],[Séance 1]:[Séance 38]],"A")</f>
        <v>0</v>
      </c>
      <c r="BJ321" s="35"/>
    </row>
    <row r="322" spans="1:62" hidden="1" x14ac:dyDescent="0.2">
      <c r="A322" s="1" t="s">
        <v>660</v>
      </c>
      <c r="B322" s="44" t="s">
        <v>689</v>
      </c>
      <c r="C322" s="44" t="s">
        <v>3775</v>
      </c>
      <c r="D322" s="44" t="s">
        <v>690</v>
      </c>
      <c r="E322" s="44" t="s">
        <v>120</v>
      </c>
      <c r="F322" s="44">
        <v>2021</v>
      </c>
      <c r="G322" s="44">
        <v>46</v>
      </c>
      <c r="H322" s="44">
        <v>18</v>
      </c>
      <c r="I322" s="44" t="str">
        <f>Tableau2[[#This Row],[Annee d''inscription au programme]]&amp;"-"&amp;Tableau2[[#This Row],[Code d''ecole]]&amp;"-"&amp;Tableau2[[#This Row],[Numero HM de la fille]]</f>
        <v>2021-46-18</v>
      </c>
      <c r="J322" s="45" t="s">
        <v>1579</v>
      </c>
      <c r="K322" s="44" t="s">
        <v>374</v>
      </c>
      <c r="L322" s="35" t="s">
        <v>620</v>
      </c>
      <c r="M322" s="35">
        <v>0</v>
      </c>
      <c r="N322" s="35">
        <v>0</v>
      </c>
      <c r="O322" s="35">
        <f t="shared" si="8"/>
        <v>0</v>
      </c>
      <c r="P322" s="35"/>
      <c r="Q322" s="35"/>
      <c r="R322" s="35">
        <f t="shared" si="9"/>
        <v>0</v>
      </c>
      <c r="S322" s="35"/>
      <c r="T322" s="35"/>
      <c r="U322" s="35"/>
      <c r="V322" s="35" t="e">
        <f>AVERAGE(Tableau2[[#This Row],[1ère composition/10]:[3è composition]])</f>
        <v>#DIV/0!</v>
      </c>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f>COUNTIF(Tableau2[[#This Row],[Séance 1]:[Séance 38]],"A")</f>
        <v>0</v>
      </c>
      <c r="BJ322" s="35"/>
    </row>
    <row r="323" spans="1:62" hidden="1" x14ac:dyDescent="0.2">
      <c r="A323" s="1" t="s">
        <v>660</v>
      </c>
      <c r="B323" s="44" t="s">
        <v>691</v>
      </c>
      <c r="C323" s="44" t="s">
        <v>3772</v>
      </c>
      <c r="D323" s="44" t="s">
        <v>663</v>
      </c>
      <c r="E323" s="44" t="s">
        <v>120</v>
      </c>
      <c r="F323" s="44">
        <v>2021</v>
      </c>
      <c r="G323" s="44">
        <v>46</v>
      </c>
      <c r="H323" s="44">
        <v>19</v>
      </c>
      <c r="I323" s="44" t="str">
        <f>Tableau2[[#This Row],[Annee d''inscription au programme]]&amp;"-"&amp;Tableau2[[#This Row],[Code d''ecole]]&amp;"-"&amp;Tableau2[[#This Row],[Numero HM de la fille]]</f>
        <v>2021-46-19</v>
      </c>
      <c r="J323" s="45" t="s">
        <v>1580</v>
      </c>
      <c r="K323" s="44" t="s">
        <v>374</v>
      </c>
      <c r="L323" s="35" t="s">
        <v>620</v>
      </c>
      <c r="M323" s="35">
        <v>16</v>
      </c>
      <c r="N323" s="35">
        <v>6.5</v>
      </c>
      <c r="O323" s="35">
        <f t="shared" si="8"/>
        <v>11.25</v>
      </c>
      <c r="P323" s="35">
        <v>13</v>
      </c>
      <c r="Q323" s="35">
        <v>7.5</v>
      </c>
      <c r="R323" s="35">
        <f t="shared" si="9"/>
        <v>10.25</v>
      </c>
      <c r="S323" s="35"/>
      <c r="T323" s="35"/>
      <c r="U323" s="35"/>
      <c r="V323" s="35" t="e">
        <f>AVERAGE(Tableau2[[#This Row],[1ère composition/10]:[3è composition]])</f>
        <v>#DIV/0!</v>
      </c>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f>COUNTIF(Tableau2[[#This Row],[Séance 1]:[Séance 38]],"A")</f>
        <v>0</v>
      </c>
      <c r="BJ323" s="35"/>
    </row>
    <row r="324" spans="1:62" hidden="1" x14ac:dyDescent="0.2">
      <c r="A324" s="1" t="s">
        <v>660</v>
      </c>
      <c r="B324" s="44" t="s">
        <v>692</v>
      </c>
      <c r="C324" s="44" t="s">
        <v>3775</v>
      </c>
      <c r="D324" s="44" t="s">
        <v>693</v>
      </c>
      <c r="E324" s="44" t="s">
        <v>120</v>
      </c>
      <c r="F324" s="44">
        <v>2021</v>
      </c>
      <c r="G324" s="44">
        <v>46</v>
      </c>
      <c r="H324" s="44">
        <v>20</v>
      </c>
      <c r="I324" s="44" t="str">
        <f>Tableau2[[#This Row],[Annee d''inscription au programme]]&amp;"-"&amp;Tableau2[[#This Row],[Code d''ecole]]&amp;"-"&amp;Tableau2[[#This Row],[Numero HM de la fille]]</f>
        <v>2021-46-20</v>
      </c>
      <c r="J324" s="45" t="s">
        <v>1581</v>
      </c>
      <c r="K324" s="44" t="s">
        <v>593</v>
      </c>
      <c r="L324" s="35" t="s">
        <v>594</v>
      </c>
      <c r="M324" s="35">
        <v>0</v>
      </c>
      <c r="N324" s="35">
        <v>0</v>
      </c>
      <c r="O324" s="35">
        <f t="shared" si="8"/>
        <v>0</v>
      </c>
      <c r="P324" s="35">
        <v>12.5</v>
      </c>
      <c r="Q324" s="35">
        <v>4.5</v>
      </c>
      <c r="R324" s="35">
        <f t="shared" si="9"/>
        <v>8.5</v>
      </c>
      <c r="S324" s="35"/>
      <c r="T324" s="35"/>
      <c r="U324" s="35"/>
      <c r="V324" s="35" t="e">
        <f>AVERAGE(Tableau2[[#This Row],[1ère composition/10]:[3è composition]])</f>
        <v>#DIV/0!</v>
      </c>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f>COUNTIF(Tableau2[[#This Row],[Séance 1]:[Séance 38]],"A")</f>
        <v>0</v>
      </c>
      <c r="BJ324" s="35"/>
    </row>
    <row r="325" spans="1:62" hidden="1" x14ac:dyDescent="0.2">
      <c r="A325" s="1" t="s">
        <v>660</v>
      </c>
      <c r="B325" s="44" t="s">
        <v>694</v>
      </c>
      <c r="C325" s="44" t="s">
        <v>3775</v>
      </c>
      <c r="D325" s="44" t="s">
        <v>235</v>
      </c>
      <c r="E325" s="44" t="s">
        <v>120</v>
      </c>
      <c r="F325" s="44">
        <v>2021</v>
      </c>
      <c r="G325" s="44">
        <v>46</v>
      </c>
      <c r="H325" s="44">
        <v>21</v>
      </c>
      <c r="I325" s="44" t="str">
        <f>Tableau2[[#This Row],[Annee d''inscription au programme]]&amp;"-"&amp;Tableau2[[#This Row],[Code d''ecole]]&amp;"-"&amp;Tableau2[[#This Row],[Numero HM de la fille]]</f>
        <v>2021-46-21</v>
      </c>
      <c r="J325" s="45" t="s">
        <v>1582</v>
      </c>
      <c r="K325" s="44" t="s">
        <v>593</v>
      </c>
      <c r="L325" s="35" t="s">
        <v>594</v>
      </c>
      <c r="M325" s="35">
        <v>12.5</v>
      </c>
      <c r="N325" s="35">
        <v>4</v>
      </c>
      <c r="O325" s="35">
        <f t="shared" ref="O325:O388" si="10">AVERAGE(M325+N325)/2</f>
        <v>8.25</v>
      </c>
      <c r="P325" s="35">
        <v>16.5</v>
      </c>
      <c r="Q325" s="35">
        <v>14.5</v>
      </c>
      <c r="R325" s="35">
        <f t="shared" ref="R325:R388" si="11">AVERAGE(P325+Q325)/2</f>
        <v>15.5</v>
      </c>
      <c r="S325" s="35"/>
      <c r="T325" s="35"/>
      <c r="U325" s="35"/>
      <c r="V325" s="35" t="e">
        <f>AVERAGE(Tableau2[[#This Row],[1ère composition/10]:[3è composition]])</f>
        <v>#DIV/0!</v>
      </c>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f>COUNTIF(Tableau2[[#This Row],[Séance 1]:[Séance 38]],"A")</f>
        <v>0</v>
      </c>
      <c r="BJ325" s="35"/>
    </row>
    <row r="326" spans="1:62" hidden="1" x14ac:dyDescent="0.2">
      <c r="A326" s="1" t="s">
        <v>660</v>
      </c>
      <c r="B326" s="44" t="s">
        <v>695</v>
      </c>
      <c r="C326" s="44" t="s">
        <v>3775</v>
      </c>
      <c r="D326" s="44" t="s">
        <v>679</v>
      </c>
      <c r="E326" s="44" t="s">
        <v>120</v>
      </c>
      <c r="F326" s="44">
        <v>2021</v>
      </c>
      <c r="G326" s="44">
        <v>46</v>
      </c>
      <c r="H326" s="44">
        <v>22</v>
      </c>
      <c r="I326" s="44" t="str">
        <f>Tableau2[[#This Row],[Annee d''inscription au programme]]&amp;"-"&amp;Tableau2[[#This Row],[Code d''ecole]]&amp;"-"&amp;Tableau2[[#This Row],[Numero HM de la fille]]</f>
        <v>2021-46-22</v>
      </c>
      <c r="J326" s="45" t="s">
        <v>1583</v>
      </c>
      <c r="K326" s="44" t="s">
        <v>593</v>
      </c>
      <c r="L326" s="35" t="s">
        <v>696</v>
      </c>
      <c r="M326" s="35">
        <v>0</v>
      </c>
      <c r="N326" s="35">
        <v>0</v>
      </c>
      <c r="O326" s="35">
        <f t="shared" si="10"/>
        <v>0</v>
      </c>
      <c r="P326" s="35"/>
      <c r="Q326" s="35"/>
      <c r="R326" s="35">
        <f t="shared" si="11"/>
        <v>0</v>
      </c>
      <c r="S326" s="35"/>
      <c r="T326" s="35"/>
      <c r="U326" s="35"/>
      <c r="V326" s="35" t="e">
        <f>AVERAGE(Tableau2[[#This Row],[1ère composition/10]:[3è composition]])</f>
        <v>#DIV/0!</v>
      </c>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f>COUNTIF(Tableau2[[#This Row],[Séance 1]:[Séance 38]],"A")</f>
        <v>0</v>
      </c>
      <c r="BJ326" s="35"/>
    </row>
    <row r="327" spans="1:62" hidden="1" x14ac:dyDescent="0.2">
      <c r="A327" s="1" t="s">
        <v>660</v>
      </c>
      <c r="B327" s="44" t="s">
        <v>697</v>
      </c>
      <c r="C327" s="44" t="s">
        <v>3775</v>
      </c>
      <c r="D327" s="44" t="s">
        <v>666</v>
      </c>
      <c r="E327" s="44" t="s">
        <v>120</v>
      </c>
      <c r="F327" s="44">
        <v>2021</v>
      </c>
      <c r="G327" s="44">
        <v>46</v>
      </c>
      <c r="H327" s="44">
        <v>23</v>
      </c>
      <c r="I327" s="44" t="str">
        <f>Tableau2[[#This Row],[Annee d''inscription au programme]]&amp;"-"&amp;Tableau2[[#This Row],[Code d''ecole]]&amp;"-"&amp;Tableau2[[#This Row],[Numero HM de la fille]]</f>
        <v>2021-46-23</v>
      </c>
      <c r="J327" s="45" t="s">
        <v>1584</v>
      </c>
      <c r="K327" s="44" t="s">
        <v>593</v>
      </c>
      <c r="L327" s="35" t="s">
        <v>698</v>
      </c>
      <c r="M327" s="35">
        <v>10</v>
      </c>
      <c r="N327" s="35">
        <v>18</v>
      </c>
      <c r="O327" s="35">
        <f t="shared" si="10"/>
        <v>14</v>
      </c>
      <c r="P327" s="35">
        <v>14</v>
      </c>
      <c r="Q327" s="35">
        <v>18</v>
      </c>
      <c r="R327" s="35">
        <f t="shared" si="11"/>
        <v>16</v>
      </c>
      <c r="S327" s="35"/>
      <c r="T327" s="35"/>
      <c r="U327" s="35"/>
      <c r="V327" s="35" t="e">
        <f>AVERAGE(Tableau2[[#This Row],[1ère composition/10]:[3è composition]])</f>
        <v>#DIV/0!</v>
      </c>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f>COUNTIF(Tableau2[[#This Row],[Séance 1]:[Séance 38]],"A")</f>
        <v>0</v>
      </c>
      <c r="BJ327" s="35"/>
    </row>
    <row r="328" spans="1:62" hidden="1" x14ac:dyDescent="0.2">
      <c r="A328" s="1" t="s">
        <v>660</v>
      </c>
      <c r="B328" s="44" t="s">
        <v>699</v>
      </c>
      <c r="C328" s="44" t="s">
        <v>3775</v>
      </c>
      <c r="D328" s="44" t="s">
        <v>700</v>
      </c>
      <c r="E328" s="44" t="s">
        <v>120</v>
      </c>
      <c r="F328" s="44">
        <v>2021</v>
      </c>
      <c r="G328" s="44">
        <v>46</v>
      </c>
      <c r="H328" s="44">
        <v>24</v>
      </c>
      <c r="I328" s="44" t="str">
        <f>Tableau2[[#This Row],[Annee d''inscription au programme]]&amp;"-"&amp;Tableau2[[#This Row],[Code d''ecole]]&amp;"-"&amp;Tableau2[[#This Row],[Numero HM de la fille]]</f>
        <v>2021-46-24</v>
      </c>
      <c r="J328" s="45" t="s">
        <v>1585</v>
      </c>
      <c r="K328" s="44" t="s">
        <v>593</v>
      </c>
      <c r="L328" s="35" t="s">
        <v>698</v>
      </c>
      <c r="M328" s="35">
        <v>13</v>
      </c>
      <c r="N328" s="35">
        <v>18</v>
      </c>
      <c r="O328" s="35">
        <f t="shared" si="10"/>
        <v>15.5</v>
      </c>
      <c r="P328" s="35">
        <v>13.5</v>
      </c>
      <c r="Q328" s="35">
        <v>19.5</v>
      </c>
      <c r="R328" s="35">
        <f t="shared" si="11"/>
        <v>16.5</v>
      </c>
      <c r="S328" s="35"/>
      <c r="T328" s="35"/>
      <c r="U328" s="35"/>
      <c r="V328" s="35" t="e">
        <f>AVERAGE(Tableau2[[#This Row],[1ère composition/10]:[3è composition]])</f>
        <v>#DIV/0!</v>
      </c>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f>COUNTIF(Tableau2[[#This Row],[Séance 1]:[Séance 38]],"A")</f>
        <v>0</v>
      </c>
      <c r="BJ328" s="35"/>
    </row>
    <row r="329" spans="1:62" hidden="1" x14ac:dyDescent="0.2">
      <c r="A329" s="1" t="s">
        <v>660</v>
      </c>
      <c r="B329" s="44" t="s">
        <v>701</v>
      </c>
      <c r="C329" s="44" t="s">
        <v>3775</v>
      </c>
      <c r="D329" s="44" t="s">
        <v>702</v>
      </c>
      <c r="E329" s="44" t="s">
        <v>120</v>
      </c>
      <c r="F329" s="44">
        <v>2021</v>
      </c>
      <c r="G329" s="44">
        <v>46</v>
      </c>
      <c r="H329" s="44">
        <v>25</v>
      </c>
      <c r="I329" s="44" t="str">
        <f>Tableau2[[#This Row],[Annee d''inscription au programme]]&amp;"-"&amp;Tableau2[[#This Row],[Code d''ecole]]&amp;"-"&amp;Tableau2[[#This Row],[Numero HM de la fille]]</f>
        <v>2021-46-25</v>
      </c>
      <c r="J329" s="45" t="s">
        <v>1586</v>
      </c>
      <c r="K329" s="44" t="s">
        <v>593</v>
      </c>
      <c r="L329" s="35" t="s">
        <v>698</v>
      </c>
      <c r="M329" s="35">
        <v>11.5</v>
      </c>
      <c r="N329" s="35">
        <v>8</v>
      </c>
      <c r="O329" s="35">
        <f t="shared" si="10"/>
        <v>9.75</v>
      </c>
      <c r="P329" s="35">
        <v>15</v>
      </c>
      <c r="Q329" s="35">
        <v>18.5</v>
      </c>
      <c r="R329" s="35">
        <f t="shared" si="11"/>
        <v>16.75</v>
      </c>
      <c r="S329" s="35"/>
      <c r="T329" s="35"/>
      <c r="U329" s="35"/>
      <c r="V329" s="35" t="e">
        <f>AVERAGE(Tableau2[[#This Row],[1ère composition/10]:[3è composition]])</f>
        <v>#DIV/0!</v>
      </c>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f>COUNTIF(Tableau2[[#This Row],[Séance 1]:[Séance 38]],"A")</f>
        <v>0</v>
      </c>
      <c r="BJ329" s="35"/>
    </row>
    <row r="330" spans="1:62" hidden="1" x14ac:dyDescent="0.2">
      <c r="A330" s="1" t="s">
        <v>660</v>
      </c>
      <c r="B330" s="44" t="s">
        <v>703</v>
      </c>
      <c r="C330" s="44" t="s">
        <v>3772</v>
      </c>
      <c r="D330" s="44" t="s">
        <v>704</v>
      </c>
      <c r="E330" s="44" t="s">
        <v>120</v>
      </c>
      <c r="F330" s="44">
        <v>2021</v>
      </c>
      <c r="G330" s="44">
        <v>46</v>
      </c>
      <c r="H330" s="44">
        <v>26</v>
      </c>
      <c r="I330" s="44" t="str">
        <f>Tableau2[[#This Row],[Annee d''inscription au programme]]&amp;"-"&amp;Tableau2[[#This Row],[Code d''ecole]]&amp;"-"&amp;Tableau2[[#This Row],[Numero HM de la fille]]</f>
        <v>2021-46-26</v>
      </c>
      <c r="J330" s="45" t="s">
        <v>1587</v>
      </c>
      <c r="K330" s="44" t="s">
        <v>593</v>
      </c>
      <c r="L330" s="35" t="s">
        <v>698</v>
      </c>
      <c r="M330" s="35">
        <v>0</v>
      </c>
      <c r="N330" s="35">
        <v>0</v>
      </c>
      <c r="O330" s="35">
        <f t="shared" si="10"/>
        <v>0</v>
      </c>
      <c r="P330" s="35"/>
      <c r="Q330" s="35"/>
      <c r="R330" s="35">
        <f t="shared" si="11"/>
        <v>0</v>
      </c>
      <c r="S330" s="35"/>
      <c r="T330" s="35"/>
      <c r="U330" s="35"/>
      <c r="V330" s="35" t="e">
        <f>AVERAGE(Tableau2[[#This Row],[1ère composition/10]:[3è composition]])</f>
        <v>#DIV/0!</v>
      </c>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f>COUNTIF(Tableau2[[#This Row],[Séance 1]:[Séance 38]],"A")</f>
        <v>0</v>
      </c>
      <c r="BJ330" s="35"/>
    </row>
    <row r="331" spans="1:62" hidden="1" x14ac:dyDescent="0.2">
      <c r="A331" s="1" t="s">
        <v>660</v>
      </c>
      <c r="B331" s="44" t="s">
        <v>705</v>
      </c>
      <c r="C331" s="44" t="s">
        <v>3775</v>
      </c>
      <c r="D331" s="44" t="s">
        <v>706</v>
      </c>
      <c r="E331" s="44" t="s">
        <v>120</v>
      </c>
      <c r="F331" s="44">
        <v>2021</v>
      </c>
      <c r="G331" s="44">
        <v>46</v>
      </c>
      <c r="H331" s="44">
        <v>27</v>
      </c>
      <c r="I331" s="44" t="str">
        <f>Tableau2[[#This Row],[Annee d''inscription au programme]]&amp;"-"&amp;Tableau2[[#This Row],[Code d''ecole]]&amp;"-"&amp;Tableau2[[#This Row],[Numero HM de la fille]]</f>
        <v>2021-46-27</v>
      </c>
      <c r="J331" s="45" t="s">
        <v>1588</v>
      </c>
      <c r="K331" s="44" t="s">
        <v>593</v>
      </c>
      <c r="L331" s="35" t="s">
        <v>594</v>
      </c>
      <c r="M331" s="35">
        <v>13.5</v>
      </c>
      <c r="N331" s="35">
        <v>17.75</v>
      </c>
      <c r="O331" s="35">
        <f t="shared" si="10"/>
        <v>15.625</v>
      </c>
      <c r="P331" s="35">
        <v>15.5</v>
      </c>
      <c r="Q331" s="35">
        <v>20</v>
      </c>
      <c r="R331" s="35">
        <f t="shared" si="11"/>
        <v>17.75</v>
      </c>
      <c r="S331" s="35"/>
      <c r="T331" s="35"/>
      <c r="U331" s="35"/>
      <c r="V331" s="35" t="e">
        <f>AVERAGE(Tableau2[[#This Row],[1ère composition/10]:[3è composition]])</f>
        <v>#DIV/0!</v>
      </c>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f>COUNTIF(Tableau2[[#This Row],[Séance 1]:[Séance 38]],"A")</f>
        <v>0</v>
      </c>
      <c r="BJ331" s="35"/>
    </row>
    <row r="332" spans="1:62" hidden="1" x14ac:dyDescent="0.2">
      <c r="A332" s="1" t="s">
        <v>660</v>
      </c>
      <c r="B332" s="44" t="s">
        <v>707</v>
      </c>
      <c r="C332" s="44" t="s">
        <v>3771</v>
      </c>
      <c r="D332" s="44" t="s">
        <v>708</v>
      </c>
      <c r="E332" s="44" t="s">
        <v>120</v>
      </c>
      <c r="F332" s="44">
        <v>2021</v>
      </c>
      <c r="G332" s="44">
        <v>46</v>
      </c>
      <c r="H332" s="44">
        <v>28</v>
      </c>
      <c r="I332" s="44" t="str">
        <f>Tableau2[[#This Row],[Annee d''inscription au programme]]&amp;"-"&amp;Tableau2[[#This Row],[Code d''ecole]]&amp;"-"&amp;Tableau2[[#This Row],[Numero HM de la fille]]</f>
        <v>2021-46-28</v>
      </c>
      <c r="J332" s="45" t="s">
        <v>1589</v>
      </c>
      <c r="K332" s="44" t="s">
        <v>709</v>
      </c>
      <c r="L332" s="35" t="s">
        <v>620</v>
      </c>
      <c r="M332" s="35">
        <v>0</v>
      </c>
      <c r="N332" s="35">
        <v>0</v>
      </c>
      <c r="O332" s="35">
        <f t="shared" si="10"/>
        <v>0</v>
      </c>
      <c r="P332" s="35"/>
      <c r="Q332" s="35"/>
      <c r="R332" s="35">
        <f t="shared" si="11"/>
        <v>0</v>
      </c>
      <c r="S332" s="35"/>
      <c r="T332" s="35"/>
      <c r="U332" s="35"/>
      <c r="V332" s="35" t="e">
        <f>AVERAGE(Tableau2[[#This Row],[1ère composition/10]:[3è composition]])</f>
        <v>#DIV/0!</v>
      </c>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f>COUNTIF(Tableau2[[#This Row],[Séance 1]:[Séance 38]],"A")</f>
        <v>0</v>
      </c>
      <c r="BJ332" s="35"/>
    </row>
    <row r="333" spans="1:62" hidden="1" x14ac:dyDescent="0.2">
      <c r="A333" s="1" t="s">
        <v>660</v>
      </c>
      <c r="B333" s="44" t="s">
        <v>710</v>
      </c>
      <c r="C333" s="44" t="s">
        <v>3775</v>
      </c>
      <c r="D333" s="44" t="s">
        <v>711</v>
      </c>
      <c r="E333" s="44" t="s">
        <v>120</v>
      </c>
      <c r="F333" s="44">
        <v>2021</v>
      </c>
      <c r="G333" s="44">
        <v>46</v>
      </c>
      <c r="H333" s="44">
        <v>29</v>
      </c>
      <c r="I333" s="44" t="str">
        <f>Tableau2[[#This Row],[Annee d''inscription au programme]]&amp;"-"&amp;Tableau2[[#This Row],[Code d''ecole]]&amp;"-"&amp;Tableau2[[#This Row],[Numero HM de la fille]]</f>
        <v>2021-46-29</v>
      </c>
      <c r="J333" s="45" t="s">
        <v>1590</v>
      </c>
      <c r="K333" s="44" t="s">
        <v>593</v>
      </c>
      <c r="L333" s="35" t="s">
        <v>698</v>
      </c>
      <c r="M333" s="35">
        <v>0</v>
      </c>
      <c r="N333" s="35">
        <v>0</v>
      </c>
      <c r="O333" s="35">
        <f t="shared" si="10"/>
        <v>0</v>
      </c>
      <c r="P333" s="35"/>
      <c r="Q333" s="35"/>
      <c r="R333" s="35">
        <f t="shared" si="11"/>
        <v>0</v>
      </c>
      <c r="S333" s="35"/>
      <c r="T333" s="35"/>
      <c r="U333" s="35"/>
      <c r="V333" s="35" t="e">
        <f>AVERAGE(Tableau2[[#This Row],[1ère composition/10]:[3è composition]])</f>
        <v>#DIV/0!</v>
      </c>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f>COUNTIF(Tableau2[[#This Row],[Séance 1]:[Séance 38]],"A")</f>
        <v>0</v>
      </c>
      <c r="BJ333" s="35"/>
    </row>
    <row r="334" spans="1:62" hidden="1" x14ac:dyDescent="0.2">
      <c r="A334" s="1" t="s">
        <v>660</v>
      </c>
      <c r="B334" s="44" t="s">
        <v>712</v>
      </c>
      <c r="C334" s="44" t="s">
        <v>3771</v>
      </c>
      <c r="D334" s="44" t="s">
        <v>291</v>
      </c>
      <c r="E334" s="44" t="s">
        <v>120</v>
      </c>
      <c r="F334" s="44">
        <v>2021</v>
      </c>
      <c r="G334" s="44">
        <v>46</v>
      </c>
      <c r="H334" s="44">
        <v>30</v>
      </c>
      <c r="I334" s="44" t="str">
        <f>Tableau2[[#This Row],[Annee d''inscription au programme]]&amp;"-"&amp;Tableau2[[#This Row],[Code d''ecole]]&amp;"-"&amp;Tableau2[[#This Row],[Numero HM de la fille]]</f>
        <v>2021-46-30</v>
      </c>
      <c r="J334" s="45" t="s">
        <v>1591</v>
      </c>
      <c r="K334" s="44" t="s">
        <v>709</v>
      </c>
      <c r="L334" s="35" t="s">
        <v>620</v>
      </c>
      <c r="M334" s="35">
        <v>11.5</v>
      </c>
      <c r="N334" s="35">
        <v>16.5</v>
      </c>
      <c r="O334" s="35">
        <f t="shared" si="10"/>
        <v>14</v>
      </c>
      <c r="P334" s="35">
        <v>18</v>
      </c>
      <c r="Q334" s="35">
        <v>16.5</v>
      </c>
      <c r="R334" s="35">
        <f t="shared" si="11"/>
        <v>17.25</v>
      </c>
      <c r="S334" s="35"/>
      <c r="T334" s="35"/>
      <c r="U334" s="35"/>
      <c r="V334" s="35" t="e">
        <f>AVERAGE(Tableau2[[#This Row],[1ère composition/10]:[3è composition]])</f>
        <v>#DIV/0!</v>
      </c>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f>COUNTIF(Tableau2[[#This Row],[Séance 1]:[Séance 38]],"A")</f>
        <v>0</v>
      </c>
      <c r="BJ334" s="35"/>
    </row>
    <row r="335" spans="1:62" hidden="1" x14ac:dyDescent="0.2">
      <c r="A335" s="1" t="s">
        <v>660</v>
      </c>
      <c r="B335" s="44" t="s">
        <v>713</v>
      </c>
      <c r="C335" s="44" t="s">
        <v>3775</v>
      </c>
      <c r="D335" s="44" t="s">
        <v>714</v>
      </c>
      <c r="E335" s="44" t="s">
        <v>120</v>
      </c>
      <c r="F335" s="44">
        <v>2021</v>
      </c>
      <c r="G335" s="44">
        <v>46</v>
      </c>
      <c r="H335" s="44">
        <v>31</v>
      </c>
      <c r="I335" s="44" t="str">
        <f>Tableau2[[#This Row],[Annee d''inscription au programme]]&amp;"-"&amp;Tableau2[[#This Row],[Code d''ecole]]&amp;"-"&amp;Tableau2[[#This Row],[Numero HM de la fille]]</f>
        <v>2021-46-31</v>
      </c>
      <c r="J335" s="45" t="s">
        <v>1592</v>
      </c>
      <c r="K335" s="44" t="s">
        <v>593</v>
      </c>
      <c r="L335" s="35" t="s">
        <v>698</v>
      </c>
      <c r="M335" s="35">
        <v>0</v>
      </c>
      <c r="N335" s="35">
        <v>0</v>
      </c>
      <c r="O335" s="35">
        <f t="shared" si="10"/>
        <v>0</v>
      </c>
      <c r="P335" s="35">
        <v>16.5</v>
      </c>
      <c r="Q335" s="35">
        <v>19.5</v>
      </c>
      <c r="R335" s="35">
        <f t="shared" si="11"/>
        <v>18</v>
      </c>
      <c r="S335" s="35"/>
      <c r="T335" s="35"/>
      <c r="U335" s="35"/>
      <c r="V335" s="35" t="e">
        <f>AVERAGE(Tableau2[[#This Row],[1ère composition/10]:[3è composition]])</f>
        <v>#DIV/0!</v>
      </c>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f>COUNTIF(Tableau2[[#This Row],[Séance 1]:[Séance 38]],"A")</f>
        <v>0</v>
      </c>
      <c r="BJ335" s="35"/>
    </row>
    <row r="336" spans="1:62" hidden="1" x14ac:dyDescent="0.2">
      <c r="A336" s="1" t="s">
        <v>660</v>
      </c>
      <c r="B336" s="44" t="s">
        <v>715</v>
      </c>
      <c r="C336" s="44" t="s">
        <v>3775</v>
      </c>
      <c r="D336" s="44" t="s">
        <v>716</v>
      </c>
      <c r="E336" s="44" t="s">
        <v>120</v>
      </c>
      <c r="F336" s="44">
        <v>2021</v>
      </c>
      <c r="G336" s="44">
        <v>46</v>
      </c>
      <c r="H336" s="44">
        <v>32</v>
      </c>
      <c r="I336" s="44" t="str">
        <f>Tableau2[[#This Row],[Annee d''inscription au programme]]&amp;"-"&amp;Tableau2[[#This Row],[Code d''ecole]]&amp;"-"&amp;Tableau2[[#This Row],[Numero HM de la fille]]</f>
        <v>2021-46-32</v>
      </c>
      <c r="J336" s="45" t="s">
        <v>1593</v>
      </c>
      <c r="K336" s="44" t="s">
        <v>593</v>
      </c>
      <c r="L336" s="35" t="s">
        <v>698</v>
      </c>
      <c r="M336" s="35">
        <v>5</v>
      </c>
      <c r="N336" s="35">
        <v>0.5</v>
      </c>
      <c r="O336" s="35">
        <f t="shared" si="10"/>
        <v>2.75</v>
      </c>
      <c r="P336" s="35"/>
      <c r="Q336" s="35"/>
      <c r="R336" s="35">
        <f t="shared" si="11"/>
        <v>0</v>
      </c>
      <c r="S336" s="35"/>
      <c r="T336" s="35"/>
      <c r="U336" s="35"/>
      <c r="V336" s="35" t="e">
        <f>AVERAGE(Tableau2[[#This Row],[1ère composition/10]:[3è composition]])</f>
        <v>#DIV/0!</v>
      </c>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f>COUNTIF(Tableau2[[#This Row],[Séance 1]:[Séance 38]],"A")</f>
        <v>0</v>
      </c>
      <c r="BJ336" s="35"/>
    </row>
    <row r="337" spans="1:62" hidden="1" x14ac:dyDescent="0.2">
      <c r="A337" s="1" t="s">
        <v>660</v>
      </c>
      <c r="B337" s="44" t="s">
        <v>717</v>
      </c>
      <c r="C337" s="44" t="s">
        <v>3775</v>
      </c>
      <c r="D337" s="44" t="s">
        <v>718</v>
      </c>
      <c r="E337" s="44" t="s">
        <v>120</v>
      </c>
      <c r="F337" s="44">
        <v>2021</v>
      </c>
      <c r="G337" s="44">
        <v>46</v>
      </c>
      <c r="H337" s="44">
        <v>33</v>
      </c>
      <c r="I337" s="44" t="str">
        <f>Tableau2[[#This Row],[Annee d''inscription au programme]]&amp;"-"&amp;Tableau2[[#This Row],[Code d''ecole]]&amp;"-"&amp;Tableau2[[#This Row],[Numero HM de la fille]]</f>
        <v>2021-46-33</v>
      </c>
      <c r="J337" s="45" t="s">
        <v>1594</v>
      </c>
      <c r="K337" s="44" t="s">
        <v>593</v>
      </c>
      <c r="L337" s="35" t="s">
        <v>698</v>
      </c>
      <c r="M337" s="35">
        <v>9.5</v>
      </c>
      <c r="N337" s="35">
        <v>13.75</v>
      </c>
      <c r="O337" s="35">
        <f t="shared" si="10"/>
        <v>11.625</v>
      </c>
      <c r="P337" s="35">
        <v>13.5</v>
      </c>
      <c r="Q337" s="35">
        <v>19</v>
      </c>
      <c r="R337" s="35">
        <f t="shared" si="11"/>
        <v>16.25</v>
      </c>
      <c r="S337" s="35"/>
      <c r="T337" s="35"/>
      <c r="U337" s="35"/>
      <c r="V337" s="35" t="e">
        <f>AVERAGE(Tableau2[[#This Row],[1ère composition/10]:[3è composition]])</f>
        <v>#DIV/0!</v>
      </c>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f>COUNTIF(Tableau2[[#This Row],[Séance 1]:[Séance 38]],"A")</f>
        <v>0</v>
      </c>
      <c r="BJ337" s="35"/>
    </row>
    <row r="338" spans="1:62" hidden="1" x14ac:dyDescent="0.2">
      <c r="A338" s="1" t="s">
        <v>660</v>
      </c>
      <c r="B338" s="44" t="s">
        <v>719</v>
      </c>
      <c r="C338" s="44" t="s">
        <v>3775</v>
      </c>
      <c r="D338" s="44" t="s">
        <v>628</v>
      </c>
      <c r="E338" s="44" t="s">
        <v>120</v>
      </c>
      <c r="F338" s="44">
        <v>2021</v>
      </c>
      <c r="G338" s="44">
        <v>46</v>
      </c>
      <c r="H338" s="44">
        <v>34</v>
      </c>
      <c r="I338" s="44" t="str">
        <f>Tableau2[[#This Row],[Annee d''inscription au programme]]&amp;"-"&amp;Tableau2[[#This Row],[Code d''ecole]]&amp;"-"&amp;Tableau2[[#This Row],[Numero HM de la fille]]</f>
        <v>2021-46-34</v>
      </c>
      <c r="J338" s="45" t="s">
        <v>1595</v>
      </c>
      <c r="K338" s="44" t="s">
        <v>593</v>
      </c>
      <c r="L338" s="35" t="s">
        <v>698</v>
      </c>
      <c r="M338" s="35">
        <v>13.5</v>
      </c>
      <c r="N338" s="35">
        <v>16.5</v>
      </c>
      <c r="O338" s="35">
        <f t="shared" si="10"/>
        <v>15</v>
      </c>
      <c r="P338" s="35">
        <v>12.5</v>
      </c>
      <c r="Q338" s="35">
        <v>18.5</v>
      </c>
      <c r="R338" s="35">
        <f t="shared" si="11"/>
        <v>15.5</v>
      </c>
      <c r="S338" s="35"/>
      <c r="T338" s="35"/>
      <c r="U338" s="35"/>
      <c r="V338" s="35" t="e">
        <f>AVERAGE(Tableau2[[#This Row],[1ère composition/10]:[3è composition]])</f>
        <v>#DIV/0!</v>
      </c>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f>COUNTIF(Tableau2[[#This Row],[Séance 1]:[Séance 38]],"A")</f>
        <v>0</v>
      </c>
      <c r="BJ338" s="35"/>
    </row>
    <row r="339" spans="1:62" hidden="1" x14ac:dyDescent="0.2">
      <c r="A339" s="1" t="s">
        <v>660</v>
      </c>
      <c r="B339" s="44" t="s">
        <v>720</v>
      </c>
      <c r="C339" s="44" t="s">
        <v>3771</v>
      </c>
      <c r="D339" s="44" t="s">
        <v>721</v>
      </c>
      <c r="E339" s="44" t="s">
        <v>120</v>
      </c>
      <c r="F339" s="44">
        <v>2021</v>
      </c>
      <c r="G339" s="44">
        <v>46</v>
      </c>
      <c r="H339" s="44">
        <v>35</v>
      </c>
      <c r="I339" s="44" t="str">
        <f>Tableau2[[#This Row],[Annee d''inscription au programme]]&amp;"-"&amp;Tableau2[[#This Row],[Code d''ecole]]&amp;"-"&amp;Tableau2[[#This Row],[Numero HM de la fille]]</f>
        <v>2021-46-35</v>
      </c>
      <c r="J339" s="45" t="s">
        <v>1596</v>
      </c>
      <c r="K339" s="44" t="s">
        <v>593</v>
      </c>
      <c r="L339" s="35" t="s">
        <v>698</v>
      </c>
      <c r="M339" s="35">
        <v>17</v>
      </c>
      <c r="N339" s="35">
        <v>20</v>
      </c>
      <c r="O339" s="35">
        <f t="shared" si="10"/>
        <v>18.5</v>
      </c>
      <c r="P339" s="35"/>
      <c r="Q339" s="35"/>
      <c r="R339" s="35">
        <f t="shared" si="11"/>
        <v>0</v>
      </c>
      <c r="S339" s="35"/>
      <c r="T339" s="35"/>
      <c r="U339" s="35"/>
      <c r="V339" s="35" t="e">
        <f>AVERAGE(Tableau2[[#This Row],[1ère composition/10]:[3è composition]])</f>
        <v>#DIV/0!</v>
      </c>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f>COUNTIF(Tableau2[[#This Row],[Séance 1]:[Séance 38]],"A")</f>
        <v>0</v>
      </c>
      <c r="BJ339" s="35"/>
    </row>
    <row r="340" spans="1:62" hidden="1" x14ac:dyDescent="0.2">
      <c r="A340" s="1" t="s">
        <v>660</v>
      </c>
      <c r="B340" s="44" t="s">
        <v>722</v>
      </c>
      <c r="C340" s="44" t="s">
        <v>3775</v>
      </c>
      <c r="D340" s="44" t="s">
        <v>262</v>
      </c>
      <c r="E340" s="44" t="s">
        <v>120</v>
      </c>
      <c r="F340" s="44">
        <v>2021</v>
      </c>
      <c r="G340" s="44">
        <v>46</v>
      </c>
      <c r="H340" s="44">
        <v>36</v>
      </c>
      <c r="I340" s="44" t="str">
        <f>Tableau2[[#This Row],[Annee d''inscription au programme]]&amp;"-"&amp;Tableau2[[#This Row],[Code d''ecole]]&amp;"-"&amp;Tableau2[[#This Row],[Numero HM de la fille]]</f>
        <v>2021-46-36</v>
      </c>
      <c r="J340" s="45" t="s">
        <v>1597</v>
      </c>
      <c r="K340" s="44" t="s">
        <v>593</v>
      </c>
      <c r="L340" s="35" t="s">
        <v>698</v>
      </c>
      <c r="M340" s="35">
        <v>0</v>
      </c>
      <c r="N340" s="35">
        <v>0</v>
      </c>
      <c r="O340" s="35">
        <f t="shared" si="10"/>
        <v>0</v>
      </c>
      <c r="P340" s="35"/>
      <c r="Q340" s="35"/>
      <c r="R340" s="35">
        <f t="shared" si="11"/>
        <v>0</v>
      </c>
      <c r="S340" s="35"/>
      <c r="T340" s="35"/>
      <c r="U340" s="35"/>
      <c r="V340" s="35" t="e">
        <f>AVERAGE(Tableau2[[#This Row],[1ère composition/10]:[3è composition]])</f>
        <v>#DIV/0!</v>
      </c>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f>COUNTIF(Tableau2[[#This Row],[Séance 1]:[Séance 38]],"A")</f>
        <v>0</v>
      </c>
      <c r="BJ340" s="35"/>
    </row>
    <row r="341" spans="1:62" hidden="1" x14ac:dyDescent="0.2">
      <c r="A341" s="1" t="s">
        <v>660</v>
      </c>
      <c r="B341" s="44" t="s">
        <v>723</v>
      </c>
      <c r="C341" s="44" t="s">
        <v>3775</v>
      </c>
      <c r="D341" s="44" t="s">
        <v>724</v>
      </c>
      <c r="E341" s="44" t="s">
        <v>120</v>
      </c>
      <c r="F341" s="44">
        <v>2021</v>
      </c>
      <c r="G341" s="44">
        <v>46</v>
      </c>
      <c r="H341" s="44">
        <v>37</v>
      </c>
      <c r="I341" s="44" t="str">
        <f>Tableau2[[#This Row],[Annee d''inscription au programme]]&amp;"-"&amp;Tableau2[[#This Row],[Code d''ecole]]&amp;"-"&amp;Tableau2[[#This Row],[Numero HM de la fille]]</f>
        <v>2021-46-37</v>
      </c>
      <c r="J341" s="45" t="s">
        <v>1598</v>
      </c>
      <c r="K341" s="44" t="s">
        <v>593</v>
      </c>
      <c r="L341" s="35" t="s">
        <v>698</v>
      </c>
      <c r="M341" s="35">
        <v>16.5</v>
      </c>
      <c r="N341" s="35">
        <v>19.5</v>
      </c>
      <c r="O341" s="35">
        <f t="shared" si="10"/>
        <v>18</v>
      </c>
      <c r="P341" s="35">
        <v>16.5</v>
      </c>
      <c r="Q341" s="35">
        <v>20</v>
      </c>
      <c r="R341" s="35">
        <f t="shared" si="11"/>
        <v>18.25</v>
      </c>
      <c r="S341" s="35"/>
      <c r="T341" s="35"/>
      <c r="U341" s="35"/>
      <c r="V341" s="35" t="e">
        <f>AVERAGE(Tableau2[[#This Row],[1ère composition/10]:[3è composition]])</f>
        <v>#DIV/0!</v>
      </c>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f>COUNTIF(Tableau2[[#This Row],[Séance 1]:[Séance 38]],"A")</f>
        <v>0</v>
      </c>
      <c r="BJ341" s="35"/>
    </row>
    <row r="342" spans="1:62" hidden="1" x14ac:dyDescent="0.2">
      <c r="A342" s="1" t="s">
        <v>660</v>
      </c>
      <c r="B342" s="44" t="s">
        <v>725</v>
      </c>
      <c r="C342" s="44" t="s">
        <v>3771</v>
      </c>
      <c r="D342" s="44" t="s">
        <v>291</v>
      </c>
      <c r="E342" s="44" t="s">
        <v>120</v>
      </c>
      <c r="F342" s="44">
        <v>2021</v>
      </c>
      <c r="G342" s="44">
        <v>46</v>
      </c>
      <c r="H342" s="44">
        <v>38</v>
      </c>
      <c r="I342" s="44" t="str">
        <f>Tableau2[[#This Row],[Annee d''inscription au programme]]&amp;"-"&amp;Tableau2[[#This Row],[Code d''ecole]]&amp;"-"&amp;Tableau2[[#This Row],[Numero HM de la fille]]</f>
        <v>2021-46-38</v>
      </c>
      <c r="J342" s="45" t="s">
        <v>1599</v>
      </c>
      <c r="K342" s="44" t="s">
        <v>709</v>
      </c>
      <c r="L342" s="35" t="s">
        <v>620</v>
      </c>
      <c r="M342" s="35">
        <v>13</v>
      </c>
      <c r="N342" s="35">
        <v>18</v>
      </c>
      <c r="O342" s="35">
        <f t="shared" si="10"/>
        <v>15.5</v>
      </c>
      <c r="P342" s="35">
        <v>15</v>
      </c>
      <c r="Q342" s="35">
        <v>18</v>
      </c>
      <c r="R342" s="35">
        <f t="shared" si="11"/>
        <v>16.5</v>
      </c>
      <c r="S342" s="35"/>
      <c r="T342" s="35"/>
      <c r="U342" s="35"/>
      <c r="V342" s="35" t="e">
        <f>AVERAGE(Tableau2[[#This Row],[1ère composition/10]:[3è composition]])</f>
        <v>#DIV/0!</v>
      </c>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f>COUNTIF(Tableau2[[#This Row],[Séance 1]:[Séance 38]],"A")</f>
        <v>0</v>
      </c>
      <c r="BJ342" s="35"/>
    </row>
    <row r="343" spans="1:62" hidden="1" x14ac:dyDescent="0.2">
      <c r="A343" s="1" t="s">
        <v>660</v>
      </c>
      <c r="B343" s="44" t="s">
        <v>726</v>
      </c>
      <c r="C343" s="44" t="s">
        <v>3771</v>
      </c>
      <c r="D343" s="44" t="s">
        <v>727</v>
      </c>
      <c r="E343" s="44" t="s">
        <v>120</v>
      </c>
      <c r="F343" s="44">
        <v>2021</v>
      </c>
      <c r="G343" s="44">
        <v>46</v>
      </c>
      <c r="H343" s="44">
        <v>39</v>
      </c>
      <c r="I343" s="44" t="str">
        <f>Tableau2[[#This Row],[Annee d''inscription au programme]]&amp;"-"&amp;Tableau2[[#This Row],[Code d''ecole]]&amp;"-"&amp;Tableau2[[#This Row],[Numero HM de la fille]]</f>
        <v>2021-46-39</v>
      </c>
      <c r="J343" s="45" t="s">
        <v>1600</v>
      </c>
      <c r="K343" s="44" t="s">
        <v>709</v>
      </c>
      <c r="L343" s="35" t="s">
        <v>620</v>
      </c>
      <c r="M343" s="35">
        <v>0</v>
      </c>
      <c r="N343" s="35">
        <v>0</v>
      </c>
      <c r="O343" s="35">
        <f t="shared" si="10"/>
        <v>0</v>
      </c>
      <c r="P343" s="35"/>
      <c r="Q343" s="35"/>
      <c r="R343" s="35">
        <f t="shared" si="11"/>
        <v>0</v>
      </c>
      <c r="S343" s="35"/>
      <c r="T343" s="35"/>
      <c r="U343" s="35"/>
      <c r="V343" s="35" t="e">
        <f>AVERAGE(Tableau2[[#This Row],[1ère composition/10]:[3è composition]])</f>
        <v>#DIV/0!</v>
      </c>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f>COUNTIF(Tableau2[[#This Row],[Séance 1]:[Séance 38]],"A")</f>
        <v>0</v>
      </c>
      <c r="BJ343" s="35"/>
    </row>
    <row r="344" spans="1:62" hidden="1" x14ac:dyDescent="0.2">
      <c r="A344" s="1" t="s">
        <v>660</v>
      </c>
      <c r="B344" s="44" t="s">
        <v>728</v>
      </c>
      <c r="C344" s="44" t="s">
        <v>3771</v>
      </c>
      <c r="D344" s="44" t="s">
        <v>729</v>
      </c>
      <c r="E344" s="44" t="s">
        <v>120</v>
      </c>
      <c r="F344" s="44">
        <v>2021</v>
      </c>
      <c r="G344" s="44">
        <v>46</v>
      </c>
      <c r="H344" s="44">
        <v>40</v>
      </c>
      <c r="I344" s="44" t="str">
        <f>Tableau2[[#This Row],[Annee d''inscription au programme]]&amp;"-"&amp;Tableau2[[#This Row],[Code d''ecole]]&amp;"-"&amp;Tableau2[[#This Row],[Numero HM de la fille]]</f>
        <v>2021-46-40</v>
      </c>
      <c r="J344" s="45" t="s">
        <v>1601</v>
      </c>
      <c r="K344" s="44" t="s">
        <v>593</v>
      </c>
      <c r="L344" s="35" t="s">
        <v>698</v>
      </c>
      <c r="M344" s="35">
        <v>0</v>
      </c>
      <c r="N344" s="35">
        <v>0</v>
      </c>
      <c r="O344" s="35">
        <f t="shared" si="10"/>
        <v>0</v>
      </c>
      <c r="P344" s="35"/>
      <c r="Q344" s="35"/>
      <c r="R344" s="35">
        <f t="shared" si="11"/>
        <v>0</v>
      </c>
      <c r="S344" s="35"/>
      <c r="T344" s="35"/>
      <c r="U344" s="35"/>
      <c r="V344" s="35" t="e">
        <f>AVERAGE(Tableau2[[#This Row],[1ère composition/10]:[3è composition]])</f>
        <v>#DIV/0!</v>
      </c>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f>COUNTIF(Tableau2[[#This Row],[Séance 1]:[Séance 38]],"A")</f>
        <v>0</v>
      </c>
      <c r="BJ344" s="35"/>
    </row>
    <row r="345" spans="1:62" hidden="1" x14ac:dyDescent="0.2">
      <c r="A345" s="44" t="s">
        <v>730</v>
      </c>
      <c r="B345" s="44" t="s">
        <v>731</v>
      </c>
      <c r="C345" s="44" t="s">
        <v>3771</v>
      </c>
      <c r="D345" s="44" t="s">
        <v>732</v>
      </c>
      <c r="E345" s="44" t="s">
        <v>120</v>
      </c>
      <c r="F345" s="44">
        <v>2021</v>
      </c>
      <c r="G345" s="44">
        <v>46</v>
      </c>
      <c r="H345" s="44">
        <v>41</v>
      </c>
      <c r="I345" s="44" t="str">
        <f>Tableau2[[#This Row],[Annee d''inscription au programme]]&amp;"-"&amp;Tableau2[[#This Row],[Code d''ecole]]&amp;"-"&amp;Tableau2[[#This Row],[Numero HM de la fille]]</f>
        <v>2021-46-41</v>
      </c>
      <c r="J345" s="45" t="s">
        <v>1602</v>
      </c>
      <c r="K345" s="44" t="s">
        <v>593</v>
      </c>
      <c r="L345" s="35" t="s">
        <v>698</v>
      </c>
      <c r="M345" s="35">
        <v>0</v>
      </c>
      <c r="N345" s="35">
        <v>0</v>
      </c>
      <c r="O345" s="35">
        <f t="shared" si="10"/>
        <v>0</v>
      </c>
      <c r="P345" s="35"/>
      <c r="Q345" s="35"/>
      <c r="R345" s="35">
        <f t="shared" si="11"/>
        <v>0</v>
      </c>
      <c r="S345" s="35"/>
      <c r="T345" s="35"/>
      <c r="U345" s="35"/>
      <c r="V345" s="35" t="e">
        <f>AVERAGE(Tableau2[[#This Row],[1ère composition/10]:[3è composition]])</f>
        <v>#DIV/0!</v>
      </c>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f>COUNTIF(Tableau2[[#This Row],[Séance 1]:[Séance 38]],"A")</f>
        <v>0</v>
      </c>
      <c r="BJ345" s="35"/>
    </row>
    <row r="346" spans="1:62" hidden="1" x14ac:dyDescent="0.2">
      <c r="A346" s="44" t="s">
        <v>730</v>
      </c>
      <c r="B346" s="44" t="s">
        <v>733</v>
      </c>
      <c r="C346" s="44" t="s">
        <v>3775</v>
      </c>
      <c r="D346" s="44" t="s">
        <v>734</v>
      </c>
      <c r="E346" s="44" t="s">
        <v>120</v>
      </c>
      <c r="F346" s="44">
        <v>2021</v>
      </c>
      <c r="G346" s="44">
        <v>46</v>
      </c>
      <c r="H346" s="44">
        <v>42</v>
      </c>
      <c r="I346" s="44" t="str">
        <f>Tableau2[[#This Row],[Annee d''inscription au programme]]&amp;"-"&amp;Tableau2[[#This Row],[Code d''ecole]]&amp;"-"&amp;Tableau2[[#This Row],[Numero HM de la fille]]</f>
        <v>2021-46-42</v>
      </c>
      <c r="J346" s="45" t="s">
        <v>1603</v>
      </c>
      <c r="K346" s="44" t="s">
        <v>593</v>
      </c>
      <c r="L346" s="35" t="s">
        <v>698</v>
      </c>
      <c r="M346" s="35">
        <v>8.5</v>
      </c>
      <c r="N346" s="35">
        <v>18.5</v>
      </c>
      <c r="O346" s="35">
        <f t="shared" si="10"/>
        <v>13.5</v>
      </c>
      <c r="P346" s="35">
        <v>12</v>
      </c>
      <c r="Q346" s="35">
        <v>19</v>
      </c>
      <c r="R346" s="35">
        <f t="shared" si="11"/>
        <v>15.5</v>
      </c>
      <c r="S346" s="35"/>
      <c r="T346" s="35"/>
      <c r="U346" s="35"/>
      <c r="V346" s="35" t="e">
        <f>AVERAGE(Tableau2[[#This Row],[1ère composition/10]:[3è composition]])</f>
        <v>#DIV/0!</v>
      </c>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f>COUNTIF(Tableau2[[#This Row],[Séance 1]:[Séance 38]],"A")</f>
        <v>0</v>
      </c>
      <c r="BJ346" s="35"/>
    </row>
    <row r="347" spans="1:62" hidden="1" x14ac:dyDescent="0.2">
      <c r="A347" s="44" t="s">
        <v>735</v>
      </c>
      <c r="B347" s="44" t="s">
        <v>3778</v>
      </c>
      <c r="C347" s="44" t="s">
        <v>3777</v>
      </c>
      <c r="D347" s="44" t="s">
        <v>309</v>
      </c>
      <c r="E347" s="44" t="s">
        <v>120</v>
      </c>
      <c r="F347" s="44">
        <v>2021</v>
      </c>
      <c r="G347" s="44">
        <v>25</v>
      </c>
      <c r="H347" s="44">
        <v>1</v>
      </c>
      <c r="I347" s="44" t="str">
        <f>Tableau2[[#This Row],[Annee d''inscription au programme]]&amp;"-"&amp;Tableau2[[#This Row],[Code d''ecole]]&amp;"-"&amp;Tableau2[[#This Row],[Numero HM de la fille]]</f>
        <v>2021-25-1</v>
      </c>
      <c r="J347" s="45" t="s">
        <v>1604</v>
      </c>
      <c r="K347" s="44" t="s">
        <v>593</v>
      </c>
      <c r="L347" s="35" t="s">
        <v>698</v>
      </c>
      <c r="M347" s="35">
        <v>18.5</v>
      </c>
      <c r="N347" s="35">
        <v>19</v>
      </c>
      <c r="O347" s="35">
        <f t="shared" si="10"/>
        <v>18.75</v>
      </c>
      <c r="P347" s="35">
        <v>17</v>
      </c>
      <c r="Q347" s="35">
        <v>19.5</v>
      </c>
      <c r="R347" s="35">
        <f t="shared" si="11"/>
        <v>18.25</v>
      </c>
      <c r="S347" s="35"/>
      <c r="T347" s="35"/>
      <c r="U347" s="35"/>
      <c r="V347" s="35" t="e">
        <f>AVERAGE(Tableau2[[#This Row],[1ère composition/10]:[3è composition]])</f>
        <v>#DIV/0!</v>
      </c>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f>COUNTIF(Tableau2[[#This Row],[Séance 1]:[Séance 38]],"A")</f>
        <v>0</v>
      </c>
      <c r="BJ347" s="35"/>
    </row>
    <row r="348" spans="1:62" hidden="1" x14ac:dyDescent="0.2">
      <c r="A348" s="44" t="s">
        <v>735</v>
      </c>
      <c r="B348" s="44" t="s">
        <v>736</v>
      </c>
      <c r="C348" s="44" t="s">
        <v>3777</v>
      </c>
      <c r="D348" s="44" t="s">
        <v>737</v>
      </c>
      <c r="E348" s="44" t="s">
        <v>120</v>
      </c>
      <c r="F348" s="44">
        <v>2021</v>
      </c>
      <c r="G348" s="44">
        <v>25</v>
      </c>
      <c r="H348" s="44">
        <v>2</v>
      </c>
      <c r="I348" s="44" t="str">
        <f>Tableau2[[#This Row],[Annee d''inscription au programme]]&amp;"-"&amp;Tableau2[[#This Row],[Code d''ecole]]&amp;"-"&amp;Tableau2[[#This Row],[Numero HM de la fille]]</f>
        <v>2021-25-2</v>
      </c>
      <c r="J348" s="45" t="s">
        <v>1605</v>
      </c>
      <c r="K348" s="44" t="s">
        <v>593</v>
      </c>
      <c r="L348" s="35" t="s">
        <v>698</v>
      </c>
      <c r="M348" s="35">
        <v>7</v>
      </c>
      <c r="N348" s="35">
        <v>8.5</v>
      </c>
      <c r="O348" s="35">
        <f t="shared" si="10"/>
        <v>7.75</v>
      </c>
      <c r="P348" s="35">
        <v>12.5</v>
      </c>
      <c r="Q348" s="35">
        <v>14.5</v>
      </c>
      <c r="R348" s="35">
        <f t="shared" si="11"/>
        <v>13.5</v>
      </c>
      <c r="S348" s="35"/>
      <c r="T348" s="35"/>
      <c r="U348" s="35"/>
      <c r="V348" s="35" t="e">
        <f>AVERAGE(Tableau2[[#This Row],[1ère composition/10]:[3è composition]])</f>
        <v>#DIV/0!</v>
      </c>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f>COUNTIF(Tableau2[[#This Row],[Séance 1]:[Séance 38]],"A")</f>
        <v>0</v>
      </c>
      <c r="BJ348" s="35"/>
    </row>
    <row r="349" spans="1:62" hidden="1" x14ac:dyDescent="0.2">
      <c r="A349" s="44" t="s">
        <v>735</v>
      </c>
      <c r="B349" s="44" t="s">
        <v>738</v>
      </c>
      <c r="C349" s="44" t="s">
        <v>3777</v>
      </c>
      <c r="D349" s="44" t="s">
        <v>739</v>
      </c>
      <c r="E349" s="44" t="s">
        <v>120</v>
      </c>
      <c r="F349" s="44">
        <v>2021</v>
      </c>
      <c r="G349" s="44">
        <v>25</v>
      </c>
      <c r="H349" s="44">
        <v>3</v>
      </c>
      <c r="I349" s="44" t="str">
        <f>Tableau2[[#This Row],[Annee d''inscription au programme]]&amp;"-"&amp;Tableau2[[#This Row],[Code d''ecole]]&amp;"-"&amp;Tableau2[[#This Row],[Numero HM de la fille]]</f>
        <v>2021-25-3</v>
      </c>
      <c r="J349" s="45" t="s">
        <v>1606</v>
      </c>
      <c r="K349" s="44" t="s">
        <v>593</v>
      </c>
      <c r="L349" s="35" t="s">
        <v>698</v>
      </c>
      <c r="M349" s="35">
        <v>13.5</v>
      </c>
      <c r="N349" s="35">
        <v>12</v>
      </c>
      <c r="O349" s="35">
        <f t="shared" si="10"/>
        <v>12.75</v>
      </c>
      <c r="P349" s="35">
        <v>18</v>
      </c>
      <c r="Q349" s="35">
        <v>16.5</v>
      </c>
      <c r="R349" s="35">
        <f t="shared" si="11"/>
        <v>17.25</v>
      </c>
      <c r="S349" s="35"/>
      <c r="T349" s="35"/>
      <c r="U349" s="35"/>
      <c r="V349" s="35" t="e">
        <f>AVERAGE(Tableau2[[#This Row],[1ère composition/10]:[3è composition]])</f>
        <v>#DIV/0!</v>
      </c>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f>COUNTIF(Tableau2[[#This Row],[Séance 1]:[Séance 38]],"A")</f>
        <v>0</v>
      </c>
      <c r="BJ349" s="35"/>
    </row>
    <row r="350" spans="1:62" hidden="1" x14ac:dyDescent="0.2">
      <c r="A350" s="44" t="s">
        <v>735</v>
      </c>
      <c r="B350" s="44" t="s">
        <v>740</v>
      </c>
      <c r="C350" s="44" t="s">
        <v>3777</v>
      </c>
      <c r="D350" s="44" t="s">
        <v>741</v>
      </c>
      <c r="E350" s="44" t="s">
        <v>120</v>
      </c>
      <c r="F350" s="44">
        <v>2021</v>
      </c>
      <c r="G350" s="44">
        <v>25</v>
      </c>
      <c r="H350" s="44">
        <v>4</v>
      </c>
      <c r="I350" s="44" t="str">
        <f>Tableau2[[#This Row],[Annee d''inscription au programme]]&amp;"-"&amp;Tableau2[[#This Row],[Code d''ecole]]&amp;"-"&amp;Tableau2[[#This Row],[Numero HM de la fille]]</f>
        <v>2021-25-4</v>
      </c>
      <c r="J350" s="45" t="s">
        <v>1607</v>
      </c>
      <c r="K350" s="44" t="s">
        <v>593</v>
      </c>
      <c r="L350" s="35" t="s">
        <v>698</v>
      </c>
      <c r="M350" s="35">
        <v>5</v>
      </c>
      <c r="N350" s="35">
        <v>2</v>
      </c>
      <c r="O350" s="35">
        <f t="shared" si="10"/>
        <v>3.5</v>
      </c>
      <c r="P350" s="35">
        <v>11.5</v>
      </c>
      <c r="Q350" s="35">
        <v>14</v>
      </c>
      <c r="R350" s="35">
        <f t="shared" si="11"/>
        <v>12.75</v>
      </c>
      <c r="S350" s="35"/>
      <c r="T350" s="35"/>
      <c r="U350" s="35"/>
      <c r="V350" s="35" t="e">
        <f>AVERAGE(Tableau2[[#This Row],[1ère composition/10]:[3è composition]])</f>
        <v>#DIV/0!</v>
      </c>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f>COUNTIF(Tableau2[[#This Row],[Séance 1]:[Séance 38]],"A")</f>
        <v>0</v>
      </c>
      <c r="BJ350" s="35"/>
    </row>
    <row r="351" spans="1:62" hidden="1" x14ac:dyDescent="0.2">
      <c r="A351" s="44" t="s">
        <v>735</v>
      </c>
      <c r="B351" s="44" t="s">
        <v>742</v>
      </c>
      <c r="C351" s="44" t="s">
        <v>3777</v>
      </c>
      <c r="D351" s="44" t="s">
        <v>743</v>
      </c>
      <c r="E351" s="44" t="s">
        <v>120</v>
      </c>
      <c r="F351" s="44">
        <v>2021</v>
      </c>
      <c r="G351" s="44">
        <v>25</v>
      </c>
      <c r="H351" s="44">
        <v>5</v>
      </c>
      <c r="I351" s="44" t="str">
        <f>Tableau2[[#This Row],[Annee d''inscription au programme]]&amp;"-"&amp;Tableau2[[#This Row],[Code d''ecole]]&amp;"-"&amp;Tableau2[[#This Row],[Numero HM de la fille]]</f>
        <v>2021-25-5</v>
      </c>
      <c r="J351" s="45" t="s">
        <v>1608</v>
      </c>
      <c r="K351" s="44" t="s">
        <v>593</v>
      </c>
      <c r="L351" s="35" t="s">
        <v>698</v>
      </c>
      <c r="M351" s="35">
        <v>10</v>
      </c>
      <c r="N351" s="35">
        <v>13.5</v>
      </c>
      <c r="O351" s="35">
        <f t="shared" si="10"/>
        <v>11.75</v>
      </c>
      <c r="P351" s="35">
        <v>10.5</v>
      </c>
      <c r="Q351" s="35">
        <v>15.5</v>
      </c>
      <c r="R351" s="35">
        <f t="shared" si="11"/>
        <v>13</v>
      </c>
      <c r="S351" s="35"/>
      <c r="T351" s="35"/>
      <c r="U351" s="35"/>
      <c r="V351" s="35" t="e">
        <f>AVERAGE(Tableau2[[#This Row],[1ère composition/10]:[3è composition]])</f>
        <v>#DIV/0!</v>
      </c>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f>COUNTIF(Tableau2[[#This Row],[Séance 1]:[Séance 38]],"A")</f>
        <v>0</v>
      </c>
      <c r="BJ351" s="35"/>
    </row>
    <row r="352" spans="1:62" hidden="1" x14ac:dyDescent="0.2">
      <c r="A352" s="44" t="s">
        <v>735</v>
      </c>
      <c r="B352" s="44" t="s">
        <v>744</v>
      </c>
      <c r="C352" s="44" t="s">
        <v>3777</v>
      </c>
      <c r="D352" s="44" t="s">
        <v>745</v>
      </c>
      <c r="E352" s="44" t="s">
        <v>120</v>
      </c>
      <c r="F352" s="44">
        <v>2021</v>
      </c>
      <c r="G352" s="44">
        <v>25</v>
      </c>
      <c r="H352" s="44">
        <v>6</v>
      </c>
      <c r="I352" s="44" t="str">
        <f>Tableau2[[#This Row],[Annee d''inscription au programme]]&amp;"-"&amp;Tableau2[[#This Row],[Code d''ecole]]&amp;"-"&amp;Tableau2[[#This Row],[Numero HM de la fille]]</f>
        <v>2021-25-6</v>
      </c>
      <c r="J352" s="45" t="s">
        <v>1609</v>
      </c>
      <c r="K352" s="44" t="s">
        <v>593</v>
      </c>
      <c r="L352" s="35" t="s">
        <v>698</v>
      </c>
      <c r="M352" s="35">
        <v>16</v>
      </c>
      <c r="N352" s="35">
        <v>17</v>
      </c>
      <c r="O352" s="35">
        <f t="shared" si="10"/>
        <v>16.5</v>
      </c>
      <c r="P352" s="35">
        <v>18.5</v>
      </c>
      <c r="Q352" s="35">
        <v>18.5</v>
      </c>
      <c r="R352" s="35">
        <f t="shared" si="11"/>
        <v>18.5</v>
      </c>
      <c r="S352" s="35"/>
      <c r="T352" s="35"/>
      <c r="U352" s="35"/>
      <c r="V352" s="35" t="e">
        <f>AVERAGE(Tableau2[[#This Row],[1ère composition/10]:[3è composition]])</f>
        <v>#DIV/0!</v>
      </c>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f>COUNTIF(Tableau2[[#This Row],[Séance 1]:[Séance 38]],"A")</f>
        <v>0</v>
      </c>
      <c r="BJ352" s="35"/>
    </row>
    <row r="353" spans="1:62" hidden="1" x14ac:dyDescent="0.2">
      <c r="A353" s="44" t="s">
        <v>735</v>
      </c>
      <c r="B353" s="44" t="s">
        <v>3779</v>
      </c>
      <c r="C353" s="44" t="s">
        <v>3777</v>
      </c>
      <c r="D353" s="44" t="s">
        <v>746</v>
      </c>
      <c r="E353" s="44" t="s">
        <v>120</v>
      </c>
      <c r="F353" s="44">
        <v>2021</v>
      </c>
      <c r="G353" s="44">
        <v>25</v>
      </c>
      <c r="H353" s="44">
        <v>7</v>
      </c>
      <c r="I353" s="44" t="str">
        <f>Tableau2[[#This Row],[Annee d''inscription au programme]]&amp;"-"&amp;Tableau2[[#This Row],[Code d''ecole]]&amp;"-"&amp;Tableau2[[#This Row],[Numero HM de la fille]]</f>
        <v>2021-25-7</v>
      </c>
      <c r="J353" s="45" t="s">
        <v>1610</v>
      </c>
      <c r="K353" s="44" t="s">
        <v>593</v>
      </c>
      <c r="L353" s="35" t="s">
        <v>698</v>
      </c>
      <c r="M353" s="35">
        <v>12</v>
      </c>
      <c r="N353" s="35">
        <v>18</v>
      </c>
      <c r="O353" s="35">
        <f t="shared" si="10"/>
        <v>15</v>
      </c>
      <c r="P353" s="35">
        <v>17</v>
      </c>
      <c r="Q353" s="35">
        <v>15</v>
      </c>
      <c r="R353" s="35">
        <f t="shared" si="11"/>
        <v>16</v>
      </c>
      <c r="S353" s="35"/>
      <c r="T353" s="35"/>
      <c r="U353" s="35"/>
      <c r="V353" s="35" t="e">
        <f>AVERAGE(Tableau2[[#This Row],[1ère composition/10]:[3è composition]])</f>
        <v>#DIV/0!</v>
      </c>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f>COUNTIF(Tableau2[[#This Row],[Séance 1]:[Séance 38]],"A")</f>
        <v>0</v>
      </c>
      <c r="BJ353" s="35"/>
    </row>
    <row r="354" spans="1:62" hidden="1" x14ac:dyDescent="0.2">
      <c r="A354" s="44" t="s">
        <v>735</v>
      </c>
      <c r="B354" s="44" t="s">
        <v>747</v>
      </c>
      <c r="C354" s="44" t="s">
        <v>3777</v>
      </c>
      <c r="D354" s="44" t="s">
        <v>748</v>
      </c>
      <c r="E354" s="44" t="s">
        <v>120</v>
      </c>
      <c r="F354" s="44">
        <v>2021</v>
      </c>
      <c r="G354" s="44">
        <v>25</v>
      </c>
      <c r="H354" s="44">
        <v>8</v>
      </c>
      <c r="I354" s="44" t="str">
        <f>Tableau2[[#This Row],[Annee d''inscription au programme]]&amp;"-"&amp;Tableau2[[#This Row],[Code d''ecole]]&amp;"-"&amp;Tableau2[[#This Row],[Numero HM de la fille]]</f>
        <v>2021-25-8</v>
      </c>
      <c r="J354" s="45" t="s">
        <v>1611</v>
      </c>
      <c r="K354" s="44" t="s">
        <v>593</v>
      </c>
      <c r="L354" s="35" t="s">
        <v>698</v>
      </c>
      <c r="M354" s="35">
        <v>8</v>
      </c>
      <c r="N354" s="35">
        <v>10</v>
      </c>
      <c r="O354" s="35">
        <f t="shared" si="10"/>
        <v>9</v>
      </c>
      <c r="P354" s="35">
        <v>17.5</v>
      </c>
      <c r="Q354" s="35">
        <v>17</v>
      </c>
      <c r="R354" s="35">
        <f t="shared" si="11"/>
        <v>17.25</v>
      </c>
      <c r="S354" s="35"/>
      <c r="T354" s="35"/>
      <c r="U354" s="35"/>
      <c r="V354" s="35" t="e">
        <f>AVERAGE(Tableau2[[#This Row],[1ère composition/10]:[3è composition]])</f>
        <v>#DIV/0!</v>
      </c>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f>COUNTIF(Tableau2[[#This Row],[Séance 1]:[Séance 38]],"A")</f>
        <v>0</v>
      </c>
      <c r="BJ354" s="35"/>
    </row>
    <row r="355" spans="1:62" hidden="1" x14ac:dyDescent="0.2">
      <c r="A355" s="44" t="s">
        <v>735</v>
      </c>
      <c r="B355" s="44" t="s">
        <v>749</v>
      </c>
      <c r="C355" s="44" t="s">
        <v>3777</v>
      </c>
      <c r="D355" s="44" t="s">
        <v>750</v>
      </c>
      <c r="E355" s="44" t="s">
        <v>120</v>
      </c>
      <c r="F355" s="44">
        <v>2021</v>
      </c>
      <c r="G355" s="44">
        <v>25</v>
      </c>
      <c r="H355" s="44">
        <v>9</v>
      </c>
      <c r="I355" s="44" t="str">
        <f>Tableau2[[#This Row],[Annee d''inscription au programme]]&amp;"-"&amp;Tableau2[[#This Row],[Code d''ecole]]&amp;"-"&amp;Tableau2[[#This Row],[Numero HM de la fille]]</f>
        <v>2021-25-9</v>
      </c>
      <c r="J355" s="45" t="s">
        <v>1612</v>
      </c>
      <c r="K355" s="44" t="s">
        <v>593</v>
      </c>
      <c r="L355" s="35" t="s">
        <v>698</v>
      </c>
      <c r="M355" s="35">
        <v>10</v>
      </c>
      <c r="N355" s="35">
        <v>16.5</v>
      </c>
      <c r="O355" s="35">
        <f t="shared" si="10"/>
        <v>13.25</v>
      </c>
      <c r="P355" s="35">
        <v>15</v>
      </c>
      <c r="Q355" s="35">
        <v>14.75</v>
      </c>
      <c r="R355" s="35">
        <f t="shared" si="11"/>
        <v>14.875</v>
      </c>
      <c r="S355" s="35"/>
      <c r="T355" s="35"/>
      <c r="U355" s="35"/>
      <c r="V355" s="35" t="e">
        <f>AVERAGE(Tableau2[[#This Row],[1ère composition/10]:[3è composition]])</f>
        <v>#DIV/0!</v>
      </c>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f>COUNTIF(Tableau2[[#This Row],[Séance 1]:[Séance 38]],"A")</f>
        <v>0</v>
      </c>
      <c r="BJ355" s="35"/>
    </row>
    <row r="356" spans="1:62" hidden="1" x14ac:dyDescent="0.2">
      <c r="A356" s="44" t="s">
        <v>735</v>
      </c>
      <c r="B356" s="44" t="s">
        <v>751</v>
      </c>
      <c r="C356" s="44" t="s">
        <v>3777</v>
      </c>
      <c r="D356" s="44" t="s">
        <v>752</v>
      </c>
      <c r="E356" s="44" t="s">
        <v>120</v>
      </c>
      <c r="F356" s="44">
        <v>2021</v>
      </c>
      <c r="G356" s="44">
        <v>25</v>
      </c>
      <c r="H356" s="44">
        <v>10</v>
      </c>
      <c r="I356" s="44" t="str">
        <f>Tableau2[[#This Row],[Annee d''inscription au programme]]&amp;"-"&amp;Tableau2[[#This Row],[Code d''ecole]]&amp;"-"&amp;Tableau2[[#This Row],[Numero HM de la fille]]</f>
        <v>2021-25-10</v>
      </c>
      <c r="J356" s="45" t="s">
        <v>1613</v>
      </c>
      <c r="K356" s="44" t="s">
        <v>593</v>
      </c>
      <c r="L356" s="35" t="s">
        <v>698</v>
      </c>
      <c r="M356" s="35">
        <v>1</v>
      </c>
      <c r="N356" s="35">
        <v>4.5</v>
      </c>
      <c r="O356" s="35">
        <f t="shared" si="10"/>
        <v>2.75</v>
      </c>
      <c r="P356" s="35">
        <v>11.5</v>
      </c>
      <c r="Q356" s="35">
        <v>11</v>
      </c>
      <c r="R356" s="35">
        <f t="shared" si="11"/>
        <v>11.25</v>
      </c>
      <c r="S356" s="35"/>
      <c r="T356" s="35"/>
      <c r="U356" s="35"/>
      <c r="V356" s="35" t="e">
        <f>AVERAGE(Tableau2[[#This Row],[1ère composition/10]:[3è composition]])</f>
        <v>#DIV/0!</v>
      </c>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f>COUNTIF(Tableau2[[#This Row],[Séance 1]:[Séance 38]],"A")</f>
        <v>0</v>
      </c>
      <c r="BJ356" s="35"/>
    </row>
    <row r="357" spans="1:62" hidden="1" x14ac:dyDescent="0.2">
      <c r="A357" s="44" t="s">
        <v>735</v>
      </c>
      <c r="B357" s="44" t="s">
        <v>753</v>
      </c>
      <c r="C357" s="44" t="s">
        <v>3777</v>
      </c>
      <c r="D357" s="44" t="s">
        <v>404</v>
      </c>
      <c r="E357" s="44" t="s">
        <v>120</v>
      </c>
      <c r="F357" s="44">
        <v>2021</v>
      </c>
      <c r="G357" s="44">
        <v>25</v>
      </c>
      <c r="H357" s="44">
        <v>11</v>
      </c>
      <c r="I357" s="44" t="str">
        <f>Tableau2[[#This Row],[Annee d''inscription au programme]]&amp;"-"&amp;Tableau2[[#This Row],[Code d''ecole]]&amp;"-"&amp;Tableau2[[#This Row],[Numero HM de la fille]]</f>
        <v>2021-25-11</v>
      </c>
      <c r="J357" s="45" t="s">
        <v>1614</v>
      </c>
      <c r="K357" s="44" t="s">
        <v>593</v>
      </c>
      <c r="L357" s="35" t="s">
        <v>698</v>
      </c>
      <c r="M357" s="35">
        <v>1</v>
      </c>
      <c r="N357" s="35">
        <v>2</v>
      </c>
      <c r="O357" s="35">
        <f t="shared" si="10"/>
        <v>1.5</v>
      </c>
      <c r="P357" s="35">
        <v>1</v>
      </c>
      <c r="Q357" s="35">
        <v>2</v>
      </c>
      <c r="R357" s="35">
        <f t="shared" si="11"/>
        <v>1.5</v>
      </c>
      <c r="S357" s="35"/>
      <c r="T357" s="35"/>
      <c r="U357" s="35"/>
      <c r="V357" s="35" t="e">
        <f>AVERAGE(Tableau2[[#This Row],[1ère composition/10]:[3è composition]])</f>
        <v>#DIV/0!</v>
      </c>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f>COUNTIF(Tableau2[[#This Row],[Séance 1]:[Séance 38]],"A")</f>
        <v>0</v>
      </c>
      <c r="BJ357" s="35"/>
    </row>
    <row r="358" spans="1:62" hidden="1" x14ac:dyDescent="0.2">
      <c r="A358" s="44" t="s">
        <v>735</v>
      </c>
      <c r="B358" s="44" t="s">
        <v>754</v>
      </c>
      <c r="C358" s="44" t="s">
        <v>3777</v>
      </c>
      <c r="D358" s="44" t="s">
        <v>666</v>
      </c>
      <c r="E358" s="44" t="s">
        <v>120</v>
      </c>
      <c r="F358" s="44">
        <v>2021</v>
      </c>
      <c r="G358" s="44">
        <v>25</v>
      </c>
      <c r="H358" s="44">
        <v>12</v>
      </c>
      <c r="I358" s="44" t="str">
        <f>Tableau2[[#This Row],[Annee d''inscription au programme]]&amp;"-"&amp;Tableau2[[#This Row],[Code d''ecole]]&amp;"-"&amp;Tableau2[[#This Row],[Numero HM de la fille]]</f>
        <v>2021-25-12</v>
      </c>
      <c r="J358" s="45" t="s">
        <v>1615</v>
      </c>
      <c r="K358" s="44" t="s">
        <v>593</v>
      </c>
      <c r="L358" s="35" t="s">
        <v>698</v>
      </c>
      <c r="M358" s="35">
        <v>6</v>
      </c>
      <c r="N358" s="35">
        <v>5.5</v>
      </c>
      <c r="O358" s="35">
        <f t="shared" si="10"/>
        <v>5.75</v>
      </c>
      <c r="P358" s="35">
        <v>11.5</v>
      </c>
      <c r="Q358" s="35">
        <v>7.5</v>
      </c>
      <c r="R358" s="35">
        <f t="shared" si="11"/>
        <v>9.5</v>
      </c>
      <c r="S358" s="35"/>
      <c r="T358" s="35"/>
      <c r="U358" s="35"/>
      <c r="V358" s="35" t="e">
        <f>AVERAGE(Tableau2[[#This Row],[1ère composition/10]:[3è composition]])</f>
        <v>#DIV/0!</v>
      </c>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f>COUNTIF(Tableau2[[#This Row],[Séance 1]:[Séance 38]],"A")</f>
        <v>0</v>
      </c>
      <c r="BJ358" s="35"/>
    </row>
    <row r="359" spans="1:62" hidden="1" x14ac:dyDescent="0.2">
      <c r="A359" s="44" t="s">
        <v>735</v>
      </c>
      <c r="B359" s="44" t="s">
        <v>755</v>
      </c>
      <c r="C359" s="44" t="s">
        <v>3776</v>
      </c>
      <c r="D359" s="44" t="s">
        <v>617</v>
      </c>
      <c r="E359" s="44" t="s">
        <v>120</v>
      </c>
      <c r="F359" s="44">
        <v>2021</v>
      </c>
      <c r="G359" s="44">
        <v>25</v>
      </c>
      <c r="H359" s="44">
        <v>13</v>
      </c>
      <c r="I359" s="44" t="str">
        <f>Tableau2[[#This Row],[Annee d''inscription au programme]]&amp;"-"&amp;Tableau2[[#This Row],[Code d''ecole]]&amp;"-"&amp;Tableau2[[#This Row],[Numero HM de la fille]]</f>
        <v>2021-25-13</v>
      </c>
      <c r="J359" s="45" t="s">
        <v>1616</v>
      </c>
      <c r="K359" s="44" t="s">
        <v>593</v>
      </c>
      <c r="L359" s="35" t="s">
        <v>698</v>
      </c>
      <c r="M359" s="35">
        <v>16</v>
      </c>
      <c r="N359" s="35">
        <v>20</v>
      </c>
      <c r="O359" s="35">
        <f t="shared" si="10"/>
        <v>18</v>
      </c>
      <c r="P359" s="35">
        <v>20</v>
      </c>
      <c r="Q359" s="35">
        <v>19</v>
      </c>
      <c r="R359" s="35">
        <f t="shared" si="11"/>
        <v>19.5</v>
      </c>
      <c r="S359" s="35"/>
      <c r="T359" s="35"/>
      <c r="U359" s="35"/>
      <c r="V359" s="35" t="e">
        <f>AVERAGE(Tableau2[[#This Row],[1ère composition/10]:[3è composition]])</f>
        <v>#DIV/0!</v>
      </c>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f>COUNTIF(Tableau2[[#This Row],[Séance 1]:[Séance 38]],"A")</f>
        <v>0</v>
      </c>
      <c r="BJ359" s="35"/>
    </row>
    <row r="360" spans="1:62" hidden="1" x14ac:dyDescent="0.2">
      <c r="A360" s="44" t="s">
        <v>735</v>
      </c>
      <c r="B360" s="44" t="s">
        <v>756</v>
      </c>
      <c r="C360" s="44" t="s">
        <v>3777</v>
      </c>
      <c r="D360" s="44" t="s">
        <v>757</v>
      </c>
      <c r="E360" s="44" t="s">
        <v>120</v>
      </c>
      <c r="F360" s="44">
        <v>2021</v>
      </c>
      <c r="G360" s="44">
        <v>25</v>
      </c>
      <c r="H360" s="44">
        <v>14</v>
      </c>
      <c r="I360" s="44" t="str">
        <f>Tableau2[[#This Row],[Annee d''inscription au programme]]&amp;"-"&amp;Tableau2[[#This Row],[Code d''ecole]]&amp;"-"&amp;Tableau2[[#This Row],[Numero HM de la fille]]</f>
        <v>2021-25-14</v>
      </c>
      <c r="J360" s="45" t="s">
        <v>1617</v>
      </c>
      <c r="K360" s="44" t="s">
        <v>593</v>
      </c>
      <c r="L360" s="35" t="s">
        <v>698</v>
      </c>
      <c r="M360" s="35">
        <v>17.5</v>
      </c>
      <c r="N360" s="35">
        <v>20</v>
      </c>
      <c r="O360" s="35">
        <f t="shared" si="10"/>
        <v>18.75</v>
      </c>
      <c r="P360" s="35">
        <v>20</v>
      </c>
      <c r="Q360" s="35">
        <v>20</v>
      </c>
      <c r="R360" s="35">
        <f t="shared" si="11"/>
        <v>20</v>
      </c>
      <c r="S360" s="35"/>
      <c r="T360" s="35"/>
      <c r="U360" s="35"/>
      <c r="V360" s="35" t="e">
        <f>AVERAGE(Tableau2[[#This Row],[1ère composition/10]:[3è composition]])</f>
        <v>#DIV/0!</v>
      </c>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f>COUNTIF(Tableau2[[#This Row],[Séance 1]:[Séance 38]],"A")</f>
        <v>0</v>
      </c>
      <c r="BJ360" s="35"/>
    </row>
    <row r="361" spans="1:62" hidden="1" x14ac:dyDescent="0.2">
      <c r="A361" s="44" t="s">
        <v>735</v>
      </c>
      <c r="B361" s="44" t="s">
        <v>3780</v>
      </c>
      <c r="C361" s="44" t="s">
        <v>3777</v>
      </c>
      <c r="D361" s="44" t="s">
        <v>758</v>
      </c>
      <c r="E361" s="44" t="s">
        <v>120</v>
      </c>
      <c r="F361" s="44">
        <v>2021</v>
      </c>
      <c r="G361" s="44">
        <v>25</v>
      </c>
      <c r="H361" s="44">
        <v>15</v>
      </c>
      <c r="I361" s="44" t="str">
        <f>Tableau2[[#This Row],[Annee d''inscription au programme]]&amp;"-"&amp;Tableau2[[#This Row],[Code d''ecole]]&amp;"-"&amp;Tableau2[[#This Row],[Numero HM de la fille]]</f>
        <v>2021-25-15</v>
      </c>
      <c r="J361" s="45" t="s">
        <v>1618</v>
      </c>
      <c r="K361" s="44" t="s">
        <v>593</v>
      </c>
      <c r="L361" s="35" t="s">
        <v>698</v>
      </c>
      <c r="M361" s="35">
        <v>8</v>
      </c>
      <c r="N361" s="35">
        <v>10</v>
      </c>
      <c r="O361" s="35">
        <f t="shared" si="10"/>
        <v>9</v>
      </c>
      <c r="P361" s="35">
        <v>4</v>
      </c>
      <c r="Q361" s="35">
        <v>6.5</v>
      </c>
      <c r="R361" s="35">
        <f t="shared" si="11"/>
        <v>5.25</v>
      </c>
      <c r="S361" s="35"/>
      <c r="T361" s="35"/>
      <c r="U361" s="35"/>
      <c r="V361" s="35" t="e">
        <f>AVERAGE(Tableau2[[#This Row],[1ère composition/10]:[3è composition]])</f>
        <v>#DIV/0!</v>
      </c>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f>COUNTIF(Tableau2[[#This Row],[Séance 1]:[Séance 38]],"A")</f>
        <v>0</v>
      </c>
      <c r="BJ361" s="35"/>
    </row>
    <row r="362" spans="1:62" hidden="1" x14ac:dyDescent="0.2">
      <c r="A362" s="44" t="s">
        <v>735</v>
      </c>
      <c r="B362" s="44" t="s">
        <v>759</v>
      </c>
      <c r="C362" s="44" t="s">
        <v>3777</v>
      </c>
      <c r="D362" s="44" t="s">
        <v>760</v>
      </c>
      <c r="E362" s="44" t="s">
        <v>120</v>
      </c>
      <c r="F362" s="44">
        <v>2021</v>
      </c>
      <c r="G362" s="44">
        <v>25</v>
      </c>
      <c r="H362" s="44">
        <v>16</v>
      </c>
      <c r="I362" s="44" t="str">
        <f>Tableau2[[#This Row],[Annee d''inscription au programme]]&amp;"-"&amp;Tableau2[[#This Row],[Code d''ecole]]&amp;"-"&amp;Tableau2[[#This Row],[Numero HM de la fille]]</f>
        <v>2021-25-16</v>
      </c>
      <c r="J362" s="45" t="s">
        <v>1619</v>
      </c>
      <c r="K362" s="44" t="s">
        <v>593</v>
      </c>
      <c r="L362" s="35" t="s">
        <v>698</v>
      </c>
      <c r="M362" s="35">
        <v>11</v>
      </c>
      <c r="N362" s="35">
        <v>6</v>
      </c>
      <c r="O362" s="35">
        <f t="shared" si="10"/>
        <v>8.5</v>
      </c>
      <c r="P362" s="35">
        <v>11</v>
      </c>
      <c r="Q362" s="35">
        <v>14</v>
      </c>
      <c r="R362" s="35">
        <f t="shared" si="11"/>
        <v>12.5</v>
      </c>
      <c r="S362" s="35"/>
      <c r="T362" s="35"/>
      <c r="U362" s="35"/>
      <c r="V362" s="35" t="e">
        <f>AVERAGE(Tableau2[[#This Row],[1ère composition/10]:[3è composition]])</f>
        <v>#DIV/0!</v>
      </c>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f>COUNTIF(Tableau2[[#This Row],[Séance 1]:[Séance 38]],"A")</f>
        <v>0</v>
      </c>
      <c r="BJ362" s="35"/>
    </row>
    <row r="363" spans="1:62" hidden="1" x14ac:dyDescent="0.2">
      <c r="A363" s="44" t="s">
        <v>735</v>
      </c>
      <c r="B363" s="44" t="s">
        <v>761</v>
      </c>
      <c r="C363" s="44" t="s">
        <v>3777</v>
      </c>
      <c r="D363" s="44" t="s">
        <v>746</v>
      </c>
      <c r="E363" s="44" t="s">
        <v>120</v>
      </c>
      <c r="F363" s="44">
        <v>2021</v>
      </c>
      <c r="G363" s="44">
        <v>25</v>
      </c>
      <c r="H363" s="44">
        <v>17</v>
      </c>
      <c r="I363" s="44" t="str">
        <f>Tableau2[[#This Row],[Annee d''inscription au programme]]&amp;"-"&amp;Tableau2[[#This Row],[Code d''ecole]]&amp;"-"&amp;Tableau2[[#This Row],[Numero HM de la fille]]</f>
        <v>2021-25-17</v>
      </c>
      <c r="J363" s="45" t="s">
        <v>1620</v>
      </c>
      <c r="K363" s="44" t="s">
        <v>593</v>
      </c>
      <c r="L363" s="35" t="s">
        <v>698</v>
      </c>
      <c r="M363" s="35">
        <v>14</v>
      </c>
      <c r="N363" s="35">
        <v>18.5</v>
      </c>
      <c r="O363" s="35">
        <f t="shared" si="10"/>
        <v>16.25</v>
      </c>
      <c r="P363" s="35">
        <v>17</v>
      </c>
      <c r="Q363" s="35">
        <v>18.75</v>
      </c>
      <c r="R363" s="35">
        <f t="shared" si="11"/>
        <v>17.875</v>
      </c>
      <c r="S363" s="35"/>
      <c r="T363" s="35"/>
      <c r="U363" s="35"/>
      <c r="V363" s="35" t="e">
        <f>AVERAGE(Tableau2[[#This Row],[1ère composition/10]:[3è composition]])</f>
        <v>#DIV/0!</v>
      </c>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f>COUNTIF(Tableau2[[#This Row],[Séance 1]:[Séance 38]],"A")</f>
        <v>0</v>
      </c>
      <c r="BJ363" s="35"/>
    </row>
    <row r="364" spans="1:62" hidden="1" x14ac:dyDescent="0.2">
      <c r="A364" s="44" t="s">
        <v>735</v>
      </c>
      <c r="B364" s="44" t="s">
        <v>762</v>
      </c>
      <c r="C364" s="44" t="s">
        <v>3777</v>
      </c>
      <c r="D364" s="44" t="s">
        <v>763</v>
      </c>
      <c r="E364" s="44" t="s">
        <v>120</v>
      </c>
      <c r="F364" s="44">
        <v>2021</v>
      </c>
      <c r="G364" s="44">
        <v>25</v>
      </c>
      <c r="H364" s="44">
        <v>18</v>
      </c>
      <c r="I364" s="44" t="str">
        <f>Tableau2[[#This Row],[Annee d''inscription au programme]]&amp;"-"&amp;Tableau2[[#This Row],[Code d''ecole]]&amp;"-"&amp;Tableau2[[#This Row],[Numero HM de la fille]]</f>
        <v>2021-25-18</v>
      </c>
      <c r="J364" s="45" t="s">
        <v>1621</v>
      </c>
      <c r="K364" s="44" t="s">
        <v>593</v>
      </c>
      <c r="L364" s="35" t="s">
        <v>698</v>
      </c>
      <c r="M364" s="35">
        <v>7</v>
      </c>
      <c r="N364" s="35">
        <v>5</v>
      </c>
      <c r="O364" s="35">
        <f t="shared" si="10"/>
        <v>6</v>
      </c>
      <c r="P364" s="35">
        <v>11</v>
      </c>
      <c r="Q364" s="35">
        <v>17.75</v>
      </c>
      <c r="R364" s="35">
        <f t="shared" si="11"/>
        <v>14.375</v>
      </c>
      <c r="S364" s="35"/>
      <c r="T364" s="35"/>
      <c r="U364" s="35"/>
      <c r="V364" s="35" t="e">
        <f>AVERAGE(Tableau2[[#This Row],[1ère composition/10]:[3è composition]])</f>
        <v>#DIV/0!</v>
      </c>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f>COUNTIF(Tableau2[[#This Row],[Séance 1]:[Séance 38]],"A")</f>
        <v>0</v>
      </c>
      <c r="BJ364" s="35"/>
    </row>
    <row r="365" spans="1:62" hidden="1" x14ac:dyDescent="0.2">
      <c r="A365" s="44" t="s">
        <v>2</v>
      </c>
      <c r="B365" s="44" t="s">
        <v>764</v>
      </c>
      <c r="C365" s="44" t="s">
        <v>3783</v>
      </c>
      <c r="D365" s="44" t="s">
        <v>765</v>
      </c>
      <c r="E365" s="44" t="s">
        <v>120</v>
      </c>
      <c r="F365" s="44">
        <v>2021</v>
      </c>
      <c r="G365" s="44">
        <v>27</v>
      </c>
      <c r="H365" s="44">
        <v>1</v>
      </c>
      <c r="I365" s="44" t="str">
        <f>Tableau2[[#This Row],[Annee d''inscription au programme]]&amp;"-"&amp;Tableau2[[#This Row],[Code d''ecole]]&amp;"-"&amp;Tableau2[[#This Row],[Numero HM de la fille]]</f>
        <v>2021-27-1</v>
      </c>
      <c r="J365" s="45" t="s">
        <v>1622</v>
      </c>
      <c r="K365" s="44" t="s">
        <v>593</v>
      </c>
      <c r="L365" s="35" t="s">
        <v>698</v>
      </c>
      <c r="M365" s="35">
        <v>12.5</v>
      </c>
      <c r="N365" s="35">
        <v>10</v>
      </c>
      <c r="O365" s="35">
        <f t="shared" si="10"/>
        <v>11.25</v>
      </c>
      <c r="P365" s="35">
        <v>16.5</v>
      </c>
      <c r="Q365" s="35">
        <v>16.25</v>
      </c>
      <c r="R365" s="35">
        <f t="shared" si="11"/>
        <v>16.375</v>
      </c>
      <c r="S365" s="35"/>
      <c r="T365" s="35"/>
      <c r="U365" s="35"/>
      <c r="V365" s="35" t="e">
        <f>AVERAGE(Tableau2[[#This Row],[1ère composition/10]:[3è composition]])</f>
        <v>#DIV/0!</v>
      </c>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f>COUNTIF(Tableau2[[#This Row],[Séance 1]:[Séance 38]],"A")</f>
        <v>0</v>
      </c>
      <c r="BJ365" s="35"/>
    </row>
    <row r="366" spans="1:62" hidden="1" x14ac:dyDescent="0.2">
      <c r="A366" s="44" t="s">
        <v>2</v>
      </c>
      <c r="B366" s="44" t="s">
        <v>766</v>
      </c>
      <c r="C366" s="44" t="s">
        <v>3783</v>
      </c>
      <c r="D366" s="44" t="s">
        <v>767</v>
      </c>
      <c r="E366" s="44" t="s">
        <v>120</v>
      </c>
      <c r="F366" s="44">
        <v>2021</v>
      </c>
      <c r="G366" s="44">
        <v>27</v>
      </c>
      <c r="H366" s="44">
        <v>2</v>
      </c>
      <c r="I366" s="44" t="str">
        <f>Tableau2[[#This Row],[Annee d''inscription au programme]]&amp;"-"&amp;Tableau2[[#This Row],[Code d''ecole]]&amp;"-"&amp;Tableau2[[#This Row],[Numero HM de la fille]]</f>
        <v>2021-27-2</v>
      </c>
      <c r="J366" s="45" t="s">
        <v>1623</v>
      </c>
      <c r="K366" s="44" t="s">
        <v>593</v>
      </c>
      <c r="L366" s="35" t="s">
        <v>698</v>
      </c>
      <c r="M366" s="35">
        <v>6.5</v>
      </c>
      <c r="N366" s="35">
        <v>2</v>
      </c>
      <c r="O366" s="35">
        <f t="shared" si="10"/>
        <v>4.25</v>
      </c>
      <c r="P366" s="35">
        <v>8</v>
      </c>
      <c r="Q366" s="35">
        <v>5.5</v>
      </c>
      <c r="R366" s="35">
        <f t="shared" si="11"/>
        <v>6.75</v>
      </c>
      <c r="S366" s="35"/>
      <c r="T366" s="35"/>
      <c r="U366" s="35"/>
      <c r="V366" s="35" t="e">
        <f>AVERAGE(Tableau2[[#This Row],[1ère composition/10]:[3è composition]])</f>
        <v>#DIV/0!</v>
      </c>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f>COUNTIF(Tableau2[[#This Row],[Séance 1]:[Séance 38]],"A")</f>
        <v>0</v>
      </c>
      <c r="BJ366" s="35"/>
    </row>
    <row r="367" spans="1:62" hidden="1" x14ac:dyDescent="0.2">
      <c r="A367" s="44" t="s">
        <v>2</v>
      </c>
      <c r="B367" s="44" t="s">
        <v>768</v>
      </c>
      <c r="C367" s="44" t="s">
        <v>3784</v>
      </c>
      <c r="D367" s="44" t="s">
        <v>769</v>
      </c>
      <c r="E367" s="44" t="s">
        <v>120</v>
      </c>
      <c r="F367" s="44">
        <v>2021</v>
      </c>
      <c r="G367" s="44">
        <v>27</v>
      </c>
      <c r="H367" s="44">
        <v>3</v>
      </c>
      <c r="I367" s="44" t="str">
        <f>Tableau2[[#This Row],[Annee d''inscription au programme]]&amp;"-"&amp;Tableau2[[#This Row],[Code d''ecole]]&amp;"-"&amp;Tableau2[[#This Row],[Numero HM de la fille]]</f>
        <v>2021-27-3</v>
      </c>
      <c r="J367" s="45" t="s">
        <v>1624</v>
      </c>
      <c r="K367" s="44" t="s">
        <v>593</v>
      </c>
      <c r="L367" s="35" t="s">
        <v>698</v>
      </c>
      <c r="M367" s="35">
        <v>8</v>
      </c>
      <c r="N367" s="35">
        <v>13</v>
      </c>
      <c r="O367" s="35">
        <f t="shared" si="10"/>
        <v>10.5</v>
      </c>
      <c r="P367" s="35">
        <v>16</v>
      </c>
      <c r="Q367" s="35">
        <v>19.5</v>
      </c>
      <c r="R367" s="35">
        <f t="shared" si="11"/>
        <v>17.75</v>
      </c>
      <c r="S367" s="35"/>
      <c r="T367" s="35"/>
      <c r="U367" s="35"/>
      <c r="V367" s="35" t="e">
        <f>AVERAGE(Tableau2[[#This Row],[1ère composition/10]:[3è composition]])</f>
        <v>#DIV/0!</v>
      </c>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f>COUNTIF(Tableau2[[#This Row],[Séance 1]:[Séance 38]],"A")</f>
        <v>0</v>
      </c>
      <c r="BJ367" s="35"/>
    </row>
    <row r="368" spans="1:62" hidden="1" x14ac:dyDescent="0.2">
      <c r="A368" s="44" t="s">
        <v>2</v>
      </c>
      <c r="B368" s="44" t="s">
        <v>770</v>
      </c>
      <c r="C368" s="44" t="s">
        <v>3782</v>
      </c>
      <c r="D368" s="44" t="s">
        <v>771</v>
      </c>
      <c r="E368" s="44" t="s">
        <v>120</v>
      </c>
      <c r="F368" s="44">
        <v>2021</v>
      </c>
      <c r="G368" s="44">
        <v>27</v>
      </c>
      <c r="H368" s="44">
        <v>4</v>
      </c>
      <c r="I368" s="44" t="str">
        <f>Tableau2[[#This Row],[Annee d''inscription au programme]]&amp;"-"&amp;Tableau2[[#This Row],[Code d''ecole]]&amp;"-"&amp;Tableau2[[#This Row],[Numero HM de la fille]]</f>
        <v>2021-27-4</v>
      </c>
      <c r="J368" s="45" t="s">
        <v>1625</v>
      </c>
      <c r="K368" s="44" t="s">
        <v>593</v>
      </c>
      <c r="L368" s="35" t="s">
        <v>698</v>
      </c>
      <c r="M368" s="35">
        <v>8.5</v>
      </c>
      <c r="N368" s="35">
        <v>5.5</v>
      </c>
      <c r="O368" s="35">
        <f t="shared" si="10"/>
        <v>7</v>
      </c>
      <c r="P368" s="35">
        <v>14.5</v>
      </c>
      <c r="Q368" s="35">
        <v>6.5</v>
      </c>
      <c r="R368" s="35">
        <f t="shared" si="11"/>
        <v>10.5</v>
      </c>
      <c r="S368" s="35"/>
      <c r="T368" s="35"/>
      <c r="U368" s="35"/>
      <c r="V368" s="35" t="e">
        <f>AVERAGE(Tableau2[[#This Row],[1ère composition/10]:[3è composition]])</f>
        <v>#DIV/0!</v>
      </c>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f>COUNTIF(Tableau2[[#This Row],[Séance 1]:[Séance 38]],"A")</f>
        <v>0</v>
      </c>
      <c r="BJ368" s="35"/>
    </row>
    <row r="369" spans="1:62" hidden="1" x14ac:dyDescent="0.2">
      <c r="A369" s="44" t="s">
        <v>2</v>
      </c>
      <c r="B369" s="44" t="s">
        <v>772</v>
      </c>
      <c r="C369" s="44" t="s">
        <v>3783</v>
      </c>
      <c r="D369" s="44" t="s">
        <v>773</v>
      </c>
      <c r="E369" s="44" t="s">
        <v>120</v>
      </c>
      <c r="F369" s="44">
        <v>2021</v>
      </c>
      <c r="G369" s="44">
        <v>27</v>
      </c>
      <c r="H369" s="44">
        <v>5</v>
      </c>
      <c r="I369" s="44" t="str">
        <f>Tableau2[[#This Row],[Annee d''inscription au programme]]&amp;"-"&amp;Tableau2[[#This Row],[Code d''ecole]]&amp;"-"&amp;Tableau2[[#This Row],[Numero HM de la fille]]</f>
        <v>2021-27-5</v>
      </c>
      <c r="J369" s="45" t="s">
        <v>1626</v>
      </c>
      <c r="K369" s="44" t="s">
        <v>593</v>
      </c>
      <c r="L369" s="35" t="s">
        <v>698</v>
      </c>
      <c r="M369" s="35">
        <v>8.5</v>
      </c>
      <c r="N369" s="35">
        <v>4</v>
      </c>
      <c r="O369" s="35">
        <f t="shared" si="10"/>
        <v>6.25</v>
      </c>
      <c r="P369" s="35">
        <v>16.5</v>
      </c>
      <c r="Q369" s="35">
        <v>11.25</v>
      </c>
      <c r="R369" s="35">
        <f t="shared" si="11"/>
        <v>13.875</v>
      </c>
      <c r="S369" s="35"/>
      <c r="T369" s="35"/>
      <c r="U369" s="35"/>
      <c r="V369" s="35" t="e">
        <f>AVERAGE(Tableau2[[#This Row],[1ère composition/10]:[3è composition]])</f>
        <v>#DIV/0!</v>
      </c>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f>COUNTIF(Tableau2[[#This Row],[Séance 1]:[Séance 38]],"A")</f>
        <v>0</v>
      </c>
      <c r="BJ369" s="35"/>
    </row>
    <row r="370" spans="1:62" hidden="1" x14ac:dyDescent="0.2">
      <c r="A370" s="44" t="s">
        <v>2</v>
      </c>
      <c r="B370" s="44" t="s">
        <v>774</v>
      </c>
      <c r="C370" s="44" t="s">
        <v>3783</v>
      </c>
      <c r="D370" s="44" t="s">
        <v>666</v>
      </c>
      <c r="E370" s="44" t="s">
        <v>120</v>
      </c>
      <c r="F370" s="44">
        <v>2021</v>
      </c>
      <c r="G370" s="44">
        <v>27</v>
      </c>
      <c r="H370" s="44">
        <v>6</v>
      </c>
      <c r="I370" s="44" t="str">
        <f>Tableau2[[#This Row],[Annee d''inscription au programme]]&amp;"-"&amp;Tableau2[[#This Row],[Code d''ecole]]&amp;"-"&amp;Tableau2[[#This Row],[Numero HM de la fille]]</f>
        <v>2021-27-6</v>
      </c>
      <c r="J370" s="45" t="s">
        <v>1627</v>
      </c>
      <c r="K370" s="44" t="s">
        <v>593</v>
      </c>
      <c r="L370" s="35" t="s">
        <v>698</v>
      </c>
      <c r="M370" s="35">
        <v>0</v>
      </c>
      <c r="N370" s="35">
        <v>0</v>
      </c>
      <c r="O370" s="35">
        <f t="shared" si="10"/>
        <v>0</v>
      </c>
      <c r="P370" s="35">
        <v>13</v>
      </c>
      <c r="Q370" s="35">
        <v>10.5</v>
      </c>
      <c r="R370" s="35">
        <f t="shared" si="11"/>
        <v>11.75</v>
      </c>
      <c r="S370" s="35"/>
      <c r="T370" s="35"/>
      <c r="U370" s="35"/>
      <c r="V370" s="35" t="e">
        <f>AVERAGE(Tableau2[[#This Row],[1ère composition/10]:[3è composition]])</f>
        <v>#DIV/0!</v>
      </c>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f>COUNTIF(Tableau2[[#This Row],[Séance 1]:[Séance 38]],"A")</f>
        <v>0</v>
      </c>
      <c r="BJ370" s="35"/>
    </row>
    <row r="371" spans="1:62" hidden="1" x14ac:dyDescent="0.2">
      <c r="A371" s="44" t="s">
        <v>2</v>
      </c>
      <c r="B371" s="44" t="s">
        <v>775</v>
      </c>
      <c r="C371" s="44" t="s">
        <v>3783</v>
      </c>
      <c r="D371" s="44" t="s">
        <v>767</v>
      </c>
      <c r="E371" s="44" t="s">
        <v>120</v>
      </c>
      <c r="F371" s="44">
        <v>2021</v>
      </c>
      <c r="G371" s="44">
        <v>27</v>
      </c>
      <c r="H371" s="44">
        <v>7</v>
      </c>
      <c r="I371" s="44" t="str">
        <f>Tableau2[[#This Row],[Annee d''inscription au programme]]&amp;"-"&amp;Tableau2[[#This Row],[Code d''ecole]]&amp;"-"&amp;Tableau2[[#This Row],[Numero HM de la fille]]</f>
        <v>2021-27-7</v>
      </c>
      <c r="J371" s="45" t="s">
        <v>1628</v>
      </c>
      <c r="K371" s="44" t="s">
        <v>593</v>
      </c>
      <c r="L371" s="35" t="s">
        <v>698</v>
      </c>
      <c r="M371" s="35">
        <v>8.5</v>
      </c>
      <c r="N371" s="35">
        <v>3.5</v>
      </c>
      <c r="O371" s="35">
        <f t="shared" si="10"/>
        <v>6</v>
      </c>
      <c r="P371" s="35">
        <v>10.5</v>
      </c>
      <c r="Q371" s="35">
        <v>4.5</v>
      </c>
      <c r="R371" s="35">
        <f t="shared" si="11"/>
        <v>7.5</v>
      </c>
      <c r="S371" s="35"/>
      <c r="T371" s="35"/>
      <c r="U371" s="35"/>
      <c r="V371" s="35" t="e">
        <f>AVERAGE(Tableau2[[#This Row],[1ère composition/10]:[3è composition]])</f>
        <v>#DIV/0!</v>
      </c>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f>COUNTIF(Tableau2[[#This Row],[Séance 1]:[Séance 38]],"A")</f>
        <v>0</v>
      </c>
      <c r="BJ371" s="35"/>
    </row>
    <row r="372" spans="1:62" hidden="1" x14ac:dyDescent="0.2">
      <c r="A372" s="44" t="s">
        <v>2</v>
      </c>
      <c r="B372" s="44" t="s">
        <v>776</v>
      </c>
      <c r="C372" s="44" t="s">
        <v>3783</v>
      </c>
      <c r="D372" s="44" t="s">
        <v>777</v>
      </c>
      <c r="E372" s="44" t="s">
        <v>120</v>
      </c>
      <c r="F372" s="44">
        <v>2021</v>
      </c>
      <c r="G372" s="44">
        <v>27</v>
      </c>
      <c r="H372" s="44">
        <v>8</v>
      </c>
      <c r="I372" s="44" t="str">
        <f>Tableau2[[#This Row],[Annee d''inscription au programme]]&amp;"-"&amp;Tableau2[[#This Row],[Code d''ecole]]&amp;"-"&amp;Tableau2[[#This Row],[Numero HM de la fille]]</f>
        <v>2021-27-8</v>
      </c>
      <c r="J372" s="45" t="s">
        <v>1629</v>
      </c>
      <c r="K372" s="44" t="s">
        <v>593</v>
      </c>
      <c r="L372" s="35" t="s">
        <v>698</v>
      </c>
      <c r="M372" s="35">
        <v>8</v>
      </c>
      <c r="N372" s="35">
        <v>6</v>
      </c>
      <c r="O372" s="35">
        <f t="shared" si="10"/>
        <v>7</v>
      </c>
      <c r="P372" s="35">
        <v>16</v>
      </c>
      <c r="Q372" s="35">
        <v>14.5</v>
      </c>
      <c r="R372" s="35">
        <f t="shared" si="11"/>
        <v>15.25</v>
      </c>
      <c r="S372" s="35"/>
      <c r="T372" s="35"/>
      <c r="U372" s="35"/>
      <c r="V372" s="35" t="e">
        <f>AVERAGE(Tableau2[[#This Row],[1ère composition/10]:[3è composition]])</f>
        <v>#DIV/0!</v>
      </c>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f>COUNTIF(Tableau2[[#This Row],[Séance 1]:[Séance 38]],"A")</f>
        <v>0</v>
      </c>
      <c r="BJ372" s="35"/>
    </row>
    <row r="373" spans="1:62" hidden="1" x14ac:dyDescent="0.2">
      <c r="A373" s="44" t="s">
        <v>2</v>
      </c>
      <c r="B373" s="44" t="s">
        <v>778</v>
      </c>
      <c r="C373" s="44" t="s">
        <v>3782</v>
      </c>
      <c r="D373" s="44" t="s">
        <v>779</v>
      </c>
      <c r="E373" s="44" t="s">
        <v>120</v>
      </c>
      <c r="F373" s="44">
        <v>2021</v>
      </c>
      <c r="G373" s="44">
        <v>27</v>
      </c>
      <c r="H373" s="44">
        <v>9</v>
      </c>
      <c r="I373" s="44" t="str">
        <f>Tableau2[[#This Row],[Annee d''inscription au programme]]&amp;"-"&amp;Tableau2[[#This Row],[Code d''ecole]]&amp;"-"&amp;Tableau2[[#This Row],[Numero HM de la fille]]</f>
        <v>2021-27-9</v>
      </c>
      <c r="J373" s="45" t="s">
        <v>1630</v>
      </c>
      <c r="K373" s="44" t="s">
        <v>593</v>
      </c>
      <c r="L373" s="35" t="s">
        <v>698</v>
      </c>
      <c r="M373" s="35">
        <v>8</v>
      </c>
      <c r="N373" s="35">
        <v>7</v>
      </c>
      <c r="O373" s="35">
        <f t="shared" si="10"/>
        <v>7.5</v>
      </c>
      <c r="P373" s="35">
        <v>15</v>
      </c>
      <c r="Q373" s="35">
        <v>8</v>
      </c>
      <c r="R373" s="35">
        <f t="shared" si="11"/>
        <v>11.5</v>
      </c>
      <c r="S373" s="35"/>
      <c r="T373" s="35"/>
      <c r="U373" s="35"/>
      <c r="V373" s="35" t="e">
        <f>AVERAGE(Tableau2[[#This Row],[1ère composition/10]:[3è composition]])</f>
        <v>#DIV/0!</v>
      </c>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f>COUNTIF(Tableau2[[#This Row],[Séance 1]:[Séance 38]],"A")</f>
        <v>0</v>
      </c>
      <c r="BJ373" s="35"/>
    </row>
    <row r="374" spans="1:62" hidden="1" x14ac:dyDescent="0.2">
      <c r="A374" s="44" t="s">
        <v>2</v>
      </c>
      <c r="B374" s="44" t="s">
        <v>780</v>
      </c>
      <c r="C374" s="44" t="s">
        <v>3783</v>
      </c>
      <c r="D374" s="44" t="s">
        <v>781</v>
      </c>
      <c r="E374" s="44" t="s">
        <v>120</v>
      </c>
      <c r="F374" s="44">
        <v>2021</v>
      </c>
      <c r="G374" s="44">
        <v>27</v>
      </c>
      <c r="H374" s="44">
        <v>10</v>
      </c>
      <c r="I374" s="44" t="str">
        <f>Tableau2[[#This Row],[Annee d''inscription au programme]]&amp;"-"&amp;Tableau2[[#This Row],[Code d''ecole]]&amp;"-"&amp;Tableau2[[#This Row],[Numero HM de la fille]]</f>
        <v>2021-27-10</v>
      </c>
      <c r="J374" s="45" t="s">
        <v>1631</v>
      </c>
      <c r="K374" s="44" t="s">
        <v>593</v>
      </c>
      <c r="L374" s="35" t="s">
        <v>698</v>
      </c>
      <c r="M374" s="35">
        <v>9</v>
      </c>
      <c r="N374" s="35">
        <v>5.5</v>
      </c>
      <c r="O374" s="35">
        <f t="shared" si="10"/>
        <v>7.25</v>
      </c>
      <c r="P374" s="35">
        <v>16</v>
      </c>
      <c r="Q374" s="35">
        <v>12.5</v>
      </c>
      <c r="R374" s="35">
        <f t="shared" si="11"/>
        <v>14.25</v>
      </c>
      <c r="S374" s="35"/>
      <c r="T374" s="35"/>
      <c r="U374" s="35"/>
      <c r="V374" s="35" t="e">
        <f>AVERAGE(Tableau2[[#This Row],[1ère composition/10]:[3è composition]])</f>
        <v>#DIV/0!</v>
      </c>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f>COUNTIF(Tableau2[[#This Row],[Séance 1]:[Séance 38]],"A")</f>
        <v>0</v>
      </c>
      <c r="BJ374" s="35"/>
    </row>
    <row r="375" spans="1:62" hidden="1" x14ac:dyDescent="0.2">
      <c r="A375" s="44" t="s">
        <v>2</v>
      </c>
      <c r="B375" s="44" t="s">
        <v>782</v>
      </c>
      <c r="C375" s="44" t="s">
        <v>3783</v>
      </c>
      <c r="D375" s="44" t="s">
        <v>783</v>
      </c>
      <c r="E375" s="44" t="s">
        <v>120</v>
      </c>
      <c r="F375" s="44">
        <v>2021</v>
      </c>
      <c r="G375" s="44">
        <v>27</v>
      </c>
      <c r="H375" s="44">
        <v>11</v>
      </c>
      <c r="I375" s="44" t="str">
        <f>Tableau2[[#This Row],[Annee d''inscription au programme]]&amp;"-"&amp;Tableau2[[#This Row],[Code d''ecole]]&amp;"-"&amp;Tableau2[[#This Row],[Numero HM de la fille]]</f>
        <v>2021-27-11</v>
      </c>
      <c r="J375" s="45" t="s">
        <v>1632</v>
      </c>
      <c r="K375" s="44" t="s">
        <v>593</v>
      </c>
      <c r="L375" s="35" t="s">
        <v>698</v>
      </c>
      <c r="M375" s="35">
        <v>14</v>
      </c>
      <c r="N375" s="35">
        <v>7.5</v>
      </c>
      <c r="O375" s="35">
        <f t="shared" si="10"/>
        <v>10.75</v>
      </c>
      <c r="P375" s="35">
        <v>18</v>
      </c>
      <c r="Q375" s="35">
        <v>17</v>
      </c>
      <c r="R375" s="35">
        <f t="shared" si="11"/>
        <v>17.5</v>
      </c>
      <c r="S375" s="35"/>
      <c r="T375" s="35"/>
      <c r="U375" s="35"/>
      <c r="V375" s="35" t="e">
        <f>AVERAGE(Tableau2[[#This Row],[1ère composition/10]:[3è composition]])</f>
        <v>#DIV/0!</v>
      </c>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f>COUNTIF(Tableau2[[#This Row],[Séance 1]:[Séance 38]],"A")</f>
        <v>0</v>
      </c>
      <c r="BJ375" s="35"/>
    </row>
    <row r="376" spans="1:62" hidden="1" x14ac:dyDescent="0.2">
      <c r="A376" s="44" t="s">
        <v>2</v>
      </c>
      <c r="B376" s="44" t="s">
        <v>3900</v>
      </c>
      <c r="C376" s="44" t="s">
        <v>3783</v>
      </c>
      <c r="D376" s="44" t="s">
        <v>262</v>
      </c>
      <c r="E376" s="44" t="s">
        <v>120</v>
      </c>
      <c r="F376" s="44">
        <v>2021</v>
      </c>
      <c r="G376" s="44">
        <v>27</v>
      </c>
      <c r="H376" s="44">
        <v>12</v>
      </c>
      <c r="I376" s="44" t="str">
        <f>Tableau2[[#This Row],[Annee d''inscription au programme]]&amp;"-"&amp;Tableau2[[#This Row],[Code d''ecole]]&amp;"-"&amp;Tableau2[[#This Row],[Numero HM de la fille]]</f>
        <v>2021-27-12</v>
      </c>
      <c r="J376" s="45" t="s">
        <v>1633</v>
      </c>
      <c r="K376" s="44" t="s">
        <v>593</v>
      </c>
      <c r="L376" s="35" t="s">
        <v>698</v>
      </c>
      <c r="M376" s="35">
        <v>4.5</v>
      </c>
      <c r="N376" s="35">
        <v>4</v>
      </c>
      <c r="O376" s="35">
        <f t="shared" si="10"/>
        <v>4.25</v>
      </c>
      <c r="P376" s="35">
        <v>9.5</v>
      </c>
      <c r="Q376" s="35">
        <v>8</v>
      </c>
      <c r="R376" s="35">
        <f t="shared" si="11"/>
        <v>8.75</v>
      </c>
      <c r="S376" s="35"/>
      <c r="T376" s="35"/>
      <c r="U376" s="35"/>
      <c r="V376" s="35" t="e">
        <f>AVERAGE(Tableau2[[#This Row],[1ère composition/10]:[3è composition]])</f>
        <v>#DIV/0!</v>
      </c>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f>COUNTIF(Tableau2[[#This Row],[Séance 1]:[Séance 38]],"A")</f>
        <v>0</v>
      </c>
      <c r="BJ376" s="35"/>
    </row>
    <row r="377" spans="1:62" hidden="1" x14ac:dyDescent="0.2">
      <c r="A377" s="44" t="s">
        <v>2</v>
      </c>
      <c r="B377" s="44" t="s">
        <v>784</v>
      </c>
      <c r="C377" s="44" t="s">
        <v>3784</v>
      </c>
      <c r="D377" s="44" t="s">
        <v>767</v>
      </c>
      <c r="E377" s="44" t="s">
        <v>120</v>
      </c>
      <c r="F377" s="44">
        <v>2021</v>
      </c>
      <c r="G377" s="44">
        <v>27</v>
      </c>
      <c r="H377" s="44">
        <v>13</v>
      </c>
      <c r="I377" s="44" t="str">
        <f>Tableau2[[#This Row],[Annee d''inscription au programme]]&amp;"-"&amp;Tableau2[[#This Row],[Code d''ecole]]&amp;"-"&amp;Tableau2[[#This Row],[Numero HM de la fille]]</f>
        <v>2021-27-13</v>
      </c>
      <c r="J377" s="45" t="s">
        <v>1634</v>
      </c>
      <c r="K377" s="44" t="s">
        <v>593</v>
      </c>
      <c r="L377" s="35" t="s">
        <v>698</v>
      </c>
      <c r="M377" s="35">
        <v>9</v>
      </c>
      <c r="N377" s="35">
        <v>2.5</v>
      </c>
      <c r="O377" s="35">
        <f t="shared" si="10"/>
        <v>5.75</v>
      </c>
      <c r="P377" s="35">
        <v>15</v>
      </c>
      <c r="Q377" s="35">
        <v>9.5</v>
      </c>
      <c r="R377" s="35">
        <f t="shared" si="11"/>
        <v>12.25</v>
      </c>
      <c r="S377" s="35"/>
      <c r="T377" s="35"/>
      <c r="U377" s="35"/>
      <c r="V377" s="35" t="e">
        <f>AVERAGE(Tableau2[[#This Row],[1ère composition/10]:[3è composition]])</f>
        <v>#DIV/0!</v>
      </c>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f>COUNTIF(Tableau2[[#This Row],[Séance 1]:[Séance 38]],"A")</f>
        <v>0</v>
      </c>
      <c r="BJ377" s="35"/>
    </row>
    <row r="378" spans="1:62" hidden="1" x14ac:dyDescent="0.2">
      <c r="A378" s="44" t="s">
        <v>2</v>
      </c>
      <c r="B378" s="44" t="s">
        <v>3781</v>
      </c>
      <c r="C378" s="44" t="s">
        <v>3782</v>
      </c>
      <c r="D378" s="44" t="s">
        <v>785</v>
      </c>
      <c r="E378" s="44" t="s">
        <v>120</v>
      </c>
      <c r="F378" s="44">
        <v>2021</v>
      </c>
      <c r="G378" s="44">
        <v>27</v>
      </c>
      <c r="H378" s="44">
        <v>14</v>
      </c>
      <c r="I378" s="44" t="str">
        <f>Tableau2[[#This Row],[Annee d''inscription au programme]]&amp;"-"&amp;Tableau2[[#This Row],[Code d''ecole]]&amp;"-"&amp;Tableau2[[#This Row],[Numero HM de la fille]]</f>
        <v>2021-27-14</v>
      </c>
      <c r="J378" s="45" t="s">
        <v>1635</v>
      </c>
      <c r="K378" s="44" t="s">
        <v>593</v>
      </c>
      <c r="L378" s="35" t="s">
        <v>698</v>
      </c>
      <c r="M378" s="35">
        <v>14</v>
      </c>
      <c r="N378" s="35">
        <v>13.5</v>
      </c>
      <c r="O378" s="35">
        <f t="shared" si="10"/>
        <v>13.75</v>
      </c>
      <c r="P378" s="35">
        <v>20</v>
      </c>
      <c r="Q378" s="35">
        <v>20</v>
      </c>
      <c r="R378" s="35">
        <f t="shared" si="11"/>
        <v>20</v>
      </c>
      <c r="S378" s="35"/>
      <c r="T378" s="35"/>
      <c r="U378" s="35"/>
      <c r="V378" s="35" t="e">
        <f>AVERAGE(Tableau2[[#This Row],[1ère composition/10]:[3è composition]])</f>
        <v>#DIV/0!</v>
      </c>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f>COUNTIF(Tableau2[[#This Row],[Séance 1]:[Séance 38]],"A")</f>
        <v>0</v>
      </c>
      <c r="BJ378" s="35"/>
    </row>
    <row r="379" spans="1:62" hidden="1" x14ac:dyDescent="0.2">
      <c r="A379" s="44" t="s">
        <v>2</v>
      </c>
      <c r="B379" s="44" t="s">
        <v>786</v>
      </c>
      <c r="C379" s="44" t="s">
        <v>3784</v>
      </c>
      <c r="D379" s="44" t="s">
        <v>787</v>
      </c>
      <c r="E379" s="44" t="s">
        <v>120</v>
      </c>
      <c r="F379" s="44">
        <v>2021</v>
      </c>
      <c r="G379" s="44">
        <v>27</v>
      </c>
      <c r="H379" s="44">
        <v>15</v>
      </c>
      <c r="I379" s="44" t="str">
        <f>Tableau2[[#This Row],[Annee d''inscription au programme]]&amp;"-"&amp;Tableau2[[#This Row],[Code d''ecole]]&amp;"-"&amp;Tableau2[[#This Row],[Numero HM de la fille]]</f>
        <v>2021-27-15</v>
      </c>
      <c r="J379" s="45" t="s">
        <v>1636</v>
      </c>
      <c r="K379" s="44" t="s">
        <v>593</v>
      </c>
      <c r="L379" s="35" t="s">
        <v>698</v>
      </c>
      <c r="M379" s="35">
        <v>6</v>
      </c>
      <c r="N379" s="35">
        <v>3.5</v>
      </c>
      <c r="O379" s="35">
        <f t="shared" si="10"/>
        <v>4.75</v>
      </c>
      <c r="P379" s="35">
        <v>9</v>
      </c>
      <c r="Q379" s="35">
        <v>8.25</v>
      </c>
      <c r="R379" s="35">
        <f t="shared" si="11"/>
        <v>8.625</v>
      </c>
      <c r="S379" s="35"/>
      <c r="T379" s="35"/>
      <c r="U379" s="35"/>
      <c r="V379" s="35" t="e">
        <f>AVERAGE(Tableau2[[#This Row],[1ère composition/10]:[3è composition]])</f>
        <v>#DIV/0!</v>
      </c>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f>COUNTIF(Tableau2[[#This Row],[Séance 1]:[Séance 38]],"A")</f>
        <v>0</v>
      </c>
      <c r="BJ379" s="35"/>
    </row>
    <row r="380" spans="1:62" hidden="1" x14ac:dyDescent="0.2">
      <c r="A380" s="44" t="s">
        <v>2</v>
      </c>
      <c r="B380" s="44" t="s">
        <v>788</v>
      </c>
      <c r="C380" s="44" t="s">
        <v>3784</v>
      </c>
      <c r="D380" s="44" t="s">
        <v>789</v>
      </c>
      <c r="E380" s="44" t="s">
        <v>120</v>
      </c>
      <c r="F380" s="44">
        <v>2021</v>
      </c>
      <c r="G380" s="44">
        <v>27</v>
      </c>
      <c r="H380" s="44">
        <v>16</v>
      </c>
      <c r="I380" s="44" t="str">
        <f>Tableau2[[#This Row],[Annee d''inscription au programme]]&amp;"-"&amp;Tableau2[[#This Row],[Code d''ecole]]&amp;"-"&amp;Tableau2[[#This Row],[Numero HM de la fille]]</f>
        <v>2021-27-16</v>
      </c>
      <c r="J380" s="45" t="s">
        <v>1637</v>
      </c>
      <c r="K380" s="44" t="s">
        <v>593</v>
      </c>
      <c r="L380" s="35" t="s">
        <v>698</v>
      </c>
      <c r="M380" s="35">
        <v>14</v>
      </c>
      <c r="N380" s="35">
        <v>6</v>
      </c>
      <c r="O380" s="35">
        <f t="shared" si="10"/>
        <v>10</v>
      </c>
      <c r="P380" s="35">
        <v>14.5</v>
      </c>
      <c r="Q380" s="35">
        <v>19.25</v>
      </c>
      <c r="R380" s="35">
        <f t="shared" si="11"/>
        <v>16.875</v>
      </c>
      <c r="S380" s="35"/>
      <c r="T380" s="35"/>
      <c r="U380" s="35"/>
      <c r="V380" s="35" t="e">
        <f>AVERAGE(Tableau2[[#This Row],[1ère composition/10]:[3è composition]])</f>
        <v>#DIV/0!</v>
      </c>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f>COUNTIF(Tableau2[[#This Row],[Séance 1]:[Séance 38]],"A")</f>
        <v>0</v>
      </c>
      <c r="BJ380" s="35"/>
    </row>
    <row r="381" spans="1:62" hidden="1" x14ac:dyDescent="0.2">
      <c r="A381" s="44" t="s">
        <v>56</v>
      </c>
      <c r="B381" s="44" t="s">
        <v>3524</v>
      </c>
      <c r="C381" s="44" t="s">
        <v>3786</v>
      </c>
      <c r="D381" s="44" t="s">
        <v>790</v>
      </c>
      <c r="E381" s="44" t="s">
        <v>120</v>
      </c>
      <c r="F381" s="44">
        <v>2021</v>
      </c>
      <c r="G381" s="44">
        <v>5</v>
      </c>
      <c r="H381" s="44">
        <v>1</v>
      </c>
      <c r="I381" s="44" t="str">
        <f>Tableau2[[#This Row],[Annee d''inscription au programme]]&amp;"-"&amp;Tableau2[[#This Row],[Code d''ecole]]&amp;"-"&amp;Tableau2[[#This Row],[Numero HM de la fille]]</f>
        <v>2021-5-1</v>
      </c>
      <c r="J381" s="45" t="s">
        <v>1638</v>
      </c>
      <c r="K381" s="44" t="s">
        <v>593</v>
      </c>
      <c r="L381" s="35" t="s">
        <v>698</v>
      </c>
      <c r="M381" s="35">
        <v>6</v>
      </c>
      <c r="N381" s="35">
        <v>3</v>
      </c>
      <c r="O381" s="35">
        <f t="shared" si="10"/>
        <v>4.5</v>
      </c>
      <c r="P381" s="35">
        <v>15.5</v>
      </c>
      <c r="Q381" s="35">
        <v>10</v>
      </c>
      <c r="R381" s="35">
        <f t="shared" si="11"/>
        <v>12.75</v>
      </c>
      <c r="S381" s="35"/>
      <c r="T381" s="35"/>
      <c r="U381" s="35"/>
      <c r="V381" s="35" t="e">
        <f>AVERAGE(Tableau2[[#This Row],[1ère composition/10]:[3è composition]])</f>
        <v>#DIV/0!</v>
      </c>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f>COUNTIF(Tableau2[[#This Row],[Séance 1]:[Séance 38]],"A")</f>
        <v>0</v>
      </c>
      <c r="BJ381" s="35"/>
    </row>
    <row r="382" spans="1:62" hidden="1" x14ac:dyDescent="0.2">
      <c r="A382" s="44" t="s">
        <v>56</v>
      </c>
      <c r="B382" s="44" t="s">
        <v>791</v>
      </c>
      <c r="C382" s="44" t="s">
        <v>3789</v>
      </c>
      <c r="D382" s="44" t="s">
        <v>211</v>
      </c>
      <c r="E382" s="44" t="s">
        <v>120</v>
      </c>
      <c r="F382" s="44">
        <v>2021</v>
      </c>
      <c r="G382" s="44">
        <v>5</v>
      </c>
      <c r="H382" s="44">
        <v>2</v>
      </c>
      <c r="I382" s="44" t="str">
        <f>Tableau2[[#This Row],[Annee d''inscription au programme]]&amp;"-"&amp;Tableau2[[#This Row],[Code d''ecole]]&amp;"-"&amp;Tableau2[[#This Row],[Numero HM de la fille]]</f>
        <v>2021-5-2</v>
      </c>
      <c r="J382" s="45" t="s">
        <v>1639</v>
      </c>
      <c r="K382" s="44" t="s">
        <v>593</v>
      </c>
      <c r="L382" s="35" t="s">
        <v>698</v>
      </c>
      <c r="M382" s="35">
        <v>9.5</v>
      </c>
      <c r="N382" s="35">
        <v>11.5</v>
      </c>
      <c r="O382" s="35">
        <f t="shared" si="10"/>
        <v>10.5</v>
      </c>
      <c r="P382" s="35">
        <v>18.5</v>
      </c>
      <c r="Q382" s="35">
        <v>15</v>
      </c>
      <c r="R382" s="35">
        <f t="shared" si="11"/>
        <v>16.75</v>
      </c>
      <c r="S382" s="35"/>
      <c r="T382" s="35"/>
      <c r="U382" s="35"/>
      <c r="V382" s="35" t="e">
        <f>AVERAGE(Tableau2[[#This Row],[1ère composition/10]:[3è composition]])</f>
        <v>#DIV/0!</v>
      </c>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f>COUNTIF(Tableau2[[#This Row],[Séance 1]:[Séance 38]],"A")</f>
        <v>0</v>
      </c>
      <c r="BJ382" s="35"/>
    </row>
    <row r="383" spans="1:62" hidden="1" x14ac:dyDescent="0.2">
      <c r="A383" s="44" t="s">
        <v>56</v>
      </c>
      <c r="B383" s="44" t="s">
        <v>792</v>
      </c>
      <c r="C383" s="44" t="s">
        <v>3786</v>
      </c>
      <c r="D383" s="44" t="s">
        <v>793</v>
      </c>
      <c r="E383" s="44" t="s">
        <v>120</v>
      </c>
      <c r="F383" s="44">
        <v>2021</v>
      </c>
      <c r="G383" s="44">
        <v>5</v>
      </c>
      <c r="H383" s="44">
        <v>3</v>
      </c>
      <c r="I383" s="44" t="str">
        <f>Tableau2[[#This Row],[Annee d''inscription au programme]]&amp;"-"&amp;Tableau2[[#This Row],[Code d''ecole]]&amp;"-"&amp;Tableau2[[#This Row],[Numero HM de la fille]]</f>
        <v>2021-5-3</v>
      </c>
      <c r="J383" s="45" t="s">
        <v>1640</v>
      </c>
      <c r="K383" s="44" t="s">
        <v>593</v>
      </c>
      <c r="L383" s="35" t="s">
        <v>698</v>
      </c>
      <c r="M383" s="35">
        <v>4</v>
      </c>
      <c r="N383" s="35">
        <v>12</v>
      </c>
      <c r="O383" s="35">
        <f t="shared" si="10"/>
        <v>8</v>
      </c>
      <c r="P383" s="35">
        <v>13.5</v>
      </c>
      <c r="Q383" s="35">
        <v>14</v>
      </c>
      <c r="R383" s="35">
        <f t="shared" si="11"/>
        <v>13.75</v>
      </c>
      <c r="S383" s="35"/>
      <c r="T383" s="35"/>
      <c r="U383" s="35"/>
      <c r="V383" s="35" t="e">
        <f>AVERAGE(Tableau2[[#This Row],[1ère composition/10]:[3è composition]])</f>
        <v>#DIV/0!</v>
      </c>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f>COUNTIF(Tableau2[[#This Row],[Séance 1]:[Séance 38]],"A")</f>
        <v>0</v>
      </c>
      <c r="BJ383" s="35"/>
    </row>
    <row r="384" spans="1:62" hidden="1" x14ac:dyDescent="0.2">
      <c r="A384" s="44" t="s">
        <v>56</v>
      </c>
      <c r="B384" s="44" t="s">
        <v>794</v>
      </c>
      <c r="C384" s="44" t="s">
        <v>3786</v>
      </c>
      <c r="D384" s="44" t="s">
        <v>156</v>
      </c>
      <c r="E384" s="44" t="s">
        <v>120</v>
      </c>
      <c r="F384" s="44">
        <v>2021</v>
      </c>
      <c r="G384" s="44">
        <v>5</v>
      </c>
      <c r="H384" s="44">
        <v>4</v>
      </c>
      <c r="I384" s="44" t="str">
        <f>Tableau2[[#This Row],[Annee d''inscription au programme]]&amp;"-"&amp;Tableau2[[#This Row],[Code d''ecole]]&amp;"-"&amp;Tableau2[[#This Row],[Numero HM de la fille]]</f>
        <v>2021-5-4</v>
      </c>
      <c r="J384" s="45" t="s">
        <v>1641</v>
      </c>
      <c r="K384" s="44" t="s">
        <v>593</v>
      </c>
      <c r="L384" s="35" t="s">
        <v>698</v>
      </c>
      <c r="M384" s="35">
        <v>3.5</v>
      </c>
      <c r="N384" s="35">
        <v>14.75</v>
      </c>
      <c r="O384" s="35">
        <f t="shared" si="10"/>
        <v>9.125</v>
      </c>
      <c r="P384" s="35">
        <v>14</v>
      </c>
      <c r="Q384" s="35">
        <v>12.5</v>
      </c>
      <c r="R384" s="35">
        <f t="shared" si="11"/>
        <v>13.25</v>
      </c>
      <c r="S384" s="35"/>
      <c r="T384" s="35"/>
      <c r="U384" s="35"/>
      <c r="V384" s="35" t="e">
        <f>AVERAGE(Tableau2[[#This Row],[1ère composition/10]:[3è composition]])</f>
        <v>#DIV/0!</v>
      </c>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f>COUNTIF(Tableau2[[#This Row],[Séance 1]:[Séance 38]],"A")</f>
        <v>0</v>
      </c>
      <c r="BJ384" s="35"/>
    </row>
    <row r="385" spans="1:62" hidden="1" x14ac:dyDescent="0.2">
      <c r="A385" s="44" t="s">
        <v>56</v>
      </c>
      <c r="B385" s="44" t="s">
        <v>795</v>
      </c>
      <c r="C385" s="44" t="s">
        <v>3788</v>
      </c>
      <c r="D385" s="44" t="s">
        <v>796</v>
      </c>
      <c r="E385" s="44" t="s">
        <v>120</v>
      </c>
      <c r="F385" s="44">
        <v>2021</v>
      </c>
      <c r="G385" s="44">
        <v>5</v>
      </c>
      <c r="H385" s="44">
        <v>5</v>
      </c>
      <c r="I385" s="44" t="str">
        <f>Tableau2[[#This Row],[Annee d''inscription au programme]]&amp;"-"&amp;Tableau2[[#This Row],[Code d''ecole]]&amp;"-"&amp;Tableau2[[#This Row],[Numero HM de la fille]]</f>
        <v>2021-5-5</v>
      </c>
      <c r="J385" s="45" t="s">
        <v>1642</v>
      </c>
      <c r="K385" s="44" t="s">
        <v>593</v>
      </c>
      <c r="L385" s="35" t="s">
        <v>698</v>
      </c>
      <c r="M385" s="35">
        <v>15.5</v>
      </c>
      <c r="N385" s="35">
        <v>16.5</v>
      </c>
      <c r="O385" s="35">
        <f t="shared" si="10"/>
        <v>16</v>
      </c>
      <c r="P385" s="35">
        <v>19.5</v>
      </c>
      <c r="Q385" s="35">
        <v>15</v>
      </c>
      <c r="R385" s="35">
        <f t="shared" si="11"/>
        <v>17.25</v>
      </c>
      <c r="S385" s="35"/>
      <c r="T385" s="35"/>
      <c r="U385" s="35"/>
      <c r="V385" s="35" t="e">
        <f>AVERAGE(Tableau2[[#This Row],[1ère composition/10]:[3è composition]])</f>
        <v>#DIV/0!</v>
      </c>
      <c r="W385" s="35"/>
      <c r="X385" s="35"/>
      <c r="Y385" s="35"/>
      <c r="Z385" s="35"/>
      <c r="AA385" s="35"/>
      <c r="AB385" s="35"/>
      <c r="AC385" s="35"/>
      <c r="AD385" s="35"/>
      <c r="AE385" s="35"/>
      <c r="AF385" s="35"/>
      <c r="AG385" s="35"/>
      <c r="AH385" s="35"/>
      <c r="AI385" s="35"/>
      <c r="AJ385" s="35"/>
      <c r="AK385" s="58"/>
      <c r="AL385" s="58"/>
      <c r="AM385" s="58"/>
      <c r="AN385" s="58"/>
      <c r="AO385" s="58"/>
      <c r="AP385" s="58"/>
      <c r="AQ385" s="58"/>
      <c r="AR385" s="58"/>
      <c r="AS385" s="58"/>
      <c r="AT385" s="58"/>
      <c r="AU385" s="35"/>
      <c r="AV385" s="35"/>
      <c r="AW385" s="35"/>
      <c r="AX385" s="35"/>
      <c r="AY385" s="35"/>
      <c r="AZ385" s="35"/>
      <c r="BA385" s="35"/>
      <c r="BB385" s="35"/>
      <c r="BC385" s="35"/>
      <c r="BD385" s="35"/>
      <c r="BE385" s="35"/>
      <c r="BF385" s="35"/>
      <c r="BG385" s="35"/>
      <c r="BH385" s="35"/>
      <c r="BI385" s="35">
        <f>COUNTIF(Tableau2[[#This Row],[Séance 1]:[Séance 38]],"A")</f>
        <v>0</v>
      </c>
      <c r="BJ385" s="35"/>
    </row>
    <row r="386" spans="1:62" hidden="1" x14ac:dyDescent="0.2">
      <c r="A386" s="44" t="s">
        <v>56</v>
      </c>
      <c r="B386" s="44" t="s">
        <v>797</v>
      </c>
      <c r="C386" s="44" t="s">
        <v>3786</v>
      </c>
      <c r="D386" s="44" t="s">
        <v>798</v>
      </c>
      <c r="E386" s="44" t="s">
        <v>120</v>
      </c>
      <c r="F386" s="44">
        <v>2021</v>
      </c>
      <c r="G386" s="44">
        <v>5</v>
      </c>
      <c r="H386" s="44">
        <v>6</v>
      </c>
      <c r="I386" s="44" t="str">
        <f>Tableau2[[#This Row],[Annee d''inscription au programme]]&amp;"-"&amp;Tableau2[[#This Row],[Code d''ecole]]&amp;"-"&amp;Tableau2[[#This Row],[Numero HM de la fille]]</f>
        <v>2021-5-6</v>
      </c>
      <c r="J386" s="45" t="s">
        <v>1643</v>
      </c>
      <c r="K386" s="44" t="s">
        <v>593</v>
      </c>
      <c r="L386" s="35" t="s">
        <v>698</v>
      </c>
      <c r="M386" s="35">
        <v>14.5</v>
      </c>
      <c r="N386" s="35">
        <v>17.75</v>
      </c>
      <c r="O386" s="35">
        <f t="shared" si="10"/>
        <v>16.125</v>
      </c>
      <c r="P386" s="35">
        <v>19</v>
      </c>
      <c r="Q386" s="35">
        <v>14.5</v>
      </c>
      <c r="R386" s="35">
        <f t="shared" si="11"/>
        <v>16.75</v>
      </c>
      <c r="S386" s="35"/>
      <c r="T386" s="35"/>
      <c r="U386" s="35"/>
      <c r="V386" s="35" t="e">
        <f>AVERAGE(Tableau2[[#This Row],[1ère composition/10]:[3è composition]])</f>
        <v>#DIV/0!</v>
      </c>
      <c r="W386" s="35"/>
      <c r="X386" s="35"/>
      <c r="Y386" s="35"/>
      <c r="Z386" s="35"/>
      <c r="AA386" s="35"/>
      <c r="AB386" s="35"/>
      <c r="AC386" s="35"/>
      <c r="AD386" s="35"/>
      <c r="AE386" s="35"/>
      <c r="AF386" s="35"/>
      <c r="AG386" s="35"/>
      <c r="AH386" s="35"/>
      <c r="AI386" s="35"/>
      <c r="AJ386" s="35"/>
      <c r="AK386" s="58"/>
      <c r="AL386" s="58"/>
      <c r="AM386" s="58"/>
      <c r="AN386" s="58"/>
      <c r="AO386" s="58"/>
      <c r="AP386" s="58"/>
      <c r="AQ386" s="58"/>
      <c r="AR386" s="58"/>
      <c r="AS386" s="58"/>
      <c r="AT386" s="58"/>
      <c r="AU386" s="35"/>
      <c r="AV386" s="35"/>
      <c r="AW386" s="35"/>
      <c r="AX386" s="35"/>
      <c r="AY386" s="35"/>
      <c r="AZ386" s="35"/>
      <c r="BA386" s="35"/>
      <c r="BB386" s="35"/>
      <c r="BC386" s="35"/>
      <c r="BD386" s="35"/>
      <c r="BE386" s="35"/>
      <c r="BF386" s="35"/>
      <c r="BG386" s="35"/>
      <c r="BH386" s="35"/>
      <c r="BI386" s="35">
        <f>COUNTIF(Tableau2[[#This Row],[Séance 1]:[Séance 38]],"A")</f>
        <v>0</v>
      </c>
      <c r="BJ386" s="35"/>
    </row>
    <row r="387" spans="1:62" hidden="1" x14ac:dyDescent="0.2">
      <c r="A387" s="44" t="s">
        <v>56</v>
      </c>
      <c r="B387" s="44" t="s">
        <v>799</v>
      </c>
      <c r="C387" s="44" t="s">
        <v>3786</v>
      </c>
      <c r="D387" s="44" t="s">
        <v>800</v>
      </c>
      <c r="E387" s="44" t="s">
        <v>120</v>
      </c>
      <c r="F387" s="44">
        <v>2021</v>
      </c>
      <c r="G387" s="44">
        <v>5</v>
      </c>
      <c r="H387" s="44">
        <v>7</v>
      </c>
      <c r="I387" s="44" t="str">
        <f>Tableau2[[#This Row],[Annee d''inscription au programme]]&amp;"-"&amp;Tableau2[[#This Row],[Code d''ecole]]&amp;"-"&amp;Tableau2[[#This Row],[Numero HM de la fille]]</f>
        <v>2021-5-7</v>
      </c>
      <c r="J387" s="45" t="s">
        <v>1644</v>
      </c>
      <c r="K387" s="44" t="s">
        <v>593</v>
      </c>
      <c r="L387" s="35" t="s">
        <v>698</v>
      </c>
      <c r="M387" s="35">
        <v>10</v>
      </c>
      <c r="N387" s="35">
        <v>12.5</v>
      </c>
      <c r="O387" s="35">
        <f t="shared" si="10"/>
        <v>11.25</v>
      </c>
      <c r="P387" s="35">
        <v>18</v>
      </c>
      <c r="Q387" s="35">
        <v>16</v>
      </c>
      <c r="R387" s="35">
        <f t="shared" si="11"/>
        <v>17</v>
      </c>
      <c r="S387" s="35"/>
      <c r="T387" s="35"/>
      <c r="U387" s="35"/>
      <c r="V387" s="35" t="e">
        <f>AVERAGE(Tableau2[[#This Row],[1ère composition/10]:[3è composition]])</f>
        <v>#DIV/0!</v>
      </c>
      <c r="W387" s="35"/>
      <c r="X387" s="35"/>
      <c r="Y387" s="35"/>
      <c r="Z387" s="35"/>
      <c r="AA387" s="35"/>
      <c r="AB387" s="35"/>
      <c r="AC387" s="35"/>
      <c r="AD387" s="35"/>
      <c r="AE387" s="35"/>
      <c r="AF387" s="35"/>
      <c r="AG387" s="35"/>
      <c r="AH387" s="35"/>
      <c r="AI387" s="35"/>
      <c r="AJ387" s="35"/>
      <c r="AK387" s="58"/>
      <c r="AL387" s="58"/>
      <c r="AM387" s="58"/>
      <c r="AN387" s="58"/>
      <c r="AO387" s="58"/>
      <c r="AP387" s="58"/>
      <c r="AQ387" s="58"/>
      <c r="AR387" s="58"/>
      <c r="AS387" s="58"/>
      <c r="AT387" s="58"/>
      <c r="AU387" s="35"/>
      <c r="AV387" s="35"/>
      <c r="AW387" s="35"/>
      <c r="AX387" s="35"/>
      <c r="AY387" s="35"/>
      <c r="AZ387" s="35"/>
      <c r="BA387" s="35"/>
      <c r="BB387" s="35"/>
      <c r="BC387" s="35"/>
      <c r="BD387" s="35"/>
      <c r="BE387" s="35"/>
      <c r="BF387" s="35"/>
      <c r="BG387" s="35"/>
      <c r="BH387" s="35"/>
      <c r="BI387" s="35">
        <f>COUNTIF(Tableau2[[#This Row],[Séance 1]:[Séance 38]],"A")</f>
        <v>0</v>
      </c>
      <c r="BJ387" s="35"/>
    </row>
    <row r="388" spans="1:62" hidden="1" x14ac:dyDescent="0.2">
      <c r="A388" s="44" t="s">
        <v>56</v>
      </c>
      <c r="B388" s="44" t="s">
        <v>801</v>
      </c>
      <c r="C388" s="44" t="s">
        <v>3786</v>
      </c>
      <c r="D388" s="44" t="s">
        <v>802</v>
      </c>
      <c r="E388" s="44" t="s">
        <v>120</v>
      </c>
      <c r="F388" s="44">
        <v>2021</v>
      </c>
      <c r="G388" s="44">
        <v>5</v>
      </c>
      <c r="H388" s="44">
        <v>8</v>
      </c>
      <c r="I388" s="44" t="str">
        <f>Tableau2[[#This Row],[Annee d''inscription au programme]]&amp;"-"&amp;Tableau2[[#This Row],[Code d''ecole]]&amp;"-"&amp;Tableau2[[#This Row],[Numero HM de la fille]]</f>
        <v>2021-5-8</v>
      </c>
      <c r="J388" s="45" t="s">
        <v>1645</v>
      </c>
      <c r="K388" s="44" t="s">
        <v>593</v>
      </c>
      <c r="L388" s="35" t="s">
        <v>698</v>
      </c>
      <c r="M388" s="35">
        <v>12</v>
      </c>
      <c r="N388" s="35">
        <v>10.5</v>
      </c>
      <c r="O388" s="35">
        <f t="shared" si="10"/>
        <v>11.25</v>
      </c>
      <c r="P388" s="35">
        <v>19.5</v>
      </c>
      <c r="Q388" s="35">
        <v>12</v>
      </c>
      <c r="R388" s="35">
        <f t="shared" si="11"/>
        <v>15.75</v>
      </c>
      <c r="S388" s="35"/>
      <c r="T388" s="35"/>
      <c r="U388" s="35"/>
      <c r="V388" s="35" t="e">
        <f>AVERAGE(Tableau2[[#This Row],[1ère composition/10]:[3è composition]])</f>
        <v>#DIV/0!</v>
      </c>
      <c r="W388" s="35"/>
      <c r="X388" s="35"/>
      <c r="Y388" s="35"/>
      <c r="Z388" s="35"/>
      <c r="AA388" s="35"/>
      <c r="AB388" s="35"/>
      <c r="AC388" s="35"/>
      <c r="AD388" s="35"/>
      <c r="AE388" s="35"/>
      <c r="AF388" s="35"/>
      <c r="AG388" s="35"/>
      <c r="AH388" s="35"/>
      <c r="AI388" s="35"/>
      <c r="AJ388" s="35"/>
      <c r="AK388" s="58"/>
      <c r="AL388" s="58"/>
      <c r="AM388" s="58"/>
      <c r="AN388" s="58"/>
      <c r="AO388" s="58"/>
      <c r="AP388" s="58"/>
      <c r="AQ388" s="58"/>
      <c r="AR388" s="58"/>
      <c r="AS388" s="58"/>
      <c r="AT388" s="58"/>
      <c r="AU388" s="35"/>
      <c r="AV388" s="35"/>
      <c r="AW388" s="35"/>
      <c r="AX388" s="35"/>
      <c r="AY388" s="35"/>
      <c r="AZ388" s="35"/>
      <c r="BA388" s="35"/>
      <c r="BB388" s="35"/>
      <c r="BC388" s="35"/>
      <c r="BD388" s="35"/>
      <c r="BE388" s="35"/>
      <c r="BF388" s="35"/>
      <c r="BG388" s="35"/>
      <c r="BH388" s="35"/>
      <c r="BI388" s="35">
        <f>COUNTIF(Tableau2[[#This Row],[Séance 1]:[Séance 38]],"A")</f>
        <v>0</v>
      </c>
      <c r="BJ388" s="35"/>
    </row>
    <row r="389" spans="1:62" s="14" customFormat="1" hidden="1" x14ac:dyDescent="0.2">
      <c r="A389" s="44" t="s">
        <v>56</v>
      </c>
      <c r="B389" s="44" t="s">
        <v>803</v>
      </c>
      <c r="C389" s="44" t="s">
        <v>3785</v>
      </c>
      <c r="D389" s="44" t="s">
        <v>804</v>
      </c>
      <c r="E389" s="44" t="s">
        <v>120</v>
      </c>
      <c r="F389" s="44">
        <v>2021</v>
      </c>
      <c r="G389" s="44">
        <v>5</v>
      </c>
      <c r="H389" s="44">
        <v>9</v>
      </c>
      <c r="I389" s="44" t="str">
        <f>Tableau2[[#This Row],[Annee d''inscription au programme]]&amp;"-"&amp;Tableau2[[#This Row],[Code d''ecole]]&amp;"-"&amp;Tableau2[[#This Row],[Numero HM de la fille]]</f>
        <v>2021-5-9</v>
      </c>
      <c r="J389" s="45" t="s">
        <v>1646</v>
      </c>
      <c r="K389" s="44" t="s">
        <v>3505</v>
      </c>
      <c r="L389" s="35" t="s">
        <v>298</v>
      </c>
      <c r="M389" s="35">
        <v>17</v>
      </c>
      <c r="N389" s="35">
        <v>19.25</v>
      </c>
      <c r="O389" s="35">
        <f t="shared" ref="O389:O452" si="12">AVERAGE(M389+N389)/2</f>
        <v>18.125</v>
      </c>
      <c r="P389" s="35">
        <v>18.5</v>
      </c>
      <c r="Q389" s="35">
        <v>19</v>
      </c>
      <c r="R389" s="35">
        <f t="shared" ref="R389:R452" si="13">AVERAGE(P389+Q389)/2</f>
        <v>18.75</v>
      </c>
      <c r="S389" s="35"/>
      <c r="T389" s="35"/>
      <c r="U389" s="35"/>
      <c r="V389" s="35" t="e">
        <f>AVERAGE(Tableau2[[#This Row],[1ère composition/10]:[3è composition]])</f>
        <v>#DIV/0!</v>
      </c>
      <c r="W389" s="35"/>
      <c r="X389" s="35"/>
      <c r="Y389" s="35"/>
      <c r="Z389" s="35"/>
      <c r="AA389" s="35"/>
      <c r="AB389" s="35"/>
      <c r="AC389" s="35"/>
      <c r="AD389" s="35"/>
      <c r="AE389" s="35"/>
      <c r="AF389" s="35"/>
      <c r="AG389" s="35"/>
      <c r="AH389" s="35"/>
      <c r="AI389" s="35"/>
      <c r="AJ389" s="35"/>
      <c r="AK389" s="58"/>
      <c r="AL389" s="58"/>
      <c r="AM389" s="58"/>
      <c r="AN389" s="58"/>
      <c r="AO389" s="58"/>
      <c r="AP389" s="58"/>
      <c r="AQ389" s="58"/>
      <c r="AR389" s="58"/>
      <c r="AS389" s="58"/>
      <c r="AT389" s="58"/>
      <c r="AU389" s="35"/>
      <c r="AV389" s="35"/>
      <c r="AW389" s="35"/>
      <c r="AX389" s="35"/>
      <c r="AY389" s="35"/>
      <c r="AZ389" s="35"/>
      <c r="BA389" s="35"/>
      <c r="BB389" s="35"/>
      <c r="BC389" s="35"/>
      <c r="BD389" s="35"/>
      <c r="BE389" s="35"/>
      <c r="BF389" s="35"/>
      <c r="BG389" s="35"/>
      <c r="BH389" s="35"/>
      <c r="BI389" s="35">
        <f>COUNTIF(Tableau2[[#This Row],[Séance 1]:[Séance 38]],"A")</f>
        <v>0</v>
      </c>
      <c r="BJ389" s="35"/>
    </row>
    <row r="390" spans="1:62" hidden="1" x14ac:dyDescent="0.2">
      <c r="A390" s="44" t="s">
        <v>56</v>
      </c>
      <c r="B390" s="44" t="s">
        <v>805</v>
      </c>
      <c r="C390" s="44" t="s">
        <v>3786</v>
      </c>
      <c r="D390" s="44" t="s">
        <v>416</v>
      </c>
      <c r="E390" s="44" t="s">
        <v>120</v>
      </c>
      <c r="F390" s="44">
        <v>2021</v>
      </c>
      <c r="G390" s="44">
        <v>5</v>
      </c>
      <c r="H390" s="44">
        <v>10</v>
      </c>
      <c r="I390" s="44" t="str">
        <f>Tableau2[[#This Row],[Annee d''inscription au programme]]&amp;"-"&amp;Tableau2[[#This Row],[Code d''ecole]]&amp;"-"&amp;Tableau2[[#This Row],[Numero HM de la fille]]</f>
        <v>2021-5-10</v>
      </c>
      <c r="J390" s="45" t="s">
        <v>1647</v>
      </c>
      <c r="K390" s="44" t="s">
        <v>593</v>
      </c>
      <c r="L390" s="35" t="s">
        <v>698</v>
      </c>
      <c r="M390" s="35">
        <v>16</v>
      </c>
      <c r="N390" s="35">
        <v>16.25</v>
      </c>
      <c r="O390" s="35">
        <f t="shared" si="12"/>
        <v>16.125</v>
      </c>
      <c r="P390" s="35">
        <v>18.5</v>
      </c>
      <c r="Q390" s="35">
        <v>13</v>
      </c>
      <c r="R390" s="35">
        <f t="shared" si="13"/>
        <v>15.75</v>
      </c>
      <c r="S390" s="35"/>
      <c r="T390" s="35"/>
      <c r="U390" s="35"/>
      <c r="V390" s="35" t="e">
        <f>AVERAGE(Tableau2[[#This Row],[1ère composition/10]:[3è composition]])</f>
        <v>#DIV/0!</v>
      </c>
      <c r="W390" s="35"/>
      <c r="X390" s="35"/>
      <c r="Y390" s="35"/>
      <c r="Z390" s="35"/>
      <c r="AA390" s="35"/>
      <c r="AB390" s="35"/>
      <c r="AC390" s="35"/>
      <c r="AD390" s="35"/>
      <c r="AE390" s="35"/>
      <c r="AF390" s="35"/>
      <c r="AG390" s="35"/>
      <c r="AH390" s="35"/>
      <c r="AI390" s="35"/>
      <c r="AJ390" s="35"/>
      <c r="AK390" s="58"/>
      <c r="AL390" s="58"/>
      <c r="AM390" s="58"/>
      <c r="AN390" s="58"/>
      <c r="AO390" s="58"/>
      <c r="AP390" s="58"/>
      <c r="AQ390" s="58"/>
      <c r="AR390" s="58"/>
      <c r="AS390" s="58"/>
      <c r="AT390" s="58"/>
      <c r="AU390" s="35"/>
      <c r="AV390" s="35"/>
      <c r="AW390" s="35"/>
      <c r="AX390" s="35"/>
      <c r="AY390" s="35"/>
      <c r="AZ390" s="35"/>
      <c r="BA390" s="35"/>
      <c r="BB390" s="35"/>
      <c r="BC390" s="35"/>
      <c r="BD390" s="35"/>
      <c r="BE390" s="35"/>
      <c r="BF390" s="35"/>
      <c r="BG390" s="35"/>
      <c r="BH390" s="35"/>
      <c r="BI390" s="35">
        <f>COUNTIF(Tableau2[[#This Row],[Séance 1]:[Séance 38]],"A")</f>
        <v>0</v>
      </c>
      <c r="BJ390" s="35"/>
    </row>
    <row r="391" spans="1:62" hidden="1" x14ac:dyDescent="0.2">
      <c r="A391" s="44" t="s">
        <v>56</v>
      </c>
      <c r="B391" s="44" t="s">
        <v>806</v>
      </c>
      <c r="C391" s="44" t="s">
        <v>3786</v>
      </c>
      <c r="D391" s="44" t="s">
        <v>807</v>
      </c>
      <c r="E391" s="44" t="s">
        <v>120</v>
      </c>
      <c r="F391" s="44">
        <v>2021</v>
      </c>
      <c r="G391" s="44">
        <v>5</v>
      </c>
      <c r="H391" s="44">
        <v>11</v>
      </c>
      <c r="I391" s="44" t="str">
        <f>Tableau2[[#This Row],[Annee d''inscription au programme]]&amp;"-"&amp;Tableau2[[#This Row],[Code d''ecole]]&amp;"-"&amp;Tableau2[[#This Row],[Numero HM de la fille]]</f>
        <v>2021-5-11</v>
      </c>
      <c r="J391" s="45" t="s">
        <v>1648</v>
      </c>
      <c r="K391" s="44" t="s">
        <v>593</v>
      </c>
      <c r="L391" s="35" t="s">
        <v>698</v>
      </c>
      <c r="M391" s="35">
        <v>7</v>
      </c>
      <c r="N391" s="35">
        <v>8</v>
      </c>
      <c r="O391" s="35">
        <f t="shared" si="12"/>
        <v>7.5</v>
      </c>
      <c r="P391" s="35">
        <v>17</v>
      </c>
      <c r="Q391" s="35">
        <v>8</v>
      </c>
      <c r="R391" s="35">
        <f t="shared" si="13"/>
        <v>12.5</v>
      </c>
      <c r="S391" s="35"/>
      <c r="T391" s="35"/>
      <c r="U391" s="35"/>
      <c r="V391" s="35" t="e">
        <f>AVERAGE(Tableau2[[#This Row],[1ère composition/10]:[3è composition]])</f>
        <v>#DIV/0!</v>
      </c>
      <c r="W391" s="35"/>
      <c r="X391" s="35"/>
      <c r="Y391" s="35"/>
      <c r="Z391" s="35"/>
      <c r="AA391" s="35"/>
      <c r="AB391" s="35"/>
      <c r="AC391" s="35"/>
      <c r="AD391" s="35"/>
      <c r="AE391" s="35"/>
      <c r="AF391" s="35"/>
      <c r="AG391" s="35"/>
      <c r="AH391" s="35"/>
      <c r="AI391" s="35"/>
      <c r="AJ391" s="35"/>
      <c r="AK391" s="58"/>
      <c r="AL391" s="58"/>
      <c r="AM391" s="58"/>
      <c r="AN391" s="58"/>
      <c r="AO391" s="58"/>
      <c r="AP391" s="58"/>
      <c r="AQ391" s="58"/>
      <c r="AR391" s="58"/>
      <c r="AS391" s="58"/>
      <c r="AT391" s="58"/>
      <c r="AU391" s="35"/>
      <c r="AV391" s="35"/>
      <c r="AW391" s="35"/>
      <c r="AX391" s="35"/>
      <c r="AY391" s="35"/>
      <c r="AZ391" s="35"/>
      <c r="BA391" s="35"/>
      <c r="BB391" s="35"/>
      <c r="BC391" s="35"/>
      <c r="BD391" s="35"/>
      <c r="BE391" s="35"/>
      <c r="BF391" s="35"/>
      <c r="BG391" s="35"/>
      <c r="BH391" s="35"/>
      <c r="BI391" s="35">
        <f>COUNTIF(Tableau2[[#This Row],[Séance 1]:[Séance 38]],"A")</f>
        <v>0</v>
      </c>
      <c r="BJ391" s="35"/>
    </row>
    <row r="392" spans="1:62" hidden="1" x14ac:dyDescent="0.2">
      <c r="A392" s="44" t="s">
        <v>56</v>
      </c>
      <c r="B392" s="44" t="s">
        <v>808</v>
      </c>
      <c r="C392" s="44" t="s">
        <v>3787</v>
      </c>
      <c r="D392" s="44" t="s">
        <v>246</v>
      </c>
      <c r="E392" s="44" t="s">
        <v>120</v>
      </c>
      <c r="F392" s="44">
        <v>2021</v>
      </c>
      <c r="G392" s="44">
        <v>5</v>
      </c>
      <c r="H392" s="44">
        <v>12</v>
      </c>
      <c r="I392" s="44" t="str">
        <f>Tableau2[[#This Row],[Annee d''inscription au programme]]&amp;"-"&amp;Tableau2[[#This Row],[Code d''ecole]]&amp;"-"&amp;Tableau2[[#This Row],[Numero HM de la fille]]</f>
        <v>2021-5-12</v>
      </c>
      <c r="J392" s="45" t="s">
        <v>1649</v>
      </c>
      <c r="K392" s="44" t="s">
        <v>593</v>
      </c>
      <c r="L392" s="35" t="s">
        <v>698</v>
      </c>
      <c r="M392" s="35">
        <v>11.5</v>
      </c>
      <c r="N392" s="35">
        <v>9.5</v>
      </c>
      <c r="O392" s="35">
        <f t="shared" si="12"/>
        <v>10.5</v>
      </c>
      <c r="P392" s="35">
        <v>18</v>
      </c>
      <c r="Q392" s="35">
        <v>16</v>
      </c>
      <c r="R392" s="35">
        <f t="shared" si="13"/>
        <v>17</v>
      </c>
      <c r="S392" s="35"/>
      <c r="T392" s="35"/>
      <c r="U392" s="35"/>
      <c r="V392" s="35" t="e">
        <f>AVERAGE(Tableau2[[#This Row],[1ère composition/10]:[3è composition]])</f>
        <v>#DIV/0!</v>
      </c>
      <c r="W392" s="35"/>
      <c r="X392" s="35"/>
      <c r="Y392" s="35"/>
      <c r="Z392" s="35"/>
      <c r="AA392" s="35"/>
      <c r="AB392" s="35"/>
      <c r="AC392" s="35"/>
      <c r="AD392" s="35"/>
      <c r="AE392" s="35"/>
      <c r="AF392" s="35"/>
      <c r="AG392" s="35"/>
      <c r="AH392" s="35"/>
      <c r="AI392" s="35"/>
      <c r="AJ392" s="35"/>
      <c r="AK392" s="58"/>
      <c r="AL392" s="58"/>
      <c r="AM392" s="58"/>
      <c r="AN392" s="58"/>
      <c r="AO392" s="58"/>
      <c r="AP392" s="58"/>
      <c r="AQ392" s="58"/>
      <c r="AR392" s="58"/>
      <c r="AS392" s="58"/>
      <c r="AT392" s="58"/>
      <c r="AU392" s="35"/>
      <c r="AV392" s="35"/>
      <c r="AW392" s="35"/>
      <c r="AX392" s="35"/>
      <c r="AY392" s="35"/>
      <c r="AZ392" s="35"/>
      <c r="BA392" s="35"/>
      <c r="BB392" s="35"/>
      <c r="BC392" s="35"/>
      <c r="BD392" s="35"/>
      <c r="BE392" s="35"/>
      <c r="BF392" s="35"/>
      <c r="BG392" s="35"/>
      <c r="BH392" s="35"/>
      <c r="BI392" s="35">
        <f>COUNTIF(Tableau2[[#This Row],[Séance 1]:[Séance 38]],"A")</f>
        <v>0</v>
      </c>
      <c r="BJ392" s="35"/>
    </row>
    <row r="393" spans="1:62" hidden="1" x14ac:dyDescent="0.2">
      <c r="A393" s="44" t="s">
        <v>56</v>
      </c>
      <c r="B393" s="44" t="s">
        <v>809</v>
      </c>
      <c r="C393" s="44" t="s">
        <v>3785</v>
      </c>
      <c r="D393" s="44" t="s">
        <v>810</v>
      </c>
      <c r="E393" s="44" t="s">
        <v>120</v>
      </c>
      <c r="F393" s="44">
        <v>2020</v>
      </c>
      <c r="G393" s="44">
        <v>5</v>
      </c>
      <c r="H393" s="44">
        <v>87</v>
      </c>
      <c r="I393" s="44" t="str">
        <f>Tableau2[[#This Row],[Annee d''inscription au programme]]&amp;"-"&amp;Tableau2[[#This Row],[Code d''ecole]]&amp;"-"&amp;Tableau2[[#This Row],[Numero HM de la fille]]</f>
        <v>2020-5-87</v>
      </c>
      <c r="J393" s="45" t="s">
        <v>1650</v>
      </c>
      <c r="K393" s="44" t="s">
        <v>709</v>
      </c>
      <c r="L393" s="35" t="s">
        <v>620</v>
      </c>
      <c r="M393" s="35">
        <v>0</v>
      </c>
      <c r="N393" s="35">
        <v>0</v>
      </c>
      <c r="O393" s="35">
        <f t="shared" si="12"/>
        <v>0</v>
      </c>
      <c r="P393" s="35">
        <v>12.5</v>
      </c>
      <c r="Q393" s="35">
        <v>10.5</v>
      </c>
      <c r="R393" s="35">
        <f t="shared" si="13"/>
        <v>11.5</v>
      </c>
      <c r="S393" s="35"/>
      <c r="T393" s="35"/>
      <c r="U393" s="35"/>
      <c r="V393" s="35" t="e">
        <f>AVERAGE(Tableau2[[#This Row],[1ère composition/10]:[3è composition]])</f>
        <v>#DIV/0!</v>
      </c>
      <c r="W393" s="35"/>
      <c r="X393" s="35"/>
      <c r="Y393" s="35"/>
      <c r="Z393" s="35"/>
      <c r="AA393" s="35"/>
      <c r="AB393" s="35"/>
      <c r="AC393" s="35"/>
      <c r="AD393" s="35"/>
      <c r="AE393" s="35"/>
      <c r="AF393" s="35"/>
      <c r="AG393" s="35"/>
      <c r="AH393" s="35"/>
      <c r="AI393" s="35"/>
      <c r="AJ393" s="35"/>
      <c r="AK393" s="58"/>
      <c r="AL393" s="58"/>
      <c r="AM393" s="58"/>
      <c r="AN393" s="58"/>
      <c r="AO393" s="58"/>
      <c r="AP393" s="58"/>
      <c r="AQ393" s="58"/>
      <c r="AR393" s="58"/>
      <c r="AS393" s="58"/>
      <c r="AT393" s="58"/>
      <c r="AU393" s="35"/>
      <c r="AV393" s="35"/>
      <c r="AW393" s="35"/>
      <c r="AX393" s="35"/>
      <c r="AY393" s="35"/>
      <c r="AZ393" s="35"/>
      <c r="BA393" s="35"/>
      <c r="BB393" s="35"/>
      <c r="BC393" s="35"/>
      <c r="BD393" s="35"/>
      <c r="BE393" s="35"/>
      <c r="BF393" s="35"/>
      <c r="BG393" s="35"/>
      <c r="BH393" s="35"/>
      <c r="BI393" s="35">
        <f>COUNTIF(Tableau2[[#This Row],[Séance 1]:[Séance 38]],"A")</f>
        <v>0</v>
      </c>
      <c r="BJ393" s="35"/>
    </row>
    <row r="394" spans="1:62" hidden="1" x14ac:dyDescent="0.2">
      <c r="A394" s="44" t="s">
        <v>56</v>
      </c>
      <c r="B394" s="44" t="s">
        <v>3525</v>
      </c>
      <c r="C394" s="44" t="s">
        <v>3786</v>
      </c>
      <c r="D394" s="44" t="s">
        <v>592</v>
      </c>
      <c r="E394" s="44" t="s">
        <v>120</v>
      </c>
      <c r="F394" s="44">
        <v>2021</v>
      </c>
      <c r="G394" s="44">
        <v>5</v>
      </c>
      <c r="H394" s="44">
        <v>13</v>
      </c>
      <c r="I394" s="44" t="str">
        <f>Tableau2[[#This Row],[Annee d''inscription au programme]]&amp;"-"&amp;Tableau2[[#This Row],[Code d''ecole]]&amp;"-"&amp;Tableau2[[#This Row],[Numero HM de la fille]]</f>
        <v>2021-5-13</v>
      </c>
      <c r="J394" s="45" t="s">
        <v>1651</v>
      </c>
      <c r="K394" s="44" t="s">
        <v>593</v>
      </c>
      <c r="L394" s="35" t="s">
        <v>698</v>
      </c>
      <c r="M394" s="35">
        <v>9.5</v>
      </c>
      <c r="N394" s="35">
        <v>4.5</v>
      </c>
      <c r="O394" s="35">
        <f t="shared" si="12"/>
        <v>7</v>
      </c>
      <c r="P394" s="35">
        <v>17.5</v>
      </c>
      <c r="Q394" s="35">
        <v>19</v>
      </c>
      <c r="R394" s="35">
        <f t="shared" si="13"/>
        <v>18.25</v>
      </c>
      <c r="S394" s="35"/>
      <c r="T394" s="35"/>
      <c r="U394" s="35"/>
      <c r="V394" s="35" t="e">
        <f>AVERAGE(Tableau2[[#This Row],[1ère composition/10]:[3è composition]])</f>
        <v>#DIV/0!</v>
      </c>
      <c r="W394" s="35"/>
      <c r="X394" s="35"/>
      <c r="Y394" s="35"/>
      <c r="Z394" s="35"/>
      <c r="AA394" s="35"/>
      <c r="AB394" s="35"/>
      <c r="AC394" s="35"/>
      <c r="AD394" s="35"/>
      <c r="AE394" s="35"/>
      <c r="AF394" s="35"/>
      <c r="AG394" s="35"/>
      <c r="AH394" s="35"/>
      <c r="AI394" s="35"/>
      <c r="AJ394" s="35"/>
      <c r="AK394" s="58"/>
      <c r="AL394" s="58"/>
      <c r="AM394" s="58"/>
      <c r="AN394" s="58"/>
      <c r="AO394" s="58"/>
      <c r="AP394" s="58"/>
      <c r="AQ394" s="58"/>
      <c r="AR394" s="58"/>
      <c r="AS394" s="58"/>
      <c r="AT394" s="58"/>
      <c r="AU394" s="35"/>
      <c r="AV394" s="35"/>
      <c r="AW394" s="35"/>
      <c r="AX394" s="35"/>
      <c r="AY394" s="35"/>
      <c r="AZ394" s="35"/>
      <c r="BA394" s="35"/>
      <c r="BB394" s="35"/>
      <c r="BC394" s="35"/>
      <c r="BD394" s="35"/>
      <c r="BE394" s="35"/>
      <c r="BF394" s="35"/>
      <c r="BG394" s="35"/>
      <c r="BH394" s="35"/>
      <c r="BI394" s="35">
        <f>COUNTIF(Tableau2[[#This Row],[Séance 1]:[Séance 38]],"A")</f>
        <v>0</v>
      </c>
      <c r="BJ394" s="35"/>
    </row>
    <row r="395" spans="1:62" hidden="1" x14ac:dyDescent="0.2">
      <c r="A395" s="44" t="s">
        <v>56</v>
      </c>
      <c r="B395" s="44" t="s">
        <v>3526</v>
      </c>
      <c r="C395" s="44" t="s">
        <v>3786</v>
      </c>
      <c r="D395" s="44" t="s">
        <v>3527</v>
      </c>
      <c r="E395" s="44" t="s">
        <v>120</v>
      </c>
      <c r="F395" s="44">
        <v>2021</v>
      </c>
      <c r="G395" s="44">
        <v>5</v>
      </c>
      <c r="H395" s="44">
        <v>14</v>
      </c>
      <c r="I395" s="44" t="str">
        <f>Tableau2[[#This Row],[Annee d''inscription au programme]]&amp;"-"&amp;Tableau2[[#This Row],[Code d''ecole]]&amp;"-"&amp;Tableau2[[#This Row],[Numero HM de la fille]]</f>
        <v>2021-5-14</v>
      </c>
      <c r="J395" s="45" t="s">
        <v>1652</v>
      </c>
      <c r="K395" s="44" t="s">
        <v>593</v>
      </c>
      <c r="L395" s="35" t="s">
        <v>698</v>
      </c>
      <c r="M395" s="35">
        <v>0</v>
      </c>
      <c r="N395" s="35">
        <v>0</v>
      </c>
      <c r="O395" s="35">
        <f t="shared" si="12"/>
        <v>0</v>
      </c>
      <c r="P395" s="35">
        <v>12</v>
      </c>
      <c r="Q395" s="35">
        <v>6.5</v>
      </c>
      <c r="R395" s="35">
        <f t="shared" si="13"/>
        <v>9.25</v>
      </c>
      <c r="S395" s="35"/>
      <c r="T395" s="35"/>
      <c r="U395" s="35"/>
      <c r="V395" s="35" t="e">
        <f>AVERAGE(Tableau2[[#This Row],[1ère composition/10]:[3è composition]])</f>
        <v>#DIV/0!</v>
      </c>
      <c r="W395" s="35"/>
      <c r="X395" s="35"/>
      <c r="Y395" s="35"/>
      <c r="Z395" s="35"/>
      <c r="AA395" s="35"/>
      <c r="AB395" s="35"/>
      <c r="AC395" s="35"/>
      <c r="AD395" s="35"/>
      <c r="AE395" s="35"/>
      <c r="AF395" s="35"/>
      <c r="AG395" s="35"/>
      <c r="AH395" s="35"/>
      <c r="AI395" s="35"/>
      <c r="AJ395" s="35"/>
      <c r="AK395" s="58"/>
      <c r="AL395" s="58"/>
      <c r="AM395" s="58"/>
      <c r="AN395" s="58"/>
      <c r="AO395" s="58"/>
      <c r="AP395" s="58"/>
      <c r="AQ395" s="58"/>
      <c r="AR395" s="58"/>
      <c r="AS395" s="58"/>
      <c r="AT395" s="58"/>
      <c r="AU395" s="35"/>
      <c r="AV395" s="35"/>
      <c r="AW395" s="35"/>
      <c r="AX395" s="35"/>
      <c r="AY395" s="35"/>
      <c r="AZ395" s="35"/>
      <c r="BA395" s="35"/>
      <c r="BB395" s="35"/>
      <c r="BC395" s="35"/>
      <c r="BD395" s="35"/>
      <c r="BE395" s="35"/>
      <c r="BF395" s="35"/>
      <c r="BG395" s="35"/>
      <c r="BH395" s="35"/>
      <c r="BI395" s="35">
        <f>COUNTIF(Tableau2[[#This Row],[Séance 1]:[Séance 38]],"A")</f>
        <v>0</v>
      </c>
      <c r="BJ395" s="35"/>
    </row>
    <row r="396" spans="1:62" hidden="1" x14ac:dyDescent="0.2">
      <c r="A396" s="44" t="s">
        <v>56</v>
      </c>
      <c r="B396" s="44" t="s">
        <v>3790</v>
      </c>
      <c r="C396" s="44" t="s">
        <v>3786</v>
      </c>
      <c r="D396" s="44" t="s">
        <v>291</v>
      </c>
      <c r="E396" s="44" t="s">
        <v>120</v>
      </c>
      <c r="F396" s="44">
        <v>2021</v>
      </c>
      <c r="G396" s="44">
        <v>5</v>
      </c>
      <c r="H396" s="44">
        <v>15</v>
      </c>
      <c r="I396" s="44" t="str">
        <f>Tableau2[[#This Row],[Annee d''inscription au programme]]&amp;"-"&amp;Tableau2[[#This Row],[Code d''ecole]]&amp;"-"&amp;Tableau2[[#This Row],[Numero HM de la fille]]</f>
        <v>2021-5-15</v>
      </c>
      <c r="J396" s="45" t="s">
        <v>1653</v>
      </c>
      <c r="K396" s="44" t="s">
        <v>593</v>
      </c>
      <c r="L396" s="35" t="s">
        <v>698</v>
      </c>
      <c r="M396" s="35">
        <v>0</v>
      </c>
      <c r="N396" s="35">
        <v>0</v>
      </c>
      <c r="O396" s="35">
        <f t="shared" si="12"/>
        <v>0</v>
      </c>
      <c r="P396" s="35">
        <v>12.5</v>
      </c>
      <c r="Q396" s="35">
        <v>12.5</v>
      </c>
      <c r="R396" s="35">
        <f t="shared" si="13"/>
        <v>12.5</v>
      </c>
      <c r="S396" s="35"/>
      <c r="T396" s="35"/>
      <c r="U396" s="35"/>
      <c r="V396" s="35" t="e">
        <f>AVERAGE(Tableau2[[#This Row],[1ère composition/10]:[3è composition]])</f>
        <v>#DIV/0!</v>
      </c>
      <c r="W396" s="35"/>
      <c r="X396" s="35"/>
      <c r="Y396" s="35"/>
      <c r="Z396" s="35"/>
      <c r="AA396" s="35"/>
      <c r="AB396" s="35"/>
      <c r="AC396" s="35"/>
      <c r="AD396" s="35"/>
      <c r="AE396" s="35"/>
      <c r="AF396" s="35"/>
      <c r="AG396" s="35"/>
      <c r="AH396" s="35"/>
      <c r="AI396" s="35"/>
      <c r="AJ396" s="35"/>
      <c r="AK396" s="58"/>
      <c r="AL396" s="58"/>
      <c r="AM396" s="58"/>
      <c r="AN396" s="58"/>
      <c r="AO396" s="58"/>
      <c r="AP396" s="58"/>
      <c r="AQ396" s="58"/>
      <c r="AR396" s="58"/>
      <c r="AS396" s="58"/>
      <c r="AT396" s="58"/>
      <c r="AU396" s="35"/>
      <c r="AV396" s="35"/>
      <c r="AW396" s="35"/>
      <c r="AX396" s="35"/>
      <c r="AY396" s="35"/>
      <c r="AZ396" s="35"/>
      <c r="BA396" s="35"/>
      <c r="BB396" s="35"/>
      <c r="BC396" s="35"/>
      <c r="BD396" s="35"/>
      <c r="BE396" s="35"/>
      <c r="BF396" s="35"/>
      <c r="BG396" s="35"/>
      <c r="BH396" s="35"/>
      <c r="BI396" s="35">
        <f>COUNTIF(Tableau2[[#This Row],[Séance 1]:[Séance 38]],"A")</f>
        <v>0</v>
      </c>
      <c r="BJ396" s="35"/>
    </row>
    <row r="397" spans="1:62" hidden="1" x14ac:dyDescent="0.2">
      <c r="A397" s="44" t="s">
        <v>55</v>
      </c>
      <c r="B397" s="44" t="s">
        <v>1217</v>
      </c>
      <c r="C397" s="44" t="s">
        <v>2670</v>
      </c>
      <c r="D397" s="44" t="s">
        <v>291</v>
      </c>
      <c r="E397" s="44" t="s">
        <v>120</v>
      </c>
      <c r="F397" s="44">
        <v>2020</v>
      </c>
      <c r="G397" s="44">
        <v>11</v>
      </c>
      <c r="H397" s="44">
        <v>162</v>
      </c>
      <c r="I397" s="44" t="str">
        <f>Tableau2[[#This Row],[Annee d''inscription au programme]]&amp;"-"&amp;Tableau2[[#This Row],[Code d''ecole]]&amp;"-"&amp;Tableau2[[#This Row],[Numero HM de la fille]]</f>
        <v>2020-11-162</v>
      </c>
      <c r="J397" s="45" t="s">
        <v>1654</v>
      </c>
      <c r="K397" s="44" t="s">
        <v>374</v>
      </c>
      <c r="L397" s="35" t="s">
        <v>620</v>
      </c>
      <c r="M397" s="35">
        <v>15</v>
      </c>
      <c r="N397" s="35">
        <v>16.5</v>
      </c>
      <c r="O397" s="35">
        <f t="shared" si="12"/>
        <v>15.75</v>
      </c>
      <c r="P397" s="35">
        <v>17.5</v>
      </c>
      <c r="Q397" s="35">
        <v>17.5</v>
      </c>
      <c r="R397" s="35">
        <f t="shared" si="13"/>
        <v>17.5</v>
      </c>
      <c r="S397" s="35"/>
      <c r="T397" s="35"/>
      <c r="U397" s="35"/>
      <c r="V397" s="35" t="e">
        <f>AVERAGE(Tableau2[[#This Row],[1ère composition/10]:[3è composition]])</f>
        <v>#DIV/0!</v>
      </c>
      <c r="W397" s="35"/>
      <c r="X397" s="35"/>
      <c r="Y397" s="35"/>
      <c r="Z397" s="35"/>
      <c r="AA397" s="35"/>
      <c r="AB397" s="35"/>
      <c r="AC397" s="35"/>
      <c r="AD397" s="35"/>
      <c r="AE397" s="35"/>
      <c r="AF397" s="35"/>
      <c r="AG397" s="35"/>
      <c r="AH397" s="35"/>
      <c r="AI397" s="35"/>
      <c r="AJ397" s="35"/>
      <c r="AK397" s="58"/>
      <c r="AL397" s="58"/>
      <c r="AM397" s="58"/>
      <c r="AN397" s="58"/>
      <c r="AO397" s="58"/>
      <c r="AP397" s="58"/>
      <c r="AQ397" s="58"/>
      <c r="AR397" s="58"/>
      <c r="AS397" s="58"/>
      <c r="AT397" s="58"/>
      <c r="AU397" s="35"/>
      <c r="AV397" s="35"/>
      <c r="AW397" s="35"/>
      <c r="AX397" s="35"/>
      <c r="AY397" s="35"/>
      <c r="AZ397" s="35"/>
      <c r="BA397" s="35"/>
      <c r="BB397" s="35"/>
      <c r="BC397" s="35"/>
      <c r="BD397" s="35"/>
      <c r="BE397" s="35"/>
      <c r="BF397" s="35"/>
      <c r="BG397" s="35"/>
      <c r="BH397" s="35"/>
      <c r="BI397" s="35">
        <f>COUNTIF(Tableau2[[#This Row],[Séance 1]:[Séance 38]],"A")</f>
        <v>0</v>
      </c>
      <c r="BJ397" s="35"/>
    </row>
    <row r="398" spans="1:62" hidden="1" x14ac:dyDescent="0.2">
      <c r="A398" s="44" t="s">
        <v>55</v>
      </c>
      <c r="B398" s="44" t="s">
        <v>1218</v>
      </c>
      <c r="C398" s="59">
        <v>40157</v>
      </c>
      <c r="D398" s="44" t="s">
        <v>279</v>
      </c>
      <c r="E398" s="44" t="s">
        <v>120</v>
      </c>
      <c r="F398" s="44">
        <v>2021</v>
      </c>
      <c r="G398" s="44">
        <v>11</v>
      </c>
      <c r="H398" s="44">
        <v>1</v>
      </c>
      <c r="I398" s="44" t="str">
        <f>Tableau2[[#This Row],[Annee d''inscription au programme]]&amp;"-"&amp;Tableau2[[#This Row],[Code d''ecole]]&amp;"-"&amp;Tableau2[[#This Row],[Numero HM de la fille]]</f>
        <v>2021-11-1</v>
      </c>
      <c r="J398" s="45" t="s">
        <v>3539</v>
      </c>
      <c r="K398" s="44" t="s">
        <v>3505</v>
      </c>
      <c r="L398" s="35" t="s">
        <v>698</v>
      </c>
      <c r="M398" s="35">
        <v>15.5</v>
      </c>
      <c r="N398" s="35">
        <v>19.5</v>
      </c>
      <c r="O398" s="35">
        <f t="shared" si="12"/>
        <v>17.5</v>
      </c>
      <c r="P398" s="35">
        <v>20</v>
      </c>
      <c r="Q398" s="35">
        <v>19</v>
      </c>
      <c r="R398" s="35">
        <f t="shared" si="13"/>
        <v>19.5</v>
      </c>
      <c r="S398" s="35"/>
      <c r="T398" s="35"/>
      <c r="U398" s="35"/>
      <c r="V398" s="35" t="e">
        <f>AVERAGE(Tableau2[[#This Row],[1ère composition/10]:[3è composition]])</f>
        <v>#DIV/0!</v>
      </c>
      <c r="W398" s="35"/>
      <c r="X398" s="35"/>
      <c r="Y398" s="35"/>
      <c r="Z398" s="35"/>
      <c r="AA398" s="35"/>
      <c r="AB398" s="35"/>
      <c r="AC398" s="35"/>
      <c r="AD398" s="35"/>
      <c r="AE398" s="35"/>
      <c r="AF398" s="35"/>
      <c r="AG398" s="35"/>
      <c r="AH398" s="35"/>
      <c r="AI398" s="35"/>
      <c r="AJ398" s="35"/>
      <c r="AK398" s="58"/>
      <c r="AL398" s="58"/>
      <c r="AM398" s="58"/>
      <c r="AN398" s="58"/>
      <c r="AO398" s="58"/>
      <c r="AP398" s="58"/>
      <c r="AQ398" s="58"/>
      <c r="AR398" s="58"/>
      <c r="AS398" s="58"/>
      <c r="AT398" s="58"/>
      <c r="AU398" s="35"/>
      <c r="AV398" s="35"/>
      <c r="AW398" s="35"/>
      <c r="AX398" s="35"/>
      <c r="AY398" s="35"/>
      <c r="AZ398" s="35"/>
      <c r="BA398" s="35"/>
      <c r="BB398" s="35"/>
      <c r="BC398" s="35"/>
      <c r="BD398" s="35"/>
      <c r="BE398" s="35"/>
      <c r="BF398" s="35"/>
      <c r="BG398" s="35"/>
      <c r="BH398" s="35"/>
      <c r="BI398" s="35">
        <f>COUNTIF(Tableau2[[#This Row],[Séance 1]:[Séance 38]],"A")</f>
        <v>0</v>
      </c>
      <c r="BJ398" s="35"/>
    </row>
    <row r="399" spans="1:62" hidden="1" x14ac:dyDescent="0.2">
      <c r="A399" s="44" t="s">
        <v>55</v>
      </c>
      <c r="B399" s="44" t="s">
        <v>1219</v>
      </c>
      <c r="C399" s="59">
        <v>40179</v>
      </c>
      <c r="D399" s="44" t="s">
        <v>592</v>
      </c>
      <c r="E399" s="44" t="s">
        <v>120</v>
      </c>
      <c r="F399" s="44">
        <v>2021</v>
      </c>
      <c r="G399" s="44">
        <v>11</v>
      </c>
      <c r="H399" s="44">
        <v>2</v>
      </c>
      <c r="I399" s="44" t="str">
        <f>Tableau2[[#This Row],[Annee d''inscription au programme]]&amp;"-"&amp;Tableau2[[#This Row],[Code d''ecole]]&amp;"-"&amp;Tableau2[[#This Row],[Numero HM de la fille]]</f>
        <v>2021-11-2</v>
      </c>
      <c r="J399" s="45" t="s">
        <v>1655</v>
      </c>
      <c r="K399" s="44" t="s">
        <v>3505</v>
      </c>
      <c r="L399" s="35" t="s">
        <v>698</v>
      </c>
      <c r="M399" s="35">
        <v>15</v>
      </c>
      <c r="N399" s="35">
        <v>17.75</v>
      </c>
      <c r="O399" s="35">
        <f t="shared" si="12"/>
        <v>16.375</v>
      </c>
      <c r="P399" s="35">
        <v>20</v>
      </c>
      <c r="Q399" s="35">
        <v>10.5</v>
      </c>
      <c r="R399" s="35">
        <f t="shared" si="13"/>
        <v>15.25</v>
      </c>
      <c r="S399" s="35"/>
      <c r="T399" s="35"/>
      <c r="U399" s="35"/>
      <c r="V399" s="35" t="e">
        <f>AVERAGE(Tableau2[[#This Row],[1ère composition/10]:[3è composition]])</f>
        <v>#DIV/0!</v>
      </c>
      <c r="W399" s="35"/>
      <c r="X399" s="35"/>
      <c r="Y399" s="35"/>
      <c r="Z399" s="35"/>
      <c r="AA399" s="35"/>
      <c r="AB399" s="35"/>
      <c r="AC399" s="35"/>
      <c r="AD399" s="35"/>
      <c r="AE399" s="35"/>
      <c r="AF399" s="35"/>
      <c r="AG399" s="35"/>
      <c r="AH399" s="35"/>
      <c r="AI399" s="35"/>
      <c r="AJ399" s="35"/>
      <c r="AK399" s="58"/>
      <c r="AL399" s="58"/>
      <c r="AM399" s="58"/>
      <c r="AN399" s="58"/>
      <c r="AO399" s="58"/>
      <c r="AP399" s="58"/>
      <c r="AQ399" s="58"/>
      <c r="AR399" s="58"/>
      <c r="AS399" s="58"/>
      <c r="AT399" s="58"/>
      <c r="AU399" s="35"/>
      <c r="AV399" s="35"/>
      <c r="AW399" s="35"/>
      <c r="AX399" s="35"/>
      <c r="AY399" s="35"/>
      <c r="AZ399" s="35"/>
      <c r="BA399" s="35"/>
      <c r="BB399" s="35"/>
      <c r="BC399" s="35"/>
      <c r="BD399" s="35"/>
      <c r="BE399" s="35"/>
      <c r="BF399" s="35"/>
      <c r="BG399" s="35"/>
      <c r="BH399" s="35"/>
      <c r="BI399" s="35">
        <f>COUNTIF(Tableau2[[#This Row],[Séance 1]:[Séance 38]],"A")</f>
        <v>0</v>
      </c>
      <c r="BJ399" s="35"/>
    </row>
    <row r="400" spans="1:62" hidden="1" x14ac:dyDescent="0.2">
      <c r="A400" s="44" t="s">
        <v>55</v>
      </c>
      <c r="B400" s="44" t="s">
        <v>2671</v>
      </c>
      <c r="C400" s="59">
        <v>40543</v>
      </c>
      <c r="D400" s="44" t="s">
        <v>1016</v>
      </c>
      <c r="E400" s="44" t="s">
        <v>120</v>
      </c>
      <c r="F400" s="54">
        <v>2021</v>
      </c>
      <c r="G400" s="44">
        <v>11</v>
      </c>
      <c r="H400" s="54">
        <v>3</v>
      </c>
      <c r="I400" s="54" t="str">
        <f>Tableau2[[#This Row],[Annee d''inscription au programme]]&amp;"-"&amp;Tableau2[[#This Row],[Code d''ecole]]&amp;"-"&amp;Tableau2[[#This Row],[Numero HM de la fille]]</f>
        <v>2021-11-3</v>
      </c>
      <c r="J400" s="45" t="s">
        <v>1656</v>
      </c>
      <c r="K400" s="44" t="s">
        <v>3505</v>
      </c>
      <c r="L400" s="35" t="s">
        <v>698</v>
      </c>
      <c r="M400" s="35">
        <v>13.5</v>
      </c>
      <c r="N400" s="50">
        <v>14.25</v>
      </c>
      <c r="O400" s="2">
        <f t="shared" si="12"/>
        <v>13.875</v>
      </c>
      <c r="P400" s="55">
        <v>15</v>
      </c>
      <c r="Q400" s="56">
        <v>16</v>
      </c>
      <c r="R400" s="2">
        <f t="shared" si="13"/>
        <v>15.5</v>
      </c>
      <c r="S400" s="55"/>
      <c r="T400" s="57"/>
      <c r="U400" s="57"/>
      <c r="V400" s="57" t="e">
        <f>AVERAGE(Tableau2[[#This Row],[1ère composition/10]:[3è composition]])</f>
        <v>#DIV/0!</v>
      </c>
      <c r="W400" s="35"/>
      <c r="X400" s="35"/>
      <c r="Y400" s="35"/>
      <c r="Z400" s="35"/>
      <c r="AA400" s="35"/>
      <c r="AB400" s="35"/>
      <c r="AC400" s="35"/>
      <c r="AD400" s="35"/>
      <c r="AE400" s="35"/>
      <c r="AF400" s="35"/>
      <c r="AG400" s="35"/>
      <c r="AH400" s="35"/>
      <c r="AI400" s="35"/>
      <c r="AJ400" s="35"/>
      <c r="AK400" s="58"/>
      <c r="AL400" s="58"/>
      <c r="AM400" s="58"/>
      <c r="AN400" s="58"/>
      <c r="AO400" s="58"/>
      <c r="AP400" s="58"/>
      <c r="AQ400" s="58"/>
      <c r="AR400" s="58"/>
      <c r="AS400" s="58"/>
      <c r="AT400" s="58"/>
      <c r="AU400" s="35"/>
      <c r="AV400" s="35"/>
      <c r="AW400" s="35"/>
      <c r="AX400" s="35"/>
      <c r="AY400" s="35"/>
      <c r="AZ400" s="35"/>
      <c r="BA400" s="35"/>
      <c r="BB400" s="35"/>
      <c r="BC400" s="35"/>
      <c r="BD400" s="35"/>
      <c r="BE400" s="35"/>
      <c r="BF400" s="35"/>
      <c r="BG400" s="35"/>
      <c r="BH400" s="35"/>
      <c r="BI400" s="35">
        <f>COUNTIF(Tableau2[[#This Row],[Séance 1]:[Séance 38]],"A")</f>
        <v>0</v>
      </c>
      <c r="BJ400" s="35"/>
    </row>
    <row r="401" spans="1:62" hidden="1" x14ac:dyDescent="0.2">
      <c r="A401" s="44" t="s">
        <v>55</v>
      </c>
      <c r="B401" s="44" t="s">
        <v>766</v>
      </c>
      <c r="C401" s="59">
        <v>39814</v>
      </c>
      <c r="D401" s="44" t="s">
        <v>1023</v>
      </c>
      <c r="E401" s="44" t="s">
        <v>120</v>
      </c>
      <c r="F401" s="44">
        <v>2021</v>
      </c>
      <c r="G401" s="44">
        <v>11</v>
      </c>
      <c r="H401" s="44">
        <v>4</v>
      </c>
      <c r="I401" s="44" t="str">
        <f>Tableau2[[#This Row],[Annee d''inscription au programme]]&amp;"-"&amp;Tableau2[[#This Row],[Code d''ecole]]&amp;"-"&amp;Tableau2[[#This Row],[Numero HM de la fille]]</f>
        <v>2021-11-4</v>
      </c>
      <c r="J401" s="45" t="s">
        <v>1657</v>
      </c>
      <c r="K401" s="44" t="s">
        <v>3505</v>
      </c>
      <c r="L401" s="35" t="s">
        <v>698</v>
      </c>
      <c r="M401" s="35">
        <v>13</v>
      </c>
      <c r="N401" s="35">
        <v>16.5</v>
      </c>
      <c r="O401" s="35">
        <f t="shared" si="12"/>
        <v>14.75</v>
      </c>
      <c r="P401" s="35"/>
      <c r="Q401" s="35"/>
      <c r="R401" s="35">
        <f t="shared" si="13"/>
        <v>0</v>
      </c>
      <c r="S401" s="35"/>
      <c r="T401" s="35"/>
      <c r="U401" s="35"/>
      <c r="V401" s="35" t="e">
        <f>AVERAGE(Tableau2[[#This Row],[1ère composition/10]:[3è composition]])</f>
        <v>#DIV/0!</v>
      </c>
      <c r="W401" s="35"/>
      <c r="X401" s="35"/>
      <c r="Y401" s="35"/>
      <c r="Z401" s="35"/>
      <c r="AA401" s="35"/>
      <c r="AB401" s="35"/>
      <c r="AC401" s="35"/>
      <c r="AD401" s="35"/>
      <c r="AE401" s="35"/>
      <c r="AF401" s="35"/>
      <c r="AG401" s="35"/>
      <c r="AH401" s="35"/>
      <c r="AI401" s="35"/>
      <c r="AJ401" s="35"/>
      <c r="AK401" s="58"/>
      <c r="AL401" s="58"/>
      <c r="AM401" s="58"/>
      <c r="AN401" s="58"/>
      <c r="AO401" s="58"/>
      <c r="AP401" s="58"/>
      <c r="AQ401" s="58"/>
      <c r="AR401" s="58"/>
      <c r="AS401" s="58"/>
      <c r="AT401" s="58"/>
      <c r="AU401" s="35"/>
      <c r="AV401" s="35"/>
      <c r="AW401" s="35"/>
      <c r="AX401" s="35"/>
      <c r="AY401" s="35"/>
      <c r="AZ401" s="35"/>
      <c r="BA401" s="35"/>
      <c r="BB401" s="35"/>
      <c r="BC401" s="35"/>
      <c r="BD401" s="35"/>
      <c r="BE401" s="35"/>
      <c r="BF401" s="35"/>
      <c r="BG401" s="35"/>
      <c r="BH401" s="35"/>
      <c r="BI401" s="35">
        <f>COUNTIF(Tableau2[[#This Row],[Séance 1]:[Séance 38]],"A")</f>
        <v>0</v>
      </c>
      <c r="BJ401" s="35"/>
    </row>
    <row r="402" spans="1:62" hidden="1" x14ac:dyDescent="0.2">
      <c r="A402" s="44" t="s">
        <v>55</v>
      </c>
      <c r="B402" s="44" t="s">
        <v>1220</v>
      </c>
      <c r="C402" s="59">
        <v>40034</v>
      </c>
      <c r="D402" s="44" t="s">
        <v>1221</v>
      </c>
      <c r="E402" s="44" t="s">
        <v>120</v>
      </c>
      <c r="F402" s="44">
        <v>2020</v>
      </c>
      <c r="G402" s="44">
        <v>11</v>
      </c>
      <c r="H402" s="44">
        <v>167</v>
      </c>
      <c r="I402" s="44" t="str">
        <f>Tableau2[[#This Row],[Annee d''inscription au programme]]&amp;"-"&amp;Tableau2[[#This Row],[Code d''ecole]]&amp;"-"&amp;Tableau2[[#This Row],[Numero HM de la fille]]</f>
        <v>2020-11-167</v>
      </c>
      <c r="J402" s="45" t="s">
        <v>1658</v>
      </c>
      <c r="K402" s="44" t="s">
        <v>374</v>
      </c>
      <c r="L402" s="35" t="s">
        <v>620</v>
      </c>
      <c r="M402" s="35">
        <v>5</v>
      </c>
      <c r="N402" s="35">
        <v>3</v>
      </c>
      <c r="O402" s="35">
        <f t="shared" si="12"/>
        <v>4</v>
      </c>
      <c r="P402" s="35">
        <v>17</v>
      </c>
      <c r="Q402" s="35">
        <v>15.5</v>
      </c>
      <c r="R402" s="35">
        <f t="shared" si="13"/>
        <v>16.25</v>
      </c>
      <c r="S402" s="35"/>
      <c r="T402" s="35"/>
      <c r="U402" s="35"/>
      <c r="V402" s="35" t="e">
        <f>AVERAGE(Tableau2[[#This Row],[1ère composition/10]:[3è composition]])</f>
        <v>#DIV/0!</v>
      </c>
      <c r="W402" s="35"/>
      <c r="X402" s="35"/>
      <c r="Y402" s="35"/>
      <c r="Z402" s="35"/>
      <c r="AA402" s="35"/>
      <c r="AB402" s="35"/>
      <c r="AC402" s="35"/>
      <c r="AD402" s="35"/>
      <c r="AE402" s="35"/>
      <c r="AF402" s="35"/>
      <c r="AG402" s="35"/>
      <c r="AH402" s="35"/>
      <c r="AI402" s="35"/>
      <c r="AJ402" s="35"/>
      <c r="AK402" s="58"/>
      <c r="AL402" s="58"/>
      <c r="AM402" s="58"/>
      <c r="AN402" s="58"/>
      <c r="AO402" s="58"/>
      <c r="AP402" s="58"/>
      <c r="AQ402" s="58"/>
      <c r="AR402" s="58"/>
      <c r="AS402" s="58"/>
      <c r="AT402" s="58"/>
      <c r="AU402" s="35"/>
      <c r="AV402" s="35"/>
      <c r="AW402" s="35"/>
      <c r="AX402" s="35"/>
      <c r="AY402" s="35"/>
      <c r="AZ402" s="35"/>
      <c r="BA402" s="35"/>
      <c r="BB402" s="35"/>
      <c r="BC402" s="35"/>
      <c r="BD402" s="35"/>
      <c r="BE402" s="35"/>
      <c r="BF402" s="35"/>
      <c r="BG402" s="35"/>
      <c r="BH402" s="35"/>
      <c r="BI402" s="35">
        <f>COUNTIF(Tableau2[[#This Row],[Séance 1]:[Séance 38]],"A")</f>
        <v>0</v>
      </c>
      <c r="BJ402" s="35"/>
    </row>
    <row r="403" spans="1:62" hidden="1" x14ac:dyDescent="0.2">
      <c r="A403" s="44" t="s">
        <v>55</v>
      </c>
      <c r="B403" s="44" t="s">
        <v>1222</v>
      </c>
      <c r="C403" s="59">
        <v>39816</v>
      </c>
      <c r="D403" s="44" t="s">
        <v>1195</v>
      </c>
      <c r="E403" s="44" t="s">
        <v>120</v>
      </c>
      <c r="F403" s="44">
        <v>2021</v>
      </c>
      <c r="G403" s="44">
        <v>11</v>
      </c>
      <c r="H403" s="44">
        <v>5</v>
      </c>
      <c r="I403" s="44" t="str">
        <f>Tableau2[[#This Row],[Annee d''inscription au programme]]&amp;"-"&amp;Tableau2[[#This Row],[Code d''ecole]]&amp;"-"&amp;Tableau2[[#This Row],[Numero HM de la fille]]</f>
        <v>2021-11-5</v>
      </c>
      <c r="J403" s="45" t="s">
        <v>1659</v>
      </c>
      <c r="K403" s="44" t="s">
        <v>3505</v>
      </c>
      <c r="L403" s="35" t="s">
        <v>698</v>
      </c>
      <c r="M403" s="35">
        <v>16.5</v>
      </c>
      <c r="N403" s="35">
        <v>16.25</v>
      </c>
      <c r="O403" s="35">
        <f t="shared" si="12"/>
        <v>16.375</v>
      </c>
      <c r="P403" s="35">
        <v>18</v>
      </c>
      <c r="Q403" s="35">
        <v>15.5</v>
      </c>
      <c r="R403" s="35">
        <f t="shared" si="13"/>
        <v>16.75</v>
      </c>
      <c r="S403" s="35"/>
      <c r="T403" s="35"/>
      <c r="U403" s="35"/>
      <c r="V403" s="35" t="e">
        <f>AVERAGE(Tableau2[[#This Row],[1ère composition/10]:[3è composition]])</f>
        <v>#DIV/0!</v>
      </c>
      <c r="W403" s="35"/>
      <c r="X403" s="35"/>
      <c r="Y403" s="35"/>
      <c r="Z403" s="35"/>
      <c r="AA403" s="35"/>
      <c r="AB403" s="35"/>
      <c r="AC403" s="35"/>
      <c r="AD403" s="35"/>
      <c r="AE403" s="35"/>
      <c r="AF403" s="35"/>
      <c r="AG403" s="35"/>
      <c r="AH403" s="35"/>
      <c r="AI403" s="35"/>
      <c r="AJ403" s="35"/>
      <c r="AK403" s="58"/>
      <c r="AL403" s="58"/>
      <c r="AM403" s="58"/>
      <c r="AN403" s="58"/>
      <c r="AO403" s="58"/>
      <c r="AP403" s="58"/>
      <c r="AQ403" s="58"/>
      <c r="AR403" s="58"/>
      <c r="AS403" s="58"/>
      <c r="AT403" s="58"/>
      <c r="AU403" s="35"/>
      <c r="AV403" s="35"/>
      <c r="AW403" s="35"/>
      <c r="AX403" s="35"/>
      <c r="AY403" s="35"/>
      <c r="AZ403" s="35"/>
      <c r="BA403" s="35"/>
      <c r="BB403" s="35"/>
      <c r="BC403" s="35"/>
      <c r="BD403" s="35"/>
      <c r="BE403" s="35"/>
      <c r="BF403" s="35"/>
      <c r="BG403" s="35"/>
      <c r="BH403" s="35"/>
      <c r="BI403" s="35">
        <f>COUNTIF(Tableau2[[#This Row],[Séance 1]:[Séance 38]],"A")</f>
        <v>0</v>
      </c>
      <c r="BJ403" s="35"/>
    </row>
    <row r="404" spans="1:62" hidden="1" x14ac:dyDescent="0.2">
      <c r="A404" s="44" t="s">
        <v>55</v>
      </c>
      <c r="B404" s="44" t="s">
        <v>1223</v>
      </c>
      <c r="C404" s="59">
        <v>40178</v>
      </c>
      <c r="D404" s="44" t="s">
        <v>1224</v>
      </c>
      <c r="E404" s="44" t="s">
        <v>120</v>
      </c>
      <c r="F404" s="44">
        <v>2020</v>
      </c>
      <c r="G404" s="44">
        <v>11</v>
      </c>
      <c r="H404" s="44">
        <v>166</v>
      </c>
      <c r="I404" s="44" t="str">
        <f>Tableau2[[#This Row],[Annee d''inscription au programme]]&amp;"-"&amp;Tableau2[[#This Row],[Code d''ecole]]&amp;"-"&amp;Tableau2[[#This Row],[Numero HM de la fille]]</f>
        <v>2020-11-166</v>
      </c>
      <c r="J404" s="45" t="s">
        <v>1660</v>
      </c>
      <c r="K404" s="44" t="s">
        <v>374</v>
      </c>
      <c r="L404" s="35" t="s">
        <v>620</v>
      </c>
      <c r="M404" s="35">
        <v>16.5</v>
      </c>
      <c r="N404" s="35">
        <v>17.5</v>
      </c>
      <c r="O404" s="35">
        <f t="shared" si="12"/>
        <v>17</v>
      </c>
      <c r="P404" s="35">
        <v>20</v>
      </c>
      <c r="Q404" s="35">
        <v>16</v>
      </c>
      <c r="R404" s="35">
        <f t="shared" si="13"/>
        <v>18</v>
      </c>
      <c r="S404" s="35"/>
      <c r="T404" s="35"/>
      <c r="U404" s="35"/>
      <c r="V404" s="35" t="e">
        <f>AVERAGE(Tableau2[[#This Row],[1ère composition/10]:[3è composition]])</f>
        <v>#DIV/0!</v>
      </c>
      <c r="W404" s="35"/>
      <c r="X404" s="35"/>
      <c r="Y404" s="35"/>
      <c r="Z404" s="35"/>
      <c r="AA404" s="35"/>
      <c r="AB404" s="35"/>
      <c r="AC404" s="35"/>
      <c r="AD404" s="35"/>
      <c r="AE404" s="35"/>
      <c r="AF404" s="35"/>
      <c r="AG404" s="35"/>
      <c r="AH404" s="35"/>
      <c r="AI404" s="35"/>
      <c r="AJ404" s="35"/>
      <c r="AK404" s="58"/>
      <c r="AL404" s="58"/>
      <c r="AM404" s="58"/>
      <c r="AN404" s="58"/>
      <c r="AO404" s="58"/>
      <c r="AP404" s="58"/>
      <c r="AQ404" s="58"/>
      <c r="AR404" s="58"/>
      <c r="AS404" s="58"/>
      <c r="AT404" s="58"/>
      <c r="AU404" s="35"/>
      <c r="AV404" s="35"/>
      <c r="AW404" s="35"/>
      <c r="AX404" s="35"/>
      <c r="AY404" s="35"/>
      <c r="AZ404" s="35"/>
      <c r="BA404" s="35"/>
      <c r="BB404" s="35"/>
      <c r="BC404" s="35"/>
      <c r="BD404" s="35"/>
      <c r="BE404" s="35"/>
      <c r="BF404" s="35"/>
      <c r="BG404" s="35"/>
      <c r="BH404" s="35"/>
      <c r="BI404" s="35">
        <f>COUNTIF(Tableau2[[#This Row],[Séance 1]:[Séance 38]],"A")</f>
        <v>0</v>
      </c>
      <c r="BJ404" s="35"/>
    </row>
    <row r="405" spans="1:62" hidden="1" x14ac:dyDescent="0.2">
      <c r="A405" s="44" t="s">
        <v>55</v>
      </c>
      <c r="B405" s="44" t="s">
        <v>2672</v>
      </c>
      <c r="C405" s="59">
        <v>38886</v>
      </c>
      <c r="D405" s="44" t="s">
        <v>248</v>
      </c>
      <c r="E405" s="44" t="s">
        <v>120</v>
      </c>
      <c r="F405" s="54">
        <v>2021</v>
      </c>
      <c r="G405" s="44">
        <v>11</v>
      </c>
      <c r="H405" s="54">
        <v>7</v>
      </c>
      <c r="I405" s="54" t="str">
        <f>Tableau2[[#This Row],[Annee d''inscription au programme]]&amp;"-"&amp;Tableau2[[#This Row],[Code d''ecole]]&amp;"-"&amp;Tableau2[[#This Row],[Numero HM de la fille]]</f>
        <v>2021-11-7</v>
      </c>
      <c r="J405" s="45" t="s">
        <v>1661</v>
      </c>
      <c r="K405" s="44" t="s">
        <v>3505</v>
      </c>
      <c r="L405" s="35" t="s">
        <v>698</v>
      </c>
      <c r="M405" s="35">
        <v>16.5</v>
      </c>
      <c r="N405" s="50">
        <v>19.5</v>
      </c>
      <c r="O405" s="2">
        <f t="shared" si="12"/>
        <v>18</v>
      </c>
      <c r="P405" s="55">
        <v>19</v>
      </c>
      <c r="Q405" s="56">
        <v>20</v>
      </c>
      <c r="R405" s="2">
        <f t="shared" si="13"/>
        <v>19.5</v>
      </c>
      <c r="S405" s="55"/>
      <c r="T405" s="57"/>
      <c r="U405" s="57"/>
      <c r="V405" s="57" t="e">
        <f>AVERAGE(Tableau2[[#This Row],[1ère composition/10]:[3è composition]])</f>
        <v>#DIV/0!</v>
      </c>
      <c r="W405" s="35"/>
      <c r="X405" s="35"/>
      <c r="Y405" s="35"/>
      <c r="Z405" s="35"/>
      <c r="AA405" s="35"/>
      <c r="AB405" s="35"/>
      <c r="AC405" s="35"/>
      <c r="AD405" s="35"/>
      <c r="AE405" s="35"/>
      <c r="AF405" s="35"/>
      <c r="AG405" s="35"/>
      <c r="AH405" s="35"/>
      <c r="AI405" s="35"/>
      <c r="AJ405" s="35"/>
      <c r="AK405" s="58"/>
      <c r="AL405" s="58"/>
      <c r="AM405" s="58"/>
      <c r="AN405" s="58"/>
      <c r="AO405" s="58"/>
      <c r="AP405" s="58"/>
      <c r="AQ405" s="58"/>
      <c r="AR405" s="58"/>
      <c r="AS405" s="58"/>
      <c r="AT405" s="58"/>
      <c r="AU405" s="35"/>
      <c r="AV405" s="35"/>
      <c r="AW405" s="35"/>
      <c r="AX405" s="35"/>
      <c r="AY405" s="35"/>
      <c r="AZ405" s="35"/>
      <c r="BA405" s="35"/>
      <c r="BB405" s="35"/>
      <c r="BC405" s="35"/>
      <c r="BD405" s="35"/>
      <c r="BE405" s="35"/>
      <c r="BF405" s="35"/>
      <c r="BG405" s="35"/>
      <c r="BH405" s="35"/>
      <c r="BI405" s="35">
        <f>COUNTIF(Tableau2[[#This Row],[Séance 1]:[Séance 38]],"A")</f>
        <v>0</v>
      </c>
      <c r="BJ405" s="35"/>
    </row>
    <row r="406" spans="1:62" hidden="1" x14ac:dyDescent="0.2">
      <c r="A406" s="44" t="s">
        <v>55</v>
      </c>
      <c r="B406" s="44" t="s">
        <v>2673</v>
      </c>
      <c r="C406" s="59"/>
      <c r="D406" s="44" t="s">
        <v>248</v>
      </c>
      <c r="E406" s="44" t="s">
        <v>120</v>
      </c>
      <c r="F406" s="54">
        <v>2020</v>
      </c>
      <c r="G406" s="44">
        <v>11</v>
      </c>
      <c r="H406" s="54">
        <v>170</v>
      </c>
      <c r="I406" s="54" t="str">
        <f>Tableau2[[#This Row],[Annee d''inscription au programme]]&amp;"-"&amp;Tableau2[[#This Row],[Code d''ecole]]&amp;"-"&amp;Tableau2[[#This Row],[Numero HM de la fille]]</f>
        <v>2020-11-170</v>
      </c>
      <c r="J406" s="45" t="s">
        <v>1662</v>
      </c>
      <c r="K406" s="44" t="s">
        <v>374</v>
      </c>
      <c r="L406" s="35" t="s">
        <v>620</v>
      </c>
      <c r="M406" s="35">
        <v>0</v>
      </c>
      <c r="N406" s="50">
        <v>0</v>
      </c>
      <c r="O406" s="2">
        <f t="shared" si="12"/>
        <v>0</v>
      </c>
      <c r="P406" s="55"/>
      <c r="Q406" s="56"/>
      <c r="R406" s="2">
        <f t="shared" si="13"/>
        <v>0</v>
      </c>
      <c r="S406" s="55"/>
      <c r="T406" s="57"/>
      <c r="U406" s="57"/>
      <c r="V406" s="57" t="e">
        <f>AVERAGE(Tableau2[[#This Row],[1ère composition/10]:[3è composition]])</f>
        <v>#DIV/0!</v>
      </c>
      <c r="W406" s="35"/>
      <c r="X406" s="35"/>
      <c r="Y406" s="35"/>
      <c r="Z406" s="35"/>
      <c r="AA406" s="35"/>
      <c r="AB406" s="35"/>
      <c r="AC406" s="35"/>
      <c r="AD406" s="35"/>
      <c r="AE406" s="35"/>
      <c r="AF406" s="35"/>
      <c r="AG406" s="35"/>
      <c r="AH406" s="35"/>
      <c r="AI406" s="35"/>
      <c r="AJ406" s="35"/>
      <c r="AK406" s="58"/>
      <c r="AL406" s="58"/>
      <c r="AM406" s="58"/>
      <c r="AN406" s="58"/>
      <c r="AO406" s="58"/>
      <c r="AP406" s="58"/>
      <c r="AQ406" s="58"/>
      <c r="AR406" s="58"/>
      <c r="AS406" s="58"/>
      <c r="AT406" s="58"/>
      <c r="AU406" s="35"/>
      <c r="AV406" s="35"/>
      <c r="AW406" s="35"/>
      <c r="AX406" s="35"/>
      <c r="AY406" s="35"/>
      <c r="AZ406" s="35"/>
      <c r="BA406" s="35"/>
      <c r="BB406" s="35"/>
      <c r="BC406" s="35"/>
      <c r="BD406" s="35"/>
      <c r="BE406" s="35"/>
      <c r="BF406" s="35"/>
      <c r="BG406" s="35"/>
      <c r="BH406" s="35"/>
      <c r="BI406" s="35">
        <f>COUNTIF(Tableau2[[#This Row],[Séance 1]:[Séance 38]],"A")</f>
        <v>0</v>
      </c>
      <c r="BJ406" s="35"/>
    </row>
    <row r="407" spans="1:62" hidden="1" x14ac:dyDescent="0.2">
      <c r="A407" s="44" t="s">
        <v>55</v>
      </c>
      <c r="B407" s="44" t="s">
        <v>1225</v>
      </c>
      <c r="C407" s="59">
        <v>39448</v>
      </c>
      <c r="D407" s="44" t="s">
        <v>1226</v>
      </c>
      <c r="E407" s="44" t="s">
        <v>120</v>
      </c>
      <c r="F407" s="44">
        <v>2020</v>
      </c>
      <c r="G407" s="44">
        <v>11</v>
      </c>
      <c r="H407" s="44">
        <v>181</v>
      </c>
      <c r="I407" s="44" t="str">
        <f>Tableau2[[#This Row],[Annee d''inscription au programme]]&amp;"-"&amp;Tableau2[[#This Row],[Code d''ecole]]&amp;"-"&amp;Tableau2[[#This Row],[Numero HM de la fille]]</f>
        <v>2020-11-181</v>
      </c>
      <c r="J407" s="45" t="s">
        <v>1663</v>
      </c>
      <c r="K407" s="44" t="s">
        <v>374</v>
      </c>
      <c r="L407" s="35" t="s">
        <v>620</v>
      </c>
      <c r="M407" s="35">
        <v>12.5</v>
      </c>
      <c r="N407" s="35">
        <v>12.75</v>
      </c>
      <c r="O407" s="35">
        <f t="shared" si="12"/>
        <v>12.625</v>
      </c>
      <c r="P407" s="35">
        <v>13.5</v>
      </c>
      <c r="Q407" s="35">
        <v>16.5</v>
      </c>
      <c r="R407" s="35">
        <f t="shared" si="13"/>
        <v>15</v>
      </c>
      <c r="S407" s="35"/>
      <c r="T407" s="35"/>
      <c r="U407" s="35"/>
      <c r="V407" s="35" t="e">
        <f>AVERAGE(Tableau2[[#This Row],[1ère composition/10]:[3è composition]])</f>
        <v>#DIV/0!</v>
      </c>
      <c r="W407" s="35"/>
      <c r="X407" s="35"/>
      <c r="Y407" s="35"/>
      <c r="Z407" s="35"/>
      <c r="AA407" s="35"/>
      <c r="AB407" s="35"/>
      <c r="AC407" s="35"/>
      <c r="AD407" s="35"/>
      <c r="AE407" s="35"/>
      <c r="AF407" s="35"/>
      <c r="AG407" s="35"/>
      <c r="AH407" s="35"/>
      <c r="AI407" s="35"/>
      <c r="AJ407" s="35"/>
      <c r="AK407" s="58"/>
      <c r="AL407" s="58"/>
      <c r="AM407" s="58"/>
      <c r="AN407" s="58"/>
      <c r="AO407" s="58"/>
      <c r="AP407" s="58"/>
      <c r="AQ407" s="58"/>
      <c r="AR407" s="58"/>
      <c r="AS407" s="58"/>
      <c r="AT407" s="58"/>
      <c r="AU407" s="35"/>
      <c r="AV407" s="35"/>
      <c r="AW407" s="35"/>
      <c r="AX407" s="35"/>
      <c r="AY407" s="35"/>
      <c r="AZ407" s="35"/>
      <c r="BA407" s="35"/>
      <c r="BB407" s="35"/>
      <c r="BC407" s="35"/>
      <c r="BD407" s="35"/>
      <c r="BE407" s="35"/>
      <c r="BF407" s="35"/>
      <c r="BG407" s="35"/>
      <c r="BH407" s="35"/>
      <c r="BI407" s="35">
        <f>COUNTIF(Tableau2[[#This Row],[Séance 1]:[Séance 38]],"A")</f>
        <v>0</v>
      </c>
      <c r="BJ407" s="35"/>
    </row>
    <row r="408" spans="1:62" hidden="1" x14ac:dyDescent="0.2">
      <c r="A408" s="44" t="s">
        <v>55</v>
      </c>
      <c r="B408" s="44" t="s">
        <v>1227</v>
      </c>
      <c r="C408" s="59">
        <v>39814</v>
      </c>
      <c r="D408" s="44" t="s">
        <v>262</v>
      </c>
      <c r="E408" s="44" t="s">
        <v>120</v>
      </c>
      <c r="F408" s="44">
        <v>2021</v>
      </c>
      <c r="G408" s="44">
        <v>11</v>
      </c>
      <c r="H408" s="44">
        <v>8</v>
      </c>
      <c r="I408" s="44" t="str">
        <f>Tableau2[[#This Row],[Annee d''inscription au programme]]&amp;"-"&amp;Tableau2[[#This Row],[Code d''ecole]]&amp;"-"&amp;Tableau2[[#This Row],[Numero HM de la fille]]</f>
        <v>2021-11-8</v>
      </c>
      <c r="J408" s="45" t="s">
        <v>1664</v>
      </c>
      <c r="K408" s="44" t="s">
        <v>3505</v>
      </c>
      <c r="L408" s="35" t="s">
        <v>698</v>
      </c>
      <c r="M408" s="35">
        <v>16</v>
      </c>
      <c r="N408" s="35">
        <v>20</v>
      </c>
      <c r="O408" s="35">
        <f t="shared" si="12"/>
        <v>18</v>
      </c>
      <c r="P408" s="35">
        <v>18.5</v>
      </c>
      <c r="Q408" s="35">
        <v>20</v>
      </c>
      <c r="R408" s="35">
        <f t="shared" si="13"/>
        <v>19.25</v>
      </c>
      <c r="S408" s="35"/>
      <c r="T408" s="35"/>
      <c r="U408" s="35"/>
      <c r="V408" s="35" t="e">
        <f>AVERAGE(Tableau2[[#This Row],[1ère composition/10]:[3è composition]])</f>
        <v>#DIV/0!</v>
      </c>
      <c r="W408" s="35"/>
      <c r="X408" s="35"/>
      <c r="Y408" s="35"/>
      <c r="Z408" s="35"/>
      <c r="AA408" s="35"/>
      <c r="AB408" s="35"/>
      <c r="AC408" s="35"/>
      <c r="AD408" s="35"/>
      <c r="AE408" s="35"/>
      <c r="AF408" s="35"/>
      <c r="AG408" s="35"/>
      <c r="AH408" s="35"/>
      <c r="AI408" s="35"/>
      <c r="AJ408" s="35"/>
      <c r="AK408" s="58"/>
      <c r="AL408" s="58"/>
      <c r="AM408" s="58"/>
      <c r="AN408" s="58"/>
      <c r="AO408" s="58"/>
      <c r="AP408" s="58"/>
      <c r="AQ408" s="58"/>
      <c r="AR408" s="58"/>
      <c r="AS408" s="58"/>
      <c r="AT408" s="58"/>
      <c r="AU408" s="35"/>
      <c r="AV408" s="35"/>
      <c r="AW408" s="35"/>
      <c r="AX408" s="35"/>
      <c r="AY408" s="35"/>
      <c r="AZ408" s="35"/>
      <c r="BA408" s="35"/>
      <c r="BB408" s="35"/>
      <c r="BC408" s="35"/>
      <c r="BD408" s="35"/>
      <c r="BE408" s="35"/>
      <c r="BF408" s="35"/>
      <c r="BG408" s="35"/>
      <c r="BH408" s="35"/>
      <c r="BI408" s="35">
        <f>COUNTIF(Tableau2[[#This Row],[Séance 1]:[Séance 38]],"A")</f>
        <v>0</v>
      </c>
      <c r="BJ408" s="35"/>
    </row>
    <row r="409" spans="1:62" hidden="1" x14ac:dyDescent="0.2">
      <c r="A409" s="44" t="s">
        <v>55</v>
      </c>
      <c r="B409" s="44" t="s">
        <v>1228</v>
      </c>
      <c r="C409" s="59">
        <v>39844</v>
      </c>
      <c r="D409" s="44" t="s">
        <v>192</v>
      </c>
      <c r="E409" s="44" t="s">
        <v>120</v>
      </c>
      <c r="F409" s="44">
        <v>2021</v>
      </c>
      <c r="G409" s="44">
        <v>11</v>
      </c>
      <c r="H409" s="44">
        <v>9</v>
      </c>
      <c r="I409" s="44" t="str">
        <f>Tableau2[[#This Row],[Annee d''inscription au programme]]&amp;"-"&amp;Tableau2[[#This Row],[Code d''ecole]]&amp;"-"&amp;Tableau2[[#This Row],[Numero HM de la fille]]</f>
        <v>2021-11-9</v>
      </c>
      <c r="J409" s="45" t="s">
        <v>1665</v>
      </c>
      <c r="K409" s="44" t="s">
        <v>3505</v>
      </c>
      <c r="L409" s="35" t="s">
        <v>698</v>
      </c>
      <c r="M409" s="35">
        <v>0</v>
      </c>
      <c r="N409" s="35">
        <v>0</v>
      </c>
      <c r="O409" s="35">
        <f t="shared" si="12"/>
        <v>0</v>
      </c>
      <c r="P409" s="35">
        <v>15.5</v>
      </c>
      <c r="Q409" s="35">
        <v>4</v>
      </c>
      <c r="R409" s="35">
        <f t="shared" si="13"/>
        <v>9.75</v>
      </c>
      <c r="S409" s="35"/>
      <c r="T409" s="35"/>
      <c r="U409" s="35"/>
      <c r="V409" s="35" t="e">
        <f>AVERAGE(Tableau2[[#This Row],[1ère composition/10]:[3è composition]])</f>
        <v>#DIV/0!</v>
      </c>
      <c r="W409" s="35"/>
      <c r="X409" s="35"/>
      <c r="Y409" s="35"/>
      <c r="Z409" s="35"/>
      <c r="AA409" s="35"/>
      <c r="AB409" s="35"/>
      <c r="AC409" s="35"/>
      <c r="AD409" s="35"/>
      <c r="AE409" s="35"/>
      <c r="AF409" s="35"/>
      <c r="AG409" s="35"/>
      <c r="AH409" s="35"/>
      <c r="AI409" s="35"/>
      <c r="AJ409" s="35"/>
      <c r="AK409" s="58"/>
      <c r="AL409" s="58"/>
      <c r="AM409" s="58"/>
      <c r="AN409" s="58"/>
      <c r="AO409" s="58"/>
      <c r="AP409" s="58"/>
      <c r="AQ409" s="58"/>
      <c r="AR409" s="58"/>
      <c r="AS409" s="58"/>
      <c r="AT409" s="58"/>
      <c r="AU409" s="35"/>
      <c r="AV409" s="35"/>
      <c r="AW409" s="35"/>
      <c r="AX409" s="35"/>
      <c r="AY409" s="35"/>
      <c r="AZ409" s="35"/>
      <c r="BA409" s="35"/>
      <c r="BB409" s="35"/>
      <c r="BC409" s="35"/>
      <c r="BD409" s="35"/>
      <c r="BE409" s="35"/>
      <c r="BF409" s="35"/>
      <c r="BG409" s="35"/>
      <c r="BH409" s="35"/>
      <c r="BI409" s="35">
        <f>COUNTIF(Tableau2[[#This Row],[Séance 1]:[Séance 38]],"A")</f>
        <v>0</v>
      </c>
      <c r="BJ409" s="35"/>
    </row>
    <row r="410" spans="1:62" hidden="1" x14ac:dyDescent="0.2">
      <c r="A410" s="44" t="s">
        <v>55</v>
      </c>
      <c r="B410" s="44" t="s">
        <v>1229</v>
      </c>
      <c r="C410" s="59">
        <v>40178</v>
      </c>
      <c r="D410" s="44" t="s">
        <v>1230</v>
      </c>
      <c r="E410" s="44" t="s">
        <v>120</v>
      </c>
      <c r="F410" s="44">
        <v>2021</v>
      </c>
      <c r="G410" s="44">
        <v>11</v>
      </c>
      <c r="H410" s="44">
        <v>10</v>
      </c>
      <c r="I410" s="44" t="str">
        <f>Tableau2[[#This Row],[Annee d''inscription au programme]]&amp;"-"&amp;Tableau2[[#This Row],[Code d''ecole]]&amp;"-"&amp;Tableau2[[#This Row],[Numero HM de la fille]]</f>
        <v>2021-11-10</v>
      </c>
      <c r="J410" s="45" t="s">
        <v>1666</v>
      </c>
      <c r="K410" s="44" t="s">
        <v>3505</v>
      </c>
      <c r="L410" s="35" t="s">
        <v>698</v>
      </c>
      <c r="M410" s="35">
        <v>15</v>
      </c>
      <c r="N410" s="35">
        <v>20</v>
      </c>
      <c r="O410" s="35">
        <f t="shared" si="12"/>
        <v>17.5</v>
      </c>
      <c r="P410" s="35">
        <v>20</v>
      </c>
      <c r="Q410" s="35">
        <v>19</v>
      </c>
      <c r="R410" s="35">
        <f t="shared" si="13"/>
        <v>19.5</v>
      </c>
      <c r="S410" s="35"/>
      <c r="T410" s="35"/>
      <c r="U410" s="35"/>
      <c r="V410" s="35" t="e">
        <f>AVERAGE(Tableau2[[#This Row],[1ère composition/10]:[3è composition]])</f>
        <v>#DIV/0!</v>
      </c>
      <c r="W410" s="35"/>
      <c r="X410" s="35"/>
      <c r="Y410" s="35"/>
      <c r="Z410" s="35"/>
      <c r="AA410" s="35"/>
      <c r="AB410" s="35"/>
      <c r="AC410" s="35"/>
      <c r="AD410" s="35"/>
      <c r="AE410" s="35"/>
      <c r="AF410" s="35"/>
      <c r="AG410" s="35"/>
      <c r="AH410" s="35"/>
      <c r="AI410" s="35"/>
      <c r="AJ410" s="35"/>
      <c r="AK410" s="58"/>
      <c r="AL410" s="58"/>
      <c r="AM410" s="58"/>
      <c r="AN410" s="58"/>
      <c r="AO410" s="58"/>
      <c r="AP410" s="58"/>
      <c r="AQ410" s="58"/>
      <c r="AR410" s="58"/>
      <c r="AS410" s="58"/>
      <c r="AT410" s="58"/>
      <c r="AU410" s="35"/>
      <c r="AV410" s="35"/>
      <c r="AW410" s="35"/>
      <c r="AX410" s="35"/>
      <c r="AY410" s="35"/>
      <c r="AZ410" s="35"/>
      <c r="BA410" s="35"/>
      <c r="BB410" s="35"/>
      <c r="BC410" s="35"/>
      <c r="BD410" s="35"/>
      <c r="BE410" s="35"/>
      <c r="BF410" s="35"/>
      <c r="BG410" s="35"/>
      <c r="BH410" s="35"/>
      <c r="BI410" s="35">
        <f>COUNTIF(Tableau2[[#This Row],[Séance 1]:[Séance 38]],"A")</f>
        <v>0</v>
      </c>
      <c r="BJ410" s="35"/>
    </row>
    <row r="411" spans="1:62" hidden="1" x14ac:dyDescent="0.2">
      <c r="A411" s="44" t="s">
        <v>55</v>
      </c>
      <c r="B411" s="44" t="s">
        <v>1231</v>
      </c>
      <c r="C411" s="59">
        <v>40543</v>
      </c>
      <c r="D411" s="44" t="s">
        <v>592</v>
      </c>
      <c r="E411" s="44" t="s">
        <v>120</v>
      </c>
      <c r="F411" s="44">
        <v>2021</v>
      </c>
      <c r="G411" s="44">
        <v>11</v>
      </c>
      <c r="H411" s="44">
        <v>11</v>
      </c>
      <c r="I411" s="44" t="str">
        <f>Tableau2[[#This Row],[Annee d''inscription au programme]]&amp;"-"&amp;Tableau2[[#This Row],[Code d''ecole]]&amp;"-"&amp;Tableau2[[#This Row],[Numero HM de la fille]]</f>
        <v>2021-11-11</v>
      </c>
      <c r="J411" s="45" t="s">
        <v>1667</v>
      </c>
      <c r="K411" s="44" t="s">
        <v>3505</v>
      </c>
      <c r="L411" s="35" t="s">
        <v>698</v>
      </c>
      <c r="M411" s="35">
        <v>9.5</v>
      </c>
      <c r="N411" s="35">
        <v>3.75</v>
      </c>
      <c r="O411" s="35">
        <f t="shared" si="12"/>
        <v>6.625</v>
      </c>
      <c r="P411" s="35">
        <v>13.5</v>
      </c>
      <c r="Q411" s="35">
        <v>6</v>
      </c>
      <c r="R411" s="35">
        <f t="shared" si="13"/>
        <v>9.75</v>
      </c>
      <c r="S411" s="35"/>
      <c r="T411" s="35"/>
      <c r="U411" s="35"/>
      <c r="V411" s="35" t="e">
        <f>AVERAGE(Tableau2[[#This Row],[1ère composition/10]:[3è composition]])</f>
        <v>#DIV/0!</v>
      </c>
      <c r="W411" s="35"/>
      <c r="X411" s="35"/>
      <c r="Y411" s="35"/>
      <c r="Z411" s="35"/>
      <c r="AA411" s="35"/>
      <c r="AB411" s="35"/>
      <c r="AC411" s="35"/>
      <c r="AD411" s="35"/>
      <c r="AE411" s="35"/>
      <c r="AF411" s="35"/>
      <c r="AG411" s="35"/>
      <c r="AH411" s="35"/>
      <c r="AI411" s="35"/>
      <c r="AJ411" s="35"/>
      <c r="AK411" s="58"/>
      <c r="AL411" s="58"/>
      <c r="AM411" s="58"/>
      <c r="AN411" s="58"/>
      <c r="AO411" s="58"/>
      <c r="AP411" s="58"/>
      <c r="AQ411" s="58"/>
      <c r="AR411" s="58"/>
      <c r="AS411" s="58"/>
      <c r="AT411" s="58"/>
      <c r="AU411" s="35"/>
      <c r="AV411" s="35"/>
      <c r="AW411" s="35"/>
      <c r="AX411" s="35"/>
      <c r="AY411" s="35"/>
      <c r="AZ411" s="35"/>
      <c r="BA411" s="35"/>
      <c r="BB411" s="35"/>
      <c r="BC411" s="35"/>
      <c r="BD411" s="35"/>
      <c r="BE411" s="35"/>
      <c r="BF411" s="35"/>
      <c r="BG411" s="35"/>
      <c r="BH411" s="35"/>
      <c r="BI411" s="35">
        <f>COUNTIF(Tableau2[[#This Row],[Séance 1]:[Séance 38]],"A")</f>
        <v>0</v>
      </c>
      <c r="BJ411" s="35"/>
    </row>
    <row r="412" spans="1:62" hidden="1" x14ac:dyDescent="0.2">
      <c r="A412" s="44" t="s">
        <v>55</v>
      </c>
      <c r="B412" s="44" t="s">
        <v>2674</v>
      </c>
      <c r="C412" s="59">
        <v>40400</v>
      </c>
      <c r="D412" s="44" t="s">
        <v>2675</v>
      </c>
      <c r="E412" s="44" t="s">
        <v>120</v>
      </c>
      <c r="F412" s="44">
        <v>2021</v>
      </c>
      <c r="G412" s="44">
        <v>11</v>
      </c>
      <c r="H412" s="44">
        <v>12</v>
      </c>
      <c r="I412" s="44" t="str">
        <f>Tableau2[[#This Row],[Annee d''inscription au programme]]&amp;"-"&amp;Tableau2[[#This Row],[Code d''ecole]]&amp;"-"&amp;Tableau2[[#This Row],[Numero HM de la fille]]</f>
        <v>2021-11-12</v>
      </c>
      <c r="J412" s="45" t="s">
        <v>1668</v>
      </c>
      <c r="K412" s="44" t="s">
        <v>3505</v>
      </c>
      <c r="L412" s="35" t="s">
        <v>698</v>
      </c>
      <c r="M412" s="35">
        <v>7</v>
      </c>
      <c r="N412" s="35">
        <v>4</v>
      </c>
      <c r="O412" s="35">
        <f t="shared" si="12"/>
        <v>5.5</v>
      </c>
      <c r="P412" s="35"/>
      <c r="Q412" s="35"/>
      <c r="R412" s="35">
        <f t="shared" si="13"/>
        <v>0</v>
      </c>
      <c r="S412" s="35"/>
      <c r="T412" s="35"/>
      <c r="U412" s="35"/>
      <c r="V412" s="35" t="e">
        <f>AVERAGE(Tableau2[[#This Row],[1ère composition/10]:[3è composition]])</f>
        <v>#DIV/0!</v>
      </c>
      <c r="W412" s="35"/>
      <c r="X412" s="35"/>
      <c r="Y412" s="35"/>
      <c r="Z412" s="35"/>
      <c r="AA412" s="35"/>
      <c r="AB412" s="35"/>
      <c r="AC412" s="35"/>
      <c r="AD412" s="35"/>
      <c r="AE412" s="35"/>
      <c r="AF412" s="35"/>
      <c r="AG412" s="35"/>
      <c r="AH412" s="35"/>
      <c r="AI412" s="35"/>
      <c r="AJ412" s="35"/>
      <c r="AK412" s="58"/>
      <c r="AL412" s="58"/>
      <c r="AM412" s="58"/>
      <c r="AN412" s="58"/>
      <c r="AO412" s="58"/>
      <c r="AP412" s="58"/>
      <c r="AQ412" s="58"/>
      <c r="AR412" s="58"/>
      <c r="AS412" s="58"/>
      <c r="AT412" s="58"/>
      <c r="AU412" s="35"/>
      <c r="AV412" s="35"/>
      <c r="AW412" s="35"/>
      <c r="AX412" s="35"/>
      <c r="AY412" s="35"/>
      <c r="AZ412" s="35"/>
      <c r="BA412" s="35"/>
      <c r="BB412" s="35"/>
      <c r="BC412" s="35"/>
      <c r="BD412" s="35"/>
      <c r="BE412" s="35"/>
      <c r="BF412" s="35"/>
      <c r="BG412" s="35"/>
      <c r="BH412" s="35"/>
      <c r="BI412" s="35">
        <f>COUNTIF(Tableau2[[#This Row],[Séance 1]:[Séance 38]],"A")</f>
        <v>0</v>
      </c>
      <c r="BJ412" s="35"/>
    </row>
    <row r="413" spans="1:62" hidden="1" x14ac:dyDescent="0.2">
      <c r="A413" s="44" t="s">
        <v>55</v>
      </c>
      <c r="B413" s="44" t="s">
        <v>1232</v>
      </c>
      <c r="C413" s="59">
        <v>39448</v>
      </c>
      <c r="D413" s="44" t="s">
        <v>291</v>
      </c>
      <c r="E413" s="44" t="s">
        <v>120</v>
      </c>
      <c r="F413" s="44">
        <v>2020</v>
      </c>
      <c r="G413" s="44">
        <v>11</v>
      </c>
      <c r="H413" s="44">
        <v>214</v>
      </c>
      <c r="I413" s="44" t="str">
        <f>Tableau2[[#This Row],[Annee d''inscription au programme]]&amp;"-"&amp;Tableau2[[#This Row],[Code d''ecole]]&amp;"-"&amp;Tableau2[[#This Row],[Numero HM de la fille]]</f>
        <v>2020-11-214</v>
      </c>
      <c r="J413" s="45" t="s">
        <v>1669</v>
      </c>
      <c r="K413" s="44" t="s">
        <v>374</v>
      </c>
      <c r="L413" s="35" t="s">
        <v>620</v>
      </c>
      <c r="M413" s="35">
        <v>10</v>
      </c>
      <c r="N413" s="35">
        <v>5.75</v>
      </c>
      <c r="O413" s="35">
        <f t="shared" si="12"/>
        <v>7.875</v>
      </c>
      <c r="P413" s="35">
        <v>12</v>
      </c>
      <c r="Q413" s="35">
        <v>17.5</v>
      </c>
      <c r="R413" s="35">
        <f t="shared" si="13"/>
        <v>14.75</v>
      </c>
      <c r="S413" s="35"/>
      <c r="T413" s="35"/>
      <c r="U413" s="35"/>
      <c r="V413" s="35" t="e">
        <f>AVERAGE(Tableau2[[#This Row],[1ère composition/10]:[3è composition]])</f>
        <v>#DIV/0!</v>
      </c>
      <c r="W413" s="35"/>
      <c r="X413" s="35"/>
      <c r="Y413" s="35"/>
      <c r="Z413" s="35"/>
      <c r="AA413" s="35"/>
      <c r="AB413" s="35"/>
      <c r="AC413" s="35"/>
      <c r="AD413" s="35"/>
      <c r="AE413" s="35"/>
      <c r="AF413" s="35"/>
      <c r="AG413" s="35"/>
      <c r="AH413" s="35"/>
      <c r="AI413" s="35"/>
      <c r="AJ413" s="35"/>
      <c r="AK413" s="58"/>
      <c r="AL413" s="58"/>
      <c r="AM413" s="58"/>
      <c r="AN413" s="58"/>
      <c r="AO413" s="58"/>
      <c r="AP413" s="58"/>
      <c r="AQ413" s="58"/>
      <c r="AR413" s="58"/>
      <c r="AS413" s="58"/>
      <c r="AT413" s="58"/>
      <c r="AU413" s="35"/>
      <c r="AV413" s="35"/>
      <c r="AW413" s="35"/>
      <c r="AX413" s="35"/>
      <c r="AY413" s="35"/>
      <c r="AZ413" s="35"/>
      <c r="BA413" s="35"/>
      <c r="BB413" s="35"/>
      <c r="BC413" s="35"/>
      <c r="BD413" s="35"/>
      <c r="BE413" s="35"/>
      <c r="BF413" s="35"/>
      <c r="BG413" s="35"/>
      <c r="BH413" s="35"/>
      <c r="BI413" s="35">
        <f>COUNTIF(Tableau2[[#This Row],[Séance 1]:[Séance 38]],"A")</f>
        <v>0</v>
      </c>
      <c r="BJ413" s="35"/>
    </row>
    <row r="414" spans="1:62" hidden="1" x14ac:dyDescent="0.2">
      <c r="A414" s="44" t="s">
        <v>55</v>
      </c>
      <c r="B414" s="44" t="s">
        <v>1233</v>
      </c>
      <c r="C414" s="59">
        <v>39813</v>
      </c>
      <c r="D414" s="44" t="s">
        <v>291</v>
      </c>
      <c r="E414" s="44" t="s">
        <v>120</v>
      </c>
      <c r="F414" s="44">
        <v>2020</v>
      </c>
      <c r="G414" s="44">
        <v>11</v>
      </c>
      <c r="H414" s="44">
        <v>183</v>
      </c>
      <c r="I414" s="44" t="str">
        <f>Tableau2[[#This Row],[Annee d''inscription au programme]]&amp;"-"&amp;Tableau2[[#This Row],[Code d''ecole]]&amp;"-"&amp;Tableau2[[#This Row],[Numero HM de la fille]]</f>
        <v>2020-11-183</v>
      </c>
      <c r="J414" s="45" t="s">
        <v>1670</v>
      </c>
      <c r="K414" s="44" t="s">
        <v>374</v>
      </c>
      <c r="L414" s="35" t="s">
        <v>620</v>
      </c>
      <c r="M414" s="35">
        <v>7</v>
      </c>
      <c r="N414" s="35">
        <v>3.75</v>
      </c>
      <c r="O414" s="35">
        <f t="shared" si="12"/>
        <v>5.375</v>
      </c>
      <c r="P414" s="35">
        <v>18</v>
      </c>
      <c r="Q414" s="35">
        <v>7</v>
      </c>
      <c r="R414" s="35">
        <f t="shared" si="13"/>
        <v>12.5</v>
      </c>
      <c r="S414" s="35"/>
      <c r="T414" s="35"/>
      <c r="U414" s="35"/>
      <c r="V414" s="35" t="e">
        <f>AVERAGE(Tableau2[[#This Row],[1ère composition/10]:[3è composition]])</f>
        <v>#DIV/0!</v>
      </c>
      <c r="W414" s="35"/>
      <c r="X414" s="35"/>
      <c r="Y414" s="35"/>
      <c r="Z414" s="35"/>
      <c r="AA414" s="35"/>
      <c r="AB414" s="35"/>
      <c r="AC414" s="35"/>
      <c r="AD414" s="35"/>
      <c r="AE414" s="35"/>
      <c r="AF414" s="35"/>
      <c r="AG414" s="35"/>
      <c r="AH414" s="35"/>
      <c r="AI414" s="35"/>
      <c r="AJ414" s="35"/>
      <c r="AK414" s="58"/>
      <c r="AL414" s="58"/>
      <c r="AM414" s="58"/>
      <c r="AN414" s="58"/>
      <c r="AO414" s="58"/>
      <c r="AP414" s="58"/>
      <c r="AQ414" s="58"/>
      <c r="AR414" s="58"/>
      <c r="AS414" s="58"/>
      <c r="AT414" s="58"/>
      <c r="AU414" s="35"/>
      <c r="AV414" s="35"/>
      <c r="AW414" s="35"/>
      <c r="AX414" s="35"/>
      <c r="AY414" s="35"/>
      <c r="AZ414" s="35"/>
      <c r="BA414" s="35"/>
      <c r="BB414" s="35"/>
      <c r="BC414" s="35"/>
      <c r="BD414" s="35"/>
      <c r="BE414" s="35"/>
      <c r="BF414" s="35"/>
      <c r="BG414" s="35"/>
      <c r="BH414" s="35"/>
      <c r="BI414" s="35">
        <f>COUNTIF(Tableau2[[#This Row],[Séance 1]:[Séance 38]],"A")</f>
        <v>0</v>
      </c>
      <c r="BJ414" s="35"/>
    </row>
    <row r="415" spans="1:62" hidden="1" x14ac:dyDescent="0.2">
      <c r="A415" s="44" t="s">
        <v>55</v>
      </c>
      <c r="B415" s="44" t="s">
        <v>1234</v>
      </c>
      <c r="C415" s="59">
        <v>39813</v>
      </c>
      <c r="D415" s="44" t="s">
        <v>1024</v>
      </c>
      <c r="E415" s="44" t="s">
        <v>120</v>
      </c>
      <c r="F415" s="44">
        <v>2020</v>
      </c>
      <c r="G415" s="44">
        <v>11</v>
      </c>
      <c r="H415" s="44">
        <v>209</v>
      </c>
      <c r="I415" s="44" t="str">
        <f>Tableau2[[#This Row],[Annee d''inscription au programme]]&amp;"-"&amp;Tableau2[[#This Row],[Code d''ecole]]&amp;"-"&amp;Tableau2[[#This Row],[Numero HM de la fille]]</f>
        <v>2020-11-209</v>
      </c>
      <c r="J415" s="45" t="s">
        <v>1671</v>
      </c>
      <c r="K415" s="44" t="s">
        <v>374</v>
      </c>
      <c r="L415" s="35" t="s">
        <v>620</v>
      </c>
      <c r="M415" s="35">
        <v>10.5</v>
      </c>
      <c r="N415" s="35">
        <v>19.5</v>
      </c>
      <c r="O415" s="35">
        <f t="shared" si="12"/>
        <v>15</v>
      </c>
      <c r="P415" s="35"/>
      <c r="Q415" s="35"/>
      <c r="R415" s="35">
        <f t="shared" si="13"/>
        <v>0</v>
      </c>
      <c r="S415" s="35"/>
      <c r="T415" s="35"/>
      <c r="U415" s="35"/>
      <c r="V415" s="35" t="e">
        <f>AVERAGE(Tableau2[[#This Row],[1ère composition/10]:[3è composition]])</f>
        <v>#DIV/0!</v>
      </c>
      <c r="W415" s="35"/>
      <c r="X415" s="35"/>
      <c r="Y415" s="35"/>
      <c r="Z415" s="35"/>
      <c r="AA415" s="35"/>
      <c r="AB415" s="35"/>
      <c r="AC415" s="35"/>
      <c r="AD415" s="35"/>
      <c r="AE415" s="35"/>
      <c r="AF415" s="35"/>
      <c r="AG415" s="35"/>
      <c r="AH415" s="35"/>
      <c r="AI415" s="35"/>
      <c r="AJ415" s="35"/>
      <c r="AK415" s="58"/>
      <c r="AL415" s="58"/>
      <c r="AM415" s="58"/>
      <c r="AN415" s="58"/>
      <c r="AO415" s="58"/>
      <c r="AP415" s="58"/>
      <c r="AQ415" s="58"/>
      <c r="AR415" s="58"/>
      <c r="AS415" s="58"/>
      <c r="AT415" s="58"/>
      <c r="AU415" s="35"/>
      <c r="AV415" s="35"/>
      <c r="AW415" s="35"/>
      <c r="AX415" s="35"/>
      <c r="AY415" s="35"/>
      <c r="AZ415" s="35"/>
      <c r="BA415" s="35"/>
      <c r="BB415" s="35"/>
      <c r="BC415" s="35"/>
      <c r="BD415" s="35"/>
      <c r="BE415" s="35"/>
      <c r="BF415" s="35"/>
      <c r="BG415" s="35"/>
      <c r="BH415" s="35"/>
      <c r="BI415" s="35">
        <f>COUNTIF(Tableau2[[#This Row],[Séance 1]:[Séance 38]],"A")</f>
        <v>0</v>
      </c>
      <c r="BJ415" s="35"/>
    </row>
    <row r="416" spans="1:62" hidden="1" x14ac:dyDescent="0.2">
      <c r="A416" s="44" t="s">
        <v>55</v>
      </c>
      <c r="B416" s="44" t="s">
        <v>1235</v>
      </c>
      <c r="C416" s="59">
        <v>40543</v>
      </c>
      <c r="D416" s="44" t="s">
        <v>239</v>
      </c>
      <c r="E416" s="44" t="s">
        <v>120</v>
      </c>
      <c r="F416" s="44">
        <v>2021</v>
      </c>
      <c r="G416" s="44">
        <v>11</v>
      </c>
      <c r="H416" s="44">
        <v>13</v>
      </c>
      <c r="I416" s="44" t="str">
        <f>Tableau2[[#This Row],[Annee d''inscription au programme]]&amp;"-"&amp;Tableau2[[#This Row],[Code d''ecole]]&amp;"-"&amp;Tableau2[[#This Row],[Numero HM de la fille]]</f>
        <v>2021-11-13</v>
      </c>
      <c r="J416" s="45" t="s">
        <v>1672</v>
      </c>
      <c r="K416" s="44" t="s">
        <v>3505</v>
      </c>
      <c r="L416" s="35" t="s">
        <v>698</v>
      </c>
      <c r="M416" s="35">
        <v>16.5</v>
      </c>
      <c r="N416" s="35">
        <v>19.5</v>
      </c>
      <c r="O416" s="35">
        <f t="shared" si="12"/>
        <v>18</v>
      </c>
      <c r="P416" s="35">
        <v>19.5</v>
      </c>
      <c r="Q416" s="35">
        <v>18.5</v>
      </c>
      <c r="R416" s="35">
        <f t="shared" si="13"/>
        <v>19</v>
      </c>
      <c r="S416" s="35"/>
      <c r="T416" s="35"/>
      <c r="U416" s="35"/>
      <c r="V416" s="35" t="e">
        <f>AVERAGE(Tableau2[[#This Row],[1ère composition/10]:[3è composition]])</f>
        <v>#DIV/0!</v>
      </c>
      <c r="W416" s="35"/>
      <c r="X416" s="35"/>
      <c r="Y416" s="35"/>
      <c r="Z416" s="35"/>
      <c r="AA416" s="35"/>
      <c r="AB416" s="35"/>
      <c r="AC416" s="35"/>
      <c r="AD416" s="35"/>
      <c r="AE416" s="35"/>
      <c r="AF416" s="35"/>
      <c r="AG416" s="35"/>
      <c r="AH416" s="35"/>
      <c r="AI416" s="35"/>
      <c r="AJ416" s="35"/>
      <c r="AK416" s="58"/>
      <c r="AL416" s="58"/>
      <c r="AM416" s="58"/>
      <c r="AN416" s="58"/>
      <c r="AO416" s="58"/>
      <c r="AP416" s="58"/>
      <c r="AQ416" s="58"/>
      <c r="AR416" s="58"/>
      <c r="AS416" s="58"/>
      <c r="AT416" s="58"/>
      <c r="AU416" s="35"/>
      <c r="AV416" s="35"/>
      <c r="AW416" s="35"/>
      <c r="AX416" s="35"/>
      <c r="AY416" s="35"/>
      <c r="AZ416" s="35"/>
      <c r="BA416" s="35"/>
      <c r="BB416" s="35"/>
      <c r="BC416" s="35"/>
      <c r="BD416" s="35"/>
      <c r="BE416" s="35"/>
      <c r="BF416" s="35"/>
      <c r="BG416" s="35"/>
      <c r="BH416" s="35"/>
      <c r="BI416" s="35">
        <f>COUNTIF(Tableau2[[#This Row],[Séance 1]:[Séance 38]],"A")</f>
        <v>0</v>
      </c>
      <c r="BJ416" s="35"/>
    </row>
    <row r="417" spans="1:62" hidden="1" x14ac:dyDescent="0.2">
      <c r="A417" s="44" t="s">
        <v>55</v>
      </c>
      <c r="B417" s="44" t="s">
        <v>2676</v>
      </c>
      <c r="C417" s="59">
        <v>39813</v>
      </c>
      <c r="D417" s="44" t="s">
        <v>248</v>
      </c>
      <c r="E417" s="44" t="s">
        <v>120</v>
      </c>
      <c r="F417" s="54">
        <v>2020</v>
      </c>
      <c r="G417" s="44">
        <v>11</v>
      </c>
      <c r="H417" s="54">
        <v>182</v>
      </c>
      <c r="I417" s="54" t="str">
        <f>Tableau2[[#This Row],[Annee d''inscription au programme]]&amp;"-"&amp;Tableau2[[#This Row],[Code d''ecole]]&amp;"-"&amp;Tableau2[[#This Row],[Numero HM de la fille]]</f>
        <v>2020-11-182</v>
      </c>
      <c r="J417" s="45" t="s">
        <v>1673</v>
      </c>
      <c r="K417" s="58" t="s">
        <v>374</v>
      </c>
      <c r="L417" s="35" t="s">
        <v>620</v>
      </c>
      <c r="M417" s="35">
        <v>8.5</v>
      </c>
      <c r="N417" s="50">
        <v>5.75</v>
      </c>
      <c r="O417" s="2">
        <f t="shared" si="12"/>
        <v>7.125</v>
      </c>
      <c r="P417" s="55"/>
      <c r="Q417" s="56"/>
      <c r="R417" s="2">
        <f t="shared" si="13"/>
        <v>0</v>
      </c>
      <c r="S417" s="55"/>
      <c r="T417" s="57"/>
      <c r="U417" s="57"/>
      <c r="V417" s="57" t="e">
        <f>AVERAGE(Tableau2[[#This Row],[1ère composition/10]:[3è composition]])</f>
        <v>#DIV/0!</v>
      </c>
      <c r="W417" s="35"/>
      <c r="X417" s="35"/>
      <c r="Y417" s="35"/>
      <c r="Z417" s="35"/>
      <c r="AA417" s="35"/>
      <c r="AB417" s="35"/>
      <c r="AC417" s="35"/>
      <c r="AD417" s="35"/>
      <c r="AE417" s="35"/>
      <c r="AF417" s="35"/>
      <c r="AG417" s="35"/>
      <c r="AH417" s="35"/>
      <c r="AI417" s="35"/>
      <c r="AJ417" s="35"/>
      <c r="AK417" s="58"/>
      <c r="AL417" s="58"/>
      <c r="AM417" s="58"/>
      <c r="AN417" s="58"/>
      <c r="AO417" s="58"/>
      <c r="AP417" s="58"/>
      <c r="AQ417" s="58"/>
      <c r="AR417" s="58"/>
      <c r="AS417" s="58"/>
      <c r="AT417" s="58"/>
      <c r="AU417" s="35"/>
      <c r="AV417" s="35"/>
      <c r="AW417" s="35"/>
      <c r="AX417" s="35"/>
      <c r="AY417" s="35"/>
      <c r="AZ417" s="35"/>
      <c r="BA417" s="35"/>
      <c r="BB417" s="35"/>
      <c r="BC417" s="35"/>
      <c r="BD417" s="35"/>
      <c r="BE417" s="35"/>
      <c r="BF417" s="35"/>
      <c r="BG417" s="35"/>
      <c r="BH417" s="35"/>
      <c r="BI417" s="35">
        <f>COUNTIF(Tableau2[[#This Row],[Séance 1]:[Séance 38]],"A")</f>
        <v>0</v>
      </c>
      <c r="BJ417" s="35"/>
    </row>
    <row r="418" spans="1:62" hidden="1" x14ac:dyDescent="0.2">
      <c r="A418" s="44" t="s">
        <v>55</v>
      </c>
      <c r="B418" s="44" t="s">
        <v>1236</v>
      </c>
      <c r="C418" s="59">
        <v>39813</v>
      </c>
      <c r="D418" s="44" t="s">
        <v>237</v>
      </c>
      <c r="E418" s="44" t="s">
        <v>120</v>
      </c>
      <c r="F418" s="44">
        <v>2020</v>
      </c>
      <c r="G418" s="44">
        <v>11</v>
      </c>
      <c r="H418" s="44">
        <v>188</v>
      </c>
      <c r="I418" s="44" t="str">
        <f>Tableau2[[#This Row],[Annee d''inscription au programme]]&amp;"-"&amp;Tableau2[[#This Row],[Code d''ecole]]&amp;"-"&amp;Tableau2[[#This Row],[Numero HM de la fille]]</f>
        <v>2020-11-188</v>
      </c>
      <c r="J418" s="45" t="s">
        <v>1674</v>
      </c>
      <c r="K418" s="44" t="s">
        <v>374</v>
      </c>
      <c r="L418" s="35" t="s">
        <v>620</v>
      </c>
      <c r="M418" s="35">
        <v>12</v>
      </c>
      <c r="N418" s="35">
        <v>8</v>
      </c>
      <c r="O418" s="35">
        <f t="shared" si="12"/>
        <v>10</v>
      </c>
      <c r="P418" s="35">
        <v>12</v>
      </c>
      <c r="Q418" s="35">
        <v>19.5</v>
      </c>
      <c r="R418" s="35">
        <f t="shared" si="13"/>
        <v>15.75</v>
      </c>
      <c r="S418" s="35"/>
      <c r="T418" s="35"/>
      <c r="U418" s="35"/>
      <c r="V418" s="35" t="e">
        <f>AVERAGE(Tableau2[[#This Row],[1ère composition/10]:[3è composition]])</f>
        <v>#DIV/0!</v>
      </c>
      <c r="W418" s="35"/>
      <c r="X418" s="35"/>
      <c r="Y418" s="35"/>
      <c r="Z418" s="35"/>
      <c r="AA418" s="35"/>
      <c r="AB418" s="35"/>
      <c r="AC418" s="35"/>
      <c r="AD418" s="35"/>
      <c r="AE418" s="35"/>
      <c r="AF418" s="35"/>
      <c r="AG418" s="35"/>
      <c r="AH418" s="35"/>
      <c r="AI418" s="35"/>
      <c r="AJ418" s="35"/>
      <c r="AK418" s="58"/>
      <c r="AL418" s="58"/>
      <c r="AM418" s="58"/>
      <c r="AN418" s="58"/>
      <c r="AO418" s="58"/>
      <c r="AP418" s="58"/>
      <c r="AQ418" s="58"/>
      <c r="AR418" s="58"/>
      <c r="AS418" s="58"/>
      <c r="AT418" s="58"/>
      <c r="AU418" s="35"/>
      <c r="AV418" s="35"/>
      <c r="AW418" s="35"/>
      <c r="AX418" s="35"/>
      <c r="AY418" s="35"/>
      <c r="AZ418" s="35"/>
      <c r="BA418" s="35"/>
      <c r="BB418" s="35"/>
      <c r="BC418" s="35"/>
      <c r="BD418" s="35"/>
      <c r="BE418" s="35"/>
      <c r="BF418" s="35"/>
      <c r="BG418" s="35"/>
      <c r="BH418" s="35"/>
      <c r="BI418" s="35">
        <f>COUNTIF(Tableau2[[#This Row],[Séance 1]:[Séance 38]],"A")</f>
        <v>0</v>
      </c>
      <c r="BJ418" s="35"/>
    </row>
    <row r="419" spans="1:62" hidden="1" x14ac:dyDescent="0.2">
      <c r="A419" s="44" t="s">
        <v>55</v>
      </c>
      <c r="B419" s="44" t="s">
        <v>1237</v>
      </c>
      <c r="C419" s="59">
        <v>40179</v>
      </c>
      <c r="D419" s="44" t="s">
        <v>1195</v>
      </c>
      <c r="E419" s="44" t="s">
        <v>120</v>
      </c>
      <c r="F419" s="44">
        <v>2021</v>
      </c>
      <c r="G419" s="44">
        <v>11</v>
      </c>
      <c r="H419" s="44">
        <v>14</v>
      </c>
      <c r="I419" s="44" t="str">
        <f>Tableau2[[#This Row],[Annee d''inscription au programme]]&amp;"-"&amp;Tableau2[[#This Row],[Code d''ecole]]&amp;"-"&amp;Tableau2[[#This Row],[Numero HM de la fille]]</f>
        <v>2021-11-14</v>
      </c>
      <c r="J419" s="45" t="s">
        <v>1675</v>
      </c>
      <c r="K419" s="44" t="s">
        <v>3505</v>
      </c>
      <c r="L419" s="35" t="s">
        <v>698</v>
      </c>
      <c r="M419" s="35">
        <v>17</v>
      </c>
      <c r="N419" s="35">
        <v>20</v>
      </c>
      <c r="O419" s="35">
        <f t="shared" si="12"/>
        <v>18.5</v>
      </c>
      <c r="P419" s="35">
        <v>20</v>
      </c>
      <c r="Q419" s="35">
        <v>19.5</v>
      </c>
      <c r="R419" s="35">
        <f t="shared" si="13"/>
        <v>19.75</v>
      </c>
      <c r="S419" s="35"/>
      <c r="T419" s="35"/>
      <c r="U419" s="35"/>
      <c r="V419" s="35" t="e">
        <f>AVERAGE(Tableau2[[#This Row],[1ère composition/10]:[3è composition]])</f>
        <v>#DIV/0!</v>
      </c>
      <c r="W419" s="35"/>
      <c r="X419" s="35"/>
      <c r="Y419" s="35"/>
      <c r="Z419" s="35"/>
      <c r="AA419" s="35"/>
      <c r="AB419" s="35"/>
      <c r="AC419" s="35"/>
      <c r="AD419" s="35"/>
      <c r="AE419" s="35"/>
      <c r="AF419" s="35"/>
      <c r="AG419" s="35"/>
      <c r="AH419" s="35"/>
      <c r="AI419" s="35"/>
      <c r="AJ419" s="35"/>
      <c r="AK419" s="58"/>
      <c r="AL419" s="58"/>
      <c r="AM419" s="58"/>
      <c r="AN419" s="58"/>
      <c r="AO419" s="58"/>
      <c r="AP419" s="58"/>
      <c r="AQ419" s="58"/>
      <c r="AR419" s="58"/>
      <c r="AS419" s="58"/>
      <c r="AT419" s="58"/>
      <c r="AU419" s="35"/>
      <c r="AV419" s="35"/>
      <c r="AW419" s="35"/>
      <c r="AX419" s="35"/>
      <c r="AY419" s="35"/>
      <c r="AZ419" s="35"/>
      <c r="BA419" s="35"/>
      <c r="BB419" s="35"/>
      <c r="BC419" s="35"/>
      <c r="BD419" s="35"/>
      <c r="BE419" s="35"/>
      <c r="BF419" s="35"/>
      <c r="BG419" s="35"/>
      <c r="BH419" s="35"/>
      <c r="BI419" s="35">
        <f>COUNTIF(Tableau2[[#This Row],[Séance 1]:[Séance 38]],"A")</f>
        <v>0</v>
      </c>
      <c r="BJ419" s="35"/>
    </row>
    <row r="420" spans="1:62" hidden="1" x14ac:dyDescent="0.2">
      <c r="A420" s="44" t="s">
        <v>55</v>
      </c>
      <c r="B420" s="44" t="s">
        <v>3901</v>
      </c>
      <c r="C420" s="59">
        <v>40178</v>
      </c>
      <c r="D420" s="44" t="s">
        <v>3902</v>
      </c>
      <c r="E420" s="44" t="s">
        <v>120</v>
      </c>
      <c r="F420" s="44">
        <v>2021</v>
      </c>
      <c r="G420" s="44">
        <v>11</v>
      </c>
      <c r="H420" s="44">
        <v>15</v>
      </c>
      <c r="I420" s="44" t="str">
        <f>Tableau2[[#This Row],[Annee d''inscription au programme]]&amp;"-"&amp;Tableau2[[#This Row],[Code d''ecole]]&amp;"-"&amp;Tableau2[[#This Row],[Numero HM de la fille]]</f>
        <v>2021-11-15</v>
      </c>
      <c r="J420" s="45" t="s">
        <v>1676</v>
      </c>
      <c r="K420" s="44" t="s">
        <v>3505</v>
      </c>
      <c r="L420" s="35" t="s">
        <v>698</v>
      </c>
      <c r="M420" s="35">
        <v>10</v>
      </c>
      <c r="N420" s="35">
        <v>4.25</v>
      </c>
      <c r="O420" s="35">
        <f t="shared" si="12"/>
        <v>7.125</v>
      </c>
      <c r="P420" s="35">
        <v>13</v>
      </c>
      <c r="Q420" s="35">
        <v>9</v>
      </c>
      <c r="R420" s="35">
        <f t="shared" si="13"/>
        <v>11</v>
      </c>
      <c r="S420" s="35"/>
      <c r="T420" s="35"/>
      <c r="U420" s="35"/>
      <c r="V420" s="35" t="e">
        <f>AVERAGE(Tableau2[[#This Row],[1ère composition/10]:[3è composition]])</f>
        <v>#DIV/0!</v>
      </c>
      <c r="W420" s="35"/>
      <c r="X420" s="35"/>
      <c r="Y420" s="35"/>
      <c r="Z420" s="35"/>
      <c r="AA420" s="35"/>
      <c r="AB420" s="35"/>
      <c r="AC420" s="35"/>
      <c r="AD420" s="35"/>
      <c r="AE420" s="35"/>
      <c r="AF420" s="35"/>
      <c r="AG420" s="35"/>
      <c r="AH420" s="35"/>
      <c r="AI420" s="35"/>
      <c r="AJ420" s="35"/>
      <c r="AK420" s="58"/>
      <c r="AL420" s="58"/>
      <c r="AM420" s="58"/>
      <c r="AN420" s="58"/>
      <c r="AO420" s="58"/>
      <c r="AP420" s="58"/>
      <c r="AQ420" s="58"/>
      <c r="AR420" s="58"/>
      <c r="AS420" s="58"/>
      <c r="AT420" s="58"/>
      <c r="AU420" s="35"/>
      <c r="AV420" s="35"/>
      <c r="AW420" s="35"/>
      <c r="AX420" s="35"/>
      <c r="AY420" s="35"/>
      <c r="AZ420" s="35"/>
      <c r="BA420" s="35"/>
      <c r="BB420" s="35"/>
      <c r="BC420" s="35"/>
      <c r="BD420" s="35"/>
      <c r="BE420" s="35"/>
      <c r="BF420" s="35"/>
      <c r="BG420" s="35"/>
      <c r="BH420" s="35"/>
      <c r="BI420" s="35">
        <f>COUNTIF(Tableau2[[#This Row],[Séance 1]:[Séance 38]],"A")</f>
        <v>0</v>
      </c>
      <c r="BJ420" s="35"/>
    </row>
    <row r="421" spans="1:62" hidden="1" x14ac:dyDescent="0.2">
      <c r="A421" s="44" t="s">
        <v>55</v>
      </c>
      <c r="B421" s="44" t="s">
        <v>401</v>
      </c>
      <c r="C421" s="59">
        <v>39814</v>
      </c>
      <c r="D421" s="44" t="s">
        <v>1249</v>
      </c>
      <c r="E421" s="44" t="s">
        <v>120</v>
      </c>
      <c r="F421" s="44">
        <v>2021</v>
      </c>
      <c r="G421" s="44">
        <v>11</v>
      </c>
      <c r="H421" s="54">
        <v>16</v>
      </c>
      <c r="I421" s="54" t="str">
        <f>Tableau2[[#This Row],[Annee d''inscription au programme]]&amp;"-"&amp;Tableau2[[#This Row],[Code d''ecole]]&amp;"-"&amp;Tableau2[[#This Row],[Numero HM de la fille]]</f>
        <v>2021-11-16</v>
      </c>
      <c r="J421" s="45" t="s">
        <v>1677</v>
      </c>
      <c r="K421" s="58" t="s">
        <v>3505</v>
      </c>
      <c r="L421" s="35" t="s">
        <v>698</v>
      </c>
      <c r="M421" s="35">
        <v>12</v>
      </c>
      <c r="N421" s="50">
        <v>7</v>
      </c>
      <c r="O421" s="2">
        <f t="shared" si="12"/>
        <v>9.5</v>
      </c>
      <c r="P421" s="55"/>
      <c r="Q421" s="56"/>
      <c r="R421" s="2">
        <f t="shared" si="13"/>
        <v>0</v>
      </c>
      <c r="S421" s="55"/>
      <c r="T421" s="57"/>
      <c r="U421" s="57"/>
      <c r="V421" s="57" t="e">
        <f>AVERAGE(Tableau2[[#This Row],[1ère composition/10]:[3è composition]])</f>
        <v>#DIV/0!</v>
      </c>
      <c r="W421" s="35"/>
      <c r="X421" s="35"/>
      <c r="Y421" s="35"/>
      <c r="Z421" s="35"/>
      <c r="AA421" s="35"/>
      <c r="AB421" s="35"/>
      <c r="AC421" s="35"/>
      <c r="AD421" s="35"/>
      <c r="AE421" s="35"/>
      <c r="AF421" s="35"/>
      <c r="AG421" s="35"/>
      <c r="AH421" s="35"/>
      <c r="AI421" s="35"/>
      <c r="AJ421" s="35"/>
      <c r="AK421" s="58"/>
      <c r="AL421" s="58"/>
      <c r="AM421" s="58"/>
      <c r="AN421" s="58"/>
      <c r="AO421" s="58"/>
      <c r="AP421" s="58"/>
      <c r="AQ421" s="58"/>
      <c r="AR421" s="58"/>
      <c r="AS421" s="58"/>
      <c r="AT421" s="58"/>
      <c r="AU421" s="35"/>
      <c r="AV421" s="35"/>
      <c r="AW421" s="35"/>
      <c r="AX421" s="35"/>
      <c r="AY421" s="35"/>
      <c r="AZ421" s="35"/>
      <c r="BA421" s="35"/>
      <c r="BB421" s="35"/>
      <c r="BC421" s="35"/>
      <c r="BD421" s="35"/>
      <c r="BE421" s="35"/>
      <c r="BF421" s="35"/>
      <c r="BG421" s="35"/>
      <c r="BH421" s="35"/>
      <c r="BI421" s="35">
        <f>COUNTIF(Tableau2[[#This Row],[Séance 1]:[Séance 38]],"A")</f>
        <v>0</v>
      </c>
      <c r="BJ421" s="35"/>
    </row>
    <row r="422" spans="1:62" hidden="1" x14ac:dyDescent="0.2">
      <c r="A422" s="64" t="s">
        <v>55</v>
      </c>
      <c r="B422" s="64" t="s">
        <v>1238</v>
      </c>
      <c r="C422" s="83">
        <v>39478</v>
      </c>
      <c r="D422" s="64" t="s">
        <v>267</v>
      </c>
      <c r="E422" s="64" t="s">
        <v>120</v>
      </c>
      <c r="F422" s="64">
        <v>2020</v>
      </c>
      <c r="G422" s="64">
        <v>11</v>
      </c>
      <c r="H422" s="64">
        <v>189</v>
      </c>
      <c r="I422" s="64" t="str">
        <f>Tableau2[[#This Row],[Annee d''inscription au programme]]&amp;"-"&amp;Tableau2[[#This Row],[Code d''ecole]]&amp;"-"&amp;Tableau2[[#This Row],[Numero HM de la fille]]</f>
        <v>2020-11-189</v>
      </c>
      <c r="J422" s="65" t="s">
        <v>1678</v>
      </c>
      <c r="K422" s="64" t="s">
        <v>374</v>
      </c>
      <c r="L422" s="67" t="s">
        <v>620</v>
      </c>
      <c r="M422" s="67">
        <v>15.5</v>
      </c>
      <c r="N422" s="67">
        <v>19.75</v>
      </c>
      <c r="O422" s="67">
        <f t="shared" si="12"/>
        <v>17.625</v>
      </c>
      <c r="P422" s="67">
        <v>18.5</v>
      </c>
      <c r="Q422" s="67">
        <v>10.25</v>
      </c>
      <c r="R422" s="67">
        <f t="shared" si="13"/>
        <v>14.375</v>
      </c>
      <c r="S422" s="67"/>
      <c r="T422" s="67"/>
      <c r="U422" s="67"/>
      <c r="V422" s="67" t="e">
        <f>AVERAGE(Tableau2[[#This Row],[1ère composition/10]:[3è composition]])</f>
        <v>#DIV/0!</v>
      </c>
      <c r="W422" s="67"/>
      <c r="X422" s="67"/>
      <c r="Y422" s="67"/>
      <c r="Z422" s="67"/>
      <c r="AA422" s="67"/>
      <c r="AB422" s="67"/>
      <c r="AC422" s="67"/>
      <c r="AD422" s="67"/>
      <c r="AE422" s="67"/>
      <c r="AF422" s="67"/>
      <c r="AG422" s="67"/>
      <c r="AH422" s="67"/>
      <c r="AI422" s="67"/>
      <c r="AJ422" s="67"/>
      <c r="AK422" s="84"/>
      <c r="AL422" s="84"/>
      <c r="AM422" s="84"/>
      <c r="AN422" s="84"/>
      <c r="AO422" s="84"/>
      <c r="AP422" s="84"/>
      <c r="AQ422" s="84"/>
      <c r="AR422" s="84"/>
      <c r="AS422" s="84"/>
      <c r="AT422" s="84"/>
      <c r="AU422" s="67"/>
      <c r="AV422" s="67"/>
      <c r="AW422" s="67"/>
      <c r="AX422" s="67"/>
      <c r="AY422" s="67"/>
      <c r="AZ422" s="67"/>
      <c r="BA422" s="67"/>
      <c r="BB422" s="67"/>
      <c r="BC422" s="67"/>
      <c r="BD422" s="67"/>
      <c r="BE422" s="67"/>
      <c r="BF422" s="67"/>
      <c r="BG422" s="67"/>
      <c r="BH422" s="67"/>
      <c r="BI422" s="67">
        <f>COUNTIF(Tableau2[[#This Row],[Séance 1]:[Séance 38]],"A")</f>
        <v>0</v>
      </c>
      <c r="BJ422" s="67"/>
    </row>
    <row r="423" spans="1:62" s="1" customFormat="1" hidden="1" x14ac:dyDescent="0.2">
      <c r="A423" s="44" t="s">
        <v>55</v>
      </c>
      <c r="B423" s="44" t="s">
        <v>1239</v>
      </c>
      <c r="C423" s="59">
        <v>39454</v>
      </c>
      <c r="D423" s="44" t="s">
        <v>1240</v>
      </c>
      <c r="E423" s="44" t="s">
        <v>120</v>
      </c>
      <c r="F423" s="44">
        <v>2021</v>
      </c>
      <c r="G423" s="44">
        <v>11</v>
      </c>
      <c r="H423" s="44">
        <v>17</v>
      </c>
      <c r="I423" s="44" t="str">
        <f>Tableau2[[#This Row],[Annee d''inscription au programme]]&amp;"-"&amp;Tableau2[[#This Row],[Code d''ecole]]&amp;"-"&amp;Tableau2[[#This Row],[Numero HM de la fille]]</f>
        <v>2021-11-17</v>
      </c>
      <c r="J423" s="45" t="s">
        <v>1679</v>
      </c>
      <c r="K423" s="44" t="s">
        <v>3505</v>
      </c>
      <c r="L423" s="35" t="s">
        <v>698</v>
      </c>
      <c r="M423" s="35">
        <v>16</v>
      </c>
      <c r="N423" s="35">
        <v>10.5</v>
      </c>
      <c r="O423" s="35">
        <f t="shared" si="12"/>
        <v>13.25</v>
      </c>
      <c r="P423" s="35">
        <v>20</v>
      </c>
      <c r="Q423" s="35">
        <v>8</v>
      </c>
      <c r="R423" s="35">
        <f t="shared" si="13"/>
        <v>14</v>
      </c>
      <c r="S423" s="35"/>
      <c r="T423" s="35"/>
      <c r="U423" s="35"/>
      <c r="V423" s="35" t="e">
        <f>AVERAGE(Tableau2[[#This Row],[1ère composition/10]:[3è composition]])</f>
        <v>#DIV/0!</v>
      </c>
      <c r="W423" s="35"/>
      <c r="X423" s="35"/>
      <c r="Y423" s="35"/>
      <c r="Z423" s="35"/>
      <c r="AA423" s="35"/>
      <c r="AB423" s="35"/>
      <c r="AC423" s="35"/>
      <c r="AD423" s="35"/>
      <c r="AE423" s="35"/>
      <c r="AF423" s="35"/>
      <c r="AG423" s="35"/>
      <c r="AH423" s="35"/>
      <c r="AI423" s="35"/>
      <c r="AJ423" s="35"/>
      <c r="AK423" s="58"/>
      <c r="AL423" s="58"/>
      <c r="AM423" s="58"/>
      <c r="AN423" s="58"/>
      <c r="AO423" s="58"/>
      <c r="AP423" s="58"/>
      <c r="AQ423" s="58"/>
      <c r="AR423" s="58"/>
      <c r="AS423" s="58"/>
      <c r="AT423" s="58"/>
      <c r="AU423" s="35"/>
      <c r="AV423" s="35"/>
      <c r="AW423" s="35"/>
      <c r="AX423" s="35"/>
      <c r="AY423" s="35"/>
      <c r="AZ423" s="35"/>
      <c r="BA423" s="35"/>
      <c r="BB423" s="35"/>
      <c r="BC423" s="35"/>
      <c r="BD423" s="35"/>
      <c r="BE423" s="35"/>
      <c r="BF423" s="35"/>
      <c r="BG423" s="35"/>
      <c r="BH423" s="35"/>
      <c r="BI423" s="35">
        <f>COUNTIF(Tableau2[[#This Row],[Séance 1]:[Séance 38]],"A")</f>
        <v>0</v>
      </c>
      <c r="BJ423" s="35"/>
    </row>
    <row r="424" spans="1:62" s="1" customFormat="1" hidden="1" x14ac:dyDescent="0.2">
      <c r="A424" s="44" t="s">
        <v>55</v>
      </c>
      <c r="B424" s="44" t="s">
        <v>1241</v>
      </c>
      <c r="C424" s="59">
        <v>40178</v>
      </c>
      <c r="D424" s="44" t="s">
        <v>592</v>
      </c>
      <c r="E424" s="44" t="s">
        <v>120</v>
      </c>
      <c r="F424" s="44">
        <v>2021</v>
      </c>
      <c r="G424" s="44">
        <v>11</v>
      </c>
      <c r="H424" s="44">
        <v>18</v>
      </c>
      <c r="I424" s="44" t="str">
        <f>Tableau2[[#This Row],[Annee d''inscription au programme]]&amp;"-"&amp;Tableau2[[#This Row],[Code d''ecole]]&amp;"-"&amp;Tableau2[[#This Row],[Numero HM de la fille]]</f>
        <v>2021-11-18</v>
      </c>
      <c r="J424" s="45" t="s">
        <v>1680</v>
      </c>
      <c r="K424" s="44" t="s">
        <v>3505</v>
      </c>
      <c r="L424" s="35" t="s">
        <v>698</v>
      </c>
      <c r="M424" s="35">
        <v>5.5</v>
      </c>
      <c r="N424" s="35">
        <v>5.5</v>
      </c>
      <c r="O424" s="35">
        <f t="shared" si="12"/>
        <v>5.5</v>
      </c>
      <c r="P424" s="35">
        <v>16</v>
      </c>
      <c r="Q424" s="35">
        <v>11</v>
      </c>
      <c r="R424" s="35">
        <f t="shared" si="13"/>
        <v>13.5</v>
      </c>
      <c r="S424" s="35"/>
      <c r="T424" s="35"/>
      <c r="U424" s="35"/>
      <c r="V424" s="35" t="e">
        <f>AVERAGE(Tableau2[[#This Row],[1ère composition/10]:[3è composition]])</f>
        <v>#DIV/0!</v>
      </c>
      <c r="W424" s="35"/>
      <c r="X424" s="35"/>
      <c r="Y424" s="35"/>
      <c r="Z424" s="35"/>
      <c r="AA424" s="35"/>
      <c r="AB424" s="35"/>
      <c r="AC424" s="35"/>
      <c r="AD424" s="35"/>
      <c r="AE424" s="35"/>
      <c r="AF424" s="35"/>
      <c r="AG424" s="35"/>
      <c r="AH424" s="35"/>
      <c r="AI424" s="35"/>
      <c r="AJ424" s="35"/>
      <c r="AK424" s="58"/>
      <c r="AL424" s="58"/>
      <c r="AM424" s="58"/>
      <c r="AN424" s="58"/>
      <c r="AO424" s="58"/>
      <c r="AP424" s="58"/>
      <c r="AQ424" s="58"/>
      <c r="AR424" s="58"/>
      <c r="AS424" s="58"/>
      <c r="AT424" s="58"/>
      <c r="AU424" s="35"/>
      <c r="AV424" s="35"/>
      <c r="AW424" s="35"/>
      <c r="AX424" s="35"/>
      <c r="AY424" s="35"/>
      <c r="AZ424" s="35"/>
      <c r="BA424" s="35"/>
      <c r="BB424" s="35"/>
      <c r="BC424" s="35"/>
      <c r="BD424" s="35"/>
      <c r="BE424" s="35"/>
      <c r="BF424" s="35"/>
      <c r="BG424" s="35"/>
      <c r="BH424" s="35"/>
      <c r="BI424" s="35">
        <f>COUNTIF(Tableau2[[#This Row],[Séance 1]:[Séance 38]],"A")</f>
        <v>0</v>
      </c>
      <c r="BJ424" s="35"/>
    </row>
    <row r="425" spans="1:62" s="1" customFormat="1" hidden="1" x14ac:dyDescent="0.2">
      <c r="A425" s="44" t="s">
        <v>55</v>
      </c>
      <c r="B425" s="44" t="s">
        <v>1242</v>
      </c>
      <c r="C425" s="59">
        <v>39881</v>
      </c>
      <c r="D425" s="44" t="s">
        <v>254</v>
      </c>
      <c r="E425" s="44" t="s">
        <v>120</v>
      </c>
      <c r="F425" s="44">
        <v>2021</v>
      </c>
      <c r="G425" s="44">
        <v>11</v>
      </c>
      <c r="H425" s="44">
        <v>19</v>
      </c>
      <c r="I425" s="44" t="str">
        <f>Tableau2[[#This Row],[Annee d''inscription au programme]]&amp;"-"&amp;Tableau2[[#This Row],[Code d''ecole]]&amp;"-"&amp;Tableau2[[#This Row],[Numero HM de la fille]]</f>
        <v>2021-11-19</v>
      </c>
      <c r="J425" s="45" t="s">
        <v>1681</v>
      </c>
      <c r="K425" s="44" t="s">
        <v>3505</v>
      </c>
      <c r="L425" s="35" t="s">
        <v>698</v>
      </c>
      <c r="M425" s="35">
        <v>9.5</v>
      </c>
      <c r="N425" s="35">
        <v>5.25</v>
      </c>
      <c r="O425" s="35">
        <f t="shared" si="12"/>
        <v>7.375</v>
      </c>
      <c r="P425" s="35">
        <v>15</v>
      </c>
      <c r="Q425" s="35">
        <v>14.5</v>
      </c>
      <c r="R425" s="35">
        <f t="shared" si="13"/>
        <v>14.75</v>
      </c>
      <c r="S425" s="35"/>
      <c r="T425" s="35"/>
      <c r="U425" s="35"/>
      <c r="V425" s="35" t="e">
        <f>AVERAGE(Tableau2[[#This Row],[1ère composition/10]:[3è composition]])</f>
        <v>#DIV/0!</v>
      </c>
      <c r="W425" s="35"/>
      <c r="X425" s="35"/>
      <c r="Y425" s="35"/>
      <c r="Z425" s="35"/>
      <c r="AA425" s="35"/>
      <c r="AB425" s="35"/>
      <c r="AC425" s="35"/>
      <c r="AD425" s="35"/>
      <c r="AE425" s="35"/>
      <c r="AF425" s="35"/>
      <c r="AG425" s="35"/>
      <c r="AH425" s="35"/>
      <c r="AI425" s="35"/>
      <c r="AJ425" s="35"/>
      <c r="AK425" s="58"/>
      <c r="AL425" s="58"/>
      <c r="AM425" s="58"/>
      <c r="AN425" s="58"/>
      <c r="AO425" s="58"/>
      <c r="AP425" s="58"/>
      <c r="AQ425" s="58"/>
      <c r="AR425" s="58"/>
      <c r="AS425" s="58"/>
      <c r="AT425" s="58"/>
      <c r="AU425" s="35"/>
      <c r="AV425" s="35"/>
      <c r="AW425" s="35"/>
      <c r="AX425" s="35"/>
      <c r="AY425" s="35"/>
      <c r="AZ425" s="35"/>
      <c r="BA425" s="35"/>
      <c r="BB425" s="35"/>
      <c r="BC425" s="35"/>
      <c r="BD425" s="35"/>
      <c r="BE425" s="35"/>
      <c r="BF425" s="35"/>
      <c r="BG425" s="35"/>
      <c r="BH425" s="35"/>
      <c r="BI425" s="35">
        <f>COUNTIF(Tableau2[[#This Row],[Séance 1]:[Séance 38]],"A")</f>
        <v>0</v>
      </c>
      <c r="BJ425" s="35"/>
    </row>
    <row r="426" spans="1:62" s="1" customFormat="1" hidden="1" x14ac:dyDescent="0.2">
      <c r="A426" s="44" t="s">
        <v>55</v>
      </c>
      <c r="B426" s="44" t="s">
        <v>1243</v>
      </c>
      <c r="C426" s="59">
        <v>39929</v>
      </c>
      <c r="D426" s="44" t="s">
        <v>192</v>
      </c>
      <c r="E426" s="44" t="s">
        <v>120</v>
      </c>
      <c r="F426" s="44">
        <v>2021</v>
      </c>
      <c r="G426" s="44">
        <v>11</v>
      </c>
      <c r="H426" s="44">
        <v>20</v>
      </c>
      <c r="I426" s="44" t="str">
        <f>Tableau2[[#This Row],[Annee d''inscription au programme]]&amp;"-"&amp;Tableau2[[#This Row],[Code d''ecole]]&amp;"-"&amp;Tableau2[[#This Row],[Numero HM de la fille]]</f>
        <v>2021-11-20</v>
      </c>
      <c r="J426" s="45" t="s">
        <v>1682</v>
      </c>
      <c r="K426" s="44" t="s">
        <v>3505</v>
      </c>
      <c r="L426" s="35" t="s">
        <v>698</v>
      </c>
      <c r="M426" s="35">
        <v>9</v>
      </c>
      <c r="N426" s="35">
        <v>17.75</v>
      </c>
      <c r="O426" s="35">
        <f t="shared" si="12"/>
        <v>13.375</v>
      </c>
      <c r="P426" s="35">
        <v>16</v>
      </c>
      <c r="Q426" s="35">
        <v>19</v>
      </c>
      <c r="R426" s="35">
        <f t="shared" si="13"/>
        <v>17.5</v>
      </c>
      <c r="S426" s="35"/>
      <c r="T426" s="35"/>
      <c r="U426" s="35"/>
      <c r="V426" s="35" t="e">
        <f>AVERAGE(Tableau2[[#This Row],[1ère composition/10]:[3è composition]])</f>
        <v>#DIV/0!</v>
      </c>
      <c r="W426" s="35"/>
      <c r="X426" s="35"/>
      <c r="Y426" s="35"/>
      <c r="Z426" s="35"/>
      <c r="AA426" s="35"/>
      <c r="AB426" s="35"/>
      <c r="AC426" s="35"/>
      <c r="AD426" s="35"/>
      <c r="AE426" s="35"/>
      <c r="AF426" s="35"/>
      <c r="AG426" s="35"/>
      <c r="AH426" s="35"/>
      <c r="AI426" s="35"/>
      <c r="AJ426" s="35"/>
      <c r="AK426" s="58"/>
      <c r="AL426" s="58"/>
      <c r="AM426" s="58"/>
      <c r="AN426" s="58"/>
      <c r="AO426" s="58"/>
      <c r="AP426" s="58"/>
      <c r="AQ426" s="58"/>
      <c r="AR426" s="58"/>
      <c r="AS426" s="58"/>
      <c r="AT426" s="58"/>
      <c r="AU426" s="35"/>
      <c r="AV426" s="35"/>
      <c r="AW426" s="35"/>
      <c r="AX426" s="35"/>
      <c r="AY426" s="35"/>
      <c r="AZ426" s="35"/>
      <c r="BA426" s="35"/>
      <c r="BB426" s="35"/>
      <c r="BC426" s="35"/>
      <c r="BD426" s="35"/>
      <c r="BE426" s="35"/>
      <c r="BF426" s="35"/>
      <c r="BG426" s="35"/>
      <c r="BH426" s="35"/>
      <c r="BI426" s="35">
        <f>COUNTIF(Tableau2[[#This Row],[Séance 1]:[Séance 38]],"A")</f>
        <v>0</v>
      </c>
      <c r="BJ426" s="35"/>
    </row>
    <row r="427" spans="1:62" s="1" customFormat="1" hidden="1" x14ac:dyDescent="0.2">
      <c r="A427" s="44" t="s">
        <v>55</v>
      </c>
      <c r="B427" s="44" t="s">
        <v>2677</v>
      </c>
      <c r="C427" s="59">
        <v>40179</v>
      </c>
      <c r="D427" s="44" t="s">
        <v>2678</v>
      </c>
      <c r="E427" s="44" t="s">
        <v>120</v>
      </c>
      <c r="F427" s="44">
        <v>2021</v>
      </c>
      <c r="G427" s="44">
        <v>11</v>
      </c>
      <c r="H427" s="44">
        <v>21</v>
      </c>
      <c r="I427" s="44" t="str">
        <f>Tableau2[[#This Row],[Annee d''inscription au programme]]&amp;"-"&amp;Tableau2[[#This Row],[Code d''ecole]]&amp;"-"&amp;Tableau2[[#This Row],[Numero HM de la fille]]</f>
        <v>2021-11-21</v>
      </c>
      <c r="J427" s="45" t="s">
        <v>1683</v>
      </c>
      <c r="K427" s="58" t="s">
        <v>3505</v>
      </c>
      <c r="L427" s="35" t="s">
        <v>698</v>
      </c>
      <c r="M427" s="35">
        <v>13.5</v>
      </c>
      <c r="N427" s="35">
        <v>20</v>
      </c>
      <c r="O427" s="35">
        <f t="shared" si="12"/>
        <v>16.75</v>
      </c>
      <c r="P427" s="35">
        <v>13.5</v>
      </c>
      <c r="Q427" s="35">
        <v>16.5</v>
      </c>
      <c r="R427" s="35">
        <f t="shared" si="13"/>
        <v>15</v>
      </c>
      <c r="S427" s="35"/>
      <c r="T427" s="35"/>
      <c r="U427" s="35"/>
      <c r="V427" s="35" t="e">
        <f>AVERAGE(Tableau2[[#This Row],[1ère composition/10]:[3è composition]])</f>
        <v>#DIV/0!</v>
      </c>
      <c r="W427" s="35"/>
      <c r="X427" s="35"/>
      <c r="Y427" s="35"/>
      <c r="Z427" s="35"/>
      <c r="AA427" s="35"/>
      <c r="AB427" s="35"/>
      <c r="AC427" s="35"/>
      <c r="AD427" s="35"/>
      <c r="AE427" s="35"/>
      <c r="AF427" s="35"/>
      <c r="AG427" s="35"/>
      <c r="AH427" s="35"/>
      <c r="AI427" s="35"/>
      <c r="AJ427" s="35"/>
      <c r="AK427" s="58"/>
      <c r="AL427" s="58"/>
      <c r="AM427" s="58"/>
      <c r="AN427" s="58"/>
      <c r="AO427" s="58"/>
      <c r="AP427" s="58"/>
      <c r="AQ427" s="58"/>
      <c r="AR427" s="58"/>
      <c r="AS427" s="58"/>
      <c r="AT427" s="58"/>
      <c r="AU427" s="35"/>
      <c r="AV427" s="35"/>
      <c r="AW427" s="35"/>
      <c r="AX427" s="35"/>
      <c r="AY427" s="35"/>
      <c r="AZ427" s="35"/>
      <c r="BA427" s="35"/>
      <c r="BB427" s="35"/>
      <c r="BC427" s="35"/>
      <c r="BD427" s="35"/>
      <c r="BE427" s="35"/>
      <c r="BF427" s="35"/>
      <c r="BG427" s="35"/>
      <c r="BH427" s="35"/>
      <c r="BI427" s="35">
        <f>COUNTIF(Tableau2[[#This Row],[Séance 1]:[Séance 38]],"A")</f>
        <v>0</v>
      </c>
      <c r="BJ427" s="35"/>
    </row>
    <row r="428" spans="1:62" s="1" customFormat="1" hidden="1" x14ac:dyDescent="0.2">
      <c r="A428" s="44" t="s">
        <v>55</v>
      </c>
      <c r="B428" s="44" t="s">
        <v>2679</v>
      </c>
      <c r="C428" s="59">
        <v>39647</v>
      </c>
      <c r="D428" s="44" t="s">
        <v>2680</v>
      </c>
      <c r="E428" s="44" t="s">
        <v>120</v>
      </c>
      <c r="F428" s="44">
        <v>2020</v>
      </c>
      <c r="G428" s="44">
        <v>11</v>
      </c>
      <c r="H428" s="44">
        <v>190</v>
      </c>
      <c r="I428" s="44" t="str">
        <f>Tableau2[[#This Row],[Annee d''inscription au programme]]&amp;"-"&amp;Tableau2[[#This Row],[Code d''ecole]]&amp;"-"&amp;Tableau2[[#This Row],[Numero HM de la fille]]</f>
        <v>2020-11-190</v>
      </c>
      <c r="J428" s="45" t="s">
        <v>1684</v>
      </c>
      <c r="K428" s="58" t="s">
        <v>374</v>
      </c>
      <c r="L428" s="35" t="s">
        <v>620</v>
      </c>
      <c r="M428" s="35">
        <v>0</v>
      </c>
      <c r="N428" s="35">
        <v>0</v>
      </c>
      <c r="O428" s="35">
        <f t="shared" si="12"/>
        <v>0</v>
      </c>
      <c r="P428" s="35"/>
      <c r="Q428" s="35"/>
      <c r="R428" s="35">
        <f t="shared" si="13"/>
        <v>0</v>
      </c>
      <c r="S428" s="35"/>
      <c r="T428" s="35"/>
      <c r="U428" s="35"/>
      <c r="V428" s="35" t="e">
        <f>AVERAGE(Tableau2[[#This Row],[1ère composition/10]:[3è composition]])</f>
        <v>#DIV/0!</v>
      </c>
      <c r="W428" s="35"/>
      <c r="X428" s="35"/>
      <c r="Y428" s="35"/>
      <c r="Z428" s="35"/>
      <c r="AA428" s="35"/>
      <c r="AB428" s="35"/>
      <c r="AC428" s="35"/>
      <c r="AD428" s="35"/>
      <c r="AE428" s="35"/>
      <c r="AF428" s="35"/>
      <c r="AG428" s="35"/>
      <c r="AH428" s="35"/>
      <c r="AI428" s="35"/>
      <c r="AJ428" s="35"/>
      <c r="AK428" s="58"/>
      <c r="AL428" s="58"/>
      <c r="AM428" s="58"/>
      <c r="AN428" s="58"/>
      <c r="AO428" s="58"/>
      <c r="AP428" s="58"/>
      <c r="AQ428" s="58"/>
      <c r="AR428" s="58"/>
      <c r="AS428" s="58"/>
      <c r="AT428" s="58"/>
      <c r="AU428" s="35"/>
      <c r="AV428" s="35"/>
      <c r="AW428" s="35"/>
      <c r="AX428" s="35"/>
      <c r="AY428" s="35"/>
      <c r="AZ428" s="35"/>
      <c r="BA428" s="35"/>
      <c r="BB428" s="35"/>
      <c r="BC428" s="35"/>
      <c r="BD428" s="35"/>
      <c r="BE428" s="35"/>
      <c r="BF428" s="35"/>
      <c r="BG428" s="35"/>
      <c r="BH428" s="35"/>
      <c r="BI428" s="35">
        <f>COUNTIF(Tableau2[[#This Row],[Séance 1]:[Séance 38]],"A")</f>
        <v>0</v>
      </c>
      <c r="BJ428" s="35"/>
    </row>
    <row r="429" spans="1:62" s="1" customFormat="1" hidden="1" x14ac:dyDescent="0.2">
      <c r="A429" s="44" t="s">
        <v>55</v>
      </c>
      <c r="B429" s="44" t="s">
        <v>2681</v>
      </c>
      <c r="C429" s="59">
        <v>40178</v>
      </c>
      <c r="D429" s="44" t="s">
        <v>2682</v>
      </c>
      <c r="E429" s="44" t="s">
        <v>120</v>
      </c>
      <c r="F429" s="44">
        <v>2021</v>
      </c>
      <c r="G429" s="44">
        <v>11</v>
      </c>
      <c r="H429" s="44">
        <v>22</v>
      </c>
      <c r="I429" s="44" t="str">
        <f>Tableau2[[#This Row],[Annee d''inscription au programme]]&amp;"-"&amp;Tableau2[[#This Row],[Code d''ecole]]&amp;"-"&amp;Tableau2[[#This Row],[Numero HM de la fille]]</f>
        <v>2021-11-22</v>
      </c>
      <c r="J429" s="45" t="s">
        <v>1685</v>
      </c>
      <c r="K429" s="58" t="s">
        <v>3505</v>
      </c>
      <c r="L429" s="35" t="s">
        <v>698</v>
      </c>
      <c r="M429" s="35">
        <v>0</v>
      </c>
      <c r="N429" s="35">
        <v>0</v>
      </c>
      <c r="O429" s="35">
        <f t="shared" si="12"/>
        <v>0</v>
      </c>
      <c r="P429" s="35"/>
      <c r="Q429" s="35"/>
      <c r="R429" s="35">
        <f t="shared" si="13"/>
        <v>0</v>
      </c>
      <c r="S429" s="35"/>
      <c r="T429" s="35"/>
      <c r="U429" s="35"/>
      <c r="V429" s="35" t="e">
        <f>AVERAGE(Tableau2[[#This Row],[1ère composition/10]:[3è composition]])</f>
        <v>#DIV/0!</v>
      </c>
      <c r="W429" s="35"/>
      <c r="X429" s="35"/>
      <c r="Y429" s="35"/>
      <c r="Z429" s="35"/>
      <c r="AA429" s="35"/>
      <c r="AB429" s="35"/>
      <c r="AC429" s="35"/>
      <c r="AD429" s="35"/>
      <c r="AE429" s="35"/>
      <c r="AF429" s="35"/>
      <c r="AG429" s="35"/>
      <c r="AH429" s="35"/>
      <c r="AI429" s="35"/>
      <c r="AJ429" s="35"/>
      <c r="AK429" s="58"/>
      <c r="AL429" s="58"/>
      <c r="AM429" s="58"/>
      <c r="AN429" s="58"/>
      <c r="AO429" s="58"/>
      <c r="AP429" s="58"/>
      <c r="AQ429" s="58"/>
      <c r="AR429" s="58"/>
      <c r="AS429" s="58"/>
      <c r="AT429" s="58"/>
      <c r="AU429" s="35"/>
      <c r="AV429" s="35"/>
      <c r="AW429" s="35"/>
      <c r="AX429" s="35"/>
      <c r="AY429" s="35"/>
      <c r="AZ429" s="35"/>
      <c r="BA429" s="35"/>
      <c r="BB429" s="35"/>
      <c r="BC429" s="35"/>
      <c r="BD429" s="35"/>
      <c r="BE429" s="35"/>
      <c r="BF429" s="35"/>
      <c r="BG429" s="35"/>
      <c r="BH429" s="35"/>
      <c r="BI429" s="35">
        <f>COUNTIF(Tableau2[[#This Row],[Séance 1]:[Séance 38]],"A")</f>
        <v>0</v>
      </c>
      <c r="BJ429" s="35"/>
    </row>
    <row r="430" spans="1:62" s="1" customFormat="1" hidden="1" x14ac:dyDescent="0.2">
      <c r="A430" s="44" t="s">
        <v>55</v>
      </c>
      <c r="B430" s="44" t="s">
        <v>1244</v>
      </c>
      <c r="C430" s="59">
        <v>39748</v>
      </c>
      <c r="D430" s="44" t="s">
        <v>239</v>
      </c>
      <c r="E430" s="44" t="s">
        <v>120</v>
      </c>
      <c r="F430" s="44">
        <v>2020</v>
      </c>
      <c r="G430" s="44">
        <v>11</v>
      </c>
      <c r="H430" s="44">
        <v>213</v>
      </c>
      <c r="I430" s="44" t="str">
        <f>Tableau2[[#This Row],[Annee d''inscription au programme]]&amp;"-"&amp;Tableau2[[#This Row],[Code d''ecole]]&amp;"-"&amp;Tableau2[[#This Row],[Numero HM de la fille]]</f>
        <v>2020-11-213</v>
      </c>
      <c r="J430" s="45" t="s">
        <v>1686</v>
      </c>
      <c r="K430" s="44" t="s">
        <v>374</v>
      </c>
      <c r="L430" s="35" t="s">
        <v>620</v>
      </c>
      <c r="M430" s="35">
        <v>5</v>
      </c>
      <c r="N430" s="35">
        <v>2</v>
      </c>
      <c r="O430" s="35">
        <f t="shared" si="12"/>
        <v>3.5</v>
      </c>
      <c r="P430" s="35">
        <v>15.5</v>
      </c>
      <c r="Q430" s="35">
        <v>5.5</v>
      </c>
      <c r="R430" s="35">
        <f t="shared" si="13"/>
        <v>10.5</v>
      </c>
      <c r="S430" s="35"/>
      <c r="T430" s="35"/>
      <c r="U430" s="35"/>
      <c r="V430" s="35" t="e">
        <f>AVERAGE(Tableau2[[#This Row],[1ère composition/10]:[3è composition]])</f>
        <v>#DIV/0!</v>
      </c>
      <c r="W430" s="35"/>
      <c r="X430" s="35"/>
      <c r="Y430" s="35"/>
      <c r="Z430" s="35"/>
      <c r="AA430" s="35"/>
      <c r="AB430" s="35"/>
      <c r="AC430" s="35"/>
      <c r="AD430" s="35"/>
      <c r="AE430" s="35"/>
      <c r="AF430" s="35"/>
      <c r="AG430" s="35"/>
      <c r="AH430" s="35"/>
      <c r="AI430" s="35"/>
      <c r="AJ430" s="35"/>
      <c r="AK430" s="58"/>
      <c r="AL430" s="58"/>
      <c r="AM430" s="58"/>
      <c r="AN430" s="58"/>
      <c r="AO430" s="58"/>
      <c r="AP430" s="58"/>
      <c r="AQ430" s="58"/>
      <c r="AR430" s="58"/>
      <c r="AS430" s="58"/>
      <c r="AT430" s="58"/>
      <c r="AU430" s="35"/>
      <c r="AV430" s="35"/>
      <c r="AW430" s="35"/>
      <c r="AX430" s="35"/>
      <c r="AY430" s="35"/>
      <c r="AZ430" s="35"/>
      <c r="BA430" s="35"/>
      <c r="BB430" s="35"/>
      <c r="BC430" s="35"/>
      <c r="BD430" s="35"/>
      <c r="BE430" s="35"/>
      <c r="BF430" s="35"/>
      <c r="BG430" s="35"/>
      <c r="BH430" s="35"/>
      <c r="BI430" s="35">
        <f>COUNTIF(Tableau2[[#This Row],[Séance 1]:[Séance 38]],"A")</f>
        <v>0</v>
      </c>
      <c r="BJ430" s="35"/>
    </row>
    <row r="431" spans="1:62" s="1" customFormat="1" hidden="1" x14ac:dyDescent="0.2">
      <c r="A431" s="44" t="s">
        <v>55</v>
      </c>
      <c r="B431" s="44" t="s">
        <v>2683</v>
      </c>
      <c r="C431" s="59">
        <v>39814</v>
      </c>
      <c r="D431" s="44" t="s">
        <v>262</v>
      </c>
      <c r="E431" s="44" t="s">
        <v>120</v>
      </c>
      <c r="F431" s="44">
        <v>2021</v>
      </c>
      <c r="G431" s="44">
        <v>11</v>
      </c>
      <c r="H431" s="44">
        <v>23</v>
      </c>
      <c r="I431" s="44" t="str">
        <f>Tableau2[[#This Row],[Annee d''inscription au programme]]&amp;"-"&amp;Tableau2[[#This Row],[Code d''ecole]]&amp;"-"&amp;Tableau2[[#This Row],[Numero HM de la fille]]</f>
        <v>2021-11-23</v>
      </c>
      <c r="J431" s="45" t="s">
        <v>1687</v>
      </c>
      <c r="K431" s="44" t="s">
        <v>3505</v>
      </c>
      <c r="L431" s="35" t="s">
        <v>698</v>
      </c>
      <c r="M431" s="35">
        <v>8</v>
      </c>
      <c r="N431" s="35">
        <v>8.5</v>
      </c>
      <c r="O431" s="35">
        <f t="shared" si="12"/>
        <v>8.25</v>
      </c>
      <c r="P431" s="35">
        <v>17.5</v>
      </c>
      <c r="Q431" s="35">
        <v>16.25</v>
      </c>
      <c r="R431" s="35">
        <f t="shared" si="13"/>
        <v>16.875</v>
      </c>
      <c r="S431" s="35"/>
      <c r="T431" s="35"/>
      <c r="U431" s="35"/>
      <c r="V431" s="35" t="e">
        <f>AVERAGE(Tableau2[[#This Row],[1ère composition/10]:[3è composition]])</f>
        <v>#DIV/0!</v>
      </c>
      <c r="W431" s="35"/>
      <c r="X431" s="35"/>
      <c r="Y431" s="35"/>
      <c r="Z431" s="35"/>
      <c r="AA431" s="35"/>
      <c r="AB431" s="35"/>
      <c r="AC431" s="35"/>
      <c r="AD431" s="35"/>
      <c r="AE431" s="35"/>
      <c r="AF431" s="35"/>
      <c r="AG431" s="35"/>
      <c r="AH431" s="35"/>
      <c r="AI431" s="35"/>
      <c r="AJ431" s="35"/>
      <c r="AK431" s="58"/>
      <c r="AL431" s="58"/>
      <c r="AM431" s="58"/>
      <c r="AN431" s="58"/>
      <c r="AO431" s="58"/>
      <c r="AP431" s="58"/>
      <c r="AQ431" s="58"/>
      <c r="AR431" s="58"/>
      <c r="AS431" s="58"/>
      <c r="AT431" s="58"/>
      <c r="AU431" s="35"/>
      <c r="AV431" s="35"/>
      <c r="AW431" s="35"/>
      <c r="AX431" s="35"/>
      <c r="AY431" s="35"/>
      <c r="AZ431" s="35"/>
      <c r="BA431" s="35"/>
      <c r="BB431" s="35"/>
      <c r="BC431" s="35"/>
      <c r="BD431" s="35"/>
      <c r="BE431" s="35"/>
      <c r="BF431" s="35"/>
      <c r="BG431" s="35"/>
      <c r="BH431" s="35"/>
      <c r="BI431" s="35">
        <f>COUNTIF(Tableau2[[#This Row],[Séance 1]:[Séance 38]],"A")</f>
        <v>0</v>
      </c>
      <c r="BJ431" s="35"/>
    </row>
    <row r="432" spans="1:62" s="1" customFormat="1" hidden="1" x14ac:dyDescent="0.2">
      <c r="A432" s="44" t="s">
        <v>55</v>
      </c>
      <c r="B432" s="44" t="s">
        <v>1245</v>
      </c>
      <c r="C432" s="59">
        <v>40068</v>
      </c>
      <c r="D432" s="44" t="s">
        <v>798</v>
      </c>
      <c r="E432" s="44" t="s">
        <v>120</v>
      </c>
      <c r="F432" s="44">
        <v>2021</v>
      </c>
      <c r="G432" s="44">
        <v>11</v>
      </c>
      <c r="H432" s="44">
        <v>24</v>
      </c>
      <c r="I432" s="44" t="str">
        <f>Tableau2[[#This Row],[Annee d''inscription au programme]]&amp;"-"&amp;Tableau2[[#This Row],[Code d''ecole]]&amp;"-"&amp;Tableau2[[#This Row],[Numero HM de la fille]]</f>
        <v>2021-11-24</v>
      </c>
      <c r="J432" s="45" t="s">
        <v>2686</v>
      </c>
      <c r="K432" s="44" t="s">
        <v>3505</v>
      </c>
      <c r="L432" s="35" t="s">
        <v>698</v>
      </c>
      <c r="M432" s="35">
        <v>13.5</v>
      </c>
      <c r="N432" s="35">
        <v>18.75</v>
      </c>
      <c r="O432" s="35">
        <f t="shared" si="12"/>
        <v>16.125</v>
      </c>
      <c r="P432" s="35"/>
      <c r="Q432" s="35"/>
      <c r="R432" s="35">
        <f t="shared" si="13"/>
        <v>0</v>
      </c>
      <c r="S432" s="35"/>
      <c r="T432" s="35"/>
      <c r="U432" s="35"/>
      <c r="V432" s="35" t="e">
        <f>AVERAGE(Tableau2[[#This Row],[1ère composition/10]:[3è composition]])</f>
        <v>#DIV/0!</v>
      </c>
      <c r="W432" s="35"/>
      <c r="X432" s="35"/>
      <c r="Y432" s="35"/>
      <c r="Z432" s="35"/>
      <c r="AA432" s="35"/>
      <c r="AB432" s="35"/>
      <c r="AC432" s="35"/>
      <c r="AD432" s="35"/>
      <c r="AE432" s="35"/>
      <c r="AF432" s="35"/>
      <c r="AG432" s="35"/>
      <c r="AH432" s="35"/>
      <c r="AI432" s="35"/>
      <c r="AJ432" s="35"/>
      <c r="AK432" s="58"/>
      <c r="AL432" s="58"/>
      <c r="AM432" s="58"/>
      <c r="AN432" s="58"/>
      <c r="AO432" s="58"/>
      <c r="AP432" s="58"/>
      <c r="AQ432" s="58"/>
      <c r="AR432" s="58"/>
      <c r="AS432" s="58"/>
      <c r="AT432" s="58"/>
      <c r="AU432" s="35"/>
      <c r="AV432" s="35"/>
      <c r="AW432" s="35"/>
      <c r="AX432" s="35"/>
      <c r="AY432" s="35"/>
      <c r="AZ432" s="35"/>
      <c r="BA432" s="35"/>
      <c r="BB432" s="35"/>
      <c r="BC432" s="35"/>
      <c r="BD432" s="35"/>
      <c r="BE432" s="35"/>
      <c r="BF432" s="35"/>
      <c r="BG432" s="35"/>
      <c r="BH432" s="35"/>
      <c r="BI432" s="35">
        <f>COUNTIF(Tableau2[[#This Row],[Séance 1]:[Séance 38]],"A")</f>
        <v>0</v>
      </c>
      <c r="BJ432" s="35"/>
    </row>
    <row r="433" spans="1:62" s="1" customFormat="1" hidden="1" x14ac:dyDescent="0.2">
      <c r="A433" s="44" t="s">
        <v>55</v>
      </c>
      <c r="B433" s="44" t="s">
        <v>1246</v>
      </c>
      <c r="C433" s="59">
        <v>39814</v>
      </c>
      <c r="D433" s="44" t="s">
        <v>1247</v>
      </c>
      <c r="E433" s="44" t="s">
        <v>120</v>
      </c>
      <c r="F433" s="44">
        <v>2020</v>
      </c>
      <c r="G433" s="44">
        <v>11</v>
      </c>
      <c r="H433" s="44">
        <v>194</v>
      </c>
      <c r="I433" s="44" t="str">
        <f>Tableau2[[#This Row],[Annee d''inscription au programme]]&amp;"-"&amp;Tableau2[[#This Row],[Code d''ecole]]&amp;"-"&amp;Tableau2[[#This Row],[Numero HM de la fille]]</f>
        <v>2020-11-194</v>
      </c>
      <c r="J433" s="45" t="s">
        <v>2687</v>
      </c>
      <c r="K433" s="44" t="s">
        <v>374</v>
      </c>
      <c r="L433" s="35" t="s">
        <v>620</v>
      </c>
      <c r="M433" s="35">
        <v>0</v>
      </c>
      <c r="N433" s="35">
        <v>0</v>
      </c>
      <c r="O433" s="35">
        <f t="shared" si="12"/>
        <v>0</v>
      </c>
      <c r="P433" s="35"/>
      <c r="Q433" s="35"/>
      <c r="R433" s="35">
        <f t="shared" si="13"/>
        <v>0</v>
      </c>
      <c r="S433" s="35"/>
      <c r="T433" s="35"/>
      <c r="U433" s="35"/>
      <c r="V433" s="35" t="e">
        <f>AVERAGE(Tableau2[[#This Row],[1ère composition/10]:[3è composition]])</f>
        <v>#DIV/0!</v>
      </c>
      <c r="W433" s="35"/>
      <c r="X433" s="35"/>
      <c r="Y433" s="35"/>
      <c r="Z433" s="35"/>
      <c r="AA433" s="35"/>
      <c r="AB433" s="35"/>
      <c r="AC433" s="35"/>
      <c r="AD433" s="35"/>
      <c r="AE433" s="35"/>
      <c r="AF433" s="35"/>
      <c r="AG433" s="35"/>
      <c r="AH433" s="35"/>
      <c r="AI433" s="35"/>
      <c r="AJ433" s="35"/>
      <c r="AK433" s="58"/>
      <c r="AL433" s="58"/>
      <c r="AM433" s="58"/>
      <c r="AN433" s="58"/>
      <c r="AO433" s="58"/>
      <c r="AP433" s="58"/>
      <c r="AQ433" s="58"/>
      <c r="AR433" s="58"/>
      <c r="AS433" s="58"/>
      <c r="AT433" s="58"/>
      <c r="AU433" s="35"/>
      <c r="AV433" s="35"/>
      <c r="AW433" s="35"/>
      <c r="AX433" s="35"/>
      <c r="AY433" s="35"/>
      <c r="AZ433" s="35"/>
      <c r="BA433" s="35"/>
      <c r="BB433" s="35"/>
      <c r="BC433" s="35"/>
      <c r="BD433" s="35"/>
      <c r="BE433" s="35"/>
      <c r="BF433" s="35"/>
      <c r="BG433" s="35"/>
      <c r="BH433" s="35"/>
      <c r="BI433" s="35">
        <f>COUNTIF(Tableau2[[#This Row],[Séance 1]:[Séance 38]],"A")</f>
        <v>0</v>
      </c>
      <c r="BJ433" s="35"/>
    </row>
    <row r="434" spans="1:62" s="1" customFormat="1" hidden="1" x14ac:dyDescent="0.2">
      <c r="A434" s="44" t="s">
        <v>55</v>
      </c>
      <c r="B434" s="44" t="s">
        <v>2684</v>
      </c>
      <c r="C434" s="59">
        <v>40543</v>
      </c>
      <c r="D434" s="44" t="s">
        <v>2685</v>
      </c>
      <c r="E434" s="44" t="s">
        <v>120</v>
      </c>
      <c r="F434" s="44">
        <v>2021</v>
      </c>
      <c r="G434" s="44">
        <v>11</v>
      </c>
      <c r="H434" s="44">
        <v>25</v>
      </c>
      <c r="I434" s="44" t="str">
        <f>Tableau2[[#This Row],[Annee d''inscription au programme]]&amp;"-"&amp;Tableau2[[#This Row],[Code d''ecole]]&amp;"-"&amp;Tableau2[[#This Row],[Numero HM de la fille]]</f>
        <v>2021-11-25</v>
      </c>
      <c r="J434" s="45" t="s">
        <v>2688</v>
      </c>
      <c r="K434" s="58" t="s">
        <v>3505</v>
      </c>
      <c r="L434" s="35" t="s">
        <v>698</v>
      </c>
      <c r="M434" s="35">
        <v>7.5</v>
      </c>
      <c r="N434" s="35">
        <v>12.75</v>
      </c>
      <c r="O434" s="35">
        <f t="shared" si="12"/>
        <v>10.125</v>
      </c>
      <c r="P434" s="35"/>
      <c r="Q434" s="35"/>
      <c r="R434" s="35">
        <f t="shared" si="13"/>
        <v>0</v>
      </c>
      <c r="S434" s="35"/>
      <c r="T434" s="35"/>
      <c r="U434" s="35"/>
      <c r="V434" s="35" t="e">
        <f>AVERAGE(Tableau2[[#This Row],[1ère composition/10]:[3è composition]])</f>
        <v>#DIV/0!</v>
      </c>
      <c r="W434" s="35"/>
      <c r="X434" s="35"/>
      <c r="Y434" s="35"/>
      <c r="Z434" s="35"/>
      <c r="AA434" s="35"/>
      <c r="AB434" s="35"/>
      <c r="AC434" s="35"/>
      <c r="AD434" s="35"/>
      <c r="AE434" s="35"/>
      <c r="AF434" s="35"/>
      <c r="AG434" s="35"/>
      <c r="AH434" s="35"/>
      <c r="AI434" s="35"/>
      <c r="AJ434" s="35"/>
      <c r="AK434" s="58"/>
      <c r="AL434" s="58"/>
      <c r="AM434" s="58"/>
      <c r="AN434" s="58"/>
      <c r="AO434" s="58"/>
      <c r="AP434" s="58"/>
      <c r="AQ434" s="58"/>
      <c r="AR434" s="58"/>
      <c r="AS434" s="58"/>
      <c r="AT434" s="58"/>
      <c r="AU434" s="35"/>
      <c r="AV434" s="35"/>
      <c r="AW434" s="35"/>
      <c r="AX434" s="35"/>
      <c r="AY434" s="35"/>
      <c r="AZ434" s="35"/>
      <c r="BA434" s="35"/>
      <c r="BB434" s="35"/>
      <c r="BC434" s="35"/>
      <c r="BD434" s="35"/>
      <c r="BE434" s="35"/>
      <c r="BF434" s="35"/>
      <c r="BG434" s="35"/>
      <c r="BH434" s="35"/>
      <c r="BI434" s="35">
        <f>COUNTIF(Tableau2[[#This Row],[Séance 1]:[Séance 38]],"A")</f>
        <v>0</v>
      </c>
      <c r="BJ434" s="35"/>
    </row>
    <row r="435" spans="1:62" s="1" customFormat="1" hidden="1" x14ac:dyDescent="0.2">
      <c r="A435" s="44" t="s">
        <v>55</v>
      </c>
      <c r="B435" s="44" t="s">
        <v>1248</v>
      </c>
      <c r="C435" s="59">
        <v>39017</v>
      </c>
      <c r="D435" s="44" t="s">
        <v>1249</v>
      </c>
      <c r="E435" s="44" t="s">
        <v>120</v>
      </c>
      <c r="F435" s="44">
        <v>2020</v>
      </c>
      <c r="G435" s="44">
        <v>11</v>
      </c>
      <c r="H435" s="44">
        <v>343</v>
      </c>
      <c r="I435" s="44" t="str">
        <f>Tableau2[[#This Row],[Annee d''inscription au programme]]&amp;"-"&amp;Tableau2[[#This Row],[Code d''ecole]]&amp;"-"&amp;Tableau2[[#This Row],[Numero HM de la fille]]</f>
        <v>2020-11-343</v>
      </c>
      <c r="J435" s="45" t="s">
        <v>2689</v>
      </c>
      <c r="K435" s="44" t="s">
        <v>374</v>
      </c>
      <c r="L435" s="35" t="s">
        <v>620</v>
      </c>
      <c r="M435" s="35">
        <v>0</v>
      </c>
      <c r="N435" s="35">
        <v>0</v>
      </c>
      <c r="O435" s="35">
        <f t="shared" si="12"/>
        <v>0</v>
      </c>
      <c r="P435" s="35"/>
      <c r="Q435" s="35"/>
      <c r="R435" s="35">
        <f t="shared" si="13"/>
        <v>0</v>
      </c>
      <c r="S435" s="35"/>
      <c r="T435" s="35"/>
      <c r="U435" s="35"/>
      <c r="V435" s="35" t="e">
        <f>AVERAGE(Tableau2[[#This Row],[1ère composition/10]:[3è composition]])</f>
        <v>#DIV/0!</v>
      </c>
      <c r="W435" s="35"/>
      <c r="X435" s="35"/>
      <c r="Y435" s="35"/>
      <c r="Z435" s="35"/>
      <c r="AA435" s="35"/>
      <c r="AB435" s="35"/>
      <c r="AC435" s="35"/>
      <c r="AD435" s="35"/>
      <c r="AE435" s="35"/>
      <c r="AF435" s="35"/>
      <c r="AG435" s="35"/>
      <c r="AH435" s="35"/>
      <c r="AI435" s="35"/>
      <c r="AJ435" s="35"/>
      <c r="AK435" s="58"/>
      <c r="AL435" s="58"/>
      <c r="AM435" s="58"/>
      <c r="AN435" s="58"/>
      <c r="AO435" s="58"/>
      <c r="AP435" s="58"/>
      <c r="AQ435" s="58"/>
      <c r="AR435" s="58"/>
      <c r="AS435" s="58"/>
      <c r="AT435" s="58"/>
      <c r="AU435" s="35"/>
      <c r="AV435" s="35"/>
      <c r="AW435" s="35"/>
      <c r="AX435" s="35"/>
      <c r="AY435" s="35"/>
      <c r="AZ435" s="35"/>
      <c r="BA435" s="35"/>
      <c r="BB435" s="35"/>
      <c r="BC435" s="35"/>
      <c r="BD435" s="35"/>
      <c r="BE435" s="35"/>
      <c r="BF435" s="35"/>
      <c r="BG435" s="35"/>
      <c r="BH435" s="35"/>
      <c r="BI435" s="35">
        <f>COUNTIF(Tableau2[[#This Row],[Séance 1]:[Séance 38]],"A")</f>
        <v>0</v>
      </c>
      <c r="BJ435" s="35"/>
    </row>
    <row r="436" spans="1:62" s="1" customFormat="1" hidden="1" x14ac:dyDescent="0.2">
      <c r="A436" s="44" t="s">
        <v>55</v>
      </c>
      <c r="B436" s="44" t="s">
        <v>1250</v>
      </c>
      <c r="C436" s="59">
        <v>39386</v>
      </c>
      <c r="D436" s="44" t="s">
        <v>1247</v>
      </c>
      <c r="E436" s="44" t="s">
        <v>120</v>
      </c>
      <c r="F436" s="44">
        <v>2020</v>
      </c>
      <c r="G436" s="44">
        <v>11</v>
      </c>
      <c r="H436" s="44">
        <v>197</v>
      </c>
      <c r="I436" s="44" t="str">
        <f>Tableau2[[#This Row],[Annee d''inscription au programme]]&amp;"-"&amp;Tableau2[[#This Row],[Code d''ecole]]&amp;"-"&amp;Tableau2[[#This Row],[Numero HM de la fille]]</f>
        <v>2020-11-197</v>
      </c>
      <c r="J436" s="45" t="s">
        <v>2690</v>
      </c>
      <c r="K436" s="44" t="s">
        <v>374</v>
      </c>
      <c r="L436" s="35" t="s">
        <v>620</v>
      </c>
      <c r="M436" s="35">
        <v>0</v>
      </c>
      <c r="N436" s="35">
        <v>0</v>
      </c>
      <c r="O436" s="35">
        <f t="shared" si="12"/>
        <v>0</v>
      </c>
      <c r="P436" s="35"/>
      <c r="Q436" s="35"/>
      <c r="R436" s="35">
        <f t="shared" si="13"/>
        <v>0</v>
      </c>
      <c r="S436" s="35"/>
      <c r="T436" s="35"/>
      <c r="U436" s="35"/>
      <c r="V436" s="35" t="e">
        <f>AVERAGE(Tableau2[[#This Row],[1ère composition/10]:[3è composition]])</f>
        <v>#DIV/0!</v>
      </c>
      <c r="W436" s="35"/>
      <c r="X436" s="35"/>
      <c r="Y436" s="35"/>
      <c r="Z436" s="35"/>
      <c r="AA436" s="35"/>
      <c r="AB436" s="35"/>
      <c r="AC436" s="35"/>
      <c r="AD436" s="35"/>
      <c r="AE436" s="35"/>
      <c r="AF436" s="35"/>
      <c r="AG436" s="35"/>
      <c r="AH436" s="35"/>
      <c r="AI436" s="35"/>
      <c r="AJ436" s="35"/>
      <c r="AK436" s="58"/>
      <c r="AL436" s="58"/>
      <c r="AM436" s="58"/>
      <c r="AN436" s="58"/>
      <c r="AO436" s="58"/>
      <c r="AP436" s="58"/>
      <c r="AQ436" s="58"/>
      <c r="AR436" s="58"/>
      <c r="AS436" s="58"/>
      <c r="AT436" s="58"/>
      <c r="AU436" s="35"/>
      <c r="AV436" s="35"/>
      <c r="AW436" s="35"/>
      <c r="AX436" s="35"/>
      <c r="AY436" s="35"/>
      <c r="AZ436" s="35"/>
      <c r="BA436" s="35"/>
      <c r="BB436" s="35"/>
      <c r="BC436" s="35"/>
      <c r="BD436" s="35"/>
      <c r="BE436" s="35"/>
      <c r="BF436" s="35"/>
      <c r="BG436" s="35"/>
      <c r="BH436" s="35"/>
      <c r="BI436" s="35">
        <f>COUNTIF(Tableau2[[#This Row],[Séance 1]:[Séance 38]],"A")</f>
        <v>0</v>
      </c>
      <c r="BJ436" s="35"/>
    </row>
    <row r="437" spans="1:62" hidden="1" x14ac:dyDescent="0.2">
      <c r="A437" s="85" t="s">
        <v>55</v>
      </c>
      <c r="B437" s="85" t="s">
        <v>1251</v>
      </c>
      <c r="C437" s="86">
        <v>39448</v>
      </c>
      <c r="D437" s="85" t="s">
        <v>1252</v>
      </c>
      <c r="E437" s="85" t="s">
        <v>120</v>
      </c>
      <c r="F437" s="85">
        <v>2020</v>
      </c>
      <c r="G437" s="85">
        <v>11</v>
      </c>
      <c r="H437" s="85">
        <v>212</v>
      </c>
      <c r="I437" s="85" t="str">
        <f>Tableau2[[#This Row],[Annee d''inscription au programme]]&amp;"-"&amp;Tableau2[[#This Row],[Code d''ecole]]&amp;"-"&amp;Tableau2[[#This Row],[Numero HM de la fille]]</f>
        <v>2020-11-212</v>
      </c>
      <c r="J437" s="87" t="s">
        <v>2691</v>
      </c>
      <c r="K437" s="85" t="s">
        <v>3505</v>
      </c>
      <c r="L437" s="21" t="s">
        <v>698</v>
      </c>
      <c r="M437" s="21">
        <v>0</v>
      </c>
      <c r="N437" s="21">
        <v>0</v>
      </c>
      <c r="O437" s="21">
        <f t="shared" si="12"/>
        <v>0</v>
      </c>
      <c r="P437" s="21">
        <v>13</v>
      </c>
      <c r="Q437" s="21">
        <v>4</v>
      </c>
      <c r="R437" s="21">
        <f t="shared" si="13"/>
        <v>8.5</v>
      </c>
      <c r="S437" s="21"/>
      <c r="T437" s="21"/>
      <c r="U437" s="21"/>
      <c r="V437" s="21" t="e">
        <f>AVERAGE(Tableau2[[#This Row],[1ère composition/10]:[3è composition]])</f>
        <v>#DIV/0!</v>
      </c>
      <c r="W437" s="21"/>
      <c r="X437" s="21"/>
      <c r="Y437" s="21"/>
      <c r="Z437" s="21"/>
      <c r="AA437" s="21"/>
      <c r="AB437" s="21"/>
      <c r="AC437" s="21"/>
      <c r="AD437" s="21"/>
      <c r="AE437" s="21"/>
      <c r="AF437" s="21"/>
      <c r="AG437" s="21"/>
      <c r="AH437" s="21"/>
      <c r="AI437" s="21"/>
      <c r="AJ437" s="21"/>
      <c r="AK437" s="88"/>
      <c r="AL437" s="88"/>
      <c r="AM437" s="88"/>
      <c r="AN437" s="88"/>
      <c r="AO437" s="88"/>
      <c r="AP437" s="88"/>
      <c r="AQ437" s="88"/>
      <c r="AR437" s="88"/>
      <c r="AS437" s="88"/>
      <c r="AT437" s="88"/>
      <c r="AU437" s="21"/>
      <c r="AV437" s="21"/>
      <c r="AW437" s="21"/>
      <c r="AX437" s="21"/>
      <c r="AY437" s="21"/>
      <c r="AZ437" s="21"/>
      <c r="BA437" s="21"/>
      <c r="BB437" s="21"/>
      <c r="BC437" s="21"/>
      <c r="BD437" s="21"/>
      <c r="BE437" s="21"/>
      <c r="BF437" s="21"/>
      <c r="BG437" s="21"/>
      <c r="BH437" s="21"/>
      <c r="BI437" s="21">
        <f>COUNTIF(Tableau2[[#This Row],[Séance 1]:[Séance 38]],"A")</f>
        <v>0</v>
      </c>
      <c r="BJ437" s="21"/>
    </row>
    <row r="438" spans="1:62" hidden="1" x14ac:dyDescent="0.2">
      <c r="A438" s="44" t="s">
        <v>55</v>
      </c>
      <c r="B438" s="44" t="s">
        <v>1253</v>
      </c>
      <c r="C438" s="59">
        <v>40170</v>
      </c>
      <c r="D438" s="44" t="s">
        <v>1230</v>
      </c>
      <c r="E438" s="44" t="s">
        <v>120</v>
      </c>
      <c r="F438" s="44">
        <v>2020</v>
      </c>
      <c r="G438" s="44">
        <v>11</v>
      </c>
      <c r="H438" s="44">
        <v>202</v>
      </c>
      <c r="I438" s="44" t="str">
        <f>Tableau2[[#This Row],[Annee d''inscription au programme]]&amp;"-"&amp;Tableau2[[#This Row],[Code d''ecole]]&amp;"-"&amp;Tableau2[[#This Row],[Numero HM de la fille]]</f>
        <v>2020-11-202</v>
      </c>
      <c r="J438" s="45" t="s">
        <v>2692</v>
      </c>
      <c r="K438" s="44" t="s">
        <v>374</v>
      </c>
      <c r="L438" s="35" t="s">
        <v>620</v>
      </c>
      <c r="M438" s="35">
        <v>9.5</v>
      </c>
      <c r="N438" s="35">
        <v>5</v>
      </c>
      <c r="O438" s="35">
        <f t="shared" si="12"/>
        <v>7.25</v>
      </c>
      <c r="P438" s="35">
        <v>15</v>
      </c>
      <c r="Q438" s="35">
        <v>13.5</v>
      </c>
      <c r="R438" s="35">
        <f t="shared" si="13"/>
        <v>14.25</v>
      </c>
      <c r="S438" s="35"/>
      <c r="T438" s="35"/>
      <c r="U438" s="35"/>
      <c r="V438" s="35" t="e">
        <f>AVERAGE(Tableau2[[#This Row],[1ère composition/10]:[3è composition]])</f>
        <v>#DIV/0!</v>
      </c>
      <c r="W438" s="35"/>
      <c r="X438" s="35"/>
      <c r="Y438" s="35"/>
      <c r="Z438" s="35"/>
      <c r="AA438" s="35"/>
      <c r="AB438" s="35"/>
      <c r="AC438" s="35"/>
      <c r="AD438" s="35"/>
      <c r="AE438" s="35"/>
      <c r="AF438" s="35"/>
      <c r="AG438" s="35"/>
      <c r="AH438" s="35"/>
      <c r="AI438" s="35"/>
      <c r="AJ438" s="35"/>
      <c r="AK438" s="58"/>
      <c r="AL438" s="58"/>
      <c r="AM438" s="58"/>
      <c r="AN438" s="58"/>
      <c r="AO438" s="58"/>
      <c r="AP438" s="58"/>
      <c r="AQ438" s="58"/>
      <c r="AR438" s="58"/>
      <c r="AS438" s="58"/>
      <c r="AT438" s="58"/>
      <c r="AU438" s="35"/>
      <c r="AV438" s="35"/>
      <c r="AW438" s="35"/>
      <c r="AX438" s="35"/>
      <c r="AY438" s="35"/>
      <c r="AZ438" s="35"/>
      <c r="BA438" s="35"/>
      <c r="BB438" s="35"/>
      <c r="BC438" s="35"/>
      <c r="BD438" s="35"/>
      <c r="BE438" s="35"/>
      <c r="BF438" s="35"/>
      <c r="BG438" s="35"/>
      <c r="BH438" s="35"/>
      <c r="BI438" s="35">
        <f>COUNTIF(Tableau2[[#This Row],[Séance 1]:[Séance 38]],"A")</f>
        <v>0</v>
      </c>
      <c r="BJ438" s="35"/>
    </row>
    <row r="439" spans="1:62" hidden="1" x14ac:dyDescent="0.2">
      <c r="A439" s="44" t="s">
        <v>55</v>
      </c>
      <c r="B439" s="44" t="s">
        <v>1254</v>
      </c>
      <c r="C439" s="59">
        <v>40543</v>
      </c>
      <c r="D439" s="44" t="s">
        <v>223</v>
      </c>
      <c r="E439" s="44" t="s">
        <v>120</v>
      </c>
      <c r="F439" s="44">
        <v>2021</v>
      </c>
      <c r="G439" s="44">
        <v>11</v>
      </c>
      <c r="H439" s="44">
        <v>26</v>
      </c>
      <c r="I439" s="44" t="str">
        <f>Tableau2[[#This Row],[Annee d''inscription au programme]]&amp;"-"&amp;Tableau2[[#This Row],[Code d''ecole]]&amp;"-"&amp;Tableau2[[#This Row],[Numero HM de la fille]]</f>
        <v>2021-11-26</v>
      </c>
      <c r="J439" s="45" t="s">
        <v>2693</v>
      </c>
      <c r="K439" s="44" t="s">
        <v>3505</v>
      </c>
      <c r="L439" s="35" t="s">
        <v>698</v>
      </c>
      <c r="M439" s="35">
        <v>9</v>
      </c>
      <c r="N439" s="35">
        <v>15.75</v>
      </c>
      <c r="O439" s="35">
        <f t="shared" si="12"/>
        <v>12.375</v>
      </c>
      <c r="P439" s="35">
        <v>18.5</v>
      </c>
      <c r="Q439" s="35">
        <v>19</v>
      </c>
      <c r="R439" s="35">
        <f t="shared" si="13"/>
        <v>18.75</v>
      </c>
      <c r="S439" s="35"/>
      <c r="T439" s="35"/>
      <c r="U439" s="35"/>
      <c r="V439" s="35" t="e">
        <f>AVERAGE(Tableau2[[#This Row],[1ère composition/10]:[3è composition]])</f>
        <v>#DIV/0!</v>
      </c>
      <c r="W439" s="35"/>
      <c r="X439" s="35"/>
      <c r="Y439" s="35"/>
      <c r="Z439" s="35"/>
      <c r="AA439" s="35"/>
      <c r="AB439" s="35"/>
      <c r="AC439" s="35"/>
      <c r="AD439" s="35"/>
      <c r="AE439" s="35"/>
      <c r="AF439" s="35"/>
      <c r="AG439" s="35"/>
      <c r="AH439" s="35"/>
      <c r="AI439" s="35"/>
      <c r="AJ439" s="35"/>
      <c r="AK439" s="58"/>
      <c r="AL439" s="58"/>
      <c r="AM439" s="58"/>
      <c r="AN439" s="58"/>
      <c r="AO439" s="58"/>
      <c r="AP439" s="58"/>
      <c r="AQ439" s="58"/>
      <c r="AR439" s="58"/>
      <c r="AS439" s="58"/>
      <c r="AT439" s="58"/>
      <c r="AU439" s="35"/>
      <c r="AV439" s="35"/>
      <c r="AW439" s="35"/>
      <c r="AX439" s="35"/>
      <c r="AY439" s="35"/>
      <c r="AZ439" s="35"/>
      <c r="BA439" s="35"/>
      <c r="BB439" s="35"/>
      <c r="BC439" s="35"/>
      <c r="BD439" s="35"/>
      <c r="BE439" s="35"/>
      <c r="BF439" s="35"/>
      <c r="BG439" s="35"/>
      <c r="BH439" s="35"/>
      <c r="BI439" s="35">
        <f>COUNTIF(Tableau2[[#This Row],[Séance 1]:[Séance 38]],"A")</f>
        <v>0</v>
      </c>
      <c r="BJ439" s="35"/>
    </row>
    <row r="440" spans="1:62" hidden="1" x14ac:dyDescent="0.2">
      <c r="A440" s="44" t="s">
        <v>55</v>
      </c>
      <c r="B440" s="44" t="s">
        <v>1255</v>
      </c>
      <c r="C440" s="59">
        <v>40209</v>
      </c>
      <c r="D440" s="44" t="s">
        <v>1256</v>
      </c>
      <c r="E440" s="44" t="s">
        <v>120</v>
      </c>
      <c r="F440" s="44">
        <v>2021</v>
      </c>
      <c r="G440" s="44">
        <v>11</v>
      </c>
      <c r="H440" s="44">
        <v>27</v>
      </c>
      <c r="I440" s="44" t="str">
        <f>Tableau2[[#This Row],[Annee d''inscription au programme]]&amp;"-"&amp;Tableau2[[#This Row],[Code d''ecole]]&amp;"-"&amp;Tableau2[[#This Row],[Numero HM de la fille]]</f>
        <v>2021-11-27</v>
      </c>
      <c r="J440" s="45" t="s">
        <v>1688</v>
      </c>
      <c r="K440" s="44" t="s">
        <v>3505</v>
      </c>
      <c r="L440" s="35" t="s">
        <v>698</v>
      </c>
      <c r="M440" s="35">
        <v>16.5</v>
      </c>
      <c r="N440" s="35">
        <v>20</v>
      </c>
      <c r="O440" s="35">
        <f t="shared" si="12"/>
        <v>18.25</v>
      </c>
      <c r="P440" s="35">
        <v>20</v>
      </c>
      <c r="Q440" s="35">
        <v>17.5</v>
      </c>
      <c r="R440" s="35">
        <f t="shared" si="13"/>
        <v>18.75</v>
      </c>
      <c r="S440" s="35"/>
      <c r="T440" s="35"/>
      <c r="U440" s="35"/>
      <c r="V440" s="35" t="e">
        <f>AVERAGE(Tableau2[[#This Row],[1ère composition/10]:[3è composition]])</f>
        <v>#DIV/0!</v>
      </c>
      <c r="W440" s="35"/>
      <c r="X440" s="35"/>
      <c r="Y440" s="35"/>
      <c r="Z440" s="35"/>
      <c r="AA440" s="35"/>
      <c r="AB440" s="35"/>
      <c r="AC440" s="35"/>
      <c r="AD440" s="35"/>
      <c r="AE440" s="35"/>
      <c r="AF440" s="35"/>
      <c r="AG440" s="35"/>
      <c r="AH440" s="35"/>
      <c r="AI440" s="35"/>
      <c r="AJ440" s="35"/>
      <c r="AK440" s="58"/>
      <c r="AL440" s="58"/>
      <c r="AM440" s="58"/>
      <c r="AN440" s="58"/>
      <c r="AO440" s="58"/>
      <c r="AP440" s="58"/>
      <c r="AQ440" s="58"/>
      <c r="AR440" s="58"/>
      <c r="AS440" s="58"/>
      <c r="AT440" s="58"/>
      <c r="AU440" s="35"/>
      <c r="AV440" s="35"/>
      <c r="AW440" s="35"/>
      <c r="AX440" s="35"/>
      <c r="AY440" s="35"/>
      <c r="AZ440" s="35"/>
      <c r="BA440" s="35"/>
      <c r="BB440" s="35"/>
      <c r="BC440" s="35"/>
      <c r="BD440" s="35"/>
      <c r="BE440" s="35"/>
      <c r="BF440" s="35"/>
      <c r="BG440" s="35"/>
      <c r="BH440" s="35"/>
      <c r="BI440" s="35">
        <f>COUNTIF(Tableau2[[#This Row],[Séance 1]:[Séance 38]],"A")</f>
        <v>0</v>
      </c>
      <c r="BJ440" s="35"/>
    </row>
    <row r="441" spans="1:62" hidden="1" x14ac:dyDescent="0.2">
      <c r="A441" s="44" t="s">
        <v>55</v>
      </c>
      <c r="B441" s="44" t="s">
        <v>1257</v>
      </c>
      <c r="C441" s="59">
        <v>39707</v>
      </c>
      <c r="D441" s="44" t="s">
        <v>291</v>
      </c>
      <c r="E441" s="44" t="s">
        <v>120</v>
      </c>
      <c r="F441" s="44">
        <v>2020</v>
      </c>
      <c r="G441" s="44">
        <v>11</v>
      </c>
      <c r="H441" s="44">
        <v>217</v>
      </c>
      <c r="I441" s="44" t="str">
        <f>Tableau2[[#This Row],[Annee d''inscription au programme]]&amp;"-"&amp;Tableau2[[#This Row],[Code d''ecole]]&amp;"-"&amp;Tableau2[[#This Row],[Numero HM de la fille]]</f>
        <v>2020-11-217</v>
      </c>
      <c r="J441" s="45" t="s">
        <v>1689</v>
      </c>
      <c r="K441" s="44" t="s">
        <v>374</v>
      </c>
      <c r="L441" s="35" t="s">
        <v>620</v>
      </c>
      <c r="M441" s="35">
        <v>8.5</v>
      </c>
      <c r="N441" s="35">
        <v>16</v>
      </c>
      <c r="O441" s="35">
        <f t="shared" si="12"/>
        <v>12.25</v>
      </c>
      <c r="P441" s="35">
        <v>18.5</v>
      </c>
      <c r="Q441" s="35">
        <v>15.75</v>
      </c>
      <c r="R441" s="35">
        <f t="shared" si="13"/>
        <v>17.125</v>
      </c>
      <c r="S441" s="35"/>
      <c r="T441" s="35"/>
      <c r="U441" s="35"/>
      <c r="V441" s="35" t="e">
        <f>AVERAGE(Tableau2[[#This Row],[1ère composition/10]:[3è composition]])</f>
        <v>#DIV/0!</v>
      </c>
      <c r="W441" s="35"/>
      <c r="X441" s="35"/>
      <c r="Y441" s="35"/>
      <c r="Z441" s="35"/>
      <c r="AA441" s="35"/>
      <c r="AB441" s="35"/>
      <c r="AC441" s="35"/>
      <c r="AD441" s="35"/>
      <c r="AE441" s="35"/>
      <c r="AF441" s="35"/>
      <c r="AG441" s="35"/>
      <c r="AH441" s="35"/>
      <c r="AI441" s="35"/>
      <c r="AJ441" s="35"/>
      <c r="AK441" s="58"/>
      <c r="AL441" s="58"/>
      <c r="AM441" s="58"/>
      <c r="AN441" s="58"/>
      <c r="AO441" s="58"/>
      <c r="AP441" s="58"/>
      <c r="AQ441" s="58"/>
      <c r="AR441" s="58"/>
      <c r="AS441" s="58"/>
      <c r="AT441" s="58"/>
      <c r="AU441" s="35"/>
      <c r="AV441" s="35"/>
      <c r="AW441" s="35"/>
      <c r="AX441" s="35"/>
      <c r="AY441" s="35"/>
      <c r="AZ441" s="35"/>
      <c r="BA441" s="35"/>
      <c r="BB441" s="35"/>
      <c r="BC441" s="35"/>
      <c r="BD441" s="35"/>
      <c r="BE441" s="35"/>
      <c r="BF441" s="35"/>
      <c r="BG441" s="35"/>
      <c r="BH441" s="35"/>
      <c r="BI441" s="35">
        <f>COUNTIF(Tableau2[[#This Row],[Séance 1]:[Séance 38]],"A")</f>
        <v>0</v>
      </c>
      <c r="BJ441" s="35"/>
    </row>
    <row r="442" spans="1:62" hidden="1" x14ac:dyDescent="0.2">
      <c r="A442" s="44" t="s">
        <v>55</v>
      </c>
      <c r="B442" s="44" t="s">
        <v>1258</v>
      </c>
      <c r="C442" s="59">
        <v>39929</v>
      </c>
      <c r="D442" s="44" t="s">
        <v>1259</v>
      </c>
      <c r="E442" s="44" t="s">
        <v>120</v>
      </c>
      <c r="F442" s="44">
        <v>2021</v>
      </c>
      <c r="G442" s="44">
        <v>11</v>
      </c>
      <c r="H442" s="44">
        <v>28</v>
      </c>
      <c r="I442" s="44" t="str">
        <f>Tableau2[[#This Row],[Annee d''inscription au programme]]&amp;"-"&amp;Tableau2[[#This Row],[Code d''ecole]]&amp;"-"&amp;Tableau2[[#This Row],[Numero HM de la fille]]</f>
        <v>2021-11-28</v>
      </c>
      <c r="J442" s="45" t="s">
        <v>1690</v>
      </c>
      <c r="K442" s="44" t="s">
        <v>3505</v>
      </c>
      <c r="L442" s="35" t="s">
        <v>698</v>
      </c>
      <c r="M442" s="35">
        <v>13</v>
      </c>
      <c r="N442" s="35">
        <v>19.75</v>
      </c>
      <c r="O442" s="35">
        <f t="shared" si="12"/>
        <v>16.375</v>
      </c>
      <c r="P442" s="35">
        <v>18</v>
      </c>
      <c r="Q442" s="35">
        <v>17.75</v>
      </c>
      <c r="R442" s="35">
        <f t="shared" si="13"/>
        <v>17.875</v>
      </c>
      <c r="S442" s="35"/>
      <c r="T442" s="35"/>
      <c r="U442" s="35"/>
      <c r="V442" s="35" t="e">
        <f>AVERAGE(Tableau2[[#This Row],[1ère composition/10]:[3è composition]])</f>
        <v>#DIV/0!</v>
      </c>
      <c r="W442" s="35"/>
      <c r="X442" s="35"/>
      <c r="Y442" s="35"/>
      <c r="Z442" s="35"/>
      <c r="AA442" s="35"/>
      <c r="AB442" s="35"/>
      <c r="AC442" s="35"/>
      <c r="AD442" s="35"/>
      <c r="AE442" s="35"/>
      <c r="AF442" s="35"/>
      <c r="AG442" s="35"/>
      <c r="AH442" s="35"/>
      <c r="AI442" s="35"/>
      <c r="AJ442" s="35"/>
      <c r="AK442" s="58"/>
      <c r="AL442" s="58"/>
      <c r="AM442" s="58"/>
      <c r="AN442" s="58"/>
      <c r="AO442" s="58"/>
      <c r="AP442" s="58"/>
      <c r="AQ442" s="58"/>
      <c r="AR442" s="58"/>
      <c r="AS442" s="58"/>
      <c r="AT442" s="58"/>
      <c r="AU442" s="35"/>
      <c r="AV442" s="35"/>
      <c r="AW442" s="35"/>
      <c r="AX442" s="35"/>
      <c r="AY442" s="35"/>
      <c r="AZ442" s="35"/>
      <c r="BA442" s="35"/>
      <c r="BB442" s="35"/>
      <c r="BC442" s="35"/>
      <c r="BD442" s="35"/>
      <c r="BE442" s="35"/>
      <c r="BF442" s="35"/>
      <c r="BG442" s="35"/>
      <c r="BH442" s="35"/>
      <c r="BI442" s="35">
        <f>COUNTIF(Tableau2[[#This Row],[Séance 1]:[Séance 38]],"A")</f>
        <v>0</v>
      </c>
      <c r="BJ442" s="35"/>
    </row>
    <row r="443" spans="1:62" hidden="1" x14ac:dyDescent="0.2">
      <c r="A443" s="44" t="s">
        <v>55</v>
      </c>
      <c r="B443" s="44" t="s">
        <v>1260</v>
      </c>
      <c r="C443" s="59">
        <v>40543</v>
      </c>
      <c r="D443" s="44" t="s">
        <v>1261</v>
      </c>
      <c r="E443" s="44" t="s">
        <v>120</v>
      </c>
      <c r="F443" s="44">
        <v>2021</v>
      </c>
      <c r="G443" s="44">
        <v>11</v>
      </c>
      <c r="H443" s="44">
        <v>29</v>
      </c>
      <c r="I443" s="44" t="str">
        <f>Tableau2[[#This Row],[Annee d''inscription au programme]]&amp;"-"&amp;Tableau2[[#This Row],[Code d''ecole]]&amp;"-"&amp;Tableau2[[#This Row],[Numero HM de la fille]]</f>
        <v>2021-11-29</v>
      </c>
      <c r="J443" s="45" t="s">
        <v>1691</v>
      </c>
      <c r="K443" s="44" t="s">
        <v>3505</v>
      </c>
      <c r="L443" s="35" t="s">
        <v>698</v>
      </c>
      <c r="M443" s="35">
        <v>7</v>
      </c>
      <c r="N443" s="35">
        <v>12.5</v>
      </c>
      <c r="O443" s="35">
        <f t="shared" si="12"/>
        <v>9.75</v>
      </c>
      <c r="P443" s="35"/>
      <c r="Q443" s="35"/>
      <c r="R443" s="35">
        <f t="shared" si="13"/>
        <v>0</v>
      </c>
      <c r="S443" s="35"/>
      <c r="T443" s="35"/>
      <c r="U443" s="35"/>
      <c r="V443" s="35" t="e">
        <f>AVERAGE(Tableau2[[#This Row],[1ère composition/10]:[3è composition]])</f>
        <v>#DIV/0!</v>
      </c>
      <c r="W443" s="35"/>
      <c r="X443" s="35"/>
      <c r="Y443" s="35"/>
      <c r="Z443" s="35"/>
      <c r="AA443" s="35"/>
      <c r="AB443" s="35"/>
      <c r="AC443" s="35"/>
      <c r="AD443" s="35"/>
      <c r="AE443" s="35"/>
      <c r="AF443" s="35"/>
      <c r="AG443" s="35"/>
      <c r="AH443" s="35"/>
      <c r="AI443" s="35"/>
      <c r="AJ443" s="35"/>
      <c r="AK443" s="58"/>
      <c r="AL443" s="58"/>
      <c r="AM443" s="58"/>
      <c r="AN443" s="58"/>
      <c r="AO443" s="58"/>
      <c r="AP443" s="58"/>
      <c r="AQ443" s="58"/>
      <c r="AR443" s="58"/>
      <c r="AS443" s="58"/>
      <c r="AT443" s="58"/>
      <c r="AU443" s="35"/>
      <c r="AV443" s="35"/>
      <c r="AW443" s="35"/>
      <c r="AX443" s="35"/>
      <c r="AY443" s="35"/>
      <c r="AZ443" s="35"/>
      <c r="BA443" s="35"/>
      <c r="BB443" s="35"/>
      <c r="BC443" s="35"/>
      <c r="BD443" s="35"/>
      <c r="BE443" s="35"/>
      <c r="BF443" s="35"/>
      <c r="BG443" s="35"/>
      <c r="BH443" s="35"/>
      <c r="BI443" s="35">
        <f>COUNTIF(Tableau2[[#This Row],[Séance 1]:[Séance 38]],"A")</f>
        <v>0</v>
      </c>
      <c r="BJ443" s="35"/>
    </row>
    <row r="444" spans="1:62" hidden="1" x14ac:dyDescent="0.2">
      <c r="A444" s="1" t="s">
        <v>811</v>
      </c>
      <c r="B444" s="44" t="s">
        <v>813</v>
      </c>
      <c r="C444" s="44" t="s">
        <v>3792</v>
      </c>
      <c r="D444" s="44" t="s">
        <v>814</v>
      </c>
      <c r="E444" s="44" t="s">
        <v>812</v>
      </c>
      <c r="F444" s="44">
        <v>2021</v>
      </c>
      <c r="G444" s="44">
        <v>34</v>
      </c>
      <c r="H444" s="44">
        <v>1</v>
      </c>
      <c r="I444" s="44" t="str">
        <f>Tableau2[[#This Row],[Annee d''inscription au programme]]&amp;"-"&amp;Tableau2[[#This Row],[Code d''ecole]]&amp;"-"&amp;Tableau2[[#This Row],[Numero HM de la fille]]</f>
        <v>2021-34-1</v>
      </c>
      <c r="J444" s="45" t="s">
        <v>1692</v>
      </c>
      <c r="K444" s="44" t="s">
        <v>3505</v>
      </c>
      <c r="L444" s="35" t="s">
        <v>698</v>
      </c>
      <c r="M444" s="35">
        <v>15</v>
      </c>
      <c r="N444" s="35">
        <v>11.75</v>
      </c>
      <c r="O444" s="35">
        <f t="shared" si="12"/>
        <v>13.375</v>
      </c>
      <c r="P444" s="35">
        <v>18.5</v>
      </c>
      <c r="Q444" s="35">
        <v>15.75</v>
      </c>
      <c r="R444" s="35">
        <f t="shared" si="13"/>
        <v>17.125</v>
      </c>
      <c r="S444" s="35"/>
      <c r="T444" s="35"/>
      <c r="U444" s="35"/>
      <c r="V444" s="35" t="e">
        <f>AVERAGE(Tableau2[[#This Row],[1ère composition/10]:[3è composition]])</f>
        <v>#DIV/0!</v>
      </c>
      <c r="W444" s="35"/>
      <c r="X444" s="35"/>
      <c r="Y444" s="35"/>
      <c r="Z444" s="35"/>
      <c r="AA444" s="35"/>
      <c r="AB444" s="35"/>
      <c r="AC444" s="35"/>
      <c r="AD444" s="35"/>
      <c r="AE444" s="35"/>
      <c r="AF444" s="35"/>
      <c r="AG444" s="35"/>
      <c r="AH444" s="35"/>
      <c r="AI444" s="35"/>
      <c r="AJ444" s="35"/>
      <c r="AK444" s="58"/>
      <c r="AL444" s="58"/>
      <c r="AM444" s="58"/>
      <c r="AN444" s="58"/>
      <c r="AO444" s="58"/>
      <c r="AP444" s="58"/>
      <c r="AQ444" s="58"/>
      <c r="AR444" s="58"/>
      <c r="AS444" s="58"/>
      <c r="AT444" s="58"/>
      <c r="AU444" s="35"/>
      <c r="AV444" s="35"/>
      <c r="AW444" s="35"/>
      <c r="AX444" s="35"/>
      <c r="AY444" s="35"/>
      <c r="AZ444" s="35"/>
      <c r="BA444" s="35"/>
      <c r="BB444" s="35"/>
      <c r="BC444" s="35"/>
      <c r="BD444" s="35"/>
      <c r="BE444" s="35"/>
      <c r="BF444" s="35"/>
      <c r="BG444" s="35"/>
      <c r="BH444" s="35"/>
      <c r="BI444" s="35">
        <f>COUNTIF(Tableau2[[#This Row],[Séance 1]:[Séance 38]],"A")</f>
        <v>0</v>
      </c>
      <c r="BJ444" s="35"/>
    </row>
    <row r="445" spans="1:62" hidden="1" x14ac:dyDescent="0.2">
      <c r="A445" s="1" t="s">
        <v>811</v>
      </c>
      <c r="B445" s="44" t="s">
        <v>815</v>
      </c>
      <c r="C445" s="44" t="s">
        <v>3792</v>
      </c>
      <c r="D445" s="44" t="s">
        <v>816</v>
      </c>
      <c r="E445" s="44" t="s">
        <v>812</v>
      </c>
      <c r="F445" s="44">
        <v>2021</v>
      </c>
      <c r="G445" s="44">
        <v>34</v>
      </c>
      <c r="H445" s="44">
        <v>2</v>
      </c>
      <c r="I445" s="44" t="str">
        <f>Tableau2[[#This Row],[Annee d''inscription au programme]]&amp;"-"&amp;Tableau2[[#This Row],[Code d''ecole]]&amp;"-"&amp;Tableau2[[#This Row],[Numero HM de la fille]]</f>
        <v>2021-34-2</v>
      </c>
      <c r="J445" s="45" t="s">
        <v>1693</v>
      </c>
      <c r="K445" s="44" t="s">
        <v>3505</v>
      </c>
      <c r="L445" s="35" t="s">
        <v>698</v>
      </c>
      <c r="M445" s="35">
        <v>15.5</v>
      </c>
      <c r="N445" s="35">
        <v>13</v>
      </c>
      <c r="O445" s="35">
        <f t="shared" si="12"/>
        <v>14.25</v>
      </c>
      <c r="P445" s="35">
        <v>15.5</v>
      </c>
      <c r="Q445" s="35">
        <v>19</v>
      </c>
      <c r="R445" s="35">
        <f t="shared" si="13"/>
        <v>17.25</v>
      </c>
      <c r="S445" s="35"/>
      <c r="T445" s="35"/>
      <c r="U445" s="35"/>
      <c r="V445" s="35" t="e">
        <f>AVERAGE(Tableau2[[#This Row],[1ère composition/10]:[3è composition]])</f>
        <v>#DIV/0!</v>
      </c>
      <c r="W445" s="35"/>
      <c r="X445" s="35"/>
      <c r="Y445" s="35"/>
      <c r="Z445" s="35"/>
      <c r="AA445" s="35"/>
      <c r="AB445" s="35"/>
      <c r="AC445" s="35"/>
      <c r="AD445" s="35"/>
      <c r="AE445" s="35"/>
      <c r="AF445" s="35"/>
      <c r="AG445" s="35"/>
      <c r="AH445" s="35"/>
      <c r="AI445" s="35"/>
      <c r="AJ445" s="35"/>
      <c r="AK445" s="58"/>
      <c r="AL445" s="58"/>
      <c r="AM445" s="58"/>
      <c r="AN445" s="58"/>
      <c r="AO445" s="58"/>
      <c r="AP445" s="58"/>
      <c r="AQ445" s="58"/>
      <c r="AR445" s="58"/>
      <c r="AS445" s="58"/>
      <c r="AT445" s="58"/>
      <c r="AU445" s="35"/>
      <c r="AV445" s="35"/>
      <c r="AW445" s="35"/>
      <c r="AX445" s="35"/>
      <c r="AY445" s="35"/>
      <c r="AZ445" s="35"/>
      <c r="BA445" s="35"/>
      <c r="BB445" s="35"/>
      <c r="BC445" s="35"/>
      <c r="BD445" s="35"/>
      <c r="BE445" s="35"/>
      <c r="BF445" s="35"/>
      <c r="BG445" s="35"/>
      <c r="BH445" s="35"/>
      <c r="BI445" s="35">
        <f>COUNTIF(Tableau2[[#This Row],[Séance 1]:[Séance 38]],"A")</f>
        <v>0</v>
      </c>
      <c r="BJ445" s="35"/>
    </row>
    <row r="446" spans="1:62" hidden="1" x14ac:dyDescent="0.2">
      <c r="A446" s="1" t="s">
        <v>811</v>
      </c>
      <c r="B446" s="44" t="s">
        <v>817</v>
      </c>
      <c r="C446" s="44" t="s">
        <v>3792</v>
      </c>
      <c r="D446" s="44" t="s">
        <v>818</v>
      </c>
      <c r="E446" s="44" t="s">
        <v>812</v>
      </c>
      <c r="F446" s="44">
        <v>2021</v>
      </c>
      <c r="G446" s="44">
        <v>34</v>
      </c>
      <c r="H446" s="44">
        <v>3</v>
      </c>
      <c r="I446" s="44" t="str">
        <f>Tableau2[[#This Row],[Annee d''inscription au programme]]&amp;"-"&amp;Tableau2[[#This Row],[Code d''ecole]]&amp;"-"&amp;Tableau2[[#This Row],[Numero HM de la fille]]</f>
        <v>2021-34-3</v>
      </c>
      <c r="J446" s="45" t="s">
        <v>1694</v>
      </c>
      <c r="K446" s="44" t="s">
        <v>3505</v>
      </c>
      <c r="L446" s="35" t="s">
        <v>698</v>
      </c>
      <c r="M446" s="35">
        <v>12.5</v>
      </c>
      <c r="N446" s="35">
        <v>3</v>
      </c>
      <c r="O446" s="35">
        <f t="shared" si="12"/>
        <v>7.75</v>
      </c>
      <c r="P446" s="35">
        <v>10</v>
      </c>
      <c r="Q446" s="35">
        <v>9.5</v>
      </c>
      <c r="R446" s="35">
        <f t="shared" si="13"/>
        <v>9.75</v>
      </c>
      <c r="S446" s="35"/>
      <c r="T446" s="35"/>
      <c r="U446" s="35"/>
      <c r="V446" s="35" t="e">
        <f>AVERAGE(Tableau2[[#This Row],[1ère composition/10]:[3è composition]])</f>
        <v>#DIV/0!</v>
      </c>
      <c r="W446" s="35"/>
      <c r="X446" s="35"/>
      <c r="Y446" s="35"/>
      <c r="Z446" s="35"/>
      <c r="AA446" s="35"/>
      <c r="AB446" s="35"/>
      <c r="AC446" s="35"/>
      <c r="AD446" s="35"/>
      <c r="AE446" s="35"/>
      <c r="AF446" s="35"/>
      <c r="AG446" s="35"/>
      <c r="AH446" s="35"/>
      <c r="AI446" s="35"/>
      <c r="AJ446" s="35"/>
      <c r="AK446" s="58"/>
      <c r="AL446" s="58"/>
      <c r="AM446" s="58"/>
      <c r="AN446" s="58"/>
      <c r="AO446" s="58"/>
      <c r="AP446" s="58"/>
      <c r="AQ446" s="58"/>
      <c r="AR446" s="58"/>
      <c r="AS446" s="58"/>
      <c r="AT446" s="58"/>
      <c r="AU446" s="35"/>
      <c r="AV446" s="35"/>
      <c r="AW446" s="35"/>
      <c r="AX446" s="35"/>
      <c r="AY446" s="35"/>
      <c r="AZ446" s="35"/>
      <c r="BA446" s="35"/>
      <c r="BB446" s="35"/>
      <c r="BC446" s="35"/>
      <c r="BD446" s="35"/>
      <c r="BE446" s="35"/>
      <c r="BF446" s="35"/>
      <c r="BG446" s="35"/>
      <c r="BH446" s="35"/>
      <c r="BI446" s="35">
        <f>COUNTIF(Tableau2[[#This Row],[Séance 1]:[Séance 38]],"A")</f>
        <v>0</v>
      </c>
      <c r="BJ446" s="35"/>
    </row>
    <row r="447" spans="1:62" hidden="1" x14ac:dyDescent="0.2">
      <c r="A447" s="1" t="s">
        <v>811</v>
      </c>
      <c r="B447" s="44" t="s">
        <v>819</v>
      </c>
      <c r="C447" s="44" t="s">
        <v>3792</v>
      </c>
      <c r="D447" s="44" t="s">
        <v>3491</v>
      </c>
      <c r="E447" s="44" t="s">
        <v>812</v>
      </c>
      <c r="F447" s="44">
        <v>2021</v>
      </c>
      <c r="G447" s="44">
        <v>34</v>
      </c>
      <c r="H447" s="44">
        <v>4</v>
      </c>
      <c r="I447" s="44" t="str">
        <f>Tableau2[[#This Row],[Annee d''inscription au programme]]&amp;"-"&amp;Tableau2[[#This Row],[Code d''ecole]]&amp;"-"&amp;Tableau2[[#This Row],[Numero HM de la fille]]</f>
        <v>2021-34-4</v>
      </c>
      <c r="J447" s="45" t="s">
        <v>1695</v>
      </c>
      <c r="K447" s="44" t="s">
        <v>3505</v>
      </c>
      <c r="L447" s="35" t="s">
        <v>698</v>
      </c>
      <c r="M447" s="35">
        <v>1.5</v>
      </c>
      <c r="N447" s="35">
        <v>0</v>
      </c>
      <c r="O447" s="35">
        <f t="shared" si="12"/>
        <v>0.75</v>
      </c>
      <c r="P447" s="35">
        <v>2</v>
      </c>
      <c r="Q447" s="35">
        <v>4</v>
      </c>
      <c r="R447" s="35">
        <f t="shared" si="13"/>
        <v>3</v>
      </c>
      <c r="S447" s="35"/>
      <c r="T447" s="35"/>
      <c r="U447" s="35"/>
      <c r="V447" s="35" t="e">
        <f>AVERAGE(Tableau2[[#This Row],[1ère composition/10]:[3è composition]])</f>
        <v>#DIV/0!</v>
      </c>
      <c r="W447" s="35"/>
      <c r="X447" s="35"/>
      <c r="Y447" s="35"/>
      <c r="Z447" s="35"/>
      <c r="AA447" s="35"/>
      <c r="AB447" s="35"/>
      <c r="AC447" s="35"/>
      <c r="AD447" s="35"/>
      <c r="AE447" s="35"/>
      <c r="AF447" s="35"/>
      <c r="AG447" s="35"/>
      <c r="AH447" s="35"/>
      <c r="AI447" s="35"/>
      <c r="AJ447" s="35"/>
      <c r="AK447" s="58"/>
      <c r="AL447" s="58"/>
      <c r="AM447" s="58"/>
      <c r="AN447" s="58"/>
      <c r="AO447" s="58"/>
      <c r="AP447" s="58"/>
      <c r="AQ447" s="58"/>
      <c r="AR447" s="58"/>
      <c r="AS447" s="58"/>
      <c r="AT447" s="58"/>
      <c r="AU447" s="35"/>
      <c r="AV447" s="35"/>
      <c r="AW447" s="35"/>
      <c r="AX447" s="35"/>
      <c r="AY447" s="35"/>
      <c r="AZ447" s="35"/>
      <c r="BA447" s="35"/>
      <c r="BB447" s="35"/>
      <c r="BC447" s="35"/>
      <c r="BD447" s="35"/>
      <c r="BE447" s="35"/>
      <c r="BF447" s="35"/>
      <c r="BG447" s="35"/>
      <c r="BH447" s="35"/>
      <c r="BI447" s="35">
        <f>COUNTIF(Tableau2[[#This Row],[Séance 1]:[Séance 38]],"A")</f>
        <v>0</v>
      </c>
      <c r="BJ447" s="35"/>
    </row>
    <row r="448" spans="1:62" hidden="1" x14ac:dyDescent="0.2">
      <c r="A448" s="1" t="s">
        <v>811</v>
      </c>
      <c r="B448" s="44" t="s">
        <v>820</v>
      </c>
      <c r="C448" s="44" t="s">
        <v>3792</v>
      </c>
      <c r="D448" s="44" t="s">
        <v>821</v>
      </c>
      <c r="E448" s="44" t="s">
        <v>812</v>
      </c>
      <c r="F448" s="44">
        <v>2021</v>
      </c>
      <c r="G448" s="44">
        <v>34</v>
      </c>
      <c r="H448" s="44">
        <v>5</v>
      </c>
      <c r="I448" s="44" t="str">
        <f>Tableau2[[#This Row],[Annee d''inscription au programme]]&amp;"-"&amp;Tableau2[[#This Row],[Code d''ecole]]&amp;"-"&amp;Tableau2[[#This Row],[Numero HM de la fille]]</f>
        <v>2021-34-5</v>
      </c>
      <c r="J448" s="45" t="s">
        <v>1696</v>
      </c>
      <c r="K448" s="44" t="s">
        <v>3505</v>
      </c>
      <c r="L448" s="35" t="s">
        <v>698</v>
      </c>
      <c r="M448" s="35">
        <v>6.5</v>
      </c>
      <c r="N448" s="35">
        <v>2.75</v>
      </c>
      <c r="O448" s="35">
        <f t="shared" si="12"/>
        <v>4.625</v>
      </c>
      <c r="P448" s="35">
        <v>4</v>
      </c>
      <c r="Q448" s="35">
        <v>3</v>
      </c>
      <c r="R448" s="35">
        <f t="shared" si="13"/>
        <v>3.5</v>
      </c>
      <c r="S448" s="35"/>
      <c r="T448" s="35"/>
      <c r="U448" s="35"/>
      <c r="V448" s="35" t="e">
        <f>AVERAGE(Tableau2[[#This Row],[1ère composition/10]:[3è composition]])</f>
        <v>#DIV/0!</v>
      </c>
      <c r="W448" s="35"/>
      <c r="X448" s="35"/>
      <c r="Y448" s="35"/>
      <c r="Z448" s="35"/>
      <c r="AA448" s="35"/>
      <c r="AB448" s="35"/>
      <c r="AC448" s="35"/>
      <c r="AD448" s="35"/>
      <c r="AE448" s="35"/>
      <c r="AF448" s="35"/>
      <c r="AG448" s="35"/>
      <c r="AH448" s="35"/>
      <c r="AI448" s="35"/>
      <c r="AJ448" s="35"/>
      <c r="AK448" s="58"/>
      <c r="AL448" s="58"/>
      <c r="AM448" s="58"/>
      <c r="AN448" s="58"/>
      <c r="AO448" s="58"/>
      <c r="AP448" s="58"/>
      <c r="AQ448" s="58"/>
      <c r="AR448" s="58"/>
      <c r="AS448" s="58"/>
      <c r="AT448" s="58"/>
      <c r="AU448" s="35"/>
      <c r="AV448" s="35"/>
      <c r="AW448" s="35"/>
      <c r="AX448" s="35"/>
      <c r="AY448" s="35"/>
      <c r="AZ448" s="35"/>
      <c r="BA448" s="35"/>
      <c r="BB448" s="35"/>
      <c r="BC448" s="35"/>
      <c r="BD448" s="35"/>
      <c r="BE448" s="35"/>
      <c r="BF448" s="35"/>
      <c r="BG448" s="35"/>
      <c r="BH448" s="35"/>
      <c r="BI448" s="35">
        <f>COUNTIF(Tableau2[[#This Row],[Séance 1]:[Séance 38]],"A")</f>
        <v>0</v>
      </c>
      <c r="BJ448" s="35"/>
    </row>
    <row r="449" spans="1:62" hidden="1" x14ac:dyDescent="0.2">
      <c r="A449" s="1" t="s">
        <v>811</v>
      </c>
      <c r="B449" s="44" t="s">
        <v>822</v>
      </c>
      <c r="C449" s="44" t="s">
        <v>3792</v>
      </c>
      <c r="D449" s="44" t="s">
        <v>823</v>
      </c>
      <c r="E449" s="44" t="s">
        <v>812</v>
      </c>
      <c r="F449" s="44">
        <v>2021</v>
      </c>
      <c r="G449" s="44">
        <v>34</v>
      </c>
      <c r="H449" s="44">
        <v>6</v>
      </c>
      <c r="I449" s="44" t="str">
        <f>Tableau2[[#This Row],[Annee d''inscription au programme]]&amp;"-"&amp;Tableau2[[#This Row],[Code d''ecole]]&amp;"-"&amp;Tableau2[[#This Row],[Numero HM de la fille]]</f>
        <v>2021-34-6</v>
      </c>
      <c r="J449" s="45" t="s">
        <v>1697</v>
      </c>
      <c r="K449" s="44" t="s">
        <v>3505</v>
      </c>
      <c r="L449" s="35" t="s">
        <v>698</v>
      </c>
      <c r="M449" s="35">
        <v>11.5</v>
      </c>
      <c r="N449" s="35">
        <v>16</v>
      </c>
      <c r="O449" s="35">
        <f t="shared" si="12"/>
        <v>13.75</v>
      </c>
      <c r="P449" s="35">
        <v>18</v>
      </c>
      <c r="Q449" s="35">
        <v>18.25</v>
      </c>
      <c r="R449" s="35">
        <f t="shared" si="13"/>
        <v>18.125</v>
      </c>
      <c r="S449" s="35"/>
      <c r="T449" s="35"/>
      <c r="U449" s="35"/>
      <c r="V449" s="35" t="e">
        <f>AVERAGE(Tableau2[[#This Row],[1ère composition/10]:[3è composition]])</f>
        <v>#DIV/0!</v>
      </c>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f>COUNTIF(Tableau2[[#This Row],[Séance 1]:[Séance 38]],"A")</f>
        <v>0</v>
      </c>
      <c r="BJ449" s="35"/>
    </row>
    <row r="450" spans="1:62" hidden="1" x14ac:dyDescent="0.2">
      <c r="A450" s="1" t="s">
        <v>811</v>
      </c>
      <c r="B450" s="44" t="s">
        <v>824</v>
      </c>
      <c r="C450" s="44" t="s">
        <v>3792</v>
      </c>
      <c r="D450" s="44" t="s">
        <v>825</v>
      </c>
      <c r="E450" s="44" t="s">
        <v>812</v>
      </c>
      <c r="F450" s="44">
        <v>2021</v>
      </c>
      <c r="G450" s="44">
        <v>34</v>
      </c>
      <c r="H450" s="44">
        <v>7</v>
      </c>
      <c r="I450" s="44" t="str">
        <f>Tableau2[[#This Row],[Annee d''inscription au programme]]&amp;"-"&amp;Tableau2[[#This Row],[Code d''ecole]]&amp;"-"&amp;Tableau2[[#This Row],[Numero HM de la fille]]</f>
        <v>2021-34-7</v>
      </c>
      <c r="J450" s="45" t="s">
        <v>1698</v>
      </c>
      <c r="K450" s="44" t="s">
        <v>3505</v>
      </c>
      <c r="L450" s="35" t="s">
        <v>698</v>
      </c>
      <c r="M450" s="35">
        <v>4</v>
      </c>
      <c r="N450" s="35">
        <v>1</v>
      </c>
      <c r="O450" s="35">
        <f t="shared" si="12"/>
        <v>2.5</v>
      </c>
      <c r="P450" s="35">
        <v>5.5</v>
      </c>
      <c r="Q450" s="35">
        <v>3</v>
      </c>
      <c r="R450" s="35">
        <f t="shared" si="13"/>
        <v>4.25</v>
      </c>
      <c r="S450" s="35"/>
      <c r="T450" s="35"/>
      <c r="U450" s="35"/>
      <c r="V450" s="35" t="e">
        <f>AVERAGE(Tableau2[[#This Row],[1ère composition/10]:[3è composition]])</f>
        <v>#DIV/0!</v>
      </c>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f>COUNTIF(Tableau2[[#This Row],[Séance 1]:[Séance 38]],"A")</f>
        <v>0</v>
      </c>
      <c r="BJ450" s="35"/>
    </row>
    <row r="451" spans="1:62" hidden="1" x14ac:dyDescent="0.2">
      <c r="A451" s="1" t="s">
        <v>811</v>
      </c>
      <c r="B451" s="44" t="s">
        <v>826</v>
      </c>
      <c r="C451" s="44" t="s">
        <v>3791</v>
      </c>
      <c r="D451" s="44" t="s">
        <v>827</v>
      </c>
      <c r="E451" s="44" t="s">
        <v>812</v>
      </c>
      <c r="F451" s="44">
        <v>2020</v>
      </c>
      <c r="G451" s="44">
        <v>34</v>
      </c>
      <c r="H451" s="44">
        <v>449</v>
      </c>
      <c r="I451" s="44" t="str">
        <f>Tableau2[[#This Row],[Annee d''inscription au programme]]&amp;"-"&amp;Tableau2[[#This Row],[Code d''ecole]]&amp;"-"&amp;Tableau2[[#This Row],[Numero HM de la fille]]</f>
        <v>2020-34-449</v>
      </c>
      <c r="J451" s="45" t="s">
        <v>1699</v>
      </c>
      <c r="K451" s="44" t="s">
        <v>374</v>
      </c>
      <c r="L451" s="35" t="s">
        <v>620</v>
      </c>
      <c r="M451" s="35">
        <v>10</v>
      </c>
      <c r="N451" s="35">
        <v>6</v>
      </c>
      <c r="O451" s="35">
        <f t="shared" si="12"/>
        <v>8</v>
      </c>
      <c r="P451" s="35">
        <v>13.5</v>
      </c>
      <c r="Q451" s="35">
        <v>16</v>
      </c>
      <c r="R451" s="35">
        <f t="shared" si="13"/>
        <v>14.75</v>
      </c>
      <c r="S451" s="35"/>
      <c r="T451" s="35"/>
      <c r="U451" s="35"/>
      <c r="V451" s="35" t="e">
        <f>AVERAGE(Tableau2[[#This Row],[1ère composition/10]:[3è composition]])</f>
        <v>#DIV/0!</v>
      </c>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f>COUNTIF(Tableau2[[#This Row],[Séance 1]:[Séance 38]],"A")</f>
        <v>0</v>
      </c>
      <c r="BJ451" s="35"/>
    </row>
    <row r="452" spans="1:62" hidden="1" x14ac:dyDescent="0.2">
      <c r="A452" s="1" t="s">
        <v>811</v>
      </c>
      <c r="B452" s="44" t="s">
        <v>828</v>
      </c>
      <c r="C452" s="44" t="s">
        <v>3792</v>
      </c>
      <c r="D452" s="44" t="s">
        <v>829</v>
      </c>
      <c r="E452" s="44" t="s">
        <v>812</v>
      </c>
      <c r="F452" s="44">
        <v>2021</v>
      </c>
      <c r="G452" s="44">
        <v>34</v>
      </c>
      <c r="H452" s="44">
        <v>8</v>
      </c>
      <c r="I452" s="44" t="str">
        <f>Tableau2[[#This Row],[Annee d''inscription au programme]]&amp;"-"&amp;Tableau2[[#This Row],[Code d''ecole]]&amp;"-"&amp;Tableau2[[#This Row],[Numero HM de la fille]]</f>
        <v>2021-34-8</v>
      </c>
      <c r="J452" s="45" t="s">
        <v>1700</v>
      </c>
      <c r="K452" s="44" t="s">
        <v>3505</v>
      </c>
      <c r="L452" s="35" t="s">
        <v>698</v>
      </c>
      <c r="M452" s="35">
        <v>13</v>
      </c>
      <c r="N452" s="35">
        <v>6</v>
      </c>
      <c r="O452" s="35">
        <f t="shared" si="12"/>
        <v>9.5</v>
      </c>
      <c r="P452" s="35">
        <v>12.5</v>
      </c>
      <c r="Q452" s="35">
        <v>6</v>
      </c>
      <c r="R452" s="35">
        <f t="shared" si="13"/>
        <v>9.25</v>
      </c>
      <c r="S452" s="35"/>
      <c r="T452" s="35"/>
      <c r="U452" s="35"/>
      <c r="V452" s="35" t="e">
        <f>AVERAGE(Tableau2[[#This Row],[1ère composition/10]:[3è composition]])</f>
        <v>#DIV/0!</v>
      </c>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f>COUNTIF(Tableau2[[#This Row],[Séance 1]:[Séance 38]],"A")</f>
        <v>0</v>
      </c>
      <c r="BJ452" s="35"/>
    </row>
    <row r="453" spans="1:62" hidden="1" x14ac:dyDescent="0.2">
      <c r="A453" s="1" t="s">
        <v>811</v>
      </c>
      <c r="B453" s="44" t="s">
        <v>830</v>
      </c>
      <c r="C453" s="44" t="s">
        <v>3792</v>
      </c>
      <c r="D453" s="44" t="s">
        <v>831</v>
      </c>
      <c r="E453" s="44" t="s">
        <v>812</v>
      </c>
      <c r="F453" s="44">
        <v>2021</v>
      </c>
      <c r="G453" s="44">
        <v>34</v>
      </c>
      <c r="H453" s="44">
        <v>9</v>
      </c>
      <c r="I453" s="44" t="str">
        <f>Tableau2[[#This Row],[Annee d''inscription au programme]]&amp;"-"&amp;Tableau2[[#This Row],[Code d''ecole]]&amp;"-"&amp;Tableau2[[#This Row],[Numero HM de la fille]]</f>
        <v>2021-34-9</v>
      </c>
      <c r="J453" s="45" t="s">
        <v>1701</v>
      </c>
      <c r="K453" s="44" t="s">
        <v>3505</v>
      </c>
      <c r="L453" s="35" t="s">
        <v>698</v>
      </c>
      <c r="M453" s="35">
        <v>6.5</v>
      </c>
      <c r="N453" s="35">
        <v>8</v>
      </c>
      <c r="O453" s="35">
        <f t="shared" ref="O453:O516" si="14">AVERAGE(M453+N453)/2</f>
        <v>7.25</v>
      </c>
      <c r="P453" s="35">
        <v>12.5</v>
      </c>
      <c r="Q453" s="35">
        <v>12</v>
      </c>
      <c r="R453" s="35">
        <f t="shared" ref="R453:R516" si="15">AVERAGE(P453+Q453)/2</f>
        <v>12.25</v>
      </c>
      <c r="S453" s="35"/>
      <c r="T453" s="35"/>
      <c r="U453" s="35"/>
      <c r="V453" s="35" t="e">
        <f>AVERAGE(Tableau2[[#This Row],[1ère composition/10]:[3è composition]])</f>
        <v>#DIV/0!</v>
      </c>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f>COUNTIF(Tableau2[[#This Row],[Séance 1]:[Séance 38]],"A")</f>
        <v>0</v>
      </c>
      <c r="BJ453" s="35"/>
    </row>
    <row r="454" spans="1:62" hidden="1" x14ac:dyDescent="0.2">
      <c r="A454" s="1" t="s">
        <v>811</v>
      </c>
      <c r="B454" s="44" t="s">
        <v>832</v>
      </c>
      <c r="C454" s="44" t="s">
        <v>3792</v>
      </c>
      <c r="D454" s="44" t="s">
        <v>833</v>
      </c>
      <c r="E454" s="44" t="s">
        <v>812</v>
      </c>
      <c r="F454" s="44">
        <v>2021</v>
      </c>
      <c r="G454" s="44">
        <v>34</v>
      </c>
      <c r="H454" s="44">
        <v>10</v>
      </c>
      <c r="I454" s="44" t="str">
        <f>Tableau2[[#This Row],[Annee d''inscription au programme]]&amp;"-"&amp;Tableau2[[#This Row],[Code d''ecole]]&amp;"-"&amp;Tableau2[[#This Row],[Numero HM de la fille]]</f>
        <v>2021-34-10</v>
      </c>
      <c r="J454" s="45" t="s">
        <v>1702</v>
      </c>
      <c r="K454" s="44" t="s">
        <v>3505</v>
      </c>
      <c r="L454" s="35" t="s">
        <v>698</v>
      </c>
      <c r="M454" s="35">
        <v>1.5</v>
      </c>
      <c r="N454" s="35">
        <v>1</v>
      </c>
      <c r="O454" s="35">
        <f t="shared" si="14"/>
        <v>1.25</v>
      </c>
      <c r="P454" s="35">
        <v>8</v>
      </c>
      <c r="Q454" s="35">
        <v>3.5</v>
      </c>
      <c r="R454" s="35">
        <f t="shared" si="15"/>
        <v>5.75</v>
      </c>
      <c r="S454" s="35"/>
      <c r="T454" s="35"/>
      <c r="U454" s="35"/>
      <c r="V454" s="35" t="e">
        <f>AVERAGE(Tableau2[[#This Row],[1ère composition/10]:[3è composition]])</f>
        <v>#DIV/0!</v>
      </c>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f>COUNTIF(Tableau2[[#This Row],[Séance 1]:[Séance 38]],"A")</f>
        <v>0</v>
      </c>
      <c r="BJ454" s="35"/>
    </row>
    <row r="455" spans="1:62" hidden="1" x14ac:dyDescent="0.2">
      <c r="A455" s="1" t="s">
        <v>811</v>
      </c>
      <c r="B455" s="44" t="s">
        <v>834</v>
      </c>
      <c r="C455" s="44" t="s">
        <v>3792</v>
      </c>
      <c r="D455" s="44" t="s">
        <v>246</v>
      </c>
      <c r="E455" s="44" t="s">
        <v>812</v>
      </c>
      <c r="F455" s="44">
        <v>2021</v>
      </c>
      <c r="G455" s="44">
        <v>34</v>
      </c>
      <c r="H455" s="44">
        <v>11</v>
      </c>
      <c r="I455" s="44" t="str">
        <f>Tableau2[[#This Row],[Annee d''inscription au programme]]&amp;"-"&amp;Tableau2[[#This Row],[Code d''ecole]]&amp;"-"&amp;Tableau2[[#This Row],[Numero HM de la fille]]</f>
        <v>2021-34-11</v>
      </c>
      <c r="J455" s="45" t="s">
        <v>1703</v>
      </c>
      <c r="K455" s="44" t="s">
        <v>3505</v>
      </c>
      <c r="L455" s="35" t="s">
        <v>698</v>
      </c>
      <c r="M455" s="35">
        <v>4.5</v>
      </c>
      <c r="N455" s="35">
        <v>1</v>
      </c>
      <c r="O455" s="35">
        <f t="shared" si="14"/>
        <v>2.75</v>
      </c>
      <c r="P455" s="35">
        <v>6.5</v>
      </c>
      <c r="Q455" s="35">
        <v>4.5</v>
      </c>
      <c r="R455" s="35">
        <f t="shared" si="15"/>
        <v>5.5</v>
      </c>
      <c r="S455" s="35"/>
      <c r="T455" s="35"/>
      <c r="U455" s="35"/>
      <c r="V455" s="35" t="e">
        <f>AVERAGE(Tableau2[[#This Row],[1ère composition/10]:[3è composition]])</f>
        <v>#DIV/0!</v>
      </c>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f>COUNTIF(Tableau2[[#This Row],[Séance 1]:[Séance 38]],"A")</f>
        <v>0</v>
      </c>
      <c r="BJ455" s="35"/>
    </row>
    <row r="456" spans="1:62" hidden="1" x14ac:dyDescent="0.2">
      <c r="A456" s="1" t="s">
        <v>811</v>
      </c>
      <c r="B456" s="44" t="s">
        <v>835</v>
      </c>
      <c r="C456" s="44" t="s">
        <v>3792</v>
      </c>
      <c r="D456" s="44" t="s">
        <v>836</v>
      </c>
      <c r="E456" s="44" t="s">
        <v>812</v>
      </c>
      <c r="F456" s="44">
        <v>2021</v>
      </c>
      <c r="G456" s="44">
        <v>34</v>
      </c>
      <c r="H456" s="44">
        <v>12</v>
      </c>
      <c r="I456" s="44" t="str">
        <f>Tableau2[[#This Row],[Annee d''inscription au programme]]&amp;"-"&amp;Tableau2[[#This Row],[Code d''ecole]]&amp;"-"&amp;Tableau2[[#This Row],[Numero HM de la fille]]</f>
        <v>2021-34-12</v>
      </c>
      <c r="J456" s="45" t="s">
        <v>1704</v>
      </c>
      <c r="K456" s="44" t="s">
        <v>3505</v>
      </c>
      <c r="L456" s="35" t="s">
        <v>698</v>
      </c>
      <c r="M456" s="35">
        <v>1.75</v>
      </c>
      <c r="N456" s="35">
        <v>3.75</v>
      </c>
      <c r="O456" s="35">
        <f t="shared" si="14"/>
        <v>2.75</v>
      </c>
      <c r="P456" s="35">
        <v>3</v>
      </c>
      <c r="Q456" s="35">
        <v>5</v>
      </c>
      <c r="R456" s="35">
        <f t="shared" si="15"/>
        <v>4</v>
      </c>
      <c r="S456" s="35"/>
      <c r="T456" s="35"/>
      <c r="U456" s="35"/>
      <c r="V456" s="35" t="e">
        <f>AVERAGE(Tableau2[[#This Row],[1ère composition/10]:[3è composition]])</f>
        <v>#DIV/0!</v>
      </c>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f>COUNTIF(Tableau2[[#This Row],[Séance 1]:[Séance 38]],"A")</f>
        <v>0</v>
      </c>
      <c r="BJ456" s="35"/>
    </row>
    <row r="457" spans="1:62" hidden="1" x14ac:dyDescent="0.2">
      <c r="A457" s="1" t="s">
        <v>811</v>
      </c>
      <c r="B457" s="44" t="s">
        <v>837</v>
      </c>
      <c r="C457" s="44" t="s">
        <v>3792</v>
      </c>
      <c r="D457" s="44" t="s">
        <v>838</v>
      </c>
      <c r="E457" s="44" t="s">
        <v>812</v>
      </c>
      <c r="F457" s="44">
        <v>2021</v>
      </c>
      <c r="G457" s="44">
        <v>34</v>
      </c>
      <c r="H457" s="44">
        <v>13</v>
      </c>
      <c r="I457" s="44" t="str">
        <f>Tableau2[[#This Row],[Annee d''inscription au programme]]&amp;"-"&amp;Tableau2[[#This Row],[Code d''ecole]]&amp;"-"&amp;Tableau2[[#This Row],[Numero HM de la fille]]</f>
        <v>2021-34-13</v>
      </c>
      <c r="J457" s="45" t="s">
        <v>1705</v>
      </c>
      <c r="K457" s="44" t="s">
        <v>3505</v>
      </c>
      <c r="L457" s="35" t="s">
        <v>698</v>
      </c>
      <c r="M457" s="35">
        <v>7.5</v>
      </c>
      <c r="N457" s="35">
        <v>3</v>
      </c>
      <c r="O457" s="35">
        <f t="shared" si="14"/>
        <v>5.25</v>
      </c>
      <c r="P457" s="35">
        <v>10.5</v>
      </c>
      <c r="Q457" s="35">
        <v>11</v>
      </c>
      <c r="R457" s="35">
        <f t="shared" si="15"/>
        <v>10.75</v>
      </c>
      <c r="S457" s="35"/>
      <c r="T457" s="35"/>
      <c r="U457" s="35"/>
      <c r="V457" s="35" t="e">
        <f>AVERAGE(Tableau2[[#This Row],[1ère composition/10]:[3è composition]])</f>
        <v>#DIV/0!</v>
      </c>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f>COUNTIF(Tableau2[[#This Row],[Séance 1]:[Séance 38]],"A")</f>
        <v>0</v>
      </c>
      <c r="BJ457" s="35"/>
    </row>
    <row r="458" spans="1:62" hidden="1" x14ac:dyDescent="0.2">
      <c r="A458" s="1" t="s">
        <v>811</v>
      </c>
      <c r="B458" s="44" t="s">
        <v>839</v>
      </c>
      <c r="C458" s="44" t="s">
        <v>3793</v>
      </c>
      <c r="D458" s="44" t="s">
        <v>601</v>
      </c>
      <c r="E458" s="44" t="s">
        <v>812</v>
      </c>
      <c r="F458" s="44">
        <v>2021</v>
      </c>
      <c r="G458" s="44">
        <v>34</v>
      </c>
      <c r="H458" s="44">
        <v>14</v>
      </c>
      <c r="I458" s="44" t="str">
        <f>Tableau2[[#This Row],[Annee d''inscription au programme]]&amp;"-"&amp;Tableau2[[#This Row],[Code d''ecole]]&amp;"-"&amp;Tableau2[[#This Row],[Numero HM de la fille]]</f>
        <v>2021-34-14</v>
      </c>
      <c r="J458" s="45" t="s">
        <v>1706</v>
      </c>
      <c r="K458" s="44" t="s">
        <v>3505</v>
      </c>
      <c r="L458" s="35" t="s">
        <v>698</v>
      </c>
      <c r="M458" s="35">
        <v>10</v>
      </c>
      <c r="N458" s="35">
        <v>7</v>
      </c>
      <c r="O458" s="35">
        <f t="shared" si="14"/>
        <v>8.5</v>
      </c>
      <c r="P458" s="35">
        <v>17</v>
      </c>
      <c r="Q458" s="35">
        <v>11.5</v>
      </c>
      <c r="R458" s="35">
        <f t="shared" si="15"/>
        <v>14.25</v>
      </c>
      <c r="S458" s="35"/>
      <c r="T458" s="35"/>
      <c r="U458" s="35"/>
      <c r="V458" s="35" t="e">
        <f>AVERAGE(Tableau2[[#This Row],[1ère composition/10]:[3è composition]])</f>
        <v>#DIV/0!</v>
      </c>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f>COUNTIF(Tableau2[[#This Row],[Séance 1]:[Séance 38]],"A")</f>
        <v>0</v>
      </c>
      <c r="BJ458" s="35"/>
    </row>
    <row r="459" spans="1:62" hidden="1" x14ac:dyDescent="0.2">
      <c r="A459" s="1" t="s">
        <v>811</v>
      </c>
      <c r="B459" s="44" t="s">
        <v>840</v>
      </c>
      <c r="C459" s="44" t="s">
        <v>3792</v>
      </c>
      <c r="D459" s="44" t="s">
        <v>841</v>
      </c>
      <c r="E459" s="44" t="s">
        <v>812</v>
      </c>
      <c r="F459" s="44">
        <v>2021</v>
      </c>
      <c r="G459" s="44">
        <v>34</v>
      </c>
      <c r="H459" s="44">
        <v>15</v>
      </c>
      <c r="I459" s="44" t="str">
        <f>Tableau2[[#This Row],[Annee d''inscription au programme]]&amp;"-"&amp;Tableau2[[#This Row],[Code d''ecole]]&amp;"-"&amp;Tableau2[[#This Row],[Numero HM de la fille]]</f>
        <v>2021-34-15</v>
      </c>
      <c r="J459" s="45" t="s">
        <v>1707</v>
      </c>
      <c r="K459" s="44" t="s">
        <v>3505</v>
      </c>
      <c r="L459" s="35" t="s">
        <v>698</v>
      </c>
      <c r="M459" s="35">
        <v>1</v>
      </c>
      <c r="N459" s="35">
        <v>3</v>
      </c>
      <c r="O459" s="35">
        <f t="shared" si="14"/>
        <v>2</v>
      </c>
      <c r="P459" s="35">
        <v>14.5</v>
      </c>
      <c r="Q459" s="35">
        <v>6</v>
      </c>
      <c r="R459" s="35">
        <f t="shared" si="15"/>
        <v>10.25</v>
      </c>
      <c r="S459" s="35"/>
      <c r="T459" s="35"/>
      <c r="U459" s="35"/>
      <c r="V459" s="35" t="e">
        <f>AVERAGE(Tableau2[[#This Row],[1ère composition/10]:[3è composition]])</f>
        <v>#DIV/0!</v>
      </c>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f>COUNTIF(Tableau2[[#This Row],[Séance 1]:[Séance 38]],"A")</f>
        <v>0</v>
      </c>
      <c r="BJ459" s="35"/>
    </row>
    <row r="460" spans="1:62" hidden="1" x14ac:dyDescent="0.2">
      <c r="A460" s="1" t="s">
        <v>811</v>
      </c>
      <c r="B460" s="44" t="s">
        <v>842</v>
      </c>
      <c r="C460" s="44" t="s">
        <v>3792</v>
      </c>
      <c r="D460" s="44" t="s">
        <v>601</v>
      </c>
      <c r="E460" s="44" t="s">
        <v>812</v>
      </c>
      <c r="F460" s="44">
        <v>2021</v>
      </c>
      <c r="G460" s="44">
        <v>34</v>
      </c>
      <c r="H460" s="44">
        <v>16</v>
      </c>
      <c r="I460" s="44" t="str">
        <f>Tableau2[[#This Row],[Annee d''inscription au programme]]&amp;"-"&amp;Tableau2[[#This Row],[Code d''ecole]]&amp;"-"&amp;Tableau2[[#This Row],[Numero HM de la fille]]</f>
        <v>2021-34-16</v>
      </c>
      <c r="J460" s="45" t="s">
        <v>1708</v>
      </c>
      <c r="K460" s="44" t="s">
        <v>3505</v>
      </c>
      <c r="L460" s="35" t="s">
        <v>698</v>
      </c>
      <c r="M460" s="35">
        <v>1.5</v>
      </c>
      <c r="N460" s="35">
        <v>0.5</v>
      </c>
      <c r="O460" s="35">
        <f t="shared" si="14"/>
        <v>1</v>
      </c>
      <c r="P460" s="35">
        <v>5.5</v>
      </c>
      <c r="Q460" s="35">
        <v>7</v>
      </c>
      <c r="R460" s="35">
        <f t="shared" si="15"/>
        <v>6.25</v>
      </c>
      <c r="S460" s="35"/>
      <c r="T460" s="35"/>
      <c r="U460" s="35"/>
      <c r="V460" s="35" t="e">
        <f>AVERAGE(Tableau2[[#This Row],[1ère composition/10]:[3è composition]])</f>
        <v>#DIV/0!</v>
      </c>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f>COUNTIF(Tableau2[[#This Row],[Séance 1]:[Séance 38]],"A")</f>
        <v>0</v>
      </c>
      <c r="BJ460" s="35"/>
    </row>
    <row r="461" spans="1:62" hidden="1" x14ac:dyDescent="0.2">
      <c r="A461" s="1" t="s">
        <v>811</v>
      </c>
      <c r="B461" s="44" t="s">
        <v>843</v>
      </c>
      <c r="C461" s="44" t="s">
        <v>3792</v>
      </c>
      <c r="D461" s="44" t="s">
        <v>844</v>
      </c>
      <c r="E461" s="44" t="s">
        <v>812</v>
      </c>
      <c r="F461" s="44">
        <v>2021</v>
      </c>
      <c r="G461" s="44">
        <v>34</v>
      </c>
      <c r="H461" s="44">
        <v>17</v>
      </c>
      <c r="I461" s="44" t="str">
        <f>Tableau2[[#This Row],[Annee d''inscription au programme]]&amp;"-"&amp;Tableau2[[#This Row],[Code d''ecole]]&amp;"-"&amp;Tableau2[[#This Row],[Numero HM de la fille]]</f>
        <v>2021-34-17</v>
      </c>
      <c r="J461" s="45" t="s">
        <v>1709</v>
      </c>
      <c r="K461" s="44" t="s">
        <v>3505</v>
      </c>
      <c r="L461" s="35" t="s">
        <v>698</v>
      </c>
      <c r="M461" s="35">
        <v>0</v>
      </c>
      <c r="N461" s="35">
        <v>0</v>
      </c>
      <c r="O461" s="35">
        <f t="shared" si="14"/>
        <v>0</v>
      </c>
      <c r="P461" s="35">
        <v>18.5</v>
      </c>
      <c r="Q461" s="35">
        <v>18.75</v>
      </c>
      <c r="R461" s="35">
        <f t="shared" si="15"/>
        <v>18.625</v>
      </c>
      <c r="S461" s="35"/>
      <c r="T461" s="35"/>
      <c r="U461" s="35"/>
      <c r="V461" s="35" t="e">
        <f>AVERAGE(Tableau2[[#This Row],[1ère composition/10]:[3è composition]])</f>
        <v>#DIV/0!</v>
      </c>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f>COUNTIF(Tableau2[[#This Row],[Séance 1]:[Séance 38]],"A")</f>
        <v>0</v>
      </c>
      <c r="BJ461" s="35"/>
    </row>
    <row r="462" spans="1:62" hidden="1" x14ac:dyDescent="0.2">
      <c r="A462" s="1" t="s">
        <v>811</v>
      </c>
      <c r="B462" s="44" t="s">
        <v>845</v>
      </c>
      <c r="C462" s="44" t="s">
        <v>3792</v>
      </c>
      <c r="D462" s="44" t="s">
        <v>846</v>
      </c>
      <c r="E462" s="44" t="s">
        <v>812</v>
      </c>
      <c r="F462" s="44">
        <v>2021</v>
      </c>
      <c r="G462" s="44">
        <v>34</v>
      </c>
      <c r="H462" s="44">
        <v>18</v>
      </c>
      <c r="I462" s="44" t="str">
        <f>Tableau2[[#This Row],[Annee d''inscription au programme]]&amp;"-"&amp;Tableau2[[#This Row],[Code d''ecole]]&amp;"-"&amp;Tableau2[[#This Row],[Numero HM de la fille]]</f>
        <v>2021-34-18</v>
      </c>
      <c r="J462" s="45" t="s">
        <v>1710</v>
      </c>
      <c r="K462" s="44" t="s">
        <v>3505</v>
      </c>
      <c r="L462" s="35" t="s">
        <v>698</v>
      </c>
      <c r="M462" s="35">
        <v>0</v>
      </c>
      <c r="N462" s="35">
        <v>0</v>
      </c>
      <c r="O462" s="35">
        <f t="shared" si="14"/>
        <v>0</v>
      </c>
      <c r="P462" s="35">
        <v>10.5</v>
      </c>
      <c r="Q462" s="35">
        <v>12</v>
      </c>
      <c r="R462" s="35">
        <f t="shared" si="15"/>
        <v>11.25</v>
      </c>
      <c r="S462" s="35"/>
      <c r="T462" s="35"/>
      <c r="U462" s="35"/>
      <c r="V462" s="35" t="e">
        <f>AVERAGE(Tableau2[[#This Row],[1ère composition/10]:[3è composition]])</f>
        <v>#DIV/0!</v>
      </c>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f>COUNTIF(Tableau2[[#This Row],[Séance 1]:[Séance 38]],"A")</f>
        <v>0</v>
      </c>
      <c r="BJ462" s="35"/>
    </row>
    <row r="463" spans="1:62" hidden="1" x14ac:dyDescent="0.2">
      <c r="A463" s="1" t="s">
        <v>811</v>
      </c>
      <c r="B463" s="44" t="s">
        <v>847</v>
      </c>
      <c r="C463" s="44" t="s">
        <v>3792</v>
      </c>
      <c r="D463" s="44" t="s">
        <v>848</v>
      </c>
      <c r="E463" s="44" t="s">
        <v>812</v>
      </c>
      <c r="F463" s="44">
        <v>2021</v>
      </c>
      <c r="G463" s="44">
        <v>34</v>
      </c>
      <c r="H463" s="44">
        <v>19</v>
      </c>
      <c r="I463" s="44" t="str">
        <f>Tableau2[[#This Row],[Annee d''inscription au programme]]&amp;"-"&amp;Tableau2[[#This Row],[Code d''ecole]]&amp;"-"&amp;Tableau2[[#This Row],[Numero HM de la fille]]</f>
        <v>2021-34-19</v>
      </c>
      <c r="J463" s="45" t="s">
        <v>1711</v>
      </c>
      <c r="K463" s="44" t="s">
        <v>3505</v>
      </c>
      <c r="L463" s="35" t="s">
        <v>698</v>
      </c>
      <c r="M463" s="35">
        <v>7</v>
      </c>
      <c r="N463" s="35">
        <v>2</v>
      </c>
      <c r="O463" s="35">
        <f t="shared" si="14"/>
        <v>4.5</v>
      </c>
      <c r="P463" s="35">
        <v>10</v>
      </c>
      <c r="Q463" s="35">
        <v>8.5</v>
      </c>
      <c r="R463" s="35">
        <f t="shared" si="15"/>
        <v>9.25</v>
      </c>
      <c r="S463" s="35"/>
      <c r="T463" s="35"/>
      <c r="U463" s="35"/>
      <c r="V463" s="35" t="e">
        <f>AVERAGE(Tableau2[[#This Row],[1ère composition/10]:[3è composition]])</f>
        <v>#DIV/0!</v>
      </c>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f>COUNTIF(Tableau2[[#This Row],[Séance 1]:[Séance 38]],"A")</f>
        <v>0</v>
      </c>
      <c r="BJ463" s="35"/>
    </row>
    <row r="464" spans="1:62" hidden="1" x14ac:dyDescent="0.2">
      <c r="A464" s="1" t="s">
        <v>811</v>
      </c>
      <c r="B464" s="44" t="s">
        <v>850</v>
      </c>
      <c r="C464" s="44" t="s">
        <v>3791</v>
      </c>
      <c r="D464" s="44" t="s">
        <v>849</v>
      </c>
      <c r="E464" s="44" t="s">
        <v>812</v>
      </c>
      <c r="F464" s="44">
        <v>2020</v>
      </c>
      <c r="G464" s="44">
        <v>34</v>
      </c>
      <c r="H464" s="44">
        <v>466</v>
      </c>
      <c r="I464" s="44" t="str">
        <f>Tableau2[[#This Row],[Annee d''inscription au programme]]&amp;"-"&amp;Tableau2[[#This Row],[Code d''ecole]]&amp;"-"&amp;Tableau2[[#This Row],[Numero HM de la fille]]</f>
        <v>2020-34-466</v>
      </c>
      <c r="J464" s="45" t="s">
        <v>1712</v>
      </c>
      <c r="K464" s="44" t="s">
        <v>374</v>
      </c>
      <c r="L464" s="35" t="s">
        <v>620</v>
      </c>
      <c r="M464" s="35">
        <v>1</v>
      </c>
      <c r="N464" s="35">
        <v>4</v>
      </c>
      <c r="O464" s="35">
        <f t="shared" si="14"/>
        <v>2.5</v>
      </c>
      <c r="P464" s="35">
        <v>17.5</v>
      </c>
      <c r="Q464" s="35">
        <v>6.25</v>
      </c>
      <c r="R464" s="35">
        <f t="shared" si="15"/>
        <v>11.875</v>
      </c>
      <c r="S464" s="35"/>
      <c r="T464" s="35"/>
      <c r="U464" s="35"/>
      <c r="V464" s="35" t="e">
        <f>AVERAGE(Tableau2[[#This Row],[1ère composition/10]:[3è composition]])</f>
        <v>#DIV/0!</v>
      </c>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f>COUNTIF(Tableau2[[#This Row],[Séance 1]:[Séance 38]],"A")</f>
        <v>0</v>
      </c>
      <c r="BJ464" s="35"/>
    </row>
    <row r="465" spans="1:62" hidden="1" x14ac:dyDescent="0.2">
      <c r="A465" s="1" t="s">
        <v>811</v>
      </c>
      <c r="B465" s="44" t="s">
        <v>851</v>
      </c>
      <c r="C465" s="44" t="s">
        <v>3792</v>
      </c>
      <c r="D465" s="44" t="s">
        <v>852</v>
      </c>
      <c r="E465" s="44" t="s">
        <v>812</v>
      </c>
      <c r="F465" s="44">
        <v>2021</v>
      </c>
      <c r="G465" s="44">
        <v>34</v>
      </c>
      <c r="H465" s="44">
        <v>20</v>
      </c>
      <c r="I465" s="44" t="str">
        <f>Tableau2[[#This Row],[Annee d''inscription au programme]]&amp;"-"&amp;Tableau2[[#This Row],[Code d''ecole]]&amp;"-"&amp;Tableau2[[#This Row],[Numero HM de la fille]]</f>
        <v>2021-34-20</v>
      </c>
      <c r="J465" s="45" t="s">
        <v>1713</v>
      </c>
      <c r="K465" s="44" t="s">
        <v>3505</v>
      </c>
      <c r="L465" s="35" t="s">
        <v>698</v>
      </c>
      <c r="M465" s="35">
        <v>0</v>
      </c>
      <c r="N465" s="35">
        <v>0</v>
      </c>
      <c r="O465" s="35">
        <f t="shared" si="14"/>
        <v>0</v>
      </c>
      <c r="P465" s="35">
        <v>7.5</v>
      </c>
      <c r="Q465" s="35">
        <v>2</v>
      </c>
      <c r="R465" s="35">
        <f t="shared" si="15"/>
        <v>4.75</v>
      </c>
      <c r="S465" s="35"/>
      <c r="T465" s="35"/>
      <c r="U465" s="35"/>
      <c r="V465" s="35" t="e">
        <f>AVERAGE(Tableau2[[#This Row],[1ère composition/10]:[3è composition]])</f>
        <v>#DIV/0!</v>
      </c>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f>COUNTIF(Tableau2[[#This Row],[Séance 1]:[Séance 38]],"A")</f>
        <v>0</v>
      </c>
      <c r="BJ465" s="35"/>
    </row>
    <row r="466" spans="1:62" hidden="1" x14ac:dyDescent="0.2">
      <c r="A466" s="1" t="s">
        <v>811</v>
      </c>
      <c r="B466" s="44" t="s">
        <v>853</v>
      </c>
      <c r="C466" s="44" t="s">
        <v>3792</v>
      </c>
      <c r="D466" s="44" t="s">
        <v>854</v>
      </c>
      <c r="E466" s="44" t="s">
        <v>812</v>
      </c>
      <c r="F466" s="44">
        <v>2021</v>
      </c>
      <c r="G466" s="44">
        <v>34</v>
      </c>
      <c r="H466" s="44">
        <v>21</v>
      </c>
      <c r="I466" s="44" t="str">
        <f>Tableau2[[#This Row],[Annee d''inscription au programme]]&amp;"-"&amp;Tableau2[[#This Row],[Code d''ecole]]&amp;"-"&amp;Tableau2[[#This Row],[Numero HM de la fille]]</f>
        <v>2021-34-21</v>
      </c>
      <c r="J466" s="45" t="s">
        <v>1714</v>
      </c>
      <c r="K466" s="44" t="s">
        <v>3505</v>
      </c>
      <c r="L466" s="35" t="s">
        <v>698</v>
      </c>
      <c r="M466" s="35">
        <v>6</v>
      </c>
      <c r="N466" s="35">
        <v>0</v>
      </c>
      <c r="O466" s="35">
        <f t="shared" si="14"/>
        <v>3</v>
      </c>
      <c r="P466" s="35">
        <v>17.5</v>
      </c>
      <c r="Q466" s="35">
        <v>7.5</v>
      </c>
      <c r="R466" s="35">
        <f t="shared" si="15"/>
        <v>12.5</v>
      </c>
      <c r="S466" s="35"/>
      <c r="T466" s="35"/>
      <c r="U466" s="35"/>
      <c r="V466" s="35" t="e">
        <f>AVERAGE(Tableau2[[#This Row],[1ère composition/10]:[3è composition]])</f>
        <v>#DIV/0!</v>
      </c>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f>COUNTIF(Tableau2[[#This Row],[Séance 1]:[Séance 38]],"A")</f>
        <v>0</v>
      </c>
      <c r="BJ466" s="35"/>
    </row>
    <row r="467" spans="1:62" hidden="1" x14ac:dyDescent="0.2">
      <c r="A467" s="1" t="s">
        <v>811</v>
      </c>
      <c r="B467" s="44" t="s">
        <v>855</v>
      </c>
      <c r="C467" s="44" t="s">
        <v>3793</v>
      </c>
      <c r="D467" s="44" t="s">
        <v>856</v>
      </c>
      <c r="E467" s="44" t="s">
        <v>812</v>
      </c>
      <c r="F467" s="44">
        <v>2021</v>
      </c>
      <c r="G467" s="44">
        <v>34</v>
      </c>
      <c r="H467" s="44">
        <v>22</v>
      </c>
      <c r="I467" s="44" t="str">
        <f>Tableau2[[#This Row],[Annee d''inscription au programme]]&amp;"-"&amp;Tableau2[[#This Row],[Code d''ecole]]&amp;"-"&amp;Tableau2[[#This Row],[Numero HM de la fille]]</f>
        <v>2021-34-22</v>
      </c>
      <c r="J467" s="45" t="s">
        <v>1715</v>
      </c>
      <c r="K467" s="44" t="s">
        <v>3505</v>
      </c>
      <c r="L467" s="35" t="s">
        <v>698</v>
      </c>
      <c r="M467" s="35">
        <v>10.75</v>
      </c>
      <c r="N467" s="35">
        <v>4</v>
      </c>
      <c r="O467" s="35">
        <f t="shared" si="14"/>
        <v>7.375</v>
      </c>
      <c r="P467" s="35">
        <v>9.5</v>
      </c>
      <c r="Q467" s="35">
        <v>8</v>
      </c>
      <c r="R467" s="35">
        <f t="shared" si="15"/>
        <v>8.75</v>
      </c>
      <c r="S467" s="35"/>
      <c r="T467" s="35"/>
      <c r="U467" s="35"/>
      <c r="V467" s="35" t="e">
        <f>AVERAGE(Tableau2[[#This Row],[1ère composition/10]:[3è composition]])</f>
        <v>#DIV/0!</v>
      </c>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f>COUNTIF(Tableau2[[#This Row],[Séance 1]:[Séance 38]],"A")</f>
        <v>0</v>
      </c>
      <c r="BJ467" s="35"/>
    </row>
    <row r="468" spans="1:62" hidden="1" x14ac:dyDescent="0.2">
      <c r="A468" s="1" t="s">
        <v>811</v>
      </c>
      <c r="B468" s="44" t="s">
        <v>858</v>
      </c>
      <c r="C468" s="44" t="s">
        <v>3791</v>
      </c>
      <c r="D468" s="44" t="s">
        <v>857</v>
      </c>
      <c r="E468" s="44" t="s">
        <v>812</v>
      </c>
      <c r="F468" s="44">
        <v>2020</v>
      </c>
      <c r="G468" s="44">
        <v>34</v>
      </c>
      <c r="H468" s="44">
        <v>462</v>
      </c>
      <c r="I468" s="44" t="str">
        <f>Tableau2[[#This Row],[Annee d''inscription au programme]]&amp;"-"&amp;Tableau2[[#This Row],[Code d''ecole]]&amp;"-"&amp;Tableau2[[#This Row],[Numero HM de la fille]]</f>
        <v>2020-34-462</v>
      </c>
      <c r="J468" s="45" t="s">
        <v>1716</v>
      </c>
      <c r="K468" s="44" t="s">
        <v>374</v>
      </c>
      <c r="L468" s="35" t="s">
        <v>620</v>
      </c>
      <c r="M468" s="35">
        <v>8.5</v>
      </c>
      <c r="N468" s="35">
        <v>9</v>
      </c>
      <c r="O468" s="35">
        <f t="shared" si="14"/>
        <v>8.75</v>
      </c>
      <c r="P468" s="35">
        <v>9</v>
      </c>
      <c r="Q468" s="35">
        <v>15</v>
      </c>
      <c r="R468" s="35">
        <f t="shared" si="15"/>
        <v>12</v>
      </c>
      <c r="S468" s="35"/>
      <c r="T468" s="35"/>
      <c r="U468" s="35"/>
      <c r="V468" s="35" t="e">
        <f>AVERAGE(Tableau2[[#This Row],[1ère composition/10]:[3è composition]])</f>
        <v>#DIV/0!</v>
      </c>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f>COUNTIF(Tableau2[[#This Row],[Séance 1]:[Séance 38]],"A")</f>
        <v>0</v>
      </c>
      <c r="BJ468" s="35"/>
    </row>
    <row r="469" spans="1:62" hidden="1" x14ac:dyDescent="0.2">
      <c r="A469" s="1" t="s">
        <v>811</v>
      </c>
      <c r="B469" s="44" t="s">
        <v>859</v>
      </c>
      <c r="C469" s="44" t="s">
        <v>3791</v>
      </c>
      <c r="D469" s="44" t="s">
        <v>860</v>
      </c>
      <c r="E469" s="44" t="s">
        <v>812</v>
      </c>
      <c r="F469" s="44">
        <v>2020</v>
      </c>
      <c r="G469" s="44">
        <v>34</v>
      </c>
      <c r="H469" s="44">
        <v>459</v>
      </c>
      <c r="I469" s="44" t="str">
        <f>Tableau2[[#This Row],[Annee d''inscription au programme]]&amp;"-"&amp;Tableau2[[#This Row],[Code d''ecole]]&amp;"-"&amp;Tableau2[[#This Row],[Numero HM de la fille]]</f>
        <v>2020-34-459</v>
      </c>
      <c r="J469" s="45" t="s">
        <v>1717</v>
      </c>
      <c r="K469" s="44" t="s">
        <v>3505</v>
      </c>
      <c r="L469" s="35" t="s">
        <v>698</v>
      </c>
      <c r="M469" s="35">
        <v>12.5</v>
      </c>
      <c r="N469" s="35">
        <v>12</v>
      </c>
      <c r="O469" s="35">
        <f t="shared" si="14"/>
        <v>12.25</v>
      </c>
      <c r="P469" s="35">
        <v>13.5</v>
      </c>
      <c r="Q469" s="35">
        <v>18.5</v>
      </c>
      <c r="R469" s="35">
        <f t="shared" si="15"/>
        <v>16</v>
      </c>
      <c r="S469" s="35"/>
      <c r="T469" s="35"/>
      <c r="U469" s="35"/>
      <c r="V469" s="35" t="e">
        <f>AVERAGE(Tableau2[[#This Row],[1ère composition/10]:[3è composition]])</f>
        <v>#DIV/0!</v>
      </c>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f>COUNTIF(Tableau2[[#This Row],[Séance 1]:[Séance 38]],"A")</f>
        <v>0</v>
      </c>
      <c r="BJ469" s="35"/>
    </row>
    <row r="470" spans="1:62" hidden="1" x14ac:dyDescent="0.2">
      <c r="A470" s="1" t="s">
        <v>811</v>
      </c>
      <c r="B470" s="44" t="s">
        <v>861</v>
      </c>
      <c r="C470" s="44" t="s">
        <v>3792</v>
      </c>
      <c r="D470" s="44" t="s">
        <v>862</v>
      </c>
      <c r="E470" s="44" t="s">
        <v>812</v>
      </c>
      <c r="F470" s="44">
        <v>2021</v>
      </c>
      <c r="G470" s="44">
        <v>34</v>
      </c>
      <c r="H470" s="44">
        <v>23</v>
      </c>
      <c r="I470" s="44" t="str">
        <f>Tableau2[[#This Row],[Annee d''inscription au programme]]&amp;"-"&amp;Tableau2[[#This Row],[Code d''ecole]]&amp;"-"&amp;Tableau2[[#This Row],[Numero HM de la fille]]</f>
        <v>2021-34-23</v>
      </c>
      <c r="J470" s="45" t="s">
        <v>1718</v>
      </c>
      <c r="K470" s="44" t="s">
        <v>3505</v>
      </c>
      <c r="L470" s="35" t="s">
        <v>698</v>
      </c>
      <c r="M470" s="35">
        <v>8</v>
      </c>
      <c r="N470" s="35">
        <v>2</v>
      </c>
      <c r="O470" s="35">
        <f t="shared" si="14"/>
        <v>5</v>
      </c>
      <c r="P470" s="35">
        <v>9</v>
      </c>
      <c r="Q470" s="35">
        <v>14.5</v>
      </c>
      <c r="R470" s="35">
        <f t="shared" si="15"/>
        <v>11.75</v>
      </c>
      <c r="S470" s="35"/>
      <c r="T470" s="35"/>
      <c r="U470" s="35"/>
      <c r="V470" s="35" t="e">
        <f>AVERAGE(Tableau2[[#This Row],[1ère composition/10]:[3è composition]])</f>
        <v>#DIV/0!</v>
      </c>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f>COUNTIF(Tableau2[[#This Row],[Séance 1]:[Séance 38]],"A")</f>
        <v>0</v>
      </c>
      <c r="BJ470" s="35"/>
    </row>
    <row r="471" spans="1:62" hidden="1" x14ac:dyDescent="0.2">
      <c r="A471" s="1" t="s">
        <v>811</v>
      </c>
      <c r="B471" s="44" t="s">
        <v>863</v>
      </c>
      <c r="C471" s="44" t="s">
        <v>3792</v>
      </c>
      <c r="D471" s="44" t="s">
        <v>864</v>
      </c>
      <c r="E471" s="44" t="s">
        <v>812</v>
      </c>
      <c r="F471" s="44">
        <v>2021</v>
      </c>
      <c r="G471" s="44">
        <v>34</v>
      </c>
      <c r="H471" s="44">
        <v>24</v>
      </c>
      <c r="I471" s="44" t="str">
        <f>Tableau2[[#This Row],[Annee d''inscription au programme]]&amp;"-"&amp;Tableau2[[#This Row],[Code d''ecole]]&amp;"-"&amp;Tableau2[[#This Row],[Numero HM de la fille]]</f>
        <v>2021-34-24</v>
      </c>
      <c r="J471" s="45" t="s">
        <v>1719</v>
      </c>
      <c r="K471" s="44" t="s">
        <v>3505</v>
      </c>
      <c r="L471" s="35" t="s">
        <v>698</v>
      </c>
      <c r="M471" s="35">
        <v>1</v>
      </c>
      <c r="N471" s="35">
        <v>1</v>
      </c>
      <c r="O471" s="35">
        <f t="shared" si="14"/>
        <v>1</v>
      </c>
      <c r="P471" s="35"/>
      <c r="Q471" s="35"/>
      <c r="R471" s="35">
        <f t="shared" si="15"/>
        <v>0</v>
      </c>
      <c r="S471" s="35"/>
      <c r="T471" s="35"/>
      <c r="U471" s="35"/>
      <c r="V471" s="35" t="e">
        <f>AVERAGE(Tableau2[[#This Row],[1ère composition/10]:[3è composition]])</f>
        <v>#DIV/0!</v>
      </c>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f>COUNTIF(Tableau2[[#This Row],[Séance 1]:[Séance 38]],"A")</f>
        <v>0</v>
      </c>
      <c r="BJ471" s="35"/>
    </row>
    <row r="472" spans="1:62" hidden="1" x14ac:dyDescent="0.2">
      <c r="A472" s="1" t="s">
        <v>811</v>
      </c>
      <c r="B472" s="44" t="s">
        <v>865</v>
      </c>
      <c r="C472" s="44" t="s">
        <v>3792</v>
      </c>
      <c r="D472" s="44" t="s">
        <v>866</v>
      </c>
      <c r="E472" s="44" t="s">
        <v>812</v>
      </c>
      <c r="F472" s="44">
        <v>2021</v>
      </c>
      <c r="G472" s="44">
        <v>34</v>
      </c>
      <c r="H472" s="44">
        <v>25</v>
      </c>
      <c r="I472" s="44" t="str">
        <f>Tableau2[[#This Row],[Annee d''inscription au programme]]&amp;"-"&amp;Tableau2[[#This Row],[Code d''ecole]]&amp;"-"&amp;Tableau2[[#This Row],[Numero HM de la fille]]</f>
        <v>2021-34-25</v>
      </c>
      <c r="J472" s="45" t="s">
        <v>1720</v>
      </c>
      <c r="K472" s="44" t="s">
        <v>3505</v>
      </c>
      <c r="L472" s="35" t="s">
        <v>698</v>
      </c>
      <c r="M472" s="35">
        <v>8.5</v>
      </c>
      <c r="N472" s="35">
        <v>1</v>
      </c>
      <c r="O472" s="35">
        <f t="shared" si="14"/>
        <v>4.75</v>
      </c>
      <c r="P472" s="35">
        <v>15</v>
      </c>
      <c r="Q472" s="35">
        <v>4</v>
      </c>
      <c r="R472" s="35">
        <f t="shared" si="15"/>
        <v>9.5</v>
      </c>
      <c r="S472" s="35"/>
      <c r="T472" s="35"/>
      <c r="U472" s="35"/>
      <c r="V472" s="35" t="e">
        <f>AVERAGE(Tableau2[[#This Row],[1ère composition/10]:[3è composition]])</f>
        <v>#DIV/0!</v>
      </c>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f>COUNTIF(Tableau2[[#This Row],[Séance 1]:[Séance 38]],"A")</f>
        <v>0</v>
      </c>
      <c r="BJ472" s="35"/>
    </row>
    <row r="473" spans="1:62" hidden="1" x14ac:dyDescent="0.2">
      <c r="A473" s="1" t="s">
        <v>811</v>
      </c>
      <c r="B473" s="44" t="s">
        <v>867</v>
      </c>
      <c r="C473" s="44" t="s">
        <v>3792</v>
      </c>
      <c r="D473" s="44" t="s">
        <v>868</v>
      </c>
      <c r="E473" s="44" t="s">
        <v>812</v>
      </c>
      <c r="F473" s="44">
        <v>2021</v>
      </c>
      <c r="G473" s="44">
        <v>34</v>
      </c>
      <c r="H473" s="44">
        <v>26</v>
      </c>
      <c r="I473" s="44" t="str">
        <f>Tableau2[[#This Row],[Annee d''inscription au programme]]&amp;"-"&amp;Tableau2[[#This Row],[Code d''ecole]]&amp;"-"&amp;Tableau2[[#This Row],[Numero HM de la fille]]</f>
        <v>2021-34-26</v>
      </c>
      <c r="J473" s="45" t="s">
        <v>1721</v>
      </c>
      <c r="K473" s="44" t="s">
        <v>3505</v>
      </c>
      <c r="L473" s="35" t="s">
        <v>698</v>
      </c>
      <c r="M473" s="35">
        <v>7.5</v>
      </c>
      <c r="N473" s="35">
        <v>4.75</v>
      </c>
      <c r="O473" s="35">
        <f t="shared" si="14"/>
        <v>6.125</v>
      </c>
      <c r="P473" s="35">
        <v>10</v>
      </c>
      <c r="Q473" s="35">
        <v>11.75</v>
      </c>
      <c r="R473" s="35">
        <f t="shared" si="15"/>
        <v>10.875</v>
      </c>
      <c r="S473" s="35"/>
      <c r="T473" s="35"/>
      <c r="U473" s="35"/>
      <c r="V473" s="35" t="e">
        <f>AVERAGE(Tableau2[[#This Row],[1ère composition/10]:[3è composition]])</f>
        <v>#DIV/0!</v>
      </c>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f>COUNTIF(Tableau2[[#This Row],[Séance 1]:[Séance 38]],"A")</f>
        <v>0</v>
      </c>
      <c r="BJ473" s="35"/>
    </row>
    <row r="474" spans="1:62" hidden="1" x14ac:dyDescent="0.2">
      <c r="A474" s="1" t="s">
        <v>811</v>
      </c>
      <c r="B474" s="44" t="s">
        <v>869</v>
      </c>
      <c r="C474" s="44" t="s">
        <v>3792</v>
      </c>
      <c r="D474" s="44" t="s">
        <v>870</v>
      </c>
      <c r="E474" s="44" t="s">
        <v>812</v>
      </c>
      <c r="F474" s="44">
        <v>2021</v>
      </c>
      <c r="G474" s="44">
        <v>34</v>
      </c>
      <c r="H474" s="44">
        <v>27</v>
      </c>
      <c r="I474" s="44" t="str">
        <f>Tableau2[[#This Row],[Annee d''inscription au programme]]&amp;"-"&amp;Tableau2[[#This Row],[Code d''ecole]]&amp;"-"&amp;Tableau2[[#This Row],[Numero HM de la fille]]</f>
        <v>2021-34-27</v>
      </c>
      <c r="J474" s="45" t="s">
        <v>1722</v>
      </c>
      <c r="K474" s="44" t="s">
        <v>3505</v>
      </c>
      <c r="L474" s="35" t="s">
        <v>698</v>
      </c>
      <c r="M474" s="35">
        <v>16</v>
      </c>
      <c r="N474" s="35">
        <v>9.75</v>
      </c>
      <c r="O474" s="35">
        <f t="shared" si="14"/>
        <v>12.875</v>
      </c>
      <c r="P474" s="35">
        <v>18.5</v>
      </c>
      <c r="Q474" s="35">
        <v>19</v>
      </c>
      <c r="R474" s="35">
        <f t="shared" si="15"/>
        <v>18.75</v>
      </c>
      <c r="S474" s="35"/>
      <c r="T474" s="35"/>
      <c r="U474" s="35"/>
      <c r="V474" s="35" t="e">
        <f>AVERAGE(Tableau2[[#This Row],[1ère composition/10]:[3è composition]])</f>
        <v>#DIV/0!</v>
      </c>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f>COUNTIF(Tableau2[[#This Row],[Séance 1]:[Séance 38]],"A")</f>
        <v>0</v>
      </c>
      <c r="BJ474" s="35"/>
    </row>
    <row r="475" spans="1:62" hidden="1" x14ac:dyDescent="0.2">
      <c r="A475" s="1" t="s">
        <v>811</v>
      </c>
      <c r="B475" s="44" t="s">
        <v>872</v>
      </c>
      <c r="C475" s="44" t="s">
        <v>3792</v>
      </c>
      <c r="D475" s="44" t="s">
        <v>871</v>
      </c>
      <c r="E475" s="44" t="s">
        <v>812</v>
      </c>
      <c r="F475" s="44">
        <v>2021</v>
      </c>
      <c r="G475" s="44">
        <v>34</v>
      </c>
      <c r="H475" s="44">
        <v>28</v>
      </c>
      <c r="I475" s="44" t="str">
        <f>Tableau2[[#This Row],[Annee d''inscription au programme]]&amp;"-"&amp;Tableau2[[#This Row],[Code d''ecole]]&amp;"-"&amp;Tableau2[[#This Row],[Numero HM de la fille]]</f>
        <v>2021-34-28</v>
      </c>
      <c r="J475" s="45" t="s">
        <v>1723</v>
      </c>
      <c r="K475" s="44" t="s">
        <v>3505</v>
      </c>
      <c r="L475" s="35" t="s">
        <v>698</v>
      </c>
      <c r="M475" s="35">
        <v>1</v>
      </c>
      <c r="N475" s="35">
        <v>2</v>
      </c>
      <c r="O475" s="35">
        <f t="shared" si="14"/>
        <v>1.5</v>
      </c>
      <c r="P475" s="35"/>
      <c r="Q475" s="35"/>
      <c r="R475" s="35">
        <f t="shared" si="15"/>
        <v>0</v>
      </c>
      <c r="S475" s="35"/>
      <c r="T475" s="35"/>
      <c r="U475" s="35"/>
      <c r="V475" s="35" t="e">
        <f>AVERAGE(Tableau2[[#This Row],[1ère composition/10]:[3è composition]])</f>
        <v>#DIV/0!</v>
      </c>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f>COUNTIF(Tableau2[[#This Row],[Séance 1]:[Séance 38]],"A")</f>
        <v>0</v>
      </c>
      <c r="BJ475" s="35"/>
    </row>
    <row r="476" spans="1:62" hidden="1" x14ac:dyDescent="0.2">
      <c r="A476" s="1" t="s">
        <v>811</v>
      </c>
      <c r="B476" s="44" t="s">
        <v>3936</v>
      </c>
      <c r="C476" s="44" t="s">
        <v>3792</v>
      </c>
      <c r="D476" s="44" t="s">
        <v>873</v>
      </c>
      <c r="E476" s="44" t="s">
        <v>812</v>
      </c>
      <c r="F476" s="44">
        <v>2021</v>
      </c>
      <c r="G476" s="44">
        <v>34</v>
      </c>
      <c r="H476" s="44">
        <v>29</v>
      </c>
      <c r="I476" s="44" t="str">
        <f>Tableau2[[#This Row],[Annee d''inscription au programme]]&amp;"-"&amp;Tableau2[[#This Row],[Code d''ecole]]&amp;"-"&amp;Tableau2[[#This Row],[Numero HM de la fille]]</f>
        <v>2021-34-29</v>
      </c>
      <c r="J476" s="45" t="s">
        <v>1724</v>
      </c>
      <c r="K476" s="44" t="s">
        <v>3505</v>
      </c>
      <c r="L476" s="35" t="s">
        <v>698</v>
      </c>
      <c r="M476" s="35">
        <v>2.5</v>
      </c>
      <c r="N476" s="35">
        <v>0</v>
      </c>
      <c r="O476" s="35">
        <f t="shared" si="14"/>
        <v>1.25</v>
      </c>
      <c r="P476" s="35">
        <v>9</v>
      </c>
      <c r="Q476" s="35">
        <v>2.5</v>
      </c>
      <c r="R476" s="35">
        <f t="shared" si="15"/>
        <v>5.75</v>
      </c>
      <c r="S476" s="35"/>
      <c r="T476" s="35"/>
      <c r="U476" s="35"/>
      <c r="V476" s="35" t="e">
        <f>AVERAGE(Tableau2[[#This Row],[1ère composition/10]:[3è composition]])</f>
        <v>#DIV/0!</v>
      </c>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f>COUNTIF(Tableau2[[#This Row],[Séance 1]:[Séance 38]],"A")</f>
        <v>0</v>
      </c>
      <c r="BJ476" s="35"/>
    </row>
    <row r="477" spans="1:62" hidden="1" x14ac:dyDescent="0.2">
      <c r="A477" s="1" t="s">
        <v>811</v>
      </c>
      <c r="B477" s="44" t="s">
        <v>3937</v>
      </c>
      <c r="C477" s="44" t="s">
        <v>3792</v>
      </c>
      <c r="D477" s="44" t="s">
        <v>874</v>
      </c>
      <c r="E477" s="44" t="s">
        <v>812</v>
      </c>
      <c r="F477" s="44">
        <v>2021</v>
      </c>
      <c r="G477" s="44">
        <v>34</v>
      </c>
      <c r="H477" s="44">
        <v>30</v>
      </c>
      <c r="I477" s="44" t="str">
        <f>Tableau2[[#This Row],[Annee d''inscription au programme]]&amp;"-"&amp;Tableau2[[#This Row],[Code d''ecole]]&amp;"-"&amp;Tableau2[[#This Row],[Numero HM de la fille]]</f>
        <v>2021-34-30</v>
      </c>
      <c r="J477" s="45" t="s">
        <v>1725</v>
      </c>
      <c r="K477" s="44" t="s">
        <v>3505</v>
      </c>
      <c r="L477" s="35" t="s">
        <v>698</v>
      </c>
      <c r="M477" s="35">
        <v>7.5</v>
      </c>
      <c r="N477" s="35">
        <v>3</v>
      </c>
      <c r="O477" s="35">
        <f t="shared" si="14"/>
        <v>5.25</v>
      </c>
      <c r="P477" s="35">
        <v>7</v>
      </c>
      <c r="Q477" s="35">
        <v>3.5</v>
      </c>
      <c r="R477" s="35">
        <f t="shared" si="15"/>
        <v>5.25</v>
      </c>
      <c r="S477" s="35"/>
      <c r="T477" s="35"/>
      <c r="U477" s="35"/>
      <c r="V477" s="35" t="e">
        <f>AVERAGE(Tableau2[[#This Row],[1ère composition/10]:[3è composition]])</f>
        <v>#DIV/0!</v>
      </c>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f>COUNTIF(Tableau2[[#This Row],[Séance 1]:[Séance 38]],"A")</f>
        <v>0</v>
      </c>
      <c r="BJ477" s="35"/>
    </row>
    <row r="478" spans="1:62" hidden="1" x14ac:dyDescent="0.2">
      <c r="A478" s="1" t="s">
        <v>811</v>
      </c>
      <c r="B478" s="44" t="s">
        <v>875</v>
      </c>
      <c r="C478" s="44" t="s">
        <v>3792</v>
      </c>
      <c r="D478" s="44" t="s">
        <v>291</v>
      </c>
      <c r="E478" s="44" t="s">
        <v>812</v>
      </c>
      <c r="F478" s="44">
        <v>2021</v>
      </c>
      <c r="G478" s="44">
        <v>34</v>
      </c>
      <c r="H478" s="44">
        <v>31</v>
      </c>
      <c r="I478" s="44" t="str">
        <f>Tableau2[[#This Row],[Annee d''inscription au programme]]&amp;"-"&amp;Tableau2[[#This Row],[Code d''ecole]]&amp;"-"&amp;Tableau2[[#This Row],[Numero HM de la fille]]</f>
        <v>2021-34-31</v>
      </c>
      <c r="J478" s="45" t="s">
        <v>1726</v>
      </c>
      <c r="K478" s="44" t="s">
        <v>3505</v>
      </c>
      <c r="L478" s="35" t="s">
        <v>698</v>
      </c>
      <c r="M478" s="35">
        <v>1</v>
      </c>
      <c r="N478" s="35">
        <v>1</v>
      </c>
      <c r="O478" s="35">
        <f t="shared" si="14"/>
        <v>1</v>
      </c>
      <c r="P478" s="35"/>
      <c r="Q478" s="35"/>
      <c r="R478" s="35">
        <f t="shared" si="15"/>
        <v>0</v>
      </c>
      <c r="S478" s="35"/>
      <c r="T478" s="35"/>
      <c r="U478" s="35"/>
      <c r="V478" s="35" t="e">
        <f>AVERAGE(Tableau2[[#This Row],[1ère composition/10]:[3è composition]])</f>
        <v>#DIV/0!</v>
      </c>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f>COUNTIF(Tableau2[[#This Row],[Séance 1]:[Séance 38]],"A")</f>
        <v>0</v>
      </c>
      <c r="BJ478" s="35"/>
    </row>
    <row r="479" spans="1:62" hidden="1" x14ac:dyDescent="0.2">
      <c r="A479" s="1" t="s">
        <v>811</v>
      </c>
      <c r="B479" s="44" t="s">
        <v>3794</v>
      </c>
      <c r="C479" s="44" t="s">
        <v>3793</v>
      </c>
      <c r="D479" s="44" t="s">
        <v>656</v>
      </c>
      <c r="E479" s="44" t="s">
        <v>812</v>
      </c>
      <c r="F479" s="44">
        <v>2021</v>
      </c>
      <c r="G479" s="44">
        <v>34</v>
      </c>
      <c r="H479" s="44">
        <v>32</v>
      </c>
      <c r="I479" s="44" t="str">
        <f>Tableau2[[#This Row],[Annee d''inscription au programme]]&amp;"-"&amp;Tableau2[[#This Row],[Code d''ecole]]&amp;"-"&amp;Tableau2[[#This Row],[Numero HM de la fille]]</f>
        <v>2021-34-32</v>
      </c>
      <c r="J479" s="45" t="s">
        <v>1727</v>
      </c>
      <c r="K479" s="44" t="s">
        <v>3505</v>
      </c>
      <c r="L479" s="35" t="s">
        <v>698</v>
      </c>
      <c r="M479" s="35">
        <v>3.5</v>
      </c>
      <c r="N479" s="35">
        <v>2</v>
      </c>
      <c r="O479" s="35">
        <f t="shared" si="14"/>
        <v>2.75</v>
      </c>
      <c r="P479" s="35">
        <v>15</v>
      </c>
      <c r="Q479" s="35">
        <v>6.5</v>
      </c>
      <c r="R479" s="35">
        <f t="shared" si="15"/>
        <v>10.75</v>
      </c>
      <c r="S479" s="35"/>
      <c r="T479" s="35"/>
      <c r="U479" s="35"/>
      <c r="V479" s="35" t="e">
        <f>AVERAGE(Tableau2[[#This Row],[1ère composition/10]:[3è composition]])</f>
        <v>#DIV/0!</v>
      </c>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f>COUNTIF(Tableau2[[#This Row],[Séance 1]:[Séance 38]],"A")</f>
        <v>0</v>
      </c>
      <c r="BJ479" s="35"/>
    </row>
    <row r="480" spans="1:62" hidden="1" x14ac:dyDescent="0.2">
      <c r="A480" s="1" t="s">
        <v>811</v>
      </c>
      <c r="B480" s="44" t="s">
        <v>877</v>
      </c>
      <c r="C480" s="44" t="s">
        <v>3792</v>
      </c>
      <c r="D480" s="44" t="s">
        <v>878</v>
      </c>
      <c r="E480" s="44" t="s">
        <v>812</v>
      </c>
      <c r="F480" s="44">
        <v>2021</v>
      </c>
      <c r="G480" s="44">
        <v>34</v>
      </c>
      <c r="H480" s="44">
        <v>33</v>
      </c>
      <c r="I480" s="44" t="str">
        <f>Tableau2[[#This Row],[Annee d''inscription au programme]]&amp;"-"&amp;Tableau2[[#This Row],[Code d''ecole]]&amp;"-"&amp;Tableau2[[#This Row],[Numero HM de la fille]]</f>
        <v>2021-34-33</v>
      </c>
      <c r="J480" s="45" t="s">
        <v>1728</v>
      </c>
      <c r="K480" s="44" t="s">
        <v>3505</v>
      </c>
      <c r="L480" s="35" t="s">
        <v>698</v>
      </c>
      <c r="M480" s="35">
        <v>14</v>
      </c>
      <c r="N480" s="35">
        <v>11</v>
      </c>
      <c r="O480" s="35">
        <f t="shared" si="14"/>
        <v>12.5</v>
      </c>
      <c r="P480" s="35">
        <v>17.5</v>
      </c>
      <c r="Q480" s="35">
        <v>16.5</v>
      </c>
      <c r="R480" s="35">
        <f t="shared" si="15"/>
        <v>17</v>
      </c>
      <c r="S480" s="35"/>
      <c r="T480" s="35"/>
      <c r="U480" s="35"/>
      <c r="V480" s="35" t="e">
        <f>AVERAGE(Tableau2[[#This Row],[1ère composition/10]:[3è composition]])</f>
        <v>#DIV/0!</v>
      </c>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f>COUNTIF(Tableau2[[#This Row],[Séance 1]:[Séance 38]],"A")</f>
        <v>0</v>
      </c>
      <c r="BJ480" s="35" t="s">
        <v>101</v>
      </c>
    </row>
    <row r="481" spans="1:62" hidden="1" x14ac:dyDescent="0.2">
      <c r="A481" s="1" t="s">
        <v>811</v>
      </c>
      <c r="B481" s="44" t="s">
        <v>879</v>
      </c>
      <c r="C481" s="44" t="s">
        <v>3792</v>
      </c>
      <c r="D481" s="44" t="s">
        <v>880</v>
      </c>
      <c r="E481" s="44" t="s">
        <v>812</v>
      </c>
      <c r="F481" s="44">
        <v>2021</v>
      </c>
      <c r="G481" s="44">
        <v>34</v>
      </c>
      <c r="H481" s="44">
        <v>34</v>
      </c>
      <c r="I481" s="44" t="str">
        <f>Tableau2[[#This Row],[Annee d''inscription au programme]]&amp;"-"&amp;Tableau2[[#This Row],[Code d''ecole]]&amp;"-"&amp;Tableau2[[#This Row],[Numero HM de la fille]]</f>
        <v>2021-34-34</v>
      </c>
      <c r="J481" s="45" t="s">
        <v>1729</v>
      </c>
      <c r="K481" s="44" t="s">
        <v>3505</v>
      </c>
      <c r="L481" s="35" t="s">
        <v>698</v>
      </c>
      <c r="M481" s="35">
        <v>1.5</v>
      </c>
      <c r="N481" s="35">
        <v>2.75</v>
      </c>
      <c r="O481" s="35">
        <f t="shared" si="14"/>
        <v>2.125</v>
      </c>
      <c r="P481" s="35">
        <v>11</v>
      </c>
      <c r="Q481" s="35">
        <v>6</v>
      </c>
      <c r="R481" s="35">
        <f t="shared" si="15"/>
        <v>8.5</v>
      </c>
      <c r="S481" s="35"/>
      <c r="T481" s="35"/>
      <c r="U481" s="35"/>
      <c r="V481" s="35" t="e">
        <f>AVERAGE(Tableau2[[#This Row],[1ère composition/10]:[3è composition]])</f>
        <v>#DIV/0!</v>
      </c>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f>COUNTIF(Tableau2[[#This Row],[Séance 1]:[Séance 38]],"A")</f>
        <v>0</v>
      </c>
      <c r="BJ481" s="35"/>
    </row>
    <row r="482" spans="1:62" hidden="1" x14ac:dyDescent="0.2">
      <c r="A482" s="1" t="s">
        <v>811</v>
      </c>
      <c r="B482" s="44" t="s">
        <v>881</v>
      </c>
      <c r="C482" s="44" t="s">
        <v>3791</v>
      </c>
      <c r="D482" s="44" t="s">
        <v>882</v>
      </c>
      <c r="E482" s="44" t="s">
        <v>812</v>
      </c>
      <c r="F482" s="44">
        <v>2020</v>
      </c>
      <c r="G482" s="44">
        <v>34</v>
      </c>
      <c r="H482" s="44">
        <v>476</v>
      </c>
      <c r="I482" s="44" t="str">
        <f>Tableau2[[#This Row],[Annee d''inscription au programme]]&amp;"-"&amp;Tableau2[[#This Row],[Code d''ecole]]&amp;"-"&amp;Tableau2[[#This Row],[Numero HM de la fille]]</f>
        <v>2020-34-476</v>
      </c>
      <c r="J482" s="45" t="s">
        <v>1730</v>
      </c>
      <c r="K482" s="44" t="s">
        <v>374</v>
      </c>
      <c r="L482" s="35" t="s">
        <v>620</v>
      </c>
      <c r="M482" s="35">
        <v>7.5</v>
      </c>
      <c r="N482" s="35">
        <v>1</v>
      </c>
      <c r="O482" s="35">
        <f t="shared" si="14"/>
        <v>4.25</v>
      </c>
      <c r="P482" s="35">
        <v>8</v>
      </c>
      <c r="Q482" s="35">
        <v>7</v>
      </c>
      <c r="R482" s="35">
        <f t="shared" si="15"/>
        <v>7.5</v>
      </c>
      <c r="S482" s="35"/>
      <c r="T482" s="35"/>
      <c r="U482" s="35"/>
      <c r="V482" s="35" t="e">
        <f>AVERAGE(Tableau2[[#This Row],[1ère composition/10]:[3è composition]])</f>
        <v>#DIV/0!</v>
      </c>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f>COUNTIF(Tableau2[[#This Row],[Séance 1]:[Séance 38]],"A")</f>
        <v>0</v>
      </c>
      <c r="BJ482" s="35"/>
    </row>
    <row r="483" spans="1:62" hidden="1" x14ac:dyDescent="0.2">
      <c r="A483" s="1" t="s">
        <v>811</v>
      </c>
      <c r="B483" s="44" t="s">
        <v>883</v>
      </c>
      <c r="C483" s="44" t="s">
        <v>3792</v>
      </c>
      <c r="D483" s="44" t="s">
        <v>884</v>
      </c>
      <c r="E483" s="44" t="s">
        <v>812</v>
      </c>
      <c r="F483" s="44">
        <v>2021</v>
      </c>
      <c r="G483" s="44">
        <v>34</v>
      </c>
      <c r="H483" s="44">
        <v>35</v>
      </c>
      <c r="I483" s="44" t="str">
        <f>Tableau2[[#This Row],[Annee d''inscription au programme]]&amp;"-"&amp;Tableau2[[#This Row],[Code d''ecole]]&amp;"-"&amp;Tableau2[[#This Row],[Numero HM de la fille]]</f>
        <v>2021-34-35</v>
      </c>
      <c r="J483" s="45" t="s">
        <v>1731</v>
      </c>
      <c r="K483" s="44" t="s">
        <v>3505</v>
      </c>
      <c r="L483" s="35" t="s">
        <v>698</v>
      </c>
      <c r="M483" s="35">
        <v>1</v>
      </c>
      <c r="N483" s="35">
        <v>1</v>
      </c>
      <c r="O483" s="35">
        <f t="shared" si="14"/>
        <v>1</v>
      </c>
      <c r="P483" s="35">
        <v>7.5</v>
      </c>
      <c r="Q483" s="35">
        <v>2.5</v>
      </c>
      <c r="R483" s="35">
        <f t="shared" si="15"/>
        <v>5</v>
      </c>
      <c r="S483" s="35"/>
      <c r="T483" s="35"/>
      <c r="U483" s="35"/>
      <c r="V483" s="35" t="e">
        <f>AVERAGE(Tableau2[[#This Row],[1ère composition/10]:[3è composition]])</f>
        <v>#DIV/0!</v>
      </c>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f>COUNTIF(Tableau2[[#This Row],[Séance 1]:[Séance 38]],"A")</f>
        <v>0</v>
      </c>
      <c r="BJ483" s="35"/>
    </row>
    <row r="484" spans="1:62" hidden="1" x14ac:dyDescent="0.2">
      <c r="A484" s="1" t="s">
        <v>811</v>
      </c>
      <c r="B484" s="44" t="s">
        <v>885</v>
      </c>
      <c r="C484" s="44" t="s">
        <v>3792</v>
      </c>
      <c r="D484" s="44" t="s">
        <v>848</v>
      </c>
      <c r="E484" s="44" t="s">
        <v>812</v>
      </c>
      <c r="F484" s="44">
        <v>2021</v>
      </c>
      <c r="G484" s="44">
        <v>34</v>
      </c>
      <c r="H484" s="44">
        <v>36</v>
      </c>
      <c r="I484" s="44" t="str">
        <f>Tableau2[[#This Row],[Annee d''inscription au programme]]&amp;"-"&amp;Tableau2[[#This Row],[Code d''ecole]]&amp;"-"&amp;Tableau2[[#This Row],[Numero HM de la fille]]</f>
        <v>2021-34-36</v>
      </c>
      <c r="J484" s="45" t="s">
        <v>1732</v>
      </c>
      <c r="K484" s="44" t="s">
        <v>3505</v>
      </c>
      <c r="L484" s="35" t="s">
        <v>698</v>
      </c>
      <c r="M484" s="35">
        <v>6.5</v>
      </c>
      <c r="N484" s="35">
        <v>11.5</v>
      </c>
      <c r="O484" s="35">
        <f t="shared" si="14"/>
        <v>9</v>
      </c>
      <c r="P484" s="35">
        <v>12</v>
      </c>
      <c r="Q484" s="35">
        <v>16.5</v>
      </c>
      <c r="R484" s="35">
        <f t="shared" si="15"/>
        <v>14.25</v>
      </c>
      <c r="S484" s="35"/>
      <c r="T484" s="35"/>
      <c r="U484" s="35"/>
      <c r="V484" s="35" t="e">
        <f>AVERAGE(Tableau2[[#This Row],[1ère composition/10]:[3è composition]])</f>
        <v>#DIV/0!</v>
      </c>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f>COUNTIF(Tableau2[[#This Row],[Séance 1]:[Séance 38]],"A")</f>
        <v>0</v>
      </c>
      <c r="BJ484" s="35"/>
    </row>
    <row r="485" spans="1:62" hidden="1" x14ac:dyDescent="0.2">
      <c r="A485" s="1" t="s">
        <v>811</v>
      </c>
      <c r="B485" s="44" t="s">
        <v>886</v>
      </c>
      <c r="C485" s="44" t="s">
        <v>3791</v>
      </c>
      <c r="D485" s="44" t="s">
        <v>887</v>
      </c>
      <c r="E485" s="44" t="s">
        <v>812</v>
      </c>
      <c r="F485" s="44">
        <v>2020</v>
      </c>
      <c r="G485" s="44">
        <v>34</v>
      </c>
      <c r="H485" s="44">
        <v>474</v>
      </c>
      <c r="I485" s="44" t="str">
        <f>Tableau2[[#This Row],[Annee d''inscription au programme]]&amp;"-"&amp;Tableau2[[#This Row],[Code d''ecole]]&amp;"-"&amp;Tableau2[[#This Row],[Numero HM de la fille]]</f>
        <v>2020-34-474</v>
      </c>
      <c r="J485" s="45" t="s">
        <v>1733</v>
      </c>
      <c r="K485" s="44" t="s">
        <v>374</v>
      </c>
      <c r="L485" s="35" t="s">
        <v>620</v>
      </c>
      <c r="M485" s="35">
        <v>0</v>
      </c>
      <c r="N485" s="35">
        <v>0</v>
      </c>
      <c r="O485" s="35">
        <f t="shared" si="14"/>
        <v>0</v>
      </c>
      <c r="P485" s="35">
        <v>15</v>
      </c>
      <c r="Q485" s="35">
        <v>16.25</v>
      </c>
      <c r="R485" s="35">
        <f t="shared" si="15"/>
        <v>15.625</v>
      </c>
      <c r="S485" s="35"/>
      <c r="T485" s="35"/>
      <c r="U485" s="35"/>
      <c r="V485" s="35" t="e">
        <f>AVERAGE(Tableau2[[#This Row],[1ère composition/10]:[3è composition]])</f>
        <v>#DIV/0!</v>
      </c>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f>COUNTIF(Tableau2[[#This Row],[Séance 1]:[Séance 38]],"A")</f>
        <v>0</v>
      </c>
      <c r="BJ485" s="35"/>
    </row>
    <row r="486" spans="1:62" hidden="1" x14ac:dyDescent="0.2">
      <c r="A486" s="1" t="s">
        <v>811</v>
      </c>
      <c r="B486" s="44" t="s">
        <v>888</v>
      </c>
      <c r="C486" s="44" t="s">
        <v>3792</v>
      </c>
      <c r="D486" s="44" t="s">
        <v>346</v>
      </c>
      <c r="E486" s="44" t="s">
        <v>812</v>
      </c>
      <c r="F486" s="44">
        <v>2021</v>
      </c>
      <c r="G486" s="44">
        <v>34</v>
      </c>
      <c r="H486" s="44">
        <v>37</v>
      </c>
      <c r="I486" s="44" t="str">
        <f>Tableau2[[#This Row],[Annee d''inscription au programme]]&amp;"-"&amp;Tableau2[[#This Row],[Code d''ecole]]&amp;"-"&amp;Tableau2[[#This Row],[Numero HM de la fille]]</f>
        <v>2021-34-37</v>
      </c>
      <c r="J486" s="45" t="s">
        <v>1734</v>
      </c>
      <c r="K486" s="44" t="s">
        <v>3505</v>
      </c>
      <c r="L486" s="35" t="s">
        <v>698</v>
      </c>
      <c r="M486" s="35">
        <v>1.5</v>
      </c>
      <c r="N486" s="35">
        <v>3.25</v>
      </c>
      <c r="O486" s="35">
        <f t="shared" si="14"/>
        <v>2.375</v>
      </c>
      <c r="P486" s="35">
        <v>3.5</v>
      </c>
      <c r="Q486" s="35">
        <v>2.5</v>
      </c>
      <c r="R486" s="35">
        <f t="shared" si="15"/>
        <v>3</v>
      </c>
      <c r="S486" s="35"/>
      <c r="T486" s="35"/>
      <c r="U486" s="35"/>
      <c r="V486" s="35" t="e">
        <f>AVERAGE(Tableau2[[#This Row],[1ère composition/10]:[3è composition]])</f>
        <v>#DIV/0!</v>
      </c>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f>COUNTIF(Tableau2[[#This Row],[Séance 1]:[Séance 38]],"A")</f>
        <v>0</v>
      </c>
      <c r="BJ486" s="35"/>
    </row>
    <row r="487" spans="1:62" hidden="1" x14ac:dyDescent="0.2">
      <c r="A487" s="1" t="s">
        <v>811</v>
      </c>
      <c r="B487" s="60" t="s">
        <v>903</v>
      </c>
      <c r="C487" s="44" t="s">
        <v>3792</v>
      </c>
      <c r="D487" s="60" t="s">
        <v>262</v>
      </c>
      <c r="E487" s="61" t="s">
        <v>812</v>
      </c>
      <c r="F487" s="61">
        <v>2021</v>
      </c>
      <c r="G487" s="61">
        <v>34</v>
      </c>
      <c r="H487" s="61">
        <v>38</v>
      </c>
      <c r="I487" s="61" t="str">
        <f>Tableau2[[#This Row],[Annee d''inscription au programme]]&amp;"-"&amp;Tableau2[[#This Row],[Code d''ecole]]&amp;"-"&amp;Tableau2[[#This Row],[Numero HM de la fille]]</f>
        <v>2021-34-38</v>
      </c>
      <c r="J487" s="45" t="s">
        <v>1735</v>
      </c>
      <c r="K487" s="58" t="s">
        <v>3505</v>
      </c>
      <c r="L487" s="35" t="s">
        <v>698</v>
      </c>
      <c r="M487" s="35">
        <v>1.5</v>
      </c>
      <c r="N487" s="50">
        <v>4</v>
      </c>
      <c r="O487" s="2">
        <f t="shared" si="14"/>
        <v>2.75</v>
      </c>
      <c r="P487" s="55">
        <v>6</v>
      </c>
      <c r="Q487" s="56">
        <v>6</v>
      </c>
      <c r="R487" s="2">
        <f t="shared" si="15"/>
        <v>6</v>
      </c>
      <c r="S487" s="55"/>
      <c r="T487" s="57"/>
      <c r="U487" s="57"/>
      <c r="V487" s="57" t="e">
        <f>AVERAGE(Tableau2[[#This Row],[1ère composition/10]:[3è composition]])</f>
        <v>#DIV/0!</v>
      </c>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f>COUNTIF(Tableau2[[#This Row],[Séance 1]:[Séance 38]],"A")</f>
        <v>0</v>
      </c>
      <c r="BJ487" s="35"/>
    </row>
    <row r="488" spans="1:62" hidden="1" x14ac:dyDescent="0.2">
      <c r="A488" s="1" t="s">
        <v>889</v>
      </c>
      <c r="B488" s="44" t="s">
        <v>890</v>
      </c>
      <c r="C488" s="44" t="s">
        <v>3832</v>
      </c>
      <c r="D488" s="44" t="s">
        <v>891</v>
      </c>
      <c r="E488" s="44" t="s">
        <v>812</v>
      </c>
      <c r="F488" s="44">
        <v>2021</v>
      </c>
      <c r="G488" s="44">
        <v>50</v>
      </c>
      <c r="H488" s="44">
        <v>1</v>
      </c>
      <c r="I488" s="44" t="str">
        <f>Tableau2[[#This Row],[Annee d''inscription au programme]]&amp;"-"&amp;Tableau2[[#This Row],[Code d''ecole]]&amp;"-"&amp;Tableau2[[#This Row],[Numero HM de la fille]]</f>
        <v>2021-50-1</v>
      </c>
      <c r="J488" s="45" t="s">
        <v>1736</v>
      </c>
      <c r="K488" s="44" t="s">
        <v>593</v>
      </c>
      <c r="L488" s="35" t="s">
        <v>698</v>
      </c>
      <c r="M488" s="35">
        <v>9</v>
      </c>
      <c r="N488" s="35">
        <v>6.5</v>
      </c>
      <c r="O488" s="35">
        <f t="shared" si="14"/>
        <v>7.75</v>
      </c>
      <c r="P488" s="35">
        <v>10.5</v>
      </c>
      <c r="Q488" s="35">
        <v>13</v>
      </c>
      <c r="R488" s="35">
        <f t="shared" si="15"/>
        <v>11.75</v>
      </c>
      <c r="S488" s="35"/>
      <c r="T488" s="35"/>
      <c r="U488" s="35"/>
      <c r="V488" s="35" t="e">
        <f>AVERAGE(Tableau2[[#This Row],[1ère composition/10]:[3è composition]])</f>
        <v>#DIV/0!</v>
      </c>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f>COUNTIF(Tableau2[[#This Row],[Séance 1]:[Séance 38]],"A")</f>
        <v>0</v>
      </c>
      <c r="BJ488" s="35"/>
    </row>
    <row r="489" spans="1:62" hidden="1" x14ac:dyDescent="0.2">
      <c r="A489" s="1" t="s">
        <v>889</v>
      </c>
      <c r="B489" s="44" t="s">
        <v>892</v>
      </c>
      <c r="C489" s="44" t="s">
        <v>3835</v>
      </c>
      <c r="D489" s="44" t="s">
        <v>893</v>
      </c>
      <c r="E489" s="44" t="s">
        <v>812</v>
      </c>
      <c r="F489" s="44">
        <v>2021</v>
      </c>
      <c r="G489" s="44">
        <v>50</v>
      </c>
      <c r="H489" s="44">
        <v>2</v>
      </c>
      <c r="I489" s="44" t="str">
        <f>Tableau2[[#This Row],[Annee d''inscription au programme]]&amp;"-"&amp;Tableau2[[#This Row],[Code d''ecole]]&amp;"-"&amp;Tableau2[[#This Row],[Numero HM de la fille]]</f>
        <v>2021-50-2</v>
      </c>
      <c r="J489" s="45" t="s">
        <v>1737</v>
      </c>
      <c r="K489" s="44" t="s">
        <v>3505</v>
      </c>
      <c r="L489" s="35" t="s">
        <v>3528</v>
      </c>
      <c r="M489" s="35">
        <v>0</v>
      </c>
      <c r="N489" s="35">
        <v>0</v>
      </c>
      <c r="O489" s="35">
        <f t="shared" si="14"/>
        <v>0</v>
      </c>
      <c r="P489" s="35">
        <v>12.5</v>
      </c>
      <c r="Q489" s="35">
        <v>15</v>
      </c>
      <c r="R489" s="35">
        <f t="shared" si="15"/>
        <v>13.75</v>
      </c>
      <c r="S489" s="35"/>
      <c r="T489" s="35"/>
      <c r="U489" s="35"/>
      <c r="V489" s="35" t="e">
        <f>AVERAGE(Tableau2[[#This Row],[1ère composition/10]:[3è composition]])</f>
        <v>#DIV/0!</v>
      </c>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f>COUNTIF(Tableau2[[#This Row],[Séance 1]:[Séance 38]],"A")</f>
        <v>0</v>
      </c>
      <c r="BJ489" s="35"/>
    </row>
    <row r="490" spans="1:62" hidden="1" x14ac:dyDescent="0.2">
      <c r="A490" s="1" t="s">
        <v>889</v>
      </c>
      <c r="B490" s="44" t="s">
        <v>894</v>
      </c>
      <c r="C490" s="44" t="s">
        <v>3832</v>
      </c>
      <c r="D490" s="44" t="s">
        <v>895</v>
      </c>
      <c r="E490" s="44" t="s">
        <v>812</v>
      </c>
      <c r="F490" s="44">
        <v>2021</v>
      </c>
      <c r="G490" s="44">
        <v>50</v>
      </c>
      <c r="H490" s="44">
        <v>3</v>
      </c>
      <c r="I490" s="44" t="str">
        <f>Tableau2[[#This Row],[Annee d''inscription au programme]]&amp;"-"&amp;Tableau2[[#This Row],[Code d''ecole]]&amp;"-"&amp;Tableau2[[#This Row],[Numero HM de la fille]]</f>
        <v>2021-50-3</v>
      </c>
      <c r="J490" s="45" t="s">
        <v>1738</v>
      </c>
      <c r="K490" s="44" t="s">
        <v>374</v>
      </c>
      <c r="L490" s="35" t="s">
        <v>3529</v>
      </c>
      <c r="M490" s="35">
        <v>9.5</v>
      </c>
      <c r="N490" s="35">
        <v>3</v>
      </c>
      <c r="O490" s="35">
        <f t="shared" si="14"/>
        <v>6.25</v>
      </c>
      <c r="P490" s="35">
        <v>11</v>
      </c>
      <c r="Q490" s="35">
        <v>13</v>
      </c>
      <c r="R490" s="35">
        <f t="shared" si="15"/>
        <v>12</v>
      </c>
      <c r="S490" s="35"/>
      <c r="T490" s="35"/>
      <c r="U490" s="35"/>
      <c r="V490" s="35" t="e">
        <f>AVERAGE(Tableau2[[#This Row],[1ère composition/10]:[3è composition]])</f>
        <v>#DIV/0!</v>
      </c>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f>COUNTIF(Tableau2[[#This Row],[Séance 1]:[Séance 38]],"A")</f>
        <v>0</v>
      </c>
      <c r="BJ490" s="35"/>
    </row>
    <row r="491" spans="1:62" hidden="1" x14ac:dyDescent="0.2">
      <c r="A491" s="1" t="s">
        <v>889</v>
      </c>
      <c r="B491" s="44" t="s">
        <v>896</v>
      </c>
      <c r="C491" s="44" t="s">
        <v>3835</v>
      </c>
      <c r="D491" s="44" t="s">
        <v>215</v>
      </c>
      <c r="E491" s="44" t="s">
        <v>812</v>
      </c>
      <c r="F491" s="44">
        <v>2021</v>
      </c>
      <c r="G491" s="44">
        <v>50</v>
      </c>
      <c r="H491" s="44">
        <v>4</v>
      </c>
      <c r="I491" s="44" t="str">
        <f>Tableau2[[#This Row],[Annee d''inscription au programme]]&amp;"-"&amp;Tableau2[[#This Row],[Code d''ecole]]&amp;"-"&amp;Tableau2[[#This Row],[Numero HM de la fille]]</f>
        <v>2021-50-4</v>
      </c>
      <c r="J491" s="45" t="s">
        <v>1739</v>
      </c>
      <c r="K491" s="44" t="s">
        <v>374</v>
      </c>
      <c r="L491" s="35" t="s">
        <v>3529</v>
      </c>
      <c r="M491" s="35">
        <v>9.5</v>
      </c>
      <c r="N491" s="35">
        <v>4</v>
      </c>
      <c r="O491" s="35">
        <f t="shared" si="14"/>
        <v>6.75</v>
      </c>
      <c r="P491" s="35">
        <v>10.5</v>
      </c>
      <c r="Q491" s="35">
        <v>17</v>
      </c>
      <c r="R491" s="35">
        <f t="shared" si="15"/>
        <v>13.75</v>
      </c>
      <c r="S491" s="35"/>
      <c r="T491" s="35"/>
      <c r="U491" s="35"/>
      <c r="V491" s="35" t="e">
        <f>AVERAGE(Tableau2[[#This Row],[1ère composition/10]:[3è composition]])</f>
        <v>#DIV/0!</v>
      </c>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f>COUNTIF(Tableau2[[#This Row],[Séance 1]:[Séance 38]],"A")</f>
        <v>0</v>
      </c>
      <c r="BJ491" s="35"/>
    </row>
    <row r="492" spans="1:62" hidden="1" x14ac:dyDescent="0.2">
      <c r="A492" s="1" t="s">
        <v>889</v>
      </c>
      <c r="B492" s="44" t="s">
        <v>897</v>
      </c>
      <c r="C492" s="44" t="s">
        <v>3832</v>
      </c>
      <c r="D492" s="44" t="s">
        <v>898</v>
      </c>
      <c r="E492" s="44" t="s">
        <v>812</v>
      </c>
      <c r="F492" s="44">
        <v>2021</v>
      </c>
      <c r="G492" s="44">
        <v>50</v>
      </c>
      <c r="H492" s="44">
        <v>5</v>
      </c>
      <c r="I492" s="44" t="str">
        <f>Tableau2[[#This Row],[Annee d''inscription au programme]]&amp;"-"&amp;Tableau2[[#This Row],[Code d''ecole]]&amp;"-"&amp;Tableau2[[#This Row],[Numero HM de la fille]]</f>
        <v>2021-50-5</v>
      </c>
      <c r="J492" s="45" t="s">
        <v>1740</v>
      </c>
      <c r="K492" s="44" t="s">
        <v>593</v>
      </c>
      <c r="L492" s="35" t="s">
        <v>698</v>
      </c>
      <c r="M492" s="35">
        <v>0</v>
      </c>
      <c r="N492" s="35">
        <v>0</v>
      </c>
      <c r="O492" s="35">
        <f t="shared" si="14"/>
        <v>0</v>
      </c>
      <c r="P492" s="35">
        <v>14</v>
      </c>
      <c r="Q492" s="35">
        <v>9.5</v>
      </c>
      <c r="R492" s="35">
        <f t="shared" si="15"/>
        <v>11.75</v>
      </c>
      <c r="S492" s="35"/>
      <c r="T492" s="35"/>
      <c r="U492" s="35"/>
      <c r="V492" s="35" t="e">
        <f>AVERAGE(Tableau2[[#This Row],[1ère composition/10]:[3è composition]])</f>
        <v>#DIV/0!</v>
      </c>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f>COUNTIF(Tableau2[[#This Row],[Séance 1]:[Séance 38]],"A")</f>
        <v>0</v>
      </c>
      <c r="BJ492" s="35"/>
    </row>
    <row r="493" spans="1:62" hidden="1" x14ac:dyDescent="0.2">
      <c r="A493" s="1" t="s">
        <v>889</v>
      </c>
      <c r="B493" s="44" t="s">
        <v>899</v>
      </c>
      <c r="C493" s="44" t="s">
        <v>3835</v>
      </c>
      <c r="D493" s="44" t="s">
        <v>900</v>
      </c>
      <c r="E493" s="44" t="s">
        <v>812</v>
      </c>
      <c r="F493" s="44">
        <v>2021</v>
      </c>
      <c r="G493" s="44">
        <v>50</v>
      </c>
      <c r="H493" s="44">
        <v>6</v>
      </c>
      <c r="I493" s="44" t="str">
        <f>Tableau2[[#This Row],[Annee d''inscription au programme]]&amp;"-"&amp;Tableau2[[#This Row],[Code d''ecole]]&amp;"-"&amp;Tableau2[[#This Row],[Numero HM de la fille]]</f>
        <v>2021-50-6</v>
      </c>
      <c r="J493" s="45" t="s">
        <v>1741</v>
      </c>
      <c r="K493" s="44" t="s">
        <v>374</v>
      </c>
      <c r="L493" s="35" t="s">
        <v>3529</v>
      </c>
      <c r="M493" s="35">
        <v>9.5</v>
      </c>
      <c r="N493" s="35">
        <v>5.25</v>
      </c>
      <c r="O493" s="35">
        <f t="shared" si="14"/>
        <v>7.375</v>
      </c>
      <c r="P493" s="35">
        <v>12.5</v>
      </c>
      <c r="Q493" s="35">
        <v>11</v>
      </c>
      <c r="R493" s="35">
        <f t="shared" si="15"/>
        <v>11.75</v>
      </c>
      <c r="S493" s="35"/>
      <c r="T493" s="35"/>
      <c r="U493" s="35"/>
      <c r="V493" s="35" t="e">
        <f>AVERAGE(Tableau2[[#This Row],[1ère composition/10]:[3è composition]])</f>
        <v>#DIV/0!</v>
      </c>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f>COUNTIF(Tableau2[[#This Row],[Séance 1]:[Séance 38]],"A")</f>
        <v>0</v>
      </c>
      <c r="BJ493" s="35"/>
    </row>
    <row r="494" spans="1:62" hidden="1" x14ac:dyDescent="0.2">
      <c r="A494" s="1" t="s">
        <v>889</v>
      </c>
      <c r="B494" s="44" t="s">
        <v>901</v>
      </c>
      <c r="C494" s="44" t="s">
        <v>3835</v>
      </c>
      <c r="D494" s="44" t="s">
        <v>902</v>
      </c>
      <c r="E494" s="44" t="s">
        <v>812</v>
      </c>
      <c r="F494" s="44">
        <v>2021</v>
      </c>
      <c r="G494" s="44">
        <v>50</v>
      </c>
      <c r="H494" s="44">
        <v>7</v>
      </c>
      <c r="I494" s="44" t="str">
        <f>Tableau2[[#This Row],[Annee d''inscription au programme]]&amp;"-"&amp;Tableau2[[#This Row],[Code d''ecole]]&amp;"-"&amp;Tableau2[[#This Row],[Numero HM de la fille]]</f>
        <v>2021-50-7</v>
      </c>
      <c r="J494" s="45" t="s">
        <v>1742</v>
      </c>
      <c r="K494" s="44" t="s">
        <v>593</v>
      </c>
      <c r="L494" s="35" t="s">
        <v>698</v>
      </c>
      <c r="M494" s="35">
        <v>8.5</v>
      </c>
      <c r="N494" s="35">
        <v>7.25</v>
      </c>
      <c r="O494" s="35">
        <f t="shared" si="14"/>
        <v>7.875</v>
      </c>
      <c r="P494" s="35">
        <v>16.5</v>
      </c>
      <c r="Q494" s="35">
        <v>19.5</v>
      </c>
      <c r="R494" s="35">
        <f t="shared" si="15"/>
        <v>18</v>
      </c>
      <c r="S494" s="35"/>
      <c r="T494" s="35"/>
      <c r="U494" s="35"/>
      <c r="V494" s="35" t="e">
        <f>AVERAGE(Tableau2[[#This Row],[1ère composition/10]:[3è composition]])</f>
        <v>#DIV/0!</v>
      </c>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f>COUNTIF(Tableau2[[#This Row],[Séance 1]:[Séance 38]],"A")</f>
        <v>0</v>
      </c>
      <c r="BJ494" s="35"/>
    </row>
    <row r="495" spans="1:62" hidden="1" x14ac:dyDescent="0.2">
      <c r="A495" s="1" t="s">
        <v>889</v>
      </c>
      <c r="B495" s="44" t="s">
        <v>903</v>
      </c>
      <c r="C495" s="44" t="s">
        <v>3835</v>
      </c>
      <c r="D495" s="44" t="s">
        <v>904</v>
      </c>
      <c r="E495" s="44" t="s">
        <v>812</v>
      </c>
      <c r="F495" s="44">
        <v>2021</v>
      </c>
      <c r="G495" s="44">
        <v>50</v>
      </c>
      <c r="H495" s="44">
        <v>8</v>
      </c>
      <c r="I495" s="44" t="str">
        <f>Tableau2[[#This Row],[Annee d''inscription au programme]]&amp;"-"&amp;Tableau2[[#This Row],[Code d''ecole]]&amp;"-"&amp;Tableau2[[#This Row],[Numero HM de la fille]]</f>
        <v>2021-50-8</v>
      </c>
      <c r="J495" s="45" t="s">
        <v>1743</v>
      </c>
      <c r="K495" s="44" t="s">
        <v>374</v>
      </c>
      <c r="L495" s="35" t="s">
        <v>3529</v>
      </c>
      <c r="M495" s="35">
        <v>9.5</v>
      </c>
      <c r="N495" s="35">
        <v>7.25</v>
      </c>
      <c r="O495" s="35">
        <f t="shared" si="14"/>
        <v>8.375</v>
      </c>
      <c r="P495" s="35">
        <v>12.5</v>
      </c>
      <c r="Q495" s="35">
        <v>14.5</v>
      </c>
      <c r="R495" s="35">
        <f t="shared" si="15"/>
        <v>13.5</v>
      </c>
      <c r="S495" s="35"/>
      <c r="T495" s="35"/>
      <c r="U495" s="35"/>
      <c r="V495" s="35" t="e">
        <f>AVERAGE(Tableau2[[#This Row],[1ère composition/10]:[3è composition]])</f>
        <v>#DIV/0!</v>
      </c>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f>COUNTIF(Tableau2[[#This Row],[Séance 1]:[Séance 38]],"A")</f>
        <v>0</v>
      </c>
      <c r="BJ495" s="35"/>
    </row>
    <row r="496" spans="1:62" hidden="1" x14ac:dyDescent="0.2">
      <c r="A496" s="1" t="s">
        <v>889</v>
      </c>
      <c r="B496" s="44" t="s">
        <v>905</v>
      </c>
      <c r="C496" s="44" t="s">
        <v>3835</v>
      </c>
      <c r="D496" s="44" t="s">
        <v>906</v>
      </c>
      <c r="E496" s="44" t="s">
        <v>812</v>
      </c>
      <c r="F496" s="44">
        <v>2021</v>
      </c>
      <c r="G496" s="44">
        <v>50</v>
      </c>
      <c r="H496" s="44">
        <v>9</v>
      </c>
      <c r="I496" s="44" t="str">
        <f>Tableau2[[#This Row],[Annee d''inscription au programme]]&amp;"-"&amp;Tableau2[[#This Row],[Code d''ecole]]&amp;"-"&amp;Tableau2[[#This Row],[Numero HM de la fille]]</f>
        <v>2021-50-9</v>
      </c>
      <c r="J496" s="45" t="s">
        <v>1744</v>
      </c>
      <c r="K496" s="44" t="s">
        <v>374</v>
      </c>
      <c r="L496" s="35" t="s">
        <v>3529</v>
      </c>
      <c r="M496" s="35">
        <v>10.5</v>
      </c>
      <c r="N496" s="35">
        <v>7.25</v>
      </c>
      <c r="O496" s="35">
        <f t="shared" si="14"/>
        <v>8.875</v>
      </c>
      <c r="P496" s="35">
        <v>12.5</v>
      </c>
      <c r="Q496" s="35">
        <v>15.5</v>
      </c>
      <c r="R496" s="35">
        <f t="shared" si="15"/>
        <v>14</v>
      </c>
      <c r="S496" s="35"/>
      <c r="T496" s="35"/>
      <c r="U496" s="35"/>
      <c r="V496" s="35" t="e">
        <f>AVERAGE(Tableau2[[#This Row],[1ère composition/10]:[3è composition]])</f>
        <v>#DIV/0!</v>
      </c>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f>COUNTIF(Tableau2[[#This Row],[Séance 1]:[Séance 38]],"A")</f>
        <v>0</v>
      </c>
      <c r="BJ496" s="35"/>
    </row>
    <row r="497" spans="1:62" hidden="1" x14ac:dyDescent="0.2">
      <c r="A497" s="1" t="s">
        <v>889</v>
      </c>
      <c r="B497" s="44" t="s">
        <v>907</v>
      </c>
      <c r="C497" s="59" t="s">
        <v>3837</v>
      </c>
      <c r="D497" s="44" t="s">
        <v>908</v>
      </c>
      <c r="E497" s="44" t="s">
        <v>812</v>
      </c>
      <c r="F497" s="44">
        <v>2021</v>
      </c>
      <c r="G497" s="44">
        <v>50</v>
      </c>
      <c r="H497" s="44">
        <v>10</v>
      </c>
      <c r="I497" s="44" t="str">
        <f>Tableau2[[#This Row],[Annee d''inscription au programme]]&amp;"-"&amp;Tableau2[[#This Row],[Code d''ecole]]&amp;"-"&amp;Tableau2[[#This Row],[Numero HM de la fille]]</f>
        <v>2021-50-10</v>
      </c>
      <c r="J497" s="45" t="s">
        <v>1745</v>
      </c>
      <c r="K497" s="44" t="s">
        <v>593</v>
      </c>
      <c r="L497" s="35" t="s">
        <v>698</v>
      </c>
      <c r="M497" s="35">
        <v>14</v>
      </c>
      <c r="N497" s="35">
        <v>10</v>
      </c>
      <c r="O497" s="35">
        <f t="shared" si="14"/>
        <v>12</v>
      </c>
      <c r="P497" s="35">
        <v>16</v>
      </c>
      <c r="Q497" s="35">
        <v>18.5</v>
      </c>
      <c r="R497" s="35">
        <f t="shared" si="15"/>
        <v>17.25</v>
      </c>
      <c r="S497" s="35"/>
      <c r="T497" s="35"/>
      <c r="U497" s="35"/>
      <c r="V497" s="35" t="e">
        <f>AVERAGE(Tableau2[[#This Row],[1ère composition/10]:[3è composition]])</f>
        <v>#DIV/0!</v>
      </c>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f>COUNTIF(Tableau2[[#This Row],[Séance 1]:[Séance 38]],"A")</f>
        <v>0</v>
      </c>
      <c r="BJ497" s="35"/>
    </row>
    <row r="498" spans="1:62" hidden="1" x14ac:dyDescent="0.2">
      <c r="A498" s="1" t="s">
        <v>889</v>
      </c>
      <c r="B498" s="44" t="s">
        <v>909</v>
      </c>
      <c r="C498" s="44" t="s">
        <v>3835</v>
      </c>
      <c r="D498" s="44" t="s">
        <v>910</v>
      </c>
      <c r="E498" s="44" t="s">
        <v>812</v>
      </c>
      <c r="F498" s="44">
        <v>2021</v>
      </c>
      <c r="G498" s="44">
        <v>50</v>
      </c>
      <c r="H498" s="44">
        <v>11</v>
      </c>
      <c r="I498" s="44" t="str">
        <f>Tableau2[[#This Row],[Annee d''inscription au programme]]&amp;"-"&amp;Tableau2[[#This Row],[Code d''ecole]]&amp;"-"&amp;Tableau2[[#This Row],[Numero HM de la fille]]</f>
        <v>2021-50-11</v>
      </c>
      <c r="J498" s="45" t="s">
        <v>1746</v>
      </c>
      <c r="K498" s="44" t="s">
        <v>593</v>
      </c>
      <c r="L498" s="35" t="s">
        <v>698</v>
      </c>
      <c r="M498" s="35">
        <v>12</v>
      </c>
      <c r="N498" s="35">
        <v>12.5</v>
      </c>
      <c r="O498" s="35">
        <f t="shared" si="14"/>
        <v>12.25</v>
      </c>
      <c r="P498" s="35">
        <v>16</v>
      </c>
      <c r="Q498" s="35">
        <v>19.5</v>
      </c>
      <c r="R498" s="35">
        <f t="shared" si="15"/>
        <v>17.75</v>
      </c>
      <c r="S498" s="35"/>
      <c r="T498" s="35"/>
      <c r="U498" s="35"/>
      <c r="V498" s="35" t="e">
        <f>AVERAGE(Tableau2[[#This Row],[1ère composition/10]:[3è composition]])</f>
        <v>#DIV/0!</v>
      </c>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f>COUNTIF(Tableau2[[#This Row],[Séance 1]:[Séance 38]],"A")</f>
        <v>0</v>
      </c>
      <c r="BJ498" s="35"/>
    </row>
    <row r="499" spans="1:62" hidden="1" x14ac:dyDescent="0.2">
      <c r="A499" s="1" t="s">
        <v>889</v>
      </c>
      <c r="B499" s="44" t="s">
        <v>911</v>
      </c>
      <c r="C499" s="44" t="s">
        <v>3835</v>
      </c>
      <c r="D499" s="44" t="s">
        <v>912</v>
      </c>
      <c r="E499" s="44" t="s">
        <v>812</v>
      </c>
      <c r="F499" s="44">
        <v>2021</v>
      </c>
      <c r="G499" s="44">
        <v>50</v>
      </c>
      <c r="H499" s="44">
        <v>12</v>
      </c>
      <c r="I499" s="44" t="str">
        <f>Tableau2[[#This Row],[Annee d''inscription au programme]]&amp;"-"&amp;Tableau2[[#This Row],[Code d''ecole]]&amp;"-"&amp;Tableau2[[#This Row],[Numero HM de la fille]]</f>
        <v>2021-50-12</v>
      </c>
      <c r="J499" s="45" t="s">
        <v>1747</v>
      </c>
      <c r="K499" s="44" t="s">
        <v>374</v>
      </c>
      <c r="L499" s="35" t="s">
        <v>3529</v>
      </c>
      <c r="M499" s="35">
        <v>8</v>
      </c>
      <c r="N499" s="35">
        <v>0</v>
      </c>
      <c r="O499" s="35">
        <f t="shared" si="14"/>
        <v>4</v>
      </c>
      <c r="P499" s="35">
        <v>13</v>
      </c>
      <c r="Q499" s="35">
        <v>15</v>
      </c>
      <c r="R499" s="35">
        <f t="shared" si="15"/>
        <v>14</v>
      </c>
      <c r="S499" s="35"/>
      <c r="T499" s="35"/>
      <c r="U499" s="35"/>
      <c r="V499" s="35" t="e">
        <f>AVERAGE(Tableau2[[#This Row],[1ère composition/10]:[3è composition]])</f>
        <v>#DIV/0!</v>
      </c>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f>COUNTIF(Tableau2[[#This Row],[Séance 1]:[Séance 38]],"A")</f>
        <v>0</v>
      </c>
      <c r="BJ499" s="35"/>
    </row>
    <row r="500" spans="1:62" hidden="1" x14ac:dyDescent="0.2">
      <c r="A500" s="1" t="s">
        <v>889</v>
      </c>
      <c r="B500" s="44" t="s">
        <v>913</v>
      </c>
      <c r="C500" s="44" t="s">
        <v>3835</v>
      </c>
      <c r="D500" s="44" t="s">
        <v>914</v>
      </c>
      <c r="E500" s="44" t="s">
        <v>812</v>
      </c>
      <c r="F500" s="44">
        <v>2021</v>
      </c>
      <c r="G500" s="44">
        <v>50</v>
      </c>
      <c r="H500" s="44">
        <v>13</v>
      </c>
      <c r="I500" s="44" t="str">
        <f>Tableau2[[#This Row],[Annee d''inscription au programme]]&amp;"-"&amp;Tableau2[[#This Row],[Code d''ecole]]&amp;"-"&amp;Tableau2[[#This Row],[Numero HM de la fille]]</f>
        <v>2021-50-13</v>
      </c>
      <c r="J500" s="45" t="s">
        <v>1748</v>
      </c>
      <c r="K500" s="44" t="s">
        <v>593</v>
      </c>
      <c r="L500" s="35" t="s">
        <v>698</v>
      </c>
      <c r="M500" s="35">
        <v>14</v>
      </c>
      <c r="N500" s="35">
        <v>7.5</v>
      </c>
      <c r="O500" s="35">
        <f t="shared" si="14"/>
        <v>10.75</v>
      </c>
      <c r="P500" s="35">
        <v>12.5</v>
      </c>
      <c r="Q500" s="35">
        <v>15.5</v>
      </c>
      <c r="R500" s="35">
        <f t="shared" si="15"/>
        <v>14</v>
      </c>
      <c r="S500" s="35"/>
      <c r="T500" s="35"/>
      <c r="U500" s="35"/>
      <c r="V500" s="35" t="e">
        <f>AVERAGE(Tableau2[[#This Row],[1ère composition/10]:[3è composition]])</f>
        <v>#DIV/0!</v>
      </c>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f>COUNTIF(Tableau2[[#This Row],[Séance 1]:[Séance 38]],"A")</f>
        <v>0</v>
      </c>
      <c r="BJ500" s="35"/>
    </row>
    <row r="501" spans="1:62" hidden="1" x14ac:dyDescent="0.2">
      <c r="A501" s="1" t="s">
        <v>889</v>
      </c>
      <c r="B501" s="44" t="s">
        <v>915</v>
      </c>
      <c r="C501" s="44" t="s">
        <v>3835</v>
      </c>
      <c r="D501" s="44" t="s">
        <v>916</v>
      </c>
      <c r="E501" s="44" t="s">
        <v>812</v>
      </c>
      <c r="F501" s="44">
        <v>2021</v>
      </c>
      <c r="G501" s="44">
        <v>50</v>
      </c>
      <c r="H501" s="44">
        <v>14</v>
      </c>
      <c r="I501" s="44" t="str">
        <f>Tableau2[[#This Row],[Annee d''inscription au programme]]&amp;"-"&amp;Tableau2[[#This Row],[Code d''ecole]]&amp;"-"&amp;Tableau2[[#This Row],[Numero HM de la fille]]</f>
        <v>2021-50-14</v>
      </c>
      <c r="J501" s="45" t="s">
        <v>1749</v>
      </c>
      <c r="K501" s="44" t="s">
        <v>374</v>
      </c>
      <c r="L501" s="35" t="s">
        <v>3529</v>
      </c>
      <c r="M501" s="35">
        <v>9.5</v>
      </c>
      <c r="N501" s="35">
        <v>5</v>
      </c>
      <c r="O501" s="35">
        <f t="shared" si="14"/>
        <v>7.25</v>
      </c>
      <c r="P501" s="35">
        <v>12</v>
      </c>
      <c r="Q501" s="35">
        <v>10</v>
      </c>
      <c r="R501" s="35">
        <f t="shared" si="15"/>
        <v>11</v>
      </c>
      <c r="S501" s="35"/>
      <c r="T501" s="35"/>
      <c r="U501" s="35"/>
      <c r="V501" s="35" t="e">
        <f>AVERAGE(Tableau2[[#This Row],[1ère composition/10]:[3è composition]])</f>
        <v>#DIV/0!</v>
      </c>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f>COUNTIF(Tableau2[[#This Row],[Séance 1]:[Séance 38]],"A")</f>
        <v>0</v>
      </c>
      <c r="BJ501" s="35"/>
    </row>
    <row r="502" spans="1:62" hidden="1" x14ac:dyDescent="0.2">
      <c r="A502" s="1" t="s">
        <v>889</v>
      </c>
      <c r="B502" s="44" t="s">
        <v>917</v>
      </c>
      <c r="C502" s="44" t="s">
        <v>3835</v>
      </c>
      <c r="D502" s="44" t="s">
        <v>918</v>
      </c>
      <c r="E502" s="44" t="s">
        <v>812</v>
      </c>
      <c r="F502" s="44">
        <v>2021</v>
      </c>
      <c r="G502" s="44">
        <v>50</v>
      </c>
      <c r="H502" s="44">
        <v>15</v>
      </c>
      <c r="I502" s="44" t="str">
        <f>Tableau2[[#This Row],[Annee d''inscription au programme]]&amp;"-"&amp;Tableau2[[#This Row],[Code d''ecole]]&amp;"-"&amp;Tableau2[[#This Row],[Numero HM de la fille]]</f>
        <v>2021-50-15</v>
      </c>
      <c r="J502" s="45" t="s">
        <v>1750</v>
      </c>
      <c r="K502" s="44" t="s">
        <v>374</v>
      </c>
      <c r="L502" s="35" t="s">
        <v>3529</v>
      </c>
      <c r="M502" s="35">
        <v>7.5</v>
      </c>
      <c r="N502" s="35">
        <v>3</v>
      </c>
      <c r="O502" s="35">
        <f t="shared" si="14"/>
        <v>5.25</v>
      </c>
      <c r="P502" s="35">
        <v>8.5</v>
      </c>
      <c r="Q502" s="35">
        <v>11.5</v>
      </c>
      <c r="R502" s="35">
        <f t="shared" si="15"/>
        <v>10</v>
      </c>
      <c r="S502" s="35"/>
      <c r="T502" s="35"/>
      <c r="U502" s="35"/>
      <c r="V502" s="35" t="e">
        <f>AVERAGE(Tableau2[[#This Row],[1ère composition/10]:[3è composition]])</f>
        <v>#DIV/0!</v>
      </c>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f>COUNTIF(Tableau2[[#This Row],[Séance 1]:[Séance 38]],"A")</f>
        <v>0</v>
      </c>
      <c r="BJ502" s="35"/>
    </row>
    <row r="503" spans="1:62" hidden="1" x14ac:dyDescent="0.2">
      <c r="A503" s="1" t="s">
        <v>889</v>
      </c>
      <c r="B503" s="44" t="s">
        <v>919</v>
      </c>
      <c r="C503" s="44" t="s">
        <v>3832</v>
      </c>
      <c r="D503" s="44" t="s">
        <v>920</v>
      </c>
      <c r="E503" s="44" t="s">
        <v>812</v>
      </c>
      <c r="F503" s="44">
        <v>2021</v>
      </c>
      <c r="G503" s="44">
        <v>50</v>
      </c>
      <c r="H503" s="44">
        <v>16</v>
      </c>
      <c r="I503" s="44" t="str">
        <f>Tableau2[[#This Row],[Annee d''inscription au programme]]&amp;"-"&amp;Tableau2[[#This Row],[Code d''ecole]]&amp;"-"&amp;Tableau2[[#This Row],[Numero HM de la fille]]</f>
        <v>2021-50-16</v>
      </c>
      <c r="J503" s="45" t="s">
        <v>1751</v>
      </c>
      <c r="K503" s="44" t="s">
        <v>374</v>
      </c>
      <c r="L503" s="35" t="s">
        <v>3529</v>
      </c>
      <c r="M503" s="35">
        <v>12</v>
      </c>
      <c r="N503" s="35">
        <v>9</v>
      </c>
      <c r="O503" s="35">
        <f t="shared" si="14"/>
        <v>10.5</v>
      </c>
      <c r="P503" s="35"/>
      <c r="Q503" s="35"/>
      <c r="R503" s="35">
        <f t="shared" si="15"/>
        <v>0</v>
      </c>
      <c r="S503" s="35"/>
      <c r="T503" s="35"/>
      <c r="U503" s="35"/>
      <c r="V503" s="35" t="e">
        <f>AVERAGE(Tableau2[[#This Row],[1ère composition/10]:[3è composition]])</f>
        <v>#DIV/0!</v>
      </c>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f>COUNTIF(Tableau2[[#This Row],[Séance 1]:[Séance 38]],"A")</f>
        <v>0</v>
      </c>
      <c r="BJ503" s="35"/>
    </row>
    <row r="504" spans="1:62" hidden="1" x14ac:dyDescent="0.2">
      <c r="A504" s="1" t="s">
        <v>889</v>
      </c>
      <c r="B504" s="44" t="s">
        <v>921</v>
      </c>
      <c r="C504" s="44" t="s">
        <v>3832</v>
      </c>
      <c r="D504" s="44" t="s">
        <v>922</v>
      </c>
      <c r="E504" s="44" t="s">
        <v>812</v>
      </c>
      <c r="F504" s="44">
        <v>2021</v>
      </c>
      <c r="G504" s="44">
        <v>50</v>
      </c>
      <c r="H504" s="44">
        <v>17</v>
      </c>
      <c r="I504" s="44" t="str">
        <f>Tableau2[[#This Row],[Annee d''inscription au programme]]&amp;"-"&amp;Tableau2[[#This Row],[Code d''ecole]]&amp;"-"&amp;Tableau2[[#This Row],[Numero HM de la fille]]</f>
        <v>2021-50-17</v>
      </c>
      <c r="J504" s="45" t="s">
        <v>1752</v>
      </c>
      <c r="K504" s="44" t="s">
        <v>593</v>
      </c>
      <c r="L504" s="35" t="s">
        <v>698</v>
      </c>
      <c r="M504" s="35">
        <v>0</v>
      </c>
      <c r="N504" s="35">
        <v>0</v>
      </c>
      <c r="O504" s="35">
        <f t="shared" si="14"/>
        <v>0</v>
      </c>
      <c r="P504" s="35">
        <v>12.5</v>
      </c>
      <c r="Q504" s="35">
        <v>16</v>
      </c>
      <c r="R504" s="35">
        <f t="shared" si="15"/>
        <v>14.25</v>
      </c>
      <c r="S504" s="35"/>
      <c r="T504" s="35"/>
      <c r="U504" s="35"/>
      <c r="V504" s="35" t="e">
        <f>AVERAGE(Tableau2[[#This Row],[1ère composition/10]:[3è composition]])</f>
        <v>#DIV/0!</v>
      </c>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f>COUNTIF(Tableau2[[#This Row],[Séance 1]:[Séance 38]],"A")</f>
        <v>0</v>
      </c>
      <c r="BJ504" s="35"/>
    </row>
    <row r="505" spans="1:62" hidden="1" x14ac:dyDescent="0.2">
      <c r="A505" s="1" t="s">
        <v>889</v>
      </c>
      <c r="B505" s="44" t="s">
        <v>923</v>
      </c>
      <c r="C505" s="44" t="s">
        <v>3832</v>
      </c>
      <c r="D505" s="44" t="s">
        <v>924</v>
      </c>
      <c r="E505" s="44" t="s">
        <v>812</v>
      </c>
      <c r="F505" s="44">
        <v>2021</v>
      </c>
      <c r="G505" s="44">
        <v>50</v>
      </c>
      <c r="H505" s="44">
        <v>18</v>
      </c>
      <c r="I505" s="44" t="str">
        <f>Tableau2[[#This Row],[Annee d''inscription au programme]]&amp;"-"&amp;Tableau2[[#This Row],[Code d''ecole]]&amp;"-"&amp;Tableau2[[#This Row],[Numero HM de la fille]]</f>
        <v>2021-50-18</v>
      </c>
      <c r="J505" s="45" t="s">
        <v>1753</v>
      </c>
      <c r="K505" s="44" t="s">
        <v>593</v>
      </c>
      <c r="L505" s="35" t="s">
        <v>698</v>
      </c>
      <c r="M505" s="35">
        <v>13</v>
      </c>
      <c r="N505" s="35">
        <v>15.75</v>
      </c>
      <c r="O505" s="35">
        <f t="shared" si="14"/>
        <v>14.375</v>
      </c>
      <c r="P505" s="35">
        <v>12.5</v>
      </c>
      <c r="Q505" s="35">
        <v>19.5</v>
      </c>
      <c r="R505" s="35">
        <f t="shared" si="15"/>
        <v>16</v>
      </c>
      <c r="S505" s="35"/>
      <c r="T505" s="35"/>
      <c r="U505" s="35"/>
      <c r="V505" s="35" t="e">
        <f>AVERAGE(Tableau2[[#This Row],[1ère composition/10]:[3è composition]])</f>
        <v>#DIV/0!</v>
      </c>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f>COUNTIF(Tableau2[[#This Row],[Séance 1]:[Séance 38]],"A")</f>
        <v>0</v>
      </c>
      <c r="BJ505" s="35"/>
    </row>
    <row r="506" spans="1:62" hidden="1" x14ac:dyDescent="0.2">
      <c r="A506" s="1" t="s">
        <v>889</v>
      </c>
      <c r="B506" s="44" t="s">
        <v>925</v>
      </c>
      <c r="C506" s="44" t="s">
        <v>3835</v>
      </c>
      <c r="D506" s="44" t="s">
        <v>926</v>
      </c>
      <c r="E506" s="44" t="s">
        <v>812</v>
      </c>
      <c r="F506" s="44">
        <v>2021</v>
      </c>
      <c r="G506" s="44">
        <v>50</v>
      </c>
      <c r="H506" s="44">
        <v>19</v>
      </c>
      <c r="I506" s="44" t="str">
        <f>Tableau2[[#This Row],[Annee d''inscription au programme]]&amp;"-"&amp;Tableau2[[#This Row],[Code d''ecole]]&amp;"-"&amp;Tableau2[[#This Row],[Numero HM de la fille]]</f>
        <v>2021-50-19</v>
      </c>
      <c r="J506" s="45" t="s">
        <v>1754</v>
      </c>
      <c r="K506" s="44" t="s">
        <v>374</v>
      </c>
      <c r="L506" s="35" t="s">
        <v>3528</v>
      </c>
      <c r="M506" s="35">
        <v>6.5</v>
      </c>
      <c r="N506" s="35">
        <v>2</v>
      </c>
      <c r="O506" s="35">
        <f t="shared" si="14"/>
        <v>4.25</v>
      </c>
      <c r="P506" s="35">
        <v>9.5</v>
      </c>
      <c r="Q506" s="35">
        <v>12</v>
      </c>
      <c r="R506" s="35">
        <f t="shared" si="15"/>
        <v>10.75</v>
      </c>
      <c r="S506" s="35"/>
      <c r="T506" s="35"/>
      <c r="U506" s="35"/>
      <c r="V506" s="35" t="e">
        <f>AVERAGE(Tableau2[[#This Row],[1ère composition/10]:[3è composition]])</f>
        <v>#DIV/0!</v>
      </c>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f>COUNTIF(Tableau2[[#This Row],[Séance 1]:[Séance 38]],"A")</f>
        <v>0</v>
      </c>
      <c r="BJ506" s="35"/>
    </row>
    <row r="507" spans="1:62" hidden="1" x14ac:dyDescent="0.2">
      <c r="A507" s="1" t="s">
        <v>889</v>
      </c>
      <c r="B507" s="44" t="s">
        <v>473</v>
      </c>
      <c r="C507" s="44" t="s">
        <v>3835</v>
      </c>
      <c r="D507" s="44" t="s">
        <v>291</v>
      </c>
      <c r="E507" s="44" t="s">
        <v>812</v>
      </c>
      <c r="F507" s="44">
        <v>2021</v>
      </c>
      <c r="G507" s="44">
        <v>50</v>
      </c>
      <c r="H507" s="44">
        <v>20</v>
      </c>
      <c r="I507" s="44" t="str">
        <f>Tableau2[[#This Row],[Annee d''inscription au programme]]&amp;"-"&amp;Tableau2[[#This Row],[Code d''ecole]]&amp;"-"&amp;Tableau2[[#This Row],[Numero HM de la fille]]</f>
        <v>2021-50-20</v>
      </c>
      <c r="J507" s="45" t="s">
        <v>1755</v>
      </c>
      <c r="K507" s="44" t="s">
        <v>593</v>
      </c>
      <c r="L507" s="35" t="s">
        <v>698</v>
      </c>
      <c r="M507" s="58">
        <v>10.5</v>
      </c>
      <c r="N507" s="58">
        <v>7.75</v>
      </c>
      <c r="O507" s="58">
        <f t="shared" si="14"/>
        <v>9.125</v>
      </c>
      <c r="P507" s="35">
        <v>16</v>
      </c>
      <c r="Q507" s="35">
        <v>16</v>
      </c>
      <c r="R507" s="35">
        <f t="shared" si="15"/>
        <v>16</v>
      </c>
      <c r="S507" s="58"/>
      <c r="T507" s="58"/>
      <c r="U507" s="58"/>
      <c r="V507" s="58" t="e">
        <f>AVERAGE(Tableau2[[#This Row],[1ère composition/10]:[3è composition]])</f>
        <v>#DIV/0!</v>
      </c>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35"/>
      <c r="AV507" s="35"/>
      <c r="AW507" s="35"/>
      <c r="AX507" s="35"/>
      <c r="AY507" s="35"/>
      <c r="AZ507" s="35"/>
      <c r="BA507" s="35"/>
      <c r="BB507" s="35"/>
      <c r="BC507" s="35"/>
      <c r="BD507" s="35"/>
      <c r="BE507" s="35"/>
      <c r="BF507" s="35"/>
      <c r="BG507" s="58"/>
      <c r="BH507" s="58"/>
      <c r="BI507" s="58">
        <f>COUNTIF(Tableau2[[#This Row],[Séance 1]:[Séance 38]],"A")</f>
        <v>0</v>
      </c>
      <c r="BJ507" s="58"/>
    </row>
    <row r="508" spans="1:62" hidden="1" x14ac:dyDescent="0.2">
      <c r="A508" s="1" t="s">
        <v>889</v>
      </c>
      <c r="B508" s="44" t="s">
        <v>927</v>
      </c>
      <c r="C508" s="44" t="s">
        <v>3832</v>
      </c>
      <c r="D508" s="44" t="s">
        <v>928</v>
      </c>
      <c r="E508" s="44" t="s">
        <v>812</v>
      </c>
      <c r="F508" s="44">
        <v>2021</v>
      </c>
      <c r="G508" s="44">
        <v>50</v>
      </c>
      <c r="H508" s="44">
        <v>21</v>
      </c>
      <c r="I508" s="44" t="str">
        <f>Tableau2[[#This Row],[Annee d''inscription au programme]]&amp;"-"&amp;Tableau2[[#This Row],[Code d''ecole]]&amp;"-"&amp;Tableau2[[#This Row],[Numero HM de la fille]]</f>
        <v>2021-50-21</v>
      </c>
      <c r="J508" s="45" t="s">
        <v>1756</v>
      </c>
      <c r="K508" s="44" t="s">
        <v>593</v>
      </c>
      <c r="L508" s="35" t="s">
        <v>698</v>
      </c>
      <c r="M508" s="35">
        <v>13</v>
      </c>
      <c r="N508" s="35">
        <v>12.5</v>
      </c>
      <c r="O508" s="35">
        <f t="shared" si="14"/>
        <v>12.75</v>
      </c>
      <c r="P508" s="35">
        <v>14</v>
      </c>
      <c r="Q508" s="35">
        <v>14.5</v>
      </c>
      <c r="R508" s="35">
        <f t="shared" si="15"/>
        <v>14.25</v>
      </c>
      <c r="S508" s="35"/>
      <c r="T508" s="35"/>
      <c r="U508" s="35"/>
      <c r="V508" s="35" t="e">
        <f>AVERAGE(Tableau2[[#This Row],[1ère composition/10]:[3è composition]])</f>
        <v>#DIV/0!</v>
      </c>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f>COUNTIF(Tableau2[[#This Row],[Séance 1]:[Séance 38]],"A")</f>
        <v>0</v>
      </c>
      <c r="BJ508" s="35"/>
    </row>
    <row r="509" spans="1:62" hidden="1" x14ac:dyDescent="0.2">
      <c r="A509" s="1" t="s">
        <v>889</v>
      </c>
      <c r="B509" s="44" t="s">
        <v>929</v>
      </c>
      <c r="C509" s="44" t="s">
        <v>3832</v>
      </c>
      <c r="D509" s="44" t="s">
        <v>932</v>
      </c>
      <c r="E509" s="44" t="s">
        <v>812</v>
      </c>
      <c r="F509" s="44">
        <v>2021</v>
      </c>
      <c r="G509" s="44">
        <v>50</v>
      </c>
      <c r="H509" s="44">
        <v>22</v>
      </c>
      <c r="I509" s="44" t="str">
        <f>Tableau2[[#This Row],[Annee d''inscription au programme]]&amp;"-"&amp;Tableau2[[#This Row],[Code d''ecole]]&amp;"-"&amp;Tableau2[[#This Row],[Numero HM de la fille]]</f>
        <v>2021-50-22</v>
      </c>
      <c r="J509" s="45" t="s">
        <v>1757</v>
      </c>
      <c r="K509" s="44" t="s">
        <v>593</v>
      </c>
      <c r="L509" s="35" t="s">
        <v>698</v>
      </c>
      <c r="M509" s="35">
        <v>9</v>
      </c>
      <c r="N509" s="35">
        <v>9.25</v>
      </c>
      <c r="O509" s="35">
        <f t="shared" si="14"/>
        <v>9.125</v>
      </c>
      <c r="P509" s="35">
        <v>15.5</v>
      </c>
      <c r="Q509" s="35">
        <v>18</v>
      </c>
      <c r="R509" s="35">
        <f t="shared" si="15"/>
        <v>16.75</v>
      </c>
      <c r="S509" s="35"/>
      <c r="T509" s="35"/>
      <c r="U509" s="35"/>
      <c r="V509" s="35" t="e">
        <f>AVERAGE(Tableau2[[#This Row],[1ère composition/10]:[3è composition]])</f>
        <v>#DIV/0!</v>
      </c>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f>COUNTIF(Tableau2[[#This Row],[Séance 1]:[Séance 38]],"A")</f>
        <v>0</v>
      </c>
      <c r="BJ509" s="35"/>
    </row>
    <row r="510" spans="1:62" hidden="1" x14ac:dyDescent="0.2">
      <c r="A510" s="1" t="s">
        <v>889</v>
      </c>
      <c r="B510" s="44" t="s">
        <v>930</v>
      </c>
      <c r="C510" s="44" t="s">
        <v>3832</v>
      </c>
      <c r="D510" s="44" t="s">
        <v>931</v>
      </c>
      <c r="E510" s="44" t="s">
        <v>812</v>
      </c>
      <c r="F510" s="44">
        <v>2021</v>
      </c>
      <c r="G510" s="44">
        <v>50</v>
      </c>
      <c r="H510" s="44">
        <v>23</v>
      </c>
      <c r="I510" s="44" t="str">
        <f>Tableau2[[#This Row],[Annee d''inscription au programme]]&amp;"-"&amp;Tableau2[[#This Row],[Code d''ecole]]&amp;"-"&amp;Tableau2[[#This Row],[Numero HM de la fille]]</f>
        <v>2021-50-23</v>
      </c>
      <c r="J510" s="45" t="s">
        <v>1758</v>
      </c>
      <c r="K510" s="44" t="s">
        <v>374</v>
      </c>
      <c r="L510" s="35" t="s">
        <v>3529</v>
      </c>
      <c r="M510" s="35">
        <v>12</v>
      </c>
      <c r="N510" s="35">
        <v>6.25</v>
      </c>
      <c r="O510" s="35">
        <f t="shared" si="14"/>
        <v>9.125</v>
      </c>
      <c r="P510" s="35">
        <v>12</v>
      </c>
      <c r="Q510" s="35">
        <v>14.5</v>
      </c>
      <c r="R510" s="35">
        <f t="shared" si="15"/>
        <v>13.25</v>
      </c>
      <c r="S510" s="35"/>
      <c r="T510" s="35"/>
      <c r="U510" s="35"/>
      <c r="V510" s="35" t="e">
        <f>AVERAGE(Tableau2[[#This Row],[1ère composition/10]:[3è composition]])</f>
        <v>#DIV/0!</v>
      </c>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f>COUNTIF(Tableau2[[#This Row],[Séance 1]:[Séance 38]],"A")</f>
        <v>0</v>
      </c>
      <c r="BJ510" s="35"/>
    </row>
    <row r="511" spans="1:62" hidden="1" x14ac:dyDescent="0.2">
      <c r="A511" s="1" t="s">
        <v>889</v>
      </c>
      <c r="B511" s="44" t="s">
        <v>933</v>
      </c>
      <c r="C511" s="44" t="s">
        <v>3835</v>
      </c>
      <c r="D511" s="44" t="s">
        <v>934</v>
      </c>
      <c r="E511" s="44" t="s">
        <v>812</v>
      </c>
      <c r="F511" s="44">
        <v>2021</v>
      </c>
      <c r="G511" s="44">
        <v>50</v>
      </c>
      <c r="H511" s="44">
        <v>24</v>
      </c>
      <c r="I511" s="44" t="str">
        <f>Tableau2[[#This Row],[Annee d''inscription au programme]]&amp;"-"&amp;Tableau2[[#This Row],[Code d''ecole]]&amp;"-"&amp;Tableau2[[#This Row],[Numero HM de la fille]]</f>
        <v>2021-50-24</v>
      </c>
      <c r="J511" s="45" t="s">
        <v>1759</v>
      </c>
      <c r="K511" s="44" t="s">
        <v>374</v>
      </c>
      <c r="L511" s="35" t="s">
        <v>3529</v>
      </c>
      <c r="M511" s="35">
        <v>0</v>
      </c>
      <c r="N511" s="35">
        <v>0</v>
      </c>
      <c r="O511" s="35">
        <f t="shared" si="14"/>
        <v>0</v>
      </c>
      <c r="P511" s="35">
        <v>13</v>
      </c>
      <c r="Q511" s="35">
        <v>14.5</v>
      </c>
      <c r="R511" s="35">
        <f t="shared" si="15"/>
        <v>13.75</v>
      </c>
      <c r="S511" s="35"/>
      <c r="T511" s="35"/>
      <c r="U511" s="35"/>
      <c r="V511" s="35" t="e">
        <f>AVERAGE(Tableau2[[#This Row],[1ère composition/10]:[3è composition]])</f>
        <v>#DIV/0!</v>
      </c>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f>COUNTIF(Tableau2[[#This Row],[Séance 1]:[Séance 38]],"A")</f>
        <v>0</v>
      </c>
      <c r="BJ511" s="35"/>
    </row>
    <row r="512" spans="1:62" hidden="1" x14ac:dyDescent="0.2">
      <c r="A512" s="1" t="s">
        <v>889</v>
      </c>
      <c r="B512" s="44" t="s">
        <v>935</v>
      </c>
      <c r="C512" s="44" t="s">
        <v>3832</v>
      </c>
      <c r="D512" s="44" t="s">
        <v>936</v>
      </c>
      <c r="E512" s="44" t="s">
        <v>812</v>
      </c>
      <c r="F512" s="44">
        <v>2021</v>
      </c>
      <c r="G512" s="44">
        <v>50</v>
      </c>
      <c r="H512" s="44">
        <v>25</v>
      </c>
      <c r="I512" s="44" t="str">
        <f>Tableau2[[#This Row],[Annee d''inscription au programme]]&amp;"-"&amp;Tableau2[[#This Row],[Code d''ecole]]&amp;"-"&amp;Tableau2[[#This Row],[Numero HM de la fille]]</f>
        <v>2021-50-25</v>
      </c>
      <c r="J512" s="45" t="s">
        <v>1760</v>
      </c>
      <c r="K512" s="44" t="s">
        <v>593</v>
      </c>
      <c r="L512" s="35" t="s">
        <v>698</v>
      </c>
      <c r="M512" s="35">
        <v>5.5</v>
      </c>
      <c r="N512" s="35">
        <v>5</v>
      </c>
      <c r="O512" s="35">
        <f t="shared" si="14"/>
        <v>5.25</v>
      </c>
      <c r="P512" s="35">
        <v>10</v>
      </c>
      <c r="Q512" s="35">
        <v>14.5</v>
      </c>
      <c r="R512" s="35">
        <f t="shared" si="15"/>
        <v>12.25</v>
      </c>
      <c r="S512" s="35"/>
      <c r="T512" s="35"/>
      <c r="U512" s="35"/>
      <c r="V512" s="35" t="e">
        <f>AVERAGE(Tableau2[[#This Row],[1ère composition/10]:[3è composition]])</f>
        <v>#DIV/0!</v>
      </c>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f>COUNTIF(Tableau2[[#This Row],[Séance 1]:[Séance 38]],"A")</f>
        <v>0</v>
      </c>
      <c r="BJ512" s="35"/>
    </row>
    <row r="513" spans="1:62" hidden="1" x14ac:dyDescent="0.2">
      <c r="A513" s="1" t="s">
        <v>889</v>
      </c>
      <c r="B513" s="44" t="s">
        <v>419</v>
      </c>
      <c r="C513" s="44" t="s">
        <v>3832</v>
      </c>
      <c r="D513" s="44" t="s">
        <v>937</v>
      </c>
      <c r="E513" s="44" t="s">
        <v>812</v>
      </c>
      <c r="F513" s="44">
        <v>2021</v>
      </c>
      <c r="G513" s="44">
        <v>50</v>
      </c>
      <c r="H513" s="44">
        <v>26</v>
      </c>
      <c r="I513" s="44" t="str">
        <f>Tableau2[[#This Row],[Annee d''inscription au programme]]&amp;"-"&amp;Tableau2[[#This Row],[Code d''ecole]]&amp;"-"&amp;Tableau2[[#This Row],[Numero HM de la fille]]</f>
        <v>2021-50-26</v>
      </c>
      <c r="J513" s="45" t="s">
        <v>1761</v>
      </c>
      <c r="K513" s="44" t="s">
        <v>593</v>
      </c>
      <c r="L513" s="35" t="s">
        <v>698</v>
      </c>
      <c r="M513" s="35">
        <v>17</v>
      </c>
      <c r="N513" s="35">
        <v>20</v>
      </c>
      <c r="O513" s="35">
        <f t="shared" si="14"/>
        <v>18.5</v>
      </c>
      <c r="P513" s="35">
        <v>17</v>
      </c>
      <c r="Q513" s="35">
        <v>20</v>
      </c>
      <c r="R513" s="35">
        <f t="shared" si="15"/>
        <v>18.5</v>
      </c>
      <c r="S513" s="35"/>
      <c r="T513" s="35"/>
      <c r="U513" s="35"/>
      <c r="V513" s="35" t="e">
        <f>AVERAGE(Tableau2[[#This Row],[1ère composition/10]:[3è composition]])</f>
        <v>#DIV/0!</v>
      </c>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f>COUNTIF(Tableau2[[#This Row],[Séance 1]:[Séance 38]],"A")</f>
        <v>0</v>
      </c>
      <c r="BJ513" s="35"/>
    </row>
    <row r="514" spans="1:62" hidden="1" x14ac:dyDescent="0.2">
      <c r="A514" s="1" t="s">
        <v>889</v>
      </c>
      <c r="B514" s="44" t="s">
        <v>938</v>
      </c>
      <c r="C514" s="44" t="s">
        <v>3832</v>
      </c>
      <c r="D514" s="44" t="s">
        <v>939</v>
      </c>
      <c r="E514" s="44" t="s">
        <v>812</v>
      </c>
      <c r="F514" s="44">
        <v>2021</v>
      </c>
      <c r="G514" s="44">
        <v>50</v>
      </c>
      <c r="H514" s="44">
        <v>27</v>
      </c>
      <c r="I514" s="44" t="str">
        <f>Tableau2[[#This Row],[Annee d''inscription au programme]]&amp;"-"&amp;Tableau2[[#This Row],[Code d''ecole]]&amp;"-"&amp;Tableau2[[#This Row],[Numero HM de la fille]]</f>
        <v>2021-50-27</v>
      </c>
      <c r="J514" s="45" t="s">
        <v>1762</v>
      </c>
      <c r="K514" s="44" t="s">
        <v>593</v>
      </c>
      <c r="L514" s="35" t="s">
        <v>698</v>
      </c>
      <c r="M514" s="35">
        <v>15</v>
      </c>
      <c r="N514" s="35">
        <v>10</v>
      </c>
      <c r="O514" s="35">
        <f t="shared" si="14"/>
        <v>12.5</v>
      </c>
      <c r="P514" s="35">
        <v>16</v>
      </c>
      <c r="Q514" s="35">
        <v>20</v>
      </c>
      <c r="R514" s="35">
        <f t="shared" si="15"/>
        <v>18</v>
      </c>
      <c r="S514" s="35"/>
      <c r="T514" s="35"/>
      <c r="U514" s="35"/>
      <c r="V514" s="35" t="e">
        <f>AVERAGE(Tableau2[[#This Row],[1ère composition/10]:[3è composition]])</f>
        <v>#DIV/0!</v>
      </c>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f>COUNTIF(Tableau2[[#This Row],[Séance 1]:[Séance 38]],"A")</f>
        <v>0</v>
      </c>
      <c r="BJ514" s="35"/>
    </row>
    <row r="515" spans="1:62" hidden="1" x14ac:dyDescent="0.2">
      <c r="A515" s="1" t="s">
        <v>889</v>
      </c>
      <c r="B515" s="44" t="s">
        <v>940</v>
      </c>
      <c r="C515" s="44" t="s">
        <v>3832</v>
      </c>
      <c r="D515" s="44" t="s">
        <v>941</v>
      </c>
      <c r="E515" s="44" t="s">
        <v>812</v>
      </c>
      <c r="F515" s="44">
        <v>2021</v>
      </c>
      <c r="G515" s="44">
        <v>50</v>
      </c>
      <c r="H515" s="44">
        <v>28</v>
      </c>
      <c r="I515" s="44" t="str">
        <f>Tableau2[[#This Row],[Annee d''inscription au programme]]&amp;"-"&amp;Tableau2[[#This Row],[Code d''ecole]]&amp;"-"&amp;Tableau2[[#This Row],[Numero HM de la fille]]</f>
        <v>2021-50-28</v>
      </c>
      <c r="J515" s="45" t="s">
        <v>1763</v>
      </c>
      <c r="K515" s="44" t="s">
        <v>374</v>
      </c>
      <c r="L515" s="35" t="s">
        <v>3529</v>
      </c>
      <c r="M515" s="35">
        <v>8</v>
      </c>
      <c r="N515" s="35">
        <v>3</v>
      </c>
      <c r="O515" s="35">
        <f t="shared" si="14"/>
        <v>5.5</v>
      </c>
      <c r="P515" s="35">
        <v>9.5</v>
      </c>
      <c r="Q515" s="35">
        <v>12</v>
      </c>
      <c r="R515" s="35">
        <f t="shared" si="15"/>
        <v>10.75</v>
      </c>
      <c r="S515" s="35"/>
      <c r="T515" s="35"/>
      <c r="U515" s="35"/>
      <c r="V515" s="35" t="e">
        <f>AVERAGE(Tableau2[[#This Row],[1ère composition/10]:[3è composition]])</f>
        <v>#DIV/0!</v>
      </c>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f>COUNTIF(Tableau2[[#This Row],[Séance 1]:[Séance 38]],"A")</f>
        <v>0</v>
      </c>
      <c r="BJ515" s="35"/>
    </row>
    <row r="516" spans="1:62" hidden="1" x14ac:dyDescent="0.2">
      <c r="A516" s="1" t="s">
        <v>889</v>
      </c>
      <c r="B516" s="44" t="s">
        <v>942</v>
      </c>
      <c r="C516" s="44" t="s">
        <v>3836</v>
      </c>
      <c r="D516" s="44" t="s">
        <v>943</v>
      </c>
      <c r="E516" s="44" t="s">
        <v>812</v>
      </c>
      <c r="F516" s="44">
        <v>2021</v>
      </c>
      <c r="G516" s="44">
        <v>50</v>
      </c>
      <c r="H516" s="44">
        <v>29</v>
      </c>
      <c r="I516" s="44" t="str">
        <f>Tableau2[[#This Row],[Annee d''inscription au programme]]&amp;"-"&amp;Tableau2[[#This Row],[Code d''ecole]]&amp;"-"&amp;Tableau2[[#This Row],[Numero HM de la fille]]</f>
        <v>2021-50-29</v>
      </c>
      <c r="J516" s="45" t="s">
        <v>1764</v>
      </c>
      <c r="K516" s="44" t="s">
        <v>593</v>
      </c>
      <c r="L516" s="35" t="s">
        <v>698</v>
      </c>
      <c r="M516" s="35">
        <v>19.5</v>
      </c>
      <c r="N516" s="35">
        <v>19</v>
      </c>
      <c r="O516" s="35">
        <f t="shared" si="14"/>
        <v>19.25</v>
      </c>
      <c r="P516" s="35">
        <v>18</v>
      </c>
      <c r="Q516" s="35">
        <v>20</v>
      </c>
      <c r="R516" s="35">
        <f t="shared" si="15"/>
        <v>19</v>
      </c>
      <c r="S516" s="35"/>
      <c r="T516" s="35"/>
      <c r="U516" s="35"/>
      <c r="V516" s="35" t="e">
        <f>AVERAGE(Tableau2[[#This Row],[1ère composition/10]:[3è composition]])</f>
        <v>#DIV/0!</v>
      </c>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f>COUNTIF(Tableau2[[#This Row],[Séance 1]:[Séance 38]],"A")</f>
        <v>0</v>
      </c>
      <c r="BJ516" s="35"/>
    </row>
    <row r="517" spans="1:62" hidden="1" x14ac:dyDescent="0.2">
      <c r="A517" s="1" t="s">
        <v>889</v>
      </c>
      <c r="B517" s="44" t="s">
        <v>944</v>
      </c>
      <c r="C517" s="44" t="s">
        <v>3832</v>
      </c>
      <c r="D517" s="44" t="s">
        <v>945</v>
      </c>
      <c r="E517" s="44" t="s">
        <v>812</v>
      </c>
      <c r="F517" s="44">
        <v>2021</v>
      </c>
      <c r="G517" s="44">
        <v>50</v>
      </c>
      <c r="H517" s="44">
        <v>30</v>
      </c>
      <c r="I517" s="44" t="str">
        <f>Tableau2[[#This Row],[Annee d''inscription au programme]]&amp;"-"&amp;Tableau2[[#This Row],[Code d''ecole]]&amp;"-"&amp;Tableau2[[#This Row],[Numero HM de la fille]]</f>
        <v>2021-50-30</v>
      </c>
      <c r="J517" s="45" t="s">
        <v>1765</v>
      </c>
      <c r="K517" s="44" t="s">
        <v>593</v>
      </c>
      <c r="L517" s="35" t="s">
        <v>698</v>
      </c>
      <c r="M517" s="35">
        <v>12</v>
      </c>
      <c r="N517" s="35">
        <v>14</v>
      </c>
      <c r="O517" s="35">
        <f t="shared" ref="O517:O580" si="16">AVERAGE(M517+N517)/2</f>
        <v>13</v>
      </c>
      <c r="P517" s="35">
        <v>17.5</v>
      </c>
      <c r="Q517" s="35">
        <v>20</v>
      </c>
      <c r="R517" s="35">
        <f t="shared" ref="R517:R580" si="17">AVERAGE(P517+Q517)/2</f>
        <v>18.75</v>
      </c>
      <c r="S517" s="35"/>
      <c r="T517" s="35"/>
      <c r="U517" s="35"/>
      <c r="V517" s="35" t="e">
        <f>AVERAGE(Tableau2[[#This Row],[1ère composition/10]:[3è composition]])</f>
        <v>#DIV/0!</v>
      </c>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f>COUNTIF(Tableau2[[#This Row],[Séance 1]:[Séance 38]],"A")</f>
        <v>0</v>
      </c>
      <c r="BJ517" s="35"/>
    </row>
    <row r="518" spans="1:62" hidden="1" x14ac:dyDescent="0.2">
      <c r="A518" s="1" t="s">
        <v>889</v>
      </c>
      <c r="B518" s="44" t="s">
        <v>3933</v>
      </c>
      <c r="C518" s="44" t="s">
        <v>3835</v>
      </c>
      <c r="D518" s="44" t="s">
        <v>946</v>
      </c>
      <c r="E518" s="44" t="s">
        <v>812</v>
      </c>
      <c r="F518" s="44">
        <v>2021</v>
      </c>
      <c r="G518" s="44">
        <v>50</v>
      </c>
      <c r="H518" s="44">
        <v>31</v>
      </c>
      <c r="I518" s="44" t="str">
        <f>Tableau2[[#This Row],[Annee d''inscription au programme]]&amp;"-"&amp;Tableau2[[#This Row],[Code d''ecole]]&amp;"-"&amp;Tableau2[[#This Row],[Numero HM de la fille]]</f>
        <v>2021-50-31</v>
      </c>
      <c r="J518" s="45" t="s">
        <v>1766</v>
      </c>
      <c r="K518" s="44" t="s">
        <v>593</v>
      </c>
      <c r="L518" s="35" t="s">
        <v>698</v>
      </c>
      <c r="M518" s="35">
        <v>6.5</v>
      </c>
      <c r="N518" s="35">
        <v>6</v>
      </c>
      <c r="O518" s="35">
        <f t="shared" si="16"/>
        <v>6.25</v>
      </c>
      <c r="P518" s="35">
        <v>4</v>
      </c>
      <c r="Q518" s="35">
        <v>13</v>
      </c>
      <c r="R518" s="35">
        <f t="shared" si="17"/>
        <v>8.5</v>
      </c>
      <c r="S518" s="35"/>
      <c r="T518" s="35"/>
      <c r="U518" s="35"/>
      <c r="V518" s="35" t="e">
        <f>AVERAGE(Tableau2[[#This Row],[1ère composition/10]:[3è composition]])</f>
        <v>#DIV/0!</v>
      </c>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f>COUNTIF(Tableau2[[#This Row],[Séance 1]:[Séance 38]],"A")</f>
        <v>0</v>
      </c>
      <c r="BJ518" s="35"/>
    </row>
    <row r="519" spans="1:62" hidden="1" x14ac:dyDescent="0.2">
      <c r="A519" s="1" t="s">
        <v>947</v>
      </c>
      <c r="B519" s="44" t="s">
        <v>948</v>
      </c>
      <c r="C519" s="44" t="s">
        <v>3832</v>
      </c>
      <c r="D519" s="44" t="s">
        <v>949</v>
      </c>
      <c r="E519" s="44" t="s">
        <v>812</v>
      </c>
      <c r="F519" s="44">
        <v>2021</v>
      </c>
      <c r="G519" s="44">
        <v>38</v>
      </c>
      <c r="H519" s="44">
        <v>1</v>
      </c>
      <c r="I519" s="44" t="str">
        <f>Tableau2[[#This Row],[Annee d''inscription au programme]]&amp;"-"&amp;Tableau2[[#This Row],[Code d''ecole]]&amp;"-"&amp;Tableau2[[#This Row],[Numero HM de la fille]]</f>
        <v>2021-38-1</v>
      </c>
      <c r="J519" s="45" t="s">
        <v>1767</v>
      </c>
      <c r="K519" s="44" t="s">
        <v>593</v>
      </c>
      <c r="L519" s="35" t="s">
        <v>698</v>
      </c>
      <c r="M519" s="35">
        <v>9</v>
      </c>
      <c r="N519" s="35">
        <v>4</v>
      </c>
      <c r="O519" s="35">
        <f t="shared" si="16"/>
        <v>6.5</v>
      </c>
      <c r="P519" s="35">
        <v>5.5</v>
      </c>
      <c r="Q519" s="35">
        <v>12.25</v>
      </c>
      <c r="R519" s="35">
        <f t="shared" si="17"/>
        <v>8.875</v>
      </c>
      <c r="S519" s="35"/>
      <c r="T519" s="35"/>
      <c r="U519" s="35"/>
      <c r="V519" s="35" t="e">
        <f>AVERAGE(Tableau2[[#This Row],[1ère composition/10]:[3è composition]])</f>
        <v>#DIV/0!</v>
      </c>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f>COUNTIF(Tableau2[[#This Row],[Séance 1]:[Séance 38]],"A")</f>
        <v>0</v>
      </c>
      <c r="BJ519" s="35"/>
    </row>
    <row r="520" spans="1:62" hidden="1" x14ac:dyDescent="0.2">
      <c r="A520" s="1" t="s">
        <v>947</v>
      </c>
      <c r="B520" s="44" t="s">
        <v>950</v>
      </c>
      <c r="C520" s="44" t="s">
        <v>3835</v>
      </c>
      <c r="D520" s="44" t="s">
        <v>951</v>
      </c>
      <c r="E520" s="44" t="s">
        <v>812</v>
      </c>
      <c r="F520" s="44">
        <v>2020</v>
      </c>
      <c r="G520" s="44">
        <v>38</v>
      </c>
      <c r="H520" s="44">
        <v>391</v>
      </c>
      <c r="I520" s="44" t="str">
        <f>Tableau2[[#This Row],[Annee d''inscription au programme]]&amp;"-"&amp;Tableau2[[#This Row],[Code d''ecole]]&amp;"-"&amp;Tableau2[[#This Row],[Numero HM de la fille]]</f>
        <v>2020-38-391</v>
      </c>
      <c r="J520" s="45" t="s">
        <v>1768</v>
      </c>
      <c r="K520" s="44" t="s">
        <v>374</v>
      </c>
      <c r="L520" s="35" t="s">
        <v>620</v>
      </c>
      <c r="M520" s="35">
        <v>0</v>
      </c>
      <c r="N520" s="35">
        <v>0</v>
      </c>
      <c r="O520" s="35">
        <f t="shared" si="16"/>
        <v>0</v>
      </c>
      <c r="P520" s="35">
        <v>10</v>
      </c>
      <c r="Q520" s="35">
        <v>3</v>
      </c>
      <c r="R520" s="35">
        <f t="shared" si="17"/>
        <v>6.5</v>
      </c>
      <c r="S520" s="35"/>
      <c r="T520" s="35"/>
      <c r="U520" s="35"/>
      <c r="V520" s="35" t="e">
        <f>AVERAGE(Tableau2[[#This Row],[1ère composition/10]:[3è composition]])</f>
        <v>#DIV/0!</v>
      </c>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f>COUNTIF(Tableau2[[#This Row],[Séance 1]:[Séance 38]],"A")</f>
        <v>0</v>
      </c>
      <c r="BJ520" s="35"/>
    </row>
    <row r="521" spans="1:62" hidden="1" x14ac:dyDescent="0.2">
      <c r="A521" s="1" t="s">
        <v>947</v>
      </c>
      <c r="B521" s="44" t="s">
        <v>953</v>
      </c>
      <c r="C521" s="44" t="s">
        <v>3832</v>
      </c>
      <c r="D521" s="44" t="s">
        <v>952</v>
      </c>
      <c r="E521" s="44" t="s">
        <v>812</v>
      </c>
      <c r="F521" s="44">
        <v>2021</v>
      </c>
      <c r="G521" s="44">
        <v>38</v>
      </c>
      <c r="H521" s="44">
        <v>2</v>
      </c>
      <c r="I521" s="44" t="str">
        <f>Tableau2[[#This Row],[Annee d''inscription au programme]]&amp;"-"&amp;Tableau2[[#This Row],[Code d''ecole]]&amp;"-"&amp;Tableau2[[#This Row],[Numero HM de la fille]]</f>
        <v>2021-38-2</v>
      </c>
      <c r="J521" s="45" t="s">
        <v>1769</v>
      </c>
      <c r="K521" s="44" t="s">
        <v>593</v>
      </c>
      <c r="L521" s="35" t="s">
        <v>698</v>
      </c>
      <c r="M521" s="35">
        <v>15.5</v>
      </c>
      <c r="N521" s="35">
        <v>12</v>
      </c>
      <c r="O521" s="35">
        <f t="shared" si="16"/>
        <v>13.75</v>
      </c>
      <c r="P521" s="35">
        <v>16</v>
      </c>
      <c r="Q521" s="35">
        <v>20</v>
      </c>
      <c r="R521" s="35">
        <f t="shared" si="17"/>
        <v>18</v>
      </c>
      <c r="S521" s="35"/>
      <c r="T521" s="35"/>
      <c r="U521" s="35"/>
      <c r="V521" s="35" t="e">
        <f>AVERAGE(Tableau2[[#This Row],[1ère composition/10]:[3è composition]])</f>
        <v>#DIV/0!</v>
      </c>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f>COUNTIF(Tableau2[[#This Row],[Séance 1]:[Séance 38]],"A")</f>
        <v>0</v>
      </c>
      <c r="BJ521" s="35"/>
    </row>
    <row r="522" spans="1:62" hidden="1" x14ac:dyDescent="0.2">
      <c r="A522" s="1" t="s">
        <v>947</v>
      </c>
      <c r="B522" s="44" t="s">
        <v>954</v>
      </c>
      <c r="C522" s="44" t="s">
        <v>3832</v>
      </c>
      <c r="D522" s="44" t="s">
        <v>955</v>
      </c>
      <c r="E522" s="44" t="s">
        <v>812</v>
      </c>
      <c r="F522" s="44">
        <v>2021</v>
      </c>
      <c r="G522" s="44">
        <v>38</v>
      </c>
      <c r="H522" s="44">
        <v>3</v>
      </c>
      <c r="I522" s="44" t="str">
        <f>Tableau2[[#This Row],[Annee d''inscription au programme]]&amp;"-"&amp;Tableau2[[#This Row],[Code d''ecole]]&amp;"-"&amp;Tableau2[[#This Row],[Numero HM de la fille]]</f>
        <v>2021-38-3</v>
      </c>
      <c r="J522" s="45" t="s">
        <v>1770</v>
      </c>
      <c r="K522" s="44" t="s">
        <v>593</v>
      </c>
      <c r="L522" s="35" t="s">
        <v>698</v>
      </c>
      <c r="M522" s="35">
        <v>6</v>
      </c>
      <c r="N522" s="35">
        <v>2</v>
      </c>
      <c r="O522" s="35">
        <f t="shared" si="16"/>
        <v>4</v>
      </c>
      <c r="P522" s="35">
        <v>9</v>
      </c>
      <c r="Q522" s="35">
        <v>6.25</v>
      </c>
      <c r="R522" s="35">
        <f t="shared" si="17"/>
        <v>7.625</v>
      </c>
      <c r="S522" s="35"/>
      <c r="T522" s="35"/>
      <c r="U522" s="35"/>
      <c r="V522" s="35" t="e">
        <f>AVERAGE(Tableau2[[#This Row],[1ère composition/10]:[3è composition]])</f>
        <v>#DIV/0!</v>
      </c>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f>COUNTIF(Tableau2[[#This Row],[Séance 1]:[Séance 38]],"A")</f>
        <v>0</v>
      </c>
      <c r="BJ522" s="35"/>
    </row>
    <row r="523" spans="1:62" hidden="1" x14ac:dyDescent="0.2">
      <c r="A523" s="1" t="s">
        <v>947</v>
      </c>
      <c r="B523" s="44" t="s">
        <v>956</v>
      </c>
      <c r="C523" s="44" t="s">
        <v>3835</v>
      </c>
      <c r="D523" s="44" t="s">
        <v>957</v>
      </c>
      <c r="E523" s="44" t="s">
        <v>812</v>
      </c>
      <c r="F523" s="44">
        <v>2021</v>
      </c>
      <c r="G523" s="44">
        <v>38</v>
      </c>
      <c r="H523" s="44">
        <v>4</v>
      </c>
      <c r="I523" s="44" t="str">
        <f>Tableau2[[#This Row],[Annee d''inscription au programme]]&amp;"-"&amp;Tableau2[[#This Row],[Code d''ecole]]&amp;"-"&amp;Tableau2[[#This Row],[Numero HM de la fille]]</f>
        <v>2021-38-4</v>
      </c>
      <c r="J523" s="45" t="s">
        <v>1771</v>
      </c>
      <c r="K523" s="44" t="s">
        <v>593</v>
      </c>
      <c r="L523" s="35" t="s">
        <v>698</v>
      </c>
      <c r="M523" s="35">
        <v>7</v>
      </c>
      <c r="N523" s="35">
        <v>5.75</v>
      </c>
      <c r="O523" s="35">
        <f t="shared" si="16"/>
        <v>6.375</v>
      </c>
      <c r="P523" s="35">
        <v>8</v>
      </c>
      <c r="Q523" s="35">
        <v>7.25</v>
      </c>
      <c r="R523" s="35">
        <f t="shared" si="17"/>
        <v>7.625</v>
      </c>
      <c r="S523" s="35"/>
      <c r="T523" s="35"/>
      <c r="U523" s="35"/>
      <c r="V523" s="35" t="e">
        <f>AVERAGE(Tableau2[[#This Row],[1ère composition/10]:[3è composition]])</f>
        <v>#DIV/0!</v>
      </c>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f>COUNTIF(Tableau2[[#This Row],[Séance 1]:[Séance 38]],"A")</f>
        <v>0</v>
      </c>
      <c r="BJ523" s="35"/>
    </row>
    <row r="524" spans="1:62" hidden="1" x14ac:dyDescent="0.2">
      <c r="A524" s="1" t="s">
        <v>947</v>
      </c>
      <c r="B524" s="44" t="s">
        <v>958</v>
      </c>
      <c r="C524" s="44" t="s">
        <v>3832</v>
      </c>
      <c r="D524" s="62" t="s">
        <v>959</v>
      </c>
      <c r="E524" s="44" t="s">
        <v>812</v>
      </c>
      <c r="F524" s="44">
        <v>2021</v>
      </c>
      <c r="G524" s="44">
        <v>38</v>
      </c>
      <c r="H524" s="44">
        <v>5</v>
      </c>
      <c r="I524" s="44" t="str">
        <f>Tableau2[[#This Row],[Annee d''inscription au programme]]&amp;"-"&amp;Tableau2[[#This Row],[Code d''ecole]]&amp;"-"&amp;Tableau2[[#This Row],[Numero HM de la fille]]</f>
        <v>2021-38-5</v>
      </c>
      <c r="J524" s="45" t="s">
        <v>1772</v>
      </c>
      <c r="K524" s="44" t="s">
        <v>593</v>
      </c>
      <c r="L524" s="35" t="s">
        <v>698</v>
      </c>
      <c r="M524" s="35">
        <v>10</v>
      </c>
      <c r="N524" s="35">
        <v>11.25</v>
      </c>
      <c r="O524" s="35">
        <f t="shared" si="16"/>
        <v>10.625</v>
      </c>
      <c r="P524" s="35">
        <v>15.5</v>
      </c>
      <c r="Q524" s="35">
        <v>19.75</v>
      </c>
      <c r="R524" s="35">
        <f t="shared" si="17"/>
        <v>17.625</v>
      </c>
      <c r="S524" s="35"/>
      <c r="T524" s="35"/>
      <c r="U524" s="35"/>
      <c r="V524" s="35" t="e">
        <f>AVERAGE(Tableau2[[#This Row],[1ère composition/10]:[3è composition]])</f>
        <v>#DIV/0!</v>
      </c>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f>COUNTIF(Tableau2[[#This Row],[Séance 1]:[Séance 38]],"A")</f>
        <v>0</v>
      </c>
      <c r="BJ524" s="35"/>
    </row>
    <row r="525" spans="1:62" hidden="1" x14ac:dyDescent="0.2">
      <c r="A525" s="1" t="s">
        <v>947</v>
      </c>
      <c r="B525" s="44" t="s">
        <v>960</v>
      </c>
      <c r="C525" s="44" t="s">
        <v>3835</v>
      </c>
      <c r="D525" s="44" t="s">
        <v>260</v>
      </c>
      <c r="E525" s="44" t="s">
        <v>812</v>
      </c>
      <c r="F525" s="44">
        <v>2020</v>
      </c>
      <c r="G525" s="44">
        <v>38</v>
      </c>
      <c r="H525" s="44">
        <v>392</v>
      </c>
      <c r="I525" s="44" t="str">
        <f>Tableau2[[#This Row],[Annee d''inscription au programme]]&amp;"-"&amp;Tableau2[[#This Row],[Code d''ecole]]&amp;"-"&amp;Tableau2[[#This Row],[Numero HM de la fille]]</f>
        <v>2020-38-392</v>
      </c>
      <c r="J525" s="45" t="s">
        <v>1773</v>
      </c>
      <c r="K525" s="44" t="s">
        <v>374</v>
      </c>
      <c r="L525" s="35" t="s">
        <v>620</v>
      </c>
      <c r="M525" s="35">
        <v>6.5</v>
      </c>
      <c r="N525" s="35">
        <v>2</v>
      </c>
      <c r="O525" s="35">
        <f t="shared" si="16"/>
        <v>4.25</v>
      </c>
      <c r="P525" s="35">
        <v>10</v>
      </c>
      <c r="Q525" s="35">
        <v>8.75</v>
      </c>
      <c r="R525" s="35">
        <f t="shared" si="17"/>
        <v>9.375</v>
      </c>
      <c r="S525" s="35"/>
      <c r="T525" s="35"/>
      <c r="U525" s="35"/>
      <c r="V525" s="35" t="e">
        <f>AVERAGE(Tableau2[[#This Row],[1ère composition/10]:[3è composition]])</f>
        <v>#DIV/0!</v>
      </c>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f>COUNTIF(Tableau2[[#This Row],[Séance 1]:[Séance 38]],"A")</f>
        <v>0</v>
      </c>
      <c r="BJ525" s="35"/>
    </row>
    <row r="526" spans="1:62" hidden="1" x14ac:dyDescent="0.2">
      <c r="A526" s="1" t="s">
        <v>947</v>
      </c>
      <c r="B526" s="44" t="s">
        <v>961</v>
      </c>
      <c r="C526" s="44" t="s">
        <v>3834</v>
      </c>
      <c r="D526" s="44" t="s">
        <v>962</v>
      </c>
      <c r="E526" s="44" t="s">
        <v>812</v>
      </c>
      <c r="F526" s="44">
        <v>2021</v>
      </c>
      <c r="G526" s="44">
        <v>38</v>
      </c>
      <c r="H526" s="44">
        <v>6</v>
      </c>
      <c r="I526" s="44" t="str">
        <f>Tableau2[[#This Row],[Annee d''inscription au programme]]&amp;"-"&amp;Tableau2[[#This Row],[Code d''ecole]]&amp;"-"&amp;Tableau2[[#This Row],[Numero HM de la fille]]</f>
        <v>2021-38-6</v>
      </c>
      <c r="J526" s="45" t="s">
        <v>1774</v>
      </c>
      <c r="K526" s="44" t="s">
        <v>374</v>
      </c>
      <c r="L526" s="35" t="s">
        <v>620</v>
      </c>
      <c r="M526" s="35">
        <v>8</v>
      </c>
      <c r="N526" s="35">
        <v>7.5</v>
      </c>
      <c r="O526" s="35">
        <f t="shared" si="16"/>
        <v>7.75</v>
      </c>
      <c r="P526" s="35">
        <v>9</v>
      </c>
      <c r="Q526" s="35">
        <v>14.75</v>
      </c>
      <c r="R526" s="35">
        <f t="shared" si="17"/>
        <v>11.875</v>
      </c>
      <c r="S526" s="35"/>
      <c r="T526" s="35"/>
      <c r="U526" s="35"/>
      <c r="V526" s="35" t="e">
        <f>AVERAGE(Tableau2[[#This Row],[1ère composition/10]:[3è composition]])</f>
        <v>#DIV/0!</v>
      </c>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f>COUNTIF(Tableau2[[#This Row],[Séance 1]:[Séance 38]],"A")</f>
        <v>0</v>
      </c>
      <c r="BJ526" s="35"/>
    </row>
    <row r="527" spans="1:62" hidden="1" x14ac:dyDescent="0.2">
      <c r="A527" s="1" t="s">
        <v>947</v>
      </c>
      <c r="B527" s="44" t="s">
        <v>963</v>
      </c>
      <c r="C527" s="44" t="s">
        <v>3832</v>
      </c>
      <c r="D527" s="44" t="s">
        <v>964</v>
      </c>
      <c r="E527" s="44" t="s">
        <v>812</v>
      </c>
      <c r="F527" s="44">
        <v>2021</v>
      </c>
      <c r="G527" s="44">
        <v>38</v>
      </c>
      <c r="H527" s="44">
        <v>7</v>
      </c>
      <c r="I527" s="44" t="str">
        <f>Tableau2[[#This Row],[Annee d''inscription au programme]]&amp;"-"&amp;Tableau2[[#This Row],[Code d''ecole]]&amp;"-"&amp;Tableau2[[#This Row],[Numero HM de la fille]]</f>
        <v>2021-38-7</v>
      </c>
      <c r="J527" s="45" t="s">
        <v>1775</v>
      </c>
      <c r="K527" s="44" t="s">
        <v>593</v>
      </c>
      <c r="L527" s="35" t="s">
        <v>698</v>
      </c>
      <c r="M527" s="35">
        <v>10</v>
      </c>
      <c r="N527" s="35">
        <v>11.25</v>
      </c>
      <c r="O527" s="35">
        <f t="shared" si="16"/>
        <v>10.625</v>
      </c>
      <c r="P527" s="35">
        <v>12</v>
      </c>
      <c r="Q527" s="35">
        <v>18.5</v>
      </c>
      <c r="R527" s="35">
        <f t="shared" si="17"/>
        <v>15.25</v>
      </c>
      <c r="S527" s="35"/>
      <c r="T527" s="35"/>
      <c r="U527" s="35"/>
      <c r="V527" s="35" t="e">
        <f>AVERAGE(Tableau2[[#This Row],[1ère composition/10]:[3è composition]])</f>
        <v>#DIV/0!</v>
      </c>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f>COUNTIF(Tableau2[[#This Row],[Séance 1]:[Séance 38]],"A")</f>
        <v>0</v>
      </c>
      <c r="BJ527" s="35"/>
    </row>
    <row r="528" spans="1:62" hidden="1" x14ac:dyDescent="0.2">
      <c r="A528" s="1" t="s">
        <v>947</v>
      </c>
      <c r="B528" s="44" t="s">
        <v>965</v>
      </c>
      <c r="C528" s="44" t="s">
        <v>3833</v>
      </c>
      <c r="D528" s="44" t="s">
        <v>966</v>
      </c>
      <c r="E528" s="44" t="s">
        <v>812</v>
      </c>
      <c r="F528" s="44">
        <v>2020</v>
      </c>
      <c r="G528" s="44">
        <v>38</v>
      </c>
      <c r="H528" s="44">
        <v>395</v>
      </c>
      <c r="I528" s="44" t="str">
        <f>Tableau2[[#This Row],[Annee d''inscription au programme]]&amp;"-"&amp;Tableau2[[#This Row],[Code d''ecole]]&amp;"-"&amp;Tableau2[[#This Row],[Numero HM de la fille]]</f>
        <v>2020-38-395</v>
      </c>
      <c r="J528" s="45" t="s">
        <v>1776</v>
      </c>
      <c r="K528" s="44" t="s">
        <v>374</v>
      </c>
      <c r="L528" s="35" t="s">
        <v>620</v>
      </c>
      <c r="M528" s="35">
        <v>1</v>
      </c>
      <c r="N528" s="35">
        <v>1.5</v>
      </c>
      <c r="O528" s="35">
        <f t="shared" si="16"/>
        <v>1.25</v>
      </c>
      <c r="P528" s="35">
        <v>13.5</v>
      </c>
      <c r="Q528" s="35">
        <v>16</v>
      </c>
      <c r="R528" s="35">
        <f t="shared" si="17"/>
        <v>14.75</v>
      </c>
      <c r="S528" s="35"/>
      <c r="T528" s="35"/>
      <c r="U528" s="35"/>
      <c r="V528" s="35" t="e">
        <f>AVERAGE(Tableau2[[#This Row],[1ère composition/10]:[3è composition]])</f>
        <v>#DIV/0!</v>
      </c>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f>COUNTIF(Tableau2[[#This Row],[Séance 1]:[Séance 38]],"A")</f>
        <v>0</v>
      </c>
      <c r="BJ528" s="35"/>
    </row>
    <row r="529" spans="1:62" hidden="1" x14ac:dyDescent="0.2">
      <c r="A529" s="1" t="s">
        <v>947</v>
      </c>
      <c r="B529" s="44" t="s">
        <v>967</v>
      </c>
      <c r="C529" s="44" t="s">
        <v>3832</v>
      </c>
      <c r="D529" s="44" t="s">
        <v>968</v>
      </c>
      <c r="E529" s="44" t="s">
        <v>812</v>
      </c>
      <c r="F529" s="44">
        <v>2021</v>
      </c>
      <c r="G529" s="44">
        <v>38</v>
      </c>
      <c r="H529" s="44">
        <v>8</v>
      </c>
      <c r="I529" s="44" t="str">
        <f>Tableau2[[#This Row],[Annee d''inscription au programme]]&amp;"-"&amp;Tableau2[[#This Row],[Code d''ecole]]&amp;"-"&amp;Tableau2[[#This Row],[Numero HM de la fille]]</f>
        <v>2021-38-8</v>
      </c>
      <c r="J529" s="45" t="s">
        <v>1777</v>
      </c>
      <c r="K529" s="44" t="s">
        <v>593</v>
      </c>
      <c r="L529" s="35" t="s">
        <v>698</v>
      </c>
      <c r="M529" s="35">
        <v>12</v>
      </c>
      <c r="N529" s="35">
        <v>6.25</v>
      </c>
      <c r="O529" s="35">
        <f t="shared" si="16"/>
        <v>9.125</v>
      </c>
      <c r="P529" s="35"/>
      <c r="Q529" s="35"/>
      <c r="R529" s="35">
        <f t="shared" si="17"/>
        <v>0</v>
      </c>
      <c r="S529" s="35"/>
      <c r="T529" s="35"/>
      <c r="U529" s="35"/>
      <c r="V529" s="35" t="e">
        <f>AVERAGE(Tableau2[[#This Row],[1ère composition/10]:[3è composition]])</f>
        <v>#DIV/0!</v>
      </c>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f>COUNTIF(Tableau2[[#This Row],[Séance 1]:[Séance 38]],"A")</f>
        <v>0</v>
      </c>
      <c r="BJ529" s="35"/>
    </row>
    <row r="530" spans="1:62" hidden="1" x14ac:dyDescent="0.2">
      <c r="A530" s="1" t="s">
        <v>947</v>
      </c>
      <c r="B530" s="44" t="s">
        <v>969</v>
      </c>
      <c r="C530" s="44" t="s">
        <v>3832</v>
      </c>
      <c r="D530" s="44" t="s">
        <v>931</v>
      </c>
      <c r="E530" s="44" t="s">
        <v>812</v>
      </c>
      <c r="F530" s="44">
        <v>2021</v>
      </c>
      <c r="G530" s="44">
        <v>38</v>
      </c>
      <c r="H530" s="44">
        <v>9</v>
      </c>
      <c r="I530" s="44" t="str">
        <f>Tableau2[[#This Row],[Annee d''inscription au programme]]&amp;"-"&amp;Tableau2[[#This Row],[Code d''ecole]]&amp;"-"&amp;Tableau2[[#This Row],[Numero HM de la fille]]</f>
        <v>2021-38-9</v>
      </c>
      <c r="J530" s="45" t="s">
        <v>1778</v>
      </c>
      <c r="K530" s="44" t="s">
        <v>593</v>
      </c>
      <c r="L530" s="35" t="s">
        <v>698</v>
      </c>
      <c r="M530" s="35">
        <v>3.5</v>
      </c>
      <c r="N530" s="35">
        <v>2</v>
      </c>
      <c r="O530" s="35">
        <f t="shared" si="16"/>
        <v>2.75</v>
      </c>
      <c r="P530" s="35"/>
      <c r="Q530" s="35"/>
      <c r="R530" s="35">
        <f t="shared" si="17"/>
        <v>0</v>
      </c>
      <c r="S530" s="35"/>
      <c r="T530" s="35"/>
      <c r="U530" s="35"/>
      <c r="V530" s="35" t="e">
        <f>AVERAGE(Tableau2[[#This Row],[1ère composition/10]:[3è composition]])</f>
        <v>#DIV/0!</v>
      </c>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f>COUNTIF(Tableau2[[#This Row],[Séance 1]:[Séance 38]],"A")</f>
        <v>0</v>
      </c>
      <c r="BJ530" s="35"/>
    </row>
    <row r="531" spans="1:62" hidden="1" x14ac:dyDescent="0.2">
      <c r="A531" s="1" t="s">
        <v>947</v>
      </c>
      <c r="B531" s="44" t="s">
        <v>970</v>
      </c>
      <c r="C531" s="44" t="s">
        <v>3832</v>
      </c>
      <c r="D531" s="44" t="s">
        <v>206</v>
      </c>
      <c r="E531" s="44" t="s">
        <v>812</v>
      </c>
      <c r="F531" s="44">
        <v>2021</v>
      </c>
      <c r="G531" s="44">
        <v>38</v>
      </c>
      <c r="H531" s="44">
        <v>10</v>
      </c>
      <c r="I531" s="44" t="str">
        <f>Tableau2[[#This Row],[Annee d''inscription au programme]]&amp;"-"&amp;Tableau2[[#This Row],[Code d''ecole]]&amp;"-"&amp;Tableau2[[#This Row],[Numero HM de la fille]]</f>
        <v>2021-38-10</v>
      </c>
      <c r="J531" s="45" t="s">
        <v>1779</v>
      </c>
      <c r="K531" s="44" t="s">
        <v>593</v>
      </c>
      <c r="L531" s="35" t="s">
        <v>698</v>
      </c>
      <c r="M531" s="35">
        <v>5</v>
      </c>
      <c r="N531" s="35">
        <v>9.5</v>
      </c>
      <c r="O531" s="35">
        <f t="shared" si="16"/>
        <v>7.25</v>
      </c>
      <c r="P531" s="35">
        <v>9</v>
      </c>
      <c r="Q531" s="35">
        <v>14</v>
      </c>
      <c r="R531" s="35">
        <f t="shared" si="17"/>
        <v>11.5</v>
      </c>
      <c r="S531" s="35"/>
      <c r="T531" s="35"/>
      <c r="U531" s="35"/>
      <c r="V531" s="35" t="e">
        <f>AVERAGE(Tableau2[[#This Row],[1ère composition/10]:[3è composition]])</f>
        <v>#DIV/0!</v>
      </c>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f>COUNTIF(Tableau2[[#This Row],[Séance 1]:[Séance 38]],"A")</f>
        <v>0</v>
      </c>
      <c r="BJ531" s="35"/>
    </row>
    <row r="532" spans="1:62" hidden="1" x14ac:dyDescent="0.2">
      <c r="A532" s="1" t="s">
        <v>947</v>
      </c>
      <c r="B532" s="44" t="s">
        <v>459</v>
      </c>
      <c r="C532" s="44" t="s">
        <v>3832</v>
      </c>
      <c r="D532" s="44" t="s">
        <v>971</v>
      </c>
      <c r="E532" s="44" t="s">
        <v>812</v>
      </c>
      <c r="F532" s="44">
        <v>2021</v>
      </c>
      <c r="G532" s="44">
        <v>38</v>
      </c>
      <c r="H532" s="44">
        <v>11</v>
      </c>
      <c r="I532" s="44" t="str">
        <f>Tableau2[[#This Row],[Annee d''inscription au programme]]&amp;"-"&amp;Tableau2[[#This Row],[Code d''ecole]]&amp;"-"&amp;Tableau2[[#This Row],[Numero HM de la fille]]</f>
        <v>2021-38-11</v>
      </c>
      <c r="J532" s="45" t="s">
        <v>1780</v>
      </c>
      <c r="K532" s="44" t="s">
        <v>593</v>
      </c>
      <c r="L532" s="35" t="s">
        <v>698</v>
      </c>
      <c r="M532" s="35">
        <v>10.5</v>
      </c>
      <c r="N532" s="35">
        <v>10.75</v>
      </c>
      <c r="O532" s="35">
        <f t="shared" si="16"/>
        <v>10.625</v>
      </c>
      <c r="P532" s="35">
        <v>14</v>
      </c>
      <c r="Q532" s="35">
        <v>15</v>
      </c>
      <c r="R532" s="35">
        <f t="shared" si="17"/>
        <v>14.5</v>
      </c>
      <c r="S532" s="35"/>
      <c r="T532" s="35"/>
      <c r="U532" s="35"/>
      <c r="V532" s="35" t="e">
        <f>AVERAGE(Tableau2[[#This Row],[1ère composition/10]:[3è composition]])</f>
        <v>#DIV/0!</v>
      </c>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f>COUNTIF(Tableau2[[#This Row],[Séance 1]:[Séance 38]],"A")</f>
        <v>0</v>
      </c>
      <c r="BJ532" s="35"/>
    </row>
    <row r="533" spans="1:62" hidden="1" x14ac:dyDescent="0.2">
      <c r="A533" s="1" t="s">
        <v>947</v>
      </c>
      <c r="B533" s="44" t="s">
        <v>972</v>
      </c>
      <c r="C533" s="44" t="s">
        <v>3832</v>
      </c>
      <c r="D533" s="44" t="s">
        <v>973</v>
      </c>
      <c r="E533" s="44" t="s">
        <v>812</v>
      </c>
      <c r="F533" s="44">
        <v>2021</v>
      </c>
      <c r="G533" s="44">
        <v>38</v>
      </c>
      <c r="H533" s="44">
        <v>12</v>
      </c>
      <c r="I533" s="44" t="str">
        <f>Tableau2[[#This Row],[Annee d''inscription au programme]]&amp;"-"&amp;Tableau2[[#This Row],[Code d''ecole]]&amp;"-"&amp;Tableau2[[#This Row],[Numero HM de la fille]]</f>
        <v>2021-38-12</v>
      </c>
      <c r="J533" s="45" t="s">
        <v>1781</v>
      </c>
      <c r="K533" s="44" t="s">
        <v>593</v>
      </c>
      <c r="L533" s="35" t="s">
        <v>698</v>
      </c>
      <c r="M533" s="35">
        <v>16</v>
      </c>
      <c r="N533" s="35">
        <v>13.25</v>
      </c>
      <c r="O533" s="35">
        <f t="shared" si="16"/>
        <v>14.625</v>
      </c>
      <c r="P533" s="35">
        <v>17</v>
      </c>
      <c r="Q533" s="35">
        <v>20</v>
      </c>
      <c r="R533" s="35">
        <f t="shared" si="17"/>
        <v>18.5</v>
      </c>
      <c r="S533" s="35"/>
      <c r="T533" s="35"/>
      <c r="U533" s="35"/>
      <c r="V533" s="35" t="e">
        <f>AVERAGE(Tableau2[[#This Row],[1ère composition/10]:[3è composition]])</f>
        <v>#DIV/0!</v>
      </c>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f>COUNTIF(Tableau2[[#This Row],[Séance 1]:[Séance 38]],"A")</f>
        <v>0</v>
      </c>
      <c r="BJ533" s="35"/>
    </row>
    <row r="534" spans="1:62" hidden="1" x14ac:dyDescent="0.2">
      <c r="A534" s="1" t="s">
        <v>947</v>
      </c>
      <c r="B534" s="44" t="s">
        <v>974</v>
      </c>
      <c r="C534" s="44" t="s">
        <v>3832</v>
      </c>
      <c r="D534" s="44" t="s">
        <v>975</v>
      </c>
      <c r="E534" s="44" t="s">
        <v>812</v>
      </c>
      <c r="F534" s="44">
        <v>2021</v>
      </c>
      <c r="G534" s="44">
        <v>38</v>
      </c>
      <c r="H534" s="44">
        <v>13</v>
      </c>
      <c r="I534" s="44" t="str">
        <f>Tableau2[[#This Row],[Annee d''inscription au programme]]&amp;"-"&amp;Tableau2[[#This Row],[Code d''ecole]]&amp;"-"&amp;Tableau2[[#This Row],[Numero HM de la fille]]</f>
        <v>2021-38-13</v>
      </c>
      <c r="J534" s="45" t="s">
        <v>1782</v>
      </c>
      <c r="K534" s="44" t="s">
        <v>593</v>
      </c>
      <c r="L534" s="35" t="s">
        <v>698</v>
      </c>
      <c r="M534" s="35">
        <v>3.5</v>
      </c>
      <c r="N534" s="35">
        <v>0.75</v>
      </c>
      <c r="O534" s="35">
        <f t="shared" si="16"/>
        <v>2.125</v>
      </c>
      <c r="P534" s="35">
        <v>6</v>
      </c>
      <c r="Q534" s="35">
        <v>4</v>
      </c>
      <c r="R534" s="35">
        <f t="shared" si="17"/>
        <v>5</v>
      </c>
      <c r="S534" s="35"/>
      <c r="T534" s="35"/>
      <c r="U534" s="35"/>
      <c r="V534" s="35" t="e">
        <f>AVERAGE(Tableau2[[#This Row],[1ère composition/10]:[3è composition]])</f>
        <v>#DIV/0!</v>
      </c>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f>COUNTIF(Tableau2[[#This Row],[Séance 1]:[Séance 38]],"A")</f>
        <v>0</v>
      </c>
      <c r="BJ534" s="35"/>
    </row>
    <row r="535" spans="1:62" hidden="1" x14ac:dyDescent="0.2">
      <c r="A535" s="1" t="s">
        <v>947</v>
      </c>
      <c r="B535" s="44" t="s">
        <v>976</v>
      </c>
      <c r="C535" s="44" t="s">
        <v>3832</v>
      </c>
      <c r="D535" s="44" t="s">
        <v>977</v>
      </c>
      <c r="E535" s="44" t="s">
        <v>812</v>
      </c>
      <c r="F535" s="44">
        <v>2021</v>
      </c>
      <c r="G535" s="44">
        <v>38</v>
      </c>
      <c r="H535" s="44">
        <v>14</v>
      </c>
      <c r="I535" s="44" t="str">
        <f>Tableau2[[#This Row],[Annee d''inscription au programme]]&amp;"-"&amp;Tableau2[[#This Row],[Code d''ecole]]&amp;"-"&amp;Tableau2[[#This Row],[Numero HM de la fille]]</f>
        <v>2021-38-14</v>
      </c>
      <c r="J535" s="45" t="s">
        <v>1783</v>
      </c>
      <c r="K535" s="44" t="s">
        <v>593</v>
      </c>
      <c r="L535" s="35" t="s">
        <v>698</v>
      </c>
      <c r="M535" s="35">
        <v>15</v>
      </c>
      <c r="N535" s="35">
        <v>20</v>
      </c>
      <c r="O535" s="35">
        <f t="shared" si="16"/>
        <v>17.5</v>
      </c>
      <c r="P535" s="35">
        <v>17.5</v>
      </c>
      <c r="Q535" s="35">
        <v>20</v>
      </c>
      <c r="R535" s="35">
        <f t="shared" si="17"/>
        <v>18.75</v>
      </c>
      <c r="S535" s="35"/>
      <c r="T535" s="35"/>
      <c r="U535" s="35"/>
      <c r="V535" s="35" t="e">
        <f>AVERAGE(Tableau2[[#This Row],[1ère composition/10]:[3è composition]])</f>
        <v>#DIV/0!</v>
      </c>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f>COUNTIF(Tableau2[[#This Row],[Séance 1]:[Séance 38]],"A")</f>
        <v>0</v>
      </c>
      <c r="BJ535" s="35"/>
    </row>
    <row r="536" spans="1:62" hidden="1" x14ac:dyDescent="0.2">
      <c r="A536" s="1" t="s">
        <v>947</v>
      </c>
      <c r="B536" s="44" t="s">
        <v>978</v>
      </c>
      <c r="C536" s="44" t="s">
        <v>3832</v>
      </c>
      <c r="D536" s="44" t="s">
        <v>979</v>
      </c>
      <c r="E536" s="44" t="s">
        <v>812</v>
      </c>
      <c r="F536" s="44">
        <v>2021</v>
      </c>
      <c r="G536" s="44">
        <v>38</v>
      </c>
      <c r="H536" s="44">
        <v>15</v>
      </c>
      <c r="I536" s="44" t="str">
        <f>Tableau2[[#This Row],[Annee d''inscription au programme]]&amp;"-"&amp;Tableau2[[#This Row],[Code d''ecole]]&amp;"-"&amp;Tableau2[[#This Row],[Numero HM de la fille]]</f>
        <v>2021-38-15</v>
      </c>
      <c r="J536" s="45" t="s">
        <v>1784</v>
      </c>
      <c r="K536" s="44" t="s">
        <v>593</v>
      </c>
      <c r="L536" s="35" t="s">
        <v>698</v>
      </c>
      <c r="M536" s="35">
        <v>5</v>
      </c>
      <c r="N536" s="35">
        <v>5</v>
      </c>
      <c r="O536" s="35">
        <f t="shared" si="16"/>
        <v>5</v>
      </c>
      <c r="P536" s="35">
        <v>10.5</v>
      </c>
      <c r="Q536" s="35">
        <v>9.25</v>
      </c>
      <c r="R536" s="35">
        <f t="shared" si="17"/>
        <v>9.875</v>
      </c>
      <c r="S536" s="35"/>
      <c r="T536" s="35"/>
      <c r="U536" s="35"/>
      <c r="V536" s="35" t="e">
        <f>AVERAGE(Tableau2[[#This Row],[1ère composition/10]:[3è composition]])</f>
        <v>#DIV/0!</v>
      </c>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f>COUNTIF(Tableau2[[#This Row],[Séance 1]:[Séance 38]],"A")</f>
        <v>0</v>
      </c>
      <c r="BJ536" s="35"/>
    </row>
    <row r="537" spans="1:62" hidden="1" x14ac:dyDescent="0.2">
      <c r="A537" s="1" t="s">
        <v>947</v>
      </c>
      <c r="B537" s="44" t="s">
        <v>980</v>
      </c>
      <c r="C537" s="44" t="s">
        <v>3832</v>
      </c>
      <c r="D537" s="44" t="s">
        <v>981</v>
      </c>
      <c r="E537" s="44" t="s">
        <v>812</v>
      </c>
      <c r="F537" s="44">
        <v>2021</v>
      </c>
      <c r="G537" s="44">
        <v>38</v>
      </c>
      <c r="H537" s="44">
        <v>16</v>
      </c>
      <c r="I537" s="44" t="str">
        <f>Tableau2[[#This Row],[Annee d''inscription au programme]]&amp;"-"&amp;Tableau2[[#This Row],[Code d''ecole]]&amp;"-"&amp;Tableau2[[#This Row],[Numero HM de la fille]]</f>
        <v>2021-38-16</v>
      </c>
      <c r="J537" s="45" t="s">
        <v>1785</v>
      </c>
      <c r="K537" s="44" t="s">
        <v>593</v>
      </c>
      <c r="L537" s="35" t="s">
        <v>698</v>
      </c>
      <c r="M537" s="35">
        <v>1.5</v>
      </c>
      <c r="N537" s="35">
        <v>3.75</v>
      </c>
      <c r="O537" s="35">
        <f t="shared" si="16"/>
        <v>2.625</v>
      </c>
      <c r="P537" s="35">
        <v>4.5</v>
      </c>
      <c r="Q537" s="35">
        <v>5</v>
      </c>
      <c r="R537" s="35">
        <f t="shared" si="17"/>
        <v>4.75</v>
      </c>
      <c r="S537" s="35"/>
      <c r="T537" s="35"/>
      <c r="U537" s="35"/>
      <c r="V537" s="35" t="e">
        <f>AVERAGE(Tableau2[[#This Row],[1ère composition/10]:[3è composition]])</f>
        <v>#DIV/0!</v>
      </c>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f>COUNTIF(Tableau2[[#This Row],[Séance 1]:[Séance 38]],"A")</f>
        <v>0</v>
      </c>
      <c r="BJ537" s="35"/>
    </row>
    <row r="538" spans="1:62" hidden="1" x14ac:dyDescent="0.2">
      <c r="A538" s="1" t="s">
        <v>947</v>
      </c>
      <c r="B538" s="44" t="s">
        <v>982</v>
      </c>
      <c r="C538" s="44" t="s">
        <v>3833</v>
      </c>
      <c r="D538" s="44" t="s">
        <v>983</v>
      </c>
      <c r="E538" s="44" t="s">
        <v>812</v>
      </c>
      <c r="F538" s="44">
        <v>2020</v>
      </c>
      <c r="G538" s="44">
        <v>38</v>
      </c>
      <c r="H538" s="44">
        <v>403</v>
      </c>
      <c r="I538" s="44" t="str">
        <f>Tableau2[[#This Row],[Annee d''inscription au programme]]&amp;"-"&amp;Tableau2[[#This Row],[Code d''ecole]]&amp;"-"&amp;Tableau2[[#This Row],[Numero HM de la fille]]</f>
        <v>2020-38-403</v>
      </c>
      <c r="J538" s="45" t="s">
        <v>1786</v>
      </c>
      <c r="K538" s="44" t="s">
        <v>374</v>
      </c>
      <c r="L538" s="35" t="s">
        <v>620</v>
      </c>
      <c r="M538" s="35">
        <v>6.5</v>
      </c>
      <c r="N538" s="35">
        <v>16</v>
      </c>
      <c r="O538" s="35">
        <f t="shared" si="16"/>
        <v>11.25</v>
      </c>
      <c r="P538" s="35">
        <v>10.5</v>
      </c>
      <c r="Q538" s="35">
        <v>19.75</v>
      </c>
      <c r="R538" s="35">
        <f t="shared" si="17"/>
        <v>15.125</v>
      </c>
      <c r="S538" s="35"/>
      <c r="T538" s="35"/>
      <c r="U538" s="35"/>
      <c r="V538" s="35" t="e">
        <f>AVERAGE(Tableau2[[#This Row],[1ère composition/10]:[3è composition]])</f>
        <v>#DIV/0!</v>
      </c>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f>COUNTIF(Tableau2[[#This Row],[Séance 1]:[Séance 38]],"A")</f>
        <v>0</v>
      </c>
      <c r="BJ538" s="35"/>
    </row>
    <row r="539" spans="1:62" hidden="1" x14ac:dyDescent="0.2">
      <c r="A539" s="1" t="s">
        <v>947</v>
      </c>
      <c r="B539" s="44" t="s">
        <v>984</v>
      </c>
      <c r="C539" s="44" t="s">
        <v>3832</v>
      </c>
      <c r="D539" s="44" t="s">
        <v>955</v>
      </c>
      <c r="E539" s="44" t="s">
        <v>812</v>
      </c>
      <c r="F539" s="44">
        <v>2021</v>
      </c>
      <c r="G539" s="44">
        <v>38</v>
      </c>
      <c r="H539" s="44">
        <v>17</v>
      </c>
      <c r="I539" s="44" t="str">
        <f>Tableau2[[#This Row],[Annee d''inscription au programme]]&amp;"-"&amp;Tableau2[[#This Row],[Code d''ecole]]&amp;"-"&amp;Tableau2[[#This Row],[Numero HM de la fille]]</f>
        <v>2021-38-17</v>
      </c>
      <c r="J539" s="45" t="s">
        <v>1787</v>
      </c>
      <c r="K539" s="44" t="s">
        <v>593</v>
      </c>
      <c r="L539" s="35" t="s">
        <v>698</v>
      </c>
      <c r="M539" s="35">
        <v>1.5</v>
      </c>
      <c r="N539" s="35">
        <v>3.75</v>
      </c>
      <c r="O539" s="35">
        <f t="shared" si="16"/>
        <v>2.625</v>
      </c>
      <c r="P539" s="35">
        <v>5</v>
      </c>
      <c r="Q539" s="35">
        <v>4</v>
      </c>
      <c r="R539" s="35">
        <f t="shared" si="17"/>
        <v>4.5</v>
      </c>
      <c r="S539" s="35"/>
      <c r="T539" s="35"/>
      <c r="U539" s="35"/>
      <c r="V539" s="35" t="e">
        <f>AVERAGE(Tableau2[[#This Row],[1ère composition/10]:[3è composition]])</f>
        <v>#DIV/0!</v>
      </c>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f>COUNTIF(Tableau2[[#This Row],[Séance 1]:[Séance 38]],"A")</f>
        <v>0</v>
      </c>
      <c r="BJ539" s="35"/>
    </row>
    <row r="540" spans="1:62" hidden="1" x14ac:dyDescent="0.2">
      <c r="A540" s="1" t="s">
        <v>947</v>
      </c>
      <c r="B540" s="44" t="s">
        <v>985</v>
      </c>
      <c r="C540" s="44" t="s">
        <v>3832</v>
      </c>
      <c r="D540" s="44" t="s">
        <v>986</v>
      </c>
      <c r="E540" s="44" t="s">
        <v>812</v>
      </c>
      <c r="F540" s="44">
        <v>2021</v>
      </c>
      <c r="G540" s="44">
        <v>38</v>
      </c>
      <c r="H540" s="44">
        <v>18</v>
      </c>
      <c r="I540" s="44" t="str">
        <f>Tableau2[[#This Row],[Annee d''inscription au programme]]&amp;"-"&amp;Tableau2[[#This Row],[Code d''ecole]]&amp;"-"&amp;Tableau2[[#This Row],[Numero HM de la fille]]</f>
        <v>2021-38-18</v>
      </c>
      <c r="J540" s="45" t="s">
        <v>1788</v>
      </c>
      <c r="K540" s="44" t="s">
        <v>593</v>
      </c>
      <c r="L540" s="35" t="s">
        <v>698</v>
      </c>
      <c r="M540" s="35">
        <v>5</v>
      </c>
      <c r="N540" s="35">
        <v>9.5</v>
      </c>
      <c r="O540" s="35">
        <f t="shared" si="16"/>
        <v>7.25</v>
      </c>
      <c r="P540" s="35">
        <v>11.5</v>
      </c>
      <c r="Q540" s="35">
        <v>16</v>
      </c>
      <c r="R540" s="35">
        <f t="shared" si="17"/>
        <v>13.75</v>
      </c>
      <c r="S540" s="35"/>
      <c r="T540" s="35"/>
      <c r="U540" s="35"/>
      <c r="V540" s="35" t="e">
        <f>AVERAGE(Tableau2[[#This Row],[1ère composition/10]:[3è composition]])</f>
        <v>#DIV/0!</v>
      </c>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f>COUNTIF(Tableau2[[#This Row],[Séance 1]:[Séance 38]],"A")</f>
        <v>0</v>
      </c>
      <c r="BJ540" s="35"/>
    </row>
    <row r="541" spans="1:62" hidden="1" x14ac:dyDescent="0.2">
      <c r="A541" s="1" t="s">
        <v>947</v>
      </c>
      <c r="B541" s="44" t="s">
        <v>987</v>
      </c>
      <c r="C541" s="44" t="s">
        <v>3832</v>
      </c>
      <c r="D541" s="44" t="s">
        <v>988</v>
      </c>
      <c r="E541" s="44" t="s">
        <v>812</v>
      </c>
      <c r="F541" s="44">
        <v>2021</v>
      </c>
      <c r="G541" s="44">
        <v>38</v>
      </c>
      <c r="H541" s="44">
        <v>19</v>
      </c>
      <c r="I541" s="44" t="str">
        <f>Tableau2[[#This Row],[Annee d''inscription au programme]]&amp;"-"&amp;Tableau2[[#This Row],[Code d''ecole]]&amp;"-"&amp;Tableau2[[#This Row],[Numero HM de la fille]]</f>
        <v>2021-38-19</v>
      </c>
      <c r="J541" s="45" t="s">
        <v>1789</v>
      </c>
      <c r="K541" s="63" t="s">
        <v>593</v>
      </c>
      <c r="L541" s="35" t="s">
        <v>698</v>
      </c>
      <c r="M541" s="35">
        <v>3</v>
      </c>
      <c r="N541" s="35">
        <v>4.5</v>
      </c>
      <c r="O541" s="35">
        <f t="shared" si="16"/>
        <v>3.75</v>
      </c>
      <c r="P541" s="35">
        <v>7.5</v>
      </c>
      <c r="Q541" s="35">
        <v>12</v>
      </c>
      <c r="R541" s="35">
        <f t="shared" si="17"/>
        <v>9.75</v>
      </c>
      <c r="S541" s="35"/>
      <c r="T541" s="35"/>
      <c r="U541" s="35"/>
      <c r="V541" s="35" t="e">
        <f>AVERAGE(Tableau2[[#This Row],[1ère composition/10]:[3è composition]])</f>
        <v>#DIV/0!</v>
      </c>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f>COUNTIF(Tableau2[[#This Row],[Séance 1]:[Séance 38]],"A")</f>
        <v>0</v>
      </c>
      <c r="BJ541" s="35"/>
    </row>
    <row r="542" spans="1:62" hidden="1" x14ac:dyDescent="0.2">
      <c r="A542" s="1" t="s">
        <v>947</v>
      </c>
      <c r="B542" s="44" t="s">
        <v>989</v>
      </c>
      <c r="C542" s="44" t="s">
        <v>3833</v>
      </c>
      <c r="D542" s="44" t="s">
        <v>990</v>
      </c>
      <c r="E542" s="44" t="s">
        <v>812</v>
      </c>
      <c r="F542" s="44">
        <v>2020</v>
      </c>
      <c r="G542" s="44">
        <v>38</v>
      </c>
      <c r="H542" s="44">
        <v>404</v>
      </c>
      <c r="I542" s="44" t="str">
        <f>Tableau2[[#This Row],[Annee d''inscription au programme]]&amp;"-"&amp;Tableau2[[#This Row],[Code d''ecole]]&amp;"-"&amp;Tableau2[[#This Row],[Numero HM de la fille]]</f>
        <v>2020-38-404</v>
      </c>
      <c r="J542" s="45" t="s">
        <v>1790</v>
      </c>
      <c r="K542" s="63" t="s">
        <v>374</v>
      </c>
      <c r="L542" s="35" t="s">
        <v>620</v>
      </c>
      <c r="M542" s="35">
        <v>7.5</v>
      </c>
      <c r="N542" s="35">
        <v>7</v>
      </c>
      <c r="O542" s="35">
        <f t="shared" si="16"/>
        <v>7.25</v>
      </c>
      <c r="P542" s="35">
        <v>14.5</v>
      </c>
      <c r="Q542" s="35">
        <v>17.25</v>
      </c>
      <c r="R542" s="35">
        <f t="shared" si="17"/>
        <v>15.875</v>
      </c>
      <c r="S542" s="35"/>
      <c r="T542" s="35"/>
      <c r="U542" s="35"/>
      <c r="V542" s="35" t="e">
        <f>AVERAGE(Tableau2[[#This Row],[1ère composition/10]:[3è composition]])</f>
        <v>#DIV/0!</v>
      </c>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f>COUNTIF(Tableau2[[#This Row],[Séance 1]:[Séance 38]],"A")</f>
        <v>0</v>
      </c>
      <c r="BJ542" s="35"/>
    </row>
    <row r="543" spans="1:62" hidden="1" x14ac:dyDescent="0.2">
      <c r="A543" s="1" t="s">
        <v>947</v>
      </c>
      <c r="B543" s="44" t="s">
        <v>991</v>
      </c>
      <c r="C543" s="44" t="s">
        <v>3835</v>
      </c>
      <c r="D543" s="44" t="s">
        <v>992</v>
      </c>
      <c r="E543" s="44" t="s">
        <v>812</v>
      </c>
      <c r="F543" s="44">
        <v>2020</v>
      </c>
      <c r="G543" s="44">
        <v>38</v>
      </c>
      <c r="H543" s="44">
        <v>409</v>
      </c>
      <c r="I543" s="44" t="str">
        <f>Tableau2[[#This Row],[Annee d''inscription au programme]]&amp;"-"&amp;Tableau2[[#This Row],[Code d''ecole]]&amp;"-"&amp;Tableau2[[#This Row],[Numero HM de la fille]]</f>
        <v>2020-38-409</v>
      </c>
      <c r="J543" s="45" t="s">
        <v>1791</v>
      </c>
      <c r="K543" s="63" t="s">
        <v>374</v>
      </c>
      <c r="L543" s="35" t="s">
        <v>620</v>
      </c>
      <c r="M543" s="35">
        <v>0</v>
      </c>
      <c r="N543" s="35">
        <v>0</v>
      </c>
      <c r="O543" s="35">
        <f t="shared" si="16"/>
        <v>0</v>
      </c>
      <c r="P543" s="35"/>
      <c r="Q543" s="35"/>
      <c r="R543" s="35">
        <f t="shared" si="17"/>
        <v>0</v>
      </c>
      <c r="S543" s="35"/>
      <c r="T543" s="35"/>
      <c r="U543" s="35"/>
      <c r="V543" s="35" t="e">
        <f>AVERAGE(Tableau2[[#This Row],[1ère composition/10]:[3è composition]])</f>
        <v>#DIV/0!</v>
      </c>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f>COUNTIF(Tableau2[[#This Row],[Séance 1]:[Séance 38]],"A")</f>
        <v>0</v>
      </c>
      <c r="BJ543" s="35"/>
    </row>
    <row r="544" spans="1:62" hidden="1" x14ac:dyDescent="0.2">
      <c r="A544" s="1" t="s">
        <v>947</v>
      </c>
      <c r="B544" s="44" t="s">
        <v>993</v>
      </c>
      <c r="C544" s="44" t="s">
        <v>3832</v>
      </c>
      <c r="D544" s="44" t="s">
        <v>994</v>
      </c>
      <c r="E544" s="44" t="s">
        <v>812</v>
      </c>
      <c r="F544" s="44">
        <v>2021</v>
      </c>
      <c r="G544" s="44">
        <v>38</v>
      </c>
      <c r="H544" s="44">
        <v>20</v>
      </c>
      <c r="I544" s="44" t="str">
        <f>Tableau2[[#This Row],[Annee d''inscription au programme]]&amp;"-"&amp;Tableau2[[#This Row],[Code d''ecole]]&amp;"-"&amp;Tableau2[[#This Row],[Numero HM de la fille]]</f>
        <v>2021-38-20</v>
      </c>
      <c r="J544" s="45" t="s">
        <v>1792</v>
      </c>
      <c r="K544" s="63" t="s">
        <v>593</v>
      </c>
      <c r="L544" s="35" t="s">
        <v>698</v>
      </c>
      <c r="M544" s="35">
        <v>3.5</v>
      </c>
      <c r="N544" s="35">
        <v>3.75</v>
      </c>
      <c r="O544" s="35">
        <f t="shared" si="16"/>
        <v>3.625</v>
      </c>
      <c r="P544" s="35">
        <v>10.5</v>
      </c>
      <c r="Q544" s="35">
        <v>10.5</v>
      </c>
      <c r="R544" s="35">
        <f t="shared" si="17"/>
        <v>10.5</v>
      </c>
      <c r="S544" s="35"/>
      <c r="T544" s="35"/>
      <c r="U544" s="35"/>
      <c r="V544" s="35" t="e">
        <f>AVERAGE(Tableau2[[#This Row],[1ère composition/10]:[3è composition]])</f>
        <v>#DIV/0!</v>
      </c>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f>COUNTIF(Tableau2[[#This Row],[Séance 1]:[Séance 38]],"A")</f>
        <v>0</v>
      </c>
      <c r="BJ544" s="35"/>
    </row>
    <row r="545" spans="1:62" hidden="1" x14ac:dyDescent="0.2">
      <c r="A545" s="1" t="s">
        <v>947</v>
      </c>
      <c r="B545" s="44" t="s">
        <v>178</v>
      </c>
      <c r="C545" s="44"/>
      <c r="D545" s="44" t="s">
        <v>995</v>
      </c>
      <c r="E545" s="44" t="s">
        <v>812</v>
      </c>
      <c r="F545" s="44">
        <v>2020</v>
      </c>
      <c r="G545" s="44">
        <v>38</v>
      </c>
      <c r="H545" s="44">
        <v>405</v>
      </c>
      <c r="I545" s="44" t="str">
        <f>Tableau2[[#This Row],[Annee d''inscription au programme]]&amp;"-"&amp;Tableau2[[#This Row],[Code d''ecole]]&amp;"-"&amp;Tableau2[[#This Row],[Numero HM de la fille]]</f>
        <v>2020-38-405</v>
      </c>
      <c r="J545" s="45" t="s">
        <v>1793</v>
      </c>
      <c r="K545" s="63" t="s">
        <v>374</v>
      </c>
      <c r="L545" s="35" t="s">
        <v>620</v>
      </c>
      <c r="M545" s="35">
        <v>0.5</v>
      </c>
      <c r="N545" s="35">
        <v>0.5</v>
      </c>
      <c r="O545" s="35">
        <f t="shared" si="16"/>
        <v>0.5</v>
      </c>
      <c r="P545" s="35">
        <v>4.5</v>
      </c>
      <c r="Q545" s="35">
        <v>0.5</v>
      </c>
      <c r="R545" s="35">
        <f t="shared" si="17"/>
        <v>2.5</v>
      </c>
      <c r="S545" s="35"/>
      <c r="T545" s="35"/>
      <c r="U545" s="35"/>
      <c r="V545" s="35" t="e">
        <f>AVERAGE(Tableau2[[#This Row],[1ère composition/10]:[3è composition]])</f>
        <v>#DIV/0!</v>
      </c>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f>COUNTIF(Tableau2[[#This Row],[Séance 1]:[Séance 38]],"A")</f>
        <v>0</v>
      </c>
      <c r="BJ545" s="35"/>
    </row>
    <row r="546" spans="1:62" hidden="1" x14ac:dyDescent="0.2">
      <c r="A546" s="1" t="s">
        <v>947</v>
      </c>
      <c r="B546" s="44" t="s">
        <v>996</v>
      </c>
      <c r="C546" s="44" t="s">
        <v>3832</v>
      </c>
      <c r="D546" s="44" t="s">
        <v>282</v>
      </c>
      <c r="E546" s="44" t="s">
        <v>812</v>
      </c>
      <c r="F546" s="44">
        <v>2020</v>
      </c>
      <c r="G546" s="44">
        <v>38</v>
      </c>
      <c r="H546" s="44">
        <v>411</v>
      </c>
      <c r="I546" s="44" t="str">
        <f>Tableau2[[#This Row],[Annee d''inscription au programme]]&amp;"-"&amp;Tableau2[[#This Row],[Code d''ecole]]&amp;"-"&amp;Tableau2[[#This Row],[Numero HM de la fille]]</f>
        <v>2020-38-411</v>
      </c>
      <c r="J546" s="45" t="s">
        <v>1794</v>
      </c>
      <c r="K546" s="63" t="s">
        <v>374</v>
      </c>
      <c r="L546" s="35" t="s">
        <v>620</v>
      </c>
      <c r="M546" s="35">
        <v>6</v>
      </c>
      <c r="N546" s="35">
        <v>5</v>
      </c>
      <c r="O546" s="35">
        <f t="shared" si="16"/>
        <v>5.5</v>
      </c>
      <c r="P546" s="35">
        <v>10.5</v>
      </c>
      <c r="Q546" s="35">
        <v>13.75</v>
      </c>
      <c r="R546" s="35">
        <f t="shared" si="17"/>
        <v>12.125</v>
      </c>
      <c r="S546" s="35"/>
      <c r="T546" s="35"/>
      <c r="U546" s="35"/>
      <c r="V546" s="35" t="e">
        <f>AVERAGE(Tableau2[[#This Row],[1ère composition/10]:[3è composition]])</f>
        <v>#DIV/0!</v>
      </c>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f>COUNTIF(Tableau2[[#This Row],[Séance 1]:[Séance 38]],"A")</f>
        <v>0</v>
      </c>
      <c r="BJ546" s="35"/>
    </row>
    <row r="547" spans="1:62" hidden="1" x14ac:dyDescent="0.2">
      <c r="A547" s="1" t="s">
        <v>947</v>
      </c>
      <c r="B547" s="44" t="s">
        <v>997</v>
      </c>
      <c r="C547" s="44" t="s">
        <v>3832</v>
      </c>
      <c r="D547" s="44" t="s">
        <v>732</v>
      </c>
      <c r="E547" s="44" t="s">
        <v>812</v>
      </c>
      <c r="F547" s="44">
        <v>2020</v>
      </c>
      <c r="G547" s="44">
        <v>38</v>
      </c>
      <c r="H547" s="44">
        <v>406</v>
      </c>
      <c r="I547" s="44" t="str">
        <f>Tableau2[[#This Row],[Annee d''inscription au programme]]&amp;"-"&amp;Tableau2[[#This Row],[Code d''ecole]]&amp;"-"&amp;Tableau2[[#This Row],[Numero HM de la fille]]</f>
        <v>2020-38-406</v>
      </c>
      <c r="J547" s="45" t="s">
        <v>1795</v>
      </c>
      <c r="K547" s="63" t="s">
        <v>374</v>
      </c>
      <c r="L547" s="35" t="s">
        <v>620</v>
      </c>
      <c r="M547" s="35">
        <v>0</v>
      </c>
      <c r="N547" s="35">
        <v>0</v>
      </c>
      <c r="O547" s="35">
        <f t="shared" si="16"/>
        <v>0</v>
      </c>
      <c r="P547" s="35"/>
      <c r="Q547" s="35"/>
      <c r="R547" s="35">
        <f t="shared" si="17"/>
        <v>0</v>
      </c>
      <c r="S547" s="35"/>
      <c r="T547" s="35"/>
      <c r="U547" s="35"/>
      <c r="V547" s="35" t="e">
        <f>AVERAGE(Tableau2[[#This Row],[1ère composition/10]:[3è composition]])</f>
        <v>#DIV/0!</v>
      </c>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f>COUNTIF(Tableau2[[#This Row],[Séance 1]:[Séance 38]],"A")</f>
        <v>0</v>
      </c>
      <c r="BJ547" s="35"/>
    </row>
    <row r="548" spans="1:62" hidden="1" x14ac:dyDescent="0.2">
      <c r="A548" s="1" t="s">
        <v>947</v>
      </c>
      <c r="B548" s="44" t="s">
        <v>998</v>
      </c>
      <c r="C548" s="44" t="s">
        <v>3832</v>
      </c>
      <c r="D548" s="44" t="s">
        <v>769</v>
      </c>
      <c r="E548" s="44" t="s">
        <v>812</v>
      </c>
      <c r="F548" s="44">
        <v>2020</v>
      </c>
      <c r="G548" s="44">
        <v>38</v>
      </c>
      <c r="H548" s="44">
        <v>413</v>
      </c>
      <c r="I548" s="44" t="str">
        <f>Tableau2[[#This Row],[Annee d''inscription au programme]]&amp;"-"&amp;Tableau2[[#This Row],[Code d''ecole]]&amp;"-"&amp;Tableau2[[#This Row],[Numero HM de la fille]]</f>
        <v>2020-38-413</v>
      </c>
      <c r="J548" s="45" t="s">
        <v>1796</v>
      </c>
      <c r="K548" s="63" t="s">
        <v>374</v>
      </c>
      <c r="L548" s="35" t="s">
        <v>620</v>
      </c>
      <c r="M548" s="35">
        <v>7</v>
      </c>
      <c r="N548" s="35">
        <v>2</v>
      </c>
      <c r="O548" s="35">
        <f t="shared" si="16"/>
        <v>4.5</v>
      </c>
      <c r="P548" s="35"/>
      <c r="Q548" s="35"/>
      <c r="R548" s="35">
        <f t="shared" si="17"/>
        <v>0</v>
      </c>
      <c r="S548" s="35"/>
      <c r="T548" s="35"/>
      <c r="U548" s="35"/>
      <c r="V548" s="35" t="e">
        <f>AVERAGE(Tableau2[[#This Row],[1ère composition/10]:[3è composition]])</f>
        <v>#DIV/0!</v>
      </c>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f>COUNTIF(Tableau2[[#This Row],[Séance 1]:[Séance 38]],"A")</f>
        <v>0</v>
      </c>
      <c r="BJ548" s="35"/>
    </row>
    <row r="549" spans="1:62" hidden="1" x14ac:dyDescent="0.2">
      <c r="A549" s="1" t="s">
        <v>947</v>
      </c>
      <c r="B549" s="44" t="s">
        <v>999</v>
      </c>
      <c r="C549" s="44" t="s">
        <v>3832</v>
      </c>
      <c r="D549" s="44" t="s">
        <v>1000</v>
      </c>
      <c r="E549" s="44" t="s">
        <v>812</v>
      </c>
      <c r="F549" s="44">
        <v>2021</v>
      </c>
      <c r="G549" s="44">
        <v>38</v>
      </c>
      <c r="H549" s="44">
        <v>21</v>
      </c>
      <c r="I549" s="44" t="str">
        <f>Tableau2[[#This Row],[Annee d''inscription au programme]]&amp;"-"&amp;Tableau2[[#This Row],[Code d''ecole]]&amp;"-"&amp;Tableau2[[#This Row],[Numero HM de la fille]]</f>
        <v>2021-38-21</v>
      </c>
      <c r="J549" s="45" t="s">
        <v>1797</v>
      </c>
      <c r="K549" s="63" t="s">
        <v>593</v>
      </c>
      <c r="L549" s="35" t="s">
        <v>698</v>
      </c>
      <c r="M549" s="35">
        <v>14</v>
      </c>
      <c r="N549" s="35">
        <v>7</v>
      </c>
      <c r="O549" s="35">
        <f t="shared" si="16"/>
        <v>10.5</v>
      </c>
      <c r="P549" s="35">
        <v>15.5</v>
      </c>
      <c r="Q549" s="35">
        <v>18.25</v>
      </c>
      <c r="R549" s="35">
        <f t="shared" si="17"/>
        <v>16.875</v>
      </c>
      <c r="S549" s="35"/>
      <c r="T549" s="35"/>
      <c r="U549" s="35"/>
      <c r="V549" s="35" t="e">
        <f>AVERAGE(Tableau2[[#This Row],[1ère composition/10]:[3è composition]])</f>
        <v>#DIV/0!</v>
      </c>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f>COUNTIF(Tableau2[[#This Row],[Séance 1]:[Séance 38]],"A")</f>
        <v>0</v>
      </c>
      <c r="BJ549" s="35"/>
    </row>
    <row r="550" spans="1:62" hidden="1" x14ac:dyDescent="0.2">
      <c r="A550" s="1" t="s">
        <v>1001</v>
      </c>
      <c r="B550" s="44" t="s">
        <v>1003</v>
      </c>
      <c r="C550" s="44" t="s">
        <v>3838</v>
      </c>
      <c r="D550" s="44" t="s">
        <v>1002</v>
      </c>
      <c r="E550" s="44" t="s">
        <v>812</v>
      </c>
      <c r="F550" s="44">
        <v>2021</v>
      </c>
      <c r="G550" s="44">
        <v>40</v>
      </c>
      <c r="H550" s="44">
        <v>1</v>
      </c>
      <c r="I550" s="44" t="str">
        <f>Tableau2[[#This Row],[Annee d''inscription au programme]]&amp;"-"&amp;Tableau2[[#This Row],[Code d''ecole]]&amp;"-"&amp;Tableau2[[#This Row],[Numero HM de la fille]]</f>
        <v>2021-40-1</v>
      </c>
      <c r="J550" s="45" t="s">
        <v>1798</v>
      </c>
      <c r="K550" s="63" t="s">
        <v>593</v>
      </c>
      <c r="L550" s="35" t="s">
        <v>698</v>
      </c>
      <c r="M550" s="35">
        <v>9.5</v>
      </c>
      <c r="N550" s="35">
        <v>2.5</v>
      </c>
      <c r="O550" s="35">
        <f t="shared" si="16"/>
        <v>6</v>
      </c>
      <c r="P550" s="35">
        <v>8.5</v>
      </c>
      <c r="Q550" s="35">
        <v>11</v>
      </c>
      <c r="R550" s="35">
        <f t="shared" si="17"/>
        <v>9.75</v>
      </c>
      <c r="S550" s="35"/>
      <c r="T550" s="35"/>
      <c r="U550" s="35"/>
      <c r="V550" s="35" t="e">
        <f>AVERAGE(Tableau2[[#This Row],[1ère composition/10]:[3è composition]])</f>
        <v>#DIV/0!</v>
      </c>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f>COUNTIF(Tableau2[[#This Row],[Séance 1]:[Séance 38]],"A")</f>
        <v>0</v>
      </c>
      <c r="BJ550" s="35"/>
    </row>
    <row r="551" spans="1:62" hidden="1" x14ac:dyDescent="0.2">
      <c r="A551" s="1" t="s">
        <v>1001</v>
      </c>
      <c r="B551" s="44" t="s">
        <v>1004</v>
      </c>
      <c r="C551" s="44" t="s">
        <v>3838</v>
      </c>
      <c r="D551" s="44" t="s">
        <v>2421</v>
      </c>
      <c r="E551" s="44" t="s">
        <v>812</v>
      </c>
      <c r="F551" s="44">
        <v>2020</v>
      </c>
      <c r="G551" s="44">
        <v>40</v>
      </c>
      <c r="H551" s="44">
        <v>288</v>
      </c>
      <c r="I551" s="44" t="str">
        <f>Tableau2[[#This Row],[Annee d''inscription au programme]]&amp;"-"&amp;Tableau2[[#This Row],[Code d''ecole]]&amp;"-"&amp;Tableau2[[#This Row],[Numero HM de la fille]]</f>
        <v>2020-40-288</v>
      </c>
      <c r="J551" s="45" t="s">
        <v>1799</v>
      </c>
      <c r="K551" s="63" t="s">
        <v>374</v>
      </c>
      <c r="L551" s="35" t="s">
        <v>620</v>
      </c>
      <c r="M551" s="35">
        <v>5.5</v>
      </c>
      <c r="N551" s="35">
        <v>5.25</v>
      </c>
      <c r="O551" s="35">
        <f t="shared" si="16"/>
        <v>5.375</v>
      </c>
      <c r="P551" s="35">
        <v>6</v>
      </c>
      <c r="Q551" s="35">
        <v>15</v>
      </c>
      <c r="R551" s="35">
        <f t="shared" si="17"/>
        <v>10.5</v>
      </c>
      <c r="S551" s="35"/>
      <c r="T551" s="35"/>
      <c r="U551" s="35"/>
      <c r="V551" s="35" t="e">
        <f>AVERAGE(Tableau2[[#This Row],[1ère composition/10]:[3è composition]])</f>
        <v>#DIV/0!</v>
      </c>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f>COUNTIF(Tableau2[[#This Row],[Séance 1]:[Séance 38]],"A")</f>
        <v>0</v>
      </c>
      <c r="BJ551" s="35"/>
    </row>
    <row r="552" spans="1:62" hidden="1" x14ac:dyDescent="0.2">
      <c r="A552" s="23" t="s">
        <v>1001</v>
      </c>
      <c r="B552" s="64" t="s">
        <v>1006</v>
      </c>
      <c r="C552" s="64" t="s">
        <v>3838</v>
      </c>
      <c r="D552" s="64" t="s">
        <v>2533</v>
      </c>
      <c r="E552" s="64" t="s">
        <v>812</v>
      </c>
      <c r="F552" s="64">
        <v>2021</v>
      </c>
      <c r="G552" s="64">
        <v>40</v>
      </c>
      <c r="H552" s="64">
        <v>2</v>
      </c>
      <c r="I552" s="64" t="str">
        <f>Tableau2[[#This Row],[Annee d''inscription au programme]]&amp;"-"&amp;Tableau2[[#This Row],[Code d''ecole]]&amp;"-"&amp;Tableau2[[#This Row],[Numero HM de la fille]]</f>
        <v>2021-40-2</v>
      </c>
      <c r="J552" s="65" t="s">
        <v>1800</v>
      </c>
      <c r="K552" s="66" t="s">
        <v>593</v>
      </c>
      <c r="L552" s="67" t="s">
        <v>698</v>
      </c>
      <c r="M552" s="67">
        <v>8.5</v>
      </c>
      <c r="N552" s="67">
        <v>12.5</v>
      </c>
      <c r="O552" s="67">
        <f t="shared" si="16"/>
        <v>10.5</v>
      </c>
      <c r="P552" s="67">
        <v>15</v>
      </c>
      <c r="Q552" s="67">
        <v>12</v>
      </c>
      <c r="R552" s="67">
        <f t="shared" si="17"/>
        <v>13.5</v>
      </c>
      <c r="S552" s="67"/>
      <c r="T552" s="67"/>
      <c r="U552" s="67"/>
      <c r="V552" s="67" t="e">
        <f>AVERAGE(Tableau2[[#This Row],[1ère composition/10]:[3è composition]])</f>
        <v>#DIV/0!</v>
      </c>
      <c r="W552" s="67"/>
      <c r="X552" s="67"/>
      <c r="Y552" s="67"/>
      <c r="Z552" s="67"/>
      <c r="AA552" s="67"/>
      <c r="AB552" s="67"/>
      <c r="AC552" s="67"/>
      <c r="AD552" s="67"/>
      <c r="AE552" s="67"/>
      <c r="AF552" s="67"/>
      <c r="AG552" s="67"/>
      <c r="AH552" s="67"/>
      <c r="AI552" s="67"/>
      <c r="AJ552" s="67"/>
      <c r="AK552" s="67"/>
      <c r="AL552" s="67"/>
      <c r="AM552" s="67"/>
      <c r="AN552" s="67"/>
      <c r="AO552" s="67"/>
      <c r="AP552" s="67"/>
      <c r="AQ552" s="67"/>
      <c r="AR552" s="67"/>
      <c r="AS552" s="67"/>
      <c r="AT552" s="67"/>
      <c r="AU552" s="67"/>
      <c r="AV552" s="67"/>
      <c r="AW552" s="67"/>
      <c r="AX552" s="67"/>
      <c r="AY552" s="67"/>
      <c r="AZ552" s="67"/>
      <c r="BA552" s="67"/>
      <c r="BB552" s="67"/>
      <c r="BC552" s="67"/>
      <c r="BD552" s="67"/>
      <c r="BE552" s="67"/>
      <c r="BF552" s="67"/>
      <c r="BG552" s="67"/>
      <c r="BH552" s="67"/>
      <c r="BI552" s="67">
        <f>COUNTIF(Tableau2[[#This Row],[Séance 1]:[Séance 38]],"A")</f>
        <v>0</v>
      </c>
      <c r="BJ552" s="67"/>
    </row>
    <row r="553" spans="1:62" s="42" customFormat="1" hidden="1" x14ac:dyDescent="0.2">
      <c r="A553" s="1" t="s">
        <v>1001</v>
      </c>
      <c r="B553" s="44" t="s">
        <v>1007</v>
      </c>
      <c r="C553" s="44" t="s">
        <v>3838</v>
      </c>
      <c r="D553" s="44" t="s">
        <v>2534</v>
      </c>
      <c r="E553" s="44" t="s">
        <v>812</v>
      </c>
      <c r="F553" s="44">
        <v>2021</v>
      </c>
      <c r="G553" s="44">
        <v>40</v>
      </c>
      <c r="H553" s="44">
        <v>3</v>
      </c>
      <c r="I553" s="44" t="str">
        <f>Tableau2[[#This Row],[Annee d''inscription au programme]]&amp;"-"&amp;Tableau2[[#This Row],[Code d''ecole]]&amp;"-"&amp;Tableau2[[#This Row],[Numero HM de la fille]]</f>
        <v>2021-40-3</v>
      </c>
      <c r="J553" s="45" t="s">
        <v>1801</v>
      </c>
      <c r="K553" s="63" t="s">
        <v>593</v>
      </c>
      <c r="L553" s="35" t="s">
        <v>698</v>
      </c>
      <c r="M553" s="35">
        <v>7.5</v>
      </c>
      <c r="N553" s="35">
        <v>5.75</v>
      </c>
      <c r="O553" s="35">
        <f t="shared" si="16"/>
        <v>6.625</v>
      </c>
      <c r="P553" s="35">
        <v>14</v>
      </c>
      <c r="Q553" s="35">
        <v>11</v>
      </c>
      <c r="R553" s="35">
        <f t="shared" si="17"/>
        <v>12.5</v>
      </c>
      <c r="S553" s="35"/>
      <c r="T553" s="35"/>
      <c r="U553" s="35"/>
      <c r="V553" s="35" t="e">
        <f>AVERAGE(Tableau2[[#This Row],[1ère composition/10]:[3è composition]])</f>
        <v>#DIV/0!</v>
      </c>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f>COUNTIF(Tableau2[[#This Row],[Séance 1]:[Séance 38]],"A")</f>
        <v>0</v>
      </c>
      <c r="BJ553" s="35"/>
    </row>
    <row r="554" spans="1:62" s="42" customFormat="1" hidden="1" x14ac:dyDescent="0.2">
      <c r="A554" s="1" t="s">
        <v>1001</v>
      </c>
      <c r="B554" s="44" t="s">
        <v>1009</v>
      </c>
      <c r="C554" s="44" t="s">
        <v>3841</v>
      </c>
      <c r="D554" s="44" t="s">
        <v>2535</v>
      </c>
      <c r="E554" s="44" t="s">
        <v>812</v>
      </c>
      <c r="F554" s="44">
        <v>2020</v>
      </c>
      <c r="G554" s="44">
        <v>40</v>
      </c>
      <c r="H554" s="44">
        <v>293</v>
      </c>
      <c r="I554" s="44" t="str">
        <f>Tableau2[[#This Row],[Annee d''inscription au programme]]&amp;"-"&amp;Tableau2[[#This Row],[Code d''ecole]]&amp;"-"&amp;Tableau2[[#This Row],[Numero HM de la fille]]</f>
        <v>2020-40-293</v>
      </c>
      <c r="J554" s="45" t="s">
        <v>1802</v>
      </c>
      <c r="K554" s="63" t="s">
        <v>374</v>
      </c>
      <c r="L554" s="35" t="s">
        <v>620</v>
      </c>
      <c r="M554" s="35">
        <v>14</v>
      </c>
      <c r="N554" s="35">
        <v>11</v>
      </c>
      <c r="O554" s="35">
        <f t="shared" si="16"/>
        <v>12.5</v>
      </c>
      <c r="P554" s="35">
        <v>9</v>
      </c>
      <c r="Q554" s="35">
        <v>13.5</v>
      </c>
      <c r="R554" s="35">
        <f t="shared" si="17"/>
        <v>11.25</v>
      </c>
      <c r="S554" s="35"/>
      <c r="T554" s="35"/>
      <c r="U554" s="35"/>
      <c r="V554" s="35" t="e">
        <f>AVERAGE(V5:V553)</f>
        <v>#DIV/0!</v>
      </c>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f>COUNTIF(Tableau2[[#This Row],[Séance 1]:[Séance 38]],"A")</f>
        <v>0</v>
      </c>
      <c r="BJ554" s="35"/>
    </row>
    <row r="555" spans="1:62" s="42" customFormat="1" hidden="1" x14ac:dyDescent="0.2">
      <c r="A555" s="1" t="s">
        <v>1001</v>
      </c>
      <c r="B555" s="48" t="s">
        <v>1011</v>
      </c>
      <c r="C555" s="44" t="s">
        <v>3838</v>
      </c>
      <c r="D555" s="48" t="s">
        <v>2536</v>
      </c>
      <c r="E555" s="44" t="s">
        <v>812</v>
      </c>
      <c r="F555" s="48">
        <v>2021</v>
      </c>
      <c r="G555" s="44">
        <v>40</v>
      </c>
      <c r="H555" s="48">
        <v>4</v>
      </c>
      <c r="I555" s="44" t="str">
        <f>Tableau2[[#This Row],[Annee d''inscription au programme]]&amp;"-"&amp;Tableau2[[#This Row],[Code d''ecole]]&amp;"-"&amp;Tableau2[[#This Row],[Numero HM de la fille]]</f>
        <v>2021-40-4</v>
      </c>
      <c r="J555" s="45" t="s">
        <v>1803</v>
      </c>
      <c r="K555" s="63" t="s">
        <v>593</v>
      </c>
      <c r="L555" s="35" t="s">
        <v>698</v>
      </c>
      <c r="M555" s="35">
        <v>2</v>
      </c>
      <c r="N555" s="35">
        <v>4.5</v>
      </c>
      <c r="O555" s="35">
        <f t="shared" si="16"/>
        <v>3.25</v>
      </c>
      <c r="P555" s="35">
        <v>12</v>
      </c>
      <c r="Q555" s="35">
        <v>14</v>
      </c>
      <c r="R555" s="35">
        <f t="shared" si="17"/>
        <v>13</v>
      </c>
      <c r="S555" s="35"/>
      <c r="T555" s="35"/>
      <c r="U555" s="35"/>
      <c r="V555" s="35" t="e">
        <f>AVERAGE(Tableau2[[#This Row],[1ère composition/10]:[3è composition]])</f>
        <v>#DIV/0!</v>
      </c>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f>COUNTIF(Tableau2[[#This Row],[Séance 1]:[Séance 38]],"A")</f>
        <v>0</v>
      </c>
      <c r="BJ555" s="35"/>
    </row>
    <row r="556" spans="1:62" s="42" customFormat="1" hidden="1" x14ac:dyDescent="0.2">
      <c r="A556" s="1" t="s">
        <v>1001</v>
      </c>
      <c r="B556" s="48" t="s">
        <v>2537</v>
      </c>
      <c r="C556" s="44" t="s">
        <v>3838</v>
      </c>
      <c r="D556" s="48" t="s">
        <v>2538</v>
      </c>
      <c r="E556" s="44" t="s">
        <v>812</v>
      </c>
      <c r="F556" s="48">
        <v>2021</v>
      </c>
      <c r="G556" s="44">
        <v>40</v>
      </c>
      <c r="H556" s="48">
        <v>5</v>
      </c>
      <c r="I556" s="44" t="str">
        <f>Tableau2[[#This Row],[Annee d''inscription au programme]]&amp;"-"&amp;Tableau2[[#This Row],[Code d''ecole]]&amp;"-"&amp;Tableau2[[#This Row],[Numero HM de la fille]]</f>
        <v>2021-40-5</v>
      </c>
      <c r="J556" s="45" t="s">
        <v>1804</v>
      </c>
      <c r="K556" s="63" t="s">
        <v>593</v>
      </c>
      <c r="L556" s="35" t="s">
        <v>698</v>
      </c>
      <c r="M556" s="35">
        <v>0</v>
      </c>
      <c r="N556" s="35">
        <v>0</v>
      </c>
      <c r="O556" s="35">
        <f t="shared" si="16"/>
        <v>0</v>
      </c>
      <c r="P556" s="35">
        <v>18</v>
      </c>
      <c r="Q556" s="35">
        <v>11.75</v>
      </c>
      <c r="R556" s="35">
        <f t="shared" si="17"/>
        <v>14.875</v>
      </c>
      <c r="S556" s="35"/>
      <c r="T556" s="35"/>
      <c r="U556" s="35"/>
      <c r="V556" s="35" t="e">
        <f>AVERAGE(Tableau2[[#This Row],[1ère composition/10]:[3è composition]])</f>
        <v>#DIV/0!</v>
      </c>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f>COUNTIF(Tableau2[[#This Row],[Séance 1]:[Séance 38]],"A")</f>
        <v>0</v>
      </c>
      <c r="BJ556" s="35"/>
    </row>
    <row r="557" spans="1:62" s="42" customFormat="1" hidden="1" x14ac:dyDescent="0.2">
      <c r="A557" s="1" t="s">
        <v>1001</v>
      </c>
      <c r="B557" s="48" t="s">
        <v>1012</v>
      </c>
      <c r="C557" s="44" t="s">
        <v>3838</v>
      </c>
      <c r="D557" s="48" t="s">
        <v>122</v>
      </c>
      <c r="E557" s="44" t="s">
        <v>812</v>
      </c>
      <c r="F557" s="48">
        <v>2021</v>
      </c>
      <c r="G557" s="44">
        <v>40</v>
      </c>
      <c r="H557" s="48">
        <v>6</v>
      </c>
      <c r="I557" s="44" t="str">
        <f>Tableau2[[#This Row],[Annee d''inscription au programme]]&amp;"-"&amp;Tableau2[[#This Row],[Code d''ecole]]&amp;"-"&amp;Tableau2[[#This Row],[Numero HM de la fille]]</f>
        <v>2021-40-6</v>
      </c>
      <c r="J557" s="45" t="s">
        <v>1805</v>
      </c>
      <c r="K557" s="63" t="s">
        <v>593</v>
      </c>
      <c r="L557" s="35" t="s">
        <v>698</v>
      </c>
      <c r="M557" s="35">
        <v>13</v>
      </c>
      <c r="N557" s="35">
        <v>14.75</v>
      </c>
      <c r="O557" s="35">
        <f t="shared" si="16"/>
        <v>13.875</v>
      </c>
      <c r="P557" s="35">
        <v>18</v>
      </c>
      <c r="Q557" s="35">
        <v>19</v>
      </c>
      <c r="R557" s="35">
        <f t="shared" si="17"/>
        <v>18.5</v>
      </c>
      <c r="S557" s="35"/>
      <c r="T557" s="35"/>
      <c r="U557" s="35"/>
      <c r="V557" s="35" t="e">
        <f>AVERAGE(Tableau2[[#This Row],[1ère composition/10]:[3è composition]])</f>
        <v>#DIV/0!</v>
      </c>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f>COUNTIF(Tableau2[[#This Row],[Séance 1]:[Séance 38]],"A")</f>
        <v>0</v>
      </c>
      <c r="BJ557" s="35"/>
    </row>
    <row r="558" spans="1:62" s="42" customFormat="1" hidden="1" x14ac:dyDescent="0.2">
      <c r="A558" s="1" t="s">
        <v>1001</v>
      </c>
      <c r="B558" s="48" t="s">
        <v>1013</v>
      </c>
      <c r="C558" s="44"/>
      <c r="D558" s="48" t="s">
        <v>2539</v>
      </c>
      <c r="E558" s="44" t="s">
        <v>812</v>
      </c>
      <c r="F558" s="48">
        <v>2020</v>
      </c>
      <c r="G558" s="44">
        <v>40</v>
      </c>
      <c r="H558" s="48">
        <v>297</v>
      </c>
      <c r="I558" s="44" t="str">
        <f>Tableau2[[#This Row],[Annee d''inscription au programme]]&amp;"-"&amp;Tableau2[[#This Row],[Code d''ecole]]&amp;"-"&amp;Tableau2[[#This Row],[Numero HM de la fille]]</f>
        <v>2020-40-297</v>
      </c>
      <c r="J558" s="45" t="s">
        <v>1806</v>
      </c>
      <c r="K558" s="63" t="s">
        <v>374</v>
      </c>
      <c r="L558" s="35" t="s">
        <v>620</v>
      </c>
      <c r="M558" s="35">
        <v>1.5</v>
      </c>
      <c r="N558" s="35">
        <v>3</v>
      </c>
      <c r="O558" s="35">
        <f t="shared" si="16"/>
        <v>2.25</v>
      </c>
      <c r="P558" s="35">
        <v>11</v>
      </c>
      <c r="Q558" s="35">
        <v>15</v>
      </c>
      <c r="R558" s="35">
        <f t="shared" si="17"/>
        <v>13</v>
      </c>
      <c r="S558" s="35"/>
      <c r="T558" s="35"/>
      <c r="U558" s="35"/>
      <c r="V558" s="35" t="e">
        <f>AVERAGE(Tableau2[[#This Row],[1ère composition/10]:[3è composition]])</f>
        <v>#DIV/0!</v>
      </c>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f>COUNTIF(Tableau2[[#This Row],[Séance 1]:[Séance 38]],"A")</f>
        <v>0</v>
      </c>
      <c r="BJ558" s="35"/>
    </row>
    <row r="559" spans="1:62" s="42" customFormat="1" hidden="1" x14ac:dyDescent="0.2">
      <c r="A559" s="1" t="s">
        <v>1001</v>
      </c>
      <c r="B559" s="48" t="s">
        <v>1015</v>
      </c>
      <c r="C559" s="44" t="s">
        <v>3838</v>
      </c>
      <c r="D559" s="48" t="s">
        <v>2540</v>
      </c>
      <c r="E559" s="44" t="s">
        <v>812</v>
      </c>
      <c r="F559" s="48">
        <v>2021</v>
      </c>
      <c r="G559" s="44">
        <v>40</v>
      </c>
      <c r="H559" s="48">
        <v>7</v>
      </c>
      <c r="I559" s="44" t="str">
        <f>Tableau2[[#This Row],[Annee d''inscription au programme]]&amp;"-"&amp;Tableau2[[#This Row],[Code d''ecole]]&amp;"-"&amp;Tableau2[[#This Row],[Numero HM de la fille]]</f>
        <v>2021-40-7</v>
      </c>
      <c r="J559" s="45" t="s">
        <v>1807</v>
      </c>
      <c r="K559" s="63" t="s">
        <v>593</v>
      </c>
      <c r="L559" s="35" t="s">
        <v>698</v>
      </c>
      <c r="M559" s="35">
        <v>4.5</v>
      </c>
      <c r="N559" s="35">
        <v>7</v>
      </c>
      <c r="O559" s="35">
        <f t="shared" si="16"/>
        <v>5.75</v>
      </c>
      <c r="P559" s="35">
        <v>11</v>
      </c>
      <c r="Q559" s="35">
        <v>13.5</v>
      </c>
      <c r="R559" s="35">
        <f t="shared" si="17"/>
        <v>12.25</v>
      </c>
      <c r="S559" s="35"/>
      <c r="T559" s="35"/>
      <c r="U559" s="35"/>
      <c r="V559" s="35" t="e">
        <f>AVERAGE(Tableau2[[#This Row],[1ère composition/10]:[3è composition]])</f>
        <v>#DIV/0!</v>
      </c>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f>COUNTIF(Tableau2[[#This Row],[Séance 1]:[Séance 38]],"A")</f>
        <v>0</v>
      </c>
      <c r="BJ559" s="35"/>
    </row>
    <row r="560" spans="1:62" s="42" customFormat="1" hidden="1" x14ac:dyDescent="0.2">
      <c r="A560" s="1" t="s">
        <v>1001</v>
      </c>
      <c r="B560" s="48" t="s">
        <v>1017</v>
      </c>
      <c r="C560" s="44" t="s">
        <v>3838</v>
      </c>
      <c r="D560" s="48" t="s">
        <v>939</v>
      </c>
      <c r="E560" s="44" t="s">
        <v>812</v>
      </c>
      <c r="F560" s="48">
        <v>2021</v>
      </c>
      <c r="G560" s="44">
        <v>40</v>
      </c>
      <c r="H560" s="48">
        <v>8</v>
      </c>
      <c r="I560" s="44" t="str">
        <f>Tableau2[[#This Row],[Annee d''inscription au programme]]&amp;"-"&amp;Tableau2[[#This Row],[Code d''ecole]]&amp;"-"&amp;Tableau2[[#This Row],[Numero HM de la fille]]</f>
        <v>2021-40-8</v>
      </c>
      <c r="J560" s="45" t="s">
        <v>1808</v>
      </c>
      <c r="K560" s="63" t="s">
        <v>593</v>
      </c>
      <c r="L560" s="35" t="s">
        <v>698</v>
      </c>
      <c r="M560" s="35">
        <v>3.5</v>
      </c>
      <c r="N560" s="35">
        <v>2</v>
      </c>
      <c r="O560" s="35">
        <f t="shared" si="16"/>
        <v>2.75</v>
      </c>
      <c r="P560" s="35">
        <v>7</v>
      </c>
      <c r="Q560" s="35">
        <v>7.5</v>
      </c>
      <c r="R560" s="35">
        <f t="shared" si="17"/>
        <v>7.25</v>
      </c>
      <c r="S560" s="35"/>
      <c r="T560" s="35"/>
      <c r="U560" s="35"/>
      <c r="V560" s="35" t="e">
        <f>AVERAGE(Tableau2[[#This Row],[1ère composition/10]:[3è composition]])</f>
        <v>#DIV/0!</v>
      </c>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f>COUNTIF(Tableau2[[#This Row],[Séance 1]:[Séance 38]],"A")</f>
        <v>0</v>
      </c>
      <c r="BJ560" s="35"/>
    </row>
    <row r="561" spans="1:62" s="42" customFormat="1" hidden="1" x14ac:dyDescent="0.2">
      <c r="A561" s="1" t="s">
        <v>1001</v>
      </c>
      <c r="B561" s="44" t="s">
        <v>2519</v>
      </c>
      <c r="C561" s="44" t="s">
        <v>3841</v>
      </c>
      <c r="D561" s="48" t="s">
        <v>2541</v>
      </c>
      <c r="E561" s="44" t="s">
        <v>812</v>
      </c>
      <c r="F561" s="48">
        <v>2021</v>
      </c>
      <c r="G561" s="44">
        <v>40</v>
      </c>
      <c r="H561" s="48">
        <v>9</v>
      </c>
      <c r="I561" s="44" t="str">
        <f>Tableau2[[#This Row],[Annee d''inscription au programme]]&amp;"-"&amp;Tableau2[[#This Row],[Code d''ecole]]&amp;"-"&amp;Tableau2[[#This Row],[Numero HM de la fille]]</f>
        <v>2021-40-9</v>
      </c>
      <c r="J561" s="45" t="s">
        <v>1809</v>
      </c>
      <c r="K561" s="63" t="s">
        <v>374</v>
      </c>
      <c r="L561" s="35" t="s">
        <v>3521</v>
      </c>
      <c r="M561" s="35">
        <v>16.5</v>
      </c>
      <c r="N561" s="35">
        <v>14</v>
      </c>
      <c r="O561" s="35">
        <f t="shared" si="16"/>
        <v>15.25</v>
      </c>
      <c r="P561" s="35">
        <v>18.5</v>
      </c>
      <c r="Q561" s="35">
        <v>15</v>
      </c>
      <c r="R561" s="35">
        <f t="shared" si="17"/>
        <v>16.75</v>
      </c>
      <c r="S561" s="35"/>
      <c r="T561" s="35"/>
      <c r="U561" s="35"/>
      <c r="V561" s="35" t="e">
        <f>AVERAGE(Tableau2[[#This Row],[1ère composition/10]:[3è composition]])</f>
        <v>#DIV/0!</v>
      </c>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f>COUNTIF(Tableau2[[#This Row],[Séance 1]:[Séance 38]],"A")</f>
        <v>0</v>
      </c>
      <c r="BJ561" s="35"/>
    </row>
    <row r="562" spans="1:62" s="42" customFormat="1" hidden="1" x14ac:dyDescent="0.2">
      <c r="A562" s="1" t="s">
        <v>1001</v>
      </c>
      <c r="B562" s="48" t="s">
        <v>1018</v>
      </c>
      <c r="C562" s="44"/>
      <c r="D562" s="44" t="s">
        <v>2542</v>
      </c>
      <c r="E562" s="44" t="s">
        <v>812</v>
      </c>
      <c r="F562" s="48">
        <v>2020</v>
      </c>
      <c r="G562" s="44">
        <v>40</v>
      </c>
      <c r="H562" s="48">
        <v>310</v>
      </c>
      <c r="I562" s="44" t="str">
        <f>Tableau2[[#This Row],[Annee d''inscription au programme]]&amp;"-"&amp;Tableau2[[#This Row],[Code d''ecole]]&amp;"-"&amp;Tableau2[[#This Row],[Numero HM de la fille]]</f>
        <v>2020-40-310</v>
      </c>
      <c r="J562" s="45" t="s">
        <v>1810</v>
      </c>
      <c r="K562" s="63" t="s">
        <v>374</v>
      </c>
      <c r="L562" s="35" t="s">
        <v>620</v>
      </c>
      <c r="M562" s="35">
        <v>7.5</v>
      </c>
      <c r="N562" s="35">
        <v>5</v>
      </c>
      <c r="O562" s="35">
        <f t="shared" si="16"/>
        <v>6.25</v>
      </c>
      <c r="P562" s="35">
        <v>9</v>
      </c>
      <c r="Q562" s="35">
        <v>4.5</v>
      </c>
      <c r="R562" s="35">
        <f t="shared" si="17"/>
        <v>6.75</v>
      </c>
      <c r="S562" s="35"/>
      <c r="T562" s="35"/>
      <c r="U562" s="35"/>
      <c r="V562" s="35" t="e">
        <f>AVERAGE(Tableau2[[#This Row],[1ère composition/10]:[3è composition]])</f>
        <v>#DIV/0!</v>
      </c>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f>COUNTIF(Tableau2[[#This Row],[Séance 1]:[Séance 38]],"A")</f>
        <v>0</v>
      </c>
      <c r="BJ562" s="35"/>
    </row>
    <row r="563" spans="1:62" s="42" customFormat="1" hidden="1" x14ac:dyDescent="0.2">
      <c r="A563" s="1" t="s">
        <v>1001</v>
      </c>
      <c r="B563" s="44" t="s">
        <v>1066</v>
      </c>
      <c r="C563" s="44" t="s">
        <v>3844</v>
      </c>
      <c r="D563" s="48" t="s">
        <v>1185</v>
      </c>
      <c r="E563" s="44" t="s">
        <v>812</v>
      </c>
      <c r="F563" s="48">
        <v>2021</v>
      </c>
      <c r="G563" s="44">
        <v>40</v>
      </c>
      <c r="H563" s="48">
        <v>10</v>
      </c>
      <c r="I563" s="48" t="str">
        <f>Tableau2[[#This Row],[Annee d''inscription au programme]]&amp;"-"&amp;Tableau2[[#This Row],[Code d''ecole]]&amp;"-"&amp;Tableau2[[#This Row],[Numero HM de la fille]]</f>
        <v>2021-40-10</v>
      </c>
      <c r="J563" s="45" t="s">
        <v>1811</v>
      </c>
      <c r="K563" s="63" t="s">
        <v>593</v>
      </c>
      <c r="L563" s="35" t="s">
        <v>698</v>
      </c>
      <c r="M563" s="35">
        <v>0</v>
      </c>
      <c r="N563" s="35">
        <v>0</v>
      </c>
      <c r="O563" s="35">
        <f t="shared" si="16"/>
        <v>0</v>
      </c>
      <c r="P563" s="35"/>
      <c r="Q563" s="35"/>
      <c r="R563" s="35">
        <f t="shared" si="17"/>
        <v>0</v>
      </c>
      <c r="S563" s="35"/>
      <c r="T563" s="35"/>
      <c r="U563" s="35"/>
      <c r="V563" s="35" t="e">
        <f>AVERAGE(Tableau2[[#This Row],[1ère composition/10]:[3è composition]])</f>
        <v>#DIV/0!</v>
      </c>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f>COUNTIF(Tableau2[[#This Row],[Séance 1]:[Séance 38]],"A")</f>
        <v>0</v>
      </c>
      <c r="BJ563" s="35"/>
    </row>
    <row r="564" spans="1:62" s="42" customFormat="1" hidden="1" x14ac:dyDescent="0.2">
      <c r="A564" s="1" t="s">
        <v>1001</v>
      </c>
      <c r="B564" s="48" t="s">
        <v>1019</v>
      </c>
      <c r="C564" s="44" t="s">
        <v>1020</v>
      </c>
      <c r="D564" s="44" t="s">
        <v>2543</v>
      </c>
      <c r="E564" s="44" t="s">
        <v>812</v>
      </c>
      <c r="F564" s="48">
        <v>2020</v>
      </c>
      <c r="G564" s="44">
        <v>40</v>
      </c>
      <c r="H564" s="48">
        <v>309</v>
      </c>
      <c r="I564" s="44" t="str">
        <f>Tableau2[[#This Row],[Annee d''inscription au programme]]&amp;"-"&amp;Tableau2[[#This Row],[Code d''ecole]]&amp;"-"&amp;Tableau2[[#This Row],[Numero HM de la fille]]</f>
        <v>2020-40-309</v>
      </c>
      <c r="J564" s="45" t="s">
        <v>1812</v>
      </c>
      <c r="K564" s="63" t="s">
        <v>374</v>
      </c>
      <c r="L564" s="35" t="s">
        <v>620</v>
      </c>
      <c r="M564" s="35">
        <v>5</v>
      </c>
      <c r="N564" s="35">
        <v>5.5</v>
      </c>
      <c r="O564" s="35">
        <f t="shared" si="16"/>
        <v>5.25</v>
      </c>
      <c r="P564" s="35">
        <v>2.5</v>
      </c>
      <c r="Q564" s="35">
        <v>7.5</v>
      </c>
      <c r="R564" s="35">
        <f t="shared" si="17"/>
        <v>5</v>
      </c>
      <c r="S564" s="35"/>
      <c r="T564" s="35"/>
      <c r="U564" s="35"/>
      <c r="V564" s="35" t="e">
        <f>AVERAGE(Tableau2[[#This Row],[1ère composition/10]:[3è composition]])</f>
        <v>#DIV/0!</v>
      </c>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f>COUNTIF(Tableau2[[#This Row],[Séance 1]:[Séance 38]],"A")</f>
        <v>0</v>
      </c>
      <c r="BJ564" s="35"/>
    </row>
    <row r="565" spans="1:62" s="42" customFormat="1" hidden="1" x14ac:dyDescent="0.2">
      <c r="A565" s="1" t="s">
        <v>1001</v>
      </c>
      <c r="B565" s="48" t="s">
        <v>1021</v>
      </c>
      <c r="C565" s="44" t="s">
        <v>3838</v>
      </c>
      <c r="D565" s="44" t="s">
        <v>2534</v>
      </c>
      <c r="E565" s="44" t="s">
        <v>812</v>
      </c>
      <c r="F565" s="48">
        <v>2021</v>
      </c>
      <c r="G565" s="44">
        <v>40</v>
      </c>
      <c r="H565" s="48">
        <v>11</v>
      </c>
      <c r="I565" s="44" t="str">
        <f>Tableau2[[#This Row],[Annee d''inscription au programme]]&amp;"-"&amp;Tableau2[[#This Row],[Code d''ecole]]&amp;"-"&amp;Tableau2[[#This Row],[Numero HM de la fille]]</f>
        <v>2021-40-11</v>
      </c>
      <c r="J565" s="45" t="s">
        <v>1813</v>
      </c>
      <c r="K565" s="63" t="s">
        <v>593</v>
      </c>
      <c r="L565" s="35" t="s">
        <v>698</v>
      </c>
      <c r="M565" s="35">
        <v>6</v>
      </c>
      <c r="N565" s="35">
        <v>3.5</v>
      </c>
      <c r="O565" s="35">
        <f t="shared" si="16"/>
        <v>4.75</v>
      </c>
      <c r="P565" s="35">
        <v>9.5</v>
      </c>
      <c r="Q565" s="35">
        <v>9</v>
      </c>
      <c r="R565" s="35">
        <f t="shared" si="17"/>
        <v>9.25</v>
      </c>
      <c r="S565" s="35"/>
      <c r="T565" s="35"/>
      <c r="U565" s="35"/>
      <c r="V565" s="35" t="e">
        <f>AVERAGE(Tableau2[[#This Row],[1ère composition/10]:[3è composition]])</f>
        <v>#DIV/0!</v>
      </c>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f>COUNTIF(Tableau2[[#This Row],[Séance 1]:[Séance 38]],"A")</f>
        <v>0</v>
      </c>
      <c r="BJ565" s="35"/>
    </row>
    <row r="566" spans="1:62" s="42" customFormat="1" hidden="1" x14ac:dyDescent="0.2">
      <c r="A566" s="1" t="s">
        <v>1001</v>
      </c>
      <c r="B566" s="48" t="s">
        <v>1022</v>
      </c>
      <c r="C566" s="44" t="s">
        <v>3838</v>
      </c>
      <c r="D566" s="44" t="s">
        <v>2544</v>
      </c>
      <c r="E566" s="44" t="s">
        <v>812</v>
      </c>
      <c r="F566" s="48">
        <v>2021</v>
      </c>
      <c r="G566" s="44">
        <v>40</v>
      </c>
      <c r="H566" s="48">
        <v>12</v>
      </c>
      <c r="I566" s="44" t="str">
        <f>Tableau2[[#This Row],[Annee d''inscription au programme]]&amp;"-"&amp;Tableau2[[#This Row],[Code d''ecole]]&amp;"-"&amp;Tableau2[[#This Row],[Numero HM de la fille]]</f>
        <v>2021-40-12</v>
      </c>
      <c r="J566" s="45" t="s">
        <v>1814</v>
      </c>
      <c r="K566" s="63" t="s">
        <v>593</v>
      </c>
      <c r="L566" s="35" t="s">
        <v>698</v>
      </c>
      <c r="M566" s="35">
        <v>1</v>
      </c>
      <c r="N566" s="35">
        <v>2</v>
      </c>
      <c r="O566" s="35">
        <f t="shared" si="16"/>
        <v>1.5</v>
      </c>
      <c r="P566" s="35">
        <v>8</v>
      </c>
      <c r="Q566" s="35">
        <v>6.5</v>
      </c>
      <c r="R566" s="35">
        <f t="shared" si="17"/>
        <v>7.25</v>
      </c>
      <c r="S566" s="35"/>
      <c r="T566" s="35"/>
      <c r="U566" s="35"/>
      <c r="V566" s="35" t="e">
        <f>AVERAGE(Tableau2[[#This Row],[1ère composition/10]:[3è composition]])</f>
        <v>#DIV/0!</v>
      </c>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f>COUNTIF(Tableau2[[#This Row],[Séance 1]:[Séance 38]],"A")</f>
        <v>0</v>
      </c>
      <c r="BJ566" s="35"/>
    </row>
    <row r="567" spans="1:62" s="42" customFormat="1" hidden="1" x14ac:dyDescent="0.2">
      <c r="A567" s="1" t="s">
        <v>1001</v>
      </c>
      <c r="B567" s="48" t="s">
        <v>1027</v>
      </c>
      <c r="C567" s="44" t="s">
        <v>3838</v>
      </c>
      <c r="D567" s="44" t="s">
        <v>2545</v>
      </c>
      <c r="E567" s="44" t="s">
        <v>812</v>
      </c>
      <c r="F567" s="48">
        <v>2020</v>
      </c>
      <c r="G567" s="44">
        <v>40</v>
      </c>
      <c r="H567" s="48">
        <v>317</v>
      </c>
      <c r="I567" s="44" t="str">
        <f>Tableau2[[#This Row],[Annee d''inscription au programme]]&amp;"-"&amp;Tableau2[[#This Row],[Code d''ecole]]&amp;"-"&amp;Tableau2[[#This Row],[Numero HM de la fille]]</f>
        <v>2020-40-317</v>
      </c>
      <c r="J567" s="45" t="s">
        <v>1815</v>
      </c>
      <c r="K567" s="63" t="s">
        <v>374</v>
      </c>
      <c r="L567" s="35" t="s">
        <v>620</v>
      </c>
      <c r="M567" s="35">
        <v>9.25</v>
      </c>
      <c r="N567" s="35">
        <v>2.5</v>
      </c>
      <c r="O567" s="35">
        <f t="shared" si="16"/>
        <v>5.875</v>
      </c>
      <c r="P567" s="35">
        <v>6.5</v>
      </c>
      <c r="Q567" s="35">
        <v>2</v>
      </c>
      <c r="R567" s="35">
        <f t="shared" si="17"/>
        <v>4.25</v>
      </c>
      <c r="S567" s="35"/>
      <c r="T567" s="35"/>
      <c r="U567" s="35"/>
      <c r="V567" s="35" t="e">
        <f>AVERAGE(Tableau2[[#This Row],[1ère composition/10]:[3è composition]])</f>
        <v>#DIV/0!</v>
      </c>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f>COUNTIF(Tableau2[[#This Row],[Séance 1]:[Séance 38]],"A")</f>
        <v>0</v>
      </c>
      <c r="BJ567" s="35"/>
    </row>
    <row r="568" spans="1:62" s="42" customFormat="1" hidden="1" x14ac:dyDescent="0.2">
      <c r="A568" s="1" t="s">
        <v>1001</v>
      </c>
      <c r="B568" s="48" t="s">
        <v>1184</v>
      </c>
      <c r="C568" s="44" t="s">
        <v>3844</v>
      </c>
      <c r="D568" s="48" t="s">
        <v>1185</v>
      </c>
      <c r="E568" s="44" t="s">
        <v>812</v>
      </c>
      <c r="F568" s="48">
        <v>2021</v>
      </c>
      <c r="G568" s="48">
        <v>40</v>
      </c>
      <c r="H568" s="48">
        <v>13</v>
      </c>
      <c r="I568" s="48" t="str">
        <f>Tableau2[[#This Row],[Annee d''inscription au programme]]&amp;"-"&amp;Tableau2[[#This Row],[Code d''ecole]]&amp;"-"&amp;Tableau2[[#This Row],[Numero HM de la fille]]</f>
        <v>2021-40-13</v>
      </c>
      <c r="J568" s="45" t="s">
        <v>1816</v>
      </c>
      <c r="K568" s="63" t="s">
        <v>593</v>
      </c>
      <c r="L568" s="35" t="s">
        <v>698</v>
      </c>
      <c r="M568" s="35">
        <v>0</v>
      </c>
      <c r="N568" s="35">
        <v>0</v>
      </c>
      <c r="O568" s="35">
        <f t="shared" si="16"/>
        <v>0</v>
      </c>
      <c r="P568" s="35"/>
      <c r="Q568" s="35"/>
      <c r="R568" s="35">
        <f t="shared" si="17"/>
        <v>0</v>
      </c>
      <c r="S568" s="35"/>
      <c r="T568" s="35"/>
      <c r="U568" s="35"/>
      <c r="V568" s="35" t="e">
        <f>AVERAGE(Tableau2[[#This Row],[1ère composition/10]:[3è composition]])</f>
        <v>#DIV/0!</v>
      </c>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f>COUNTIF(Tableau2[[#This Row],[Séance 1]:[Séance 38]],"A")</f>
        <v>0</v>
      </c>
      <c r="BJ568" s="35"/>
    </row>
    <row r="569" spans="1:62" s="42" customFormat="1" hidden="1" x14ac:dyDescent="0.2">
      <c r="A569" s="1" t="s">
        <v>1001</v>
      </c>
      <c r="B569" s="48" t="s">
        <v>1025</v>
      </c>
      <c r="C569" s="44" t="s">
        <v>1026</v>
      </c>
      <c r="D569" s="44" t="s">
        <v>619</v>
      </c>
      <c r="E569" s="44" t="s">
        <v>812</v>
      </c>
      <c r="F569" s="48">
        <v>2021</v>
      </c>
      <c r="G569" s="44">
        <v>40</v>
      </c>
      <c r="H569" s="48">
        <v>14</v>
      </c>
      <c r="I569" s="44" t="str">
        <f>Tableau2[[#This Row],[Annee d''inscription au programme]]&amp;"-"&amp;Tableau2[[#This Row],[Code d''ecole]]&amp;"-"&amp;Tableau2[[#This Row],[Numero HM de la fille]]</f>
        <v>2021-40-14</v>
      </c>
      <c r="J569" s="45" t="s">
        <v>1817</v>
      </c>
      <c r="K569" s="63" t="s">
        <v>593</v>
      </c>
      <c r="L569" s="35" t="s">
        <v>698</v>
      </c>
      <c r="M569" s="35">
        <v>3</v>
      </c>
      <c r="N569" s="35">
        <v>0</v>
      </c>
      <c r="O569" s="35">
        <f t="shared" si="16"/>
        <v>1.5</v>
      </c>
      <c r="P569" s="35">
        <v>4</v>
      </c>
      <c r="Q569" s="35">
        <v>3</v>
      </c>
      <c r="R569" s="35">
        <f t="shared" si="17"/>
        <v>3.5</v>
      </c>
      <c r="S569" s="35"/>
      <c r="T569" s="35"/>
      <c r="U569" s="35"/>
      <c r="V569" s="35" t="e">
        <f>AVERAGE(Tableau2[[#This Row],[1ère composition/10]:[3è composition]])</f>
        <v>#DIV/0!</v>
      </c>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f>COUNTIF(Tableau2[[#This Row],[Séance 1]:[Séance 38]],"A")</f>
        <v>0</v>
      </c>
      <c r="BJ569" s="35"/>
    </row>
    <row r="570" spans="1:62" s="42" customFormat="1" hidden="1" x14ac:dyDescent="0.2">
      <c r="A570" s="1" t="s">
        <v>1001</v>
      </c>
      <c r="B570" s="48" t="s">
        <v>1028</v>
      </c>
      <c r="C570" s="44" t="s">
        <v>3841</v>
      </c>
      <c r="D570" s="44" t="s">
        <v>2546</v>
      </c>
      <c r="E570" s="44" t="s">
        <v>812</v>
      </c>
      <c r="F570" s="48">
        <v>2020</v>
      </c>
      <c r="G570" s="44">
        <v>40</v>
      </c>
      <c r="H570" s="48">
        <v>313</v>
      </c>
      <c r="I570" s="44" t="str">
        <f>Tableau2[[#This Row],[Annee d''inscription au programme]]&amp;"-"&amp;Tableau2[[#This Row],[Code d''ecole]]&amp;"-"&amp;Tableau2[[#This Row],[Numero HM de la fille]]</f>
        <v>2020-40-313</v>
      </c>
      <c r="J570" s="45" t="s">
        <v>1818</v>
      </c>
      <c r="K570" s="63" t="s">
        <v>374</v>
      </c>
      <c r="L570" s="35" t="s">
        <v>620</v>
      </c>
      <c r="M570" s="35">
        <v>0</v>
      </c>
      <c r="N570" s="35">
        <v>0</v>
      </c>
      <c r="O570" s="35">
        <f t="shared" si="16"/>
        <v>0</v>
      </c>
      <c r="P570" s="35">
        <v>15.5</v>
      </c>
      <c r="Q570" s="35">
        <v>11.5</v>
      </c>
      <c r="R570" s="35">
        <f t="shared" si="17"/>
        <v>13.5</v>
      </c>
      <c r="S570" s="35"/>
      <c r="T570" s="35"/>
      <c r="U570" s="35"/>
      <c r="V570" s="35" t="e">
        <f>AVERAGE(Tableau2[[#This Row],[1ère composition/10]:[3è composition]])</f>
        <v>#DIV/0!</v>
      </c>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f>COUNTIF(Tableau2[[#This Row],[Séance 1]:[Séance 38]],"A")</f>
        <v>0</v>
      </c>
      <c r="BJ570" s="35"/>
    </row>
    <row r="571" spans="1:62" s="42" customFormat="1" hidden="1" x14ac:dyDescent="0.2">
      <c r="A571" s="1" t="s">
        <v>1001</v>
      </c>
      <c r="B571" s="48" t="s">
        <v>1029</v>
      </c>
      <c r="C571" s="44" t="s">
        <v>3838</v>
      </c>
      <c r="D571" s="48" t="s">
        <v>1030</v>
      </c>
      <c r="E571" s="44" t="s">
        <v>812</v>
      </c>
      <c r="F571" s="48">
        <v>2021</v>
      </c>
      <c r="G571" s="44">
        <v>40</v>
      </c>
      <c r="H571" s="48">
        <v>15</v>
      </c>
      <c r="I571" s="44" t="str">
        <f>Tableau2[[#This Row],[Annee d''inscription au programme]]&amp;"-"&amp;Tableau2[[#This Row],[Code d''ecole]]&amp;"-"&amp;Tableau2[[#This Row],[Numero HM de la fille]]</f>
        <v>2021-40-15</v>
      </c>
      <c r="J571" s="45" t="s">
        <v>1819</v>
      </c>
      <c r="K571" s="63" t="s">
        <v>593</v>
      </c>
      <c r="L571" s="35" t="s">
        <v>698</v>
      </c>
      <c r="M571" s="35">
        <v>1.5</v>
      </c>
      <c r="N571" s="35">
        <v>1</v>
      </c>
      <c r="O571" s="35">
        <f t="shared" si="16"/>
        <v>1.25</v>
      </c>
      <c r="P571" s="35">
        <v>5</v>
      </c>
      <c r="Q571" s="35">
        <v>4</v>
      </c>
      <c r="R571" s="35">
        <f t="shared" si="17"/>
        <v>4.5</v>
      </c>
      <c r="S571" s="35"/>
      <c r="T571" s="35"/>
      <c r="U571" s="35"/>
      <c r="V571" s="35" t="e">
        <f>AVERAGE(Tableau2[[#This Row],[1ère composition/10]:[3è composition]])</f>
        <v>#DIV/0!</v>
      </c>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f>COUNTIF(Tableau2[[#This Row],[Séance 1]:[Séance 38]],"A")</f>
        <v>0</v>
      </c>
      <c r="BJ571" s="35"/>
    </row>
    <row r="572" spans="1:62" s="42" customFormat="1" hidden="1" x14ac:dyDescent="0.2">
      <c r="A572" s="1" t="s">
        <v>1001</v>
      </c>
      <c r="B572" s="48" t="s">
        <v>1031</v>
      </c>
      <c r="C572" s="44" t="s">
        <v>3838</v>
      </c>
      <c r="D572" s="44" t="s">
        <v>2547</v>
      </c>
      <c r="E572" s="44" t="s">
        <v>812</v>
      </c>
      <c r="F572" s="48">
        <v>2021</v>
      </c>
      <c r="G572" s="44">
        <v>40</v>
      </c>
      <c r="H572" s="48">
        <v>16</v>
      </c>
      <c r="I572" s="44" t="str">
        <f>Tableau2[[#This Row],[Annee d''inscription au programme]]&amp;"-"&amp;Tableau2[[#This Row],[Code d''ecole]]&amp;"-"&amp;Tableau2[[#This Row],[Numero HM de la fille]]</f>
        <v>2021-40-16</v>
      </c>
      <c r="J572" s="45" t="s">
        <v>1820</v>
      </c>
      <c r="K572" s="63" t="s">
        <v>593</v>
      </c>
      <c r="L572" s="35" t="s">
        <v>698</v>
      </c>
      <c r="M572" s="35">
        <v>6</v>
      </c>
      <c r="N572" s="35">
        <v>2.5</v>
      </c>
      <c r="O572" s="35">
        <f t="shared" si="16"/>
        <v>4.25</v>
      </c>
      <c r="P572" s="35">
        <v>11</v>
      </c>
      <c r="Q572" s="35">
        <v>9</v>
      </c>
      <c r="R572" s="35">
        <f t="shared" si="17"/>
        <v>10</v>
      </c>
      <c r="S572" s="35"/>
      <c r="T572" s="35"/>
      <c r="U572" s="35"/>
      <c r="V572" s="35" t="e">
        <f>AVERAGE(Tableau2[[#This Row],[1ère composition/10]:[3è composition]])</f>
        <v>#DIV/0!</v>
      </c>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f>COUNTIF(Tableau2[[#This Row],[Séance 1]:[Séance 38]],"A")</f>
        <v>0</v>
      </c>
      <c r="BJ572" s="35"/>
    </row>
    <row r="573" spans="1:62" s="42" customFormat="1" hidden="1" x14ac:dyDescent="0.2">
      <c r="A573" s="1" t="s">
        <v>1001</v>
      </c>
      <c r="B573" s="48" t="s">
        <v>1032</v>
      </c>
      <c r="C573" s="44" t="s">
        <v>3838</v>
      </c>
      <c r="D573" s="44" t="s">
        <v>2541</v>
      </c>
      <c r="E573" s="44" t="s">
        <v>812</v>
      </c>
      <c r="F573" s="48">
        <v>2021</v>
      </c>
      <c r="G573" s="44">
        <v>40</v>
      </c>
      <c r="H573" s="48">
        <v>17</v>
      </c>
      <c r="I573" s="44" t="str">
        <f>Tableau2[[#This Row],[Annee d''inscription au programme]]&amp;"-"&amp;Tableau2[[#This Row],[Code d''ecole]]&amp;"-"&amp;Tableau2[[#This Row],[Numero HM de la fille]]</f>
        <v>2021-40-17</v>
      </c>
      <c r="J573" s="45" t="s">
        <v>1821</v>
      </c>
      <c r="K573" s="63" t="s">
        <v>593</v>
      </c>
      <c r="L573" s="35" t="s">
        <v>698</v>
      </c>
      <c r="M573" s="35">
        <v>14</v>
      </c>
      <c r="N573" s="35">
        <v>11</v>
      </c>
      <c r="O573" s="35">
        <f t="shared" si="16"/>
        <v>12.5</v>
      </c>
      <c r="P573" s="35">
        <v>19</v>
      </c>
      <c r="Q573" s="35">
        <v>19</v>
      </c>
      <c r="R573" s="35">
        <f t="shared" si="17"/>
        <v>19</v>
      </c>
      <c r="S573" s="35"/>
      <c r="T573" s="35"/>
      <c r="U573" s="35"/>
      <c r="V573" s="35" t="e">
        <f>AVERAGE(Tableau2[[#This Row],[1ère composition/10]:[3è composition]])</f>
        <v>#DIV/0!</v>
      </c>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f>COUNTIF(Tableau2[[#This Row],[Séance 1]:[Séance 38]],"A")</f>
        <v>0</v>
      </c>
      <c r="BJ573" s="35"/>
    </row>
    <row r="574" spans="1:62" s="42" customFormat="1" hidden="1" x14ac:dyDescent="0.2">
      <c r="A574" s="1" t="s">
        <v>1001</v>
      </c>
      <c r="B574" s="48" t="s">
        <v>1033</v>
      </c>
      <c r="C574" s="44" t="s">
        <v>3838</v>
      </c>
      <c r="D574" s="44" t="s">
        <v>2548</v>
      </c>
      <c r="E574" s="44" t="s">
        <v>812</v>
      </c>
      <c r="F574" s="48">
        <v>2021</v>
      </c>
      <c r="G574" s="44">
        <v>40</v>
      </c>
      <c r="H574" s="48">
        <v>18</v>
      </c>
      <c r="I574" s="44" t="str">
        <f>Tableau2[[#This Row],[Annee d''inscription au programme]]&amp;"-"&amp;Tableau2[[#This Row],[Code d''ecole]]&amp;"-"&amp;Tableau2[[#This Row],[Numero HM de la fille]]</f>
        <v>2021-40-18</v>
      </c>
      <c r="J574" s="45" t="s">
        <v>1822</v>
      </c>
      <c r="K574" s="63" t="s">
        <v>593</v>
      </c>
      <c r="L574" s="35" t="s">
        <v>698</v>
      </c>
      <c r="M574" s="35">
        <v>3</v>
      </c>
      <c r="N574" s="35">
        <v>3</v>
      </c>
      <c r="O574" s="35">
        <f t="shared" si="16"/>
        <v>3</v>
      </c>
      <c r="P574" s="35">
        <v>6</v>
      </c>
      <c r="Q574" s="35">
        <v>9</v>
      </c>
      <c r="R574" s="35">
        <f t="shared" si="17"/>
        <v>7.5</v>
      </c>
      <c r="S574" s="35"/>
      <c r="T574" s="35"/>
      <c r="U574" s="35"/>
      <c r="V574" s="35" t="e">
        <f>AVERAGE(Tableau2[[#This Row],[1ère composition/10]:[3è composition]])</f>
        <v>#DIV/0!</v>
      </c>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f>COUNTIF(Tableau2[[#This Row],[Séance 1]:[Séance 38]],"A")</f>
        <v>0</v>
      </c>
      <c r="BJ574" s="35"/>
    </row>
    <row r="575" spans="1:62" s="42" customFormat="1" hidden="1" x14ac:dyDescent="0.2">
      <c r="A575" s="1" t="s">
        <v>1001</v>
      </c>
      <c r="B575" s="48" t="s">
        <v>1034</v>
      </c>
      <c r="C575" s="44" t="s">
        <v>3841</v>
      </c>
      <c r="D575" s="44" t="s">
        <v>2549</v>
      </c>
      <c r="E575" s="44" t="s">
        <v>812</v>
      </c>
      <c r="F575" s="48">
        <v>2020</v>
      </c>
      <c r="G575" s="44">
        <v>40</v>
      </c>
      <c r="H575" s="48">
        <v>322</v>
      </c>
      <c r="I575" s="44" t="str">
        <f>Tableau2[[#This Row],[Annee d''inscription au programme]]&amp;"-"&amp;Tableau2[[#This Row],[Code d''ecole]]&amp;"-"&amp;Tableau2[[#This Row],[Numero HM de la fille]]</f>
        <v>2020-40-322</v>
      </c>
      <c r="J575" s="45" t="s">
        <v>1823</v>
      </c>
      <c r="K575" s="63" t="s">
        <v>374</v>
      </c>
      <c r="L575" s="35" t="s">
        <v>620</v>
      </c>
      <c r="M575" s="35">
        <v>0</v>
      </c>
      <c r="N575" s="35">
        <v>0</v>
      </c>
      <c r="O575" s="35">
        <f t="shared" si="16"/>
        <v>0</v>
      </c>
      <c r="P575" s="35">
        <v>12.5</v>
      </c>
      <c r="Q575" s="35">
        <v>3</v>
      </c>
      <c r="R575" s="35">
        <f t="shared" si="17"/>
        <v>7.75</v>
      </c>
      <c r="S575" s="35"/>
      <c r="T575" s="35"/>
      <c r="U575" s="35"/>
      <c r="V575" s="35" t="e">
        <f>AVERAGE(Tableau2[[#This Row],[1ère composition/10]:[3è composition]])</f>
        <v>#DIV/0!</v>
      </c>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f>COUNTIF(Tableau2[[#This Row],[Séance 1]:[Séance 38]],"A")</f>
        <v>0</v>
      </c>
      <c r="BJ575" s="35"/>
    </row>
    <row r="576" spans="1:62" s="42" customFormat="1" hidden="1" x14ac:dyDescent="0.2">
      <c r="A576" s="1" t="s">
        <v>1001</v>
      </c>
      <c r="B576" s="48" t="s">
        <v>1035</v>
      </c>
      <c r="C576" s="44" t="s">
        <v>3838</v>
      </c>
      <c r="D576" s="44" t="s">
        <v>2550</v>
      </c>
      <c r="E576" s="44" t="s">
        <v>812</v>
      </c>
      <c r="F576" s="48">
        <v>2021</v>
      </c>
      <c r="G576" s="44">
        <v>40</v>
      </c>
      <c r="H576" s="48">
        <v>19</v>
      </c>
      <c r="I576" s="44" t="str">
        <f>Tableau2[[#This Row],[Annee d''inscription au programme]]&amp;"-"&amp;Tableau2[[#This Row],[Code d''ecole]]&amp;"-"&amp;Tableau2[[#This Row],[Numero HM de la fille]]</f>
        <v>2021-40-19</v>
      </c>
      <c r="J576" s="45" t="s">
        <v>1824</v>
      </c>
      <c r="K576" s="63" t="s">
        <v>593</v>
      </c>
      <c r="L576" s="35" t="s">
        <v>698</v>
      </c>
      <c r="M576" s="35">
        <v>6</v>
      </c>
      <c r="N576" s="35">
        <v>1</v>
      </c>
      <c r="O576" s="35">
        <f t="shared" si="16"/>
        <v>3.5</v>
      </c>
      <c r="P576" s="35">
        <v>5</v>
      </c>
      <c r="Q576" s="35">
        <v>3</v>
      </c>
      <c r="R576" s="35">
        <f t="shared" si="17"/>
        <v>4</v>
      </c>
      <c r="S576" s="35"/>
      <c r="T576" s="35"/>
      <c r="U576" s="35"/>
      <c r="V576" s="35" t="e">
        <f>AVERAGE(Tableau2[[#This Row],[1ère composition/10]:[3è composition]])</f>
        <v>#DIV/0!</v>
      </c>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f>COUNTIF(Tableau2[[#This Row],[Séance 1]:[Séance 38]],"A")</f>
        <v>0</v>
      </c>
      <c r="BJ576" s="35"/>
    </row>
    <row r="577" spans="1:62" s="42" customFormat="1" hidden="1" x14ac:dyDescent="0.2">
      <c r="A577" s="1" t="s">
        <v>1001</v>
      </c>
      <c r="B577" s="48" t="s">
        <v>1036</v>
      </c>
      <c r="C577" s="44" t="s">
        <v>3843</v>
      </c>
      <c r="D577" s="44" t="s">
        <v>2540</v>
      </c>
      <c r="E577" s="44" t="s">
        <v>812</v>
      </c>
      <c r="F577" s="48">
        <v>2020</v>
      </c>
      <c r="G577" s="44">
        <v>40</v>
      </c>
      <c r="H577" s="48">
        <v>331</v>
      </c>
      <c r="I577" s="44" t="str">
        <f>Tableau2[[#This Row],[Annee d''inscription au programme]]&amp;"-"&amp;Tableau2[[#This Row],[Code d''ecole]]&amp;"-"&amp;Tableau2[[#This Row],[Numero HM de la fille]]</f>
        <v>2020-40-331</v>
      </c>
      <c r="J577" s="45" t="s">
        <v>1825</v>
      </c>
      <c r="K577" s="63" t="s">
        <v>374</v>
      </c>
      <c r="L577" s="35" t="s">
        <v>620</v>
      </c>
      <c r="M577" s="35">
        <v>4</v>
      </c>
      <c r="N577" s="35">
        <v>5.75</v>
      </c>
      <c r="O577" s="35">
        <f t="shared" si="16"/>
        <v>4.875</v>
      </c>
      <c r="P577" s="35">
        <v>7</v>
      </c>
      <c r="Q577" s="35">
        <v>5</v>
      </c>
      <c r="R577" s="35">
        <f t="shared" si="17"/>
        <v>6</v>
      </c>
      <c r="S577" s="35"/>
      <c r="T577" s="35"/>
      <c r="U577" s="35"/>
      <c r="V577" s="35" t="e">
        <f>AVERAGE(Tableau2[[#This Row],[1ère composition/10]:[3è composition]])</f>
        <v>#DIV/0!</v>
      </c>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f>COUNTIF(Tableau2[[#This Row],[Séance 1]:[Séance 38]],"A")</f>
        <v>0</v>
      </c>
      <c r="BJ577" s="35"/>
    </row>
    <row r="578" spans="1:62" s="42" customFormat="1" hidden="1" x14ac:dyDescent="0.2">
      <c r="A578" s="1" t="s">
        <v>1001</v>
      </c>
      <c r="B578" s="48" t="s">
        <v>1037</v>
      </c>
      <c r="C578" s="44" t="s">
        <v>3841</v>
      </c>
      <c r="D578" s="48" t="s">
        <v>1038</v>
      </c>
      <c r="E578" s="44" t="s">
        <v>812</v>
      </c>
      <c r="F578" s="48">
        <v>2020</v>
      </c>
      <c r="G578" s="44">
        <v>40</v>
      </c>
      <c r="H578" s="48">
        <v>234</v>
      </c>
      <c r="I578" s="44" t="str">
        <f>Tableau2[[#This Row],[Annee d''inscription au programme]]&amp;"-"&amp;Tableau2[[#This Row],[Code d''ecole]]&amp;"-"&amp;Tableau2[[#This Row],[Numero HM de la fille]]</f>
        <v>2020-40-234</v>
      </c>
      <c r="J578" s="45" t="s">
        <v>1826</v>
      </c>
      <c r="K578" s="63" t="s">
        <v>374</v>
      </c>
      <c r="L578" s="35" t="s">
        <v>3521</v>
      </c>
      <c r="M578" s="35">
        <v>10.5</v>
      </c>
      <c r="N578" s="35">
        <v>13.25</v>
      </c>
      <c r="O578" s="35">
        <f t="shared" si="16"/>
        <v>11.875</v>
      </c>
      <c r="P578" s="35">
        <v>8.5</v>
      </c>
      <c r="Q578" s="35">
        <v>15</v>
      </c>
      <c r="R578" s="35">
        <f t="shared" si="17"/>
        <v>11.75</v>
      </c>
      <c r="S578" s="35"/>
      <c r="T578" s="35"/>
      <c r="U578" s="35"/>
      <c r="V578" s="35" t="e">
        <f>AVERAGE(Tableau2[[#This Row],[1ère composition/10]:[3è composition]])</f>
        <v>#DIV/0!</v>
      </c>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f>COUNTIF(Tableau2[[#This Row],[Séance 1]:[Séance 38]],"A")</f>
        <v>0</v>
      </c>
      <c r="BJ578" s="35"/>
    </row>
    <row r="579" spans="1:62" s="42" customFormat="1" hidden="1" x14ac:dyDescent="0.2">
      <c r="A579" s="1" t="s">
        <v>1001</v>
      </c>
      <c r="B579" s="48" t="s">
        <v>989</v>
      </c>
      <c r="C579" s="44" t="s">
        <v>3838</v>
      </c>
      <c r="D579" s="44" t="s">
        <v>746</v>
      </c>
      <c r="E579" s="44" t="s">
        <v>812</v>
      </c>
      <c r="F579" s="48">
        <v>2021</v>
      </c>
      <c r="G579" s="44">
        <v>40</v>
      </c>
      <c r="H579" s="48">
        <v>22</v>
      </c>
      <c r="I579" s="44" t="str">
        <f>Tableau2[[#This Row],[Annee d''inscription au programme]]&amp;"-"&amp;Tableau2[[#This Row],[Code d''ecole]]&amp;"-"&amp;Tableau2[[#This Row],[Numero HM de la fille]]</f>
        <v>2021-40-22</v>
      </c>
      <c r="J579" s="45" t="s">
        <v>1827</v>
      </c>
      <c r="K579" s="63" t="s">
        <v>593</v>
      </c>
      <c r="L579" s="35" t="s">
        <v>698</v>
      </c>
      <c r="M579" s="35">
        <v>6</v>
      </c>
      <c r="N579" s="35">
        <v>5</v>
      </c>
      <c r="O579" s="35">
        <f t="shared" si="16"/>
        <v>5.5</v>
      </c>
      <c r="P579" s="35">
        <v>11</v>
      </c>
      <c r="Q579" s="35">
        <v>16.5</v>
      </c>
      <c r="R579" s="35">
        <f t="shared" si="17"/>
        <v>13.75</v>
      </c>
      <c r="S579" s="35"/>
      <c r="T579" s="35"/>
      <c r="U579" s="35"/>
      <c r="V579" s="35" t="e">
        <f>AVERAGE(Tableau2[[#This Row],[1ère composition/10]:[3è composition]])</f>
        <v>#DIV/0!</v>
      </c>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f>COUNTIF(Tableau2[[#This Row],[Séance 1]:[Séance 38]],"A")</f>
        <v>0</v>
      </c>
      <c r="BJ579" s="35"/>
    </row>
    <row r="580" spans="1:62" s="42" customFormat="1" hidden="1" x14ac:dyDescent="0.2">
      <c r="A580" s="1" t="s">
        <v>1001</v>
      </c>
      <c r="B580" s="44" t="s">
        <v>2551</v>
      </c>
      <c r="C580" s="44" t="s">
        <v>3838</v>
      </c>
      <c r="D580" s="44" t="s">
        <v>2552</v>
      </c>
      <c r="E580" s="44" t="s">
        <v>812</v>
      </c>
      <c r="F580" s="48">
        <v>2021</v>
      </c>
      <c r="G580" s="44">
        <v>40</v>
      </c>
      <c r="H580" s="48">
        <v>23</v>
      </c>
      <c r="I580" s="44" t="str">
        <f>Tableau2[[#This Row],[Annee d''inscription au programme]]&amp;"-"&amp;Tableau2[[#This Row],[Code d''ecole]]&amp;"-"&amp;Tableau2[[#This Row],[Numero HM de la fille]]</f>
        <v>2021-40-23</v>
      </c>
      <c r="J580" s="45" t="s">
        <v>1828</v>
      </c>
      <c r="K580" s="63" t="s">
        <v>593</v>
      </c>
      <c r="L580" s="35" t="s">
        <v>698</v>
      </c>
      <c r="M580" s="35">
        <v>9.5</v>
      </c>
      <c r="N580" s="35">
        <v>4.5</v>
      </c>
      <c r="O580" s="35">
        <f t="shared" si="16"/>
        <v>7</v>
      </c>
      <c r="P580" s="35">
        <v>13.5</v>
      </c>
      <c r="Q580" s="35">
        <v>9</v>
      </c>
      <c r="R580" s="35">
        <f t="shared" si="17"/>
        <v>11.25</v>
      </c>
      <c r="S580" s="35"/>
      <c r="T580" s="35"/>
      <c r="U580" s="35"/>
      <c r="V580" s="35" t="e">
        <f>AVERAGE(Tableau2[[#This Row],[1ère composition/10]:[3è composition]])</f>
        <v>#DIV/0!</v>
      </c>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f>COUNTIF(Tableau2[[#This Row],[Séance 1]:[Séance 38]],"A")</f>
        <v>0</v>
      </c>
      <c r="BJ580" s="35"/>
    </row>
    <row r="581" spans="1:62" s="42" customFormat="1" hidden="1" x14ac:dyDescent="0.2">
      <c r="A581" s="1" t="s">
        <v>1001</v>
      </c>
      <c r="B581" s="48" t="s">
        <v>1039</v>
      </c>
      <c r="C581" s="44" t="s">
        <v>3838</v>
      </c>
      <c r="D581" s="44" t="s">
        <v>2553</v>
      </c>
      <c r="E581" s="44" t="s">
        <v>812</v>
      </c>
      <c r="F581" s="48">
        <v>2020</v>
      </c>
      <c r="G581" s="44">
        <v>40</v>
      </c>
      <c r="H581" s="48">
        <v>327</v>
      </c>
      <c r="I581" s="44" t="str">
        <f>Tableau2[[#This Row],[Annee d''inscription au programme]]&amp;"-"&amp;Tableau2[[#This Row],[Code d''ecole]]&amp;"-"&amp;Tableau2[[#This Row],[Numero HM de la fille]]</f>
        <v>2020-40-327</v>
      </c>
      <c r="J581" s="45" t="s">
        <v>1829</v>
      </c>
      <c r="K581" s="63" t="s">
        <v>374</v>
      </c>
      <c r="L581" s="35" t="s">
        <v>620</v>
      </c>
      <c r="M581" s="35">
        <v>7.5</v>
      </c>
      <c r="N581" s="35">
        <v>6</v>
      </c>
      <c r="O581" s="35">
        <f t="shared" ref="O581:O644" si="18">AVERAGE(M581+N581)/2</f>
        <v>6.75</v>
      </c>
      <c r="P581" s="35">
        <v>13</v>
      </c>
      <c r="Q581" s="35">
        <v>8</v>
      </c>
      <c r="R581" s="35">
        <f t="shared" ref="R581:R644" si="19">AVERAGE(P581+Q581)/2</f>
        <v>10.5</v>
      </c>
      <c r="S581" s="35"/>
      <c r="T581" s="35"/>
      <c r="U581" s="35"/>
      <c r="V581" s="35" t="e">
        <f>AVERAGE(Tableau2[[#This Row],[1ère composition/10]:[3è composition]])</f>
        <v>#DIV/0!</v>
      </c>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f>COUNTIF(Tableau2[[#This Row],[Séance 1]:[Séance 38]],"A")</f>
        <v>0</v>
      </c>
      <c r="BJ581" s="35"/>
    </row>
    <row r="582" spans="1:62" s="42" customFormat="1" hidden="1" x14ac:dyDescent="0.2">
      <c r="A582" s="1" t="s">
        <v>1001</v>
      </c>
      <c r="B582" s="48" t="s">
        <v>1182</v>
      </c>
      <c r="C582" s="44" t="s">
        <v>3844</v>
      </c>
      <c r="D582" s="48" t="s">
        <v>1183</v>
      </c>
      <c r="E582" s="44" t="s">
        <v>812</v>
      </c>
      <c r="F582" s="48">
        <v>2021</v>
      </c>
      <c r="G582" s="44">
        <v>40</v>
      </c>
      <c r="H582" s="48">
        <v>24</v>
      </c>
      <c r="I582" s="48" t="str">
        <f>Tableau2[[#This Row],[Annee d''inscription au programme]]&amp;"-"&amp;Tableau2[[#This Row],[Code d''ecole]]&amp;"-"&amp;Tableau2[[#This Row],[Numero HM de la fille]]</f>
        <v>2021-40-24</v>
      </c>
      <c r="J582" s="45" t="s">
        <v>1830</v>
      </c>
      <c r="K582" s="63" t="s">
        <v>593</v>
      </c>
      <c r="L582" s="35" t="s">
        <v>698</v>
      </c>
      <c r="M582" s="35">
        <v>0</v>
      </c>
      <c r="N582" s="35">
        <v>0</v>
      </c>
      <c r="O582" s="35">
        <f t="shared" si="18"/>
        <v>0</v>
      </c>
      <c r="P582" s="35"/>
      <c r="Q582" s="35"/>
      <c r="R582" s="35">
        <f t="shared" si="19"/>
        <v>0</v>
      </c>
      <c r="S582" s="35"/>
      <c r="T582" s="35"/>
      <c r="U582" s="35"/>
      <c r="V582" s="35" t="e">
        <f>AVERAGE(Tableau2[[#This Row],[1ère composition/10]:[3è composition]])</f>
        <v>#DIV/0!</v>
      </c>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f>COUNTIF(Tableau2[[#This Row],[Séance 1]:[Séance 38]],"A")</f>
        <v>0</v>
      </c>
      <c r="BJ582" s="35"/>
    </row>
    <row r="583" spans="1:62" s="42" customFormat="1" hidden="1" x14ac:dyDescent="0.2">
      <c r="A583" s="1" t="s">
        <v>1001</v>
      </c>
      <c r="B583" s="48" t="s">
        <v>469</v>
      </c>
      <c r="C583" s="44" t="s">
        <v>1010</v>
      </c>
      <c r="D583" s="44" t="s">
        <v>2554</v>
      </c>
      <c r="E583" s="44" t="s">
        <v>812</v>
      </c>
      <c r="F583" s="48">
        <v>2020</v>
      </c>
      <c r="G583" s="44">
        <v>40</v>
      </c>
      <c r="H583" s="48">
        <v>326</v>
      </c>
      <c r="I583" s="44" t="str">
        <f>Tableau2[[#This Row],[Annee d''inscription au programme]]&amp;"-"&amp;Tableau2[[#This Row],[Code d''ecole]]&amp;"-"&amp;Tableau2[[#This Row],[Numero HM de la fille]]</f>
        <v>2020-40-326</v>
      </c>
      <c r="J583" s="45" t="s">
        <v>1831</v>
      </c>
      <c r="K583" s="63" t="s">
        <v>374</v>
      </c>
      <c r="L583" s="35" t="s">
        <v>620</v>
      </c>
      <c r="M583" s="35">
        <v>12.5</v>
      </c>
      <c r="N583" s="35">
        <v>6</v>
      </c>
      <c r="O583" s="35">
        <f t="shared" si="18"/>
        <v>9.25</v>
      </c>
      <c r="P583" s="35">
        <v>17.5</v>
      </c>
      <c r="Q583" s="35">
        <v>13</v>
      </c>
      <c r="R583" s="35">
        <f t="shared" si="19"/>
        <v>15.25</v>
      </c>
      <c r="S583" s="35"/>
      <c r="T583" s="35"/>
      <c r="U583" s="35"/>
      <c r="V583" s="35" t="e">
        <f>AVERAGE(Tableau2[[#This Row],[1ère composition/10]:[3è composition]])</f>
        <v>#DIV/0!</v>
      </c>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f>COUNTIF(Tableau2[[#This Row],[Séance 1]:[Séance 38]],"A")</f>
        <v>0</v>
      </c>
      <c r="BJ583" s="35"/>
    </row>
    <row r="584" spans="1:62" s="42" customFormat="1" hidden="1" x14ac:dyDescent="0.2">
      <c r="A584" s="1" t="s">
        <v>1001</v>
      </c>
      <c r="B584" s="48" t="s">
        <v>1040</v>
      </c>
      <c r="C584" s="44" t="s">
        <v>3838</v>
      </c>
      <c r="D584" s="48" t="s">
        <v>1041</v>
      </c>
      <c r="E584" s="44" t="s">
        <v>812</v>
      </c>
      <c r="F584" s="48">
        <v>2021</v>
      </c>
      <c r="G584" s="44">
        <v>40</v>
      </c>
      <c r="H584" s="48">
        <v>26</v>
      </c>
      <c r="I584" s="44" t="str">
        <f>Tableau2[[#This Row],[Annee d''inscription au programme]]&amp;"-"&amp;Tableau2[[#This Row],[Code d''ecole]]&amp;"-"&amp;Tableau2[[#This Row],[Numero HM de la fille]]</f>
        <v>2021-40-26</v>
      </c>
      <c r="J584" s="45" t="s">
        <v>1832</v>
      </c>
      <c r="K584" s="63" t="s">
        <v>593</v>
      </c>
      <c r="L584" s="35" t="s">
        <v>698</v>
      </c>
      <c r="M584" s="35">
        <v>2</v>
      </c>
      <c r="N584" s="35">
        <v>3</v>
      </c>
      <c r="O584" s="35">
        <f t="shared" si="18"/>
        <v>2.5</v>
      </c>
      <c r="P584" s="35">
        <v>6.5</v>
      </c>
      <c r="Q584" s="35">
        <v>5.5</v>
      </c>
      <c r="R584" s="35">
        <f t="shared" si="19"/>
        <v>6</v>
      </c>
      <c r="S584" s="35"/>
      <c r="T584" s="35"/>
      <c r="U584" s="35"/>
      <c r="V584" s="35" t="e">
        <f>AVERAGE(Tableau2[[#This Row],[1ère composition/10]:[3è composition]])</f>
        <v>#DIV/0!</v>
      </c>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f>COUNTIF(Tableau2[[#This Row],[Séance 1]:[Séance 38]],"A")</f>
        <v>0</v>
      </c>
      <c r="BJ584" s="35"/>
    </row>
    <row r="585" spans="1:62" s="42" customFormat="1" hidden="1" x14ac:dyDescent="0.2">
      <c r="A585" s="1" t="s">
        <v>1001</v>
      </c>
      <c r="B585" s="48" t="s">
        <v>1186</v>
      </c>
      <c r="C585" s="44" t="s">
        <v>3844</v>
      </c>
      <c r="D585" s="48" t="s">
        <v>1187</v>
      </c>
      <c r="E585" s="44" t="s">
        <v>812</v>
      </c>
      <c r="F585" s="48">
        <v>2021</v>
      </c>
      <c r="G585" s="44">
        <v>40</v>
      </c>
      <c r="H585" s="48">
        <v>27</v>
      </c>
      <c r="I585" s="48" t="str">
        <f>Tableau2[[#This Row],[Annee d''inscription au programme]]&amp;"-"&amp;Tableau2[[#This Row],[Code d''ecole]]&amp;"-"&amp;Tableau2[[#This Row],[Numero HM de la fille]]</f>
        <v>2021-40-27</v>
      </c>
      <c r="J585" s="45" t="s">
        <v>1833</v>
      </c>
      <c r="K585" s="63" t="s">
        <v>593</v>
      </c>
      <c r="L585" s="35" t="s">
        <v>698</v>
      </c>
      <c r="M585" s="35">
        <v>0</v>
      </c>
      <c r="N585" s="35">
        <v>0</v>
      </c>
      <c r="O585" s="35">
        <f t="shared" si="18"/>
        <v>0</v>
      </c>
      <c r="P585" s="35"/>
      <c r="Q585" s="35"/>
      <c r="R585" s="35">
        <f t="shared" si="19"/>
        <v>0</v>
      </c>
      <c r="S585" s="35"/>
      <c r="T585" s="35"/>
      <c r="U585" s="35"/>
      <c r="V585" s="35" t="e">
        <f>AVERAGE(Tableau2[[#This Row],[1ère composition/10]:[3è composition]])</f>
        <v>#DIV/0!</v>
      </c>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f>COUNTIF(Tableau2[[#This Row],[Séance 1]:[Séance 38]],"A")</f>
        <v>0</v>
      </c>
      <c r="BJ585" s="35"/>
    </row>
    <row r="586" spans="1:62" s="42" customFormat="1" hidden="1" x14ac:dyDescent="0.2">
      <c r="A586" s="1" t="s">
        <v>1001</v>
      </c>
      <c r="B586" s="48" t="s">
        <v>1042</v>
      </c>
      <c r="C586" s="44" t="s">
        <v>3838</v>
      </c>
      <c r="D586" s="44" t="s">
        <v>2555</v>
      </c>
      <c r="E586" s="44" t="s">
        <v>812</v>
      </c>
      <c r="F586" s="48">
        <v>2021</v>
      </c>
      <c r="G586" s="44">
        <v>40</v>
      </c>
      <c r="H586" s="48">
        <v>28</v>
      </c>
      <c r="I586" s="44" t="str">
        <f>Tableau2[[#This Row],[Annee d''inscription au programme]]&amp;"-"&amp;Tableau2[[#This Row],[Code d''ecole]]&amp;"-"&amp;Tableau2[[#This Row],[Numero HM de la fille]]</f>
        <v>2021-40-28</v>
      </c>
      <c r="J586" s="45" t="s">
        <v>1834</v>
      </c>
      <c r="K586" s="63" t="s">
        <v>593</v>
      </c>
      <c r="L586" s="35" t="s">
        <v>698</v>
      </c>
      <c r="M586" s="35">
        <v>1</v>
      </c>
      <c r="N586" s="35">
        <v>0.75</v>
      </c>
      <c r="O586" s="35">
        <f t="shared" si="18"/>
        <v>0.875</v>
      </c>
      <c r="P586" s="35">
        <v>8</v>
      </c>
      <c r="Q586" s="35">
        <v>10</v>
      </c>
      <c r="R586" s="35">
        <f t="shared" si="19"/>
        <v>9</v>
      </c>
      <c r="S586" s="35"/>
      <c r="T586" s="35"/>
      <c r="U586" s="35"/>
      <c r="V586" s="35" t="e">
        <f>AVERAGE(Tableau2[[#This Row],[1ère composition/10]:[3è composition]])</f>
        <v>#DIV/0!</v>
      </c>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f>COUNTIF(Tableau2[[#This Row],[Séance 1]:[Séance 38]],"A")</f>
        <v>0</v>
      </c>
      <c r="BJ586" s="35"/>
    </row>
    <row r="587" spans="1:62" s="42" customFormat="1" hidden="1" x14ac:dyDescent="0.2">
      <c r="A587" s="1" t="s">
        <v>1001</v>
      </c>
      <c r="B587" s="48" t="s">
        <v>1043</v>
      </c>
      <c r="C587" s="44" t="s">
        <v>3838</v>
      </c>
      <c r="D587" s="44" t="s">
        <v>2556</v>
      </c>
      <c r="E587" s="44" t="s">
        <v>812</v>
      </c>
      <c r="F587" s="48">
        <v>2021</v>
      </c>
      <c r="G587" s="44">
        <v>40</v>
      </c>
      <c r="H587" s="48">
        <v>29</v>
      </c>
      <c r="I587" s="44" t="str">
        <f>Tableau2[[#This Row],[Annee d''inscription au programme]]&amp;"-"&amp;Tableau2[[#This Row],[Code d''ecole]]&amp;"-"&amp;Tableau2[[#This Row],[Numero HM de la fille]]</f>
        <v>2021-40-29</v>
      </c>
      <c r="J587" s="45" t="s">
        <v>1835</v>
      </c>
      <c r="K587" s="63" t="s">
        <v>593</v>
      </c>
      <c r="L587" s="35" t="s">
        <v>698</v>
      </c>
      <c r="M587" s="35">
        <v>10</v>
      </c>
      <c r="N587" s="35">
        <v>8.75</v>
      </c>
      <c r="O587" s="35">
        <f t="shared" si="18"/>
        <v>9.375</v>
      </c>
      <c r="P587" s="35">
        <v>15.5</v>
      </c>
      <c r="Q587" s="35">
        <v>13.5</v>
      </c>
      <c r="R587" s="35">
        <f t="shared" si="19"/>
        <v>14.5</v>
      </c>
      <c r="S587" s="35"/>
      <c r="T587" s="35"/>
      <c r="U587" s="35"/>
      <c r="V587" s="35" t="e">
        <f>AVERAGE(Tableau2[[#This Row],[1ère composition/10]:[3è composition]])</f>
        <v>#DIV/0!</v>
      </c>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f>COUNTIF(Tableau2[[#This Row],[Séance 1]:[Séance 38]],"A")</f>
        <v>0</v>
      </c>
      <c r="BJ587" s="35"/>
    </row>
    <row r="588" spans="1:62" s="42" customFormat="1" hidden="1" x14ac:dyDescent="0.2">
      <c r="A588" s="1" t="s">
        <v>1001</v>
      </c>
      <c r="B588" s="44" t="s">
        <v>2558</v>
      </c>
      <c r="C588" s="44" t="s">
        <v>3838</v>
      </c>
      <c r="D588" s="44" t="s">
        <v>2557</v>
      </c>
      <c r="E588" s="44" t="s">
        <v>812</v>
      </c>
      <c r="F588" s="48">
        <v>2021</v>
      </c>
      <c r="G588" s="44">
        <v>40</v>
      </c>
      <c r="H588" s="48">
        <v>30</v>
      </c>
      <c r="I588" s="44" t="str">
        <f>Tableau2[[#This Row],[Annee d''inscription au programme]]&amp;"-"&amp;Tableau2[[#This Row],[Code d''ecole]]&amp;"-"&amp;Tableau2[[#This Row],[Numero HM de la fille]]</f>
        <v>2021-40-30</v>
      </c>
      <c r="J588" s="45" t="s">
        <v>1836</v>
      </c>
      <c r="K588" s="63" t="s">
        <v>593</v>
      </c>
      <c r="L588" s="35" t="s">
        <v>698</v>
      </c>
      <c r="M588" s="35">
        <v>5</v>
      </c>
      <c r="N588" s="35">
        <v>1.5</v>
      </c>
      <c r="O588" s="35">
        <f t="shared" si="18"/>
        <v>3.25</v>
      </c>
      <c r="P588" s="35">
        <v>5</v>
      </c>
      <c r="Q588" s="35">
        <v>2</v>
      </c>
      <c r="R588" s="35">
        <f t="shared" si="19"/>
        <v>3.5</v>
      </c>
      <c r="S588" s="35"/>
      <c r="T588" s="35"/>
      <c r="U588" s="35"/>
      <c r="V588" s="35" t="e">
        <f>AVERAGE(Tableau2[[#This Row],[1ère composition/10]:[3è composition]])</f>
        <v>#DIV/0!</v>
      </c>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f>COUNTIF(Tableau2[[#This Row],[Séance 1]:[Séance 38]],"A")</f>
        <v>0</v>
      </c>
      <c r="BJ588" s="35"/>
    </row>
    <row r="589" spans="1:62" s="42" customFormat="1" hidden="1" x14ac:dyDescent="0.2">
      <c r="A589" s="1" t="s">
        <v>1001</v>
      </c>
      <c r="B589" s="44" t="s">
        <v>3895</v>
      </c>
      <c r="C589" s="44" t="s">
        <v>3839</v>
      </c>
      <c r="D589" s="44" t="s">
        <v>215</v>
      </c>
      <c r="E589" s="44" t="s">
        <v>812</v>
      </c>
      <c r="F589" s="48">
        <v>2021</v>
      </c>
      <c r="G589" s="44">
        <v>40</v>
      </c>
      <c r="H589" s="48">
        <v>31</v>
      </c>
      <c r="I589" s="44" t="str">
        <f>Tableau2[[#This Row],[Annee d''inscription au programme]]&amp;"-"&amp;Tableau2[[#This Row],[Code d''ecole]]&amp;"-"&amp;Tableau2[[#This Row],[Numero HM de la fille]]</f>
        <v>2021-40-31</v>
      </c>
      <c r="J589" s="45" t="s">
        <v>1837</v>
      </c>
      <c r="K589" s="63" t="s">
        <v>593</v>
      </c>
      <c r="L589" s="35" t="s">
        <v>698</v>
      </c>
      <c r="M589" s="35">
        <v>8.5</v>
      </c>
      <c r="N589" s="35">
        <v>4</v>
      </c>
      <c r="O589" s="35">
        <f t="shared" si="18"/>
        <v>6.25</v>
      </c>
      <c r="P589" s="35">
        <v>10</v>
      </c>
      <c r="Q589" s="35">
        <v>9</v>
      </c>
      <c r="R589" s="35">
        <f t="shared" si="19"/>
        <v>9.5</v>
      </c>
      <c r="S589" s="35"/>
      <c r="T589" s="35"/>
      <c r="U589" s="35"/>
      <c r="V589" s="35" t="e">
        <f>AVERAGE(Tableau2[[#This Row],[1ère composition/10]:[3è composition]])</f>
        <v>#DIV/0!</v>
      </c>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f>COUNTIF(Tableau2[[#This Row],[Séance 1]:[Séance 38]],"A")</f>
        <v>0</v>
      </c>
      <c r="BJ589" s="35"/>
    </row>
    <row r="590" spans="1:62" s="42" customFormat="1" hidden="1" x14ac:dyDescent="0.2">
      <c r="A590" s="1" t="s">
        <v>1001</v>
      </c>
      <c r="B590" s="48" t="s">
        <v>1044</v>
      </c>
      <c r="C590" s="44" t="s">
        <v>3838</v>
      </c>
      <c r="D590" s="44" t="s">
        <v>2560</v>
      </c>
      <c r="E590" s="44" t="s">
        <v>812</v>
      </c>
      <c r="F590" s="48">
        <v>2021</v>
      </c>
      <c r="G590" s="44">
        <v>40</v>
      </c>
      <c r="H590" s="48">
        <v>32</v>
      </c>
      <c r="I590" s="44" t="str">
        <f>Tableau2[[#This Row],[Annee d''inscription au programme]]&amp;"-"&amp;Tableau2[[#This Row],[Code d''ecole]]&amp;"-"&amp;Tableau2[[#This Row],[Numero HM de la fille]]</f>
        <v>2021-40-32</v>
      </c>
      <c r="J590" s="45" t="s">
        <v>1838</v>
      </c>
      <c r="K590" s="63" t="s">
        <v>593</v>
      </c>
      <c r="L590" s="35" t="s">
        <v>698</v>
      </c>
      <c r="M590" s="35">
        <v>0.5</v>
      </c>
      <c r="N590" s="35">
        <v>1.5</v>
      </c>
      <c r="O590" s="35">
        <f t="shared" si="18"/>
        <v>1</v>
      </c>
      <c r="P590" s="35">
        <v>11</v>
      </c>
      <c r="Q590" s="35">
        <v>9</v>
      </c>
      <c r="R590" s="35">
        <f t="shared" si="19"/>
        <v>10</v>
      </c>
      <c r="S590" s="35"/>
      <c r="T590" s="35"/>
      <c r="U590" s="35"/>
      <c r="V590" s="35" t="e">
        <f>AVERAGE(Tableau2[[#This Row],[1ère composition/10]:[3è composition]])</f>
        <v>#DIV/0!</v>
      </c>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f>COUNTIF(Tableau2[[#This Row],[Séance 1]:[Séance 38]],"A")</f>
        <v>0</v>
      </c>
      <c r="BJ590" s="35"/>
    </row>
    <row r="591" spans="1:62" s="42" customFormat="1" hidden="1" x14ac:dyDescent="0.2">
      <c r="A591" s="1" t="s">
        <v>1001</v>
      </c>
      <c r="B591" s="48" t="s">
        <v>1188</v>
      </c>
      <c r="C591" s="44" t="s">
        <v>3838</v>
      </c>
      <c r="D591" s="48" t="s">
        <v>1189</v>
      </c>
      <c r="E591" s="44" t="s">
        <v>812</v>
      </c>
      <c r="F591" s="48">
        <v>2021</v>
      </c>
      <c r="G591" s="44">
        <v>40</v>
      </c>
      <c r="H591" s="48">
        <v>33</v>
      </c>
      <c r="I591" s="48" t="str">
        <f>Tableau2[[#This Row],[Annee d''inscription au programme]]&amp;"-"&amp;Tableau2[[#This Row],[Code d''ecole]]&amp;"-"&amp;Tableau2[[#This Row],[Numero HM de la fille]]</f>
        <v>2021-40-33</v>
      </c>
      <c r="J591" s="45" t="s">
        <v>1839</v>
      </c>
      <c r="K591" s="63" t="s">
        <v>593</v>
      </c>
      <c r="L591" s="35" t="s">
        <v>698</v>
      </c>
      <c r="M591" s="35">
        <v>1</v>
      </c>
      <c r="N591" s="35">
        <v>0</v>
      </c>
      <c r="O591" s="35">
        <f t="shared" si="18"/>
        <v>0.5</v>
      </c>
      <c r="P591" s="35">
        <v>7</v>
      </c>
      <c r="Q591" s="35">
        <v>3</v>
      </c>
      <c r="R591" s="35">
        <f t="shared" si="19"/>
        <v>5</v>
      </c>
      <c r="S591" s="35"/>
      <c r="T591" s="35"/>
      <c r="U591" s="35"/>
      <c r="V591" s="35" t="e">
        <f>AVERAGE(Tableau2[[#This Row],[1ère composition/10]:[3è composition]])</f>
        <v>#DIV/0!</v>
      </c>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f>COUNTIF(Tableau2[[#This Row],[Séance 1]:[Séance 38]],"A")</f>
        <v>0</v>
      </c>
      <c r="BJ591" s="35"/>
    </row>
    <row r="592" spans="1:62" s="42" customFormat="1" hidden="1" x14ac:dyDescent="0.2">
      <c r="A592" s="1" t="s">
        <v>1001</v>
      </c>
      <c r="B592" s="48" t="s">
        <v>1045</v>
      </c>
      <c r="C592" s="44" t="s">
        <v>3841</v>
      </c>
      <c r="D592" s="44" t="s">
        <v>2559</v>
      </c>
      <c r="E592" s="44" t="s">
        <v>812</v>
      </c>
      <c r="F592" s="48">
        <v>2021</v>
      </c>
      <c r="G592" s="44">
        <v>40</v>
      </c>
      <c r="H592" s="48">
        <v>34</v>
      </c>
      <c r="I592" s="44" t="str">
        <f>Tableau2[[#This Row],[Annee d''inscription au programme]]&amp;"-"&amp;Tableau2[[#This Row],[Code d''ecole]]&amp;"-"&amp;Tableau2[[#This Row],[Numero HM de la fille]]</f>
        <v>2021-40-34</v>
      </c>
      <c r="J592" s="45" t="s">
        <v>1840</v>
      </c>
      <c r="K592" s="63" t="s">
        <v>593</v>
      </c>
      <c r="L592" s="35" t="s">
        <v>698</v>
      </c>
      <c r="M592" s="35">
        <v>2.5</v>
      </c>
      <c r="N592" s="35">
        <v>3</v>
      </c>
      <c r="O592" s="35">
        <f t="shared" si="18"/>
        <v>2.75</v>
      </c>
      <c r="P592" s="35">
        <v>6.5</v>
      </c>
      <c r="Q592" s="35">
        <v>6</v>
      </c>
      <c r="R592" s="35">
        <f t="shared" si="19"/>
        <v>6.25</v>
      </c>
      <c r="S592" s="35"/>
      <c r="T592" s="35"/>
      <c r="U592" s="35"/>
      <c r="V592" s="35" t="e">
        <f>AVERAGE(Tableau2[[#This Row],[1ère composition/10]:[3è composition]])</f>
        <v>#DIV/0!</v>
      </c>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f>COUNTIF(Tableau2[[#This Row],[Séance 1]:[Séance 38]],"A")</f>
        <v>0</v>
      </c>
      <c r="BJ592" s="35"/>
    </row>
    <row r="593" spans="1:62" s="42" customFormat="1" hidden="1" x14ac:dyDescent="0.2">
      <c r="A593" s="1" t="s">
        <v>1001</v>
      </c>
      <c r="B593" s="48" t="s">
        <v>1046</v>
      </c>
      <c r="C593" s="44" t="s">
        <v>3838</v>
      </c>
      <c r="D593" s="44" t="s">
        <v>1187</v>
      </c>
      <c r="E593" s="44" t="s">
        <v>812</v>
      </c>
      <c r="F593" s="48">
        <v>2021</v>
      </c>
      <c r="G593" s="44">
        <v>40</v>
      </c>
      <c r="H593" s="48">
        <v>35</v>
      </c>
      <c r="I593" s="44" t="str">
        <f>Tableau2[[#This Row],[Annee d''inscription au programme]]&amp;"-"&amp;Tableau2[[#This Row],[Code d''ecole]]&amp;"-"&amp;Tableau2[[#This Row],[Numero HM de la fille]]</f>
        <v>2021-40-35</v>
      </c>
      <c r="J593" s="45" t="s">
        <v>1841</v>
      </c>
      <c r="K593" s="63" t="s">
        <v>593</v>
      </c>
      <c r="L593" s="35" t="s">
        <v>698</v>
      </c>
      <c r="M593" s="35">
        <v>4</v>
      </c>
      <c r="N593" s="35">
        <v>1.5</v>
      </c>
      <c r="O593" s="35">
        <f t="shared" si="18"/>
        <v>2.75</v>
      </c>
      <c r="P593" s="35">
        <v>9</v>
      </c>
      <c r="Q593" s="35">
        <v>3.5</v>
      </c>
      <c r="R593" s="35">
        <f t="shared" si="19"/>
        <v>6.25</v>
      </c>
      <c r="S593" s="35"/>
      <c r="T593" s="35"/>
      <c r="U593" s="35"/>
      <c r="V593" s="35" t="e">
        <f>AVERAGE(Tableau2[[#This Row],[1ère composition/10]:[3è composition]])</f>
        <v>#DIV/0!</v>
      </c>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f>COUNTIF(Tableau2[[#This Row],[Séance 1]:[Séance 38]],"A")</f>
        <v>0</v>
      </c>
      <c r="BJ593" s="35"/>
    </row>
    <row r="594" spans="1:62" s="42" customFormat="1" hidden="1" x14ac:dyDescent="0.2">
      <c r="A594" s="1" t="s">
        <v>1001</v>
      </c>
      <c r="B594" s="48" t="s">
        <v>1047</v>
      </c>
      <c r="C594" s="44" t="s">
        <v>3842</v>
      </c>
      <c r="D594" s="44" t="s">
        <v>2561</v>
      </c>
      <c r="E594" s="44" t="s">
        <v>812</v>
      </c>
      <c r="F594" s="48">
        <v>2021</v>
      </c>
      <c r="G594" s="44">
        <v>40</v>
      </c>
      <c r="H594" s="48">
        <v>36</v>
      </c>
      <c r="I594" s="44" t="str">
        <f>Tableau2[[#This Row],[Annee d''inscription au programme]]&amp;"-"&amp;Tableau2[[#This Row],[Code d''ecole]]&amp;"-"&amp;Tableau2[[#This Row],[Numero HM de la fille]]</f>
        <v>2021-40-36</v>
      </c>
      <c r="J594" s="45" t="s">
        <v>1842</v>
      </c>
      <c r="K594" s="63" t="s">
        <v>593</v>
      </c>
      <c r="L594" s="35" t="s">
        <v>698</v>
      </c>
      <c r="M594" s="35">
        <v>18</v>
      </c>
      <c r="N594" s="35">
        <v>14.25</v>
      </c>
      <c r="O594" s="35">
        <f t="shared" si="18"/>
        <v>16.125</v>
      </c>
      <c r="P594" s="35">
        <v>19</v>
      </c>
      <c r="Q594" s="35">
        <v>19.5</v>
      </c>
      <c r="R594" s="35">
        <f t="shared" si="19"/>
        <v>19.25</v>
      </c>
      <c r="S594" s="35"/>
      <c r="T594" s="35"/>
      <c r="U594" s="35"/>
      <c r="V594" s="35" t="e">
        <f>AVERAGE(Tableau2[[#This Row],[1ère composition/10]:[3è composition]])</f>
        <v>#DIV/0!</v>
      </c>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f>COUNTIF(Tableau2[[#This Row],[Séance 1]:[Séance 38]],"A")</f>
        <v>0</v>
      </c>
      <c r="BJ594" s="35"/>
    </row>
    <row r="595" spans="1:62" s="42" customFormat="1" hidden="1" x14ac:dyDescent="0.2">
      <c r="A595" s="1" t="s">
        <v>1001</v>
      </c>
      <c r="B595" s="48" t="s">
        <v>1048</v>
      </c>
      <c r="C595" s="44" t="s">
        <v>3841</v>
      </c>
      <c r="D595" s="44" t="s">
        <v>2539</v>
      </c>
      <c r="E595" s="44" t="s">
        <v>812</v>
      </c>
      <c r="F595" s="48">
        <v>2020</v>
      </c>
      <c r="G595" s="44">
        <v>40</v>
      </c>
      <c r="H595" s="48">
        <v>346</v>
      </c>
      <c r="I595" s="44" t="str">
        <f>Tableau2[[#This Row],[Annee d''inscription au programme]]&amp;"-"&amp;Tableau2[[#This Row],[Code d''ecole]]&amp;"-"&amp;Tableau2[[#This Row],[Numero HM de la fille]]</f>
        <v>2020-40-346</v>
      </c>
      <c r="J595" s="45" t="s">
        <v>1843</v>
      </c>
      <c r="K595" s="63" t="s">
        <v>374</v>
      </c>
      <c r="L595" s="35" t="s">
        <v>620</v>
      </c>
      <c r="M595" s="35">
        <v>0</v>
      </c>
      <c r="N595" s="35">
        <v>0</v>
      </c>
      <c r="O595" s="35">
        <f t="shared" si="18"/>
        <v>0</v>
      </c>
      <c r="P595" s="35">
        <v>11.5</v>
      </c>
      <c r="Q595" s="35">
        <v>15.5</v>
      </c>
      <c r="R595" s="35">
        <f t="shared" si="19"/>
        <v>13.5</v>
      </c>
      <c r="S595" s="35"/>
      <c r="T595" s="35"/>
      <c r="U595" s="35"/>
      <c r="V595" s="35" t="e">
        <f>AVERAGE(Tableau2[[#This Row],[1ère composition/10]:[3è composition]])</f>
        <v>#DIV/0!</v>
      </c>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f>COUNTIF(Tableau2[[#This Row],[Séance 1]:[Séance 38]],"A")</f>
        <v>0</v>
      </c>
      <c r="BJ595" s="35"/>
    </row>
    <row r="596" spans="1:62" s="42" customFormat="1" hidden="1" x14ac:dyDescent="0.2">
      <c r="A596" s="1" t="s">
        <v>1001</v>
      </c>
      <c r="B596" s="44" t="s">
        <v>2563</v>
      </c>
      <c r="C596" s="44" t="s">
        <v>3840</v>
      </c>
      <c r="D596" s="44" t="s">
        <v>2564</v>
      </c>
      <c r="E596" s="44" t="s">
        <v>812</v>
      </c>
      <c r="F596" s="48">
        <v>2021</v>
      </c>
      <c r="G596" s="44">
        <v>40</v>
      </c>
      <c r="H596" s="48">
        <v>37</v>
      </c>
      <c r="I596" s="44" t="str">
        <f>Tableau2[[#This Row],[Annee d''inscription au programme]]&amp;"-"&amp;Tableau2[[#This Row],[Code d''ecole]]&amp;"-"&amp;Tableau2[[#This Row],[Numero HM de la fille]]</f>
        <v>2021-40-37</v>
      </c>
      <c r="J596" s="45" t="s">
        <v>1844</v>
      </c>
      <c r="K596" s="63" t="s">
        <v>593</v>
      </c>
      <c r="L596" s="35" t="s">
        <v>698</v>
      </c>
      <c r="M596" s="35">
        <v>6</v>
      </c>
      <c r="N596" s="35">
        <v>6</v>
      </c>
      <c r="O596" s="35">
        <f t="shared" si="18"/>
        <v>6</v>
      </c>
      <c r="P596" s="35">
        <v>12</v>
      </c>
      <c r="Q596" s="35">
        <v>6.5</v>
      </c>
      <c r="R596" s="35">
        <f t="shared" si="19"/>
        <v>9.25</v>
      </c>
      <c r="S596" s="35"/>
      <c r="T596" s="35"/>
      <c r="U596" s="35"/>
      <c r="V596" s="35" t="e">
        <f>AVERAGE(Tableau2[[#This Row],[1ère composition/10]:[3è composition]])</f>
        <v>#DIV/0!</v>
      </c>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f>COUNTIF(Tableau2[[#This Row],[Séance 1]:[Séance 38]],"A")</f>
        <v>0</v>
      </c>
      <c r="BJ596" s="35"/>
    </row>
    <row r="597" spans="1:62" s="42" customFormat="1" hidden="1" x14ac:dyDescent="0.2">
      <c r="A597" s="1" t="s">
        <v>1001</v>
      </c>
      <c r="B597" s="44" t="s">
        <v>2565</v>
      </c>
      <c r="C597" s="48"/>
      <c r="D597" s="44" t="s">
        <v>2566</v>
      </c>
      <c r="E597" s="44" t="s">
        <v>812</v>
      </c>
      <c r="F597" s="48">
        <v>2021</v>
      </c>
      <c r="G597" s="44">
        <v>40</v>
      </c>
      <c r="H597" s="48">
        <v>38</v>
      </c>
      <c r="I597" s="48" t="str">
        <f>Tableau2[[#This Row],[Annee d''inscription au programme]]&amp;"-"&amp;Tableau2[[#This Row],[Code d''ecole]]&amp;"-"&amp;Tableau2[[#This Row],[Numero HM de la fille]]</f>
        <v>2021-40-38</v>
      </c>
      <c r="J597" s="45" t="s">
        <v>1845</v>
      </c>
      <c r="K597" s="63" t="s">
        <v>593</v>
      </c>
      <c r="L597" s="35" t="s">
        <v>698</v>
      </c>
      <c r="M597" s="35">
        <v>0</v>
      </c>
      <c r="N597" s="35">
        <v>0</v>
      </c>
      <c r="O597" s="35">
        <f t="shared" si="18"/>
        <v>0</v>
      </c>
      <c r="P597" s="35"/>
      <c r="Q597" s="35"/>
      <c r="R597" s="35">
        <f t="shared" si="19"/>
        <v>0</v>
      </c>
      <c r="S597" s="35"/>
      <c r="T597" s="35"/>
      <c r="U597" s="35"/>
      <c r="V597" s="35" t="e">
        <f>AVERAGE(Tableau2[[#This Row],[1ère composition/10]:[3è composition]])</f>
        <v>#DIV/0!</v>
      </c>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f>COUNTIF(Tableau2[[#This Row],[Séance 1]:[Séance 38]],"A")</f>
        <v>0</v>
      </c>
      <c r="BJ597" s="35"/>
    </row>
    <row r="598" spans="1:62" s="42" customFormat="1" hidden="1" x14ac:dyDescent="0.2">
      <c r="A598" s="1" t="s">
        <v>1001</v>
      </c>
      <c r="B598" s="44" t="s">
        <v>2567</v>
      </c>
      <c r="C598" s="48"/>
      <c r="D598" s="44" t="s">
        <v>704</v>
      </c>
      <c r="E598" s="44" t="s">
        <v>812</v>
      </c>
      <c r="F598" s="48">
        <v>2021</v>
      </c>
      <c r="G598" s="44">
        <v>40</v>
      </c>
      <c r="H598" s="48">
        <v>39</v>
      </c>
      <c r="I598" s="48" t="str">
        <f>Tableau2[[#This Row],[Annee d''inscription au programme]]&amp;"-"&amp;Tableau2[[#This Row],[Code d''ecole]]&amp;"-"&amp;Tableau2[[#This Row],[Numero HM de la fille]]</f>
        <v>2021-40-39</v>
      </c>
      <c r="J598" s="45" t="s">
        <v>1846</v>
      </c>
      <c r="K598" s="63" t="s">
        <v>593</v>
      </c>
      <c r="L598" s="35" t="s">
        <v>698</v>
      </c>
      <c r="M598" s="35">
        <v>0</v>
      </c>
      <c r="N598" s="35">
        <v>0</v>
      </c>
      <c r="O598" s="35">
        <f t="shared" si="18"/>
        <v>0</v>
      </c>
      <c r="P598" s="35"/>
      <c r="Q598" s="35"/>
      <c r="R598" s="35">
        <f t="shared" si="19"/>
        <v>0</v>
      </c>
      <c r="S598" s="35"/>
      <c r="T598" s="35"/>
      <c r="U598" s="35"/>
      <c r="V598" s="35" t="e">
        <f>AVERAGE(Tableau2[[#This Row],[1ère composition/10]:[3è composition]])</f>
        <v>#DIV/0!</v>
      </c>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f>COUNTIF(Tableau2[[#This Row],[Séance 1]:[Séance 38]],"A")</f>
        <v>0</v>
      </c>
      <c r="BJ598" s="35"/>
    </row>
    <row r="599" spans="1:62" s="42" customFormat="1" hidden="1" x14ac:dyDescent="0.2">
      <c r="A599" s="1" t="s">
        <v>1001</v>
      </c>
      <c r="B599" s="44" t="s">
        <v>2568</v>
      </c>
      <c r="C599" s="48"/>
      <c r="D599" s="44" t="s">
        <v>966</v>
      </c>
      <c r="E599" s="44" t="s">
        <v>812</v>
      </c>
      <c r="F599" s="48">
        <v>2020</v>
      </c>
      <c r="G599" s="44">
        <v>40</v>
      </c>
      <c r="H599" s="48">
        <v>292</v>
      </c>
      <c r="I599" s="48" t="str">
        <f>Tableau2[[#This Row],[Annee d''inscription au programme]]&amp;"-"&amp;Tableau2[[#This Row],[Code d''ecole]]&amp;"-"&amp;Tableau2[[#This Row],[Numero HM de la fille]]</f>
        <v>2020-40-292</v>
      </c>
      <c r="J599" s="45" t="s">
        <v>1847</v>
      </c>
      <c r="K599" s="63" t="s">
        <v>374</v>
      </c>
      <c r="L599" s="35" t="s">
        <v>620</v>
      </c>
      <c r="M599" s="35">
        <v>7.5</v>
      </c>
      <c r="N599" s="35">
        <v>4.5</v>
      </c>
      <c r="O599" s="35">
        <f t="shared" si="18"/>
        <v>6</v>
      </c>
      <c r="P599" s="35">
        <v>16</v>
      </c>
      <c r="Q599" s="35">
        <v>10</v>
      </c>
      <c r="R599" s="35">
        <f t="shared" si="19"/>
        <v>13</v>
      </c>
      <c r="S599" s="35"/>
      <c r="T599" s="35"/>
      <c r="U599" s="35"/>
      <c r="V599" s="35" t="e">
        <f>AVERAGE(Tableau2[[#This Row],[1ère composition/10]:[3è composition]])</f>
        <v>#DIV/0!</v>
      </c>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f>COUNTIF(Tableau2[[#This Row],[Séance 1]:[Séance 38]],"A")</f>
        <v>0</v>
      </c>
      <c r="BJ599" s="35"/>
    </row>
    <row r="600" spans="1:62" s="42" customFormat="1" hidden="1" x14ac:dyDescent="0.2">
      <c r="A600" s="1" t="s">
        <v>1001</v>
      </c>
      <c r="B600" s="48" t="s">
        <v>1049</v>
      </c>
      <c r="C600" s="44" t="s">
        <v>3838</v>
      </c>
      <c r="D600" s="44" t="s">
        <v>2562</v>
      </c>
      <c r="E600" s="44" t="s">
        <v>812</v>
      </c>
      <c r="F600" s="48">
        <v>2020</v>
      </c>
      <c r="G600" s="44">
        <v>40</v>
      </c>
      <c r="H600" s="48">
        <v>345</v>
      </c>
      <c r="I600" s="44" t="str">
        <f>Tableau2[[#This Row],[Annee d''inscription au programme]]&amp;"-"&amp;Tableau2[[#This Row],[Code d''ecole]]&amp;"-"&amp;Tableau2[[#This Row],[Numero HM de la fille]]</f>
        <v>2020-40-345</v>
      </c>
      <c r="J600" s="45" t="s">
        <v>1848</v>
      </c>
      <c r="K600" s="63" t="s">
        <v>374</v>
      </c>
      <c r="L600" s="35" t="s">
        <v>620</v>
      </c>
      <c r="M600" s="35">
        <v>11</v>
      </c>
      <c r="N600" s="35">
        <v>2.25</v>
      </c>
      <c r="O600" s="35">
        <f t="shared" si="18"/>
        <v>6.625</v>
      </c>
      <c r="P600" s="35">
        <v>11</v>
      </c>
      <c r="Q600" s="35">
        <v>4.5</v>
      </c>
      <c r="R600" s="35">
        <f t="shared" si="19"/>
        <v>7.75</v>
      </c>
      <c r="S600" s="35"/>
      <c r="T600" s="35"/>
      <c r="U600" s="35"/>
      <c r="V600" s="35" t="e">
        <f>AVERAGE(Tableau2[[#This Row],[1ère composition/10]:[3è composition]])</f>
        <v>#DIV/0!</v>
      </c>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f>COUNTIF(Tableau2[[#This Row],[Séance 1]:[Séance 38]],"A")</f>
        <v>0</v>
      </c>
      <c r="BJ600" s="35"/>
    </row>
    <row r="601" spans="1:62" s="42" customFormat="1" hidden="1" x14ac:dyDescent="0.2">
      <c r="A601" s="1" t="s">
        <v>1050</v>
      </c>
      <c r="B601" s="48" t="s">
        <v>1051</v>
      </c>
      <c r="C601" s="44" t="s">
        <v>3845</v>
      </c>
      <c r="D601" s="48" t="s">
        <v>1052</v>
      </c>
      <c r="E601" s="44" t="s">
        <v>812</v>
      </c>
      <c r="F601" s="48">
        <v>2020</v>
      </c>
      <c r="G601" s="44">
        <v>44</v>
      </c>
      <c r="H601" s="48">
        <v>348</v>
      </c>
      <c r="I601" s="44" t="str">
        <f>Tableau2[[#This Row],[Annee d''inscription au programme]]&amp;"-"&amp;Tableau2[[#This Row],[Code d''ecole]]&amp;"-"&amp;Tableau2[[#This Row],[Numero HM de la fille]]</f>
        <v>2020-44-348</v>
      </c>
      <c r="J601" s="45" t="s">
        <v>1849</v>
      </c>
      <c r="K601" s="63" t="s">
        <v>374</v>
      </c>
      <c r="L601" s="35" t="s">
        <v>620</v>
      </c>
      <c r="M601" s="35">
        <v>10</v>
      </c>
      <c r="N601" s="35">
        <v>2</v>
      </c>
      <c r="O601" s="35">
        <f t="shared" si="18"/>
        <v>6</v>
      </c>
      <c r="P601" s="35">
        <v>16</v>
      </c>
      <c r="Q601" s="35">
        <v>17</v>
      </c>
      <c r="R601" s="35">
        <f t="shared" si="19"/>
        <v>16.5</v>
      </c>
      <c r="S601" s="35"/>
      <c r="T601" s="35"/>
      <c r="U601" s="35"/>
      <c r="V601" s="35" t="e">
        <f>AVERAGE(Tableau2[[#This Row],[1ère composition/10]:[3è composition]])</f>
        <v>#DIV/0!</v>
      </c>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f>COUNTIF(Tableau2[[#This Row],[Séance 1]:[Séance 38]],"A")</f>
        <v>0</v>
      </c>
      <c r="BJ601" s="35"/>
    </row>
    <row r="602" spans="1:62" s="42" customFormat="1" hidden="1" x14ac:dyDescent="0.2">
      <c r="A602" s="1" t="s">
        <v>1050</v>
      </c>
      <c r="B602" s="48" t="s">
        <v>1053</v>
      </c>
      <c r="C602" s="44" t="s">
        <v>3845</v>
      </c>
      <c r="D602" s="48" t="s">
        <v>192</v>
      </c>
      <c r="E602" s="44" t="s">
        <v>812</v>
      </c>
      <c r="F602" s="48">
        <v>2021</v>
      </c>
      <c r="G602" s="44">
        <v>44</v>
      </c>
      <c r="H602" s="48">
        <v>1</v>
      </c>
      <c r="I602" s="44" t="str">
        <f>Tableau2[[#This Row],[Annee d''inscription au programme]]&amp;"-"&amp;Tableau2[[#This Row],[Code d''ecole]]&amp;"-"&amp;Tableau2[[#This Row],[Numero HM de la fille]]</f>
        <v>2021-44-1</v>
      </c>
      <c r="J602" s="45" t="s">
        <v>1850</v>
      </c>
      <c r="K602" s="63" t="s">
        <v>593</v>
      </c>
      <c r="L602" s="35" t="s">
        <v>698</v>
      </c>
      <c r="M602" s="35">
        <v>2</v>
      </c>
      <c r="N602" s="35">
        <v>0.5</v>
      </c>
      <c r="O602" s="35">
        <f t="shared" si="18"/>
        <v>1.25</v>
      </c>
      <c r="P602" s="35">
        <v>3.5</v>
      </c>
      <c r="Q602" s="35">
        <v>1</v>
      </c>
      <c r="R602" s="35">
        <f t="shared" si="19"/>
        <v>2.25</v>
      </c>
      <c r="S602" s="35"/>
      <c r="T602" s="35"/>
      <c r="U602" s="35"/>
      <c r="V602" s="35" t="e">
        <f>AVERAGE(Tableau2[[#This Row],[1ère composition/10]:[3è composition]])</f>
        <v>#DIV/0!</v>
      </c>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f>COUNTIF(Tableau2[[#This Row],[Séance 1]:[Séance 38]],"A")</f>
        <v>0</v>
      </c>
      <c r="BJ602" s="35"/>
    </row>
    <row r="603" spans="1:62" s="42" customFormat="1" hidden="1" x14ac:dyDescent="0.2">
      <c r="A603" s="1" t="s">
        <v>1050</v>
      </c>
      <c r="B603" s="48" t="s">
        <v>1054</v>
      </c>
      <c r="C603" s="44" t="s">
        <v>3845</v>
      </c>
      <c r="D603" s="48" t="s">
        <v>732</v>
      </c>
      <c r="E603" s="44" t="s">
        <v>812</v>
      </c>
      <c r="F603" s="48">
        <v>2021</v>
      </c>
      <c r="G603" s="44">
        <v>44</v>
      </c>
      <c r="H603" s="48">
        <v>2</v>
      </c>
      <c r="I603" s="44" t="str">
        <f>Tableau2[[#This Row],[Annee d''inscription au programme]]&amp;"-"&amp;Tableau2[[#This Row],[Code d''ecole]]&amp;"-"&amp;Tableau2[[#This Row],[Numero HM de la fille]]</f>
        <v>2021-44-2</v>
      </c>
      <c r="J603" s="45" t="s">
        <v>1851</v>
      </c>
      <c r="K603" s="63" t="s">
        <v>593</v>
      </c>
      <c r="L603" s="35" t="s">
        <v>698</v>
      </c>
      <c r="M603" s="35">
        <v>10.5</v>
      </c>
      <c r="N603" s="35">
        <v>3</v>
      </c>
      <c r="O603" s="35">
        <f t="shared" si="18"/>
        <v>6.75</v>
      </c>
      <c r="P603" s="35">
        <v>17</v>
      </c>
      <c r="Q603" s="35">
        <v>17</v>
      </c>
      <c r="R603" s="35">
        <f t="shared" si="19"/>
        <v>17</v>
      </c>
      <c r="S603" s="35"/>
      <c r="T603" s="35"/>
      <c r="U603" s="35"/>
      <c r="V603" s="35" t="e">
        <f>AVERAGE(Tableau2[[#This Row],[1ère composition/10]:[3è composition]])</f>
        <v>#DIV/0!</v>
      </c>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f>COUNTIF(Tableau2[[#This Row],[Séance 1]:[Séance 38]],"A")</f>
        <v>0</v>
      </c>
      <c r="BJ603" s="35"/>
    </row>
    <row r="604" spans="1:62" s="42" customFormat="1" hidden="1" x14ac:dyDescent="0.2">
      <c r="A604" s="1" t="s">
        <v>1050</v>
      </c>
      <c r="B604" s="48" t="s">
        <v>1055</v>
      </c>
      <c r="C604" s="44" t="s">
        <v>3845</v>
      </c>
      <c r="D604" s="48" t="s">
        <v>262</v>
      </c>
      <c r="E604" s="44" t="s">
        <v>812</v>
      </c>
      <c r="F604" s="48">
        <v>2021</v>
      </c>
      <c r="G604" s="44">
        <v>44</v>
      </c>
      <c r="H604" s="48">
        <v>3</v>
      </c>
      <c r="I604" s="44" t="str">
        <f>Tableau2[[#This Row],[Annee d''inscription au programme]]&amp;"-"&amp;Tableau2[[#This Row],[Code d''ecole]]&amp;"-"&amp;Tableau2[[#This Row],[Numero HM de la fille]]</f>
        <v>2021-44-3</v>
      </c>
      <c r="J604" s="45" t="s">
        <v>1852</v>
      </c>
      <c r="K604" s="63" t="s">
        <v>593</v>
      </c>
      <c r="L604" s="35" t="s">
        <v>698</v>
      </c>
      <c r="M604" s="35">
        <v>15.5</v>
      </c>
      <c r="N604" s="35">
        <v>12</v>
      </c>
      <c r="O604" s="35">
        <f t="shared" si="18"/>
        <v>13.75</v>
      </c>
      <c r="P604" s="35">
        <v>20</v>
      </c>
      <c r="Q604" s="35">
        <v>20</v>
      </c>
      <c r="R604" s="35">
        <f t="shared" si="19"/>
        <v>20</v>
      </c>
      <c r="S604" s="35"/>
      <c r="T604" s="35"/>
      <c r="U604" s="35"/>
      <c r="V604" s="35" t="e">
        <f>AVERAGE(Tableau2[[#This Row],[1ère composition/10]:[3è composition]])</f>
        <v>#DIV/0!</v>
      </c>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f>COUNTIF(Tableau2[[#This Row],[Séance 1]:[Séance 38]],"A")</f>
        <v>0</v>
      </c>
      <c r="BJ604" s="35"/>
    </row>
    <row r="605" spans="1:62" s="42" customFormat="1" hidden="1" x14ac:dyDescent="0.2">
      <c r="A605" s="1" t="s">
        <v>1050</v>
      </c>
      <c r="B605" s="48" t="s">
        <v>1056</v>
      </c>
      <c r="C605" s="44" t="s">
        <v>3845</v>
      </c>
      <c r="D605" s="48" t="s">
        <v>215</v>
      </c>
      <c r="E605" s="44" t="s">
        <v>812</v>
      </c>
      <c r="F605" s="48">
        <v>2021</v>
      </c>
      <c r="G605" s="44">
        <v>44</v>
      </c>
      <c r="H605" s="48">
        <v>4</v>
      </c>
      <c r="I605" s="44" t="str">
        <f>Tableau2[[#This Row],[Annee d''inscription au programme]]&amp;"-"&amp;Tableau2[[#This Row],[Code d''ecole]]&amp;"-"&amp;Tableau2[[#This Row],[Numero HM de la fille]]</f>
        <v>2021-44-4</v>
      </c>
      <c r="J605" s="45" t="s">
        <v>1853</v>
      </c>
      <c r="K605" s="63" t="s">
        <v>593</v>
      </c>
      <c r="L605" s="35" t="s">
        <v>698</v>
      </c>
      <c r="M605" s="35">
        <v>8</v>
      </c>
      <c r="N605" s="35">
        <v>2</v>
      </c>
      <c r="O605" s="35">
        <f t="shared" si="18"/>
        <v>5</v>
      </c>
      <c r="P605" s="35">
        <v>6</v>
      </c>
      <c r="Q605" s="35">
        <v>8</v>
      </c>
      <c r="R605" s="35">
        <f t="shared" si="19"/>
        <v>7</v>
      </c>
      <c r="S605" s="35"/>
      <c r="T605" s="35"/>
      <c r="U605" s="35"/>
      <c r="V605" s="35" t="e">
        <f>AVERAGE(Tableau2[[#This Row],[1ère composition/10]:[3è composition]])</f>
        <v>#DIV/0!</v>
      </c>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f>COUNTIF(Tableau2[[#This Row],[Séance 1]:[Séance 38]],"A")</f>
        <v>0</v>
      </c>
      <c r="BJ605" s="35"/>
    </row>
    <row r="606" spans="1:62" s="42" customFormat="1" hidden="1" x14ac:dyDescent="0.2">
      <c r="A606" s="1" t="s">
        <v>1050</v>
      </c>
      <c r="B606" s="48" t="s">
        <v>1060</v>
      </c>
      <c r="C606" s="44" t="s">
        <v>3846</v>
      </c>
      <c r="D606" s="48" t="s">
        <v>192</v>
      </c>
      <c r="E606" s="44" t="s">
        <v>812</v>
      </c>
      <c r="F606" s="48">
        <v>2020</v>
      </c>
      <c r="G606" s="44">
        <v>44</v>
      </c>
      <c r="H606" s="48">
        <v>356</v>
      </c>
      <c r="I606" s="44" t="str">
        <f>Tableau2[[#This Row],[Annee d''inscription au programme]]&amp;"-"&amp;Tableau2[[#This Row],[Code d''ecole]]&amp;"-"&amp;Tableau2[[#This Row],[Numero HM de la fille]]</f>
        <v>2020-44-356</v>
      </c>
      <c r="J606" s="45" t="s">
        <v>1854</v>
      </c>
      <c r="K606" s="63" t="s">
        <v>374</v>
      </c>
      <c r="L606" s="35" t="s">
        <v>620</v>
      </c>
      <c r="M606" s="35">
        <v>11.5</v>
      </c>
      <c r="N606" s="35">
        <v>10.25</v>
      </c>
      <c r="O606" s="35">
        <f t="shared" si="18"/>
        <v>10.875</v>
      </c>
      <c r="P606" s="35">
        <v>15.5</v>
      </c>
      <c r="Q606" s="35">
        <v>20</v>
      </c>
      <c r="R606" s="35">
        <f t="shared" si="19"/>
        <v>17.75</v>
      </c>
      <c r="S606" s="35"/>
      <c r="T606" s="35"/>
      <c r="U606" s="35"/>
      <c r="V606" s="35" t="e">
        <f>AVERAGE(Tableau2[[#This Row],[1ère composition/10]:[3è composition]])</f>
        <v>#DIV/0!</v>
      </c>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f>COUNTIF(Tableau2[[#This Row],[Séance 1]:[Séance 38]],"A")</f>
        <v>0</v>
      </c>
      <c r="BJ606" s="35"/>
    </row>
    <row r="607" spans="1:62" s="42" customFormat="1" hidden="1" x14ac:dyDescent="0.2">
      <c r="A607" s="1" t="s">
        <v>1050</v>
      </c>
      <c r="B607" s="48" t="s">
        <v>1057</v>
      </c>
      <c r="C607" s="44" t="s">
        <v>3845</v>
      </c>
      <c r="D607" s="48" t="s">
        <v>215</v>
      </c>
      <c r="E607" s="44" t="s">
        <v>812</v>
      </c>
      <c r="F607" s="48">
        <v>2021</v>
      </c>
      <c r="G607" s="44">
        <v>44</v>
      </c>
      <c r="H607" s="48">
        <v>5</v>
      </c>
      <c r="I607" s="44" t="str">
        <f>Tableau2[[#This Row],[Annee d''inscription au programme]]&amp;"-"&amp;Tableau2[[#This Row],[Code d''ecole]]&amp;"-"&amp;Tableau2[[#This Row],[Numero HM de la fille]]</f>
        <v>2021-44-5</v>
      </c>
      <c r="J607" s="45" t="s">
        <v>1855</v>
      </c>
      <c r="K607" s="63" t="s">
        <v>593</v>
      </c>
      <c r="L607" s="35" t="s">
        <v>698</v>
      </c>
      <c r="M607" s="35">
        <v>13</v>
      </c>
      <c r="N607" s="35">
        <v>15.5</v>
      </c>
      <c r="O607" s="35">
        <f t="shared" si="18"/>
        <v>14.25</v>
      </c>
      <c r="P607" s="35">
        <v>18</v>
      </c>
      <c r="Q607" s="35">
        <v>14.5</v>
      </c>
      <c r="R607" s="35">
        <f t="shared" si="19"/>
        <v>16.25</v>
      </c>
      <c r="S607" s="35"/>
      <c r="T607" s="35"/>
      <c r="U607" s="35"/>
      <c r="V607" s="35" t="e">
        <f>AVERAGE(Tableau2[[#This Row],[1ère composition/10]:[3è composition]])</f>
        <v>#DIV/0!</v>
      </c>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f>COUNTIF(Tableau2[[#This Row],[Séance 1]:[Séance 38]],"A")</f>
        <v>0</v>
      </c>
      <c r="BJ607" s="35"/>
    </row>
    <row r="608" spans="1:62" s="42" customFormat="1" hidden="1" x14ac:dyDescent="0.2">
      <c r="A608" s="1" t="s">
        <v>1050</v>
      </c>
      <c r="B608" s="44" t="s">
        <v>1058</v>
      </c>
      <c r="C608" s="44" t="s">
        <v>3846</v>
      </c>
      <c r="D608" s="48" t="s">
        <v>215</v>
      </c>
      <c r="E608" s="44" t="s">
        <v>812</v>
      </c>
      <c r="F608" s="48">
        <v>2021</v>
      </c>
      <c r="G608" s="44">
        <v>44</v>
      </c>
      <c r="H608" s="48">
        <v>6</v>
      </c>
      <c r="I608" s="44" t="str">
        <f>Tableau2[[#This Row],[Annee d''inscription au programme]]&amp;"-"&amp;Tableau2[[#This Row],[Code d''ecole]]&amp;"-"&amp;Tableau2[[#This Row],[Numero HM de la fille]]</f>
        <v>2021-44-6</v>
      </c>
      <c r="J608" s="45" t="s">
        <v>1856</v>
      </c>
      <c r="K608" s="63" t="s">
        <v>593</v>
      </c>
      <c r="L608" s="35" t="s">
        <v>698</v>
      </c>
      <c r="M608" s="35">
        <v>13.5</v>
      </c>
      <c r="N608" s="35">
        <v>5</v>
      </c>
      <c r="O608" s="35">
        <f t="shared" si="18"/>
        <v>9.25</v>
      </c>
      <c r="P608" s="35">
        <v>15.5</v>
      </c>
      <c r="Q608" s="35">
        <v>5</v>
      </c>
      <c r="R608" s="35">
        <f t="shared" si="19"/>
        <v>10.25</v>
      </c>
      <c r="S608" s="35"/>
      <c r="T608" s="35"/>
      <c r="U608" s="35"/>
      <c r="V608" s="35" t="e">
        <f>AVERAGE(Tableau2[[#This Row],[1ère composition/10]:[3è composition]])</f>
        <v>#DIV/0!</v>
      </c>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f>COUNTIF(Tableau2[[#This Row],[Séance 1]:[Séance 38]],"A")</f>
        <v>0</v>
      </c>
      <c r="BJ608" s="35"/>
    </row>
    <row r="609" spans="1:62" s="42" customFormat="1" hidden="1" x14ac:dyDescent="0.2">
      <c r="A609" s="1" t="s">
        <v>1050</v>
      </c>
      <c r="B609" s="48" t="s">
        <v>1059</v>
      </c>
      <c r="C609" s="44" t="s">
        <v>3845</v>
      </c>
      <c r="D609" s="48" t="s">
        <v>334</v>
      </c>
      <c r="E609" s="44" t="s">
        <v>812</v>
      </c>
      <c r="F609" s="48">
        <v>2021</v>
      </c>
      <c r="G609" s="44">
        <v>44</v>
      </c>
      <c r="H609" s="48">
        <v>7</v>
      </c>
      <c r="I609" s="44" t="str">
        <f>Tableau2[[#This Row],[Annee d''inscription au programme]]&amp;"-"&amp;Tableau2[[#This Row],[Code d''ecole]]&amp;"-"&amp;Tableau2[[#This Row],[Numero HM de la fille]]</f>
        <v>2021-44-7</v>
      </c>
      <c r="J609" s="45" t="s">
        <v>1857</v>
      </c>
      <c r="K609" s="63" t="s">
        <v>593</v>
      </c>
      <c r="L609" s="35" t="s">
        <v>698</v>
      </c>
      <c r="M609" s="35">
        <v>13</v>
      </c>
      <c r="N609" s="35">
        <v>9.25</v>
      </c>
      <c r="O609" s="35">
        <f t="shared" si="18"/>
        <v>11.125</v>
      </c>
      <c r="P609" s="35">
        <v>16</v>
      </c>
      <c r="Q609" s="35">
        <v>8.5</v>
      </c>
      <c r="R609" s="35">
        <f t="shared" si="19"/>
        <v>12.25</v>
      </c>
      <c r="S609" s="35"/>
      <c r="T609" s="35"/>
      <c r="U609" s="35"/>
      <c r="V609" s="35" t="e">
        <f>AVERAGE(Tableau2[[#This Row],[1ère composition/10]:[3è composition]])</f>
        <v>#DIV/0!</v>
      </c>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f>COUNTIF(Tableau2[[#This Row],[Séance 1]:[Séance 38]],"A")</f>
        <v>0</v>
      </c>
      <c r="BJ609" s="35"/>
    </row>
    <row r="610" spans="1:62" s="42" customFormat="1" hidden="1" x14ac:dyDescent="0.2">
      <c r="A610" s="1" t="s">
        <v>1050</v>
      </c>
      <c r="B610" s="48" t="s">
        <v>1061</v>
      </c>
      <c r="C610" s="44" t="s">
        <v>3846</v>
      </c>
      <c r="D610" s="48" t="s">
        <v>1062</v>
      </c>
      <c r="E610" s="44" t="s">
        <v>812</v>
      </c>
      <c r="F610" s="48">
        <v>2021</v>
      </c>
      <c r="G610" s="44">
        <v>44</v>
      </c>
      <c r="H610" s="48">
        <v>8</v>
      </c>
      <c r="I610" s="44" t="str">
        <f>Tableau2[[#This Row],[Annee d''inscription au programme]]&amp;"-"&amp;Tableau2[[#This Row],[Code d''ecole]]&amp;"-"&amp;Tableau2[[#This Row],[Numero HM de la fille]]</f>
        <v>2021-44-8</v>
      </c>
      <c r="J610" s="45" t="s">
        <v>1858</v>
      </c>
      <c r="K610" s="63" t="s">
        <v>593</v>
      </c>
      <c r="L610" s="35" t="s">
        <v>698</v>
      </c>
      <c r="M610" s="35">
        <v>8.5</v>
      </c>
      <c r="N610" s="35">
        <v>3</v>
      </c>
      <c r="O610" s="35">
        <f t="shared" si="18"/>
        <v>5.75</v>
      </c>
      <c r="P610" s="35">
        <v>7.5</v>
      </c>
      <c r="Q610" s="35">
        <v>9</v>
      </c>
      <c r="R610" s="35">
        <f t="shared" si="19"/>
        <v>8.25</v>
      </c>
      <c r="S610" s="35"/>
      <c r="T610" s="35"/>
      <c r="U610" s="35"/>
      <c r="V610" s="35" t="e">
        <f>AVERAGE(Tableau2[[#This Row],[1ère composition/10]:[3è composition]])</f>
        <v>#DIV/0!</v>
      </c>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f>COUNTIF(Tableau2[[#This Row],[Séance 1]:[Séance 38]],"A")</f>
        <v>0</v>
      </c>
      <c r="BJ610" s="35"/>
    </row>
    <row r="611" spans="1:62" s="42" customFormat="1" hidden="1" x14ac:dyDescent="0.2">
      <c r="A611" s="1" t="s">
        <v>1050</v>
      </c>
      <c r="B611" s="48" t="s">
        <v>1063</v>
      </c>
      <c r="C611" s="44" t="s">
        <v>3845</v>
      </c>
      <c r="D611" s="48" t="s">
        <v>215</v>
      </c>
      <c r="E611" s="44" t="s">
        <v>812</v>
      </c>
      <c r="F611" s="48">
        <v>2020</v>
      </c>
      <c r="G611" s="44">
        <v>44</v>
      </c>
      <c r="H611" s="48">
        <v>381</v>
      </c>
      <c r="I611" s="44" t="str">
        <f>Tableau2[[#This Row],[Annee d''inscription au programme]]&amp;"-"&amp;Tableau2[[#This Row],[Code d''ecole]]&amp;"-"&amp;Tableau2[[#This Row],[Numero HM de la fille]]</f>
        <v>2020-44-381</v>
      </c>
      <c r="J611" s="45" t="s">
        <v>1859</v>
      </c>
      <c r="K611" s="63" t="s">
        <v>374</v>
      </c>
      <c r="L611" s="35" t="s">
        <v>620</v>
      </c>
      <c r="M611" s="35">
        <v>10.5</v>
      </c>
      <c r="N611" s="35">
        <v>12</v>
      </c>
      <c r="O611" s="35">
        <f t="shared" si="18"/>
        <v>11.25</v>
      </c>
      <c r="P611" s="35">
        <v>12</v>
      </c>
      <c r="Q611" s="35">
        <v>9</v>
      </c>
      <c r="R611" s="35">
        <f t="shared" si="19"/>
        <v>10.5</v>
      </c>
      <c r="S611" s="35"/>
      <c r="T611" s="35"/>
      <c r="U611" s="35"/>
      <c r="V611" s="35" t="e">
        <f>AVERAGE(Tableau2[[#This Row],[1ère composition/10]:[3è composition]])</f>
        <v>#DIV/0!</v>
      </c>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f>COUNTIF(Tableau2[[#This Row],[Séance 1]:[Séance 38]],"A")</f>
        <v>0</v>
      </c>
      <c r="BJ611" s="35"/>
    </row>
    <row r="612" spans="1:62" s="42" customFormat="1" hidden="1" x14ac:dyDescent="0.2">
      <c r="A612" s="1" t="s">
        <v>1050</v>
      </c>
      <c r="B612" s="48" t="s">
        <v>1064</v>
      </c>
      <c r="C612" s="44" t="s">
        <v>3845</v>
      </c>
      <c r="D612" s="48" t="s">
        <v>260</v>
      </c>
      <c r="E612" s="44" t="s">
        <v>812</v>
      </c>
      <c r="F612" s="48">
        <v>2020</v>
      </c>
      <c r="G612" s="44">
        <v>44</v>
      </c>
      <c r="H612" s="48">
        <v>371</v>
      </c>
      <c r="I612" s="44" t="str">
        <f>Tableau2[[#This Row],[Annee d''inscription au programme]]&amp;"-"&amp;Tableau2[[#This Row],[Code d''ecole]]&amp;"-"&amp;Tableau2[[#This Row],[Numero HM de la fille]]</f>
        <v>2020-44-371</v>
      </c>
      <c r="J612" s="45" t="s">
        <v>1860</v>
      </c>
      <c r="K612" s="63" t="s">
        <v>374</v>
      </c>
      <c r="L612" s="35" t="s">
        <v>620</v>
      </c>
      <c r="M612" s="35">
        <v>8.5</v>
      </c>
      <c r="N612" s="35">
        <v>6</v>
      </c>
      <c r="O612" s="35">
        <f t="shared" si="18"/>
        <v>7.25</v>
      </c>
      <c r="P612" s="35">
        <v>14</v>
      </c>
      <c r="Q612" s="35">
        <v>15</v>
      </c>
      <c r="R612" s="35">
        <f t="shared" si="19"/>
        <v>14.5</v>
      </c>
      <c r="S612" s="35"/>
      <c r="T612" s="35"/>
      <c r="U612" s="35"/>
      <c r="V612" s="35" t="e">
        <f>AVERAGE(Tableau2[[#This Row],[1ère composition/10]:[3è composition]])</f>
        <v>#DIV/0!</v>
      </c>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f>COUNTIF(Tableau2[[#This Row],[Séance 1]:[Séance 38]],"A")</f>
        <v>0</v>
      </c>
      <c r="BJ612" s="35"/>
    </row>
    <row r="613" spans="1:62" s="42" customFormat="1" hidden="1" x14ac:dyDescent="0.2">
      <c r="A613" s="1" t="s">
        <v>1050</v>
      </c>
      <c r="B613" s="48" t="s">
        <v>1065</v>
      </c>
      <c r="C613" s="44" t="s">
        <v>3845</v>
      </c>
      <c r="D613" s="48" t="s">
        <v>192</v>
      </c>
      <c r="E613" s="44" t="s">
        <v>812</v>
      </c>
      <c r="F613" s="48">
        <v>2020</v>
      </c>
      <c r="G613" s="44">
        <v>44</v>
      </c>
      <c r="H613" s="48">
        <v>380</v>
      </c>
      <c r="I613" s="44" t="str">
        <f>Tableau2[[#This Row],[Annee d''inscription au programme]]&amp;"-"&amp;Tableau2[[#This Row],[Code d''ecole]]&amp;"-"&amp;Tableau2[[#This Row],[Numero HM de la fille]]</f>
        <v>2020-44-380</v>
      </c>
      <c r="J613" s="45" t="s">
        <v>1861</v>
      </c>
      <c r="K613" s="63" t="s">
        <v>374</v>
      </c>
      <c r="L613" s="35" t="s">
        <v>620</v>
      </c>
      <c r="M613" s="35">
        <v>9.5</v>
      </c>
      <c r="N613" s="35">
        <v>10.5</v>
      </c>
      <c r="O613" s="35">
        <f t="shared" si="18"/>
        <v>10</v>
      </c>
      <c r="P613" s="35">
        <v>12.5</v>
      </c>
      <c r="Q613" s="35">
        <v>16.5</v>
      </c>
      <c r="R613" s="35">
        <f t="shared" si="19"/>
        <v>14.5</v>
      </c>
      <c r="S613" s="35"/>
      <c r="T613" s="35"/>
      <c r="U613" s="35"/>
      <c r="V613" s="35" t="e">
        <f>AVERAGE(Tableau2[[#This Row],[1ère composition/10]:[3è composition]])</f>
        <v>#DIV/0!</v>
      </c>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f>COUNTIF(Tableau2[[#This Row],[Séance 1]:[Séance 38]],"A")</f>
        <v>0</v>
      </c>
      <c r="BJ613" s="35"/>
    </row>
    <row r="614" spans="1:62" s="42" customFormat="1" hidden="1" x14ac:dyDescent="0.2">
      <c r="A614" s="1" t="s">
        <v>1050</v>
      </c>
      <c r="B614" s="48" t="s">
        <v>1066</v>
      </c>
      <c r="C614" s="44" t="s">
        <v>3845</v>
      </c>
      <c r="D614" s="48" t="s">
        <v>192</v>
      </c>
      <c r="E614" s="44" t="s">
        <v>812</v>
      </c>
      <c r="F614" s="48">
        <v>2021</v>
      </c>
      <c r="G614" s="44">
        <v>44</v>
      </c>
      <c r="H614" s="48">
        <v>9</v>
      </c>
      <c r="I614" s="44" t="str">
        <f>Tableau2[[#This Row],[Annee d''inscription au programme]]&amp;"-"&amp;Tableau2[[#This Row],[Code d''ecole]]&amp;"-"&amp;Tableau2[[#This Row],[Numero HM de la fille]]</f>
        <v>2021-44-9</v>
      </c>
      <c r="J614" s="45" t="s">
        <v>1862</v>
      </c>
      <c r="K614" s="63" t="s">
        <v>593</v>
      </c>
      <c r="L614" s="35" t="s">
        <v>698</v>
      </c>
      <c r="M614" s="35">
        <v>2</v>
      </c>
      <c r="N614" s="35">
        <v>3</v>
      </c>
      <c r="O614" s="35">
        <f t="shared" si="18"/>
        <v>2.5</v>
      </c>
      <c r="P614" s="35">
        <v>6.5</v>
      </c>
      <c r="Q614" s="35">
        <v>7</v>
      </c>
      <c r="R614" s="35">
        <f t="shared" si="19"/>
        <v>6.75</v>
      </c>
      <c r="S614" s="35"/>
      <c r="T614" s="35"/>
      <c r="U614" s="35"/>
      <c r="V614" s="35" t="e">
        <f>AVERAGE(Tableau2[[#This Row],[1ère composition/10]:[3è composition]])</f>
        <v>#DIV/0!</v>
      </c>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f>COUNTIF(Tableau2[[#This Row],[Séance 1]:[Séance 38]],"A")</f>
        <v>0</v>
      </c>
      <c r="BJ614" s="35"/>
    </row>
    <row r="615" spans="1:62" s="42" customFormat="1" hidden="1" x14ac:dyDescent="0.2">
      <c r="A615" s="1" t="s">
        <v>1050</v>
      </c>
      <c r="B615" s="48" t="s">
        <v>1067</v>
      </c>
      <c r="C615" s="44" t="s">
        <v>3845</v>
      </c>
      <c r="D615" s="48" t="s">
        <v>1016</v>
      </c>
      <c r="E615" s="44" t="s">
        <v>812</v>
      </c>
      <c r="F615" s="48">
        <v>2020</v>
      </c>
      <c r="G615" s="44">
        <v>44</v>
      </c>
      <c r="H615" s="48">
        <v>390</v>
      </c>
      <c r="I615" s="44" t="str">
        <f>Tableau2[[#This Row],[Annee d''inscription au programme]]&amp;"-"&amp;Tableau2[[#This Row],[Code d''ecole]]&amp;"-"&amp;Tableau2[[#This Row],[Numero HM de la fille]]</f>
        <v>2020-44-390</v>
      </c>
      <c r="J615" s="45" t="s">
        <v>1863</v>
      </c>
      <c r="K615" s="63" t="s">
        <v>374</v>
      </c>
      <c r="L615" s="35" t="s">
        <v>620</v>
      </c>
      <c r="M615" s="35">
        <v>8</v>
      </c>
      <c r="N615" s="35">
        <v>6</v>
      </c>
      <c r="O615" s="35">
        <f t="shared" si="18"/>
        <v>7</v>
      </c>
      <c r="P615" s="35">
        <v>13</v>
      </c>
      <c r="Q615" s="35">
        <v>4</v>
      </c>
      <c r="R615" s="35">
        <f t="shared" si="19"/>
        <v>8.5</v>
      </c>
      <c r="S615" s="35"/>
      <c r="T615" s="35"/>
      <c r="U615" s="35"/>
      <c r="V615" s="35" t="e">
        <f>AVERAGE(Tableau2[[#This Row],[1ère composition/10]:[3è composition]])</f>
        <v>#DIV/0!</v>
      </c>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f>COUNTIF(Tableau2[[#This Row],[Séance 1]:[Séance 38]],"A")</f>
        <v>0</v>
      </c>
      <c r="BJ615" s="35"/>
    </row>
    <row r="616" spans="1:62" s="42" customFormat="1" hidden="1" x14ac:dyDescent="0.2">
      <c r="A616" s="1" t="s">
        <v>1050</v>
      </c>
      <c r="B616" s="48" t="s">
        <v>925</v>
      </c>
      <c r="C616" s="44" t="s">
        <v>3845</v>
      </c>
      <c r="D616" s="48" t="s">
        <v>215</v>
      </c>
      <c r="E616" s="44" t="s">
        <v>812</v>
      </c>
      <c r="F616" s="48">
        <v>2021</v>
      </c>
      <c r="G616" s="44">
        <v>44</v>
      </c>
      <c r="H616" s="48">
        <v>10</v>
      </c>
      <c r="I616" s="44" t="str">
        <f>Tableau2[[#This Row],[Annee d''inscription au programme]]&amp;"-"&amp;Tableau2[[#This Row],[Code d''ecole]]&amp;"-"&amp;Tableau2[[#This Row],[Numero HM de la fille]]</f>
        <v>2021-44-10</v>
      </c>
      <c r="J616" s="45" t="s">
        <v>1864</v>
      </c>
      <c r="K616" s="63" t="s">
        <v>593</v>
      </c>
      <c r="L616" s="35" t="s">
        <v>698</v>
      </c>
      <c r="M616" s="35">
        <v>14.5</v>
      </c>
      <c r="N616" s="35">
        <v>6.75</v>
      </c>
      <c r="O616" s="35">
        <f t="shared" si="18"/>
        <v>10.625</v>
      </c>
      <c r="P616" s="35">
        <v>19</v>
      </c>
      <c r="Q616" s="35">
        <v>12</v>
      </c>
      <c r="R616" s="35">
        <f t="shared" si="19"/>
        <v>15.5</v>
      </c>
      <c r="S616" s="35"/>
      <c r="T616" s="35"/>
      <c r="U616" s="35"/>
      <c r="V616" s="35" t="e">
        <f>AVERAGE(Tableau2[[#This Row],[1ère composition/10]:[3è composition]])</f>
        <v>#DIV/0!</v>
      </c>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f>COUNTIF(Tableau2[[#This Row],[Séance 1]:[Séance 38]],"A")</f>
        <v>0</v>
      </c>
      <c r="BJ616" s="35"/>
    </row>
    <row r="617" spans="1:62" s="42" customFormat="1" hidden="1" x14ac:dyDescent="0.2">
      <c r="A617" s="1" t="s">
        <v>1050</v>
      </c>
      <c r="B617" s="48" t="s">
        <v>469</v>
      </c>
      <c r="C617" s="44" t="s">
        <v>3845</v>
      </c>
      <c r="D617" s="48" t="s">
        <v>260</v>
      </c>
      <c r="E617" s="44" t="s">
        <v>812</v>
      </c>
      <c r="F617" s="48">
        <v>2021</v>
      </c>
      <c r="G617" s="44">
        <v>44</v>
      </c>
      <c r="H617" s="48">
        <v>11</v>
      </c>
      <c r="I617" s="44" t="str">
        <f>Tableau2[[#This Row],[Annee d''inscription au programme]]&amp;"-"&amp;Tableau2[[#This Row],[Code d''ecole]]&amp;"-"&amp;Tableau2[[#This Row],[Numero HM de la fille]]</f>
        <v>2021-44-11</v>
      </c>
      <c r="J617" s="45" t="s">
        <v>1865</v>
      </c>
      <c r="K617" s="63" t="s">
        <v>593</v>
      </c>
      <c r="L617" s="35" t="s">
        <v>698</v>
      </c>
      <c r="M617" s="35">
        <v>15.5</v>
      </c>
      <c r="N617" s="35">
        <v>15</v>
      </c>
      <c r="O617" s="35">
        <f t="shared" si="18"/>
        <v>15.25</v>
      </c>
      <c r="P617" s="35">
        <v>17</v>
      </c>
      <c r="Q617" s="35">
        <v>10</v>
      </c>
      <c r="R617" s="35">
        <f t="shared" si="19"/>
        <v>13.5</v>
      </c>
      <c r="S617" s="35"/>
      <c r="T617" s="35"/>
      <c r="U617" s="35"/>
      <c r="V617" s="35" t="e">
        <f>AVERAGE(Tableau2[[#This Row],[1ère composition/10]:[3è composition]])</f>
        <v>#DIV/0!</v>
      </c>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f>COUNTIF(Tableau2[[#This Row],[Séance 1]:[Séance 38]],"A")</f>
        <v>0</v>
      </c>
      <c r="BJ617" s="35"/>
    </row>
    <row r="618" spans="1:62" s="42" customFormat="1" hidden="1" x14ac:dyDescent="0.2">
      <c r="A618" s="1" t="s">
        <v>1050</v>
      </c>
      <c r="B618" s="48" t="s">
        <v>1068</v>
      </c>
      <c r="C618" s="44" t="s">
        <v>3845</v>
      </c>
      <c r="D618" s="48" t="s">
        <v>674</v>
      </c>
      <c r="E618" s="44" t="s">
        <v>812</v>
      </c>
      <c r="F618" s="48">
        <v>2021</v>
      </c>
      <c r="G618" s="44">
        <v>44</v>
      </c>
      <c r="H618" s="48">
        <v>12</v>
      </c>
      <c r="I618" s="44" t="str">
        <f>Tableau2[[#This Row],[Annee d''inscription au programme]]&amp;"-"&amp;Tableau2[[#This Row],[Code d''ecole]]&amp;"-"&amp;Tableau2[[#This Row],[Numero HM de la fille]]</f>
        <v>2021-44-12</v>
      </c>
      <c r="J618" s="45" t="s">
        <v>1866</v>
      </c>
      <c r="K618" s="63" t="s">
        <v>593</v>
      </c>
      <c r="L618" s="35" t="s">
        <v>698</v>
      </c>
      <c r="M618" s="35">
        <v>13.5</v>
      </c>
      <c r="N618" s="35">
        <v>11.5</v>
      </c>
      <c r="O618" s="35">
        <f t="shared" si="18"/>
        <v>12.5</v>
      </c>
      <c r="P618" s="35">
        <v>15</v>
      </c>
      <c r="Q618" s="35">
        <v>18</v>
      </c>
      <c r="R618" s="35">
        <f t="shared" si="19"/>
        <v>16.5</v>
      </c>
      <c r="S618" s="35"/>
      <c r="T618" s="35"/>
      <c r="U618" s="35"/>
      <c r="V618" s="35" t="e">
        <f>AVERAGE(Tableau2[[#This Row],[1ère composition/10]:[3è composition]])</f>
        <v>#DIV/0!</v>
      </c>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f>COUNTIF(Tableau2[[#This Row],[Séance 1]:[Séance 38]],"A")</f>
        <v>0</v>
      </c>
      <c r="BJ618" s="35"/>
    </row>
    <row r="619" spans="1:62" s="42" customFormat="1" hidden="1" x14ac:dyDescent="0.2">
      <c r="A619" s="1" t="s">
        <v>1050</v>
      </c>
      <c r="B619" s="48" t="s">
        <v>1069</v>
      </c>
      <c r="C619" s="44" t="s">
        <v>3845</v>
      </c>
      <c r="D619" s="48" t="s">
        <v>260</v>
      </c>
      <c r="E619" s="44" t="s">
        <v>812</v>
      </c>
      <c r="F619" s="48">
        <v>2020</v>
      </c>
      <c r="G619" s="44">
        <v>44</v>
      </c>
      <c r="H619" s="48">
        <v>385</v>
      </c>
      <c r="I619" s="44" t="str">
        <f>Tableau2[[#This Row],[Annee d''inscription au programme]]&amp;"-"&amp;Tableau2[[#This Row],[Code d''ecole]]&amp;"-"&amp;Tableau2[[#This Row],[Numero HM de la fille]]</f>
        <v>2020-44-385</v>
      </c>
      <c r="J619" s="45" t="s">
        <v>1867</v>
      </c>
      <c r="K619" s="63" t="s">
        <v>374</v>
      </c>
      <c r="L619" s="35" t="s">
        <v>620</v>
      </c>
      <c r="M619" s="35">
        <v>11.5</v>
      </c>
      <c r="N619" s="35">
        <v>11.5</v>
      </c>
      <c r="O619" s="35">
        <f t="shared" si="18"/>
        <v>11.5</v>
      </c>
      <c r="P619" s="35">
        <v>16</v>
      </c>
      <c r="Q619" s="35">
        <v>15</v>
      </c>
      <c r="R619" s="35">
        <f t="shared" si="19"/>
        <v>15.5</v>
      </c>
      <c r="S619" s="35"/>
      <c r="T619" s="35"/>
      <c r="U619" s="35"/>
      <c r="V619" s="35" t="e">
        <f>AVERAGE(Tableau2[[#This Row],[1ère composition/10]:[3è composition]])</f>
        <v>#DIV/0!</v>
      </c>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f>COUNTIF(Tableau2[[#This Row],[Séance 1]:[Séance 38]],"A")</f>
        <v>0</v>
      </c>
      <c r="BJ619" s="35"/>
    </row>
    <row r="620" spans="1:62" s="42" customFormat="1" hidden="1" x14ac:dyDescent="0.2">
      <c r="A620" s="1" t="s">
        <v>1050</v>
      </c>
      <c r="B620" s="48" t="s">
        <v>1070</v>
      </c>
      <c r="C620" s="44" t="s">
        <v>3845</v>
      </c>
      <c r="D620" s="48" t="s">
        <v>291</v>
      </c>
      <c r="E620" s="44" t="s">
        <v>812</v>
      </c>
      <c r="F620" s="48">
        <v>2020</v>
      </c>
      <c r="G620" s="44">
        <v>44</v>
      </c>
      <c r="H620" s="48">
        <v>384</v>
      </c>
      <c r="I620" s="44" t="str">
        <f>Tableau2[[#This Row],[Annee d''inscription au programme]]&amp;"-"&amp;Tableau2[[#This Row],[Code d''ecole]]&amp;"-"&amp;Tableau2[[#This Row],[Numero HM de la fille]]</f>
        <v>2020-44-384</v>
      </c>
      <c r="J620" s="45" t="s">
        <v>1868</v>
      </c>
      <c r="K620" s="63" t="s">
        <v>374</v>
      </c>
      <c r="L620" s="35" t="s">
        <v>620</v>
      </c>
      <c r="M620" s="35">
        <v>7</v>
      </c>
      <c r="N620" s="35">
        <v>10</v>
      </c>
      <c r="O620" s="35">
        <f t="shared" si="18"/>
        <v>8.5</v>
      </c>
      <c r="P620" s="35">
        <v>13.5</v>
      </c>
      <c r="Q620" s="35">
        <v>15</v>
      </c>
      <c r="R620" s="35">
        <f t="shared" si="19"/>
        <v>14.25</v>
      </c>
      <c r="S620" s="35"/>
      <c r="T620" s="35"/>
      <c r="U620" s="35"/>
      <c r="V620" s="35" t="e">
        <f>AVERAGE(Tableau2[[#This Row],[1ère composition/10]:[3è composition]])</f>
        <v>#DIV/0!</v>
      </c>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f>COUNTIF(Tableau2[[#This Row],[Séance 1]:[Séance 38]],"A")</f>
        <v>0</v>
      </c>
      <c r="BJ620" s="35"/>
    </row>
    <row r="621" spans="1:62" s="42" customFormat="1" hidden="1" x14ac:dyDescent="0.2">
      <c r="A621" s="1" t="s">
        <v>1050</v>
      </c>
      <c r="B621" s="48" t="s">
        <v>1071</v>
      </c>
      <c r="C621" s="44" t="s">
        <v>3847</v>
      </c>
      <c r="D621" s="48" t="s">
        <v>262</v>
      </c>
      <c r="E621" s="44" t="s">
        <v>812</v>
      </c>
      <c r="F621" s="48">
        <v>2020</v>
      </c>
      <c r="G621" s="44">
        <v>44</v>
      </c>
      <c r="H621" s="48">
        <v>362</v>
      </c>
      <c r="I621" s="44" t="str">
        <f>Tableau2[[#This Row],[Annee d''inscription au programme]]&amp;"-"&amp;Tableau2[[#This Row],[Code d''ecole]]&amp;"-"&amp;Tableau2[[#This Row],[Numero HM de la fille]]</f>
        <v>2020-44-362</v>
      </c>
      <c r="J621" s="45" t="s">
        <v>1869</v>
      </c>
      <c r="K621" s="63" t="s">
        <v>374</v>
      </c>
      <c r="L621" s="35" t="s">
        <v>620</v>
      </c>
      <c r="M621" s="35">
        <v>1.5</v>
      </c>
      <c r="N621" s="35">
        <v>8</v>
      </c>
      <c r="O621" s="35">
        <f t="shared" si="18"/>
        <v>4.75</v>
      </c>
      <c r="P621" s="35">
        <v>14</v>
      </c>
      <c r="Q621" s="35">
        <v>9</v>
      </c>
      <c r="R621" s="35">
        <f t="shared" si="19"/>
        <v>11.5</v>
      </c>
      <c r="S621" s="35"/>
      <c r="T621" s="35"/>
      <c r="U621" s="35"/>
      <c r="V621" s="35" t="e">
        <f>AVERAGE(Tableau2[[#This Row],[1ère composition/10]:[3è composition]])</f>
        <v>#DIV/0!</v>
      </c>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f>COUNTIF(Tableau2[[#This Row],[Séance 1]:[Séance 38]],"A")</f>
        <v>0</v>
      </c>
      <c r="BJ621" s="35"/>
    </row>
    <row r="622" spans="1:62" s="42" customFormat="1" hidden="1" x14ac:dyDescent="0.2">
      <c r="A622" s="1" t="s">
        <v>1050</v>
      </c>
      <c r="B622" s="48" t="s">
        <v>1072</v>
      </c>
      <c r="C622" s="44" t="s">
        <v>3848</v>
      </c>
      <c r="D622" s="48" t="s">
        <v>291</v>
      </c>
      <c r="E622" s="44" t="s">
        <v>812</v>
      </c>
      <c r="F622" s="48">
        <v>2021</v>
      </c>
      <c r="G622" s="44">
        <v>44</v>
      </c>
      <c r="H622" s="48">
        <v>13</v>
      </c>
      <c r="I622" s="44" t="str">
        <f>Tableau2[[#This Row],[Annee d''inscription au programme]]&amp;"-"&amp;Tableau2[[#This Row],[Code d''ecole]]&amp;"-"&amp;Tableau2[[#This Row],[Numero HM de la fille]]</f>
        <v>2021-44-13</v>
      </c>
      <c r="J622" s="45" t="s">
        <v>1870</v>
      </c>
      <c r="K622" s="63" t="s">
        <v>593</v>
      </c>
      <c r="L622" s="35" t="s">
        <v>698</v>
      </c>
      <c r="M622" s="35">
        <v>7</v>
      </c>
      <c r="N622" s="35">
        <v>3</v>
      </c>
      <c r="O622" s="35">
        <f t="shared" si="18"/>
        <v>5</v>
      </c>
      <c r="P622" s="35">
        <v>7</v>
      </c>
      <c r="Q622" s="35">
        <v>4</v>
      </c>
      <c r="R622" s="35">
        <f t="shared" si="19"/>
        <v>5.5</v>
      </c>
      <c r="S622" s="35"/>
      <c r="T622" s="35"/>
      <c r="U622" s="35"/>
      <c r="V622" s="35" t="e">
        <f>AVERAGE(Tableau2[[#This Row],[1ère composition/10]:[3è composition]])</f>
        <v>#DIV/0!</v>
      </c>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f>COUNTIF(Tableau2[[#This Row],[Séance 1]:[Séance 38]],"A")</f>
        <v>0</v>
      </c>
      <c r="BJ622" s="35"/>
    </row>
    <row r="623" spans="1:62" s="42" customFormat="1" hidden="1" x14ac:dyDescent="0.2">
      <c r="A623" s="1" t="s">
        <v>1050</v>
      </c>
      <c r="B623" s="48" t="s">
        <v>1073</v>
      </c>
      <c r="C623" s="44" t="s">
        <v>3846</v>
      </c>
      <c r="D623" s="48" t="s">
        <v>192</v>
      </c>
      <c r="E623" s="44" t="s">
        <v>812</v>
      </c>
      <c r="F623" s="48">
        <v>2020</v>
      </c>
      <c r="G623" s="44">
        <v>44</v>
      </c>
      <c r="H623" s="48">
        <v>386</v>
      </c>
      <c r="I623" s="44" t="str">
        <f>Tableau2[[#This Row],[Annee d''inscription au programme]]&amp;"-"&amp;Tableau2[[#This Row],[Code d''ecole]]&amp;"-"&amp;Tableau2[[#This Row],[Numero HM de la fille]]</f>
        <v>2020-44-386</v>
      </c>
      <c r="J623" s="45" t="s">
        <v>1871</v>
      </c>
      <c r="K623" s="63" t="s">
        <v>374</v>
      </c>
      <c r="L623" s="35" t="s">
        <v>620</v>
      </c>
      <c r="M623" s="35">
        <v>12</v>
      </c>
      <c r="N623" s="35">
        <v>7.75</v>
      </c>
      <c r="O623" s="35">
        <f t="shared" si="18"/>
        <v>9.875</v>
      </c>
      <c r="P623" s="35">
        <v>14</v>
      </c>
      <c r="Q623" s="35">
        <v>12</v>
      </c>
      <c r="R623" s="35">
        <f t="shared" si="19"/>
        <v>13</v>
      </c>
      <c r="S623" s="35"/>
      <c r="T623" s="35"/>
      <c r="U623" s="35"/>
      <c r="V623" s="35" t="e">
        <f>AVERAGE(Tableau2[[#This Row],[1ère composition/10]:[3è composition]])</f>
        <v>#DIV/0!</v>
      </c>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f>COUNTIF(Tableau2[[#This Row],[Séance 1]:[Séance 38]],"A")</f>
        <v>0</v>
      </c>
      <c r="BJ623" s="35"/>
    </row>
    <row r="624" spans="1:62" s="42" customFormat="1" hidden="1" x14ac:dyDescent="0.2">
      <c r="A624" s="1" t="s">
        <v>1050</v>
      </c>
      <c r="B624" s="48" t="s">
        <v>1074</v>
      </c>
      <c r="C624" s="44" t="s">
        <v>3845</v>
      </c>
      <c r="D624" s="48" t="s">
        <v>215</v>
      </c>
      <c r="E624" s="44" t="s">
        <v>812</v>
      </c>
      <c r="F624" s="48">
        <v>2021</v>
      </c>
      <c r="G624" s="44">
        <v>44</v>
      </c>
      <c r="H624" s="48">
        <v>14</v>
      </c>
      <c r="I624" s="44" t="str">
        <f>Tableau2[[#This Row],[Annee d''inscription au programme]]&amp;"-"&amp;Tableau2[[#This Row],[Code d''ecole]]&amp;"-"&amp;Tableau2[[#This Row],[Numero HM de la fille]]</f>
        <v>2021-44-14</v>
      </c>
      <c r="J624" s="45" t="s">
        <v>1872</v>
      </c>
      <c r="K624" s="63" t="s">
        <v>593</v>
      </c>
      <c r="L624" s="35" t="s">
        <v>698</v>
      </c>
      <c r="M624" s="35">
        <v>7.5</v>
      </c>
      <c r="N624" s="35">
        <v>10.75</v>
      </c>
      <c r="O624" s="35">
        <f t="shared" si="18"/>
        <v>9.125</v>
      </c>
      <c r="P624" s="35">
        <v>11</v>
      </c>
      <c r="Q624" s="35">
        <v>11</v>
      </c>
      <c r="R624" s="35">
        <f t="shared" si="19"/>
        <v>11</v>
      </c>
      <c r="S624" s="35"/>
      <c r="T624" s="35"/>
      <c r="U624" s="35"/>
      <c r="V624" s="35" t="e">
        <f>AVERAGE(Tableau2[[#This Row],[1ère composition/10]:[3è composition]])</f>
        <v>#DIV/0!</v>
      </c>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f>COUNTIF(Tableau2[[#This Row],[Séance 1]:[Séance 38]],"A")</f>
        <v>0</v>
      </c>
      <c r="BJ624" s="35"/>
    </row>
    <row r="625" spans="1:62" s="42" customFormat="1" hidden="1" x14ac:dyDescent="0.2">
      <c r="A625" s="1" t="s">
        <v>1050</v>
      </c>
      <c r="B625" s="48" t="s">
        <v>201</v>
      </c>
      <c r="C625" s="44" t="s">
        <v>3845</v>
      </c>
      <c r="D625" s="48" t="s">
        <v>215</v>
      </c>
      <c r="E625" s="44" t="s">
        <v>812</v>
      </c>
      <c r="F625" s="48">
        <v>2021</v>
      </c>
      <c r="G625" s="44">
        <v>44</v>
      </c>
      <c r="H625" s="48">
        <v>15</v>
      </c>
      <c r="I625" s="44" t="str">
        <f>Tableau2[[#This Row],[Annee d''inscription au programme]]&amp;"-"&amp;Tableau2[[#This Row],[Code d''ecole]]&amp;"-"&amp;Tableau2[[#This Row],[Numero HM de la fille]]</f>
        <v>2021-44-15</v>
      </c>
      <c r="J625" s="45" t="s">
        <v>1873</v>
      </c>
      <c r="K625" s="63" t="s">
        <v>593</v>
      </c>
      <c r="L625" s="35" t="s">
        <v>698</v>
      </c>
      <c r="M625" s="35">
        <v>5.5</v>
      </c>
      <c r="N625" s="35">
        <v>5.25</v>
      </c>
      <c r="O625" s="35">
        <f t="shared" si="18"/>
        <v>5.375</v>
      </c>
      <c r="P625" s="35">
        <v>15</v>
      </c>
      <c r="Q625" s="35">
        <v>20</v>
      </c>
      <c r="R625" s="35">
        <f t="shared" si="19"/>
        <v>17.5</v>
      </c>
      <c r="S625" s="35"/>
      <c r="T625" s="35"/>
      <c r="U625" s="35"/>
      <c r="V625" s="35" t="e">
        <f>AVERAGE(Tableau2[[#This Row],[1ère composition/10]:[3è composition]])</f>
        <v>#DIV/0!</v>
      </c>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f>COUNTIF(Tableau2[[#This Row],[Séance 1]:[Séance 38]],"A")</f>
        <v>0</v>
      </c>
      <c r="BJ625" s="35"/>
    </row>
    <row r="626" spans="1:62" s="42" customFormat="1" hidden="1" x14ac:dyDescent="0.2">
      <c r="A626" s="1" t="s">
        <v>1050</v>
      </c>
      <c r="B626" s="48" t="s">
        <v>1075</v>
      </c>
      <c r="C626" s="44" t="s">
        <v>3845</v>
      </c>
      <c r="D626" s="48" t="s">
        <v>1076</v>
      </c>
      <c r="E626" s="44" t="s">
        <v>812</v>
      </c>
      <c r="F626" s="48">
        <v>2020</v>
      </c>
      <c r="G626" s="44">
        <v>44</v>
      </c>
      <c r="H626" s="48">
        <v>389</v>
      </c>
      <c r="I626" s="44" t="str">
        <f>Tableau2[[#This Row],[Annee d''inscription au programme]]&amp;"-"&amp;Tableau2[[#This Row],[Code d''ecole]]&amp;"-"&amp;Tableau2[[#This Row],[Numero HM de la fille]]</f>
        <v>2020-44-389</v>
      </c>
      <c r="J626" s="45" t="s">
        <v>1874</v>
      </c>
      <c r="K626" s="63" t="s">
        <v>374</v>
      </c>
      <c r="L626" s="35" t="s">
        <v>620</v>
      </c>
      <c r="M626" s="35">
        <v>9.5</v>
      </c>
      <c r="N626" s="35">
        <v>5.75</v>
      </c>
      <c r="O626" s="35">
        <f t="shared" si="18"/>
        <v>7.625</v>
      </c>
      <c r="P626" s="35">
        <v>8.5</v>
      </c>
      <c r="Q626" s="35">
        <v>6.5</v>
      </c>
      <c r="R626" s="35">
        <f t="shared" si="19"/>
        <v>7.5</v>
      </c>
      <c r="S626" s="35"/>
      <c r="T626" s="35"/>
      <c r="U626" s="35"/>
      <c r="V626" s="35" t="e">
        <f>AVERAGE(Tableau2[[#This Row],[1ère composition/10]:[3è composition]])</f>
        <v>#DIV/0!</v>
      </c>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f>COUNTIF(Tableau2[[#This Row],[Séance 1]:[Séance 38]],"A")</f>
        <v>0</v>
      </c>
      <c r="BJ626" s="35"/>
    </row>
    <row r="627" spans="1:62" s="42" customFormat="1" hidden="1" x14ac:dyDescent="0.2">
      <c r="A627" s="1" t="s">
        <v>1077</v>
      </c>
      <c r="B627" s="48" t="s">
        <v>1080</v>
      </c>
      <c r="C627" s="44"/>
      <c r="D627" s="48" t="s">
        <v>1081</v>
      </c>
      <c r="E627" s="44" t="s">
        <v>812</v>
      </c>
      <c r="F627" s="48">
        <v>2021</v>
      </c>
      <c r="G627" s="44">
        <v>47</v>
      </c>
      <c r="H627" s="48">
        <v>1</v>
      </c>
      <c r="I627" s="44" t="str">
        <f>Tableau2[[#This Row],[Annee d''inscription au programme]]&amp;"-"&amp;Tableau2[[#This Row],[Code d''ecole]]&amp;"-"&amp;Tableau2[[#This Row],[Numero HM de la fille]]</f>
        <v>2021-47-1</v>
      </c>
      <c r="J627" s="45" t="s">
        <v>1875</v>
      </c>
      <c r="K627" s="63" t="s">
        <v>374</v>
      </c>
      <c r="L627" s="35" t="s">
        <v>3521</v>
      </c>
      <c r="M627" s="35">
        <v>8</v>
      </c>
      <c r="N627" s="35">
        <v>1</v>
      </c>
      <c r="O627" s="35">
        <f t="shared" si="18"/>
        <v>4.5</v>
      </c>
      <c r="P627" s="35">
        <v>11</v>
      </c>
      <c r="Q627" s="35">
        <v>2</v>
      </c>
      <c r="R627" s="35">
        <f t="shared" si="19"/>
        <v>6.5</v>
      </c>
      <c r="S627" s="35"/>
      <c r="T627" s="35"/>
      <c r="U627" s="35"/>
      <c r="V627" s="35" t="e">
        <f>AVERAGE(Tableau2[[#This Row],[1ère composition/10]:[3è composition]])</f>
        <v>#DIV/0!</v>
      </c>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f>COUNTIF(Tableau2[[#This Row],[Séance 1]:[Séance 38]],"A")</f>
        <v>0</v>
      </c>
      <c r="BJ627" s="35"/>
    </row>
    <row r="628" spans="1:62" s="42" customFormat="1" hidden="1" x14ac:dyDescent="0.2">
      <c r="A628" s="1" t="s">
        <v>1077</v>
      </c>
      <c r="B628" s="48" t="s">
        <v>1083</v>
      </c>
      <c r="C628" s="59" t="s">
        <v>3849</v>
      </c>
      <c r="D628" s="48" t="s">
        <v>1084</v>
      </c>
      <c r="E628" s="44" t="s">
        <v>812</v>
      </c>
      <c r="F628" s="48">
        <v>2021</v>
      </c>
      <c r="G628" s="44">
        <v>47</v>
      </c>
      <c r="H628" s="48">
        <v>2</v>
      </c>
      <c r="I628" s="44" t="str">
        <f>Tableau2[[#This Row],[Annee d''inscription au programme]]&amp;"-"&amp;Tableau2[[#This Row],[Code d''ecole]]&amp;"-"&amp;Tableau2[[#This Row],[Numero HM de la fille]]</f>
        <v>2021-47-2</v>
      </c>
      <c r="J628" s="45" t="s">
        <v>3506</v>
      </c>
      <c r="K628" s="63" t="s">
        <v>593</v>
      </c>
      <c r="L628" s="35" t="s">
        <v>698</v>
      </c>
      <c r="M628" s="35">
        <v>0</v>
      </c>
      <c r="N628" s="35">
        <v>0</v>
      </c>
      <c r="O628" s="35">
        <f t="shared" si="18"/>
        <v>0</v>
      </c>
      <c r="P628" s="35">
        <v>17</v>
      </c>
      <c r="Q628" s="35">
        <v>7</v>
      </c>
      <c r="R628" s="35">
        <f t="shared" si="19"/>
        <v>12</v>
      </c>
      <c r="S628" s="35"/>
      <c r="T628" s="35"/>
      <c r="U628" s="35"/>
      <c r="V628" s="35" t="e">
        <f>AVERAGE(Tableau2[[#This Row],[1ère composition/10]:[3è composition]])</f>
        <v>#DIV/0!</v>
      </c>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f>COUNTIF(Tableau2[[#This Row],[Séance 1]:[Séance 38]],"A")</f>
        <v>0</v>
      </c>
      <c r="BJ628" s="35"/>
    </row>
    <row r="629" spans="1:62" s="42" customFormat="1" hidden="1" x14ac:dyDescent="0.2">
      <c r="A629" s="1" t="s">
        <v>1077</v>
      </c>
      <c r="B629" s="48" t="s">
        <v>1085</v>
      </c>
      <c r="C629" s="59" t="s">
        <v>3849</v>
      </c>
      <c r="D629" s="48" t="s">
        <v>1086</v>
      </c>
      <c r="E629" s="44" t="s">
        <v>812</v>
      </c>
      <c r="F629" s="48">
        <v>2021</v>
      </c>
      <c r="G629" s="44">
        <v>47</v>
      </c>
      <c r="H629" s="48">
        <v>3</v>
      </c>
      <c r="I629" s="44" t="str">
        <f>Tableau2[[#This Row],[Annee d''inscription au programme]]&amp;"-"&amp;Tableau2[[#This Row],[Code d''ecole]]&amp;"-"&amp;Tableau2[[#This Row],[Numero HM de la fille]]</f>
        <v>2021-47-3</v>
      </c>
      <c r="J629" s="45" t="s">
        <v>1876</v>
      </c>
      <c r="K629" s="63" t="s">
        <v>593</v>
      </c>
      <c r="L629" s="35" t="s">
        <v>698</v>
      </c>
      <c r="M629" s="35">
        <v>17</v>
      </c>
      <c r="N629" s="35">
        <v>17</v>
      </c>
      <c r="O629" s="35">
        <f t="shared" si="18"/>
        <v>17</v>
      </c>
      <c r="P629" s="35">
        <v>16</v>
      </c>
      <c r="Q629" s="35">
        <v>20</v>
      </c>
      <c r="R629" s="35">
        <f t="shared" si="19"/>
        <v>18</v>
      </c>
      <c r="S629" s="35"/>
      <c r="T629" s="35"/>
      <c r="U629" s="35"/>
      <c r="V629" s="35" t="e">
        <f>AVERAGE(Tableau2[[#This Row],[1ère composition/10]:[3è composition]])</f>
        <v>#DIV/0!</v>
      </c>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f>COUNTIF(Tableau2[[#This Row],[Séance 1]:[Séance 38]],"A")</f>
        <v>0</v>
      </c>
      <c r="BJ629" s="35"/>
    </row>
    <row r="630" spans="1:62" s="42" customFormat="1" hidden="1" x14ac:dyDescent="0.2">
      <c r="A630" s="1" t="s">
        <v>1077</v>
      </c>
      <c r="B630" s="48" t="s">
        <v>1087</v>
      </c>
      <c r="C630" s="59" t="s">
        <v>3849</v>
      </c>
      <c r="D630" s="48" t="s">
        <v>1088</v>
      </c>
      <c r="E630" s="44" t="s">
        <v>812</v>
      </c>
      <c r="F630" s="48">
        <v>2021</v>
      </c>
      <c r="G630" s="44">
        <v>47</v>
      </c>
      <c r="H630" s="48">
        <v>4</v>
      </c>
      <c r="I630" s="44" t="str">
        <f>Tableau2[[#This Row],[Annee d''inscription au programme]]&amp;"-"&amp;Tableau2[[#This Row],[Code d''ecole]]&amp;"-"&amp;Tableau2[[#This Row],[Numero HM de la fille]]</f>
        <v>2021-47-4</v>
      </c>
      <c r="J630" s="45" t="s">
        <v>1877</v>
      </c>
      <c r="K630" s="63" t="s">
        <v>374</v>
      </c>
      <c r="L630" s="35" t="s">
        <v>3521</v>
      </c>
      <c r="M630" s="35">
        <v>8.5</v>
      </c>
      <c r="N630" s="35">
        <v>2.75</v>
      </c>
      <c r="O630" s="35">
        <f t="shared" si="18"/>
        <v>5.625</v>
      </c>
      <c r="P630" s="35">
        <v>16.5</v>
      </c>
      <c r="Q630" s="35">
        <v>7</v>
      </c>
      <c r="R630" s="35">
        <f t="shared" si="19"/>
        <v>11.75</v>
      </c>
      <c r="S630" s="35"/>
      <c r="T630" s="35"/>
      <c r="U630" s="35"/>
      <c r="V630" s="35" t="e">
        <f>AVERAGE(Tableau2[[#This Row],[1ère composition/10]:[3è composition]])</f>
        <v>#DIV/0!</v>
      </c>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f>COUNTIF(Tableau2[[#This Row],[Séance 1]:[Séance 38]],"A")</f>
        <v>0</v>
      </c>
      <c r="BJ630" s="35"/>
    </row>
    <row r="631" spans="1:62" s="42" customFormat="1" hidden="1" x14ac:dyDescent="0.2">
      <c r="A631" s="1" t="s">
        <v>1077</v>
      </c>
      <c r="B631" s="48" t="s">
        <v>1090</v>
      </c>
      <c r="C631" s="59"/>
      <c r="D631" s="48" t="s">
        <v>1091</v>
      </c>
      <c r="E631" s="44" t="s">
        <v>812</v>
      </c>
      <c r="F631" s="48">
        <v>2021</v>
      </c>
      <c r="G631" s="44">
        <v>47</v>
      </c>
      <c r="H631" s="48">
        <v>5</v>
      </c>
      <c r="I631" s="44" t="str">
        <f>Tableau2[[#This Row],[Annee d''inscription au programme]]&amp;"-"&amp;Tableau2[[#This Row],[Code d''ecole]]&amp;"-"&amp;Tableau2[[#This Row],[Numero HM de la fille]]</f>
        <v>2021-47-5</v>
      </c>
      <c r="J631" s="45" t="s">
        <v>1878</v>
      </c>
      <c r="K631" s="63" t="s">
        <v>374</v>
      </c>
      <c r="L631" s="35" t="s">
        <v>3868</v>
      </c>
      <c r="M631" s="35">
        <v>14</v>
      </c>
      <c r="N631" s="35">
        <v>3.5</v>
      </c>
      <c r="O631" s="35">
        <f t="shared" si="18"/>
        <v>8.75</v>
      </c>
      <c r="P631" s="35">
        <v>12.5</v>
      </c>
      <c r="Q631" s="35">
        <v>4.5</v>
      </c>
      <c r="R631" s="35">
        <f t="shared" si="19"/>
        <v>8.5</v>
      </c>
      <c r="S631" s="35"/>
      <c r="T631" s="35"/>
      <c r="U631" s="35"/>
      <c r="V631" s="35" t="e">
        <f>AVERAGE(Tableau2[[#This Row],[1ère composition/10]:[3è composition]])</f>
        <v>#DIV/0!</v>
      </c>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f>COUNTIF(Tableau2[[#This Row],[Séance 1]:[Séance 38]],"A")</f>
        <v>0</v>
      </c>
      <c r="BJ631" s="35"/>
    </row>
    <row r="632" spans="1:62" s="42" customFormat="1" hidden="1" x14ac:dyDescent="0.2">
      <c r="A632" s="1" t="s">
        <v>1077</v>
      </c>
      <c r="B632" s="48" t="s">
        <v>1092</v>
      </c>
      <c r="C632" s="59" t="s">
        <v>3849</v>
      </c>
      <c r="D632" s="48" t="s">
        <v>1093</v>
      </c>
      <c r="E632" s="44" t="s">
        <v>812</v>
      </c>
      <c r="F632" s="48">
        <v>2021</v>
      </c>
      <c r="G632" s="44">
        <v>47</v>
      </c>
      <c r="H632" s="48">
        <v>6</v>
      </c>
      <c r="I632" s="44" t="str">
        <f>Tableau2[[#This Row],[Annee d''inscription au programme]]&amp;"-"&amp;Tableau2[[#This Row],[Code d''ecole]]&amp;"-"&amp;Tableau2[[#This Row],[Numero HM de la fille]]</f>
        <v>2021-47-6</v>
      </c>
      <c r="J632" s="45" t="s">
        <v>1879</v>
      </c>
      <c r="K632" s="63" t="s">
        <v>374</v>
      </c>
      <c r="L632" s="35" t="s">
        <v>3521</v>
      </c>
      <c r="M632" s="35">
        <v>9.5</v>
      </c>
      <c r="N632" s="35">
        <v>1</v>
      </c>
      <c r="O632" s="35">
        <f t="shared" si="18"/>
        <v>5.25</v>
      </c>
      <c r="P632" s="35">
        <v>12.5</v>
      </c>
      <c r="Q632" s="35">
        <v>4.5</v>
      </c>
      <c r="R632" s="35">
        <f t="shared" si="19"/>
        <v>8.5</v>
      </c>
      <c r="S632" s="35"/>
      <c r="T632" s="35"/>
      <c r="U632" s="35"/>
      <c r="V632" s="35" t="e">
        <f>AVERAGE(Tableau2[[#This Row],[1ère composition/10]:[3è composition]])</f>
        <v>#DIV/0!</v>
      </c>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f>COUNTIF(Tableau2[[#This Row],[Séance 1]:[Séance 38]],"A")</f>
        <v>0</v>
      </c>
      <c r="BJ632" s="35"/>
    </row>
    <row r="633" spans="1:62" s="42" customFormat="1" hidden="1" x14ac:dyDescent="0.2">
      <c r="A633" s="1" t="s">
        <v>1077</v>
      </c>
      <c r="B633" s="48" t="s">
        <v>1095</v>
      </c>
      <c r="C633" s="59" t="s">
        <v>3849</v>
      </c>
      <c r="D633" s="48" t="s">
        <v>1096</v>
      </c>
      <c r="E633" s="44" t="s">
        <v>812</v>
      </c>
      <c r="F633" s="48">
        <v>2021</v>
      </c>
      <c r="G633" s="44">
        <v>47</v>
      </c>
      <c r="H633" s="48">
        <v>7</v>
      </c>
      <c r="I633" s="44" t="str">
        <f>Tableau2[[#This Row],[Annee d''inscription au programme]]&amp;"-"&amp;Tableau2[[#This Row],[Code d''ecole]]&amp;"-"&amp;Tableau2[[#This Row],[Numero HM de la fille]]</f>
        <v>2021-47-7</v>
      </c>
      <c r="J633" s="45" t="s">
        <v>1880</v>
      </c>
      <c r="K633" s="63" t="s">
        <v>374</v>
      </c>
      <c r="L633" s="35" t="s">
        <v>3521</v>
      </c>
      <c r="M633" s="35">
        <v>6</v>
      </c>
      <c r="N633" s="35">
        <v>1</v>
      </c>
      <c r="O633" s="35">
        <f t="shared" si="18"/>
        <v>3.5</v>
      </c>
      <c r="P633" s="35">
        <v>11</v>
      </c>
      <c r="Q633" s="35">
        <v>2.5</v>
      </c>
      <c r="R633" s="35">
        <f t="shared" si="19"/>
        <v>6.75</v>
      </c>
      <c r="S633" s="35"/>
      <c r="T633" s="35"/>
      <c r="U633" s="35"/>
      <c r="V633" s="35" t="e">
        <f>AVERAGE(Tableau2[[#This Row],[1ère composition/10]:[3è composition]])</f>
        <v>#DIV/0!</v>
      </c>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f>COUNTIF(Tableau2[[#This Row],[Séance 1]:[Séance 38]],"A")</f>
        <v>0</v>
      </c>
      <c r="BJ633" s="35"/>
    </row>
    <row r="634" spans="1:62" s="42" customFormat="1" hidden="1" x14ac:dyDescent="0.2">
      <c r="A634" s="1" t="s">
        <v>1077</v>
      </c>
      <c r="B634" s="48" t="s">
        <v>1097</v>
      </c>
      <c r="C634" s="59" t="s">
        <v>3849</v>
      </c>
      <c r="D634" s="48" t="s">
        <v>1098</v>
      </c>
      <c r="E634" s="44" t="s">
        <v>812</v>
      </c>
      <c r="F634" s="48">
        <v>2021</v>
      </c>
      <c r="G634" s="44">
        <v>47</v>
      </c>
      <c r="H634" s="48">
        <v>8</v>
      </c>
      <c r="I634" s="44" t="str">
        <f>Tableau2[[#This Row],[Annee d''inscription au programme]]&amp;"-"&amp;Tableau2[[#This Row],[Code d''ecole]]&amp;"-"&amp;Tableau2[[#This Row],[Numero HM de la fille]]</f>
        <v>2021-47-8</v>
      </c>
      <c r="J634" s="45" t="s">
        <v>1881</v>
      </c>
      <c r="K634" s="63" t="s">
        <v>374</v>
      </c>
      <c r="L634" s="35" t="s">
        <v>3868</v>
      </c>
      <c r="M634" s="35">
        <v>3</v>
      </c>
      <c r="N634" s="35">
        <v>1</v>
      </c>
      <c r="O634" s="35">
        <f t="shared" si="18"/>
        <v>2</v>
      </c>
      <c r="P634" s="35">
        <v>12</v>
      </c>
      <c r="Q634" s="35">
        <v>5</v>
      </c>
      <c r="R634" s="35">
        <f t="shared" si="19"/>
        <v>8.5</v>
      </c>
      <c r="S634" s="35"/>
      <c r="T634" s="35"/>
      <c r="U634" s="35"/>
      <c r="V634" s="35" t="e">
        <f>AVERAGE(Tableau2[[#This Row],[1ère composition/10]:[3è composition]])</f>
        <v>#DIV/0!</v>
      </c>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f>COUNTIF(Tableau2[[#This Row],[Séance 1]:[Séance 38]],"A")</f>
        <v>0</v>
      </c>
      <c r="BJ634" s="35"/>
    </row>
    <row r="635" spans="1:62" s="42" customFormat="1" hidden="1" x14ac:dyDescent="0.2">
      <c r="A635" s="1" t="s">
        <v>1077</v>
      </c>
      <c r="B635" s="48" t="s">
        <v>1099</v>
      </c>
      <c r="C635" s="59" t="s">
        <v>3849</v>
      </c>
      <c r="D635" s="48" t="s">
        <v>1100</v>
      </c>
      <c r="E635" s="44" t="s">
        <v>812</v>
      </c>
      <c r="F635" s="48">
        <v>2021</v>
      </c>
      <c r="G635" s="44">
        <v>47</v>
      </c>
      <c r="H635" s="48">
        <v>9</v>
      </c>
      <c r="I635" s="44" t="str">
        <f>Tableau2[[#This Row],[Annee d''inscription au programme]]&amp;"-"&amp;Tableau2[[#This Row],[Code d''ecole]]&amp;"-"&amp;Tableau2[[#This Row],[Numero HM de la fille]]</f>
        <v>2021-47-9</v>
      </c>
      <c r="J635" s="45" t="s">
        <v>1882</v>
      </c>
      <c r="K635" s="63" t="s">
        <v>593</v>
      </c>
      <c r="L635" s="35" t="s">
        <v>698</v>
      </c>
      <c r="M635" s="35">
        <v>4.25</v>
      </c>
      <c r="N635" s="35">
        <v>0</v>
      </c>
      <c r="O635" s="35">
        <f t="shared" si="18"/>
        <v>2.125</v>
      </c>
      <c r="P635" s="35">
        <v>6.5</v>
      </c>
      <c r="Q635" s="35">
        <v>3</v>
      </c>
      <c r="R635" s="35">
        <f t="shared" si="19"/>
        <v>4.75</v>
      </c>
      <c r="S635" s="35"/>
      <c r="T635" s="35"/>
      <c r="U635" s="35"/>
      <c r="V635" s="35" t="e">
        <f>AVERAGE(Tableau2[[#This Row],[1ère composition/10]:[3è composition]])</f>
        <v>#DIV/0!</v>
      </c>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f>COUNTIF(Tableau2[[#This Row],[Séance 1]:[Séance 38]],"A")</f>
        <v>0</v>
      </c>
      <c r="BJ635" s="35"/>
    </row>
    <row r="636" spans="1:62" s="42" customFormat="1" hidden="1" x14ac:dyDescent="0.2">
      <c r="A636" s="1" t="s">
        <v>1077</v>
      </c>
      <c r="B636" s="44" t="s">
        <v>1078</v>
      </c>
      <c r="C636" s="44" t="s">
        <v>3851</v>
      </c>
      <c r="D636" s="44" t="s">
        <v>1079</v>
      </c>
      <c r="E636" s="44" t="s">
        <v>812</v>
      </c>
      <c r="F636" s="48">
        <v>2021</v>
      </c>
      <c r="G636" s="44">
        <v>47</v>
      </c>
      <c r="H636" s="44">
        <v>10</v>
      </c>
      <c r="I636" s="44" t="str">
        <f>Tableau2[[#This Row],[Annee d''inscription au programme]]&amp;"-"&amp;Tableau2[[#This Row],[Code d''ecole]]&amp;"-"&amp;Tableau2[[#This Row],[Numero HM de la fille]]</f>
        <v>2021-47-10</v>
      </c>
      <c r="J636" s="45" t="s">
        <v>1883</v>
      </c>
      <c r="K636" s="63" t="s">
        <v>374</v>
      </c>
      <c r="L636" s="35" t="s">
        <v>3521</v>
      </c>
      <c r="M636" s="35">
        <v>10</v>
      </c>
      <c r="N636" s="35">
        <v>1.5</v>
      </c>
      <c r="O636" s="35">
        <f t="shared" si="18"/>
        <v>5.75</v>
      </c>
      <c r="P636" s="35">
        <v>7.5</v>
      </c>
      <c r="Q636" s="35">
        <v>4.5</v>
      </c>
      <c r="R636" s="35">
        <f t="shared" si="19"/>
        <v>6</v>
      </c>
      <c r="S636" s="35"/>
      <c r="T636" s="35"/>
      <c r="U636" s="35"/>
      <c r="V636" s="35" t="e">
        <f>AVERAGE(Tableau2[[#This Row],[1ère composition/10]:[3è composition]])</f>
        <v>#DIV/0!</v>
      </c>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f>COUNTIF(Tableau2[[#This Row],[Séance 1]:[Séance 38]],"A")</f>
        <v>0</v>
      </c>
      <c r="BJ636" s="35"/>
    </row>
    <row r="637" spans="1:62" s="42" customFormat="1" hidden="1" x14ac:dyDescent="0.2">
      <c r="A637" s="1" t="s">
        <v>1077</v>
      </c>
      <c r="B637" s="44" t="s">
        <v>2645</v>
      </c>
      <c r="C637" s="44" t="s">
        <v>3850</v>
      </c>
      <c r="D637" s="44" t="s">
        <v>1082</v>
      </c>
      <c r="E637" s="44" t="s">
        <v>812</v>
      </c>
      <c r="F637" s="48">
        <v>2021</v>
      </c>
      <c r="G637" s="44">
        <v>47</v>
      </c>
      <c r="H637" s="44">
        <v>11</v>
      </c>
      <c r="I637" s="44" t="str">
        <f>Tableau2[[#This Row],[Annee d''inscription au programme]]&amp;"-"&amp;Tableau2[[#This Row],[Code d''ecole]]&amp;"-"&amp;Tableau2[[#This Row],[Numero HM de la fille]]</f>
        <v>2021-47-11</v>
      </c>
      <c r="J637" s="45" t="s">
        <v>1884</v>
      </c>
      <c r="K637" s="63" t="s">
        <v>593</v>
      </c>
      <c r="L637" s="35" t="s">
        <v>698</v>
      </c>
      <c r="M637" s="35">
        <v>8.5</v>
      </c>
      <c r="N637" s="35">
        <v>2</v>
      </c>
      <c r="O637" s="35">
        <f t="shared" si="18"/>
        <v>5.25</v>
      </c>
      <c r="P637" s="35">
        <v>13</v>
      </c>
      <c r="Q637" s="35">
        <v>4.5</v>
      </c>
      <c r="R637" s="35">
        <f t="shared" si="19"/>
        <v>8.75</v>
      </c>
      <c r="S637" s="35"/>
      <c r="T637" s="35"/>
      <c r="U637" s="35"/>
      <c r="V637" s="35" t="e">
        <f>AVERAGE(Tableau2[[#This Row],[1ère composition/10]:[3è composition]])</f>
        <v>#DIV/0!</v>
      </c>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f>COUNTIF(Tableau2[[#This Row],[Séance 1]:[Séance 38]],"A")</f>
        <v>0</v>
      </c>
      <c r="BJ637" s="35"/>
    </row>
    <row r="638" spans="1:62" s="42" customFormat="1" hidden="1" x14ac:dyDescent="0.2">
      <c r="A638" s="1" t="s">
        <v>1077</v>
      </c>
      <c r="B638" s="44" t="s">
        <v>1089</v>
      </c>
      <c r="C638" s="44" t="s">
        <v>3850</v>
      </c>
      <c r="D638" s="44" t="s">
        <v>2646</v>
      </c>
      <c r="E638" s="44" t="s">
        <v>812</v>
      </c>
      <c r="F638" s="48">
        <v>2021</v>
      </c>
      <c r="G638" s="44">
        <v>47</v>
      </c>
      <c r="H638" s="44">
        <v>12</v>
      </c>
      <c r="I638" s="44" t="str">
        <f>Tableau2[[#This Row],[Annee d''inscription au programme]]&amp;"-"&amp;Tableau2[[#This Row],[Code d''ecole]]&amp;"-"&amp;Tableau2[[#This Row],[Numero HM de la fille]]</f>
        <v>2021-47-12</v>
      </c>
      <c r="J638" s="45" t="s">
        <v>1885</v>
      </c>
      <c r="K638" s="63" t="s">
        <v>593</v>
      </c>
      <c r="L638" s="35" t="s">
        <v>698</v>
      </c>
      <c r="M638" s="35">
        <v>5</v>
      </c>
      <c r="N638" s="35">
        <v>1</v>
      </c>
      <c r="O638" s="35">
        <f t="shared" si="18"/>
        <v>3</v>
      </c>
      <c r="P638" s="35">
        <v>14</v>
      </c>
      <c r="Q638" s="35">
        <v>10</v>
      </c>
      <c r="R638" s="35">
        <f t="shared" si="19"/>
        <v>12</v>
      </c>
      <c r="S638" s="35"/>
      <c r="T638" s="35"/>
      <c r="U638" s="35"/>
      <c r="V638" s="35" t="e">
        <f>AVERAGE(Tableau2[[#This Row],[1ère composition/10]:[3è composition]])</f>
        <v>#DIV/0!</v>
      </c>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f>COUNTIF(Tableau2[[#This Row],[Séance 1]:[Séance 38]],"A")</f>
        <v>0</v>
      </c>
      <c r="BJ638" s="35"/>
    </row>
    <row r="639" spans="1:62" s="42" customFormat="1" hidden="1" x14ac:dyDescent="0.2">
      <c r="A639" s="1" t="s">
        <v>1077</v>
      </c>
      <c r="B639" s="44" t="s">
        <v>2647</v>
      </c>
      <c r="C639" s="44" t="s">
        <v>3850</v>
      </c>
      <c r="D639" s="44" t="s">
        <v>2648</v>
      </c>
      <c r="E639" s="44" t="s">
        <v>812</v>
      </c>
      <c r="F639" s="48">
        <v>2021</v>
      </c>
      <c r="G639" s="44">
        <v>47</v>
      </c>
      <c r="H639" s="44">
        <v>13</v>
      </c>
      <c r="I639" s="44" t="str">
        <f>Tableau2[[#This Row],[Annee d''inscription au programme]]&amp;"-"&amp;Tableau2[[#This Row],[Code d''ecole]]&amp;"-"&amp;Tableau2[[#This Row],[Numero HM de la fille]]</f>
        <v>2021-47-13</v>
      </c>
      <c r="J639" s="45" t="s">
        <v>1886</v>
      </c>
      <c r="K639" s="63" t="s">
        <v>593</v>
      </c>
      <c r="L639" s="35" t="s">
        <v>698</v>
      </c>
      <c r="M639" s="35">
        <v>0</v>
      </c>
      <c r="N639" s="35">
        <v>0</v>
      </c>
      <c r="O639" s="35">
        <f t="shared" si="18"/>
        <v>0</v>
      </c>
      <c r="P639" s="35">
        <v>8</v>
      </c>
      <c r="Q639" s="35">
        <v>5</v>
      </c>
      <c r="R639" s="35">
        <f t="shared" si="19"/>
        <v>6.5</v>
      </c>
      <c r="S639" s="35"/>
      <c r="T639" s="35"/>
      <c r="U639" s="35"/>
      <c r="V639" s="35" t="e">
        <f>AVERAGE(Tableau2[[#This Row],[1ère composition/10]:[3è composition]])</f>
        <v>#DIV/0!</v>
      </c>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f>COUNTIF(Tableau2[[#This Row],[Séance 1]:[Séance 38]],"A")</f>
        <v>0</v>
      </c>
      <c r="BJ639" s="35"/>
    </row>
    <row r="640" spans="1:62" s="42" customFormat="1" hidden="1" x14ac:dyDescent="0.2">
      <c r="A640" s="1" t="s">
        <v>1077</v>
      </c>
      <c r="B640" s="44" t="s">
        <v>2649</v>
      </c>
      <c r="C640" s="44" t="s">
        <v>3850</v>
      </c>
      <c r="D640" s="44" t="s">
        <v>1094</v>
      </c>
      <c r="E640" s="44" t="s">
        <v>812</v>
      </c>
      <c r="F640" s="48">
        <v>2021</v>
      </c>
      <c r="G640" s="44">
        <v>47</v>
      </c>
      <c r="H640" s="44">
        <v>14</v>
      </c>
      <c r="I640" s="44" t="str">
        <f>Tableau2[[#This Row],[Annee d''inscription au programme]]&amp;"-"&amp;Tableau2[[#This Row],[Code d''ecole]]&amp;"-"&amp;Tableau2[[#This Row],[Numero HM de la fille]]</f>
        <v>2021-47-14</v>
      </c>
      <c r="J640" s="45" t="s">
        <v>1887</v>
      </c>
      <c r="K640" s="63" t="s">
        <v>593</v>
      </c>
      <c r="L640" s="35" t="s">
        <v>698</v>
      </c>
      <c r="M640" s="35">
        <v>3</v>
      </c>
      <c r="N640" s="35">
        <v>1</v>
      </c>
      <c r="O640" s="35">
        <f t="shared" si="18"/>
        <v>2</v>
      </c>
      <c r="P640" s="35">
        <v>13.5</v>
      </c>
      <c r="Q640" s="35">
        <v>8</v>
      </c>
      <c r="R640" s="35">
        <f t="shared" si="19"/>
        <v>10.75</v>
      </c>
      <c r="S640" s="35"/>
      <c r="T640" s="35"/>
      <c r="U640" s="35"/>
      <c r="V640" s="35" t="e">
        <f>AVERAGE(Tableau2[[#This Row],[1ère composition/10]:[3è composition]])</f>
        <v>#DIV/0!</v>
      </c>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f>COUNTIF(Tableau2[[#This Row],[Séance 1]:[Séance 38]],"A")</f>
        <v>0</v>
      </c>
      <c r="BJ640" s="35"/>
    </row>
    <row r="641" spans="1:62" s="42" customFormat="1" hidden="1" x14ac:dyDescent="0.2">
      <c r="A641" s="1" t="s">
        <v>1077</v>
      </c>
      <c r="B641" s="44" t="s">
        <v>2650</v>
      </c>
      <c r="C641" s="44" t="s">
        <v>3850</v>
      </c>
      <c r="D641" s="44" t="s">
        <v>2651</v>
      </c>
      <c r="E641" s="44" t="s">
        <v>812</v>
      </c>
      <c r="F641" s="48">
        <v>2021</v>
      </c>
      <c r="G641" s="44">
        <v>47</v>
      </c>
      <c r="H641" s="44">
        <v>15</v>
      </c>
      <c r="I641" s="44" t="str">
        <f>Tableau2[[#This Row],[Annee d''inscription au programme]]&amp;"-"&amp;Tableau2[[#This Row],[Code d''ecole]]&amp;"-"&amp;Tableau2[[#This Row],[Numero HM de la fille]]</f>
        <v>2021-47-15</v>
      </c>
      <c r="J641" s="45" t="s">
        <v>1888</v>
      </c>
      <c r="K641" s="63" t="s">
        <v>593</v>
      </c>
      <c r="L641" s="35" t="s">
        <v>698</v>
      </c>
      <c r="M641" s="35">
        <v>0</v>
      </c>
      <c r="N641" s="35">
        <v>0</v>
      </c>
      <c r="O641" s="35">
        <f t="shared" si="18"/>
        <v>0</v>
      </c>
      <c r="P641" s="35">
        <v>17.5</v>
      </c>
      <c r="Q641" s="35">
        <v>13</v>
      </c>
      <c r="R641" s="35">
        <f t="shared" si="19"/>
        <v>15.25</v>
      </c>
      <c r="S641" s="35"/>
      <c r="T641" s="35"/>
      <c r="U641" s="35"/>
      <c r="V641" s="35" t="e">
        <f>AVERAGE(Tableau2[[#This Row],[1ère composition/10]:[3è composition]])</f>
        <v>#DIV/0!</v>
      </c>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f>COUNTIF(Tableau2[[#This Row],[Séance 1]:[Séance 38]],"A")</f>
        <v>0</v>
      </c>
      <c r="BJ641" s="35"/>
    </row>
    <row r="642" spans="1:62" s="42" customFormat="1" hidden="1" x14ac:dyDescent="0.2">
      <c r="A642" s="1" t="s">
        <v>1077</v>
      </c>
      <c r="B642" s="44" t="s">
        <v>2652</v>
      </c>
      <c r="C642" s="44" t="s">
        <v>3850</v>
      </c>
      <c r="D642" s="44" t="s">
        <v>2653</v>
      </c>
      <c r="E642" s="44" t="s">
        <v>812</v>
      </c>
      <c r="F642" s="48">
        <v>2021</v>
      </c>
      <c r="G642" s="44">
        <v>47</v>
      </c>
      <c r="H642" s="44">
        <v>16</v>
      </c>
      <c r="I642" s="44" t="str">
        <f>Tableau2[[#This Row],[Annee d''inscription au programme]]&amp;"-"&amp;Tableau2[[#This Row],[Code d''ecole]]&amp;"-"&amp;Tableau2[[#This Row],[Numero HM de la fille]]</f>
        <v>2021-47-16</v>
      </c>
      <c r="J642" s="45" t="s">
        <v>1889</v>
      </c>
      <c r="K642" s="63" t="s">
        <v>593</v>
      </c>
      <c r="L642" s="35" t="s">
        <v>698</v>
      </c>
      <c r="M642" s="35">
        <v>1.5</v>
      </c>
      <c r="N642" s="35">
        <v>0</v>
      </c>
      <c r="O642" s="35">
        <f t="shared" si="18"/>
        <v>0.75</v>
      </c>
      <c r="P642" s="35">
        <v>7</v>
      </c>
      <c r="Q642" s="35">
        <v>5</v>
      </c>
      <c r="R642" s="35">
        <f t="shared" si="19"/>
        <v>6</v>
      </c>
      <c r="S642" s="35"/>
      <c r="T642" s="35"/>
      <c r="U642" s="35"/>
      <c r="V642" s="35" t="e">
        <f>AVERAGE(Tableau2[[#This Row],[1ère composition/10]:[3è composition]])</f>
        <v>#DIV/0!</v>
      </c>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f>COUNTIF(Tableau2[[#This Row],[Séance 1]:[Séance 38]],"A")</f>
        <v>0</v>
      </c>
      <c r="BJ642" s="35"/>
    </row>
    <row r="643" spans="1:62" s="42" customFormat="1" hidden="1" x14ac:dyDescent="0.2">
      <c r="A643" s="1" t="s">
        <v>1077</v>
      </c>
      <c r="B643" s="44" t="s">
        <v>2654</v>
      </c>
      <c r="C643" s="44" t="s">
        <v>3850</v>
      </c>
      <c r="D643" s="44" t="s">
        <v>2655</v>
      </c>
      <c r="E643" s="44" t="s">
        <v>812</v>
      </c>
      <c r="F643" s="48">
        <v>2021</v>
      </c>
      <c r="G643" s="44">
        <v>47</v>
      </c>
      <c r="H643" s="44">
        <v>17</v>
      </c>
      <c r="I643" s="44" t="str">
        <f>Tableau2[[#This Row],[Annee d''inscription au programme]]&amp;"-"&amp;Tableau2[[#This Row],[Code d''ecole]]&amp;"-"&amp;Tableau2[[#This Row],[Numero HM de la fille]]</f>
        <v>2021-47-17</v>
      </c>
      <c r="J643" s="45" t="s">
        <v>1890</v>
      </c>
      <c r="K643" s="63" t="s">
        <v>593</v>
      </c>
      <c r="L643" s="35" t="s">
        <v>698</v>
      </c>
      <c r="M643" s="35">
        <v>0</v>
      </c>
      <c r="N643" s="35">
        <v>0</v>
      </c>
      <c r="O643" s="35">
        <f t="shared" si="18"/>
        <v>0</v>
      </c>
      <c r="P643" s="35">
        <v>14.5</v>
      </c>
      <c r="Q643" s="35">
        <v>10</v>
      </c>
      <c r="R643" s="35">
        <f t="shared" si="19"/>
        <v>12.25</v>
      </c>
      <c r="S643" s="35"/>
      <c r="T643" s="35"/>
      <c r="U643" s="35"/>
      <c r="V643" s="35" t="e">
        <f>AVERAGE(Tableau2[[#This Row],[1ère composition/10]:[3è composition]])</f>
        <v>#DIV/0!</v>
      </c>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f>COUNTIF(Tableau2[[#This Row],[Séance 1]:[Séance 38]],"A")</f>
        <v>0</v>
      </c>
      <c r="BJ643" s="35"/>
    </row>
    <row r="644" spans="1:62" s="42" customFormat="1" hidden="1" x14ac:dyDescent="0.2">
      <c r="A644" s="1" t="s">
        <v>1077</v>
      </c>
      <c r="B644" s="44" t="s">
        <v>2656</v>
      </c>
      <c r="C644" s="44" t="s">
        <v>3850</v>
      </c>
      <c r="D644" s="44" t="s">
        <v>2657</v>
      </c>
      <c r="E644" s="44" t="s">
        <v>812</v>
      </c>
      <c r="F644" s="48">
        <v>2021</v>
      </c>
      <c r="G644" s="44">
        <v>47</v>
      </c>
      <c r="H644" s="44">
        <v>18</v>
      </c>
      <c r="I644" s="44" t="str">
        <f>Tableau2[[#This Row],[Annee d''inscription au programme]]&amp;"-"&amp;Tableau2[[#This Row],[Code d''ecole]]&amp;"-"&amp;Tableau2[[#This Row],[Numero HM de la fille]]</f>
        <v>2021-47-18</v>
      </c>
      <c r="J644" s="45" t="s">
        <v>1891</v>
      </c>
      <c r="K644" s="63" t="s">
        <v>593</v>
      </c>
      <c r="L644" s="35" t="s">
        <v>698</v>
      </c>
      <c r="M644" s="35">
        <v>0</v>
      </c>
      <c r="N644" s="35">
        <v>0</v>
      </c>
      <c r="O644" s="35">
        <f t="shared" si="18"/>
        <v>0</v>
      </c>
      <c r="P644" s="35">
        <v>10</v>
      </c>
      <c r="Q644" s="35">
        <v>4</v>
      </c>
      <c r="R644" s="35">
        <f t="shared" si="19"/>
        <v>7</v>
      </c>
      <c r="S644" s="35"/>
      <c r="T644" s="35"/>
      <c r="U644" s="35"/>
      <c r="V644" s="35" t="e">
        <f>AVERAGE(Tableau2[[#This Row],[1ère composition/10]:[3è composition]])</f>
        <v>#DIV/0!</v>
      </c>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f>COUNTIF(Tableau2[[#This Row],[Séance 1]:[Séance 38]],"A")</f>
        <v>0</v>
      </c>
      <c r="BJ644" s="35"/>
    </row>
    <row r="645" spans="1:62" s="42" customFormat="1" hidden="1" x14ac:dyDescent="0.2">
      <c r="A645" s="1" t="s">
        <v>1077</v>
      </c>
      <c r="B645" s="44" t="s">
        <v>2658</v>
      </c>
      <c r="C645" s="44" t="s">
        <v>3851</v>
      </c>
      <c r="D645" s="44" t="s">
        <v>2659</v>
      </c>
      <c r="E645" s="44" t="s">
        <v>812</v>
      </c>
      <c r="F645" s="48">
        <v>2021</v>
      </c>
      <c r="G645" s="44">
        <v>47</v>
      </c>
      <c r="H645" s="44">
        <v>19</v>
      </c>
      <c r="I645" s="44" t="str">
        <f>Tableau2[[#This Row],[Annee d''inscription au programme]]&amp;"-"&amp;Tableau2[[#This Row],[Code d''ecole]]&amp;"-"&amp;Tableau2[[#This Row],[Numero HM de la fille]]</f>
        <v>2021-47-19</v>
      </c>
      <c r="J645" s="45" t="s">
        <v>1892</v>
      </c>
      <c r="K645" s="63" t="s">
        <v>593</v>
      </c>
      <c r="L645" s="35" t="s">
        <v>698</v>
      </c>
      <c r="M645" s="35">
        <v>4.5</v>
      </c>
      <c r="N645" s="35">
        <v>0</v>
      </c>
      <c r="O645" s="35">
        <f t="shared" ref="O645:O708" si="20">AVERAGE(M645+N645)/2</f>
        <v>2.25</v>
      </c>
      <c r="P645" s="35"/>
      <c r="Q645" s="35"/>
      <c r="R645" s="35">
        <f t="shared" ref="R645:R708" si="21">AVERAGE(P645+Q645)/2</f>
        <v>0</v>
      </c>
      <c r="S645" s="35"/>
      <c r="T645" s="35"/>
      <c r="U645" s="35"/>
      <c r="V645" s="35" t="e">
        <f>AVERAGE(Tableau2[[#This Row],[1ère composition/10]:[3è composition]])</f>
        <v>#DIV/0!</v>
      </c>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f>COUNTIF(Tableau2[[#This Row],[Séance 1]:[Séance 38]],"A")</f>
        <v>0</v>
      </c>
      <c r="BJ645" s="35"/>
    </row>
    <row r="646" spans="1:62" s="42" customFormat="1" hidden="1" x14ac:dyDescent="0.2">
      <c r="A646" s="1" t="s">
        <v>1101</v>
      </c>
      <c r="B646" s="48" t="s">
        <v>1102</v>
      </c>
      <c r="C646" s="44" t="s">
        <v>3852</v>
      </c>
      <c r="D646" s="48" t="s">
        <v>1103</v>
      </c>
      <c r="E646" s="44" t="s">
        <v>812</v>
      </c>
      <c r="F646" s="48">
        <v>2021</v>
      </c>
      <c r="G646" s="44">
        <v>48</v>
      </c>
      <c r="H646" s="48">
        <v>1</v>
      </c>
      <c r="I646" s="44" t="str">
        <f>Tableau2[[#This Row],[Annee d''inscription au programme]]&amp;"-"&amp;Tableau2[[#This Row],[Code d''ecole]]&amp;"-"&amp;Tableau2[[#This Row],[Numero HM de la fille]]</f>
        <v>2021-48-1</v>
      </c>
      <c r="J646" s="45" t="s">
        <v>1893</v>
      </c>
      <c r="K646" s="63" t="s">
        <v>593</v>
      </c>
      <c r="L646" s="35" t="s">
        <v>698</v>
      </c>
      <c r="M646" s="35">
        <v>10</v>
      </c>
      <c r="N646" s="35">
        <v>5.5</v>
      </c>
      <c r="O646" s="35">
        <f t="shared" si="20"/>
        <v>7.75</v>
      </c>
      <c r="P646" s="35">
        <v>11.5</v>
      </c>
      <c r="Q646" s="35">
        <v>16.25</v>
      </c>
      <c r="R646" s="35">
        <f t="shared" si="21"/>
        <v>13.875</v>
      </c>
      <c r="S646" s="35"/>
      <c r="T646" s="35"/>
      <c r="U646" s="35"/>
      <c r="V646" s="35" t="e">
        <f>AVERAGE(Tableau2[[#This Row],[1ère composition/10]:[3è composition]])</f>
        <v>#DIV/0!</v>
      </c>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f>COUNTIF(Tableau2[[#This Row],[Séance 1]:[Séance 38]],"A")</f>
        <v>0</v>
      </c>
      <c r="BJ646" s="35"/>
    </row>
    <row r="647" spans="1:62" s="42" customFormat="1" hidden="1" x14ac:dyDescent="0.2">
      <c r="A647" s="1" t="s">
        <v>1101</v>
      </c>
      <c r="B647" s="48" t="s">
        <v>1104</v>
      </c>
      <c r="C647" s="44" t="s">
        <v>3852</v>
      </c>
      <c r="D647" s="48" t="s">
        <v>1105</v>
      </c>
      <c r="E647" s="44" t="s">
        <v>812</v>
      </c>
      <c r="F647" s="48">
        <v>2021</v>
      </c>
      <c r="G647" s="44">
        <v>48</v>
      </c>
      <c r="H647" s="48">
        <v>2</v>
      </c>
      <c r="I647" s="44" t="str">
        <f>Tableau2[[#This Row],[Annee d''inscription au programme]]&amp;"-"&amp;Tableau2[[#This Row],[Code d''ecole]]&amp;"-"&amp;Tableau2[[#This Row],[Numero HM de la fille]]</f>
        <v>2021-48-2</v>
      </c>
      <c r="J647" s="45" t="s">
        <v>1894</v>
      </c>
      <c r="K647" s="63" t="s">
        <v>593</v>
      </c>
      <c r="L647" s="35" t="s">
        <v>698</v>
      </c>
      <c r="M647" s="35">
        <v>8</v>
      </c>
      <c r="N647" s="35">
        <v>6</v>
      </c>
      <c r="O647" s="35">
        <f t="shared" si="20"/>
        <v>7</v>
      </c>
      <c r="P647" s="35">
        <v>12</v>
      </c>
      <c r="Q647" s="35">
        <v>20</v>
      </c>
      <c r="R647" s="35">
        <f t="shared" si="21"/>
        <v>16</v>
      </c>
      <c r="S647" s="35"/>
      <c r="T647" s="35"/>
      <c r="U647" s="35"/>
      <c r="V647" s="35" t="e">
        <f>AVERAGE(Tableau2[[#This Row],[1ère composition/10]:[3è composition]])</f>
        <v>#DIV/0!</v>
      </c>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f>COUNTIF(Tableau2[[#This Row],[Séance 1]:[Séance 38]],"A")</f>
        <v>0</v>
      </c>
      <c r="BJ647" s="35"/>
    </row>
    <row r="648" spans="1:62" s="42" customFormat="1" hidden="1" x14ac:dyDescent="0.2">
      <c r="A648" s="1" t="s">
        <v>1101</v>
      </c>
      <c r="B648" s="48" t="s">
        <v>1106</v>
      </c>
      <c r="C648" s="44" t="s">
        <v>3852</v>
      </c>
      <c r="D648" s="48" t="s">
        <v>1107</v>
      </c>
      <c r="E648" s="44" t="s">
        <v>812</v>
      </c>
      <c r="F648" s="48">
        <v>2021</v>
      </c>
      <c r="G648" s="44">
        <v>48</v>
      </c>
      <c r="H648" s="48">
        <v>3</v>
      </c>
      <c r="I648" s="44" t="str">
        <f>Tableau2[[#This Row],[Annee d''inscription au programme]]&amp;"-"&amp;Tableau2[[#This Row],[Code d''ecole]]&amp;"-"&amp;Tableau2[[#This Row],[Numero HM de la fille]]</f>
        <v>2021-48-3</v>
      </c>
      <c r="J648" s="45" t="s">
        <v>1895</v>
      </c>
      <c r="K648" s="63" t="s">
        <v>593</v>
      </c>
      <c r="L648" s="35" t="s">
        <v>698</v>
      </c>
      <c r="M648" s="35">
        <v>4</v>
      </c>
      <c r="N648" s="35">
        <v>4</v>
      </c>
      <c r="O648" s="35">
        <f t="shared" si="20"/>
        <v>4</v>
      </c>
      <c r="P648" s="35">
        <v>7</v>
      </c>
      <c r="Q648" s="35">
        <v>2</v>
      </c>
      <c r="R648" s="35">
        <f t="shared" si="21"/>
        <v>4.5</v>
      </c>
      <c r="S648" s="35"/>
      <c r="T648" s="35"/>
      <c r="U648" s="35"/>
      <c r="V648" s="35" t="e">
        <f>AVERAGE(Tableau2[[#This Row],[1ère composition/10]:[3è composition]])</f>
        <v>#DIV/0!</v>
      </c>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f>COUNTIF(Tableau2[[#This Row],[Séance 1]:[Séance 38]],"A")</f>
        <v>0</v>
      </c>
      <c r="BJ648" s="35"/>
    </row>
    <row r="649" spans="1:62" s="42" customFormat="1" hidden="1" x14ac:dyDescent="0.2">
      <c r="A649" s="1" t="s">
        <v>1101</v>
      </c>
      <c r="B649" s="48" t="s">
        <v>1108</v>
      </c>
      <c r="C649" s="44" t="s">
        <v>3852</v>
      </c>
      <c r="D649" s="48" t="s">
        <v>1109</v>
      </c>
      <c r="E649" s="44" t="s">
        <v>812</v>
      </c>
      <c r="F649" s="48">
        <v>2021</v>
      </c>
      <c r="G649" s="44">
        <v>48</v>
      </c>
      <c r="H649" s="48">
        <v>4</v>
      </c>
      <c r="I649" s="44" t="str">
        <f>Tableau2[[#This Row],[Annee d''inscription au programme]]&amp;"-"&amp;Tableau2[[#This Row],[Code d''ecole]]&amp;"-"&amp;Tableau2[[#This Row],[Numero HM de la fille]]</f>
        <v>2021-48-4</v>
      </c>
      <c r="J649" s="45" t="s">
        <v>1896</v>
      </c>
      <c r="K649" s="63" t="s">
        <v>593</v>
      </c>
      <c r="L649" s="35" t="s">
        <v>698</v>
      </c>
      <c r="M649" s="35">
        <v>8</v>
      </c>
      <c r="N649" s="35">
        <v>7</v>
      </c>
      <c r="O649" s="35">
        <f t="shared" si="20"/>
        <v>7.5</v>
      </c>
      <c r="P649" s="35">
        <v>13</v>
      </c>
      <c r="Q649" s="35">
        <v>19</v>
      </c>
      <c r="R649" s="35">
        <f t="shared" si="21"/>
        <v>16</v>
      </c>
      <c r="S649" s="35"/>
      <c r="T649" s="35"/>
      <c r="U649" s="35"/>
      <c r="V649" s="35" t="e">
        <f>AVERAGE(Tableau2[[#This Row],[1ère composition/10]:[3è composition]])</f>
        <v>#DIV/0!</v>
      </c>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f>COUNTIF(Tableau2[[#This Row],[Séance 1]:[Séance 38]],"A")</f>
        <v>0</v>
      </c>
      <c r="BJ649" s="35"/>
    </row>
    <row r="650" spans="1:62" s="42" customFormat="1" hidden="1" x14ac:dyDescent="0.2">
      <c r="A650" s="1" t="s">
        <v>1101</v>
      </c>
      <c r="B650" s="48" t="s">
        <v>1110</v>
      </c>
      <c r="C650" s="44" t="s">
        <v>3852</v>
      </c>
      <c r="D650" s="48" t="s">
        <v>1111</v>
      </c>
      <c r="E650" s="44" t="s">
        <v>812</v>
      </c>
      <c r="F650" s="48">
        <v>2021</v>
      </c>
      <c r="G650" s="44">
        <v>48</v>
      </c>
      <c r="H650" s="48">
        <v>5</v>
      </c>
      <c r="I650" s="44" t="str">
        <f>Tableau2[[#This Row],[Annee d''inscription au programme]]&amp;"-"&amp;Tableau2[[#This Row],[Code d''ecole]]&amp;"-"&amp;Tableau2[[#This Row],[Numero HM de la fille]]</f>
        <v>2021-48-5</v>
      </c>
      <c r="J650" s="45" t="s">
        <v>1897</v>
      </c>
      <c r="K650" s="63" t="s">
        <v>593</v>
      </c>
      <c r="L650" s="35" t="s">
        <v>698</v>
      </c>
      <c r="M650" s="35">
        <v>0.5</v>
      </c>
      <c r="N650" s="35">
        <v>0.5</v>
      </c>
      <c r="O650" s="35">
        <f t="shared" si="20"/>
        <v>0.5</v>
      </c>
      <c r="P650" s="35">
        <v>2.5</v>
      </c>
      <c r="Q650" s="35">
        <v>2</v>
      </c>
      <c r="R650" s="35">
        <f t="shared" si="21"/>
        <v>2.25</v>
      </c>
      <c r="S650" s="35"/>
      <c r="T650" s="35"/>
      <c r="U650" s="35"/>
      <c r="V650" s="35" t="e">
        <f>AVERAGE(Tableau2[[#This Row],[1ère composition/10]:[3è composition]])</f>
        <v>#DIV/0!</v>
      </c>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f>COUNTIF(Tableau2[[#This Row],[Séance 1]:[Séance 38]],"A")</f>
        <v>0</v>
      </c>
      <c r="BJ650" s="35"/>
    </row>
    <row r="651" spans="1:62" s="42" customFormat="1" hidden="1" x14ac:dyDescent="0.2">
      <c r="A651" s="1" t="s">
        <v>1101</v>
      </c>
      <c r="B651" s="48" t="s">
        <v>1112</v>
      </c>
      <c r="C651" s="44" t="s">
        <v>3852</v>
      </c>
      <c r="D651" s="48" t="s">
        <v>1111</v>
      </c>
      <c r="E651" s="44" t="s">
        <v>812</v>
      </c>
      <c r="F651" s="48">
        <v>2021</v>
      </c>
      <c r="G651" s="44">
        <v>48</v>
      </c>
      <c r="H651" s="48">
        <v>6</v>
      </c>
      <c r="I651" s="44" t="str">
        <f>Tableau2[[#This Row],[Annee d''inscription au programme]]&amp;"-"&amp;Tableau2[[#This Row],[Code d''ecole]]&amp;"-"&amp;Tableau2[[#This Row],[Numero HM de la fille]]</f>
        <v>2021-48-6</v>
      </c>
      <c r="J651" s="45" t="s">
        <v>1898</v>
      </c>
      <c r="K651" s="63" t="s">
        <v>593</v>
      </c>
      <c r="L651" s="35" t="s">
        <v>698</v>
      </c>
      <c r="M651" s="35">
        <v>6</v>
      </c>
      <c r="N651" s="35">
        <v>3</v>
      </c>
      <c r="O651" s="35">
        <f t="shared" si="20"/>
        <v>4.5</v>
      </c>
      <c r="P651" s="35">
        <v>7</v>
      </c>
      <c r="Q651" s="35">
        <v>13</v>
      </c>
      <c r="R651" s="35">
        <f t="shared" si="21"/>
        <v>10</v>
      </c>
      <c r="S651" s="35"/>
      <c r="T651" s="35"/>
      <c r="U651" s="35"/>
      <c r="V651" s="35" t="e">
        <f>AVERAGE(Tableau2[[#This Row],[1ère composition/10]:[3è composition]])</f>
        <v>#DIV/0!</v>
      </c>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f>COUNTIF(Tableau2[[#This Row],[Séance 1]:[Séance 38]],"A")</f>
        <v>0</v>
      </c>
      <c r="BJ651" s="35"/>
    </row>
    <row r="652" spans="1:62" s="42" customFormat="1" hidden="1" x14ac:dyDescent="0.2">
      <c r="A652" s="1" t="s">
        <v>1101</v>
      </c>
      <c r="B652" s="48" t="s">
        <v>1113</v>
      </c>
      <c r="C652" s="44" t="s">
        <v>3852</v>
      </c>
      <c r="D652" s="48" t="s">
        <v>1114</v>
      </c>
      <c r="E652" s="44" t="s">
        <v>812</v>
      </c>
      <c r="F652" s="48">
        <v>2021</v>
      </c>
      <c r="G652" s="44">
        <v>48</v>
      </c>
      <c r="H652" s="48">
        <v>7</v>
      </c>
      <c r="I652" s="44" t="str">
        <f>Tableau2[[#This Row],[Annee d''inscription au programme]]&amp;"-"&amp;Tableau2[[#This Row],[Code d''ecole]]&amp;"-"&amp;Tableau2[[#This Row],[Numero HM de la fille]]</f>
        <v>2021-48-7</v>
      </c>
      <c r="J652" s="45" t="s">
        <v>1899</v>
      </c>
      <c r="K652" s="63" t="s">
        <v>593</v>
      </c>
      <c r="L652" s="35" t="s">
        <v>698</v>
      </c>
      <c r="M652" s="35">
        <v>1.5</v>
      </c>
      <c r="N652" s="35">
        <v>3.5</v>
      </c>
      <c r="O652" s="35">
        <f t="shared" si="20"/>
        <v>2.5</v>
      </c>
      <c r="P652" s="35">
        <v>5</v>
      </c>
      <c r="Q652" s="35">
        <v>9.75</v>
      </c>
      <c r="R652" s="35">
        <f t="shared" si="21"/>
        <v>7.375</v>
      </c>
      <c r="S652" s="35"/>
      <c r="T652" s="35"/>
      <c r="U652" s="35"/>
      <c r="V652" s="35" t="e">
        <f>AVERAGE(Tableau2[[#This Row],[1ère composition/10]:[3è composition]])</f>
        <v>#DIV/0!</v>
      </c>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f>COUNTIF(Tableau2[[#This Row],[Séance 1]:[Séance 38]],"A")</f>
        <v>0</v>
      </c>
      <c r="BJ652" s="35"/>
    </row>
    <row r="653" spans="1:62" s="42" customFormat="1" hidden="1" x14ac:dyDescent="0.2">
      <c r="A653" s="1" t="s">
        <v>1101</v>
      </c>
      <c r="B653" s="48" t="s">
        <v>1115</v>
      </c>
      <c r="C653" s="44" t="s">
        <v>3852</v>
      </c>
      <c r="D653" s="48" t="s">
        <v>1116</v>
      </c>
      <c r="E653" s="44" t="s">
        <v>812</v>
      </c>
      <c r="F653" s="48">
        <v>2021</v>
      </c>
      <c r="G653" s="44">
        <v>48</v>
      </c>
      <c r="H653" s="48">
        <v>8</v>
      </c>
      <c r="I653" s="44" t="str">
        <f>Tableau2[[#This Row],[Annee d''inscription au programme]]&amp;"-"&amp;Tableau2[[#This Row],[Code d''ecole]]&amp;"-"&amp;Tableau2[[#This Row],[Numero HM de la fille]]</f>
        <v>2021-48-8</v>
      </c>
      <c r="J653" s="45" t="s">
        <v>1900</v>
      </c>
      <c r="K653" s="63" t="s">
        <v>593</v>
      </c>
      <c r="L653" s="35" t="s">
        <v>698</v>
      </c>
      <c r="M653" s="35">
        <v>4.5</v>
      </c>
      <c r="N653" s="35">
        <v>2.5</v>
      </c>
      <c r="O653" s="35">
        <f t="shared" si="20"/>
        <v>3.5</v>
      </c>
      <c r="P653" s="35">
        <v>14</v>
      </c>
      <c r="Q653" s="35">
        <v>14</v>
      </c>
      <c r="R653" s="35">
        <f t="shared" si="21"/>
        <v>14</v>
      </c>
      <c r="S653" s="35"/>
      <c r="T653" s="35"/>
      <c r="U653" s="35"/>
      <c r="V653" s="35" t="e">
        <f>AVERAGE(Tableau2[[#This Row],[1ère composition/10]:[3è composition]])</f>
        <v>#DIV/0!</v>
      </c>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f>COUNTIF(Tableau2[[#This Row],[Séance 1]:[Séance 38]],"A")</f>
        <v>0</v>
      </c>
      <c r="BJ653" s="35"/>
    </row>
    <row r="654" spans="1:62" s="42" customFormat="1" hidden="1" x14ac:dyDescent="0.2">
      <c r="A654" s="1" t="s">
        <v>1101</v>
      </c>
      <c r="B654" s="48" t="s">
        <v>1117</v>
      </c>
      <c r="C654" s="44" t="s">
        <v>3852</v>
      </c>
      <c r="D654" s="48" t="s">
        <v>1118</v>
      </c>
      <c r="E654" s="44" t="s">
        <v>812</v>
      </c>
      <c r="F654" s="48">
        <v>2021</v>
      </c>
      <c r="G654" s="44">
        <v>48</v>
      </c>
      <c r="H654" s="48">
        <v>9</v>
      </c>
      <c r="I654" s="44" t="str">
        <f>Tableau2[[#This Row],[Annee d''inscription au programme]]&amp;"-"&amp;Tableau2[[#This Row],[Code d''ecole]]&amp;"-"&amp;Tableau2[[#This Row],[Numero HM de la fille]]</f>
        <v>2021-48-9</v>
      </c>
      <c r="J654" s="45" t="s">
        <v>1901</v>
      </c>
      <c r="K654" s="63" t="s">
        <v>593</v>
      </c>
      <c r="L654" s="35" t="s">
        <v>698</v>
      </c>
      <c r="M654" s="35">
        <v>12.5</v>
      </c>
      <c r="N654" s="35">
        <v>7</v>
      </c>
      <c r="O654" s="35">
        <f t="shared" si="20"/>
        <v>9.75</v>
      </c>
      <c r="P654" s="35">
        <v>13.5</v>
      </c>
      <c r="Q654" s="35">
        <v>20</v>
      </c>
      <c r="R654" s="35">
        <f t="shared" si="21"/>
        <v>16.75</v>
      </c>
      <c r="S654" s="35"/>
      <c r="T654" s="35"/>
      <c r="U654" s="35"/>
      <c r="V654" s="35" t="e">
        <f>AVERAGE(Tableau2[[#This Row],[1ère composition/10]:[3è composition]])</f>
        <v>#DIV/0!</v>
      </c>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f>COUNTIF(Tableau2[[#This Row],[Séance 1]:[Séance 38]],"A")</f>
        <v>0</v>
      </c>
      <c r="BJ654" s="35"/>
    </row>
    <row r="655" spans="1:62" s="42" customFormat="1" hidden="1" x14ac:dyDescent="0.2">
      <c r="A655" s="1" t="s">
        <v>1101</v>
      </c>
      <c r="B655" s="48" t="s">
        <v>1119</v>
      </c>
      <c r="C655" s="44" t="s">
        <v>3852</v>
      </c>
      <c r="D655" s="48" t="s">
        <v>1120</v>
      </c>
      <c r="E655" s="44" t="s">
        <v>812</v>
      </c>
      <c r="F655" s="48">
        <v>2021</v>
      </c>
      <c r="G655" s="44">
        <v>48</v>
      </c>
      <c r="H655" s="48">
        <v>10</v>
      </c>
      <c r="I655" s="44" t="str">
        <f>Tableau2[[#This Row],[Annee d''inscription au programme]]&amp;"-"&amp;Tableau2[[#This Row],[Code d''ecole]]&amp;"-"&amp;Tableau2[[#This Row],[Numero HM de la fille]]</f>
        <v>2021-48-10</v>
      </c>
      <c r="J655" s="45" t="s">
        <v>1902</v>
      </c>
      <c r="K655" s="63" t="s">
        <v>593</v>
      </c>
      <c r="L655" s="35" t="s">
        <v>698</v>
      </c>
      <c r="M655" s="35">
        <v>4</v>
      </c>
      <c r="N655" s="35">
        <v>1</v>
      </c>
      <c r="O655" s="35">
        <f t="shared" si="20"/>
        <v>2.5</v>
      </c>
      <c r="P655" s="35">
        <v>4.5</v>
      </c>
      <c r="Q655" s="35">
        <v>4.5</v>
      </c>
      <c r="R655" s="35">
        <f t="shared" si="21"/>
        <v>4.5</v>
      </c>
      <c r="S655" s="35"/>
      <c r="T655" s="35"/>
      <c r="U655" s="35"/>
      <c r="V655" s="35" t="e">
        <f>AVERAGE(Tableau2[[#This Row],[1ère composition/10]:[3è composition]])</f>
        <v>#DIV/0!</v>
      </c>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f>COUNTIF(Tableau2[[#This Row],[Séance 1]:[Séance 38]],"A")</f>
        <v>0</v>
      </c>
      <c r="BJ655" s="35"/>
    </row>
    <row r="656" spans="1:62" s="42" customFormat="1" hidden="1" x14ac:dyDescent="0.2">
      <c r="A656" s="1" t="s">
        <v>1101</v>
      </c>
      <c r="B656" s="48" t="s">
        <v>1121</v>
      </c>
      <c r="C656" s="44" t="s">
        <v>3852</v>
      </c>
      <c r="D656" s="48" t="s">
        <v>1122</v>
      </c>
      <c r="E656" s="44" t="s">
        <v>812</v>
      </c>
      <c r="F656" s="48">
        <v>2021</v>
      </c>
      <c r="G656" s="44">
        <v>48</v>
      </c>
      <c r="H656" s="48">
        <v>11</v>
      </c>
      <c r="I656" s="44" t="str">
        <f>Tableau2[[#This Row],[Annee d''inscription au programme]]&amp;"-"&amp;Tableau2[[#This Row],[Code d''ecole]]&amp;"-"&amp;Tableau2[[#This Row],[Numero HM de la fille]]</f>
        <v>2021-48-11</v>
      </c>
      <c r="J656" s="45" t="s">
        <v>1903</v>
      </c>
      <c r="K656" s="63" t="s">
        <v>593</v>
      </c>
      <c r="L656" s="35" t="s">
        <v>698</v>
      </c>
      <c r="M656" s="35">
        <v>10</v>
      </c>
      <c r="N656" s="35">
        <v>6</v>
      </c>
      <c r="O656" s="35">
        <f t="shared" si="20"/>
        <v>8</v>
      </c>
      <c r="P656" s="35">
        <v>13</v>
      </c>
      <c r="Q656" s="35">
        <v>12</v>
      </c>
      <c r="R656" s="35">
        <f t="shared" si="21"/>
        <v>12.5</v>
      </c>
      <c r="S656" s="35"/>
      <c r="T656" s="35"/>
      <c r="U656" s="35"/>
      <c r="V656" s="35" t="e">
        <f>AVERAGE(Tableau2[[#This Row],[1ère composition/10]:[3è composition]])</f>
        <v>#DIV/0!</v>
      </c>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f>COUNTIF(Tableau2[[#This Row],[Séance 1]:[Séance 38]],"A")</f>
        <v>0</v>
      </c>
      <c r="BJ656" s="35"/>
    </row>
    <row r="657" spans="1:62" s="42" customFormat="1" hidden="1" x14ac:dyDescent="0.2">
      <c r="A657" s="1" t="s">
        <v>1101</v>
      </c>
      <c r="B657" s="48" t="s">
        <v>1123</v>
      </c>
      <c r="C657" s="44" t="s">
        <v>3852</v>
      </c>
      <c r="D657" s="48" t="s">
        <v>1124</v>
      </c>
      <c r="E657" s="44" t="s">
        <v>812</v>
      </c>
      <c r="F657" s="48">
        <v>2021</v>
      </c>
      <c r="G657" s="44">
        <v>48</v>
      </c>
      <c r="H657" s="48">
        <v>12</v>
      </c>
      <c r="I657" s="44" t="str">
        <f>Tableau2[[#This Row],[Annee d''inscription au programme]]&amp;"-"&amp;Tableau2[[#This Row],[Code d''ecole]]&amp;"-"&amp;Tableau2[[#This Row],[Numero HM de la fille]]</f>
        <v>2021-48-12</v>
      </c>
      <c r="J657" s="45" t="s">
        <v>1904</v>
      </c>
      <c r="K657" s="63" t="s">
        <v>593</v>
      </c>
      <c r="L657" s="35" t="s">
        <v>698</v>
      </c>
      <c r="M657" s="35">
        <v>2.5</v>
      </c>
      <c r="N657" s="35">
        <v>4</v>
      </c>
      <c r="O657" s="35">
        <f t="shared" si="20"/>
        <v>3.25</v>
      </c>
      <c r="P657" s="35">
        <v>4</v>
      </c>
      <c r="Q657" s="35">
        <v>7</v>
      </c>
      <c r="R657" s="35">
        <f t="shared" si="21"/>
        <v>5.5</v>
      </c>
      <c r="S657" s="35"/>
      <c r="T657" s="35"/>
      <c r="U657" s="35"/>
      <c r="V657" s="35" t="e">
        <f>AVERAGE(Tableau2[[#This Row],[1ère composition/10]:[3è composition]])</f>
        <v>#DIV/0!</v>
      </c>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f>COUNTIF(Tableau2[[#This Row],[Séance 1]:[Séance 38]],"A")</f>
        <v>0</v>
      </c>
      <c r="BJ657" s="35"/>
    </row>
    <row r="658" spans="1:62" s="42" customFormat="1" hidden="1" x14ac:dyDescent="0.2">
      <c r="A658" s="1" t="s">
        <v>1101</v>
      </c>
      <c r="B658" s="48" t="s">
        <v>1125</v>
      </c>
      <c r="C658" s="44" t="s">
        <v>3852</v>
      </c>
      <c r="D658" s="48" t="s">
        <v>1126</v>
      </c>
      <c r="E658" s="44" t="s">
        <v>812</v>
      </c>
      <c r="F658" s="48">
        <v>2021</v>
      </c>
      <c r="G658" s="44">
        <v>48</v>
      </c>
      <c r="H658" s="48">
        <v>13</v>
      </c>
      <c r="I658" s="44" t="str">
        <f>Tableau2[[#This Row],[Annee d''inscription au programme]]&amp;"-"&amp;Tableau2[[#This Row],[Code d''ecole]]&amp;"-"&amp;Tableau2[[#This Row],[Numero HM de la fille]]</f>
        <v>2021-48-13</v>
      </c>
      <c r="J658" s="45" t="s">
        <v>1905</v>
      </c>
      <c r="K658" s="63" t="s">
        <v>593</v>
      </c>
      <c r="L658" s="35" t="s">
        <v>698</v>
      </c>
      <c r="M658" s="35">
        <v>2</v>
      </c>
      <c r="N658" s="35">
        <v>5</v>
      </c>
      <c r="O658" s="35">
        <f t="shared" si="20"/>
        <v>3.5</v>
      </c>
      <c r="P658" s="35">
        <v>8</v>
      </c>
      <c r="Q658" s="35">
        <v>18.5</v>
      </c>
      <c r="R658" s="35">
        <f t="shared" si="21"/>
        <v>13.25</v>
      </c>
      <c r="S658" s="35"/>
      <c r="T658" s="35"/>
      <c r="U658" s="35"/>
      <c r="V658" s="35" t="e">
        <f>AVERAGE(Tableau2[[#This Row],[1ère composition/10]:[3è composition]])</f>
        <v>#DIV/0!</v>
      </c>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f>COUNTIF(Tableau2[[#This Row],[Séance 1]:[Séance 38]],"A")</f>
        <v>0</v>
      </c>
      <c r="BJ658" s="35"/>
    </row>
    <row r="659" spans="1:62" s="42" customFormat="1" hidden="1" x14ac:dyDescent="0.2">
      <c r="A659" s="1" t="s">
        <v>1101</v>
      </c>
      <c r="B659" s="48" t="s">
        <v>1127</v>
      </c>
      <c r="C659" s="44" t="s">
        <v>3852</v>
      </c>
      <c r="D659" s="48" t="s">
        <v>1128</v>
      </c>
      <c r="E659" s="44" t="s">
        <v>812</v>
      </c>
      <c r="F659" s="48">
        <v>2021</v>
      </c>
      <c r="G659" s="44">
        <v>48</v>
      </c>
      <c r="H659" s="48">
        <v>14</v>
      </c>
      <c r="I659" s="44" t="str">
        <f>Tableau2[[#This Row],[Annee d''inscription au programme]]&amp;"-"&amp;Tableau2[[#This Row],[Code d''ecole]]&amp;"-"&amp;Tableau2[[#This Row],[Numero HM de la fille]]</f>
        <v>2021-48-14</v>
      </c>
      <c r="J659" s="45" t="s">
        <v>1906</v>
      </c>
      <c r="K659" s="63" t="s">
        <v>593</v>
      </c>
      <c r="L659" s="35" t="s">
        <v>698</v>
      </c>
      <c r="M659" s="35">
        <v>10.5</v>
      </c>
      <c r="N659" s="35">
        <v>3</v>
      </c>
      <c r="O659" s="35">
        <f t="shared" si="20"/>
        <v>6.75</v>
      </c>
      <c r="P659" s="35">
        <v>5.5</v>
      </c>
      <c r="Q659" s="35">
        <v>0.5</v>
      </c>
      <c r="R659" s="35">
        <f t="shared" si="21"/>
        <v>3</v>
      </c>
      <c r="S659" s="35"/>
      <c r="T659" s="35"/>
      <c r="U659" s="35"/>
      <c r="V659" s="35" t="e">
        <f>AVERAGE(Tableau2[[#This Row],[1ère composition/10]:[3è composition]])</f>
        <v>#DIV/0!</v>
      </c>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f>COUNTIF(Tableau2[[#This Row],[Séance 1]:[Séance 38]],"A")</f>
        <v>0</v>
      </c>
      <c r="BJ659" s="35"/>
    </row>
    <row r="660" spans="1:62" s="42" customFormat="1" hidden="1" x14ac:dyDescent="0.2">
      <c r="A660" s="1" t="s">
        <v>1101</v>
      </c>
      <c r="B660" s="48" t="s">
        <v>1129</v>
      </c>
      <c r="C660" s="44" t="s">
        <v>3853</v>
      </c>
      <c r="D660" s="48" t="s">
        <v>1130</v>
      </c>
      <c r="E660" s="44" t="s">
        <v>812</v>
      </c>
      <c r="F660" s="48">
        <v>2021</v>
      </c>
      <c r="G660" s="44">
        <v>48</v>
      </c>
      <c r="H660" s="48">
        <v>15</v>
      </c>
      <c r="I660" s="44" t="str">
        <f>Tableau2[[#This Row],[Annee d''inscription au programme]]&amp;"-"&amp;Tableau2[[#This Row],[Code d''ecole]]&amp;"-"&amp;Tableau2[[#This Row],[Numero HM de la fille]]</f>
        <v>2021-48-15</v>
      </c>
      <c r="J660" s="45" t="s">
        <v>1907</v>
      </c>
      <c r="K660" s="63" t="s">
        <v>593</v>
      </c>
      <c r="L660" s="35" t="s">
        <v>698</v>
      </c>
      <c r="M660" s="35">
        <v>8.5</v>
      </c>
      <c r="N660" s="35">
        <v>4</v>
      </c>
      <c r="O660" s="35">
        <f t="shared" si="20"/>
        <v>6.25</v>
      </c>
      <c r="P660" s="35">
        <v>13</v>
      </c>
      <c r="Q660" s="35">
        <v>16.5</v>
      </c>
      <c r="R660" s="35">
        <f t="shared" si="21"/>
        <v>14.75</v>
      </c>
      <c r="S660" s="35"/>
      <c r="T660" s="35"/>
      <c r="U660" s="35"/>
      <c r="V660" s="35" t="e">
        <f>AVERAGE(Tableau2[[#This Row],[1ère composition/10]:[3è composition]])</f>
        <v>#DIV/0!</v>
      </c>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f>COUNTIF(Tableau2[[#This Row],[Séance 1]:[Séance 38]],"A")</f>
        <v>0</v>
      </c>
      <c r="BJ660" s="35"/>
    </row>
    <row r="661" spans="1:62" s="42" customFormat="1" hidden="1" x14ac:dyDescent="0.2">
      <c r="A661" s="1" t="s">
        <v>1101</v>
      </c>
      <c r="B661" s="48" t="s">
        <v>1131</v>
      </c>
      <c r="C661" s="44" t="s">
        <v>3852</v>
      </c>
      <c r="D661" s="48" t="s">
        <v>1132</v>
      </c>
      <c r="E661" s="44" t="s">
        <v>812</v>
      </c>
      <c r="F661" s="48">
        <v>2021</v>
      </c>
      <c r="G661" s="44">
        <v>48</v>
      </c>
      <c r="H661" s="48">
        <v>16</v>
      </c>
      <c r="I661" s="44" t="str">
        <f>Tableau2[[#This Row],[Annee d''inscription au programme]]&amp;"-"&amp;Tableau2[[#This Row],[Code d''ecole]]&amp;"-"&amp;Tableau2[[#This Row],[Numero HM de la fille]]</f>
        <v>2021-48-16</v>
      </c>
      <c r="J661" s="45" t="s">
        <v>1908</v>
      </c>
      <c r="K661" s="63" t="s">
        <v>593</v>
      </c>
      <c r="L661" s="35" t="s">
        <v>698</v>
      </c>
      <c r="M661" s="35">
        <v>9.5</v>
      </c>
      <c r="N661" s="35">
        <v>12</v>
      </c>
      <c r="O661" s="35">
        <f t="shared" si="20"/>
        <v>10.75</v>
      </c>
      <c r="P661" s="35">
        <v>14.5</v>
      </c>
      <c r="Q661" s="35">
        <v>20</v>
      </c>
      <c r="R661" s="35">
        <f t="shared" si="21"/>
        <v>17.25</v>
      </c>
      <c r="S661" s="35"/>
      <c r="T661" s="35"/>
      <c r="U661" s="35"/>
      <c r="V661" s="35" t="e">
        <f>AVERAGE(Tableau2[[#This Row],[1ère composition/10]:[3è composition]])</f>
        <v>#DIV/0!</v>
      </c>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f>COUNTIF(Tableau2[[#This Row],[Séance 1]:[Séance 38]],"A")</f>
        <v>0</v>
      </c>
      <c r="BJ661" s="35"/>
    </row>
    <row r="662" spans="1:62" s="42" customFormat="1" hidden="1" x14ac:dyDescent="0.2">
      <c r="A662" s="1" t="s">
        <v>1101</v>
      </c>
      <c r="B662" s="48" t="s">
        <v>1133</v>
      </c>
      <c r="C662" s="44" t="s">
        <v>3853</v>
      </c>
      <c r="D662" s="48" t="s">
        <v>1134</v>
      </c>
      <c r="E662" s="44" t="s">
        <v>812</v>
      </c>
      <c r="F662" s="48">
        <v>2021</v>
      </c>
      <c r="G662" s="44">
        <v>48</v>
      </c>
      <c r="H662" s="48">
        <v>17</v>
      </c>
      <c r="I662" s="44" t="str">
        <f>Tableau2[[#This Row],[Annee d''inscription au programme]]&amp;"-"&amp;Tableau2[[#This Row],[Code d''ecole]]&amp;"-"&amp;Tableau2[[#This Row],[Numero HM de la fille]]</f>
        <v>2021-48-17</v>
      </c>
      <c r="J662" s="45" t="s">
        <v>1909</v>
      </c>
      <c r="K662" s="63" t="s">
        <v>593</v>
      </c>
      <c r="L662" s="35" t="s">
        <v>698</v>
      </c>
      <c r="M662" s="35">
        <v>13</v>
      </c>
      <c r="N662" s="35">
        <v>8.5</v>
      </c>
      <c r="O662" s="35">
        <f t="shared" si="20"/>
        <v>10.75</v>
      </c>
      <c r="P662" s="35">
        <v>16</v>
      </c>
      <c r="Q662" s="35">
        <v>20</v>
      </c>
      <c r="R662" s="35">
        <f t="shared" si="21"/>
        <v>18</v>
      </c>
      <c r="S662" s="35"/>
      <c r="T662" s="35"/>
      <c r="U662" s="35"/>
      <c r="V662" s="35" t="e">
        <f>AVERAGE(Tableau2[[#This Row],[1ère composition/10]:[3è composition]])</f>
        <v>#DIV/0!</v>
      </c>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f>COUNTIF(Tableau2[[#This Row],[Séance 1]:[Séance 38]],"A")</f>
        <v>0</v>
      </c>
      <c r="BJ662" s="35"/>
    </row>
    <row r="663" spans="1:62" s="42" customFormat="1" hidden="1" x14ac:dyDescent="0.2">
      <c r="A663" s="1" t="s">
        <v>1101</v>
      </c>
      <c r="B663" s="48" t="s">
        <v>1135</v>
      </c>
      <c r="C663" s="44" t="s">
        <v>3852</v>
      </c>
      <c r="D663" s="48" t="s">
        <v>526</v>
      </c>
      <c r="E663" s="44" t="s">
        <v>812</v>
      </c>
      <c r="F663" s="48">
        <v>2021</v>
      </c>
      <c r="G663" s="44">
        <v>48</v>
      </c>
      <c r="H663" s="48">
        <v>18</v>
      </c>
      <c r="I663" s="44" t="str">
        <f>Tableau2[[#This Row],[Annee d''inscription au programme]]&amp;"-"&amp;Tableau2[[#This Row],[Code d''ecole]]&amp;"-"&amp;Tableau2[[#This Row],[Numero HM de la fille]]</f>
        <v>2021-48-18</v>
      </c>
      <c r="J663" s="45" t="s">
        <v>1910</v>
      </c>
      <c r="K663" s="63" t="s">
        <v>593</v>
      </c>
      <c r="L663" s="35" t="s">
        <v>698</v>
      </c>
      <c r="M663" s="35">
        <v>10.5</v>
      </c>
      <c r="N663" s="35">
        <v>10</v>
      </c>
      <c r="O663" s="35">
        <f t="shared" si="20"/>
        <v>10.25</v>
      </c>
      <c r="P663" s="35">
        <v>14</v>
      </c>
      <c r="Q663" s="35">
        <v>20</v>
      </c>
      <c r="R663" s="35">
        <f t="shared" si="21"/>
        <v>17</v>
      </c>
      <c r="S663" s="35"/>
      <c r="T663" s="35"/>
      <c r="U663" s="35"/>
      <c r="V663" s="35" t="e">
        <f>AVERAGE(Tableau2[[#This Row],[1ère composition/10]:[3è composition]])</f>
        <v>#DIV/0!</v>
      </c>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f>COUNTIF(Tableau2[[#This Row],[Séance 1]:[Séance 38]],"A")</f>
        <v>0</v>
      </c>
      <c r="BJ663" s="35"/>
    </row>
    <row r="664" spans="1:62" s="42" customFormat="1" hidden="1" x14ac:dyDescent="0.2">
      <c r="A664" s="1" t="s">
        <v>1101</v>
      </c>
      <c r="B664" s="48" t="s">
        <v>1136</v>
      </c>
      <c r="C664" s="44" t="s">
        <v>3852</v>
      </c>
      <c r="D664" s="48" t="s">
        <v>1137</v>
      </c>
      <c r="E664" s="44" t="s">
        <v>812</v>
      </c>
      <c r="F664" s="48">
        <v>2021</v>
      </c>
      <c r="G664" s="44">
        <v>48</v>
      </c>
      <c r="H664" s="48">
        <v>19</v>
      </c>
      <c r="I664" s="44" t="str">
        <f>Tableau2[[#This Row],[Annee d''inscription au programme]]&amp;"-"&amp;Tableau2[[#This Row],[Code d''ecole]]&amp;"-"&amp;Tableau2[[#This Row],[Numero HM de la fille]]</f>
        <v>2021-48-19</v>
      </c>
      <c r="J664" s="45" t="s">
        <v>1911</v>
      </c>
      <c r="K664" s="63" t="s">
        <v>593</v>
      </c>
      <c r="L664" s="35" t="s">
        <v>698</v>
      </c>
      <c r="M664" s="35">
        <v>6.5</v>
      </c>
      <c r="N664" s="35">
        <v>4</v>
      </c>
      <c r="O664" s="35">
        <f t="shared" si="20"/>
        <v>5.25</v>
      </c>
      <c r="P664" s="35">
        <v>10.5</v>
      </c>
      <c r="Q664" s="35">
        <v>15.5</v>
      </c>
      <c r="R664" s="35">
        <f t="shared" si="21"/>
        <v>13</v>
      </c>
      <c r="S664" s="35"/>
      <c r="T664" s="35"/>
      <c r="U664" s="35"/>
      <c r="V664" s="35" t="e">
        <f>AVERAGE(Tableau2[[#This Row],[1ère composition/10]:[3è composition]])</f>
        <v>#DIV/0!</v>
      </c>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f>COUNTIF(Tableau2[[#This Row],[Séance 1]:[Séance 38]],"A")</f>
        <v>0</v>
      </c>
      <c r="BJ664" s="35"/>
    </row>
    <row r="665" spans="1:62" s="42" customFormat="1" hidden="1" x14ac:dyDescent="0.2">
      <c r="A665" s="1" t="s">
        <v>1101</v>
      </c>
      <c r="B665" s="48" t="s">
        <v>1138</v>
      </c>
      <c r="C665" s="44" t="s">
        <v>3852</v>
      </c>
      <c r="D665" s="48" t="s">
        <v>1139</v>
      </c>
      <c r="E665" s="44" t="s">
        <v>812</v>
      </c>
      <c r="F665" s="48">
        <v>2021</v>
      </c>
      <c r="G665" s="44">
        <v>48</v>
      </c>
      <c r="H665" s="48">
        <v>20</v>
      </c>
      <c r="I665" s="44" t="str">
        <f>Tableau2[[#This Row],[Annee d''inscription au programme]]&amp;"-"&amp;Tableau2[[#This Row],[Code d''ecole]]&amp;"-"&amp;Tableau2[[#This Row],[Numero HM de la fille]]</f>
        <v>2021-48-20</v>
      </c>
      <c r="J665" s="45" t="s">
        <v>1912</v>
      </c>
      <c r="K665" s="63" t="s">
        <v>593</v>
      </c>
      <c r="L665" s="35" t="s">
        <v>698</v>
      </c>
      <c r="M665" s="35">
        <v>9</v>
      </c>
      <c r="N665" s="35">
        <v>9.5</v>
      </c>
      <c r="O665" s="35">
        <f t="shared" si="20"/>
        <v>9.25</v>
      </c>
      <c r="P665" s="35">
        <v>13.5</v>
      </c>
      <c r="Q665" s="35">
        <v>20</v>
      </c>
      <c r="R665" s="35">
        <f t="shared" si="21"/>
        <v>16.75</v>
      </c>
      <c r="S665" s="35"/>
      <c r="T665" s="35"/>
      <c r="U665" s="35"/>
      <c r="V665" s="35" t="e">
        <f>AVERAGE(Tableau2[[#This Row],[1ère composition/10]:[3è composition]])</f>
        <v>#DIV/0!</v>
      </c>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f>COUNTIF(Tableau2[[#This Row],[Séance 1]:[Séance 38]],"A")</f>
        <v>0</v>
      </c>
      <c r="BJ665" s="35"/>
    </row>
    <row r="666" spans="1:62" s="42" customFormat="1" hidden="1" x14ac:dyDescent="0.2">
      <c r="A666" s="1" t="s">
        <v>1101</v>
      </c>
      <c r="B666" s="48" t="s">
        <v>1140</v>
      </c>
      <c r="C666" s="44" t="s">
        <v>3852</v>
      </c>
      <c r="D666" s="48" t="s">
        <v>1141</v>
      </c>
      <c r="E666" s="44" t="s">
        <v>812</v>
      </c>
      <c r="F666" s="48">
        <v>2021</v>
      </c>
      <c r="G666" s="44">
        <v>48</v>
      </c>
      <c r="H666" s="48">
        <v>21</v>
      </c>
      <c r="I666" s="44" t="str">
        <f>Tableau2[[#This Row],[Annee d''inscription au programme]]&amp;"-"&amp;Tableau2[[#This Row],[Code d''ecole]]&amp;"-"&amp;Tableau2[[#This Row],[Numero HM de la fille]]</f>
        <v>2021-48-21</v>
      </c>
      <c r="J666" s="45" t="s">
        <v>1913</v>
      </c>
      <c r="K666" s="63" t="s">
        <v>593</v>
      </c>
      <c r="L666" s="35" t="s">
        <v>698</v>
      </c>
      <c r="M666" s="35">
        <v>10</v>
      </c>
      <c r="N666" s="35">
        <v>10.5</v>
      </c>
      <c r="O666" s="35">
        <f t="shared" si="20"/>
        <v>10.25</v>
      </c>
      <c r="P666" s="35">
        <v>15.5</v>
      </c>
      <c r="Q666" s="35">
        <v>20</v>
      </c>
      <c r="R666" s="35">
        <f t="shared" si="21"/>
        <v>17.75</v>
      </c>
      <c r="S666" s="35"/>
      <c r="T666" s="35"/>
      <c r="U666" s="35"/>
      <c r="V666" s="35" t="e">
        <f>AVERAGE(Tableau2[[#This Row],[1ère composition/10]:[3è composition]])</f>
        <v>#DIV/0!</v>
      </c>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f>COUNTIF(Tableau2[[#This Row],[Séance 1]:[Séance 38]],"A")</f>
        <v>0</v>
      </c>
      <c r="BJ666" s="35"/>
    </row>
    <row r="667" spans="1:62" s="42" customFormat="1" hidden="1" x14ac:dyDescent="0.2">
      <c r="A667" s="1" t="s">
        <v>1101</v>
      </c>
      <c r="B667" s="48" t="s">
        <v>1142</v>
      </c>
      <c r="C667" s="44" t="s">
        <v>3852</v>
      </c>
      <c r="D667" s="48" t="s">
        <v>1143</v>
      </c>
      <c r="E667" s="44" t="s">
        <v>812</v>
      </c>
      <c r="F667" s="48">
        <v>2021</v>
      </c>
      <c r="G667" s="44">
        <v>48</v>
      </c>
      <c r="H667" s="48">
        <v>22</v>
      </c>
      <c r="I667" s="44" t="str">
        <f>Tableau2[[#This Row],[Annee d''inscription au programme]]&amp;"-"&amp;Tableau2[[#This Row],[Code d''ecole]]&amp;"-"&amp;Tableau2[[#This Row],[Numero HM de la fille]]</f>
        <v>2021-48-22</v>
      </c>
      <c r="J667" s="45" t="s">
        <v>1914</v>
      </c>
      <c r="K667" s="63" t="s">
        <v>593</v>
      </c>
      <c r="L667" s="35" t="s">
        <v>698</v>
      </c>
      <c r="M667" s="35">
        <v>5</v>
      </c>
      <c r="N667" s="35">
        <v>2</v>
      </c>
      <c r="O667" s="35">
        <f t="shared" si="20"/>
        <v>3.5</v>
      </c>
      <c r="P667" s="35">
        <v>8.5</v>
      </c>
      <c r="Q667" s="35">
        <v>13</v>
      </c>
      <c r="R667" s="35">
        <f t="shared" si="21"/>
        <v>10.75</v>
      </c>
      <c r="S667" s="35"/>
      <c r="T667" s="35"/>
      <c r="U667" s="35"/>
      <c r="V667" s="35" t="e">
        <f>AVERAGE(Tableau2[[#This Row],[1ère composition/10]:[3è composition]])</f>
        <v>#DIV/0!</v>
      </c>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f>COUNTIF(Tableau2[[#This Row],[Séance 1]:[Séance 38]],"A")</f>
        <v>0</v>
      </c>
      <c r="BJ667" s="35"/>
    </row>
    <row r="668" spans="1:62" s="42" customFormat="1" hidden="1" x14ac:dyDescent="0.2">
      <c r="A668" s="1" t="s">
        <v>1101</v>
      </c>
      <c r="B668" s="48" t="s">
        <v>1144</v>
      </c>
      <c r="C668" s="44" t="s">
        <v>3852</v>
      </c>
      <c r="D668" s="48" t="s">
        <v>1124</v>
      </c>
      <c r="E668" s="44" t="s">
        <v>812</v>
      </c>
      <c r="F668" s="48">
        <v>2021</v>
      </c>
      <c r="G668" s="44">
        <v>48</v>
      </c>
      <c r="H668" s="48">
        <v>23</v>
      </c>
      <c r="I668" s="44" t="str">
        <f>Tableau2[[#This Row],[Annee d''inscription au programme]]&amp;"-"&amp;Tableau2[[#This Row],[Code d''ecole]]&amp;"-"&amp;Tableau2[[#This Row],[Numero HM de la fille]]</f>
        <v>2021-48-23</v>
      </c>
      <c r="J668" s="45" t="s">
        <v>1915</v>
      </c>
      <c r="K668" s="63" t="s">
        <v>593</v>
      </c>
      <c r="L668" s="35" t="s">
        <v>698</v>
      </c>
      <c r="M668" s="35">
        <v>9</v>
      </c>
      <c r="N668" s="35">
        <v>5</v>
      </c>
      <c r="O668" s="35">
        <f t="shared" si="20"/>
        <v>7</v>
      </c>
      <c r="P668" s="35">
        <v>13</v>
      </c>
      <c r="Q668" s="35">
        <v>17.25</v>
      </c>
      <c r="R668" s="35">
        <f t="shared" si="21"/>
        <v>15.125</v>
      </c>
      <c r="S668" s="35"/>
      <c r="T668" s="35"/>
      <c r="U668" s="35"/>
      <c r="V668" s="35" t="e">
        <f>AVERAGE(Tableau2[[#This Row],[1ère composition/10]:[3è composition]])</f>
        <v>#DIV/0!</v>
      </c>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f>COUNTIF(Tableau2[[#This Row],[Séance 1]:[Séance 38]],"A")</f>
        <v>0</v>
      </c>
      <c r="BJ668" s="35"/>
    </row>
    <row r="669" spans="1:62" s="42" customFormat="1" hidden="1" x14ac:dyDescent="0.2">
      <c r="A669" s="1" t="s">
        <v>1101</v>
      </c>
      <c r="B669" s="48" t="s">
        <v>1145</v>
      </c>
      <c r="C669" s="44" t="s">
        <v>3852</v>
      </c>
      <c r="D669" s="48" t="s">
        <v>1146</v>
      </c>
      <c r="E669" s="44" t="s">
        <v>812</v>
      </c>
      <c r="F669" s="48">
        <v>2021</v>
      </c>
      <c r="G669" s="44">
        <v>48</v>
      </c>
      <c r="H669" s="48">
        <v>24</v>
      </c>
      <c r="I669" s="44" t="str">
        <f>Tableau2[[#This Row],[Annee d''inscription au programme]]&amp;"-"&amp;Tableau2[[#This Row],[Code d''ecole]]&amp;"-"&amp;Tableau2[[#This Row],[Numero HM de la fille]]</f>
        <v>2021-48-24</v>
      </c>
      <c r="J669" s="45" t="s">
        <v>1916</v>
      </c>
      <c r="K669" s="63" t="s">
        <v>593</v>
      </c>
      <c r="L669" s="35" t="s">
        <v>698</v>
      </c>
      <c r="M669" s="35">
        <v>4.5</v>
      </c>
      <c r="N669" s="35">
        <v>2</v>
      </c>
      <c r="O669" s="35">
        <f t="shared" si="20"/>
        <v>3.25</v>
      </c>
      <c r="P669" s="35">
        <v>8</v>
      </c>
      <c r="Q669" s="35">
        <v>14.5</v>
      </c>
      <c r="R669" s="35">
        <f t="shared" si="21"/>
        <v>11.25</v>
      </c>
      <c r="S669" s="35"/>
      <c r="T669" s="35"/>
      <c r="U669" s="35"/>
      <c r="V669" s="35" t="e">
        <f>AVERAGE(Tableau2[[#This Row],[1ère composition/10]:[3è composition]])</f>
        <v>#DIV/0!</v>
      </c>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f>COUNTIF(Tableau2[[#This Row],[Séance 1]:[Séance 38]],"A")</f>
        <v>0</v>
      </c>
      <c r="BJ669" s="35"/>
    </row>
    <row r="670" spans="1:62" s="43" customFormat="1" hidden="1" x14ac:dyDescent="0.2">
      <c r="A670" s="1" t="s">
        <v>1101</v>
      </c>
      <c r="B670" s="48" t="s">
        <v>1147</v>
      </c>
      <c r="C670" s="44" t="s">
        <v>3852</v>
      </c>
      <c r="D670" s="48" t="s">
        <v>1148</v>
      </c>
      <c r="E670" s="44" t="s">
        <v>812</v>
      </c>
      <c r="F670" s="48">
        <v>2021</v>
      </c>
      <c r="G670" s="44">
        <v>48</v>
      </c>
      <c r="H670" s="48">
        <v>25</v>
      </c>
      <c r="I670" s="44" t="str">
        <f>Tableau2[[#This Row],[Annee d''inscription au programme]]&amp;"-"&amp;Tableau2[[#This Row],[Code d''ecole]]&amp;"-"&amp;Tableau2[[#This Row],[Numero HM de la fille]]</f>
        <v>2021-48-25</v>
      </c>
      <c r="J670" s="45" t="s">
        <v>1917</v>
      </c>
      <c r="K670" s="63" t="s">
        <v>593</v>
      </c>
      <c r="L670" s="35" t="s">
        <v>698</v>
      </c>
      <c r="M670" s="35">
        <v>7</v>
      </c>
      <c r="N670" s="35">
        <v>3</v>
      </c>
      <c r="O670" s="35">
        <f t="shared" si="20"/>
        <v>5</v>
      </c>
      <c r="P670" s="35">
        <v>10</v>
      </c>
      <c r="Q670" s="35">
        <v>15.5</v>
      </c>
      <c r="R670" s="35">
        <f t="shared" si="21"/>
        <v>12.75</v>
      </c>
      <c r="S670" s="35"/>
      <c r="T670" s="35"/>
      <c r="U670" s="35"/>
      <c r="V670" s="35" t="e">
        <f>AVERAGE(Tableau2[[#This Row],[1ère composition/10]:[3è composition]])</f>
        <v>#DIV/0!</v>
      </c>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f>COUNTIF(Tableau2[[#This Row],[Séance 1]:[Séance 38]],"A")</f>
        <v>0</v>
      </c>
      <c r="BJ670" s="35"/>
    </row>
    <row r="671" spans="1:62" s="43" customFormat="1" hidden="1" x14ac:dyDescent="0.2">
      <c r="A671" s="1" t="s">
        <v>1101</v>
      </c>
      <c r="B671" s="60" t="s">
        <v>3531</v>
      </c>
      <c r="C671" s="44" t="s">
        <v>3852</v>
      </c>
      <c r="D671" s="60" t="s">
        <v>367</v>
      </c>
      <c r="E671" s="44" t="s">
        <v>812</v>
      </c>
      <c r="F671" s="48">
        <v>2021</v>
      </c>
      <c r="G671" s="44">
        <v>48</v>
      </c>
      <c r="H671" s="60">
        <v>26</v>
      </c>
      <c r="I671" s="60" t="str">
        <f>Tableau2[[#This Row],[Annee d''inscription au programme]]&amp;"-"&amp;Tableau2[[#This Row],[Code d''ecole]]&amp;"-"&amp;Tableau2[[#This Row],[Numero HM de la fille]]</f>
        <v>2021-48-26</v>
      </c>
      <c r="J671" s="45" t="s">
        <v>1918</v>
      </c>
      <c r="K671" s="63" t="s">
        <v>593</v>
      </c>
      <c r="L671" s="35" t="s">
        <v>698</v>
      </c>
      <c r="M671" s="35">
        <v>0</v>
      </c>
      <c r="N671" s="35">
        <v>0</v>
      </c>
      <c r="O671" s="35">
        <f t="shared" si="20"/>
        <v>0</v>
      </c>
      <c r="P671" s="35"/>
      <c r="Q671" s="35"/>
      <c r="R671" s="35">
        <f t="shared" si="21"/>
        <v>0</v>
      </c>
      <c r="S671" s="35"/>
      <c r="T671" s="35"/>
      <c r="U671" s="35"/>
      <c r="V671" s="35" t="e">
        <f>AVERAGE(Tableau2[[#This Row],[1ère composition/10]:[3è composition]])</f>
        <v>#DIV/0!</v>
      </c>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f>COUNTIF(Tableau2[[#This Row],[Séance 1]:[Séance 38]],"A")</f>
        <v>0</v>
      </c>
      <c r="BJ671" s="35"/>
    </row>
    <row r="672" spans="1:62" s="43" customFormat="1" hidden="1" x14ac:dyDescent="0.2">
      <c r="A672" s="1" t="s">
        <v>1101</v>
      </c>
      <c r="B672" s="60" t="s">
        <v>3532</v>
      </c>
      <c r="C672" s="44" t="s">
        <v>3852</v>
      </c>
      <c r="D672" s="60" t="s">
        <v>732</v>
      </c>
      <c r="E672" s="44" t="s">
        <v>812</v>
      </c>
      <c r="F672" s="48">
        <v>2021</v>
      </c>
      <c r="G672" s="44">
        <v>48</v>
      </c>
      <c r="H672" s="60">
        <v>27</v>
      </c>
      <c r="I672" s="60" t="str">
        <f>Tableau2[[#This Row],[Annee d''inscription au programme]]&amp;"-"&amp;Tableau2[[#This Row],[Code d''ecole]]&amp;"-"&amp;Tableau2[[#This Row],[Numero HM de la fille]]</f>
        <v>2021-48-27</v>
      </c>
      <c r="J672" s="45" t="s">
        <v>1919</v>
      </c>
      <c r="K672" s="63" t="s">
        <v>593</v>
      </c>
      <c r="L672" s="35" t="s">
        <v>698</v>
      </c>
      <c r="M672" s="35">
        <v>0</v>
      </c>
      <c r="N672" s="35">
        <v>0</v>
      </c>
      <c r="O672" s="35">
        <f t="shared" si="20"/>
        <v>0</v>
      </c>
      <c r="P672" s="35">
        <v>9.5</v>
      </c>
      <c r="Q672" s="35">
        <v>8.5</v>
      </c>
      <c r="R672" s="35">
        <f t="shared" si="21"/>
        <v>9</v>
      </c>
      <c r="S672" s="35"/>
      <c r="T672" s="35"/>
      <c r="U672" s="35"/>
      <c r="V672" s="35" t="e">
        <f>AVERAGE(Tableau2[[#This Row],[1ère composition/10]:[3è composition]])</f>
        <v>#DIV/0!</v>
      </c>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f>COUNTIF(Tableau2[[#This Row],[Séance 1]:[Séance 38]],"A")</f>
        <v>0</v>
      </c>
      <c r="BJ672" s="35"/>
    </row>
    <row r="673" spans="1:62" s="43" customFormat="1" hidden="1" x14ac:dyDescent="0.2">
      <c r="A673" s="1" t="s">
        <v>1101</v>
      </c>
      <c r="B673" s="60" t="s">
        <v>3533</v>
      </c>
      <c r="C673" s="44" t="s">
        <v>3852</v>
      </c>
      <c r="D673" s="60" t="s">
        <v>3534</v>
      </c>
      <c r="E673" s="44" t="s">
        <v>812</v>
      </c>
      <c r="F673" s="48">
        <v>2021</v>
      </c>
      <c r="G673" s="44">
        <v>48</v>
      </c>
      <c r="H673" s="60">
        <v>28</v>
      </c>
      <c r="I673" s="60" t="str">
        <f>Tableau2[[#This Row],[Annee d''inscription au programme]]&amp;"-"&amp;Tableau2[[#This Row],[Code d''ecole]]&amp;"-"&amp;Tableau2[[#This Row],[Numero HM de la fille]]</f>
        <v>2021-48-28</v>
      </c>
      <c r="J673" s="45" t="s">
        <v>1920</v>
      </c>
      <c r="K673" s="63" t="s">
        <v>593</v>
      </c>
      <c r="L673" s="35" t="s">
        <v>698</v>
      </c>
      <c r="M673" s="35">
        <v>0</v>
      </c>
      <c r="N673" s="35">
        <v>0</v>
      </c>
      <c r="O673" s="35">
        <f t="shared" si="20"/>
        <v>0</v>
      </c>
      <c r="P673" s="35">
        <v>5</v>
      </c>
      <c r="Q673" s="35">
        <v>8</v>
      </c>
      <c r="R673" s="35">
        <f t="shared" si="21"/>
        <v>6.5</v>
      </c>
      <c r="S673" s="35"/>
      <c r="T673" s="35"/>
      <c r="U673" s="35"/>
      <c r="V673" s="35" t="e">
        <f>AVERAGE(Tableau2[[#This Row],[1ère composition/10]:[3è composition]])</f>
        <v>#DIV/0!</v>
      </c>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f>COUNTIF(Tableau2[[#This Row],[Séance 1]:[Séance 38]],"A")</f>
        <v>0</v>
      </c>
      <c r="BJ673" s="35"/>
    </row>
    <row r="674" spans="1:62" s="43" customFormat="1" hidden="1" x14ac:dyDescent="0.2">
      <c r="A674" s="68" t="s">
        <v>1149</v>
      </c>
      <c r="B674" s="48" t="s">
        <v>1150</v>
      </c>
      <c r="C674" s="44" t="s">
        <v>3854</v>
      </c>
      <c r="D674" s="48" t="s">
        <v>1151</v>
      </c>
      <c r="E674" s="44" t="s">
        <v>812</v>
      </c>
      <c r="F674" s="48">
        <v>2021</v>
      </c>
      <c r="G674" s="48">
        <v>36</v>
      </c>
      <c r="H674" s="48">
        <v>1</v>
      </c>
      <c r="I674" s="44" t="str">
        <f>Tableau2[[#This Row],[Annee d''inscription au programme]]&amp;"-"&amp;Tableau2[[#This Row],[Code d''ecole]]&amp;"-"&amp;Tableau2[[#This Row],[Numero HM de la fille]]</f>
        <v>2021-36-1</v>
      </c>
      <c r="J674" s="45" t="s">
        <v>1921</v>
      </c>
      <c r="K674" s="63" t="s">
        <v>593</v>
      </c>
      <c r="L674" s="35" t="s">
        <v>698</v>
      </c>
      <c r="M674" s="35">
        <v>11.5</v>
      </c>
      <c r="N674" s="35">
        <v>15</v>
      </c>
      <c r="O674" s="35">
        <f t="shared" si="20"/>
        <v>13.25</v>
      </c>
      <c r="P674" s="35">
        <v>8.5</v>
      </c>
      <c r="Q674" s="35">
        <v>16.5</v>
      </c>
      <c r="R674" s="35">
        <f t="shared" si="21"/>
        <v>12.5</v>
      </c>
      <c r="S674" s="35"/>
      <c r="T674" s="35"/>
      <c r="U674" s="35"/>
      <c r="V674" s="35" t="e">
        <f>AVERAGE(Tableau2[[#This Row],[1ère composition/10]:[3è composition]])</f>
        <v>#DIV/0!</v>
      </c>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f>COUNTIF(Tableau2[[#This Row],[Séance 1]:[Séance 38]],"A")</f>
        <v>0</v>
      </c>
      <c r="BJ674" s="35"/>
    </row>
    <row r="675" spans="1:62" s="43" customFormat="1" hidden="1" x14ac:dyDescent="0.2">
      <c r="A675" s="68" t="s">
        <v>1149</v>
      </c>
      <c r="B675" s="48" t="s">
        <v>1152</v>
      </c>
      <c r="C675" s="44" t="s">
        <v>3854</v>
      </c>
      <c r="D675" s="48" t="s">
        <v>1153</v>
      </c>
      <c r="E675" s="44" t="s">
        <v>812</v>
      </c>
      <c r="F675" s="48">
        <v>2021</v>
      </c>
      <c r="G675" s="48">
        <v>36</v>
      </c>
      <c r="H675" s="48">
        <v>2</v>
      </c>
      <c r="I675" s="44" t="str">
        <f>Tableau2[[#This Row],[Annee d''inscription au programme]]&amp;"-"&amp;Tableau2[[#This Row],[Code d''ecole]]&amp;"-"&amp;Tableau2[[#This Row],[Numero HM de la fille]]</f>
        <v>2021-36-2</v>
      </c>
      <c r="J675" s="45" t="s">
        <v>1922</v>
      </c>
      <c r="K675" s="63" t="s">
        <v>593</v>
      </c>
      <c r="L675" s="35" t="s">
        <v>698</v>
      </c>
      <c r="M675" s="35">
        <v>15</v>
      </c>
      <c r="N675" s="35">
        <v>17.5</v>
      </c>
      <c r="O675" s="35">
        <f t="shared" si="20"/>
        <v>16.25</v>
      </c>
      <c r="P675" s="35">
        <v>11.5</v>
      </c>
      <c r="Q675" s="35">
        <v>20</v>
      </c>
      <c r="R675" s="35">
        <f t="shared" si="21"/>
        <v>15.75</v>
      </c>
      <c r="S675" s="35"/>
      <c r="T675" s="35"/>
      <c r="U675" s="35"/>
      <c r="V675" s="35" t="e">
        <f>AVERAGE(Tableau2[[#This Row],[1ère composition/10]:[3è composition]])</f>
        <v>#DIV/0!</v>
      </c>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f>COUNTIF(Tableau2[[#This Row],[Séance 1]:[Séance 38]],"A")</f>
        <v>0</v>
      </c>
      <c r="BJ675" s="35"/>
    </row>
    <row r="676" spans="1:62" s="42" customFormat="1" hidden="1" x14ac:dyDescent="0.2">
      <c r="A676" s="68" t="s">
        <v>1149</v>
      </c>
      <c r="B676" s="48" t="s">
        <v>1154</v>
      </c>
      <c r="C676" s="44" t="s">
        <v>1190</v>
      </c>
      <c r="D676" s="48" t="s">
        <v>1155</v>
      </c>
      <c r="E676" s="44" t="s">
        <v>812</v>
      </c>
      <c r="F676" s="48">
        <v>2021</v>
      </c>
      <c r="G676" s="48">
        <v>36</v>
      </c>
      <c r="H676" s="48">
        <v>3</v>
      </c>
      <c r="I676" s="44" t="str">
        <f>Tableau2[[#This Row],[Annee d''inscription au programme]]&amp;"-"&amp;Tableau2[[#This Row],[Code d''ecole]]&amp;"-"&amp;Tableau2[[#This Row],[Numero HM de la fille]]</f>
        <v>2021-36-3</v>
      </c>
      <c r="J676" s="45" t="s">
        <v>1923</v>
      </c>
      <c r="K676" s="63" t="s">
        <v>593</v>
      </c>
      <c r="L676" s="35" t="s">
        <v>698</v>
      </c>
      <c r="M676" s="35">
        <v>7</v>
      </c>
      <c r="N676" s="35">
        <v>3</v>
      </c>
      <c r="O676" s="35">
        <f t="shared" si="20"/>
        <v>5</v>
      </c>
      <c r="P676" s="35">
        <v>8</v>
      </c>
      <c r="Q676" s="35">
        <v>7.5</v>
      </c>
      <c r="R676" s="35">
        <f t="shared" si="21"/>
        <v>7.75</v>
      </c>
      <c r="S676" s="35"/>
      <c r="T676" s="35"/>
      <c r="U676" s="35"/>
      <c r="V676" s="35" t="e">
        <f>AVERAGE(Tableau2[[#This Row],[1ère composition/10]:[3è composition]])</f>
        <v>#DIV/0!</v>
      </c>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f>COUNTIF(Tableau2[[#This Row],[Séance 1]:[Séance 38]],"A")</f>
        <v>0</v>
      </c>
      <c r="BJ676" s="35"/>
    </row>
    <row r="677" spans="1:62" s="42" customFormat="1" hidden="1" x14ac:dyDescent="0.2">
      <c r="A677" s="68" t="s">
        <v>1149</v>
      </c>
      <c r="B677" s="48" t="s">
        <v>803</v>
      </c>
      <c r="C677" s="44" t="s">
        <v>3854</v>
      </c>
      <c r="D677" s="48" t="s">
        <v>248</v>
      </c>
      <c r="E677" s="44" t="s">
        <v>812</v>
      </c>
      <c r="F677" s="48">
        <v>2021</v>
      </c>
      <c r="G677" s="48">
        <v>36</v>
      </c>
      <c r="H677" s="48">
        <v>4</v>
      </c>
      <c r="I677" s="44" t="str">
        <f>Tableau2[[#This Row],[Annee d''inscription au programme]]&amp;"-"&amp;Tableau2[[#This Row],[Code d''ecole]]&amp;"-"&amp;Tableau2[[#This Row],[Numero HM de la fille]]</f>
        <v>2021-36-4</v>
      </c>
      <c r="J677" s="45" t="s">
        <v>1924</v>
      </c>
      <c r="K677" s="63" t="s">
        <v>593</v>
      </c>
      <c r="L677" s="35" t="s">
        <v>698</v>
      </c>
      <c r="M677" s="35">
        <v>5</v>
      </c>
      <c r="N677" s="35">
        <v>2.5</v>
      </c>
      <c r="O677" s="35">
        <f t="shared" si="20"/>
        <v>3.75</v>
      </c>
      <c r="P677" s="35">
        <v>5</v>
      </c>
      <c r="Q677" s="35">
        <v>6</v>
      </c>
      <c r="R677" s="35">
        <f t="shared" si="21"/>
        <v>5.5</v>
      </c>
      <c r="S677" s="35"/>
      <c r="T677" s="35"/>
      <c r="U677" s="35"/>
      <c r="V677" s="35" t="e">
        <f>AVERAGE(Tableau2[[#This Row],[1ère composition/10]:[3è composition]])</f>
        <v>#DIV/0!</v>
      </c>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f>COUNTIF(Tableau2[[#This Row],[Séance 1]:[Séance 38]],"A")</f>
        <v>0</v>
      </c>
      <c r="BJ677" s="35"/>
    </row>
    <row r="678" spans="1:62" s="42" customFormat="1" hidden="1" x14ac:dyDescent="0.2">
      <c r="A678" s="68" t="s">
        <v>1149</v>
      </c>
      <c r="B678" s="48" t="s">
        <v>1156</v>
      </c>
      <c r="C678" s="44" t="s">
        <v>3854</v>
      </c>
      <c r="D678" s="48" t="s">
        <v>1014</v>
      </c>
      <c r="E678" s="44" t="s">
        <v>812</v>
      </c>
      <c r="F678" s="48">
        <v>2021</v>
      </c>
      <c r="G678" s="48">
        <v>36</v>
      </c>
      <c r="H678" s="48">
        <v>5</v>
      </c>
      <c r="I678" s="44" t="str">
        <f>Tableau2[[#This Row],[Annee d''inscription au programme]]&amp;"-"&amp;Tableau2[[#This Row],[Code d''ecole]]&amp;"-"&amp;Tableau2[[#This Row],[Numero HM de la fille]]</f>
        <v>2021-36-5</v>
      </c>
      <c r="J678" s="45" t="s">
        <v>1925</v>
      </c>
      <c r="K678" s="63" t="s">
        <v>593</v>
      </c>
      <c r="L678" s="35" t="s">
        <v>698</v>
      </c>
      <c r="M678" s="35">
        <v>13</v>
      </c>
      <c r="N678" s="35">
        <v>16.5</v>
      </c>
      <c r="O678" s="35">
        <f t="shared" si="20"/>
        <v>14.75</v>
      </c>
      <c r="P678" s="35">
        <v>14</v>
      </c>
      <c r="Q678" s="35">
        <v>20</v>
      </c>
      <c r="R678" s="35">
        <f t="shared" si="21"/>
        <v>17</v>
      </c>
      <c r="S678" s="35"/>
      <c r="T678" s="35"/>
      <c r="U678" s="35"/>
      <c r="V678" s="35" t="e">
        <f>AVERAGE(Tableau2[[#This Row],[1ère composition/10]:[3è composition]])</f>
        <v>#DIV/0!</v>
      </c>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f>COUNTIF(Tableau2[[#This Row],[Séance 1]:[Séance 38]],"A")</f>
        <v>0</v>
      </c>
      <c r="BJ678" s="35"/>
    </row>
    <row r="679" spans="1:62" s="42" customFormat="1" hidden="1" x14ac:dyDescent="0.2">
      <c r="A679" s="68" t="s">
        <v>1149</v>
      </c>
      <c r="B679" s="48" t="s">
        <v>1157</v>
      </c>
      <c r="C679" s="44" t="s">
        <v>3854</v>
      </c>
      <c r="D679" s="48" t="s">
        <v>1158</v>
      </c>
      <c r="E679" s="44" t="s">
        <v>812</v>
      </c>
      <c r="F679" s="48">
        <v>2021</v>
      </c>
      <c r="G679" s="48">
        <v>36</v>
      </c>
      <c r="H679" s="48">
        <v>6</v>
      </c>
      <c r="I679" s="44" t="str">
        <f>Tableau2[[#This Row],[Annee d''inscription au programme]]&amp;"-"&amp;Tableau2[[#This Row],[Code d''ecole]]&amp;"-"&amp;Tableau2[[#This Row],[Numero HM de la fille]]</f>
        <v>2021-36-6</v>
      </c>
      <c r="J679" s="45" t="s">
        <v>1926</v>
      </c>
      <c r="K679" s="63" t="s">
        <v>593</v>
      </c>
      <c r="L679" s="35" t="s">
        <v>698</v>
      </c>
      <c r="M679" s="35">
        <v>7</v>
      </c>
      <c r="N679" s="35">
        <v>1.5</v>
      </c>
      <c r="O679" s="35">
        <f t="shared" si="20"/>
        <v>4.25</v>
      </c>
      <c r="P679" s="35">
        <v>6.5</v>
      </c>
      <c r="Q679" s="35">
        <v>8.5</v>
      </c>
      <c r="R679" s="35">
        <f t="shared" si="21"/>
        <v>7.5</v>
      </c>
      <c r="S679" s="35"/>
      <c r="T679" s="35"/>
      <c r="U679" s="35"/>
      <c r="V679" s="35" t="e">
        <f>AVERAGE(Tableau2[[#This Row],[1ère composition/10]:[3è composition]])</f>
        <v>#DIV/0!</v>
      </c>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f>COUNTIF(Tableau2[[#This Row],[Séance 1]:[Séance 38]],"A")</f>
        <v>0</v>
      </c>
      <c r="BJ679" s="35"/>
    </row>
    <row r="680" spans="1:62" s="42" customFormat="1" hidden="1" x14ac:dyDescent="0.2">
      <c r="A680" s="68" t="s">
        <v>1149</v>
      </c>
      <c r="B680" s="48" t="s">
        <v>1159</v>
      </c>
      <c r="C680" s="44" t="s">
        <v>1190</v>
      </c>
      <c r="D680" s="48" t="s">
        <v>1160</v>
      </c>
      <c r="E680" s="44" t="s">
        <v>812</v>
      </c>
      <c r="F680" s="48">
        <v>2020</v>
      </c>
      <c r="G680" s="48">
        <v>36</v>
      </c>
      <c r="H680" s="48">
        <v>420</v>
      </c>
      <c r="I680" s="44" t="str">
        <f>Tableau2[[#This Row],[Annee d''inscription au programme]]&amp;"-"&amp;Tableau2[[#This Row],[Code d''ecole]]&amp;"-"&amp;Tableau2[[#This Row],[Numero HM de la fille]]</f>
        <v>2020-36-420</v>
      </c>
      <c r="J680" s="45" t="s">
        <v>1927</v>
      </c>
      <c r="K680" s="63" t="s">
        <v>374</v>
      </c>
      <c r="L680" s="35" t="s">
        <v>3530</v>
      </c>
      <c r="M680" s="35">
        <v>11</v>
      </c>
      <c r="N680" s="35">
        <v>5</v>
      </c>
      <c r="O680" s="35">
        <f t="shared" si="20"/>
        <v>8</v>
      </c>
      <c r="P680" s="35">
        <v>10</v>
      </c>
      <c r="Q680" s="35">
        <v>5.5</v>
      </c>
      <c r="R680" s="35">
        <f t="shared" si="21"/>
        <v>7.75</v>
      </c>
      <c r="S680" s="35"/>
      <c r="T680" s="35"/>
      <c r="U680" s="35"/>
      <c r="V680" s="35" t="e">
        <f>AVERAGE(Tableau2[[#This Row],[1ère composition/10]:[3è composition]])</f>
        <v>#DIV/0!</v>
      </c>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f>COUNTIF(Tableau2[[#This Row],[Séance 1]:[Séance 38]],"A")</f>
        <v>0</v>
      </c>
      <c r="BJ680" s="35"/>
    </row>
    <row r="681" spans="1:62" s="42" customFormat="1" hidden="1" x14ac:dyDescent="0.2">
      <c r="A681" s="68" t="s">
        <v>1149</v>
      </c>
      <c r="B681" s="48" t="s">
        <v>1161</v>
      </c>
      <c r="C681" s="44" t="s">
        <v>3854</v>
      </c>
      <c r="D681" s="48" t="s">
        <v>1162</v>
      </c>
      <c r="E681" s="44" t="s">
        <v>812</v>
      </c>
      <c r="F681" s="48">
        <v>2021</v>
      </c>
      <c r="G681" s="48">
        <v>36</v>
      </c>
      <c r="H681" s="48">
        <v>7</v>
      </c>
      <c r="I681" s="44" t="str">
        <f>Tableau2[[#This Row],[Annee d''inscription au programme]]&amp;"-"&amp;Tableau2[[#This Row],[Code d''ecole]]&amp;"-"&amp;Tableau2[[#This Row],[Numero HM de la fille]]</f>
        <v>2021-36-7</v>
      </c>
      <c r="J681" s="45" t="s">
        <v>1928</v>
      </c>
      <c r="K681" s="63" t="s">
        <v>593</v>
      </c>
      <c r="L681" s="35" t="s">
        <v>698</v>
      </c>
      <c r="M681" s="35">
        <v>2</v>
      </c>
      <c r="N681" s="35">
        <v>1</v>
      </c>
      <c r="O681" s="35">
        <f t="shared" si="20"/>
        <v>1.5</v>
      </c>
      <c r="P681" s="35">
        <v>2</v>
      </c>
      <c r="Q681" s="35">
        <v>4</v>
      </c>
      <c r="R681" s="35">
        <f t="shared" si="21"/>
        <v>3</v>
      </c>
      <c r="S681" s="35"/>
      <c r="T681" s="35"/>
      <c r="U681" s="35"/>
      <c r="V681" s="35" t="e">
        <f>AVERAGE(Tableau2[[#This Row],[1ère composition/10]:[3è composition]])</f>
        <v>#DIV/0!</v>
      </c>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f>COUNTIF(Tableau2[[#This Row],[Séance 1]:[Séance 38]],"A")</f>
        <v>0</v>
      </c>
      <c r="BJ681" s="35"/>
    </row>
    <row r="682" spans="1:62" s="42" customFormat="1" hidden="1" x14ac:dyDescent="0.2">
      <c r="A682" s="68" t="s">
        <v>1149</v>
      </c>
      <c r="B682" s="48" t="s">
        <v>1163</v>
      </c>
      <c r="C682" s="44" t="s">
        <v>3854</v>
      </c>
      <c r="D682" s="48" t="s">
        <v>1008</v>
      </c>
      <c r="E682" s="44" t="s">
        <v>812</v>
      </c>
      <c r="F682" s="48">
        <v>2021</v>
      </c>
      <c r="G682" s="48">
        <v>36</v>
      </c>
      <c r="H682" s="48">
        <v>8</v>
      </c>
      <c r="I682" s="44" t="str">
        <f>Tableau2[[#This Row],[Annee d''inscription au programme]]&amp;"-"&amp;Tableau2[[#This Row],[Code d''ecole]]&amp;"-"&amp;Tableau2[[#This Row],[Numero HM de la fille]]</f>
        <v>2021-36-8</v>
      </c>
      <c r="J682" s="45" t="s">
        <v>1929</v>
      </c>
      <c r="K682" s="63" t="s">
        <v>593</v>
      </c>
      <c r="L682" s="35" t="s">
        <v>698</v>
      </c>
      <c r="M682" s="35">
        <v>6.5</v>
      </c>
      <c r="N682" s="35">
        <v>2.5</v>
      </c>
      <c r="O682" s="35">
        <f t="shared" si="20"/>
        <v>4.5</v>
      </c>
      <c r="P682" s="35">
        <v>8</v>
      </c>
      <c r="Q682" s="35">
        <v>5.5</v>
      </c>
      <c r="R682" s="35">
        <f t="shared" si="21"/>
        <v>6.75</v>
      </c>
      <c r="S682" s="35"/>
      <c r="T682" s="35"/>
      <c r="U682" s="35"/>
      <c r="V682" s="35" t="e">
        <f>AVERAGE(Tableau2[[#This Row],[1ère composition/10]:[3è composition]])</f>
        <v>#DIV/0!</v>
      </c>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f>COUNTIF(Tableau2[[#This Row],[Séance 1]:[Séance 38]],"A")</f>
        <v>0</v>
      </c>
      <c r="BJ682" s="35"/>
    </row>
    <row r="683" spans="1:62" s="42" customFormat="1" hidden="1" x14ac:dyDescent="0.2">
      <c r="A683" s="68" t="s">
        <v>1149</v>
      </c>
      <c r="B683" s="48" t="s">
        <v>1164</v>
      </c>
      <c r="C683" s="44" t="s">
        <v>1190</v>
      </c>
      <c r="D683" s="48" t="s">
        <v>215</v>
      </c>
      <c r="E683" s="44" t="s">
        <v>812</v>
      </c>
      <c r="F683" s="48">
        <v>2020</v>
      </c>
      <c r="G683" s="48">
        <v>36</v>
      </c>
      <c r="H683" s="48">
        <v>434</v>
      </c>
      <c r="I683" s="44" t="str">
        <f>Tableau2[[#This Row],[Annee d''inscription au programme]]&amp;"-"&amp;Tableau2[[#This Row],[Code d''ecole]]&amp;"-"&amp;Tableau2[[#This Row],[Numero HM de la fille]]</f>
        <v>2020-36-434</v>
      </c>
      <c r="J683" s="45" t="s">
        <v>1930</v>
      </c>
      <c r="K683" s="63" t="s">
        <v>374</v>
      </c>
      <c r="L683" s="35" t="s">
        <v>3530</v>
      </c>
      <c r="M683" s="35">
        <v>8.5</v>
      </c>
      <c r="N683" s="35">
        <v>3</v>
      </c>
      <c r="O683" s="35">
        <f t="shared" si="20"/>
        <v>5.75</v>
      </c>
      <c r="P683" s="35">
        <v>7.5</v>
      </c>
      <c r="Q683" s="35">
        <v>6</v>
      </c>
      <c r="R683" s="35">
        <f t="shared" si="21"/>
        <v>6.75</v>
      </c>
      <c r="S683" s="35"/>
      <c r="T683" s="35"/>
      <c r="U683" s="35"/>
      <c r="V683" s="35" t="e">
        <f>AVERAGE(Tableau2[[#This Row],[1ère composition/10]:[3è composition]])</f>
        <v>#DIV/0!</v>
      </c>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f>COUNTIF(Tableau2[[#This Row],[Séance 1]:[Séance 38]],"A")</f>
        <v>0</v>
      </c>
      <c r="BJ683" s="35"/>
    </row>
    <row r="684" spans="1:62" s="42" customFormat="1" hidden="1" x14ac:dyDescent="0.2">
      <c r="A684" s="68" t="s">
        <v>1149</v>
      </c>
      <c r="B684" s="48" t="s">
        <v>1165</v>
      </c>
      <c r="C684" s="44" t="s">
        <v>3854</v>
      </c>
      <c r="D684" s="48" t="s">
        <v>242</v>
      </c>
      <c r="E684" s="44" t="s">
        <v>812</v>
      </c>
      <c r="F684" s="48">
        <v>2020</v>
      </c>
      <c r="G684" s="48">
        <v>36</v>
      </c>
      <c r="H684" s="48">
        <v>426</v>
      </c>
      <c r="I684" s="44" t="str">
        <f>Tableau2[[#This Row],[Annee d''inscription au programme]]&amp;"-"&amp;Tableau2[[#This Row],[Code d''ecole]]&amp;"-"&amp;Tableau2[[#This Row],[Numero HM de la fille]]</f>
        <v>2020-36-426</v>
      </c>
      <c r="J684" s="45" t="s">
        <v>1931</v>
      </c>
      <c r="K684" s="63" t="s">
        <v>374</v>
      </c>
      <c r="L684" s="35" t="s">
        <v>3530</v>
      </c>
      <c r="M684" s="35">
        <v>9</v>
      </c>
      <c r="N684" s="35">
        <v>6</v>
      </c>
      <c r="O684" s="35">
        <f t="shared" si="20"/>
        <v>7.5</v>
      </c>
      <c r="P684" s="35">
        <v>5</v>
      </c>
      <c r="Q684" s="35">
        <v>9</v>
      </c>
      <c r="R684" s="35">
        <f t="shared" si="21"/>
        <v>7</v>
      </c>
      <c r="S684" s="35"/>
      <c r="T684" s="35"/>
      <c r="U684" s="35"/>
      <c r="V684" s="35" t="e">
        <f>AVERAGE(Tableau2[[#This Row],[1ère composition/10]:[3è composition]])</f>
        <v>#DIV/0!</v>
      </c>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f>COUNTIF(Tableau2[[#This Row],[Séance 1]:[Séance 38]],"A")</f>
        <v>0</v>
      </c>
      <c r="BJ684" s="35"/>
    </row>
    <row r="685" spans="1:62" s="42" customFormat="1" hidden="1" x14ac:dyDescent="0.2">
      <c r="A685" s="68" t="s">
        <v>1149</v>
      </c>
      <c r="B685" s="48" t="s">
        <v>1166</v>
      </c>
      <c r="C685" s="44" t="s">
        <v>1190</v>
      </c>
      <c r="D685" s="48" t="s">
        <v>334</v>
      </c>
      <c r="E685" s="44" t="s">
        <v>812</v>
      </c>
      <c r="F685" s="48">
        <v>2021</v>
      </c>
      <c r="G685" s="48">
        <v>36</v>
      </c>
      <c r="H685" s="48">
        <v>9</v>
      </c>
      <c r="I685" s="44" t="str">
        <f>Tableau2[[#This Row],[Annee d''inscription au programme]]&amp;"-"&amp;Tableau2[[#This Row],[Code d''ecole]]&amp;"-"&amp;Tableau2[[#This Row],[Numero HM de la fille]]</f>
        <v>2021-36-9</v>
      </c>
      <c r="J685" s="45" t="s">
        <v>1932</v>
      </c>
      <c r="K685" s="63" t="s">
        <v>593</v>
      </c>
      <c r="L685" s="35" t="s">
        <v>698</v>
      </c>
      <c r="M685" s="35">
        <v>3</v>
      </c>
      <c r="N685" s="35">
        <v>1.5</v>
      </c>
      <c r="O685" s="35">
        <f t="shared" si="20"/>
        <v>2.25</v>
      </c>
      <c r="P685" s="35">
        <v>6</v>
      </c>
      <c r="Q685" s="35">
        <v>1</v>
      </c>
      <c r="R685" s="35">
        <f t="shared" si="21"/>
        <v>3.5</v>
      </c>
      <c r="S685" s="35"/>
      <c r="T685" s="35"/>
      <c r="U685" s="35"/>
      <c r="V685" s="35" t="e">
        <f>AVERAGE(Tableau2[[#This Row],[1ère composition/10]:[3è composition]])</f>
        <v>#DIV/0!</v>
      </c>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f>COUNTIF(Tableau2[[#This Row],[Séance 1]:[Séance 38]],"A")</f>
        <v>0</v>
      </c>
      <c r="BJ685" s="35"/>
    </row>
    <row r="686" spans="1:62" s="42" customFormat="1" hidden="1" x14ac:dyDescent="0.2">
      <c r="A686" s="68" t="s">
        <v>1149</v>
      </c>
      <c r="B686" s="48" t="s">
        <v>1167</v>
      </c>
      <c r="C686" s="44" t="s">
        <v>1190</v>
      </c>
      <c r="D686" s="48" t="s">
        <v>239</v>
      </c>
      <c r="E686" s="44" t="s">
        <v>812</v>
      </c>
      <c r="F686" s="48">
        <v>2020</v>
      </c>
      <c r="G686" s="48">
        <v>36</v>
      </c>
      <c r="H686" s="48">
        <v>429</v>
      </c>
      <c r="I686" s="44" t="str">
        <f>Tableau2[[#This Row],[Annee d''inscription au programme]]&amp;"-"&amp;Tableau2[[#This Row],[Code d''ecole]]&amp;"-"&amp;Tableau2[[#This Row],[Numero HM de la fille]]</f>
        <v>2020-36-429</v>
      </c>
      <c r="J686" s="45" t="s">
        <v>1933</v>
      </c>
      <c r="K686" s="63" t="s">
        <v>374</v>
      </c>
      <c r="L686" s="35" t="s">
        <v>3530</v>
      </c>
      <c r="M686" s="35">
        <v>7</v>
      </c>
      <c r="N686" s="35">
        <v>6.5</v>
      </c>
      <c r="O686" s="35">
        <f t="shared" si="20"/>
        <v>6.75</v>
      </c>
      <c r="P686" s="35"/>
      <c r="Q686" s="35"/>
      <c r="R686" s="35">
        <f t="shared" si="21"/>
        <v>0</v>
      </c>
      <c r="S686" s="35"/>
      <c r="T686" s="35"/>
      <c r="U686" s="35"/>
      <c r="V686" s="35" t="e">
        <f>AVERAGE(Tableau2[[#This Row],[1ère composition/10]:[3è composition]])</f>
        <v>#DIV/0!</v>
      </c>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f>COUNTIF(Tableau2[[#This Row],[Séance 1]:[Séance 38]],"A")</f>
        <v>0</v>
      </c>
      <c r="BJ686" s="35"/>
    </row>
    <row r="687" spans="1:62" s="42" customFormat="1" hidden="1" x14ac:dyDescent="0.2">
      <c r="A687" s="68" t="s">
        <v>1149</v>
      </c>
      <c r="B687" s="48" t="s">
        <v>1168</v>
      </c>
      <c r="C687" s="44" t="s">
        <v>3854</v>
      </c>
      <c r="D687" s="48" t="s">
        <v>1008</v>
      </c>
      <c r="E687" s="44" t="s">
        <v>812</v>
      </c>
      <c r="F687" s="48">
        <v>2021</v>
      </c>
      <c r="G687" s="48">
        <v>36</v>
      </c>
      <c r="H687" s="48">
        <v>10</v>
      </c>
      <c r="I687" s="44" t="str">
        <f>Tableau2[[#This Row],[Annee d''inscription au programme]]&amp;"-"&amp;Tableau2[[#This Row],[Code d''ecole]]&amp;"-"&amp;Tableau2[[#This Row],[Numero HM de la fille]]</f>
        <v>2021-36-10</v>
      </c>
      <c r="J687" s="45" t="s">
        <v>1934</v>
      </c>
      <c r="K687" s="63" t="s">
        <v>593</v>
      </c>
      <c r="L687" s="35" t="s">
        <v>698</v>
      </c>
      <c r="M687" s="35">
        <v>8.5</v>
      </c>
      <c r="N687" s="35">
        <v>5</v>
      </c>
      <c r="O687" s="35">
        <f t="shared" si="20"/>
        <v>6.75</v>
      </c>
      <c r="P687" s="35">
        <v>7.5</v>
      </c>
      <c r="Q687" s="35">
        <v>6</v>
      </c>
      <c r="R687" s="35">
        <f t="shared" si="21"/>
        <v>6.75</v>
      </c>
      <c r="S687" s="35"/>
      <c r="T687" s="35"/>
      <c r="U687" s="35"/>
      <c r="V687" s="35" t="e">
        <f>AVERAGE(Tableau2[[#This Row],[1ère composition/10]:[3è composition]])</f>
        <v>#DIV/0!</v>
      </c>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f>COUNTIF(Tableau2[[#This Row],[Séance 1]:[Séance 38]],"A")</f>
        <v>0</v>
      </c>
      <c r="BJ687" s="35"/>
    </row>
    <row r="688" spans="1:62" s="42" customFormat="1" hidden="1" x14ac:dyDescent="0.2">
      <c r="A688" s="68" t="s">
        <v>1149</v>
      </c>
      <c r="B688" s="48" t="s">
        <v>1169</v>
      </c>
      <c r="C688" s="44" t="s">
        <v>3854</v>
      </c>
      <c r="D688" s="48" t="s">
        <v>215</v>
      </c>
      <c r="E688" s="44" t="s">
        <v>812</v>
      </c>
      <c r="F688" s="48">
        <v>2021</v>
      </c>
      <c r="G688" s="48">
        <v>36</v>
      </c>
      <c r="H688" s="48">
        <v>11</v>
      </c>
      <c r="I688" s="44" t="str">
        <f>Tableau2[[#This Row],[Annee d''inscription au programme]]&amp;"-"&amp;Tableau2[[#This Row],[Code d''ecole]]&amp;"-"&amp;Tableau2[[#This Row],[Numero HM de la fille]]</f>
        <v>2021-36-11</v>
      </c>
      <c r="J688" s="45" t="s">
        <v>1935</v>
      </c>
      <c r="K688" s="63" t="s">
        <v>593</v>
      </c>
      <c r="L688" s="35" t="s">
        <v>698</v>
      </c>
      <c r="M688" s="35">
        <v>14.5</v>
      </c>
      <c r="N688" s="35">
        <v>14.5</v>
      </c>
      <c r="O688" s="35">
        <f t="shared" si="20"/>
        <v>14.5</v>
      </c>
      <c r="P688" s="35">
        <v>13</v>
      </c>
      <c r="Q688" s="35">
        <v>18.5</v>
      </c>
      <c r="R688" s="35">
        <f t="shared" si="21"/>
        <v>15.75</v>
      </c>
      <c r="S688" s="35"/>
      <c r="T688" s="35"/>
      <c r="U688" s="35"/>
      <c r="V688" s="35" t="e">
        <f>AVERAGE(Tableau2[[#This Row],[1ère composition/10]:[3è composition]])</f>
        <v>#DIV/0!</v>
      </c>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f>COUNTIF(Tableau2[[#This Row],[Séance 1]:[Séance 38]],"A")</f>
        <v>0</v>
      </c>
      <c r="BJ688" s="35"/>
    </row>
    <row r="689" spans="1:62" s="42" customFormat="1" hidden="1" x14ac:dyDescent="0.2">
      <c r="A689" s="68" t="s">
        <v>1149</v>
      </c>
      <c r="B689" s="48" t="s">
        <v>1170</v>
      </c>
      <c r="C689" s="44" t="s">
        <v>1190</v>
      </c>
      <c r="D689" s="48" t="s">
        <v>334</v>
      </c>
      <c r="E689" s="44" t="s">
        <v>812</v>
      </c>
      <c r="F689" s="48">
        <v>2020</v>
      </c>
      <c r="G689" s="48">
        <v>36</v>
      </c>
      <c r="H689" s="48">
        <v>436</v>
      </c>
      <c r="I689" s="44" t="str">
        <f>Tableau2[[#This Row],[Annee d''inscription au programme]]&amp;"-"&amp;Tableau2[[#This Row],[Code d''ecole]]&amp;"-"&amp;Tableau2[[#This Row],[Numero HM de la fille]]</f>
        <v>2020-36-436</v>
      </c>
      <c r="J689" s="45" t="s">
        <v>1936</v>
      </c>
      <c r="K689" s="63" t="s">
        <v>374</v>
      </c>
      <c r="L689" s="35" t="s">
        <v>3530</v>
      </c>
      <c r="M689" s="35">
        <v>13.5</v>
      </c>
      <c r="N689" s="35">
        <v>14.5</v>
      </c>
      <c r="O689" s="35">
        <f t="shared" si="20"/>
        <v>14</v>
      </c>
      <c r="P689" s="35">
        <v>13.5</v>
      </c>
      <c r="Q689" s="35">
        <v>19</v>
      </c>
      <c r="R689" s="35">
        <f t="shared" si="21"/>
        <v>16.25</v>
      </c>
      <c r="S689" s="35"/>
      <c r="T689" s="35"/>
      <c r="U689" s="35"/>
      <c r="V689" s="35" t="e">
        <f>AVERAGE(Tableau2[[#This Row],[1ère composition/10]:[3è composition]])</f>
        <v>#DIV/0!</v>
      </c>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f>COUNTIF(Tableau2[[#This Row],[Séance 1]:[Séance 38]],"A")</f>
        <v>0</v>
      </c>
      <c r="BJ689" s="35"/>
    </row>
    <row r="690" spans="1:62" s="42" customFormat="1" hidden="1" x14ac:dyDescent="0.2">
      <c r="A690" s="68" t="s">
        <v>1149</v>
      </c>
      <c r="B690" s="48" t="s">
        <v>1171</v>
      </c>
      <c r="C690" s="44" t="s">
        <v>3854</v>
      </c>
      <c r="D690" s="48" t="s">
        <v>1172</v>
      </c>
      <c r="E690" s="44" t="s">
        <v>812</v>
      </c>
      <c r="F690" s="48">
        <v>2021</v>
      </c>
      <c r="G690" s="48">
        <v>36</v>
      </c>
      <c r="H690" s="48">
        <v>12</v>
      </c>
      <c r="I690" s="44" t="str">
        <f>Tableau2[[#This Row],[Annee d''inscription au programme]]&amp;"-"&amp;Tableau2[[#This Row],[Code d''ecole]]&amp;"-"&amp;Tableau2[[#This Row],[Numero HM de la fille]]</f>
        <v>2021-36-12</v>
      </c>
      <c r="J690" s="45" t="s">
        <v>1937</v>
      </c>
      <c r="K690" s="63" t="s">
        <v>593</v>
      </c>
      <c r="L690" s="35" t="s">
        <v>698</v>
      </c>
      <c r="M690" s="35">
        <v>15.5</v>
      </c>
      <c r="N690" s="35">
        <v>17</v>
      </c>
      <c r="O690" s="35">
        <f t="shared" si="20"/>
        <v>16.25</v>
      </c>
      <c r="P690" s="35">
        <v>14</v>
      </c>
      <c r="Q690" s="35">
        <v>20</v>
      </c>
      <c r="R690" s="35">
        <f t="shared" si="21"/>
        <v>17</v>
      </c>
      <c r="S690" s="35"/>
      <c r="T690" s="35"/>
      <c r="U690" s="35"/>
      <c r="V690" s="35" t="e">
        <f>AVERAGE(Tableau2[[#This Row],[1ère composition/10]:[3è composition]])</f>
        <v>#DIV/0!</v>
      </c>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f>COUNTIF(Tableau2[[#This Row],[Séance 1]:[Séance 38]],"A")</f>
        <v>0</v>
      </c>
      <c r="BJ690" s="35"/>
    </row>
    <row r="691" spans="1:62" s="42" customFormat="1" hidden="1" x14ac:dyDescent="0.2">
      <c r="A691" s="68" t="s">
        <v>1149</v>
      </c>
      <c r="B691" s="48" t="s">
        <v>1173</v>
      </c>
      <c r="C691" s="44" t="s">
        <v>1190</v>
      </c>
      <c r="D691" s="48" t="s">
        <v>1008</v>
      </c>
      <c r="E691" s="44" t="s">
        <v>812</v>
      </c>
      <c r="F691" s="48">
        <v>2020</v>
      </c>
      <c r="G691" s="48">
        <v>36</v>
      </c>
      <c r="H691" s="48">
        <v>425</v>
      </c>
      <c r="I691" s="44" t="str">
        <f>Tableau2[[#This Row],[Annee d''inscription au programme]]&amp;"-"&amp;Tableau2[[#This Row],[Code d''ecole]]&amp;"-"&amp;Tableau2[[#This Row],[Numero HM de la fille]]</f>
        <v>2020-36-425</v>
      </c>
      <c r="J691" s="45" t="s">
        <v>1938</v>
      </c>
      <c r="K691" s="63" t="s">
        <v>374</v>
      </c>
      <c r="L691" s="35" t="s">
        <v>3530</v>
      </c>
      <c r="M691" s="35">
        <v>7</v>
      </c>
      <c r="N691" s="35">
        <v>2</v>
      </c>
      <c r="O691" s="35">
        <f t="shared" si="20"/>
        <v>4.5</v>
      </c>
      <c r="P691" s="35">
        <v>5</v>
      </c>
      <c r="Q691" s="35">
        <v>1</v>
      </c>
      <c r="R691" s="35">
        <f t="shared" si="21"/>
        <v>3</v>
      </c>
      <c r="S691" s="35"/>
      <c r="T691" s="35"/>
      <c r="U691" s="35"/>
      <c r="V691" s="35" t="e">
        <f>AVERAGE(Tableau2[[#This Row],[1ère composition/10]:[3è composition]])</f>
        <v>#DIV/0!</v>
      </c>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f>COUNTIF(Tableau2[[#This Row],[Séance 1]:[Séance 38]],"A")</f>
        <v>0</v>
      </c>
      <c r="BJ691" s="35"/>
    </row>
    <row r="692" spans="1:62" s="42" customFormat="1" hidden="1" x14ac:dyDescent="0.2">
      <c r="A692" s="68" t="s">
        <v>1149</v>
      </c>
      <c r="B692" s="48" t="s">
        <v>1174</v>
      </c>
      <c r="C692" s="44" t="s">
        <v>1190</v>
      </c>
      <c r="D692" s="48" t="s">
        <v>592</v>
      </c>
      <c r="E692" s="44" t="s">
        <v>812</v>
      </c>
      <c r="F692" s="48">
        <v>2021</v>
      </c>
      <c r="G692" s="48">
        <v>36</v>
      </c>
      <c r="H692" s="48">
        <v>13</v>
      </c>
      <c r="I692" s="44" t="str">
        <f>Tableau2[[#This Row],[Annee d''inscription au programme]]&amp;"-"&amp;Tableau2[[#This Row],[Code d''ecole]]&amp;"-"&amp;Tableau2[[#This Row],[Numero HM de la fille]]</f>
        <v>2021-36-13</v>
      </c>
      <c r="J692" s="45" t="s">
        <v>1939</v>
      </c>
      <c r="K692" s="63" t="s">
        <v>593</v>
      </c>
      <c r="L692" s="35" t="s">
        <v>698</v>
      </c>
      <c r="M692" s="35">
        <v>0</v>
      </c>
      <c r="N692" s="35">
        <v>0</v>
      </c>
      <c r="O692" s="35">
        <f t="shared" si="20"/>
        <v>0</v>
      </c>
      <c r="P692" s="35">
        <v>5</v>
      </c>
      <c r="Q692" s="35">
        <v>1</v>
      </c>
      <c r="R692" s="35">
        <f t="shared" si="21"/>
        <v>3</v>
      </c>
      <c r="S692" s="35"/>
      <c r="T692" s="35"/>
      <c r="U692" s="35"/>
      <c r="V692" s="35" t="e">
        <f>AVERAGE(Tableau2[[#This Row],[1ère composition/10]:[3è composition]])</f>
        <v>#DIV/0!</v>
      </c>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f>COUNTIF(Tableau2[[#This Row],[Séance 1]:[Séance 38]],"A")</f>
        <v>0</v>
      </c>
      <c r="BJ692" s="35"/>
    </row>
    <row r="693" spans="1:62" s="42" customFormat="1" hidden="1" x14ac:dyDescent="0.2">
      <c r="A693" s="68" t="s">
        <v>1149</v>
      </c>
      <c r="B693" s="69" t="s">
        <v>1175</v>
      </c>
      <c r="C693" s="44" t="s">
        <v>3854</v>
      </c>
      <c r="D693" s="48" t="s">
        <v>760</v>
      </c>
      <c r="E693" s="44" t="s">
        <v>812</v>
      </c>
      <c r="F693" s="48">
        <v>2021</v>
      </c>
      <c r="G693" s="48">
        <v>36</v>
      </c>
      <c r="H693" s="48">
        <v>14</v>
      </c>
      <c r="I693" s="44" t="str">
        <f>Tableau2[[#This Row],[Annee d''inscription au programme]]&amp;"-"&amp;Tableau2[[#This Row],[Code d''ecole]]&amp;"-"&amp;Tableau2[[#This Row],[Numero HM de la fille]]</f>
        <v>2021-36-14</v>
      </c>
      <c r="J693" s="45" t="s">
        <v>1940</v>
      </c>
      <c r="K693" s="63" t="s">
        <v>593</v>
      </c>
      <c r="L693" s="35" t="s">
        <v>698</v>
      </c>
      <c r="M693" s="35">
        <v>10.5</v>
      </c>
      <c r="N693" s="35">
        <v>11</v>
      </c>
      <c r="O693" s="35">
        <f t="shared" si="20"/>
        <v>10.75</v>
      </c>
      <c r="P693" s="35">
        <v>10</v>
      </c>
      <c r="Q693" s="35">
        <v>19</v>
      </c>
      <c r="R693" s="35">
        <f t="shared" si="21"/>
        <v>14.5</v>
      </c>
      <c r="S693" s="35"/>
      <c r="T693" s="35"/>
      <c r="U693" s="35"/>
      <c r="V693" s="35" t="e">
        <f>AVERAGE(Tableau2[[#This Row],[1ère composition/10]:[3è composition]])</f>
        <v>#DIV/0!</v>
      </c>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f>COUNTIF(Tableau2[[#This Row],[Séance 1]:[Séance 38]],"A")</f>
        <v>0</v>
      </c>
      <c r="BJ693" s="35"/>
    </row>
    <row r="694" spans="1:62" s="42" customFormat="1" hidden="1" x14ac:dyDescent="0.2">
      <c r="A694" s="68" t="s">
        <v>1149</v>
      </c>
      <c r="B694" s="48" t="s">
        <v>1176</v>
      </c>
      <c r="C694" s="44" t="s">
        <v>3854</v>
      </c>
      <c r="D694" s="48" t="s">
        <v>1023</v>
      </c>
      <c r="E694" s="44" t="s">
        <v>812</v>
      </c>
      <c r="F694" s="48">
        <v>2021</v>
      </c>
      <c r="G694" s="48">
        <v>36</v>
      </c>
      <c r="H694" s="48">
        <v>15</v>
      </c>
      <c r="I694" s="44" t="str">
        <f>Tableau2[[#This Row],[Annee d''inscription au programme]]&amp;"-"&amp;Tableau2[[#This Row],[Code d''ecole]]&amp;"-"&amp;Tableau2[[#This Row],[Numero HM de la fille]]</f>
        <v>2021-36-15</v>
      </c>
      <c r="J694" s="45" t="s">
        <v>1941</v>
      </c>
      <c r="K694" s="63" t="s">
        <v>593</v>
      </c>
      <c r="L694" s="35" t="s">
        <v>698</v>
      </c>
      <c r="M694" s="35">
        <v>4</v>
      </c>
      <c r="N694" s="35">
        <v>1.5</v>
      </c>
      <c r="O694" s="35">
        <f t="shared" si="20"/>
        <v>2.75</v>
      </c>
      <c r="P694" s="35"/>
      <c r="Q694" s="35"/>
      <c r="R694" s="35">
        <f t="shared" si="21"/>
        <v>0</v>
      </c>
      <c r="S694" s="35"/>
      <c r="T694" s="35"/>
      <c r="U694" s="35"/>
      <c r="V694" s="35" t="e">
        <f>AVERAGE(Tableau2[[#This Row],[1ère composition/10]:[3è composition]])</f>
        <v>#DIV/0!</v>
      </c>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f>COUNTIF(Tableau2[[#This Row],[Séance 1]:[Séance 38]],"A")</f>
        <v>0</v>
      </c>
      <c r="BJ694" s="35"/>
    </row>
    <row r="695" spans="1:62" s="42" customFormat="1" hidden="1" x14ac:dyDescent="0.2">
      <c r="A695" s="68" t="s">
        <v>1149</v>
      </c>
      <c r="B695" s="48" t="s">
        <v>1177</v>
      </c>
      <c r="C695" s="44" t="s">
        <v>3854</v>
      </c>
      <c r="D695" s="48" t="s">
        <v>156</v>
      </c>
      <c r="E695" s="44" t="s">
        <v>812</v>
      </c>
      <c r="F695" s="48">
        <v>2021</v>
      </c>
      <c r="G695" s="48">
        <v>36</v>
      </c>
      <c r="H695" s="48">
        <v>16</v>
      </c>
      <c r="I695" s="44" t="str">
        <f>Tableau2[[#This Row],[Annee d''inscription au programme]]&amp;"-"&amp;Tableau2[[#This Row],[Code d''ecole]]&amp;"-"&amp;Tableau2[[#This Row],[Numero HM de la fille]]</f>
        <v>2021-36-16</v>
      </c>
      <c r="J695" s="45" t="s">
        <v>1942</v>
      </c>
      <c r="K695" s="63" t="s">
        <v>593</v>
      </c>
      <c r="L695" s="35" t="s">
        <v>698</v>
      </c>
      <c r="M695" s="35">
        <v>0</v>
      </c>
      <c r="N695" s="35">
        <v>0</v>
      </c>
      <c r="O695" s="35">
        <f t="shared" si="20"/>
        <v>0</v>
      </c>
      <c r="P695" s="35"/>
      <c r="Q695" s="35"/>
      <c r="R695" s="35">
        <f t="shared" si="21"/>
        <v>0</v>
      </c>
      <c r="S695" s="35"/>
      <c r="T695" s="35"/>
      <c r="U695" s="35"/>
      <c r="V695" s="35" t="e">
        <f>AVERAGE(Tableau2[[#This Row],[1ère composition/10]:[3è composition]])</f>
        <v>#DIV/0!</v>
      </c>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f>COUNTIF(Tableau2[[#This Row],[Séance 1]:[Séance 38]],"A")</f>
        <v>0</v>
      </c>
      <c r="BJ695" s="35"/>
    </row>
    <row r="696" spans="1:62" s="42" customFormat="1" hidden="1" x14ac:dyDescent="0.2">
      <c r="A696" s="68" t="s">
        <v>1149</v>
      </c>
      <c r="B696" s="48" t="s">
        <v>1178</v>
      </c>
      <c r="C696" s="44" t="s">
        <v>3854</v>
      </c>
      <c r="D696" s="48" t="s">
        <v>223</v>
      </c>
      <c r="E696" s="44" t="s">
        <v>812</v>
      </c>
      <c r="F696" s="48">
        <v>2021</v>
      </c>
      <c r="G696" s="48">
        <v>36</v>
      </c>
      <c r="H696" s="48">
        <v>17</v>
      </c>
      <c r="I696" s="44" t="str">
        <f>Tableau2[[#This Row],[Annee d''inscription au programme]]&amp;"-"&amp;Tableau2[[#This Row],[Code d''ecole]]&amp;"-"&amp;Tableau2[[#This Row],[Numero HM de la fille]]</f>
        <v>2021-36-17</v>
      </c>
      <c r="J696" s="45" t="s">
        <v>1943</v>
      </c>
      <c r="K696" s="63" t="s">
        <v>593</v>
      </c>
      <c r="L696" s="35" t="s">
        <v>698</v>
      </c>
      <c r="M696" s="35">
        <v>0</v>
      </c>
      <c r="N696" s="35">
        <v>0</v>
      </c>
      <c r="O696" s="35">
        <f t="shared" si="20"/>
        <v>0</v>
      </c>
      <c r="P696" s="35"/>
      <c r="Q696" s="35"/>
      <c r="R696" s="35">
        <f t="shared" si="21"/>
        <v>0</v>
      </c>
      <c r="S696" s="35"/>
      <c r="T696" s="35"/>
      <c r="U696" s="35"/>
      <c r="V696" s="35" t="e">
        <f>AVERAGE(Tableau2[[#This Row],[1ère composition/10]:[3è composition]])</f>
        <v>#DIV/0!</v>
      </c>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f>COUNTIF(Tableau2[[#This Row],[Séance 1]:[Séance 38]],"A")</f>
        <v>0</v>
      </c>
      <c r="BJ696" s="35"/>
    </row>
    <row r="697" spans="1:62" s="42" customFormat="1" hidden="1" x14ac:dyDescent="0.2">
      <c r="A697" s="68" t="s">
        <v>1149</v>
      </c>
      <c r="B697" s="48" t="s">
        <v>1179</v>
      </c>
      <c r="C697" s="44" t="s">
        <v>3854</v>
      </c>
      <c r="D697" s="48" t="s">
        <v>225</v>
      </c>
      <c r="E697" s="44" t="s">
        <v>812</v>
      </c>
      <c r="F697" s="48">
        <v>2021</v>
      </c>
      <c r="G697" s="48">
        <v>36</v>
      </c>
      <c r="H697" s="48">
        <v>18</v>
      </c>
      <c r="I697" s="44" t="str">
        <f>Tableau2[[#This Row],[Annee d''inscription au programme]]&amp;"-"&amp;Tableau2[[#This Row],[Code d''ecole]]&amp;"-"&amp;Tableau2[[#This Row],[Numero HM de la fille]]</f>
        <v>2021-36-18</v>
      </c>
      <c r="J697" s="45" t="s">
        <v>1944</v>
      </c>
      <c r="K697" s="63" t="s">
        <v>593</v>
      </c>
      <c r="L697" s="35" t="s">
        <v>698</v>
      </c>
      <c r="M697" s="35">
        <v>0</v>
      </c>
      <c r="N697" s="35">
        <v>0</v>
      </c>
      <c r="O697" s="35">
        <f t="shared" si="20"/>
        <v>0</v>
      </c>
      <c r="P697" s="35"/>
      <c r="Q697" s="35"/>
      <c r="R697" s="35">
        <f t="shared" si="21"/>
        <v>0</v>
      </c>
      <c r="S697" s="35"/>
      <c r="T697" s="35"/>
      <c r="U697" s="35"/>
      <c r="V697" s="35" t="e">
        <f>AVERAGE(Tableau2[[#This Row],[1ère composition/10]:[3è composition]])</f>
        <v>#DIV/0!</v>
      </c>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f>COUNTIF(Tableau2[[#This Row],[Séance 1]:[Séance 38]],"A")</f>
        <v>0</v>
      </c>
      <c r="BJ697" s="35"/>
    </row>
    <row r="698" spans="1:62" s="42" customFormat="1" hidden="1" x14ac:dyDescent="0.2">
      <c r="A698" s="68" t="s">
        <v>1149</v>
      </c>
      <c r="B698" s="48" t="s">
        <v>1181</v>
      </c>
      <c r="C698" s="44" t="s">
        <v>3854</v>
      </c>
      <c r="D698" s="48" t="s">
        <v>1180</v>
      </c>
      <c r="E698" s="44" t="s">
        <v>812</v>
      </c>
      <c r="F698" s="48">
        <v>2021</v>
      </c>
      <c r="G698" s="48">
        <v>36</v>
      </c>
      <c r="H698" s="48">
        <v>19</v>
      </c>
      <c r="I698" s="44" t="str">
        <f>Tableau2[[#This Row],[Annee d''inscription au programme]]&amp;"-"&amp;Tableau2[[#This Row],[Code d''ecole]]&amp;"-"&amp;Tableau2[[#This Row],[Numero HM de la fille]]</f>
        <v>2021-36-19</v>
      </c>
      <c r="J698" s="45" t="s">
        <v>1945</v>
      </c>
      <c r="K698" s="63" t="s">
        <v>593</v>
      </c>
      <c r="L698" s="35" t="s">
        <v>698</v>
      </c>
      <c r="M698" s="35">
        <v>10.5</v>
      </c>
      <c r="N698" s="35">
        <v>3</v>
      </c>
      <c r="O698" s="35">
        <f t="shared" si="20"/>
        <v>6.75</v>
      </c>
      <c r="P698" s="35">
        <v>10</v>
      </c>
      <c r="Q698" s="35">
        <v>11.5</v>
      </c>
      <c r="R698" s="35">
        <f t="shared" si="21"/>
        <v>10.75</v>
      </c>
      <c r="S698" s="35"/>
      <c r="T698" s="35"/>
      <c r="U698" s="35"/>
      <c r="V698" s="35" t="e">
        <f>AVERAGE(Tableau2[[#This Row],[1ère composition/10]:[3è composition]])</f>
        <v>#DIV/0!</v>
      </c>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f>COUNTIF(Tableau2[[#This Row],[Séance 1]:[Séance 38]],"A")</f>
        <v>0</v>
      </c>
      <c r="BJ698" s="35"/>
    </row>
    <row r="699" spans="1:62" s="42" customFormat="1" hidden="1" x14ac:dyDescent="0.2">
      <c r="A699" s="44" t="s">
        <v>1192</v>
      </c>
      <c r="B699" s="44" t="s">
        <v>1174</v>
      </c>
      <c r="C699" s="44" t="s">
        <v>1193</v>
      </c>
      <c r="D699" s="44" t="s">
        <v>601</v>
      </c>
      <c r="E699" s="44" t="s">
        <v>812</v>
      </c>
      <c r="F699" s="48">
        <v>2021</v>
      </c>
      <c r="G699" s="48">
        <v>49</v>
      </c>
      <c r="H699" s="48">
        <v>1</v>
      </c>
      <c r="I699" s="44" t="str">
        <f>Tableau2[[#This Row],[Annee d''inscription au programme]]&amp;"-"&amp;Tableau2[[#This Row],[Code d''ecole]]&amp;"-"&amp;Tableau2[[#This Row],[Numero HM de la fille]]</f>
        <v>2021-49-1</v>
      </c>
      <c r="J699" s="45" t="s">
        <v>1946</v>
      </c>
      <c r="K699" s="63" t="s">
        <v>593</v>
      </c>
      <c r="L699" s="35" t="s">
        <v>698</v>
      </c>
      <c r="M699" s="35">
        <v>6.5</v>
      </c>
      <c r="N699" s="35">
        <v>2</v>
      </c>
      <c r="O699" s="35">
        <f t="shared" si="20"/>
        <v>4.25</v>
      </c>
      <c r="P699" s="35">
        <v>5</v>
      </c>
      <c r="Q699" s="35">
        <v>13</v>
      </c>
      <c r="R699" s="35">
        <f t="shared" si="21"/>
        <v>9</v>
      </c>
      <c r="S699" s="35"/>
      <c r="T699" s="35"/>
      <c r="U699" s="35"/>
      <c r="V699" s="35" t="e">
        <f>AVERAGE(Tableau2[[#This Row],[1ère composition/10]:[3è composition]])</f>
        <v>#DIV/0!</v>
      </c>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f>COUNTIF(Tableau2[[#This Row],[Séance 1]:[Séance 38]],"A")</f>
        <v>0</v>
      </c>
      <c r="BJ699" s="35"/>
    </row>
    <row r="700" spans="1:62" s="42" customFormat="1" hidden="1" x14ac:dyDescent="0.2">
      <c r="A700" s="44" t="s">
        <v>1192</v>
      </c>
      <c r="B700" s="44" t="s">
        <v>1216</v>
      </c>
      <c r="C700" s="44" t="s">
        <v>1215</v>
      </c>
      <c r="D700" s="44" t="s">
        <v>1214</v>
      </c>
      <c r="E700" s="44" t="s">
        <v>812</v>
      </c>
      <c r="F700" s="48">
        <v>2021</v>
      </c>
      <c r="G700" s="48">
        <v>49</v>
      </c>
      <c r="H700" s="48">
        <v>2</v>
      </c>
      <c r="I700" s="44" t="str">
        <f>Tableau2[[#This Row],[Annee d''inscription au programme]]&amp;"-"&amp;Tableau2[[#This Row],[Code d''ecole]]&amp;"-"&amp;Tableau2[[#This Row],[Numero HM de la fille]]</f>
        <v>2021-49-2</v>
      </c>
      <c r="J700" s="45" t="s">
        <v>1947</v>
      </c>
      <c r="K700" s="63" t="s">
        <v>593</v>
      </c>
      <c r="L700" s="35" t="s">
        <v>698</v>
      </c>
      <c r="M700" s="35">
        <v>0</v>
      </c>
      <c r="N700" s="35">
        <v>0</v>
      </c>
      <c r="O700" s="35">
        <f t="shared" si="20"/>
        <v>0</v>
      </c>
      <c r="P700" s="35"/>
      <c r="Q700" s="35"/>
      <c r="R700" s="35">
        <f t="shared" si="21"/>
        <v>0</v>
      </c>
      <c r="S700" s="35"/>
      <c r="T700" s="35"/>
      <c r="U700" s="35"/>
      <c r="V700" s="35" t="e">
        <f>AVERAGE(Tableau2[[#This Row],[1ère composition/10]:[3è composition]])</f>
        <v>#DIV/0!</v>
      </c>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f>COUNTIF(Tableau2[[#This Row],[Séance 1]:[Séance 38]],"A")</f>
        <v>0</v>
      </c>
      <c r="BJ700" s="35"/>
    </row>
    <row r="701" spans="1:62" s="42" customFormat="1" hidden="1" x14ac:dyDescent="0.2">
      <c r="A701" s="44" t="s">
        <v>1192</v>
      </c>
      <c r="B701" s="44" t="s">
        <v>1213</v>
      </c>
      <c r="C701" s="44" t="s">
        <v>1200</v>
      </c>
      <c r="D701" s="44" t="s">
        <v>239</v>
      </c>
      <c r="E701" s="44" t="s">
        <v>812</v>
      </c>
      <c r="F701" s="48">
        <v>2021</v>
      </c>
      <c r="G701" s="48">
        <v>49</v>
      </c>
      <c r="H701" s="48">
        <v>3</v>
      </c>
      <c r="I701" s="44" t="str">
        <f>Tableau2[[#This Row],[Annee d''inscription au programme]]&amp;"-"&amp;Tableau2[[#This Row],[Code d''ecole]]&amp;"-"&amp;Tableau2[[#This Row],[Numero HM de la fille]]</f>
        <v>2021-49-3</v>
      </c>
      <c r="J701" s="45" t="s">
        <v>1948</v>
      </c>
      <c r="K701" s="63" t="s">
        <v>593</v>
      </c>
      <c r="L701" s="35" t="s">
        <v>698</v>
      </c>
      <c r="M701" s="35">
        <v>8.5</v>
      </c>
      <c r="N701" s="35">
        <v>7</v>
      </c>
      <c r="O701" s="35">
        <f t="shared" si="20"/>
        <v>7.75</v>
      </c>
      <c r="P701" s="35">
        <v>8</v>
      </c>
      <c r="Q701" s="35">
        <v>6.5</v>
      </c>
      <c r="R701" s="35">
        <f t="shared" si="21"/>
        <v>7.25</v>
      </c>
      <c r="S701" s="35"/>
      <c r="T701" s="35"/>
      <c r="U701" s="35"/>
      <c r="V701" s="35" t="e">
        <f>AVERAGE(Tableau2[[#This Row],[1ère composition/10]:[3è composition]])</f>
        <v>#DIV/0!</v>
      </c>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f>COUNTIF(Tableau2[[#This Row],[Séance 1]:[Séance 38]],"A")</f>
        <v>0</v>
      </c>
      <c r="BJ701" s="35"/>
    </row>
    <row r="702" spans="1:62" s="42" customFormat="1" hidden="1" x14ac:dyDescent="0.2">
      <c r="A702" s="44" t="s">
        <v>1192</v>
      </c>
      <c r="B702" s="44" t="s">
        <v>1212</v>
      </c>
      <c r="C702" s="44" t="s">
        <v>1200</v>
      </c>
      <c r="D702" s="44" t="s">
        <v>949</v>
      </c>
      <c r="E702" s="44" t="s">
        <v>812</v>
      </c>
      <c r="F702" s="48">
        <v>2021</v>
      </c>
      <c r="G702" s="48">
        <v>49</v>
      </c>
      <c r="H702" s="48">
        <v>4</v>
      </c>
      <c r="I702" s="44" t="str">
        <f>Tableau2[[#This Row],[Annee d''inscription au programme]]&amp;"-"&amp;Tableau2[[#This Row],[Code d''ecole]]&amp;"-"&amp;Tableau2[[#This Row],[Numero HM de la fille]]</f>
        <v>2021-49-4</v>
      </c>
      <c r="J702" s="45" t="s">
        <v>1949</v>
      </c>
      <c r="K702" s="63" t="s">
        <v>593</v>
      </c>
      <c r="L702" s="35" t="s">
        <v>698</v>
      </c>
      <c r="M702" s="35">
        <v>10.5</v>
      </c>
      <c r="N702" s="35">
        <v>4</v>
      </c>
      <c r="O702" s="35">
        <f t="shared" si="20"/>
        <v>7.25</v>
      </c>
      <c r="P702" s="35">
        <v>15.75</v>
      </c>
      <c r="Q702" s="35">
        <v>11</v>
      </c>
      <c r="R702" s="35">
        <f t="shared" si="21"/>
        <v>13.375</v>
      </c>
      <c r="S702" s="35"/>
      <c r="T702" s="35"/>
      <c r="U702" s="35"/>
      <c r="V702" s="35" t="e">
        <f>AVERAGE(Tableau2[[#This Row],[1ère composition/10]:[3è composition]])</f>
        <v>#DIV/0!</v>
      </c>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f>COUNTIF(Tableau2[[#This Row],[Séance 1]:[Séance 38]],"A")</f>
        <v>0</v>
      </c>
      <c r="BJ702" s="35"/>
    </row>
    <row r="703" spans="1:62" s="42" customFormat="1" hidden="1" x14ac:dyDescent="0.2">
      <c r="A703" s="44" t="s">
        <v>1192</v>
      </c>
      <c r="B703" s="44" t="s">
        <v>1211</v>
      </c>
      <c r="C703" s="44" t="s">
        <v>1200</v>
      </c>
      <c r="D703" s="44" t="s">
        <v>225</v>
      </c>
      <c r="E703" s="44" t="s">
        <v>812</v>
      </c>
      <c r="F703" s="48">
        <v>2021</v>
      </c>
      <c r="G703" s="48">
        <v>49</v>
      </c>
      <c r="H703" s="48">
        <v>5</v>
      </c>
      <c r="I703" s="44" t="str">
        <f>Tableau2[[#This Row],[Annee d''inscription au programme]]&amp;"-"&amp;Tableau2[[#This Row],[Code d''ecole]]&amp;"-"&amp;Tableau2[[#This Row],[Numero HM de la fille]]</f>
        <v>2021-49-5</v>
      </c>
      <c r="J703" s="45" t="s">
        <v>1950</v>
      </c>
      <c r="K703" s="63" t="s">
        <v>593</v>
      </c>
      <c r="L703" s="35" t="s">
        <v>698</v>
      </c>
      <c r="M703" s="35">
        <v>0</v>
      </c>
      <c r="N703" s="35">
        <v>0</v>
      </c>
      <c r="O703" s="35">
        <f t="shared" si="20"/>
        <v>0</v>
      </c>
      <c r="P703" s="35"/>
      <c r="Q703" s="35"/>
      <c r="R703" s="35">
        <f t="shared" si="21"/>
        <v>0</v>
      </c>
      <c r="S703" s="35"/>
      <c r="T703" s="35"/>
      <c r="U703" s="35"/>
      <c r="V703" s="35" t="e">
        <f>AVERAGE(Tableau2[[#This Row],[1ère composition/10]:[3è composition]])</f>
        <v>#DIV/0!</v>
      </c>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f>COUNTIF(Tableau2[[#This Row],[Séance 1]:[Séance 38]],"A")</f>
        <v>0</v>
      </c>
      <c r="BJ703" s="35"/>
    </row>
    <row r="704" spans="1:62" s="42" customFormat="1" hidden="1" x14ac:dyDescent="0.2">
      <c r="A704" s="44" t="s">
        <v>1192</v>
      </c>
      <c r="B704" s="44" t="s">
        <v>1210</v>
      </c>
      <c r="C704" s="44" t="s">
        <v>1200</v>
      </c>
      <c r="D704" s="44" t="s">
        <v>1209</v>
      </c>
      <c r="E704" s="44" t="s">
        <v>812</v>
      </c>
      <c r="F704" s="48">
        <v>2021</v>
      </c>
      <c r="G704" s="48">
        <v>49</v>
      </c>
      <c r="H704" s="48">
        <v>6</v>
      </c>
      <c r="I704" s="44" t="str">
        <f>Tableau2[[#This Row],[Annee d''inscription au programme]]&amp;"-"&amp;Tableau2[[#This Row],[Code d''ecole]]&amp;"-"&amp;Tableau2[[#This Row],[Numero HM de la fille]]</f>
        <v>2021-49-6</v>
      </c>
      <c r="J704" s="45" t="s">
        <v>1951</v>
      </c>
      <c r="K704" s="63" t="s">
        <v>593</v>
      </c>
      <c r="L704" s="35" t="s">
        <v>698</v>
      </c>
      <c r="M704" s="35">
        <v>13.5</v>
      </c>
      <c r="N704" s="35">
        <v>3</v>
      </c>
      <c r="O704" s="35">
        <f t="shared" si="20"/>
        <v>8.25</v>
      </c>
      <c r="P704" s="35">
        <v>13.25</v>
      </c>
      <c r="Q704" s="35">
        <v>6</v>
      </c>
      <c r="R704" s="35">
        <f t="shared" si="21"/>
        <v>9.625</v>
      </c>
      <c r="S704" s="35"/>
      <c r="T704" s="35"/>
      <c r="U704" s="35"/>
      <c r="V704" s="35" t="e">
        <f>AVERAGE(Tableau2[[#This Row],[1ère composition/10]:[3è composition]])</f>
        <v>#DIV/0!</v>
      </c>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f>COUNTIF(Tableau2[[#This Row],[Séance 1]:[Séance 38]],"A")</f>
        <v>0</v>
      </c>
      <c r="BJ704" s="35"/>
    </row>
    <row r="705" spans="1:62" s="42" customFormat="1" hidden="1" x14ac:dyDescent="0.2">
      <c r="A705" s="44" t="s">
        <v>1192</v>
      </c>
      <c r="B705" s="44" t="s">
        <v>1208</v>
      </c>
      <c r="C705" s="44" t="s">
        <v>1200</v>
      </c>
      <c r="D705" s="44" t="s">
        <v>992</v>
      </c>
      <c r="E705" s="44" t="s">
        <v>812</v>
      </c>
      <c r="F705" s="48">
        <v>2021</v>
      </c>
      <c r="G705" s="48">
        <v>49</v>
      </c>
      <c r="H705" s="48">
        <v>7</v>
      </c>
      <c r="I705" s="44" t="str">
        <f>Tableau2[[#This Row],[Annee d''inscription au programme]]&amp;"-"&amp;Tableau2[[#This Row],[Code d''ecole]]&amp;"-"&amp;Tableau2[[#This Row],[Numero HM de la fille]]</f>
        <v>2021-49-7</v>
      </c>
      <c r="J705" s="45" t="s">
        <v>1952</v>
      </c>
      <c r="K705" s="63" t="s">
        <v>593</v>
      </c>
      <c r="L705" s="35" t="s">
        <v>698</v>
      </c>
      <c r="M705" s="35">
        <v>12</v>
      </c>
      <c r="N705" s="35">
        <v>5.5</v>
      </c>
      <c r="O705" s="35">
        <f t="shared" si="20"/>
        <v>8.75</v>
      </c>
      <c r="P705" s="35">
        <v>13.5</v>
      </c>
      <c r="Q705" s="35">
        <v>16</v>
      </c>
      <c r="R705" s="35">
        <f t="shared" si="21"/>
        <v>14.75</v>
      </c>
      <c r="S705" s="35"/>
      <c r="T705" s="35"/>
      <c r="U705" s="35"/>
      <c r="V705" s="35" t="e">
        <f>AVERAGE(Tableau2[[#This Row],[1ère composition/10]:[3è composition]])</f>
        <v>#DIV/0!</v>
      </c>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f>COUNTIF(Tableau2[[#This Row],[Séance 1]:[Séance 38]],"A")</f>
        <v>0</v>
      </c>
      <c r="BJ705" s="35"/>
    </row>
    <row r="706" spans="1:62" s="42" customFormat="1" hidden="1" x14ac:dyDescent="0.2">
      <c r="A706" s="44" t="s">
        <v>1192</v>
      </c>
      <c r="B706" s="44" t="s">
        <v>1207</v>
      </c>
      <c r="C706" s="44" t="s">
        <v>1200</v>
      </c>
      <c r="D706" s="44" t="s">
        <v>1206</v>
      </c>
      <c r="E706" s="44" t="s">
        <v>812</v>
      </c>
      <c r="F706" s="48">
        <v>2021</v>
      </c>
      <c r="G706" s="48">
        <v>49</v>
      </c>
      <c r="H706" s="48">
        <v>8</v>
      </c>
      <c r="I706" s="44" t="str">
        <f>Tableau2[[#This Row],[Annee d''inscription au programme]]&amp;"-"&amp;Tableau2[[#This Row],[Code d''ecole]]&amp;"-"&amp;Tableau2[[#This Row],[Numero HM de la fille]]</f>
        <v>2021-49-8</v>
      </c>
      <c r="J706" s="45" t="s">
        <v>1953</v>
      </c>
      <c r="K706" s="63" t="s">
        <v>593</v>
      </c>
      <c r="L706" s="35" t="s">
        <v>698</v>
      </c>
      <c r="M706" s="35">
        <v>13.5</v>
      </c>
      <c r="N706" s="35">
        <v>3.5</v>
      </c>
      <c r="O706" s="35">
        <f t="shared" si="20"/>
        <v>8.5</v>
      </c>
      <c r="P706" s="35">
        <v>16</v>
      </c>
      <c r="Q706" s="35">
        <v>18</v>
      </c>
      <c r="R706" s="35">
        <f t="shared" si="21"/>
        <v>17</v>
      </c>
      <c r="S706" s="35"/>
      <c r="T706" s="35"/>
      <c r="U706" s="35"/>
      <c r="V706" s="35" t="e">
        <f>AVERAGE(Tableau2[[#This Row],[1ère composition/10]:[3è composition]])</f>
        <v>#DIV/0!</v>
      </c>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f>COUNTIF(Tableau2[[#This Row],[Séance 1]:[Séance 38]],"A")</f>
        <v>0</v>
      </c>
      <c r="BJ706" s="35"/>
    </row>
    <row r="707" spans="1:62" s="42" customFormat="1" hidden="1" x14ac:dyDescent="0.2">
      <c r="A707" s="44" t="s">
        <v>1192</v>
      </c>
      <c r="B707" s="44" t="s">
        <v>1205</v>
      </c>
      <c r="C707" s="44" t="s">
        <v>1200</v>
      </c>
      <c r="D707" s="44" t="s">
        <v>239</v>
      </c>
      <c r="E707" s="44" t="s">
        <v>812</v>
      </c>
      <c r="F707" s="48">
        <v>2021</v>
      </c>
      <c r="G707" s="48">
        <v>49</v>
      </c>
      <c r="H707" s="48">
        <v>9</v>
      </c>
      <c r="I707" s="44" t="str">
        <f>Tableau2[[#This Row],[Annee d''inscription au programme]]&amp;"-"&amp;Tableau2[[#This Row],[Code d''ecole]]&amp;"-"&amp;Tableau2[[#This Row],[Numero HM de la fille]]</f>
        <v>2021-49-9</v>
      </c>
      <c r="J707" s="45" t="s">
        <v>1954</v>
      </c>
      <c r="K707" s="63" t="s">
        <v>593</v>
      </c>
      <c r="L707" s="35" t="s">
        <v>698</v>
      </c>
      <c r="M707" s="35">
        <v>9.5</v>
      </c>
      <c r="N707" s="35">
        <v>1.5</v>
      </c>
      <c r="O707" s="35">
        <f t="shared" si="20"/>
        <v>5.5</v>
      </c>
      <c r="P707" s="35">
        <v>3</v>
      </c>
      <c r="Q707" s="35">
        <v>7</v>
      </c>
      <c r="R707" s="35">
        <f t="shared" si="21"/>
        <v>5</v>
      </c>
      <c r="S707" s="35"/>
      <c r="T707" s="35"/>
      <c r="U707" s="35"/>
      <c r="V707" s="35" t="e">
        <f>AVERAGE(Tableau2[[#This Row],[1ère composition/10]:[3è composition]])</f>
        <v>#DIV/0!</v>
      </c>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f>COUNTIF(Tableau2[[#This Row],[Séance 1]:[Séance 38]],"A")</f>
        <v>0</v>
      </c>
      <c r="BJ707" s="35"/>
    </row>
    <row r="708" spans="1:62" s="42" customFormat="1" hidden="1" x14ac:dyDescent="0.2">
      <c r="A708" s="44" t="s">
        <v>1192</v>
      </c>
      <c r="B708" s="44" t="s">
        <v>1204</v>
      </c>
      <c r="C708" s="44" t="s">
        <v>1200</v>
      </c>
      <c r="D708" s="44" t="s">
        <v>215</v>
      </c>
      <c r="E708" s="44" t="s">
        <v>812</v>
      </c>
      <c r="F708" s="48">
        <v>2021</v>
      </c>
      <c r="G708" s="48">
        <v>49</v>
      </c>
      <c r="H708" s="48">
        <v>10</v>
      </c>
      <c r="I708" s="44" t="str">
        <f>Tableau2[[#This Row],[Annee d''inscription au programme]]&amp;"-"&amp;Tableau2[[#This Row],[Code d''ecole]]&amp;"-"&amp;Tableau2[[#This Row],[Numero HM de la fille]]</f>
        <v>2021-49-10</v>
      </c>
      <c r="J708" s="45" t="s">
        <v>1955</v>
      </c>
      <c r="K708" s="63" t="s">
        <v>593</v>
      </c>
      <c r="L708" s="35" t="s">
        <v>698</v>
      </c>
      <c r="M708" s="35">
        <v>8</v>
      </c>
      <c r="N708" s="35">
        <v>1.5</v>
      </c>
      <c r="O708" s="35">
        <f t="shared" si="20"/>
        <v>4.75</v>
      </c>
      <c r="P708" s="35">
        <v>9</v>
      </c>
      <c r="Q708" s="35">
        <v>11.5</v>
      </c>
      <c r="R708" s="35">
        <f t="shared" si="21"/>
        <v>10.25</v>
      </c>
      <c r="S708" s="35"/>
      <c r="T708" s="35"/>
      <c r="U708" s="35"/>
      <c r="V708" s="35" t="e">
        <f>AVERAGE(Tableau2[[#This Row],[1ère composition/10]:[3è composition]])</f>
        <v>#DIV/0!</v>
      </c>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f>COUNTIF(Tableau2[[#This Row],[Séance 1]:[Séance 38]],"A")</f>
        <v>0</v>
      </c>
      <c r="BJ708" s="35"/>
    </row>
    <row r="709" spans="1:62" s="42" customFormat="1" hidden="1" x14ac:dyDescent="0.2">
      <c r="A709" s="44" t="s">
        <v>1192</v>
      </c>
      <c r="B709" s="44" t="s">
        <v>1203</v>
      </c>
      <c r="C709" s="44" t="s">
        <v>1200</v>
      </c>
      <c r="D709" s="44" t="s">
        <v>1202</v>
      </c>
      <c r="E709" s="44" t="s">
        <v>812</v>
      </c>
      <c r="F709" s="48">
        <v>2021</v>
      </c>
      <c r="G709" s="48">
        <v>49</v>
      </c>
      <c r="H709" s="48">
        <v>11</v>
      </c>
      <c r="I709" s="44" t="str">
        <f>Tableau2[[#This Row],[Annee d''inscription au programme]]&amp;"-"&amp;Tableau2[[#This Row],[Code d''ecole]]&amp;"-"&amp;Tableau2[[#This Row],[Numero HM de la fille]]</f>
        <v>2021-49-11</v>
      </c>
      <c r="J709" s="45" t="s">
        <v>1956</v>
      </c>
      <c r="K709" s="63" t="s">
        <v>593</v>
      </c>
      <c r="L709" s="35" t="s">
        <v>698</v>
      </c>
      <c r="M709" s="35">
        <v>5.5</v>
      </c>
      <c r="N709" s="35">
        <v>1</v>
      </c>
      <c r="O709" s="35">
        <f t="shared" ref="O709:O772" si="22">AVERAGE(M709+N709)/2</f>
        <v>3.25</v>
      </c>
      <c r="P709" s="35">
        <v>5.5</v>
      </c>
      <c r="Q709" s="35">
        <v>6.5</v>
      </c>
      <c r="R709" s="35">
        <f t="shared" ref="R709:R772" si="23">AVERAGE(P709+Q709)/2</f>
        <v>6</v>
      </c>
      <c r="S709" s="35"/>
      <c r="T709" s="35"/>
      <c r="U709" s="35"/>
      <c r="V709" s="35" t="e">
        <f>AVERAGE(Tableau2[[#This Row],[1ère composition/10]:[3è composition]])</f>
        <v>#DIV/0!</v>
      </c>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f>COUNTIF(Tableau2[[#This Row],[Séance 1]:[Séance 38]],"A")</f>
        <v>0</v>
      </c>
      <c r="BJ709" s="35"/>
    </row>
    <row r="710" spans="1:62" s="42" customFormat="1" hidden="1" x14ac:dyDescent="0.2">
      <c r="A710" s="44" t="s">
        <v>1192</v>
      </c>
      <c r="B710" s="44" t="s">
        <v>1201</v>
      </c>
      <c r="C710" s="44" t="s">
        <v>1200</v>
      </c>
      <c r="D710" s="44" t="s">
        <v>215</v>
      </c>
      <c r="E710" s="44" t="s">
        <v>812</v>
      </c>
      <c r="F710" s="48">
        <v>2021</v>
      </c>
      <c r="G710" s="48">
        <v>49</v>
      </c>
      <c r="H710" s="48">
        <v>12</v>
      </c>
      <c r="I710" s="44" t="str">
        <f>Tableau2[[#This Row],[Annee d''inscription au programme]]&amp;"-"&amp;Tableau2[[#This Row],[Code d''ecole]]&amp;"-"&amp;Tableau2[[#This Row],[Numero HM de la fille]]</f>
        <v>2021-49-12</v>
      </c>
      <c r="J710" s="45" t="s">
        <v>1957</v>
      </c>
      <c r="K710" s="63" t="s">
        <v>593</v>
      </c>
      <c r="L710" s="35" t="s">
        <v>698</v>
      </c>
      <c r="M710" s="35">
        <v>11.5</v>
      </c>
      <c r="N710" s="35">
        <v>7</v>
      </c>
      <c r="O710" s="35">
        <f t="shared" si="22"/>
        <v>9.25</v>
      </c>
      <c r="P710" s="35">
        <v>17.25</v>
      </c>
      <c r="Q710" s="35">
        <v>17.5</v>
      </c>
      <c r="R710" s="35">
        <f t="shared" si="23"/>
        <v>17.375</v>
      </c>
      <c r="S710" s="35"/>
      <c r="T710" s="35"/>
      <c r="U710" s="35"/>
      <c r="V710" s="35" t="e">
        <f>AVERAGE(Tableau2[[#This Row],[1ère composition/10]:[3è composition]])</f>
        <v>#DIV/0!</v>
      </c>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f>COUNTIF(Tableau2[[#This Row],[Séance 1]:[Séance 38]],"A")</f>
        <v>0</v>
      </c>
      <c r="BJ710" s="35"/>
    </row>
    <row r="711" spans="1:62" s="42" customFormat="1" hidden="1" x14ac:dyDescent="0.2">
      <c r="A711" s="44" t="s">
        <v>1192</v>
      </c>
      <c r="B711" s="44" t="s">
        <v>1199</v>
      </c>
      <c r="C711" s="44" t="s">
        <v>1193</v>
      </c>
      <c r="D711" s="44" t="s">
        <v>1198</v>
      </c>
      <c r="E711" s="44" t="s">
        <v>812</v>
      </c>
      <c r="F711" s="48">
        <v>2021</v>
      </c>
      <c r="G711" s="48">
        <v>49</v>
      </c>
      <c r="H711" s="48">
        <v>13</v>
      </c>
      <c r="I711" s="44" t="str">
        <f>Tableau2[[#This Row],[Annee d''inscription au programme]]&amp;"-"&amp;Tableau2[[#This Row],[Code d''ecole]]&amp;"-"&amp;Tableau2[[#This Row],[Numero HM de la fille]]</f>
        <v>2021-49-13</v>
      </c>
      <c r="J711" s="45" t="s">
        <v>1958</v>
      </c>
      <c r="K711" s="63" t="s">
        <v>593</v>
      </c>
      <c r="L711" s="35" t="s">
        <v>698</v>
      </c>
      <c r="M711" s="35">
        <v>10.5</v>
      </c>
      <c r="N711" s="35">
        <v>6</v>
      </c>
      <c r="O711" s="35">
        <f t="shared" si="22"/>
        <v>8.25</v>
      </c>
      <c r="P711" s="35">
        <v>14.75</v>
      </c>
      <c r="Q711" s="35">
        <v>11.5</v>
      </c>
      <c r="R711" s="35">
        <f t="shared" si="23"/>
        <v>13.125</v>
      </c>
      <c r="S711" s="35"/>
      <c r="T711" s="35"/>
      <c r="U711" s="35"/>
      <c r="V711" s="35" t="e">
        <f>AVERAGE(Tableau2[[#This Row],[1ère composition/10]:[3è composition]])</f>
        <v>#DIV/0!</v>
      </c>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f>COUNTIF(Tableau2[[#This Row],[Séance 1]:[Séance 38]],"A")</f>
        <v>0</v>
      </c>
      <c r="BJ711" s="35"/>
    </row>
    <row r="712" spans="1:62" s="42" customFormat="1" hidden="1" x14ac:dyDescent="0.2">
      <c r="A712" s="44" t="s">
        <v>1192</v>
      </c>
      <c r="B712" s="44" t="s">
        <v>1197</v>
      </c>
      <c r="C712" s="44" t="s">
        <v>1193</v>
      </c>
      <c r="D712" s="44" t="s">
        <v>291</v>
      </c>
      <c r="E712" s="44" t="s">
        <v>812</v>
      </c>
      <c r="F712" s="48">
        <v>2021</v>
      </c>
      <c r="G712" s="48">
        <v>49</v>
      </c>
      <c r="H712" s="48">
        <v>14</v>
      </c>
      <c r="I712" s="44" t="str">
        <f>Tableau2[[#This Row],[Annee d''inscription au programme]]&amp;"-"&amp;Tableau2[[#This Row],[Code d''ecole]]&amp;"-"&amp;Tableau2[[#This Row],[Numero HM de la fille]]</f>
        <v>2021-49-14</v>
      </c>
      <c r="J712" s="45" t="s">
        <v>1959</v>
      </c>
      <c r="K712" s="63" t="s">
        <v>593</v>
      </c>
      <c r="L712" s="35" t="s">
        <v>698</v>
      </c>
      <c r="M712" s="35">
        <v>5.5</v>
      </c>
      <c r="N712" s="35">
        <v>3.5</v>
      </c>
      <c r="O712" s="35">
        <f t="shared" si="22"/>
        <v>4.5</v>
      </c>
      <c r="P712" s="35">
        <v>2</v>
      </c>
      <c r="Q712" s="35">
        <v>7.5</v>
      </c>
      <c r="R712" s="35">
        <f t="shared" si="23"/>
        <v>4.75</v>
      </c>
      <c r="S712" s="35"/>
      <c r="T712" s="35"/>
      <c r="U712" s="35"/>
      <c r="V712" s="35" t="e">
        <f>AVERAGE(Tableau2[[#This Row],[1ère composition/10]:[3è composition]])</f>
        <v>#DIV/0!</v>
      </c>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f>COUNTIF(Tableau2[[#This Row],[Séance 1]:[Séance 38]],"A")</f>
        <v>0</v>
      </c>
      <c r="BJ712" s="35"/>
    </row>
    <row r="713" spans="1:62" s="42" customFormat="1" hidden="1" x14ac:dyDescent="0.2">
      <c r="A713" s="44" t="s">
        <v>1192</v>
      </c>
      <c r="B713" s="44" t="s">
        <v>1196</v>
      </c>
      <c r="C713" s="44" t="s">
        <v>1193</v>
      </c>
      <c r="D713" s="44" t="s">
        <v>1195</v>
      </c>
      <c r="E713" s="44" t="s">
        <v>812</v>
      </c>
      <c r="F713" s="48">
        <v>2021</v>
      </c>
      <c r="G713" s="48">
        <v>49</v>
      </c>
      <c r="H713" s="48">
        <v>15</v>
      </c>
      <c r="I713" s="44" t="str">
        <f>Tableau2[[#This Row],[Annee d''inscription au programme]]&amp;"-"&amp;Tableau2[[#This Row],[Code d''ecole]]&amp;"-"&amp;Tableau2[[#This Row],[Numero HM de la fille]]</f>
        <v>2021-49-15</v>
      </c>
      <c r="J713" s="45" t="s">
        <v>1960</v>
      </c>
      <c r="K713" s="63" t="s">
        <v>593</v>
      </c>
      <c r="L713" s="35" t="s">
        <v>698</v>
      </c>
      <c r="M713" s="35">
        <v>10.5</v>
      </c>
      <c r="N713" s="35">
        <v>4</v>
      </c>
      <c r="O713" s="35">
        <f t="shared" si="22"/>
        <v>7.25</v>
      </c>
      <c r="P713" s="35">
        <v>17.5</v>
      </c>
      <c r="Q713" s="35">
        <v>14</v>
      </c>
      <c r="R713" s="35">
        <f t="shared" si="23"/>
        <v>15.75</v>
      </c>
      <c r="S713" s="35"/>
      <c r="T713" s="35"/>
      <c r="U713" s="35"/>
      <c r="V713" s="35" t="e">
        <f>AVERAGE(Tableau2[[#This Row],[1ère composition/10]:[3è composition]])</f>
        <v>#DIV/0!</v>
      </c>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f>COUNTIF(Tableau2[[#This Row],[Séance 1]:[Séance 38]],"A")</f>
        <v>0</v>
      </c>
      <c r="BJ713" s="35"/>
    </row>
    <row r="714" spans="1:62" s="42" customFormat="1" hidden="1" x14ac:dyDescent="0.2">
      <c r="A714" s="44" t="s">
        <v>1192</v>
      </c>
      <c r="B714" s="44" t="s">
        <v>1194</v>
      </c>
      <c r="C714" s="44" t="s">
        <v>1193</v>
      </c>
      <c r="D714" s="44" t="s">
        <v>242</v>
      </c>
      <c r="E714" s="44" t="s">
        <v>812</v>
      </c>
      <c r="F714" s="48">
        <v>2021</v>
      </c>
      <c r="G714" s="48">
        <v>49</v>
      </c>
      <c r="H714" s="48">
        <v>16</v>
      </c>
      <c r="I714" s="44" t="str">
        <f>Tableau2[[#This Row],[Annee d''inscription au programme]]&amp;"-"&amp;Tableau2[[#This Row],[Code d''ecole]]&amp;"-"&amp;Tableau2[[#This Row],[Numero HM de la fille]]</f>
        <v>2021-49-16</v>
      </c>
      <c r="J714" s="45" t="s">
        <v>1961</v>
      </c>
      <c r="K714" s="63" t="s">
        <v>593</v>
      </c>
      <c r="L714" s="35" t="s">
        <v>698</v>
      </c>
      <c r="M714" s="35">
        <v>16</v>
      </c>
      <c r="N714" s="35">
        <v>9.5</v>
      </c>
      <c r="O714" s="35">
        <f t="shared" si="22"/>
        <v>12.75</v>
      </c>
      <c r="P714" s="35">
        <v>15.75</v>
      </c>
      <c r="Q714" s="35">
        <v>19</v>
      </c>
      <c r="R714" s="35">
        <f t="shared" si="23"/>
        <v>17.375</v>
      </c>
      <c r="S714" s="35"/>
      <c r="T714" s="35"/>
      <c r="U714" s="35"/>
      <c r="V714" s="35" t="e">
        <f>AVERAGE(Tableau2[[#This Row],[1ère composition/10]:[3è composition]])</f>
        <v>#DIV/0!</v>
      </c>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f>COUNTIF(Tableau2[[#This Row],[Séance 1]:[Séance 38]],"A")</f>
        <v>0</v>
      </c>
      <c r="BJ714" s="35"/>
    </row>
    <row r="715" spans="1:62" s="42" customFormat="1" hidden="1" x14ac:dyDescent="0.2">
      <c r="A715" s="44" t="s">
        <v>1192</v>
      </c>
      <c r="B715" s="44" t="s">
        <v>1191</v>
      </c>
      <c r="C715" s="44" t="s">
        <v>1190</v>
      </c>
      <c r="D715" s="44" t="s">
        <v>237</v>
      </c>
      <c r="E715" s="44" t="s">
        <v>812</v>
      </c>
      <c r="F715" s="48">
        <v>2021</v>
      </c>
      <c r="G715" s="48">
        <v>49</v>
      </c>
      <c r="H715" s="48">
        <v>17</v>
      </c>
      <c r="I715" s="44" t="str">
        <f>Tableau2[[#This Row],[Annee d''inscription au programme]]&amp;"-"&amp;Tableau2[[#This Row],[Code d''ecole]]&amp;"-"&amp;Tableau2[[#This Row],[Numero HM de la fille]]</f>
        <v>2021-49-17</v>
      </c>
      <c r="J715" s="45" t="s">
        <v>1962</v>
      </c>
      <c r="K715" s="63" t="s">
        <v>593</v>
      </c>
      <c r="L715" s="35" t="s">
        <v>698</v>
      </c>
      <c r="M715" s="35">
        <v>7.5</v>
      </c>
      <c r="N715" s="35">
        <v>2</v>
      </c>
      <c r="O715" s="35">
        <f t="shared" si="22"/>
        <v>4.75</v>
      </c>
      <c r="P715" s="35">
        <v>2</v>
      </c>
      <c r="Q715" s="35">
        <v>8</v>
      </c>
      <c r="R715" s="35">
        <f t="shared" si="23"/>
        <v>5</v>
      </c>
      <c r="S715" s="35"/>
      <c r="T715" s="35"/>
      <c r="U715" s="35"/>
      <c r="V715" s="35" t="e">
        <f>AVERAGE(Tableau2[[#This Row],[1ère composition/10]:[3è composition]])</f>
        <v>#DIV/0!</v>
      </c>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f>COUNTIF(Tableau2[[#This Row],[Séance 1]:[Séance 38]],"A")</f>
        <v>0</v>
      </c>
      <c r="BJ715" s="35"/>
    </row>
    <row r="716" spans="1:62" s="42" customFormat="1" hidden="1" x14ac:dyDescent="0.2">
      <c r="A716" s="44" t="s">
        <v>2209</v>
      </c>
      <c r="B716" s="44" t="s">
        <v>2210</v>
      </c>
      <c r="C716" s="59" t="s">
        <v>3855</v>
      </c>
      <c r="D716" s="44" t="s">
        <v>2211</v>
      </c>
      <c r="E716" s="44" t="s">
        <v>2212</v>
      </c>
      <c r="F716" s="48">
        <v>2021</v>
      </c>
      <c r="G716" s="48">
        <v>54</v>
      </c>
      <c r="H716" s="48">
        <v>1</v>
      </c>
      <c r="I716" s="44" t="str">
        <f>Tableau2[[#This Row],[Annee d''inscription au programme]]&amp;"-"&amp;Tableau2[[#This Row],[Code d''ecole]]&amp;"-"&amp;Tableau2[[#This Row],[Numero HM de la fille]]</f>
        <v>2021-54-1</v>
      </c>
      <c r="J716" s="45" t="s">
        <v>1963</v>
      </c>
      <c r="K716" s="63" t="s">
        <v>593</v>
      </c>
      <c r="L716" s="35" t="s">
        <v>698</v>
      </c>
      <c r="M716" s="35">
        <v>1</v>
      </c>
      <c r="N716" s="35">
        <v>5</v>
      </c>
      <c r="O716" s="35">
        <f t="shared" si="22"/>
        <v>3</v>
      </c>
      <c r="P716" s="35">
        <v>7</v>
      </c>
      <c r="Q716" s="35">
        <v>3</v>
      </c>
      <c r="R716" s="35">
        <f t="shared" si="23"/>
        <v>5</v>
      </c>
      <c r="S716" s="35"/>
      <c r="T716" s="35"/>
      <c r="U716" s="35"/>
      <c r="V716" s="35" t="e">
        <f>AVERAGE(Tableau2[[#This Row],[1ère composition/10]:[3è composition]])</f>
        <v>#DIV/0!</v>
      </c>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f>COUNTIF(Tableau2[[#This Row],[Séance 1]:[Séance 38]],"A")</f>
        <v>0</v>
      </c>
      <c r="BJ716" s="35"/>
    </row>
    <row r="717" spans="1:62" s="42" customFormat="1" hidden="1" x14ac:dyDescent="0.2">
      <c r="A717" s="44" t="s">
        <v>2209</v>
      </c>
      <c r="B717" s="44" t="s">
        <v>2213</v>
      </c>
      <c r="C717" s="44" t="s">
        <v>3856</v>
      </c>
      <c r="D717" s="44" t="s">
        <v>2214</v>
      </c>
      <c r="E717" s="44" t="s">
        <v>2212</v>
      </c>
      <c r="F717" s="48">
        <v>2021</v>
      </c>
      <c r="G717" s="48">
        <v>54</v>
      </c>
      <c r="H717" s="48">
        <v>2</v>
      </c>
      <c r="I717" s="44" t="str">
        <f>Tableau2[[#This Row],[Annee d''inscription au programme]]&amp;"-"&amp;Tableau2[[#This Row],[Code d''ecole]]&amp;"-"&amp;Tableau2[[#This Row],[Numero HM de la fille]]</f>
        <v>2021-54-2</v>
      </c>
      <c r="J717" s="45" t="s">
        <v>1964</v>
      </c>
      <c r="K717" s="63" t="s">
        <v>374</v>
      </c>
      <c r="L717" s="35" t="s">
        <v>3529</v>
      </c>
      <c r="M717" s="35">
        <v>2</v>
      </c>
      <c r="N717" s="35">
        <v>4</v>
      </c>
      <c r="O717" s="35">
        <f t="shared" si="22"/>
        <v>3</v>
      </c>
      <c r="P717" s="35">
        <v>4.5</v>
      </c>
      <c r="Q717" s="35">
        <v>1.5</v>
      </c>
      <c r="R717" s="35">
        <f t="shared" si="23"/>
        <v>3</v>
      </c>
      <c r="S717" s="35"/>
      <c r="T717" s="35"/>
      <c r="U717" s="35"/>
      <c r="V717" s="35" t="e">
        <f>AVERAGE(Tableau2[[#This Row],[1ère composition/10]:[3è composition]])</f>
        <v>#DIV/0!</v>
      </c>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f>COUNTIF(Tableau2[[#This Row],[Séance 1]:[Séance 38]],"A")</f>
        <v>0</v>
      </c>
      <c r="BJ717" s="35"/>
    </row>
    <row r="718" spans="1:62" s="42" customFormat="1" hidden="1" x14ac:dyDescent="0.2">
      <c r="A718" s="44" t="s">
        <v>2209</v>
      </c>
      <c r="B718" s="44" t="s">
        <v>2215</v>
      </c>
      <c r="C718" s="59" t="s">
        <v>3855</v>
      </c>
      <c r="D718" s="44" t="s">
        <v>2216</v>
      </c>
      <c r="E718" s="44" t="s">
        <v>2212</v>
      </c>
      <c r="F718" s="48">
        <v>2021</v>
      </c>
      <c r="G718" s="48">
        <v>54</v>
      </c>
      <c r="H718" s="48">
        <v>3</v>
      </c>
      <c r="I718" s="44" t="str">
        <f>Tableau2[[#This Row],[Annee d''inscription au programme]]&amp;"-"&amp;Tableau2[[#This Row],[Code d''ecole]]&amp;"-"&amp;Tableau2[[#This Row],[Numero HM de la fille]]</f>
        <v>2021-54-3</v>
      </c>
      <c r="J718" s="45" t="s">
        <v>1965</v>
      </c>
      <c r="K718" s="63" t="s">
        <v>593</v>
      </c>
      <c r="L718" s="35" t="s">
        <v>698</v>
      </c>
      <c r="M718" s="35">
        <v>12</v>
      </c>
      <c r="N718" s="35">
        <v>8</v>
      </c>
      <c r="O718" s="35">
        <f t="shared" si="22"/>
        <v>10</v>
      </c>
      <c r="P718" s="35">
        <v>10</v>
      </c>
      <c r="Q718" s="35">
        <v>14.5</v>
      </c>
      <c r="R718" s="35">
        <f t="shared" si="23"/>
        <v>12.25</v>
      </c>
      <c r="S718" s="35"/>
      <c r="T718" s="35"/>
      <c r="U718" s="35"/>
      <c r="V718" s="35" t="e">
        <f>AVERAGE(Tableau2[[#This Row],[1ère composition/10]:[3è composition]])</f>
        <v>#DIV/0!</v>
      </c>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f>COUNTIF(Tableau2[[#This Row],[Séance 1]:[Séance 38]],"A")</f>
        <v>0</v>
      </c>
      <c r="BJ718" s="35"/>
    </row>
    <row r="719" spans="1:62" s="42" customFormat="1" hidden="1" x14ac:dyDescent="0.2">
      <c r="A719" s="44" t="s">
        <v>2209</v>
      </c>
      <c r="B719" s="44" t="s">
        <v>2217</v>
      </c>
      <c r="C719" s="59" t="s">
        <v>3855</v>
      </c>
      <c r="D719" s="44" t="s">
        <v>2218</v>
      </c>
      <c r="E719" s="44" t="s">
        <v>2212</v>
      </c>
      <c r="F719" s="48">
        <v>2021</v>
      </c>
      <c r="G719" s="48">
        <v>54</v>
      </c>
      <c r="H719" s="48">
        <v>4</v>
      </c>
      <c r="I719" s="44" t="str">
        <f>Tableau2[[#This Row],[Annee d''inscription au programme]]&amp;"-"&amp;Tableau2[[#This Row],[Code d''ecole]]&amp;"-"&amp;Tableau2[[#This Row],[Numero HM de la fille]]</f>
        <v>2021-54-4</v>
      </c>
      <c r="J719" s="45" t="s">
        <v>1966</v>
      </c>
      <c r="K719" s="63" t="s">
        <v>593</v>
      </c>
      <c r="L719" s="35" t="s">
        <v>698</v>
      </c>
      <c r="M719" s="35">
        <v>9</v>
      </c>
      <c r="N719" s="35">
        <v>8.5</v>
      </c>
      <c r="O719" s="35">
        <f t="shared" si="22"/>
        <v>8.75</v>
      </c>
      <c r="P719" s="35">
        <v>6</v>
      </c>
      <c r="Q719" s="35">
        <v>7</v>
      </c>
      <c r="R719" s="35">
        <f t="shared" si="23"/>
        <v>6.5</v>
      </c>
      <c r="S719" s="35"/>
      <c r="T719" s="35"/>
      <c r="U719" s="35"/>
      <c r="V719" s="35" t="e">
        <f>AVERAGE(Tableau2[[#This Row],[1ère composition/10]:[3è composition]])</f>
        <v>#DIV/0!</v>
      </c>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f>COUNTIF(Tableau2[[#This Row],[Séance 1]:[Séance 38]],"A")</f>
        <v>0</v>
      </c>
      <c r="BJ719" s="35"/>
    </row>
    <row r="720" spans="1:62" s="42" customFormat="1" hidden="1" x14ac:dyDescent="0.2">
      <c r="A720" s="44" t="s">
        <v>2209</v>
      </c>
      <c r="B720" s="44" t="s">
        <v>2219</v>
      </c>
      <c r="C720" s="44" t="s">
        <v>3856</v>
      </c>
      <c r="D720" s="44" t="s">
        <v>2220</v>
      </c>
      <c r="E720" s="44" t="s">
        <v>2212</v>
      </c>
      <c r="F720" s="48">
        <v>2021</v>
      </c>
      <c r="G720" s="48">
        <v>54</v>
      </c>
      <c r="H720" s="48">
        <v>5</v>
      </c>
      <c r="I720" s="44" t="str">
        <f>Tableau2[[#This Row],[Annee d''inscription au programme]]&amp;"-"&amp;Tableau2[[#This Row],[Code d''ecole]]&amp;"-"&amp;Tableau2[[#This Row],[Numero HM de la fille]]</f>
        <v>2021-54-5</v>
      </c>
      <c r="J720" s="45" t="s">
        <v>1967</v>
      </c>
      <c r="K720" s="63" t="s">
        <v>374</v>
      </c>
      <c r="L720" s="35" t="s">
        <v>3521</v>
      </c>
      <c r="M720" s="35">
        <v>2.5</v>
      </c>
      <c r="N720" s="35">
        <v>6</v>
      </c>
      <c r="O720" s="35">
        <f t="shared" si="22"/>
        <v>4.25</v>
      </c>
      <c r="P720" s="35">
        <v>5.5</v>
      </c>
      <c r="Q720" s="35">
        <v>5</v>
      </c>
      <c r="R720" s="35">
        <f t="shared" si="23"/>
        <v>5.25</v>
      </c>
      <c r="S720" s="35"/>
      <c r="T720" s="35"/>
      <c r="U720" s="35"/>
      <c r="V720" s="35" t="e">
        <f>AVERAGE(Tableau2[[#This Row],[1ère composition/10]:[3è composition]])</f>
        <v>#DIV/0!</v>
      </c>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f>COUNTIF(Tableau2[[#This Row],[Séance 1]:[Séance 38]],"A")</f>
        <v>0</v>
      </c>
      <c r="BJ720" s="35"/>
    </row>
    <row r="721" spans="1:62" s="42" customFormat="1" hidden="1" x14ac:dyDescent="0.2">
      <c r="A721" s="44" t="s">
        <v>2209</v>
      </c>
      <c r="B721" s="44" t="s">
        <v>2221</v>
      </c>
      <c r="C721" s="59" t="s">
        <v>3855</v>
      </c>
      <c r="D721" s="44" t="s">
        <v>659</v>
      </c>
      <c r="E721" s="44" t="s">
        <v>2212</v>
      </c>
      <c r="F721" s="48">
        <v>2021</v>
      </c>
      <c r="G721" s="48">
        <v>54</v>
      </c>
      <c r="H721" s="48">
        <v>6</v>
      </c>
      <c r="I721" s="44" t="str">
        <f>Tableau2[[#This Row],[Annee d''inscription au programme]]&amp;"-"&amp;Tableau2[[#This Row],[Code d''ecole]]&amp;"-"&amp;Tableau2[[#This Row],[Numero HM de la fille]]</f>
        <v>2021-54-6</v>
      </c>
      <c r="J721" s="45" t="s">
        <v>1968</v>
      </c>
      <c r="K721" s="63" t="s">
        <v>374</v>
      </c>
      <c r="L721" s="35" t="s">
        <v>3529</v>
      </c>
      <c r="M721" s="35">
        <v>2</v>
      </c>
      <c r="N721" s="35">
        <v>1.5</v>
      </c>
      <c r="O721" s="35">
        <f t="shared" si="22"/>
        <v>1.75</v>
      </c>
      <c r="P721" s="35"/>
      <c r="Q721" s="35"/>
      <c r="R721" s="35">
        <f t="shared" si="23"/>
        <v>0</v>
      </c>
      <c r="S721" s="35"/>
      <c r="T721" s="35"/>
      <c r="U721" s="35"/>
      <c r="V721" s="35" t="e">
        <f>AVERAGE(Tableau2[[#This Row],[1ère composition/10]:[3è composition]])</f>
        <v>#DIV/0!</v>
      </c>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f>COUNTIF(Tableau2[[#This Row],[Séance 1]:[Séance 38]],"A")</f>
        <v>0</v>
      </c>
      <c r="BJ721" s="35"/>
    </row>
    <row r="722" spans="1:62" s="42" customFormat="1" hidden="1" x14ac:dyDescent="0.2">
      <c r="A722" s="44" t="s">
        <v>2209</v>
      </c>
      <c r="B722" s="44" t="s">
        <v>2222</v>
      </c>
      <c r="C722" s="59" t="s">
        <v>3855</v>
      </c>
      <c r="D722" s="44" t="s">
        <v>666</v>
      </c>
      <c r="E722" s="44" t="s">
        <v>2212</v>
      </c>
      <c r="F722" s="48">
        <v>2021</v>
      </c>
      <c r="G722" s="48">
        <v>54</v>
      </c>
      <c r="H722" s="48">
        <v>7</v>
      </c>
      <c r="I722" s="44" t="str">
        <f>Tableau2[[#This Row],[Annee d''inscription au programme]]&amp;"-"&amp;Tableau2[[#This Row],[Code d''ecole]]&amp;"-"&amp;Tableau2[[#This Row],[Numero HM de la fille]]</f>
        <v>2021-54-7</v>
      </c>
      <c r="J722" s="45" t="s">
        <v>1969</v>
      </c>
      <c r="K722" s="63" t="s">
        <v>593</v>
      </c>
      <c r="L722" s="35" t="s">
        <v>698</v>
      </c>
      <c r="M722" s="35">
        <v>12</v>
      </c>
      <c r="N722" s="35">
        <v>13.75</v>
      </c>
      <c r="O722" s="35">
        <f t="shared" si="22"/>
        <v>12.875</v>
      </c>
      <c r="P722" s="35">
        <v>14</v>
      </c>
      <c r="Q722" s="35">
        <v>15.5</v>
      </c>
      <c r="R722" s="35">
        <f t="shared" si="23"/>
        <v>14.75</v>
      </c>
      <c r="S722" s="35"/>
      <c r="T722" s="35"/>
      <c r="U722" s="35"/>
      <c r="V722" s="35" t="e">
        <f>AVERAGE(Tableau2[[#This Row],[1ère composition/10]:[3è composition]])</f>
        <v>#DIV/0!</v>
      </c>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f>COUNTIF(Tableau2[[#This Row],[Séance 1]:[Séance 38]],"A")</f>
        <v>0</v>
      </c>
      <c r="BJ722" s="35"/>
    </row>
    <row r="723" spans="1:62" s="42" customFormat="1" hidden="1" x14ac:dyDescent="0.2">
      <c r="A723" s="44" t="s">
        <v>2209</v>
      </c>
      <c r="B723" s="44" t="s">
        <v>2223</v>
      </c>
      <c r="C723" s="59" t="s">
        <v>3855</v>
      </c>
      <c r="D723" s="44" t="s">
        <v>2224</v>
      </c>
      <c r="E723" s="44" t="s">
        <v>2212</v>
      </c>
      <c r="F723" s="48">
        <v>2021</v>
      </c>
      <c r="G723" s="48">
        <v>54</v>
      </c>
      <c r="H723" s="48">
        <v>8</v>
      </c>
      <c r="I723" s="44" t="str">
        <f>Tableau2[[#This Row],[Annee d''inscription au programme]]&amp;"-"&amp;Tableau2[[#This Row],[Code d''ecole]]&amp;"-"&amp;Tableau2[[#This Row],[Numero HM de la fille]]</f>
        <v>2021-54-8</v>
      </c>
      <c r="J723" s="45" t="s">
        <v>1970</v>
      </c>
      <c r="K723" s="63" t="s">
        <v>593</v>
      </c>
      <c r="L723" s="35" t="s">
        <v>698</v>
      </c>
      <c r="M723" s="35">
        <v>0.5</v>
      </c>
      <c r="N723" s="35">
        <v>2</v>
      </c>
      <c r="O723" s="35">
        <f t="shared" si="22"/>
        <v>1.25</v>
      </c>
      <c r="P723" s="35">
        <v>2.5</v>
      </c>
      <c r="Q723" s="35">
        <v>1</v>
      </c>
      <c r="R723" s="35">
        <f t="shared" si="23"/>
        <v>1.75</v>
      </c>
      <c r="S723" s="35"/>
      <c r="T723" s="35"/>
      <c r="U723" s="35"/>
      <c r="V723" s="35" t="e">
        <f>AVERAGE(Tableau2[[#This Row],[1ère composition/10]:[3è composition]])</f>
        <v>#DIV/0!</v>
      </c>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f>COUNTIF(Tableau2[[#This Row],[Séance 1]:[Séance 38]],"A")</f>
        <v>0</v>
      </c>
      <c r="BJ723" s="35"/>
    </row>
    <row r="724" spans="1:62" s="42" customFormat="1" hidden="1" x14ac:dyDescent="0.2">
      <c r="A724" s="44" t="s">
        <v>2209</v>
      </c>
      <c r="B724" s="44" t="s">
        <v>2225</v>
      </c>
      <c r="C724" s="59" t="s">
        <v>3855</v>
      </c>
      <c r="D724" s="44" t="s">
        <v>2226</v>
      </c>
      <c r="E724" s="44" t="s">
        <v>2212</v>
      </c>
      <c r="F724" s="48">
        <v>2021</v>
      </c>
      <c r="G724" s="48">
        <v>54</v>
      </c>
      <c r="H724" s="48">
        <v>9</v>
      </c>
      <c r="I724" s="44" t="str">
        <f>Tableau2[[#This Row],[Annee d''inscription au programme]]&amp;"-"&amp;Tableau2[[#This Row],[Code d''ecole]]&amp;"-"&amp;Tableau2[[#This Row],[Numero HM de la fille]]</f>
        <v>2021-54-9</v>
      </c>
      <c r="J724" s="45" t="s">
        <v>1971</v>
      </c>
      <c r="K724" s="63" t="s">
        <v>593</v>
      </c>
      <c r="L724" s="35" t="s">
        <v>698</v>
      </c>
      <c r="M724" s="35">
        <v>0</v>
      </c>
      <c r="N724" s="35">
        <v>0</v>
      </c>
      <c r="O724" s="35">
        <f t="shared" si="22"/>
        <v>0</v>
      </c>
      <c r="P724" s="35">
        <v>2</v>
      </c>
      <c r="Q724" s="35">
        <v>1.5</v>
      </c>
      <c r="R724" s="35">
        <f t="shared" si="23"/>
        <v>1.75</v>
      </c>
      <c r="S724" s="35"/>
      <c r="T724" s="35"/>
      <c r="U724" s="35"/>
      <c r="V724" s="35" t="e">
        <f>AVERAGE(Tableau2[[#This Row],[1ère composition/10]:[3è composition]])</f>
        <v>#DIV/0!</v>
      </c>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f>COUNTIF(Tableau2[[#This Row],[Séance 1]:[Séance 38]],"A")</f>
        <v>0</v>
      </c>
      <c r="BJ724" s="35"/>
    </row>
    <row r="725" spans="1:62" s="42" customFormat="1" hidden="1" x14ac:dyDescent="0.2">
      <c r="A725" s="44" t="s">
        <v>2209</v>
      </c>
      <c r="B725" s="44" t="s">
        <v>2227</v>
      </c>
      <c r="C725" s="59" t="s">
        <v>3855</v>
      </c>
      <c r="D725" s="44" t="s">
        <v>2228</v>
      </c>
      <c r="E725" s="44" t="s">
        <v>2212</v>
      </c>
      <c r="F725" s="48">
        <v>2021</v>
      </c>
      <c r="G725" s="48">
        <v>54</v>
      </c>
      <c r="H725" s="48">
        <v>10</v>
      </c>
      <c r="I725" s="44" t="str">
        <f>Tableau2[[#This Row],[Annee d''inscription au programme]]&amp;"-"&amp;Tableau2[[#This Row],[Code d''ecole]]&amp;"-"&amp;Tableau2[[#This Row],[Numero HM de la fille]]</f>
        <v>2021-54-10</v>
      </c>
      <c r="J725" s="45" t="s">
        <v>1972</v>
      </c>
      <c r="K725" s="63" t="s">
        <v>374</v>
      </c>
      <c r="L725" s="35" t="s">
        <v>3529</v>
      </c>
      <c r="M725" s="35">
        <v>6</v>
      </c>
      <c r="N725" s="35">
        <v>8</v>
      </c>
      <c r="O725" s="35">
        <f t="shared" si="22"/>
        <v>7</v>
      </c>
      <c r="P725" s="35">
        <v>6</v>
      </c>
      <c r="Q725" s="35">
        <v>13.5</v>
      </c>
      <c r="R725" s="35">
        <f t="shared" si="23"/>
        <v>9.75</v>
      </c>
      <c r="S725" s="35"/>
      <c r="T725" s="35"/>
      <c r="U725" s="35"/>
      <c r="V725" s="35" t="e">
        <f>AVERAGE(Tableau2[[#This Row],[1ère composition/10]:[3è composition]])</f>
        <v>#DIV/0!</v>
      </c>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f>COUNTIF(Tableau2[[#This Row],[Séance 1]:[Séance 38]],"A")</f>
        <v>0</v>
      </c>
      <c r="BJ725" s="35"/>
    </row>
    <row r="726" spans="1:62" s="42" customFormat="1" hidden="1" x14ac:dyDescent="0.2">
      <c r="A726" s="44" t="s">
        <v>2209</v>
      </c>
      <c r="B726" s="44" t="s">
        <v>2229</v>
      </c>
      <c r="C726" s="59" t="s">
        <v>3855</v>
      </c>
      <c r="D726" s="44" t="s">
        <v>748</v>
      </c>
      <c r="E726" s="44" t="s">
        <v>2212</v>
      </c>
      <c r="F726" s="48">
        <v>2021</v>
      </c>
      <c r="G726" s="48">
        <v>54</v>
      </c>
      <c r="H726" s="48">
        <v>11</v>
      </c>
      <c r="I726" s="44" t="str">
        <f>Tableau2[[#This Row],[Annee d''inscription au programme]]&amp;"-"&amp;Tableau2[[#This Row],[Code d''ecole]]&amp;"-"&amp;Tableau2[[#This Row],[Numero HM de la fille]]</f>
        <v>2021-54-11</v>
      </c>
      <c r="J726" s="45" t="s">
        <v>1973</v>
      </c>
      <c r="K726" s="63" t="s">
        <v>593</v>
      </c>
      <c r="L726" s="35" t="s">
        <v>698</v>
      </c>
      <c r="M726" s="35">
        <v>4.5</v>
      </c>
      <c r="N726" s="35">
        <v>1</v>
      </c>
      <c r="O726" s="35">
        <f t="shared" si="22"/>
        <v>2.75</v>
      </c>
      <c r="P726" s="35">
        <v>4</v>
      </c>
      <c r="Q726" s="35">
        <v>1.5</v>
      </c>
      <c r="R726" s="35">
        <f t="shared" si="23"/>
        <v>2.75</v>
      </c>
      <c r="S726" s="35"/>
      <c r="T726" s="35"/>
      <c r="U726" s="35"/>
      <c r="V726" s="35" t="e">
        <f>AVERAGE(Tableau2[[#This Row],[1ère composition/10]:[3è composition]])</f>
        <v>#DIV/0!</v>
      </c>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f>COUNTIF(Tableau2[[#This Row],[Séance 1]:[Séance 38]],"A")</f>
        <v>0</v>
      </c>
      <c r="BJ726" s="35"/>
    </row>
    <row r="727" spans="1:62" s="42" customFormat="1" hidden="1" x14ac:dyDescent="0.2">
      <c r="A727" s="44" t="s">
        <v>2209</v>
      </c>
      <c r="B727" s="44" t="s">
        <v>2230</v>
      </c>
      <c r="C727" s="59" t="s">
        <v>3855</v>
      </c>
      <c r="D727" s="44" t="s">
        <v>2214</v>
      </c>
      <c r="E727" s="44" t="s">
        <v>2212</v>
      </c>
      <c r="F727" s="48">
        <v>2021</v>
      </c>
      <c r="G727" s="48">
        <v>54</v>
      </c>
      <c r="H727" s="48">
        <v>12</v>
      </c>
      <c r="I727" s="44" t="str">
        <f>Tableau2[[#This Row],[Annee d''inscription au programme]]&amp;"-"&amp;Tableau2[[#This Row],[Code d''ecole]]&amp;"-"&amp;Tableau2[[#This Row],[Numero HM de la fille]]</f>
        <v>2021-54-12</v>
      </c>
      <c r="J727" s="45" t="s">
        <v>1974</v>
      </c>
      <c r="K727" s="63" t="s">
        <v>593</v>
      </c>
      <c r="L727" s="35" t="s">
        <v>698</v>
      </c>
      <c r="M727" s="35">
        <v>7</v>
      </c>
      <c r="N727" s="35">
        <v>2.5</v>
      </c>
      <c r="O727" s="35">
        <f t="shared" si="22"/>
        <v>4.75</v>
      </c>
      <c r="P727" s="35">
        <v>6.5</v>
      </c>
      <c r="Q727" s="35">
        <v>4</v>
      </c>
      <c r="R727" s="35">
        <f t="shared" si="23"/>
        <v>5.25</v>
      </c>
      <c r="S727" s="35"/>
      <c r="T727" s="35"/>
      <c r="U727" s="35"/>
      <c r="V727" s="35" t="e">
        <f>AVERAGE(Tableau2[[#This Row],[1ère composition/10]:[3è composition]])</f>
        <v>#DIV/0!</v>
      </c>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f>COUNTIF(Tableau2[[#This Row],[Séance 1]:[Séance 38]],"A")</f>
        <v>0</v>
      </c>
      <c r="BJ727" s="35"/>
    </row>
    <row r="728" spans="1:62" s="42" customFormat="1" hidden="1" x14ac:dyDescent="0.2">
      <c r="A728" s="44" t="s">
        <v>2209</v>
      </c>
      <c r="B728" s="44" t="s">
        <v>2231</v>
      </c>
      <c r="C728" s="59" t="s">
        <v>3855</v>
      </c>
      <c r="D728" s="44" t="s">
        <v>2232</v>
      </c>
      <c r="E728" s="44" t="s">
        <v>2212</v>
      </c>
      <c r="F728" s="48">
        <v>2021</v>
      </c>
      <c r="G728" s="48">
        <v>54</v>
      </c>
      <c r="H728" s="48">
        <v>13</v>
      </c>
      <c r="I728" s="44" t="str">
        <f>Tableau2[[#This Row],[Annee d''inscription au programme]]&amp;"-"&amp;Tableau2[[#This Row],[Code d''ecole]]&amp;"-"&amp;Tableau2[[#This Row],[Numero HM de la fille]]</f>
        <v>2021-54-13</v>
      </c>
      <c r="J728" s="45" t="s">
        <v>1975</v>
      </c>
      <c r="K728" s="63" t="s">
        <v>593</v>
      </c>
      <c r="L728" s="35" t="s">
        <v>698</v>
      </c>
      <c r="M728" s="35">
        <v>5</v>
      </c>
      <c r="N728" s="35">
        <v>4</v>
      </c>
      <c r="O728" s="35">
        <f t="shared" si="22"/>
        <v>4.5</v>
      </c>
      <c r="P728" s="35">
        <v>10</v>
      </c>
      <c r="Q728" s="35">
        <v>5.5</v>
      </c>
      <c r="R728" s="35">
        <f t="shared" si="23"/>
        <v>7.75</v>
      </c>
      <c r="S728" s="35"/>
      <c r="T728" s="35"/>
      <c r="U728" s="35"/>
      <c r="V728" s="35" t="e">
        <f>AVERAGE(Tableau2[[#This Row],[1ère composition/10]:[3è composition]])</f>
        <v>#DIV/0!</v>
      </c>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f>COUNTIF(Tableau2[[#This Row],[Séance 1]:[Séance 38]],"A")</f>
        <v>0</v>
      </c>
      <c r="BJ728" s="35"/>
    </row>
    <row r="729" spans="1:62" s="42" customFormat="1" hidden="1" x14ac:dyDescent="0.2">
      <c r="A729" s="44" t="s">
        <v>2209</v>
      </c>
      <c r="B729" s="44" t="s">
        <v>2233</v>
      </c>
      <c r="C729" s="59" t="s">
        <v>3855</v>
      </c>
      <c r="D729" s="44" t="s">
        <v>2234</v>
      </c>
      <c r="E729" s="44" t="s">
        <v>2212</v>
      </c>
      <c r="F729" s="48">
        <v>2021</v>
      </c>
      <c r="G729" s="48">
        <v>54</v>
      </c>
      <c r="H729" s="48">
        <v>14</v>
      </c>
      <c r="I729" s="44" t="str">
        <f>Tableau2[[#This Row],[Annee d''inscription au programme]]&amp;"-"&amp;Tableau2[[#This Row],[Code d''ecole]]&amp;"-"&amp;Tableau2[[#This Row],[Numero HM de la fille]]</f>
        <v>2021-54-14</v>
      </c>
      <c r="J729" s="45" t="s">
        <v>1976</v>
      </c>
      <c r="K729" s="63" t="s">
        <v>374</v>
      </c>
      <c r="L729" s="35" t="s">
        <v>3529</v>
      </c>
      <c r="M729" s="35">
        <v>0.5</v>
      </c>
      <c r="N729" s="35">
        <v>0.5</v>
      </c>
      <c r="O729" s="35">
        <f t="shared" si="22"/>
        <v>0.5</v>
      </c>
      <c r="P729" s="35">
        <v>0.5</v>
      </c>
      <c r="Q729" s="35">
        <v>4</v>
      </c>
      <c r="R729" s="35">
        <f t="shared" si="23"/>
        <v>2.25</v>
      </c>
      <c r="S729" s="35"/>
      <c r="T729" s="35"/>
      <c r="U729" s="35"/>
      <c r="V729" s="35" t="e">
        <f>AVERAGE(Tableau2[[#This Row],[1ère composition/10]:[3è composition]])</f>
        <v>#DIV/0!</v>
      </c>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f>COUNTIF(Tableau2[[#This Row],[Séance 1]:[Séance 38]],"A")</f>
        <v>0</v>
      </c>
      <c r="BJ729" s="35"/>
    </row>
    <row r="730" spans="1:62" s="42" customFormat="1" hidden="1" x14ac:dyDescent="0.2">
      <c r="A730" s="44" t="s">
        <v>2209</v>
      </c>
      <c r="B730" s="44" t="s">
        <v>2235</v>
      </c>
      <c r="C730" s="59" t="s">
        <v>3855</v>
      </c>
      <c r="D730" s="44" t="s">
        <v>2236</v>
      </c>
      <c r="E730" s="44" t="s">
        <v>2212</v>
      </c>
      <c r="F730" s="48">
        <v>2021</v>
      </c>
      <c r="G730" s="48">
        <v>54</v>
      </c>
      <c r="H730" s="48">
        <v>15</v>
      </c>
      <c r="I730" s="44" t="str">
        <f>Tableau2[[#This Row],[Annee d''inscription au programme]]&amp;"-"&amp;Tableau2[[#This Row],[Code d''ecole]]&amp;"-"&amp;Tableau2[[#This Row],[Numero HM de la fille]]</f>
        <v>2021-54-15</v>
      </c>
      <c r="J730" s="45" t="s">
        <v>1977</v>
      </c>
      <c r="K730" s="63" t="s">
        <v>593</v>
      </c>
      <c r="L730" s="35" t="s">
        <v>698</v>
      </c>
      <c r="M730" s="35">
        <v>6</v>
      </c>
      <c r="N730" s="35">
        <v>8.25</v>
      </c>
      <c r="O730" s="35">
        <f t="shared" si="22"/>
        <v>7.125</v>
      </c>
      <c r="P730" s="35">
        <v>11</v>
      </c>
      <c r="Q730" s="35">
        <v>13.5</v>
      </c>
      <c r="R730" s="35">
        <f t="shared" si="23"/>
        <v>12.25</v>
      </c>
      <c r="S730" s="35"/>
      <c r="T730" s="35"/>
      <c r="U730" s="35"/>
      <c r="V730" s="35" t="e">
        <f>AVERAGE(Tableau2[[#This Row],[1ère composition/10]:[3è composition]])</f>
        <v>#DIV/0!</v>
      </c>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f>COUNTIF(Tableau2[[#This Row],[Séance 1]:[Séance 38]],"A")</f>
        <v>0</v>
      </c>
      <c r="BJ730" s="35"/>
    </row>
    <row r="731" spans="1:62" s="42" customFormat="1" hidden="1" x14ac:dyDescent="0.2">
      <c r="A731" s="44" t="s">
        <v>2209</v>
      </c>
      <c r="B731" s="44" t="s">
        <v>2237</v>
      </c>
      <c r="C731" s="59" t="s">
        <v>3855</v>
      </c>
      <c r="D731" s="44" t="s">
        <v>2238</v>
      </c>
      <c r="E731" s="44" t="s">
        <v>2212</v>
      </c>
      <c r="F731" s="48">
        <v>2021</v>
      </c>
      <c r="G731" s="48">
        <v>54</v>
      </c>
      <c r="H731" s="48">
        <v>16</v>
      </c>
      <c r="I731" s="44" t="str">
        <f>Tableau2[[#This Row],[Annee d''inscription au programme]]&amp;"-"&amp;Tableau2[[#This Row],[Code d''ecole]]&amp;"-"&amp;Tableau2[[#This Row],[Numero HM de la fille]]</f>
        <v>2021-54-16</v>
      </c>
      <c r="J731" s="45" t="s">
        <v>1978</v>
      </c>
      <c r="K731" s="63" t="s">
        <v>593</v>
      </c>
      <c r="L731" s="35" t="s">
        <v>698</v>
      </c>
      <c r="M731" s="35">
        <v>10</v>
      </c>
      <c r="N731" s="35">
        <v>9</v>
      </c>
      <c r="O731" s="35">
        <f t="shared" si="22"/>
        <v>9.5</v>
      </c>
      <c r="P731" s="35">
        <v>13.5</v>
      </c>
      <c r="Q731" s="35">
        <v>9</v>
      </c>
      <c r="R731" s="35">
        <f t="shared" si="23"/>
        <v>11.25</v>
      </c>
      <c r="S731" s="35"/>
      <c r="T731" s="35"/>
      <c r="U731" s="35"/>
      <c r="V731" s="35" t="e">
        <f>AVERAGE(Tableau2[[#This Row],[1ère composition/10]:[3è composition]])</f>
        <v>#DIV/0!</v>
      </c>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f>COUNTIF(Tableau2[[#This Row],[Séance 1]:[Séance 38]],"A")</f>
        <v>0</v>
      </c>
      <c r="BJ731" s="35"/>
    </row>
    <row r="732" spans="1:62" s="42" customFormat="1" hidden="1" x14ac:dyDescent="0.2">
      <c r="A732" s="44" t="s">
        <v>2209</v>
      </c>
      <c r="B732" s="60" t="s">
        <v>3500</v>
      </c>
      <c r="C732" s="59" t="s">
        <v>3855</v>
      </c>
      <c r="D732" s="60" t="s">
        <v>248</v>
      </c>
      <c r="E732" s="44" t="s">
        <v>2212</v>
      </c>
      <c r="F732" s="48">
        <v>2021</v>
      </c>
      <c r="G732" s="48">
        <v>54</v>
      </c>
      <c r="H732" s="60">
        <v>17</v>
      </c>
      <c r="I732" s="60" t="str">
        <f>Tableau2[[#This Row],[Annee d''inscription au programme]]&amp;"-"&amp;Tableau2[[#This Row],[Code d''ecole]]&amp;"-"&amp;Tableau2[[#This Row],[Numero HM de la fille]]</f>
        <v>2021-54-17</v>
      </c>
      <c r="J732" s="45" t="s">
        <v>1979</v>
      </c>
      <c r="K732" s="63" t="s">
        <v>593</v>
      </c>
      <c r="L732" s="35" t="s">
        <v>698</v>
      </c>
      <c r="M732" s="35">
        <v>9.5</v>
      </c>
      <c r="N732" s="35">
        <v>14.25</v>
      </c>
      <c r="O732" s="35">
        <f t="shared" si="22"/>
        <v>11.875</v>
      </c>
      <c r="P732" s="35">
        <v>10.5</v>
      </c>
      <c r="Q732" s="35">
        <v>2.5</v>
      </c>
      <c r="R732" s="35">
        <f t="shared" si="23"/>
        <v>6.5</v>
      </c>
      <c r="S732" s="35"/>
      <c r="T732" s="35"/>
      <c r="U732" s="35"/>
      <c r="V732" s="35" t="e">
        <f>AVERAGE(Tableau2[[#This Row],[1ère composition/10]:[3è composition]])</f>
        <v>#DIV/0!</v>
      </c>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f>COUNTIF(Tableau2[[#This Row],[Séance 1]:[Séance 38]],"A")</f>
        <v>0</v>
      </c>
      <c r="BJ732" s="35"/>
    </row>
    <row r="733" spans="1:62" s="42" customFormat="1" hidden="1" x14ac:dyDescent="0.2">
      <c r="A733" s="44" t="s">
        <v>2209</v>
      </c>
      <c r="B733" s="60" t="s">
        <v>2515</v>
      </c>
      <c r="C733" s="59" t="s">
        <v>3855</v>
      </c>
      <c r="D733" s="60" t="s">
        <v>291</v>
      </c>
      <c r="E733" s="44" t="s">
        <v>2212</v>
      </c>
      <c r="F733" s="48">
        <v>2021</v>
      </c>
      <c r="G733" s="48">
        <v>54</v>
      </c>
      <c r="H733" s="60">
        <v>18</v>
      </c>
      <c r="I733" s="60" t="str">
        <f>Tableau2[[#This Row],[Annee d''inscription au programme]]&amp;"-"&amp;Tableau2[[#This Row],[Code d''ecole]]&amp;"-"&amp;Tableau2[[#This Row],[Numero HM de la fille]]</f>
        <v>2021-54-18</v>
      </c>
      <c r="J733" s="45" t="s">
        <v>1980</v>
      </c>
      <c r="K733" s="63" t="s">
        <v>593</v>
      </c>
      <c r="L733" s="35" t="s">
        <v>698</v>
      </c>
      <c r="M733" s="35">
        <v>3</v>
      </c>
      <c r="N733" s="35">
        <v>6</v>
      </c>
      <c r="O733" s="35">
        <f t="shared" si="22"/>
        <v>4.5</v>
      </c>
      <c r="P733" s="35">
        <v>1.5</v>
      </c>
      <c r="Q733" s="35">
        <v>2</v>
      </c>
      <c r="R733" s="35">
        <f t="shared" si="23"/>
        <v>1.75</v>
      </c>
      <c r="S733" s="35"/>
      <c r="T733" s="35"/>
      <c r="U733" s="35"/>
      <c r="V733" s="35" t="e">
        <f>AVERAGE(Tableau2[[#This Row],[1ère composition/10]:[3è composition]])</f>
        <v>#DIV/0!</v>
      </c>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f>COUNTIF(Tableau2[[#This Row],[Séance 1]:[Séance 38]],"A")</f>
        <v>0</v>
      </c>
      <c r="BJ733" s="35"/>
    </row>
    <row r="734" spans="1:62" s="42" customFormat="1" hidden="1" x14ac:dyDescent="0.2">
      <c r="A734" s="44" t="s">
        <v>2209</v>
      </c>
      <c r="B734" s="60" t="s">
        <v>3501</v>
      </c>
      <c r="C734" s="59" t="s">
        <v>3855</v>
      </c>
      <c r="D734" s="60" t="s">
        <v>1153</v>
      </c>
      <c r="E734" s="44" t="s">
        <v>2212</v>
      </c>
      <c r="F734" s="48">
        <v>2021</v>
      </c>
      <c r="G734" s="48">
        <v>54</v>
      </c>
      <c r="H734" s="60">
        <v>19</v>
      </c>
      <c r="I734" s="60" t="str">
        <f>Tableau2[[#This Row],[Annee d''inscription au programme]]&amp;"-"&amp;Tableau2[[#This Row],[Code d''ecole]]&amp;"-"&amp;Tableau2[[#This Row],[Numero HM de la fille]]</f>
        <v>2021-54-19</v>
      </c>
      <c r="J734" s="45" t="s">
        <v>1981</v>
      </c>
      <c r="K734" s="63" t="s">
        <v>593</v>
      </c>
      <c r="L734" s="35" t="s">
        <v>698</v>
      </c>
      <c r="M734" s="35">
        <v>0.5</v>
      </c>
      <c r="N734" s="35">
        <v>1</v>
      </c>
      <c r="O734" s="35">
        <f t="shared" si="22"/>
        <v>0.75</v>
      </c>
      <c r="P734" s="35">
        <v>12.5</v>
      </c>
      <c r="Q734" s="35">
        <v>10.5</v>
      </c>
      <c r="R734" s="35">
        <f t="shared" si="23"/>
        <v>11.5</v>
      </c>
      <c r="S734" s="35"/>
      <c r="T734" s="35"/>
      <c r="U734" s="35"/>
      <c r="V734" s="35" t="e">
        <f>AVERAGE(Tableau2[[#This Row],[1ère composition/10]:[3è composition]])</f>
        <v>#DIV/0!</v>
      </c>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f>COUNTIF(Tableau2[[#This Row],[Séance 1]:[Séance 38]],"A")</f>
        <v>0</v>
      </c>
      <c r="BJ734" s="35"/>
    </row>
    <row r="735" spans="1:62" s="42" customFormat="1" hidden="1" x14ac:dyDescent="0.2">
      <c r="A735" s="44" t="s">
        <v>2239</v>
      </c>
      <c r="B735" s="44" t="s">
        <v>2240</v>
      </c>
      <c r="C735" s="44" t="s">
        <v>3857</v>
      </c>
      <c r="D735" s="44" t="s">
        <v>2241</v>
      </c>
      <c r="E735" s="44" t="s">
        <v>2212</v>
      </c>
      <c r="F735" s="48">
        <v>2021</v>
      </c>
      <c r="G735" s="48">
        <v>55</v>
      </c>
      <c r="H735" s="48">
        <v>1</v>
      </c>
      <c r="I735" s="44" t="str">
        <f>Tableau2[[#This Row],[Annee d''inscription au programme]]&amp;"-"&amp;Tableau2[[#This Row],[Code d''ecole]]&amp;"-"&amp;Tableau2[[#This Row],[Numero HM de la fille]]</f>
        <v>2021-55-1</v>
      </c>
      <c r="J735" s="45" t="s">
        <v>1982</v>
      </c>
      <c r="K735" s="63" t="s">
        <v>593</v>
      </c>
      <c r="L735" s="35" t="s">
        <v>698</v>
      </c>
      <c r="M735" s="35">
        <v>12</v>
      </c>
      <c r="N735" s="35">
        <v>9</v>
      </c>
      <c r="O735" s="35">
        <f t="shared" si="22"/>
        <v>10.5</v>
      </c>
      <c r="P735" s="35">
        <v>18</v>
      </c>
      <c r="Q735" s="35">
        <v>19.5</v>
      </c>
      <c r="R735" s="35">
        <f t="shared" si="23"/>
        <v>18.75</v>
      </c>
      <c r="S735" s="35"/>
      <c r="T735" s="35"/>
      <c r="U735" s="35"/>
      <c r="V735" s="35" t="e">
        <f>AVERAGE(Tableau2[[#This Row],[1ère composition/10]:[3è composition]])</f>
        <v>#DIV/0!</v>
      </c>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f>COUNTIF(Tableau2[[#This Row],[Séance 1]:[Séance 38]],"A")</f>
        <v>0</v>
      </c>
      <c r="BJ735" s="35"/>
    </row>
    <row r="736" spans="1:62" s="42" customFormat="1" hidden="1" x14ac:dyDescent="0.2">
      <c r="A736" s="44" t="s">
        <v>2239</v>
      </c>
      <c r="B736" s="44" t="s">
        <v>2242</v>
      </c>
      <c r="C736" s="44" t="s">
        <v>3857</v>
      </c>
      <c r="D736" s="44" t="s">
        <v>2243</v>
      </c>
      <c r="E736" s="44" t="s">
        <v>2212</v>
      </c>
      <c r="F736" s="48">
        <v>2021</v>
      </c>
      <c r="G736" s="48">
        <v>55</v>
      </c>
      <c r="H736" s="48">
        <v>2</v>
      </c>
      <c r="I736" s="44" t="str">
        <f>Tableau2[[#This Row],[Annee d''inscription au programme]]&amp;"-"&amp;Tableau2[[#This Row],[Code d''ecole]]&amp;"-"&amp;Tableau2[[#This Row],[Numero HM de la fille]]</f>
        <v>2021-55-2</v>
      </c>
      <c r="J736" s="45" t="s">
        <v>1983</v>
      </c>
      <c r="K736" s="63" t="s">
        <v>593</v>
      </c>
      <c r="L736" s="35" t="s">
        <v>698</v>
      </c>
      <c r="M736" s="35">
        <v>5</v>
      </c>
      <c r="N736" s="35">
        <v>3</v>
      </c>
      <c r="O736" s="35">
        <f t="shared" si="22"/>
        <v>4</v>
      </c>
      <c r="P736" s="35">
        <v>11</v>
      </c>
      <c r="Q736" s="35">
        <v>9</v>
      </c>
      <c r="R736" s="35">
        <f t="shared" si="23"/>
        <v>10</v>
      </c>
      <c r="S736" s="35"/>
      <c r="T736" s="35"/>
      <c r="U736" s="35"/>
      <c r="V736" s="35" t="e">
        <f>AVERAGE(Tableau2[[#This Row],[1ère composition/10]:[3è composition]])</f>
        <v>#DIV/0!</v>
      </c>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f>COUNTIF(Tableau2[[#This Row],[Séance 1]:[Séance 38]],"A")</f>
        <v>0</v>
      </c>
      <c r="BJ736" s="35"/>
    </row>
    <row r="737" spans="1:62" s="42" customFormat="1" hidden="1" x14ac:dyDescent="0.2">
      <c r="A737" s="44" t="s">
        <v>2239</v>
      </c>
      <c r="B737" s="44" t="s">
        <v>2244</v>
      </c>
      <c r="C737" s="44" t="s">
        <v>3857</v>
      </c>
      <c r="D737" s="44" t="s">
        <v>2245</v>
      </c>
      <c r="E737" s="44" t="s">
        <v>2212</v>
      </c>
      <c r="F737" s="48">
        <v>2021</v>
      </c>
      <c r="G737" s="48">
        <v>55</v>
      </c>
      <c r="H737" s="48">
        <v>3</v>
      </c>
      <c r="I737" s="44" t="str">
        <f>Tableau2[[#This Row],[Annee d''inscription au programme]]&amp;"-"&amp;Tableau2[[#This Row],[Code d''ecole]]&amp;"-"&amp;Tableau2[[#This Row],[Numero HM de la fille]]</f>
        <v>2021-55-3</v>
      </c>
      <c r="J737" s="45" t="s">
        <v>1984</v>
      </c>
      <c r="K737" s="63" t="s">
        <v>593</v>
      </c>
      <c r="L737" s="35" t="s">
        <v>698</v>
      </c>
      <c r="M737" s="35">
        <v>10</v>
      </c>
      <c r="N737" s="35">
        <v>3.5</v>
      </c>
      <c r="O737" s="35">
        <f t="shared" si="22"/>
        <v>6.75</v>
      </c>
      <c r="P737" s="35">
        <v>17.5</v>
      </c>
      <c r="Q737" s="35">
        <v>8.75</v>
      </c>
      <c r="R737" s="35">
        <f t="shared" si="23"/>
        <v>13.125</v>
      </c>
      <c r="S737" s="35"/>
      <c r="T737" s="35"/>
      <c r="U737" s="35"/>
      <c r="V737" s="35" t="e">
        <f>AVERAGE(Tableau2[[#This Row],[1ère composition/10]:[3è composition]])</f>
        <v>#DIV/0!</v>
      </c>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f>COUNTIF(Tableau2[[#This Row],[Séance 1]:[Séance 38]],"A")</f>
        <v>0</v>
      </c>
      <c r="BJ737" s="35"/>
    </row>
    <row r="738" spans="1:62" s="42" customFormat="1" hidden="1" x14ac:dyDescent="0.2">
      <c r="A738" s="44" t="s">
        <v>2239</v>
      </c>
      <c r="B738" s="44" t="s">
        <v>2246</v>
      </c>
      <c r="C738" s="44" t="s">
        <v>3857</v>
      </c>
      <c r="D738" s="44" t="s">
        <v>2247</v>
      </c>
      <c r="E738" s="44" t="s">
        <v>2212</v>
      </c>
      <c r="F738" s="48">
        <v>2021</v>
      </c>
      <c r="G738" s="48">
        <v>55</v>
      </c>
      <c r="H738" s="48">
        <v>4</v>
      </c>
      <c r="I738" s="44" t="str">
        <f>Tableau2[[#This Row],[Annee d''inscription au programme]]&amp;"-"&amp;Tableau2[[#This Row],[Code d''ecole]]&amp;"-"&amp;Tableau2[[#This Row],[Numero HM de la fille]]</f>
        <v>2021-55-4</v>
      </c>
      <c r="J738" s="45" t="s">
        <v>1985</v>
      </c>
      <c r="K738" s="63" t="s">
        <v>593</v>
      </c>
      <c r="L738" s="35" t="s">
        <v>698</v>
      </c>
      <c r="M738" s="35">
        <v>14</v>
      </c>
      <c r="N738" s="35">
        <v>15.5</v>
      </c>
      <c r="O738" s="35">
        <f t="shared" si="22"/>
        <v>14.75</v>
      </c>
      <c r="P738" s="35">
        <v>19.5</v>
      </c>
      <c r="Q738" s="35">
        <v>19.5</v>
      </c>
      <c r="R738" s="35">
        <f t="shared" si="23"/>
        <v>19.5</v>
      </c>
      <c r="S738" s="35"/>
      <c r="T738" s="35"/>
      <c r="U738" s="35"/>
      <c r="V738" s="35" t="e">
        <f>AVERAGE(Tableau2[[#This Row],[1ère composition/10]:[3è composition]])</f>
        <v>#DIV/0!</v>
      </c>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f>COUNTIF(Tableau2[[#This Row],[Séance 1]:[Séance 38]],"A")</f>
        <v>0</v>
      </c>
      <c r="BJ738" s="35"/>
    </row>
    <row r="739" spans="1:62" s="42" customFormat="1" hidden="1" x14ac:dyDescent="0.2">
      <c r="A739" s="44" t="s">
        <v>2239</v>
      </c>
      <c r="B739" s="44" t="s">
        <v>2248</v>
      </c>
      <c r="C739" s="44" t="s">
        <v>3857</v>
      </c>
      <c r="D739" s="44" t="s">
        <v>2249</v>
      </c>
      <c r="E739" s="44" t="s">
        <v>2212</v>
      </c>
      <c r="F739" s="48">
        <v>2021</v>
      </c>
      <c r="G739" s="48">
        <v>55</v>
      </c>
      <c r="H739" s="48">
        <v>5</v>
      </c>
      <c r="I739" s="44" t="str">
        <f>Tableau2[[#This Row],[Annee d''inscription au programme]]&amp;"-"&amp;Tableau2[[#This Row],[Code d''ecole]]&amp;"-"&amp;Tableau2[[#This Row],[Numero HM de la fille]]</f>
        <v>2021-55-5</v>
      </c>
      <c r="J739" s="45" t="s">
        <v>1986</v>
      </c>
      <c r="K739" s="63" t="s">
        <v>593</v>
      </c>
      <c r="L739" s="35" t="s">
        <v>698</v>
      </c>
      <c r="M739" s="35">
        <v>8</v>
      </c>
      <c r="N739" s="35">
        <v>2</v>
      </c>
      <c r="O739" s="35">
        <f t="shared" si="22"/>
        <v>5</v>
      </c>
      <c r="P739" s="35">
        <v>10.5</v>
      </c>
      <c r="Q739" s="35">
        <v>5</v>
      </c>
      <c r="R739" s="35">
        <f t="shared" si="23"/>
        <v>7.75</v>
      </c>
      <c r="S739" s="35"/>
      <c r="T739" s="35"/>
      <c r="U739" s="35"/>
      <c r="V739" s="35" t="e">
        <f>AVERAGE(Tableau2[[#This Row],[1ère composition/10]:[3è composition]])</f>
        <v>#DIV/0!</v>
      </c>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f>COUNTIF(Tableau2[[#This Row],[Séance 1]:[Séance 38]],"A")</f>
        <v>0</v>
      </c>
      <c r="BJ739" s="35"/>
    </row>
    <row r="740" spans="1:62" s="42" customFormat="1" hidden="1" x14ac:dyDescent="0.2">
      <c r="A740" s="44" t="s">
        <v>2239</v>
      </c>
      <c r="B740" s="44" t="s">
        <v>2250</v>
      </c>
      <c r="C740" s="44" t="s">
        <v>3857</v>
      </c>
      <c r="D740" s="44" t="s">
        <v>2251</v>
      </c>
      <c r="E740" s="44" t="s">
        <v>2212</v>
      </c>
      <c r="F740" s="48">
        <v>2021</v>
      </c>
      <c r="G740" s="48">
        <v>55</v>
      </c>
      <c r="H740" s="48">
        <v>6</v>
      </c>
      <c r="I740" s="44" t="str">
        <f>Tableau2[[#This Row],[Annee d''inscription au programme]]&amp;"-"&amp;Tableau2[[#This Row],[Code d''ecole]]&amp;"-"&amp;Tableau2[[#This Row],[Numero HM de la fille]]</f>
        <v>2021-55-6</v>
      </c>
      <c r="J740" s="45" t="s">
        <v>1987</v>
      </c>
      <c r="K740" s="63" t="s">
        <v>593</v>
      </c>
      <c r="L740" s="35" t="s">
        <v>698</v>
      </c>
      <c r="M740" s="35">
        <v>7</v>
      </c>
      <c r="N740" s="35">
        <v>2.5</v>
      </c>
      <c r="O740" s="35">
        <f t="shared" si="22"/>
        <v>4.75</v>
      </c>
      <c r="P740" s="35">
        <v>9</v>
      </c>
      <c r="Q740" s="35">
        <v>4.5</v>
      </c>
      <c r="R740" s="35">
        <f t="shared" si="23"/>
        <v>6.75</v>
      </c>
      <c r="S740" s="35"/>
      <c r="T740" s="35"/>
      <c r="U740" s="35"/>
      <c r="V740" s="35" t="e">
        <f>AVERAGE(Tableau2[[#This Row],[1ère composition/10]:[3è composition]])</f>
        <v>#DIV/0!</v>
      </c>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f>COUNTIF(Tableau2[[#This Row],[Séance 1]:[Séance 38]],"A")</f>
        <v>0</v>
      </c>
      <c r="BJ740" s="35"/>
    </row>
    <row r="741" spans="1:62" s="42" customFormat="1" hidden="1" x14ac:dyDescent="0.2">
      <c r="A741" s="44" t="s">
        <v>2239</v>
      </c>
      <c r="B741" s="44" t="s">
        <v>2252</v>
      </c>
      <c r="C741" s="44" t="s">
        <v>3857</v>
      </c>
      <c r="D741" s="44" t="s">
        <v>2253</v>
      </c>
      <c r="E741" s="44" t="s">
        <v>2212</v>
      </c>
      <c r="F741" s="48">
        <v>2021</v>
      </c>
      <c r="G741" s="48">
        <v>55</v>
      </c>
      <c r="H741" s="48">
        <v>7</v>
      </c>
      <c r="I741" s="44" t="str">
        <f>Tableau2[[#This Row],[Annee d''inscription au programme]]&amp;"-"&amp;Tableau2[[#This Row],[Code d''ecole]]&amp;"-"&amp;Tableau2[[#This Row],[Numero HM de la fille]]</f>
        <v>2021-55-7</v>
      </c>
      <c r="J741" s="45" t="s">
        <v>1988</v>
      </c>
      <c r="K741" s="63" t="s">
        <v>593</v>
      </c>
      <c r="L741" s="35" t="s">
        <v>698</v>
      </c>
      <c r="M741" s="35">
        <v>7.5</v>
      </c>
      <c r="N741" s="35">
        <v>1.5</v>
      </c>
      <c r="O741" s="35">
        <f t="shared" si="22"/>
        <v>4.5</v>
      </c>
      <c r="P741" s="35">
        <v>9.5</v>
      </c>
      <c r="Q741" s="35">
        <v>4.5</v>
      </c>
      <c r="R741" s="35">
        <f t="shared" si="23"/>
        <v>7</v>
      </c>
      <c r="S741" s="35"/>
      <c r="T741" s="35"/>
      <c r="U741" s="35"/>
      <c r="V741" s="35" t="e">
        <f>AVERAGE(Tableau2[[#This Row],[1ère composition/10]:[3è composition]])</f>
        <v>#DIV/0!</v>
      </c>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f>COUNTIF(Tableau2[[#This Row],[Séance 1]:[Séance 38]],"A")</f>
        <v>0</v>
      </c>
      <c r="BJ741" s="35"/>
    </row>
    <row r="742" spans="1:62" s="42" customFormat="1" hidden="1" x14ac:dyDescent="0.2">
      <c r="A742" s="44" t="s">
        <v>2239</v>
      </c>
      <c r="B742" s="44" t="s">
        <v>2254</v>
      </c>
      <c r="C742" s="44" t="s">
        <v>3857</v>
      </c>
      <c r="D742" s="44" t="s">
        <v>2255</v>
      </c>
      <c r="E742" s="44" t="s">
        <v>2212</v>
      </c>
      <c r="F742" s="48">
        <v>2021</v>
      </c>
      <c r="G742" s="48">
        <v>55</v>
      </c>
      <c r="H742" s="48">
        <v>8</v>
      </c>
      <c r="I742" s="44" t="str">
        <f>Tableau2[[#This Row],[Annee d''inscription au programme]]&amp;"-"&amp;Tableau2[[#This Row],[Code d''ecole]]&amp;"-"&amp;Tableau2[[#This Row],[Numero HM de la fille]]</f>
        <v>2021-55-8</v>
      </c>
      <c r="J742" s="45" t="s">
        <v>1989</v>
      </c>
      <c r="K742" s="63" t="s">
        <v>374</v>
      </c>
      <c r="L742" s="35" t="s">
        <v>3529</v>
      </c>
      <c r="M742" s="35">
        <v>13</v>
      </c>
      <c r="N742" s="35">
        <v>4</v>
      </c>
      <c r="O742" s="35">
        <f t="shared" si="22"/>
        <v>8.5</v>
      </c>
      <c r="P742" s="35">
        <v>17</v>
      </c>
      <c r="Q742" s="35">
        <v>10</v>
      </c>
      <c r="R742" s="35">
        <f t="shared" si="23"/>
        <v>13.5</v>
      </c>
      <c r="S742" s="35"/>
      <c r="T742" s="35"/>
      <c r="U742" s="35"/>
      <c r="V742" s="35" t="e">
        <f>AVERAGE(Tableau2[[#This Row],[1ère composition/10]:[3è composition]])</f>
        <v>#DIV/0!</v>
      </c>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f>COUNTIF(Tableau2[[#This Row],[Séance 1]:[Séance 38]],"A")</f>
        <v>0</v>
      </c>
      <c r="BJ742" s="35"/>
    </row>
    <row r="743" spans="1:62" s="42" customFormat="1" hidden="1" x14ac:dyDescent="0.2">
      <c r="A743" s="44" t="s">
        <v>2239</v>
      </c>
      <c r="B743" s="44" t="s">
        <v>2256</v>
      </c>
      <c r="C743" s="44" t="s">
        <v>3857</v>
      </c>
      <c r="D743" s="44" t="s">
        <v>2257</v>
      </c>
      <c r="E743" s="44" t="s">
        <v>2212</v>
      </c>
      <c r="F743" s="48">
        <v>2021</v>
      </c>
      <c r="G743" s="48">
        <v>55</v>
      </c>
      <c r="H743" s="48">
        <v>9</v>
      </c>
      <c r="I743" s="44" t="str">
        <f>Tableau2[[#This Row],[Annee d''inscription au programme]]&amp;"-"&amp;Tableau2[[#This Row],[Code d''ecole]]&amp;"-"&amp;Tableau2[[#This Row],[Numero HM de la fille]]</f>
        <v>2021-55-9</v>
      </c>
      <c r="J743" s="45" t="s">
        <v>1990</v>
      </c>
      <c r="K743" s="63" t="s">
        <v>593</v>
      </c>
      <c r="L743" s="35" t="s">
        <v>698</v>
      </c>
      <c r="M743" s="35">
        <v>12.5</v>
      </c>
      <c r="N743" s="35">
        <v>13.25</v>
      </c>
      <c r="O743" s="35">
        <f t="shared" si="22"/>
        <v>12.875</v>
      </c>
      <c r="P743" s="35">
        <v>20</v>
      </c>
      <c r="Q743" s="35">
        <v>19.75</v>
      </c>
      <c r="R743" s="35">
        <f t="shared" si="23"/>
        <v>19.875</v>
      </c>
      <c r="S743" s="35"/>
      <c r="T743" s="35"/>
      <c r="U743" s="35"/>
      <c r="V743" s="35" t="e">
        <f>AVERAGE(Tableau2[[#This Row],[1ère composition/10]:[3è composition]])</f>
        <v>#DIV/0!</v>
      </c>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f>COUNTIF(Tableau2[[#This Row],[Séance 1]:[Séance 38]],"A")</f>
        <v>0</v>
      </c>
      <c r="BJ743" s="35"/>
    </row>
    <row r="744" spans="1:62" s="42" customFormat="1" hidden="1" x14ac:dyDescent="0.2">
      <c r="A744" s="44" t="s">
        <v>2239</v>
      </c>
      <c r="B744" s="44" t="s">
        <v>2258</v>
      </c>
      <c r="C744" s="44" t="s">
        <v>3857</v>
      </c>
      <c r="D744" s="44" t="s">
        <v>388</v>
      </c>
      <c r="E744" s="44" t="s">
        <v>2212</v>
      </c>
      <c r="F744" s="48">
        <v>2021</v>
      </c>
      <c r="G744" s="48">
        <v>55</v>
      </c>
      <c r="H744" s="48">
        <v>10</v>
      </c>
      <c r="I744" s="44" t="str">
        <f>Tableau2[[#This Row],[Annee d''inscription au programme]]&amp;"-"&amp;Tableau2[[#This Row],[Code d''ecole]]&amp;"-"&amp;Tableau2[[#This Row],[Numero HM de la fille]]</f>
        <v>2021-55-10</v>
      </c>
      <c r="J744" s="45" t="s">
        <v>1991</v>
      </c>
      <c r="K744" s="63" t="s">
        <v>374</v>
      </c>
      <c r="L744" s="35" t="s">
        <v>3529</v>
      </c>
      <c r="M744" s="35">
        <v>14</v>
      </c>
      <c r="N744" s="35">
        <v>12.5</v>
      </c>
      <c r="O744" s="35">
        <f t="shared" si="22"/>
        <v>13.25</v>
      </c>
      <c r="P744" s="35">
        <v>19.5</v>
      </c>
      <c r="Q744" s="35">
        <v>18.5</v>
      </c>
      <c r="R744" s="35">
        <f t="shared" si="23"/>
        <v>19</v>
      </c>
      <c r="S744" s="35"/>
      <c r="T744" s="35"/>
      <c r="U744" s="35"/>
      <c r="V744" s="35" t="e">
        <f>AVERAGE(Tableau2[[#This Row],[1ère composition/10]:[3è composition]])</f>
        <v>#DIV/0!</v>
      </c>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f>COUNTIF(Tableau2[[#This Row],[Séance 1]:[Séance 38]],"A")</f>
        <v>0</v>
      </c>
      <c r="BJ744" s="35"/>
    </row>
    <row r="745" spans="1:62" s="42" customFormat="1" hidden="1" x14ac:dyDescent="0.2">
      <c r="A745" s="44" t="s">
        <v>2239</v>
      </c>
      <c r="B745" s="44" t="s">
        <v>2259</v>
      </c>
      <c r="C745" s="44" t="s">
        <v>3857</v>
      </c>
      <c r="D745" s="44" t="s">
        <v>2260</v>
      </c>
      <c r="E745" s="44" t="s">
        <v>2212</v>
      </c>
      <c r="F745" s="48">
        <v>2021</v>
      </c>
      <c r="G745" s="48">
        <v>55</v>
      </c>
      <c r="H745" s="48">
        <v>11</v>
      </c>
      <c r="I745" s="44" t="str">
        <f>Tableau2[[#This Row],[Annee d''inscription au programme]]&amp;"-"&amp;Tableau2[[#This Row],[Code d''ecole]]&amp;"-"&amp;Tableau2[[#This Row],[Numero HM de la fille]]</f>
        <v>2021-55-11</v>
      </c>
      <c r="J745" s="45" t="s">
        <v>1992</v>
      </c>
      <c r="K745" s="63" t="s">
        <v>593</v>
      </c>
      <c r="L745" s="35" t="s">
        <v>698</v>
      </c>
      <c r="M745" s="35">
        <v>10</v>
      </c>
      <c r="N745" s="35">
        <v>5</v>
      </c>
      <c r="O745" s="35">
        <f t="shared" si="22"/>
        <v>7.5</v>
      </c>
      <c r="P745" s="35">
        <v>19.5</v>
      </c>
      <c r="Q745" s="35">
        <v>17.5</v>
      </c>
      <c r="R745" s="35">
        <f t="shared" si="23"/>
        <v>18.5</v>
      </c>
      <c r="S745" s="35"/>
      <c r="T745" s="35"/>
      <c r="U745" s="35"/>
      <c r="V745" s="35" t="e">
        <f>AVERAGE(Tableau2[[#This Row],[1ère composition/10]:[3è composition]])</f>
        <v>#DIV/0!</v>
      </c>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f>COUNTIF(Tableau2[[#This Row],[Séance 1]:[Séance 38]],"A")</f>
        <v>0</v>
      </c>
      <c r="BJ745" s="35"/>
    </row>
    <row r="746" spans="1:62" s="42" customFormat="1" hidden="1" x14ac:dyDescent="0.2">
      <c r="A746" s="44" t="s">
        <v>2239</v>
      </c>
      <c r="B746" s="44" t="s">
        <v>2261</v>
      </c>
      <c r="C746" s="44" t="s">
        <v>3857</v>
      </c>
      <c r="D746" s="44" t="s">
        <v>2262</v>
      </c>
      <c r="E746" s="44" t="s">
        <v>2212</v>
      </c>
      <c r="F746" s="48">
        <v>2021</v>
      </c>
      <c r="G746" s="48">
        <v>55</v>
      </c>
      <c r="H746" s="48">
        <v>12</v>
      </c>
      <c r="I746" s="44" t="str">
        <f>Tableau2[[#This Row],[Annee d''inscription au programme]]&amp;"-"&amp;Tableau2[[#This Row],[Code d''ecole]]&amp;"-"&amp;Tableau2[[#This Row],[Numero HM de la fille]]</f>
        <v>2021-55-12</v>
      </c>
      <c r="J746" s="45" t="s">
        <v>1993</v>
      </c>
      <c r="K746" s="63" t="s">
        <v>593</v>
      </c>
      <c r="L746" s="35" t="s">
        <v>698</v>
      </c>
      <c r="M746" s="35">
        <v>12.5</v>
      </c>
      <c r="N746" s="35">
        <v>9</v>
      </c>
      <c r="O746" s="35">
        <f t="shared" si="22"/>
        <v>10.75</v>
      </c>
      <c r="P746" s="35">
        <v>18</v>
      </c>
      <c r="Q746" s="35">
        <v>17</v>
      </c>
      <c r="R746" s="35">
        <f t="shared" si="23"/>
        <v>17.5</v>
      </c>
      <c r="S746" s="35"/>
      <c r="T746" s="35"/>
      <c r="U746" s="35"/>
      <c r="V746" s="35" t="e">
        <f>AVERAGE(Tableau2[[#This Row],[1ère composition/10]:[3è composition]])</f>
        <v>#DIV/0!</v>
      </c>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f>COUNTIF(Tableau2[[#This Row],[Séance 1]:[Séance 38]],"A")</f>
        <v>0</v>
      </c>
      <c r="BJ746" s="35"/>
    </row>
    <row r="747" spans="1:62" s="42" customFormat="1" hidden="1" x14ac:dyDescent="0.2">
      <c r="A747" s="44" t="s">
        <v>2239</v>
      </c>
      <c r="B747" s="44" t="s">
        <v>2263</v>
      </c>
      <c r="C747" s="44" t="s">
        <v>3857</v>
      </c>
      <c r="D747" s="44" t="s">
        <v>2264</v>
      </c>
      <c r="E747" s="44" t="s">
        <v>2212</v>
      </c>
      <c r="F747" s="48">
        <v>2021</v>
      </c>
      <c r="G747" s="48">
        <v>55</v>
      </c>
      <c r="H747" s="48">
        <v>13</v>
      </c>
      <c r="I747" s="44" t="str">
        <f>Tableau2[[#This Row],[Annee d''inscription au programme]]&amp;"-"&amp;Tableau2[[#This Row],[Code d''ecole]]&amp;"-"&amp;Tableau2[[#This Row],[Numero HM de la fille]]</f>
        <v>2021-55-13</v>
      </c>
      <c r="J747" s="45" t="s">
        <v>1994</v>
      </c>
      <c r="K747" s="63" t="s">
        <v>593</v>
      </c>
      <c r="L747" s="35" t="s">
        <v>698</v>
      </c>
      <c r="M747" s="35">
        <v>13</v>
      </c>
      <c r="N747" s="35">
        <v>12.75</v>
      </c>
      <c r="O747" s="35">
        <f t="shared" si="22"/>
        <v>12.875</v>
      </c>
      <c r="P747" s="35">
        <v>19.5</v>
      </c>
      <c r="Q747" s="35">
        <v>19</v>
      </c>
      <c r="R747" s="35">
        <f t="shared" si="23"/>
        <v>19.25</v>
      </c>
      <c r="S747" s="35"/>
      <c r="T747" s="35"/>
      <c r="U747" s="35"/>
      <c r="V747" s="35" t="e">
        <f>AVERAGE(Tableau2[[#This Row],[1ère composition/10]:[3è composition]])</f>
        <v>#DIV/0!</v>
      </c>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f>COUNTIF(Tableau2[[#This Row],[Séance 1]:[Séance 38]],"A")</f>
        <v>0</v>
      </c>
      <c r="BJ747" s="35"/>
    </row>
    <row r="748" spans="1:62" s="42" customFormat="1" hidden="1" x14ac:dyDescent="0.2">
      <c r="A748" s="44" t="s">
        <v>2239</v>
      </c>
      <c r="B748" s="44" t="s">
        <v>2265</v>
      </c>
      <c r="C748" s="44" t="s">
        <v>3857</v>
      </c>
      <c r="D748" s="44" t="s">
        <v>745</v>
      </c>
      <c r="E748" s="44" t="s">
        <v>2212</v>
      </c>
      <c r="F748" s="48">
        <v>2021</v>
      </c>
      <c r="G748" s="48">
        <v>55</v>
      </c>
      <c r="H748" s="48">
        <v>14</v>
      </c>
      <c r="I748" s="44" t="str">
        <f>Tableau2[[#This Row],[Annee d''inscription au programme]]&amp;"-"&amp;Tableau2[[#This Row],[Code d''ecole]]&amp;"-"&amp;Tableau2[[#This Row],[Numero HM de la fille]]</f>
        <v>2021-55-14</v>
      </c>
      <c r="J748" s="45" t="s">
        <v>1995</v>
      </c>
      <c r="K748" s="63" t="s">
        <v>593</v>
      </c>
      <c r="L748" s="35" t="s">
        <v>698</v>
      </c>
      <c r="M748" s="35">
        <v>6.5</v>
      </c>
      <c r="N748" s="35">
        <v>1.5</v>
      </c>
      <c r="O748" s="35">
        <f t="shared" si="22"/>
        <v>4</v>
      </c>
      <c r="P748" s="35">
        <v>6.5</v>
      </c>
      <c r="Q748" s="35">
        <v>1.5</v>
      </c>
      <c r="R748" s="35">
        <f t="shared" si="23"/>
        <v>4</v>
      </c>
      <c r="S748" s="35"/>
      <c r="T748" s="35"/>
      <c r="U748" s="35"/>
      <c r="V748" s="35" t="e">
        <f>AVERAGE(Tableau2[[#This Row],[1ère composition/10]:[3è composition]])</f>
        <v>#DIV/0!</v>
      </c>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f>COUNTIF(Tableau2[[#This Row],[Séance 1]:[Séance 38]],"A")</f>
        <v>0</v>
      </c>
      <c r="BJ748" s="35"/>
    </row>
    <row r="749" spans="1:62" s="42" customFormat="1" hidden="1" x14ac:dyDescent="0.2">
      <c r="A749" s="44" t="s">
        <v>2239</v>
      </c>
      <c r="B749" s="44" t="s">
        <v>2266</v>
      </c>
      <c r="C749" s="44" t="s">
        <v>3857</v>
      </c>
      <c r="D749" s="44" t="s">
        <v>2267</v>
      </c>
      <c r="E749" s="44" t="s">
        <v>2212</v>
      </c>
      <c r="F749" s="48">
        <v>2021</v>
      </c>
      <c r="G749" s="48">
        <v>55</v>
      </c>
      <c r="H749" s="48">
        <v>15</v>
      </c>
      <c r="I749" s="44" t="str">
        <f>Tableau2[[#This Row],[Annee d''inscription au programme]]&amp;"-"&amp;Tableau2[[#This Row],[Code d''ecole]]&amp;"-"&amp;Tableau2[[#This Row],[Numero HM de la fille]]</f>
        <v>2021-55-15</v>
      </c>
      <c r="J749" s="45" t="s">
        <v>1996</v>
      </c>
      <c r="K749" s="63" t="s">
        <v>593</v>
      </c>
      <c r="L749" s="35" t="s">
        <v>698</v>
      </c>
      <c r="M749" s="35">
        <v>10</v>
      </c>
      <c r="N749" s="35">
        <v>6.5</v>
      </c>
      <c r="O749" s="35">
        <f t="shared" si="22"/>
        <v>8.25</v>
      </c>
      <c r="P749" s="35">
        <v>13</v>
      </c>
      <c r="Q749" s="35">
        <v>12</v>
      </c>
      <c r="R749" s="35">
        <f t="shared" si="23"/>
        <v>12.5</v>
      </c>
      <c r="S749" s="35"/>
      <c r="T749" s="35"/>
      <c r="U749" s="35"/>
      <c r="V749" s="35" t="e">
        <f>AVERAGE(Tableau2[[#This Row],[1ère composition/10]:[3è composition]])</f>
        <v>#DIV/0!</v>
      </c>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f>COUNTIF(Tableau2[[#This Row],[Séance 1]:[Séance 38]],"A")</f>
        <v>0</v>
      </c>
      <c r="BJ749" s="35"/>
    </row>
    <row r="750" spans="1:62" s="42" customFormat="1" hidden="1" x14ac:dyDescent="0.2">
      <c r="A750" s="44" t="s">
        <v>2239</v>
      </c>
      <c r="B750" s="60" t="s">
        <v>3502</v>
      </c>
      <c r="C750" s="44" t="s">
        <v>3857</v>
      </c>
      <c r="D750" s="60" t="s">
        <v>213</v>
      </c>
      <c r="E750" s="44" t="s">
        <v>2212</v>
      </c>
      <c r="F750" s="48">
        <v>2021</v>
      </c>
      <c r="G750" s="48">
        <v>55</v>
      </c>
      <c r="H750" s="60">
        <v>16</v>
      </c>
      <c r="I750" s="60" t="str">
        <f>Tableau2[[#This Row],[Annee d''inscription au programme]]&amp;"-"&amp;Tableau2[[#This Row],[Code d''ecole]]&amp;"-"&amp;Tableau2[[#This Row],[Numero HM de la fille]]</f>
        <v>2021-55-16</v>
      </c>
      <c r="J750" s="45" t="s">
        <v>1997</v>
      </c>
      <c r="K750" s="63" t="s">
        <v>593</v>
      </c>
      <c r="L750" s="35" t="s">
        <v>698</v>
      </c>
      <c r="M750" s="35">
        <v>7</v>
      </c>
      <c r="N750" s="35">
        <v>4.5</v>
      </c>
      <c r="O750" s="35">
        <f t="shared" si="22"/>
        <v>5.75</v>
      </c>
      <c r="P750" s="35">
        <v>17.5</v>
      </c>
      <c r="Q750" s="35">
        <v>19</v>
      </c>
      <c r="R750" s="35">
        <f t="shared" si="23"/>
        <v>18.25</v>
      </c>
      <c r="S750" s="35"/>
      <c r="T750" s="35"/>
      <c r="U750" s="35"/>
      <c r="V750" s="35" t="e">
        <f>AVERAGE(Tableau2[[#This Row],[1ère composition/10]:[3è composition]])</f>
        <v>#DIV/0!</v>
      </c>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f>COUNTIF(Tableau2[[#This Row],[Séance 1]:[Séance 38]],"A")</f>
        <v>0</v>
      </c>
      <c r="BJ750" s="35"/>
    </row>
    <row r="751" spans="1:62" s="42" customFormat="1" hidden="1" x14ac:dyDescent="0.2">
      <c r="A751" s="44" t="s">
        <v>2239</v>
      </c>
      <c r="B751" s="60" t="s">
        <v>3503</v>
      </c>
      <c r="C751" s="44" t="s">
        <v>3857</v>
      </c>
      <c r="D751" s="60" t="s">
        <v>1008</v>
      </c>
      <c r="E751" s="44" t="s">
        <v>2212</v>
      </c>
      <c r="F751" s="48">
        <v>2021</v>
      </c>
      <c r="G751" s="48">
        <v>55</v>
      </c>
      <c r="H751" s="60">
        <v>17</v>
      </c>
      <c r="I751" s="60" t="str">
        <f>Tableau2[[#This Row],[Annee d''inscription au programme]]&amp;"-"&amp;Tableau2[[#This Row],[Code d''ecole]]&amp;"-"&amp;Tableau2[[#This Row],[Numero HM de la fille]]</f>
        <v>2021-55-17</v>
      </c>
      <c r="J751" s="45" t="s">
        <v>1998</v>
      </c>
      <c r="K751" s="63" t="s">
        <v>593</v>
      </c>
      <c r="L751" s="35" t="s">
        <v>698</v>
      </c>
      <c r="M751" s="35">
        <v>7</v>
      </c>
      <c r="N751" s="35">
        <v>2.5</v>
      </c>
      <c r="O751" s="35">
        <f t="shared" si="22"/>
        <v>4.75</v>
      </c>
      <c r="P751" s="35">
        <v>12.5</v>
      </c>
      <c r="Q751" s="35">
        <v>9.5</v>
      </c>
      <c r="R751" s="35">
        <f t="shared" si="23"/>
        <v>11</v>
      </c>
      <c r="S751" s="35"/>
      <c r="T751" s="35"/>
      <c r="U751" s="35"/>
      <c r="V751" s="35" t="e">
        <f>AVERAGE(Tableau2[[#This Row],[1ère composition/10]:[3è composition]])</f>
        <v>#DIV/0!</v>
      </c>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f>COUNTIF(Tableau2[[#This Row],[Séance 1]:[Séance 38]],"A")</f>
        <v>0</v>
      </c>
      <c r="BJ751" s="35"/>
    </row>
    <row r="752" spans="1:62" s="42" customFormat="1" hidden="1" x14ac:dyDescent="0.2">
      <c r="A752" s="1" t="s">
        <v>2268</v>
      </c>
      <c r="B752" s="44" t="s">
        <v>2269</v>
      </c>
      <c r="C752" s="44" t="s">
        <v>3795</v>
      </c>
      <c r="D752" s="44" t="s">
        <v>2270</v>
      </c>
      <c r="E752" s="44" t="s">
        <v>2212</v>
      </c>
      <c r="F752" s="48">
        <v>2021</v>
      </c>
      <c r="G752" s="48">
        <v>56</v>
      </c>
      <c r="H752" s="48">
        <v>1</v>
      </c>
      <c r="I752" s="44" t="str">
        <f>Tableau2[[#This Row],[Annee d''inscription au programme]]&amp;"-"&amp;Tableau2[[#This Row],[Code d''ecole]]&amp;"-"&amp;Tableau2[[#This Row],[Numero HM de la fille]]</f>
        <v>2021-56-1</v>
      </c>
      <c r="J752" s="45" t="s">
        <v>1999</v>
      </c>
      <c r="K752" s="63" t="s">
        <v>593</v>
      </c>
      <c r="L752" s="35" t="s">
        <v>698</v>
      </c>
      <c r="M752" s="35">
        <v>0</v>
      </c>
      <c r="N752" s="35">
        <v>0</v>
      </c>
      <c r="O752" s="35">
        <f t="shared" si="22"/>
        <v>0</v>
      </c>
      <c r="P752" s="35">
        <v>6.5</v>
      </c>
      <c r="Q752" s="35">
        <v>7</v>
      </c>
      <c r="R752" s="35">
        <f t="shared" si="23"/>
        <v>6.75</v>
      </c>
      <c r="S752" s="35"/>
      <c r="T752" s="35"/>
      <c r="U752" s="35"/>
      <c r="V752" s="35" t="e">
        <f>AVERAGE(Tableau2[[#This Row],[1ère composition/10]:[3è composition]])</f>
        <v>#DIV/0!</v>
      </c>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f>COUNTIF(Tableau2[[#This Row],[Séance 1]:[Séance 38]],"A")</f>
        <v>0</v>
      </c>
      <c r="BJ752" s="35"/>
    </row>
    <row r="753" spans="1:62" s="42" customFormat="1" hidden="1" x14ac:dyDescent="0.2">
      <c r="A753" s="44" t="s">
        <v>2268</v>
      </c>
      <c r="B753" s="44" t="s">
        <v>2271</v>
      </c>
      <c r="C753" s="44" t="s">
        <v>3796</v>
      </c>
      <c r="D753" s="44" t="s">
        <v>1256</v>
      </c>
      <c r="E753" s="44" t="s">
        <v>2212</v>
      </c>
      <c r="F753" s="48">
        <v>2021</v>
      </c>
      <c r="G753" s="48">
        <v>56</v>
      </c>
      <c r="H753" s="48">
        <v>2</v>
      </c>
      <c r="I753" s="44" t="str">
        <f>Tableau2[[#This Row],[Annee d''inscription au programme]]&amp;"-"&amp;Tableau2[[#This Row],[Code d''ecole]]&amp;"-"&amp;Tableau2[[#This Row],[Numero HM de la fille]]</f>
        <v>2021-56-2</v>
      </c>
      <c r="J753" s="45" t="s">
        <v>2000</v>
      </c>
      <c r="K753" s="63" t="s">
        <v>374</v>
      </c>
      <c r="L753" s="35" t="s">
        <v>3529</v>
      </c>
      <c r="M753" s="35">
        <v>0</v>
      </c>
      <c r="N753" s="35">
        <v>0</v>
      </c>
      <c r="O753" s="35">
        <f t="shared" si="22"/>
        <v>0</v>
      </c>
      <c r="P753" s="35">
        <v>5</v>
      </c>
      <c r="Q753" s="35">
        <v>3.5</v>
      </c>
      <c r="R753" s="35">
        <f t="shared" si="23"/>
        <v>4.25</v>
      </c>
      <c r="S753" s="35"/>
      <c r="T753" s="35"/>
      <c r="U753" s="35"/>
      <c r="V753" s="35" t="e">
        <f>AVERAGE(Tableau2[[#This Row],[1ère composition/10]:[3è composition]])</f>
        <v>#DIV/0!</v>
      </c>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f>COUNTIF(Tableau2[[#This Row],[Séance 1]:[Séance 38]],"A")</f>
        <v>0</v>
      </c>
      <c r="BJ753" s="35"/>
    </row>
    <row r="754" spans="1:62" s="42" customFormat="1" hidden="1" x14ac:dyDescent="0.2">
      <c r="A754" s="44" t="s">
        <v>2268</v>
      </c>
      <c r="B754" s="44" t="s">
        <v>2272</v>
      </c>
      <c r="C754" s="44" t="s">
        <v>3796</v>
      </c>
      <c r="D754" s="44" t="s">
        <v>2273</v>
      </c>
      <c r="E754" s="44" t="s">
        <v>2212</v>
      </c>
      <c r="F754" s="48">
        <v>2021</v>
      </c>
      <c r="G754" s="48">
        <v>56</v>
      </c>
      <c r="H754" s="48">
        <v>3</v>
      </c>
      <c r="I754" s="44" t="str">
        <f>Tableau2[[#This Row],[Annee d''inscription au programme]]&amp;"-"&amp;Tableau2[[#This Row],[Code d''ecole]]&amp;"-"&amp;Tableau2[[#This Row],[Numero HM de la fille]]</f>
        <v>2021-56-3</v>
      </c>
      <c r="J754" s="45" t="s">
        <v>2001</v>
      </c>
      <c r="K754" s="63" t="s">
        <v>374</v>
      </c>
      <c r="L754" s="35" t="s">
        <v>3529</v>
      </c>
      <c r="M754" s="35">
        <v>0</v>
      </c>
      <c r="N754" s="35">
        <v>0</v>
      </c>
      <c r="O754" s="35">
        <f t="shared" si="22"/>
        <v>0</v>
      </c>
      <c r="P754" s="35">
        <v>3</v>
      </c>
      <c r="Q754" s="35">
        <v>2.5</v>
      </c>
      <c r="R754" s="35">
        <f t="shared" si="23"/>
        <v>2.75</v>
      </c>
      <c r="S754" s="35"/>
      <c r="T754" s="35"/>
      <c r="U754" s="35"/>
      <c r="V754" s="35" t="e">
        <f>AVERAGE(Tableau2[[#This Row],[1ère composition/10]:[3è composition]])</f>
        <v>#DIV/0!</v>
      </c>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f>COUNTIF(Tableau2[[#This Row],[Séance 1]:[Séance 38]],"A")</f>
        <v>0</v>
      </c>
      <c r="BJ754" s="35"/>
    </row>
    <row r="755" spans="1:62" s="42" customFormat="1" hidden="1" x14ac:dyDescent="0.2">
      <c r="A755" s="44" t="s">
        <v>2268</v>
      </c>
      <c r="B755" s="44" t="s">
        <v>2274</v>
      </c>
      <c r="C755" s="44" t="s">
        <v>3796</v>
      </c>
      <c r="D755" s="44" t="s">
        <v>2275</v>
      </c>
      <c r="E755" s="44" t="s">
        <v>2212</v>
      </c>
      <c r="F755" s="48">
        <v>2021</v>
      </c>
      <c r="G755" s="48">
        <v>56</v>
      </c>
      <c r="H755" s="48">
        <v>4</v>
      </c>
      <c r="I755" s="44" t="str">
        <f>Tableau2[[#This Row],[Annee d''inscription au programme]]&amp;"-"&amp;Tableau2[[#This Row],[Code d''ecole]]&amp;"-"&amp;Tableau2[[#This Row],[Numero HM de la fille]]</f>
        <v>2021-56-4</v>
      </c>
      <c r="J755" s="45" t="s">
        <v>2002</v>
      </c>
      <c r="K755" s="63" t="s">
        <v>374</v>
      </c>
      <c r="L755" s="35" t="s">
        <v>3529</v>
      </c>
      <c r="M755" s="35">
        <v>0.5</v>
      </c>
      <c r="N755" s="35">
        <v>1</v>
      </c>
      <c r="O755" s="35">
        <f t="shared" si="22"/>
        <v>0.75</v>
      </c>
      <c r="P755" s="35">
        <v>5.5</v>
      </c>
      <c r="Q755" s="35">
        <v>3.5</v>
      </c>
      <c r="R755" s="35">
        <f t="shared" si="23"/>
        <v>4.5</v>
      </c>
      <c r="S755" s="35"/>
      <c r="T755" s="35"/>
      <c r="U755" s="35"/>
      <c r="V755" s="35" t="e">
        <f>AVERAGE(Tableau2[[#This Row],[1ère composition/10]:[3è composition]])</f>
        <v>#DIV/0!</v>
      </c>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f>COUNTIF(Tableau2[[#This Row],[Séance 1]:[Séance 38]],"A")</f>
        <v>0</v>
      </c>
      <c r="BJ755" s="35"/>
    </row>
    <row r="756" spans="1:62" s="42" customFormat="1" hidden="1" x14ac:dyDescent="0.2">
      <c r="A756" s="44" t="s">
        <v>2268</v>
      </c>
      <c r="B756" s="44" t="s">
        <v>2276</v>
      </c>
      <c r="C756" s="44" t="s">
        <v>3795</v>
      </c>
      <c r="D756" s="44" t="s">
        <v>2277</v>
      </c>
      <c r="E756" s="44" t="s">
        <v>2212</v>
      </c>
      <c r="F756" s="48">
        <v>2021</v>
      </c>
      <c r="G756" s="48">
        <v>56</v>
      </c>
      <c r="H756" s="48">
        <v>5</v>
      </c>
      <c r="I756" s="44" t="str">
        <f>Tableau2[[#This Row],[Annee d''inscription au programme]]&amp;"-"&amp;Tableau2[[#This Row],[Code d''ecole]]&amp;"-"&amp;Tableau2[[#This Row],[Numero HM de la fille]]</f>
        <v>2021-56-5</v>
      </c>
      <c r="J756" s="45" t="s">
        <v>2003</v>
      </c>
      <c r="K756" s="63" t="s">
        <v>593</v>
      </c>
      <c r="L756" s="35" t="s">
        <v>698</v>
      </c>
      <c r="M756" s="35">
        <v>2</v>
      </c>
      <c r="N756" s="35">
        <v>3</v>
      </c>
      <c r="O756" s="35">
        <f t="shared" si="22"/>
        <v>2.5</v>
      </c>
      <c r="P756" s="35">
        <v>5</v>
      </c>
      <c r="Q756" s="35">
        <v>8</v>
      </c>
      <c r="R756" s="35">
        <f t="shared" si="23"/>
        <v>6.5</v>
      </c>
      <c r="S756" s="35"/>
      <c r="T756" s="35"/>
      <c r="U756" s="35"/>
      <c r="V756" s="35" t="e">
        <f>AVERAGE(Tableau2[[#This Row],[1ère composition/10]:[3è composition]])</f>
        <v>#DIV/0!</v>
      </c>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f>COUNTIF(Tableau2[[#This Row],[Séance 1]:[Séance 38]],"A")</f>
        <v>0</v>
      </c>
      <c r="BJ756" s="35"/>
    </row>
    <row r="757" spans="1:62" s="42" customFormat="1" hidden="1" x14ac:dyDescent="0.2">
      <c r="A757" s="44" t="s">
        <v>2268</v>
      </c>
      <c r="B757" s="44" t="s">
        <v>2278</v>
      </c>
      <c r="C757" s="44" t="s">
        <v>3795</v>
      </c>
      <c r="D757" s="44" t="s">
        <v>2279</v>
      </c>
      <c r="E757" s="44" t="s">
        <v>2212</v>
      </c>
      <c r="F757" s="48">
        <v>2021</v>
      </c>
      <c r="G757" s="48">
        <v>56</v>
      </c>
      <c r="H757" s="48">
        <v>6</v>
      </c>
      <c r="I757" s="44" t="str">
        <f>Tableau2[[#This Row],[Annee d''inscription au programme]]&amp;"-"&amp;Tableau2[[#This Row],[Code d''ecole]]&amp;"-"&amp;Tableau2[[#This Row],[Numero HM de la fille]]</f>
        <v>2021-56-6</v>
      </c>
      <c r="J757" s="45" t="s">
        <v>2004</v>
      </c>
      <c r="K757" s="63" t="s">
        <v>593</v>
      </c>
      <c r="L757" s="35" t="s">
        <v>698</v>
      </c>
      <c r="M757" s="35">
        <v>1.5</v>
      </c>
      <c r="N757" s="35">
        <v>5</v>
      </c>
      <c r="O757" s="35">
        <f t="shared" si="22"/>
        <v>3.25</v>
      </c>
      <c r="P757" s="35">
        <v>4.5</v>
      </c>
      <c r="Q757" s="35">
        <v>6</v>
      </c>
      <c r="R757" s="35">
        <f t="shared" si="23"/>
        <v>5.25</v>
      </c>
      <c r="S757" s="35"/>
      <c r="T757" s="35"/>
      <c r="U757" s="35"/>
      <c r="V757" s="35" t="e">
        <f>AVERAGE(Tableau2[[#This Row],[1ère composition/10]:[3è composition]])</f>
        <v>#DIV/0!</v>
      </c>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f>COUNTIF(Tableau2[[#This Row],[Séance 1]:[Séance 38]],"A")</f>
        <v>0</v>
      </c>
      <c r="BJ757" s="35"/>
    </row>
    <row r="758" spans="1:62" s="42" customFormat="1" hidden="1" x14ac:dyDescent="0.2">
      <c r="A758" s="44" t="s">
        <v>2268</v>
      </c>
      <c r="B758" s="44" t="s">
        <v>2280</v>
      </c>
      <c r="C758" s="44" t="s">
        <v>3796</v>
      </c>
      <c r="D758" s="44" t="s">
        <v>2281</v>
      </c>
      <c r="E758" s="44" t="s">
        <v>2212</v>
      </c>
      <c r="F758" s="48">
        <v>2021</v>
      </c>
      <c r="G758" s="48">
        <v>56</v>
      </c>
      <c r="H758" s="48">
        <v>7</v>
      </c>
      <c r="I758" s="44" t="str">
        <f>Tableau2[[#This Row],[Annee d''inscription au programme]]&amp;"-"&amp;Tableau2[[#This Row],[Code d''ecole]]&amp;"-"&amp;Tableau2[[#This Row],[Numero HM de la fille]]</f>
        <v>2021-56-7</v>
      </c>
      <c r="J758" s="45" t="s">
        <v>2005</v>
      </c>
      <c r="K758" s="63" t="s">
        <v>374</v>
      </c>
      <c r="L758" s="35" t="s">
        <v>3529</v>
      </c>
      <c r="M758" s="35">
        <v>4</v>
      </c>
      <c r="N758" s="35">
        <v>4</v>
      </c>
      <c r="O758" s="35">
        <f t="shared" si="22"/>
        <v>4</v>
      </c>
      <c r="P758" s="35">
        <v>9</v>
      </c>
      <c r="Q758" s="35">
        <v>6</v>
      </c>
      <c r="R758" s="35">
        <f t="shared" si="23"/>
        <v>7.5</v>
      </c>
      <c r="S758" s="35"/>
      <c r="T758" s="35"/>
      <c r="U758" s="35"/>
      <c r="V758" s="35" t="e">
        <f>AVERAGE(Tableau2[[#This Row],[1ère composition/10]:[3è composition]])</f>
        <v>#DIV/0!</v>
      </c>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f>COUNTIF(Tableau2[[#This Row],[Séance 1]:[Séance 38]],"A")</f>
        <v>0</v>
      </c>
      <c r="BJ758" s="35"/>
    </row>
    <row r="759" spans="1:62" s="42" customFormat="1" hidden="1" x14ac:dyDescent="0.2">
      <c r="A759" s="44" t="s">
        <v>2268</v>
      </c>
      <c r="B759" s="44" t="s">
        <v>2282</v>
      </c>
      <c r="C759" s="44" t="s">
        <v>3795</v>
      </c>
      <c r="D759" s="44" t="s">
        <v>2283</v>
      </c>
      <c r="E759" s="44" t="s">
        <v>2212</v>
      </c>
      <c r="F759" s="48">
        <v>2021</v>
      </c>
      <c r="G759" s="48">
        <v>56</v>
      </c>
      <c r="H759" s="48">
        <v>8</v>
      </c>
      <c r="I759" s="44" t="str">
        <f>Tableau2[[#This Row],[Annee d''inscription au programme]]&amp;"-"&amp;Tableau2[[#This Row],[Code d''ecole]]&amp;"-"&amp;Tableau2[[#This Row],[Numero HM de la fille]]</f>
        <v>2021-56-8</v>
      </c>
      <c r="J759" s="45" t="s">
        <v>2006</v>
      </c>
      <c r="K759" s="63" t="s">
        <v>593</v>
      </c>
      <c r="L759" s="35" t="s">
        <v>698</v>
      </c>
      <c r="M759" s="35">
        <v>5</v>
      </c>
      <c r="N759" s="35">
        <v>8</v>
      </c>
      <c r="O759" s="35">
        <f t="shared" si="22"/>
        <v>6.5</v>
      </c>
      <c r="P759" s="35">
        <v>11</v>
      </c>
      <c r="Q759" s="35">
        <v>16</v>
      </c>
      <c r="R759" s="35">
        <f t="shared" si="23"/>
        <v>13.5</v>
      </c>
      <c r="S759" s="35"/>
      <c r="T759" s="35"/>
      <c r="U759" s="35"/>
      <c r="V759" s="35" t="e">
        <f>AVERAGE(Tableau2[[#This Row],[1ère composition/10]:[3è composition]])</f>
        <v>#DIV/0!</v>
      </c>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f>COUNTIF(Tableau2[[#This Row],[Séance 1]:[Séance 38]],"A")</f>
        <v>0</v>
      </c>
      <c r="BJ759" s="35"/>
    </row>
    <row r="760" spans="1:62" s="42" customFormat="1" hidden="1" x14ac:dyDescent="0.2">
      <c r="A760" s="44" t="s">
        <v>2268</v>
      </c>
      <c r="B760" s="44" t="s">
        <v>2284</v>
      </c>
      <c r="C760" s="44" t="s">
        <v>3797</v>
      </c>
      <c r="D760" s="44" t="s">
        <v>2285</v>
      </c>
      <c r="E760" s="44" t="s">
        <v>2212</v>
      </c>
      <c r="F760" s="48">
        <v>2021</v>
      </c>
      <c r="G760" s="48">
        <v>56</v>
      </c>
      <c r="H760" s="48">
        <v>9</v>
      </c>
      <c r="I760" s="44" t="str">
        <f>Tableau2[[#This Row],[Annee d''inscription au programme]]&amp;"-"&amp;Tableau2[[#This Row],[Code d''ecole]]&amp;"-"&amp;Tableau2[[#This Row],[Numero HM de la fille]]</f>
        <v>2021-56-9</v>
      </c>
      <c r="J760" s="45" t="s">
        <v>2007</v>
      </c>
      <c r="K760" s="63" t="s">
        <v>593</v>
      </c>
      <c r="L760" s="35" t="s">
        <v>698</v>
      </c>
      <c r="M760" s="35">
        <v>1.5</v>
      </c>
      <c r="N760" s="35">
        <v>1</v>
      </c>
      <c r="O760" s="35">
        <f t="shared" si="22"/>
        <v>1.25</v>
      </c>
      <c r="P760" s="35">
        <v>4.5</v>
      </c>
      <c r="Q760" s="35">
        <v>4</v>
      </c>
      <c r="R760" s="35">
        <f t="shared" si="23"/>
        <v>4.25</v>
      </c>
      <c r="S760" s="35"/>
      <c r="T760" s="35"/>
      <c r="U760" s="35"/>
      <c r="V760" s="35" t="e">
        <f>AVERAGE(Tableau2[[#This Row],[1ère composition/10]:[3è composition]])</f>
        <v>#DIV/0!</v>
      </c>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f>COUNTIF(Tableau2[[#This Row],[Séance 1]:[Séance 38]],"A")</f>
        <v>0</v>
      </c>
      <c r="BJ760" s="35"/>
    </row>
    <row r="761" spans="1:62" s="42" customFormat="1" hidden="1" x14ac:dyDescent="0.2">
      <c r="A761" s="44" t="s">
        <v>2268</v>
      </c>
      <c r="B761" s="44" t="s">
        <v>2286</v>
      </c>
      <c r="C761" s="44" t="s">
        <v>3795</v>
      </c>
      <c r="D761" s="44" t="s">
        <v>2287</v>
      </c>
      <c r="E761" s="44" t="s">
        <v>2212</v>
      </c>
      <c r="F761" s="48">
        <v>2021</v>
      </c>
      <c r="G761" s="48">
        <v>56</v>
      </c>
      <c r="H761" s="48">
        <v>10</v>
      </c>
      <c r="I761" s="44" t="str">
        <f>Tableau2[[#This Row],[Annee d''inscription au programme]]&amp;"-"&amp;Tableau2[[#This Row],[Code d''ecole]]&amp;"-"&amp;Tableau2[[#This Row],[Numero HM de la fille]]</f>
        <v>2021-56-10</v>
      </c>
      <c r="J761" s="45" t="s">
        <v>2008</v>
      </c>
      <c r="K761" s="63" t="s">
        <v>593</v>
      </c>
      <c r="L761" s="35" t="s">
        <v>698</v>
      </c>
      <c r="M761" s="35">
        <v>1</v>
      </c>
      <c r="N761" s="35">
        <v>0.25</v>
      </c>
      <c r="O761" s="35">
        <f t="shared" si="22"/>
        <v>0.625</v>
      </c>
      <c r="P761" s="35">
        <v>4</v>
      </c>
      <c r="Q761" s="35">
        <v>1.25</v>
      </c>
      <c r="R761" s="35">
        <f t="shared" si="23"/>
        <v>2.625</v>
      </c>
      <c r="S761" s="35"/>
      <c r="T761" s="35"/>
      <c r="U761" s="35"/>
      <c r="V761" s="35" t="e">
        <f>AVERAGE(Tableau2[[#This Row],[1ère composition/10]:[3è composition]])</f>
        <v>#DIV/0!</v>
      </c>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f>COUNTIF(Tableau2[[#This Row],[Séance 1]:[Séance 38]],"A")</f>
        <v>0</v>
      </c>
      <c r="BJ761" s="35"/>
    </row>
    <row r="762" spans="1:62" s="42" customFormat="1" hidden="1" x14ac:dyDescent="0.2">
      <c r="A762" s="44" t="s">
        <v>2268</v>
      </c>
      <c r="B762" s="44" t="s">
        <v>2288</v>
      </c>
      <c r="C762" s="44" t="s">
        <v>3795</v>
      </c>
      <c r="D762" s="44" t="s">
        <v>1195</v>
      </c>
      <c r="E762" s="44" t="s">
        <v>2212</v>
      </c>
      <c r="F762" s="48">
        <v>2021</v>
      </c>
      <c r="G762" s="48">
        <v>56</v>
      </c>
      <c r="H762" s="48">
        <v>11</v>
      </c>
      <c r="I762" s="44" t="str">
        <f>Tableau2[[#This Row],[Annee d''inscription au programme]]&amp;"-"&amp;Tableau2[[#This Row],[Code d''ecole]]&amp;"-"&amp;Tableau2[[#This Row],[Numero HM de la fille]]</f>
        <v>2021-56-11</v>
      </c>
      <c r="J762" s="45" t="s">
        <v>2009</v>
      </c>
      <c r="K762" s="63" t="s">
        <v>593</v>
      </c>
      <c r="L762" s="35" t="s">
        <v>698</v>
      </c>
      <c r="M762" s="35">
        <v>4</v>
      </c>
      <c r="N762" s="35">
        <v>4</v>
      </c>
      <c r="O762" s="35">
        <f t="shared" si="22"/>
        <v>4</v>
      </c>
      <c r="P762" s="35">
        <v>5</v>
      </c>
      <c r="Q762" s="35">
        <v>7.75</v>
      </c>
      <c r="R762" s="35">
        <f t="shared" si="23"/>
        <v>6.375</v>
      </c>
      <c r="S762" s="35"/>
      <c r="T762" s="35"/>
      <c r="U762" s="35"/>
      <c r="V762" s="35" t="e">
        <f>AVERAGE(Tableau2[[#This Row],[1ère composition/10]:[3è composition]])</f>
        <v>#DIV/0!</v>
      </c>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f>COUNTIF(Tableau2[[#This Row],[Séance 1]:[Séance 38]],"A")</f>
        <v>0</v>
      </c>
      <c r="BJ762" s="35"/>
    </row>
    <row r="763" spans="1:62" s="42" customFormat="1" hidden="1" x14ac:dyDescent="0.2">
      <c r="A763" s="44" t="s">
        <v>2268</v>
      </c>
      <c r="B763" s="44" t="s">
        <v>2289</v>
      </c>
      <c r="C763" s="44" t="s">
        <v>3795</v>
      </c>
      <c r="D763" s="44" t="s">
        <v>2290</v>
      </c>
      <c r="E763" s="44" t="s">
        <v>2212</v>
      </c>
      <c r="F763" s="48">
        <v>2021</v>
      </c>
      <c r="G763" s="48">
        <v>56</v>
      </c>
      <c r="H763" s="48">
        <v>12</v>
      </c>
      <c r="I763" s="44" t="str">
        <f>Tableau2[[#This Row],[Annee d''inscription au programme]]&amp;"-"&amp;Tableau2[[#This Row],[Code d''ecole]]&amp;"-"&amp;Tableau2[[#This Row],[Numero HM de la fille]]</f>
        <v>2021-56-12</v>
      </c>
      <c r="J763" s="45" t="s">
        <v>2010</v>
      </c>
      <c r="K763" s="63" t="s">
        <v>593</v>
      </c>
      <c r="L763" s="35" t="s">
        <v>698</v>
      </c>
      <c r="M763" s="35">
        <v>1</v>
      </c>
      <c r="N763" s="35">
        <v>4</v>
      </c>
      <c r="O763" s="35">
        <f t="shared" si="22"/>
        <v>2.5</v>
      </c>
      <c r="P763" s="35">
        <v>7.5</v>
      </c>
      <c r="Q763" s="35">
        <v>6</v>
      </c>
      <c r="R763" s="35">
        <f t="shared" si="23"/>
        <v>6.75</v>
      </c>
      <c r="S763" s="35"/>
      <c r="T763" s="35"/>
      <c r="U763" s="35"/>
      <c r="V763" s="35" t="e">
        <f>AVERAGE(Tableau2[[#This Row],[1ère composition/10]:[3è composition]])</f>
        <v>#DIV/0!</v>
      </c>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f>COUNTIF(Tableau2[[#This Row],[Séance 1]:[Séance 38]],"A")</f>
        <v>0</v>
      </c>
      <c r="BJ763" s="35"/>
    </row>
    <row r="764" spans="1:62" s="42" customFormat="1" hidden="1" x14ac:dyDescent="0.2">
      <c r="A764" s="44" t="s">
        <v>2268</v>
      </c>
      <c r="B764" s="44" t="s">
        <v>2291</v>
      </c>
      <c r="C764" s="44" t="s">
        <v>3795</v>
      </c>
      <c r="D764" s="44" t="s">
        <v>2292</v>
      </c>
      <c r="E764" s="44" t="s">
        <v>2212</v>
      </c>
      <c r="F764" s="48">
        <v>2021</v>
      </c>
      <c r="G764" s="48">
        <v>56</v>
      </c>
      <c r="H764" s="48">
        <v>13</v>
      </c>
      <c r="I764" s="44" t="str">
        <f>Tableau2[[#This Row],[Annee d''inscription au programme]]&amp;"-"&amp;Tableau2[[#This Row],[Code d''ecole]]&amp;"-"&amp;Tableau2[[#This Row],[Numero HM de la fille]]</f>
        <v>2021-56-13</v>
      </c>
      <c r="J764" s="45" t="s">
        <v>2011</v>
      </c>
      <c r="K764" s="63" t="s">
        <v>593</v>
      </c>
      <c r="L764" s="35" t="s">
        <v>698</v>
      </c>
      <c r="M764" s="35">
        <v>1</v>
      </c>
      <c r="N764" s="35">
        <v>4</v>
      </c>
      <c r="O764" s="35">
        <f t="shared" si="22"/>
        <v>2.5</v>
      </c>
      <c r="P764" s="35"/>
      <c r="Q764" s="35"/>
      <c r="R764" s="35">
        <f t="shared" si="23"/>
        <v>0</v>
      </c>
      <c r="S764" s="35"/>
      <c r="T764" s="35"/>
      <c r="U764" s="35"/>
      <c r="V764" s="35" t="e">
        <f>AVERAGE(Tableau2[[#This Row],[1ère composition/10]:[3è composition]])</f>
        <v>#DIV/0!</v>
      </c>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f>COUNTIF(Tableau2[[#This Row],[Séance 1]:[Séance 38]],"A")</f>
        <v>0</v>
      </c>
      <c r="BJ764" s="35"/>
    </row>
    <row r="765" spans="1:62" s="42" customFormat="1" hidden="1" x14ac:dyDescent="0.2">
      <c r="A765" s="44" t="s">
        <v>2268</v>
      </c>
      <c r="B765" s="44" t="s">
        <v>2293</v>
      </c>
      <c r="C765" s="44"/>
      <c r="D765" s="44" t="s">
        <v>2294</v>
      </c>
      <c r="E765" s="44" t="s">
        <v>2212</v>
      </c>
      <c r="F765" s="48">
        <v>2021</v>
      </c>
      <c r="G765" s="48">
        <v>56</v>
      </c>
      <c r="H765" s="48">
        <v>14</v>
      </c>
      <c r="I765" s="44" t="str">
        <f>Tableau2[[#This Row],[Annee d''inscription au programme]]&amp;"-"&amp;Tableau2[[#This Row],[Code d''ecole]]&amp;"-"&amp;Tableau2[[#This Row],[Numero HM de la fille]]</f>
        <v>2021-56-14</v>
      </c>
      <c r="J765" s="45" t="s">
        <v>2012</v>
      </c>
      <c r="K765" s="63" t="s">
        <v>374</v>
      </c>
      <c r="L765" s="35" t="s">
        <v>3529</v>
      </c>
      <c r="M765" s="35">
        <v>0</v>
      </c>
      <c r="N765" s="35">
        <v>0</v>
      </c>
      <c r="O765" s="35">
        <f t="shared" si="22"/>
        <v>0</v>
      </c>
      <c r="P765" s="35">
        <v>4</v>
      </c>
      <c r="Q765" s="35">
        <v>4</v>
      </c>
      <c r="R765" s="35">
        <f t="shared" si="23"/>
        <v>4</v>
      </c>
      <c r="S765" s="35"/>
      <c r="T765" s="35"/>
      <c r="U765" s="35"/>
      <c r="V765" s="35" t="e">
        <f>AVERAGE(Tableau2[[#This Row],[1ère composition/10]:[3è composition]])</f>
        <v>#DIV/0!</v>
      </c>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f>COUNTIF(Tableau2[[#This Row],[Séance 1]:[Séance 38]],"A")</f>
        <v>0</v>
      </c>
      <c r="BJ765" s="35"/>
    </row>
    <row r="766" spans="1:62" s="42" customFormat="1" hidden="1" x14ac:dyDescent="0.2">
      <c r="A766" s="44" t="s">
        <v>2268</v>
      </c>
      <c r="B766" s="44" t="s">
        <v>2295</v>
      </c>
      <c r="C766" s="44"/>
      <c r="D766" s="44" t="s">
        <v>2296</v>
      </c>
      <c r="E766" s="44" t="s">
        <v>2212</v>
      </c>
      <c r="F766" s="48">
        <v>2021</v>
      </c>
      <c r="G766" s="48">
        <v>56</v>
      </c>
      <c r="H766" s="48">
        <v>15</v>
      </c>
      <c r="I766" s="44" t="str">
        <f>Tableau2[[#This Row],[Annee d''inscription au programme]]&amp;"-"&amp;Tableau2[[#This Row],[Code d''ecole]]&amp;"-"&amp;Tableau2[[#This Row],[Numero HM de la fille]]</f>
        <v>2021-56-15</v>
      </c>
      <c r="J766" s="45" t="s">
        <v>2013</v>
      </c>
      <c r="K766" s="63" t="s">
        <v>593</v>
      </c>
      <c r="L766" s="35" t="s">
        <v>698</v>
      </c>
      <c r="M766" s="35">
        <v>0</v>
      </c>
      <c r="N766" s="35">
        <v>0</v>
      </c>
      <c r="O766" s="35">
        <f t="shared" si="22"/>
        <v>0</v>
      </c>
      <c r="P766" s="35"/>
      <c r="Q766" s="35"/>
      <c r="R766" s="35">
        <f t="shared" si="23"/>
        <v>0</v>
      </c>
      <c r="S766" s="35"/>
      <c r="T766" s="35"/>
      <c r="U766" s="35"/>
      <c r="V766" s="35" t="e">
        <f>AVERAGE(Tableau2[[#This Row],[1ère composition/10]:[3è composition]])</f>
        <v>#DIV/0!</v>
      </c>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f>COUNTIF(Tableau2[[#This Row],[Séance 1]:[Séance 38]],"A")</f>
        <v>0</v>
      </c>
      <c r="BJ766" s="35"/>
    </row>
    <row r="767" spans="1:62" s="42" customFormat="1" hidden="1" x14ac:dyDescent="0.2">
      <c r="A767" s="44" t="s">
        <v>2268</v>
      </c>
      <c r="B767" s="44" t="s">
        <v>2297</v>
      </c>
      <c r="C767" s="44" t="s">
        <v>3795</v>
      </c>
      <c r="D767" s="44" t="s">
        <v>2298</v>
      </c>
      <c r="E767" s="44" t="s">
        <v>2212</v>
      </c>
      <c r="F767" s="48">
        <v>2021</v>
      </c>
      <c r="G767" s="48">
        <v>56</v>
      </c>
      <c r="H767" s="48">
        <v>16</v>
      </c>
      <c r="I767" s="44" t="str">
        <f>Tableau2[[#This Row],[Annee d''inscription au programme]]&amp;"-"&amp;Tableau2[[#This Row],[Code d''ecole]]&amp;"-"&amp;Tableau2[[#This Row],[Numero HM de la fille]]</f>
        <v>2021-56-16</v>
      </c>
      <c r="J767" s="45" t="s">
        <v>2014</v>
      </c>
      <c r="K767" s="63" t="s">
        <v>593</v>
      </c>
      <c r="L767" s="35" t="s">
        <v>698</v>
      </c>
      <c r="M767" s="35">
        <v>6</v>
      </c>
      <c r="N767" s="35">
        <v>5</v>
      </c>
      <c r="O767" s="35">
        <f t="shared" si="22"/>
        <v>5.5</v>
      </c>
      <c r="P767" s="35">
        <v>9</v>
      </c>
      <c r="Q767" s="35">
        <v>3.5</v>
      </c>
      <c r="R767" s="35">
        <f t="shared" si="23"/>
        <v>6.25</v>
      </c>
      <c r="S767" s="35"/>
      <c r="T767" s="35"/>
      <c r="U767" s="35"/>
      <c r="V767" s="35" t="e">
        <f>AVERAGE(Tableau2[[#This Row],[1ère composition/10]:[3è composition]])</f>
        <v>#DIV/0!</v>
      </c>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f>COUNTIF(Tableau2[[#This Row],[Séance 1]:[Séance 38]],"A")</f>
        <v>0</v>
      </c>
      <c r="BJ767" s="35"/>
    </row>
    <row r="768" spans="1:62" s="42" customFormat="1" hidden="1" x14ac:dyDescent="0.2">
      <c r="A768" s="44" t="s">
        <v>2268</v>
      </c>
      <c r="B768" s="44" t="s">
        <v>2299</v>
      </c>
      <c r="C768" s="44" t="s">
        <v>3798</v>
      </c>
      <c r="D768" s="44" t="s">
        <v>2300</v>
      </c>
      <c r="E768" s="44" t="s">
        <v>2212</v>
      </c>
      <c r="F768" s="48">
        <v>2021</v>
      </c>
      <c r="G768" s="48">
        <v>56</v>
      </c>
      <c r="H768" s="48">
        <v>17</v>
      </c>
      <c r="I768" s="44" t="str">
        <f>Tableau2[[#This Row],[Annee d''inscription au programme]]&amp;"-"&amp;Tableau2[[#This Row],[Code d''ecole]]&amp;"-"&amp;Tableau2[[#This Row],[Numero HM de la fille]]</f>
        <v>2021-56-17</v>
      </c>
      <c r="J768" s="45" t="s">
        <v>2015</v>
      </c>
      <c r="K768" s="63" t="s">
        <v>593</v>
      </c>
      <c r="L768" s="35" t="s">
        <v>698</v>
      </c>
      <c r="M768" s="35">
        <v>4.5</v>
      </c>
      <c r="N768" s="35">
        <v>9</v>
      </c>
      <c r="O768" s="35">
        <f t="shared" si="22"/>
        <v>6.75</v>
      </c>
      <c r="P768" s="35">
        <v>5</v>
      </c>
      <c r="Q768" s="35">
        <v>14</v>
      </c>
      <c r="R768" s="35">
        <f t="shared" si="23"/>
        <v>9.5</v>
      </c>
      <c r="S768" s="35"/>
      <c r="T768" s="35"/>
      <c r="U768" s="35"/>
      <c r="V768" s="35" t="e">
        <f>AVERAGE(Tableau2[[#This Row],[1ère composition/10]:[3è composition]])</f>
        <v>#DIV/0!</v>
      </c>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f>COUNTIF(Tableau2[[#This Row],[Séance 1]:[Séance 38]],"A")</f>
        <v>0</v>
      </c>
      <c r="BJ768" s="35"/>
    </row>
    <row r="769" spans="1:62" s="42" customFormat="1" hidden="1" x14ac:dyDescent="0.2">
      <c r="A769" s="44" t="s">
        <v>2268</v>
      </c>
      <c r="B769" s="44" t="s">
        <v>2301</v>
      </c>
      <c r="C769" s="44" t="s">
        <v>3795</v>
      </c>
      <c r="D769" s="44" t="s">
        <v>2302</v>
      </c>
      <c r="E769" s="44" t="s">
        <v>2212</v>
      </c>
      <c r="F769" s="48">
        <v>2021</v>
      </c>
      <c r="G769" s="48">
        <v>56</v>
      </c>
      <c r="H769" s="48">
        <v>18</v>
      </c>
      <c r="I769" s="44" t="str">
        <f>Tableau2[[#This Row],[Annee d''inscription au programme]]&amp;"-"&amp;Tableau2[[#This Row],[Code d''ecole]]&amp;"-"&amp;Tableau2[[#This Row],[Numero HM de la fille]]</f>
        <v>2021-56-18</v>
      </c>
      <c r="J769" s="45" t="s">
        <v>2016</v>
      </c>
      <c r="K769" s="63" t="s">
        <v>593</v>
      </c>
      <c r="L769" s="35" t="s">
        <v>698</v>
      </c>
      <c r="M769" s="35">
        <v>3.5</v>
      </c>
      <c r="N769" s="35">
        <v>1</v>
      </c>
      <c r="O769" s="35">
        <f t="shared" si="22"/>
        <v>2.25</v>
      </c>
      <c r="P769" s="35">
        <v>4.5</v>
      </c>
      <c r="Q769" s="35">
        <v>6.5</v>
      </c>
      <c r="R769" s="35">
        <f t="shared" si="23"/>
        <v>5.5</v>
      </c>
      <c r="S769" s="35"/>
      <c r="T769" s="35"/>
      <c r="U769" s="35"/>
      <c r="V769" s="35" t="e">
        <f>AVERAGE(Tableau2[[#This Row],[1ère composition/10]:[3è composition]])</f>
        <v>#DIV/0!</v>
      </c>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f>COUNTIF(Tableau2[[#This Row],[Séance 1]:[Séance 38]],"A")</f>
        <v>0</v>
      </c>
      <c r="BJ769" s="35"/>
    </row>
    <row r="770" spans="1:62" s="42" customFormat="1" hidden="1" x14ac:dyDescent="0.2">
      <c r="A770" s="44" t="s">
        <v>2268</v>
      </c>
      <c r="B770" s="44" t="s">
        <v>2303</v>
      </c>
      <c r="C770" s="44" t="s">
        <v>3796</v>
      </c>
      <c r="D770" s="44" t="s">
        <v>2304</v>
      </c>
      <c r="E770" s="44" t="s">
        <v>2212</v>
      </c>
      <c r="F770" s="48">
        <v>2021</v>
      </c>
      <c r="G770" s="48">
        <v>56</v>
      </c>
      <c r="H770" s="48">
        <v>19</v>
      </c>
      <c r="I770" s="44" t="str">
        <f>Tableau2[[#This Row],[Annee d''inscription au programme]]&amp;"-"&amp;Tableau2[[#This Row],[Code d''ecole]]&amp;"-"&amp;Tableau2[[#This Row],[Numero HM de la fille]]</f>
        <v>2021-56-19</v>
      </c>
      <c r="J770" s="45" t="s">
        <v>2017</v>
      </c>
      <c r="K770" s="63" t="s">
        <v>374</v>
      </c>
      <c r="L770" s="35" t="s">
        <v>3529</v>
      </c>
      <c r="M770" s="35">
        <v>2</v>
      </c>
      <c r="N770" s="35">
        <v>1</v>
      </c>
      <c r="O770" s="35">
        <f t="shared" si="22"/>
        <v>1.5</v>
      </c>
      <c r="P770" s="35">
        <v>3</v>
      </c>
      <c r="Q770" s="35">
        <v>2.5</v>
      </c>
      <c r="R770" s="35">
        <f t="shared" si="23"/>
        <v>2.75</v>
      </c>
      <c r="S770" s="35"/>
      <c r="T770" s="35"/>
      <c r="U770" s="35"/>
      <c r="V770" s="35" t="e">
        <f>AVERAGE(Tableau2[[#This Row],[1ère composition/10]:[3è composition]])</f>
        <v>#DIV/0!</v>
      </c>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f>COUNTIF(Tableau2[[#This Row],[Séance 1]:[Séance 38]],"A")</f>
        <v>0</v>
      </c>
      <c r="BJ770" s="35"/>
    </row>
    <row r="771" spans="1:62" s="42" customFormat="1" hidden="1" x14ac:dyDescent="0.2">
      <c r="A771" s="44" t="s">
        <v>2268</v>
      </c>
      <c r="B771" s="44" t="s">
        <v>2305</v>
      </c>
      <c r="C771" s="44" t="s">
        <v>3795</v>
      </c>
      <c r="D771" s="44" t="s">
        <v>2306</v>
      </c>
      <c r="E771" s="44" t="s">
        <v>2212</v>
      </c>
      <c r="F771" s="48">
        <v>2021</v>
      </c>
      <c r="G771" s="48">
        <v>56</v>
      </c>
      <c r="H771" s="48">
        <v>20</v>
      </c>
      <c r="I771" s="44" t="str">
        <f>Tableau2[[#This Row],[Annee d''inscription au programme]]&amp;"-"&amp;Tableau2[[#This Row],[Code d''ecole]]&amp;"-"&amp;Tableau2[[#This Row],[Numero HM de la fille]]</f>
        <v>2021-56-20</v>
      </c>
      <c r="J771" s="45" t="s">
        <v>2018</v>
      </c>
      <c r="K771" s="63" t="s">
        <v>593</v>
      </c>
      <c r="L771" s="35" t="s">
        <v>698</v>
      </c>
      <c r="M771" s="35">
        <v>10</v>
      </c>
      <c r="N771" s="35">
        <v>6</v>
      </c>
      <c r="O771" s="35">
        <f t="shared" si="22"/>
        <v>8</v>
      </c>
      <c r="P771" s="35">
        <v>15.5</v>
      </c>
      <c r="Q771" s="35">
        <v>7</v>
      </c>
      <c r="R771" s="35">
        <f t="shared" si="23"/>
        <v>11.25</v>
      </c>
      <c r="S771" s="35"/>
      <c r="T771" s="35"/>
      <c r="U771" s="35"/>
      <c r="V771" s="35" t="e">
        <f>AVERAGE(Tableau2[[#This Row],[1ère composition/10]:[3è composition]])</f>
        <v>#DIV/0!</v>
      </c>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f>COUNTIF(Tableau2[[#This Row],[Séance 1]:[Séance 38]],"A")</f>
        <v>0</v>
      </c>
      <c r="BJ771" s="35"/>
    </row>
    <row r="772" spans="1:62" s="42" customFormat="1" hidden="1" x14ac:dyDescent="0.2">
      <c r="A772" s="44" t="s">
        <v>2268</v>
      </c>
      <c r="B772" s="44" t="s">
        <v>2307</v>
      </c>
      <c r="C772" s="44" t="s">
        <v>3796</v>
      </c>
      <c r="D772" s="44" t="s">
        <v>2308</v>
      </c>
      <c r="E772" s="44" t="s">
        <v>2212</v>
      </c>
      <c r="F772" s="48">
        <v>2021</v>
      </c>
      <c r="G772" s="48">
        <v>56</v>
      </c>
      <c r="H772" s="48">
        <v>21</v>
      </c>
      <c r="I772" s="44" t="str">
        <f>Tableau2[[#This Row],[Annee d''inscription au programme]]&amp;"-"&amp;Tableau2[[#This Row],[Code d''ecole]]&amp;"-"&amp;Tableau2[[#This Row],[Numero HM de la fille]]</f>
        <v>2021-56-21</v>
      </c>
      <c r="J772" s="45" t="s">
        <v>2019</v>
      </c>
      <c r="K772" s="63" t="s">
        <v>374</v>
      </c>
      <c r="L772" s="35" t="s">
        <v>3529</v>
      </c>
      <c r="M772" s="35">
        <v>0</v>
      </c>
      <c r="N772" s="35">
        <v>0</v>
      </c>
      <c r="O772" s="35">
        <f t="shared" si="22"/>
        <v>0</v>
      </c>
      <c r="P772" s="35">
        <v>4.5</v>
      </c>
      <c r="Q772" s="35">
        <v>3.5</v>
      </c>
      <c r="R772" s="35">
        <f t="shared" si="23"/>
        <v>4</v>
      </c>
      <c r="S772" s="35"/>
      <c r="T772" s="35"/>
      <c r="U772" s="35"/>
      <c r="V772" s="35" t="e">
        <f>AVERAGE(Tableau2[[#This Row],[1ère composition/10]:[3è composition]])</f>
        <v>#DIV/0!</v>
      </c>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f>COUNTIF(Tableau2[[#This Row],[Séance 1]:[Séance 38]],"A")</f>
        <v>0</v>
      </c>
      <c r="BJ772" s="35"/>
    </row>
    <row r="773" spans="1:62" s="42" customFormat="1" hidden="1" x14ac:dyDescent="0.2">
      <c r="A773" s="44" t="s">
        <v>2268</v>
      </c>
      <c r="B773" s="44" t="s">
        <v>2309</v>
      </c>
      <c r="C773" s="44" t="s">
        <v>3795</v>
      </c>
      <c r="D773" s="44" t="s">
        <v>530</v>
      </c>
      <c r="E773" s="44" t="s">
        <v>2212</v>
      </c>
      <c r="F773" s="48">
        <v>2021</v>
      </c>
      <c r="G773" s="48">
        <v>56</v>
      </c>
      <c r="H773" s="48">
        <v>22</v>
      </c>
      <c r="I773" s="44" t="str">
        <f>Tableau2[[#This Row],[Annee d''inscription au programme]]&amp;"-"&amp;Tableau2[[#This Row],[Code d''ecole]]&amp;"-"&amp;Tableau2[[#This Row],[Numero HM de la fille]]</f>
        <v>2021-56-22</v>
      </c>
      <c r="J773" s="45" t="s">
        <v>2020</v>
      </c>
      <c r="K773" s="63" t="s">
        <v>593</v>
      </c>
      <c r="L773" s="35" t="s">
        <v>698</v>
      </c>
      <c r="M773" s="35">
        <v>8</v>
      </c>
      <c r="N773" s="35">
        <v>3</v>
      </c>
      <c r="O773" s="35">
        <f t="shared" ref="O773:O836" si="24">AVERAGE(M773+N773)/2</f>
        <v>5.5</v>
      </c>
      <c r="P773" s="35">
        <v>12</v>
      </c>
      <c r="Q773" s="35">
        <v>9</v>
      </c>
      <c r="R773" s="35">
        <f t="shared" ref="R773:R836" si="25">AVERAGE(P773+Q773)/2</f>
        <v>10.5</v>
      </c>
      <c r="S773" s="35"/>
      <c r="T773" s="35"/>
      <c r="U773" s="35"/>
      <c r="V773" s="35" t="e">
        <f>AVERAGE(Tableau2[[#This Row],[1ère composition/10]:[3è composition]])</f>
        <v>#DIV/0!</v>
      </c>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f>COUNTIF(Tableau2[[#This Row],[Séance 1]:[Séance 38]],"A")</f>
        <v>0</v>
      </c>
      <c r="BJ773" s="35"/>
    </row>
    <row r="774" spans="1:62" s="42" customFormat="1" hidden="1" x14ac:dyDescent="0.2">
      <c r="A774" s="44" t="s">
        <v>2268</v>
      </c>
      <c r="B774" s="44" t="s">
        <v>2310</v>
      </c>
      <c r="C774" s="44" t="s">
        <v>3795</v>
      </c>
      <c r="D774" s="44" t="s">
        <v>2311</v>
      </c>
      <c r="E774" s="44" t="s">
        <v>2212</v>
      </c>
      <c r="F774" s="48">
        <v>2021</v>
      </c>
      <c r="G774" s="48">
        <v>56</v>
      </c>
      <c r="H774" s="48">
        <v>23</v>
      </c>
      <c r="I774" s="44" t="str">
        <f>Tableau2[[#This Row],[Annee d''inscription au programme]]&amp;"-"&amp;Tableau2[[#This Row],[Code d''ecole]]&amp;"-"&amp;Tableau2[[#This Row],[Numero HM de la fille]]</f>
        <v>2021-56-23</v>
      </c>
      <c r="J774" s="45" t="s">
        <v>2021</v>
      </c>
      <c r="K774" s="63" t="s">
        <v>374</v>
      </c>
      <c r="L774" s="35" t="s">
        <v>3529</v>
      </c>
      <c r="M774" s="35">
        <v>1</v>
      </c>
      <c r="N774" s="35">
        <v>0</v>
      </c>
      <c r="O774" s="35">
        <f t="shared" si="24"/>
        <v>0.5</v>
      </c>
      <c r="P774" s="35">
        <v>4.5</v>
      </c>
      <c r="Q774" s="35">
        <v>3.5</v>
      </c>
      <c r="R774" s="35">
        <f t="shared" si="25"/>
        <v>4</v>
      </c>
      <c r="S774" s="35"/>
      <c r="T774" s="35"/>
      <c r="U774" s="35"/>
      <c r="V774" s="35" t="e">
        <f>AVERAGE(Tableau2[[#This Row],[1ère composition/10]:[3è composition]])</f>
        <v>#DIV/0!</v>
      </c>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f>COUNTIF(Tableau2[[#This Row],[Séance 1]:[Séance 38]],"A")</f>
        <v>0</v>
      </c>
      <c r="BJ774" s="35"/>
    </row>
    <row r="775" spans="1:62" s="42" customFormat="1" hidden="1" x14ac:dyDescent="0.2">
      <c r="A775" s="44" t="s">
        <v>2268</v>
      </c>
      <c r="B775" s="44" t="s">
        <v>2312</v>
      </c>
      <c r="C775" s="44" t="s">
        <v>3795</v>
      </c>
      <c r="D775" s="44" t="s">
        <v>2313</v>
      </c>
      <c r="E775" s="44" t="s">
        <v>2212</v>
      </c>
      <c r="F775" s="48">
        <v>2021</v>
      </c>
      <c r="G775" s="48">
        <v>56</v>
      </c>
      <c r="H775" s="48">
        <v>24</v>
      </c>
      <c r="I775" s="44" t="str">
        <f>Tableau2[[#This Row],[Annee d''inscription au programme]]&amp;"-"&amp;Tableau2[[#This Row],[Code d''ecole]]&amp;"-"&amp;Tableau2[[#This Row],[Numero HM de la fille]]</f>
        <v>2021-56-24</v>
      </c>
      <c r="J775" s="45" t="s">
        <v>2022</v>
      </c>
      <c r="K775" s="63" t="s">
        <v>593</v>
      </c>
      <c r="L775" s="35" t="s">
        <v>698</v>
      </c>
      <c r="M775" s="35">
        <v>0</v>
      </c>
      <c r="N775" s="35">
        <v>0</v>
      </c>
      <c r="O775" s="35">
        <f t="shared" si="24"/>
        <v>0</v>
      </c>
      <c r="P775" s="35">
        <v>5</v>
      </c>
      <c r="Q775" s="35">
        <v>6</v>
      </c>
      <c r="R775" s="35">
        <f t="shared" si="25"/>
        <v>5.5</v>
      </c>
      <c r="S775" s="35"/>
      <c r="T775" s="35"/>
      <c r="U775" s="35"/>
      <c r="V775" s="35" t="e">
        <f>AVERAGE(Tableau2[[#This Row],[1ère composition/10]:[3è composition]])</f>
        <v>#DIV/0!</v>
      </c>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f>COUNTIF(Tableau2[[#This Row],[Séance 1]:[Séance 38]],"A")</f>
        <v>0</v>
      </c>
      <c r="BJ775" s="35"/>
    </row>
    <row r="776" spans="1:62" s="42" customFormat="1" hidden="1" x14ac:dyDescent="0.2">
      <c r="A776" s="44" t="s">
        <v>2268</v>
      </c>
      <c r="B776" s="44" t="s">
        <v>2314</v>
      </c>
      <c r="C776" s="44" t="s">
        <v>3796</v>
      </c>
      <c r="D776" s="44" t="s">
        <v>2315</v>
      </c>
      <c r="E776" s="44" t="s">
        <v>2212</v>
      </c>
      <c r="F776" s="48">
        <v>2021</v>
      </c>
      <c r="G776" s="48">
        <v>56</v>
      </c>
      <c r="H776" s="48">
        <v>25</v>
      </c>
      <c r="I776" s="44" t="str">
        <f>Tableau2[[#This Row],[Annee d''inscription au programme]]&amp;"-"&amp;Tableau2[[#This Row],[Code d''ecole]]&amp;"-"&amp;Tableau2[[#This Row],[Numero HM de la fille]]</f>
        <v>2021-56-25</v>
      </c>
      <c r="J776" s="45" t="s">
        <v>2023</v>
      </c>
      <c r="K776" s="63" t="s">
        <v>374</v>
      </c>
      <c r="L776" s="35" t="s">
        <v>3529</v>
      </c>
      <c r="M776" s="35">
        <v>0</v>
      </c>
      <c r="N776" s="35">
        <v>0</v>
      </c>
      <c r="O776" s="35">
        <f t="shared" si="24"/>
        <v>0</v>
      </c>
      <c r="P776" s="35">
        <v>6</v>
      </c>
      <c r="Q776" s="35">
        <v>8</v>
      </c>
      <c r="R776" s="35">
        <f t="shared" si="25"/>
        <v>7</v>
      </c>
      <c r="S776" s="35"/>
      <c r="T776" s="35"/>
      <c r="U776" s="35"/>
      <c r="V776" s="35" t="e">
        <f>AVERAGE(Tableau2[[#This Row],[1ère composition/10]:[3è composition]])</f>
        <v>#DIV/0!</v>
      </c>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f>COUNTIF(Tableau2[[#This Row],[Séance 1]:[Séance 38]],"A")</f>
        <v>0</v>
      </c>
      <c r="BJ776" s="35"/>
    </row>
    <row r="777" spans="1:62" s="42" customFormat="1" hidden="1" x14ac:dyDescent="0.2">
      <c r="A777" s="44" t="s">
        <v>2316</v>
      </c>
      <c r="B777" s="44" t="s">
        <v>2317</v>
      </c>
      <c r="C777" s="44" t="s">
        <v>2318</v>
      </c>
      <c r="D777" s="44" t="s">
        <v>2319</v>
      </c>
      <c r="E777" s="44" t="s">
        <v>2212</v>
      </c>
      <c r="F777" s="48">
        <v>2021</v>
      </c>
      <c r="G777" s="48">
        <v>57</v>
      </c>
      <c r="H777" s="48">
        <v>1</v>
      </c>
      <c r="I777" s="44" t="str">
        <f>Tableau2[[#This Row],[Annee d''inscription au programme]]&amp;"-"&amp;Tableau2[[#This Row],[Code d''ecole]]&amp;"-"&amp;Tableau2[[#This Row],[Numero HM de la fille]]</f>
        <v>2021-57-1</v>
      </c>
      <c r="J777" s="45" t="s">
        <v>2024</v>
      </c>
      <c r="K777" s="63" t="s">
        <v>593</v>
      </c>
      <c r="L777" s="35" t="s">
        <v>698</v>
      </c>
      <c r="M777" s="35">
        <v>9</v>
      </c>
      <c r="N777" s="35">
        <v>4</v>
      </c>
      <c r="O777" s="35">
        <f t="shared" si="24"/>
        <v>6.5</v>
      </c>
      <c r="P777" s="35">
        <v>17</v>
      </c>
      <c r="Q777" s="35">
        <v>15.75</v>
      </c>
      <c r="R777" s="35">
        <f t="shared" si="25"/>
        <v>16.375</v>
      </c>
      <c r="S777" s="35"/>
      <c r="T777" s="35"/>
      <c r="U777" s="35"/>
      <c r="V777" s="35" t="e">
        <f>AVERAGE(Tableau2[[#This Row],[1ère composition/10]:[3è composition]])</f>
        <v>#DIV/0!</v>
      </c>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f>COUNTIF(Tableau2[[#This Row],[Séance 1]:[Séance 38]],"A")</f>
        <v>0</v>
      </c>
      <c r="BJ777" s="35"/>
    </row>
    <row r="778" spans="1:62" s="42" customFormat="1" hidden="1" x14ac:dyDescent="0.2">
      <c r="A778" s="44" t="s">
        <v>2316</v>
      </c>
      <c r="B778" s="44" t="s">
        <v>2320</v>
      </c>
      <c r="C778" s="44" t="s">
        <v>2321</v>
      </c>
      <c r="D778" s="44" t="s">
        <v>2322</v>
      </c>
      <c r="E778" s="44" t="s">
        <v>2212</v>
      </c>
      <c r="F778" s="48">
        <v>2021</v>
      </c>
      <c r="G778" s="48">
        <v>57</v>
      </c>
      <c r="H778" s="48">
        <v>2</v>
      </c>
      <c r="I778" s="44" t="str">
        <f>Tableau2[[#This Row],[Annee d''inscription au programme]]&amp;"-"&amp;Tableau2[[#This Row],[Code d''ecole]]&amp;"-"&amp;Tableau2[[#This Row],[Numero HM de la fille]]</f>
        <v>2021-57-2</v>
      </c>
      <c r="J778" s="45" t="s">
        <v>2025</v>
      </c>
      <c r="K778" s="63" t="s">
        <v>374</v>
      </c>
      <c r="L778" s="35" t="s">
        <v>3529</v>
      </c>
      <c r="M778" s="35">
        <v>5</v>
      </c>
      <c r="N778" s="35">
        <v>3.5</v>
      </c>
      <c r="O778" s="35">
        <f t="shared" si="24"/>
        <v>4.25</v>
      </c>
      <c r="P778" s="35">
        <v>8.5</v>
      </c>
      <c r="Q778" s="35">
        <v>3</v>
      </c>
      <c r="R778" s="35">
        <f t="shared" si="25"/>
        <v>5.75</v>
      </c>
      <c r="S778" s="35"/>
      <c r="T778" s="35"/>
      <c r="U778" s="35"/>
      <c r="V778" s="35" t="e">
        <f>AVERAGE(Tableau2[[#This Row],[1ère composition/10]:[3è composition]])</f>
        <v>#DIV/0!</v>
      </c>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f>COUNTIF(Tableau2[[#This Row],[Séance 1]:[Séance 38]],"A")</f>
        <v>0</v>
      </c>
      <c r="BJ778" s="35"/>
    </row>
    <row r="779" spans="1:62" s="42" customFormat="1" hidden="1" x14ac:dyDescent="0.2">
      <c r="A779" s="44" t="s">
        <v>2316</v>
      </c>
      <c r="B779" s="44" t="s">
        <v>2323</v>
      </c>
      <c r="C779" s="44" t="s">
        <v>2318</v>
      </c>
      <c r="D779" s="44" t="s">
        <v>2324</v>
      </c>
      <c r="E779" s="44" t="s">
        <v>2212</v>
      </c>
      <c r="F779" s="48">
        <v>2021</v>
      </c>
      <c r="G779" s="48">
        <v>57</v>
      </c>
      <c r="H779" s="48">
        <v>3</v>
      </c>
      <c r="I779" s="44" t="str">
        <f>Tableau2[[#This Row],[Annee d''inscription au programme]]&amp;"-"&amp;Tableau2[[#This Row],[Code d''ecole]]&amp;"-"&amp;Tableau2[[#This Row],[Numero HM de la fille]]</f>
        <v>2021-57-3</v>
      </c>
      <c r="J779" s="45" t="s">
        <v>2026</v>
      </c>
      <c r="K779" s="63" t="s">
        <v>593</v>
      </c>
      <c r="L779" s="35" t="s">
        <v>698</v>
      </c>
      <c r="M779" s="35">
        <v>11.5</v>
      </c>
      <c r="N779" s="35">
        <v>8.5</v>
      </c>
      <c r="O779" s="35">
        <f t="shared" si="24"/>
        <v>10</v>
      </c>
      <c r="P779" s="35">
        <v>16</v>
      </c>
      <c r="Q779" s="35">
        <v>13</v>
      </c>
      <c r="R779" s="35">
        <f t="shared" si="25"/>
        <v>14.5</v>
      </c>
      <c r="S779" s="35"/>
      <c r="T779" s="35"/>
      <c r="U779" s="35"/>
      <c r="V779" s="35" t="e">
        <f>AVERAGE(Tableau2[[#This Row],[1ère composition/10]:[3è composition]])</f>
        <v>#DIV/0!</v>
      </c>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f>COUNTIF(Tableau2[[#This Row],[Séance 1]:[Séance 38]],"A")</f>
        <v>0</v>
      </c>
      <c r="BJ779" s="35"/>
    </row>
    <row r="780" spans="1:62" s="42" customFormat="1" hidden="1" x14ac:dyDescent="0.2">
      <c r="A780" s="44" t="s">
        <v>2316</v>
      </c>
      <c r="B780" s="44" t="s">
        <v>2325</v>
      </c>
      <c r="C780" s="44" t="s">
        <v>2318</v>
      </c>
      <c r="D780" s="44" t="s">
        <v>2326</v>
      </c>
      <c r="E780" s="44" t="s">
        <v>2212</v>
      </c>
      <c r="F780" s="48">
        <v>2021</v>
      </c>
      <c r="G780" s="48">
        <v>57</v>
      </c>
      <c r="H780" s="48">
        <v>4</v>
      </c>
      <c r="I780" s="44" t="str">
        <f>Tableau2[[#This Row],[Annee d''inscription au programme]]&amp;"-"&amp;Tableau2[[#This Row],[Code d''ecole]]&amp;"-"&amp;Tableau2[[#This Row],[Numero HM de la fille]]</f>
        <v>2021-57-4</v>
      </c>
      <c r="J780" s="45" t="s">
        <v>2027</v>
      </c>
      <c r="K780" s="58" t="s">
        <v>593</v>
      </c>
      <c r="L780" s="35" t="s">
        <v>698</v>
      </c>
      <c r="M780" s="35">
        <v>7.5</v>
      </c>
      <c r="N780" s="35">
        <v>3</v>
      </c>
      <c r="O780" s="35">
        <f t="shared" si="24"/>
        <v>5.25</v>
      </c>
      <c r="P780" s="35">
        <v>10</v>
      </c>
      <c r="Q780" s="35">
        <v>5.5</v>
      </c>
      <c r="R780" s="35">
        <f t="shared" si="25"/>
        <v>7.75</v>
      </c>
      <c r="S780" s="35"/>
      <c r="T780" s="35"/>
      <c r="U780" s="35"/>
      <c r="V780" s="35" t="e">
        <f>AVERAGE(Tableau2[[#This Row],[1ère composition/10]:[3è composition]])</f>
        <v>#DIV/0!</v>
      </c>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f>COUNTIF(Tableau2[[#This Row],[Séance 1]:[Séance 38]],"A")</f>
        <v>0</v>
      </c>
      <c r="BJ780" s="35"/>
    </row>
    <row r="781" spans="1:62" s="42" customFormat="1" hidden="1" x14ac:dyDescent="0.2">
      <c r="A781" s="44" t="s">
        <v>2316</v>
      </c>
      <c r="B781" s="44" t="s">
        <v>2327</v>
      </c>
      <c r="C781" s="44" t="s">
        <v>2318</v>
      </c>
      <c r="D781" s="44" t="s">
        <v>2328</v>
      </c>
      <c r="E781" s="44" t="s">
        <v>2212</v>
      </c>
      <c r="F781" s="48">
        <v>2021</v>
      </c>
      <c r="G781" s="48">
        <v>57</v>
      </c>
      <c r="H781" s="48">
        <v>5</v>
      </c>
      <c r="I781" s="44" t="str">
        <f>Tableau2[[#This Row],[Annee d''inscription au programme]]&amp;"-"&amp;Tableau2[[#This Row],[Code d''ecole]]&amp;"-"&amp;Tableau2[[#This Row],[Numero HM de la fille]]</f>
        <v>2021-57-5</v>
      </c>
      <c r="J781" s="45" t="s">
        <v>2028</v>
      </c>
      <c r="K781" s="58" t="s">
        <v>593</v>
      </c>
      <c r="L781" s="35" t="s">
        <v>698</v>
      </c>
      <c r="M781" s="35">
        <v>0</v>
      </c>
      <c r="N781" s="35">
        <v>0</v>
      </c>
      <c r="O781" s="35">
        <f t="shared" si="24"/>
        <v>0</v>
      </c>
      <c r="P781" s="35">
        <v>17</v>
      </c>
      <c r="Q781" s="35">
        <v>15.5</v>
      </c>
      <c r="R781" s="35">
        <f t="shared" si="25"/>
        <v>16.25</v>
      </c>
      <c r="S781" s="35"/>
      <c r="T781" s="35"/>
      <c r="U781" s="35"/>
      <c r="V781" s="35" t="e">
        <f>AVERAGE(Tableau2[[#This Row],[1ère composition/10]:[3è composition]])</f>
        <v>#DIV/0!</v>
      </c>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f>COUNTIF(Tableau2[[#This Row],[Séance 1]:[Séance 38]],"A")</f>
        <v>0</v>
      </c>
      <c r="BJ781" s="35"/>
    </row>
    <row r="782" spans="1:62" s="42" customFormat="1" hidden="1" x14ac:dyDescent="0.2">
      <c r="A782" s="44" t="s">
        <v>2316</v>
      </c>
      <c r="B782" s="44" t="s">
        <v>2329</v>
      </c>
      <c r="C782" s="44" t="s">
        <v>2321</v>
      </c>
      <c r="D782" s="44" t="s">
        <v>2330</v>
      </c>
      <c r="E782" s="44" t="s">
        <v>2212</v>
      </c>
      <c r="F782" s="48">
        <v>2021</v>
      </c>
      <c r="G782" s="48">
        <v>57</v>
      </c>
      <c r="H782" s="48">
        <v>6</v>
      </c>
      <c r="I782" s="44" t="str">
        <f>Tableau2[[#This Row],[Annee d''inscription au programme]]&amp;"-"&amp;Tableau2[[#This Row],[Code d''ecole]]&amp;"-"&amp;Tableau2[[#This Row],[Numero HM de la fille]]</f>
        <v>2021-57-6</v>
      </c>
      <c r="J782" s="45" t="s">
        <v>2029</v>
      </c>
      <c r="K782" s="58" t="s">
        <v>374</v>
      </c>
      <c r="L782" s="35" t="s">
        <v>3529</v>
      </c>
      <c r="M782" s="35">
        <v>10.5</v>
      </c>
      <c r="N782" s="35">
        <v>4</v>
      </c>
      <c r="O782" s="35">
        <f t="shared" si="24"/>
        <v>7.25</v>
      </c>
      <c r="P782" s="35">
        <v>14</v>
      </c>
      <c r="Q782" s="35">
        <v>6.25</v>
      </c>
      <c r="R782" s="35">
        <f t="shared" si="25"/>
        <v>10.125</v>
      </c>
      <c r="S782" s="35"/>
      <c r="T782" s="35"/>
      <c r="U782" s="35"/>
      <c r="V782" s="35" t="e">
        <f>AVERAGE(Tableau2[[#This Row],[1ère composition/10]:[3è composition]])</f>
        <v>#DIV/0!</v>
      </c>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f>COUNTIF(Tableau2[[#This Row],[Séance 1]:[Séance 38]],"A")</f>
        <v>0</v>
      </c>
      <c r="BJ782" s="35"/>
    </row>
    <row r="783" spans="1:62" s="42" customFormat="1" hidden="1" x14ac:dyDescent="0.2">
      <c r="A783" s="44" t="s">
        <v>2316</v>
      </c>
      <c r="B783" s="44" t="s">
        <v>2331</v>
      </c>
      <c r="C783" s="44" t="s">
        <v>2321</v>
      </c>
      <c r="D783" s="44" t="s">
        <v>2332</v>
      </c>
      <c r="E783" s="44" t="s">
        <v>2212</v>
      </c>
      <c r="F783" s="48">
        <v>2021</v>
      </c>
      <c r="G783" s="48">
        <v>57</v>
      </c>
      <c r="H783" s="48">
        <v>7</v>
      </c>
      <c r="I783" s="44" t="str">
        <f>Tableau2[[#This Row],[Annee d''inscription au programme]]&amp;"-"&amp;Tableau2[[#This Row],[Code d''ecole]]&amp;"-"&amp;Tableau2[[#This Row],[Numero HM de la fille]]</f>
        <v>2021-57-7</v>
      </c>
      <c r="J783" s="45" t="s">
        <v>2030</v>
      </c>
      <c r="K783" s="58" t="s">
        <v>374</v>
      </c>
      <c r="L783" s="35" t="s">
        <v>3529</v>
      </c>
      <c r="M783" s="35">
        <v>7</v>
      </c>
      <c r="N783" s="35">
        <v>4</v>
      </c>
      <c r="O783" s="35">
        <f t="shared" si="24"/>
        <v>5.5</v>
      </c>
      <c r="P783" s="35">
        <v>12</v>
      </c>
      <c r="Q783" s="35">
        <v>4.75</v>
      </c>
      <c r="R783" s="35">
        <f t="shared" si="25"/>
        <v>8.375</v>
      </c>
      <c r="S783" s="35"/>
      <c r="T783" s="35"/>
      <c r="U783" s="35"/>
      <c r="V783" s="35" t="e">
        <f>AVERAGE(Tableau2[[#This Row],[1ère composition/10]:[3è composition]])</f>
        <v>#DIV/0!</v>
      </c>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f>COUNTIF(Tableau2[[#This Row],[Séance 1]:[Séance 38]],"A")</f>
        <v>0</v>
      </c>
      <c r="BJ783" s="35"/>
    </row>
    <row r="784" spans="1:62" s="42" customFormat="1" hidden="1" x14ac:dyDescent="0.2">
      <c r="A784" s="44" t="s">
        <v>2316</v>
      </c>
      <c r="B784" s="44" t="s">
        <v>2333</v>
      </c>
      <c r="C784" s="59" t="s">
        <v>2318</v>
      </c>
      <c r="D784" s="44" t="s">
        <v>2334</v>
      </c>
      <c r="E784" s="44" t="s">
        <v>2212</v>
      </c>
      <c r="F784" s="48">
        <v>2021</v>
      </c>
      <c r="G784" s="48">
        <v>57</v>
      </c>
      <c r="H784" s="48">
        <v>8</v>
      </c>
      <c r="I784" s="44" t="str">
        <f>Tableau2[[#This Row],[Annee d''inscription au programme]]&amp;"-"&amp;Tableau2[[#This Row],[Code d''ecole]]&amp;"-"&amp;Tableau2[[#This Row],[Numero HM de la fille]]</f>
        <v>2021-57-8</v>
      </c>
      <c r="J784" s="45" t="s">
        <v>2031</v>
      </c>
      <c r="K784" s="58" t="s">
        <v>593</v>
      </c>
      <c r="L784" s="35" t="s">
        <v>698</v>
      </c>
      <c r="M784" s="35">
        <v>10.5</v>
      </c>
      <c r="N784" s="35">
        <v>5</v>
      </c>
      <c r="O784" s="35">
        <f t="shared" si="24"/>
        <v>7.75</v>
      </c>
      <c r="P784" s="35">
        <v>13.5</v>
      </c>
      <c r="Q784" s="35">
        <v>9.5</v>
      </c>
      <c r="R784" s="35">
        <f t="shared" si="25"/>
        <v>11.5</v>
      </c>
      <c r="S784" s="35"/>
      <c r="T784" s="35"/>
      <c r="U784" s="35"/>
      <c r="V784" s="35" t="e">
        <f>AVERAGE(Tableau2[[#This Row],[1ère composition/10]:[3è composition]])</f>
        <v>#DIV/0!</v>
      </c>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f>COUNTIF(Tableau2[[#This Row],[Séance 1]:[Séance 38]],"A")</f>
        <v>0</v>
      </c>
      <c r="BJ784" s="35"/>
    </row>
    <row r="785" spans="1:62" s="42" customFormat="1" hidden="1" x14ac:dyDescent="0.2">
      <c r="A785" s="44" t="s">
        <v>2316</v>
      </c>
      <c r="B785" s="44" t="s">
        <v>2335</v>
      </c>
      <c r="C785" s="44" t="s">
        <v>2318</v>
      </c>
      <c r="D785" s="44" t="s">
        <v>188</v>
      </c>
      <c r="E785" s="44" t="s">
        <v>2212</v>
      </c>
      <c r="F785" s="48">
        <v>2021</v>
      </c>
      <c r="G785" s="48">
        <v>57</v>
      </c>
      <c r="H785" s="48">
        <v>9</v>
      </c>
      <c r="I785" s="44" t="str">
        <f>Tableau2[[#This Row],[Annee d''inscription au programme]]&amp;"-"&amp;Tableau2[[#This Row],[Code d''ecole]]&amp;"-"&amp;Tableau2[[#This Row],[Numero HM de la fille]]</f>
        <v>2021-57-9</v>
      </c>
      <c r="J785" s="45" t="s">
        <v>2032</v>
      </c>
      <c r="K785" s="58" t="s">
        <v>593</v>
      </c>
      <c r="L785" s="35" t="s">
        <v>698</v>
      </c>
      <c r="M785" s="35">
        <v>11.5</v>
      </c>
      <c r="N785" s="35">
        <v>7</v>
      </c>
      <c r="O785" s="35">
        <f t="shared" si="24"/>
        <v>9.25</v>
      </c>
      <c r="P785" s="35">
        <v>16.5</v>
      </c>
      <c r="Q785" s="35">
        <v>9.5</v>
      </c>
      <c r="R785" s="35">
        <f t="shared" si="25"/>
        <v>13</v>
      </c>
      <c r="S785" s="35"/>
      <c r="T785" s="35"/>
      <c r="U785" s="35"/>
      <c r="V785" s="35" t="e">
        <f>AVERAGE(Tableau2[[#This Row],[1ère composition/10]:[3è composition]])</f>
        <v>#DIV/0!</v>
      </c>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f>COUNTIF(Tableau2[[#This Row],[Séance 1]:[Séance 38]],"A")</f>
        <v>0</v>
      </c>
      <c r="BJ785" s="35"/>
    </row>
    <row r="786" spans="1:62" s="42" customFormat="1" hidden="1" x14ac:dyDescent="0.2">
      <c r="A786" s="44" t="s">
        <v>2316</v>
      </c>
      <c r="B786" s="44" t="s">
        <v>2336</v>
      </c>
      <c r="C786" s="44" t="s">
        <v>2318</v>
      </c>
      <c r="D786" s="44" t="s">
        <v>2337</v>
      </c>
      <c r="E786" s="44" t="s">
        <v>2212</v>
      </c>
      <c r="F786" s="48">
        <v>2021</v>
      </c>
      <c r="G786" s="48">
        <v>57</v>
      </c>
      <c r="H786" s="48">
        <v>10</v>
      </c>
      <c r="I786" s="44" t="str">
        <f>Tableau2[[#This Row],[Annee d''inscription au programme]]&amp;"-"&amp;Tableau2[[#This Row],[Code d''ecole]]&amp;"-"&amp;Tableau2[[#This Row],[Numero HM de la fille]]</f>
        <v>2021-57-10</v>
      </c>
      <c r="J786" s="45" t="s">
        <v>2033</v>
      </c>
      <c r="K786" s="58" t="s">
        <v>593</v>
      </c>
      <c r="L786" s="35" t="s">
        <v>698</v>
      </c>
      <c r="M786" s="35">
        <v>0</v>
      </c>
      <c r="N786" s="35">
        <v>0</v>
      </c>
      <c r="O786" s="35">
        <f t="shared" si="24"/>
        <v>0</v>
      </c>
      <c r="P786" s="35">
        <v>13.75</v>
      </c>
      <c r="Q786" s="35">
        <v>4.5</v>
      </c>
      <c r="R786" s="35">
        <f t="shared" si="25"/>
        <v>9.125</v>
      </c>
      <c r="S786" s="35"/>
      <c r="T786" s="35"/>
      <c r="U786" s="35"/>
      <c r="V786" s="35" t="e">
        <f>AVERAGE(Tableau2[[#This Row],[1ère composition/10]:[3è composition]])</f>
        <v>#DIV/0!</v>
      </c>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f>COUNTIF(Tableau2[[#This Row],[Séance 1]:[Séance 38]],"A")</f>
        <v>0</v>
      </c>
      <c r="BJ786" s="35"/>
    </row>
    <row r="787" spans="1:62" s="42" customFormat="1" hidden="1" x14ac:dyDescent="0.2">
      <c r="A787" s="44" t="s">
        <v>2316</v>
      </c>
      <c r="B787" s="44" t="s">
        <v>2338</v>
      </c>
      <c r="C787" s="70" t="s">
        <v>2321</v>
      </c>
      <c r="D787" s="44" t="s">
        <v>2339</v>
      </c>
      <c r="E787" s="44" t="s">
        <v>2212</v>
      </c>
      <c r="F787" s="48">
        <v>2021</v>
      </c>
      <c r="G787" s="48">
        <v>57</v>
      </c>
      <c r="H787" s="48">
        <v>11</v>
      </c>
      <c r="I787" s="44" t="str">
        <f>Tableau2[[#This Row],[Annee d''inscription au programme]]&amp;"-"&amp;Tableau2[[#This Row],[Code d''ecole]]&amp;"-"&amp;Tableau2[[#This Row],[Numero HM de la fille]]</f>
        <v>2021-57-11</v>
      </c>
      <c r="J787" s="45" t="s">
        <v>2034</v>
      </c>
      <c r="K787" s="58" t="s">
        <v>374</v>
      </c>
      <c r="L787" s="35" t="s">
        <v>3529</v>
      </c>
      <c r="M787" s="35">
        <v>11</v>
      </c>
      <c r="N787" s="35">
        <v>5.5</v>
      </c>
      <c r="O787" s="35">
        <f t="shared" si="24"/>
        <v>8.25</v>
      </c>
      <c r="P787" s="35">
        <v>14.5</v>
      </c>
      <c r="Q787" s="35">
        <v>11</v>
      </c>
      <c r="R787" s="35">
        <f t="shared" si="25"/>
        <v>12.75</v>
      </c>
      <c r="S787" s="35"/>
      <c r="T787" s="35"/>
      <c r="U787" s="35"/>
      <c r="V787" s="35" t="e">
        <f>AVERAGE(Tableau2[[#This Row],[1ère composition/10]:[3è composition]])</f>
        <v>#DIV/0!</v>
      </c>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f>COUNTIF(Tableau2[[#This Row],[Séance 1]:[Séance 38]],"A")</f>
        <v>0</v>
      </c>
      <c r="BJ787" s="35"/>
    </row>
    <row r="788" spans="1:62" s="42" customFormat="1" hidden="1" x14ac:dyDescent="0.2">
      <c r="A788" s="44" t="s">
        <v>2316</v>
      </c>
      <c r="B788" s="44" t="s">
        <v>2340</v>
      </c>
      <c r="C788" s="44" t="s">
        <v>2318</v>
      </c>
      <c r="D788" s="44" t="s">
        <v>2341</v>
      </c>
      <c r="E788" s="44" t="s">
        <v>2212</v>
      </c>
      <c r="F788" s="48">
        <v>2021</v>
      </c>
      <c r="G788" s="48">
        <v>57</v>
      </c>
      <c r="H788" s="48">
        <v>12</v>
      </c>
      <c r="I788" s="44" t="str">
        <f>Tableau2[[#This Row],[Annee d''inscription au programme]]&amp;"-"&amp;Tableau2[[#This Row],[Code d''ecole]]&amp;"-"&amp;Tableau2[[#This Row],[Numero HM de la fille]]</f>
        <v>2021-57-12</v>
      </c>
      <c r="J788" s="45" t="s">
        <v>2035</v>
      </c>
      <c r="K788" s="58" t="s">
        <v>593</v>
      </c>
      <c r="L788" s="35" t="s">
        <v>698</v>
      </c>
      <c r="M788" s="35">
        <v>5.5</v>
      </c>
      <c r="N788" s="35">
        <v>2</v>
      </c>
      <c r="O788" s="35">
        <f t="shared" si="24"/>
        <v>3.75</v>
      </c>
      <c r="P788" s="35">
        <v>11</v>
      </c>
      <c r="Q788" s="35">
        <v>1</v>
      </c>
      <c r="R788" s="35">
        <f t="shared" si="25"/>
        <v>6</v>
      </c>
      <c r="S788" s="35"/>
      <c r="T788" s="35"/>
      <c r="U788" s="35"/>
      <c r="V788" s="35" t="e">
        <f>AVERAGE(Tableau2[[#This Row],[1ère composition/10]:[3è composition]])</f>
        <v>#DIV/0!</v>
      </c>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f>COUNTIF(Tableau2[[#This Row],[Séance 1]:[Séance 38]],"A")</f>
        <v>0</v>
      </c>
      <c r="BJ788" s="35"/>
    </row>
    <row r="789" spans="1:62" s="42" customFormat="1" hidden="1" x14ac:dyDescent="0.2">
      <c r="A789" s="44" t="s">
        <v>2316</v>
      </c>
      <c r="B789" s="44" t="s">
        <v>2342</v>
      </c>
      <c r="C789" s="44" t="s">
        <v>2318</v>
      </c>
      <c r="D789" s="44" t="s">
        <v>2343</v>
      </c>
      <c r="E789" s="44" t="s">
        <v>2212</v>
      </c>
      <c r="F789" s="48">
        <v>2021</v>
      </c>
      <c r="G789" s="48">
        <v>57</v>
      </c>
      <c r="H789" s="48">
        <v>13</v>
      </c>
      <c r="I789" s="44" t="str">
        <f>Tableau2[[#This Row],[Annee d''inscription au programme]]&amp;"-"&amp;Tableau2[[#This Row],[Code d''ecole]]&amp;"-"&amp;Tableau2[[#This Row],[Numero HM de la fille]]</f>
        <v>2021-57-13</v>
      </c>
      <c r="J789" s="45" t="s">
        <v>2036</v>
      </c>
      <c r="K789" s="58" t="s">
        <v>593</v>
      </c>
      <c r="L789" s="35" t="s">
        <v>698</v>
      </c>
      <c r="M789" s="35">
        <v>7.5</v>
      </c>
      <c r="N789" s="35">
        <v>2</v>
      </c>
      <c r="O789" s="35">
        <f t="shared" si="24"/>
        <v>4.75</v>
      </c>
      <c r="P789" s="35">
        <v>10.5</v>
      </c>
      <c r="Q789" s="35">
        <v>7</v>
      </c>
      <c r="R789" s="35">
        <f t="shared" si="25"/>
        <v>8.75</v>
      </c>
      <c r="S789" s="35"/>
      <c r="T789" s="35"/>
      <c r="U789" s="35"/>
      <c r="V789" s="35" t="e">
        <f>AVERAGE(Tableau2[[#This Row],[1ère composition/10]:[3è composition]])</f>
        <v>#DIV/0!</v>
      </c>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f>COUNTIF(Tableau2[[#This Row],[Séance 1]:[Séance 38]],"A")</f>
        <v>0</v>
      </c>
      <c r="BJ789" s="35"/>
    </row>
    <row r="790" spans="1:62" s="42" customFormat="1" hidden="1" x14ac:dyDescent="0.2">
      <c r="A790" s="44" t="s">
        <v>2316</v>
      </c>
      <c r="B790" s="44" t="s">
        <v>2344</v>
      </c>
      <c r="C790" s="44" t="s">
        <v>2318</v>
      </c>
      <c r="D790" s="44" t="s">
        <v>2345</v>
      </c>
      <c r="E790" s="44" t="s">
        <v>2212</v>
      </c>
      <c r="F790" s="48">
        <v>2021</v>
      </c>
      <c r="G790" s="48">
        <v>57</v>
      </c>
      <c r="H790" s="48">
        <v>14</v>
      </c>
      <c r="I790" s="44" t="str">
        <f>Tableau2[[#This Row],[Annee d''inscription au programme]]&amp;"-"&amp;Tableau2[[#This Row],[Code d''ecole]]&amp;"-"&amp;Tableau2[[#This Row],[Numero HM de la fille]]</f>
        <v>2021-57-14</v>
      </c>
      <c r="J790" s="45" t="s">
        <v>2037</v>
      </c>
      <c r="K790" s="58" t="s">
        <v>593</v>
      </c>
      <c r="L790" s="35" t="s">
        <v>698</v>
      </c>
      <c r="M790" s="35">
        <v>8</v>
      </c>
      <c r="N790" s="35">
        <v>2.5</v>
      </c>
      <c r="O790" s="35">
        <f t="shared" si="24"/>
        <v>5.25</v>
      </c>
      <c r="P790" s="35">
        <v>12.5</v>
      </c>
      <c r="Q790" s="35">
        <v>15</v>
      </c>
      <c r="R790" s="35">
        <f t="shared" si="25"/>
        <v>13.75</v>
      </c>
      <c r="S790" s="35"/>
      <c r="T790" s="35"/>
      <c r="U790" s="35"/>
      <c r="V790" s="35" t="e">
        <f>AVERAGE(Tableau2[[#This Row],[1ère composition/10]:[3è composition]])</f>
        <v>#DIV/0!</v>
      </c>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f>COUNTIF(Tableau2[[#This Row],[Séance 1]:[Séance 38]],"A")</f>
        <v>0</v>
      </c>
      <c r="BJ790" s="35"/>
    </row>
    <row r="791" spans="1:62" s="42" customFormat="1" hidden="1" x14ac:dyDescent="0.2">
      <c r="A791" s="44" t="s">
        <v>2316</v>
      </c>
      <c r="B791" s="44" t="s">
        <v>2346</v>
      </c>
      <c r="C791" s="44" t="s">
        <v>2318</v>
      </c>
      <c r="D791" s="44" t="s">
        <v>729</v>
      </c>
      <c r="E791" s="44" t="s">
        <v>2212</v>
      </c>
      <c r="F791" s="48">
        <v>2021</v>
      </c>
      <c r="G791" s="48">
        <v>57</v>
      </c>
      <c r="H791" s="48">
        <v>15</v>
      </c>
      <c r="I791" s="44" t="str">
        <f>Tableau2[[#This Row],[Annee d''inscription au programme]]&amp;"-"&amp;Tableau2[[#This Row],[Code d''ecole]]&amp;"-"&amp;Tableau2[[#This Row],[Numero HM de la fille]]</f>
        <v>2021-57-15</v>
      </c>
      <c r="J791" s="45" t="s">
        <v>2038</v>
      </c>
      <c r="K791" s="58" t="s">
        <v>593</v>
      </c>
      <c r="L791" s="35" t="s">
        <v>698</v>
      </c>
      <c r="M791" s="35">
        <v>9</v>
      </c>
      <c r="N791" s="35">
        <v>4.5</v>
      </c>
      <c r="O791" s="35">
        <f t="shared" si="24"/>
        <v>6.75</v>
      </c>
      <c r="P791" s="35">
        <v>12.5</v>
      </c>
      <c r="Q791" s="35">
        <v>10</v>
      </c>
      <c r="R791" s="35">
        <f t="shared" si="25"/>
        <v>11.25</v>
      </c>
      <c r="S791" s="35"/>
      <c r="T791" s="35"/>
      <c r="U791" s="35"/>
      <c r="V791" s="35" t="e">
        <f>AVERAGE(Tableau2[[#This Row],[1ère composition/10]:[3è composition]])</f>
        <v>#DIV/0!</v>
      </c>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f>COUNTIF(Tableau2[[#This Row],[Séance 1]:[Séance 38]],"A")</f>
        <v>0</v>
      </c>
      <c r="BJ791" s="35"/>
    </row>
    <row r="792" spans="1:62" s="42" customFormat="1" hidden="1" x14ac:dyDescent="0.2">
      <c r="A792" s="44" t="s">
        <v>2316</v>
      </c>
      <c r="B792" s="44" t="s">
        <v>2347</v>
      </c>
      <c r="C792" s="44" t="s">
        <v>2318</v>
      </c>
      <c r="D792" s="44" t="s">
        <v>2348</v>
      </c>
      <c r="E792" s="44" t="s">
        <v>2212</v>
      </c>
      <c r="F792" s="48">
        <v>2021</v>
      </c>
      <c r="G792" s="48">
        <v>57</v>
      </c>
      <c r="H792" s="48">
        <v>16</v>
      </c>
      <c r="I792" s="44" t="str">
        <f>Tableau2[[#This Row],[Annee d''inscription au programme]]&amp;"-"&amp;Tableau2[[#This Row],[Code d''ecole]]&amp;"-"&amp;Tableau2[[#This Row],[Numero HM de la fille]]</f>
        <v>2021-57-16</v>
      </c>
      <c r="J792" s="45" t="s">
        <v>2039</v>
      </c>
      <c r="K792" s="58" t="s">
        <v>593</v>
      </c>
      <c r="L792" s="35" t="s">
        <v>698</v>
      </c>
      <c r="M792" s="35">
        <v>9</v>
      </c>
      <c r="N792" s="35">
        <v>8</v>
      </c>
      <c r="O792" s="35">
        <f t="shared" si="24"/>
        <v>8.5</v>
      </c>
      <c r="P792" s="35">
        <v>16.5</v>
      </c>
      <c r="Q792" s="35">
        <v>16</v>
      </c>
      <c r="R792" s="35">
        <f t="shared" si="25"/>
        <v>16.25</v>
      </c>
      <c r="S792" s="35"/>
      <c r="T792" s="35"/>
      <c r="U792" s="35"/>
      <c r="V792" s="35" t="e">
        <f>AVERAGE(Tableau2[[#This Row],[1ère composition/10]:[3è composition]])</f>
        <v>#DIV/0!</v>
      </c>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f>COUNTIF(Tableau2[[#This Row],[Séance 1]:[Séance 38]],"A")</f>
        <v>0</v>
      </c>
      <c r="BJ792" s="35"/>
    </row>
    <row r="793" spans="1:62" s="42" customFormat="1" hidden="1" x14ac:dyDescent="0.2">
      <c r="A793" s="44" t="s">
        <v>2316</v>
      </c>
      <c r="B793" s="44" t="s">
        <v>2349</v>
      </c>
      <c r="C793" s="44" t="s">
        <v>2350</v>
      </c>
      <c r="D793" s="44" t="s">
        <v>2351</v>
      </c>
      <c r="E793" s="44" t="s">
        <v>2212</v>
      </c>
      <c r="F793" s="48">
        <v>2021</v>
      </c>
      <c r="G793" s="48">
        <v>57</v>
      </c>
      <c r="H793" s="48">
        <v>17</v>
      </c>
      <c r="I793" s="44" t="str">
        <f>Tableau2[[#This Row],[Annee d''inscription au programme]]&amp;"-"&amp;Tableau2[[#This Row],[Code d''ecole]]&amp;"-"&amp;Tableau2[[#This Row],[Numero HM de la fille]]</f>
        <v>2021-57-17</v>
      </c>
      <c r="J793" s="45" t="s">
        <v>2040</v>
      </c>
      <c r="K793" s="58" t="s">
        <v>593</v>
      </c>
      <c r="L793" s="35" t="s">
        <v>698</v>
      </c>
      <c r="M793" s="35">
        <v>8.5</v>
      </c>
      <c r="N793" s="35">
        <v>11.5</v>
      </c>
      <c r="O793" s="35">
        <f t="shared" si="24"/>
        <v>10</v>
      </c>
      <c r="P793" s="35">
        <v>17.5</v>
      </c>
      <c r="Q793" s="35">
        <v>20</v>
      </c>
      <c r="R793" s="35">
        <f t="shared" si="25"/>
        <v>18.75</v>
      </c>
      <c r="S793" s="35"/>
      <c r="T793" s="35"/>
      <c r="U793" s="35"/>
      <c r="V793" s="35" t="e">
        <f>AVERAGE(Tableau2[[#This Row],[1ère composition/10]:[3è composition]])</f>
        <v>#DIV/0!</v>
      </c>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f>COUNTIF(Tableau2[[#This Row],[Séance 1]:[Séance 38]],"A")</f>
        <v>0</v>
      </c>
      <c r="BJ793" s="35"/>
    </row>
    <row r="794" spans="1:62" s="42" customFormat="1" hidden="1" x14ac:dyDescent="0.2">
      <c r="A794" s="44" t="s">
        <v>2316</v>
      </c>
      <c r="B794" s="44" t="s">
        <v>2352</v>
      </c>
      <c r="C794" s="44" t="s">
        <v>2321</v>
      </c>
      <c r="D794" s="44" t="s">
        <v>2353</v>
      </c>
      <c r="E794" s="44" t="s">
        <v>2212</v>
      </c>
      <c r="F794" s="48">
        <v>2021</v>
      </c>
      <c r="G794" s="48">
        <v>57</v>
      </c>
      <c r="H794" s="48">
        <v>18</v>
      </c>
      <c r="I794" s="44" t="str">
        <f>Tableau2[[#This Row],[Annee d''inscription au programme]]&amp;"-"&amp;Tableau2[[#This Row],[Code d''ecole]]&amp;"-"&amp;Tableau2[[#This Row],[Numero HM de la fille]]</f>
        <v>2021-57-18</v>
      </c>
      <c r="J794" s="45" t="s">
        <v>2041</v>
      </c>
      <c r="K794" s="58" t="s">
        <v>374</v>
      </c>
      <c r="L794" s="35" t="s">
        <v>3529</v>
      </c>
      <c r="M794" s="35">
        <v>11</v>
      </c>
      <c r="N794" s="35">
        <v>7</v>
      </c>
      <c r="O794" s="35">
        <f t="shared" si="24"/>
        <v>9</v>
      </c>
      <c r="P794" s="35">
        <v>14.5</v>
      </c>
      <c r="Q794" s="35">
        <v>13</v>
      </c>
      <c r="R794" s="35">
        <f t="shared" si="25"/>
        <v>13.75</v>
      </c>
      <c r="S794" s="35"/>
      <c r="T794" s="35"/>
      <c r="U794" s="35"/>
      <c r="V794" s="35" t="e">
        <f>AVERAGE(Tableau2[[#This Row],[1ère composition/10]:[3è composition]])</f>
        <v>#DIV/0!</v>
      </c>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f>COUNTIF(Tableau2[[#This Row],[Séance 1]:[Séance 38]],"A")</f>
        <v>0</v>
      </c>
      <c r="BJ794" s="35"/>
    </row>
    <row r="795" spans="1:62" s="42" customFormat="1" hidden="1" x14ac:dyDescent="0.2">
      <c r="A795" s="44" t="s">
        <v>2316</v>
      </c>
      <c r="B795" s="44" t="s">
        <v>2354</v>
      </c>
      <c r="C795" s="44" t="s">
        <v>2318</v>
      </c>
      <c r="D795" s="44" t="s">
        <v>2345</v>
      </c>
      <c r="E795" s="44" t="s">
        <v>2212</v>
      </c>
      <c r="F795" s="48">
        <v>2021</v>
      </c>
      <c r="G795" s="48">
        <v>57</v>
      </c>
      <c r="H795" s="48">
        <v>19</v>
      </c>
      <c r="I795" s="44" t="str">
        <f>Tableau2[[#This Row],[Annee d''inscription au programme]]&amp;"-"&amp;Tableau2[[#This Row],[Code d''ecole]]&amp;"-"&amp;Tableau2[[#This Row],[Numero HM de la fille]]</f>
        <v>2021-57-19</v>
      </c>
      <c r="J795" s="45" t="s">
        <v>2042</v>
      </c>
      <c r="K795" s="58" t="s">
        <v>593</v>
      </c>
      <c r="L795" s="35" t="s">
        <v>698</v>
      </c>
      <c r="M795" s="35">
        <v>9</v>
      </c>
      <c r="N795" s="35">
        <v>7</v>
      </c>
      <c r="O795" s="35">
        <f t="shared" si="24"/>
        <v>8</v>
      </c>
      <c r="P795" s="35">
        <v>11.5</v>
      </c>
      <c r="Q795" s="35">
        <v>12</v>
      </c>
      <c r="R795" s="35">
        <f t="shared" si="25"/>
        <v>11.75</v>
      </c>
      <c r="S795" s="35"/>
      <c r="T795" s="35"/>
      <c r="U795" s="35"/>
      <c r="V795" s="35" t="e">
        <f>AVERAGE(Tableau2[[#This Row],[1ère composition/10]:[3è composition]])</f>
        <v>#DIV/0!</v>
      </c>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f>COUNTIF(Tableau2[[#This Row],[Séance 1]:[Séance 38]],"A")</f>
        <v>0</v>
      </c>
      <c r="BJ795" s="35"/>
    </row>
    <row r="796" spans="1:62" s="42" customFormat="1" hidden="1" x14ac:dyDescent="0.2">
      <c r="A796" s="44" t="s">
        <v>2316</v>
      </c>
      <c r="B796" s="44" t="s">
        <v>2355</v>
      </c>
      <c r="C796" s="44" t="s">
        <v>2321</v>
      </c>
      <c r="D796" s="44" t="s">
        <v>2356</v>
      </c>
      <c r="E796" s="44" t="s">
        <v>2212</v>
      </c>
      <c r="F796" s="48">
        <v>2021</v>
      </c>
      <c r="G796" s="48">
        <v>57</v>
      </c>
      <c r="H796" s="48">
        <v>20</v>
      </c>
      <c r="I796" s="44" t="str">
        <f>Tableau2[[#This Row],[Annee d''inscription au programme]]&amp;"-"&amp;Tableau2[[#This Row],[Code d''ecole]]&amp;"-"&amp;Tableau2[[#This Row],[Numero HM de la fille]]</f>
        <v>2021-57-20</v>
      </c>
      <c r="J796" s="45" t="s">
        <v>2043</v>
      </c>
      <c r="K796" s="58" t="s">
        <v>374</v>
      </c>
      <c r="L796" s="35" t="s">
        <v>3529</v>
      </c>
      <c r="M796" s="35">
        <v>8</v>
      </c>
      <c r="N796" s="35">
        <v>8</v>
      </c>
      <c r="O796" s="35">
        <f t="shared" si="24"/>
        <v>8</v>
      </c>
      <c r="P796" s="35">
        <v>9</v>
      </c>
      <c r="Q796" s="35">
        <v>12</v>
      </c>
      <c r="R796" s="35">
        <f t="shared" si="25"/>
        <v>10.5</v>
      </c>
      <c r="S796" s="35"/>
      <c r="T796" s="35"/>
      <c r="U796" s="35"/>
      <c r="V796" s="35" t="e">
        <f>AVERAGE(Tableau2[[#This Row],[1ère composition/10]:[3è composition]])</f>
        <v>#DIV/0!</v>
      </c>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f>COUNTIF(Tableau2[[#This Row],[Séance 1]:[Séance 38]],"A")</f>
        <v>0</v>
      </c>
      <c r="BJ796" s="35"/>
    </row>
    <row r="797" spans="1:62" s="42" customFormat="1" hidden="1" x14ac:dyDescent="0.2">
      <c r="A797" s="44" t="s">
        <v>2316</v>
      </c>
      <c r="B797" s="44" t="s">
        <v>2357</v>
      </c>
      <c r="C797" s="44" t="s">
        <v>2318</v>
      </c>
      <c r="D797" s="44" t="s">
        <v>2358</v>
      </c>
      <c r="E797" s="44" t="s">
        <v>2212</v>
      </c>
      <c r="F797" s="48">
        <v>2021</v>
      </c>
      <c r="G797" s="48">
        <v>57</v>
      </c>
      <c r="H797" s="48">
        <v>21</v>
      </c>
      <c r="I797" s="44" t="str">
        <f>Tableau2[[#This Row],[Annee d''inscription au programme]]&amp;"-"&amp;Tableau2[[#This Row],[Code d''ecole]]&amp;"-"&amp;Tableau2[[#This Row],[Numero HM de la fille]]</f>
        <v>2021-57-21</v>
      </c>
      <c r="J797" s="45" t="s">
        <v>2044</v>
      </c>
      <c r="K797" s="58" t="s">
        <v>593</v>
      </c>
      <c r="L797" s="35" t="s">
        <v>698</v>
      </c>
      <c r="M797" s="35">
        <v>8.5</v>
      </c>
      <c r="N797" s="35">
        <v>2.5</v>
      </c>
      <c r="O797" s="35">
        <f t="shared" si="24"/>
        <v>5.5</v>
      </c>
      <c r="P797" s="35">
        <v>12</v>
      </c>
      <c r="Q797" s="35">
        <v>9</v>
      </c>
      <c r="R797" s="35">
        <f t="shared" si="25"/>
        <v>10.5</v>
      </c>
      <c r="S797" s="35"/>
      <c r="T797" s="35"/>
      <c r="U797" s="35"/>
      <c r="V797" s="35" t="e">
        <f>AVERAGE(Tableau2[[#This Row],[1ère composition/10]:[3è composition]])</f>
        <v>#DIV/0!</v>
      </c>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f>COUNTIF(Tableau2[[#This Row],[Séance 1]:[Séance 38]],"A")</f>
        <v>0</v>
      </c>
      <c r="BJ797" s="35"/>
    </row>
    <row r="798" spans="1:62" s="42" customFormat="1" hidden="1" x14ac:dyDescent="0.2">
      <c r="A798" s="44" t="s">
        <v>2383</v>
      </c>
      <c r="B798" s="44" t="s">
        <v>2384</v>
      </c>
      <c r="C798" s="59" t="s">
        <v>3799</v>
      </c>
      <c r="D798" s="44" t="s">
        <v>2385</v>
      </c>
      <c r="E798" s="44" t="s">
        <v>2212</v>
      </c>
      <c r="F798" s="48">
        <v>2021</v>
      </c>
      <c r="G798" s="48">
        <v>58</v>
      </c>
      <c r="H798" s="48">
        <v>1</v>
      </c>
      <c r="I798" s="44" t="str">
        <f>Tableau2[[#This Row],[Annee d''inscription au programme]]&amp;"-"&amp;Tableau2[[#This Row],[Code d''ecole]]&amp;"-"&amp;Tableau2[[#This Row],[Numero HM de la fille]]</f>
        <v>2021-58-1</v>
      </c>
      <c r="J798" s="45" t="s">
        <v>2045</v>
      </c>
      <c r="K798" s="44" t="s">
        <v>593</v>
      </c>
      <c r="L798" s="35" t="s">
        <v>698</v>
      </c>
      <c r="M798" s="35">
        <v>0</v>
      </c>
      <c r="N798" s="35">
        <v>0</v>
      </c>
      <c r="O798" s="35">
        <f t="shared" si="24"/>
        <v>0</v>
      </c>
      <c r="P798" s="35">
        <v>15</v>
      </c>
      <c r="Q798" s="35">
        <v>20</v>
      </c>
      <c r="R798" s="35">
        <f t="shared" si="25"/>
        <v>17.5</v>
      </c>
      <c r="S798" s="35"/>
      <c r="T798" s="35"/>
      <c r="U798" s="35"/>
      <c r="V798" s="35" t="e">
        <f>AVERAGE(Tableau2[[#This Row],[1ère composition/10]:[3è composition]])</f>
        <v>#DIV/0!</v>
      </c>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f>COUNTIF(Tableau2[[#This Row],[Séance 1]:[Séance 38]],"A")</f>
        <v>0</v>
      </c>
      <c r="BJ798" s="35"/>
    </row>
    <row r="799" spans="1:62" s="42" customFormat="1" hidden="1" x14ac:dyDescent="0.2">
      <c r="A799" s="44" t="s">
        <v>2383</v>
      </c>
      <c r="B799" s="48" t="s">
        <v>2524</v>
      </c>
      <c r="C799" s="59" t="s">
        <v>3799</v>
      </c>
      <c r="D799" s="48" t="s">
        <v>1094</v>
      </c>
      <c r="E799" s="44" t="s">
        <v>2212</v>
      </c>
      <c r="F799" s="48">
        <v>2021</v>
      </c>
      <c r="G799" s="48">
        <v>58</v>
      </c>
      <c r="H799" s="48">
        <v>2</v>
      </c>
      <c r="I799" s="48" t="str">
        <f>Tableau2[[#This Row],[Annee d''inscription au programme]]&amp;"-"&amp;Tableau2[[#This Row],[Code d''ecole]]&amp;"-"&amp;Tableau2[[#This Row],[Numero HM de la fille]]</f>
        <v>2021-58-2</v>
      </c>
      <c r="J799" s="45" t="s">
        <v>2046</v>
      </c>
      <c r="K799" s="44" t="s">
        <v>593</v>
      </c>
      <c r="L799" s="35" t="s">
        <v>698</v>
      </c>
      <c r="M799" s="35">
        <v>11</v>
      </c>
      <c r="N799" s="35">
        <v>17</v>
      </c>
      <c r="O799" s="35">
        <f t="shared" si="24"/>
        <v>14</v>
      </c>
      <c r="P799" s="35">
        <v>15</v>
      </c>
      <c r="Q799" s="35">
        <v>17.5</v>
      </c>
      <c r="R799" s="35">
        <f t="shared" si="25"/>
        <v>16.25</v>
      </c>
      <c r="S799" s="35"/>
      <c r="T799" s="35"/>
      <c r="U799" s="35"/>
      <c r="V799" s="35" t="e">
        <f>AVERAGE(Tableau2[[#This Row],[1ère composition/10]:[3è composition]])</f>
        <v>#DIV/0!</v>
      </c>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f>COUNTIF(Tableau2[[#This Row],[Séance 1]:[Séance 38]],"A")</f>
        <v>0</v>
      </c>
      <c r="BJ799" s="35"/>
    </row>
    <row r="800" spans="1:62" s="42" customFormat="1" hidden="1" x14ac:dyDescent="0.2">
      <c r="A800" s="44" t="s">
        <v>2383</v>
      </c>
      <c r="B800" s="44" t="s">
        <v>2386</v>
      </c>
      <c r="C800" s="44" t="s">
        <v>3802</v>
      </c>
      <c r="D800" s="44" t="s">
        <v>2387</v>
      </c>
      <c r="E800" s="44" t="s">
        <v>2212</v>
      </c>
      <c r="F800" s="48">
        <v>2021</v>
      </c>
      <c r="G800" s="48">
        <v>58</v>
      </c>
      <c r="H800" s="48">
        <v>3</v>
      </c>
      <c r="I800" s="44" t="str">
        <f>Tableau2[[#This Row],[Annee d''inscription au programme]]&amp;"-"&amp;Tableau2[[#This Row],[Code d''ecole]]&amp;"-"&amp;Tableau2[[#This Row],[Numero HM de la fille]]</f>
        <v>2021-58-3</v>
      </c>
      <c r="J800" s="45" t="s">
        <v>2047</v>
      </c>
      <c r="K800" s="44" t="s">
        <v>374</v>
      </c>
      <c r="L800" s="35" t="s">
        <v>3529</v>
      </c>
      <c r="M800" s="35">
        <v>10.5</v>
      </c>
      <c r="N800" s="35">
        <v>10.5</v>
      </c>
      <c r="O800" s="35">
        <f t="shared" si="24"/>
        <v>10.5</v>
      </c>
      <c r="P800" s="35">
        <v>15.5</v>
      </c>
      <c r="Q800" s="35">
        <v>14.5</v>
      </c>
      <c r="R800" s="35">
        <f t="shared" si="25"/>
        <v>15</v>
      </c>
      <c r="S800" s="35"/>
      <c r="T800" s="35"/>
      <c r="U800" s="35"/>
      <c r="V800" s="35" t="e">
        <f>AVERAGE(Tableau2[[#This Row],[1ère composition/10]:[3è composition]])</f>
        <v>#DIV/0!</v>
      </c>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f>COUNTIF(Tableau2[[#This Row],[Séance 1]:[Séance 38]],"A")</f>
        <v>0</v>
      </c>
      <c r="BJ800" s="35"/>
    </row>
    <row r="801" spans="1:62" s="42" customFormat="1" hidden="1" x14ac:dyDescent="0.2">
      <c r="A801" s="44" t="s">
        <v>2383</v>
      </c>
      <c r="B801" s="48" t="s">
        <v>2526</v>
      </c>
      <c r="C801" s="44" t="s">
        <v>3802</v>
      </c>
      <c r="D801" s="48" t="s">
        <v>248</v>
      </c>
      <c r="E801" s="44" t="s">
        <v>2212</v>
      </c>
      <c r="F801" s="48">
        <v>2021</v>
      </c>
      <c r="G801" s="48">
        <v>58</v>
      </c>
      <c r="H801" s="48">
        <v>4</v>
      </c>
      <c r="I801" s="48" t="str">
        <f>Tableau2[[#This Row],[Annee d''inscription au programme]]&amp;"-"&amp;Tableau2[[#This Row],[Code d''ecole]]&amp;"-"&amp;Tableau2[[#This Row],[Numero HM de la fille]]</f>
        <v>2021-58-4</v>
      </c>
      <c r="J801" s="45" t="s">
        <v>2048</v>
      </c>
      <c r="K801" s="44" t="s">
        <v>593</v>
      </c>
      <c r="L801" s="35" t="s">
        <v>698</v>
      </c>
      <c r="M801" s="35">
        <v>6</v>
      </c>
      <c r="N801" s="35">
        <v>2</v>
      </c>
      <c r="O801" s="35">
        <f t="shared" si="24"/>
        <v>4</v>
      </c>
      <c r="P801" s="35">
        <v>7</v>
      </c>
      <c r="Q801" s="35">
        <v>4</v>
      </c>
      <c r="R801" s="35">
        <f t="shared" si="25"/>
        <v>5.5</v>
      </c>
      <c r="S801" s="35"/>
      <c r="T801" s="35"/>
      <c r="U801" s="35"/>
      <c r="V801" s="35" t="e">
        <f>AVERAGE(Tableau2[[#This Row],[1ère composition/10]:[3è composition]])</f>
        <v>#DIV/0!</v>
      </c>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f>COUNTIF(Tableau2[[#This Row],[Séance 1]:[Séance 38]],"A")</f>
        <v>0</v>
      </c>
      <c r="BJ801" s="35"/>
    </row>
    <row r="802" spans="1:62" s="42" customFormat="1" hidden="1" x14ac:dyDescent="0.2">
      <c r="A802" s="44" t="s">
        <v>2383</v>
      </c>
      <c r="B802" s="48" t="s">
        <v>2525</v>
      </c>
      <c r="C802" s="44" t="s">
        <v>3802</v>
      </c>
      <c r="D802" s="48" t="s">
        <v>242</v>
      </c>
      <c r="E802" s="44" t="s">
        <v>2212</v>
      </c>
      <c r="F802" s="48">
        <v>2021</v>
      </c>
      <c r="G802" s="48">
        <v>58</v>
      </c>
      <c r="H802" s="48">
        <v>5</v>
      </c>
      <c r="I802" s="48" t="str">
        <f>Tableau2[[#This Row],[Annee d''inscription au programme]]&amp;"-"&amp;Tableau2[[#This Row],[Code d''ecole]]&amp;"-"&amp;Tableau2[[#This Row],[Numero HM de la fille]]</f>
        <v>2021-58-5</v>
      </c>
      <c r="J802" s="45" t="s">
        <v>2049</v>
      </c>
      <c r="K802" s="44" t="s">
        <v>593</v>
      </c>
      <c r="L802" s="35" t="s">
        <v>698</v>
      </c>
      <c r="M802" s="35">
        <v>11</v>
      </c>
      <c r="N802" s="35">
        <v>6</v>
      </c>
      <c r="O802" s="35">
        <f t="shared" si="24"/>
        <v>8.5</v>
      </c>
      <c r="P802" s="35">
        <v>15</v>
      </c>
      <c r="Q802" s="35">
        <v>15.5</v>
      </c>
      <c r="R802" s="35">
        <f t="shared" si="25"/>
        <v>15.25</v>
      </c>
      <c r="S802" s="35"/>
      <c r="T802" s="35"/>
      <c r="U802" s="35"/>
      <c r="V802" s="35" t="e">
        <f>AVERAGE(Tableau2[[#This Row],[1ère composition/10]:[3è composition]])</f>
        <v>#DIV/0!</v>
      </c>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f>COUNTIF(Tableau2[[#This Row],[Séance 1]:[Séance 38]],"A")</f>
        <v>0</v>
      </c>
      <c r="BJ802" s="35"/>
    </row>
    <row r="803" spans="1:62" s="42" customFormat="1" hidden="1" x14ac:dyDescent="0.2">
      <c r="A803" s="44" t="s">
        <v>2383</v>
      </c>
      <c r="B803" s="44" t="s">
        <v>2388</v>
      </c>
      <c r="C803" s="44" t="s">
        <v>3802</v>
      </c>
      <c r="D803" s="44" t="s">
        <v>2389</v>
      </c>
      <c r="E803" s="44" t="s">
        <v>2212</v>
      </c>
      <c r="F803" s="48">
        <v>2021</v>
      </c>
      <c r="G803" s="48">
        <v>58</v>
      </c>
      <c r="H803" s="48">
        <v>6</v>
      </c>
      <c r="I803" s="44" t="str">
        <f>Tableau2[[#This Row],[Annee d''inscription au programme]]&amp;"-"&amp;Tableau2[[#This Row],[Code d''ecole]]&amp;"-"&amp;Tableau2[[#This Row],[Numero HM de la fille]]</f>
        <v>2021-58-6</v>
      </c>
      <c r="J803" s="45" t="s">
        <v>2050</v>
      </c>
      <c r="K803" s="44" t="s">
        <v>593</v>
      </c>
      <c r="L803" s="35" t="s">
        <v>698</v>
      </c>
      <c r="M803" s="35">
        <v>8.5</v>
      </c>
      <c r="N803" s="35">
        <v>2</v>
      </c>
      <c r="O803" s="35">
        <f t="shared" si="24"/>
        <v>5.25</v>
      </c>
      <c r="P803" s="35"/>
      <c r="Q803" s="35"/>
      <c r="R803" s="35">
        <f t="shared" si="25"/>
        <v>0</v>
      </c>
      <c r="S803" s="35"/>
      <c r="T803" s="35"/>
      <c r="U803" s="35"/>
      <c r="V803" s="35" t="e">
        <f>AVERAGE(Tableau2[[#This Row],[1ère composition/10]:[3è composition]])</f>
        <v>#DIV/0!</v>
      </c>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f>COUNTIF(Tableau2[[#This Row],[Séance 1]:[Séance 38]],"A")</f>
        <v>0</v>
      </c>
      <c r="BJ803" s="35"/>
    </row>
    <row r="804" spans="1:62" s="42" customFormat="1" hidden="1" x14ac:dyDescent="0.2">
      <c r="A804" s="44" t="s">
        <v>2383</v>
      </c>
      <c r="B804" s="44" t="s">
        <v>2390</v>
      </c>
      <c r="C804" s="44" t="s">
        <v>3802</v>
      </c>
      <c r="D804" s="44" t="s">
        <v>2391</v>
      </c>
      <c r="E804" s="44" t="s">
        <v>2212</v>
      </c>
      <c r="F804" s="48">
        <v>2021</v>
      </c>
      <c r="G804" s="48">
        <v>58</v>
      </c>
      <c r="H804" s="48">
        <v>7</v>
      </c>
      <c r="I804" s="44" t="str">
        <f>Tableau2[[#This Row],[Annee d''inscription au programme]]&amp;"-"&amp;Tableau2[[#This Row],[Code d''ecole]]&amp;"-"&amp;Tableau2[[#This Row],[Numero HM de la fille]]</f>
        <v>2021-58-7</v>
      </c>
      <c r="J804" s="45" t="s">
        <v>2051</v>
      </c>
      <c r="K804" s="44" t="s">
        <v>374</v>
      </c>
      <c r="L804" s="35" t="s">
        <v>3529</v>
      </c>
      <c r="M804" s="35">
        <v>6</v>
      </c>
      <c r="N804" s="35">
        <v>1.25</v>
      </c>
      <c r="O804" s="35">
        <f t="shared" si="24"/>
        <v>3.625</v>
      </c>
      <c r="P804" s="35">
        <v>13.5</v>
      </c>
      <c r="Q804" s="35">
        <v>8.5</v>
      </c>
      <c r="R804" s="35">
        <f t="shared" si="25"/>
        <v>11</v>
      </c>
      <c r="S804" s="35"/>
      <c r="T804" s="35"/>
      <c r="U804" s="35"/>
      <c r="V804" s="35" t="e">
        <f>AVERAGE(Tableau2[[#This Row],[1ère composition/10]:[3è composition]])</f>
        <v>#DIV/0!</v>
      </c>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f>COUNTIF(Tableau2[[#This Row],[Séance 1]:[Séance 38]],"A")</f>
        <v>0</v>
      </c>
      <c r="BJ804" s="35"/>
    </row>
    <row r="805" spans="1:62" s="42" customFormat="1" hidden="1" x14ac:dyDescent="0.2">
      <c r="A805" s="44" t="s">
        <v>2383</v>
      </c>
      <c r="B805" s="44" t="s">
        <v>2392</v>
      </c>
      <c r="C805" s="44" t="s">
        <v>3799</v>
      </c>
      <c r="D805" s="44" t="s">
        <v>2393</v>
      </c>
      <c r="E805" s="44" t="s">
        <v>2212</v>
      </c>
      <c r="F805" s="48">
        <v>2021</v>
      </c>
      <c r="G805" s="48">
        <v>58</v>
      </c>
      <c r="H805" s="48">
        <v>8</v>
      </c>
      <c r="I805" s="44" t="str">
        <f>Tableau2[[#This Row],[Annee d''inscription au programme]]&amp;"-"&amp;Tableau2[[#This Row],[Code d''ecole]]&amp;"-"&amp;Tableau2[[#This Row],[Numero HM de la fille]]</f>
        <v>2021-58-8</v>
      </c>
      <c r="J805" s="45" t="s">
        <v>2052</v>
      </c>
      <c r="K805" s="44" t="s">
        <v>593</v>
      </c>
      <c r="L805" s="35" t="s">
        <v>698</v>
      </c>
      <c r="M805" s="35">
        <v>0</v>
      </c>
      <c r="N805" s="35">
        <v>0</v>
      </c>
      <c r="O805" s="35">
        <f t="shared" si="24"/>
        <v>0</v>
      </c>
      <c r="P805" s="35">
        <v>12</v>
      </c>
      <c r="Q805" s="35">
        <v>5</v>
      </c>
      <c r="R805" s="35">
        <f t="shared" si="25"/>
        <v>8.5</v>
      </c>
      <c r="S805" s="35"/>
      <c r="T805" s="35"/>
      <c r="U805" s="35"/>
      <c r="V805" s="35" t="e">
        <f>AVERAGE(Tableau2[[#This Row],[1ère composition/10]:[3è composition]])</f>
        <v>#DIV/0!</v>
      </c>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f>COUNTIF(Tableau2[[#This Row],[Séance 1]:[Séance 38]],"A")</f>
        <v>0</v>
      </c>
      <c r="BJ805" s="35"/>
    </row>
    <row r="806" spans="1:62" s="42" customFormat="1" hidden="1" x14ac:dyDescent="0.2">
      <c r="A806" s="44" t="s">
        <v>2383</v>
      </c>
      <c r="B806" s="44" t="s">
        <v>2394</v>
      </c>
      <c r="C806" s="44" t="s">
        <v>3799</v>
      </c>
      <c r="D806" s="44" t="s">
        <v>2395</v>
      </c>
      <c r="E806" s="44" t="s">
        <v>2212</v>
      </c>
      <c r="F806" s="48">
        <v>2021</v>
      </c>
      <c r="G806" s="48">
        <v>58</v>
      </c>
      <c r="H806" s="48">
        <v>9</v>
      </c>
      <c r="I806" s="44" t="str">
        <f>Tableau2[[#This Row],[Annee d''inscription au programme]]&amp;"-"&amp;Tableau2[[#This Row],[Code d''ecole]]&amp;"-"&amp;Tableau2[[#This Row],[Numero HM de la fille]]</f>
        <v>2021-58-9</v>
      </c>
      <c r="J806" s="45" t="s">
        <v>2053</v>
      </c>
      <c r="K806" s="44" t="s">
        <v>593</v>
      </c>
      <c r="L806" s="35" t="s">
        <v>698</v>
      </c>
      <c r="M806" s="35">
        <v>14</v>
      </c>
      <c r="N806" s="35">
        <v>19</v>
      </c>
      <c r="O806" s="35">
        <f t="shared" si="24"/>
        <v>16.5</v>
      </c>
      <c r="P806" s="35">
        <v>17</v>
      </c>
      <c r="Q806" s="35">
        <v>19.5</v>
      </c>
      <c r="R806" s="35">
        <f t="shared" si="25"/>
        <v>18.25</v>
      </c>
      <c r="S806" s="35"/>
      <c r="T806" s="35"/>
      <c r="U806" s="35"/>
      <c r="V806" s="35" t="e">
        <f>AVERAGE(Tableau2[[#This Row],[1ère composition/10]:[3è composition]])</f>
        <v>#DIV/0!</v>
      </c>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f>COUNTIF(Tableau2[[#This Row],[Séance 1]:[Séance 38]],"A")</f>
        <v>0</v>
      </c>
      <c r="BJ806" s="35"/>
    </row>
    <row r="807" spans="1:62" s="42" customFormat="1" hidden="1" x14ac:dyDescent="0.2">
      <c r="A807" s="44" t="s">
        <v>2383</v>
      </c>
      <c r="B807" s="44" t="s">
        <v>2396</v>
      </c>
      <c r="C807" s="44" t="s">
        <v>3799</v>
      </c>
      <c r="D807" s="44" t="s">
        <v>2397</v>
      </c>
      <c r="E807" s="44" t="s">
        <v>2212</v>
      </c>
      <c r="F807" s="48">
        <v>2021</v>
      </c>
      <c r="G807" s="48">
        <v>58</v>
      </c>
      <c r="H807" s="48">
        <v>10</v>
      </c>
      <c r="I807" s="44" t="str">
        <f>Tableau2[[#This Row],[Annee d''inscription au programme]]&amp;"-"&amp;Tableau2[[#This Row],[Code d''ecole]]&amp;"-"&amp;Tableau2[[#This Row],[Numero HM de la fille]]</f>
        <v>2021-58-10</v>
      </c>
      <c r="J807" s="45" t="s">
        <v>2054</v>
      </c>
      <c r="K807" s="44" t="s">
        <v>593</v>
      </c>
      <c r="L807" s="35" t="s">
        <v>698</v>
      </c>
      <c r="M807" s="35">
        <v>6</v>
      </c>
      <c r="N807" s="35">
        <v>1</v>
      </c>
      <c r="O807" s="35">
        <f t="shared" si="24"/>
        <v>3.5</v>
      </c>
      <c r="P807" s="35">
        <v>9</v>
      </c>
      <c r="Q807" s="35">
        <v>5.5</v>
      </c>
      <c r="R807" s="35">
        <f t="shared" si="25"/>
        <v>7.25</v>
      </c>
      <c r="S807" s="35"/>
      <c r="T807" s="35"/>
      <c r="U807" s="35"/>
      <c r="V807" s="35" t="e">
        <f>AVERAGE(Tableau2[[#This Row],[1ère composition/10]:[3è composition]])</f>
        <v>#DIV/0!</v>
      </c>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f>COUNTIF(Tableau2[[#This Row],[Séance 1]:[Séance 38]],"A")</f>
        <v>0</v>
      </c>
      <c r="BJ807" s="35"/>
    </row>
    <row r="808" spans="1:62" s="42" customFormat="1" hidden="1" x14ac:dyDescent="0.2">
      <c r="A808" s="44" t="s">
        <v>2383</v>
      </c>
      <c r="B808" s="48" t="s">
        <v>2530</v>
      </c>
      <c r="C808" s="44" t="s">
        <v>3799</v>
      </c>
      <c r="D808" s="48" t="s">
        <v>223</v>
      </c>
      <c r="E808" s="44" t="s">
        <v>2212</v>
      </c>
      <c r="F808" s="48">
        <v>2021</v>
      </c>
      <c r="G808" s="48">
        <v>58</v>
      </c>
      <c r="H808" s="48">
        <v>11</v>
      </c>
      <c r="I808" s="48" t="str">
        <f>Tableau2[[#This Row],[Annee d''inscription au programme]]&amp;"-"&amp;Tableau2[[#This Row],[Code d''ecole]]&amp;"-"&amp;Tableau2[[#This Row],[Numero HM de la fille]]</f>
        <v>2021-58-11</v>
      </c>
      <c r="J808" s="45" t="s">
        <v>2055</v>
      </c>
      <c r="K808" s="44" t="s">
        <v>593</v>
      </c>
      <c r="L808" s="35" t="s">
        <v>698</v>
      </c>
      <c r="M808" s="35">
        <v>14</v>
      </c>
      <c r="N808" s="35">
        <v>16.5</v>
      </c>
      <c r="O808" s="35">
        <f t="shared" si="24"/>
        <v>15.25</v>
      </c>
      <c r="P808" s="35">
        <v>17</v>
      </c>
      <c r="Q808" s="35">
        <v>19.5</v>
      </c>
      <c r="R808" s="35">
        <f t="shared" si="25"/>
        <v>18.25</v>
      </c>
      <c r="S808" s="35"/>
      <c r="T808" s="35"/>
      <c r="U808" s="35"/>
      <c r="V808" s="35" t="e">
        <f>AVERAGE(Tableau2[[#This Row],[1ère composition/10]:[3è composition]])</f>
        <v>#DIV/0!</v>
      </c>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f>COUNTIF(Tableau2[[#This Row],[Séance 1]:[Séance 38]],"A")</f>
        <v>0</v>
      </c>
      <c r="BJ808" s="35"/>
    </row>
    <row r="809" spans="1:62" s="42" customFormat="1" hidden="1" x14ac:dyDescent="0.2">
      <c r="A809" s="44" t="s">
        <v>2383</v>
      </c>
      <c r="B809" s="48" t="s">
        <v>2531</v>
      </c>
      <c r="C809" s="44" t="s">
        <v>3799</v>
      </c>
      <c r="D809" s="48" t="s">
        <v>221</v>
      </c>
      <c r="E809" s="44" t="s">
        <v>2212</v>
      </c>
      <c r="F809" s="48">
        <v>2021</v>
      </c>
      <c r="G809" s="48">
        <v>58</v>
      </c>
      <c r="H809" s="48">
        <v>12</v>
      </c>
      <c r="I809" s="48" t="str">
        <f>Tableau2[[#This Row],[Annee d''inscription au programme]]&amp;"-"&amp;Tableau2[[#This Row],[Code d''ecole]]&amp;"-"&amp;Tableau2[[#This Row],[Numero HM de la fille]]</f>
        <v>2021-58-12</v>
      </c>
      <c r="J809" s="45" t="s">
        <v>2056</v>
      </c>
      <c r="K809" s="44" t="s">
        <v>593</v>
      </c>
      <c r="L809" s="35" t="s">
        <v>698</v>
      </c>
      <c r="M809" s="35">
        <v>14</v>
      </c>
      <c r="N809" s="35">
        <v>5</v>
      </c>
      <c r="O809" s="35">
        <f t="shared" si="24"/>
        <v>9.5</v>
      </c>
      <c r="P809" s="35">
        <v>15</v>
      </c>
      <c r="Q809" s="35">
        <v>3.5</v>
      </c>
      <c r="R809" s="35">
        <f t="shared" si="25"/>
        <v>9.25</v>
      </c>
      <c r="S809" s="35"/>
      <c r="T809" s="35"/>
      <c r="U809" s="35"/>
      <c r="V809" s="35" t="e">
        <f>AVERAGE(Tableau2[[#This Row],[1ère composition/10]:[3è composition]])</f>
        <v>#DIV/0!</v>
      </c>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f>COUNTIF(Tableau2[[#This Row],[Séance 1]:[Séance 38]],"A")</f>
        <v>0</v>
      </c>
      <c r="BJ809" s="35"/>
    </row>
    <row r="810" spans="1:62" s="42" customFormat="1" hidden="1" x14ac:dyDescent="0.2">
      <c r="A810" s="44" t="s">
        <v>2383</v>
      </c>
      <c r="B810" s="44" t="s">
        <v>2398</v>
      </c>
      <c r="C810" s="44" t="s">
        <v>3799</v>
      </c>
      <c r="D810" s="44" t="s">
        <v>291</v>
      </c>
      <c r="E810" s="44" t="s">
        <v>2212</v>
      </c>
      <c r="F810" s="48">
        <v>2021</v>
      </c>
      <c r="G810" s="48">
        <v>58</v>
      </c>
      <c r="H810" s="48">
        <v>13</v>
      </c>
      <c r="I810" s="44" t="str">
        <f>Tableau2[[#This Row],[Annee d''inscription au programme]]&amp;"-"&amp;Tableau2[[#This Row],[Code d''ecole]]&amp;"-"&amp;Tableau2[[#This Row],[Numero HM de la fille]]</f>
        <v>2021-58-13</v>
      </c>
      <c r="J810" s="45" t="s">
        <v>2057</v>
      </c>
      <c r="K810" s="44" t="s">
        <v>593</v>
      </c>
      <c r="L810" s="35" t="s">
        <v>698</v>
      </c>
      <c r="M810" s="35">
        <v>9.5</v>
      </c>
      <c r="N810" s="35">
        <v>6</v>
      </c>
      <c r="O810" s="35">
        <f t="shared" si="24"/>
        <v>7.75</v>
      </c>
      <c r="P810" s="35">
        <v>13</v>
      </c>
      <c r="Q810" s="35">
        <v>14.5</v>
      </c>
      <c r="R810" s="35">
        <f t="shared" si="25"/>
        <v>13.75</v>
      </c>
      <c r="S810" s="35"/>
      <c r="T810" s="35"/>
      <c r="U810" s="35"/>
      <c r="V810" s="35" t="e">
        <f>AVERAGE(Tableau2[[#This Row],[1ère composition/10]:[3è composition]])</f>
        <v>#DIV/0!</v>
      </c>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f>COUNTIF(Tableau2[[#This Row],[Séance 1]:[Séance 38]],"A")</f>
        <v>0</v>
      </c>
      <c r="BJ810" s="35"/>
    </row>
    <row r="811" spans="1:62" s="42" customFormat="1" hidden="1" x14ac:dyDescent="0.2">
      <c r="A811" s="44" t="s">
        <v>2383</v>
      </c>
      <c r="B811" s="44" t="s">
        <v>2399</v>
      </c>
      <c r="C811" s="44" t="s">
        <v>3824</v>
      </c>
      <c r="D811" s="44" t="s">
        <v>2400</v>
      </c>
      <c r="E811" s="44" t="s">
        <v>2212</v>
      </c>
      <c r="F811" s="48">
        <v>2021</v>
      </c>
      <c r="G811" s="48">
        <v>58</v>
      </c>
      <c r="H811" s="48">
        <v>14</v>
      </c>
      <c r="I811" s="44" t="str">
        <f>Tableau2[[#This Row],[Annee d''inscription au programme]]&amp;"-"&amp;Tableau2[[#This Row],[Code d''ecole]]&amp;"-"&amp;Tableau2[[#This Row],[Numero HM de la fille]]</f>
        <v>2021-58-14</v>
      </c>
      <c r="J811" s="45" t="s">
        <v>2058</v>
      </c>
      <c r="K811" s="44" t="s">
        <v>374</v>
      </c>
      <c r="L811" s="35" t="s">
        <v>3529</v>
      </c>
      <c r="M811" s="35">
        <v>11</v>
      </c>
      <c r="N811" s="35">
        <v>3</v>
      </c>
      <c r="O811" s="35">
        <f t="shared" si="24"/>
        <v>7</v>
      </c>
      <c r="P811" s="35">
        <v>16</v>
      </c>
      <c r="Q811" s="35">
        <v>13</v>
      </c>
      <c r="R811" s="35">
        <f t="shared" si="25"/>
        <v>14.5</v>
      </c>
      <c r="S811" s="35"/>
      <c r="T811" s="35"/>
      <c r="U811" s="35"/>
      <c r="V811" s="35" t="e">
        <f>AVERAGE(Tableau2[[#This Row],[1ère composition/10]:[3è composition]])</f>
        <v>#DIV/0!</v>
      </c>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f>COUNTIF(Tableau2[[#This Row],[Séance 1]:[Séance 38]],"A")</f>
        <v>0</v>
      </c>
      <c r="BJ811" s="35"/>
    </row>
    <row r="812" spans="1:62" s="42" customFormat="1" hidden="1" x14ac:dyDescent="0.2">
      <c r="A812" s="44" t="s">
        <v>2383</v>
      </c>
      <c r="B812" s="44" t="s">
        <v>2401</v>
      </c>
      <c r="C812" s="44" t="s">
        <v>3823</v>
      </c>
      <c r="D812" s="44" t="s">
        <v>1195</v>
      </c>
      <c r="E812" s="44" t="s">
        <v>2212</v>
      </c>
      <c r="F812" s="48">
        <v>2021</v>
      </c>
      <c r="G812" s="48">
        <v>58</v>
      </c>
      <c r="H812" s="48">
        <v>15</v>
      </c>
      <c r="I812" s="44" t="str">
        <f>Tableau2[[#This Row],[Annee d''inscription au programme]]&amp;"-"&amp;Tableau2[[#This Row],[Code d''ecole]]&amp;"-"&amp;Tableau2[[#This Row],[Numero HM de la fille]]</f>
        <v>2021-58-15</v>
      </c>
      <c r="J812" s="45" t="s">
        <v>2059</v>
      </c>
      <c r="K812" s="44" t="s">
        <v>593</v>
      </c>
      <c r="L812" s="35" t="s">
        <v>698</v>
      </c>
      <c r="M812" s="35">
        <v>0</v>
      </c>
      <c r="N812" s="35">
        <v>0</v>
      </c>
      <c r="O812" s="35">
        <f t="shared" si="24"/>
        <v>0</v>
      </c>
      <c r="P812" s="35"/>
      <c r="Q812" s="35"/>
      <c r="R812" s="35">
        <f t="shared" si="25"/>
        <v>0</v>
      </c>
      <c r="S812" s="35"/>
      <c r="T812" s="35"/>
      <c r="U812" s="35"/>
      <c r="V812" s="35" t="e">
        <f>AVERAGE(Tableau2[[#This Row],[1ère composition/10]:[3è composition]])</f>
        <v>#DIV/0!</v>
      </c>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f>COUNTIF(Tableau2[[#This Row],[Séance 1]:[Séance 38]],"A")</f>
        <v>0</v>
      </c>
      <c r="BJ812" s="35"/>
    </row>
    <row r="813" spans="1:62" s="42" customFormat="1" hidden="1" x14ac:dyDescent="0.2">
      <c r="A813" s="44" t="s">
        <v>2383</v>
      </c>
      <c r="B813" s="44" t="s">
        <v>2402</v>
      </c>
      <c r="C813" s="44" t="s">
        <v>3822</v>
      </c>
      <c r="D813" s="44" t="s">
        <v>2403</v>
      </c>
      <c r="E813" s="44" t="s">
        <v>2212</v>
      </c>
      <c r="F813" s="48">
        <v>2021</v>
      </c>
      <c r="G813" s="48">
        <v>58</v>
      </c>
      <c r="H813" s="48">
        <v>16</v>
      </c>
      <c r="I813" s="44" t="str">
        <f>Tableau2[[#This Row],[Annee d''inscription au programme]]&amp;"-"&amp;Tableau2[[#This Row],[Code d''ecole]]&amp;"-"&amp;Tableau2[[#This Row],[Numero HM de la fille]]</f>
        <v>2021-58-16</v>
      </c>
      <c r="J813" s="45" t="s">
        <v>2060</v>
      </c>
      <c r="K813" s="44" t="s">
        <v>374</v>
      </c>
      <c r="L813" s="35" t="s">
        <v>3529</v>
      </c>
      <c r="M813" s="35">
        <v>5</v>
      </c>
      <c r="N813" s="35">
        <v>4</v>
      </c>
      <c r="O813" s="35">
        <f t="shared" si="24"/>
        <v>4.5</v>
      </c>
      <c r="P813" s="35">
        <v>10.5</v>
      </c>
      <c r="Q813" s="35">
        <v>10</v>
      </c>
      <c r="R813" s="35">
        <f t="shared" si="25"/>
        <v>10.25</v>
      </c>
      <c r="S813" s="35"/>
      <c r="T813" s="35"/>
      <c r="U813" s="35"/>
      <c r="V813" s="35" t="e">
        <f>AVERAGE(Tableau2[[#This Row],[1ère composition/10]:[3è composition]])</f>
        <v>#DIV/0!</v>
      </c>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f>COUNTIF(Tableau2[[#This Row],[Séance 1]:[Séance 38]],"A")</f>
        <v>0</v>
      </c>
      <c r="BJ813" s="35"/>
    </row>
    <row r="814" spans="1:62" s="42" customFormat="1" hidden="1" x14ac:dyDescent="0.2">
      <c r="A814" s="44" t="s">
        <v>2383</v>
      </c>
      <c r="B814" s="44" t="s">
        <v>2404</v>
      </c>
      <c r="C814" s="44" t="s">
        <v>3802</v>
      </c>
      <c r="D814" s="44" t="s">
        <v>2405</v>
      </c>
      <c r="E814" s="44" t="s">
        <v>2212</v>
      </c>
      <c r="F814" s="48">
        <v>2021</v>
      </c>
      <c r="G814" s="48">
        <v>58</v>
      </c>
      <c r="H814" s="48">
        <v>17</v>
      </c>
      <c r="I814" s="44" t="str">
        <f>Tableau2[[#This Row],[Annee d''inscription au programme]]&amp;"-"&amp;Tableau2[[#This Row],[Code d''ecole]]&amp;"-"&amp;Tableau2[[#This Row],[Numero HM de la fille]]</f>
        <v>2021-58-17</v>
      </c>
      <c r="J814" s="45" t="s">
        <v>2061</v>
      </c>
      <c r="K814" s="44" t="s">
        <v>593</v>
      </c>
      <c r="L814" s="35" t="s">
        <v>698</v>
      </c>
      <c r="M814" s="35">
        <v>8.5</v>
      </c>
      <c r="N814" s="35">
        <v>13.5</v>
      </c>
      <c r="O814" s="35">
        <f t="shared" si="24"/>
        <v>11</v>
      </c>
      <c r="P814" s="35">
        <v>14</v>
      </c>
      <c r="Q814" s="35">
        <v>19</v>
      </c>
      <c r="R814" s="35">
        <f t="shared" si="25"/>
        <v>16.5</v>
      </c>
      <c r="S814" s="35"/>
      <c r="T814" s="35"/>
      <c r="U814" s="35"/>
      <c r="V814" s="35" t="e">
        <f>AVERAGE(Tableau2[[#This Row],[1ère composition/10]:[3è composition]])</f>
        <v>#DIV/0!</v>
      </c>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f>COUNTIF(Tableau2[[#This Row],[Séance 1]:[Séance 38]],"A")</f>
        <v>0</v>
      </c>
      <c r="BJ814" s="35"/>
    </row>
    <row r="815" spans="1:62" s="42" customFormat="1" hidden="1" x14ac:dyDescent="0.2">
      <c r="A815" s="44" t="s">
        <v>2383</v>
      </c>
      <c r="B815" s="48" t="s">
        <v>2529</v>
      </c>
      <c r="C815" s="44" t="s">
        <v>3802</v>
      </c>
      <c r="D815" s="48" t="s">
        <v>235</v>
      </c>
      <c r="E815" s="44" t="s">
        <v>2212</v>
      </c>
      <c r="F815" s="48">
        <v>2021</v>
      </c>
      <c r="G815" s="48">
        <v>58</v>
      </c>
      <c r="H815" s="48">
        <v>18</v>
      </c>
      <c r="I815" s="48" t="str">
        <f>Tableau2[[#This Row],[Annee d''inscription au programme]]&amp;"-"&amp;Tableau2[[#This Row],[Code d''ecole]]&amp;"-"&amp;Tableau2[[#This Row],[Numero HM de la fille]]</f>
        <v>2021-58-18</v>
      </c>
      <c r="J815" s="45" t="s">
        <v>2062</v>
      </c>
      <c r="K815" s="44" t="s">
        <v>593</v>
      </c>
      <c r="L815" s="35" t="s">
        <v>698</v>
      </c>
      <c r="M815" s="35">
        <v>11</v>
      </c>
      <c r="N815" s="35">
        <v>18</v>
      </c>
      <c r="O815" s="35">
        <f t="shared" si="24"/>
        <v>14.5</v>
      </c>
      <c r="P815" s="35">
        <v>15.5</v>
      </c>
      <c r="Q815" s="35">
        <v>19.75</v>
      </c>
      <c r="R815" s="35">
        <f t="shared" si="25"/>
        <v>17.625</v>
      </c>
      <c r="S815" s="35"/>
      <c r="T815" s="35"/>
      <c r="U815" s="35"/>
      <c r="V815" s="35" t="e">
        <f>AVERAGE(Tableau2[[#This Row],[1ère composition/10]:[3è composition]])</f>
        <v>#DIV/0!</v>
      </c>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f>COUNTIF(Tableau2[[#This Row],[Séance 1]:[Séance 38]],"A")</f>
        <v>0</v>
      </c>
      <c r="BJ815" s="35"/>
    </row>
    <row r="816" spans="1:62" s="42" customFormat="1" hidden="1" x14ac:dyDescent="0.2">
      <c r="A816" s="44" t="s">
        <v>2383</v>
      </c>
      <c r="B816" s="44" t="s">
        <v>2406</v>
      </c>
      <c r="C816" s="44" t="s">
        <v>2407</v>
      </c>
      <c r="D816" s="44" t="s">
        <v>270</v>
      </c>
      <c r="E816" s="44" t="s">
        <v>2212</v>
      </c>
      <c r="F816" s="48">
        <v>2021</v>
      </c>
      <c r="G816" s="48">
        <v>58</v>
      </c>
      <c r="H816" s="48">
        <v>19</v>
      </c>
      <c r="I816" s="44" t="str">
        <f>Tableau2[[#This Row],[Annee d''inscription au programme]]&amp;"-"&amp;Tableau2[[#This Row],[Code d''ecole]]&amp;"-"&amp;Tableau2[[#This Row],[Numero HM de la fille]]</f>
        <v>2021-58-19</v>
      </c>
      <c r="J816" s="45" t="s">
        <v>2063</v>
      </c>
      <c r="K816" s="44" t="s">
        <v>593</v>
      </c>
      <c r="L816" s="35" t="s">
        <v>698</v>
      </c>
      <c r="M816" s="35">
        <v>14.5</v>
      </c>
      <c r="N816" s="35">
        <v>16.5</v>
      </c>
      <c r="O816" s="35">
        <f t="shared" si="24"/>
        <v>15.5</v>
      </c>
      <c r="P816" s="35">
        <v>17</v>
      </c>
      <c r="Q816" s="35">
        <v>19</v>
      </c>
      <c r="R816" s="35">
        <f t="shared" si="25"/>
        <v>18</v>
      </c>
      <c r="S816" s="35"/>
      <c r="T816" s="35"/>
      <c r="U816" s="35"/>
      <c r="V816" s="35" t="e">
        <f>AVERAGE(Tableau2[[#This Row],[1ère composition/10]:[3è composition]])</f>
        <v>#DIV/0!</v>
      </c>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f>COUNTIF(Tableau2[[#This Row],[Séance 1]:[Séance 38]],"A")</f>
        <v>0</v>
      </c>
      <c r="BJ816" s="35"/>
    </row>
    <row r="817" spans="1:62" s="42" customFormat="1" hidden="1" x14ac:dyDescent="0.2">
      <c r="A817" s="44" t="s">
        <v>2383</v>
      </c>
      <c r="B817" s="44" t="s">
        <v>2408</v>
      </c>
      <c r="C817" s="44" t="s">
        <v>3820</v>
      </c>
      <c r="D817" s="44" t="s">
        <v>237</v>
      </c>
      <c r="E817" s="44" t="s">
        <v>2212</v>
      </c>
      <c r="F817" s="48">
        <v>2021</v>
      </c>
      <c r="G817" s="48">
        <v>58</v>
      </c>
      <c r="H817" s="48">
        <v>20</v>
      </c>
      <c r="I817" s="44" t="str">
        <f>Tableau2[[#This Row],[Annee d''inscription au programme]]&amp;"-"&amp;Tableau2[[#This Row],[Code d''ecole]]&amp;"-"&amp;Tableau2[[#This Row],[Numero HM de la fille]]</f>
        <v>2021-58-20</v>
      </c>
      <c r="J817" s="45" t="s">
        <v>2064</v>
      </c>
      <c r="K817" s="44" t="s">
        <v>593</v>
      </c>
      <c r="L817" s="35" t="s">
        <v>698</v>
      </c>
      <c r="M817" s="35">
        <v>4</v>
      </c>
      <c r="N817" s="35">
        <v>6</v>
      </c>
      <c r="O817" s="35">
        <f t="shared" si="24"/>
        <v>5</v>
      </c>
      <c r="P817" s="35">
        <v>10</v>
      </c>
      <c r="Q817" s="35">
        <v>13</v>
      </c>
      <c r="R817" s="35">
        <f t="shared" si="25"/>
        <v>11.5</v>
      </c>
      <c r="S817" s="35"/>
      <c r="T817" s="35"/>
      <c r="U817" s="35"/>
      <c r="V817" s="35" t="e">
        <f>AVERAGE(Tableau2[[#This Row],[1ère composition/10]:[3è composition]])</f>
        <v>#DIV/0!</v>
      </c>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f>COUNTIF(Tableau2[[#This Row],[Séance 1]:[Séance 38]],"A")</f>
        <v>0</v>
      </c>
      <c r="BJ817" s="35"/>
    </row>
    <row r="818" spans="1:62" s="42" customFormat="1" hidden="1" x14ac:dyDescent="0.2">
      <c r="A818" s="44" t="s">
        <v>2383</v>
      </c>
      <c r="B818" s="44" t="s">
        <v>2409</v>
      </c>
      <c r="C818" s="44" t="s">
        <v>3821</v>
      </c>
      <c r="D818" s="44" t="s">
        <v>2410</v>
      </c>
      <c r="E818" s="44" t="s">
        <v>2212</v>
      </c>
      <c r="F818" s="48">
        <v>2021</v>
      </c>
      <c r="G818" s="48">
        <v>58</v>
      </c>
      <c r="H818" s="48">
        <v>21</v>
      </c>
      <c r="I818" s="44" t="str">
        <f>Tableau2[[#This Row],[Annee d''inscription au programme]]&amp;"-"&amp;Tableau2[[#This Row],[Code d''ecole]]&amp;"-"&amp;Tableau2[[#This Row],[Numero HM de la fille]]</f>
        <v>2021-58-21</v>
      </c>
      <c r="J818" s="45" t="s">
        <v>2065</v>
      </c>
      <c r="K818" s="44" t="s">
        <v>374</v>
      </c>
      <c r="L818" s="35" t="s">
        <v>3529</v>
      </c>
      <c r="M818" s="35">
        <v>6.5</v>
      </c>
      <c r="N818" s="35">
        <v>8</v>
      </c>
      <c r="O818" s="35">
        <f t="shared" si="24"/>
        <v>7.25</v>
      </c>
      <c r="P818" s="35"/>
      <c r="Q818" s="35"/>
      <c r="R818" s="35">
        <f t="shared" si="25"/>
        <v>0</v>
      </c>
      <c r="S818" s="35"/>
      <c r="T818" s="35"/>
      <c r="U818" s="35"/>
      <c r="V818" s="35" t="e">
        <f>AVERAGE(Tableau2[[#This Row],[1ère composition/10]:[3è composition]])</f>
        <v>#DIV/0!</v>
      </c>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f>COUNTIF(Tableau2[[#This Row],[Séance 1]:[Séance 38]],"A")</f>
        <v>0</v>
      </c>
      <c r="BJ818" s="35"/>
    </row>
    <row r="819" spans="1:62" s="42" customFormat="1" hidden="1" x14ac:dyDescent="0.2">
      <c r="A819" s="44" t="s">
        <v>2383</v>
      </c>
      <c r="B819" s="44" t="s">
        <v>2411</v>
      </c>
      <c r="C819" s="44" t="s">
        <v>3819</v>
      </c>
      <c r="D819" s="44" t="s">
        <v>2412</v>
      </c>
      <c r="E819" s="44" t="s">
        <v>2212</v>
      </c>
      <c r="F819" s="48">
        <v>2021</v>
      </c>
      <c r="G819" s="48">
        <v>58</v>
      </c>
      <c r="H819" s="48">
        <v>22</v>
      </c>
      <c r="I819" s="44" t="str">
        <f>Tableau2[[#This Row],[Annee d''inscription au programme]]&amp;"-"&amp;Tableau2[[#This Row],[Code d''ecole]]&amp;"-"&amp;Tableau2[[#This Row],[Numero HM de la fille]]</f>
        <v>2021-58-22</v>
      </c>
      <c r="J819" s="45" t="s">
        <v>2066</v>
      </c>
      <c r="K819" s="44" t="s">
        <v>593</v>
      </c>
      <c r="L819" s="35" t="s">
        <v>698</v>
      </c>
      <c r="M819" s="35">
        <v>10</v>
      </c>
      <c r="N819" s="35">
        <v>18</v>
      </c>
      <c r="O819" s="35">
        <f t="shared" si="24"/>
        <v>14</v>
      </c>
      <c r="P819" s="35">
        <v>11.5</v>
      </c>
      <c r="Q819" s="35">
        <v>20</v>
      </c>
      <c r="R819" s="35">
        <f t="shared" si="25"/>
        <v>15.75</v>
      </c>
      <c r="S819" s="35"/>
      <c r="T819" s="35"/>
      <c r="U819" s="35"/>
      <c r="V819" s="35" t="e">
        <f>AVERAGE(Tableau2[[#This Row],[1ère composition/10]:[3è composition]])</f>
        <v>#DIV/0!</v>
      </c>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f>COUNTIF(Tableau2[[#This Row],[Séance 1]:[Séance 38]],"A")</f>
        <v>0</v>
      </c>
      <c r="BJ819" s="35"/>
    </row>
    <row r="820" spans="1:62" s="42" customFormat="1" hidden="1" x14ac:dyDescent="0.2">
      <c r="A820" s="44" t="s">
        <v>2383</v>
      </c>
      <c r="B820" s="44" t="s">
        <v>2413</v>
      </c>
      <c r="C820" s="44" t="s">
        <v>3802</v>
      </c>
      <c r="D820" s="44" t="s">
        <v>2414</v>
      </c>
      <c r="E820" s="44" t="s">
        <v>2212</v>
      </c>
      <c r="F820" s="48">
        <v>2021</v>
      </c>
      <c r="G820" s="48">
        <v>58</v>
      </c>
      <c r="H820" s="48">
        <v>23</v>
      </c>
      <c r="I820" s="44" t="str">
        <f>Tableau2[[#This Row],[Annee d''inscription au programme]]&amp;"-"&amp;Tableau2[[#This Row],[Code d''ecole]]&amp;"-"&amp;Tableau2[[#This Row],[Numero HM de la fille]]</f>
        <v>2021-58-23</v>
      </c>
      <c r="J820" s="45" t="s">
        <v>2067</v>
      </c>
      <c r="K820" s="44" t="s">
        <v>593</v>
      </c>
      <c r="L820" s="35" t="s">
        <v>698</v>
      </c>
      <c r="M820" s="35">
        <v>4.5</v>
      </c>
      <c r="N820" s="35">
        <v>9</v>
      </c>
      <c r="O820" s="35">
        <f t="shared" si="24"/>
        <v>6.75</v>
      </c>
      <c r="P820" s="35">
        <v>15</v>
      </c>
      <c r="Q820" s="35">
        <v>11</v>
      </c>
      <c r="R820" s="35">
        <f t="shared" si="25"/>
        <v>13</v>
      </c>
      <c r="S820" s="35"/>
      <c r="T820" s="35"/>
      <c r="U820" s="35"/>
      <c r="V820" s="35" t="e">
        <f>AVERAGE(Tableau2[[#This Row],[1ère composition/10]:[3è composition]])</f>
        <v>#DIV/0!</v>
      </c>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f>COUNTIF(Tableau2[[#This Row],[Séance 1]:[Séance 38]],"A")</f>
        <v>0</v>
      </c>
      <c r="BJ820" s="35"/>
    </row>
    <row r="821" spans="1:62" s="42" customFormat="1" hidden="1" x14ac:dyDescent="0.2">
      <c r="A821" s="44" t="s">
        <v>2383</v>
      </c>
      <c r="B821" s="44" t="s">
        <v>2415</v>
      </c>
      <c r="C821" s="44" t="s">
        <v>3802</v>
      </c>
      <c r="D821" s="44" t="s">
        <v>2416</v>
      </c>
      <c r="E821" s="44" t="s">
        <v>2212</v>
      </c>
      <c r="F821" s="48">
        <v>2021</v>
      </c>
      <c r="G821" s="48">
        <v>58</v>
      </c>
      <c r="H821" s="48">
        <v>24</v>
      </c>
      <c r="I821" s="44" t="str">
        <f>Tableau2[[#This Row],[Annee d''inscription au programme]]&amp;"-"&amp;Tableau2[[#This Row],[Code d''ecole]]&amp;"-"&amp;Tableau2[[#This Row],[Numero HM de la fille]]</f>
        <v>2021-58-24</v>
      </c>
      <c r="J821" s="45" t="s">
        <v>2068</v>
      </c>
      <c r="K821" s="44" t="s">
        <v>593</v>
      </c>
      <c r="L821" s="35" t="s">
        <v>698</v>
      </c>
      <c r="M821" s="35">
        <v>8</v>
      </c>
      <c r="N821" s="35">
        <v>3</v>
      </c>
      <c r="O821" s="35">
        <f t="shared" si="24"/>
        <v>5.5</v>
      </c>
      <c r="P821" s="35">
        <v>12.5</v>
      </c>
      <c r="Q821" s="35">
        <v>15.5</v>
      </c>
      <c r="R821" s="35">
        <f t="shared" si="25"/>
        <v>14</v>
      </c>
      <c r="S821" s="35"/>
      <c r="T821" s="35"/>
      <c r="U821" s="35"/>
      <c r="V821" s="35" t="e">
        <f>AVERAGE(Tableau2[[#This Row],[1ère composition/10]:[3è composition]])</f>
        <v>#DIV/0!</v>
      </c>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f>COUNTIF(Tableau2[[#This Row],[Séance 1]:[Séance 38]],"A")</f>
        <v>0</v>
      </c>
      <c r="BJ821" s="35"/>
    </row>
    <row r="822" spans="1:62" s="42" customFormat="1" hidden="1" x14ac:dyDescent="0.2">
      <c r="A822" s="44" t="s">
        <v>2383</v>
      </c>
      <c r="B822" s="44" t="s">
        <v>2417</v>
      </c>
      <c r="C822" s="44" t="s">
        <v>3818</v>
      </c>
      <c r="D822" s="44" t="s">
        <v>2418</v>
      </c>
      <c r="E822" s="44" t="s">
        <v>2212</v>
      </c>
      <c r="F822" s="48">
        <v>2021</v>
      </c>
      <c r="G822" s="48">
        <v>58</v>
      </c>
      <c r="H822" s="48">
        <v>25</v>
      </c>
      <c r="I822" s="44" t="str">
        <f>Tableau2[[#This Row],[Annee d''inscription au programme]]&amp;"-"&amp;Tableau2[[#This Row],[Code d''ecole]]&amp;"-"&amp;Tableau2[[#This Row],[Numero HM de la fille]]</f>
        <v>2021-58-25</v>
      </c>
      <c r="J822" s="45" t="s">
        <v>2069</v>
      </c>
      <c r="K822" s="44" t="s">
        <v>593</v>
      </c>
      <c r="L822" s="35" t="s">
        <v>698</v>
      </c>
      <c r="M822" s="35">
        <v>7.5</v>
      </c>
      <c r="N822" s="35">
        <v>4</v>
      </c>
      <c r="O822" s="35">
        <f t="shared" si="24"/>
        <v>5.75</v>
      </c>
      <c r="P822" s="35">
        <v>10.5</v>
      </c>
      <c r="Q822" s="35">
        <v>9</v>
      </c>
      <c r="R822" s="35">
        <f t="shared" si="25"/>
        <v>9.75</v>
      </c>
      <c r="S822" s="35"/>
      <c r="T822" s="35"/>
      <c r="U822" s="35"/>
      <c r="V822" s="35" t="e">
        <f>AVERAGE(Tableau2[[#This Row],[1ère composition/10]:[3è composition]])</f>
        <v>#DIV/0!</v>
      </c>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f>COUNTIF(Tableau2[[#This Row],[Séance 1]:[Séance 38]],"A")</f>
        <v>0</v>
      </c>
      <c r="BJ822" s="35"/>
    </row>
    <row r="823" spans="1:62" s="42" customFormat="1" hidden="1" x14ac:dyDescent="0.2">
      <c r="A823" s="44" t="s">
        <v>2383</v>
      </c>
      <c r="B823" s="44" t="s">
        <v>2419</v>
      </c>
      <c r="C823" s="44" t="s">
        <v>3817</v>
      </c>
      <c r="D823" s="44" t="s">
        <v>367</v>
      </c>
      <c r="E823" s="44" t="s">
        <v>2212</v>
      </c>
      <c r="F823" s="48">
        <v>2021</v>
      </c>
      <c r="G823" s="48">
        <v>58</v>
      </c>
      <c r="H823" s="48">
        <v>26</v>
      </c>
      <c r="I823" s="44" t="str">
        <f>Tableau2[[#This Row],[Annee d''inscription au programme]]&amp;"-"&amp;Tableau2[[#This Row],[Code d''ecole]]&amp;"-"&amp;Tableau2[[#This Row],[Numero HM de la fille]]</f>
        <v>2021-58-26</v>
      </c>
      <c r="J823" s="45" t="s">
        <v>2070</v>
      </c>
      <c r="K823" s="44" t="s">
        <v>593</v>
      </c>
      <c r="L823" s="35" t="s">
        <v>698</v>
      </c>
      <c r="M823" s="35">
        <v>10</v>
      </c>
      <c r="N823" s="35">
        <v>16</v>
      </c>
      <c r="O823" s="35">
        <f t="shared" si="24"/>
        <v>13</v>
      </c>
      <c r="P823" s="35">
        <v>16.5</v>
      </c>
      <c r="Q823" s="35">
        <v>20</v>
      </c>
      <c r="R823" s="35">
        <f t="shared" si="25"/>
        <v>18.25</v>
      </c>
      <c r="S823" s="35"/>
      <c r="T823" s="35"/>
      <c r="U823" s="35"/>
      <c r="V823" s="35" t="e">
        <f>AVERAGE(Tableau2[[#This Row],[1ère composition/10]:[3è composition]])</f>
        <v>#DIV/0!</v>
      </c>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f>COUNTIF(Tableau2[[#This Row],[Séance 1]:[Séance 38]],"A")</f>
        <v>0</v>
      </c>
      <c r="BJ823" s="35"/>
    </row>
    <row r="824" spans="1:62" s="42" customFormat="1" hidden="1" x14ac:dyDescent="0.2">
      <c r="A824" s="44" t="s">
        <v>2383</v>
      </c>
      <c r="B824" s="44" t="s">
        <v>2420</v>
      </c>
      <c r="C824" s="44" t="s">
        <v>3816</v>
      </c>
      <c r="D824" s="44" t="s">
        <v>2421</v>
      </c>
      <c r="E824" s="44" t="s">
        <v>2212</v>
      </c>
      <c r="F824" s="48">
        <v>2021</v>
      </c>
      <c r="G824" s="48">
        <v>58</v>
      </c>
      <c r="H824" s="48">
        <v>27</v>
      </c>
      <c r="I824" s="44" t="str">
        <f>Tableau2[[#This Row],[Annee d''inscription au programme]]&amp;"-"&amp;Tableau2[[#This Row],[Code d''ecole]]&amp;"-"&amp;Tableau2[[#This Row],[Numero HM de la fille]]</f>
        <v>2021-58-27</v>
      </c>
      <c r="J824" s="45" t="s">
        <v>2071</v>
      </c>
      <c r="K824" s="44" t="s">
        <v>593</v>
      </c>
      <c r="L824" s="35" t="s">
        <v>698</v>
      </c>
      <c r="M824" s="35">
        <v>9</v>
      </c>
      <c r="N824" s="35">
        <v>1</v>
      </c>
      <c r="O824" s="35">
        <f t="shared" si="24"/>
        <v>5</v>
      </c>
      <c r="P824" s="35">
        <v>11.5</v>
      </c>
      <c r="Q824" s="35">
        <v>3.75</v>
      </c>
      <c r="R824" s="35">
        <f t="shared" si="25"/>
        <v>7.625</v>
      </c>
      <c r="S824" s="35"/>
      <c r="T824" s="35"/>
      <c r="U824" s="35"/>
      <c r="V824" s="35" t="e">
        <f>AVERAGE(Tableau2[[#This Row],[1ère composition/10]:[3è composition]])</f>
        <v>#DIV/0!</v>
      </c>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f>COUNTIF(Tableau2[[#This Row],[Séance 1]:[Séance 38]],"A")</f>
        <v>0</v>
      </c>
      <c r="BJ824" s="35"/>
    </row>
    <row r="825" spans="1:62" s="42" customFormat="1" hidden="1" x14ac:dyDescent="0.2">
      <c r="A825" s="44" t="s">
        <v>2383</v>
      </c>
      <c r="B825" s="44" t="s">
        <v>2422</v>
      </c>
      <c r="C825" s="44" t="s">
        <v>3799</v>
      </c>
      <c r="D825" s="44" t="s">
        <v>221</v>
      </c>
      <c r="E825" s="44" t="s">
        <v>2212</v>
      </c>
      <c r="F825" s="48">
        <v>2021</v>
      </c>
      <c r="G825" s="48">
        <v>58</v>
      </c>
      <c r="H825" s="48">
        <v>28</v>
      </c>
      <c r="I825" s="44" t="str">
        <f>Tableau2[[#This Row],[Annee d''inscription au programme]]&amp;"-"&amp;Tableau2[[#This Row],[Code d''ecole]]&amp;"-"&amp;Tableau2[[#This Row],[Numero HM de la fille]]</f>
        <v>2021-58-28</v>
      </c>
      <c r="J825" s="45" t="s">
        <v>2072</v>
      </c>
      <c r="K825" s="44" t="s">
        <v>593</v>
      </c>
      <c r="L825" s="35" t="s">
        <v>698</v>
      </c>
      <c r="M825" s="35">
        <v>13</v>
      </c>
      <c r="N825" s="35">
        <v>18</v>
      </c>
      <c r="O825" s="35">
        <f t="shared" si="24"/>
        <v>15.5</v>
      </c>
      <c r="P825" s="35">
        <v>16.5</v>
      </c>
      <c r="Q825" s="35">
        <v>20</v>
      </c>
      <c r="R825" s="35">
        <f t="shared" si="25"/>
        <v>18.25</v>
      </c>
      <c r="S825" s="35"/>
      <c r="T825" s="35"/>
      <c r="U825" s="35"/>
      <c r="V825" s="35" t="e">
        <f>AVERAGE(Tableau2[[#This Row],[1ère composition/10]:[3è composition]])</f>
        <v>#DIV/0!</v>
      </c>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f>COUNTIF(Tableau2[[#This Row],[Séance 1]:[Séance 38]],"A")</f>
        <v>0</v>
      </c>
      <c r="BJ825" s="35"/>
    </row>
    <row r="826" spans="1:62" s="42" customFormat="1" hidden="1" x14ac:dyDescent="0.2">
      <c r="A826" s="44" t="s">
        <v>2383</v>
      </c>
      <c r="B826" s="44" t="s">
        <v>2423</v>
      </c>
      <c r="C826" s="44" t="s">
        <v>3815</v>
      </c>
      <c r="D826" s="44" t="s">
        <v>2424</v>
      </c>
      <c r="E826" s="44" t="s">
        <v>2212</v>
      </c>
      <c r="F826" s="48">
        <v>2021</v>
      </c>
      <c r="G826" s="48">
        <v>58</v>
      </c>
      <c r="H826" s="48">
        <v>29</v>
      </c>
      <c r="I826" s="44" t="str">
        <f>Tableau2[[#This Row],[Annee d''inscription au programme]]&amp;"-"&amp;Tableau2[[#This Row],[Code d''ecole]]&amp;"-"&amp;Tableau2[[#This Row],[Numero HM de la fille]]</f>
        <v>2021-58-29</v>
      </c>
      <c r="J826" s="45" t="s">
        <v>2073</v>
      </c>
      <c r="K826" s="44" t="s">
        <v>593</v>
      </c>
      <c r="L826" s="35" t="s">
        <v>698</v>
      </c>
      <c r="M826" s="35">
        <v>12</v>
      </c>
      <c r="N826" s="35">
        <v>8</v>
      </c>
      <c r="O826" s="35">
        <f t="shared" si="24"/>
        <v>10</v>
      </c>
      <c r="P826" s="35">
        <v>12</v>
      </c>
      <c r="Q826" s="35">
        <v>9.5</v>
      </c>
      <c r="R826" s="35">
        <f t="shared" si="25"/>
        <v>10.75</v>
      </c>
      <c r="S826" s="35"/>
      <c r="T826" s="35"/>
      <c r="U826" s="35"/>
      <c r="V826" s="35" t="e">
        <f>AVERAGE(Tableau2[[#This Row],[1ère composition/10]:[3è composition]])</f>
        <v>#DIV/0!</v>
      </c>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f>COUNTIF(Tableau2[[#This Row],[Séance 1]:[Séance 38]],"A")</f>
        <v>0</v>
      </c>
      <c r="BJ826" s="35"/>
    </row>
    <row r="827" spans="1:62" s="42" customFormat="1" hidden="1" x14ac:dyDescent="0.2">
      <c r="A827" s="44" t="s">
        <v>2383</v>
      </c>
      <c r="B827" s="44" t="s">
        <v>2425</v>
      </c>
      <c r="C827" s="44" t="s">
        <v>3799</v>
      </c>
      <c r="D827" s="44" t="s">
        <v>270</v>
      </c>
      <c r="E827" s="44" t="s">
        <v>2212</v>
      </c>
      <c r="F827" s="48">
        <v>2021</v>
      </c>
      <c r="G827" s="48">
        <v>58</v>
      </c>
      <c r="H827" s="48">
        <v>30</v>
      </c>
      <c r="I827" s="44" t="str">
        <f>Tableau2[[#This Row],[Annee d''inscription au programme]]&amp;"-"&amp;Tableau2[[#This Row],[Code d''ecole]]&amp;"-"&amp;Tableau2[[#This Row],[Numero HM de la fille]]</f>
        <v>2021-58-30</v>
      </c>
      <c r="J827" s="45" t="s">
        <v>2074</v>
      </c>
      <c r="K827" s="44" t="s">
        <v>593</v>
      </c>
      <c r="L827" s="35" t="s">
        <v>698</v>
      </c>
      <c r="M827" s="35">
        <v>9</v>
      </c>
      <c r="N827" s="35">
        <v>6.5</v>
      </c>
      <c r="O827" s="35">
        <f t="shared" si="24"/>
        <v>7.75</v>
      </c>
      <c r="P827" s="35">
        <v>10</v>
      </c>
      <c r="Q827" s="35">
        <v>7</v>
      </c>
      <c r="R827" s="35">
        <f t="shared" si="25"/>
        <v>8.5</v>
      </c>
      <c r="S827" s="35"/>
      <c r="T827" s="35"/>
      <c r="U827" s="35"/>
      <c r="V827" s="35" t="e">
        <f>AVERAGE(Tableau2[[#This Row],[1ère composition/10]:[3è composition]])</f>
        <v>#DIV/0!</v>
      </c>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f>COUNTIF(Tableau2[[#This Row],[Séance 1]:[Séance 38]],"A")</f>
        <v>0</v>
      </c>
      <c r="BJ827" s="35"/>
    </row>
    <row r="828" spans="1:62" s="42" customFormat="1" hidden="1" x14ac:dyDescent="0.2">
      <c r="A828" s="44" t="s">
        <v>2383</v>
      </c>
      <c r="B828" s="48" t="s">
        <v>2527</v>
      </c>
      <c r="C828" s="44" t="s">
        <v>3799</v>
      </c>
      <c r="D828" s="48" t="s">
        <v>1256</v>
      </c>
      <c r="E828" s="44" t="s">
        <v>2212</v>
      </c>
      <c r="F828" s="48">
        <v>2021</v>
      </c>
      <c r="G828" s="48">
        <v>58</v>
      </c>
      <c r="H828" s="48">
        <v>31</v>
      </c>
      <c r="I828" s="48" t="str">
        <f>Tableau2[[#This Row],[Annee d''inscription au programme]]&amp;"-"&amp;Tableau2[[#This Row],[Code d''ecole]]&amp;"-"&amp;Tableau2[[#This Row],[Numero HM de la fille]]</f>
        <v>2021-58-31</v>
      </c>
      <c r="J828" s="45" t="s">
        <v>2075</v>
      </c>
      <c r="K828" s="44" t="s">
        <v>593</v>
      </c>
      <c r="L828" s="35" t="s">
        <v>698</v>
      </c>
      <c r="M828" s="35">
        <v>11</v>
      </c>
      <c r="N828" s="35">
        <v>12</v>
      </c>
      <c r="O828" s="35">
        <f t="shared" si="24"/>
        <v>11.5</v>
      </c>
      <c r="P828" s="35">
        <v>14.5</v>
      </c>
      <c r="Q828" s="35">
        <v>13.5</v>
      </c>
      <c r="R828" s="35">
        <f t="shared" si="25"/>
        <v>14</v>
      </c>
      <c r="S828" s="35"/>
      <c r="T828" s="35"/>
      <c r="U828" s="35"/>
      <c r="V828" s="35" t="e">
        <f>AVERAGE(Tableau2[[#This Row],[1ère composition/10]:[3è composition]])</f>
        <v>#DIV/0!</v>
      </c>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f>COUNTIF(Tableau2[[#This Row],[Séance 1]:[Séance 38]],"A")</f>
        <v>0</v>
      </c>
      <c r="BJ828" s="35"/>
    </row>
    <row r="829" spans="1:62" s="42" customFormat="1" hidden="1" x14ac:dyDescent="0.2">
      <c r="A829" s="44" t="s">
        <v>2383</v>
      </c>
      <c r="B829" s="44" t="s">
        <v>2426</v>
      </c>
      <c r="C829" s="59" t="s">
        <v>3814</v>
      </c>
      <c r="D829" s="44" t="s">
        <v>2427</v>
      </c>
      <c r="E829" s="44" t="s">
        <v>2212</v>
      </c>
      <c r="F829" s="48">
        <v>2021</v>
      </c>
      <c r="G829" s="48">
        <v>58</v>
      </c>
      <c r="H829" s="48">
        <v>32</v>
      </c>
      <c r="I829" s="44" t="str">
        <f>Tableau2[[#This Row],[Annee d''inscription au programme]]&amp;"-"&amp;Tableau2[[#This Row],[Code d''ecole]]&amp;"-"&amp;Tableau2[[#This Row],[Numero HM de la fille]]</f>
        <v>2021-58-32</v>
      </c>
      <c r="J829" s="45" t="s">
        <v>2076</v>
      </c>
      <c r="K829" s="44" t="s">
        <v>593</v>
      </c>
      <c r="L829" s="35" t="s">
        <v>698</v>
      </c>
      <c r="M829" s="35">
        <v>9</v>
      </c>
      <c r="N829" s="35">
        <v>1</v>
      </c>
      <c r="O829" s="35">
        <f t="shared" si="24"/>
        <v>5</v>
      </c>
      <c r="P829" s="35">
        <v>12</v>
      </c>
      <c r="Q829" s="35">
        <v>4</v>
      </c>
      <c r="R829" s="35">
        <f t="shared" si="25"/>
        <v>8</v>
      </c>
      <c r="S829" s="35"/>
      <c r="T829" s="35"/>
      <c r="U829" s="35"/>
      <c r="V829" s="35" t="e">
        <f>AVERAGE(Tableau2[[#This Row],[1ère composition/10]:[3è composition]])</f>
        <v>#DIV/0!</v>
      </c>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f>COUNTIF(Tableau2[[#This Row],[Séance 1]:[Séance 38]],"A")</f>
        <v>0</v>
      </c>
      <c r="BJ829" s="35"/>
    </row>
    <row r="830" spans="1:62" s="42" customFormat="1" hidden="1" x14ac:dyDescent="0.2">
      <c r="A830" s="44" t="s">
        <v>2383</v>
      </c>
      <c r="B830" s="44" t="s">
        <v>2428</v>
      </c>
      <c r="C830" s="44" t="s">
        <v>3806</v>
      </c>
      <c r="D830" s="44" t="s">
        <v>1230</v>
      </c>
      <c r="E830" s="44" t="s">
        <v>2212</v>
      </c>
      <c r="F830" s="48">
        <v>2021</v>
      </c>
      <c r="G830" s="48">
        <v>58</v>
      </c>
      <c r="H830" s="48">
        <v>33</v>
      </c>
      <c r="I830" s="44" t="str">
        <f>Tableau2[[#This Row],[Annee d''inscription au programme]]&amp;"-"&amp;Tableau2[[#This Row],[Code d''ecole]]&amp;"-"&amp;Tableau2[[#This Row],[Numero HM de la fille]]</f>
        <v>2021-58-33</v>
      </c>
      <c r="J830" s="45" t="s">
        <v>2077</v>
      </c>
      <c r="K830" s="44" t="s">
        <v>593</v>
      </c>
      <c r="L830" s="35" t="s">
        <v>698</v>
      </c>
      <c r="M830" s="35">
        <v>11</v>
      </c>
      <c r="N830" s="35">
        <v>8</v>
      </c>
      <c r="O830" s="35">
        <f t="shared" si="24"/>
        <v>9.5</v>
      </c>
      <c r="P830" s="35">
        <v>16.5</v>
      </c>
      <c r="Q830" s="35">
        <v>7.5</v>
      </c>
      <c r="R830" s="35">
        <f t="shared" si="25"/>
        <v>12</v>
      </c>
      <c r="S830" s="35"/>
      <c r="T830" s="35"/>
      <c r="U830" s="35"/>
      <c r="V830" s="35" t="e">
        <f>AVERAGE(Tableau2[[#This Row],[1ère composition/10]:[3è composition]])</f>
        <v>#DIV/0!</v>
      </c>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f>COUNTIF(Tableau2[[#This Row],[Séance 1]:[Séance 38]],"A")</f>
        <v>0</v>
      </c>
      <c r="BJ830" s="35"/>
    </row>
    <row r="831" spans="1:62" s="42" customFormat="1" hidden="1" x14ac:dyDescent="0.2">
      <c r="A831" s="44" t="s">
        <v>2383</v>
      </c>
      <c r="B831" s="44" t="s">
        <v>2429</v>
      </c>
      <c r="C831" s="44" t="s">
        <v>3807</v>
      </c>
      <c r="D831" s="44" t="s">
        <v>2430</v>
      </c>
      <c r="E831" s="44" t="s">
        <v>2212</v>
      </c>
      <c r="F831" s="48">
        <v>2021</v>
      </c>
      <c r="G831" s="48">
        <v>58</v>
      </c>
      <c r="H831" s="48">
        <v>34</v>
      </c>
      <c r="I831" s="44" t="str">
        <f>Tableau2[[#This Row],[Annee d''inscription au programme]]&amp;"-"&amp;Tableau2[[#This Row],[Code d''ecole]]&amp;"-"&amp;Tableau2[[#This Row],[Numero HM de la fille]]</f>
        <v>2021-58-34</v>
      </c>
      <c r="J831" s="45" t="s">
        <v>2078</v>
      </c>
      <c r="K831" s="44" t="s">
        <v>593</v>
      </c>
      <c r="L831" s="35" t="s">
        <v>698</v>
      </c>
      <c r="M831" s="35">
        <v>7</v>
      </c>
      <c r="N831" s="35">
        <v>3</v>
      </c>
      <c r="O831" s="35">
        <f t="shared" si="24"/>
        <v>5</v>
      </c>
      <c r="P831" s="35">
        <v>10.5</v>
      </c>
      <c r="Q831" s="35">
        <v>10</v>
      </c>
      <c r="R831" s="35">
        <f t="shared" si="25"/>
        <v>10.25</v>
      </c>
      <c r="S831" s="35"/>
      <c r="T831" s="35"/>
      <c r="U831" s="35"/>
      <c r="V831" s="35" t="e">
        <f>AVERAGE(Tableau2[[#This Row],[1ère composition/10]:[3è composition]])</f>
        <v>#DIV/0!</v>
      </c>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f>COUNTIF(Tableau2[[#This Row],[Séance 1]:[Séance 38]],"A")</f>
        <v>0</v>
      </c>
      <c r="BJ831" s="35"/>
    </row>
    <row r="832" spans="1:62" s="42" customFormat="1" hidden="1" x14ac:dyDescent="0.2">
      <c r="A832" s="44" t="s">
        <v>2383</v>
      </c>
      <c r="B832" s="44" t="s">
        <v>2431</v>
      </c>
      <c r="C832" s="59" t="s">
        <v>3813</v>
      </c>
      <c r="D832" s="44" t="s">
        <v>2432</v>
      </c>
      <c r="E832" s="44" t="s">
        <v>2212</v>
      </c>
      <c r="F832" s="48">
        <v>2021</v>
      </c>
      <c r="G832" s="48">
        <v>58</v>
      </c>
      <c r="H832" s="48">
        <v>35</v>
      </c>
      <c r="I832" s="44" t="str">
        <f>Tableau2[[#This Row],[Annee d''inscription au programme]]&amp;"-"&amp;Tableau2[[#This Row],[Code d''ecole]]&amp;"-"&amp;Tableau2[[#This Row],[Numero HM de la fille]]</f>
        <v>2021-58-35</v>
      </c>
      <c r="J832" s="45" t="s">
        <v>2079</v>
      </c>
      <c r="K832" s="44" t="s">
        <v>593</v>
      </c>
      <c r="L832" s="35" t="s">
        <v>698</v>
      </c>
      <c r="M832" s="35">
        <v>0</v>
      </c>
      <c r="N832" s="35">
        <v>0</v>
      </c>
      <c r="O832" s="35">
        <f t="shared" si="24"/>
        <v>0</v>
      </c>
      <c r="P832" s="35"/>
      <c r="Q832" s="35"/>
      <c r="R832" s="35">
        <f t="shared" si="25"/>
        <v>0</v>
      </c>
      <c r="S832" s="35"/>
      <c r="T832" s="35"/>
      <c r="U832" s="35"/>
      <c r="V832" s="35" t="e">
        <f>AVERAGE(Tableau2[[#This Row],[1ère composition/10]:[3è composition]])</f>
        <v>#DIV/0!</v>
      </c>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f>COUNTIF(Tableau2[[#This Row],[Séance 1]:[Séance 38]],"A")</f>
        <v>0</v>
      </c>
      <c r="BJ832" s="35"/>
    </row>
    <row r="833" spans="1:62" s="42" customFormat="1" hidden="1" x14ac:dyDescent="0.2">
      <c r="A833" s="44" t="s">
        <v>2383</v>
      </c>
      <c r="B833" s="44" t="s">
        <v>2433</v>
      </c>
      <c r="C833" s="44" t="s">
        <v>3802</v>
      </c>
      <c r="D833" s="44" t="s">
        <v>2434</v>
      </c>
      <c r="E833" s="44" t="s">
        <v>2212</v>
      </c>
      <c r="F833" s="48">
        <v>2021</v>
      </c>
      <c r="G833" s="48">
        <v>58</v>
      </c>
      <c r="H833" s="48">
        <v>36</v>
      </c>
      <c r="I833" s="44" t="str">
        <f>Tableau2[[#This Row],[Annee d''inscription au programme]]&amp;"-"&amp;Tableau2[[#This Row],[Code d''ecole]]&amp;"-"&amp;Tableau2[[#This Row],[Numero HM de la fille]]</f>
        <v>2021-58-36</v>
      </c>
      <c r="J833" s="45" t="s">
        <v>2080</v>
      </c>
      <c r="K833" s="44" t="s">
        <v>593</v>
      </c>
      <c r="L833" s="35" t="s">
        <v>698</v>
      </c>
      <c r="M833" s="35">
        <v>12.5</v>
      </c>
      <c r="N833" s="35">
        <v>19</v>
      </c>
      <c r="O833" s="35">
        <f t="shared" si="24"/>
        <v>15.75</v>
      </c>
      <c r="P833" s="35">
        <v>15</v>
      </c>
      <c r="Q833" s="35">
        <v>19</v>
      </c>
      <c r="R833" s="35">
        <f t="shared" si="25"/>
        <v>17</v>
      </c>
      <c r="S833" s="35"/>
      <c r="T833" s="35"/>
      <c r="U833" s="35"/>
      <c r="V833" s="35" t="e">
        <f>AVERAGE(Tableau2[[#This Row],[1ère composition/10]:[3è composition]])</f>
        <v>#DIV/0!</v>
      </c>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f>COUNTIF(Tableau2[[#This Row],[Séance 1]:[Séance 38]],"A")</f>
        <v>0</v>
      </c>
      <c r="BJ833" s="35"/>
    </row>
    <row r="834" spans="1:62" s="42" customFormat="1" hidden="1" x14ac:dyDescent="0.2">
      <c r="A834" s="44" t="s">
        <v>2383</v>
      </c>
      <c r="B834" s="44" t="s">
        <v>2435</v>
      </c>
      <c r="C834" s="44" t="s">
        <v>3802</v>
      </c>
      <c r="D834" s="44" t="s">
        <v>2436</v>
      </c>
      <c r="E834" s="44" t="s">
        <v>2212</v>
      </c>
      <c r="F834" s="48">
        <v>2021</v>
      </c>
      <c r="G834" s="48">
        <v>58</v>
      </c>
      <c r="H834" s="48">
        <v>37</v>
      </c>
      <c r="I834" s="44" t="str">
        <f>Tableau2[[#This Row],[Annee d''inscription au programme]]&amp;"-"&amp;Tableau2[[#This Row],[Code d''ecole]]&amp;"-"&amp;Tableau2[[#This Row],[Numero HM de la fille]]</f>
        <v>2021-58-37</v>
      </c>
      <c r="J834" s="45" t="s">
        <v>2081</v>
      </c>
      <c r="K834" s="44" t="s">
        <v>593</v>
      </c>
      <c r="L834" s="35" t="s">
        <v>698</v>
      </c>
      <c r="M834" s="35">
        <v>16</v>
      </c>
      <c r="N834" s="35">
        <v>17</v>
      </c>
      <c r="O834" s="35">
        <f t="shared" si="24"/>
        <v>16.5</v>
      </c>
      <c r="P834" s="35">
        <v>17</v>
      </c>
      <c r="Q834" s="35">
        <v>18</v>
      </c>
      <c r="R834" s="35">
        <f t="shared" si="25"/>
        <v>17.5</v>
      </c>
      <c r="S834" s="35"/>
      <c r="T834" s="35"/>
      <c r="U834" s="35"/>
      <c r="V834" s="35" t="e">
        <f>AVERAGE(Tableau2[[#This Row],[1ère composition/10]:[3è composition]])</f>
        <v>#DIV/0!</v>
      </c>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f>COUNTIF(Tableau2[[#This Row],[Séance 1]:[Séance 38]],"A")</f>
        <v>0</v>
      </c>
      <c r="BJ834" s="35"/>
    </row>
    <row r="835" spans="1:62" s="42" customFormat="1" hidden="1" x14ac:dyDescent="0.2">
      <c r="A835" s="44" t="s">
        <v>2383</v>
      </c>
      <c r="B835" s="44" t="s">
        <v>2437</v>
      </c>
      <c r="C835" s="44" t="s">
        <v>3825</v>
      </c>
      <c r="D835" s="44" t="s">
        <v>2438</v>
      </c>
      <c r="E835" s="44" t="s">
        <v>2212</v>
      </c>
      <c r="F835" s="48">
        <v>2021</v>
      </c>
      <c r="G835" s="48">
        <v>58</v>
      </c>
      <c r="H835" s="48">
        <v>38</v>
      </c>
      <c r="I835" s="44" t="str">
        <f>Tableau2[[#This Row],[Annee d''inscription au programme]]&amp;"-"&amp;Tableau2[[#This Row],[Code d''ecole]]&amp;"-"&amp;Tableau2[[#This Row],[Numero HM de la fille]]</f>
        <v>2021-58-38</v>
      </c>
      <c r="J835" s="45" t="s">
        <v>2082</v>
      </c>
      <c r="K835" s="44" t="s">
        <v>593</v>
      </c>
      <c r="L835" s="35" t="s">
        <v>698</v>
      </c>
      <c r="M835" s="35">
        <v>10</v>
      </c>
      <c r="N835" s="35">
        <v>2</v>
      </c>
      <c r="O835" s="35">
        <f t="shared" si="24"/>
        <v>6</v>
      </c>
      <c r="P835" s="35">
        <v>12</v>
      </c>
      <c r="Q835" s="35">
        <v>5</v>
      </c>
      <c r="R835" s="35">
        <f t="shared" si="25"/>
        <v>8.5</v>
      </c>
      <c r="S835" s="35"/>
      <c r="T835" s="35"/>
      <c r="U835" s="35"/>
      <c r="V835" s="35" t="e">
        <f>AVERAGE(Tableau2[[#This Row],[1ère composition/10]:[3è composition]])</f>
        <v>#DIV/0!</v>
      </c>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f>COUNTIF(Tableau2[[#This Row],[Séance 1]:[Séance 38]],"A")</f>
        <v>0</v>
      </c>
      <c r="BJ835" s="35"/>
    </row>
    <row r="836" spans="1:62" s="42" customFormat="1" hidden="1" x14ac:dyDescent="0.2">
      <c r="A836" s="44" t="s">
        <v>2383</v>
      </c>
      <c r="B836" s="44" t="s">
        <v>2439</v>
      </c>
      <c r="C836" s="44" t="s">
        <v>3805</v>
      </c>
      <c r="D836" s="44" t="s">
        <v>2440</v>
      </c>
      <c r="E836" s="44" t="s">
        <v>2212</v>
      </c>
      <c r="F836" s="48">
        <v>2021</v>
      </c>
      <c r="G836" s="48">
        <v>58</v>
      </c>
      <c r="H836" s="48">
        <v>39</v>
      </c>
      <c r="I836" s="44" t="str">
        <f>Tableau2[[#This Row],[Annee d''inscription au programme]]&amp;"-"&amp;Tableau2[[#This Row],[Code d''ecole]]&amp;"-"&amp;Tableau2[[#This Row],[Numero HM de la fille]]</f>
        <v>2021-58-39</v>
      </c>
      <c r="J836" s="45" t="s">
        <v>2083</v>
      </c>
      <c r="K836" s="44" t="s">
        <v>593</v>
      </c>
      <c r="L836" s="35" t="s">
        <v>698</v>
      </c>
      <c r="M836" s="35">
        <v>9</v>
      </c>
      <c r="N836" s="35">
        <v>15</v>
      </c>
      <c r="O836" s="35">
        <f t="shared" si="24"/>
        <v>12</v>
      </c>
      <c r="P836" s="35">
        <v>14.5</v>
      </c>
      <c r="Q836" s="35">
        <v>19.25</v>
      </c>
      <c r="R836" s="35">
        <f t="shared" si="25"/>
        <v>16.875</v>
      </c>
      <c r="S836" s="35"/>
      <c r="T836" s="35"/>
      <c r="U836" s="35"/>
      <c r="V836" s="35" t="e">
        <f>AVERAGE(Tableau2[[#This Row],[1ère composition/10]:[3è composition]])</f>
        <v>#DIV/0!</v>
      </c>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f>COUNTIF(Tableau2[[#This Row],[Séance 1]:[Séance 38]],"A")</f>
        <v>0</v>
      </c>
      <c r="BJ836" s="35"/>
    </row>
    <row r="837" spans="1:62" s="42" customFormat="1" hidden="1" x14ac:dyDescent="0.2">
      <c r="A837" s="44" t="s">
        <v>2383</v>
      </c>
      <c r="B837" s="48" t="s">
        <v>2528</v>
      </c>
      <c r="C837" s="44" t="s">
        <v>3805</v>
      </c>
      <c r="D837" s="48" t="s">
        <v>235</v>
      </c>
      <c r="E837" s="44" t="s">
        <v>2212</v>
      </c>
      <c r="F837" s="48">
        <v>2021</v>
      </c>
      <c r="G837" s="48">
        <v>58</v>
      </c>
      <c r="H837" s="48">
        <v>40</v>
      </c>
      <c r="I837" s="48" t="str">
        <f>Tableau2[[#This Row],[Annee d''inscription au programme]]&amp;"-"&amp;Tableau2[[#This Row],[Code d''ecole]]&amp;"-"&amp;Tableau2[[#This Row],[Numero HM de la fille]]</f>
        <v>2021-58-40</v>
      </c>
      <c r="J837" s="45" t="s">
        <v>2084</v>
      </c>
      <c r="K837" s="44" t="s">
        <v>593</v>
      </c>
      <c r="L837" s="35" t="s">
        <v>698</v>
      </c>
      <c r="M837" s="35">
        <v>14.5</v>
      </c>
      <c r="N837" s="35">
        <v>20</v>
      </c>
      <c r="O837" s="35">
        <f t="shared" ref="O837:O900" si="26">AVERAGE(M837+N837)/2</f>
        <v>17.25</v>
      </c>
      <c r="P837" s="35">
        <v>13</v>
      </c>
      <c r="Q837" s="35">
        <v>19.5</v>
      </c>
      <c r="R837" s="35">
        <f t="shared" ref="R837:R900" si="27">AVERAGE(P837+Q837)/2</f>
        <v>16.25</v>
      </c>
      <c r="S837" s="35"/>
      <c r="T837" s="35"/>
      <c r="U837" s="35"/>
      <c r="V837" s="35" t="e">
        <f>AVERAGE(Tableau2[[#This Row],[1ère composition/10]:[3è composition]])</f>
        <v>#DIV/0!</v>
      </c>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f>COUNTIF(Tableau2[[#This Row],[Séance 1]:[Séance 38]],"A")</f>
        <v>0</v>
      </c>
      <c r="BJ837" s="35"/>
    </row>
    <row r="838" spans="1:62" s="42" customFormat="1" hidden="1" x14ac:dyDescent="0.2">
      <c r="A838" s="44" t="s">
        <v>2383</v>
      </c>
      <c r="B838" s="44" t="s">
        <v>2441</v>
      </c>
      <c r="C838" s="44" t="s">
        <v>3804</v>
      </c>
      <c r="D838" s="44" t="s">
        <v>1226</v>
      </c>
      <c r="E838" s="44" t="s">
        <v>2212</v>
      </c>
      <c r="F838" s="48">
        <v>2021</v>
      </c>
      <c r="G838" s="48">
        <v>58</v>
      </c>
      <c r="H838" s="48">
        <v>41</v>
      </c>
      <c r="I838" s="44" t="str">
        <f>Tableau2[[#This Row],[Annee d''inscription au programme]]&amp;"-"&amp;Tableau2[[#This Row],[Code d''ecole]]&amp;"-"&amp;Tableau2[[#This Row],[Numero HM de la fille]]</f>
        <v>2021-58-41</v>
      </c>
      <c r="J838" s="45" t="s">
        <v>2085</v>
      </c>
      <c r="K838" s="44" t="s">
        <v>593</v>
      </c>
      <c r="L838" s="35" t="s">
        <v>698</v>
      </c>
      <c r="M838" s="35">
        <v>11.5</v>
      </c>
      <c r="N838" s="35">
        <v>8</v>
      </c>
      <c r="O838" s="35">
        <f t="shared" si="26"/>
        <v>9.75</v>
      </c>
      <c r="P838" s="35">
        <v>10.5</v>
      </c>
      <c r="Q838" s="35">
        <v>10</v>
      </c>
      <c r="R838" s="35">
        <f t="shared" si="27"/>
        <v>10.25</v>
      </c>
      <c r="S838" s="35"/>
      <c r="T838" s="35"/>
      <c r="U838" s="35"/>
      <c r="V838" s="35" t="e">
        <f>AVERAGE(Tableau2[[#This Row],[1ère composition/10]:[3è composition]])</f>
        <v>#DIV/0!</v>
      </c>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f>COUNTIF(Tableau2[[#This Row],[Séance 1]:[Séance 38]],"A")</f>
        <v>0</v>
      </c>
      <c r="BJ838" s="35"/>
    </row>
    <row r="839" spans="1:62" s="42" customFormat="1" hidden="1" x14ac:dyDescent="0.2">
      <c r="A839" s="44" t="s">
        <v>2383</v>
      </c>
      <c r="B839" s="48" t="s">
        <v>2532</v>
      </c>
      <c r="C839" s="44" t="s">
        <v>3804</v>
      </c>
      <c r="D839" s="48" t="s">
        <v>1005</v>
      </c>
      <c r="E839" s="44" t="s">
        <v>2212</v>
      </c>
      <c r="F839" s="48">
        <v>2021</v>
      </c>
      <c r="G839" s="48">
        <v>58</v>
      </c>
      <c r="H839" s="48">
        <v>42</v>
      </c>
      <c r="I839" s="48" t="str">
        <f>Tableau2[[#This Row],[Annee d''inscription au programme]]&amp;"-"&amp;Tableau2[[#This Row],[Code d''ecole]]&amp;"-"&amp;Tableau2[[#This Row],[Numero HM de la fille]]</f>
        <v>2021-58-42</v>
      </c>
      <c r="J839" s="45" t="s">
        <v>2086</v>
      </c>
      <c r="K839" s="44" t="s">
        <v>593</v>
      </c>
      <c r="L839" s="35" t="s">
        <v>698</v>
      </c>
      <c r="M839" s="35">
        <v>5</v>
      </c>
      <c r="N839" s="35">
        <v>6.5</v>
      </c>
      <c r="O839" s="35">
        <f t="shared" si="26"/>
        <v>5.75</v>
      </c>
      <c r="P839" s="35">
        <v>11</v>
      </c>
      <c r="Q839" s="35">
        <v>4</v>
      </c>
      <c r="R839" s="35">
        <f t="shared" si="27"/>
        <v>7.5</v>
      </c>
      <c r="S839" s="35"/>
      <c r="T839" s="35"/>
      <c r="U839" s="35"/>
      <c r="V839" s="35" t="e">
        <f>AVERAGE(Tableau2[[#This Row],[1ère composition/10]:[3è composition]])</f>
        <v>#DIV/0!</v>
      </c>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f>COUNTIF(Tableau2[[#This Row],[Séance 1]:[Séance 38]],"A")</f>
        <v>0</v>
      </c>
      <c r="BJ839" s="35"/>
    </row>
    <row r="840" spans="1:62" s="42" customFormat="1" hidden="1" x14ac:dyDescent="0.2">
      <c r="A840" s="44" t="s">
        <v>2383</v>
      </c>
      <c r="B840" s="44" t="s">
        <v>2442</v>
      </c>
      <c r="C840" s="44" t="s">
        <v>3804</v>
      </c>
      <c r="D840" s="44" t="s">
        <v>282</v>
      </c>
      <c r="E840" s="44" t="s">
        <v>2212</v>
      </c>
      <c r="F840" s="48">
        <v>2021</v>
      </c>
      <c r="G840" s="48">
        <v>58</v>
      </c>
      <c r="H840" s="48">
        <v>43</v>
      </c>
      <c r="I840" s="44" t="str">
        <f>Tableau2[[#This Row],[Annee d''inscription au programme]]&amp;"-"&amp;Tableau2[[#This Row],[Code d''ecole]]&amp;"-"&amp;Tableau2[[#This Row],[Numero HM de la fille]]</f>
        <v>2021-58-43</v>
      </c>
      <c r="J840" s="45" t="s">
        <v>2087</v>
      </c>
      <c r="K840" s="44" t="s">
        <v>593</v>
      </c>
      <c r="L840" s="35" t="s">
        <v>698</v>
      </c>
      <c r="M840" s="35">
        <v>11.5</v>
      </c>
      <c r="N840" s="35">
        <v>15.5</v>
      </c>
      <c r="O840" s="35">
        <f t="shared" si="26"/>
        <v>13.5</v>
      </c>
      <c r="P840" s="35">
        <v>13.5</v>
      </c>
      <c r="Q840" s="35">
        <v>19</v>
      </c>
      <c r="R840" s="35">
        <f t="shared" si="27"/>
        <v>16.25</v>
      </c>
      <c r="S840" s="35"/>
      <c r="T840" s="35"/>
      <c r="U840" s="35"/>
      <c r="V840" s="35" t="e">
        <f>AVERAGE(Tableau2[[#This Row],[1ère composition/10]:[3è composition]])</f>
        <v>#DIV/0!</v>
      </c>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f>COUNTIF(Tableau2[[#This Row],[Séance 1]:[Séance 38]],"A")</f>
        <v>0</v>
      </c>
      <c r="BJ840" s="35"/>
    </row>
    <row r="841" spans="1:62" s="42" customFormat="1" hidden="1" x14ac:dyDescent="0.2">
      <c r="A841" s="44" t="s">
        <v>2383</v>
      </c>
      <c r="B841" s="44" t="s">
        <v>2443</v>
      </c>
      <c r="C841" s="44" t="s">
        <v>3804</v>
      </c>
      <c r="D841" s="44" t="s">
        <v>215</v>
      </c>
      <c r="E841" s="44" t="s">
        <v>2212</v>
      </c>
      <c r="F841" s="48">
        <v>2021</v>
      </c>
      <c r="G841" s="48">
        <v>58</v>
      </c>
      <c r="H841" s="48">
        <v>44</v>
      </c>
      <c r="I841" s="44" t="str">
        <f>Tableau2[[#This Row],[Annee d''inscription au programme]]&amp;"-"&amp;Tableau2[[#This Row],[Code d''ecole]]&amp;"-"&amp;Tableau2[[#This Row],[Numero HM de la fille]]</f>
        <v>2021-58-44</v>
      </c>
      <c r="J841" s="45" t="s">
        <v>2088</v>
      </c>
      <c r="K841" s="44" t="s">
        <v>593</v>
      </c>
      <c r="L841" s="35" t="s">
        <v>698</v>
      </c>
      <c r="M841" s="35">
        <v>5.5</v>
      </c>
      <c r="N841" s="35">
        <v>1</v>
      </c>
      <c r="O841" s="35">
        <f t="shared" si="26"/>
        <v>3.25</v>
      </c>
      <c r="P841" s="35">
        <v>10.5</v>
      </c>
      <c r="Q841" s="35">
        <v>2</v>
      </c>
      <c r="R841" s="35">
        <f t="shared" si="27"/>
        <v>6.25</v>
      </c>
      <c r="S841" s="35"/>
      <c r="T841" s="35"/>
      <c r="U841" s="35"/>
      <c r="V841" s="35" t="e">
        <f>AVERAGE(Tableau2[[#This Row],[1ère composition/10]:[3è composition]])</f>
        <v>#DIV/0!</v>
      </c>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f>COUNTIF(Tableau2[[#This Row],[Séance 1]:[Séance 38]],"A")</f>
        <v>0</v>
      </c>
      <c r="BJ841" s="35"/>
    </row>
    <row r="842" spans="1:62" s="42" customFormat="1" hidden="1" x14ac:dyDescent="0.2">
      <c r="A842" s="44" t="s">
        <v>2383</v>
      </c>
      <c r="B842" s="44" t="s">
        <v>2444</v>
      </c>
      <c r="C842" s="44" t="s">
        <v>3802</v>
      </c>
      <c r="D842" s="44" t="s">
        <v>2445</v>
      </c>
      <c r="E842" s="44" t="s">
        <v>2212</v>
      </c>
      <c r="F842" s="48">
        <v>2021</v>
      </c>
      <c r="G842" s="48">
        <v>58</v>
      </c>
      <c r="H842" s="48">
        <v>45</v>
      </c>
      <c r="I842" s="44" t="str">
        <f>Tableau2[[#This Row],[Annee d''inscription au programme]]&amp;"-"&amp;Tableau2[[#This Row],[Code d''ecole]]&amp;"-"&amp;Tableau2[[#This Row],[Numero HM de la fille]]</f>
        <v>2021-58-45</v>
      </c>
      <c r="J842" s="45" t="s">
        <v>2089</v>
      </c>
      <c r="K842" s="44" t="s">
        <v>593</v>
      </c>
      <c r="L842" s="35" t="s">
        <v>698</v>
      </c>
      <c r="M842" s="35">
        <v>14.5</v>
      </c>
      <c r="N842" s="35">
        <v>8</v>
      </c>
      <c r="O842" s="35">
        <f t="shared" si="26"/>
        <v>11.25</v>
      </c>
      <c r="P842" s="35">
        <v>14</v>
      </c>
      <c r="Q842" s="35">
        <v>4</v>
      </c>
      <c r="R842" s="35">
        <f t="shared" si="27"/>
        <v>9</v>
      </c>
      <c r="S842" s="35"/>
      <c r="T842" s="35"/>
      <c r="U842" s="35"/>
      <c r="V842" s="35" t="e">
        <f>AVERAGE(Tableau2[[#This Row],[1ère composition/10]:[3è composition]])</f>
        <v>#DIV/0!</v>
      </c>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f>COUNTIF(Tableau2[[#This Row],[Séance 1]:[Séance 38]],"A")</f>
        <v>0</v>
      </c>
      <c r="BJ842" s="35"/>
    </row>
    <row r="843" spans="1:62" s="42" customFormat="1" hidden="1" x14ac:dyDescent="0.2">
      <c r="A843" s="44" t="s">
        <v>2383</v>
      </c>
      <c r="B843" s="44" t="s">
        <v>2446</v>
      </c>
      <c r="C843" s="44" t="s">
        <v>3802</v>
      </c>
      <c r="D843" s="44" t="s">
        <v>2447</v>
      </c>
      <c r="E843" s="44" t="s">
        <v>2212</v>
      </c>
      <c r="F843" s="48">
        <v>2021</v>
      </c>
      <c r="G843" s="48">
        <v>58</v>
      </c>
      <c r="H843" s="48">
        <v>46</v>
      </c>
      <c r="I843" s="44" t="str">
        <f>Tableau2[[#This Row],[Annee d''inscription au programme]]&amp;"-"&amp;Tableau2[[#This Row],[Code d''ecole]]&amp;"-"&amp;Tableau2[[#This Row],[Numero HM de la fille]]</f>
        <v>2021-58-46</v>
      </c>
      <c r="J843" s="45" t="s">
        <v>2090</v>
      </c>
      <c r="K843" s="44" t="s">
        <v>374</v>
      </c>
      <c r="L843" s="35" t="s">
        <v>3529</v>
      </c>
      <c r="M843" s="35">
        <v>10</v>
      </c>
      <c r="N843" s="35">
        <v>7.5</v>
      </c>
      <c r="O843" s="35">
        <f t="shared" si="26"/>
        <v>8.75</v>
      </c>
      <c r="P843" s="35">
        <v>9.5</v>
      </c>
      <c r="Q843" s="35">
        <v>4.5</v>
      </c>
      <c r="R843" s="35">
        <f t="shared" si="27"/>
        <v>7</v>
      </c>
      <c r="S843" s="35"/>
      <c r="T843" s="35"/>
      <c r="U843" s="35"/>
      <c r="V843" s="35" t="e">
        <f>AVERAGE(Tableau2[[#This Row],[1ère composition/10]:[3è composition]])</f>
        <v>#DIV/0!</v>
      </c>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f>COUNTIF(Tableau2[[#This Row],[Séance 1]:[Séance 38]],"A")</f>
        <v>0</v>
      </c>
      <c r="BJ843" s="35"/>
    </row>
    <row r="844" spans="1:62" s="42" customFormat="1" hidden="1" x14ac:dyDescent="0.2">
      <c r="A844" s="44" t="s">
        <v>2383</v>
      </c>
      <c r="B844" s="44" t="s">
        <v>2448</v>
      </c>
      <c r="C844" s="44" t="s">
        <v>3802</v>
      </c>
      <c r="D844" s="44" t="s">
        <v>2449</v>
      </c>
      <c r="E844" s="44" t="s">
        <v>2212</v>
      </c>
      <c r="F844" s="48">
        <v>2021</v>
      </c>
      <c r="G844" s="48">
        <v>58</v>
      </c>
      <c r="H844" s="48">
        <v>47</v>
      </c>
      <c r="I844" s="44" t="str">
        <f>Tableau2[[#This Row],[Annee d''inscription au programme]]&amp;"-"&amp;Tableau2[[#This Row],[Code d''ecole]]&amp;"-"&amp;Tableau2[[#This Row],[Numero HM de la fille]]</f>
        <v>2021-58-47</v>
      </c>
      <c r="J844" s="45" t="s">
        <v>2091</v>
      </c>
      <c r="K844" s="44" t="s">
        <v>374</v>
      </c>
      <c r="L844" s="35" t="s">
        <v>3529</v>
      </c>
      <c r="M844" s="35">
        <v>10</v>
      </c>
      <c r="N844" s="35">
        <v>6</v>
      </c>
      <c r="O844" s="35">
        <f t="shared" si="26"/>
        <v>8</v>
      </c>
      <c r="P844" s="35">
        <v>9.5</v>
      </c>
      <c r="Q844" s="35">
        <v>15</v>
      </c>
      <c r="R844" s="35">
        <f t="shared" si="27"/>
        <v>12.25</v>
      </c>
      <c r="S844" s="35"/>
      <c r="T844" s="35"/>
      <c r="U844" s="35"/>
      <c r="V844" s="35" t="e">
        <f>AVERAGE(Tableau2[[#This Row],[1ère composition/10]:[3è composition]])</f>
        <v>#DIV/0!</v>
      </c>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f>COUNTIF(Tableau2[[#This Row],[Séance 1]:[Séance 38]],"A")</f>
        <v>0</v>
      </c>
      <c r="BJ844" s="35"/>
    </row>
    <row r="845" spans="1:62" s="42" customFormat="1" hidden="1" x14ac:dyDescent="0.2">
      <c r="A845" s="44" t="s">
        <v>2383</v>
      </c>
      <c r="B845" s="44" t="s">
        <v>2450</v>
      </c>
      <c r="C845" s="44" t="s">
        <v>3803</v>
      </c>
      <c r="D845" s="44" t="s">
        <v>2451</v>
      </c>
      <c r="E845" s="44" t="s">
        <v>2212</v>
      </c>
      <c r="F845" s="48">
        <v>2021</v>
      </c>
      <c r="G845" s="48">
        <v>58</v>
      </c>
      <c r="H845" s="48">
        <v>48</v>
      </c>
      <c r="I845" s="44" t="str">
        <f>Tableau2[[#This Row],[Annee d''inscription au programme]]&amp;"-"&amp;Tableau2[[#This Row],[Code d''ecole]]&amp;"-"&amp;Tableau2[[#This Row],[Numero HM de la fille]]</f>
        <v>2021-58-48</v>
      </c>
      <c r="J845" s="45" t="s">
        <v>2092</v>
      </c>
      <c r="K845" s="44" t="s">
        <v>593</v>
      </c>
      <c r="L845" s="35" t="s">
        <v>698</v>
      </c>
      <c r="M845" s="35">
        <v>12.5</v>
      </c>
      <c r="N845" s="35">
        <v>18</v>
      </c>
      <c r="O845" s="35">
        <f t="shared" si="26"/>
        <v>15.25</v>
      </c>
      <c r="P845" s="35">
        <v>16.5</v>
      </c>
      <c r="Q845" s="35">
        <v>19.5</v>
      </c>
      <c r="R845" s="35">
        <f t="shared" si="27"/>
        <v>18</v>
      </c>
      <c r="S845" s="35"/>
      <c r="T845" s="35"/>
      <c r="U845" s="35"/>
      <c r="V845" s="35" t="e">
        <f>AVERAGE(Tableau2[[#This Row],[1ère composition/10]:[3è composition]])</f>
        <v>#DIV/0!</v>
      </c>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f>COUNTIF(Tableau2[[#This Row],[Séance 1]:[Séance 38]],"A")</f>
        <v>0</v>
      </c>
      <c r="BJ845" s="35"/>
    </row>
    <row r="846" spans="1:62" s="42" customFormat="1" hidden="1" x14ac:dyDescent="0.2">
      <c r="A846" s="44" t="s">
        <v>2383</v>
      </c>
      <c r="B846" s="44" t="s">
        <v>2452</v>
      </c>
      <c r="C846" s="44" t="s">
        <v>3802</v>
      </c>
      <c r="D846" s="44" t="s">
        <v>854</v>
      </c>
      <c r="E846" s="44" t="s">
        <v>2212</v>
      </c>
      <c r="F846" s="48">
        <v>2021</v>
      </c>
      <c r="G846" s="48">
        <v>58</v>
      </c>
      <c r="H846" s="48">
        <v>49</v>
      </c>
      <c r="I846" s="44" t="str">
        <f>Tableau2[[#This Row],[Annee d''inscription au programme]]&amp;"-"&amp;Tableau2[[#This Row],[Code d''ecole]]&amp;"-"&amp;Tableau2[[#This Row],[Numero HM de la fille]]</f>
        <v>2021-58-49</v>
      </c>
      <c r="J846" s="45" t="s">
        <v>2093</v>
      </c>
      <c r="K846" s="44" t="s">
        <v>374</v>
      </c>
      <c r="L846" s="35" t="s">
        <v>3529</v>
      </c>
      <c r="M846" s="35">
        <v>7.5</v>
      </c>
      <c r="N846" s="35">
        <v>5</v>
      </c>
      <c r="O846" s="35">
        <f t="shared" si="26"/>
        <v>6.25</v>
      </c>
      <c r="P846" s="35"/>
      <c r="Q846" s="35"/>
      <c r="R846" s="35">
        <f t="shared" si="27"/>
        <v>0</v>
      </c>
      <c r="S846" s="35"/>
      <c r="T846" s="35"/>
      <c r="U846" s="35"/>
      <c r="V846" s="35" t="e">
        <f>AVERAGE(Tableau2[[#This Row],[1ère composition/10]:[3è composition]])</f>
        <v>#DIV/0!</v>
      </c>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f>COUNTIF(Tableau2[[#This Row],[Séance 1]:[Séance 38]],"A")</f>
        <v>0</v>
      </c>
      <c r="BJ846" s="35"/>
    </row>
    <row r="847" spans="1:62" s="42" customFormat="1" hidden="1" x14ac:dyDescent="0.2">
      <c r="A847" s="44" t="s">
        <v>2383</v>
      </c>
      <c r="B847" s="44" t="s">
        <v>2453</v>
      </c>
      <c r="C847" s="44" t="s">
        <v>3802</v>
      </c>
      <c r="D847" s="44" t="s">
        <v>2454</v>
      </c>
      <c r="E847" s="44" t="s">
        <v>2212</v>
      </c>
      <c r="F847" s="48">
        <v>2021</v>
      </c>
      <c r="G847" s="48">
        <v>58</v>
      </c>
      <c r="H847" s="48">
        <v>50</v>
      </c>
      <c r="I847" s="44" t="str">
        <f>Tableau2[[#This Row],[Annee d''inscription au programme]]&amp;"-"&amp;Tableau2[[#This Row],[Code d''ecole]]&amp;"-"&amp;Tableau2[[#This Row],[Numero HM de la fille]]</f>
        <v>2021-58-50</v>
      </c>
      <c r="J847" s="45" t="s">
        <v>2094</v>
      </c>
      <c r="K847" s="44" t="s">
        <v>593</v>
      </c>
      <c r="L847" s="35" t="s">
        <v>698</v>
      </c>
      <c r="M847" s="35">
        <v>6.5</v>
      </c>
      <c r="N847" s="35">
        <v>1</v>
      </c>
      <c r="O847" s="35">
        <f t="shared" si="26"/>
        <v>3.75</v>
      </c>
      <c r="P847" s="35">
        <v>9</v>
      </c>
      <c r="Q847" s="35">
        <v>0</v>
      </c>
      <c r="R847" s="35">
        <f t="shared" si="27"/>
        <v>4.5</v>
      </c>
      <c r="S847" s="35"/>
      <c r="T847" s="35"/>
      <c r="U847" s="35"/>
      <c r="V847" s="35" t="e">
        <f>AVERAGE(Tableau2[[#This Row],[1ère composition/10]:[3è composition]])</f>
        <v>#DIV/0!</v>
      </c>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f>COUNTIF(Tableau2[[#This Row],[Séance 1]:[Séance 38]],"A")</f>
        <v>0</v>
      </c>
      <c r="BJ847" s="35"/>
    </row>
    <row r="848" spans="1:62" s="42" customFormat="1" hidden="1" x14ac:dyDescent="0.2">
      <c r="A848" s="44" t="s">
        <v>2383</v>
      </c>
      <c r="B848" s="44" t="s">
        <v>2455</v>
      </c>
      <c r="C848" s="44" t="s">
        <v>3801</v>
      </c>
      <c r="D848" s="44" t="s">
        <v>2456</v>
      </c>
      <c r="E848" s="44" t="s">
        <v>2212</v>
      </c>
      <c r="F848" s="48">
        <v>2021</v>
      </c>
      <c r="G848" s="48">
        <v>58</v>
      </c>
      <c r="H848" s="48">
        <v>51</v>
      </c>
      <c r="I848" s="44" t="str">
        <f>Tableau2[[#This Row],[Annee d''inscription au programme]]&amp;"-"&amp;Tableau2[[#This Row],[Code d''ecole]]&amp;"-"&amp;Tableau2[[#This Row],[Numero HM de la fille]]</f>
        <v>2021-58-51</v>
      </c>
      <c r="J848" s="45" t="s">
        <v>2095</v>
      </c>
      <c r="K848" s="44" t="s">
        <v>593</v>
      </c>
      <c r="L848" s="35" t="s">
        <v>698</v>
      </c>
      <c r="M848" s="35">
        <v>0</v>
      </c>
      <c r="N848" s="35">
        <v>0</v>
      </c>
      <c r="O848" s="35">
        <f t="shared" si="26"/>
        <v>0</v>
      </c>
      <c r="P848" s="35"/>
      <c r="Q848" s="35"/>
      <c r="R848" s="35">
        <f t="shared" si="27"/>
        <v>0</v>
      </c>
      <c r="S848" s="35"/>
      <c r="T848" s="35"/>
      <c r="U848" s="35"/>
      <c r="V848" s="35" t="e">
        <f>AVERAGE(Tableau2[[#This Row],[1ère composition/10]:[3è composition]])</f>
        <v>#DIV/0!</v>
      </c>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f>COUNTIF(Tableau2[[#This Row],[Séance 1]:[Séance 38]],"A")</f>
        <v>0</v>
      </c>
      <c r="BJ848" s="35"/>
    </row>
    <row r="849" spans="1:62" s="42" customFormat="1" hidden="1" x14ac:dyDescent="0.2">
      <c r="A849" s="44" t="s">
        <v>2383</v>
      </c>
      <c r="B849" s="44" t="s">
        <v>2457</v>
      </c>
      <c r="C849" s="44" t="s">
        <v>3800</v>
      </c>
      <c r="D849" s="44" t="s">
        <v>2458</v>
      </c>
      <c r="E849" s="44" t="s">
        <v>2212</v>
      </c>
      <c r="F849" s="48">
        <v>2021</v>
      </c>
      <c r="G849" s="48">
        <v>58</v>
      </c>
      <c r="H849" s="48">
        <v>52</v>
      </c>
      <c r="I849" s="44" t="str">
        <f>Tableau2[[#This Row],[Annee d''inscription au programme]]&amp;"-"&amp;Tableau2[[#This Row],[Code d''ecole]]&amp;"-"&amp;Tableau2[[#This Row],[Numero HM de la fille]]</f>
        <v>2021-58-52</v>
      </c>
      <c r="J849" s="45" t="s">
        <v>2096</v>
      </c>
      <c r="K849" s="44" t="s">
        <v>593</v>
      </c>
      <c r="L849" s="35" t="s">
        <v>698</v>
      </c>
      <c r="M849" s="35">
        <v>16</v>
      </c>
      <c r="N849" s="35">
        <v>19.5</v>
      </c>
      <c r="O849" s="35">
        <f t="shared" si="26"/>
        <v>17.75</v>
      </c>
      <c r="P849" s="35">
        <v>17.5</v>
      </c>
      <c r="Q849" s="35">
        <v>20</v>
      </c>
      <c r="R849" s="35">
        <f t="shared" si="27"/>
        <v>18.75</v>
      </c>
      <c r="S849" s="35"/>
      <c r="T849" s="35"/>
      <c r="U849" s="35"/>
      <c r="V849" s="35" t="e">
        <f>AVERAGE(Tableau2[[#This Row],[1ère composition/10]:[3è composition]])</f>
        <v>#DIV/0!</v>
      </c>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f>COUNTIF(Tableau2[[#This Row],[Séance 1]:[Séance 38]],"A")</f>
        <v>0</v>
      </c>
      <c r="BJ849" s="35"/>
    </row>
    <row r="850" spans="1:62" s="42" customFormat="1" hidden="1" x14ac:dyDescent="0.2">
      <c r="A850" s="44" t="s">
        <v>2383</v>
      </c>
      <c r="B850" s="44" t="s">
        <v>2459</v>
      </c>
      <c r="C850" s="59" t="s">
        <v>3799</v>
      </c>
      <c r="D850" s="44" t="s">
        <v>2460</v>
      </c>
      <c r="E850" s="44" t="s">
        <v>2212</v>
      </c>
      <c r="F850" s="48">
        <v>2021</v>
      </c>
      <c r="G850" s="48">
        <v>58</v>
      </c>
      <c r="H850" s="48">
        <v>53</v>
      </c>
      <c r="I850" s="44" t="str">
        <f>Tableau2[[#This Row],[Annee d''inscription au programme]]&amp;"-"&amp;Tableau2[[#This Row],[Code d''ecole]]&amp;"-"&amp;Tableau2[[#This Row],[Numero HM de la fille]]</f>
        <v>2021-58-53</v>
      </c>
      <c r="J850" s="45" t="s">
        <v>2097</v>
      </c>
      <c r="K850" s="44" t="s">
        <v>593</v>
      </c>
      <c r="L850" s="35" t="s">
        <v>698</v>
      </c>
      <c r="M850" s="35">
        <v>1.5</v>
      </c>
      <c r="N850" s="35">
        <v>0.5</v>
      </c>
      <c r="O850" s="35">
        <f t="shared" si="26"/>
        <v>1</v>
      </c>
      <c r="P850" s="35">
        <v>7.5</v>
      </c>
      <c r="Q850" s="35">
        <v>2</v>
      </c>
      <c r="R850" s="35">
        <f t="shared" si="27"/>
        <v>4.75</v>
      </c>
      <c r="S850" s="35"/>
      <c r="T850" s="35"/>
      <c r="U850" s="35"/>
      <c r="V850" s="35" t="e">
        <f>AVERAGE(Tableau2[[#This Row],[1ère composition/10]:[3è composition]])</f>
        <v>#DIV/0!</v>
      </c>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f>COUNTIF(Tableau2[[#This Row],[Séance 1]:[Séance 38]],"A")</f>
        <v>0</v>
      </c>
      <c r="BJ850" s="35"/>
    </row>
    <row r="851" spans="1:62" s="42" customFormat="1" hidden="1" x14ac:dyDescent="0.2">
      <c r="A851" s="44" t="s">
        <v>2383</v>
      </c>
      <c r="B851" s="44" t="s">
        <v>2461</v>
      </c>
      <c r="C851" s="44" t="s">
        <v>3799</v>
      </c>
      <c r="D851" s="44" t="s">
        <v>2462</v>
      </c>
      <c r="E851" s="44" t="s">
        <v>2212</v>
      </c>
      <c r="F851" s="48">
        <v>2021</v>
      </c>
      <c r="G851" s="48">
        <v>58</v>
      </c>
      <c r="H851" s="48">
        <v>54</v>
      </c>
      <c r="I851" s="44" t="str">
        <f>Tableau2[[#This Row],[Annee d''inscription au programme]]&amp;"-"&amp;Tableau2[[#This Row],[Code d''ecole]]&amp;"-"&amp;Tableau2[[#This Row],[Numero HM de la fille]]</f>
        <v>2021-58-54</v>
      </c>
      <c r="J851" s="45" t="s">
        <v>2098</v>
      </c>
      <c r="K851" s="44" t="s">
        <v>593</v>
      </c>
      <c r="L851" s="35" t="s">
        <v>698</v>
      </c>
      <c r="M851" s="35">
        <v>0</v>
      </c>
      <c r="N851" s="35">
        <v>0</v>
      </c>
      <c r="O851" s="35">
        <f t="shared" si="26"/>
        <v>0</v>
      </c>
      <c r="P851" s="35">
        <v>6</v>
      </c>
      <c r="Q851" s="35">
        <v>15.25</v>
      </c>
      <c r="R851" s="35">
        <f t="shared" si="27"/>
        <v>10.625</v>
      </c>
      <c r="S851" s="35"/>
      <c r="T851" s="35"/>
      <c r="U851" s="35"/>
      <c r="V851" s="35" t="e">
        <f>AVERAGE(Tableau2[[#This Row],[1ère composition/10]:[3è composition]])</f>
        <v>#DIV/0!</v>
      </c>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f>COUNTIF(Tableau2[[#This Row],[Séance 1]:[Séance 38]],"A")</f>
        <v>0</v>
      </c>
      <c r="BJ851" s="35"/>
    </row>
    <row r="852" spans="1:62" s="42" customFormat="1" hidden="1" x14ac:dyDescent="0.2">
      <c r="A852" s="44" t="s">
        <v>2383</v>
      </c>
      <c r="B852" s="44" t="s">
        <v>2463</v>
      </c>
      <c r="C852" s="44" t="s">
        <v>3812</v>
      </c>
      <c r="D852" s="44" t="s">
        <v>2464</v>
      </c>
      <c r="E852" s="44" t="s">
        <v>2212</v>
      </c>
      <c r="F852" s="48">
        <v>2021</v>
      </c>
      <c r="G852" s="48">
        <v>58</v>
      </c>
      <c r="H852" s="48">
        <v>55</v>
      </c>
      <c r="I852" s="44" t="str">
        <f>Tableau2[[#This Row],[Annee d''inscription au programme]]&amp;"-"&amp;Tableau2[[#This Row],[Code d''ecole]]&amp;"-"&amp;Tableau2[[#This Row],[Numero HM de la fille]]</f>
        <v>2021-58-55</v>
      </c>
      <c r="J852" s="45" t="s">
        <v>2099</v>
      </c>
      <c r="K852" s="44" t="s">
        <v>593</v>
      </c>
      <c r="L852" s="35" t="s">
        <v>698</v>
      </c>
      <c r="M852" s="35">
        <v>0</v>
      </c>
      <c r="N852" s="35">
        <v>0</v>
      </c>
      <c r="O852" s="35">
        <f t="shared" si="26"/>
        <v>0</v>
      </c>
      <c r="P852" s="35"/>
      <c r="Q852" s="35"/>
      <c r="R852" s="35">
        <f t="shared" si="27"/>
        <v>0</v>
      </c>
      <c r="S852" s="35"/>
      <c r="T852" s="35"/>
      <c r="U852" s="35"/>
      <c r="V852" s="35" t="e">
        <f>AVERAGE(Tableau2[[#This Row],[1ère composition/10]:[3è composition]])</f>
        <v>#DIV/0!</v>
      </c>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f>COUNTIF(Tableau2[[#This Row],[Séance 1]:[Séance 38]],"A")</f>
        <v>0</v>
      </c>
      <c r="BJ852" s="35"/>
    </row>
    <row r="853" spans="1:62" s="42" customFormat="1" hidden="1" x14ac:dyDescent="0.2">
      <c r="A853" s="44" t="s">
        <v>2383</v>
      </c>
      <c r="B853" s="44" t="s">
        <v>2465</v>
      </c>
      <c r="C853" s="44" t="s">
        <v>3811</v>
      </c>
      <c r="D853" s="44" t="s">
        <v>2466</v>
      </c>
      <c r="E853" s="44" t="s">
        <v>2212</v>
      </c>
      <c r="F853" s="48">
        <v>2021</v>
      </c>
      <c r="G853" s="48">
        <v>58</v>
      </c>
      <c r="H853" s="48">
        <v>56</v>
      </c>
      <c r="I853" s="44" t="str">
        <f>Tableau2[[#This Row],[Annee d''inscription au programme]]&amp;"-"&amp;Tableau2[[#This Row],[Code d''ecole]]&amp;"-"&amp;Tableau2[[#This Row],[Numero HM de la fille]]</f>
        <v>2021-58-56</v>
      </c>
      <c r="J853" s="45" t="s">
        <v>2100</v>
      </c>
      <c r="K853" s="44" t="s">
        <v>593</v>
      </c>
      <c r="L853" s="35" t="s">
        <v>698</v>
      </c>
      <c r="M853" s="35">
        <v>6</v>
      </c>
      <c r="N853" s="35">
        <v>4</v>
      </c>
      <c r="O853" s="35">
        <f t="shared" si="26"/>
        <v>5</v>
      </c>
      <c r="P853" s="35">
        <v>8</v>
      </c>
      <c r="Q853" s="35">
        <v>3.75</v>
      </c>
      <c r="R853" s="35">
        <f t="shared" si="27"/>
        <v>5.875</v>
      </c>
      <c r="S853" s="35"/>
      <c r="T853" s="35"/>
      <c r="U853" s="35"/>
      <c r="V853" s="35" t="e">
        <f>AVERAGE(Tableau2[[#This Row],[1ère composition/10]:[3è composition]])</f>
        <v>#DIV/0!</v>
      </c>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f>COUNTIF(Tableau2[[#This Row],[Séance 1]:[Séance 38]],"A")</f>
        <v>0</v>
      </c>
      <c r="BJ853" s="35"/>
    </row>
    <row r="854" spans="1:62" s="42" customFormat="1" hidden="1" x14ac:dyDescent="0.2">
      <c r="A854" s="44" t="s">
        <v>2383</v>
      </c>
      <c r="B854" s="44" t="s">
        <v>2467</v>
      </c>
      <c r="C854" s="44" t="s">
        <v>3802</v>
      </c>
      <c r="D854" s="44" t="s">
        <v>2468</v>
      </c>
      <c r="E854" s="44" t="s">
        <v>2212</v>
      </c>
      <c r="F854" s="48">
        <v>2021</v>
      </c>
      <c r="G854" s="48">
        <v>58</v>
      </c>
      <c r="H854" s="48">
        <v>57</v>
      </c>
      <c r="I854" s="44" t="str">
        <f>Tableau2[[#This Row],[Annee d''inscription au programme]]&amp;"-"&amp;Tableau2[[#This Row],[Code d''ecole]]&amp;"-"&amp;Tableau2[[#This Row],[Numero HM de la fille]]</f>
        <v>2021-58-57</v>
      </c>
      <c r="J854" s="45" t="s">
        <v>2101</v>
      </c>
      <c r="K854" s="44" t="s">
        <v>374</v>
      </c>
      <c r="L854" s="35" t="s">
        <v>3529</v>
      </c>
      <c r="M854" s="35">
        <v>5</v>
      </c>
      <c r="N854" s="35">
        <v>10</v>
      </c>
      <c r="O854" s="35">
        <f t="shared" si="26"/>
        <v>7.5</v>
      </c>
      <c r="P854" s="35">
        <v>11</v>
      </c>
      <c r="Q854" s="35">
        <v>15</v>
      </c>
      <c r="R854" s="35">
        <f t="shared" si="27"/>
        <v>13</v>
      </c>
      <c r="S854" s="35"/>
      <c r="T854" s="35"/>
      <c r="U854" s="35"/>
      <c r="V854" s="35" t="e">
        <f>AVERAGE(Tableau2[[#This Row],[1ère composition/10]:[3è composition]])</f>
        <v>#DIV/0!</v>
      </c>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f>COUNTIF(Tableau2[[#This Row],[Séance 1]:[Séance 38]],"A")</f>
        <v>0</v>
      </c>
      <c r="BJ854" s="35"/>
    </row>
    <row r="855" spans="1:62" s="42" customFormat="1" hidden="1" x14ac:dyDescent="0.2">
      <c r="A855" s="44" t="s">
        <v>2383</v>
      </c>
      <c r="B855" s="44" t="s">
        <v>2469</v>
      </c>
      <c r="C855" s="44" t="s">
        <v>3802</v>
      </c>
      <c r="D855" s="44" t="s">
        <v>177</v>
      </c>
      <c r="E855" s="44" t="s">
        <v>2212</v>
      </c>
      <c r="F855" s="48">
        <v>2021</v>
      </c>
      <c r="G855" s="48">
        <v>58</v>
      </c>
      <c r="H855" s="48">
        <v>58</v>
      </c>
      <c r="I855" s="44" t="str">
        <f>Tableau2[[#This Row],[Annee d''inscription au programme]]&amp;"-"&amp;Tableau2[[#This Row],[Code d''ecole]]&amp;"-"&amp;Tableau2[[#This Row],[Numero HM de la fille]]</f>
        <v>2021-58-58</v>
      </c>
      <c r="J855" s="45" t="s">
        <v>2102</v>
      </c>
      <c r="K855" s="44" t="s">
        <v>593</v>
      </c>
      <c r="L855" s="35" t="s">
        <v>698</v>
      </c>
      <c r="M855" s="35">
        <v>3</v>
      </c>
      <c r="N855" s="35">
        <v>2</v>
      </c>
      <c r="O855" s="35">
        <f t="shared" si="26"/>
        <v>2.5</v>
      </c>
      <c r="P855" s="35">
        <v>11.5</v>
      </c>
      <c r="Q855" s="35">
        <v>8</v>
      </c>
      <c r="R855" s="35">
        <f t="shared" si="27"/>
        <v>9.75</v>
      </c>
      <c r="S855" s="35"/>
      <c r="T855" s="35"/>
      <c r="U855" s="35"/>
      <c r="V855" s="35" t="e">
        <f>AVERAGE(Tableau2[[#This Row],[1ère composition/10]:[3è composition]])</f>
        <v>#DIV/0!</v>
      </c>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f>COUNTIF(Tableau2[[#This Row],[Séance 1]:[Séance 38]],"A")</f>
        <v>0</v>
      </c>
      <c r="BJ855" s="35"/>
    </row>
    <row r="856" spans="1:62" s="42" customFormat="1" hidden="1" x14ac:dyDescent="0.2">
      <c r="A856" s="44" t="s">
        <v>2383</v>
      </c>
      <c r="B856" s="44" t="s">
        <v>2470</v>
      </c>
      <c r="C856" s="44" t="s">
        <v>3810</v>
      </c>
      <c r="D856" s="44" t="s">
        <v>300</v>
      </c>
      <c r="E856" s="44" t="s">
        <v>2212</v>
      </c>
      <c r="F856" s="48">
        <v>2021</v>
      </c>
      <c r="G856" s="48">
        <v>58</v>
      </c>
      <c r="H856" s="48">
        <v>59</v>
      </c>
      <c r="I856" s="44" t="str">
        <f>Tableau2[[#This Row],[Annee d''inscription au programme]]&amp;"-"&amp;Tableau2[[#This Row],[Code d''ecole]]&amp;"-"&amp;Tableau2[[#This Row],[Numero HM de la fille]]</f>
        <v>2021-58-59</v>
      </c>
      <c r="J856" s="45" t="s">
        <v>2103</v>
      </c>
      <c r="K856" s="44" t="s">
        <v>374</v>
      </c>
      <c r="L856" s="35" t="s">
        <v>3529</v>
      </c>
      <c r="M856" s="35">
        <v>6</v>
      </c>
      <c r="N856" s="35">
        <v>3</v>
      </c>
      <c r="O856" s="35">
        <f t="shared" si="26"/>
        <v>4.5</v>
      </c>
      <c r="P856" s="35">
        <v>10</v>
      </c>
      <c r="Q856" s="35">
        <v>6</v>
      </c>
      <c r="R856" s="35">
        <f t="shared" si="27"/>
        <v>8</v>
      </c>
      <c r="S856" s="35"/>
      <c r="T856" s="35"/>
      <c r="U856" s="35"/>
      <c r="V856" s="35" t="e">
        <f>AVERAGE(Tableau2[[#This Row],[1ère composition/10]:[3è composition]])</f>
        <v>#DIV/0!</v>
      </c>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f>COUNTIF(Tableau2[[#This Row],[Séance 1]:[Séance 38]],"A")</f>
        <v>0</v>
      </c>
      <c r="BJ856" s="35"/>
    </row>
    <row r="857" spans="1:62" s="42" customFormat="1" hidden="1" x14ac:dyDescent="0.2">
      <c r="A857" s="44" t="s">
        <v>2383</v>
      </c>
      <c r="B857" s="44" t="s">
        <v>2471</v>
      </c>
      <c r="C857" s="44" t="s">
        <v>3809</v>
      </c>
      <c r="D857" s="44" t="s">
        <v>2472</v>
      </c>
      <c r="E857" s="44" t="s">
        <v>2212</v>
      </c>
      <c r="F857" s="48">
        <v>2021</v>
      </c>
      <c r="G857" s="48">
        <v>58</v>
      </c>
      <c r="H857" s="48">
        <v>60</v>
      </c>
      <c r="I857" s="44" t="str">
        <f>Tableau2[[#This Row],[Annee d''inscription au programme]]&amp;"-"&amp;Tableau2[[#This Row],[Code d''ecole]]&amp;"-"&amp;Tableau2[[#This Row],[Numero HM de la fille]]</f>
        <v>2021-58-60</v>
      </c>
      <c r="J857" s="45" t="s">
        <v>2104</v>
      </c>
      <c r="K857" s="44" t="s">
        <v>593</v>
      </c>
      <c r="L857" s="35" t="s">
        <v>698</v>
      </c>
      <c r="M857" s="35">
        <v>11.5</v>
      </c>
      <c r="N857" s="35">
        <v>6</v>
      </c>
      <c r="O857" s="35">
        <f t="shared" si="26"/>
        <v>8.75</v>
      </c>
      <c r="P857" s="35">
        <v>12</v>
      </c>
      <c r="Q857" s="35">
        <v>14.5</v>
      </c>
      <c r="R857" s="35">
        <f t="shared" si="27"/>
        <v>13.25</v>
      </c>
      <c r="S857" s="35"/>
      <c r="T857" s="35"/>
      <c r="U857" s="35"/>
      <c r="V857" s="35" t="e">
        <f>AVERAGE(Tableau2[[#This Row],[1ère composition/10]:[3è composition]])</f>
        <v>#DIV/0!</v>
      </c>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f>COUNTIF(Tableau2[[#This Row],[Séance 1]:[Séance 38]],"A")</f>
        <v>0</v>
      </c>
      <c r="BJ857" s="35"/>
    </row>
    <row r="858" spans="1:62" s="42" customFormat="1" hidden="1" x14ac:dyDescent="0.2">
      <c r="A858" s="44" t="s">
        <v>2383</v>
      </c>
      <c r="B858" s="44" t="s">
        <v>2473</v>
      </c>
      <c r="C858" s="59" t="s">
        <v>3808</v>
      </c>
      <c r="D858" s="44" t="s">
        <v>2395</v>
      </c>
      <c r="E858" s="44" t="s">
        <v>2212</v>
      </c>
      <c r="F858" s="48">
        <v>2021</v>
      </c>
      <c r="G858" s="48">
        <v>58</v>
      </c>
      <c r="H858" s="48">
        <v>61</v>
      </c>
      <c r="I858" s="44" t="str">
        <f>Tableau2[[#This Row],[Annee d''inscription au programme]]&amp;"-"&amp;Tableau2[[#This Row],[Code d''ecole]]&amp;"-"&amp;Tableau2[[#This Row],[Numero HM de la fille]]</f>
        <v>2021-58-61</v>
      </c>
      <c r="J858" s="45" t="s">
        <v>2105</v>
      </c>
      <c r="K858" s="44" t="s">
        <v>593</v>
      </c>
      <c r="L858" s="35" t="s">
        <v>698</v>
      </c>
      <c r="M858" s="35">
        <v>11.5</v>
      </c>
      <c r="N858" s="35">
        <v>5</v>
      </c>
      <c r="O858" s="35">
        <f t="shared" si="26"/>
        <v>8.25</v>
      </c>
      <c r="P858" s="35">
        <v>14</v>
      </c>
      <c r="Q858" s="35">
        <v>12</v>
      </c>
      <c r="R858" s="35">
        <f t="shared" si="27"/>
        <v>13</v>
      </c>
      <c r="S858" s="35"/>
      <c r="T858" s="35"/>
      <c r="U858" s="35"/>
      <c r="V858" s="35" t="e">
        <f>AVERAGE(Tableau2[[#This Row],[1ère composition/10]:[3è composition]])</f>
        <v>#DIV/0!</v>
      </c>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f>COUNTIF(Tableau2[[#This Row],[Séance 1]:[Séance 38]],"A")</f>
        <v>0</v>
      </c>
      <c r="BJ858" s="35"/>
    </row>
    <row r="859" spans="1:62" s="42" customFormat="1" hidden="1" x14ac:dyDescent="0.2">
      <c r="A859" s="44" t="s">
        <v>2383</v>
      </c>
      <c r="B859" s="48" t="s">
        <v>788</v>
      </c>
      <c r="C859" s="59" t="s">
        <v>3808</v>
      </c>
      <c r="D859" s="48" t="s">
        <v>1249</v>
      </c>
      <c r="E859" s="44" t="s">
        <v>2212</v>
      </c>
      <c r="F859" s="48">
        <v>2021</v>
      </c>
      <c r="G859" s="48">
        <v>58</v>
      </c>
      <c r="H859" s="48">
        <v>62</v>
      </c>
      <c r="I859" s="48" t="str">
        <f>Tableau2[[#This Row],[Annee d''inscription au programme]]&amp;"-"&amp;Tableau2[[#This Row],[Code d''ecole]]&amp;"-"&amp;Tableau2[[#This Row],[Numero HM de la fille]]</f>
        <v>2021-58-62</v>
      </c>
      <c r="J859" s="45" t="s">
        <v>2106</v>
      </c>
      <c r="K859" s="44" t="s">
        <v>593</v>
      </c>
      <c r="L859" s="35" t="s">
        <v>698</v>
      </c>
      <c r="M859" s="35">
        <v>12</v>
      </c>
      <c r="N859" s="35">
        <v>4</v>
      </c>
      <c r="O859" s="35">
        <f t="shared" si="26"/>
        <v>8</v>
      </c>
      <c r="P859" s="35">
        <v>14</v>
      </c>
      <c r="Q859" s="35">
        <v>18.5</v>
      </c>
      <c r="R859" s="35">
        <f t="shared" si="27"/>
        <v>16.25</v>
      </c>
      <c r="S859" s="35"/>
      <c r="T859" s="35"/>
      <c r="U859" s="35"/>
      <c r="V859" s="35" t="e">
        <f>AVERAGE(Tableau2[[#This Row],[1ère composition/10]:[3è composition]])</f>
        <v>#DIV/0!</v>
      </c>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f>COUNTIF(Tableau2[[#This Row],[Séance 1]:[Séance 38]],"A")</f>
        <v>0</v>
      </c>
      <c r="BJ859" s="35"/>
    </row>
    <row r="860" spans="1:62" s="42" customFormat="1" hidden="1" x14ac:dyDescent="0.2">
      <c r="A860" s="44" t="s">
        <v>2383</v>
      </c>
      <c r="B860" s="44" t="s">
        <v>2474</v>
      </c>
      <c r="C860" s="59" t="s">
        <v>3799</v>
      </c>
      <c r="D860" s="44" t="s">
        <v>2475</v>
      </c>
      <c r="E860" s="44" t="s">
        <v>2212</v>
      </c>
      <c r="F860" s="48">
        <v>2021</v>
      </c>
      <c r="G860" s="48">
        <v>58</v>
      </c>
      <c r="H860" s="48">
        <v>63</v>
      </c>
      <c r="I860" s="44" t="str">
        <f>Tableau2[[#This Row],[Annee d''inscription au programme]]&amp;"-"&amp;Tableau2[[#This Row],[Code d''ecole]]&amp;"-"&amp;Tableau2[[#This Row],[Numero HM de la fille]]</f>
        <v>2021-58-63</v>
      </c>
      <c r="J860" s="45" t="s">
        <v>2107</v>
      </c>
      <c r="K860" s="44" t="s">
        <v>593</v>
      </c>
      <c r="L860" s="35" t="s">
        <v>698</v>
      </c>
      <c r="M860" s="35">
        <v>11</v>
      </c>
      <c r="N860" s="35">
        <v>12</v>
      </c>
      <c r="O860" s="35">
        <f t="shared" si="26"/>
        <v>11.5</v>
      </c>
      <c r="P860" s="35">
        <v>16</v>
      </c>
      <c r="Q860" s="35">
        <v>18.5</v>
      </c>
      <c r="R860" s="35">
        <f t="shared" si="27"/>
        <v>17.25</v>
      </c>
      <c r="S860" s="35"/>
      <c r="T860" s="35"/>
      <c r="U860" s="35"/>
      <c r="V860" s="35" t="e">
        <f>AVERAGE(Tableau2[[#This Row],[1ère composition/10]:[3è composition]])</f>
        <v>#DIV/0!</v>
      </c>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f>COUNTIF(Tableau2[[#This Row],[Séance 1]:[Séance 38]],"A")</f>
        <v>0</v>
      </c>
      <c r="BJ860" s="35"/>
    </row>
    <row r="861" spans="1:62" s="42" customFormat="1" hidden="1" x14ac:dyDescent="0.2">
      <c r="A861" s="44" t="s">
        <v>2383</v>
      </c>
      <c r="B861" s="44" t="s">
        <v>2476</v>
      </c>
      <c r="C861" s="44" t="s">
        <v>3799</v>
      </c>
      <c r="D861" s="44" t="s">
        <v>2477</v>
      </c>
      <c r="E861" s="44" t="s">
        <v>2212</v>
      </c>
      <c r="F861" s="48">
        <v>2021</v>
      </c>
      <c r="G861" s="48">
        <v>58</v>
      </c>
      <c r="H861" s="48">
        <v>64</v>
      </c>
      <c r="I861" s="44" t="str">
        <f>Tableau2[[#This Row],[Annee d''inscription au programme]]&amp;"-"&amp;Tableau2[[#This Row],[Code d''ecole]]&amp;"-"&amp;Tableau2[[#This Row],[Numero HM de la fille]]</f>
        <v>2021-58-64</v>
      </c>
      <c r="J861" s="45" t="s">
        <v>2108</v>
      </c>
      <c r="K861" s="44" t="s">
        <v>593</v>
      </c>
      <c r="L861" s="35" t="s">
        <v>698</v>
      </c>
      <c r="M861" s="35">
        <v>0</v>
      </c>
      <c r="N861" s="35">
        <v>0</v>
      </c>
      <c r="O861" s="35">
        <f t="shared" si="26"/>
        <v>0</v>
      </c>
      <c r="P861" s="35"/>
      <c r="Q861" s="35"/>
      <c r="R861" s="35">
        <f t="shared" si="27"/>
        <v>0</v>
      </c>
      <c r="S861" s="35"/>
      <c r="T861" s="35"/>
      <c r="U861" s="35"/>
      <c r="V861" s="35" t="e">
        <f>AVERAGE(Tableau2[[#This Row],[1ère composition/10]:[3è composition]])</f>
        <v>#DIV/0!</v>
      </c>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f>COUNTIF(Tableau2[[#This Row],[Séance 1]:[Séance 38]],"A")</f>
        <v>0</v>
      </c>
      <c r="BJ861" s="35"/>
    </row>
    <row r="862" spans="1:62" s="42" customFormat="1" hidden="1" x14ac:dyDescent="0.2">
      <c r="A862" s="44" t="s">
        <v>2478</v>
      </c>
      <c r="B862" s="44" t="s">
        <v>2479</v>
      </c>
      <c r="C862" s="44" t="s">
        <v>3826</v>
      </c>
      <c r="D862" s="44" t="s">
        <v>2480</v>
      </c>
      <c r="E862" s="44" t="s">
        <v>2212</v>
      </c>
      <c r="F862" s="48">
        <v>2021</v>
      </c>
      <c r="G862" s="48">
        <v>59</v>
      </c>
      <c r="H862" s="48">
        <v>1</v>
      </c>
      <c r="I862" s="44" t="str">
        <f>Tableau2[[#This Row],[Annee d''inscription au programme]]&amp;"-"&amp;Tableau2[[#This Row],[Code d''ecole]]&amp;"-"&amp;Tableau2[[#This Row],[Numero HM de la fille]]</f>
        <v>2021-59-1</v>
      </c>
      <c r="J862" s="45" t="s">
        <v>2109</v>
      </c>
      <c r="K862" s="44" t="s">
        <v>593</v>
      </c>
      <c r="L862" s="35" t="s">
        <v>698</v>
      </c>
      <c r="M862" s="35">
        <v>12</v>
      </c>
      <c r="N862" s="35">
        <v>6.5</v>
      </c>
      <c r="O862" s="35">
        <f t="shared" si="26"/>
        <v>9.25</v>
      </c>
      <c r="P862" s="35">
        <v>9</v>
      </c>
      <c r="Q862" s="35">
        <v>13.5</v>
      </c>
      <c r="R862" s="35">
        <f t="shared" si="27"/>
        <v>11.25</v>
      </c>
      <c r="S862" s="35"/>
      <c r="T862" s="35"/>
      <c r="U862" s="35"/>
      <c r="V862" s="35" t="e">
        <f>AVERAGE(Tableau2[[#This Row],[1ère composition/10]:[3è composition]])</f>
        <v>#DIV/0!</v>
      </c>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f>COUNTIF(Tableau2[[#This Row],[Séance 1]:[Séance 38]],"A")</f>
        <v>0</v>
      </c>
      <c r="BJ862" s="35"/>
    </row>
    <row r="863" spans="1:62" s="42" customFormat="1" hidden="1" x14ac:dyDescent="0.2">
      <c r="A863" s="44" t="s">
        <v>2478</v>
      </c>
      <c r="B863" s="44" t="s">
        <v>2481</v>
      </c>
      <c r="C863" s="44" t="s">
        <v>3826</v>
      </c>
      <c r="D863" s="44" t="s">
        <v>592</v>
      </c>
      <c r="E863" s="44" t="s">
        <v>2212</v>
      </c>
      <c r="F863" s="48">
        <v>2021</v>
      </c>
      <c r="G863" s="48">
        <v>59</v>
      </c>
      <c r="H863" s="48">
        <v>2</v>
      </c>
      <c r="I863" s="44" t="str">
        <f>Tableau2[[#This Row],[Annee d''inscription au programme]]&amp;"-"&amp;Tableau2[[#This Row],[Code d''ecole]]&amp;"-"&amp;Tableau2[[#This Row],[Numero HM de la fille]]</f>
        <v>2021-59-2</v>
      </c>
      <c r="J863" s="45" t="s">
        <v>2110</v>
      </c>
      <c r="K863" s="44" t="s">
        <v>593</v>
      </c>
      <c r="L863" s="35" t="s">
        <v>698</v>
      </c>
      <c r="M863" s="35">
        <v>7</v>
      </c>
      <c r="N863" s="35">
        <v>2</v>
      </c>
      <c r="O863" s="35">
        <f t="shared" si="26"/>
        <v>4.5</v>
      </c>
      <c r="P863" s="35">
        <v>3.5</v>
      </c>
      <c r="Q863" s="35">
        <v>8.75</v>
      </c>
      <c r="R863" s="35">
        <f t="shared" si="27"/>
        <v>6.125</v>
      </c>
      <c r="S863" s="35"/>
      <c r="T863" s="35"/>
      <c r="U863" s="35"/>
      <c r="V863" s="35" t="e">
        <f>AVERAGE(Tableau2[[#This Row],[1ère composition/10]:[3è composition]])</f>
        <v>#DIV/0!</v>
      </c>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f>COUNTIF(Tableau2[[#This Row],[Séance 1]:[Séance 38]],"A")</f>
        <v>0</v>
      </c>
      <c r="BJ863" s="35"/>
    </row>
    <row r="864" spans="1:62" s="42" customFormat="1" hidden="1" x14ac:dyDescent="0.2">
      <c r="A864" s="44" t="s">
        <v>2482</v>
      </c>
      <c r="B864" s="44" t="s">
        <v>2483</v>
      </c>
      <c r="C864" s="44" t="s">
        <v>3826</v>
      </c>
      <c r="D864" s="44" t="s">
        <v>2484</v>
      </c>
      <c r="E864" s="44" t="s">
        <v>2212</v>
      </c>
      <c r="F864" s="48">
        <v>2021</v>
      </c>
      <c r="G864" s="48">
        <v>59</v>
      </c>
      <c r="H864" s="48">
        <v>3</v>
      </c>
      <c r="I864" s="44" t="str">
        <f>Tableau2[[#This Row],[Annee d''inscription au programme]]&amp;"-"&amp;Tableau2[[#This Row],[Code d''ecole]]&amp;"-"&amp;Tableau2[[#This Row],[Numero HM de la fille]]</f>
        <v>2021-59-3</v>
      </c>
      <c r="J864" s="45" t="s">
        <v>2111</v>
      </c>
      <c r="K864" s="44" t="s">
        <v>593</v>
      </c>
      <c r="L864" s="35" t="s">
        <v>698</v>
      </c>
      <c r="M864" s="35">
        <v>5.5</v>
      </c>
      <c r="N864" s="35">
        <v>4</v>
      </c>
      <c r="O864" s="35">
        <f t="shared" si="26"/>
        <v>4.75</v>
      </c>
      <c r="P864" s="35">
        <v>9.5</v>
      </c>
      <c r="Q864" s="35">
        <v>7</v>
      </c>
      <c r="R864" s="35">
        <f t="shared" si="27"/>
        <v>8.25</v>
      </c>
      <c r="S864" s="35"/>
      <c r="T864" s="35"/>
      <c r="U864" s="35"/>
      <c r="V864" s="35" t="e">
        <f>AVERAGE(Tableau2[[#This Row],[1ère composition/10]:[3è composition]])</f>
        <v>#DIV/0!</v>
      </c>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f>COUNTIF(Tableau2[[#This Row],[Séance 1]:[Séance 38]],"A")</f>
        <v>0</v>
      </c>
      <c r="BJ864" s="35"/>
    </row>
    <row r="865" spans="1:62" s="42" customFormat="1" hidden="1" x14ac:dyDescent="0.2">
      <c r="A865" s="44" t="s">
        <v>2478</v>
      </c>
      <c r="B865" s="44" t="s">
        <v>2485</v>
      </c>
      <c r="C865" s="44" t="s">
        <v>3826</v>
      </c>
      <c r="D865" s="44" t="s">
        <v>2456</v>
      </c>
      <c r="E865" s="44" t="s">
        <v>2212</v>
      </c>
      <c r="F865" s="48">
        <v>2021</v>
      </c>
      <c r="G865" s="48">
        <v>59</v>
      </c>
      <c r="H865" s="48">
        <v>4</v>
      </c>
      <c r="I865" s="44" t="str">
        <f>Tableau2[[#This Row],[Annee d''inscription au programme]]&amp;"-"&amp;Tableau2[[#This Row],[Code d''ecole]]&amp;"-"&amp;Tableau2[[#This Row],[Numero HM de la fille]]</f>
        <v>2021-59-4</v>
      </c>
      <c r="J865" s="45" t="s">
        <v>2112</v>
      </c>
      <c r="K865" s="44" t="s">
        <v>593</v>
      </c>
      <c r="L865" s="35" t="s">
        <v>698</v>
      </c>
      <c r="M865" s="35">
        <v>1.5</v>
      </c>
      <c r="N865" s="35">
        <v>2</v>
      </c>
      <c r="O865" s="35">
        <f t="shared" si="26"/>
        <v>1.75</v>
      </c>
      <c r="P865" s="35">
        <v>3.5</v>
      </c>
      <c r="Q865" s="35">
        <v>0</v>
      </c>
      <c r="R865" s="35">
        <f t="shared" si="27"/>
        <v>1.75</v>
      </c>
      <c r="S865" s="35"/>
      <c r="T865" s="35"/>
      <c r="U865" s="35"/>
      <c r="V865" s="35" t="e">
        <f>AVERAGE(Tableau2[[#This Row],[1ère composition/10]:[3è composition]])</f>
        <v>#DIV/0!</v>
      </c>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f>COUNTIF(Tableau2[[#This Row],[Séance 1]:[Séance 38]],"A")</f>
        <v>0</v>
      </c>
      <c r="BJ865" s="35"/>
    </row>
    <row r="866" spans="1:62" s="42" customFormat="1" hidden="1" x14ac:dyDescent="0.2">
      <c r="A866" s="44" t="s">
        <v>2482</v>
      </c>
      <c r="B866" s="44" t="s">
        <v>2486</v>
      </c>
      <c r="C866" s="44" t="s">
        <v>3826</v>
      </c>
      <c r="D866" s="44" t="s">
        <v>1195</v>
      </c>
      <c r="E866" s="44" t="s">
        <v>2212</v>
      </c>
      <c r="F866" s="48">
        <v>2021</v>
      </c>
      <c r="G866" s="48">
        <v>59</v>
      </c>
      <c r="H866" s="48">
        <v>5</v>
      </c>
      <c r="I866" s="44" t="str">
        <f>Tableau2[[#This Row],[Annee d''inscription au programme]]&amp;"-"&amp;Tableau2[[#This Row],[Code d''ecole]]&amp;"-"&amp;Tableau2[[#This Row],[Numero HM de la fille]]</f>
        <v>2021-59-5</v>
      </c>
      <c r="J866" s="45" t="s">
        <v>2113</v>
      </c>
      <c r="K866" s="44" t="s">
        <v>593</v>
      </c>
      <c r="L866" s="35" t="s">
        <v>698</v>
      </c>
      <c r="M866" s="35">
        <v>5</v>
      </c>
      <c r="N866" s="35">
        <v>6</v>
      </c>
      <c r="O866" s="35">
        <f t="shared" si="26"/>
        <v>5.5</v>
      </c>
      <c r="P866" s="35">
        <v>4.5</v>
      </c>
      <c r="Q866" s="35">
        <v>12.75</v>
      </c>
      <c r="R866" s="35">
        <f t="shared" si="27"/>
        <v>8.625</v>
      </c>
      <c r="S866" s="35"/>
      <c r="T866" s="35"/>
      <c r="U866" s="35"/>
      <c r="V866" s="35" t="e">
        <f>AVERAGE(Tableau2[[#This Row],[1ère composition/10]:[3è composition]])</f>
        <v>#DIV/0!</v>
      </c>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f>COUNTIF(Tableau2[[#This Row],[Séance 1]:[Séance 38]],"A")</f>
        <v>0</v>
      </c>
      <c r="BJ866" s="35"/>
    </row>
    <row r="867" spans="1:62" s="42" customFormat="1" hidden="1" x14ac:dyDescent="0.2">
      <c r="A867" s="44" t="s">
        <v>2478</v>
      </c>
      <c r="B867" s="44" t="s">
        <v>2487</v>
      </c>
      <c r="C867" s="44" t="s">
        <v>3826</v>
      </c>
      <c r="D867" s="44" t="s">
        <v>156</v>
      </c>
      <c r="E867" s="44" t="s">
        <v>2212</v>
      </c>
      <c r="F867" s="48">
        <v>2021</v>
      </c>
      <c r="G867" s="48">
        <v>59</v>
      </c>
      <c r="H867" s="48">
        <v>6</v>
      </c>
      <c r="I867" s="44" t="str">
        <f>Tableau2[[#This Row],[Annee d''inscription au programme]]&amp;"-"&amp;Tableau2[[#This Row],[Code d''ecole]]&amp;"-"&amp;Tableau2[[#This Row],[Numero HM de la fille]]</f>
        <v>2021-59-6</v>
      </c>
      <c r="J867" s="45" t="s">
        <v>2114</v>
      </c>
      <c r="K867" s="44" t="s">
        <v>593</v>
      </c>
      <c r="L867" s="35" t="s">
        <v>698</v>
      </c>
      <c r="M867" s="35">
        <v>7</v>
      </c>
      <c r="N867" s="35">
        <v>3.5</v>
      </c>
      <c r="O867" s="35">
        <f t="shared" si="26"/>
        <v>5.25</v>
      </c>
      <c r="P867" s="35">
        <v>6.5</v>
      </c>
      <c r="Q867" s="35">
        <v>4</v>
      </c>
      <c r="R867" s="35">
        <f t="shared" si="27"/>
        <v>5.25</v>
      </c>
      <c r="S867" s="35"/>
      <c r="T867" s="35"/>
      <c r="U867" s="35"/>
      <c r="V867" s="35" t="e">
        <f>AVERAGE(Tableau2[[#This Row],[1ère composition/10]:[3è composition]])</f>
        <v>#DIV/0!</v>
      </c>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f>COUNTIF(Tableau2[[#This Row],[Séance 1]:[Séance 38]],"A")</f>
        <v>0</v>
      </c>
      <c r="BJ867" s="35"/>
    </row>
    <row r="868" spans="1:62" s="42" customFormat="1" hidden="1" x14ac:dyDescent="0.2">
      <c r="A868" s="44" t="s">
        <v>2478</v>
      </c>
      <c r="B868" s="44" t="s">
        <v>2488</v>
      </c>
      <c r="C868" s="44" t="s">
        <v>3826</v>
      </c>
      <c r="D868" s="44" t="s">
        <v>2489</v>
      </c>
      <c r="E868" s="44" t="s">
        <v>2212</v>
      </c>
      <c r="F868" s="48">
        <v>2021</v>
      </c>
      <c r="G868" s="48">
        <v>59</v>
      </c>
      <c r="H868" s="48">
        <v>7</v>
      </c>
      <c r="I868" s="44" t="str">
        <f>Tableau2[[#This Row],[Annee d''inscription au programme]]&amp;"-"&amp;Tableau2[[#This Row],[Code d''ecole]]&amp;"-"&amp;Tableau2[[#This Row],[Numero HM de la fille]]</f>
        <v>2021-59-7</v>
      </c>
      <c r="J868" s="45" t="s">
        <v>2115</v>
      </c>
      <c r="K868" s="44" t="s">
        <v>593</v>
      </c>
      <c r="L868" s="35" t="s">
        <v>698</v>
      </c>
      <c r="M868" s="35">
        <v>5</v>
      </c>
      <c r="N868" s="35">
        <v>3</v>
      </c>
      <c r="O868" s="35">
        <f t="shared" si="26"/>
        <v>4</v>
      </c>
      <c r="P868" s="35">
        <v>8.5</v>
      </c>
      <c r="Q868" s="35">
        <v>6</v>
      </c>
      <c r="R868" s="35">
        <f t="shared" si="27"/>
        <v>7.25</v>
      </c>
      <c r="S868" s="35"/>
      <c r="T868" s="35"/>
      <c r="U868" s="35"/>
      <c r="V868" s="35" t="e">
        <f>AVERAGE(Tableau2[[#This Row],[1ère composition/10]:[3è composition]])</f>
        <v>#DIV/0!</v>
      </c>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f>COUNTIF(Tableau2[[#This Row],[Séance 1]:[Séance 38]],"A")</f>
        <v>0</v>
      </c>
      <c r="BJ868" s="35"/>
    </row>
    <row r="869" spans="1:62" s="42" customFormat="1" hidden="1" x14ac:dyDescent="0.2">
      <c r="A869" s="44" t="s">
        <v>2478</v>
      </c>
      <c r="B869" s="44" t="s">
        <v>2490</v>
      </c>
      <c r="C869" s="44" t="s">
        <v>3826</v>
      </c>
      <c r="D869" s="44" t="s">
        <v>282</v>
      </c>
      <c r="E869" s="44" t="s">
        <v>2212</v>
      </c>
      <c r="F869" s="48">
        <v>2021</v>
      </c>
      <c r="G869" s="48">
        <v>59</v>
      </c>
      <c r="H869" s="48">
        <v>8</v>
      </c>
      <c r="I869" s="44" t="str">
        <f>Tableau2[[#This Row],[Annee d''inscription au programme]]&amp;"-"&amp;Tableau2[[#This Row],[Code d''ecole]]&amp;"-"&amp;Tableau2[[#This Row],[Numero HM de la fille]]</f>
        <v>2021-59-8</v>
      </c>
      <c r="J869" s="45" t="s">
        <v>2116</v>
      </c>
      <c r="K869" s="44" t="s">
        <v>593</v>
      </c>
      <c r="L869" s="35" t="s">
        <v>698</v>
      </c>
      <c r="M869" s="35">
        <v>3</v>
      </c>
      <c r="N869" s="35">
        <v>2</v>
      </c>
      <c r="O869" s="35">
        <f t="shared" si="26"/>
        <v>2.5</v>
      </c>
      <c r="P869" s="35">
        <v>3</v>
      </c>
      <c r="Q869" s="35">
        <v>8.5</v>
      </c>
      <c r="R869" s="35">
        <f t="shared" si="27"/>
        <v>5.75</v>
      </c>
      <c r="S869" s="35"/>
      <c r="T869" s="35"/>
      <c r="U869" s="35"/>
      <c r="V869" s="35" t="e">
        <f>AVERAGE(Tableau2[[#This Row],[1ère composition/10]:[3è composition]])</f>
        <v>#DIV/0!</v>
      </c>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f>COUNTIF(Tableau2[[#This Row],[Séance 1]:[Séance 38]],"A")</f>
        <v>0</v>
      </c>
      <c r="BJ869" s="35"/>
    </row>
    <row r="870" spans="1:62" s="42" customFormat="1" hidden="1" x14ac:dyDescent="0.2">
      <c r="A870" s="44" t="s">
        <v>2478</v>
      </c>
      <c r="B870" s="44" t="s">
        <v>2491</v>
      </c>
      <c r="C870" s="44" t="s">
        <v>3826</v>
      </c>
      <c r="D870" s="44" t="s">
        <v>239</v>
      </c>
      <c r="E870" s="44" t="s">
        <v>2212</v>
      </c>
      <c r="F870" s="48">
        <v>2021</v>
      </c>
      <c r="G870" s="48">
        <v>59</v>
      </c>
      <c r="H870" s="48">
        <v>9</v>
      </c>
      <c r="I870" s="44" t="str">
        <f>Tableau2[[#This Row],[Annee d''inscription au programme]]&amp;"-"&amp;Tableau2[[#This Row],[Code d''ecole]]&amp;"-"&amp;Tableau2[[#This Row],[Numero HM de la fille]]</f>
        <v>2021-59-9</v>
      </c>
      <c r="J870" s="45" t="s">
        <v>2117</v>
      </c>
      <c r="K870" s="44" t="s">
        <v>593</v>
      </c>
      <c r="L870" s="35" t="s">
        <v>698</v>
      </c>
      <c r="M870" s="35">
        <v>5</v>
      </c>
      <c r="N870" s="35">
        <v>14</v>
      </c>
      <c r="O870" s="35">
        <f t="shared" si="26"/>
        <v>9.5</v>
      </c>
      <c r="P870" s="35">
        <v>7.5</v>
      </c>
      <c r="Q870" s="35">
        <v>12.5</v>
      </c>
      <c r="R870" s="35">
        <f t="shared" si="27"/>
        <v>10</v>
      </c>
      <c r="S870" s="35"/>
      <c r="T870" s="35"/>
      <c r="U870" s="35"/>
      <c r="V870" s="35" t="e">
        <f>AVERAGE(Tableau2[[#This Row],[1ère composition/10]:[3è composition]])</f>
        <v>#DIV/0!</v>
      </c>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f>COUNTIF(Tableau2[[#This Row],[Séance 1]:[Séance 38]],"A")</f>
        <v>0</v>
      </c>
      <c r="BJ870" s="35"/>
    </row>
    <row r="871" spans="1:62" s="42" customFormat="1" hidden="1" x14ac:dyDescent="0.2">
      <c r="A871" s="44" t="s">
        <v>2478</v>
      </c>
      <c r="B871" s="44" t="s">
        <v>2492</v>
      </c>
      <c r="C871" s="44" t="s">
        <v>3826</v>
      </c>
      <c r="D871" s="44" t="s">
        <v>1195</v>
      </c>
      <c r="E871" s="44" t="s">
        <v>2212</v>
      </c>
      <c r="F871" s="48">
        <v>2021</v>
      </c>
      <c r="G871" s="48">
        <v>59</v>
      </c>
      <c r="H871" s="48">
        <v>10</v>
      </c>
      <c r="I871" s="44" t="str">
        <f>Tableau2[[#This Row],[Annee d''inscription au programme]]&amp;"-"&amp;Tableau2[[#This Row],[Code d''ecole]]&amp;"-"&amp;Tableau2[[#This Row],[Numero HM de la fille]]</f>
        <v>2021-59-10</v>
      </c>
      <c r="J871" s="45" t="s">
        <v>2118</v>
      </c>
      <c r="K871" s="44" t="s">
        <v>593</v>
      </c>
      <c r="L871" s="35" t="s">
        <v>698</v>
      </c>
      <c r="M871" s="35">
        <v>2</v>
      </c>
      <c r="N871" s="35">
        <v>0</v>
      </c>
      <c r="O871" s="35">
        <f t="shared" si="26"/>
        <v>1</v>
      </c>
      <c r="P871" s="35">
        <v>4.5</v>
      </c>
      <c r="Q871" s="35">
        <v>5</v>
      </c>
      <c r="R871" s="35">
        <f t="shared" si="27"/>
        <v>4.75</v>
      </c>
      <c r="S871" s="35"/>
      <c r="T871" s="35"/>
      <c r="U871" s="35"/>
      <c r="V871" s="35" t="e">
        <f>AVERAGE(Tableau2[[#This Row],[1ère composition/10]:[3è composition]])</f>
        <v>#DIV/0!</v>
      </c>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f>COUNTIF(Tableau2[[#This Row],[Séance 1]:[Séance 38]],"A")</f>
        <v>0</v>
      </c>
      <c r="BJ871" s="35"/>
    </row>
    <row r="872" spans="1:62" s="42" customFormat="1" hidden="1" x14ac:dyDescent="0.2">
      <c r="A872" s="44" t="s">
        <v>2478</v>
      </c>
      <c r="B872" s="44" t="s">
        <v>2493</v>
      </c>
      <c r="C872" s="44" t="s">
        <v>3826</v>
      </c>
      <c r="D872" s="44" t="s">
        <v>192</v>
      </c>
      <c r="E872" s="44" t="s">
        <v>2212</v>
      </c>
      <c r="F872" s="48">
        <v>2021</v>
      </c>
      <c r="G872" s="48">
        <v>59</v>
      </c>
      <c r="H872" s="48">
        <v>11</v>
      </c>
      <c r="I872" s="44" t="str">
        <f>Tableau2[[#This Row],[Annee d''inscription au programme]]&amp;"-"&amp;Tableau2[[#This Row],[Code d''ecole]]&amp;"-"&amp;Tableau2[[#This Row],[Numero HM de la fille]]</f>
        <v>2021-59-11</v>
      </c>
      <c r="J872" s="45" t="s">
        <v>2119</v>
      </c>
      <c r="K872" s="44" t="s">
        <v>593</v>
      </c>
      <c r="L872" s="35" t="s">
        <v>698</v>
      </c>
      <c r="M872" s="35">
        <v>5</v>
      </c>
      <c r="N872" s="35">
        <v>2</v>
      </c>
      <c r="O872" s="35">
        <f t="shared" si="26"/>
        <v>3.5</v>
      </c>
      <c r="P872" s="35"/>
      <c r="Q872" s="35"/>
      <c r="R872" s="35">
        <f t="shared" si="27"/>
        <v>0</v>
      </c>
      <c r="S872" s="35"/>
      <c r="T872" s="35"/>
      <c r="U872" s="35"/>
      <c r="V872" s="35" t="e">
        <f>AVERAGE(Tableau2[[#This Row],[1ère composition/10]:[3è composition]])</f>
        <v>#DIV/0!</v>
      </c>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f>COUNTIF(Tableau2[[#This Row],[Séance 1]:[Séance 38]],"A")</f>
        <v>0</v>
      </c>
      <c r="BJ872" s="35"/>
    </row>
    <row r="873" spans="1:62" s="42" customFormat="1" hidden="1" x14ac:dyDescent="0.2">
      <c r="A873" s="44" t="s">
        <v>2478</v>
      </c>
      <c r="B873" s="44" t="s">
        <v>2494</v>
      </c>
      <c r="C873" s="44" t="s">
        <v>3826</v>
      </c>
      <c r="D873" s="44" t="s">
        <v>2495</v>
      </c>
      <c r="E873" s="44" t="s">
        <v>2212</v>
      </c>
      <c r="F873" s="48">
        <v>2021</v>
      </c>
      <c r="G873" s="48">
        <v>59</v>
      </c>
      <c r="H873" s="48">
        <v>12</v>
      </c>
      <c r="I873" s="44" t="str">
        <f>Tableau2[[#This Row],[Annee d''inscription au programme]]&amp;"-"&amp;Tableau2[[#This Row],[Code d''ecole]]&amp;"-"&amp;Tableau2[[#This Row],[Numero HM de la fille]]</f>
        <v>2021-59-12</v>
      </c>
      <c r="J873" s="45" t="s">
        <v>2120</v>
      </c>
      <c r="K873" s="44" t="s">
        <v>593</v>
      </c>
      <c r="L873" s="35" t="s">
        <v>698</v>
      </c>
      <c r="M873" s="35">
        <v>7</v>
      </c>
      <c r="N873" s="35">
        <v>4.5</v>
      </c>
      <c r="O873" s="35">
        <f t="shared" si="26"/>
        <v>5.75</v>
      </c>
      <c r="P873" s="35">
        <v>10</v>
      </c>
      <c r="Q873" s="35">
        <v>8.5</v>
      </c>
      <c r="R873" s="35">
        <f t="shared" si="27"/>
        <v>9.25</v>
      </c>
      <c r="S873" s="35"/>
      <c r="T873" s="35"/>
      <c r="U873" s="35"/>
      <c r="V873" s="35" t="e">
        <f>AVERAGE(Tableau2[[#This Row],[1ère composition/10]:[3è composition]])</f>
        <v>#DIV/0!</v>
      </c>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f>COUNTIF(Tableau2[[#This Row],[Séance 1]:[Séance 38]],"A")</f>
        <v>0</v>
      </c>
      <c r="BJ873" s="35"/>
    </row>
    <row r="874" spans="1:62" s="42" customFormat="1" hidden="1" x14ac:dyDescent="0.2">
      <c r="A874" s="44" t="s">
        <v>2482</v>
      </c>
      <c r="B874" s="44" t="s">
        <v>2496</v>
      </c>
      <c r="C874" s="44" t="s">
        <v>3826</v>
      </c>
      <c r="D874" s="44" t="s">
        <v>346</v>
      </c>
      <c r="E874" s="44" t="s">
        <v>2212</v>
      </c>
      <c r="F874" s="48">
        <v>2021</v>
      </c>
      <c r="G874" s="48">
        <v>59</v>
      </c>
      <c r="H874" s="48">
        <v>13</v>
      </c>
      <c r="I874" s="44" t="str">
        <f>Tableau2[[#This Row],[Annee d''inscription au programme]]&amp;"-"&amp;Tableau2[[#This Row],[Code d''ecole]]&amp;"-"&amp;Tableau2[[#This Row],[Numero HM de la fille]]</f>
        <v>2021-59-13</v>
      </c>
      <c r="J874" s="45" t="s">
        <v>2121</v>
      </c>
      <c r="K874" s="44" t="s">
        <v>593</v>
      </c>
      <c r="L874" s="35" t="s">
        <v>698</v>
      </c>
      <c r="M874" s="35">
        <v>0.5</v>
      </c>
      <c r="N874" s="35">
        <v>3</v>
      </c>
      <c r="O874" s="35">
        <f t="shared" si="26"/>
        <v>1.75</v>
      </c>
      <c r="P874" s="35">
        <v>1.5</v>
      </c>
      <c r="Q874" s="35">
        <v>5</v>
      </c>
      <c r="R874" s="35">
        <f t="shared" si="27"/>
        <v>3.25</v>
      </c>
      <c r="S874" s="35"/>
      <c r="T874" s="35"/>
      <c r="U874" s="35"/>
      <c r="V874" s="35" t="e">
        <f>AVERAGE(Tableau2[[#This Row],[1ère composition/10]:[3è composition]])</f>
        <v>#DIV/0!</v>
      </c>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f>COUNTIF(Tableau2[[#This Row],[Séance 1]:[Séance 38]],"A")</f>
        <v>0</v>
      </c>
      <c r="BJ874" s="35"/>
    </row>
    <row r="875" spans="1:62" s="42" customFormat="1" hidden="1" x14ac:dyDescent="0.2">
      <c r="A875" s="44" t="s">
        <v>2478</v>
      </c>
      <c r="B875" s="44" t="s">
        <v>2497</v>
      </c>
      <c r="C875" s="44" t="s">
        <v>3826</v>
      </c>
      <c r="D875" s="44" t="s">
        <v>2498</v>
      </c>
      <c r="E875" s="44" t="s">
        <v>2212</v>
      </c>
      <c r="F875" s="48">
        <v>2021</v>
      </c>
      <c r="G875" s="48">
        <v>59</v>
      </c>
      <c r="H875" s="48">
        <v>14</v>
      </c>
      <c r="I875" s="44" t="str">
        <f>Tableau2[[#This Row],[Annee d''inscription au programme]]&amp;"-"&amp;Tableau2[[#This Row],[Code d''ecole]]&amp;"-"&amp;Tableau2[[#This Row],[Numero HM de la fille]]</f>
        <v>2021-59-14</v>
      </c>
      <c r="J875" s="45" t="s">
        <v>2122</v>
      </c>
      <c r="K875" s="44" t="s">
        <v>593</v>
      </c>
      <c r="L875" s="35" t="s">
        <v>698</v>
      </c>
      <c r="M875" s="35">
        <v>12</v>
      </c>
      <c r="N875" s="35">
        <v>11</v>
      </c>
      <c r="O875" s="35">
        <f t="shared" si="26"/>
        <v>11.5</v>
      </c>
      <c r="P875" s="35">
        <v>12.5</v>
      </c>
      <c r="Q875" s="35">
        <v>15.5</v>
      </c>
      <c r="R875" s="35">
        <f t="shared" si="27"/>
        <v>14</v>
      </c>
      <c r="S875" s="35"/>
      <c r="T875" s="35"/>
      <c r="U875" s="35"/>
      <c r="V875" s="35" t="e">
        <f>AVERAGE(Tableau2[[#This Row],[1ère composition/10]:[3è composition]])</f>
        <v>#DIV/0!</v>
      </c>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f>COUNTIF(Tableau2[[#This Row],[Séance 1]:[Séance 38]],"A")</f>
        <v>0</v>
      </c>
      <c r="BJ875" s="35"/>
    </row>
    <row r="876" spans="1:62" s="42" customFormat="1" hidden="1" x14ac:dyDescent="0.2">
      <c r="A876" s="44" t="s">
        <v>2359</v>
      </c>
      <c r="B876" s="44" t="s">
        <v>2499</v>
      </c>
      <c r="C876" s="44" t="s">
        <v>3826</v>
      </c>
      <c r="D876" s="44" t="s">
        <v>1023</v>
      </c>
      <c r="E876" s="44" t="s">
        <v>2212</v>
      </c>
      <c r="F876" s="48">
        <v>2021</v>
      </c>
      <c r="G876" s="48">
        <v>60</v>
      </c>
      <c r="H876" s="48">
        <v>1</v>
      </c>
      <c r="I876" s="44" t="str">
        <f>Tableau2[[#This Row],[Annee d''inscription au programme]]&amp;"-"&amp;Tableau2[[#This Row],[Code d''ecole]]&amp;"-"&amp;Tableau2[[#This Row],[Numero HM de la fille]]</f>
        <v>2021-60-1</v>
      </c>
      <c r="J876" s="45" t="s">
        <v>2123</v>
      </c>
      <c r="K876" s="44" t="s">
        <v>593</v>
      </c>
      <c r="L876" s="35" t="s">
        <v>698</v>
      </c>
      <c r="M876" s="35">
        <v>13</v>
      </c>
      <c r="N876" s="35">
        <v>18</v>
      </c>
      <c r="O876" s="35">
        <f t="shared" si="26"/>
        <v>15.5</v>
      </c>
      <c r="P876" s="35">
        <v>19.5</v>
      </c>
      <c r="Q876" s="35">
        <v>19</v>
      </c>
      <c r="R876" s="35">
        <f t="shared" si="27"/>
        <v>19.25</v>
      </c>
      <c r="S876" s="35"/>
      <c r="T876" s="35"/>
      <c r="U876" s="35"/>
      <c r="V876" s="35" t="e">
        <f>AVERAGE(Tableau2[[#This Row],[1ère composition/10]:[3è composition]])</f>
        <v>#DIV/0!</v>
      </c>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f>COUNTIF(Tableau2[[#This Row],[Séance 1]:[Séance 38]],"A")</f>
        <v>0</v>
      </c>
      <c r="BJ876" s="35"/>
    </row>
    <row r="877" spans="1:62" s="42" customFormat="1" hidden="1" x14ac:dyDescent="0.2">
      <c r="A877" s="44" t="s">
        <v>2359</v>
      </c>
      <c r="B877" s="44" t="s">
        <v>2500</v>
      </c>
      <c r="C877" s="44" t="s">
        <v>3826</v>
      </c>
      <c r="D877" s="44" t="s">
        <v>215</v>
      </c>
      <c r="E877" s="44" t="s">
        <v>2212</v>
      </c>
      <c r="F877" s="48">
        <v>2021</v>
      </c>
      <c r="G877" s="48">
        <v>60</v>
      </c>
      <c r="H877" s="48">
        <v>2</v>
      </c>
      <c r="I877" s="44" t="str">
        <f>Tableau2[[#This Row],[Annee d''inscription au programme]]&amp;"-"&amp;Tableau2[[#This Row],[Code d''ecole]]&amp;"-"&amp;Tableau2[[#This Row],[Numero HM de la fille]]</f>
        <v>2021-60-2</v>
      </c>
      <c r="J877" s="45" t="s">
        <v>2124</v>
      </c>
      <c r="K877" s="58" t="s">
        <v>374</v>
      </c>
      <c r="L877" s="35" t="s">
        <v>3529</v>
      </c>
      <c r="M877" s="35">
        <v>6</v>
      </c>
      <c r="N877" s="35">
        <v>4</v>
      </c>
      <c r="O877" s="35">
        <f t="shared" si="26"/>
        <v>5</v>
      </c>
      <c r="P877" s="35">
        <v>8.5</v>
      </c>
      <c r="Q877" s="35">
        <v>6.5</v>
      </c>
      <c r="R877" s="35">
        <f t="shared" si="27"/>
        <v>7.5</v>
      </c>
      <c r="S877" s="35"/>
      <c r="T877" s="35"/>
      <c r="U877" s="35"/>
      <c r="V877" s="35" t="e">
        <f>AVERAGE(Tableau2[[#This Row],[1ère composition/10]:[3è composition]])</f>
        <v>#DIV/0!</v>
      </c>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f>COUNTIF(Tableau2[[#This Row],[Séance 1]:[Séance 38]],"A")</f>
        <v>0</v>
      </c>
      <c r="BJ877" s="35"/>
    </row>
    <row r="878" spans="1:62" s="42" customFormat="1" hidden="1" x14ac:dyDescent="0.2">
      <c r="A878" s="44" t="s">
        <v>2359</v>
      </c>
      <c r="B878" s="44" t="s">
        <v>2501</v>
      </c>
      <c r="C878" s="44" t="s">
        <v>3826</v>
      </c>
      <c r="D878" s="44" t="s">
        <v>2502</v>
      </c>
      <c r="E878" s="44" t="s">
        <v>2212</v>
      </c>
      <c r="F878" s="48">
        <v>2021</v>
      </c>
      <c r="G878" s="48">
        <v>60</v>
      </c>
      <c r="H878" s="48">
        <v>3</v>
      </c>
      <c r="I878" s="44" t="str">
        <f>Tableau2[[#This Row],[Annee d''inscription au programme]]&amp;"-"&amp;Tableau2[[#This Row],[Code d''ecole]]&amp;"-"&amp;Tableau2[[#This Row],[Numero HM de la fille]]</f>
        <v>2021-60-3</v>
      </c>
      <c r="J878" s="45" t="s">
        <v>2125</v>
      </c>
      <c r="K878" s="58" t="s">
        <v>374</v>
      </c>
      <c r="L878" s="35" t="s">
        <v>3529</v>
      </c>
      <c r="M878" s="35">
        <v>5</v>
      </c>
      <c r="N878" s="35">
        <v>3</v>
      </c>
      <c r="O878" s="35">
        <f t="shared" si="26"/>
        <v>4</v>
      </c>
      <c r="P878" s="35">
        <v>12</v>
      </c>
      <c r="Q878" s="35">
        <v>8.5</v>
      </c>
      <c r="R878" s="35">
        <f t="shared" si="27"/>
        <v>10.25</v>
      </c>
      <c r="S878" s="35"/>
      <c r="T878" s="35"/>
      <c r="U878" s="35"/>
      <c r="V878" s="35" t="e">
        <f>AVERAGE(Tableau2[[#This Row],[1ère composition/10]:[3è composition]])</f>
        <v>#DIV/0!</v>
      </c>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f>COUNTIF(Tableau2[[#This Row],[Séance 1]:[Séance 38]],"A")</f>
        <v>0</v>
      </c>
      <c r="BJ878" s="35"/>
    </row>
    <row r="879" spans="1:62" s="42" customFormat="1" hidden="1" x14ac:dyDescent="0.2">
      <c r="A879" s="44" t="s">
        <v>2359</v>
      </c>
      <c r="B879" s="44" t="s">
        <v>2503</v>
      </c>
      <c r="C879" s="44" t="s">
        <v>3826</v>
      </c>
      <c r="D879" s="44" t="s">
        <v>2382</v>
      </c>
      <c r="E879" s="44" t="s">
        <v>2212</v>
      </c>
      <c r="F879" s="48">
        <v>2021</v>
      </c>
      <c r="G879" s="48">
        <v>60</v>
      </c>
      <c r="H879" s="48">
        <v>4</v>
      </c>
      <c r="I879" s="44" t="str">
        <f>Tableau2[[#This Row],[Annee d''inscription au programme]]&amp;"-"&amp;Tableau2[[#This Row],[Code d''ecole]]&amp;"-"&amp;Tableau2[[#This Row],[Numero HM de la fille]]</f>
        <v>2021-60-4</v>
      </c>
      <c r="J879" s="45" t="s">
        <v>2126</v>
      </c>
      <c r="K879" s="58" t="s">
        <v>593</v>
      </c>
      <c r="L879" s="35" t="s">
        <v>698</v>
      </c>
      <c r="M879" s="35">
        <v>6</v>
      </c>
      <c r="N879" s="35">
        <v>4</v>
      </c>
      <c r="O879" s="35">
        <f t="shared" si="26"/>
        <v>5</v>
      </c>
      <c r="P879" s="35">
        <v>8</v>
      </c>
      <c r="Q879" s="35">
        <v>6.5</v>
      </c>
      <c r="R879" s="35">
        <f t="shared" si="27"/>
        <v>7.25</v>
      </c>
      <c r="S879" s="35"/>
      <c r="T879" s="35"/>
      <c r="U879" s="35"/>
      <c r="V879" s="35" t="e">
        <f>AVERAGE(Tableau2[[#This Row],[1ère composition/10]:[3è composition]])</f>
        <v>#DIV/0!</v>
      </c>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f>COUNTIF(Tableau2[[#This Row],[Séance 1]:[Séance 38]],"A")</f>
        <v>0</v>
      </c>
      <c r="BJ879" s="35"/>
    </row>
    <row r="880" spans="1:62" s="42" customFormat="1" hidden="1" x14ac:dyDescent="0.2">
      <c r="A880" s="44" t="s">
        <v>2359</v>
      </c>
      <c r="B880" s="44" t="s">
        <v>2504</v>
      </c>
      <c r="C880" s="44" t="s">
        <v>3826</v>
      </c>
      <c r="D880" s="44" t="s">
        <v>934</v>
      </c>
      <c r="E880" s="44" t="s">
        <v>2212</v>
      </c>
      <c r="F880" s="48">
        <v>2021</v>
      </c>
      <c r="G880" s="48">
        <v>60</v>
      </c>
      <c r="H880" s="48">
        <v>5</v>
      </c>
      <c r="I880" s="44" t="str">
        <f>Tableau2[[#This Row],[Annee d''inscription au programme]]&amp;"-"&amp;Tableau2[[#This Row],[Code d''ecole]]&amp;"-"&amp;Tableau2[[#This Row],[Numero HM de la fille]]</f>
        <v>2021-60-5</v>
      </c>
      <c r="J880" s="45" t="s">
        <v>2127</v>
      </c>
      <c r="K880" s="58" t="s">
        <v>593</v>
      </c>
      <c r="L880" s="35" t="s">
        <v>698</v>
      </c>
      <c r="M880" s="35">
        <v>1.5</v>
      </c>
      <c r="N880" s="35">
        <v>2</v>
      </c>
      <c r="O880" s="35">
        <f t="shared" si="26"/>
        <v>1.75</v>
      </c>
      <c r="P880" s="35">
        <v>4.5</v>
      </c>
      <c r="Q880" s="35">
        <v>6.5</v>
      </c>
      <c r="R880" s="35">
        <f t="shared" si="27"/>
        <v>5.5</v>
      </c>
      <c r="S880" s="35"/>
      <c r="T880" s="35"/>
      <c r="U880" s="35"/>
      <c r="V880" s="35" t="e">
        <f>AVERAGE(Tableau2[[#This Row],[1ère composition/10]:[3è composition]])</f>
        <v>#DIV/0!</v>
      </c>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f>COUNTIF(Tableau2[[#This Row],[Séance 1]:[Séance 38]],"A")</f>
        <v>0</v>
      </c>
      <c r="BJ880" s="35"/>
    </row>
    <row r="881" spans="1:62" s="42" customFormat="1" hidden="1" x14ac:dyDescent="0.2">
      <c r="A881" s="44" t="s">
        <v>2359</v>
      </c>
      <c r="B881" s="44" t="s">
        <v>2505</v>
      </c>
      <c r="C881" s="44" t="s">
        <v>3826</v>
      </c>
      <c r="D881" s="44" t="s">
        <v>1195</v>
      </c>
      <c r="E881" s="44" t="s">
        <v>2212</v>
      </c>
      <c r="F881" s="48">
        <v>2021</v>
      </c>
      <c r="G881" s="48">
        <v>60</v>
      </c>
      <c r="H881" s="48">
        <v>6</v>
      </c>
      <c r="I881" s="44" t="str">
        <f>Tableau2[[#This Row],[Annee d''inscription au programme]]&amp;"-"&amp;Tableau2[[#This Row],[Code d''ecole]]&amp;"-"&amp;Tableau2[[#This Row],[Numero HM de la fille]]</f>
        <v>2021-60-6</v>
      </c>
      <c r="J881" s="45" t="s">
        <v>2128</v>
      </c>
      <c r="K881" s="58" t="s">
        <v>374</v>
      </c>
      <c r="L881" s="35" t="s">
        <v>3529</v>
      </c>
      <c r="M881" s="35">
        <v>6</v>
      </c>
      <c r="N881" s="35">
        <v>1</v>
      </c>
      <c r="O881" s="35">
        <f t="shared" si="26"/>
        <v>3.5</v>
      </c>
      <c r="P881" s="35">
        <v>5.5</v>
      </c>
      <c r="Q881" s="35">
        <v>9</v>
      </c>
      <c r="R881" s="35">
        <f t="shared" si="27"/>
        <v>7.25</v>
      </c>
      <c r="S881" s="35"/>
      <c r="T881" s="35"/>
      <c r="U881" s="35"/>
      <c r="V881" s="35" t="e">
        <f>AVERAGE(Tableau2[[#This Row],[1ère composition/10]:[3è composition]])</f>
        <v>#DIV/0!</v>
      </c>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f>COUNTIF(Tableau2[[#This Row],[Séance 1]:[Séance 38]],"A")</f>
        <v>0</v>
      </c>
      <c r="BJ881" s="35"/>
    </row>
    <row r="882" spans="1:62" s="42" customFormat="1" hidden="1" x14ac:dyDescent="0.2">
      <c r="A882" s="44" t="s">
        <v>2359</v>
      </c>
      <c r="B882" s="44" t="s">
        <v>2506</v>
      </c>
      <c r="C882" s="44" t="s">
        <v>3826</v>
      </c>
      <c r="D882" s="44" t="s">
        <v>1153</v>
      </c>
      <c r="E882" s="44" t="s">
        <v>2212</v>
      </c>
      <c r="F882" s="48">
        <v>2021</v>
      </c>
      <c r="G882" s="48">
        <v>60</v>
      </c>
      <c r="H882" s="48">
        <v>7</v>
      </c>
      <c r="I882" s="44" t="str">
        <f>Tableau2[[#This Row],[Annee d''inscription au programme]]&amp;"-"&amp;Tableau2[[#This Row],[Code d''ecole]]&amp;"-"&amp;Tableau2[[#This Row],[Numero HM de la fille]]</f>
        <v>2021-60-7</v>
      </c>
      <c r="J882" s="45" t="s">
        <v>2129</v>
      </c>
      <c r="K882" s="58" t="s">
        <v>593</v>
      </c>
      <c r="L882" s="35" t="s">
        <v>698</v>
      </c>
      <c r="M882" s="35">
        <v>11</v>
      </c>
      <c r="N882" s="35">
        <v>12</v>
      </c>
      <c r="O882" s="35">
        <f t="shared" si="26"/>
        <v>11.5</v>
      </c>
      <c r="P882" s="35">
        <v>14</v>
      </c>
      <c r="Q882" s="35">
        <v>13.5</v>
      </c>
      <c r="R882" s="35">
        <f t="shared" si="27"/>
        <v>13.75</v>
      </c>
      <c r="S882" s="35"/>
      <c r="T882" s="35"/>
      <c r="U882" s="35"/>
      <c r="V882" s="35" t="e">
        <f>AVERAGE(Tableau2[[#This Row],[1ère composition/10]:[3è composition]])</f>
        <v>#DIV/0!</v>
      </c>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f>COUNTIF(Tableau2[[#This Row],[Séance 1]:[Séance 38]],"A")</f>
        <v>0</v>
      </c>
      <c r="BJ882" s="35"/>
    </row>
    <row r="883" spans="1:62" s="42" customFormat="1" hidden="1" x14ac:dyDescent="0.2">
      <c r="A883" s="44" t="s">
        <v>2359</v>
      </c>
      <c r="B883" s="44" t="s">
        <v>2507</v>
      </c>
      <c r="C883" s="44" t="s">
        <v>3826</v>
      </c>
      <c r="D883" s="44" t="s">
        <v>2508</v>
      </c>
      <c r="E883" s="44" t="s">
        <v>2212</v>
      </c>
      <c r="F883" s="48">
        <v>2021</v>
      </c>
      <c r="G883" s="48">
        <v>60</v>
      </c>
      <c r="H883" s="48">
        <v>8</v>
      </c>
      <c r="I883" s="44" t="str">
        <f>Tableau2[[#This Row],[Annee d''inscription au programme]]&amp;"-"&amp;Tableau2[[#This Row],[Code d''ecole]]&amp;"-"&amp;Tableau2[[#This Row],[Numero HM de la fille]]</f>
        <v>2021-60-8</v>
      </c>
      <c r="J883" s="45" t="s">
        <v>2130</v>
      </c>
      <c r="K883" s="58" t="s">
        <v>593</v>
      </c>
      <c r="L883" s="35" t="s">
        <v>698</v>
      </c>
      <c r="M883" s="35">
        <v>3</v>
      </c>
      <c r="N883" s="35">
        <v>2</v>
      </c>
      <c r="O883" s="35">
        <f t="shared" si="26"/>
        <v>2.5</v>
      </c>
      <c r="P883" s="35">
        <v>11.5</v>
      </c>
      <c r="Q883" s="35">
        <v>9.5</v>
      </c>
      <c r="R883" s="35">
        <f t="shared" si="27"/>
        <v>10.5</v>
      </c>
      <c r="S883" s="35"/>
      <c r="T883" s="35"/>
      <c r="U883" s="35"/>
      <c r="V883" s="35" t="e">
        <f>AVERAGE(Tableau2[[#This Row],[1ère composition/10]:[3è composition]])</f>
        <v>#DIV/0!</v>
      </c>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f>COUNTIF(Tableau2[[#This Row],[Séance 1]:[Séance 38]],"A")</f>
        <v>0</v>
      </c>
      <c r="BJ883" s="35"/>
    </row>
    <row r="884" spans="1:62" s="42" customFormat="1" hidden="1" x14ac:dyDescent="0.2">
      <c r="A884" s="44" t="s">
        <v>2359</v>
      </c>
      <c r="B884" s="44" t="s">
        <v>2509</v>
      </c>
      <c r="C884" s="44" t="s">
        <v>3826</v>
      </c>
      <c r="D884" s="44" t="s">
        <v>2375</v>
      </c>
      <c r="E884" s="44" t="s">
        <v>2212</v>
      </c>
      <c r="F884" s="48">
        <v>2021</v>
      </c>
      <c r="G884" s="48">
        <v>60</v>
      </c>
      <c r="H884" s="48">
        <v>9</v>
      </c>
      <c r="I884" s="44" t="str">
        <f>Tableau2[[#This Row],[Annee d''inscription au programme]]&amp;"-"&amp;Tableau2[[#This Row],[Code d''ecole]]&amp;"-"&amp;Tableau2[[#This Row],[Numero HM de la fille]]</f>
        <v>2021-60-9</v>
      </c>
      <c r="J884" s="45" t="s">
        <v>2131</v>
      </c>
      <c r="K884" s="58" t="s">
        <v>593</v>
      </c>
      <c r="L884" s="35" t="s">
        <v>698</v>
      </c>
      <c r="M884" s="35">
        <v>3</v>
      </c>
      <c r="N884" s="35">
        <v>1</v>
      </c>
      <c r="O884" s="35">
        <f t="shared" si="26"/>
        <v>2</v>
      </c>
      <c r="P884" s="35">
        <v>10</v>
      </c>
      <c r="Q884" s="35">
        <v>11.25</v>
      </c>
      <c r="R884" s="35">
        <f t="shared" si="27"/>
        <v>10.625</v>
      </c>
      <c r="S884" s="35"/>
      <c r="T884" s="35"/>
      <c r="U884" s="35"/>
      <c r="V884" s="35" t="e">
        <f>AVERAGE(Tableau2[[#This Row],[1ère composition/10]:[3è composition]])</f>
        <v>#DIV/0!</v>
      </c>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f>COUNTIF(Tableau2[[#This Row],[Séance 1]:[Séance 38]],"A")</f>
        <v>0</v>
      </c>
      <c r="BJ884" s="35"/>
    </row>
    <row r="885" spans="1:62" s="42" customFormat="1" hidden="1" x14ac:dyDescent="0.2">
      <c r="A885" s="44" t="s">
        <v>2359</v>
      </c>
      <c r="B885" s="44" t="s">
        <v>2510</v>
      </c>
      <c r="C885" s="44" t="s">
        <v>3826</v>
      </c>
      <c r="D885" s="44" t="s">
        <v>2375</v>
      </c>
      <c r="E885" s="44" t="s">
        <v>2212</v>
      </c>
      <c r="F885" s="48">
        <v>2021</v>
      </c>
      <c r="G885" s="48">
        <v>60</v>
      </c>
      <c r="H885" s="48">
        <v>10</v>
      </c>
      <c r="I885" s="44" t="str">
        <f>Tableau2[[#This Row],[Annee d''inscription au programme]]&amp;"-"&amp;Tableau2[[#This Row],[Code d''ecole]]&amp;"-"&amp;Tableau2[[#This Row],[Numero HM de la fille]]</f>
        <v>2021-60-10</v>
      </c>
      <c r="J885" s="45" t="s">
        <v>2132</v>
      </c>
      <c r="K885" s="58" t="s">
        <v>374</v>
      </c>
      <c r="L885" s="35" t="s">
        <v>3529</v>
      </c>
      <c r="M885" s="35">
        <v>4</v>
      </c>
      <c r="N885" s="35">
        <v>0</v>
      </c>
      <c r="O885" s="35">
        <f t="shared" si="26"/>
        <v>2</v>
      </c>
      <c r="P885" s="35">
        <v>7.5</v>
      </c>
      <c r="Q885" s="35">
        <v>9</v>
      </c>
      <c r="R885" s="35">
        <f t="shared" si="27"/>
        <v>8.25</v>
      </c>
      <c r="S885" s="35"/>
      <c r="T885" s="35"/>
      <c r="U885" s="35"/>
      <c r="V885" s="35" t="e">
        <f>AVERAGE(Tableau2[[#This Row],[1ère composition/10]:[3è composition]])</f>
        <v>#DIV/0!</v>
      </c>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f>COUNTIF(Tableau2[[#This Row],[Séance 1]:[Séance 38]],"A")</f>
        <v>0</v>
      </c>
      <c r="BJ885" s="35"/>
    </row>
    <row r="886" spans="1:62" s="42" customFormat="1" hidden="1" x14ac:dyDescent="0.2">
      <c r="A886" s="44" t="s">
        <v>2359</v>
      </c>
      <c r="B886" s="44" t="s">
        <v>2511</v>
      </c>
      <c r="C886" s="44" t="s">
        <v>3826</v>
      </c>
      <c r="D886" s="44" t="s">
        <v>1005</v>
      </c>
      <c r="E886" s="44" t="s">
        <v>2212</v>
      </c>
      <c r="F886" s="48">
        <v>2021</v>
      </c>
      <c r="G886" s="48">
        <v>60</v>
      </c>
      <c r="H886" s="48">
        <v>11</v>
      </c>
      <c r="I886" s="44" t="str">
        <f>Tableau2[[#This Row],[Annee d''inscription au programme]]&amp;"-"&amp;Tableau2[[#This Row],[Code d''ecole]]&amp;"-"&amp;Tableau2[[#This Row],[Numero HM de la fille]]</f>
        <v>2021-60-11</v>
      </c>
      <c r="J886" s="45" t="s">
        <v>2133</v>
      </c>
      <c r="K886" s="58" t="s">
        <v>374</v>
      </c>
      <c r="L886" s="35" t="s">
        <v>3529</v>
      </c>
      <c r="M886" s="35">
        <v>4</v>
      </c>
      <c r="N886" s="35">
        <v>4</v>
      </c>
      <c r="O886" s="35">
        <f t="shared" si="26"/>
        <v>4</v>
      </c>
      <c r="P886" s="35">
        <v>8</v>
      </c>
      <c r="Q886" s="35">
        <v>10.75</v>
      </c>
      <c r="R886" s="35">
        <f t="shared" si="27"/>
        <v>9.375</v>
      </c>
      <c r="S886" s="35"/>
      <c r="T886" s="35"/>
      <c r="U886" s="35"/>
      <c r="V886" s="35" t="e">
        <f>AVERAGE(Tableau2[[#This Row],[1ère composition/10]:[3è composition]])</f>
        <v>#DIV/0!</v>
      </c>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f>COUNTIF(Tableau2[[#This Row],[Séance 1]:[Séance 38]],"A")</f>
        <v>0</v>
      </c>
      <c r="BJ886" s="35"/>
    </row>
    <row r="887" spans="1:62" s="42" customFormat="1" hidden="1" x14ac:dyDescent="0.2">
      <c r="A887" s="44" t="s">
        <v>2359</v>
      </c>
      <c r="B887" s="44" t="s">
        <v>2512</v>
      </c>
      <c r="C887" s="44" t="s">
        <v>3826</v>
      </c>
      <c r="D887" s="44" t="s">
        <v>592</v>
      </c>
      <c r="E887" s="44" t="s">
        <v>2212</v>
      </c>
      <c r="F887" s="48">
        <v>2021</v>
      </c>
      <c r="G887" s="48">
        <v>60</v>
      </c>
      <c r="H887" s="48">
        <v>12</v>
      </c>
      <c r="I887" s="44" t="str">
        <f>Tableau2[[#This Row],[Annee d''inscription au programme]]&amp;"-"&amp;Tableau2[[#This Row],[Code d''ecole]]&amp;"-"&amp;Tableau2[[#This Row],[Numero HM de la fille]]</f>
        <v>2021-60-12</v>
      </c>
      <c r="J887" s="45" t="s">
        <v>2134</v>
      </c>
      <c r="K887" s="58" t="s">
        <v>374</v>
      </c>
      <c r="L887" s="35" t="s">
        <v>3529</v>
      </c>
      <c r="M887" s="35">
        <v>3</v>
      </c>
      <c r="N887" s="35">
        <v>3</v>
      </c>
      <c r="O887" s="35">
        <f t="shared" si="26"/>
        <v>3</v>
      </c>
      <c r="P887" s="35">
        <v>8</v>
      </c>
      <c r="Q887" s="35">
        <v>7.75</v>
      </c>
      <c r="R887" s="35">
        <f t="shared" si="27"/>
        <v>7.875</v>
      </c>
      <c r="S887" s="35"/>
      <c r="T887" s="35"/>
      <c r="U887" s="35"/>
      <c r="V887" s="35" t="e">
        <f>AVERAGE(Tableau2[[#This Row],[1ère composition/10]:[3è composition]])</f>
        <v>#DIV/0!</v>
      </c>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f>COUNTIF(Tableau2[[#This Row],[Séance 1]:[Séance 38]],"A")</f>
        <v>0</v>
      </c>
      <c r="BJ887" s="35"/>
    </row>
    <row r="888" spans="1:62" s="42" customFormat="1" hidden="1" x14ac:dyDescent="0.2">
      <c r="A888" s="44" t="s">
        <v>2359</v>
      </c>
      <c r="B888" s="44" t="s">
        <v>1177</v>
      </c>
      <c r="C888" s="44" t="s">
        <v>3826</v>
      </c>
      <c r="D888" s="44" t="s">
        <v>156</v>
      </c>
      <c r="E888" s="44" t="s">
        <v>2212</v>
      </c>
      <c r="F888" s="48">
        <v>2021</v>
      </c>
      <c r="G888" s="48">
        <v>60</v>
      </c>
      <c r="H888" s="48">
        <v>13</v>
      </c>
      <c r="I888" s="44" t="str">
        <f>Tableau2[[#This Row],[Annee d''inscription au programme]]&amp;"-"&amp;Tableau2[[#This Row],[Code d''ecole]]&amp;"-"&amp;Tableau2[[#This Row],[Numero HM de la fille]]</f>
        <v>2021-60-13</v>
      </c>
      <c r="J888" s="45" t="s">
        <v>2135</v>
      </c>
      <c r="K888" s="58" t="s">
        <v>374</v>
      </c>
      <c r="L888" s="35" t="s">
        <v>3529</v>
      </c>
      <c r="M888" s="35">
        <v>3</v>
      </c>
      <c r="N888" s="35">
        <v>2</v>
      </c>
      <c r="O888" s="35">
        <f t="shared" si="26"/>
        <v>2.5</v>
      </c>
      <c r="P888" s="35">
        <v>10</v>
      </c>
      <c r="Q888" s="35">
        <v>11</v>
      </c>
      <c r="R888" s="35">
        <f t="shared" si="27"/>
        <v>10.5</v>
      </c>
      <c r="S888" s="35"/>
      <c r="T888" s="35"/>
      <c r="U888" s="35"/>
      <c r="V888" s="35" t="e">
        <f>AVERAGE(Tableau2[[#This Row],[1ère composition/10]:[3è composition]])</f>
        <v>#DIV/0!</v>
      </c>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f>COUNTIF(Tableau2[[#This Row],[Séance 1]:[Séance 38]],"A")</f>
        <v>0</v>
      </c>
      <c r="BJ888" s="35"/>
    </row>
    <row r="889" spans="1:62" s="42" customFormat="1" hidden="1" x14ac:dyDescent="0.2">
      <c r="A889" s="44" t="s">
        <v>2359</v>
      </c>
      <c r="B889" s="44" t="s">
        <v>2513</v>
      </c>
      <c r="C889" s="44" t="s">
        <v>3826</v>
      </c>
      <c r="D889" s="44" t="s">
        <v>213</v>
      </c>
      <c r="E889" s="44" t="s">
        <v>2212</v>
      </c>
      <c r="F889" s="48">
        <v>2021</v>
      </c>
      <c r="G889" s="48">
        <v>60</v>
      </c>
      <c r="H889" s="48">
        <v>14</v>
      </c>
      <c r="I889" s="44" t="str">
        <f>Tableau2[[#This Row],[Annee d''inscription au programme]]&amp;"-"&amp;Tableau2[[#This Row],[Code d''ecole]]&amp;"-"&amp;Tableau2[[#This Row],[Numero HM de la fille]]</f>
        <v>2021-60-14</v>
      </c>
      <c r="J889" s="45" t="s">
        <v>2136</v>
      </c>
      <c r="K889" s="58" t="s">
        <v>593</v>
      </c>
      <c r="L889" s="35" t="s">
        <v>698</v>
      </c>
      <c r="M889" s="35">
        <v>14.5</v>
      </c>
      <c r="N889" s="35">
        <v>4.5</v>
      </c>
      <c r="O889" s="35">
        <f t="shared" si="26"/>
        <v>9.5</v>
      </c>
      <c r="P889" s="35">
        <v>19.5</v>
      </c>
      <c r="Q889" s="35">
        <v>18.5</v>
      </c>
      <c r="R889" s="35">
        <f t="shared" si="27"/>
        <v>19</v>
      </c>
      <c r="S889" s="35"/>
      <c r="T889" s="35"/>
      <c r="U889" s="35"/>
      <c r="V889" s="35" t="e">
        <f>AVERAGE(Tableau2[[#This Row],[1ère composition/10]:[3è composition]])</f>
        <v>#DIV/0!</v>
      </c>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f>COUNTIF(Tableau2[[#This Row],[Séance 1]:[Séance 38]],"A")</f>
        <v>0</v>
      </c>
      <c r="BJ889" s="35"/>
    </row>
    <row r="890" spans="1:62" s="42" customFormat="1" hidden="1" x14ac:dyDescent="0.2">
      <c r="A890" s="44" t="s">
        <v>2359</v>
      </c>
      <c r="B890" s="44" t="s">
        <v>2514</v>
      </c>
      <c r="C890" s="44" t="s">
        <v>3826</v>
      </c>
      <c r="D890" s="44" t="s">
        <v>364</v>
      </c>
      <c r="E890" s="44" t="s">
        <v>2212</v>
      </c>
      <c r="F890" s="48">
        <v>2021</v>
      </c>
      <c r="G890" s="48">
        <v>60</v>
      </c>
      <c r="H890" s="48">
        <v>15</v>
      </c>
      <c r="I890" s="44" t="str">
        <f>Tableau2[[#This Row],[Annee d''inscription au programme]]&amp;"-"&amp;Tableau2[[#This Row],[Code d''ecole]]&amp;"-"&amp;Tableau2[[#This Row],[Numero HM de la fille]]</f>
        <v>2021-60-15</v>
      </c>
      <c r="J890" s="45" t="s">
        <v>2137</v>
      </c>
      <c r="K890" s="58" t="s">
        <v>593</v>
      </c>
      <c r="L890" s="35" t="s">
        <v>698</v>
      </c>
      <c r="M890" s="35">
        <v>2</v>
      </c>
      <c r="N890" s="35">
        <v>1</v>
      </c>
      <c r="O890" s="35">
        <f t="shared" si="26"/>
        <v>1.5</v>
      </c>
      <c r="P890" s="35">
        <v>4</v>
      </c>
      <c r="Q890" s="35">
        <v>8.25</v>
      </c>
      <c r="R890" s="35">
        <f t="shared" si="27"/>
        <v>6.125</v>
      </c>
      <c r="S890" s="35"/>
      <c r="T890" s="35"/>
      <c r="U890" s="35"/>
      <c r="V890" s="35" t="e">
        <f>AVERAGE(Tableau2[[#This Row],[1ère composition/10]:[3è composition]])</f>
        <v>#DIV/0!</v>
      </c>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f>COUNTIF(Tableau2[[#This Row],[Séance 1]:[Séance 38]],"A")</f>
        <v>0</v>
      </c>
      <c r="BJ890" s="35"/>
    </row>
    <row r="891" spans="1:62" s="42" customFormat="1" hidden="1" x14ac:dyDescent="0.2">
      <c r="A891" s="44" t="s">
        <v>2359</v>
      </c>
      <c r="B891" s="44" t="s">
        <v>2515</v>
      </c>
      <c r="C891" s="44" t="s">
        <v>3826</v>
      </c>
      <c r="D891" s="44" t="s">
        <v>2516</v>
      </c>
      <c r="E891" s="44" t="s">
        <v>2212</v>
      </c>
      <c r="F891" s="48">
        <v>2021</v>
      </c>
      <c r="G891" s="48">
        <v>60</v>
      </c>
      <c r="H891" s="48">
        <v>16</v>
      </c>
      <c r="I891" s="44" t="str">
        <f>Tableau2[[#This Row],[Annee d''inscription au programme]]&amp;"-"&amp;Tableau2[[#This Row],[Code d''ecole]]&amp;"-"&amp;Tableau2[[#This Row],[Numero HM de la fille]]</f>
        <v>2021-60-16</v>
      </c>
      <c r="J891" s="45" t="s">
        <v>2138</v>
      </c>
      <c r="K891" s="58" t="s">
        <v>593</v>
      </c>
      <c r="L891" s="35" t="s">
        <v>698</v>
      </c>
      <c r="M891" s="35">
        <v>2</v>
      </c>
      <c r="N891" s="35">
        <v>1</v>
      </c>
      <c r="O891" s="35">
        <f t="shared" si="26"/>
        <v>1.5</v>
      </c>
      <c r="P891" s="35">
        <v>7.5</v>
      </c>
      <c r="Q891" s="35">
        <v>6.75</v>
      </c>
      <c r="R891" s="35">
        <f t="shared" si="27"/>
        <v>7.125</v>
      </c>
      <c r="S891" s="35"/>
      <c r="T891" s="35"/>
      <c r="U891" s="35"/>
      <c r="V891" s="35" t="e">
        <f>AVERAGE(Tableau2[[#This Row],[1ère composition/10]:[3è composition]])</f>
        <v>#DIV/0!</v>
      </c>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f>COUNTIF(Tableau2[[#This Row],[Séance 1]:[Séance 38]],"A")</f>
        <v>0</v>
      </c>
      <c r="BJ891" s="35"/>
    </row>
    <row r="892" spans="1:62" s="42" customFormat="1" hidden="1" x14ac:dyDescent="0.2">
      <c r="A892" s="44" t="s">
        <v>2359</v>
      </c>
      <c r="B892" s="44" t="s">
        <v>2517</v>
      </c>
      <c r="C892" s="44" t="s">
        <v>3826</v>
      </c>
      <c r="D892" s="44" t="s">
        <v>1206</v>
      </c>
      <c r="E892" s="44" t="s">
        <v>2212</v>
      </c>
      <c r="F892" s="48">
        <v>2021</v>
      </c>
      <c r="G892" s="48">
        <v>60</v>
      </c>
      <c r="H892" s="48">
        <v>17</v>
      </c>
      <c r="I892" s="44" t="str">
        <f>Tableau2[[#This Row],[Annee d''inscription au programme]]&amp;"-"&amp;Tableau2[[#This Row],[Code d''ecole]]&amp;"-"&amp;Tableau2[[#This Row],[Numero HM de la fille]]</f>
        <v>2021-60-17</v>
      </c>
      <c r="J892" s="45" t="s">
        <v>2139</v>
      </c>
      <c r="K892" s="58" t="s">
        <v>374</v>
      </c>
      <c r="L892" s="35" t="s">
        <v>3529</v>
      </c>
      <c r="M892" s="35">
        <v>1</v>
      </c>
      <c r="N892" s="35">
        <v>2</v>
      </c>
      <c r="O892" s="35">
        <f t="shared" si="26"/>
        <v>1.5</v>
      </c>
      <c r="P892" s="35">
        <v>6</v>
      </c>
      <c r="Q892" s="35">
        <v>8.5</v>
      </c>
      <c r="R892" s="35">
        <f t="shared" si="27"/>
        <v>7.25</v>
      </c>
      <c r="S892" s="35"/>
      <c r="T892" s="35"/>
      <c r="U892" s="35"/>
      <c r="V892" s="35" t="e">
        <f>AVERAGE(Tableau2[[#This Row],[1ère composition/10]:[3è composition]])</f>
        <v>#DIV/0!</v>
      </c>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f>COUNTIF(Tableau2[[#This Row],[Séance 1]:[Séance 38]],"A")</f>
        <v>0</v>
      </c>
      <c r="BJ892" s="35"/>
    </row>
    <row r="893" spans="1:62" s="42" customFormat="1" hidden="1" x14ac:dyDescent="0.2">
      <c r="A893" s="44" t="s">
        <v>2359</v>
      </c>
      <c r="B893" s="44" t="s">
        <v>2518</v>
      </c>
      <c r="C893" s="44" t="s">
        <v>3826</v>
      </c>
      <c r="D893" s="44" t="s">
        <v>1005</v>
      </c>
      <c r="E893" s="44" t="s">
        <v>2212</v>
      </c>
      <c r="F893" s="48">
        <v>2021</v>
      </c>
      <c r="G893" s="48">
        <v>60</v>
      </c>
      <c r="H893" s="48">
        <v>18</v>
      </c>
      <c r="I893" s="44" t="str">
        <f>Tableau2[[#This Row],[Annee d''inscription au programme]]&amp;"-"&amp;Tableau2[[#This Row],[Code d''ecole]]&amp;"-"&amp;Tableau2[[#This Row],[Numero HM de la fille]]</f>
        <v>2021-60-18</v>
      </c>
      <c r="J893" s="45" t="s">
        <v>2140</v>
      </c>
      <c r="K893" s="58" t="s">
        <v>593</v>
      </c>
      <c r="L893" s="35" t="s">
        <v>698</v>
      </c>
      <c r="M893" s="35">
        <v>10.5</v>
      </c>
      <c r="N893" s="35">
        <v>0</v>
      </c>
      <c r="O893" s="35">
        <f t="shared" si="26"/>
        <v>5.25</v>
      </c>
      <c r="P893" s="35">
        <v>4.5</v>
      </c>
      <c r="Q893" s="35">
        <v>5.5</v>
      </c>
      <c r="R893" s="35">
        <f t="shared" si="27"/>
        <v>5</v>
      </c>
      <c r="S893" s="35"/>
      <c r="T893" s="35"/>
      <c r="U893" s="35"/>
      <c r="V893" s="35" t="e">
        <f>AVERAGE(Tableau2[[#This Row],[1ère composition/10]:[3è composition]])</f>
        <v>#DIV/0!</v>
      </c>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f>COUNTIF(Tableau2[[#This Row],[Séance 1]:[Séance 38]],"A")</f>
        <v>0</v>
      </c>
      <c r="BJ893" s="35"/>
    </row>
    <row r="894" spans="1:62" s="42" customFormat="1" hidden="1" x14ac:dyDescent="0.2">
      <c r="A894" s="44" t="s">
        <v>2359</v>
      </c>
      <c r="B894" s="44" t="s">
        <v>972</v>
      </c>
      <c r="C894" s="44" t="s">
        <v>3826</v>
      </c>
      <c r="D894" s="44" t="s">
        <v>1005</v>
      </c>
      <c r="E894" s="44" t="s">
        <v>2212</v>
      </c>
      <c r="F894" s="48">
        <v>2021</v>
      </c>
      <c r="G894" s="48">
        <v>60</v>
      </c>
      <c r="H894" s="48">
        <v>19</v>
      </c>
      <c r="I894" s="44" t="str">
        <f>Tableau2[[#This Row],[Annee d''inscription au programme]]&amp;"-"&amp;Tableau2[[#This Row],[Code d''ecole]]&amp;"-"&amp;Tableau2[[#This Row],[Numero HM de la fille]]</f>
        <v>2021-60-19</v>
      </c>
      <c r="J894" s="45" t="s">
        <v>2141</v>
      </c>
      <c r="K894" s="58" t="s">
        <v>593</v>
      </c>
      <c r="L894" s="35" t="s">
        <v>698</v>
      </c>
      <c r="M894" s="35">
        <v>9</v>
      </c>
      <c r="N894" s="35">
        <v>11</v>
      </c>
      <c r="O894" s="35">
        <f t="shared" si="26"/>
        <v>10</v>
      </c>
      <c r="P894" s="35">
        <v>13.5</v>
      </c>
      <c r="Q894" s="35">
        <v>9</v>
      </c>
      <c r="R894" s="35">
        <f t="shared" si="27"/>
        <v>11.25</v>
      </c>
      <c r="S894" s="35"/>
      <c r="T894" s="35"/>
      <c r="U894" s="35"/>
      <c r="V894" s="35" t="e">
        <f>AVERAGE(Tableau2[[#This Row],[1ère composition/10]:[3è composition]])</f>
        <v>#DIV/0!</v>
      </c>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f>COUNTIF(Tableau2[[#This Row],[Séance 1]:[Séance 38]],"A")</f>
        <v>0</v>
      </c>
      <c r="BJ894" s="35"/>
    </row>
    <row r="895" spans="1:62" s="42" customFormat="1" hidden="1" x14ac:dyDescent="0.2">
      <c r="A895" s="44" t="s">
        <v>2359</v>
      </c>
      <c r="B895" s="44" t="s">
        <v>2360</v>
      </c>
      <c r="C895" s="44" t="s">
        <v>3826</v>
      </c>
      <c r="D895" s="44" t="s">
        <v>364</v>
      </c>
      <c r="E895" s="44" t="s">
        <v>2212</v>
      </c>
      <c r="F895" s="48">
        <v>2021</v>
      </c>
      <c r="G895" s="48">
        <v>60</v>
      </c>
      <c r="H895" s="48">
        <v>20</v>
      </c>
      <c r="I895" s="44" t="str">
        <f>Tableau2[[#This Row],[Annee d''inscription au programme]]&amp;"-"&amp;Tableau2[[#This Row],[Code d''ecole]]&amp;"-"&amp;Tableau2[[#This Row],[Numero HM de la fille]]</f>
        <v>2021-60-20</v>
      </c>
      <c r="J895" s="45" t="s">
        <v>2142</v>
      </c>
      <c r="K895" s="58" t="s">
        <v>374</v>
      </c>
      <c r="L895" s="35" t="s">
        <v>3529</v>
      </c>
      <c r="M895" s="35">
        <v>5</v>
      </c>
      <c r="N895" s="35">
        <v>3.5</v>
      </c>
      <c r="O895" s="35">
        <f t="shared" si="26"/>
        <v>4.25</v>
      </c>
      <c r="P895" s="35">
        <v>7</v>
      </c>
      <c r="Q895" s="35">
        <v>12.25</v>
      </c>
      <c r="R895" s="35">
        <f t="shared" si="27"/>
        <v>9.625</v>
      </c>
      <c r="S895" s="35"/>
      <c r="T895" s="35"/>
      <c r="U895" s="35"/>
      <c r="V895" s="35" t="e">
        <f>AVERAGE(Tableau2[[#This Row],[1ère composition/10]:[3è composition]])</f>
        <v>#DIV/0!</v>
      </c>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f>COUNTIF(Tableau2[[#This Row],[Séance 1]:[Séance 38]],"A")</f>
        <v>0</v>
      </c>
      <c r="BJ895" s="35"/>
    </row>
    <row r="896" spans="1:62" s="42" customFormat="1" hidden="1" x14ac:dyDescent="0.2">
      <c r="A896" s="44" t="s">
        <v>2359</v>
      </c>
      <c r="B896" s="44" t="s">
        <v>2361</v>
      </c>
      <c r="C896" s="44" t="s">
        <v>3826</v>
      </c>
      <c r="D896" s="44" t="s">
        <v>231</v>
      </c>
      <c r="E896" s="44" t="s">
        <v>2212</v>
      </c>
      <c r="F896" s="48">
        <v>2021</v>
      </c>
      <c r="G896" s="48">
        <v>60</v>
      </c>
      <c r="H896" s="48">
        <v>21</v>
      </c>
      <c r="I896" s="44" t="str">
        <f>Tableau2[[#This Row],[Annee d''inscription au programme]]&amp;"-"&amp;Tableau2[[#This Row],[Code d''ecole]]&amp;"-"&amp;Tableau2[[#This Row],[Numero HM de la fille]]</f>
        <v>2021-60-21</v>
      </c>
      <c r="J896" s="45" t="s">
        <v>2143</v>
      </c>
      <c r="K896" s="58" t="s">
        <v>593</v>
      </c>
      <c r="L896" s="35" t="s">
        <v>698</v>
      </c>
      <c r="M896" s="35">
        <v>3</v>
      </c>
      <c r="N896" s="35">
        <v>1</v>
      </c>
      <c r="O896" s="35">
        <f t="shared" si="26"/>
        <v>2</v>
      </c>
      <c r="P896" s="35">
        <v>12</v>
      </c>
      <c r="Q896" s="35">
        <v>10.25</v>
      </c>
      <c r="R896" s="35">
        <f t="shared" si="27"/>
        <v>11.125</v>
      </c>
      <c r="S896" s="35"/>
      <c r="T896" s="35"/>
      <c r="U896" s="35"/>
      <c r="V896" s="35" t="e">
        <f>AVERAGE(Tableau2[[#This Row],[1ère composition/10]:[3è composition]])</f>
        <v>#DIV/0!</v>
      </c>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f>COUNTIF(Tableau2[[#This Row],[Séance 1]:[Séance 38]],"A")</f>
        <v>0</v>
      </c>
      <c r="BJ896" s="35"/>
    </row>
    <row r="897" spans="1:62" s="42" customFormat="1" hidden="1" x14ac:dyDescent="0.2">
      <c r="A897" s="44" t="s">
        <v>2359</v>
      </c>
      <c r="B897" s="44" t="s">
        <v>2362</v>
      </c>
      <c r="C897" s="44" t="s">
        <v>3826</v>
      </c>
      <c r="D897" s="44" t="s">
        <v>592</v>
      </c>
      <c r="E897" s="44" t="s">
        <v>2212</v>
      </c>
      <c r="F897" s="48">
        <v>2021</v>
      </c>
      <c r="G897" s="48">
        <v>60</v>
      </c>
      <c r="H897" s="48">
        <v>22</v>
      </c>
      <c r="I897" s="44" t="str">
        <f>Tableau2[[#This Row],[Annee d''inscription au programme]]&amp;"-"&amp;Tableau2[[#This Row],[Code d''ecole]]&amp;"-"&amp;Tableau2[[#This Row],[Numero HM de la fille]]</f>
        <v>2021-60-22</v>
      </c>
      <c r="J897" s="45" t="s">
        <v>2144</v>
      </c>
      <c r="K897" s="58" t="s">
        <v>374</v>
      </c>
      <c r="L897" s="35" t="s">
        <v>3529</v>
      </c>
      <c r="M897" s="35">
        <v>5</v>
      </c>
      <c r="N897" s="35">
        <v>3</v>
      </c>
      <c r="O897" s="35">
        <f t="shared" si="26"/>
        <v>4</v>
      </c>
      <c r="P897" s="35">
        <v>13</v>
      </c>
      <c r="Q897" s="35">
        <v>11.75</v>
      </c>
      <c r="R897" s="35">
        <f t="shared" si="27"/>
        <v>12.375</v>
      </c>
      <c r="S897" s="35"/>
      <c r="T897" s="35"/>
      <c r="U897" s="35"/>
      <c r="V897" s="35" t="e">
        <f>AVERAGE(Tableau2[[#This Row],[1ère composition/10]:[3è composition]])</f>
        <v>#DIV/0!</v>
      </c>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f>COUNTIF(Tableau2[[#This Row],[Séance 1]:[Séance 38]],"A")</f>
        <v>0</v>
      </c>
      <c r="BJ897" s="35"/>
    </row>
    <row r="898" spans="1:62" s="42" customFormat="1" hidden="1" x14ac:dyDescent="0.2">
      <c r="A898" s="44" t="s">
        <v>2359</v>
      </c>
      <c r="B898" s="44" t="s">
        <v>2363</v>
      </c>
      <c r="C898" s="44" t="s">
        <v>3826</v>
      </c>
      <c r="D898" s="44" t="s">
        <v>2364</v>
      </c>
      <c r="E898" s="44" t="s">
        <v>2212</v>
      </c>
      <c r="F898" s="48">
        <v>2021</v>
      </c>
      <c r="G898" s="48">
        <v>60</v>
      </c>
      <c r="H898" s="48">
        <v>23</v>
      </c>
      <c r="I898" s="44" t="str">
        <f>Tableau2[[#This Row],[Annee d''inscription au programme]]&amp;"-"&amp;Tableau2[[#This Row],[Code d''ecole]]&amp;"-"&amp;Tableau2[[#This Row],[Numero HM de la fille]]</f>
        <v>2021-60-23</v>
      </c>
      <c r="J898" s="45" t="s">
        <v>2145</v>
      </c>
      <c r="K898" s="58" t="s">
        <v>593</v>
      </c>
      <c r="L898" s="35" t="s">
        <v>698</v>
      </c>
      <c r="M898" s="35">
        <v>3</v>
      </c>
      <c r="N898" s="35">
        <v>4</v>
      </c>
      <c r="O898" s="35">
        <f t="shared" si="26"/>
        <v>3.5</v>
      </c>
      <c r="P898" s="35">
        <v>8</v>
      </c>
      <c r="Q898" s="35">
        <v>10.75</v>
      </c>
      <c r="R898" s="35">
        <f t="shared" si="27"/>
        <v>9.375</v>
      </c>
      <c r="S898" s="35"/>
      <c r="T898" s="35"/>
      <c r="U898" s="35"/>
      <c r="V898" s="35" t="e">
        <f>AVERAGE(Tableau2[[#This Row],[1ère composition/10]:[3è composition]])</f>
        <v>#DIV/0!</v>
      </c>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f>COUNTIF(Tableau2[[#This Row],[Séance 1]:[Séance 38]],"A")</f>
        <v>0</v>
      </c>
      <c r="BJ898" s="35"/>
    </row>
    <row r="899" spans="1:62" s="42" customFormat="1" hidden="1" x14ac:dyDescent="0.2">
      <c r="A899" s="44" t="s">
        <v>2359</v>
      </c>
      <c r="B899" s="44" t="s">
        <v>2365</v>
      </c>
      <c r="C899" s="44" t="s">
        <v>3826</v>
      </c>
      <c r="D899" s="44" t="s">
        <v>291</v>
      </c>
      <c r="E899" s="44" t="s">
        <v>2212</v>
      </c>
      <c r="F899" s="48">
        <v>2021</v>
      </c>
      <c r="G899" s="48">
        <v>60</v>
      </c>
      <c r="H899" s="48">
        <v>24</v>
      </c>
      <c r="I899" s="44" t="str">
        <f>Tableau2[[#This Row],[Annee d''inscription au programme]]&amp;"-"&amp;Tableau2[[#This Row],[Code d''ecole]]&amp;"-"&amp;Tableau2[[#This Row],[Numero HM de la fille]]</f>
        <v>2021-60-24</v>
      </c>
      <c r="J899" s="45" t="s">
        <v>2146</v>
      </c>
      <c r="K899" s="58" t="s">
        <v>593</v>
      </c>
      <c r="L899" s="35" t="s">
        <v>698</v>
      </c>
      <c r="M899" s="35">
        <v>5</v>
      </c>
      <c r="N899" s="35">
        <v>3</v>
      </c>
      <c r="O899" s="35">
        <f t="shared" si="26"/>
        <v>4</v>
      </c>
      <c r="P899" s="35">
        <v>9</v>
      </c>
      <c r="Q899" s="35">
        <v>11</v>
      </c>
      <c r="R899" s="35">
        <f t="shared" si="27"/>
        <v>10</v>
      </c>
      <c r="S899" s="35"/>
      <c r="T899" s="35"/>
      <c r="U899" s="35"/>
      <c r="V899" s="35" t="e">
        <f>AVERAGE(Tableau2[[#This Row],[1ère composition/10]:[3è composition]])</f>
        <v>#DIV/0!</v>
      </c>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f>COUNTIF(Tableau2[[#This Row],[Séance 1]:[Séance 38]],"A")</f>
        <v>0</v>
      </c>
      <c r="BJ899" s="35"/>
    </row>
    <row r="900" spans="1:62" s="42" customFormat="1" hidden="1" x14ac:dyDescent="0.2">
      <c r="A900" s="44" t="s">
        <v>2359</v>
      </c>
      <c r="B900" s="44" t="s">
        <v>2366</v>
      </c>
      <c r="C900" s="44" t="s">
        <v>3826</v>
      </c>
      <c r="D900" s="44" t="s">
        <v>846</v>
      </c>
      <c r="E900" s="44" t="s">
        <v>2212</v>
      </c>
      <c r="F900" s="48">
        <v>2021</v>
      </c>
      <c r="G900" s="48">
        <v>60</v>
      </c>
      <c r="H900" s="48">
        <v>25</v>
      </c>
      <c r="I900" s="44" t="str">
        <f>Tableau2[[#This Row],[Annee d''inscription au programme]]&amp;"-"&amp;Tableau2[[#This Row],[Code d''ecole]]&amp;"-"&amp;Tableau2[[#This Row],[Numero HM de la fille]]</f>
        <v>2021-60-25</v>
      </c>
      <c r="J900" s="45" t="s">
        <v>2147</v>
      </c>
      <c r="K900" s="58" t="s">
        <v>374</v>
      </c>
      <c r="L900" s="35" t="s">
        <v>3529</v>
      </c>
      <c r="M900" s="35">
        <v>6</v>
      </c>
      <c r="N900" s="35">
        <v>2</v>
      </c>
      <c r="O900" s="35">
        <f t="shared" si="26"/>
        <v>4</v>
      </c>
      <c r="P900" s="35">
        <v>12</v>
      </c>
      <c r="Q900" s="35">
        <v>9.5</v>
      </c>
      <c r="R900" s="35">
        <f t="shared" si="27"/>
        <v>10.75</v>
      </c>
      <c r="S900" s="35"/>
      <c r="T900" s="35"/>
      <c r="U900" s="35"/>
      <c r="V900" s="35" t="e">
        <f>AVERAGE(Tableau2[[#This Row],[1ère composition/10]:[3è composition]])</f>
        <v>#DIV/0!</v>
      </c>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f>COUNTIF(Tableau2[[#This Row],[Séance 1]:[Séance 38]],"A")</f>
        <v>0</v>
      </c>
      <c r="BJ900" s="35"/>
    </row>
    <row r="901" spans="1:62" s="42" customFormat="1" hidden="1" x14ac:dyDescent="0.2">
      <c r="A901" s="44" t="s">
        <v>2359</v>
      </c>
      <c r="B901" s="44" t="s">
        <v>2367</v>
      </c>
      <c r="C901" s="44" t="s">
        <v>3826</v>
      </c>
      <c r="D901" s="44" t="s">
        <v>640</v>
      </c>
      <c r="E901" s="44" t="s">
        <v>2212</v>
      </c>
      <c r="F901" s="48">
        <v>2021</v>
      </c>
      <c r="G901" s="48">
        <v>60</v>
      </c>
      <c r="H901" s="48">
        <v>26</v>
      </c>
      <c r="I901" s="44" t="str">
        <f>Tableau2[[#This Row],[Annee d''inscription au programme]]&amp;"-"&amp;Tableau2[[#This Row],[Code d''ecole]]&amp;"-"&amp;Tableau2[[#This Row],[Numero HM de la fille]]</f>
        <v>2021-60-26</v>
      </c>
      <c r="J901" s="45" t="s">
        <v>2148</v>
      </c>
      <c r="K901" s="58" t="s">
        <v>593</v>
      </c>
      <c r="L901" s="35" t="s">
        <v>698</v>
      </c>
      <c r="M901" s="35">
        <v>16.5</v>
      </c>
      <c r="N901" s="35">
        <v>10</v>
      </c>
      <c r="O901" s="35">
        <f t="shared" ref="O901:O964" si="28">AVERAGE(M901+N901)/2</f>
        <v>13.25</v>
      </c>
      <c r="P901" s="35">
        <v>19.5</v>
      </c>
      <c r="Q901" s="35">
        <v>15.5</v>
      </c>
      <c r="R901" s="35">
        <f t="shared" ref="R901:R964" si="29">AVERAGE(P901+Q901)/2</f>
        <v>17.5</v>
      </c>
      <c r="S901" s="35"/>
      <c r="T901" s="35"/>
      <c r="U901" s="35"/>
      <c r="V901" s="35" t="e">
        <f>AVERAGE(Tableau2[[#This Row],[1ère composition/10]:[3è composition]])</f>
        <v>#DIV/0!</v>
      </c>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f>COUNTIF(Tableau2[[#This Row],[Séance 1]:[Séance 38]],"A")</f>
        <v>0</v>
      </c>
      <c r="BJ901" s="35"/>
    </row>
    <row r="902" spans="1:62" s="42" customFormat="1" hidden="1" x14ac:dyDescent="0.2">
      <c r="A902" s="44" t="s">
        <v>2359</v>
      </c>
      <c r="B902" s="44" t="s">
        <v>2368</v>
      </c>
      <c r="C902" s="44" t="s">
        <v>3826</v>
      </c>
      <c r="D902" s="44" t="s">
        <v>1008</v>
      </c>
      <c r="E902" s="44" t="s">
        <v>2212</v>
      </c>
      <c r="F902" s="48">
        <v>2021</v>
      </c>
      <c r="G902" s="48">
        <v>60</v>
      </c>
      <c r="H902" s="48">
        <v>27</v>
      </c>
      <c r="I902" s="44" t="str">
        <f>Tableau2[[#This Row],[Annee d''inscription au programme]]&amp;"-"&amp;Tableau2[[#This Row],[Code d''ecole]]&amp;"-"&amp;Tableau2[[#This Row],[Numero HM de la fille]]</f>
        <v>2021-60-27</v>
      </c>
      <c r="J902" s="45" t="s">
        <v>2149</v>
      </c>
      <c r="K902" s="58" t="s">
        <v>374</v>
      </c>
      <c r="L902" s="35" t="s">
        <v>3529</v>
      </c>
      <c r="M902" s="35">
        <v>3</v>
      </c>
      <c r="N902" s="35">
        <v>1</v>
      </c>
      <c r="O902" s="35">
        <f t="shared" si="28"/>
        <v>2</v>
      </c>
      <c r="P902" s="35">
        <v>5.5</v>
      </c>
      <c r="Q902" s="35">
        <v>8</v>
      </c>
      <c r="R902" s="35">
        <f t="shared" si="29"/>
        <v>6.75</v>
      </c>
      <c r="S902" s="35"/>
      <c r="T902" s="35"/>
      <c r="U902" s="35"/>
      <c r="V902" s="35" t="e">
        <f>AVERAGE(Tableau2[[#This Row],[1ère composition/10]:[3è composition]])</f>
        <v>#DIV/0!</v>
      </c>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f>COUNTIF(Tableau2[[#This Row],[Séance 1]:[Séance 38]],"A")</f>
        <v>0</v>
      </c>
      <c r="BJ902" s="35"/>
    </row>
    <row r="903" spans="1:62" s="42" customFormat="1" hidden="1" x14ac:dyDescent="0.2">
      <c r="A903" s="44" t="s">
        <v>2359</v>
      </c>
      <c r="B903" s="44" t="s">
        <v>2369</v>
      </c>
      <c r="C903" s="44" t="s">
        <v>3826</v>
      </c>
      <c r="D903" s="44" t="s">
        <v>262</v>
      </c>
      <c r="E903" s="44" t="s">
        <v>2212</v>
      </c>
      <c r="F903" s="48">
        <v>2021</v>
      </c>
      <c r="G903" s="48">
        <v>60</v>
      </c>
      <c r="H903" s="48">
        <v>28</v>
      </c>
      <c r="I903" s="44" t="str">
        <f>Tableau2[[#This Row],[Annee d''inscription au programme]]&amp;"-"&amp;Tableau2[[#This Row],[Code d''ecole]]&amp;"-"&amp;Tableau2[[#This Row],[Numero HM de la fille]]</f>
        <v>2021-60-28</v>
      </c>
      <c r="J903" s="45" t="s">
        <v>2150</v>
      </c>
      <c r="K903" s="58" t="s">
        <v>593</v>
      </c>
      <c r="L903" s="35" t="s">
        <v>698</v>
      </c>
      <c r="M903" s="35">
        <v>3.5</v>
      </c>
      <c r="N903" s="35">
        <v>1</v>
      </c>
      <c r="O903" s="35">
        <f t="shared" si="28"/>
        <v>2.25</v>
      </c>
      <c r="P903" s="35">
        <v>13</v>
      </c>
      <c r="Q903" s="35">
        <v>12.25</v>
      </c>
      <c r="R903" s="35">
        <f t="shared" si="29"/>
        <v>12.625</v>
      </c>
      <c r="S903" s="35"/>
      <c r="T903" s="35"/>
      <c r="U903" s="35"/>
      <c r="V903" s="35" t="e">
        <f>AVERAGE(Tableau2[[#This Row],[1ère composition/10]:[3è composition]])</f>
        <v>#DIV/0!</v>
      </c>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f>COUNTIF(Tableau2[[#This Row],[Séance 1]:[Séance 38]],"A")</f>
        <v>0</v>
      </c>
      <c r="BJ903" s="35"/>
    </row>
    <row r="904" spans="1:62" s="42" customFormat="1" hidden="1" x14ac:dyDescent="0.2">
      <c r="A904" s="44" t="s">
        <v>2359</v>
      </c>
      <c r="B904" s="44" t="s">
        <v>2370</v>
      </c>
      <c r="C904" s="44" t="s">
        <v>3826</v>
      </c>
      <c r="D904" s="44" t="s">
        <v>2371</v>
      </c>
      <c r="E904" s="44" t="s">
        <v>2212</v>
      </c>
      <c r="F904" s="48">
        <v>2021</v>
      </c>
      <c r="G904" s="48">
        <v>60</v>
      </c>
      <c r="H904" s="48">
        <v>29</v>
      </c>
      <c r="I904" s="44" t="str">
        <f>Tableau2[[#This Row],[Annee d''inscription au programme]]&amp;"-"&amp;Tableau2[[#This Row],[Code d''ecole]]&amp;"-"&amp;Tableau2[[#This Row],[Numero HM de la fille]]</f>
        <v>2021-60-29</v>
      </c>
      <c r="J904" s="45" t="s">
        <v>2151</v>
      </c>
      <c r="K904" s="58" t="s">
        <v>593</v>
      </c>
      <c r="L904" s="35" t="s">
        <v>698</v>
      </c>
      <c r="M904" s="35">
        <v>3.5</v>
      </c>
      <c r="N904" s="35">
        <v>1</v>
      </c>
      <c r="O904" s="35">
        <f t="shared" si="28"/>
        <v>2.25</v>
      </c>
      <c r="P904" s="35">
        <v>9</v>
      </c>
      <c r="Q904" s="35">
        <v>8.5</v>
      </c>
      <c r="R904" s="35">
        <f t="shared" si="29"/>
        <v>8.75</v>
      </c>
      <c r="S904" s="35"/>
      <c r="T904" s="35"/>
      <c r="U904" s="35"/>
      <c r="V904" s="35" t="e">
        <f>AVERAGE(Tableau2[[#This Row],[1ère composition/10]:[3è composition]])</f>
        <v>#DIV/0!</v>
      </c>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f>COUNTIF(Tableau2[[#This Row],[Séance 1]:[Séance 38]],"A")</f>
        <v>0</v>
      </c>
      <c r="BJ904" s="35"/>
    </row>
    <row r="905" spans="1:62" s="42" customFormat="1" hidden="1" x14ac:dyDescent="0.2">
      <c r="A905" s="44" t="s">
        <v>2359</v>
      </c>
      <c r="B905" s="44" t="s">
        <v>2372</v>
      </c>
      <c r="C905" s="44" t="s">
        <v>3826</v>
      </c>
      <c r="D905" s="44" t="s">
        <v>2373</v>
      </c>
      <c r="E905" s="44" t="s">
        <v>2212</v>
      </c>
      <c r="F905" s="48">
        <v>2021</v>
      </c>
      <c r="G905" s="48">
        <v>60</v>
      </c>
      <c r="H905" s="48">
        <v>30</v>
      </c>
      <c r="I905" s="44" t="str">
        <f>Tableau2[[#This Row],[Annee d''inscription au programme]]&amp;"-"&amp;Tableau2[[#This Row],[Code d''ecole]]&amp;"-"&amp;Tableau2[[#This Row],[Numero HM de la fille]]</f>
        <v>2021-60-30</v>
      </c>
      <c r="J905" s="45" t="s">
        <v>2152</v>
      </c>
      <c r="K905" s="58" t="s">
        <v>593</v>
      </c>
      <c r="L905" s="35" t="s">
        <v>698</v>
      </c>
      <c r="M905" s="35">
        <v>12</v>
      </c>
      <c r="N905" s="35">
        <v>17</v>
      </c>
      <c r="O905" s="35">
        <f t="shared" si="28"/>
        <v>14.5</v>
      </c>
      <c r="P905" s="35">
        <v>18.5</v>
      </c>
      <c r="Q905" s="35">
        <v>20</v>
      </c>
      <c r="R905" s="35">
        <f t="shared" si="29"/>
        <v>19.25</v>
      </c>
      <c r="S905" s="35"/>
      <c r="T905" s="35"/>
      <c r="U905" s="35"/>
      <c r="V905" s="35" t="e">
        <f>AVERAGE(Tableau2[[#This Row],[1ère composition/10]:[3è composition]])</f>
        <v>#DIV/0!</v>
      </c>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f>COUNTIF(Tableau2[[#This Row],[Séance 1]:[Séance 38]],"A")</f>
        <v>0</v>
      </c>
      <c r="BJ905" s="35"/>
    </row>
    <row r="906" spans="1:62" s="42" customFormat="1" hidden="1" x14ac:dyDescent="0.2">
      <c r="A906" s="44" t="s">
        <v>2359</v>
      </c>
      <c r="B906" s="44" t="s">
        <v>2374</v>
      </c>
      <c r="C906" s="44" t="s">
        <v>3826</v>
      </c>
      <c r="D906" s="44" t="s">
        <v>2375</v>
      </c>
      <c r="E906" s="44" t="s">
        <v>2212</v>
      </c>
      <c r="F906" s="48">
        <v>2021</v>
      </c>
      <c r="G906" s="48">
        <v>60</v>
      </c>
      <c r="H906" s="48">
        <v>31</v>
      </c>
      <c r="I906" s="44" t="str">
        <f>Tableau2[[#This Row],[Annee d''inscription au programme]]&amp;"-"&amp;Tableau2[[#This Row],[Code d''ecole]]&amp;"-"&amp;Tableau2[[#This Row],[Numero HM de la fille]]</f>
        <v>2021-60-31</v>
      </c>
      <c r="J906" s="45" t="s">
        <v>2153</v>
      </c>
      <c r="K906" s="58" t="s">
        <v>593</v>
      </c>
      <c r="L906" s="35" t="s">
        <v>698</v>
      </c>
      <c r="M906" s="35">
        <v>14</v>
      </c>
      <c r="N906" s="35">
        <v>8</v>
      </c>
      <c r="O906" s="35">
        <f t="shared" si="28"/>
        <v>11</v>
      </c>
      <c r="P906" s="35">
        <v>14</v>
      </c>
      <c r="Q906" s="35">
        <v>18</v>
      </c>
      <c r="R906" s="35">
        <f t="shared" si="29"/>
        <v>16</v>
      </c>
      <c r="S906" s="35"/>
      <c r="T906" s="35"/>
      <c r="U906" s="35"/>
      <c r="V906" s="35" t="e">
        <f>AVERAGE(Tableau2[[#This Row],[1ère composition/10]:[3è composition]])</f>
        <v>#DIV/0!</v>
      </c>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f>COUNTIF(Tableau2[[#This Row],[Séance 1]:[Séance 38]],"A")</f>
        <v>0</v>
      </c>
      <c r="BJ906" s="35"/>
    </row>
    <row r="907" spans="1:62" s="42" customFormat="1" hidden="1" x14ac:dyDescent="0.2">
      <c r="A907" s="44" t="s">
        <v>2359</v>
      </c>
      <c r="B907" s="44" t="s">
        <v>2376</v>
      </c>
      <c r="C907" s="44" t="s">
        <v>3826</v>
      </c>
      <c r="D907" s="44" t="s">
        <v>1160</v>
      </c>
      <c r="E907" s="44" t="s">
        <v>2212</v>
      </c>
      <c r="F907" s="48">
        <v>2021</v>
      </c>
      <c r="G907" s="48">
        <v>60</v>
      </c>
      <c r="H907" s="48">
        <v>32</v>
      </c>
      <c r="I907" s="44" t="str">
        <f>Tableau2[[#This Row],[Annee d''inscription au programme]]&amp;"-"&amp;Tableau2[[#This Row],[Code d''ecole]]&amp;"-"&amp;Tableau2[[#This Row],[Numero HM de la fille]]</f>
        <v>2021-60-32</v>
      </c>
      <c r="J907" s="45" t="s">
        <v>2154</v>
      </c>
      <c r="K907" s="58" t="s">
        <v>593</v>
      </c>
      <c r="L907" s="35" t="s">
        <v>698</v>
      </c>
      <c r="M907" s="35">
        <v>3</v>
      </c>
      <c r="N907" s="35">
        <v>3</v>
      </c>
      <c r="O907" s="35">
        <f t="shared" si="28"/>
        <v>3</v>
      </c>
      <c r="P907" s="35">
        <v>12</v>
      </c>
      <c r="Q907" s="35">
        <v>11.5</v>
      </c>
      <c r="R907" s="35">
        <f t="shared" si="29"/>
        <v>11.75</v>
      </c>
      <c r="S907" s="35"/>
      <c r="T907" s="35"/>
      <c r="U907" s="35"/>
      <c r="V907" s="35" t="e">
        <f>AVERAGE(Tableau2[[#This Row],[1ère composition/10]:[3è composition]])</f>
        <v>#DIV/0!</v>
      </c>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f>COUNTIF(Tableau2[[#This Row],[Séance 1]:[Séance 38]],"A")</f>
        <v>0</v>
      </c>
      <c r="BJ907" s="35"/>
    </row>
    <row r="908" spans="1:62" s="42" customFormat="1" hidden="1" x14ac:dyDescent="0.2">
      <c r="A908" s="44" t="s">
        <v>2359</v>
      </c>
      <c r="B908" s="44" t="s">
        <v>2377</v>
      </c>
      <c r="C908" s="44" t="s">
        <v>3826</v>
      </c>
      <c r="D908" s="44" t="s">
        <v>760</v>
      </c>
      <c r="E908" s="44" t="s">
        <v>2212</v>
      </c>
      <c r="F908" s="48">
        <v>2021</v>
      </c>
      <c r="G908" s="48">
        <v>60</v>
      </c>
      <c r="H908" s="48">
        <v>33</v>
      </c>
      <c r="I908" s="44" t="str">
        <f>Tableau2[[#This Row],[Annee d''inscription au programme]]&amp;"-"&amp;Tableau2[[#This Row],[Code d''ecole]]&amp;"-"&amp;Tableau2[[#This Row],[Numero HM de la fille]]</f>
        <v>2021-60-33</v>
      </c>
      <c r="J908" s="45" t="s">
        <v>2155</v>
      </c>
      <c r="K908" s="58" t="s">
        <v>593</v>
      </c>
      <c r="L908" s="35" t="s">
        <v>698</v>
      </c>
      <c r="M908" s="35">
        <v>15.5</v>
      </c>
      <c r="N908" s="35">
        <v>15</v>
      </c>
      <c r="O908" s="35">
        <f t="shared" si="28"/>
        <v>15.25</v>
      </c>
      <c r="P908" s="35">
        <v>19.5</v>
      </c>
      <c r="Q908" s="35">
        <v>17</v>
      </c>
      <c r="R908" s="35">
        <f t="shared" si="29"/>
        <v>18.25</v>
      </c>
      <c r="S908" s="35"/>
      <c r="T908" s="35"/>
      <c r="U908" s="35"/>
      <c r="V908" s="35" t="e">
        <f>AVERAGE(Tableau2[[#This Row],[1ère composition/10]:[3è composition]])</f>
        <v>#DIV/0!</v>
      </c>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f>COUNTIF(Tableau2[[#This Row],[Séance 1]:[Séance 38]],"A")</f>
        <v>0</v>
      </c>
      <c r="BJ908" s="35"/>
    </row>
    <row r="909" spans="1:62" s="42" customFormat="1" hidden="1" x14ac:dyDescent="0.2">
      <c r="A909" s="44" t="s">
        <v>2359</v>
      </c>
      <c r="B909" s="44" t="s">
        <v>2378</v>
      </c>
      <c r="C909" s="44" t="s">
        <v>3826</v>
      </c>
      <c r="D909" s="44" t="s">
        <v>192</v>
      </c>
      <c r="E909" s="44" t="s">
        <v>2212</v>
      </c>
      <c r="F909" s="48">
        <v>2021</v>
      </c>
      <c r="G909" s="48">
        <v>60</v>
      </c>
      <c r="H909" s="48">
        <v>34</v>
      </c>
      <c r="I909" s="44" t="str">
        <f>Tableau2[[#This Row],[Annee d''inscription au programme]]&amp;"-"&amp;Tableau2[[#This Row],[Code d''ecole]]&amp;"-"&amp;Tableau2[[#This Row],[Numero HM de la fille]]</f>
        <v>2021-60-34</v>
      </c>
      <c r="J909" s="45" t="s">
        <v>2156</v>
      </c>
      <c r="K909" s="58" t="s">
        <v>593</v>
      </c>
      <c r="L909" s="35" t="s">
        <v>698</v>
      </c>
      <c r="M909" s="35">
        <v>2</v>
      </c>
      <c r="N909" s="35">
        <v>8</v>
      </c>
      <c r="O909" s="35">
        <f t="shared" si="28"/>
        <v>5</v>
      </c>
      <c r="P909" s="35">
        <v>14</v>
      </c>
      <c r="Q909" s="35">
        <v>14.25</v>
      </c>
      <c r="R909" s="35">
        <f t="shared" si="29"/>
        <v>14.125</v>
      </c>
      <c r="S909" s="35"/>
      <c r="T909" s="35"/>
      <c r="U909" s="35"/>
      <c r="V909" s="35" t="e">
        <f>AVERAGE(Tableau2[[#This Row],[1ère composition/10]:[3è composition]])</f>
        <v>#DIV/0!</v>
      </c>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f>COUNTIF(Tableau2[[#This Row],[Séance 1]:[Séance 38]],"A")</f>
        <v>0</v>
      </c>
      <c r="BJ909" s="35"/>
    </row>
    <row r="910" spans="1:62" s="42" customFormat="1" hidden="1" x14ac:dyDescent="0.2">
      <c r="A910" s="44" t="s">
        <v>2359</v>
      </c>
      <c r="B910" s="44" t="s">
        <v>2379</v>
      </c>
      <c r="C910" s="44" t="s">
        <v>3826</v>
      </c>
      <c r="D910" s="44" t="s">
        <v>270</v>
      </c>
      <c r="E910" s="44" t="s">
        <v>2212</v>
      </c>
      <c r="F910" s="48">
        <v>2021</v>
      </c>
      <c r="G910" s="48">
        <v>60</v>
      </c>
      <c r="H910" s="48">
        <v>35</v>
      </c>
      <c r="I910" s="44" t="str">
        <f>Tableau2[[#This Row],[Annee d''inscription au programme]]&amp;"-"&amp;Tableau2[[#This Row],[Code d''ecole]]&amp;"-"&amp;Tableau2[[#This Row],[Numero HM de la fille]]</f>
        <v>2021-60-35</v>
      </c>
      <c r="J910" s="45" t="s">
        <v>2157</v>
      </c>
      <c r="K910" s="58" t="s">
        <v>593</v>
      </c>
      <c r="L910" s="35" t="s">
        <v>698</v>
      </c>
      <c r="M910" s="35">
        <v>7</v>
      </c>
      <c r="N910" s="35">
        <v>2</v>
      </c>
      <c r="O910" s="35">
        <f t="shared" si="28"/>
        <v>4.5</v>
      </c>
      <c r="P910" s="35">
        <v>12</v>
      </c>
      <c r="Q910" s="35">
        <v>7.5</v>
      </c>
      <c r="R910" s="35">
        <f t="shared" si="29"/>
        <v>9.75</v>
      </c>
      <c r="S910" s="35"/>
      <c r="T910" s="35"/>
      <c r="U910" s="35"/>
      <c r="V910" s="35" t="e">
        <f>AVERAGE(Tableau2[[#This Row],[1ère composition/10]:[3è composition]])</f>
        <v>#DIV/0!</v>
      </c>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f>COUNTIF(Tableau2[[#This Row],[Séance 1]:[Séance 38]],"A")</f>
        <v>0</v>
      </c>
      <c r="BJ910" s="35"/>
    </row>
    <row r="911" spans="1:62" s="42" customFormat="1" hidden="1" x14ac:dyDescent="0.2">
      <c r="A911" s="44" t="s">
        <v>2359</v>
      </c>
      <c r="B911" s="44" t="s">
        <v>2380</v>
      </c>
      <c r="C911" s="44" t="s">
        <v>3826</v>
      </c>
      <c r="D911" s="44" t="s">
        <v>1160</v>
      </c>
      <c r="E911" s="44" t="s">
        <v>2212</v>
      </c>
      <c r="F911" s="48">
        <v>2021</v>
      </c>
      <c r="G911" s="48">
        <v>60</v>
      </c>
      <c r="H911" s="48">
        <v>36</v>
      </c>
      <c r="I911" s="44" t="str">
        <f>Tableau2[[#This Row],[Annee d''inscription au programme]]&amp;"-"&amp;Tableau2[[#This Row],[Code d''ecole]]&amp;"-"&amp;Tableau2[[#This Row],[Numero HM de la fille]]</f>
        <v>2021-60-36</v>
      </c>
      <c r="J911" s="45" t="s">
        <v>2158</v>
      </c>
      <c r="K911" s="58" t="s">
        <v>593</v>
      </c>
      <c r="L911" s="35" t="s">
        <v>698</v>
      </c>
      <c r="M911" s="35">
        <v>0</v>
      </c>
      <c r="N911" s="35">
        <v>0</v>
      </c>
      <c r="O911" s="35">
        <f t="shared" si="28"/>
        <v>0</v>
      </c>
      <c r="P911" s="35">
        <v>6</v>
      </c>
      <c r="Q911" s="35">
        <v>9.5</v>
      </c>
      <c r="R911" s="35">
        <f t="shared" si="29"/>
        <v>7.75</v>
      </c>
      <c r="S911" s="35"/>
      <c r="T911" s="35"/>
      <c r="U911" s="35"/>
      <c r="V911" s="35" t="e">
        <f>AVERAGE(Tableau2[[#This Row],[1ère composition/10]:[3è composition]])</f>
        <v>#DIV/0!</v>
      </c>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f>COUNTIF(Tableau2[[#This Row],[Séance 1]:[Séance 38]],"A")</f>
        <v>0</v>
      </c>
      <c r="BJ911" s="35"/>
    </row>
    <row r="912" spans="1:62" s="42" customFormat="1" hidden="1" x14ac:dyDescent="0.2">
      <c r="A912" s="44" t="s">
        <v>2359</v>
      </c>
      <c r="B912" s="44" t="s">
        <v>2381</v>
      </c>
      <c r="C912" s="44" t="s">
        <v>3826</v>
      </c>
      <c r="D912" s="44" t="s">
        <v>2382</v>
      </c>
      <c r="E912" s="44" t="s">
        <v>2212</v>
      </c>
      <c r="F912" s="48">
        <v>2021</v>
      </c>
      <c r="G912" s="48">
        <v>60</v>
      </c>
      <c r="H912" s="48">
        <v>37</v>
      </c>
      <c r="I912" s="44" t="str">
        <f>Tableau2[[#This Row],[Annee d''inscription au programme]]&amp;"-"&amp;Tableau2[[#This Row],[Code d''ecole]]&amp;"-"&amp;Tableau2[[#This Row],[Numero HM de la fille]]</f>
        <v>2021-60-37</v>
      </c>
      <c r="J912" s="45" t="s">
        <v>2159</v>
      </c>
      <c r="K912" s="58" t="s">
        <v>593</v>
      </c>
      <c r="L912" s="35" t="s">
        <v>698</v>
      </c>
      <c r="M912" s="35">
        <v>4</v>
      </c>
      <c r="N912" s="35">
        <v>4</v>
      </c>
      <c r="O912" s="35">
        <f t="shared" si="28"/>
        <v>4</v>
      </c>
      <c r="P912" s="35">
        <v>9</v>
      </c>
      <c r="Q912" s="35">
        <v>14</v>
      </c>
      <c r="R912" s="35">
        <f t="shared" si="29"/>
        <v>11.5</v>
      </c>
      <c r="S912" s="35"/>
      <c r="T912" s="35"/>
      <c r="U912" s="35"/>
      <c r="V912" s="35" t="e">
        <f>AVERAGE(Tableau2[[#This Row],[1ère composition/10]:[3è composition]])</f>
        <v>#DIV/0!</v>
      </c>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f>COUNTIF(Tableau2[[#This Row],[Séance 1]:[Séance 38]],"A")</f>
        <v>0</v>
      </c>
      <c r="BJ912" s="35"/>
    </row>
    <row r="913" spans="1:62" s="42" customFormat="1" x14ac:dyDescent="0.2">
      <c r="A913" s="44" t="s">
        <v>2523</v>
      </c>
      <c r="B913" s="44" t="s">
        <v>2569</v>
      </c>
      <c r="C913" s="44" t="s">
        <v>3827</v>
      </c>
      <c r="D913" s="44" t="s">
        <v>2251</v>
      </c>
      <c r="E913" s="44" t="s">
        <v>2212</v>
      </c>
      <c r="F913" s="48">
        <v>2021</v>
      </c>
      <c r="G913" s="48">
        <v>61</v>
      </c>
      <c r="H913" s="48">
        <v>1</v>
      </c>
      <c r="I913" s="44" t="str">
        <f>Tableau2[[#This Row],[Annee d''inscription au programme]]&amp;"-"&amp;Tableau2[[#This Row],[Code d''ecole]]&amp;"-"&amp;Tableau2[[#This Row],[Numero HM de la fille]]</f>
        <v>2021-61-1</v>
      </c>
      <c r="J913" s="45" t="s">
        <v>2160</v>
      </c>
      <c r="K913" s="58" t="s">
        <v>593</v>
      </c>
      <c r="L913" s="35" t="s">
        <v>698</v>
      </c>
      <c r="M913" s="35">
        <v>12</v>
      </c>
      <c r="N913" s="35">
        <v>9</v>
      </c>
      <c r="O913" s="35">
        <f t="shared" si="28"/>
        <v>10.5</v>
      </c>
      <c r="P913" s="35">
        <v>13.5</v>
      </c>
      <c r="Q913" s="35">
        <v>14.75</v>
      </c>
      <c r="R913" s="35">
        <f t="shared" si="29"/>
        <v>14.125</v>
      </c>
      <c r="S913" s="35"/>
      <c r="T913" s="35"/>
      <c r="U913" s="35"/>
      <c r="V913" s="35" t="e">
        <f>AVERAGE(Tableau2[[#This Row],[1ère composition/10]:[3è composition]])</f>
        <v>#DIV/0!</v>
      </c>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f>COUNTIF(Tableau2[[#This Row],[Séance 1]:[Séance 38]],"A")</f>
        <v>0</v>
      </c>
      <c r="BJ913" s="35"/>
    </row>
    <row r="914" spans="1:62" s="42" customFormat="1" x14ac:dyDescent="0.2">
      <c r="A914" s="44" t="s">
        <v>2523</v>
      </c>
      <c r="B914" s="44" t="s">
        <v>2570</v>
      </c>
      <c r="C914" s="44" t="s">
        <v>3831</v>
      </c>
      <c r="D914" s="44" t="s">
        <v>2571</v>
      </c>
      <c r="E914" s="44" t="s">
        <v>2212</v>
      </c>
      <c r="F914" s="48">
        <v>2021</v>
      </c>
      <c r="G914" s="48">
        <v>61</v>
      </c>
      <c r="H914" s="48">
        <v>2</v>
      </c>
      <c r="I914" s="44" t="str">
        <f>Tableau2[[#This Row],[Annee d''inscription au programme]]&amp;"-"&amp;Tableau2[[#This Row],[Code d''ecole]]&amp;"-"&amp;Tableau2[[#This Row],[Numero HM de la fille]]</f>
        <v>2021-61-2</v>
      </c>
      <c r="J914" s="45" t="s">
        <v>2161</v>
      </c>
      <c r="K914" s="58" t="s">
        <v>593</v>
      </c>
      <c r="L914" s="35" t="s">
        <v>698</v>
      </c>
      <c r="M914" s="35">
        <v>14</v>
      </c>
      <c r="N914" s="35">
        <v>14.5</v>
      </c>
      <c r="O914" s="35">
        <f t="shared" si="28"/>
        <v>14.25</v>
      </c>
      <c r="P914" s="35">
        <v>15</v>
      </c>
      <c r="Q914" s="35">
        <v>18</v>
      </c>
      <c r="R914" s="35">
        <f t="shared" si="29"/>
        <v>16.5</v>
      </c>
      <c r="S914" s="35"/>
      <c r="T914" s="35"/>
      <c r="U914" s="35"/>
      <c r="V914" s="35" t="e">
        <f>AVERAGE(Tableau2[[#This Row],[1ère composition/10]:[3è composition]])</f>
        <v>#DIV/0!</v>
      </c>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f>COUNTIF(Tableau2[[#This Row],[Séance 1]:[Séance 38]],"A")</f>
        <v>0</v>
      </c>
      <c r="BJ914" s="35"/>
    </row>
    <row r="915" spans="1:62" s="42" customFormat="1" x14ac:dyDescent="0.2">
      <c r="A915" s="44" t="s">
        <v>2523</v>
      </c>
      <c r="B915" s="44" t="s">
        <v>2572</v>
      </c>
      <c r="C915" s="44" t="s">
        <v>3827</v>
      </c>
      <c r="D915" s="44" t="s">
        <v>2573</v>
      </c>
      <c r="E915" s="44" t="s">
        <v>2212</v>
      </c>
      <c r="F915" s="48">
        <v>2021</v>
      </c>
      <c r="G915" s="48">
        <v>61</v>
      </c>
      <c r="H915" s="48">
        <v>3</v>
      </c>
      <c r="I915" s="44" t="str">
        <f>Tableau2[[#This Row],[Annee d''inscription au programme]]&amp;"-"&amp;Tableau2[[#This Row],[Code d''ecole]]&amp;"-"&amp;Tableau2[[#This Row],[Numero HM de la fille]]</f>
        <v>2021-61-3</v>
      </c>
      <c r="J915" s="45" t="s">
        <v>2162</v>
      </c>
      <c r="K915" s="58" t="s">
        <v>593</v>
      </c>
      <c r="L915" s="35" t="s">
        <v>698</v>
      </c>
      <c r="M915" s="35">
        <v>7.5</v>
      </c>
      <c r="N915" s="35">
        <v>3</v>
      </c>
      <c r="O915" s="35">
        <f t="shared" si="28"/>
        <v>5.25</v>
      </c>
      <c r="P915" s="35">
        <v>15</v>
      </c>
      <c r="Q915" s="35">
        <v>11</v>
      </c>
      <c r="R915" s="35">
        <f t="shared" si="29"/>
        <v>13</v>
      </c>
      <c r="S915" s="35"/>
      <c r="T915" s="35"/>
      <c r="U915" s="35"/>
      <c r="V915" s="35" t="e">
        <f>AVERAGE(Tableau2[[#This Row],[1ère composition/10]:[3è composition]])</f>
        <v>#DIV/0!</v>
      </c>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f>COUNTIF(Tableau2[[#This Row],[Séance 1]:[Séance 38]],"A")</f>
        <v>0</v>
      </c>
      <c r="BJ915" s="35"/>
    </row>
    <row r="916" spans="1:62" s="42" customFormat="1" x14ac:dyDescent="0.2">
      <c r="A916" s="44" t="s">
        <v>2523</v>
      </c>
      <c r="B916" s="44" t="s">
        <v>2574</v>
      </c>
      <c r="C916" s="44" t="s">
        <v>3829</v>
      </c>
      <c r="D916" s="44" t="s">
        <v>2575</v>
      </c>
      <c r="E916" s="44" t="s">
        <v>2212</v>
      </c>
      <c r="F916" s="48">
        <v>2021</v>
      </c>
      <c r="G916" s="48">
        <v>61</v>
      </c>
      <c r="H916" s="48">
        <v>4</v>
      </c>
      <c r="I916" s="44" t="str">
        <f>Tableau2[[#This Row],[Annee d''inscription au programme]]&amp;"-"&amp;Tableau2[[#This Row],[Code d''ecole]]&amp;"-"&amp;Tableau2[[#This Row],[Numero HM de la fille]]</f>
        <v>2021-61-4</v>
      </c>
      <c r="J916" s="45" t="s">
        <v>2163</v>
      </c>
      <c r="K916" s="58" t="s">
        <v>374</v>
      </c>
      <c r="L916" s="35" t="s">
        <v>3529</v>
      </c>
      <c r="M916" s="35">
        <v>0.5</v>
      </c>
      <c r="N916" s="35">
        <v>1</v>
      </c>
      <c r="O916" s="35">
        <f t="shared" si="28"/>
        <v>0.75</v>
      </c>
      <c r="P916" s="35"/>
      <c r="Q916" s="35"/>
      <c r="R916" s="35">
        <f t="shared" si="29"/>
        <v>0</v>
      </c>
      <c r="S916" s="35"/>
      <c r="T916" s="35"/>
      <c r="U916" s="35"/>
      <c r="V916" s="35" t="e">
        <f>AVERAGE(Tableau2[[#This Row],[1ère composition/10]:[3è composition]])</f>
        <v>#DIV/0!</v>
      </c>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f>COUNTIF(Tableau2[[#This Row],[Séance 1]:[Séance 38]],"A")</f>
        <v>0</v>
      </c>
      <c r="BJ916" s="35"/>
    </row>
    <row r="917" spans="1:62" s="42" customFormat="1" x14ac:dyDescent="0.2">
      <c r="A917" s="44" t="s">
        <v>2523</v>
      </c>
      <c r="B917" s="44" t="s">
        <v>2576</v>
      </c>
      <c r="C917" s="44" t="s">
        <v>3827</v>
      </c>
      <c r="D917" s="44" t="s">
        <v>242</v>
      </c>
      <c r="E917" s="44" t="s">
        <v>2212</v>
      </c>
      <c r="F917" s="48">
        <v>2021</v>
      </c>
      <c r="G917" s="48">
        <v>61</v>
      </c>
      <c r="H917" s="48">
        <v>5</v>
      </c>
      <c r="I917" s="44" t="str">
        <f>Tableau2[[#This Row],[Annee d''inscription au programme]]&amp;"-"&amp;Tableau2[[#This Row],[Code d''ecole]]&amp;"-"&amp;Tableau2[[#This Row],[Numero HM de la fille]]</f>
        <v>2021-61-5</v>
      </c>
      <c r="J917" s="45" t="s">
        <v>2164</v>
      </c>
      <c r="K917" s="58" t="s">
        <v>593</v>
      </c>
      <c r="L917" s="35" t="s">
        <v>698</v>
      </c>
      <c r="M917" s="35">
        <v>1.5</v>
      </c>
      <c r="N917" s="35">
        <v>2</v>
      </c>
      <c r="O917" s="35">
        <f t="shared" si="28"/>
        <v>1.75</v>
      </c>
      <c r="P917" s="35">
        <v>9.5</v>
      </c>
      <c r="Q917" s="35">
        <v>2</v>
      </c>
      <c r="R917" s="35">
        <f t="shared" si="29"/>
        <v>5.75</v>
      </c>
      <c r="S917" s="35"/>
      <c r="T917" s="35"/>
      <c r="U917" s="35"/>
      <c r="V917" s="35" t="e">
        <f>AVERAGE(Tableau2[[#This Row],[1ère composition/10]:[3è composition]])</f>
        <v>#DIV/0!</v>
      </c>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f>COUNTIF(Tableau2[[#This Row],[Séance 1]:[Séance 38]],"A")</f>
        <v>0</v>
      </c>
      <c r="BJ917" s="35"/>
    </row>
    <row r="918" spans="1:62" s="42" customFormat="1" x14ac:dyDescent="0.2">
      <c r="A918" s="44" t="s">
        <v>2523</v>
      </c>
      <c r="B918" s="44" t="s">
        <v>2577</v>
      </c>
      <c r="C918" s="44" t="s">
        <v>3827</v>
      </c>
      <c r="D918" s="44" t="s">
        <v>2578</v>
      </c>
      <c r="E918" s="44" t="s">
        <v>2212</v>
      </c>
      <c r="F918" s="48">
        <v>2021</v>
      </c>
      <c r="G918" s="48">
        <v>61</v>
      </c>
      <c r="H918" s="48">
        <v>6</v>
      </c>
      <c r="I918" s="44" t="str">
        <f>Tableau2[[#This Row],[Annee d''inscription au programme]]&amp;"-"&amp;Tableau2[[#This Row],[Code d''ecole]]&amp;"-"&amp;Tableau2[[#This Row],[Numero HM de la fille]]</f>
        <v>2021-61-6</v>
      </c>
      <c r="J918" s="45" t="s">
        <v>2165</v>
      </c>
      <c r="K918" s="58" t="s">
        <v>593</v>
      </c>
      <c r="L918" s="35" t="s">
        <v>698</v>
      </c>
      <c r="M918" s="35">
        <v>0.5</v>
      </c>
      <c r="N918" s="35">
        <v>0</v>
      </c>
      <c r="O918" s="35">
        <f t="shared" si="28"/>
        <v>0.25</v>
      </c>
      <c r="P918" s="35">
        <v>2</v>
      </c>
      <c r="Q918" s="35">
        <v>2.5</v>
      </c>
      <c r="R918" s="35">
        <f t="shared" si="29"/>
        <v>2.25</v>
      </c>
      <c r="S918" s="35"/>
      <c r="T918" s="35"/>
      <c r="U918" s="35"/>
      <c r="V918" s="35" t="e">
        <f>AVERAGE(Tableau2[[#This Row],[1ère composition/10]:[3è composition]])</f>
        <v>#DIV/0!</v>
      </c>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f>COUNTIF(Tableau2[[#This Row],[Séance 1]:[Séance 38]],"A")</f>
        <v>0</v>
      </c>
      <c r="BJ918" s="35"/>
    </row>
    <row r="919" spans="1:62" s="42" customFormat="1" x14ac:dyDescent="0.2">
      <c r="A919" s="44" t="s">
        <v>2523</v>
      </c>
      <c r="B919" s="44" t="s">
        <v>2579</v>
      </c>
      <c r="C919" s="44" t="s">
        <v>3827</v>
      </c>
      <c r="D919" s="44" t="s">
        <v>2580</v>
      </c>
      <c r="E919" s="44" t="s">
        <v>2212</v>
      </c>
      <c r="F919" s="48">
        <v>2021</v>
      </c>
      <c r="G919" s="48">
        <v>61</v>
      </c>
      <c r="H919" s="48">
        <v>7</v>
      </c>
      <c r="I919" s="44" t="str">
        <f>Tableau2[[#This Row],[Annee d''inscription au programme]]&amp;"-"&amp;Tableau2[[#This Row],[Code d''ecole]]&amp;"-"&amp;Tableau2[[#This Row],[Numero HM de la fille]]</f>
        <v>2021-61-7</v>
      </c>
      <c r="J919" s="45" t="s">
        <v>2166</v>
      </c>
      <c r="K919" s="58" t="s">
        <v>593</v>
      </c>
      <c r="L919" s="35" t="s">
        <v>698</v>
      </c>
      <c r="M919" s="35">
        <v>0</v>
      </c>
      <c r="N919" s="35">
        <v>0</v>
      </c>
      <c r="O919" s="35">
        <f t="shared" si="28"/>
        <v>0</v>
      </c>
      <c r="P919" s="35"/>
      <c r="Q919" s="35"/>
      <c r="R919" s="35">
        <f t="shared" si="29"/>
        <v>0</v>
      </c>
      <c r="S919" s="35"/>
      <c r="T919" s="35"/>
      <c r="U919" s="35"/>
      <c r="V919" s="35" t="e">
        <f>AVERAGE(Tableau2[[#This Row],[1ère composition/10]:[3è composition]])</f>
        <v>#DIV/0!</v>
      </c>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f>COUNTIF(Tableau2[[#This Row],[Séance 1]:[Séance 38]],"A")</f>
        <v>0</v>
      </c>
      <c r="BJ919" s="35"/>
    </row>
    <row r="920" spans="1:62" s="42" customFormat="1" x14ac:dyDescent="0.2">
      <c r="A920" s="44" t="s">
        <v>2523</v>
      </c>
      <c r="B920" s="44" t="s">
        <v>2581</v>
      </c>
      <c r="C920" s="44" t="s">
        <v>3829</v>
      </c>
      <c r="D920" s="44" t="s">
        <v>235</v>
      </c>
      <c r="E920" s="44" t="s">
        <v>2212</v>
      </c>
      <c r="F920" s="48">
        <v>2021</v>
      </c>
      <c r="G920" s="48">
        <v>61</v>
      </c>
      <c r="H920" s="48">
        <v>8</v>
      </c>
      <c r="I920" s="44" t="str">
        <f>Tableau2[[#This Row],[Annee d''inscription au programme]]&amp;"-"&amp;Tableau2[[#This Row],[Code d''ecole]]&amp;"-"&amp;Tableau2[[#This Row],[Numero HM de la fille]]</f>
        <v>2021-61-8</v>
      </c>
      <c r="J920" s="45" t="s">
        <v>2167</v>
      </c>
      <c r="K920" s="58" t="s">
        <v>374</v>
      </c>
      <c r="L920" s="35" t="s">
        <v>3529</v>
      </c>
      <c r="M920" s="35">
        <v>0</v>
      </c>
      <c r="N920" s="35">
        <v>0</v>
      </c>
      <c r="O920" s="35">
        <f t="shared" si="28"/>
        <v>0</v>
      </c>
      <c r="P920" s="35">
        <v>8.5</v>
      </c>
      <c r="Q920" s="35">
        <v>5</v>
      </c>
      <c r="R920" s="35">
        <f t="shared" si="29"/>
        <v>6.75</v>
      </c>
      <c r="S920" s="35"/>
      <c r="T920" s="35"/>
      <c r="U920" s="35"/>
      <c r="V920" s="35" t="e">
        <f>AVERAGE(Tableau2[[#This Row],[1ère composition/10]:[3è composition]])</f>
        <v>#DIV/0!</v>
      </c>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f>COUNTIF(Tableau2[[#This Row],[Séance 1]:[Séance 38]],"A")</f>
        <v>0</v>
      </c>
      <c r="BJ920" s="35"/>
    </row>
    <row r="921" spans="1:62" s="42" customFormat="1" x14ac:dyDescent="0.2">
      <c r="A921" s="44" t="s">
        <v>2523</v>
      </c>
      <c r="B921" s="44" t="s">
        <v>2582</v>
      </c>
      <c r="C921" s="44" t="s">
        <v>3829</v>
      </c>
      <c r="D921" s="44" t="s">
        <v>1155</v>
      </c>
      <c r="E921" s="44" t="s">
        <v>2212</v>
      </c>
      <c r="F921" s="48">
        <v>2021</v>
      </c>
      <c r="G921" s="48">
        <v>61</v>
      </c>
      <c r="H921" s="48">
        <v>9</v>
      </c>
      <c r="I921" s="44" t="str">
        <f>Tableau2[[#This Row],[Annee d''inscription au programme]]&amp;"-"&amp;Tableau2[[#This Row],[Code d''ecole]]&amp;"-"&amp;Tableau2[[#This Row],[Numero HM de la fille]]</f>
        <v>2021-61-9</v>
      </c>
      <c r="J921" s="45" t="s">
        <v>2168</v>
      </c>
      <c r="K921" s="58" t="s">
        <v>374</v>
      </c>
      <c r="L921" s="35" t="s">
        <v>3529</v>
      </c>
      <c r="M921" s="35">
        <v>0</v>
      </c>
      <c r="N921" s="35">
        <v>0</v>
      </c>
      <c r="O921" s="35">
        <f t="shared" si="28"/>
        <v>0</v>
      </c>
      <c r="P921" s="35">
        <v>7.5</v>
      </c>
      <c r="Q921" s="35">
        <v>6.25</v>
      </c>
      <c r="R921" s="35">
        <f t="shared" si="29"/>
        <v>6.875</v>
      </c>
      <c r="S921" s="35"/>
      <c r="T921" s="35"/>
      <c r="U921" s="35"/>
      <c r="V921" s="35" t="e">
        <f>AVERAGE(Tableau2[[#This Row],[1ère composition/10]:[3è composition]])</f>
        <v>#DIV/0!</v>
      </c>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f>COUNTIF(Tableau2[[#This Row],[Séance 1]:[Séance 38]],"A")</f>
        <v>0</v>
      </c>
      <c r="BJ921" s="35"/>
    </row>
    <row r="922" spans="1:62" s="42" customFormat="1" x14ac:dyDescent="0.2">
      <c r="A922" s="44" t="s">
        <v>2523</v>
      </c>
      <c r="B922" s="44" t="s">
        <v>2583</v>
      </c>
      <c r="C922" s="44" t="s">
        <v>3829</v>
      </c>
      <c r="D922" s="44" t="s">
        <v>2584</v>
      </c>
      <c r="E922" s="44" t="s">
        <v>2212</v>
      </c>
      <c r="F922" s="48">
        <v>2021</v>
      </c>
      <c r="G922" s="48">
        <v>61</v>
      </c>
      <c r="H922" s="48">
        <v>10</v>
      </c>
      <c r="I922" s="44" t="str">
        <f>Tableau2[[#This Row],[Annee d''inscription au programme]]&amp;"-"&amp;Tableau2[[#This Row],[Code d''ecole]]&amp;"-"&amp;Tableau2[[#This Row],[Numero HM de la fille]]</f>
        <v>2021-61-10</v>
      </c>
      <c r="J922" s="45" t="s">
        <v>2169</v>
      </c>
      <c r="K922" s="58" t="s">
        <v>593</v>
      </c>
      <c r="L922" s="35" t="s">
        <v>698</v>
      </c>
      <c r="M922" s="35">
        <v>3.5</v>
      </c>
      <c r="N922" s="35">
        <v>2</v>
      </c>
      <c r="O922" s="35">
        <f t="shared" si="28"/>
        <v>2.75</v>
      </c>
      <c r="P922" s="35">
        <v>8</v>
      </c>
      <c r="Q922" s="35">
        <v>3</v>
      </c>
      <c r="R922" s="35">
        <f t="shared" si="29"/>
        <v>5.5</v>
      </c>
      <c r="S922" s="35"/>
      <c r="T922" s="35"/>
      <c r="U922" s="35"/>
      <c r="V922" s="35" t="e">
        <f>AVERAGE(Tableau2[[#This Row],[1ère composition/10]:[3è composition]])</f>
        <v>#DIV/0!</v>
      </c>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f>COUNTIF(Tableau2[[#This Row],[Séance 1]:[Séance 38]],"A")</f>
        <v>0</v>
      </c>
      <c r="BJ922" s="35"/>
    </row>
    <row r="923" spans="1:62" s="42" customFormat="1" x14ac:dyDescent="0.2">
      <c r="A923" s="44" t="s">
        <v>2523</v>
      </c>
      <c r="B923" s="44" t="s">
        <v>1159</v>
      </c>
      <c r="C923" s="44" t="s">
        <v>3827</v>
      </c>
      <c r="D923" s="44" t="s">
        <v>2585</v>
      </c>
      <c r="E923" s="44" t="s">
        <v>2212</v>
      </c>
      <c r="F923" s="48">
        <v>2021</v>
      </c>
      <c r="G923" s="48">
        <v>61</v>
      </c>
      <c r="H923" s="48">
        <v>11</v>
      </c>
      <c r="I923" s="44" t="str">
        <f>Tableau2[[#This Row],[Annee d''inscription au programme]]&amp;"-"&amp;Tableau2[[#This Row],[Code d''ecole]]&amp;"-"&amp;Tableau2[[#This Row],[Numero HM de la fille]]</f>
        <v>2021-61-11</v>
      </c>
      <c r="J923" s="45" t="s">
        <v>2170</v>
      </c>
      <c r="K923" s="58" t="s">
        <v>593</v>
      </c>
      <c r="L923" s="35" t="s">
        <v>698</v>
      </c>
      <c r="M923" s="35">
        <v>0</v>
      </c>
      <c r="N923" s="35">
        <v>0</v>
      </c>
      <c r="O923" s="35">
        <f t="shared" si="28"/>
        <v>0</v>
      </c>
      <c r="P923" s="35">
        <v>12</v>
      </c>
      <c r="Q923" s="35">
        <v>17</v>
      </c>
      <c r="R923" s="35">
        <f t="shared" si="29"/>
        <v>14.5</v>
      </c>
      <c r="S923" s="35"/>
      <c r="T923" s="35"/>
      <c r="U923" s="35"/>
      <c r="V923" s="35" t="e">
        <f>AVERAGE(Tableau2[[#This Row],[1ère composition/10]:[3è composition]])</f>
        <v>#DIV/0!</v>
      </c>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f>COUNTIF(Tableau2[[#This Row],[Séance 1]:[Séance 38]],"A")</f>
        <v>0</v>
      </c>
      <c r="BJ923" s="35"/>
    </row>
    <row r="924" spans="1:62" s="42" customFormat="1" x14ac:dyDescent="0.2">
      <c r="A924" s="44" t="s">
        <v>2523</v>
      </c>
      <c r="B924" s="44" t="s">
        <v>2586</v>
      </c>
      <c r="C924" s="44" t="s">
        <v>3827</v>
      </c>
      <c r="D924" s="44" t="s">
        <v>2587</v>
      </c>
      <c r="E924" s="44" t="s">
        <v>2212</v>
      </c>
      <c r="F924" s="48">
        <v>2021</v>
      </c>
      <c r="G924" s="48">
        <v>61</v>
      </c>
      <c r="H924" s="48">
        <v>12</v>
      </c>
      <c r="I924" s="44" t="str">
        <f>Tableau2[[#This Row],[Annee d''inscription au programme]]&amp;"-"&amp;Tableau2[[#This Row],[Code d''ecole]]&amp;"-"&amp;Tableau2[[#This Row],[Numero HM de la fille]]</f>
        <v>2021-61-12</v>
      </c>
      <c r="J924" s="45" t="s">
        <v>2171</v>
      </c>
      <c r="K924" s="58" t="s">
        <v>593</v>
      </c>
      <c r="L924" s="35" t="s">
        <v>698</v>
      </c>
      <c r="M924" s="35">
        <v>12</v>
      </c>
      <c r="N924" s="35">
        <v>6.5</v>
      </c>
      <c r="O924" s="35">
        <f t="shared" si="28"/>
        <v>9.25</v>
      </c>
      <c r="P924" s="35">
        <v>15</v>
      </c>
      <c r="Q924" s="35">
        <v>10</v>
      </c>
      <c r="R924" s="35">
        <f t="shared" si="29"/>
        <v>12.5</v>
      </c>
      <c r="S924" s="35"/>
      <c r="T924" s="35"/>
      <c r="U924" s="35"/>
      <c r="V924" s="35" t="e">
        <f>AVERAGE(Tableau2[[#This Row],[1ère composition/10]:[3è composition]])</f>
        <v>#DIV/0!</v>
      </c>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f>COUNTIF(Tableau2[[#This Row],[Séance 1]:[Séance 38]],"A")</f>
        <v>0</v>
      </c>
      <c r="BJ924" s="35"/>
    </row>
    <row r="925" spans="1:62" s="42" customFormat="1" x14ac:dyDescent="0.2">
      <c r="A925" s="44" t="s">
        <v>2523</v>
      </c>
      <c r="B925" s="44" t="s">
        <v>2588</v>
      </c>
      <c r="C925" s="44" t="s">
        <v>3829</v>
      </c>
      <c r="D925" s="44" t="s">
        <v>2589</v>
      </c>
      <c r="E925" s="44" t="s">
        <v>2212</v>
      </c>
      <c r="F925" s="48">
        <v>2021</v>
      </c>
      <c r="G925" s="48">
        <v>61</v>
      </c>
      <c r="H925" s="48">
        <v>13</v>
      </c>
      <c r="I925" s="44" t="str">
        <f>Tableau2[[#This Row],[Annee d''inscription au programme]]&amp;"-"&amp;Tableau2[[#This Row],[Code d''ecole]]&amp;"-"&amp;Tableau2[[#This Row],[Numero HM de la fille]]</f>
        <v>2021-61-13</v>
      </c>
      <c r="J925" s="45" t="s">
        <v>2172</v>
      </c>
      <c r="K925" s="58" t="s">
        <v>374</v>
      </c>
      <c r="L925" s="35" t="s">
        <v>3529</v>
      </c>
      <c r="M925" s="35">
        <v>6.5</v>
      </c>
      <c r="N925" s="35">
        <v>4</v>
      </c>
      <c r="O925" s="35">
        <f t="shared" si="28"/>
        <v>5.25</v>
      </c>
      <c r="P925" s="35">
        <v>5</v>
      </c>
      <c r="Q925" s="35">
        <v>11</v>
      </c>
      <c r="R925" s="35">
        <f t="shared" si="29"/>
        <v>8</v>
      </c>
      <c r="S925" s="35"/>
      <c r="T925" s="35"/>
      <c r="U925" s="35"/>
      <c r="V925" s="35" t="e">
        <f>AVERAGE(Tableau2[[#This Row],[1ère composition/10]:[3è composition]])</f>
        <v>#DIV/0!</v>
      </c>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f>COUNTIF(Tableau2[[#This Row],[Séance 1]:[Séance 38]],"A")</f>
        <v>0</v>
      </c>
      <c r="BJ925" s="35"/>
    </row>
    <row r="926" spans="1:62" s="42" customFormat="1" x14ac:dyDescent="0.2">
      <c r="A926" s="44" t="s">
        <v>2523</v>
      </c>
      <c r="B926" s="44" t="s">
        <v>2590</v>
      </c>
      <c r="C926" s="44" t="s">
        <v>3827</v>
      </c>
      <c r="D926" s="44" t="s">
        <v>2591</v>
      </c>
      <c r="E926" s="44" t="s">
        <v>2212</v>
      </c>
      <c r="F926" s="48">
        <v>2021</v>
      </c>
      <c r="G926" s="48">
        <v>61</v>
      </c>
      <c r="H926" s="48">
        <v>14</v>
      </c>
      <c r="I926" s="44" t="str">
        <f>Tableau2[[#This Row],[Annee d''inscription au programme]]&amp;"-"&amp;Tableau2[[#This Row],[Code d''ecole]]&amp;"-"&amp;Tableau2[[#This Row],[Numero HM de la fille]]</f>
        <v>2021-61-14</v>
      </c>
      <c r="J926" s="45" t="s">
        <v>2173</v>
      </c>
      <c r="K926" s="58" t="s">
        <v>593</v>
      </c>
      <c r="L926" s="35" t="s">
        <v>698</v>
      </c>
      <c r="M926" s="35">
        <v>12.5</v>
      </c>
      <c r="N926" s="35">
        <v>3</v>
      </c>
      <c r="O926" s="35">
        <f t="shared" si="28"/>
        <v>7.75</v>
      </c>
      <c r="P926" s="35">
        <v>18</v>
      </c>
      <c r="Q926" s="35">
        <v>16</v>
      </c>
      <c r="R926" s="35">
        <f t="shared" si="29"/>
        <v>17</v>
      </c>
      <c r="S926" s="35"/>
      <c r="T926" s="35"/>
      <c r="U926" s="35"/>
      <c r="V926" s="35" t="e">
        <f>AVERAGE(Tableau2[[#This Row],[1ère composition/10]:[3è composition]])</f>
        <v>#DIV/0!</v>
      </c>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f>COUNTIF(Tableau2[[#This Row],[Séance 1]:[Séance 38]],"A")</f>
        <v>0</v>
      </c>
      <c r="BJ926" s="35"/>
    </row>
    <row r="927" spans="1:62" s="42" customFormat="1" x14ac:dyDescent="0.2">
      <c r="A927" s="1" t="s">
        <v>2523</v>
      </c>
      <c r="B927" s="44" t="s">
        <v>2592</v>
      </c>
      <c r="C927" s="44" t="s">
        <v>3829</v>
      </c>
      <c r="D927" s="44" t="s">
        <v>2593</v>
      </c>
      <c r="E927" s="44" t="s">
        <v>2212</v>
      </c>
      <c r="F927" s="48">
        <v>2021</v>
      </c>
      <c r="G927" s="48">
        <v>61</v>
      </c>
      <c r="H927" s="48">
        <v>15</v>
      </c>
      <c r="I927" s="44" t="str">
        <f>Tableau2[[#This Row],[Annee d''inscription au programme]]&amp;"-"&amp;Tableau2[[#This Row],[Code d''ecole]]&amp;"-"&amp;Tableau2[[#This Row],[Numero HM de la fille]]</f>
        <v>2021-61-15</v>
      </c>
      <c r="J927" s="45" t="s">
        <v>2174</v>
      </c>
      <c r="K927" s="58" t="s">
        <v>374</v>
      </c>
      <c r="L927" s="35" t="s">
        <v>3529</v>
      </c>
      <c r="M927" s="35">
        <v>3</v>
      </c>
      <c r="N927" s="35">
        <v>2</v>
      </c>
      <c r="O927" s="35">
        <f t="shared" si="28"/>
        <v>2.5</v>
      </c>
      <c r="P927" s="35">
        <v>5</v>
      </c>
      <c r="Q927" s="35">
        <v>2</v>
      </c>
      <c r="R927" s="35">
        <f t="shared" si="29"/>
        <v>3.5</v>
      </c>
      <c r="S927" s="35"/>
      <c r="T927" s="35"/>
      <c r="U927" s="35"/>
      <c r="V927" s="35" t="e">
        <f>AVERAGE(Tableau2[[#This Row],[1ère composition/10]:[3è composition]])</f>
        <v>#DIV/0!</v>
      </c>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f>COUNTIF(Tableau2[[#This Row],[Séance 1]:[Séance 38]],"A")</f>
        <v>0</v>
      </c>
      <c r="BJ927" s="35"/>
    </row>
    <row r="928" spans="1:62" s="42" customFormat="1" x14ac:dyDescent="0.2">
      <c r="A928" s="44" t="s">
        <v>2523</v>
      </c>
      <c r="B928" s="44" t="s">
        <v>2594</v>
      </c>
      <c r="C928" s="44" t="s">
        <v>3830</v>
      </c>
      <c r="D928" s="44" t="s">
        <v>2595</v>
      </c>
      <c r="E928" s="44" t="s">
        <v>2212</v>
      </c>
      <c r="F928" s="48">
        <v>2021</v>
      </c>
      <c r="G928" s="48">
        <v>61</v>
      </c>
      <c r="H928" s="48">
        <v>16</v>
      </c>
      <c r="I928" s="44" t="str">
        <f>Tableau2[[#This Row],[Annee d''inscription au programme]]&amp;"-"&amp;Tableau2[[#This Row],[Code d''ecole]]&amp;"-"&amp;Tableau2[[#This Row],[Numero HM de la fille]]</f>
        <v>2021-61-16</v>
      </c>
      <c r="J928" s="45" t="s">
        <v>2175</v>
      </c>
      <c r="K928" s="58" t="s">
        <v>593</v>
      </c>
      <c r="L928" s="35" t="s">
        <v>698</v>
      </c>
      <c r="M928" s="35">
        <v>16</v>
      </c>
      <c r="N928" s="35">
        <v>12.75</v>
      </c>
      <c r="O928" s="35">
        <f t="shared" si="28"/>
        <v>14.375</v>
      </c>
      <c r="P928" s="35">
        <v>18</v>
      </c>
      <c r="Q928" s="35">
        <v>19</v>
      </c>
      <c r="R928" s="35">
        <f t="shared" si="29"/>
        <v>18.5</v>
      </c>
      <c r="S928" s="35"/>
      <c r="T928" s="35"/>
      <c r="U928" s="35"/>
      <c r="V928" s="35" t="e">
        <f>AVERAGE(Tableau2[[#This Row],[1ère composition/10]:[3è composition]])</f>
        <v>#DIV/0!</v>
      </c>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f>COUNTIF(Tableau2[[#This Row],[Séance 1]:[Séance 38]],"A")</f>
        <v>0</v>
      </c>
      <c r="BJ928" s="35"/>
    </row>
    <row r="929" spans="1:62" s="42" customFormat="1" x14ac:dyDescent="0.2">
      <c r="A929" s="44" t="s">
        <v>2523</v>
      </c>
      <c r="B929" s="44" t="s">
        <v>2596</v>
      </c>
      <c r="C929" s="44" t="s">
        <v>3827</v>
      </c>
      <c r="D929" s="44" t="s">
        <v>2597</v>
      </c>
      <c r="E929" s="44" t="s">
        <v>2212</v>
      </c>
      <c r="F929" s="48">
        <v>2021</v>
      </c>
      <c r="G929" s="48">
        <v>61</v>
      </c>
      <c r="H929" s="48">
        <v>17</v>
      </c>
      <c r="I929" s="44" t="str">
        <f>Tableau2[[#This Row],[Annee d''inscription au programme]]&amp;"-"&amp;Tableau2[[#This Row],[Code d''ecole]]&amp;"-"&amp;Tableau2[[#This Row],[Numero HM de la fille]]</f>
        <v>2021-61-17</v>
      </c>
      <c r="J929" s="45" t="s">
        <v>2176</v>
      </c>
      <c r="K929" s="58" t="s">
        <v>593</v>
      </c>
      <c r="L929" s="35" t="s">
        <v>698</v>
      </c>
      <c r="M929" s="35">
        <v>0</v>
      </c>
      <c r="N929" s="35">
        <v>0</v>
      </c>
      <c r="O929" s="35">
        <f t="shared" si="28"/>
        <v>0</v>
      </c>
      <c r="P929" s="35"/>
      <c r="Q929" s="35"/>
      <c r="R929" s="35">
        <f t="shared" si="29"/>
        <v>0</v>
      </c>
      <c r="S929" s="35"/>
      <c r="T929" s="35"/>
      <c r="U929" s="35"/>
      <c r="V929" s="35" t="e">
        <f>AVERAGE(Tableau2[[#This Row],[1ère composition/10]:[3è composition]])</f>
        <v>#DIV/0!</v>
      </c>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f>COUNTIF(Tableau2[[#This Row],[Séance 1]:[Séance 38]],"A")</f>
        <v>0</v>
      </c>
      <c r="BJ929" s="35"/>
    </row>
    <row r="930" spans="1:62" s="42" customFormat="1" x14ac:dyDescent="0.2">
      <c r="A930" s="44" t="s">
        <v>2523</v>
      </c>
      <c r="B930" s="44" t="s">
        <v>2598</v>
      </c>
      <c r="C930" s="44" t="s">
        <v>3827</v>
      </c>
      <c r="D930" s="44" t="s">
        <v>2599</v>
      </c>
      <c r="E930" s="44" t="s">
        <v>2212</v>
      </c>
      <c r="F930" s="48">
        <v>2021</v>
      </c>
      <c r="G930" s="48">
        <v>61</v>
      </c>
      <c r="H930" s="48">
        <v>18</v>
      </c>
      <c r="I930" s="44" t="str">
        <f>Tableau2[[#This Row],[Annee d''inscription au programme]]&amp;"-"&amp;Tableau2[[#This Row],[Code d''ecole]]&amp;"-"&amp;Tableau2[[#This Row],[Numero HM de la fille]]</f>
        <v>2021-61-18</v>
      </c>
      <c r="J930" s="45" t="s">
        <v>2177</v>
      </c>
      <c r="K930" s="58" t="s">
        <v>593</v>
      </c>
      <c r="L930" s="35" t="s">
        <v>698</v>
      </c>
      <c r="M930" s="35">
        <v>4</v>
      </c>
      <c r="N930" s="35">
        <v>0</v>
      </c>
      <c r="O930" s="35">
        <f t="shared" si="28"/>
        <v>2</v>
      </c>
      <c r="P930" s="35"/>
      <c r="Q930" s="35"/>
      <c r="R930" s="35">
        <f t="shared" si="29"/>
        <v>0</v>
      </c>
      <c r="S930" s="35"/>
      <c r="T930" s="35"/>
      <c r="U930" s="35"/>
      <c r="V930" s="35" t="e">
        <f>AVERAGE(Tableau2[[#This Row],[1ère composition/10]:[3è composition]])</f>
        <v>#DIV/0!</v>
      </c>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f>COUNTIF(Tableau2[[#This Row],[Séance 1]:[Séance 38]],"A")</f>
        <v>0</v>
      </c>
      <c r="BJ930" s="35"/>
    </row>
    <row r="931" spans="1:62" s="42" customFormat="1" x14ac:dyDescent="0.2">
      <c r="A931" s="44" t="s">
        <v>2523</v>
      </c>
      <c r="B931" s="44" t="s">
        <v>2600</v>
      </c>
      <c r="C931" s="44" t="s">
        <v>3827</v>
      </c>
      <c r="D931" s="44" t="s">
        <v>2601</v>
      </c>
      <c r="E931" s="44" t="s">
        <v>2212</v>
      </c>
      <c r="F931" s="48">
        <v>2021</v>
      </c>
      <c r="G931" s="48">
        <v>61</v>
      </c>
      <c r="H931" s="48">
        <v>19</v>
      </c>
      <c r="I931" s="44" t="str">
        <f>Tableau2[[#This Row],[Annee d''inscription au programme]]&amp;"-"&amp;Tableau2[[#This Row],[Code d''ecole]]&amp;"-"&amp;Tableau2[[#This Row],[Numero HM de la fille]]</f>
        <v>2021-61-19</v>
      </c>
      <c r="J931" s="45" t="s">
        <v>2178</v>
      </c>
      <c r="K931" s="58" t="s">
        <v>593</v>
      </c>
      <c r="L931" s="35" t="s">
        <v>698</v>
      </c>
      <c r="M931" s="35">
        <v>6.5</v>
      </c>
      <c r="N931" s="35">
        <v>2</v>
      </c>
      <c r="O931" s="35">
        <f t="shared" si="28"/>
        <v>4.25</v>
      </c>
      <c r="P931" s="35">
        <v>8.5</v>
      </c>
      <c r="Q931" s="35">
        <v>7.5</v>
      </c>
      <c r="R931" s="35">
        <f t="shared" si="29"/>
        <v>8</v>
      </c>
      <c r="S931" s="35"/>
      <c r="T931" s="35"/>
      <c r="U931" s="35"/>
      <c r="V931" s="35" t="e">
        <f>AVERAGE(Tableau2[[#This Row],[1ère composition/10]:[3è composition]])</f>
        <v>#DIV/0!</v>
      </c>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f>COUNTIF(Tableau2[[#This Row],[Séance 1]:[Séance 38]],"A")</f>
        <v>0</v>
      </c>
      <c r="BJ931" s="35"/>
    </row>
    <row r="932" spans="1:62" s="42" customFormat="1" x14ac:dyDescent="0.2">
      <c r="A932" s="44" t="s">
        <v>2523</v>
      </c>
      <c r="B932" s="44" t="s">
        <v>2602</v>
      </c>
      <c r="C932" s="44" t="s">
        <v>3829</v>
      </c>
      <c r="D932" s="44" t="s">
        <v>2603</v>
      </c>
      <c r="E932" s="44" t="s">
        <v>2212</v>
      </c>
      <c r="F932" s="48">
        <v>2021</v>
      </c>
      <c r="G932" s="48">
        <v>61</v>
      </c>
      <c r="H932" s="48">
        <v>20</v>
      </c>
      <c r="I932" s="44" t="str">
        <f>Tableau2[[#This Row],[Annee d''inscription au programme]]&amp;"-"&amp;Tableau2[[#This Row],[Code d''ecole]]&amp;"-"&amp;Tableau2[[#This Row],[Numero HM de la fille]]</f>
        <v>2021-61-20</v>
      </c>
      <c r="J932" s="45" t="s">
        <v>2179</v>
      </c>
      <c r="K932" s="58" t="s">
        <v>374</v>
      </c>
      <c r="L932" s="35" t="s">
        <v>3529</v>
      </c>
      <c r="M932" s="35">
        <v>0</v>
      </c>
      <c r="N932" s="35">
        <v>0</v>
      </c>
      <c r="O932" s="35">
        <f t="shared" si="28"/>
        <v>0</v>
      </c>
      <c r="P932" s="35"/>
      <c r="Q932" s="35"/>
      <c r="R932" s="35">
        <f t="shared" si="29"/>
        <v>0</v>
      </c>
      <c r="S932" s="35"/>
      <c r="T932" s="35"/>
      <c r="U932" s="35"/>
      <c r="V932" s="35" t="e">
        <f>AVERAGE(Tableau2[[#This Row],[1ère composition/10]:[3è composition]])</f>
        <v>#DIV/0!</v>
      </c>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f>COUNTIF(Tableau2[[#This Row],[Séance 1]:[Séance 38]],"A")</f>
        <v>0</v>
      </c>
      <c r="BJ932" s="35"/>
    </row>
    <row r="933" spans="1:62" s="42" customFormat="1" x14ac:dyDescent="0.2">
      <c r="A933" s="44" t="s">
        <v>2523</v>
      </c>
      <c r="B933" s="44" t="s">
        <v>2604</v>
      </c>
      <c r="C933" s="44" t="s">
        <v>3827</v>
      </c>
      <c r="D933" s="44" t="s">
        <v>2605</v>
      </c>
      <c r="E933" s="44" t="s">
        <v>2212</v>
      </c>
      <c r="F933" s="48">
        <v>2021</v>
      </c>
      <c r="G933" s="48">
        <v>61</v>
      </c>
      <c r="H933" s="48">
        <v>21</v>
      </c>
      <c r="I933" s="44" t="str">
        <f>Tableau2[[#This Row],[Annee d''inscription au programme]]&amp;"-"&amp;Tableau2[[#This Row],[Code d''ecole]]&amp;"-"&amp;Tableau2[[#This Row],[Numero HM de la fille]]</f>
        <v>2021-61-21</v>
      </c>
      <c r="J933" s="45" t="s">
        <v>2180</v>
      </c>
      <c r="K933" s="58" t="s">
        <v>374</v>
      </c>
      <c r="L933" s="35" t="s">
        <v>3529</v>
      </c>
      <c r="M933" s="35">
        <v>0.5</v>
      </c>
      <c r="N933" s="35">
        <v>0</v>
      </c>
      <c r="O933" s="35">
        <f t="shared" si="28"/>
        <v>0.25</v>
      </c>
      <c r="P933" s="35">
        <v>9.5</v>
      </c>
      <c r="Q933" s="35">
        <v>1</v>
      </c>
      <c r="R933" s="35">
        <f t="shared" si="29"/>
        <v>5.25</v>
      </c>
      <c r="S933" s="35"/>
      <c r="T933" s="35"/>
      <c r="U933" s="35"/>
      <c r="V933" s="35" t="e">
        <f>AVERAGE(Tableau2[[#This Row],[1ère composition/10]:[3è composition]])</f>
        <v>#DIV/0!</v>
      </c>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f>COUNTIF(Tableau2[[#This Row],[Séance 1]:[Séance 38]],"A")</f>
        <v>0</v>
      </c>
      <c r="BJ933" s="35"/>
    </row>
    <row r="934" spans="1:62" s="42" customFormat="1" x14ac:dyDescent="0.2">
      <c r="A934" s="44" t="s">
        <v>2523</v>
      </c>
      <c r="B934" s="44" t="s">
        <v>2606</v>
      </c>
      <c r="C934" s="44" t="s">
        <v>3827</v>
      </c>
      <c r="D934" s="44" t="s">
        <v>2607</v>
      </c>
      <c r="E934" s="44" t="s">
        <v>2212</v>
      </c>
      <c r="F934" s="48">
        <v>2021</v>
      </c>
      <c r="G934" s="48">
        <v>61</v>
      </c>
      <c r="H934" s="48">
        <v>22</v>
      </c>
      <c r="I934" s="44" t="str">
        <f>Tableau2[[#This Row],[Annee d''inscription au programme]]&amp;"-"&amp;Tableau2[[#This Row],[Code d''ecole]]&amp;"-"&amp;Tableau2[[#This Row],[Numero HM de la fille]]</f>
        <v>2021-61-22</v>
      </c>
      <c r="J934" s="45" t="s">
        <v>2181</v>
      </c>
      <c r="K934" s="58" t="s">
        <v>593</v>
      </c>
      <c r="L934" s="35" t="s">
        <v>698</v>
      </c>
      <c r="M934" s="35">
        <v>14.5</v>
      </c>
      <c r="N934" s="35">
        <v>4</v>
      </c>
      <c r="O934" s="35">
        <f t="shared" si="28"/>
        <v>9.25</v>
      </c>
      <c r="P934" s="35">
        <v>14</v>
      </c>
      <c r="Q934" s="35">
        <v>3</v>
      </c>
      <c r="R934" s="35">
        <f t="shared" si="29"/>
        <v>8.5</v>
      </c>
      <c r="S934" s="35"/>
      <c r="T934" s="35"/>
      <c r="U934" s="35"/>
      <c r="V934" s="35" t="e">
        <f>AVERAGE(Tableau2[[#This Row],[1ère composition/10]:[3è composition]])</f>
        <v>#DIV/0!</v>
      </c>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f>COUNTIF(Tableau2[[#This Row],[Séance 1]:[Séance 38]],"A")</f>
        <v>0</v>
      </c>
      <c r="BJ934" s="35"/>
    </row>
    <row r="935" spans="1:62" s="42" customFormat="1" x14ac:dyDescent="0.2">
      <c r="A935" s="44" t="s">
        <v>2523</v>
      </c>
      <c r="B935" s="44" t="s">
        <v>2608</v>
      </c>
      <c r="C935" s="44" t="s">
        <v>3827</v>
      </c>
      <c r="D935" s="44" t="s">
        <v>2609</v>
      </c>
      <c r="E935" s="44" t="s">
        <v>2212</v>
      </c>
      <c r="F935" s="48">
        <v>2021</v>
      </c>
      <c r="G935" s="48">
        <v>61</v>
      </c>
      <c r="H935" s="48">
        <v>23</v>
      </c>
      <c r="I935" s="44" t="str">
        <f>Tableau2[[#This Row],[Annee d''inscription au programme]]&amp;"-"&amp;Tableau2[[#This Row],[Code d''ecole]]&amp;"-"&amp;Tableau2[[#This Row],[Numero HM de la fille]]</f>
        <v>2021-61-23</v>
      </c>
      <c r="J935" s="45" t="s">
        <v>2182</v>
      </c>
      <c r="K935" s="58" t="s">
        <v>593</v>
      </c>
      <c r="L935" s="35" t="s">
        <v>698</v>
      </c>
      <c r="M935" s="35">
        <v>0</v>
      </c>
      <c r="N935" s="35">
        <v>0</v>
      </c>
      <c r="O935" s="35">
        <f t="shared" si="28"/>
        <v>0</v>
      </c>
      <c r="P935" s="35">
        <v>1</v>
      </c>
      <c r="Q935" s="35">
        <v>1</v>
      </c>
      <c r="R935" s="35">
        <f t="shared" si="29"/>
        <v>1</v>
      </c>
      <c r="S935" s="35"/>
      <c r="T935" s="35"/>
      <c r="U935" s="35"/>
      <c r="V935" s="35" t="e">
        <f>AVERAGE(Tableau2[[#This Row],[1ère composition/10]:[3è composition]])</f>
        <v>#DIV/0!</v>
      </c>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f>COUNTIF(Tableau2[[#This Row],[Séance 1]:[Séance 38]],"A")</f>
        <v>0</v>
      </c>
      <c r="BJ935" s="35"/>
    </row>
    <row r="936" spans="1:62" s="42" customFormat="1" x14ac:dyDescent="0.2">
      <c r="A936" s="44" t="s">
        <v>2523</v>
      </c>
      <c r="B936" s="44" t="s">
        <v>2610</v>
      </c>
      <c r="C936" s="44" t="s">
        <v>3827</v>
      </c>
      <c r="D936" s="44" t="s">
        <v>2591</v>
      </c>
      <c r="E936" s="44" t="s">
        <v>2212</v>
      </c>
      <c r="F936" s="48">
        <v>2021</v>
      </c>
      <c r="G936" s="48">
        <v>61</v>
      </c>
      <c r="H936" s="48">
        <v>24</v>
      </c>
      <c r="I936" s="44" t="str">
        <f>Tableau2[[#This Row],[Annee d''inscription au programme]]&amp;"-"&amp;Tableau2[[#This Row],[Code d''ecole]]&amp;"-"&amp;Tableau2[[#This Row],[Numero HM de la fille]]</f>
        <v>2021-61-24</v>
      </c>
      <c r="J936" s="45" t="s">
        <v>2183</v>
      </c>
      <c r="K936" s="58" t="s">
        <v>593</v>
      </c>
      <c r="L936" s="35" t="s">
        <v>698</v>
      </c>
      <c r="M936" s="35">
        <v>14.5</v>
      </c>
      <c r="N936" s="35">
        <v>6.5</v>
      </c>
      <c r="O936" s="35">
        <f t="shared" si="28"/>
        <v>10.5</v>
      </c>
      <c r="P936" s="35">
        <v>17</v>
      </c>
      <c r="Q936" s="35">
        <v>14</v>
      </c>
      <c r="R936" s="35">
        <f t="shared" si="29"/>
        <v>15.5</v>
      </c>
      <c r="S936" s="35"/>
      <c r="T936" s="35"/>
      <c r="U936" s="35"/>
      <c r="V936" s="35" t="e">
        <f>AVERAGE(Tableau2[[#This Row],[1ère composition/10]:[3è composition]])</f>
        <v>#DIV/0!</v>
      </c>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f>COUNTIF(Tableau2[[#This Row],[Séance 1]:[Séance 38]],"A")</f>
        <v>0</v>
      </c>
      <c r="BJ936" s="35"/>
    </row>
    <row r="937" spans="1:62" s="42" customFormat="1" x14ac:dyDescent="0.2">
      <c r="A937" s="44" t="s">
        <v>2523</v>
      </c>
      <c r="B937" s="44" t="s">
        <v>2611</v>
      </c>
      <c r="C937" s="44" t="s">
        <v>3827</v>
      </c>
      <c r="D937" s="44" t="s">
        <v>2601</v>
      </c>
      <c r="E937" s="44" t="s">
        <v>2212</v>
      </c>
      <c r="F937" s="48">
        <v>2021</v>
      </c>
      <c r="G937" s="48">
        <v>61</v>
      </c>
      <c r="H937" s="48">
        <v>25</v>
      </c>
      <c r="I937" s="44" t="str">
        <f>Tableau2[[#This Row],[Annee d''inscription au programme]]&amp;"-"&amp;Tableau2[[#This Row],[Code d''ecole]]&amp;"-"&amp;Tableau2[[#This Row],[Numero HM de la fille]]</f>
        <v>2021-61-25</v>
      </c>
      <c r="J937" s="45" t="s">
        <v>2184</v>
      </c>
      <c r="K937" s="58" t="s">
        <v>593</v>
      </c>
      <c r="L937" s="35" t="s">
        <v>698</v>
      </c>
      <c r="M937" s="35">
        <v>7</v>
      </c>
      <c r="N937" s="35">
        <v>2</v>
      </c>
      <c r="O937" s="35">
        <f t="shared" si="28"/>
        <v>4.5</v>
      </c>
      <c r="P937" s="35">
        <v>5</v>
      </c>
      <c r="Q937" s="35">
        <v>4.5</v>
      </c>
      <c r="R937" s="35">
        <f t="shared" si="29"/>
        <v>4.75</v>
      </c>
      <c r="S937" s="35"/>
      <c r="T937" s="35"/>
      <c r="U937" s="35"/>
      <c r="V937" s="35" t="e">
        <f>AVERAGE(Tableau2[[#This Row],[1ère composition/10]:[3è composition]])</f>
        <v>#DIV/0!</v>
      </c>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f>COUNTIF(Tableau2[[#This Row],[Séance 1]:[Séance 38]],"A")</f>
        <v>0</v>
      </c>
      <c r="BJ937" s="35"/>
    </row>
    <row r="938" spans="1:62" s="42" customFormat="1" x14ac:dyDescent="0.2">
      <c r="A938" s="44" t="s">
        <v>2523</v>
      </c>
      <c r="B938" s="44" t="s">
        <v>2612</v>
      </c>
      <c r="C938" s="44" t="s">
        <v>3827</v>
      </c>
      <c r="D938" s="44" t="s">
        <v>2613</v>
      </c>
      <c r="E938" s="44" t="s">
        <v>2212</v>
      </c>
      <c r="F938" s="48">
        <v>2021</v>
      </c>
      <c r="G938" s="48">
        <v>61</v>
      </c>
      <c r="H938" s="48">
        <v>26</v>
      </c>
      <c r="I938" s="44" t="str">
        <f>Tableau2[[#This Row],[Annee d''inscription au programme]]&amp;"-"&amp;Tableau2[[#This Row],[Code d''ecole]]&amp;"-"&amp;Tableau2[[#This Row],[Numero HM de la fille]]</f>
        <v>2021-61-26</v>
      </c>
      <c r="J938" s="45" t="s">
        <v>2185</v>
      </c>
      <c r="K938" s="58" t="s">
        <v>593</v>
      </c>
      <c r="L938" s="35" t="s">
        <v>698</v>
      </c>
      <c r="M938" s="35">
        <v>11</v>
      </c>
      <c r="N938" s="35">
        <v>2</v>
      </c>
      <c r="O938" s="35">
        <f t="shared" si="28"/>
        <v>6.5</v>
      </c>
      <c r="P938" s="35">
        <v>7.5</v>
      </c>
      <c r="Q938" s="35">
        <v>4</v>
      </c>
      <c r="R938" s="35">
        <f t="shared" si="29"/>
        <v>5.75</v>
      </c>
      <c r="S938" s="35"/>
      <c r="T938" s="35"/>
      <c r="U938" s="35"/>
      <c r="V938" s="35" t="e">
        <f>AVERAGE(Tableau2[[#This Row],[1ère composition/10]:[3è composition]])</f>
        <v>#DIV/0!</v>
      </c>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f>COUNTIF(Tableau2[[#This Row],[Séance 1]:[Séance 38]],"A")</f>
        <v>0</v>
      </c>
      <c r="BJ938" s="35"/>
    </row>
    <row r="939" spans="1:62" s="42" customFormat="1" x14ac:dyDescent="0.2">
      <c r="A939" s="44" t="s">
        <v>2523</v>
      </c>
      <c r="B939" s="44" t="s">
        <v>2614</v>
      </c>
      <c r="C939" s="44" t="s">
        <v>3829</v>
      </c>
      <c r="D939" s="44" t="s">
        <v>2575</v>
      </c>
      <c r="E939" s="44" t="s">
        <v>2212</v>
      </c>
      <c r="F939" s="48">
        <v>2021</v>
      </c>
      <c r="G939" s="48">
        <v>61</v>
      </c>
      <c r="H939" s="48">
        <v>27</v>
      </c>
      <c r="I939" s="44" t="str">
        <f>Tableau2[[#This Row],[Annee d''inscription au programme]]&amp;"-"&amp;Tableau2[[#This Row],[Code d''ecole]]&amp;"-"&amp;Tableau2[[#This Row],[Numero HM de la fille]]</f>
        <v>2021-61-27</v>
      </c>
      <c r="J939" s="45" t="s">
        <v>2186</v>
      </c>
      <c r="K939" s="58" t="s">
        <v>593</v>
      </c>
      <c r="L939" s="35" t="s">
        <v>698</v>
      </c>
      <c r="M939" s="35">
        <v>0</v>
      </c>
      <c r="N939" s="35">
        <v>0</v>
      </c>
      <c r="O939" s="35">
        <f t="shared" si="28"/>
        <v>0</v>
      </c>
      <c r="P939" s="35"/>
      <c r="Q939" s="35"/>
      <c r="R939" s="35">
        <f t="shared" si="29"/>
        <v>0</v>
      </c>
      <c r="S939" s="35"/>
      <c r="T939" s="35"/>
      <c r="U939" s="35"/>
      <c r="V939" s="35" t="e">
        <f>AVERAGE(Tableau2[[#This Row],[1ère composition/10]:[3è composition]])</f>
        <v>#DIV/0!</v>
      </c>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f>COUNTIF(Tableau2[[#This Row],[Séance 1]:[Séance 38]],"A")</f>
        <v>0</v>
      </c>
      <c r="BJ939" s="35"/>
    </row>
    <row r="940" spans="1:62" s="42" customFormat="1" x14ac:dyDescent="0.2">
      <c r="A940" s="44" t="s">
        <v>2523</v>
      </c>
      <c r="B940" s="44" t="s">
        <v>2615</v>
      </c>
      <c r="C940" s="44" t="s">
        <v>3827</v>
      </c>
      <c r="D940" s="44" t="s">
        <v>937</v>
      </c>
      <c r="E940" s="44" t="s">
        <v>2212</v>
      </c>
      <c r="F940" s="48">
        <v>2021</v>
      </c>
      <c r="G940" s="48">
        <v>61</v>
      </c>
      <c r="H940" s="48">
        <v>28</v>
      </c>
      <c r="I940" s="44" t="str">
        <f>Tableau2[[#This Row],[Annee d''inscription au programme]]&amp;"-"&amp;Tableau2[[#This Row],[Code d''ecole]]&amp;"-"&amp;Tableau2[[#This Row],[Numero HM de la fille]]</f>
        <v>2021-61-28</v>
      </c>
      <c r="J940" s="45" t="s">
        <v>2187</v>
      </c>
      <c r="K940" s="58" t="s">
        <v>593</v>
      </c>
      <c r="L940" s="35" t="s">
        <v>698</v>
      </c>
      <c r="M940" s="35">
        <v>3</v>
      </c>
      <c r="N940" s="35">
        <v>1</v>
      </c>
      <c r="O940" s="35">
        <f t="shared" si="28"/>
        <v>2</v>
      </c>
      <c r="P940" s="35">
        <v>6.5</v>
      </c>
      <c r="Q940" s="35">
        <v>1.5</v>
      </c>
      <c r="R940" s="35">
        <f t="shared" si="29"/>
        <v>4</v>
      </c>
      <c r="S940" s="35"/>
      <c r="T940" s="35"/>
      <c r="U940" s="35"/>
      <c r="V940" s="35" t="e">
        <f>AVERAGE(Tableau2[[#This Row],[1ère composition/10]:[3è composition]])</f>
        <v>#DIV/0!</v>
      </c>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f>COUNTIF(Tableau2[[#This Row],[Séance 1]:[Séance 38]],"A")</f>
        <v>0</v>
      </c>
      <c r="BJ940" s="35"/>
    </row>
    <row r="941" spans="1:62" s="42" customFormat="1" x14ac:dyDescent="0.2">
      <c r="A941" s="44" t="s">
        <v>2523</v>
      </c>
      <c r="B941" s="44" t="s">
        <v>2616</v>
      </c>
      <c r="C941" s="44" t="s">
        <v>3827</v>
      </c>
      <c r="D941" s="44" t="s">
        <v>2251</v>
      </c>
      <c r="E941" s="44" t="s">
        <v>2212</v>
      </c>
      <c r="F941" s="48">
        <v>2021</v>
      </c>
      <c r="G941" s="48">
        <v>61</v>
      </c>
      <c r="H941" s="48">
        <v>29</v>
      </c>
      <c r="I941" s="44" t="str">
        <f>Tableau2[[#This Row],[Annee d''inscription au programme]]&amp;"-"&amp;Tableau2[[#This Row],[Code d''ecole]]&amp;"-"&amp;Tableau2[[#This Row],[Numero HM de la fille]]</f>
        <v>2021-61-29</v>
      </c>
      <c r="J941" s="45" t="s">
        <v>2188</v>
      </c>
      <c r="K941" s="58" t="s">
        <v>593</v>
      </c>
      <c r="L941" s="35" t="s">
        <v>698</v>
      </c>
      <c r="M941" s="35">
        <v>15.5</v>
      </c>
      <c r="N941" s="35">
        <v>16</v>
      </c>
      <c r="O941" s="35">
        <f t="shared" si="28"/>
        <v>15.75</v>
      </c>
      <c r="P941" s="35">
        <v>16.5</v>
      </c>
      <c r="Q941" s="35">
        <v>19.5</v>
      </c>
      <c r="R941" s="35">
        <f t="shared" si="29"/>
        <v>18</v>
      </c>
      <c r="S941" s="35"/>
      <c r="T941" s="35"/>
      <c r="U941" s="35"/>
      <c r="V941" s="35" t="e">
        <f>AVERAGE(Tableau2[[#This Row],[1ère composition/10]:[3è composition]])</f>
        <v>#DIV/0!</v>
      </c>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f>COUNTIF(Tableau2[[#This Row],[Séance 1]:[Séance 38]],"A")</f>
        <v>0</v>
      </c>
      <c r="BJ941" s="35"/>
    </row>
    <row r="942" spans="1:62" s="42" customFormat="1" x14ac:dyDescent="0.2">
      <c r="A942" s="44" t="s">
        <v>2523</v>
      </c>
      <c r="B942" s="44" t="s">
        <v>2617</v>
      </c>
      <c r="C942" s="44" t="s">
        <v>3827</v>
      </c>
      <c r="D942" s="44" t="s">
        <v>2275</v>
      </c>
      <c r="E942" s="44" t="s">
        <v>2212</v>
      </c>
      <c r="F942" s="48">
        <v>2021</v>
      </c>
      <c r="G942" s="48">
        <v>61</v>
      </c>
      <c r="H942" s="48">
        <v>30</v>
      </c>
      <c r="I942" s="44" t="str">
        <f>Tableau2[[#This Row],[Annee d''inscription au programme]]&amp;"-"&amp;Tableau2[[#This Row],[Code d''ecole]]&amp;"-"&amp;Tableau2[[#This Row],[Numero HM de la fille]]</f>
        <v>2021-61-30</v>
      </c>
      <c r="J942" s="45" t="s">
        <v>2189</v>
      </c>
      <c r="K942" s="58" t="s">
        <v>374</v>
      </c>
      <c r="L942" s="35" t="s">
        <v>3529</v>
      </c>
      <c r="M942" s="35">
        <v>0.5</v>
      </c>
      <c r="N942" s="35">
        <v>0.5</v>
      </c>
      <c r="O942" s="35">
        <f t="shared" si="28"/>
        <v>0.5</v>
      </c>
      <c r="P942" s="35">
        <v>2.5</v>
      </c>
      <c r="Q942" s="35">
        <v>1.75</v>
      </c>
      <c r="R942" s="35">
        <f t="shared" si="29"/>
        <v>2.125</v>
      </c>
      <c r="S942" s="35"/>
      <c r="T942" s="35"/>
      <c r="U942" s="35"/>
      <c r="V942" s="35" t="e">
        <f>AVERAGE(Tableau2[[#This Row],[1ère composition/10]:[3è composition]])</f>
        <v>#DIV/0!</v>
      </c>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f>COUNTIF(Tableau2[[#This Row],[Séance 1]:[Séance 38]],"A")</f>
        <v>0</v>
      </c>
      <c r="BJ942" s="35"/>
    </row>
    <row r="943" spans="1:62" s="42" customFormat="1" x14ac:dyDescent="0.2">
      <c r="A943" s="44" t="s">
        <v>2523</v>
      </c>
      <c r="B943" s="44" t="s">
        <v>2618</v>
      </c>
      <c r="C943" s="44" t="s">
        <v>3827</v>
      </c>
      <c r="D943" s="44" t="s">
        <v>2619</v>
      </c>
      <c r="E943" s="44" t="s">
        <v>2212</v>
      </c>
      <c r="F943" s="48">
        <v>2021</v>
      </c>
      <c r="G943" s="48">
        <v>61</v>
      </c>
      <c r="H943" s="48">
        <v>31</v>
      </c>
      <c r="I943" s="44" t="str">
        <f>Tableau2[[#This Row],[Annee d''inscription au programme]]&amp;"-"&amp;Tableau2[[#This Row],[Code d''ecole]]&amp;"-"&amp;Tableau2[[#This Row],[Numero HM de la fille]]</f>
        <v>2021-61-31</v>
      </c>
      <c r="J943" s="45" t="s">
        <v>2190</v>
      </c>
      <c r="K943" s="58" t="s">
        <v>593</v>
      </c>
      <c r="L943" s="35" t="s">
        <v>698</v>
      </c>
      <c r="M943" s="35">
        <v>16</v>
      </c>
      <c r="N943" s="35">
        <v>14.75</v>
      </c>
      <c r="O943" s="35">
        <f t="shared" si="28"/>
        <v>15.375</v>
      </c>
      <c r="P943" s="35">
        <v>18</v>
      </c>
      <c r="Q943" s="35">
        <v>18</v>
      </c>
      <c r="R943" s="35">
        <f t="shared" si="29"/>
        <v>18</v>
      </c>
      <c r="S943" s="35"/>
      <c r="T943" s="35"/>
      <c r="U943" s="35"/>
      <c r="V943" s="35" t="e">
        <f>AVERAGE(Tableau2[[#This Row],[1ère composition/10]:[3è composition]])</f>
        <v>#DIV/0!</v>
      </c>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f>COUNTIF(Tableau2[[#This Row],[Séance 1]:[Séance 38]],"A")</f>
        <v>0</v>
      </c>
      <c r="BJ943" s="35"/>
    </row>
    <row r="944" spans="1:62" s="42" customFormat="1" x14ac:dyDescent="0.2">
      <c r="A944" s="44" t="s">
        <v>2523</v>
      </c>
      <c r="B944" s="44" t="s">
        <v>2620</v>
      </c>
      <c r="C944" s="44" t="s">
        <v>3827</v>
      </c>
      <c r="D944" s="44" t="s">
        <v>2597</v>
      </c>
      <c r="E944" s="44" t="s">
        <v>2212</v>
      </c>
      <c r="F944" s="48">
        <v>2021</v>
      </c>
      <c r="G944" s="48">
        <v>61</v>
      </c>
      <c r="H944" s="48">
        <v>32</v>
      </c>
      <c r="I944" s="44" t="str">
        <f>Tableau2[[#This Row],[Annee d''inscription au programme]]&amp;"-"&amp;Tableau2[[#This Row],[Code d''ecole]]&amp;"-"&amp;Tableau2[[#This Row],[Numero HM de la fille]]</f>
        <v>2021-61-32</v>
      </c>
      <c r="J944" s="45" t="s">
        <v>2191</v>
      </c>
      <c r="K944" s="58" t="s">
        <v>593</v>
      </c>
      <c r="L944" s="35" t="s">
        <v>698</v>
      </c>
      <c r="M944" s="35">
        <v>4.5</v>
      </c>
      <c r="N944" s="35">
        <v>2</v>
      </c>
      <c r="O944" s="35">
        <f t="shared" si="28"/>
        <v>3.25</v>
      </c>
      <c r="P944" s="35">
        <v>7.5</v>
      </c>
      <c r="Q944" s="35">
        <v>3</v>
      </c>
      <c r="R944" s="35">
        <f t="shared" si="29"/>
        <v>5.25</v>
      </c>
      <c r="S944" s="35"/>
      <c r="T944" s="35"/>
      <c r="U944" s="35"/>
      <c r="V944" s="35" t="e">
        <f>AVERAGE(Tableau2[[#This Row],[1ère composition/10]:[3è composition]])</f>
        <v>#DIV/0!</v>
      </c>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f>COUNTIF(Tableau2[[#This Row],[Séance 1]:[Séance 38]],"A")</f>
        <v>0</v>
      </c>
      <c r="BJ944" s="35"/>
    </row>
    <row r="945" spans="1:62" s="42" customFormat="1" x14ac:dyDescent="0.2">
      <c r="A945" s="44" t="s">
        <v>2523</v>
      </c>
      <c r="B945" s="44" t="s">
        <v>2621</v>
      </c>
      <c r="C945" s="44" t="s">
        <v>3827</v>
      </c>
      <c r="D945" s="44" t="s">
        <v>2622</v>
      </c>
      <c r="E945" s="44" t="s">
        <v>2212</v>
      </c>
      <c r="F945" s="48">
        <v>2021</v>
      </c>
      <c r="G945" s="48">
        <v>61</v>
      </c>
      <c r="H945" s="48">
        <v>33</v>
      </c>
      <c r="I945" s="44" t="str">
        <f>Tableau2[[#This Row],[Annee d''inscription au programme]]&amp;"-"&amp;Tableau2[[#This Row],[Code d''ecole]]&amp;"-"&amp;Tableau2[[#This Row],[Numero HM de la fille]]</f>
        <v>2021-61-33</v>
      </c>
      <c r="J945" s="45" t="s">
        <v>2192</v>
      </c>
      <c r="K945" s="58" t="s">
        <v>593</v>
      </c>
      <c r="L945" s="35" t="s">
        <v>698</v>
      </c>
      <c r="M945" s="35">
        <v>0</v>
      </c>
      <c r="N945" s="35">
        <v>0</v>
      </c>
      <c r="O945" s="35">
        <f t="shared" si="28"/>
        <v>0</v>
      </c>
      <c r="P945" s="35">
        <v>7.5</v>
      </c>
      <c r="Q945" s="35">
        <v>8.5</v>
      </c>
      <c r="R945" s="35">
        <f t="shared" si="29"/>
        <v>8</v>
      </c>
      <c r="S945" s="35"/>
      <c r="T945" s="35"/>
      <c r="U945" s="35"/>
      <c r="V945" s="35" t="e">
        <f>AVERAGE(Tableau2[[#This Row],[1ère composition/10]:[3è composition]])</f>
        <v>#DIV/0!</v>
      </c>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f>COUNTIF(Tableau2[[#This Row],[Séance 1]:[Séance 38]],"A")</f>
        <v>0</v>
      </c>
      <c r="BJ945" s="35"/>
    </row>
    <row r="946" spans="1:62" s="42" customFormat="1" x14ac:dyDescent="0.2">
      <c r="A946" s="44" t="s">
        <v>2523</v>
      </c>
      <c r="B946" s="44" t="s">
        <v>2623</v>
      </c>
      <c r="C946" s="44" t="s">
        <v>3827</v>
      </c>
      <c r="D946" s="44" t="s">
        <v>2624</v>
      </c>
      <c r="E946" s="44" t="s">
        <v>2212</v>
      </c>
      <c r="F946" s="48">
        <v>2021</v>
      </c>
      <c r="G946" s="48">
        <v>61</v>
      </c>
      <c r="H946" s="48">
        <v>34</v>
      </c>
      <c r="I946" s="44" t="str">
        <f>Tableau2[[#This Row],[Annee d''inscription au programme]]&amp;"-"&amp;Tableau2[[#This Row],[Code d''ecole]]&amp;"-"&amp;Tableau2[[#This Row],[Numero HM de la fille]]</f>
        <v>2021-61-34</v>
      </c>
      <c r="J946" s="45" t="s">
        <v>2193</v>
      </c>
      <c r="K946" s="58" t="s">
        <v>593</v>
      </c>
      <c r="L946" s="35" t="s">
        <v>698</v>
      </c>
      <c r="M946" s="35">
        <v>2.5</v>
      </c>
      <c r="N946" s="35">
        <v>1.5</v>
      </c>
      <c r="O946" s="35">
        <f t="shared" si="28"/>
        <v>2</v>
      </c>
      <c r="P946" s="35">
        <v>9</v>
      </c>
      <c r="Q946" s="35">
        <v>3</v>
      </c>
      <c r="R946" s="35">
        <f t="shared" si="29"/>
        <v>6</v>
      </c>
      <c r="S946" s="35"/>
      <c r="T946" s="35"/>
      <c r="U946" s="35"/>
      <c r="V946" s="35" t="e">
        <f>AVERAGE(Tableau2[[#This Row],[1ère composition/10]:[3è composition]])</f>
        <v>#DIV/0!</v>
      </c>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f>COUNTIF(Tableau2[[#This Row],[Séance 1]:[Séance 38]],"A")</f>
        <v>0</v>
      </c>
      <c r="BJ946" s="35"/>
    </row>
    <row r="947" spans="1:62" s="42" customFormat="1" x14ac:dyDescent="0.2">
      <c r="A947" s="44" t="s">
        <v>2523</v>
      </c>
      <c r="B947" s="44" t="s">
        <v>2625</v>
      </c>
      <c r="C947" s="44" t="s">
        <v>3827</v>
      </c>
      <c r="D947" s="44" t="s">
        <v>2626</v>
      </c>
      <c r="E947" s="44" t="s">
        <v>2212</v>
      </c>
      <c r="F947" s="48">
        <v>2021</v>
      </c>
      <c r="G947" s="48">
        <v>61</v>
      </c>
      <c r="H947" s="48">
        <v>35</v>
      </c>
      <c r="I947" s="44" t="str">
        <f>Tableau2[[#This Row],[Annee d''inscription au programme]]&amp;"-"&amp;Tableau2[[#This Row],[Code d''ecole]]&amp;"-"&amp;Tableau2[[#This Row],[Numero HM de la fille]]</f>
        <v>2021-61-35</v>
      </c>
      <c r="J947" s="45" t="s">
        <v>2194</v>
      </c>
      <c r="K947" s="58" t="s">
        <v>374</v>
      </c>
      <c r="L947" s="35" t="s">
        <v>3529</v>
      </c>
      <c r="M947" s="35">
        <v>4</v>
      </c>
      <c r="N947" s="35">
        <v>2</v>
      </c>
      <c r="O947" s="35">
        <f t="shared" si="28"/>
        <v>3</v>
      </c>
      <c r="P947" s="35"/>
      <c r="Q947" s="35"/>
      <c r="R947" s="35">
        <f t="shared" si="29"/>
        <v>0</v>
      </c>
      <c r="S947" s="35"/>
      <c r="T947" s="35"/>
      <c r="U947" s="35"/>
      <c r="V947" s="35" t="e">
        <f>AVERAGE(Tableau2[[#This Row],[1ère composition/10]:[3è composition]])</f>
        <v>#DIV/0!</v>
      </c>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f>COUNTIF(Tableau2[[#This Row],[Séance 1]:[Séance 38]],"A")</f>
        <v>0</v>
      </c>
      <c r="BJ947" s="35"/>
    </row>
    <row r="948" spans="1:62" s="42" customFormat="1" x14ac:dyDescent="0.2">
      <c r="A948" s="44" t="s">
        <v>2523</v>
      </c>
      <c r="B948" s="44" t="s">
        <v>996</v>
      </c>
      <c r="C948" s="44" t="s">
        <v>3829</v>
      </c>
      <c r="D948" s="44" t="s">
        <v>282</v>
      </c>
      <c r="E948" s="44" t="s">
        <v>2212</v>
      </c>
      <c r="F948" s="48">
        <v>2021</v>
      </c>
      <c r="G948" s="48">
        <v>61</v>
      </c>
      <c r="H948" s="48">
        <v>36</v>
      </c>
      <c r="I948" s="44" t="str">
        <f>Tableau2[[#This Row],[Annee d''inscription au programme]]&amp;"-"&amp;Tableau2[[#This Row],[Code d''ecole]]&amp;"-"&amp;Tableau2[[#This Row],[Numero HM de la fille]]</f>
        <v>2021-61-36</v>
      </c>
      <c r="J948" s="45" t="s">
        <v>2195</v>
      </c>
      <c r="K948" s="58" t="s">
        <v>374</v>
      </c>
      <c r="L948" s="35" t="s">
        <v>3529</v>
      </c>
      <c r="M948" s="35">
        <v>0</v>
      </c>
      <c r="N948" s="35">
        <v>0</v>
      </c>
      <c r="O948" s="35">
        <f t="shared" si="28"/>
        <v>0</v>
      </c>
      <c r="P948" s="35"/>
      <c r="Q948" s="35"/>
      <c r="R948" s="35">
        <f t="shared" si="29"/>
        <v>0</v>
      </c>
      <c r="S948" s="35"/>
      <c r="T948" s="35"/>
      <c r="U948" s="35"/>
      <c r="V948" s="35" t="e">
        <f>AVERAGE(Tableau2[[#This Row],[1ère composition/10]:[3è composition]])</f>
        <v>#DIV/0!</v>
      </c>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f>COUNTIF(Tableau2[[#This Row],[Séance 1]:[Séance 38]],"A")</f>
        <v>0</v>
      </c>
      <c r="BJ948" s="35"/>
    </row>
    <row r="949" spans="1:62" s="42" customFormat="1" x14ac:dyDescent="0.2">
      <c r="A949" s="44" t="s">
        <v>2523</v>
      </c>
      <c r="B949" s="44" t="s">
        <v>2627</v>
      </c>
      <c r="C949" s="44" t="s">
        <v>3829</v>
      </c>
      <c r="D949" s="44" t="s">
        <v>2628</v>
      </c>
      <c r="E949" s="44" t="s">
        <v>2212</v>
      </c>
      <c r="F949" s="48">
        <v>2021</v>
      </c>
      <c r="G949" s="48">
        <v>61</v>
      </c>
      <c r="H949" s="48">
        <v>37</v>
      </c>
      <c r="I949" s="44" t="str">
        <f>Tableau2[[#This Row],[Annee d''inscription au programme]]&amp;"-"&amp;Tableau2[[#This Row],[Code d''ecole]]&amp;"-"&amp;Tableau2[[#This Row],[Numero HM de la fille]]</f>
        <v>2021-61-37</v>
      </c>
      <c r="J949" s="45" t="s">
        <v>2196</v>
      </c>
      <c r="K949" s="58" t="s">
        <v>593</v>
      </c>
      <c r="L949" s="35" t="s">
        <v>698</v>
      </c>
      <c r="M949" s="35">
        <v>16.5</v>
      </c>
      <c r="N949" s="35">
        <v>14.75</v>
      </c>
      <c r="O949" s="35">
        <f t="shared" si="28"/>
        <v>15.625</v>
      </c>
      <c r="P949" s="35"/>
      <c r="Q949" s="35"/>
      <c r="R949" s="35">
        <f t="shared" si="29"/>
        <v>0</v>
      </c>
      <c r="S949" s="35"/>
      <c r="T949" s="35"/>
      <c r="U949" s="35"/>
      <c r="V949" s="35" t="e">
        <f>AVERAGE(Tableau2[[#This Row],[1ère composition/10]:[3è composition]])</f>
        <v>#DIV/0!</v>
      </c>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f>COUNTIF(Tableau2[[#This Row],[Séance 1]:[Séance 38]],"A")</f>
        <v>0</v>
      </c>
      <c r="BJ949" s="35"/>
    </row>
    <row r="950" spans="1:62" s="42" customFormat="1" x14ac:dyDescent="0.2">
      <c r="A950" s="44" t="s">
        <v>2523</v>
      </c>
      <c r="B950" s="44" t="s">
        <v>486</v>
      </c>
      <c r="C950" s="44" t="s">
        <v>3827</v>
      </c>
      <c r="D950" s="44" t="s">
        <v>2629</v>
      </c>
      <c r="E950" s="44" t="s">
        <v>2212</v>
      </c>
      <c r="F950" s="48">
        <v>2021</v>
      </c>
      <c r="G950" s="48">
        <v>61</v>
      </c>
      <c r="H950" s="48">
        <v>38</v>
      </c>
      <c r="I950" s="44" t="str">
        <f>Tableau2[[#This Row],[Annee d''inscription au programme]]&amp;"-"&amp;Tableau2[[#This Row],[Code d''ecole]]&amp;"-"&amp;Tableau2[[#This Row],[Numero HM de la fille]]</f>
        <v>2021-61-38</v>
      </c>
      <c r="J950" s="45" t="s">
        <v>2197</v>
      </c>
      <c r="K950" s="58" t="s">
        <v>593</v>
      </c>
      <c r="L950" s="35" t="s">
        <v>698</v>
      </c>
      <c r="M950" s="35">
        <v>5.5</v>
      </c>
      <c r="N950" s="35">
        <v>5</v>
      </c>
      <c r="O950" s="35">
        <f t="shared" si="28"/>
        <v>5.25</v>
      </c>
      <c r="P950" s="35">
        <v>9</v>
      </c>
      <c r="Q950" s="35">
        <v>9</v>
      </c>
      <c r="R950" s="35">
        <f t="shared" si="29"/>
        <v>9</v>
      </c>
      <c r="S950" s="35"/>
      <c r="T950" s="35"/>
      <c r="U950" s="35"/>
      <c r="V950" s="35" t="e">
        <f>AVERAGE(Tableau2[[#This Row],[1ère composition/10]:[3è composition]])</f>
        <v>#DIV/0!</v>
      </c>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f>COUNTIF(Tableau2[[#This Row],[Séance 1]:[Séance 38]],"A")</f>
        <v>0</v>
      </c>
      <c r="BJ950" s="35"/>
    </row>
    <row r="951" spans="1:62" s="42" customFormat="1" x14ac:dyDescent="0.2">
      <c r="A951" s="44" t="s">
        <v>2523</v>
      </c>
      <c r="B951" s="44" t="s">
        <v>2630</v>
      </c>
      <c r="C951" s="44" t="s">
        <v>3827</v>
      </c>
      <c r="D951" s="44" t="s">
        <v>2631</v>
      </c>
      <c r="E951" s="44" t="s">
        <v>2212</v>
      </c>
      <c r="F951" s="48">
        <v>2021</v>
      </c>
      <c r="G951" s="48">
        <v>61</v>
      </c>
      <c r="H951" s="48">
        <v>39</v>
      </c>
      <c r="I951" s="44" t="str">
        <f>Tableau2[[#This Row],[Annee d''inscription au programme]]&amp;"-"&amp;Tableau2[[#This Row],[Code d''ecole]]&amp;"-"&amp;Tableau2[[#This Row],[Numero HM de la fille]]</f>
        <v>2021-61-39</v>
      </c>
      <c r="J951" s="45" t="s">
        <v>2198</v>
      </c>
      <c r="K951" s="58" t="s">
        <v>593</v>
      </c>
      <c r="L951" s="35" t="s">
        <v>698</v>
      </c>
      <c r="M951" s="35">
        <v>19.5</v>
      </c>
      <c r="N951" s="35">
        <v>7.75</v>
      </c>
      <c r="O951" s="35">
        <f t="shared" si="28"/>
        <v>13.625</v>
      </c>
      <c r="P951" s="35"/>
      <c r="Q951" s="35"/>
      <c r="R951" s="35">
        <f t="shared" si="29"/>
        <v>0</v>
      </c>
      <c r="S951" s="35"/>
      <c r="T951" s="35"/>
      <c r="U951" s="35"/>
      <c r="V951" s="35" t="e">
        <f>AVERAGE(Tableau2[[#This Row],[1ère composition/10]:[3è composition]])</f>
        <v>#DIV/0!</v>
      </c>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f>COUNTIF(Tableau2[[#This Row],[Séance 1]:[Séance 38]],"A")</f>
        <v>0</v>
      </c>
      <c r="BJ951" s="35"/>
    </row>
    <row r="952" spans="1:62" s="42" customFormat="1" x14ac:dyDescent="0.2">
      <c r="A952" s="44" t="s">
        <v>2523</v>
      </c>
      <c r="B952" s="44" t="s">
        <v>2632</v>
      </c>
      <c r="C952" s="44" t="s">
        <v>3829</v>
      </c>
      <c r="D952" s="44" t="s">
        <v>2633</v>
      </c>
      <c r="E952" s="44" t="s">
        <v>2212</v>
      </c>
      <c r="F952" s="48">
        <v>2021</v>
      </c>
      <c r="G952" s="48">
        <v>61</v>
      </c>
      <c r="H952" s="48">
        <v>40</v>
      </c>
      <c r="I952" s="44" t="str">
        <f>Tableau2[[#This Row],[Annee d''inscription au programme]]&amp;"-"&amp;Tableau2[[#This Row],[Code d''ecole]]&amp;"-"&amp;Tableau2[[#This Row],[Numero HM de la fille]]</f>
        <v>2021-61-40</v>
      </c>
      <c r="J952" s="45" t="s">
        <v>2199</v>
      </c>
      <c r="K952" s="58" t="s">
        <v>374</v>
      </c>
      <c r="L952" s="35" t="s">
        <v>3529</v>
      </c>
      <c r="M952" s="35">
        <v>5</v>
      </c>
      <c r="N952" s="35">
        <v>1.25</v>
      </c>
      <c r="O952" s="35">
        <f t="shared" si="28"/>
        <v>3.125</v>
      </c>
      <c r="P952" s="35">
        <v>13.5</v>
      </c>
      <c r="Q952" s="35">
        <v>0</v>
      </c>
      <c r="R952" s="35">
        <f t="shared" si="29"/>
        <v>6.75</v>
      </c>
      <c r="S952" s="35"/>
      <c r="T952" s="35"/>
      <c r="U952" s="35"/>
      <c r="V952" s="35" t="e">
        <f>AVERAGE(Tableau2[[#This Row],[1ère composition/10]:[3è composition]])</f>
        <v>#DIV/0!</v>
      </c>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f>COUNTIF(Tableau2[[#This Row],[Séance 1]:[Séance 38]],"A")</f>
        <v>0</v>
      </c>
      <c r="BJ952" s="35"/>
    </row>
    <row r="953" spans="1:62" s="42" customFormat="1" x14ac:dyDescent="0.2">
      <c r="A953" s="44" t="s">
        <v>2523</v>
      </c>
      <c r="B953" s="44" t="s">
        <v>2634</v>
      </c>
      <c r="C953" s="44" t="s">
        <v>3829</v>
      </c>
      <c r="D953" s="44" t="s">
        <v>2635</v>
      </c>
      <c r="E953" s="44" t="s">
        <v>2212</v>
      </c>
      <c r="F953" s="48">
        <v>2021</v>
      </c>
      <c r="G953" s="48">
        <v>61</v>
      </c>
      <c r="H953" s="48">
        <v>41</v>
      </c>
      <c r="I953" s="44" t="str">
        <f>Tableau2[[#This Row],[Annee d''inscription au programme]]&amp;"-"&amp;Tableau2[[#This Row],[Code d''ecole]]&amp;"-"&amp;Tableau2[[#This Row],[Numero HM de la fille]]</f>
        <v>2021-61-41</v>
      </c>
      <c r="J953" s="45" t="s">
        <v>2200</v>
      </c>
      <c r="K953" s="58" t="s">
        <v>374</v>
      </c>
      <c r="L953" s="35" t="s">
        <v>3529</v>
      </c>
      <c r="M953" s="35">
        <v>0</v>
      </c>
      <c r="N953" s="35">
        <v>0</v>
      </c>
      <c r="O953" s="35">
        <f t="shared" si="28"/>
        <v>0</v>
      </c>
      <c r="P953" s="35"/>
      <c r="Q953" s="35"/>
      <c r="R953" s="35">
        <f t="shared" si="29"/>
        <v>0</v>
      </c>
      <c r="S953" s="35"/>
      <c r="T953" s="35"/>
      <c r="U953" s="35"/>
      <c r="V953" s="35" t="e">
        <f>AVERAGE(Tableau2[[#This Row],[1ère composition/10]:[3è composition]])</f>
        <v>#DIV/0!</v>
      </c>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f>COUNTIF(Tableau2[[#This Row],[Séance 1]:[Séance 38]],"A")</f>
        <v>0</v>
      </c>
      <c r="BJ953" s="35"/>
    </row>
    <row r="954" spans="1:62" s="42" customFormat="1" x14ac:dyDescent="0.2">
      <c r="A954" s="44" t="s">
        <v>2523</v>
      </c>
      <c r="B954" s="44" t="s">
        <v>2636</v>
      </c>
      <c r="C954" s="44" t="s">
        <v>3829</v>
      </c>
      <c r="D954" s="44" t="s">
        <v>2637</v>
      </c>
      <c r="E954" s="44" t="s">
        <v>2212</v>
      </c>
      <c r="F954" s="48">
        <v>2021</v>
      </c>
      <c r="G954" s="48">
        <v>61</v>
      </c>
      <c r="H954" s="48">
        <v>42</v>
      </c>
      <c r="I954" s="44" t="str">
        <f>Tableau2[[#This Row],[Annee d''inscription au programme]]&amp;"-"&amp;Tableau2[[#This Row],[Code d''ecole]]&amp;"-"&amp;Tableau2[[#This Row],[Numero HM de la fille]]</f>
        <v>2021-61-42</v>
      </c>
      <c r="J954" s="45" t="s">
        <v>3492</v>
      </c>
      <c r="K954" s="58" t="s">
        <v>593</v>
      </c>
      <c r="L954" s="35" t="s">
        <v>698</v>
      </c>
      <c r="M954" s="35">
        <v>0.5</v>
      </c>
      <c r="N954" s="35">
        <v>1</v>
      </c>
      <c r="O954" s="35">
        <f t="shared" si="28"/>
        <v>0.75</v>
      </c>
      <c r="P954" s="35"/>
      <c r="Q954" s="35"/>
      <c r="R954" s="35">
        <f t="shared" si="29"/>
        <v>0</v>
      </c>
      <c r="S954" s="35"/>
      <c r="T954" s="35"/>
      <c r="U954" s="35"/>
      <c r="V954" s="35" t="e">
        <f>AVERAGE(Tableau2[[#This Row],[1ère composition/10]:[3è composition]])</f>
        <v>#DIV/0!</v>
      </c>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f>COUNTIF(Tableau2[[#This Row],[Séance 1]:[Séance 38]],"A")</f>
        <v>0</v>
      </c>
      <c r="BJ954" s="35"/>
    </row>
    <row r="955" spans="1:62" s="42" customFormat="1" x14ac:dyDescent="0.2">
      <c r="A955" s="44" t="s">
        <v>2523</v>
      </c>
      <c r="B955" s="44" t="s">
        <v>2638</v>
      </c>
      <c r="C955" s="44" t="s">
        <v>3829</v>
      </c>
      <c r="D955" s="44" t="s">
        <v>2639</v>
      </c>
      <c r="E955" s="44" t="s">
        <v>2212</v>
      </c>
      <c r="F955" s="48">
        <v>2021</v>
      </c>
      <c r="G955" s="48">
        <v>61</v>
      </c>
      <c r="H955" s="48">
        <v>43</v>
      </c>
      <c r="I955" s="44" t="str">
        <f>Tableau2[[#This Row],[Annee d''inscription au programme]]&amp;"-"&amp;Tableau2[[#This Row],[Code d''ecole]]&amp;"-"&amp;Tableau2[[#This Row],[Numero HM de la fille]]</f>
        <v>2021-61-43</v>
      </c>
      <c r="J955" s="45" t="s">
        <v>3493</v>
      </c>
      <c r="K955" s="58" t="s">
        <v>374</v>
      </c>
      <c r="L955" s="35" t="s">
        <v>3529</v>
      </c>
      <c r="M955" s="35">
        <v>0</v>
      </c>
      <c r="N955" s="35">
        <v>0</v>
      </c>
      <c r="O955" s="35">
        <f t="shared" si="28"/>
        <v>0</v>
      </c>
      <c r="P955" s="35">
        <v>0</v>
      </c>
      <c r="Q955" s="35">
        <v>4</v>
      </c>
      <c r="R955" s="35">
        <f t="shared" si="29"/>
        <v>2</v>
      </c>
      <c r="S955" s="35"/>
      <c r="T955" s="35"/>
      <c r="U955" s="35"/>
      <c r="V955" s="35" t="e">
        <f>AVERAGE(Tableau2[[#This Row],[1ère composition/10]:[3è composition]])</f>
        <v>#DIV/0!</v>
      </c>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f>COUNTIF(Tableau2[[#This Row],[Séance 1]:[Séance 38]],"A")</f>
        <v>0</v>
      </c>
      <c r="BJ955" s="35"/>
    </row>
    <row r="956" spans="1:62" s="42" customFormat="1" x14ac:dyDescent="0.2">
      <c r="A956" s="44" t="s">
        <v>2523</v>
      </c>
      <c r="B956" s="44" t="s">
        <v>2640</v>
      </c>
      <c r="C956" s="44" t="s">
        <v>3829</v>
      </c>
      <c r="D956" s="44" t="s">
        <v>659</v>
      </c>
      <c r="E956" s="44" t="s">
        <v>2212</v>
      </c>
      <c r="F956" s="48">
        <v>2021</v>
      </c>
      <c r="G956" s="48">
        <v>61</v>
      </c>
      <c r="H956" s="48">
        <v>44</v>
      </c>
      <c r="I956" s="44" t="str">
        <f>Tableau2[[#This Row],[Annee d''inscription au programme]]&amp;"-"&amp;Tableau2[[#This Row],[Code d''ecole]]&amp;"-"&amp;Tableau2[[#This Row],[Numero HM de la fille]]</f>
        <v>2021-61-44</v>
      </c>
      <c r="J956" s="45" t="s">
        <v>3494</v>
      </c>
      <c r="K956" s="58" t="s">
        <v>374</v>
      </c>
      <c r="L956" s="35" t="s">
        <v>3529</v>
      </c>
      <c r="M956" s="35">
        <v>4</v>
      </c>
      <c r="N956" s="35">
        <v>2</v>
      </c>
      <c r="O956" s="35">
        <f t="shared" si="28"/>
        <v>3</v>
      </c>
      <c r="P956" s="35"/>
      <c r="Q956" s="35"/>
      <c r="R956" s="35">
        <f t="shared" si="29"/>
        <v>0</v>
      </c>
      <c r="S956" s="35"/>
      <c r="T956" s="35"/>
      <c r="U956" s="35"/>
      <c r="V956" s="35" t="e">
        <f>AVERAGE(Tableau2[[#This Row],[1ère composition/10]:[3è composition]])</f>
        <v>#DIV/0!</v>
      </c>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f>COUNTIF(Tableau2[[#This Row],[Séance 1]:[Séance 38]],"A")</f>
        <v>0</v>
      </c>
      <c r="BJ956" s="35"/>
    </row>
    <row r="957" spans="1:62" s="42" customFormat="1" x14ac:dyDescent="0.2">
      <c r="A957" s="44" t="s">
        <v>2523</v>
      </c>
      <c r="B957" s="44" t="s">
        <v>2641</v>
      </c>
      <c r="C957" s="44" t="s">
        <v>3828</v>
      </c>
      <c r="D957" s="44" t="s">
        <v>2642</v>
      </c>
      <c r="E957" s="44" t="s">
        <v>2212</v>
      </c>
      <c r="F957" s="48">
        <v>2021</v>
      </c>
      <c r="G957" s="48">
        <v>61</v>
      </c>
      <c r="H957" s="48">
        <v>45</v>
      </c>
      <c r="I957" s="44" t="str">
        <f>Tableau2[[#This Row],[Annee d''inscription au programme]]&amp;"-"&amp;Tableau2[[#This Row],[Code d''ecole]]&amp;"-"&amp;Tableau2[[#This Row],[Numero HM de la fille]]</f>
        <v>2021-61-45</v>
      </c>
      <c r="J957" s="45" t="s">
        <v>2201</v>
      </c>
      <c r="K957" s="58" t="s">
        <v>593</v>
      </c>
      <c r="L957" s="35" t="s">
        <v>698</v>
      </c>
      <c r="M957" s="35">
        <v>0.5</v>
      </c>
      <c r="N957" s="35">
        <v>0.5</v>
      </c>
      <c r="O957" s="35">
        <f t="shared" si="28"/>
        <v>0.5</v>
      </c>
      <c r="P957" s="35"/>
      <c r="Q957" s="35"/>
      <c r="R957" s="35">
        <f t="shared" si="29"/>
        <v>0</v>
      </c>
      <c r="S957" s="35"/>
      <c r="T957" s="35"/>
      <c r="U957" s="35"/>
      <c r="V957" s="35" t="e">
        <f>AVERAGE(Tableau2[[#This Row],[1ère composition/10]:[3è composition]])</f>
        <v>#DIV/0!</v>
      </c>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f>COUNTIF(Tableau2[[#This Row],[Séance 1]:[Séance 38]],"A")</f>
        <v>0</v>
      </c>
      <c r="BJ957" s="35"/>
    </row>
    <row r="958" spans="1:62" s="42" customFormat="1" x14ac:dyDescent="0.2">
      <c r="A958" s="44" t="s">
        <v>2523</v>
      </c>
      <c r="B958" s="44" t="s">
        <v>2643</v>
      </c>
      <c r="C958" s="44" t="s">
        <v>3827</v>
      </c>
      <c r="D958" s="44" t="s">
        <v>1016</v>
      </c>
      <c r="E958" s="44" t="s">
        <v>2212</v>
      </c>
      <c r="F958" s="48">
        <v>2021</v>
      </c>
      <c r="G958" s="48">
        <v>61</v>
      </c>
      <c r="H958" s="48">
        <v>46</v>
      </c>
      <c r="I958" s="44" t="str">
        <f>Tableau2[[#This Row],[Annee d''inscription au programme]]&amp;"-"&amp;Tableau2[[#This Row],[Code d''ecole]]&amp;"-"&amp;Tableau2[[#This Row],[Numero HM de la fille]]</f>
        <v>2021-61-46</v>
      </c>
      <c r="J958" s="45" t="s">
        <v>2202</v>
      </c>
      <c r="K958" s="58" t="s">
        <v>593</v>
      </c>
      <c r="L958" s="35" t="s">
        <v>698</v>
      </c>
      <c r="M958" s="35">
        <v>0</v>
      </c>
      <c r="N958" s="35">
        <v>0</v>
      </c>
      <c r="O958" s="35">
        <f t="shared" si="28"/>
        <v>0</v>
      </c>
      <c r="P958" s="35"/>
      <c r="Q958" s="35"/>
      <c r="R958" s="35">
        <f t="shared" si="29"/>
        <v>0</v>
      </c>
      <c r="S958" s="35"/>
      <c r="T958" s="35"/>
      <c r="U958" s="35"/>
      <c r="V958" s="35" t="e">
        <f>AVERAGE(Tableau2[[#This Row],[1ère composition/10]:[3è composition]])</f>
        <v>#DIV/0!</v>
      </c>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f>COUNTIF(Tableau2[[#This Row],[Séance 1]:[Séance 38]],"A")</f>
        <v>0</v>
      </c>
      <c r="BJ958" s="35"/>
    </row>
    <row r="959" spans="1:62" s="42" customFormat="1" x14ac:dyDescent="0.2">
      <c r="A959" s="44" t="s">
        <v>2523</v>
      </c>
      <c r="B959" s="44" t="s">
        <v>2644</v>
      </c>
      <c r="C959" s="44" t="s">
        <v>3827</v>
      </c>
      <c r="D959" s="44" t="s">
        <v>1005</v>
      </c>
      <c r="E959" s="44" t="s">
        <v>2212</v>
      </c>
      <c r="F959" s="48">
        <v>2021</v>
      </c>
      <c r="G959" s="48">
        <v>61</v>
      </c>
      <c r="H959" s="48">
        <v>47</v>
      </c>
      <c r="I959" s="44" t="str">
        <f>Tableau2[[#This Row],[Annee d''inscription au programme]]&amp;"-"&amp;Tableau2[[#This Row],[Code d''ecole]]&amp;"-"&amp;Tableau2[[#This Row],[Numero HM de la fille]]</f>
        <v>2021-61-47</v>
      </c>
      <c r="J959" s="45" t="s">
        <v>2203</v>
      </c>
      <c r="K959" s="58" t="s">
        <v>374</v>
      </c>
      <c r="L959" s="35" t="s">
        <v>3529</v>
      </c>
      <c r="M959" s="35">
        <v>0</v>
      </c>
      <c r="N959" s="35">
        <v>0</v>
      </c>
      <c r="O959" s="35">
        <f t="shared" si="28"/>
        <v>0</v>
      </c>
      <c r="P959" s="35">
        <v>4</v>
      </c>
      <c r="Q959" s="35">
        <v>6.5</v>
      </c>
      <c r="R959" s="35">
        <f t="shared" si="29"/>
        <v>5.25</v>
      </c>
      <c r="S959" s="35"/>
      <c r="T959" s="35"/>
      <c r="U959" s="35"/>
      <c r="V959" s="35" t="e">
        <f>AVERAGE(Tableau2[[#This Row],[1ère composition/10]:[3è composition]])</f>
        <v>#DIV/0!</v>
      </c>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f>COUNTIF(Tableau2[[#This Row],[Séance 1]:[Séance 38]],"A")</f>
        <v>0</v>
      </c>
      <c r="BJ959" s="35"/>
    </row>
    <row r="960" spans="1:62" s="42" customFormat="1" x14ac:dyDescent="0.2">
      <c r="A960" s="44" t="s">
        <v>2523</v>
      </c>
      <c r="B960" s="44" t="s">
        <v>3496</v>
      </c>
      <c r="C960" s="44" t="s">
        <v>3827</v>
      </c>
      <c r="D960" s="44" t="s">
        <v>3499</v>
      </c>
      <c r="E960" s="44" t="s">
        <v>2212</v>
      </c>
      <c r="F960" s="48">
        <v>2021</v>
      </c>
      <c r="G960" s="48">
        <v>61</v>
      </c>
      <c r="H960" s="48">
        <v>48</v>
      </c>
      <c r="I960" s="44" t="str">
        <f>Tableau2[[#This Row],[Annee d''inscription au programme]]&amp;"-"&amp;Tableau2[[#This Row],[Code d''ecole]]&amp;"-"&amp;Tableau2[[#This Row],[Numero HM de la fille]]</f>
        <v>2021-61-48</v>
      </c>
      <c r="J960" s="45" t="s">
        <v>2204</v>
      </c>
      <c r="K960" s="58" t="s">
        <v>374</v>
      </c>
      <c r="L960" s="35" t="s">
        <v>3529</v>
      </c>
      <c r="M960" s="35">
        <v>0</v>
      </c>
      <c r="N960" s="35">
        <v>0.5</v>
      </c>
      <c r="O960" s="35">
        <f t="shared" si="28"/>
        <v>0.25</v>
      </c>
      <c r="P960" s="35">
        <v>0</v>
      </c>
      <c r="Q960" s="35">
        <v>4.5</v>
      </c>
      <c r="R960" s="35">
        <f t="shared" si="29"/>
        <v>2.25</v>
      </c>
      <c r="S960" s="35"/>
      <c r="T960" s="35"/>
      <c r="U960" s="35"/>
      <c r="V960" s="35" t="e">
        <f>AVERAGE(Tableau2[[#This Row],[1ère composition/10]:[3è composition]])</f>
        <v>#DIV/0!</v>
      </c>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f>COUNTIF(Tableau2[[#This Row],[Séance 1]:[Séance 38]],"A")</f>
        <v>0</v>
      </c>
      <c r="BJ960" s="35"/>
    </row>
    <row r="961" spans="1:62" s="42" customFormat="1" x14ac:dyDescent="0.2">
      <c r="A961" s="44" t="s">
        <v>2523</v>
      </c>
      <c r="B961" s="44" t="s">
        <v>3497</v>
      </c>
      <c r="C961" s="44" t="s">
        <v>3827</v>
      </c>
      <c r="D961" s="44" t="s">
        <v>361</v>
      </c>
      <c r="E961" s="44" t="s">
        <v>2212</v>
      </c>
      <c r="F961" s="48">
        <v>2021</v>
      </c>
      <c r="G961" s="48">
        <v>61</v>
      </c>
      <c r="H961" s="48">
        <v>49</v>
      </c>
      <c r="I961" s="44" t="str">
        <f>Tableau2[[#This Row],[Annee d''inscription au programme]]&amp;"-"&amp;Tableau2[[#This Row],[Code d''ecole]]&amp;"-"&amp;Tableau2[[#This Row],[Numero HM de la fille]]</f>
        <v>2021-61-49</v>
      </c>
      <c r="J961" s="45" t="s">
        <v>2205</v>
      </c>
      <c r="K961" s="58" t="s">
        <v>593</v>
      </c>
      <c r="L961" s="35" t="s">
        <v>698</v>
      </c>
      <c r="M961" s="35">
        <v>5.5</v>
      </c>
      <c r="N961" s="35">
        <v>3.5</v>
      </c>
      <c r="O961" s="35">
        <f t="shared" si="28"/>
        <v>4.5</v>
      </c>
      <c r="P961" s="35"/>
      <c r="Q961" s="35"/>
      <c r="R961" s="35">
        <f t="shared" si="29"/>
        <v>0</v>
      </c>
      <c r="S961" s="35"/>
      <c r="T961" s="35"/>
      <c r="U961" s="35"/>
      <c r="V961" s="35" t="e">
        <f>AVERAGE(Tableau2[[#This Row],[1ère composition/10]:[3è composition]])</f>
        <v>#DIV/0!</v>
      </c>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f>COUNTIF(Tableau2[[#This Row],[Séance 1]:[Séance 38]],"A")</f>
        <v>0</v>
      </c>
      <c r="BJ961" s="35"/>
    </row>
    <row r="962" spans="1:62" s="42" customFormat="1" x14ac:dyDescent="0.2">
      <c r="A962" s="44" t="s">
        <v>2523</v>
      </c>
      <c r="B962" s="44" t="s">
        <v>3498</v>
      </c>
      <c r="C962" s="44" t="s">
        <v>3827</v>
      </c>
      <c r="D962" s="44" t="s">
        <v>192</v>
      </c>
      <c r="E962" s="44" t="s">
        <v>2212</v>
      </c>
      <c r="F962" s="48">
        <v>2021</v>
      </c>
      <c r="G962" s="48">
        <v>61</v>
      </c>
      <c r="H962" s="48">
        <v>50</v>
      </c>
      <c r="I962" s="44" t="str">
        <f>Tableau2[[#This Row],[Annee d''inscription au programme]]&amp;"-"&amp;Tableau2[[#This Row],[Code d''ecole]]&amp;"-"&amp;Tableau2[[#This Row],[Numero HM de la fille]]</f>
        <v>2021-61-50</v>
      </c>
      <c r="J962" s="45" t="s">
        <v>2206</v>
      </c>
      <c r="K962" s="58" t="s">
        <v>593</v>
      </c>
      <c r="L962" s="35" t="s">
        <v>698</v>
      </c>
      <c r="M962" s="35">
        <v>3</v>
      </c>
      <c r="N962" s="35">
        <v>0</v>
      </c>
      <c r="O962" s="35">
        <f t="shared" si="28"/>
        <v>1.5</v>
      </c>
      <c r="P962" s="35"/>
      <c r="Q962" s="35"/>
      <c r="R962" s="35">
        <f t="shared" si="29"/>
        <v>0</v>
      </c>
      <c r="S962" s="35"/>
      <c r="T962" s="35"/>
      <c r="U962" s="35"/>
      <c r="V962" s="35" t="e">
        <f>AVERAGE(Tableau2[[#This Row],[1ère composition/10]:[3è composition]])</f>
        <v>#DIV/0!</v>
      </c>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f>COUNTIF(Tableau2[[#This Row],[Séance 1]:[Séance 38]],"A")</f>
        <v>0</v>
      </c>
      <c r="BJ962" s="35"/>
    </row>
    <row r="963" spans="1:62" s="42" customFormat="1" hidden="1" x14ac:dyDescent="0.2">
      <c r="A963" s="44" t="s">
        <v>1077</v>
      </c>
      <c r="B963" s="44" t="s">
        <v>3938</v>
      </c>
      <c r="C963" s="48"/>
      <c r="D963" s="44"/>
      <c r="E963" s="44" t="s">
        <v>812</v>
      </c>
      <c r="F963" s="48">
        <v>2021</v>
      </c>
      <c r="G963" s="48">
        <v>47</v>
      </c>
      <c r="H963" s="48">
        <v>20</v>
      </c>
      <c r="I963" s="44" t="str">
        <f>Tableau2[[#This Row],[Annee d''inscription au programme]]&amp;"-"&amp;Tableau2[[#This Row],[Code d''ecole]]&amp;"-"&amp;Tableau2[[#This Row],[Numero HM de la fille]]</f>
        <v>2021-47-20</v>
      </c>
      <c r="J963" s="45" t="s">
        <v>2207</v>
      </c>
      <c r="K963" s="58"/>
      <c r="L963" s="35"/>
      <c r="M963" s="35">
        <v>0</v>
      </c>
      <c r="N963" s="35">
        <v>0</v>
      </c>
      <c r="O963" s="35">
        <f t="shared" si="28"/>
        <v>0</v>
      </c>
      <c r="P963" s="35">
        <v>11</v>
      </c>
      <c r="Q963" s="35">
        <v>4</v>
      </c>
      <c r="R963" s="35">
        <f t="shared" si="29"/>
        <v>7.5</v>
      </c>
      <c r="S963" s="35"/>
      <c r="T963" s="35"/>
      <c r="U963" s="35"/>
      <c r="V963" s="35" t="e">
        <f>AVERAGE(Tableau2[[#This Row],[1ère composition/10]:[3è composition]])</f>
        <v>#DIV/0!</v>
      </c>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f>COUNTIF(Tableau2[[#This Row],[Séance 1]:[Séance 38]],"A")</f>
        <v>0</v>
      </c>
      <c r="BJ963" s="35"/>
    </row>
    <row r="964" spans="1:62" s="42" customFormat="1" hidden="1" x14ac:dyDescent="0.2">
      <c r="A964" s="44" t="s">
        <v>1077</v>
      </c>
      <c r="B964" s="44" t="s">
        <v>3939</v>
      </c>
      <c r="C964" s="44"/>
      <c r="D964" s="44"/>
      <c r="E964" s="44" t="s">
        <v>812</v>
      </c>
      <c r="F964" s="48">
        <v>2021</v>
      </c>
      <c r="G964" s="48">
        <v>47</v>
      </c>
      <c r="H964" s="44">
        <v>21</v>
      </c>
      <c r="I964" s="44" t="str">
        <f>Tableau2[[#This Row],[Annee d''inscription au programme]]&amp;"-"&amp;Tableau2[[#This Row],[Code d''ecole]]&amp;"-"&amp;Tableau2[[#This Row],[Numero HM de la fille]]</f>
        <v>2021-47-21</v>
      </c>
      <c r="J964" s="45" t="s">
        <v>2208</v>
      </c>
      <c r="K964" s="58"/>
      <c r="L964" s="35"/>
      <c r="M964" s="35">
        <v>0</v>
      </c>
      <c r="N964" s="35">
        <v>0</v>
      </c>
      <c r="O964" s="35">
        <f t="shared" si="28"/>
        <v>0</v>
      </c>
      <c r="P964" s="35">
        <v>15</v>
      </c>
      <c r="Q964" s="35">
        <v>5</v>
      </c>
      <c r="R964" s="35">
        <f t="shared" si="29"/>
        <v>10</v>
      </c>
      <c r="S964" s="35"/>
      <c r="T964" s="35"/>
      <c r="U964" s="35"/>
      <c r="V964" s="35" t="e">
        <f>AVERAGE(Tableau2[[#This Row],[1ère composition/10]:[3è composition]])</f>
        <v>#DIV/0!</v>
      </c>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f>COUNTIF(Tableau2[[#This Row],[Séance 1]:[Séance 38]],"A")</f>
        <v>0</v>
      </c>
      <c r="BJ964" s="35"/>
    </row>
    <row r="965" spans="1:62" s="42" customFormat="1" hidden="1" x14ac:dyDescent="0.2">
      <c r="A965" s="44" t="s">
        <v>1077</v>
      </c>
      <c r="B965" s="44" t="s">
        <v>3867</v>
      </c>
      <c r="C965" s="44"/>
      <c r="D965" s="44"/>
      <c r="E965" s="44" t="s">
        <v>812</v>
      </c>
      <c r="F965" s="48">
        <v>2021</v>
      </c>
      <c r="G965" s="48">
        <v>47</v>
      </c>
      <c r="H965" s="44">
        <v>22</v>
      </c>
      <c r="I965" s="44" t="str">
        <f>Tableau2[[#This Row],[Annee d''inscription au programme]]&amp;"-"&amp;Tableau2[[#This Row],[Code d''ecole]]&amp;"-"&amp;Tableau2[[#This Row],[Numero HM de la fille]]</f>
        <v>2021-47-22</v>
      </c>
      <c r="J965" s="45" t="s">
        <v>3870</v>
      </c>
      <c r="K965" s="58"/>
      <c r="L965" s="35"/>
      <c r="M965" s="35">
        <v>0</v>
      </c>
      <c r="N965" s="35">
        <v>0</v>
      </c>
      <c r="O965" s="35">
        <f t="shared" ref="O965:O995" si="30">AVERAGE(M965+N965)/2</f>
        <v>0</v>
      </c>
      <c r="P965" s="35">
        <v>16</v>
      </c>
      <c r="Q965" s="35">
        <v>12.5</v>
      </c>
      <c r="R965" s="35">
        <f t="shared" ref="R965:R996" si="31">AVERAGE(P965+Q965)/2</f>
        <v>14.25</v>
      </c>
      <c r="S965" s="35"/>
      <c r="T965" s="35"/>
      <c r="U965" s="35"/>
      <c r="V965" s="35" t="e">
        <f>AVERAGE(Tableau2[[#This Row],[1ère composition/10]:[3è composition]])</f>
        <v>#DIV/0!</v>
      </c>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f>COUNTIF(Tableau2[[#This Row],[Séance 1]:[Séance 38]],"A")</f>
        <v>0</v>
      </c>
      <c r="BJ965" s="35"/>
    </row>
    <row r="966" spans="1:62" s="42" customFormat="1" hidden="1" x14ac:dyDescent="0.2">
      <c r="A966" s="44" t="s">
        <v>1077</v>
      </c>
      <c r="B966" s="44" t="s">
        <v>3869</v>
      </c>
      <c r="C966" s="44"/>
      <c r="D966" s="44"/>
      <c r="E966" s="44" t="s">
        <v>812</v>
      </c>
      <c r="F966" s="48">
        <v>2021</v>
      </c>
      <c r="G966" s="48">
        <v>47</v>
      </c>
      <c r="H966" s="44">
        <v>23</v>
      </c>
      <c r="I966" s="44" t="str">
        <f>Tableau2[[#This Row],[Annee d''inscription au programme]]&amp;"-"&amp;Tableau2[[#This Row],[Code d''ecole]]&amp;"-"&amp;Tableau2[[#This Row],[Numero HM de la fille]]</f>
        <v>2021-47-23</v>
      </c>
      <c r="J966" s="45" t="s">
        <v>3871</v>
      </c>
      <c r="K966" s="58"/>
      <c r="L966" s="35"/>
      <c r="M966" s="35">
        <v>0</v>
      </c>
      <c r="N966" s="35">
        <v>0</v>
      </c>
      <c r="O966" s="35">
        <f t="shared" si="30"/>
        <v>0</v>
      </c>
      <c r="P966" s="35">
        <v>10</v>
      </c>
      <c r="Q966" s="35">
        <v>5</v>
      </c>
      <c r="R966" s="35">
        <f t="shared" si="31"/>
        <v>7.5</v>
      </c>
      <c r="S966" s="35"/>
      <c r="T966" s="35"/>
      <c r="U966" s="35"/>
      <c r="V966" s="35" t="e">
        <f>AVERAGE(Tableau2[[#This Row],[1ère composition/10]:[3è composition]])</f>
        <v>#DIV/0!</v>
      </c>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f>COUNTIF(Tableau2[[#This Row],[Séance 1]:[Séance 38]],"A")</f>
        <v>0</v>
      </c>
      <c r="BJ966" s="35"/>
    </row>
    <row r="967" spans="1:62" s="42" customFormat="1" hidden="1" x14ac:dyDescent="0.2">
      <c r="A967" s="44" t="s">
        <v>1077</v>
      </c>
      <c r="B967" s="44" t="s">
        <v>3874</v>
      </c>
      <c r="C967" s="44"/>
      <c r="D967" s="44"/>
      <c r="E967" s="44" t="s">
        <v>812</v>
      </c>
      <c r="F967" s="48">
        <v>2021</v>
      </c>
      <c r="G967" s="48">
        <v>47</v>
      </c>
      <c r="H967" s="44">
        <v>24</v>
      </c>
      <c r="I967" s="44" t="str">
        <f>Tableau2[[#This Row],[Annee d''inscription au programme]]&amp;"-"&amp;Tableau2[[#This Row],[Code d''ecole]]&amp;"-"&amp;Tableau2[[#This Row],[Numero HM de la fille]]</f>
        <v>2021-47-24</v>
      </c>
      <c r="J967" s="45" t="s">
        <v>3872</v>
      </c>
      <c r="K967" s="58"/>
      <c r="L967" s="35"/>
      <c r="M967" s="35">
        <v>0</v>
      </c>
      <c r="N967" s="35">
        <v>0</v>
      </c>
      <c r="O967" s="35">
        <f t="shared" si="30"/>
        <v>0</v>
      </c>
      <c r="P967" s="35">
        <v>16.5</v>
      </c>
      <c r="Q967" s="35">
        <v>11.5</v>
      </c>
      <c r="R967" s="35">
        <f t="shared" si="31"/>
        <v>14</v>
      </c>
      <c r="S967" s="35"/>
      <c r="T967" s="35"/>
      <c r="U967" s="35"/>
      <c r="V967" s="35" t="e">
        <f>AVERAGE(Tableau2[[#This Row],[1ère composition/10]:[3è composition]])</f>
        <v>#DIV/0!</v>
      </c>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f>COUNTIF(Tableau2[[#This Row],[Séance 1]:[Séance 38]],"A")</f>
        <v>0</v>
      </c>
      <c r="BJ967" s="35"/>
    </row>
    <row r="968" spans="1:62" s="42" customFormat="1" hidden="1" x14ac:dyDescent="0.2">
      <c r="A968" s="44" t="s">
        <v>3873</v>
      </c>
      <c r="B968" s="44" t="s">
        <v>3940</v>
      </c>
      <c r="C968" s="44"/>
      <c r="D968" s="44"/>
      <c r="E968" s="44" t="s">
        <v>812</v>
      </c>
      <c r="F968" s="48">
        <v>2021</v>
      </c>
      <c r="G968" s="48">
        <v>47</v>
      </c>
      <c r="H968" s="44">
        <v>25</v>
      </c>
      <c r="I968" s="44" t="str">
        <f>Tableau2[[#This Row],[Annee d''inscription au programme]]&amp;"-"&amp;Tableau2[[#This Row],[Code d''ecole]]&amp;"-"&amp;Tableau2[[#This Row],[Numero HM de la fille]]</f>
        <v>2021-47-25</v>
      </c>
      <c r="J968" s="45" t="s">
        <v>3875</v>
      </c>
      <c r="K968" s="58"/>
      <c r="L968" s="35"/>
      <c r="M968" s="35">
        <v>0</v>
      </c>
      <c r="N968" s="35">
        <v>0</v>
      </c>
      <c r="O968" s="35">
        <f t="shared" si="30"/>
        <v>0</v>
      </c>
      <c r="P968" s="35">
        <v>12.5</v>
      </c>
      <c r="Q968" s="35">
        <v>5</v>
      </c>
      <c r="R968" s="35">
        <f t="shared" si="31"/>
        <v>8.75</v>
      </c>
      <c r="S968" s="35"/>
      <c r="T968" s="35"/>
      <c r="U968" s="35"/>
      <c r="V968" s="35" t="e">
        <f>AVERAGE(Tableau2[[#This Row],[1ère composition/10]:[3è composition]])</f>
        <v>#DIV/0!</v>
      </c>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f>COUNTIF(Tableau2[[#This Row],[Séance 1]:[Séance 38]],"A")</f>
        <v>0</v>
      </c>
      <c r="BJ968" s="35"/>
    </row>
    <row r="969" spans="1:62" s="42" customFormat="1" hidden="1" x14ac:dyDescent="0.2">
      <c r="A969" s="44" t="s">
        <v>3873</v>
      </c>
      <c r="B969" s="44" t="s">
        <v>3941</v>
      </c>
      <c r="C969" s="44"/>
      <c r="D969" s="44"/>
      <c r="E969" s="44" t="s">
        <v>812</v>
      </c>
      <c r="F969" s="48">
        <v>2021</v>
      </c>
      <c r="G969" s="48">
        <v>47</v>
      </c>
      <c r="H969" s="44">
        <v>26</v>
      </c>
      <c r="I969" s="44" t="str">
        <f>Tableau2[[#This Row],[Annee d''inscription au programme]]&amp;"-"&amp;Tableau2[[#This Row],[Code d''ecole]]&amp;"-"&amp;Tableau2[[#This Row],[Numero HM de la fille]]</f>
        <v>2021-47-26</v>
      </c>
      <c r="J969" s="45" t="s">
        <v>3876</v>
      </c>
      <c r="K969" s="58"/>
      <c r="L969" s="35"/>
      <c r="M969" s="35">
        <v>0</v>
      </c>
      <c r="N969" s="35">
        <v>0</v>
      </c>
      <c r="O969" s="35">
        <f t="shared" si="30"/>
        <v>0</v>
      </c>
      <c r="P969" s="35">
        <v>13.5</v>
      </c>
      <c r="Q969" s="35">
        <v>4</v>
      </c>
      <c r="R969" s="35">
        <f t="shared" si="31"/>
        <v>8.75</v>
      </c>
      <c r="S969" s="35"/>
      <c r="T969" s="35"/>
      <c r="U969" s="35"/>
      <c r="V969" s="35" t="e">
        <f>AVERAGE(Tableau2[[#This Row],[1ère composition/10]:[3è composition]])</f>
        <v>#DIV/0!</v>
      </c>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f>COUNTIF(Tableau2[[#This Row],[Séance 1]:[Séance 38]],"A")</f>
        <v>0</v>
      </c>
      <c r="BJ969" s="35"/>
    </row>
    <row r="970" spans="1:62" s="42" customFormat="1" hidden="1" x14ac:dyDescent="0.2">
      <c r="A970" s="44" t="s">
        <v>3873</v>
      </c>
      <c r="B970" s="71" t="s">
        <v>3942</v>
      </c>
      <c r="C970" s="71"/>
      <c r="D970" s="71"/>
      <c r="E970" s="44" t="s">
        <v>812</v>
      </c>
      <c r="F970" s="48">
        <v>2021</v>
      </c>
      <c r="G970" s="44">
        <v>47</v>
      </c>
      <c r="H970" s="44">
        <v>27</v>
      </c>
      <c r="I970" s="71" t="str">
        <f>Tableau2[[#This Row],[Annee d''inscription au programme]]&amp;"-"&amp;Tableau2[[#This Row],[Code d''ecole]]&amp;"-"&amp;Tableau2[[#This Row],[Numero HM de la fille]]</f>
        <v>2021-47-27</v>
      </c>
      <c r="J970" s="72"/>
      <c r="K970" s="58"/>
      <c r="L970" s="35"/>
      <c r="M970" s="35">
        <v>0</v>
      </c>
      <c r="N970" s="35">
        <v>0</v>
      </c>
      <c r="O970" s="35">
        <f t="shared" si="30"/>
        <v>0</v>
      </c>
      <c r="P970" s="35">
        <v>9.5</v>
      </c>
      <c r="Q970" s="35">
        <v>4</v>
      </c>
      <c r="R970" s="35">
        <f t="shared" si="31"/>
        <v>6.75</v>
      </c>
      <c r="S970" s="35"/>
      <c r="T970" s="35"/>
      <c r="U970" s="35"/>
      <c r="V970" s="35" t="e">
        <f>AVERAGE(Tableau2[[#This Row],[1ère composition/10]:[3è composition]])</f>
        <v>#DIV/0!</v>
      </c>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f>COUNTIF(Tableau2[[#This Row],[Séance 1]:[Séance 38]],"A")</f>
        <v>0</v>
      </c>
      <c r="BJ970" s="35"/>
    </row>
    <row r="971" spans="1:62" s="42" customFormat="1" hidden="1" x14ac:dyDescent="0.2">
      <c r="A971" s="44" t="s">
        <v>1192</v>
      </c>
      <c r="B971" s="44" t="s">
        <v>3877</v>
      </c>
      <c r="C971" s="44"/>
      <c r="D971" s="44" t="s">
        <v>225</v>
      </c>
      <c r="E971" s="44" t="s">
        <v>812</v>
      </c>
      <c r="F971" s="44">
        <v>2021</v>
      </c>
      <c r="G971" s="44">
        <v>49</v>
      </c>
      <c r="H971" s="44">
        <v>18</v>
      </c>
      <c r="I971" s="44" t="str">
        <f>Tableau2[[#This Row],[Annee d''inscription au programme]]&amp;"-"&amp;Tableau2[[#This Row],[Code d''ecole]]&amp;"-"&amp;Tableau2[[#This Row],[Numero HM de la fille]]</f>
        <v>2021-49-18</v>
      </c>
      <c r="J971" s="45"/>
      <c r="K971" s="58"/>
      <c r="L971" s="35"/>
      <c r="M971" s="35">
        <v>0</v>
      </c>
      <c r="N971" s="35">
        <v>0</v>
      </c>
      <c r="O971" s="35">
        <f t="shared" si="30"/>
        <v>0</v>
      </c>
      <c r="P971" s="35"/>
      <c r="Q971" s="35"/>
      <c r="R971" s="35">
        <f t="shared" si="31"/>
        <v>0</v>
      </c>
      <c r="S971" s="35"/>
      <c r="T971" s="35"/>
      <c r="U971" s="35"/>
      <c r="V971" s="35" t="e">
        <f>AVERAGE(Tableau2[[#This Row],[1ère composition/10]:[3è composition]])</f>
        <v>#DIV/0!</v>
      </c>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f>COUNTIF(Tableau2[[#This Row],[Séance 1]:[Séance 38]],"A")</f>
        <v>0</v>
      </c>
      <c r="BJ971" s="35"/>
    </row>
    <row r="972" spans="1:62" s="42" customFormat="1" hidden="1" x14ac:dyDescent="0.2">
      <c r="A972" s="44" t="s">
        <v>1192</v>
      </c>
      <c r="B972" s="44" t="s">
        <v>1216</v>
      </c>
      <c r="C972" s="44"/>
      <c r="D972" s="44" t="s">
        <v>1214</v>
      </c>
      <c r="E972" s="44" t="s">
        <v>812</v>
      </c>
      <c r="F972" s="44">
        <v>2021</v>
      </c>
      <c r="G972" s="44">
        <v>49</v>
      </c>
      <c r="H972" s="44">
        <v>19</v>
      </c>
      <c r="I972" s="44" t="str">
        <f>Tableau2[[#This Row],[Annee d''inscription au programme]]&amp;"-"&amp;Tableau2[[#This Row],[Code d''ecole]]&amp;"-"&amp;Tableau2[[#This Row],[Numero HM de la fille]]</f>
        <v>2021-49-19</v>
      </c>
      <c r="J972" s="45"/>
      <c r="K972" s="58"/>
      <c r="L972" s="35"/>
      <c r="M972" s="35">
        <v>0</v>
      </c>
      <c r="N972" s="35">
        <v>0</v>
      </c>
      <c r="O972" s="35">
        <f t="shared" si="30"/>
        <v>0</v>
      </c>
      <c r="P972" s="35"/>
      <c r="Q972" s="35"/>
      <c r="R972" s="35">
        <f t="shared" si="31"/>
        <v>0</v>
      </c>
      <c r="S972" s="35"/>
      <c r="T972" s="35"/>
      <c r="U972" s="35"/>
      <c r="V972" s="35" t="e">
        <f>AVERAGE(Tableau2[[#This Row],[1ère composition/10]:[3è composition]])</f>
        <v>#DIV/0!</v>
      </c>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f>COUNTIF(Tableau2[[#This Row],[Séance 1]:[Séance 38]],"A")</f>
        <v>0</v>
      </c>
      <c r="BJ972" s="35"/>
    </row>
    <row r="973" spans="1:62" s="42" customFormat="1" x14ac:dyDescent="0.2">
      <c r="A973" s="44" t="s">
        <v>2523</v>
      </c>
      <c r="B973" s="44" t="s">
        <v>3878</v>
      </c>
      <c r="C973" s="44"/>
      <c r="D973" s="44" t="s">
        <v>3879</v>
      </c>
      <c r="E973" s="44" t="s">
        <v>812</v>
      </c>
      <c r="F973" s="44">
        <v>2021</v>
      </c>
      <c r="G973" s="44">
        <v>61</v>
      </c>
      <c r="H973" s="44">
        <v>50</v>
      </c>
      <c r="I973" s="44" t="str">
        <f>Tableau2[[#This Row],[Annee d''inscription au programme]]&amp;"-"&amp;Tableau2[[#This Row],[Code d''ecole]]&amp;"-"&amp;Tableau2[[#This Row],[Numero HM de la fille]]</f>
        <v>2021-61-50</v>
      </c>
      <c r="J973" s="45"/>
      <c r="K973" s="58"/>
      <c r="L973" s="35"/>
      <c r="M973" s="35">
        <v>0</v>
      </c>
      <c r="N973" s="35">
        <v>0</v>
      </c>
      <c r="O973" s="35">
        <f t="shared" si="30"/>
        <v>0</v>
      </c>
      <c r="P973" s="35"/>
      <c r="Q973" s="35"/>
      <c r="R973" s="35">
        <f t="shared" si="31"/>
        <v>0</v>
      </c>
      <c r="S973" s="35"/>
      <c r="T973" s="35"/>
      <c r="U973" s="35"/>
      <c r="V973" s="35" t="e">
        <f>AVERAGE(Tableau2[[#This Row],[1ère composition/10]:[3è composition]])</f>
        <v>#DIV/0!</v>
      </c>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f>COUNTIF(Tableau2[[#This Row],[Séance 1]:[Séance 38]],"A")</f>
        <v>0</v>
      </c>
      <c r="BJ973" s="35"/>
    </row>
    <row r="974" spans="1:62" s="42" customFormat="1" x14ac:dyDescent="0.2">
      <c r="A974" s="44" t="s">
        <v>2523</v>
      </c>
      <c r="B974" s="44" t="s">
        <v>3880</v>
      </c>
      <c r="C974" s="44"/>
      <c r="D974" s="44" t="s">
        <v>242</v>
      </c>
      <c r="E974" s="44" t="s">
        <v>812</v>
      </c>
      <c r="F974" s="44">
        <v>2021</v>
      </c>
      <c r="G974" s="44">
        <v>61</v>
      </c>
      <c r="H974" s="44">
        <v>51</v>
      </c>
      <c r="I974" s="44" t="str">
        <f>Tableau2[[#This Row],[Annee d''inscription au programme]]&amp;"-"&amp;Tableau2[[#This Row],[Code d''ecole]]&amp;"-"&amp;Tableau2[[#This Row],[Numero HM de la fille]]</f>
        <v>2021-61-51</v>
      </c>
      <c r="J974" s="45"/>
      <c r="K974" s="58"/>
      <c r="L974" s="35"/>
      <c r="M974" s="35">
        <v>0</v>
      </c>
      <c r="N974" s="35">
        <v>0</v>
      </c>
      <c r="O974" s="35">
        <f t="shared" si="30"/>
        <v>0</v>
      </c>
      <c r="P974" s="35"/>
      <c r="Q974" s="35"/>
      <c r="R974" s="35">
        <f t="shared" si="31"/>
        <v>0</v>
      </c>
      <c r="S974" s="35"/>
      <c r="T974" s="35"/>
      <c r="U974" s="35"/>
      <c r="V974" s="35" t="e">
        <f>AVERAGE(Tableau2[[#This Row],[1ère composition/10]:[3è composition]])</f>
        <v>#DIV/0!</v>
      </c>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f>COUNTIF(Tableau2[[#This Row],[Séance 1]:[Séance 38]],"A")</f>
        <v>0</v>
      </c>
      <c r="BJ974" s="35"/>
    </row>
    <row r="975" spans="1:62" s="42" customFormat="1" x14ac:dyDescent="0.2">
      <c r="A975" s="44" t="s">
        <v>2523</v>
      </c>
      <c r="B975" s="44" t="s">
        <v>184</v>
      </c>
      <c r="C975" s="44"/>
      <c r="D975" s="44" t="s">
        <v>217</v>
      </c>
      <c r="E975" s="44" t="s">
        <v>812</v>
      </c>
      <c r="F975" s="44">
        <v>2021</v>
      </c>
      <c r="G975" s="44">
        <v>61</v>
      </c>
      <c r="H975" s="44">
        <v>52</v>
      </c>
      <c r="I975" s="44" t="str">
        <f>Tableau2[[#This Row],[Annee d''inscription au programme]]&amp;"-"&amp;Tableau2[[#This Row],[Code d''ecole]]&amp;"-"&amp;Tableau2[[#This Row],[Numero HM de la fille]]</f>
        <v>2021-61-52</v>
      </c>
      <c r="J975" s="45"/>
      <c r="K975" s="58"/>
      <c r="L975" s="35"/>
      <c r="M975" s="35">
        <v>0</v>
      </c>
      <c r="N975" s="35">
        <v>0</v>
      </c>
      <c r="O975" s="35">
        <f t="shared" si="30"/>
        <v>0</v>
      </c>
      <c r="P975" s="35"/>
      <c r="Q975" s="35"/>
      <c r="R975" s="35">
        <f t="shared" si="31"/>
        <v>0</v>
      </c>
      <c r="S975" s="35"/>
      <c r="T975" s="35"/>
      <c r="U975" s="35"/>
      <c r="V975" s="35" t="e">
        <f>AVERAGE(Tableau2[[#This Row],[1ère composition/10]:[3è composition]])</f>
        <v>#DIV/0!</v>
      </c>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f>COUNTIF(Tableau2[[#This Row],[Séance 1]:[Séance 38]],"A")</f>
        <v>0</v>
      </c>
      <c r="BJ975" s="35"/>
    </row>
    <row r="976" spans="1:62" s="42" customFormat="1" x14ac:dyDescent="0.2">
      <c r="A976" s="44" t="s">
        <v>2523</v>
      </c>
      <c r="B976" s="44" t="s">
        <v>3881</v>
      </c>
      <c r="C976" s="44"/>
      <c r="D976" s="44" t="s">
        <v>1005</v>
      </c>
      <c r="E976" s="44" t="s">
        <v>812</v>
      </c>
      <c r="F976" s="44">
        <v>2021</v>
      </c>
      <c r="G976" s="44">
        <v>61</v>
      </c>
      <c r="H976" s="44">
        <v>53</v>
      </c>
      <c r="I976" s="44" t="str">
        <f>Tableau2[[#This Row],[Annee d''inscription au programme]]&amp;"-"&amp;Tableau2[[#This Row],[Code d''ecole]]&amp;"-"&amp;Tableau2[[#This Row],[Numero HM de la fille]]</f>
        <v>2021-61-53</v>
      </c>
      <c r="J976" s="45"/>
      <c r="K976" s="58"/>
      <c r="L976" s="35"/>
      <c r="M976" s="35">
        <v>0</v>
      </c>
      <c r="N976" s="35">
        <v>0</v>
      </c>
      <c r="O976" s="35">
        <f t="shared" si="30"/>
        <v>0</v>
      </c>
      <c r="P976" s="35"/>
      <c r="Q976" s="35"/>
      <c r="R976" s="35">
        <f t="shared" si="31"/>
        <v>0</v>
      </c>
      <c r="S976" s="35"/>
      <c r="T976" s="35"/>
      <c r="U976" s="35"/>
      <c r="V976" s="35" t="e">
        <f>AVERAGE(Tableau2[[#This Row],[1ère composition/10]:[3è composition]])</f>
        <v>#DIV/0!</v>
      </c>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f>COUNTIF(Tableau2[[#This Row],[Séance 1]:[Séance 38]],"A")</f>
        <v>0</v>
      </c>
      <c r="BJ976" s="35"/>
    </row>
    <row r="977" spans="1:62" s="42" customFormat="1" x14ac:dyDescent="0.2">
      <c r="A977" s="44" t="s">
        <v>2523</v>
      </c>
      <c r="B977" s="44" t="s">
        <v>3882</v>
      </c>
      <c r="C977" s="44"/>
      <c r="D977" s="44" t="s">
        <v>1195</v>
      </c>
      <c r="E977" s="44" t="s">
        <v>812</v>
      </c>
      <c r="F977" s="44">
        <v>2021</v>
      </c>
      <c r="G977" s="44">
        <v>61</v>
      </c>
      <c r="H977" s="44">
        <v>54</v>
      </c>
      <c r="I977" s="44" t="str">
        <f>Tableau2[[#This Row],[Annee d''inscription au programme]]&amp;"-"&amp;Tableau2[[#This Row],[Code d''ecole]]&amp;"-"&amp;Tableau2[[#This Row],[Numero HM de la fille]]</f>
        <v>2021-61-54</v>
      </c>
      <c r="J977" s="45"/>
      <c r="K977" s="58"/>
      <c r="L977" s="35"/>
      <c r="M977" s="35">
        <v>0</v>
      </c>
      <c r="N977" s="35">
        <v>0</v>
      </c>
      <c r="O977" s="35">
        <f t="shared" si="30"/>
        <v>0</v>
      </c>
      <c r="P977" s="35"/>
      <c r="Q977" s="35"/>
      <c r="R977" s="35">
        <f t="shared" si="31"/>
        <v>0</v>
      </c>
      <c r="S977" s="35"/>
      <c r="T977" s="35"/>
      <c r="U977" s="35"/>
      <c r="V977" s="35" t="e">
        <f>AVERAGE(Tableau2[[#This Row],[1ère composition/10]:[3è composition]])</f>
        <v>#DIV/0!</v>
      </c>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f>COUNTIF(Tableau2[[#This Row],[Séance 1]:[Séance 38]],"A")</f>
        <v>0</v>
      </c>
      <c r="BJ977" s="35"/>
    </row>
    <row r="978" spans="1:62" s="42" customFormat="1" x14ac:dyDescent="0.2">
      <c r="A978" s="44" t="s">
        <v>2523</v>
      </c>
      <c r="B978" s="44" t="s">
        <v>1004</v>
      </c>
      <c r="C978" s="44"/>
      <c r="D978" s="44" t="s">
        <v>1005</v>
      </c>
      <c r="E978" s="44" t="s">
        <v>812</v>
      </c>
      <c r="F978" s="44">
        <v>2021</v>
      </c>
      <c r="G978" s="44">
        <v>61</v>
      </c>
      <c r="H978" s="44">
        <v>55</v>
      </c>
      <c r="I978" s="44" t="str">
        <f>Tableau2[[#This Row],[Annee d''inscription au programme]]&amp;"-"&amp;Tableau2[[#This Row],[Code d''ecole]]&amp;"-"&amp;Tableau2[[#This Row],[Numero HM de la fille]]</f>
        <v>2021-61-55</v>
      </c>
      <c r="J978" s="45"/>
      <c r="K978" s="58"/>
      <c r="L978" s="35"/>
      <c r="M978" s="35">
        <v>0</v>
      </c>
      <c r="N978" s="35">
        <v>0</v>
      </c>
      <c r="O978" s="35">
        <f t="shared" si="30"/>
        <v>0</v>
      </c>
      <c r="P978" s="35"/>
      <c r="Q978" s="35"/>
      <c r="R978" s="35">
        <f t="shared" si="31"/>
        <v>0</v>
      </c>
      <c r="S978" s="35"/>
      <c r="T978" s="35"/>
      <c r="U978" s="35"/>
      <c r="V978" s="35" t="e">
        <f>AVERAGE(Tableau2[[#This Row],[1ère composition/10]:[3è composition]])</f>
        <v>#DIV/0!</v>
      </c>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f>COUNTIF(Tableau2[[#This Row],[Séance 1]:[Séance 38]],"A")</f>
        <v>0</v>
      </c>
      <c r="BJ978" s="35"/>
    </row>
    <row r="979" spans="1:62" s="42" customFormat="1" hidden="1" x14ac:dyDescent="0.2">
      <c r="A979" s="44" t="s">
        <v>1101</v>
      </c>
      <c r="B979" s="44" t="s">
        <v>3883</v>
      </c>
      <c r="C979" s="44"/>
      <c r="D979" s="44" t="s">
        <v>215</v>
      </c>
      <c r="E979" s="44" t="s">
        <v>812</v>
      </c>
      <c r="F979" s="44">
        <v>2021</v>
      </c>
      <c r="G979" s="44">
        <v>48</v>
      </c>
      <c r="H979" s="44">
        <v>29</v>
      </c>
      <c r="I979" s="44" t="str">
        <f>Tableau2[[#This Row],[Annee d''inscription au programme]]&amp;"-"&amp;Tableau2[[#This Row],[Code d''ecole]]&amp;"-"&amp;Tableau2[[#This Row],[Numero HM de la fille]]</f>
        <v>2021-48-29</v>
      </c>
      <c r="J979" s="45"/>
      <c r="K979" s="58"/>
      <c r="L979" s="35"/>
      <c r="M979" s="35">
        <v>0</v>
      </c>
      <c r="N979" s="35">
        <v>0</v>
      </c>
      <c r="O979" s="35">
        <f t="shared" si="30"/>
        <v>0</v>
      </c>
      <c r="P979" s="35">
        <v>5</v>
      </c>
      <c r="Q979" s="35">
        <v>14.75</v>
      </c>
      <c r="R979" s="35">
        <f t="shared" si="31"/>
        <v>9.875</v>
      </c>
      <c r="S979" s="35"/>
      <c r="T979" s="35"/>
      <c r="U979" s="35"/>
      <c r="V979" s="35" t="e">
        <f>AVERAGE(Tableau2[[#This Row],[1ère composition/10]:[3è composition]])</f>
        <v>#DIV/0!</v>
      </c>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f>COUNTIF(Tableau2[[#This Row],[Séance 1]:[Séance 38]],"A")</f>
        <v>0</v>
      </c>
      <c r="BJ979" s="35"/>
    </row>
    <row r="980" spans="1:62" s="42" customFormat="1" hidden="1" x14ac:dyDescent="0.2">
      <c r="A980" s="44" t="s">
        <v>811</v>
      </c>
      <c r="B980" s="44" t="s">
        <v>2696</v>
      </c>
      <c r="C980" s="44"/>
      <c r="D980" s="44" t="s">
        <v>1221</v>
      </c>
      <c r="E980" s="44" t="s">
        <v>812</v>
      </c>
      <c r="F980" s="44">
        <v>2021</v>
      </c>
      <c r="G980" s="44">
        <v>34</v>
      </c>
      <c r="H980" s="44">
        <v>39</v>
      </c>
      <c r="I980" s="44" t="str">
        <f>Tableau2[[#This Row],[Annee d''inscription au programme]]&amp;"-"&amp;Tableau2[[#This Row],[Code d''ecole]]&amp;"-"&amp;Tableau2[[#This Row],[Numero HM de la fille]]</f>
        <v>2021-34-39</v>
      </c>
      <c r="J980" s="45"/>
      <c r="K980" s="58"/>
      <c r="L980" s="35"/>
      <c r="M980" s="35">
        <v>0</v>
      </c>
      <c r="N980" s="35">
        <v>0</v>
      </c>
      <c r="O980" s="35">
        <f t="shared" si="30"/>
        <v>0</v>
      </c>
      <c r="P980" s="35"/>
      <c r="Q980" s="35"/>
      <c r="R980" s="35">
        <f t="shared" si="31"/>
        <v>0</v>
      </c>
      <c r="S980" s="35"/>
      <c r="T980" s="35"/>
      <c r="U980" s="35"/>
      <c r="V980" s="35" t="e">
        <f>AVERAGE(Tableau2[[#This Row],[1ère composition/10]:[3è composition]])</f>
        <v>#DIV/0!</v>
      </c>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f>COUNTIF(Tableau2[[#This Row],[Séance 1]:[Séance 38]],"A")</f>
        <v>0</v>
      </c>
      <c r="BJ980" s="35"/>
    </row>
    <row r="981" spans="1:62" s="42" customFormat="1" hidden="1" x14ac:dyDescent="0.2">
      <c r="A981" s="44" t="s">
        <v>811</v>
      </c>
      <c r="B981" s="44" t="s">
        <v>3884</v>
      </c>
      <c r="C981" s="44"/>
      <c r="D981" s="44" t="s">
        <v>1249</v>
      </c>
      <c r="E981" s="44" t="s">
        <v>812</v>
      </c>
      <c r="F981" s="44">
        <v>2021</v>
      </c>
      <c r="G981" s="44">
        <v>34</v>
      </c>
      <c r="H981" s="44">
        <v>40</v>
      </c>
      <c r="I981" s="44" t="str">
        <f>Tableau2[[#This Row],[Annee d''inscription au programme]]&amp;"-"&amp;Tableau2[[#This Row],[Code d''ecole]]&amp;"-"&amp;Tableau2[[#This Row],[Numero HM de la fille]]</f>
        <v>2021-34-40</v>
      </c>
      <c r="J981" s="45"/>
      <c r="K981" s="58"/>
      <c r="L981" s="35"/>
      <c r="M981" s="35">
        <v>0</v>
      </c>
      <c r="N981" s="35">
        <v>0</v>
      </c>
      <c r="O981" s="35">
        <f t="shared" si="30"/>
        <v>0</v>
      </c>
      <c r="P981" s="35"/>
      <c r="Q981" s="35"/>
      <c r="R981" s="35">
        <f t="shared" si="31"/>
        <v>0</v>
      </c>
      <c r="S981" s="35"/>
      <c r="T981" s="35"/>
      <c r="U981" s="35"/>
      <c r="V981" s="35" t="e">
        <f>AVERAGE(Tableau2[[#This Row],[1ère composition/10]:[3è composition]])</f>
        <v>#DIV/0!</v>
      </c>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f>COUNTIF(Tableau2[[#This Row],[Séance 1]:[Séance 38]],"A")</f>
        <v>0</v>
      </c>
      <c r="BJ981" s="35"/>
    </row>
    <row r="982" spans="1:62" s="42" customFormat="1" hidden="1" x14ac:dyDescent="0.2">
      <c r="A982" s="44" t="s">
        <v>811</v>
      </c>
      <c r="B982" s="44" t="s">
        <v>3885</v>
      </c>
      <c r="C982" s="44"/>
      <c r="D982" s="44" t="s">
        <v>592</v>
      </c>
      <c r="E982" s="44" t="s">
        <v>812</v>
      </c>
      <c r="F982" s="44">
        <v>2021</v>
      </c>
      <c r="G982" s="44">
        <v>34</v>
      </c>
      <c r="H982" s="44">
        <v>41</v>
      </c>
      <c r="I982" s="44" t="str">
        <f>Tableau2[[#This Row],[Annee d''inscription au programme]]&amp;"-"&amp;Tableau2[[#This Row],[Code d''ecole]]&amp;"-"&amp;Tableau2[[#This Row],[Numero HM de la fille]]</f>
        <v>2021-34-41</v>
      </c>
      <c r="J982" s="45"/>
      <c r="K982" s="58"/>
      <c r="L982" s="35"/>
      <c r="M982" s="35">
        <v>0</v>
      </c>
      <c r="N982" s="35">
        <v>0</v>
      </c>
      <c r="O982" s="35">
        <f t="shared" si="30"/>
        <v>0</v>
      </c>
      <c r="P982" s="35"/>
      <c r="Q982" s="35"/>
      <c r="R982" s="35">
        <f t="shared" si="31"/>
        <v>0</v>
      </c>
      <c r="S982" s="35"/>
      <c r="T982" s="35"/>
      <c r="U982" s="35"/>
      <c r="V982" s="35" t="e">
        <f>AVERAGE(Tableau2[[#This Row],[1ère composition/10]:[3è composition]])</f>
        <v>#DIV/0!</v>
      </c>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f>COUNTIF(Tableau2[[#This Row],[Séance 1]:[Séance 38]],"A")</f>
        <v>0</v>
      </c>
      <c r="BJ982" s="35"/>
    </row>
    <row r="983" spans="1:62" s="42" customFormat="1" hidden="1" x14ac:dyDescent="0.2">
      <c r="A983" s="44" t="s">
        <v>60</v>
      </c>
      <c r="B983" s="44" t="s">
        <v>3886</v>
      </c>
      <c r="C983" s="44"/>
      <c r="D983" s="44" t="s">
        <v>992</v>
      </c>
      <c r="E983" s="44" t="s">
        <v>120</v>
      </c>
      <c r="F983" s="44">
        <v>2021</v>
      </c>
      <c r="G983" s="44">
        <v>2</v>
      </c>
      <c r="H983" s="44">
        <v>21</v>
      </c>
      <c r="I983" s="44" t="str">
        <f>Tableau2[[#This Row],[Annee d''inscription au programme]]&amp;"-"&amp;Tableau2[[#This Row],[Code d''ecole]]&amp;"-"&amp;Tableau2[[#This Row],[Numero HM de la fille]]</f>
        <v>2021-2-21</v>
      </c>
      <c r="J983" s="45"/>
      <c r="K983" s="58"/>
      <c r="L983" s="35"/>
      <c r="M983" s="35">
        <v>0</v>
      </c>
      <c r="N983" s="35">
        <v>0</v>
      </c>
      <c r="O983" s="35">
        <f t="shared" si="30"/>
        <v>0</v>
      </c>
      <c r="P983" s="35"/>
      <c r="Q983" s="35"/>
      <c r="R983" s="35">
        <f t="shared" si="31"/>
        <v>0</v>
      </c>
      <c r="S983" s="35"/>
      <c r="T983" s="35"/>
      <c r="U983" s="35"/>
      <c r="V983" s="35" t="e">
        <f>AVERAGE(Tableau2[[#This Row],[1ère composition/10]:[3è composition]])</f>
        <v>#DIV/0!</v>
      </c>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f>COUNTIF(Tableau2[[#This Row],[Séance 1]:[Séance 38]],"A")</f>
        <v>0</v>
      </c>
      <c r="BJ983" s="35"/>
    </row>
    <row r="984" spans="1:62" s="42" customFormat="1" hidden="1" x14ac:dyDescent="0.2">
      <c r="A984" s="44" t="s">
        <v>60</v>
      </c>
      <c r="B984" s="44" t="s">
        <v>3887</v>
      </c>
      <c r="C984" s="44"/>
      <c r="D984" s="44" t="s">
        <v>1008</v>
      </c>
      <c r="E984" s="44" t="s">
        <v>120</v>
      </c>
      <c r="F984" s="44">
        <v>2021</v>
      </c>
      <c r="G984" s="44">
        <v>2</v>
      </c>
      <c r="H984" s="44">
        <v>22</v>
      </c>
      <c r="I984" s="44" t="str">
        <f>Tableau2[[#This Row],[Annee d''inscription au programme]]&amp;"-"&amp;Tableau2[[#This Row],[Code d''ecole]]&amp;"-"&amp;Tableau2[[#This Row],[Numero HM de la fille]]</f>
        <v>2021-2-22</v>
      </c>
      <c r="J984" s="45"/>
      <c r="K984" s="58"/>
      <c r="L984" s="35"/>
      <c r="M984" s="35">
        <v>0</v>
      </c>
      <c r="N984" s="35">
        <v>0</v>
      </c>
      <c r="O984" s="35">
        <f t="shared" si="30"/>
        <v>0</v>
      </c>
      <c r="P984" s="35">
        <v>17.5</v>
      </c>
      <c r="Q984" s="35">
        <v>19.5</v>
      </c>
      <c r="R984" s="35">
        <f t="shared" si="31"/>
        <v>18.5</v>
      </c>
      <c r="S984" s="35"/>
      <c r="T984" s="35"/>
      <c r="U984" s="35"/>
      <c r="V984" s="35" t="e">
        <f>AVERAGE(Tableau2[[#This Row],[1ère composition/10]:[3è composition]])</f>
        <v>#DIV/0!</v>
      </c>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f>COUNTIF(Tableau2[[#This Row],[Séance 1]:[Séance 38]],"A")</f>
        <v>0</v>
      </c>
      <c r="BJ984" s="35"/>
    </row>
    <row r="985" spans="1:62" s="42" customFormat="1" hidden="1" x14ac:dyDescent="0.2">
      <c r="A985" s="44" t="s">
        <v>60</v>
      </c>
      <c r="B985" s="44" t="s">
        <v>3888</v>
      </c>
      <c r="C985" s="44"/>
      <c r="D985" s="44" t="s">
        <v>215</v>
      </c>
      <c r="E985" s="44" t="s">
        <v>120</v>
      </c>
      <c r="F985" s="44">
        <v>2021</v>
      </c>
      <c r="G985" s="44">
        <v>2</v>
      </c>
      <c r="H985" s="44">
        <v>23</v>
      </c>
      <c r="I985" s="44" t="str">
        <f>Tableau2[[#This Row],[Annee d''inscription au programme]]&amp;"-"&amp;Tableau2[[#This Row],[Code d''ecole]]&amp;"-"&amp;Tableau2[[#This Row],[Numero HM de la fille]]</f>
        <v>2021-2-23</v>
      </c>
      <c r="J985" s="45"/>
      <c r="K985" s="58"/>
      <c r="L985" s="35"/>
      <c r="M985" s="35">
        <v>0</v>
      </c>
      <c r="N985" s="35">
        <v>0</v>
      </c>
      <c r="O985" s="35">
        <f t="shared" si="30"/>
        <v>0</v>
      </c>
      <c r="P985" s="35"/>
      <c r="Q985" s="35"/>
      <c r="R985" s="35">
        <f t="shared" si="31"/>
        <v>0</v>
      </c>
      <c r="S985" s="35"/>
      <c r="T985" s="35"/>
      <c r="U985" s="35"/>
      <c r="V985" s="35" t="e">
        <f>AVERAGE(Tableau2[[#This Row],[1ère composition/10]:[3è composition]])</f>
        <v>#DIV/0!</v>
      </c>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f>COUNTIF(Tableau2[[#This Row],[Séance 1]:[Séance 38]],"A")</f>
        <v>0</v>
      </c>
      <c r="BJ985" s="35"/>
    </row>
    <row r="986" spans="1:62" s="42" customFormat="1" hidden="1" x14ac:dyDescent="0.2">
      <c r="A986" s="44" t="s">
        <v>3889</v>
      </c>
      <c r="B986" s="44" t="s">
        <v>3890</v>
      </c>
      <c r="C986" s="44"/>
      <c r="D986" s="44" t="s">
        <v>1008</v>
      </c>
      <c r="E986" s="44" t="s">
        <v>2212</v>
      </c>
      <c r="F986" s="44">
        <v>2021</v>
      </c>
      <c r="G986" s="44">
        <v>60</v>
      </c>
      <c r="H986" s="44">
        <v>38</v>
      </c>
      <c r="I986" s="44" t="str">
        <f>Tableau2[[#This Row],[Annee d''inscription au programme]]&amp;"-"&amp;Tableau2[[#This Row],[Code d''ecole]]&amp;"-"&amp;Tableau2[[#This Row],[Numero HM de la fille]]</f>
        <v>2021-60-38</v>
      </c>
      <c r="J986" s="45"/>
      <c r="K986" s="58"/>
      <c r="L986" s="35"/>
      <c r="M986" s="35">
        <v>0</v>
      </c>
      <c r="N986" s="35">
        <v>0</v>
      </c>
      <c r="O986" s="35">
        <f t="shared" si="30"/>
        <v>0</v>
      </c>
      <c r="P986" s="35">
        <v>10.5</v>
      </c>
      <c r="Q986" s="35">
        <v>5.5</v>
      </c>
      <c r="R986" s="35">
        <f t="shared" si="31"/>
        <v>8</v>
      </c>
      <c r="S986" s="35"/>
      <c r="T986" s="35"/>
      <c r="U986" s="35"/>
      <c r="V986" s="35" t="e">
        <f>AVERAGE(Tableau2[[#This Row],[1ère composition/10]:[3è composition]])</f>
        <v>#DIV/0!</v>
      </c>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f>COUNTIF(Tableau2[[#This Row],[Séance 1]:[Séance 38]],"A")</f>
        <v>0</v>
      </c>
      <c r="BJ986" s="35"/>
    </row>
    <row r="987" spans="1:62" s="42" customFormat="1" hidden="1" x14ac:dyDescent="0.2">
      <c r="A987" s="44" t="s">
        <v>2383</v>
      </c>
      <c r="B987" s="44" t="s">
        <v>2415</v>
      </c>
      <c r="C987" s="44"/>
      <c r="D987" s="44" t="s">
        <v>1008</v>
      </c>
      <c r="E987" s="44" t="s">
        <v>2212</v>
      </c>
      <c r="F987" s="44">
        <v>2021</v>
      </c>
      <c r="G987" s="44">
        <v>58</v>
      </c>
      <c r="H987" s="44">
        <v>65</v>
      </c>
      <c r="I987" s="44" t="str">
        <f>Tableau2[[#This Row],[Annee d''inscription au programme]]&amp;"-"&amp;Tableau2[[#This Row],[Code d''ecole]]&amp;"-"&amp;Tableau2[[#This Row],[Numero HM de la fille]]</f>
        <v>2021-58-65</v>
      </c>
      <c r="J987" s="45"/>
      <c r="K987" s="58"/>
      <c r="L987" s="35"/>
      <c r="M987" s="35">
        <v>0</v>
      </c>
      <c r="N987" s="35">
        <v>0</v>
      </c>
      <c r="O987" s="35">
        <f t="shared" si="30"/>
        <v>0</v>
      </c>
      <c r="P987" s="35">
        <v>12.5</v>
      </c>
      <c r="Q987" s="35">
        <v>6</v>
      </c>
      <c r="R987" s="35">
        <f t="shared" si="31"/>
        <v>9.25</v>
      </c>
      <c r="S987" s="35"/>
      <c r="T987" s="35"/>
      <c r="U987" s="35"/>
      <c r="V987" s="35" t="e">
        <f>AVERAGE(Tableau2[[#This Row],[1ère composition/10]:[3è composition]])</f>
        <v>#DIV/0!</v>
      </c>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f>COUNTIF(Tableau2[[#This Row],[Séance 1]:[Séance 38]],"A")</f>
        <v>0</v>
      </c>
      <c r="BJ987" s="35"/>
    </row>
    <row r="988" spans="1:62" s="42" customFormat="1" hidden="1" x14ac:dyDescent="0.2">
      <c r="A988" s="44" t="s">
        <v>294</v>
      </c>
      <c r="B988" s="44" t="s">
        <v>3891</v>
      </c>
      <c r="C988" s="44"/>
      <c r="D988" s="44" t="s">
        <v>605</v>
      </c>
      <c r="E988" s="44" t="s">
        <v>120</v>
      </c>
      <c r="F988" s="44">
        <v>2021</v>
      </c>
      <c r="G988" s="44">
        <v>16</v>
      </c>
      <c r="H988" s="44">
        <v>31</v>
      </c>
      <c r="I988" s="44" t="str">
        <f>Tableau2[[#This Row],[Annee d''inscription au programme]]&amp;"-"&amp;Tableau2[[#This Row],[Code d''ecole]]&amp;"-"&amp;Tableau2[[#This Row],[Numero HM de la fille]]</f>
        <v>2021-16-31</v>
      </c>
      <c r="J988" s="45"/>
      <c r="K988" s="58"/>
      <c r="L988" s="35"/>
      <c r="M988" s="35">
        <v>0</v>
      </c>
      <c r="N988" s="35">
        <v>0</v>
      </c>
      <c r="O988" s="35">
        <f t="shared" si="30"/>
        <v>0</v>
      </c>
      <c r="P988" s="35"/>
      <c r="Q988" s="35"/>
      <c r="R988" s="35">
        <f t="shared" si="31"/>
        <v>0</v>
      </c>
      <c r="S988" s="35"/>
      <c r="T988" s="35"/>
      <c r="U988" s="35"/>
      <c r="V988" s="35" t="e">
        <f>AVERAGE(Tableau2[[#This Row],[1ère composition/10]:[3è composition]])</f>
        <v>#DIV/0!</v>
      </c>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f>COUNTIF(Tableau2[[#This Row],[Séance 1]:[Séance 38]],"A")</f>
        <v>0</v>
      </c>
      <c r="BJ988" s="35"/>
    </row>
    <row r="989" spans="1:62" s="42" customFormat="1" hidden="1" x14ac:dyDescent="0.2">
      <c r="A989" s="44" t="s">
        <v>294</v>
      </c>
      <c r="B989" s="44" t="s">
        <v>3892</v>
      </c>
      <c r="C989" s="44"/>
      <c r="D989" s="44" t="s">
        <v>1023</v>
      </c>
      <c r="E989" s="44" t="s">
        <v>120</v>
      </c>
      <c r="F989" s="44">
        <v>2021</v>
      </c>
      <c r="G989" s="44">
        <v>16</v>
      </c>
      <c r="H989" s="44">
        <v>32</v>
      </c>
      <c r="I989" s="44" t="str">
        <f>Tableau2[[#This Row],[Annee d''inscription au programme]]&amp;"-"&amp;Tableau2[[#This Row],[Code d''ecole]]&amp;"-"&amp;Tableau2[[#This Row],[Numero HM de la fille]]</f>
        <v>2021-16-32</v>
      </c>
      <c r="J989" s="45"/>
      <c r="K989" s="58"/>
      <c r="L989" s="35"/>
      <c r="M989" s="35">
        <v>0</v>
      </c>
      <c r="N989" s="35">
        <v>0</v>
      </c>
      <c r="O989" s="35">
        <f t="shared" si="30"/>
        <v>0</v>
      </c>
      <c r="P989" s="35"/>
      <c r="Q989" s="35"/>
      <c r="R989" s="35">
        <f t="shared" si="31"/>
        <v>0</v>
      </c>
      <c r="S989" s="35"/>
      <c r="T989" s="35"/>
      <c r="U989" s="35"/>
      <c r="V989" s="35" t="e">
        <f>AVERAGE(Tableau2[[#This Row],[1ère composition/10]:[3è composition]])</f>
        <v>#DIV/0!</v>
      </c>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f>COUNTIF(Tableau2[[#This Row],[Séance 1]:[Séance 38]],"A")</f>
        <v>0</v>
      </c>
      <c r="BJ989" s="35"/>
    </row>
    <row r="990" spans="1:62" s="42" customFormat="1" hidden="1" x14ac:dyDescent="0.2">
      <c r="A990" s="44" t="s">
        <v>55</v>
      </c>
      <c r="B990" s="44" t="s">
        <v>3903</v>
      </c>
      <c r="C990" s="44"/>
      <c r="D990" s="44" t="s">
        <v>215</v>
      </c>
      <c r="E990" s="44" t="s">
        <v>120</v>
      </c>
      <c r="F990" s="44">
        <v>2021</v>
      </c>
      <c r="G990" s="44">
        <v>11</v>
      </c>
      <c r="H990" s="44">
        <v>30</v>
      </c>
      <c r="I990" s="44" t="str">
        <f>Tableau2[[#This Row],[Annee d''inscription au programme]]&amp;"-"&amp;Tableau2[[#This Row],[Code d''ecole]]&amp;"-"&amp;Tableau2[[#This Row],[Numero HM de la fille]]</f>
        <v>2021-11-30</v>
      </c>
      <c r="J990" s="45"/>
      <c r="K990" s="58"/>
      <c r="L990" s="35"/>
      <c r="M990" s="35">
        <v>0</v>
      </c>
      <c r="N990" s="35">
        <v>0</v>
      </c>
      <c r="O990" s="35">
        <f t="shared" si="30"/>
        <v>0</v>
      </c>
      <c r="P990" s="35"/>
      <c r="Q990" s="35"/>
      <c r="R990" s="35">
        <f t="shared" si="31"/>
        <v>0</v>
      </c>
      <c r="S990" s="35"/>
      <c r="T990" s="35"/>
      <c r="U990" s="35"/>
      <c r="V990" s="35" t="e">
        <f>AVERAGE(Tableau2[[#This Row],[1ère composition/10]:[3è composition]])</f>
        <v>#DIV/0!</v>
      </c>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f>COUNTIF(Tableau2[[#This Row],[Séance 1]:[Séance 38]],"A")</f>
        <v>0</v>
      </c>
      <c r="BJ990" s="35"/>
    </row>
    <row r="991" spans="1:62" s="42" customFormat="1" hidden="1" x14ac:dyDescent="0.2">
      <c r="A991" s="44" t="s">
        <v>55</v>
      </c>
      <c r="B991" s="44" t="s">
        <v>3904</v>
      </c>
      <c r="C991" s="44"/>
      <c r="D991" s="44" t="s">
        <v>215</v>
      </c>
      <c r="E991" s="44" t="s">
        <v>120</v>
      </c>
      <c r="F991" s="44">
        <v>2021</v>
      </c>
      <c r="G991" s="44">
        <v>11</v>
      </c>
      <c r="H991" s="44">
        <v>31</v>
      </c>
      <c r="I991" s="44" t="str">
        <f>Tableau2[[#This Row],[Annee d''inscription au programme]]&amp;"-"&amp;Tableau2[[#This Row],[Code d''ecole]]&amp;"-"&amp;Tableau2[[#This Row],[Numero HM de la fille]]</f>
        <v>2021-11-31</v>
      </c>
      <c r="J991" s="45"/>
      <c r="K991" s="58"/>
      <c r="L991" s="35"/>
      <c r="M991" s="35">
        <v>0</v>
      </c>
      <c r="N991" s="35">
        <v>0</v>
      </c>
      <c r="O991" s="35">
        <f t="shared" si="30"/>
        <v>0</v>
      </c>
      <c r="P991" s="35"/>
      <c r="Q991" s="35"/>
      <c r="R991" s="35">
        <f t="shared" si="31"/>
        <v>0</v>
      </c>
      <c r="S991" s="35"/>
      <c r="T991" s="35"/>
      <c r="U991" s="35"/>
      <c r="V991" s="35" t="e">
        <f>AVERAGE(Tableau2[[#This Row],[1ère composition/10]:[3è composition]])</f>
        <v>#DIV/0!</v>
      </c>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f>COUNTIF(Tableau2[[#This Row],[Séance 1]:[Séance 38]],"A")</f>
        <v>0</v>
      </c>
      <c r="BJ991" s="35"/>
    </row>
    <row r="992" spans="1:62" s="42" customFormat="1" hidden="1" x14ac:dyDescent="0.2">
      <c r="A992" s="44" t="s">
        <v>117</v>
      </c>
      <c r="B992" s="44" t="s">
        <v>1237</v>
      </c>
      <c r="C992" s="44"/>
      <c r="D992" s="44" t="s">
        <v>1195</v>
      </c>
      <c r="E992" s="44" t="s">
        <v>120</v>
      </c>
      <c r="F992" s="44">
        <v>2021</v>
      </c>
      <c r="G992" s="44">
        <v>8</v>
      </c>
      <c r="H992" s="44">
        <v>47</v>
      </c>
      <c r="I992" s="44" t="str">
        <f>Tableau2[[#This Row],[Annee d''inscription au programme]]&amp;"-"&amp;Tableau2[[#This Row],[Code d''ecole]]&amp;"-"&amp;Tableau2[[#This Row],[Numero HM de la fille]]</f>
        <v>2021-8-47</v>
      </c>
      <c r="J992" s="45"/>
      <c r="K992" s="58"/>
      <c r="L992" s="35"/>
      <c r="M992" s="35">
        <v>0</v>
      </c>
      <c r="N992" s="35">
        <v>0</v>
      </c>
      <c r="O992" s="35">
        <f>AVERAGE(M992+N992)/2</f>
        <v>0</v>
      </c>
      <c r="P992" s="35"/>
      <c r="Q992" s="35"/>
      <c r="R992" s="35">
        <f t="shared" si="31"/>
        <v>0</v>
      </c>
      <c r="S992" s="35"/>
      <c r="T992" s="35"/>
      <c r="U992" s="35"/>
      <c r="V992" s="35" t="e">
        <f>AVERAGE(Tableau2[[#This Row],[1ère composition/10]:[3è composition]])</f>
        <v>#DIV/0!</v>
      </c>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f>COUNTIF(Tableau2[[#This Row],[Séance 1]:[Séance 38]],"A")</f>
        <v>0</v>
      </c>
      <c r="BJ992" s="35"/>
    </row>
    <row r="993" spans="1:62" s="42" customFormat="1" hidden="1" x14ac:dyDescent="0.2">
      <c r="A993" s="44" t="s">
        <v>117</v>
      </c>
      <c r="B993" s="44" t="s">
        <v>3905</v>
      </c>
      <c r="C993" s="44"/>
      <c r="D993" s="44" t="s">
        <v>217</v>
      </c>
      <c r="E993" s="44" t="s">
        <v>120</v>
      </c>
      <c r="F993" s="44">
        <v>2021</v>
      </c>
      <c r="G993" s="44">
        <v>8</v>
      </c>
      <c r="H993" s="44">
        <v>48</v>
      </c>
      <c r="I993" s="44" t="str">
        <f>Tableau2[[#This Row],[Annee d''inscription au programme]]&amp;"-"&amp;Tableau2[[#This Row],[Code d''ecole]]&amp;"-"&amp;Tableau2[[#This Row],[Numero HM de la fille]]</f>
        <v>2021-8-48</v>
      </c>
      <c r="J993" s="45"/>
      <c r="K993" s="58"/>
      <c r="L993" s="35"/>
      <c r="M993" s="35">
        <v>0</v>
      </c>
      <c r="N993" s="35">
        <v>0</v>
      </c>
      <c r="O993" s="35">
        <f t="shared" si="30"/>
        <v>0</v>
      </c>
      <c r="P993" s="35"/>
      <c r="Q993" s="35"/>
      <c r="R993" s="35">
        <f t="shared" si="31"/>
        <v>0</v>
      </c>
      <c r="S993" s="35"/>
      <c r="T993" s="35"/>
      <c r="U993" s="35"/>
      <c r="V993" s="35" t="e">
        <f>AVERAGE(Tableau2[[#This Row],[1ère composition/10]:[3è composition]])</f>
        <v>#DIV/0!</v>
      </c>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f>COUNTIF(Tableau2[[#This Row],[Séance 1]:[Séance 38]],"A")</f>
        <v>0</v>
      </c>
      <c r="BJ993" s="35"/>
    </row>
    <row r="994" spans="1:62" s="42" customFormat="1" hidden="1" x14ac:dyDescent="0.2">
      <c r="A994" s="44" t="s">
        <v>1050</v>
      </c>
      <c r="B994" s="44" t="s">
        <v>3073</v>
      </c>
      <c r="C994" s="44"/>
      <c r="D994" s="44" t="s">
        <v>2685</v>
      </c>
      <c r="E994" s="44" t="s">
        <v>812</v>
      </c>
      <c r="F994" s="44">
        <v>2021</v>
      </c>
      <c r="G994" s="44">
        <v>44</v>
      </c>
      <c r="H994" s="44">
        <v>16</v>
      </c>
      <c r="I994" s="44" t="str">
        <f>Tableau2[[#This Row],[Annee d''inscription au programme]]&amp;"-"&amp;Tableau2[[#This Row],[Code d''ecole]]&amp;"-"&amp;Tableau2[[#This Row],[Numero HM de la fille]]</f>
        <v>2021-44-16</v>
      </c>
      <c r="J994" s="45"/>
      <c r="K994" s="58"/>
      <c r="L994" s="35"/>
      <c r="M994" s="35">
        <v>0</v>
      </c>
      <c r="N994" s="35">
        <v>0</v>
      </c>
      <c r="O994" s="35">
        <f t="shared" si="30"/>
        <v>0</v>
      </c>
      <c r="P994" s="35">
        <v>16.5</v>
      </c>
      <c r="Q994" s="35">
        <v>13</v>
      </c>
      <c r="R994" s="35">
        <f t="shared" si="31"/>
        <v>14.75</v>
      </c>
      <c r="S994" s="35"/>
      <c r="T994" s="35"/>
      <c r="U994" s="35"/>
      <c r="V994" s="35" t="e">
        <f>AVERAGE(Tableau2[[#This Row],[1ère composition/10]:[3è composition]])</f>
        <v>#DIV/0!</v>
      </c>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f>COUNTIF(Tableau2[[#This Row],[Séance 1]:[Séance 38]],"A")</f>
        <v>0</v>
      </c>
      <c r="BJ994" s="35"/>
    </row>
    <row r="995" spans="1:62" s="42" customFormat="1" hidden="1" x14ac:dyDescent="0.2">
      <c r="A995" s="1" t="s">
        <v>1050</v>
      </c>
      <c r="B995" s="44" t="s">
        <v>3906</v>
      </c>
      <c r="C995" s="44"/>
      <c r="D995" s="44" t="s">
        <v>267</v>
      </c>
      <c r="E995" s="44" t="s">
        <v>812</v>
      </c>
      <c r="F995" s="44">
        <v>2021</v>
      </c>
      <c r="G995" s="44">
        <v>44</v>
      </c>
      <c r="H995" s="44">
        <v>17</v>
      </c>
      <c r="I995" s="44" t="s">
        <v>3944</v>
      </c>
      <c r="J995" s="45"/>
      <c r="K995" s="58"/>
      <c r="L995" s="35"/>
      <c r="M995" s="35">
        <v>0</v>
      </c>
      <c r="N995" s="35">
        <v>0</v>
      </c>
      <c r="O995" s="35">
        <f t="shared" si="30"/>
        <v>0</v>
      </c>
      <c r="P995" s="35">
        <v>15</v>
      </c>
      <c r="Q995" s="35">
        <v>11</v>
      </c>
      <c r="R995" s="35">
        <f t="shared" si="31"/>
        <v>13</v>
      </c>
      <c r="S995" s="35"/>
      <c r="T995" s="35"/>
      <c r="U995" s="35"/>
      <c r="V995" s="35" t="e">
        <f>AVERAGE(Tableau2[[#This Row],[1ère composition/10]:[3è composition]])</f>
        <v>#DIV/0!</v>
      </c>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f>COUNTIF(Tableau2[[#This Row],[Séance 1]:[Séance 38]],"A")</f>
        <v>0</v>
      </c>
      <c r="BJ995" s="35"/>
    </row>
    <row r="996" spans="1:62" s="42" customFormat="1" hidden="1" x14ac:dyDescent="0.2">
      <c r="A996" s="44" t="s">
        <v>1050</v>
      </c>
      <c r="B996" s="71" t="s">
        <v>3943</v>
      </c>
      <c r="C996" s="71"/>
      <c r="D996" s="71"/>
      <c r="E996" s="71"/>
      <c r="F996" s="71"/>
      <c r="G996" s="71"/>
      <c r="H996" s="71"/>
      <c r="I996" s="71" t="s">
        <v>3945</v>
      </c>
      <c r="J996" s="72"/>
      <c r="K996" s="58"/>
      <c r="L996" s="35"/>
      <c r="M996" s="35">
        <v>0</v>
      </c>
      <c r="N996" s="35">
        <v>0</v>
      </c>
      <c r="O996" s="35">
        <f>AVERAGE(M996+N996)/2</f>
        <v>0</v>
      </c>
      <c r="P996" s="35">
        <v>20</v>
      </c>
      <c r="Q996" s="35">
        <v>20</v>
      </c>
      <c r="R996" s="35">
        <f t="shared" si="31"/>
        <v>20</v>
      </c>
      <c r="S996" s="35"/>
      <c r="T996" s="35"/>
      <c r="U996" s="35"/>
      <c r="V996" s="35" t="e">
        <f>AVERAGE(Tableau2[[#This Row],[1ère composition/10]:[3è composition]])</f>
        <v>#DIV/0!</v>
      </c>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c r="BH996" s="35"/>
      <c r="BI996" s="35">
        <f>COUNTIF(Tableau2[[#This Row],[Séance 1]:[Séance 38]],"A")</f>
        <v>0</v>
      </c>
      <c r="BJ996" s="35"/>
    </row>
    <row r="997" spans="1:62" s="42" customFormat="1" hidden="1" x14ac:dyDescent="0.2">
      <c r="A997" s="44"/>
      <c r="B997" s="71"/>
      <c r="C997" s="71"/>
      <c r="D997" s="71"/>
      <c r="E997" s="93"/>
      <c r="F997" s="93"/>
      <c r="G997" s="93"/>
      <c r="H997" s="93"/>
      <c r="I997" s="93" t="str">
        <f>Tableau2[[#This Row],[Annee d''inscription au programme]]&amp;"-"&amp;Tableau2[[#This Row],[Code d''ecole]]&amp;"-"&amp;Tableau2[[#This Row],[Numero HM de la fille]]</f>
        <v>--</v>
      </c>
      <c r="J997" s="94"/>
      <c r="K997" s="58"/>
      <c r="L997" s="35"/>
      <c r="M997" s="35"/>
      <c r="N997" s="50"/>
      <c r="O997" s="35"/>
      <c r="P997" s="55"/>
      <c r="Q997" s="56"/>
      <c r="R997" s="35"/>
      <c r="S997" s="55"/>
      <c r="T997" s="57"/>
      <c r="U997" s="57"/>
      <c r="V997" s="57" t="e">
        <f>AVERAGE(Tableau2[[#This Row],[1ère composition/10]:[3è composition]])</f>
        <v>#DIV/0!</v>
      </c>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c r="BH997" s="35"/>
      <c r="BI997" s="35">
        <f>COUNTIF(Tableau2[[#This Row],[Séance 1]:[Séance 38]],"A")</f>
        <v>0</v>
      </c>
      <c r="BJ997" s="35"/>
    </row>
    <row r="998" spans="1:62" s="98" customFormat="1" hidden="1" x14ac:dyDescent="0.2">
      <c r="A998" s="95"/>
      <c r="B998" s="95" t="s">
        <v>3949</v>
      </c>
      <c r="C998" s="95"/>
      <c r="D998" s="95"/>
      <c r="E998" s="95"/>
      <c r="F998" s="95"/>
      <c r="G998" s="95"/>
      <c r="H998" s="95"/>
      <c r="I998" s="95"/>
      <c r="J998" s="96"/>
      <c r="K998" s="97"/>
      <c r="L998" s="13"/>
      <c r="M998" s="13">
        <f>AVERAGE(M5:M997)</f>
        <v>6.992439516129032</v>
      </c>
      <c r="N998" s="13">
        <f>AVERAGE(N5:N997)</f>
        <v>5.952116935483871</v>
      </c>
      <c r="O998" s="13">
        <f>AVERAGE(M998+N998)/2</f>
        <v>6.472278225806452</v>
      </c>
      <c r="P998" s="13">
        <f>AVERAGE(P5:P997)</f>
        <v>12.325974770642201</v>
      </c>
      <c r="Q998" s="13">
        <f>AVERAGE(Q5:Q996)</f>
        <v>11.614965596330276</v>
      </c>
      <c r="R998" s="13">
        <f>AVERAGE(P998+Q998)/2</f>
        <v>11.970470183486238</v>
      </c>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row>
    <row r="999" spans="1:62" x14ac:dyDescent="0.2">
      <c r="A999" s="109" t="s">
        <v>3950</v>
      </c>
      <c r="B999" s="109"/>
      <c r="C999" s="109"/>
      <c r="D999" s="109"/>
      <c r="E999" s="109"/>
      <c r="F999" s="109"/>
      <c r="G999" s="109"/>
      <c r="H999" s="109"/>
      <c r="I999" s="109"/>
      <c r="J999" s="110"/>
      <c r="K999" s="111"/>
      <c r="L999" s="111"/>
      <c r="M999" s="112">
        <f>SUBTOTAL(101,Tableau2[Mathématique/20])</f>
        <v>4.5267857142857144</v>
      </c>
      <c r="N999" s="113">
        <f>SUBTOTAL(101,Tableau2[Français/20])</f>
        <v>2.6830357142857144</v>
      </c>
      <c r="O999" s="113">
        <f>SUBTOTAL(101,Tableau2[Moyenne /20])</f>
        <v>3.6049107142857144</v>
      </c>
      <c r="P999" s="113">
        <f>SUBTOTAL(101,Tableau2[Mathématique/202])</f>
        <v>9.3484848484848477</v>
      </c>
      <c r="Q999" s="113">
        <f>SUBTOTAL(101,Tableau2[Francais/20])</f>
        <v>7.6287878787878789</v>
      </c>
      <c r="R999" s="113">
        <f>SUBTOTAL(101,Tableau2[Moyenne /202])</f>
        <v>5.0022321428571432</v>
      </c>
      <c r="S999" s="111"/>
      <c r="T999" s="111"/>
      <c r="U999" s="112"/>
      <c r="V999" s="112"/>
      <c r="W999" s="111"/>
      <c r="X999" s="111"/>
      <c r="Y999" s="111"/>
      <c r="Z999" s="111"/>
      <c r="AA999" s="111"/>
      <c r="AB999" s="111"/>
      <c r="AC999" s="111"/>
      <c r="AD999" s="111"/>
      <c r="AE999" s="111"/>
      <c r="AF999" s="111"/>
      <c r="AG999" s="111"/>
      <c r="AH999" s="111"/>
      <c r="AI999" s="111"/>
      <c r="AJ999" s="111"/>
      <c r="AK999" s="111"/>
      <c r="AL999" s="111"/>
      <c r="AM999" s="111"/>
      <c r="AN999" s="111"/>
      <c r="AO999" s="111"/>
      <c r="AP999" s="111"/>
      <c r="AQ999" s="111"/>
      <c r="AR999" s="111"/>
      <c r="AS999" s="111"/>
      <c r="AT999" s="111"/>
      <c r="AU999" s="111"/>
      <c r="AV999" s="111"/>
      <c r="AW999" s="111"/>
      <c r="AX999" s="111"/>
      <c r="AY999" s="111"/>
      <c r="AZ999" s="111"/>
      <c r="BA999" s="111"/>
      <c r="BB999" s="111"/>
      <c r="BC999" s="111"/>
      <c r="BD999" s="111"/>
      <c r="BE999" s="111"/>
      <c r="BF999" s="111"/>
      <c r="BG999" s="111"/>
      <c r="BH999" s="111"/>
      <c r="BI999" s="111"/>
      <c r="BJ999" s="111">
        <f>SUBTOTAL(103,Tableau2[Commentaire])</f>
        <v>0</v>
      </c>
    </row>
    <row r="1000" spans="1:62" x14ac:dyDescent="0.2">
      <c r="B1000" t="s">
        <v>3948</v>
      </c>
      <c r="E1000" t="s">
        <v>4</v>
      </c>
    </row>
    <row r="1001" spans="1:62" x14ac:dyDescent="0.2">
      <c r="K1001" s="10"/>
      <c r="L1001" s="10"/>
      <c r="N1001" s="2" t="s">
        <v>3951</v>
      </c>
      <c r="O1001" s="114">
        <f>Tableau2[[#Totals],[Mathématique/202]]-Tableau2[[#Totals],[Mathématique/20]]</f>
        <v>4.8216991341991333</v>
      </c>
      <c r="P1001" s="114"/>
      <c r="T1001" s="104" t="s">
        <v>59</v>
      </c>
      <c r="U1001" s="104"/>
      <c r="V1001" s="13">
        <f>COUNTIF(V5:V519,"&gt;=5")</f>
        <v>0</v>
      </c>
      <c r="X1001" s="9"/>
    </row>
    <row r="1002" spans="1:62" x14ac:dyDescent="0.2">
      <c r="K1002" s="11"/>
      <c r="L1002" s="11"/>
      <c r="N1002" s="2" t="s">
        <v>3953</v>
      </c>
      <c r="O1002" s="114">
        <f>Tableau2[[#Totals],[Francais/20]]-Tableau2[[#Totals],[Français/20]]</f>
        <v>4.9457521645021645</v>
      </c>
      <c r="U1002" s="11"/>
      <c r="V1002" s="11">
        <f>V1001/503</f>
        <v>0</v>
      </c>
    </row>
    <row r="1003" spans="1:62" x14ac:dyDescent="0.2">
      <c r="N1003" s="2" t="s">
        <v>3952</v>
      </c>
      <c r="O1003" s="114">
        <f>Tableau2[[#Totals],[Moyenne /202]]-Tableau2[[#Totals],[Moyenne /20]]</f>
        <v>1.3973214285714288</v>
      </c>
    </row>
    <row r="1004" spans="1:62" x14ac:dyDescent="0.2">
      <c r="V1004" s="2">
        <f>COUNTIF(V5:V51,"&gt;=5")</f>
        <v>0</v>
      </c>
    </row>
    <row r="1005" spans="1:62" x14ac:dyDescent="0.2">
      <c r="C1005" t="s">
        <v>4</v>
      </c>
    </row>
  </sheetData>
  <mergeCells count="7">
    <mergeCell ref="W3:BI3"/>
    <mergeCell ref="M3:N3"/>
    <mergeCell ref="T1001:U1001"/>
    <mergeCell ref="P3:Q3"/>
    <mergeCell ref="F3:I3"/>
    <mergeCell ref="K3:L3"/>
    <mergeCell ref="S3:V3"/>
  </mergeCells>
  <conditionalFormatting sqref="H3:H4">
    <cfRule type="duplicateValues" dxfId="19" priority="2"/>
    <cfRule type="duplicateValues" dxfId="18" priority="3"/>
    <cfRule type="duplicateValues" dxfId="17" priority="4"/>
  </conditionalFormatting>
  <conditionalFormatting sqref="I1:I998 I1000:I1048576">
    <cfRule type="duplicateValues" dxfId="16"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56"/>
  <sheetViews>
    <sheetView tabSelected="1" zoomScale="110" zoomScaleNormal="110" workbookViewId="0">
      <pane xSplit="2" ySplit="4" topLeftCell="J851" activePane="bottomRight" state="frozen"/>
      <selection pane="topRight" activeCell="C1" sqref="C1"/>
      <selection pane="bottomLeft" activeCell="A5" sqref="A5"/>
      <selection pane="bottomRight" activeCell="A4" sqref="A4"/>
    </sheetView>
  </sheetViews>
  <sheetFormatPr baseColWidth="10" defaultColWidth="11.5" defaultRowHeight="15" x14ac:dyDescent="0.2"/>
  <cols>
    <col min="1" max="1" width="22.5" customWidth="1"/>
    <col min="2" max="2" width="25.6640625" customWidth="1"/>
    <col min="3" max="3" width="32.5" customWidth="1"/>
    <col min="4" max="4" width="11.83203125" customWidth="1"/>
    <col min="5" max="5" width="7.6640625" customWidth="1"/>
    <col min="6" max="6" width="5.83203125" customWidth="1"/>
    <col min="7" max="7" width="4.6640625" customWidth="1"/>
    <col min="8" max="8" width="13" customWidth="1"/>
    <col min="9" max="9" width="5.5" customWidth="1"/>
    <col min="10" max="10" width="15.33203125" customWidth="1"/>
    <col min="11" max="11" width="28.6640625" bestFit="1" customWidth="1"/>
    <col min="12" max="12" width="15.83203125" style="2" customWidth="1"/>
    <col min="13" max="13" width="15.1640625" style="2" bestFit="1" customWidth="1"/>
    <col min="14" max="14" width="15.1640625" style="2" customWidth="1"/>
    <col min="15" max="15" width="13.5" style="2" customWidth="1"/>
    <col min="16" max="16" width="16.1640625" style="2" bestFit="1" customWidth="1"/>
    <col min="17" max="17" width="16.1640625" style="2" customWidth="1"/>
    <col min="18" max="18" width="14.5" style="2" customWidth="1"/>
    <col min="19" max="19" width="14" style="2" customWidth="1"/>
    <col min="20" max="20" width="11.83203125" style="2" customWidth="1"/>
    <col min="21" max="21" width="15.1640625" style="2" customWidth="1"/>
  </cols>
  <sheetData>
    <row r="1" spans="1:21" x14ac:dyDescent="0.2">
      <c r="A1" s="18"/>
      <c r="F1" t="s">
        <v>3155</v>
      </c>
    </row>
    <row r="2" spans="1:21" x14ac:dyDescent="0.2">
      <c r="A2" s="18"/>
    </row>
    <row r="3" spans="1:21" x14ac:dyDescent="0.2">
      <c r="E3" s="105" t="s">
        <v>102</v>
      </c>
      <c r="F3" s="105"/>
      <c r="G3" s="105"/>
      <c r="H3" s="105"/>
      <c r="I3" s="13"/>
      <c r="J3" s="105" t="s">
        <v>108</v>
      </c>
      <c r="K3" s="105"/>
      <c r="L3" s="105" t="s">
        <v>8</v>
      </c>
      <c r="M3" s="105"/>
      <c r="N3" s="13"/>
      <c r="O3" s="105" t="s">
        <v>70</v>
      </c>
      <c r="P3" s="105"/>
      <c r="Q3" s="13"/>
      <c r="R3" s="105" t="s">
        <v>112</v>
      </c>
      <c r="S3" s="105"/>
      <c r="T3" s="105"/>
      <c r="U3" s="105"/>
    </row>
    <row r="4" spans="1:21" ht="48" x14ac:dyDescent="0.2">
      <c r="A4" s="20" t="s">
        <v>116</v>
      </c>
      <c r="B4" s="3" t="s">
        <v>113</v>
      </c>
      <c r="C4" s="3" t="s">
        <v>94</v>
      </c>
      <c r="D4" s="3" t="s">
        <v>2745</v>
      </c>
      <c r="E4" t="s">
        <v>103</v>
      </c>
      <c r="F4" t="s">
        <v>104</v>
      </c>
      <c r="G4" t="s">
        <v>105</v>
      </c>
      <c r="H4" t="s">
        <v>106</v>
      </c>
      <c r="I4" t="s">
        <v>1262</v>
      </c>
      <c r="J4" s="28" t="s">
        <v>107</v>
      </c>
      <c r="K4" s="30" t="s">
        <v>111</v>
      </c>
      <c r="L4" s="32" t="s">
        <v>9</v>
      </c>
      <c r="M4" s="21" t="s">
        <v>10</v>
      </c>
      <c r="N4" s="41" t="s">
        <v>3934</v>
      </c>
      <c r="O4" s="31" t="s">
        <v>73</v>
      </c>
      <c r="P4" s="22" t="s">
        <v>95</v>
      </c>
      <c r="Q4" s="22" t="s">
        <v>3935</v>
      </c>
      <c r="R4" s="28" t="s">
        <v>96</v>
      </c>
      <c r="S4" s="28" t="s">
        <v>97</v>
      </c>
      <c r="T4" s="28" t="s">
        <v>98</v>
      </c>
      <c r="U4" s="28" t="s">
        <v>72</v>
      </c>
    </row>
    <row r="5" spans="1:21" hidden="1" x14ac:dyDescent="0.2">
      <c r="A5" s="1" t="s">
        <v>2694</v>
      </c>
      <c r="B5" s="1" t="s">
        <v>2697</v>
      </c>
      <c r="C5" s="1" t="s">
        <v>3911</v>
      </c>
      <c r="D5" s="1">
        <v>99629556</v>
      </c>
      <c r="E5" s="1">
        <v>2021</v>
      </c>
      <c r="F5" s="1">
        <v>64</v>
      </c>
      <c r="G5" s="1">
        <v>1</v>
      </c>
      <c r="H5" s="1" t="str">
        <f>Tableau1[[#This Row],[Annee d''inscription au programme]]&amp;"-"&amp;Tableau1[[#This Row],[Code d''ecole]]&amp;"-"&amp;Tableau1[[#This Row],[Numero HM de la fille]]</f>
        <v>2021-64-1</v>
      </c>
      <c r="I5" s="1"/>
      <c r="J5" s="1" t="s">
        <v>374</v>
      </c>
      <c r="K5" s="35" t="s">
        <v>3521</v>
      </c>
      <c r="L5" s="35">
        <v>13</v>
      </c>
      <c r="M5" s="35">
        <v>5</v>
      </c>
      <c r="N5" s="35">
        <f t="shared" ref="N5:N68" si="0" xml:space="preserve"> AVERAGE(L5+M5)/2</f>
        <v>9</v>
      </c>
      <c r="O5" s="35">
        <v>13</v>
      </c>
      <c r="P5" s="35">
        <v>9.5</v>
      </c>
      <c r="Q5" s="35">
        <f t="shared" ref="Q5:Q68" si="1">AVERAGE(O5+P5)/2</f>
        <v>11.25</v>
      </c>
      <c r="R5" s="35"/>
      <c r="S5" s="35"/>
      <c r="T5" s="35"/>
      <c r="U5" s="73" t="e">
        <f>AVERAGE(Tableau1[[#This Row],[1ère composition]:[3è Composition]])</f>
        <v>#DIV/0!</v>
      </c>
    </row>
    <row r="6" spans="1:21" hidden="1" x14ac:dyDescent="0.2">
      <c r="A6" s="1" t="s">
        <v>2694</v>
      </c>
      <c r="B6" s="1" t="s">
        <v>2695</v>
      </c>
      <c r="C6" s="1" t="s">
        <v>3911</v>
      </c>
      <c r="D6" s="1">
        <v>96604126</v>
      </c>
      <c r="E6" s="1">
        <v>2021</v>
      </c>
      <c r="F6" s="1">
        <v>64</v>
      </c>
      <c r="G6" s="1">
        <v>2</v>
      </c>
      <c r="H6" s="1" t="str">
        <f>Tableau1[[#This Row],[Annee d''inscription au programme]]&amp;"-"&amp;Tableau1[[#This Row],[Code d''ecole]]&amp;"-"&amp;Tableau1[[#This Row],[Numero HM de la fille]]</f>
        <v>2021-64-2</v>
      </c>
      <c r="I6" s="1"/>
      <c r="J6" s="1" t="s">
        <v>374</v>
      </c>
      <c r="K6" s="35" t="s">
        <v>3521</v>
      </c>
      <c r="L6" s="35">
        <v>6.5</v>
      </c>
      <c r="M6" s="35">
        <v>9</v>
      </c>
      <c r="N6" s="35">
        <f t="shared" si="0"/>
        <v>7.75</v>
      </c>
      <c r="O6" s="35">
        <v>15.5</v>
      </c>
      <c r="P6" s="35">
        <v>13</v>
      </c>
      <c r="Q6" s="35">
        <f t="shared" si="1"/>
        <v>14.25</v>
      </c>
      <c r="R6" s="35"/>
      <c r="S6" s="35"/>
      <c r="T6" s="35"/>
      <c r="U6" s="73" t="e">
        <f>AVERAGE(Tableau1[[#This Row],[1ère composition]:[3è Composition]])</f>
        <v>#DIV/0!</v>
      </c>
    </row>
    <row r="7" spans="1:21" hidden="1" x14ac:dyDescent="0.2">
      <c r="A7" s="1" t="s">
        <v>2694</v>
      </c>
      <c r="B7" s="1" t="s">
        <v>2696</v>
      </c>
      <c r="C7" s="1" t="s">
        <v>3912</v>
      </c>
      <c r="D7" s="1">
        <v>8971232</v>
      </c>
      <c r="E7" s="1">
        <v>2021</v>
      </c>
      <c r="F7" s="1">
        <v>64</v>
      </c>
      <c r="G7" s="1">
        <v>3</v>
      </c>
      <c r="H7" s="1" t="str">
        <f>Tableau1[[#This Row],[Annee d''inscription au programme]]&amp;"-"&amp;Tableau1[[#This Row],[Code d''ecole]]&amp;"-"&amp;Tableau1[[#This Row],[Numero HM de la fille]]</f>
        <v>2021-64-3</v>
      </c>
      <c r="I7" s="1"/>
      <c r="J7" s="1" t="s">
        <v>593</v>
      </c>
      <c r="K7" s="35" t="s">
        <v>298</v>
      </c>
      <c r="L7" s="35">
        <v>11.5</v>
      </c>
      <c r="M7" s="35">
        <v>6</v>
      </c>
      <c r="N7" s="35">
        <f t="shared" si="0"/>
        <v>8.75</v>
      </c>
      <c r="O7" s="35">
        <v>17.5</v>
      </c>
      <c r="P7" s="35">
        <v>19</v>
      </c>
      <c r="Q7" s="35">
        <f t="shared" si="1"/>
        <v>18.25</v>
      </c>
      <c r="R7" s="35"/>
      <c r="S7" s="35"/>
      <c r="T7" s="35"/>
      <c r="U7" s="73" t="e">
        <f>AVERAGE(Tableau1[[#This Row],[1ère composition]:[3è Composition]])</f>
        <v>#DIV/0!</v>
      </c>
    </row>
    <row r="8" spans="1:21" hidden="1" x14ac:dyDescent="0.2">
      <c r="A8" s="1" t="s">
        <v>2694</v>
      </c>
      <c r="B8" s="1" t="s">
        <v>2698</v>
      </c>
      <c r="C8" s="1" t="s">
        <v>3913</v>
      </c>
      <c r="D8" s="1">
        <v>89243417</v>
      </c>
      <c r="E8" s="1">
        <v>2021</v>
      </c>
      <c r="F8" s="1">
        <v>64</v>
      </c>
      <c r="G8" s="1">
        <v>4</v>
      </c>
      <c r="H8" s="1" t="str">
        <f>Tableau1[[#This Row],[Annee d''inscription au programme]]&amp;"-"&amp;Tableau1[[#This Row],[Code d''ecole]]&amp;"-"&amp;Tableau1[[#This Row],[Numero HM de la fille]]</f>
        <v>2021-64-4</v>
      </c>
      <c r="I8" s="1"/>
      <c r="J8" s="1" t="s">
        <v>374</v>
      </c>
      <c r="K8" s="35" t="s">
        <v>3521</v>
      </c>
      <c r="L8" s="35">
        <v>17</v>
      </c>
      <c r="M8" s="35">
        <v>9</v>
      </c>
      <c r="N8" s="35">
        <f t="shared" si="0"/>
        <v>13</v>
      </c>
      <c r="O8" s="35">
        <v>18</v>
      </c>
      <c r="P8" s="35">
        <v>19.5</v>
      </c>
      <c r="Q8" s="35">
        <f t="shared" si="1"/>
        <v>18.75</v>
      </c>
      <c r="R8" s="35"/>
      <c r="S8" s="35"/>
      <c r="T8" s="35"/>
      <c r="U8" s="73" t="e">
        <f>AVERAGE(Tableau1[[#This Row],[1ère composition]:[3è Composition]])</f>
        <v>#DIV/0!</v>
      </c>
    </row>
    <row r="9" spans="1:21" hidden="1" x14ac:dyDescent="0.2">
      <c r="A9" s="1" t="s">
        <v>2694</v>
      </c>
      <c r="B9" s="1" t="s">
        <v>2699</v>
      </c>
      <c r="C9" s="1" t="s">
        <v>3914</v>
      </c>
      <c r="D9" s="1">
        <v>98365678</v>
      </c>
      <c r="E9" s="1">
        <v>2021</v>
      </c>
      <c r="F9" s="1">
        <v>64</v>
      </c>
      <c r="G9" s="1">
        <v>5</v>
      </c>
      <c r="H9" s="1" t="str">
        <f>Tableau1[[#This Row],[Annee d''inscription au programme]]&amp;"-"&amp;Tableau1[[#This Row],[Code d''ecole]]&amp;"-"&amp;Tableau1[[#This Row],[Numero HM de la fille]]</f>
        <v>2021-64-5</v>
      </c>
      <c r="I9" s="1"/>
      <c r="J9" s="1" t="s">
        <v>593</v>
      </c>
      <c r="K9" s="35" t="s">
        <v>298</v>
      </c>
      <c r="L9" s="35">
        <v>0</v>
      </c>
      <c r="M9" s="35">
        <v>0</v>
      </c>
      <c r="N9" s="35">
        <f t="shared" si="0"/>
        <v>0</v>
      </c>
      <c r="O9" s="35"/>
      <c r="P9" s="35"/>
      <c r="Q9" s="35">
        <f t="shared" si="1"/>
        <v>0</v>
      </c>
      <c r="R9" s="35"/>
      <c r="S9" s="35"/>
      <c r="T9" s="35"/>
      <c r="U9" s="73" t="e">
        <f>AVERAGE(Tableau1[[#This Row],[1ère composition]:[3è Composition]])</f>
        <v>#DIV/0!</v>
      </c>
    </row>
    <row r="10" spans="1:21" hidden="1" x14ac:dyDescent="0.2">
      <c r="A10" s="1" t="s">
        <v>2694</v>
      </c>
      <c r="B10" s="1" t="s">
        <v>2700</v>
      </c>
      <c r="C10" s="1" t="s">
        <v>3915</v>
      </c>
      <c r="D10" s="1">
        <v>96509269</v>
      </c>
      <c r="E10" s="1">
        <v>2021</v>
      </c>
      <c r="F10" s="1">
        <v>64</v>
      </c>
      <c r="G10" s="1">
        <v>6</v>
      </c>
      <c r="H10" s="1" t="str">
        <f>Tableau1[[#This Row],[Annee d''inscription au programme]]&amp;"-"&amp;Tableau1[[#This Row],[Code d''ecole]]&amp;"-"&amp;Tableau1[[#This Row],[Numero HM de la fille]]</f>
        <v>2021-64-6</v>
      </c>
      <c r="I10" s="1"/>
      <c r="J10" s="1" t="s">
        <v>374</v>
      </c>
      <c r="K10" s="35" t="s">
        <v>3521</v>
      </c>
      <c r="L10" s="35">
        <v>14.5</v>
      </c>
      <c r="M10" s="35">
        <v>13</v>
      </c>
      <c r="N10" s="35">
        <f t="shared" si="0"/>
        <v>13.75</v>
      </c>
      <c r="O10" s="35">
        <v>14.5</v>
      </c>
      <c r="P10" s="35">
        <v>18</v>
      </c>
      <c r="Q10" s="35">
        <f t="shared" si="1"/>
        <v>16.25</v>
      </c>
      <c r="R10" s="35"/>
      <c r="S10" s="35"/>
      <c r="T10" s="35"/>
      <c r="U10" s="73" t="e">
        <f>AVERAGE(Tableau1[[#This Row],[1ère composition]:[3è Composition]])</f>
        <v>#DIV/0!</v>
      </c>
    </row>
    <row r="11" spans="1:21" hidden="1" x14ac:dyDescent="0.2">
      <c r="A11" s="1" t="s">
        <v>2694</v>
      </c>
      <c r="B11" s="1" t="s">
        <v>2701</v>
      </c>
      <c r="C11" s="1" t="s">
        <v>3911</v>
      </c>
      <c r="D11" s="1">
        <v>98558112</v>
      </c>
      <c r="E11" s="1">
        <v>2021</v>
      </c>
      <c r="F11" s="1">
        <v>64</v>
      </c>
      <c r="G11" s="1">
        <v>7</v>
      </c>
      <c r="H11" s="1" t="str">
        <f>Tableau1[[#This Row],[Annee d''inscription au programme]]&amp;"-"&amp;Tableau1[[#This Row],[Code d''ecole]]&amp;"-"&amp;Tableau1[[#This Row],[Numero HM de la fille]]</f>
        <v>2021-64-7</v>
      </c>
      <c r="I11" s="1"/>
      <c r="J11" s="1" t="s">
        <v>374</v>
      </c>
      <c r="K11" s="35" t="s">
        <v>3521</v>
      </c>
      <c r="L11" s="35">
        <v>13</v>
      </c>
      <c r="M11" s="35">
        <v>13</v>
      </c>
      <c r="N11" s="35">
        <f t="shared" si="0"/>
        <v>13</v>
      </c>
      <c r="O11" s="35">
        <v>16.5</v>
      </c>
      <c r="P11" s="35">
        <v>20</v>
      </c>
      <c r="Q11" s="35">
        <f t="shared" si="1"/>
        <v>18.25</v>
      </c>
      <c r="R11" s="35"/>
      <c r="S11" s="35"/>
      <c r="T11" s="35"/>
      <c r="U11" s="73" t="e">
        <f>AVERAGE(Tableau1[[#This Row],[1ère composition]:[3è Composition]])</f>
        <v>#DIV/0!</v>
      </c>
    </row>
    <row r="12" spans="1:21" hidden="1" x14ac:dyDescent="0.2">
      <c r="A12" s="1" t="s">
        <v>2694</v>
      </c>
      <c r="B12" s="1" t="s">
        <v>2702</v>
      </c>
      <c r="C12" s="1" t="s">
        <v>3916</v>
      </c>
      <c r="D12" s="1">
        <v>85239998</v>
      </c>
      <c r="E12" s="1">
        <v>2021</v>
      </c>
      <c r="F12" s="1">
        <v>64</v>
      </c>
      <c r="G12" s="1">
        <v>8</v>
      </c>
      <c r="H12" s="1" t="str">
        <f>Tableau1[[#This Row],[Annee d''inscription au programme]]&amp;"-"&amp;Tableau1[[#This Row],[Code d''ecole]]&amp;"-"&amp;Tableau1[[#This Row],[Numero HM de la fille]]</f>
        <v>2021-64-8</v>
      </c>
      <c r="I12" s="1"/>
      <c r="J12" s="1" t="s">
        <v>593</v>
      </c>
      <c r="K12" s="35" t="s">
        <v>298</v>
      </c>
      <c r="L12" s="35">
        <v>0</v>
      </c>
      <c r="M12" s="35">
        <v>0</v>
      </c>
      <c r="N12" s="35">
        <f t="shared" si="0"/>
        <v>0</v>
      </c>
      <c r="O12" s="35"/>
      <c r="P12" s="35"/>
      <c r="Q12" s="35">
        <f t="shared" si="1"/>
        <v>0</v>
      </c>
      <c r="R12" s="35"/>
      <c r="S12" s="35"/>
      <c r="T12" s="35"/>
      <c r="U12" s="73" t="e">
        <f>AVERAGE(Tableau1[[#This Row],[1ère composition]:[3è Composition]])</f>
        <v>#DIV/0!</v>
      </c>
    </row>
    <row r="13" spans="1:21" hidden="1" x14ac:dyDescent="0.2">
      <c r="A13" s="1" t="s">
        <v>2694</v>
      </c>
      <c r="B13" s="1" t="s">
        <v>2703</v>
      </c>
      <c r="C13" s="1" t="s">
        <v>3911</v>
      </c>
      <c r="D13" s="1">
        <v>96604126</v>
      </c>
      <c r="E13" s="1">
        <v>2021</v>
      </c>
      <c r="F13" s="1">
        <v>64</v>
      </c>
      <c r="G13" s="1">
        <v>9</v>
      </c>
      <c r="H13" s="1" t="str">
        <f>Tableau1[[#This Row],[Annee d''inscription au programme]]&amp;"-"&amp;Tableau1[[#This Row],[Code d''ecole]]&amp;"-"&amp;Tableau1[[#This Row],[Numero HM de la fille]]</f>
        <v>2021-64-9</v>
      </c>
      <c r="I13" s="1"/>
      <c r="J13" s="35" t="s">
        <v>3522</v>
      </c>
      <c r="K13" s="35" t="s">
        <v>3522</v>
      </c>
      <c r="L13" s="35">
        <v>0</v>
      </c>
      <c r="M13" s="35">
        <v>0</v>
      </c>
      <c r="N13" s="35">
        <f t="shared" si="0"/>
        <v>0</v>
      </c>
      <c r="O13" s="35"/>
      <c r="P13" s="35"/>
      <c r="Q13" s="35">
        <f t="shared" si="1"/>
        <v>0</v>
      </c>
      <c r="R13" s="35"/>
      <c r="S13" s="35"/>
      <c r="T13" s="35"/>
      <c r="U13" s="73" t="e">
        <f>AVERAGE(Tableau1[[#This Row],[1ère composition]:[3è Composition]])</f>
        <v>#DIV/0!</v>
      </c>
    </row>
    <row r="14" spans="1:21" hidden="1" x14ac:dyDescent="0.2">
      <c r="A14" s="1" t="s">
        <v>2694</v>
      </c>
      <c r="B14" s="1" t="s">
        <v>2704</v>
      </c>
      <c r="C14" s="1" t="s">
        <v>3911</v>
      </c>
      <c r="D14" s="1">
        <v>95804680</v>
      </c>
      <c r="E14" s="1">
        <v>2021</v>
      </c>
      <c r="F14" s="1">
        <v>64</v>
      </c>
      <c r="G14" s="1">
        <v>10</v>
      </c>
      <c r="H14" s="1" t="str">
        <f>Tableau1[[#This Row],[Annee d''inscription au programme]]&amp;"-"&amp;Tableau1[[#This Row],[Code d''ecole]]&amp;"-"&amp;Tableau1[[#This Row],[Numero HM de la fille]]</f>
        <v>2021-64-10</v>
      </c>
      <c r="I14" s="1"/>
      <c r="J14" s="1" t="s">
        <v>374</v>
      </c>
      <c r="K14" s="35" t="s">
        <v>3521</v>
      </c>
      <c r="L14" s="35">
        <v>13</v>
      </c>
      <c r="M14" s="35">
        <v>9</v>
      </c>
      <c r="N14" s="35">
        <f t="shared" si="0"/>
        <v>11</v>
      </c>
      <c r="O14" s="35">
        <v>16.5</v>
      </c>
      <c r="P14" s="35">
        <v>15</v>
      </c>
      <c r="Q14" s="35">
        <f t="shared" si="1"/>
        <v>15.75</v>
      </c>
      <c r="R14" s="35"/>
      <c r="S14" s="35"/>
      <c r="T14" s="35"/>
      <c r="U14" s="73" t="e">
        <f>AVERAGE(Tableau1[[#This Row],[1ère composition]:[3è Composition]])</f>
        <v>#DIV/0!</v>
      </c>
    </row>
    <row r="15" spans="1:21" hidden="1" x14ac:dyDescent="0.2">
      <c r="A15" s="1" t="s">
        <v>2694</v>
      </c>
      <c r="B15" s="1" t="s">
        <v>2705</v>
      </c>
      <c r="C15" s="1" t="s">
        <v>3914</v>
      </c>
      <c r="D15" s="1">
        <v>96761948</v>
      </c>
      <c r="E15" s="1">
        <v>2021</v>
      </c>
      <c r="F15" s="1">
        <v>64</v>
      </c>
      <c r="G15" s="1">
        <v>11</v>
      </c>
      <c r="H15" s="1" t="str">
        <f>Tableau1[[#This Row],[Annee d''inscription au programme]]&amp;"-"&amp;Tableau1[[#This Row],[Code d''ecole]]&amp;"-"&amp;Tableau1[[#This Row],[Numero HM de la fille]]</f>
        <v>2021-64-11</v>
      </c>
      <c r="I15" s="1"/>
      <c r="J15" s="1" t="s">
        <v>3505</v>
      </c>
      <c r="K15" s="35" t="s">
        <v>298</v>
      </c>
      <c r="L15" s="35">
        <v>14</v>
      </c>
      <c r="M15" s="35">
        <v>8</v>
      </c>
      <c r="N15" s="35">
        <f t="shared" si="0"/>
        <v>11</v>
      </c>
      <c r="O15" s="35">
        <v>14</v>
      </c>
      <c r="P15" s="35">
        <v>19.75</v>
      </c>
      <c r="Q15" s="35">
        <f t="shared" si="1"/>
        <v>16.875</v>
      </c>
      <c r="R15" s="35"/>
      <c r="S15" s="35"/>
      <c r="T15" s="35"/>
      <c r="U15" s="73" t="e">
        <f>AVERAGE(Tableau1[[#This Row],[1ère composition]:[3è Composition]])</f>
        <v>#DIV/0!</v>
      </c>
    </row>
    <row r="16" spans="1:21" hidden="1" x14ac:dyDescent="0.2">
      <c r="A16" s="1" t="s">
        <v>2694</v>
      </c>
      <c r="B16" s="1" t="s">
        <v>2706</v>
      </c>
      <c r="C16" s="1" t="s">
        <v>3911</v>
      </c>
      <c r="D16" s="1">
        <v>96332572</v>
      </c>
      <c r="E16" s="1">
        <v>2021</v>
      </c>
      <c r="F16" s="1">
        <v>64</v>
      </c>
      <c r="G16" s="1">
        <v>12</v>
      </c>
      <c r="H16" s="1" t="str">
        <f>Tableau1[[#This Row],[Annee d''inscription au programme]]&amp;"-"&amp;Tableau1[[#This Row],[Code d''ecole]]&amp;"-"&amp;Tableau1[[#This Row],[Numero HM de la fille]]</f>
        <v>2021-64-12</v>
      </c>
      <c r="I16" s="1"/>
      <c r="J16" s="1" t="s">
        <v>374</v>
      </c>
      <c r="K16" s="35" t="s">
        <v>3521</v>
      </c>
      <c r="L16" s="35">
        <v>13</v>
      </c>
      <c r="M16" s="35">
        <v>5</v>
      </c>
      <c r="N16" s="35">
        <f t="shared" si="0"/>
        <v>9</v>
      </c>
      <c r="O16" s="35">
        <v>14.5</v>
      </c>
      <c r="P16" s="35">
        <v>12.5</v>
      </c>
      <c r="Q16" s="35">
        <f t="shared" si="1"/>
        <v>13.5</v>
      </c>
      <c r="R16" s="35"/>
      <c r="S16" s="35"/>
      <c r="T16" s="35"/>
      <c r="U16" s="73" t="e">
        <f>AVERAGE(Tableau1[[#This Row],[1ère composition]:[3è Composition]])</f>
        <v>#DIV/0!</v>
      </c>
    </row>
    <row r="17" spans="1:21" hidden="1" x14ac:dyDescent="0.2">
      <c r="A17" s="1" t="s">
        <v>2694</v>
      </c>
      <c r="B17" s="1" t="s">
        <v>2707</v>
      </c>
      <c r="C17" s="1" t="s">
        <v>3917</v>
      </c>
      <c r="D17" s="1">
        <v>84588778</v>
      </c>
      <c r="E17" s="1">
        <v>2021</v>
      </c>
      <c r="F17" s="1">
        <v>64</v>
      </c>
      <c r="G17" s="1">
        <v>13</v>
      </c>
      <c r="H17" s="1" t="str">
        <f>Tableau1[[#This Row],[Annee d''inscription au programme]]&amp;"-"&amp;Tableau1[[#This Row],[Code d''ecole]]&amp;"-"&amp;Tableau1[[#This Row],[Numero HM de la fille]]</f>
        <v>2021-64-13</v>
      </c>
      <c r="I17" s="1"/>
      <c r="J17" s="1" t="s">
        <v>374</v>
      </c>
      <c r="K17" s="35" t="s">
        <v>3521</v>
      </c>
      <c r="L17" s="35">
        <v>17</v>
      </c>
      <c r="M17" s="35">
        <v>14</v>
      </c>
      <c r="N17" s="35">
        <f t="shared" si="0"/>
        <v>15.5</v>
      </c>
      <c r="O17" s="35">
        <v>17.5</v>
      </c>
      <c r="P17" s="35">
        <v>20</v>
      </c>
      <c r="Q17" s="35">
        <f t="shared" si="1"/>
        <v>18.75</v>
      </c>
      <c r="R17" s="35"/>
      <c r="S17" s="35"/>
      <c r="T17" s="35"/>
      <c r="U17" s="73" t="e">
        <f>AVERAGE(Tableau1[[#This Row],[1ère composition]:[3è Composition]])</f>
        <v>#DIV/0!</v>
      </c>
    </row>
    <row r="18" spans="1:21" hidden="1" x14ac:dyDescent="0.2">
      <c r="A18" s="1" t="s">
        <v>2694</v>
      </c>
      <c r="B18" s="1" t="s">
        <v>2708</v>
      </c>
      <c r="C18" s="1" t="s">
        <v>3914</v>
      </c>
      <c r="D18" s="1">
        <v>96509269</v>
      </c>
      <c r="E18" s="1">
        <v>2021</v>
      </c>
      <c r="F18" s="1">
        <v>64</v>
      </c>
      <c r="G18" s="1">
        <v>14</v>
      </c>
      <c r="H18" s="1" t="str">
        <f>Tableau1[[#This Row],[Annee d''inscription au programme]]&amp;"-"&amp;Tableau1[[#This Row],[Code d''ecole]]&amp;"-"&amp;Tableau1[[#This Row],[Numero HM de la fille]]</f>
        <v>2021-64-14</v>
      </c>
      <c r="I18" s="1"/>
      <c r="J18" s="1" t="s">
        <v>593</v>
      </c>
      <c r="K18" s="35" t="s">
        <v>298</v>
      </c>
      <c r="L18" s="35">
        <v>9</v>
      </c>
      <c r="M18" s="35">
        <v>6</v>
      </c>
      <c r="N18" s="35">
        <f t="shared" si="0"/>
        <v>7.5</v>
      </c>
      <c r="O18" s="35">
        <v>15</v>
      </c>
      <c r="P18" s="35">
        <v>10</v>
      </c>
      <c r="Q18" s="35">
        <f t="shared" si="1"/>
        <v>12.5</v>
      </c>
      <c r="R18" s="35"/>
      <c r="S18" s="35"/>
      <c r="T18" s="35"/>
      <c r="U18" s="73" t="e">
        <f>AVERAGE(Tableau1[[#This Row],[1ère composition]:[3è Composition]])</f>
        <v>#DIV/0!</v>
      </c>
    </row>
    <row r="19" spans="1:21" hidden="1" x14ac:dyDescent="0.2">
      <c r="A19" s="1" t="s">
        <v>2694</v>
      </c>
      <c r="B19" s="1" t="s">
        <v>2709</v>
      </c>
      <c r="C19" s="1" t="s">
        <v>3918</v>
      </c>
      <c r="D19" s="1">
        <v>96509269</v>
      </c>
      <c r="E19" s="1">
        <v>2021</v>
      </c>
      <c r="F19" s="1">
        <v>64</v>
      </c>
      <c r="G19" s="1">
        <v>15</v>
      </c>
      <c r="H19" s="1" t="str">
        <f>Tableau1[[#This Row],[Annee d''inscription au programme]]&amp;"-"&amp;Tableau1[[#This Row],[Code d''ecole]]&amp;"-"&amp;Tableau1[[#This Row],[Numero HM de la fille]]</f>
        <v>2021-64-15</v>
      </c>
      <c r="I19" s="1"/>
      <c r="J19" s="1" t="s">
        <v>374</v>
      </c>
      <c r="K19" s="35" t="s">
        <v>3521</v>
      </c>
      <c r="L19" s="35">
        <v>12.5</v>
      </c>
      <c r="M19" s="35">
        <v>9</v>
      </c>
      <c r="N19" s="35">
        <f t="shared" si="0"/>
        <v>10.75</v>
      </c>
      <c r="O19" s="35">
        <v>13.5</v>
      </c>
      <c r="P19" s="35">
        <v>15.5</v>
      </c>
      <c r="Q19" s="35">
        <f t="shared" si="1"/>
        <v>14.5</v>
      </c>
      <c r="R19" s="35"/>
      <c r="S19" s="35"/>
      <c r="T19" s="35"/>
      <c r="U19" s="73" t="e">
        <f>AVERAGE(Tableau1[[#This Row],[1ère composition]:[3è Composition]])</f>
        <v>#DIV/0!</v>
      </c>
    </row>
    <row r="20" spans="1:21" hidden="1" x14ac:dyDescent="0.2">
      <c r="A20" s="1" t="s">
        <v>2694</v>
      </c>
      <c r="B20" s="1" t="s">
        <v>2744</v>
      </c>
      <c r="C20" s="1" t="s">
        <v>3919</v>
      </c>
      <c r="D20" s="1">
        <v>96458043</v>
      </c>
      <c r="E20" s="1">
        <v>2021</v>
      </c>
      <c r="F20" s="1">
        <v>64</v>
      </c>
      <c r="G20" s="1">
        <v>16</v>
      </c>
      <c r="H20" s="1" t="str">
        <f>Tableau1[[#This Row],[Annee d''inscription au programme]]&amp;"-"&amp;Tableau1[[#This Row],[Code d''ecole]]&amp;"-"&amp;Tableau1[[#This Row],[Numero HM de la fille]]</f>
        <v>2021-64-16</v>
      </c>
      <c r="I20" s="1"/>
      <c r="J20" s="1" t="s">
        <v>593</v>
      </c>
      <c r="K20" s="35" t="s">
        <v>298</v>
      </c>
      <c r="L20" s="35">
        <v>11.5</v>
      </c>
      <c r="M20" s="35">
        <v>2</v>
      </c>
      <c r="N20" s="35">
        <f t="shared" si="0"/>
        <v>6.75</v>
      </c>
      <c r="O20" s="35">
        <v>17</v>
      </c>
      <c r="P20" s="35">
        <v>10.5</v>
      </c>
      <c r="Q20" s="35">
        <f t="shared" si="1"/>
        <v>13.75</v>
      </c>
      <c r="R20" s="35"/>
      <c r="S20" s="35"/>
      <c r="T20" s="35"/>
      <c r="U20" s="73" t="e">
        <f>AVERAGE(Tableau1[[#This Row],[1ère composition]:[3è Composition]])</f>
        <v>#DIV/0!</v>
      </c>
    </row>
    <row r="21" spans="1:21" hidden="1" x14ac:dyDescent="0.2">
      <c r="A21" s="1" t="s">
        <v>2694</v>
      </c>
      <c r="B21" s="1" t="s">
        <v>2710</v>
      </c>
      <c r="C21" s="1" t="s">
        <v>3920</v>
      </c>
      <c r="D21" s="1">
        <v>98391109</v>
      </c>
      <c r="E21" s="1">
        <v>2021</v>
      </c>
      <c r="F21" s="1">
        <v>64</v>
      </c>
      <c r="G21" s="1">
        <v>17</v>
      </c>
      <c r="H21" s="1" t="str">
        <f>Tableau1[[#This Row],[Annee d''inscription au programme]]&amp;"-"&amp;Tableau1[[#This Row],[Code d''ecole]]&amp;"-"&amp;Tableau1[[#This Row],[Numero HM de la fille]]</f>
        <v>2021-64-17</v>
      </c>
      <c r="I21" s="1"/>
      <c r="J21" s="1" t="s">
        <v>374</v>
      </c>
      <c r="K21" s="35" t="s">
        <v>3521</v>
      </c>
      <c r="L21" s="89">
        <v>0</v>
      </c>
      <c r="M21" s="89">
        <v>0</v>
      </c>
      <c r="N21" s="89">
        <f t="shared" si="0"/>
        <v>0</v>
      </c>
      <c r="O21" s="35">
        <v>15.5</v>
      </c>
      <c r="P21" s="35">
        <v>16</v>
      </c>
      <c r="Q21" s="35">
        <f t="shared" si="1"/>
        <v>15.75</v>
      </c>
      <c r="R21" s="35"/>
      <c r="S21" s="35"/>
      <c r="T21" s="35"/>
      <c r="U21" s="73" t="e">
        <f>AVERAGE(Tableau1[[#This Row],[1ère composition]:[3è Composition]])</f>
        <v>#DIV/0!</v>
      </c>
    </row>
    <row r="22" spans="1:21" hidden="1" x14ac:dyDescent="0.2">
      <c r="A22" s="1" t="s">
        <v>2694</v>
      </c>
      <c r="B22" s="1" t="s">
        <v>2711</v>
      </c>
      <c r="C22" s="1" t="s">
        <v>3911</v>
      </c>
      <c r="D22" s="1">
        <v>98405823</v>
      </c>
      <c r="E22" s="1">
        <v>2021</v>
      </c>
      <c r="F22" s="1">
        <v>64</v>
      </c>
      <c r="G22" s="1">
        <v>18</v>
      </c>
      <c r="H22" s="1" t="str">
        <f>Tableau1[[#This Row],[Annee d''inscription au programme]]&amp;"-"&amp;Tableau1[[#This Row],[Code d''ecole]]&amp;"-"&amp;Tableau1[[#This Row],[Numero HM de la fille]]</f>
        <v>2021-64-18</v>
      </c>
      <c r="I22" s="1"/>
      <c r="J22" s="1" t="s">
        <v>374</v>
      </c>
      <c r="K22" s="35" t="s">
        <v>3521</v>
      </c>
      <c r="L22" s="89">
        <v>0</v>
      </c>
      <c r="M22" s="89">
        <v>0</v>
      </c>
      <c r="N22" s="89">
        <f t="shared" si="0"/>
        <v>0</v>
      </c>
      <c r="O22" s="35">
        <v>12.5</v>
      </c>
      <c r="P22" s="35">
        <v>12</v>
      </c>
      <c r="Q22" s="35">
        <f t="shared" si="1"/>
        <v>12.25</v>
      </c>
      <c r="R22" s="35"/>
      <c r="S22" s="35"/>
      <c r="T22" s="35"/>
      <c r="U22" s="73" t="e">
        <f>AVERAGE(Tableau1[[#This Row],[1ère composition]:[3è Composition]])</f>
        <v>#DIV/0!</v>
      </c>
    </row>
    <row r="23" spans="1:21" hidden="1" x14ac:dyDescent="0.2">
      <c r="A23" s="1" t="s">
        <v>2694</v>
      </c>
      <c r="B23" s="1" t="s">
        <v>2712</v>
      </c>
      <c r="C23" s="1" t="s">
        <v>3921</v>
      </c>
      <c r="D23" s="1">
        <v>97628177</v>
      </c>
      <c r="E23" s="1">
        <v>2021</v>
      </c>
      <c r="F23" s="1">
        <v>64</v>
      </c>
      <c r="G23" s="1">
        <v>19</v>
      </c>
      <c r="H23" s="1" t="str">
        <f>Tableau1[[#This Row],[Annee d''inscription au programme]]&amp;"-"&amp;Tableau1[[#This Row],[Code d''ecole]]&amp;"-"&amp;Tableau1[[#This Row],[Numero HM de la fille]]</f>
        <v>2021-64-19</v>
      </c>
      <c r="I23" s="1"/>
      <c r="J23" s="1" t="s">
        <v>374</v>
      </c>
      <c r="K23" s="35" t="s">
        <v>3521</v>
      </c>
      <c r="L23" s="89">
        <v>13.5</v>
      </c>
      <c r="M23" s="89">
        <v>5</v>
      </c>
      <c r="N23" s="89">
        <f t="shared" si="0"/>
        <v>9.25</v>
      </c>
      <c r="O23" s="35">
        <v>8.5</v>
      </c>
      <c r="P23" s="35">
        <v>12</v>
      </c>
      <c r="Q23" s="35">
        <f t="shared" si="1"/>
        <v>10.25</v>
      </c>
      <c r="R23" s="35"/>
      <c r="S23" s="35"/>
      <c r="T23" s="35"/>
      <c r="U23" s="73" t="e">
        <f>AVERAGE(Tableau1[[#This Row],[1ère composition]:[3è Composition]])</f>
        <v>#DIV/0!</v>
      </c>
    </row>
    <row r="24" spans="1:21" hidden="1" x14ac:dyDescent="0.2">
      <c r="A24" s="1" t="s">
        <v>2694</v>
      </c>
      <c r="B24" s="1" t="s">
        <v>2713</v>
      </c>
      <c r="C24" s="1" t="s">
        <v>3922</v>
      </c>
      <c r="D24" s="1">
        <v>85239998</v>
      </c>
      <c r="E24" s="1">
        <v>2021</v>
      </c>
      <c r="F24" s="1">
        <v>64</v>
      </c>
      <c r="G24" s="1">
        <v>20</v>
      </c>
      <c r="H24" s="1" t="str">
        <f>Tableau1[[#This Row],[Annee d''inscription au programme]]&amp;"-"&amp;Tableau1[[#This Row],[Code d''ecole]]&amp;"-"&amp;Tableau1[[#This Row],[Numero HM de la fille]]</f>
        <v>2021-64-20</v>
      </c>
      <c r="I24" s="1"/>
      <c r="J24" s="1" t="s">
        <v>593</v>
      </c>
      <c r="K24" s="35" t="s">
        <v>298</v>
      </c>
      <c r="L24" s="35">
        <v>13</v>
      </c>
      <c r="M24" s="35">
        <v>6</v>
      </c>
      <c r="N24" s="35">
        <f t="shared" si="0"/>
        <v>9.5</v>
      </c>
      <c r="O24" s="35">
        <v>11</v>
      </c>
      <c r="P24" s="35">
        <v>11</v>
      </c>
      <c r="Q24" s="35">
        <f t="shared" si="1"/>
        <v>11</v>
      </c>
      <c r="R24" s="35"/>
      <c r="S24" s="35"/>
      <c r="T24" s="35"/>
      <c r="U24" s="73" t="e">
        <f>AVERAGE(Tableau1[[#This Row],[1ère composition]:[3è Composition]])</f>
        <v>#DIV/0!</v>
      </c>
    </row>
    <row r="25" spans="1:21" hidden="1" x14ac:dyDescent="0.2">
      <c r="A25" s="1" t="s">
        <v>2694</v>
      </c>
      <c r="B25" s="1" t="s">
        <v>2714</v>
      </c>
      <c r="C25" s="1" t="s">
        <v>3923</v>
      </c>
      <c r="D25" s="1">
        <v>98558468</v>
      </c>
      <c r="E25" s="1">
        <v>2021</v>
      </c>
      <c r="F25" s="1">
        <v>64</v>
      </c>
      <c r="G25" s="1">
        <v>21</v>
      </c>
      <c r="H25" s="1" t="str">
        <f>Tableau1[[#This Row],[Annee d''inscription au programme]]&amp;"-"&amp;Tableau1[[#This Row],[Code d''ecole]]&amp;"-"&amp;Tableau1[[#This Row],[Numero HM de la fille]]</f>
        <v>2021-64-21</v>
      </c>
      <c r="I25" s="1"/>
      <c r="J25" s="1" t="s">
        <v>593</v>
      </c>
      <c r="K25" s="35" t="s">
        <v>298</v>
      </c>
      <c r="L25" s="35">
        <v>8</v>
      </c>
      <c r="M25" s="35">
        <v>2</v>
      </c>
      <c r="N25" s="35">
        <f t="shared" si="0"/>
        <v>5</v>
      </c>
      <c r="O25" s="35">
        <v>13.5</v>
      </c>
      <c r="P25" s="35">
        <v>16.5</v>
      </c>
      <c r="Q25" s="35">
        <f t="shared" si="1"/>
        <v>15</v>
      </c>
      <c r="R25" s="35"/>
      <c r="S25" s="35"/>
      <c r="T25" s="35"/>
      <c r="U25" s="73" t="e">
        <f>AVERAGE(Tableau1[[#This Row],[1ère composition]:[3è Composition]])</f>
        <v>#DIV/0!</v>
      </c>
    </row>
    <row r="26" spans="1:21" hidden="1" x14ac:dyDescent="0.2">
      <c r="A26" s="1" t="s">
        <v>2694</v>
      </c>
      <c r="B26" s="1" t="s">
        <v>2715</v>
      </c>
      <c r="C26" s="1" t="s">
        <v>3924</v>
      </c>
      <c r="D26" s="1">
        <v>96196532</v>
      </c>
      <c r="E26" s="1">
        <v>2021</v>
      </c>
      <c r="F26" s="1">
        <v>64</v>
      </c>
      <c r="G26" s="1">
        <v>22</v>
      </c>
      <c r="H26" s="1" t="str">
        <f>Tableau1[[#This Row],[Annee d''inscription au programme]]&amp;"-"&amp;Tableau1[[#This Row],[Code d''ecole]]&amp;"-"&amp;Tableau1[[#This Row],[Numero HM de la fille]]</f>
        <v>2021-64-22</v>
      </c>
      <c r="I26" s="1"/>
      <c r="J26" s="1" t="s">
        <v>593</v>
      </c>
      <c r="K26" s="35" t="s">
        <v>298</v>
      </c>
      <c r="L26" s="35">
        <v>14</v>
      </c>
      <c r="M26" s="35">
        <v>9</v>
      </c>
      <c r="N26" s="35">
        <f t="shared" si="0"/>
        <v>11.5</v>
      </c>
      <c r="O26" s="35">
        <v>13.5</v>
      </c>
      <c r="P26" s="35">
        <v>11</v>
      </c>
      <c r="Q26" s="35">
        <f t="shared" si="1"/>
        <v>12.25</v>
      </c>
      <c r="R26" s="35"/>
      <c r="S26" s="35"/>
      <c r="T26" s="35"/>
      <c r="U26" s="73" t="e">
        <f>AVERAGE(Tableau1[[#This Row],[1ère composition]:[3è Composition]])</f>
        <v>#DIV/0!</v>
      </c>
    </row>
    <row r="27" spans="1:21" hidden="1" x14ac:dyDescent="0.2">
      <c r="A27" s="1" t="s">
        <v>2694</v>
      </c>
      <c r="B27" s="1" t="s">
        <v>2716</v>
      </c>
      <c r="C27" s="1" t="s">
        <v>3914</v>
      </c>
      <c r="D27" s="1">
        <v>89629784</v>
      </c>
      <c r="E27" s="1">
        <v>2021</v>
      </c>
      <c r="F27" s="1">
        <v>64</v>
      </c>
      <c r="G27" s="1">
        <v>23</v>
      </c>
      <c r="H27" s="1" t="str">
        <f>Tableau1[[#This Row],[Annee d''inscription au programme]]&amp;"-"&amp;Tableau1[[#This Row],[Code d''ecole]]&amp;"-"&amp;Tableau1[[#This Row],[Numero HM de la fille]]</f>
        <v>2021-64-23</v>
      </c>
      <c r="I27" s="1"/>
      <c r="J27" s="1" t="s">
        <v>593</v>
      </c>
      <c r="K27" s="35" t="s">
        <v>298</v>
      </c>
      <c r="L27" s="35">
        <v>11</v>
      </c>
      <c r="M27" s="35">
        <v>7</v>
      </c>
      <c r="N27" s="35">
        <f t="shared" si="0"/>
        <v>9</v>
      </c>
      <c r="O27" s="35">
        <v>12</v>
      </c>
      <c r="P27" s="35">
        <v>11</v>
      </c>
      <c r="Q27" s="35">
        <f t="shared" si="1"/>
        <v>11.5</v>
      </c>
      <c r="R27" s="35"/>
      <c r="S27" s="35"/>
      <c r="T27" s="35"/>
      <c r="U27" s="73" t="e">
        <f>AVERAGE(Tableau1[[#This Row],[1ère composition]:[3è Composition]])</f>
        <v>#DIV/0!</v>
      </c>
    </row>
    <row r="28" spans="1:21" hidden="1" x14ac:dyDescent="0.2">
      <c r="A28" s="1" t="s">
        <v>2694</v>
      </c>
      <c r="B28" s="1" t="s">
        <v>2717</v>
      </c>
      <c r="C28" s="1" t="s">
        <v>3914</v>
      </c>
      <c r="D28" s="1">
        <v>96944418</v>
      </c>
      <c r="E28" s="1">
        <v>2021</v>
      </c>
      <c r="F28" s="1">
        <v>64</v>
      </c>
      <c r="G28" s="1">
        <v>24</v>
      </c>
      <c r="H28" s="1" t="str">
        <f>Tableau1[[#This Row],[Annee d''inscription au programme]]&amp;"-"&amp;Tableau1[[#This Row],[Code d''ecole]]&amp;"-"&amp;Tableau1[[#This Row],[Numero HM de la fille]]</f>
        <v>2021-64-24</v>
      </c>
      <c r="I28" s="1"/>
      <c r="J28" s="1" t="s">
        <v>593</v>
      </c>
      <c r="K28" s="35" t="s">
        <v>298</v>
      </c>
      <c r="L28" s="35">
        <v>5</v>
      </c>
      <c r="M28" s="35">
        <v>4</v>
      </c>
      <c r="N28" s="35">
        <f t="shared" si="0"/>
        <v>4.5</v>
      </c>
      <c r="O28" s="35">
        <v>13.5</v>
      </c>
      <c r="P28" s="35">
        <v>13.5</v>
      </c>
      <c r="Q28" s="35">
        <f t="shared" si="1"/>
        <v>13.5</v>
      </c>
      <c r="R28" s="35"/>
      <c r="S28" s="35"/>
      <c r="T28" s="35"/>
      <c r="U28" s="73" t="e">
        <f>AVERAGE(Tableau1[[#This Row],[1ère composition]:[3è Composition]])</f>
        <v>#DIV/0!</v>
      </c>
    </row>
    <row r="29" spans="1:21" hidden="1" x14ac:dyDescent="0.2">
      <c r="A29" s="1" t="s">
        <v>2694</v>
      </c>
      <c r="B29" s="1" t="s">
        <v>2718</v>
      </c>
      <c r="C29" s="1" t="s">
        <v>3911</v>
      </c>
      <c r="D29" s="1">
        <v>84817892</v>
      </c>
      <c r="E29" s="1">
        <v>2021</v>
      </c>
      <c r="F29" s="1">
        <v>64</v>
      </c>
      <c r="G29" s="1">
        <v>25</v>
      </c>
      <c r="H29" s="1" t="str">
        <f>Tableau1[[#This Row],[Annee d''inscription au programme]]&amp;"-"&amp;Tableau1[[#This Row],[Code d''ecole]]&amp;"-"&amp;Tableau1[[#This Row],[Numero HM de la fille]]</f>
        <v>2021-64-25</v>
      </c>
      <c r="I29" s="1"/>
      <c r="J29" s="1" t="s">
        <v>374</v>
      </c>
      <c r="K29" s="35" t="s">
        <v>3521</v>
      </c>
      <c r="L29" s="35">
        <v>13.5</v>
      </c>
      <c r="M29" s="35">
        <v>8</v>
      </c>
      <c r="N29" s="35">
        <f t="shared" si="0"/>
        <v>10.75</v>
      </c>
      <c r="O29" s="35">
        <v>10</v>
      </c>
      <c r="P29" s="35">
        <v>7</v>
      </c>
      <c r="Q29" s="35">
        <f t="shared" si="1"/>
        <v>8.5</v>
      </c>
      <c r="R29" s="35"/>
      <c r="S29" s="35"/>
      <c r="T29" s="35"/>
      <c r="U29" s="73" t="e">
        <f>AVERAGE(Tableau1[[#This Row],[1ère composition]:[3è Composition]])</f>
        <v>#DIV/0!</v>
      </c>
    </row>
    <row r="30" spans="1:21" hidden="1" x14ac:dyDescent="0.2">
      <c r="A30" s="1" t="s">
        <v>2694</v>
      </c>
      <c r="B30" s="1" t="s">
        <v>2719</v>
      </c>
      <c r="C30" s="1" t="s">
        <v>3914</v>
      </c>
      <c r="D30" s="1">
        <v>96122521</v>
      </c>
      <c r="E30" s="1">
        <v>2021</v>
      </c>
      <c r="F30" s="1">
        <v>64</v>
      </c>
      <c r="G30" s="1">
        <v>26</v>
      </c>
      <c r="H30" s="1" t="str">
        <f>Tableau1[[#This Row],[Annee d''inscription au programme]]&amp;"-"&amp;Tableau1[[#This Row],[Code d''ecole]]&amp;"-"&amp;Tableau1[[#This Row],[Numero HM de la fille]]</f>
        <v>2021-64-26</v>
      </c>
      <c r="I30" s="1"/>
      <c r="J30" s="1" t="s">
        <v>593</v>
      </c>
      <c r="K30" s="35" t="s">
        <v>298</v>
      </c>
      <c r="L30" s="35">
        <v>11</v>
      </c>
      <c r="M30" s="35">
        <v>8</v>
      </c>
      <c r="N30" s="35">
        <f t="shared" si="0"/>
        <v>9.5</v>
      </c>
      <c r="O30" s="35">
        <v>7.5</v>
      </c>
      <c r="P30" s="35">
        <v>10</v>
      </c>
      <c r="Q30" s="35">
        <f t="shared" si="1"/>
        <v>8.75</v>
      </c>
      <c r="R30" s="35"/>
      <c r="S30" s="35"/>
      <c r="T30" s="35"/>
      <c r="U30" s="73" t="e">
        <f>AVERAGE(Tableau1[[#This Row],[1ère composition]:[3è Composition]])</f>
        <v>#DIV/0!</v>
      </c>
    </row>
    <row r="31" spans="1:21" hidden="1" x14ac:dyDescent="0.2">
      <c r="A31" s="1" t="s">
        <v>2694</v>
      </c>
      <c r="B31" s="1" t="s">
        <v>2720</v>
      </c>
      <c r="C31" s="1" t="s">
        <v>3911</v>
      </c>
      <c r="D31" s="1">
        <v>99629558</v>
      </c>
      <c r="E31" s="1">
        <v>2021</v>
      </c>
      <c r="F31" s="1">
        <v>64</v>
      </c>
      <c r="G31" s="1">
        <v>27</v>
      </c>
      <c r="H31" s="1" t="str">
        <f>Tableau1[[#This Row],[Annee d''inscription au programme]]&amp;"-"&amp;Tableau1[[#This Row],[Code d''ecole]]&amp;"-"&amp;Tableau1[[#This Row],[Numero HM de la fille]]</f>
        <v>2021-64-27</v>
      </c>
      <c r="I31" s="1"/>
      <c r="J31" s="1" t="s">
        <v>374</v>
      </c>
      <c r="K31" s="35" t="s">
        <v>3521</v>
      </c>
      <c r="L31" s="35">
        <v>5.5</v>
      </c>
      <c r="M31" s="35">
        <v>3</v>
      </c>
      <c r="N31" s="35">
        <f t="shared" si="0"/>
        <v>4.25</v>
      </c>
      <c r="O31" s="35">
        <v>13.5</v>
      </c>
      <c r="P31" s="35">
        <v>13</v>
      </c>
      <c r="Q31" s="35">
        <f t="shared" si="1"/>
        <v>13.25</v>
      </c>
      <c r="R31" s="35"/>
      <c r="S31" s="35"/>
      <c r="T31" s="35"/>
      <c r="U31" s="73" t="e">
        <f>AVERAGE(Tableau1[[#This Row],[1ère composition]:[3è Composition]])</f>
        <v>#DIV/0!</v>
      </c>
    </row>
    <row r="32" spans="1:21" hidden="1" x14ac:dyDescent="0.2">
      <c r="A32" s="1" t="s">
        <v>2694</v>
      </c>
      <c r="B32" s="1" t="s">
        <v>2721</v>
      </c>
      <c r="C32" s="1" t="s">
        <v>3914</v>
      </c>
      <c r="D32" s="1">
        <v>88118847</v>
      </c>
      <c r="E32" s="1">
        <v>2021</v>
      </c>
      <c r="F32" s="1">
        <v>64</v>
      </c>
      <c r="G32" s="1">
        <v>28</v>
      </c>
      <c r="H32" s="1" t="str">
        <f>Tableau1[[#This Row],[Annee d''inscription au programme]]&amp;"-"&amp;Tableau1[[#This Row],[Code d''ecole]]&amp;"-"&amp;Tableau1[[#This Row],[Numero HM de la fille]]</f>
        <v>2021-64-28</v>
      </c>
      <c r="I32" s="1"/>
      <c r="J32" s="1" t="s">
        <v>593</v>
      </c>
      <c r="K32" s="35" t="s">
        <v>298</v>
      </c>
      <c r="L32" s="35">
        <v>9.5</v>
      </c>
      <c r="M32" s="35">
        <v>9</v>
      </c>
      <c r="N32" s="35">
        <f t="shared" si="0"/>
        <v>9.25</v>
      </c>
      <c r="O32" s="35">
        <v>15.5</v>
      </c>
      <c r="P32" s="35">
        <v>13</v>
      </c>
      <c r="Q32" s="35">
        <f t="shared" si="1"/>
        <v>14.25</v>
      </c>
      <c r="R32" s="35"/>
      <c r="S32" s="35"/>
      <c r="T32" s="35"/>
      <c r="U32" s="73" t="e">
        <f>AVERAGE(Tableau1[[#This Row],[1ère composition]:[3è Composition]])</f>
        <v>#DIV/0!</v>
      </c>
    </row>
    <row r="33" spans="1:21" hidden="1" x14ac:dyDescent="0.2">
      <c r="A33" s="1" t="s">
        <v>2694</v>
      </c>
      <c r="B33" s="1" t="s">
        <v>2722</v>
      </c>
      <c r="C33" s="1" t="s">
        <v>3925</v>
      </c>
      <c r="D33" s="1">
        <v>97056675</v>
      </c>
      <c r="E33" s="1">
        <v>2021</v>
      </c>
      <c r="F33" s="1">
        <v>64</v>
      </c>
      <c r="G33" s="1">
        <v>29</v>
      </c>
      <c r="H33" s="1" t="str">
        <f>Tableau1[[#This Row],[Annee d''inscription au programme]]&amp;"-"&amp;Tableau1[[#This Row],[Code d''ecole]]&amp;"-"&amp;Tableau1[[#This Row],[Numero HM de la fille]]</f>
        <v>2021-64-29</v>
      </c>
      <c r="I33" s="1"/>
      <c r="J33" s="1" t="s">
        <v>593</v>
      </c>
      <c r="K33" s="35" t="s">
        <v>298</v>
      </c>
      <c r="L33" s="35">
        <v>13.5</v>
      </c>
      <c r="M33" s="35">
        <v>7</v>
      </c>
      <c r="N33" s="35">
        <f t="shared" si="0"/>
        <v>10.25</v>
      </c>
      <c r="O33" s="35">
        <v>11</v>
      </c>
      <c r="P33" s="35">
        <v>13</v>
      </c>
      <c r="Q33" s="35">
        <f t="shared" si="1"/>
        <v>12</v>
      </c>
      <c r="R33" s="35"/>
      <c r="S33" s="35"/>
      <c r="T33" s="35"/>
      <c r="U33" s="73" t="e">
        <f>AVERAGE(Tableau1[[#This Row],[1ère composition]:[3è Composition]])</f>
        <v>#DIV/0!</v>
      </c>
    </row>
    <row r="34" spans="1:21" ht="15" hidden="1" customHeight="1" x14ac:dyDescent="0.2">
      <c r="A34" s="1" t="s">
        <v>2694</v>
      </c>
      <c r="B34" s="1" t="s">
        <v>2723</v>
      </c>
      <c r="C34" s="1" t="s">
        <v>3914</v>
      </c>
      <c r="D34" s="1">
        <v>88178626</v>
      </c>
      <c r="E34" s="1">
        <v>2021</v>
      </c>
      <c r="F34" s="1">
        <v>64</v>
      </c>
      <c r="G34" s="1">
        <v>30</v>
      </c>
      <c r="H34" s="1" t="str">
        <f>Tableau1[[#This Row],[Annee d''inscription au programme]]&amp;"-"&amp;Tableau1[[#This Row],[Code d''ecole]]&amp;"-"&amp;Tableau1[[#This Row],[Numero HM de la fille]]</f>
        <v>2021-64-30</v>
      </c>
      <c r="I34" s="1"/>
      <c r="J34" s="1" t="s">
        <v>593</v>
      </c>
      <c r="K34" s="35" t="s">
        <v>298</v>
      </c>
      <c r="L34" s="35">
        <v>0</v>
      </c>
      <c r="M34" s="35">
        <v>0</v>
      </c>
      <c r="N34" s="35">
        <f t="shared" si="0"/>
        <v>0</v>
      </c>
      <c r="O34" s="35">
        <v>6</v>
      </c>
      <c r="P34" s="35">
        <v>11</v>
      </c>
      <c r="Q34" s="35">
        <f t="shared" si="1"/>
        <v>8.5</v>
      </c>
      <c r="R34" s="35"/>
      <c r="S34" s="35"/>
      <c r="T34" s="35"/>
      <c r="U34" s="73" t="e">
        <f>AVERAGE(Tableau1[[#This Row],[1ère composition]:[3è Composition]])</f>
        <v>#DIV/0!</v>
      </c>
    </row>
    <row r="35" spans="1:21" hidden="1" x14ac:dyDescent="0.2">
      <c r="A35" s="1" t="s">
        <v>2694</v>
      </c>
      <c r="B35" s="1" t="s">
        <v>2724</v>
      </c>
      <c r="C35" s="1" t="s">
        <v>3914</v>
      </c>
      <c r="D35" s="1">
        <v>98365678</v>
      </c>
      <c r="E35" s="1">
        <v>2021</v>
      </c>
      <c r="F35" s="1">
        <v>64</v>
      </c>
      <c r="G35" s="1">
        <v>31</v>
      </c>
      <c r="H35" s="1" t="str">
        <f>Tableau1[[#This Row],[Annee d''inscription au programme]]&amp;"-"&amp;Tableau1[[#This Row],[Code d''ecole]]&amp;"-"&amp;Tableau1[[#This Row],[Numero HM de la fille]]</f>
        <v>2021-64-31</v>
      </c>
      <c r="I35" s="1"/>
      <c r="J35" s="1" t="s">
        <v>593</v>
      </c>
      <c r="K35" s="35" t="s">
        <v>298</v>
      </c>
      <c r="L35" s="35">
        <v>6.5</v>
      </c>
      <c r="M35" s="35">
        <v>3</v>
      </c>
      <c r="N35" s="35">
        <f t="shared" si="0"/>
        <v>4.75</v>
      </c>
      <c r="O35" s="35">
        <v>17.5</v>
      </c>
      <c r="P35" s="35">
        <v>19</v>
      </c>
      <c r="Q35" s="35">
        <f t="shared" si="1"/>
        <v>18.25</v>
      </c>
      <c r="R35" s="35"/>
      <c r="S35" s="35"/>
      <c r="T35" s="35"/>
      <c r="U35" s="73" t="e">
        <f>AVERAGE(Tableau1[[#This Row],[1ère composition]:[3è Composition]])</f>
        <v>#DIV/0!</v>
      </c>
    </row>
    <row r="36" spans="1:21" hidden="1" x14ac:dyDescent="0.2">
      <c r="A36" s="1" t="s">
        <v>2694</v>
      </c>
      <c r="B36" s="1" t="s">
        <v>2725</v>
      </c>
      <c r="C36" s="1" t="s">
        <v>3911</v>
      </c>
      <c r="D36" s="1">
        <v>98724505</v>
      </c>
      <c r="E36" s="1">
        <v>2021</v>
      </c>
      <c r="F36" s="1">
        <v>64</v>
      </c>
      <c r="G36" s="1">
        <v>32</v>
      </c>
      <c r="H36" s="1" t="str">
        <f>Tableau1[[#This Row],[Annee d''inscription au programme]]&amp;"-"&amp;Tableau1[[#This Row],[Code d''ecole]]&amp;"-"&amp;Tableau1[[#This Row],[Numero HM de la fille]]</f>
        <v>2021-64-32</v>
      </c>
      <c r="I36" s="1"/>
      <c r="J36" s="1" t="s">
        <v>374</v>
      </c>
      <c r="K36" s="35" t="s">
        <v>3521</v>
      </c>
      <c r="L36" s="35">
        <v>0</v>
      </c>
      <c r="M36" s="35">
        <v>0</v>
      </c>
      <c r="N36" s="35">
        <f t="shared" si="0"/>
        <v>0</v>
      </c>
      <c r="O36" s="35">
        <v>15.5</v>
      </c>
      <c r="P36" s="35">
        <v>19</v>
      </c>
      <c r="Q36" s="35">
        <f t="shared" si="1"/>
        <v>17.25</v>
      </c>
      <c r="R36" s="35"/>
      <c r="S36" s="35"/>
      <c r="T36" s="35"/>
      <c r="U36" s="73" t="e">
        <f>AVERAGE(Tableau1[[#This Row],[1ère composition]:[3è Composition]])</f>
        <v>#DIV/0!</v>
      </c>
    </row>
    <row r="37" spans="1:21" hidden="1" x14ac:dyDescent="0.2">
      <c r="A37" s="1" t="s">
        <v>2694</v>
      </c>
      <c r="B37" s="1" t="s">
        <v>2726</v>
      </c>
      <c r="C37" s="1" t="s">
        <v>3911</v>
      </c>
      <c r="D37" s="1">
        <v>96519269</v>
      </c>
      <c r="E37" s="1">
        <v>2021</v>
      </c>
      <c r="F37" s="1">
        <v>64</v>
      </c>
      <c r="G37" s="1">
        <v>33</v>
      </c>
      <c r="H37" s="1" t="str">
        <f>Tableau1[[#This Row],[Annee d''inscription au programme]]&amp;"-"&amp;Tableau1[[#This Row],[Code d''ecole]]&amp;"-"&amp;Tableau1[[#This Row],[Numero HM de la fille]]</f>
        <v>2021-64-33</v>
      </c>
      <c r="I37" s="1"/>
      <c r="J37" s="1" t="s">
        <v>374</v>
      </c>
      <c r="K37" s="35" t="s">
        <v>3521</v>
      </c>
      <c r="L37" s="35">
        <v>17</v>
      </c>
      <c r="M37" s="35">
        <v>16</v>
      </c>
      <c r="N37" s="35">
        <f t="shared" si="0"/>
        <v>16.5</v>
      </c>
      <c r="O37" s="35">
        <v>12.5</v>
      </c>
      <c r="P37" s="35">
        <v>18.25</v>
      </c>
      <c r="Q37" s="35">
        <f t="shared" si="1"/>
        <v>15.375</v>
      </c>
      <c r="R37" s="35"/>
      <c r="S37" s="35"/>
      <c r="T37" s="35"/>
      <c r="U37" s="73" t="e">
        <f>AVERAGE(Tableau1[[#This Row],[1ère composition]:[3è Composition]])</f>
        <v>#DIV/0!</v>
      </c>
    </row>
    <row r="38" spans="1:21" hidden="1" x14ac:dyDescent="0.2">
      <c r="A38" s="1" t="s">
        <v>2694</v>
      </c>
      <c r="B38" s="1" t="s">
        <v>2727</v>
      </c>
      <c r="C38" s="1" t="s">
        <v>3911</v>
      </c>
      <c r="D38" s="1">
        <v>96604126</v>
      </c>
      <c r="E38" s="1">
        <v>2021</v>
      </c>
      <c r="F38" s="1">
        <v>64</v>
      </c>
      <c r="G38" s="1">
        <v>34</v>
      </c>
      <c r="H38" s="1" t="str">
        <f>Tableau1[[#This Row],[Annee d''inscription au programme]]&amp;"-"&amp;Tableau1[[#This Row],[Code d''ecole]]&amp;"-"&amp;Tableau1[[#This Row],[Numero HM de la fille]]</f>
        <v>2021-64-34</v>
      </c>
      <c r="I38" s="1"/>
      <c r="J38" s="1" t="s">
        <v>374</v>
      </c>
      <c r="K38" s="35" t="s">
        <v>3521</v>
      </c>
      <c r="L38" s="35">
        <v>12.5</v>
      </c>
      <c r="M38" s="35">
        <v>16</v>
      </c>
      <c r="N38" s="35">
        <f t="shared" si="0"/>
        <v>14.25</v>
      </c>
      <c r="O38" s="35">
        <v>13</v>
      </c>
      <c r="P38" s="35">
        <v>15.5</v>
      </c>
      <c r="Q38" s="35">
        <f t="shared" si="1"/>
        <v>14.25</v>
      </c>
      <c r="R38" s="35"/>
      <c r="S38" s="35"/>
      <c r="T38" s="35"/>
      <c r="U38" s="73" t="e">
        <f>AVERAGE(Tableau1[[#This Row],[1ère composition]:[3è Composition]])</f>
        <v>#DIV/0!</v>
      </c>
    </row>
    <row r="39" spans="1:21" hidden="1" x14ac:dyDescent="0.2">
      <c r="A39" s="1" t="s">
        <v>2694</v>
      </c>
      <c r="B39" s="1" t="s">
        <v>2728</v>
      </c>
      <c r="C39" s="1" t="s">
        <v>3911</v>
      </c>
      <c r="D39" s="1">
        <v>98061670</v>
      </c>
      <c r="E39" s="1">
        <v>2021</v>
      </c>
      <c r="F39" s="1">
        <v>64</v>
      </c>
      <c r="G39" s="1">
        <v>35</v>
      </c>
      <c r="H39" s="1" t="str">
        <f>Tableau1[[#This Row],[Annee d''inscription au programme]]&amp;"-"&amp;Tableau1[[#This Row],[Code d''ecole]]&amp;"-"&amp;Tableau1[[#This Row],[Numero HM de la fille]]</f>
        <v>2021-64-35</v>
      </c>
      <c r="I39" s="1"/>
      <c r="J39" s="1" t="s">
        <v>374</v>
      </c>
      <c r="K39" s="35" t="s">
        <v>3521</v>
      </c>
      <c r="L39" s="35">
        <v>11.5</v>
      </c>
      <c r="M39" s="35">
        <v>11</v>
      </c>
      <c r="N39" s="35">
        <f t="shared" si="0"/>
        <v>11.25</v>
      </c>
      <c r="O39" s="35">
        <v>18</v>
      </c>
      <c r="P39" s="35">
        <v>19.5</v>
      </c>
      <c r="Q39" s="35">
        <f t="shared" si="1"/>
        <v>18.75</v>
      </c>
      <c r="R39" s="35"/>
      <c r="S39" s="35"/>
      <c r="T39" s="35"/>
      <c r="U39" s="74" t="e">
        <f>AVERAGE(Tableau1[[#This Row],[1ère composition]:[3è Composition]])</f>
        <v>#DIV/0!</v>
      </c>
    </row>
    <row r="40" spans="1:21" hidden="1" x14ac:dyDescent="0.2">
      <c r="A40" s="1" t="s">
        <v>2694</v>
      </c>
      <c r="B40" s="1" t="s">
        <v>2729</v>
      </c>
      <c r="C40" s="1" t="s">
        <v>3912</v>
      </c>
      <c r="D40" s="1">
        <v>98304289</v>
      </c>
      <c r="E40" s="1">
        <v>2021</v>
      </c>
      <c r="F40" s="1">
        <v>64</v>
      </c>
      <c r="G40" s="1">
        <v>36</v>
      </c>
      <c r="H40" s="1" t="str">
        <f>Tableau1[[#This Row],[Annee d''inscription au programme]]&amp;"-"&amp;Tableau1[[#This Row],[Code d''ecole]]&amp;"-"&amp;Tableau1[[#This Row],[Numero HM de la fille]]</f>
        <v>2021-64-36</v>
      </c>
      <c r="I40" s="1"/>
      <c r="J40" s="1" t="s">
        <v>374</v>
      </c>
      <c r="K40" s="35" t="s">
        <v>3521</v>
      </c>
      <c r="L40" s="35">
        <v>17</v>
      </c>
      <c r="M40" s="35">
        <v>20</v>
      </c>
      <c r="N40" s="35">
        <f t="shared" si="0"/>
        <v>18.5</v>
      </c>
      <c r="O40" s="35">
        <v>3.5</v>
      </c>
      <c r="P40" s="35">
        <v>3</v>
      </c>
      <c r="Q40" s="35">
        <f t="shared" si="1"/>
        <v>3.25</v>
      </c>
      <c r="R40" s="35"/>
      <c r="S40" s="35"/>
      <c r="T40" s="35"/>
      <c r="U40" s="74" t="e">
        <f>AVERAGE(Tableau1[[#This Row],[1ère composition]:[3è Composition]])</f>
        <v>#DIV/0!</v>
      </c>
    </row>
    <row r="41" spans="1:21" hidden="1" x14ac:dyDescent="0.2">
      <c r="A41" s="1" t="s">
        <v>2694</v>
      </c>
      <c r="B41" s="1" t="s">
        <v>2730</v>
      </c>
      <c r="C41" s="1" t="s">
        <v>3914</v>
      </c>
      <c r="D41" s="1">
        <v>97913669</v>
      </c>
      <c r="E41" s="1">
        <v>2021</v>
      </c>
      <c r="F41" s="1">
        <v>64</v>
      </c>
      <c r="G41" s="1">
        <v>37</v>
      </c>
      <c r="H41" s="1" t="str">
        <f>Tableau1[[#This Row],[Annee d''inscription au programme]]&amp;"-"&amp;Tableau1[[#This Row],[Code d''ecole]]&amp;"-"&amp;Tableau1[[#This Row],[Numero HM de la fille]]</f>
        <v>2021-64-37</v>
      </c>
      <c r="I41" s="1"/>
      <c r="J41" s="1" t="s">
        <v>593</v>
      </c>
      <c r="K41" s="35" t="s">
        <v>298</v>
      </c>
      <c r="L41" s="35">
        <v>9</v>
      </c>
      <c r="M41" s="35">
        <v>9</v>
      </c>
      <c r="N41" s="35">
        <f t="shared" si="0"/>
        <v>9</v>
      </c>
      <c r="O41" s="35">
        <v>14.5</v>
      </c>
      <c r="P41" s="35">
        <v>8.5</v>
      </c>
      <c r="Q41" s="35">
        <f t="shared" si="1"/>
        <v>11.5</v>
      </c>
      <c r="R41" s="35"/>
      <c r="S41" s="35"/>
      <c r="T41" s="35"/>
      <c r="U41" s="74" t="e">
        <f>AVERAGE(Tableau1[[#This Row],[1ère composition]:[3è Composition]])</f>
        <v>#DIV/0!</v>
      </c>
    </row>
    <row r="42" spans="1:21" hidden="1" x14ac:dyDescent="0.2">
      <c r="A42" s="1" t="s">
        <v>2694</v>
      </c>
      <c r="B42" s="1" t="s">
        <v>2731</v>
      </c>
      <c r="C42" s="1" t="s">
        <v>3914</v>
      </c>
      <c r="D42" s="1">
        <v>96509269</v>
      </c>
      <c r="E42" s="1">
        <v>2021</v>
      </c>
      <c r="F42" s="1">
        <v>64</v>
      </c>
      <c r="G42" s="1">
        <v>38</v>
      </c>
      <c r="H42" s="1" t="str">
        <f>Tableau1[[#This Row],[Annee d''inscription au programme]]&amp;"-"&amp;Tableau1[[#This Row],[Code d''ecole]]&amp;"-"&amp;Tableau1[[#This Row],[Numero HM de la fille]]</f>
        <v>2021-64-38</v>
      </c>
      <c r="I42" s="1"/>
      <c r="J42" s="1" t="s">
        <v>593</v>
      </c>
      <c r="K42" s="35" t="s">
        <v>298</v>
      </c>
      <c r="L42" s="35">
        <v>6</v>
      </c>
      <c r="M42" s="35">
        <v>5</v>
      </c>
      <c r="N42" s="35">
        <f t="shared" si="0"/>
        <v>5.5</v>
      </c>
      <c r="O42" s="35">
        <v>14.5</v>
      </c>
      <c r="P42" s="35">
        <v>18.75</v>
      </c>
      <c r="Q42" s="35">
        <f t="shared" si="1"/>
        <v>16.625</v>
      </c>
      <c r="R42" s="35"/>
      <c r="S42" s="35"/>
      <c r="T42" s="35"/>
      <c r="U42" s="74" t="e">
        <f>AVERAGE(Tableau1[[#This Row],[1ère composition]:[3è Composition]])</f>
        <v>#DIV/0!</v>
      </c>
    </row>
    <row r="43" spans="1:21" hidden="1" x14ac:dyDescent="0.2">
      <c r="A43" s="1" t="s">
        <v>2694</v>
      </c>
      <c r="B43" s="1" t="s">
        <v>2732</v>
      </c>
      <c r="C43" s="1" t="s">
        <v>3926</v>
      </c>
      <c r="D43" s="1">
        <v>98713501</v>
      </c>
      <c r="E43" s="1">
        <v>2021</v>
      </c>
      <c r="F43" s="1">
        <v>64</v>
      </c>
      <c r="G43" s="1">
        <v>39</v>
      </c>
      <c r="H43" s="1" t="str">
        <f>Tableau1[[#This Row],[Annee d''inscription au programme]]&amp;"-"&amp;Tableau1[[#This Row],[Code d''ecole]]&amp;"-"&amp;Tableau1[[#This Row],[Numero HM de la fille]]</f>
        <v>2021-64-39</v>
      </c>
      <c r="I43" s="1"/>
      <c r="J43" s="1" t="s">
        <v>593</v>
      </c>
      <c r="K43" s="35" t="s">
        <v>298</v>
      </c>
      <c r="L43" s="35">
        <v>11.5</v>
      </c>
      <c r="M43" s="35">
        <v>12</v>
      </c>
      <c r="N43" s="35">
        <f t="shared" si="0"/>
        <v>11.75</v>
      </c>
      <c r="O43" s="35"/>
      <c r="P43" s="35"/>
      <c r="Q43" s="35">
        <f t="shared" si="1"/>
        <v>0</v>
      </c>
      <c r="R43" s="35"/>
      <c r="S43" s="35"/>
      <c r="T43" s="35"/>
      <c r="U43" s="74" t="e">
        <f>AVERAGE(Tableau1[[#This Row],[1ère composition]:[3è Composition]])</f>
        <v>#DIV/0!</v>
      </c>
    </row>
    <row r="44" spans="1:21" hidden="1" x14ac:dyDescent="0.2">
      <c r="A44" s="1" t="s">
        <v>2694</v>
      </c>
      <c r="B44" s="1" t="s">
        <v>2733</v>
      </c>
      <c r="C44" s="1" t="s">
        <v>3927</v>
      </c>
      <c r="D44" s="1">
        <v>98365678</v>
      </c>
      <c r="E44" s="1">
        <v>2021</v>
      </c>
      <c r="F44" s="1">
        <v>64</v>
      </c>
      <c r="G44" s="1">
        <v>40</v>
      </c>
      <c r="H44" s="1" t="str">
        <f>Tableau1[[#This Row],[Annee d''inscription au programme]]&amp;"-"&amp;Tableau1[[#This Row],[Code d''ecole]]&amp;"-"&amp;Tableau1[[#This Row],[Numero HM de la fille]]</f>
        <v>2021-64-40</v>
      </c>
      <c r="I44" s="1"/>
      <c r="J44" s="1" t="s">
        <v>3523</v>
      </c>
      <c r="K44" s="35"/>
      <c r="L44" s="35">
        <v>12</v>
      </c>
      <c r="M44" s="35">
        <v>4</v>
      </c>
      <c r="N44" s="35">
        <f t="shared" si="0"/>
        <v>8</v>
      </c>
      <c r="O44" s="35"/>
      <c r="P44" s="35"/>
      <c r="Q44" s="35">
        <f t="shared" si="1"/>
        <v>0</v>
      </c>
      <c r="R44" s="35"/>
      <c r="S44" s="35"/>
      <c r="T44" s="35"/>
      <c r="U44" s="74" t="e">
        <f>AVERAGE(Tableau1[[#This Row],[1ère composition]:[3è Composition]])</f>
        <v>#DIV/0!</v>
      </c>
    </row>
    <row r="45" spans="1:21" hidden="1" x14ac:dyDescent="0.2">
      <c r="A45" s="1" t="s">
        <v>2694</v>
      </c>
      <c r="B45" s="1" t="s">
        <v>2734</v>
      </c>
      <c r="C45" s="1" t="s">
        <v>3914</v>
      </c>
      <c r="D45" s="1">
        <v>98365672</v>
      </c>
      <c r="E45" s="1">
        <v>2021</v>
      </c>
      <c r="F45" s="1">
        <v>64</v>
      </c>
      <c r="G45" s="1">
        <v>41</v>
      </c>
      <c r="H45" s="1" t="str">
        <f>Tableau1[[#This Row],[Annee d''inscription au programme]]&amp;"-"&amp;Tableau1[[#This Row],[Code d''ecole]]&amp;"-"&amp;Tableau1[[#This Row],[Numero HM de la fille]]</f>
        <v>2021-64-41</v>
      </c>
      <c r="I45" s="1"/>
      <c r="J45" s="1" t="s">
        <v>593</v>
      </c>
      <c r="K45" s="35" t="s">
        <v>298</v>
      </c>
      <c r="L45" s="35">
        <v>0</v>
      </c>
      <c r="M45" s="35">
        <v>0</v>
      </c>
      <c r="N45" s="35">
        <f t="shared" si="0"/>
        <v>0</v>
      </c>
      <c r="O45" s="35"/>
      <c r="P45" s="35"/>
      <c r="Q45" s="35">
        <f t="shared" si="1"/>
        <v>0</v>
      </c>
      <c r="R45" s="35"/>
      <c r="S45" s="35"/>
      <c r="T45" s="35"/>
      <c r="U45" s="74" t="e">
        <f>AVERAGE(Tableau1[[#This Row],[1ère composition]:[3è Composition]])</f>
        <v>#DIV/0!</v>
      </c>
    </row>
    <row r="46" spans="1:21" hidden="1" x14ac:dyDescent="0.2">
      <c r="A46" s="1" t="s">
        <v>2694</v>
      </c>
      <c r="B46" s="1" t="s">
        <v>3928</v>
      </c>
      <c r="C46" s="1" t="s">
        <v>3914</v>
      </c>
      <c r="D46" s="1">
        <v>88969215</v>
      </c>
      <c r="E46" s="1">
        <v>2021</v>
      </c>
      <c r="F46" s="1">
        <v>64</v>
      </c>
      <c r="G46" s="1">
        <v>42</v>
      </c>
      <c r="H46" s="1" t="str">
        <f>Tableau1[[#This Row],[Annee d''inscription au programme]]&amp;"-"&amp;Tableau1[[#This Row],[Code d''ecole]]&amp;"-"&amp;Tableau1[[#This Row],[Numero HM de la fille]]</f>
        <v>2021-64-42</v>
      </c>
      <c r="I46" s="1"/>
      <c r="J46" s="1" t="s">
        <v>374</v>
      </c>
      <c r="K46" s="35" t="s">
        <v>3521</v>
      </c>
      <c r="L46" s="35">
        <v>0</v>
      </c>
      <c r="M46" s="35">
        <v>0</v>
      </c>
      <c r="N46" s="35">
        <f t="shared" si="0"/>
        <v>0</v>
      </c>
      <c r="O46" s="35">
        <v>15.5</v>
      </c>
      <c r="P46" s="35">
        <v>16</v>
      </c>
      <c r="Q46" s="35">
        <f t="shared" si="1"/>
        <v>15.75</v>
      </c>
      <c r="R46" s="35"/>
      <c r="S46" s="35"/>
      <c r="T46" s="35"/>
      <c r="U46" s="74" t="e">
        <f>AVERAGE(Tableau1[[#This Row],[1ère composition]:[3è Composition]])</f>
        <v>#DIV/0!</v>
      </c>
    </row>
    <row r="47" spans="1:21" hidden="1" x14ac:dyDescent="0.2">
      <c r="A47" s="1" t="s">
        <v>2694</v>
      </c>
      <c r="B47" s="1" t="s">
        <v>2735</v>
      </c>
      <c r="C47" s="1" t="s">
        <v>3912</v>
      </c>
      <c r="D47" s="1">
        <v>74626926</v>
      </c>
      <c r="E47" s="1">
        <v>2021</v>
      </c>
      <c r="F47" s="1">
        <v>64</v>
      </c>
      <c r="G47" s="1">
        <v>43</v>
      </c>
      <c r="H47" s="1" t="str">
        <f>Tableau1[[#This Row],[Annee d''inscription au programme]]&amp;"-"&amp;Tableau1[[#This Row],[Code d''ecole]]&amp;"-"&amp;Tableau1[[#This Row],[Numero HM de la fille]]</f>
        <v>2021-64-43</v>
      </c>
      <c r="I47" s="1"/>
      <c r="J47" s="1" t="s">
        <v>374</v>
      </c>
      <c r="K47" s="35" t="s">
        <v>3521</v>
      </c>
      <c r="L47" s="35">
        <v>9</v>
      </c>
      <c r="M47" s="35">
        <v>12</v>
      </c>
      <c r="N47" s="35">
        <f t="shared" si="0"/>
        <v>10.5</v>
      </c>
      <c r="O47" s="35">
        <v>19</v>
      </c>
      <c r="P47" s="35">
        <v>20</v>
      </c>
      <c r="Q47" s="35">
        <f t="shared" si="1"/>
        <v>19.5</v>
      </c>
      <c r="R47" s="35"/>
      <c r="S47" s="35"/>
      <c r="T47" s="35"/>
      <c r="U47" s="74" t="e">
        <f>AVERAGE(Tableau1[[#This Row],[1ère composition]:[3è Composition]])</f>
        <v>#DIV/0!</v>
      </c>
    </row>
    <row r="48" spans="1:21" hidden="1" x14ac:dyDescent="0.2">
      <c r="A48" s="1" t="s">
        <v>2694</v>
      </c>
      <c r="B48" s="1" t="s">
        <v>2736</v>
      </c>
      <c r="C48" s="1" t="s">
        <v>3911</v>
      </c>
      <c r="D48" s="1">
        <v>99605939</v>
      </c>
      <c r="E48" s="1">
        <v>2021</v>
      </c>
      <c r="F48" s="1">
        <v>64</v>
      </c>
      <c r="G48" s="1">
        <v>44</v>
      </c>
      <c r="H48" s="1" t="str">
        <f>Tableau1[[#This Row],[Annee d''inscription au programme]]&amp;"-"&amp;Tableau1[[#This Row],[Code d''ecole]]&amp;"-"&amp;Tableau1[[#This Row],[Numero HM de la fille]]</f>
        <v>2021-64-44</v>
      </c>
      <c r="I48" s="1"/>
      <c r="J48" s="1" t="s">
        <v>374</v>
      </c>
      <c r="K48" s="35" t="s">
        <v>3521</v>
      </c>
      <c r="L48" s="35">
        <v>17</v>
      </c>
      <c r="M48" s="35">
        <v>17</v>
      </c>
      <c r="N48" s="35">
        <f t="shared" si="0"/>
        <v>17</v>
      </c>
      <c r="O48" s="35">
        <v>11.5</v>
      </c>
      <c r="P48" s="35">
        <v>12</v>
      </c>
      <c r="Q48" s="35">
        <f t="shared" si="1"/>
        <v>11.75</v>
      </c>
      <c r="R48" s="35"/>
      <c r="S48" s="35"/>
      <c r="T48" s="35"/>
      <c r="U48" s="74" t="e">
        <f>AVERAGE(Tableau1[[#This Row],[1ère composition]:[3è Composition]])</f>
        <v>#DIV/0!</v>
      </c>
    </row>
    <row r="49" spans="1:21" hidden="1" x14ac:dyDescent="0.2">
      <c r="A49" s="1" t="s">
        <v>2694</v>
      </c>
      <c r="B49" s="1" t="s">
        <v>2737</v>
      </c>
      <c r="C49" s="1" t="s">
        <v>3911</v>
      </c>
      <c r="D49" s="1">
        <v>98475572</v>
      </c>
      <c r="E49" s="1">
        <v>2021</v>
      </c>
      <c r="F49" s="1">
        <v>64</v>
      </c>
      <c r="G49" s="1">
        <v>45</v>
      </c>
      <c r="H49" s="1" t="str">
        <f>Tableau1[[#This Row],[Annee d''inscription au programme]]&amp;"-"&amp;Tableau1[[#This Row],[Code d''ecole]]&amp;"-"&amp;Tableau1[[#This Row],[Numero HM de la fille]]</f>
        <v>2021-64-45</v>
      </c>
      <c r="I49" s="1"/>
      <c r="J49" s="1" t="s">
        <v>374</v>
      </c>
      <c r="K49" s="35" t="s">
        <v>3521</v>
      </c>
      <c r="L49" s="35">
        <v>14</v>
      </c>
      <c r="M49" s="35">
        <v>5</v>
      </c>
      <c r="N49" s="35">
        <f t="shared" si="0"/>
        <v>9.5</v>
      </c>
      <c r="O49" s="35">
        <v>10.5</v>
      </c>
      <c r="P49" s="35">
        <v>6</v>
      </c>
      <c r="Q49" s="35">
        <f t="shared" si="1"/>
        <v>8.25</v>
      </c>
      <c r="R49" s="35"/>
      <c r="S49" s="35"/>
      <c r="T49" s="35"/>
      <c r="U49" s="74" t="e">
        <f>AVERAGE(Tableau1[[#This Row],[1ère composition]:[3è Composition]])</f>
        <v>#DIV/0!</v>
      </c>
    </row>
    <row r="50" spans="1:21" hidden="1" x14ac:dyDescent="0.2">
      <c r="A50" s="1" t="s">
        <v>2694</v>
      </c>
      <c r="B50" s="1" t="s">
        <v>2738</v>
      </c>
      <c r="C50" s="1" t="s">
        <v>3929</v>
      </c>
      <c r="D50" s="1">
        <v>99864480</v>
      </c>
      <c r="E50" s="1">
        <v>2021</v>
      </c>
      <c r="F50" s="1">
        <v>64</v>
      </c>
      <c r="G50" s="1">
        <v>46</v>
      </c>
      <c r="H50" s="1" t="str">
        <f>Tableau1[[#This Row],[Annee d''inscription au programme]]&amp;"-"&amp;Tableau1[[#This Row],[Code d''ecole]]&amp;"-"&amp;Tableau1[[#This Row],[Numero HM de la fille]]</f>
        <v>2021-64-46</v>
      </c>
      <c r="I50" s="1"/>
      <c r="J50" s="1" t="s">
        <v>593</v>
      </c>
      <c r="K50" s="35" t="s">
        <v>298</v>
      </c>
      <c r="L50" s="35">
        <v>11</v>
      </c>
      <c r="M50" s="35">
        <v>5</v>
      </c>
      <c r="N50" s="35">
        <f t="shared" si="0"/>
        <v>8</v>
      </c>
      <c r="O50" s="35">
        <v>15.5</v>
      </c>
      <c r="P50" s="35">
        <v>18</v>
      </c>
      <c r="Q50" s="35">
        <f t="shared" si="1"/>
        <v>16.75</v>
      </c>
      <c r="R50" s="35"/>
      <c r="S50" s="35"/>
      <c r="T50" s="35"/>
      <c r="U50" s="74" t="e">
        <f>AVERAGE(Tableau1[[#This Row],[1ère composition]:[3è Composition]])</f>
        <v>#DIV/0!</v>
      </c>
    </row>
    <row r="51" spans="1:21" hidden="1" x14ac:dyDescent="0.2">
      <c r="A51" s="1" t="s">
        <v>2694</v>
      </c>
      <c r="B51" s="1" t="s">
        <v>2739</v>
      </c>
      <c r="C51" s="1"/>
      <c r="D51" s="1">
        <v>98405823</v>
      </c>
      <c r="E51" s="1">
        <v>2021</v>
      </c>
      <c r="F51" s="1">
        <v>64</v>
      </c>
      <c r="G51" s="1">
        <v>47</v>
      </c>
      <c r="H51" s="1" t="str">
        <f>Tableau1[[#This Row],[Annee d''inscription au programme]]&amp;"-"&amp;Tableau1[[#This Row],[Code d''ecole]]&amp;"-"&amp;Tableau1[[#This Row],[Numero HM de la fille]]</f>
        <v>2021-64-47</v>
      </c>
      <c r="I51" s="1"/>
      <c r="J51" s="1" t="s">
        <v>593</v>
      </c>
      <c r="K51" s="35" t="s">
        <v>298</v>
      </c>
      <c r="L51" s="35">
        <v>11</v>
      </c>
      <c r="M51" s="35">
        <v>11</v>
      </c>
      <c r="N51" s="35">
        <f t="shared" si="0"/>
        <v>11</v>
      </c>
      <c r="O51" s="35"/>
      <c r="P51" s="35"/>
      <c r="Q51" s="35">
        <f t="shared" si="1"/>
        <v>0</v>
      </c>
      <c r="R51" s="35"/>
      <c r="S51" s="35"/>
      <c r="T51" s="35"/>
      <c r="U51" s="74" t="e">
        <f>AVERAGE(Tableau1[[#This Row],[1ère composition]:[3è Composition]])</f>
        <v>#DIV/0!</v>
      </c>
    </row>
    <row r="52" spans="1:21" hidden="1" x14ac:dyDescent="0.2">
      <c r="A52" s="1" t="s">
        <v>2694</v>
      </c>
      <c r="B52" s="1" t="s">
        <v>2740</v>
      </c>
      <c r="C52" s="1"/>
      <c r="D52" s="1">
        <v>96761948</v>
      </c>
      <c r="E52" s="1">
        <v>2021</v>
      </c>
      <c r="F52" s="1">
        <v>64</v>
      </c>
      <c r="G52" s="1">
        <v>48</v>
      </c>
      <c r="H52" s="1" t="str">
        <f>Tableau1[[#This Row],[Annee d''inscription au programme]]&amp;"-"&amp;Tableau1[[#This Row],[Code d''ecole]]&amp;"-"&amp;Tableau1[[#This Row],[Numero HM de la fille]]</f>
        <v>2021-64-48</v>
      </c>
      <c r="I52" s="1"/>
      <c r="J52" s="1" t="s">
        <v>374</v>
      </c>
      <c r="K52" s="35" t="s">
        <v>3521</v>
      </c>
      <c r="L52" s="35">
        <v>13</v>
      </c>
      <c r="M52" s="35">
        <v>4</v>
      </c>
      <c r="N52" s="35">
        <f t="shared" si="0"/>
        <v>8.5</v>
      </c>
      <c r="O52" s="35">
        <v>16</v>
      </c>
      <c r="P52" s="35">
        <v>12.5</v>
      </c>
      <c r="Q52" s="35">
        <f t="shared" si="1"/>
        <v>14.25</v>
      </c>
      <c r="R52" s="35"/>
      <c r="S52" s="35"/>
      <c r="T52" s="35"/>
      <c r="U52" s="74" t="e">
        <f>AVERAGE(Tableau1[[#This Row],[1ère composition]:[3è Composition]])</f>
        <v>#DIV/0!</v>
      </c>
    </row>
    <row r="53" spans="1:21" hidden="1" x14ac:dyDescent="0.2">
      <c r="A53" s="1" t="s">
        <v>2694</v>
      </c>
      <c r="B53" s="1" t="s">
        <v>2741</v>
      </c>
      <c r="C53" s="1"/>
      <c r="D53" s="1">
        <v>85883210</v>
      </c>
      <c r="E53" s="1">
        <v>2021</v>
      </c>
      <c r="F53" s="1">
        <v>64</v>
      </c>
      <c r="G53" s="1">
        <v>49</v>
      </c>
      <c r="H53" s="1" t="str">
        <f>Tableau1[[#This Row],[Annee d''inscription au programme]]&amp;"-"&amp;Tableau1[[#This Row],[Code d''ecole]]&amp;"-"&amp;Tableau1[[#This Row],[Numero HM de la fille]]</f>
        <v>2021-64-49</v>
      </c>
      <c r="I53" s="1"/>
      <c r="J53" s="1" t="s">
        <v>374</v>
      </c>
      <c r="K53" s="35" t="s">
        <v>3521</v>
      </c>
      <c r="L53" s="35">
        <v>12.5</v>
      </c>
      <c r="M53" s="35">
        <v>10</v>
      </c>
      <c r="N53" s="35">
        <f t="shared" si="0"/>
        <v>11.25</v>
      </c>
      <c r="O53" s="35"/>
      <c r="P53" s="35"/>
      <c r="Q53" s="35">
        <f t="shared" si="1"/>
        <v>0</v>
      </c>
      <c r="R53" s="35"/>
      <c r="S53" s="35"/>
      <c r="T53" s="35"/>
      <c r="U53" s="74" t="e">
        <f>AVERAGE(Tableau1[[#This Row],[1ère composition]:[3è Composition]])</f>
        <v>#DIV/0!</v>
      </c>
    </row>
    <row r="54" spans="1:21" hidden="1" x14ac:dyDescent="0.2">
      <c r="A54" s="1" t="s">
        <v>2694</v>
      </c>
      <c r="B54" s="1" t="s">
        <v>2742</v>
      </c>
      <c r="C54" s="1"/>
      <c r="D54" s="1">
        <v>96367966</v>
      </c>
      <c r="E54" s="1">
        <v>2021</v>
      </c>
      <c r="F54" s="1">
        <v>64</v>
      </c>
      <c r="G54" s="1">
        <v>50</v>
      </c>
      <c r="H54" s="1" t="str">
        <f>Tableau1[[#This Row],[Annee d''inscription au programme]]&amp;"-"&amp;Tableau1[[#This Row],[Code d''ecole]]&amp;"-"&amp;Tableau1[[#This Row],[Numero HM de la fille]]</f>
        <v>2021-64-50</v>
      </c>
      <c r="I54" s="1"/>
      <c r="J54" s="1" t="s">
        <v>593</v>
      </c>
      <c r="K54" s="35" t="s">
        <v>298</v>
      </c>
      <c r="L54" s="35">
        <v>0</v>
      </c>
      <c r="M54" s="35">
        <v>0</v>
      </c>
      <c r="N54" s="35">
        <f t="shared" si="0"/>
        <v>0</v>
      </c>
      <c r="O54" s="35">
        <v>5.5</v>
      </c>
      <c r="P54" s="35">
        <v>5</v>
      </c>
      <c r="Q54" s="35">
        <f t="shared" si="1"/>
        <v>5.25</v>
      </c>
      <c r="R54" s="35"/>
      <c r="S54" s="35"/>
      <c r="T54" s="35"/>
      <c r="U54" s="74" t="e">
        <f>AVERAGE(Tableau1[[#This Row],[1ère composition]:[3è Composition]])</f>
        <v>#DIV/0!</v>
      </c>
    </row>
    <row r="55" spans="1:21" hidden="1" x14ac:dyDescent="0.2">
      <c r="A55" s="1" t="s">
        <v>2694</v>
      </c>
      <c r="B55" s="1" t="s">
        <v>2743</v>
      </c>
      <c r="C55" s="1"/>
      <c r="D55" s="1">
        <v>96604126</v>
      </c>
      <c r="E55" s="1">
        <v>2021</v>
      </c>
      <c r="F55" s="1">
        <v>64</v>
      </c>
      <c r="G55" s="1">
        <v>51</v>
      </c>
      <c r="H55" s="1" t="str">
        <f>Tableau1[[#This Row],[Annee d''inscription au programme]]&amp;"-"&amp;Tableau1[[#This Row],[Code d''ecole]]&amp;"-"&amp;Tableau1[[#This Row],[Numero HM de la fille]]</f>
        <v>2021-64-51</v>
      </c>
      <c r="I55" s="1"/>
      <c r="J55" s="1" t="s">
        <v>374</v>
      </c>
      <c r="K55" s="35" t="s">
        <v>3521</v>
      </c>
      <c r="L55" s="35">
        <v>4</v>
      </c>
      <c r="M55" s="35">
        <v>3</v>
      </c>
      <c r="N55" s="35">
        <f t="shared" si="0"/>
        <v>3.5</v>
      </c>
      <c r="O55" s="35">
        <v>12</v>
      </c>
      <c r="P55" s="35">
        <v>5</v>
      </c>
      <c r="Q55" s="35">
        <f t="shared" si="1"/>
        <v>8.5</v>
      </c>
      <c r="R55" s="35"/>
      <c r="S55" s="35"/>
      <c r="T55" s="35"/>
      <c r="U55" s="74" t="e">
        <f>AVERAGE(Tableau1[[#This Row],[1ère composition]:[3è Composition]])</f>
        <v>#DIV/0!</v>
      </c>
    </row>
    <row r="56" spans="1:21" hidden="1" x14ac:dyDescent="0.2">
      <c r="A56" s="1" t="s">
        <v>3111</v>
      </c>
      <c r="B56" s="1" t="s">
        <v>2746</v>
      </c>
      <c r="C56" s="1" t="s">
        <v>3909</v>
      </c>
      <c r="D56" s="1" t="s">
        <v>2782</v>
      </c>
      <c r="E56" s="1">
        <v>2021</v>
      </c>
      <c r="F56" s="1">
        <v>4</v>
      </c>
      <c r="G56" s="1">
        <v>1</v>
      </c>
      <c r="H56" s="1" t="str">
        <f>Tableau1[[#This Row],[Annee d''inscription au programme]]&amp;"-"&amp;Tableau1[[#This Row],[Code d''ecole]]&amp;"-"&amp;Tableau1[[#This Row],[Numero HM de la fille]]</f>
        <v>2021-4-1</v>
      </c>
      <c r="I56" s="1"/>
      <c r="J56" s="1" t="s">
        <v>593</v>
      </c>
      <c r="K56" s="35" t="s">
        <v>298</v>
      </c>
      <c r="L56" s="35">
        <v>11.5</v>
      </c>
      <c r="M56" s="35">
        <v>13</v>
      </c>
      <c r="N56" s="35">
        <f t="shared" si="0"/>
        <v>12.25</v>
      </c>
      <c r="O56" s="35">
        <v>11</v>
      </c>
      <c r="P56" s="35">
        <v>14</v>
      </c>
      <c r="Q56" s="35">
        <f t="shared" si="1"/>
        <v>12.5</v>
      </c>
      <c r="R56" s="35"/>
      <c r="S56" s="35"/>
      <c r="T56" s="35"/>
      <c r="U56" s="74" t="e">
        <f>AVERAGE(Tableau1[[#This Row],[1ère composition]:[3è Composition]])</f>
        <v>#DIV/0!</v>
      </c>
    </row>
    <row r="57" spans="1:21" hidden="1" x14ac:dyDescent="0.2">
      <c r="A57" s="1" t="s">
        <v>3111</v>
      </c>
      <c r="B57" s="1" t="s">
        <v>2747</v>
      </c>
      <c r="C57" s="1" t="s">
        <v>3909</v>
      </c>
      <c r="D57" s="1"/>
      <c r="E57" s="1">
        <v>2021</v>
      </c>
      <c r="F57" s="1">
        <v>4</v>
      </c>
      <c r="G57" s="1">
        <v>2</v>
      </c>
      <c r="H57" s="1" t="str">
        <f>Tableau1[[#This Row],[Annee d''inscription au programme]]&amp;"-"&amp;Tableau1[[#This Row],[Code d''ecole]]&amp;"-"&amp;Tableau1[[#This Row],[Numero HM de la fille]]</f>
        <v>2021-4-2</v>
      </c>
      <c r="I57" s="1"/>
      <c r="J57" s="1" t="s">
        <v>593</v>
      </c>
      <c r="K57" s="35" t="s">
        <v>298</v>
      </c>
      <c r="L57" s="35">
        <v>11</v>
      </c>
      <c r="M57" s="35">
        <v>12</v>
      </c>
      <c r="N57" s="35">
        <f t="shared" si="0"/>
        <v>11.5</v>
      </c>
      <c r="O57" s="35">
        <v>11.5</v>
      </c>
      <c r="P57" s="35">
        <v>9.75</v>
      </c>
      <c r="Q57" s="35">
        <f t="shared" si="1"/>
        <v>10.625</v>
      </c>
      <c r="R57" s="35"/>
      <c r="S57" s="35"/>
      <c r="T57" s="35"/>
      <c r="U57" s="74" t="e">
        <f>AVERAGE(Tableau1[[#This Row],[1ère composition]:[3è Composition]])</f>
        <v>#DIV/0!</v>
      </c>
    </row>
    <row r="58" spans="1:21" hidden="1" x14ac:dyDescent="0.2">
      <c r="A58" s="1" t="s">
        <v>3111</v>
      </c>
      <c r="B58" s="1" t="s">
        <v>2748</v>
      </c>
      <c r="C58" s="1" t="s">
        <v>3910</v>
      </c>
      <c r="D58" s="1"/>
      <c r="E58" s="1">
        <v>2020</v>
      </c>
      <c r="F58" s="1">
        <v>4</v>
      </c>
      <c r="G58" s="1">
        <v>83</v>
      </c>
      <c r="H58" s="1" t="str">
        <f>Tableau1[[#This Row],[Annee d''inscription au programme]]&amp;"-"&amp;Tableau1[[#This Row],[Code d''ecole]]&amp;"-"&amp;Tableau1[[#This Row],[Numero HM de la fille]]</f>
        <v>2020-4-83</v>
      </c>
      <c r="I58" s="1"/>
      <c r="J58" s="1" t="s">
        <v>374</v>
      </c>
      <c r="K58" s="35" t="s">
        <v>3518</v>
      </c>
      <c r="L58" s="35">
        <v>4</v>
      </c>
      <c r="M58" s="35">
        <v>11</v>
      </c>
      <c r="N58" s="35">
        <f t="shared" si="0"/>
        <v>7.5</v>
      </c>
      <c r="O58" s="35">
        <v>6.5</v>
      </c>
      <c r="P58" s="35">
        <v>10.75</v>
      </c>
      <c r="Q58" s="35">
        <f t="shared" si="1"/>
        <v>8.625</v>
      </c>
      <c r="R58" s="35"/>
      <c r="S58" s="35"/>
      <c r="T58" s="35"/>
      <c r="U58" s="74" t="e">
        <f>AVERAGE(Tableau1[[#This Row],[1ère composition]:[3è Composition]])</f>
        <v>#DIV/0!</v>
      </c>
    </row>
    <row r="59" spans="1:21" hidden="1" x14ac:dyDescent="0.2">
      <c r="A59" s="1" t="s">
        <v>3111</v>
      </c>
      <c r="B59" s="1" t="s">
        <v>2749</v>
      </c>
      <c r="C59" s="1" t="s">
        <v>3909</v>
      </c>
      <c r="D59" s="1" t="s">
        <v>2783</v>
      </c>
      <c r="E59" s="1">
        <v>2021</v>
      </c>
      <c r="F59" s="1">
        <v>4</v>
      </c>
      <c r="G59" s="1">
        <v>3</v>
      </c>
      <c r="H59" s="1" t="str">
        <f>Tableau1[[#This Row],[Annee d''inscription au programme]]&amp;"-"&amp;Tableau1[[#This Row],[Code d''ecole]]&amp;"-"&amp;Tableau1[[#This Row],[Numero HM de la fille]]</f>
        <v>2021-4-3</v>
      </c>
      <c r="I59" s="1"/>
      <c r="J59" s="1" t="s">
        <v>593</v>
      </c>
      <c r="K59" s="35" t="s">
        <v>298</v>
      </c>
      <c r="L59" s="35">
        <v>9.5</v>
      </c>
      <c r="M59" s="35">
        <v>10.5</v>
      </c>
      <c r="N59" s="35">
        <f t="shared" si="0"/>
        <v>10</v>
      </c>
      <c r="O59" s="35">
        <v>9.5</v>
      </c>
      <c r="P59" s="35">
        <v>11</v>
      </c>
      <c r="Q59" s="35">
        <f t="shared" si="1"/>
        <v>10.25</v>
      </c>
      <c r="R59" s="35"/>
      <c r="S59" s="35"/>
      <c r="T59" s="35"/>
      <c r="U59" s="74" t="e">
        <f>AVERAGE(Tableau1[[#This Row],[1ère composition]:[3è Composition]])</f>
        <v>#DIV/0!</v>
      </c>
    </row>
    <row r="60" spans="1:21" hidden="1" x14ac:dyDescent="0.2">
      <c r="A60" s="1" t="s">
        <v>3111</v>
      </c>
      <c r="B60" s="1" t="s">
        <v>2750</v>
      </c>
      <c r="C60" s="1" t="s">
        <v>3909</v>
      </c>
      <c r="D60" s="1"/>
      <c r="E60" s="1">
        <v>2021</v>
      </c>
      <c r="F60" s="1">
        <v>4</v>
      </c>
      <c r="G60" s="1">
        <v>4</v>
      </c>
      <c r="H60" s="1" t="str">
        <f>Tableau1[[#This Row],[Annee d''inscription au programme]]&amp;"-"&amp;Tableau1[[#This Row],[Code d''ecole]]&amp;"-"&amp;Tableau1[[#This Row],[Numero HM de la fille]]</f>
        <v>2021-4-4</v>
      </c>
      <c r="I60" s="1"/>
      <c r="J60" s="1" t="s">
        <v>593</v>
      </c>
      <c r="K60" s="35" t="s">
        <v>298</v>
      </c>
      <c r="L60" s="35">
        <v>5</v>
      </c>
      <c r="M60" s="35">
        <v>8.5</v>
      </c>
      <c r="N60" s="35">
        <f t="shared" si="0"/>
        <v>6.75</v>
      </c>
      <c r="O60" s="35"/>
      <c r="P60" s="35"/>
      <c r="Q60" s="35">
        <f t="shared" si="1"/>
        <v>0</v>
      </c>
      <c r="R60" s="35"/>
      <c r="S60" s="35"/>
      <c r="T60" s="35"/>
      <c r="U60" s="74" t="e">
        <f>AVERAGE(Tableau1[[#This Row],[1ère composition]:[3è Composition]])</f>
        <v>#DIV/0!</v>
      </c>
    </row>
    <row r="61" spans="1:21" hidden="1" x14ac:dyDescent="0.2">
      <c r="A61" s="1" t="s">
        <v>3111</v>
      </c>
      <c r="B61" s="1" t="s">
        <v>2751</v>
      </c>
      <c r="C61" s="1" t="s">
        <v>3909</v>
      </c>
      <c r="D61" s="1" t="s">
        <v>2784</v>
      </c>
      <c r="E61" s="1">
        <v>2021</v>
      </c>
      <c r="F61" s="1">
        <v>4</v>
      </c>
      <c r="G61" s="1">
        <v>5</v>
      </c>
      <c r="H61" s="1" t="str">
        <f>Tableau1[[#This Row],[Annee d''inscription au programme]]&amp;"-"&amp;Tableau1[[#This Row],[Code d''ecole]]&amp;"-"&amp;Tableau1[[#This Row],[Numero HM de la fille]]</f>
        <v>2021-4-5</v>
      </c>
      <c r="I61" s="1"/>
      <c r="J61" s="1" t="s">
        <v>593</v>
      </c>
      <c r="K61" s="35" t="s">
        <v>298</v>
      </c>
      <c r="L61" s="35">
        <v>7</v>
      </c>
      <c r="M61" s="35">
        <v>6</v>
      </c>
      <c r="N61" s="35">
        <f t="shared" si="0"/>
        <v>6.5</v>
      </c>
      <c r="O61" s="35">
        <v>10.5</v>
      </c>
      <c r="P61" s="35">
        <v>3</v>
      </c>
      <c r="Q61" s="35">
        <f t="shared" si="1"/>
        <v>6.75</v>
      </c>
      <c r="R61" s="35"/>
      <c r="S61" s="35"/>
      <c r="T61" s="35"/>
      <c r="U61" s="74" t="e">
        <f>AVERAGE(Tableau1[[#This Row],[1ère composition]:[3è Composition]])</f>
        <v>#DIV/0!</v>
      </c>
    </row>
    <row r="62" spans="1:21" hidden="1" x14ac:dyDescent="0.2">
      <c r="A62" s="1" t="s">
        <v>3111</v>
      </c>
      <c r="B62" s="1" t="s">
        <v>2752</v>
      </c>
      <c r="C62" s="1" t="s">
        <v>3909</v>
      </c>
      <c r="D62" s="1" t="s">
        <v>2785</v>
      </c>
      <c r="E62" s="1">
        <v>2021</v>
      </c>
      <c r="F62" s="1">
        <v>4</v>
      </c>
      <c r="G62" s="1">
        <v>6</v>
      </c>
      <c r="H62" s="1" t="str">
        <f>Tableau1[[#This Row],[Annee d''inscription au programme]]&amp;"-"&amp;Tableau1[[#This Row],[Code d''ecole]]&amp;"-"&amp;Tableau1[[#This Row],[Numero HM de la fille]]</f>
        <v>2021-4-6</v>
      </c>
      <c r="I62" s="1"/>
      <c r="J62" s="1" t="s">
        <v>593</v>
      </c>
      <c r="K62" s="35" t="s">
        <v>298</v>
      </c>
      <c r="L62" s="35">
        <v>8.5</v>
      </c>
      <c r="M62" s="35">
        <v>9.5</v>
      </c>
      <c r="N62" s="35">
        <f t="shared" si="0"/>
        <v>9</v>
      </c>
      <c r="O62" s="35">
        <v>9.5</v>
      </c>
      <c r="P62" s="35">
        <v>11</v>
      </c>
      <c r="Q62" s="35">
        <f t="shared" si="1"/>
        <v>10.25</v>
      </c>
      <c r="R62" s="35"/>
      <c r="S62" s="35"/>
      <c r="T62" s="35"/>
      <c r="U62" s="74" t="e">
        <f>AVERAGE(Tableau1[[#This Row],[1ère composition]:[3è Composition]])</f>
        <v>#DIV/0!</v>
      </c>
    </row>
    <row r="63" spans="1:21" hidden="1" x14ac:dyDescent="0.2">
      <c r="A63" s="1" t="s">
        <v>3111</v>
      </c>
      <c r="B63" s="1" t="s">
        <v>224</v>
      </c>
      <c r="C63" s="1" t="s">
        <v>3909</v>
      </c>
      <c r="D63" s="1" t="s">
        <v>2786</v>
      </c>
      <c r="E63" s="1">
        <v>2021</v>
      </c>
      <c r="F63" s="1">
        <v>4</v>
      </c>
      <c r="G63" s="1">
        <v>7</v>
      </c>
      <c r="H63" s="1" t="str">
        <f>Tableau1[[#This Row],[Annee d''inscription au programme]]&amp;"-"&amp;Tableau1[[#This Row],[Code d''ecole]]&amp;"-"&amp;Tableau1[[#This Row],[Numero HM de la fille]]</f>
        <v>2021-4-7</v>
      </c>
      <c r="I63" s="1"/>
      <c r="J63" s="1" t="s">
        <v>593</v>
      </c>
      <c r="K63" s="35" t="s">
        <v>298</v>
      </c>
      <c r="L63" s="35">
        <v>11</v>
      </c>
      <c r="M63" s="35">
        <v>17</v>
      </c>
      <c r="N63" s="35">
        <f t="shared" si="0"/>
        <v>14</v>
      </c>
      <c r="O63" s="35">
        <v>8.5</v>
      </c>
      <c r="P63" s="35">
        <v>12.25</v>
      </c>
      <c r="Q63" s="35">
        <f t="shared" si="1"/>
        <v>10.375</v>
      </c>
      <c r="R63" s="35"/>
      <c r="S63" s="35"/>
      <c r="T63" s="35"/>
      <c r="U63" s="74" t="e">
        <f>AVERAGE(Tableau1[[#This Row],[1ère composition]:[3è Composition]])</f>
        <v>#DIV/0!</v>
      </c>
    </row>
    <row r="64" spans="1:21" hidden="1" x14ac:dyDescent="0.2">
      <c r="A64" s="1" t="s">
        <v>3111</v>
      </c>
      <c r="B64" s="1" t="s">
        <v>2753</v>
      </c>
      <c r="C64" s="1" t="s">
        <v>3909</v>
      </c>
      <c r="D64" s="1" t="s">
        <v>2787</v>
      </c>
      <c r="E64" s="1">
        <v>2021</v>
      </c>
      <c r="F64" s="1">
        <v>4</v>
      </c>
      <c r="G64" s="1">
        <v>8</v>
      </c>
      <c r="H64" s="1" t="str">
        <f>Tableau1[[#This Row],[Annee d''inscription au programme]]&amp;"-"&amp;Tableau1[[#This Row],[Code d''ecole]]&amp;"-"&amp;Tableau1[[#This Row],[Numero HM de la fille]]</f>
        <v>2021-4-8</v>
      </c>
      <c r="I64" s="1"/>
      <c r="J64" s="1" t="s">
        <v>593</v>
      </c>
      <c r="K64" s="35" t="s">
        <v>298</v>
      </c>
      <c r="L64" s="35">
        <v>12</v>
      </c>
      <c r="M64" s="35">
        <v>14</v>
      </c>
      <c r="N64" s="35">
        <f t="shared" si="0"/>
        <v>13</v>
      </c>
      <c r="O64" s="35">
        <v>18.5</v>
      </c>
      <c r="P64" s="35">
        <v>19.75</v>
      </c>
      <c r="Q64" s="35">
        <f t="shared" si="1"/>
        <v>19.125</v>
      </c>
      <c r="R64" s="35"/>
      <c r="S64" s="35"/>
      <c r="T64" s="35"/>
      <c r="U64" s="74" t="e">
        <f>AVERAGE(Tableau1[[#This Row],[1ère composition]:[3è Composition]])</f>
        <v>#DIV/0!</v>
      </c>
    </row>
    <row r="65" spans="1:21" hidden="1" x14ac:dyDescent="0.2">
      <c r="A65" s="1" t="s">
        <v>3111</v>
      </c>
      <c r="B65" s="1" t="s">
        <v>2754</v>
      </c>
      <c r="C65" s="1" t="s">
        <v>3909</v>
      </c>
      <c r="D65" s="1" t="s">
        <v>2788</v>
      </c>
      <c r="E65" s="1">
        <v>2021</v>
      </c>
      <c r="F65" s="1">
        <v>4</v>
      </c>
      <c r="G65" s="1">
        <v>9</v>
      </c>
      <c r="H65" s="1" t="str">
        <f>Tableau1[[#This Row],[Annee d''inscription au programme]]&amp;"-"&amp;Tableau1[[#This Row],[Code d''ecole]]&amp;"-"&amp;Tableau1[[#This Row],[Numero HM de la fille]]</f>
        <v>2021-4-9</v>
      </c>
      <c r="I65" s="1"/>
      <c r="J65" s="1" t="s">
        <v>593</v>
      </c>
      <c r="K65" s="35" t="s">
        <v>298</v>
      </c>
      <c r="L65" s="35">
        <v>6.5</v>
      </c>
      <c r="M65" s="35">
        <v>4</v>
      </c>
      <c r="N65" s="35">
        <f t="shared" si="0"/>
        <v>5.25</v>
      </c>
      <c r="O65" s="35">
        <v>7.5</v>
      </c>
      <c r="P65" s="35">
        <v>2</v>
      </c>
      <c r="Q65" s="35">
        <f t="shared" si="1"/>
        <v>4.75</v>
      </c>
      <c r="R65" s="35"/>
      <c r="S65" s="35"/>
      <c r="T65" s="35"/>
      <c r="U65" s="74" t="e">
        <f>AVERAGE(Tableau1[[#This Row],[1ère composition]:[3è Composition]])</f>
        <v>#DIV/0!</v>
      </c>
    </row>
    <row r="66" spans="1:21" hidden="1" x14ac:dyDescent="0.2">
      <c r="A66" s="1" t="s">
        <v>3111</v>
      </c>
      <c r="B66" s="1" t="s">
        <v>2755</v>
      </c>
      <c r="C66" s="1" t="s">
        <v>3909</v>
      </c>
      <c r="D66" s="1" t="s">
        <v>2789</v>
      </c>
      <c r="E66" s="1">
        <v>2021</v>
      </c>
      <c r="F66" s="1">
        <v>4</v>
      </c>
      <c r="G66" s="1">
        <v>10</v>
      </c>
      <c r="H66" s="1" t="str">
        <f>Tableau1[[#This Row],[Annee d''inscription au programme]]&amp;"-"&amp;Tableau1[[#This Row],[Code d''ecole]]&amp;"-"&amp;Tableau1[[#This Row],[Numero HM de la fille]]</f>
        <v>2021-4-10</v>
      </c>
      <c r="I66" s="1"/>
      <c r="J66" s="1" t="s">
        <v>593</v>
      </c>
      <c r="K66" s="35" t="s">
        <v>298</v>
      </c>
      <c r="L66" s="35">
        <v>9</v>
      </c>
      <c r="M66" s="35">
        <v>13.5</v>
      </c>
      <c r="N66" s="35">
        <f t="shared" si="0"/>
        <v>11.25</v>
      </c>
      <c r="O66" s="35">
        <v>13.5</v>
      </c>
      <c r="P66" s="35">
        <v>15.5</v>
      </c>
      <c r="Q66" s="35">
        <f t="shared" si="1"/>
        <v>14.5</v>
      </c>
      <c r="R66" s="35"/>
      <c r="S66" s="35"/>
      <c r="T66" s="35"/>
      <c r="U66" s="74" t="e">
        <f>AVERAGE(Tableau1[[#This Row],[1ère composition]:[3è Composition]])</f>
        <v>#DIV/0!</v>
      </c>
    </row>
    <row r="67" spans="1:21" hidden="1" x14ac:dyDescent="0.2">
      <c r="A67" s="1" t="s">
        <v>3111</v>
      </c>
      <c r="B67" s="1" t="s">
        <v>2756</v>
      </c>
      <c r="C67" s="1" t="s">
        <v>3910</v>
      </c>
      <c r="D67" s="1" t="s">
        <v>2790</v>
      </c>
      <c r="E67" s="1">
        <v>2021</v>
      </c>
      <c r="F67" s="1">
        <v>4</v>
      </c>
      <c r="G67" s="1">
        <v>11</v>
      </c>
      <c r="H67" s="1" t="str">
        <f>Tableau1[[#This Row],[Annee d''inscription au programme]]&amp;"-"&amp;Tableau1[[#This Row],[Code d''ecole]]&amp;"-"&amp;Tableau1[[#This Row],[Numero HM de la fille]]</f>
        <v>2021-4-11</v>
      </c>
      <c r="I67" s="1"/>
      <c r="J67" s="1" t="s">
        <v>593</v>
      </c>
      <c r="K67" s="35" t="s">
        <v>298</v>
      </c>
      <c r="L67" s="35">
        <v>10.5</v>
      </c>
      <c r="M67" s="35">
        <v>14</v>
      </c>
      <c r="N67" s="35">
        <f t="shared" si="0"/>
        <v>12.25</v>
      </c>
      <c r="O67" s="35">
        <v>13.5</v>
      </c>
      <c r="P67" s="35">
        <v>14</v>
      </c>
      <c r="Q67" s="35">
        <f t="shared" si="1"/>
        <v>13.75</v>
      </c>
      <c r="R67" s="35"/>
      <c r="S67" s="35"/>
      <c r="T67" s="35"/>
      <c r="U67" s="74" t="e">
        <f>AVERAGE(Tableau1[[#This Row],[1ère composition]:[3è Composition]])</f>
        <v>#DIV/0!</v>
      </c>
    </row>
    <row r="68" spans="1:21" hidden="1" x14ac:dyDescent="0.2">
      <c r="A68" s="1" t="s">
        <v>3111</v>
      </c>
      <c r="B68" s="1" t="s">
        <v>2757</v>
      </c>
      <c r="C68" s="1" t="s">
        <v>3909</v>
      </c>
      <c r="D68" s="1" t="s">
        <v>2791</v>
      </c>
      <c r="E68" s="1">
        <v>2021</v>
      </c>
      <c r="F68" s="1">
        <v>4</v>
      </c>
      <c r="G68" s="1">
        <v>12</v>
      </c>
      <c r="H68" s="1" t="str">
        <f>Tableau1[[#This Row],[Annee d''inscription au programme]]&amp;"-"&amp;Tableau1[[#This Row],[Code d''ecole]]&amp;"-"&amp;Tableau1[[#This Row],[Numero HM de la fille]]</f>
        <v>2021-4-12</v>
      </c>
      <c r="I68" s="1"/>
      <c r="J68" s="1" t="s">
        <v>593</v>
      </c>
      <c r="K68" s="35" t="s">
        <v>298</v>
      </c>
      <c r="L68" s="35">
        <v>10.5</v>
      </c>
      <c r="M68" s="35">
        <v>17</v>
      </c>
      <c r="N68" s="35">
        <f t="shared" si="0"/>
        <v>13.75</v>
      </c>
      <c r="O68" s="35">
        <v>17</v>
      </c>
      <c r="P68" s="35">
        <v>19.75</v>
      </c>
      <c r="Q68" s="35">
        <f t="shared" si="1"/>
        <v>18.375</v>
      </c>
      <c r="R68" s="35"/>
      <c r="S68" s="35"/>
      <c r="T68" s="35"/>
      <c r="U68" s="74" t="e">
        <f>AVERAGE(Tableau1[[#This Row],[1ère composition]:[3è Composition]])</f>
        <v>#DIV/0!</v>
      </c>
    </row>
    <row r="69" spans="1:21" hidden="1" x14ac:dyDescent="0.2">
      <c r="A69" s="1" t="s">
        <v>3111</v>
      </c>
      <c r="B69" s="1" t="s">
        <v>2758</v>
      </c>
      <c r="C69" s="1" t="s">
        <v>3909</v>
      </c>
      <c r="D69" s="1" t="s">
        <v>2792</v>
      </c>
      <c r="E69" s="1">
        <v>2021</v>
      </c>
      <c r="F69" s="1">
        <v>4</v>
      </c>
      <c r="G69" s="1">
        <v>13</v>
      </c>
      <c r="H69" s="1" t="str">
        <f>Tableau1[[#This Row],[Annee d''inscription au programme]]&amp;"-"&amp;Tableau1[[#This Row],[Code d''ecole]]&amp;"-"&amp;Tableau1[[#This Row],[Numero HM de la fille]]</f>
        <v>2021-4-13</v>
      </c>
      <c r="I69" s="1"/>
      <c r="J69" s="1" t="s">
        <v>593</v>
      </c>
      <c r="K69" s="35" t="s">
        <v>298</v>
      </c>
      <c r="L69" s="35">
        <v>9</v>
      </c>
      <c r="M69" s="35">
        <v>5</v>
      </c>
      <c r="N69" s="35">
        <f t="shared" ref="N69:N132" si="2" xml:space="preserve"> AVERAGE(L69+M69)/2</f>
        <v>7</v>
      </c>
      <c r="O69" s="35">
        <v>11</v>
      </c>
      <c r="P69" s="35">
        <v>4.25</v>
      </c>
      <c r="Q69" s="35">
        <f t="shared" ref="Q69:Q132" si="3">AVERAGE(O69+P69)/2</f>
        <v>7.625</v>
      </c>
      <c r="R69" s="35"/>
      <c r="S69" s="35"/>
      <c r="T69" s="35"/>
      <c r="U69" s="74" t="e">
        <f>AVERAGE(Tableau1[[#This Row],[1ère composition]:[3è Composition]])</f>
        <v>#DIV/0!</v>
      </c>
    </row>
    <row r="70" spans="1:21" hidden="1" x14ac:dyDescent="0.2">
      <c r="A70" s="1" t="s">
        <v>3111</v>
      </c>
      <c r="B70" s="1" t="s">
        <v>2759</v>
      </c>
      <c r="C70" s="1" t="s">
        <v>3910</v>
      </c>
      <c r="D70" s="1" t="s">
        <v>2793</v>
      </c>
      <c r="E70" s="1">
        <v>2020</v>
      </c>
      <c r="F70" s="1">
        <v>4</v>
      </c>
      <c r="G70" s="1">
        <v>67</v>
      </c>
      <c r="H70" s="1" t="str">
        <f>Tableau1[[#This Row],[Annee d''inscription au programme]]&amp;"-"&amp;Tableau1[[#This Row],[Code d''ecole]]&amp;"-"&amp;Tableau1[[#This Row],[Numero HM de la fille]]</f>
        <v>2020-4-67</v>
      </c>
      <c r="I70" s="1"/>
      <c r="J70" s="1" t="s">
        <v>374</v>
      </c>
      <c r="K70" s="35" t="s">
        <v>3518</v>
      </c>
      <c r="L70" s="35">
        <v>10.5</v>
      </c>
      <c r="M70" s="35">
        <v>9</v>
      </c>
      <c r="N70" s="35">
        <f t="shared" si="2"/>
        <v>9.75</v>
      </c>
      <c r="O70" s="35">
        <v>11.5</v>
      </c>
      <c r="P70" s="35">
        <v>0</v>
      </c>
      <c r="Q70" s="35">
        <f t="shared" si="3"/>
        <v>5.75</v>
      </c>
      <c r="R70" s="35"/>
      <c r="S70" s="35"/>
      <c r="T70" s="35"/>
      <c r="U70" s="74" t="e">
        <f>AVERAGE(Tableau1[[#This Row],[1ère composition]:[3è Composition]])</f>
        <v>#DIV/0!</v>
      </c>
    </row>
    <row r="71" spans="1:21" hidden="1" x14ac:dyDescent="0.2">
      <c r="A71" s="1" t="s">
        <v>3111</v>
      </c>
      <c r="B71" s="1" t="s">
        <v>2760</v>
      </c>
      <c r="C71" s="1" t="s">
        <v>3909</v>
      </c>
      <c r="D71" s="1" t="s">
        <v>2794</v>
      </c>
      <c r="E71" s="1">
        <v>2021</v>
      </c>
      <c r="F71" s="1">
        <v>4</v>
      </c>
      <c r="G71" s="1">
        <v>14</v>
      </c>
      <c r="H71" s="1" t="str">
        <f>Tableau1[[#This Row],[Annee d''inscription au programme]]&amp;"-"&amp;Tableau1[[#This Row],[Code d''ecole]]&amp;"-"&amp;Tableau1[[#This Row],[Numero HM de la fille]]</f>
        <v>2021-4-14</v>
      </c>
      <c r="I71" s="1"/>
      <c r="J71" s="1" t="s">
        <v>593</v>
      </c>
      <c r="K71" s="35" t="s">
        <v>298</v>
      </c>
      <c r="L71" s="35">
        <v>14</v>
      </c>
      <c r="M71" s="35">
        <v>14</v>
      </c>
      <c r="N71" s="35">
        <f t="shared" si="2"/>
        <v>14</v>
      </c>
      <c r="O71" s="35">
        <v>16.5</v>
      </c>
      <c r="P71" s="35">
        <v>19.5</v>
      </c>
      <c r="Q71" s="35">
        <f t="shared" si="3"/>
        <v>18</v>
      </c>
      <c r="R71" s="35"/>
      <c r="S71" s="35"/>
      <c r="T71" s="35"/>
      <c r="U71" s="74" t="e">
        <f>AVERAGE(Tableau1[[#This Row],[1ère composition]:[3è Composition]])</f>
        <v>#DIV/0!</v>
      </c>
    </row>
    <row r="72" spans="1:21" hidden="1" x14ac:dyDescent="0.2">
      <c r="A72" s="1" t="s">
        <v>3111</v>
      </c>
      <c r="B72" s="1" t="s">
        <v>2761</v>
      </c>
      <c r="C72" s="1" t="s">
        <v>3910</v>
      </c>
      <c r="D72" s="1"/>
      <c r="E72" s="1">
        <v>2021</v>
      </c>
      <c r="F72" s="1">
        <v>4</v>
      </c>
      <c r="G72" s="1">
        <v>15</v>
      </c>
      <c r="H72" s="1" t="str">
        <f>Tableau1[[#This Row],[Annee d''inscription au programme]]&amp;"-"&amp;Tableau1[[#This Row],[Code d''ecole]]&amp;"-"&amp;Tableau1[[#This Row],[Numero HM de la fille]]</f>
        <v>2021-4-15</v>
      </c>
      <c r="I72" s="1"/>
      <c r="J72" s="1" t="s">
        <v>593</v>
      </c>
      <c r="K72" s="35" t="s">
        <v>298</v>
      </c>
      <c r="L72" s="35">
        <v>8</v>
      </c>
      <c r="M72" s="35">
        <v>9</v>
      </c>
      <c r="N72" s="35">
        <f t="shared" si="2"/>
        <v>8.5</v>
      </c>
      <c r="O72" s="35">
        <v>12.5</v>
      </c>
      <c r="P72" s="35">
        <v>9</v>
      </c>
      <c r="Q72" s="35">
        <f t="shared" si="3"/>
        <v>10.75</v>
      </c>
      <c r="R72" s="35"/>
      <c r="S72" s="35"/>
      <c r="T72" s="35"/>
      <c r="U72" s="74" t="e">
        <f>AVERAGE(Tableau1[[#This Row],[1ère composition]:[3è Composition]])</f>
        <v>#DIV/0!</v>
      </c>
    </row>
    <row r="73" spans="1:21" hidden="1" x14ac:dyDescent="0.2">
      <c r="A73" s="1" t="s">
        <v>3111</v>
      </c>
      <c r="B73" s="1" t="s">
        <v>2762</v>
      </c>
      <c r="C73" s="1" t="s">
        <v>3909</v>
      </c>
      <c r="D73" s="1" t="s">
        <v>2795</v>
      </c>
      <c r="E73" s="1">
        <v>2021</v>
      </c>
      <c r="F73" s="1">
        <v>4</v>
      </c>
      <c r="G73" s="1">
        <v>16</v>
      </c>
      <c r="H73" s="1" t="str">
        <f>Tableau1[[#This Row],[Annee d''inscription au programme]]&amp;"-"&amp;Tableau1[[#This Row],[Code d''ecole]]&amp;"-"&amp;Tableau1[[#This Row],[Numero HM de la fille]]</f>
        <v>2021-4-16</v>
      </c>
      <c r="I73" s="1"/>
      <c r="J73" s="1" t="s">
        <v>593</v>
      </c>
      <c r="K73" s="35" t="s">
        <v>298</v>
      </c>
      <c r="L73" s="35">
        <v>8.5</v>
      </c>
      <c r="M73" s="35">
        <v>14.5</v>
      </c>
      <c r="N73" s="35">
        <f t="shared" si="2"/>
        <v>11.5</v>
      </c>
      <c r="O73" s="35">
        <v>11.5</v>
      </c>
      <c r="P73" s="35">
        <v>19.75</v>
      </c>
      <c r="Q73" s="35">
        <f t="shared" si="3"/>
        <v>15.625</v>
      </c>
      <c r="R73" s="35"/>
      <c r="S73" s="35"/>
      <c r="T73" s="35"/>
      <c r="U73" s="74" t="e">
        <f>AVERAGE(Tableau1[[#This Row],[1ère composition]:[3è Composition]])</f>
        <v>#DIV/0!</v>
      </c>
    </row>
    <row r="74" spans="1:21" hidden="1" x14ac:dyDescent="0.2">
      <c r="A74" s="1" t="s">
        <v>3111</v>
      </c>
      <c r="B74" s="1" t="s">
        <v>2763</v>
      </c>
      <c r="C74" s="1" t="s">
        <v>3910</v>
      </c>
      <c r="D74" s="1" t="s">
        <v>2796</v>
      </c>
      <c r="E74" s="1">
        <v>2021</v>
      </c>
      <c r="F74" s="1">
        <v>4</v>
      </c>
      <c r="G74" s="1">
        <v>17</v>
      </c>
      <c r="H74" s="1" t="str">
        <f>Tableau1[[#This Row],[Annee d''inscription au programme]]&amp;"-"&amp;Tableau1[[#This Row],[Code d''ecole]]&amp;"-"&amp;Tableau1[[#This Row],[Numero HM de la fille]]</f>
        <v>2021-4-17</v>
      </c>
      <c r="I74" s="1"/>
      <c r="J74" s="1" t="s">
        <v>593</v>
      </c>
      <c r="K74" s="35" t="s">
        <v>298</v>
      </c>
      <c r="L74" s="35">
        <v>12</v>
      </c>
      <c r="M74" s="35">
        <v>16</v>
      </c>
      <c r="N74" s="35">
        <f t="shared" si="2"/>
        <v>14</v>
      </c>
      <c r="O74" s="35">
        <v>12.5</v>
      </c>
      <c r="P74" s="35">
        <v>19.75</v>
      </c>
      <c r="Q74" s="35">
        <f t="shared" si="3"/>
        <v>16.125</v>
      </c>
      <c r="R74" s="35"/>
      <c r="S74" s="35"/>
      <c r="T74" s="35"/>
      <c r="U74" s="74" t="e">
        <f>AVERAGE(Tableau1[[#This Row],[1ère composition]:[3è Composition]])</f>
        <v>#DIV/0!</v>
      </c>
    </row>
    <row r="75" spans="1:21" hidden="1" x14ac:dyDescent="0.2">
      <c r="A75" s="1" t="s">
        <v>3111</v>
      </c>
      <c r="B75" s="1" t="s">
        <v>2764</v>
      </c>
      <c r="C75" s="1" t="s">
        <v>3909</v>
      </c>
      <c r="D75" s="1" t="s">
        <v>2797</v>
      </c>
      <c r="E75" s="1">
        <v>2021</v>
      </c>
      <c r="F75" s="1">
        <v>4</v>
      </c>
      <c r="G75" s="1">
        <v>18</v>
      </c>
      <c r="H75" s="1" t="str">
        <f>Tableau1[[#This Row],[Annee d''inscription au programme]]&amp;"-"&amp;Tableau1[[#This Row],[Code d''ecole]]&amp;"-"&amp;Tableau1[[#This Row],[Numero HM de la fille]]</f>
        <v>2021-4-18</v>
      </c>
      <c r="I75" s="1"/>
      <c r="J75" s="1" t="s">
        <v>593</v>
      </c>
      <c r="K75" s="35" t="s">
        <v>298</v>
      </c>
      <c r="L75" s="35">
        <v>11</v>
      </c>
      <c r="M75" s="35">
        <v>11</v>
      </c>
      <c r="N75" s="35">
        <f t="shared" si="2"/>
        <v>11</v>
      </c>
      <c r="O75" s="35">
        <v>17</v>
      </c>
      <c r="P75" s="35">
        <v>9.5</v>
      </c>
      <c r="Q75" s="35">
        <f t="shared" si="3"/>
        <v>13.25</v>
      </c>
      <c r="R75" s="35"/>
      <c r="S75" s="35"/>
      <c r="T75" s="35"/>
      <c r="U75" s="74" t="e">
        <f>AVERAGE(Tableau1[[#This Row],[1ère composition]:[3è Composition]])</f>
        <v>#DIV/0!</v>
      </c>
    </row>
    <row r="76" spans="1:21" hidden="1" x14ac:dyDescent="0.2">
      <c r="A76" s="1" t="s">
        <v>3111</v>
      </c>
      <c r="B76" s="1" t="s">
        <v>2765</v>
      </c>
      <c r="C76" s="1" t="s">
        <v>3910</v>
      </c>
      <c r="D76" s="1" t="s">
        <v>2798</v>
      </c>
      <c r="E76" s="1">
        <v>2020</v>
      </c>
      <c r="F76" s="1">
        <v>4</v>
      </c>
      <c r="G76" s="1">
        <v>62</v>
      </c>
      <c r="H76" s="1" t="str">
        <f>Tableau1[[#This Row],[Annee d''inscription au programme]]&amp;"-"&amp;Tableau1[[#This Row],[Code d''ecole]]&amp;"-"&amp;Tableau1[[#This Row],[Numero HM de la fille]]</f>
        <v>2020-4-62</v>
      </c>
      <c r="I76" s="1"/>
      <c r="J76" s="1" t="s">
        <v>374</v>
      </c>
      <c r="K76" s="35" t="s">
        <v>3518</v>
      </c>
      <c r="L76" s="35">
        <v>10</v>
      </c>
      <c r="M76" s="35">
        <v>11</v>
      </c>
      <c r="N76" s="35">
        <f t="shared" si="2"/>
        <v>10.5</v>
      </c>
      <c r="O76" s="35">
        <v>13.5</v>
      </c>
      <c r="P76" s="35">
        <v>9</v>
      </c>
      <c r="Q76" s="35">
        <f t="shared" si="3"/>
        <v>11.25</v>
      </c>
      <c r="R76" s="35"/>
      <c r="S76" s="35"/>
      <c r="T76" s="35"/>
      <c r="U76" s="74" t="e">
        <f>AVERAGE(Tableau1[[#This Row],[1ère composition]:[3è Composition]])</f>
        <v>#DIV/0!</v>
      </c>
    </row>
    <row r="77" spans="1:21" hidden="1" x14ac:dyDescent="0.2">
      <c r="A77" s="1" t="s">
        <v>3111</v>
      </c>
      <c r="B77" s="1" t="s">
        <v>2766</v>
      </c>
      <c r="C77" s="1" t="s">
        <v>3909</v>
      </c>
      <c r="D77" s="1"/>
      <c r="E77" s="1">
        <v>2021</v>
      </c>
      <c r="F77" s="1">
        <v>4</v>
      </c>
      <c r="G77" s="1">
        <v>19</v>
      </c>
      <c r="H77" s="1" t="str">
        <f>Tableau1[[#This Row],[Annee d''inscription au programme]]&amp;"-"&amp;Tableau1[[#This Row],[Code d''ecole]]&amp;"-"&amp;Tableau1[[#This Row],[Numero HM de la fille]]</f>
        <v>2021-4-19</v>
      </c>
      <c r="I77" s="1"/>
      <c r="J77" s="1" t="s">
        <v>593</v>
      </c>
      <c r="K77" s="35" t="s">
        <v>298</v>
      </c>
      <c r="L77" s="35">
        <v>12.5</v>
      </c>
      <c r="M77" s="35">
        <v>15.5</v>
      </c>
      <c r="N77" s="35">
        <f t="shared" si="2"/>
        <v>14</v>
      </c>
      <c r="O77" s="35">
        <v>15</v>
      </c>
      <c r="P77" s="35">
        <v>16</v>
      </c>
      <c r="Q77" s="35">
        <f t="shared" si="3"/>
        <v>15.5</v>
      </c>
      <c r="R77" s="35"/>
      <c r="S77" s="35"/>
      <c r="T77" s="35"/>
      <c r="U77" s="74" t="e">
        <f>AVERAGE(Tableau1[[#This Row],[1ère composition]:[3è Composition]])</f>
        <v>#DIV/0!</v>
      </c>
    </row>
    <row r="78" spans="1:21" hidden="1" x14ac:dyDescent="0.2">
      <c r="A78" s="1" t="s">
        <v>3111</v>
      </c>
      <c r="B78" s="1" t="s">
        <v>2767</v>
      </c>
      <c r="C78" s="1" t="s">
        <v>3909</v>
      </c>
      <c r="D78" s="1" t="s">
        <v>2799</v>
      </c>
      <c r="E78" s="1">
        <v>2021</v>
      </c>
      <c r="F78" s="1">
        <v>4</v>
      </c>
      <c r="G78" s="1">
        <v>20</v>
      </c>
      <c r="H78" s="1" t="str">
        <f>Tableau1[[#This Row],[Annee d''inscription au programme]]&amp;"-"&amp;Tableau1[[#This Row],[Code d''ecole]]&amp;"-"&amp;Tableau1[[#This Row],[Numero HM de la fille]]</f>
        <v>2021-4-20</v>
      </c>
      <c r="I78" s="1"/>
      <c r="J78" s="1" t="s">
        <v>593</v>
      </c>
      <c r="K78" s="35" t="s">
        <v>298</v>
      </c>
      <c r="L78" s="35">
        <v>12.5</v>
      </c>
      <c r="M78" s="35">
        <v>13</v>
      </c>
      <c r="N78" s="35">
        <f t="shared" si="2"/>
        <v>12.75</v>
      </c>
      <c r="O78" s="35">
        <v>17</v>
      </c>
      <c r="P78" s="35">
        <v>11.5</v>
      </c>
      <c r="Q78" s="35">
        <f t="shared" si="3"/>
        <v>14.25</v>
      </c>
      <c r="R78" s="35"/>
      <c r="S78" s="35"/>
      <c r="T78" s="35"/>
      <c r="U78" s="74" t="e">
        <f>AVERAGE(Tableau1[[#This Row],[1ère composition]:[3è Composition]])</f>
        <v>#DIV/0!</v>
      </c>
    </row>
    <row r="79" spans="1:21" hidden="1" x14ac:dyDescent="0.2">
      <c r="A79" s="1" t="s">
        <v>3111</v>
      </c>
      <c r="B79" s="1" t="s">
        <v>2768</v>
      </c>
      <c r="C79" s="1" t="s">
        <v>3909</v>
      </c>
      <c r="D79" s="1" t="s">
        <v>2800</v>
      </c>
      <c r="E79" s="1">
        <v>2021</v>
      </c>
      <c r="F79" s="1">
        <v>4</v>
      </c>
      <c r="G79" s="1">
        <v>21</v>
      </c>
      <c r="H79" s="1" t="str">
        <f>Tableau1[[#This Row],[Annee d''inscription au programme]]&amp;"-"&amp;Tableau1[[#This Row],[Code d''ecole]]&amp;"-"&amp;Tableau1[[#This Row],[Numero HM de la fille]]</f>
        <v>2021-4-21</v>
      </c>
      <c r="I79" s="1"/>
      <c r="J79" s="1" t="s">
        <v>593</v>
      </c>
      <c r="K79" s="35" t="s">
        <v>298</v>
      </c>
      <c r="L79" s="35">
        <v>10.5</v>
      </c>
      <c r="M79" s="35">
        <v>10.5</v>
      </c>
      <c r="N79" s="35">
        <f t="shared" si="2"/>
        <v>10.5</v>
      </c>
      <c r="O79" s="35">
        <v>14.5</v>
      </c>
      <c r="P79" s="35">
        <v>16</v>
      </c>
      <c r="Q79" s="35">
        <f t="shared" si="3"/>
        <v>15.25</v>
      </c>
      <c r="R79" s="35"/>
      <c r="S79" s="35"/>
      <c r="T79" s="35"/>
      <c r="U79" s="74" t="e">
        <f>AVERAGE(Tableau1[[#This Row],[1ère composition]:[3è Composition]])</f>
        <v>#DIV/0!</v>
      </c>
    </row>
    <row r="80" spans="1:21" hidden="1" x14ac:dyDescent="0.2">
      <c r="A80" s="1" t="s">
        <v>3111</v>
      </c>
      <c r="B80" s="1" t="s">
        <v>2769</v>
      </c>
      <c r="C80" s="1" t="s">
        <v>3909</v>
      </c>
      <c r="D80" s="1" t="s">
        <v>2801</v>
      </c>
      <c r="E80" s="1">
        <v>2021</v>
      </c>
      <c r="F80" s="1">
        <v>4</v>
      </c>
      <c r="G80" s="1">
        <v>22</v>
      </c>
      <c r="H80" s="1" t="str">
        <f>Tableau1[[#This Row],[Annee d''inscription au programme]]&amp;"-"&amp;Tableau1[[#This Row],[Code d''ecole]]&amp;"-"&amp;Tableau1[[#This Row],[Numero HM de la fille]]</f>
        <v>2021-4-22</v>
      </c>
      <c r="I80" s="1"/>
      <c r="J80" s="1" t="s">
        <v>593</v>
      </c>
      <c r="K80" s="35" t="s">
        <v>298</v>
      </c>
      <c r="L80" s="35">
        <v>13.5</v>
      </c>
      <c r="M80" s="35">
        <v>17</v>
      </c>
      <c r="N80" s="35">
        <f t="shared" si="2"/>
        <v>15.25</v>
      </c>
      <c r="O80" s="35">
        <v>17</v>
      </c>
      <c r="P80" s="35">
        <v>19.5</v>
      </c>
      <c r="Q80" s="35">
        <f t="shared" si="3"/>
        <v>18.25</v>
      </c>
      <c r="R80" s="35"/>
      <c r="S80" s="35"/>
      <c r="T80" s="35"/>
      <c r="U80" s="74" t="e">
        <f>AVERAGE(Tableau1[[#This Row],[1ère composition]:[3è Composition]])</f>
        <v>#DIV/0!</v>
      </c>
    </row>
    <row r="81" spans="1:21" hidden="1" x14ac:dyDescent="0.2">
      <c r="A81" s="1" t="s">
        <v>3111</v>
      </c>
      <c r="B81" s="1" t="s">
        <v>2770</v>
      </c>
      <c r="C81" s="1" t="s">
        <v>3909</v>
      </c>
      <c r="D81" s="1" t="s">
        <v>2802</v>
      </c>
      <c r="E81" s="1">
        <v>2021</v>
      </c>
      <c r="F81" s="1">
        <v>4</v>
      </c>
      <c r="G81" s="1">
        <v>23</v>
      </c>
      <c r="H81" s="1" t="str">
        <f>Tableau1[[#This Row],[Annee d''inscription au programme]]&amp;"-"&amp;Tableau1[[#This Row],[Code d''ecole]]&amp;"-"&amp;Tableau1[[#This Row],[Numero HM de la fille]]</f>
        <v>2021-4-23</v>
      </c>
      <c r="I81" s="1"/>
      <c r="J81" s="1" t="s">
        <v>593</v>
      </c>
      <c r="K81" s="35" t="s">
        <v>298</v>
      </c>
      <c r="L81" s="35">
        <v>13.5</v>
      </c>
      <c r="M81" s="35">
        <v>13</v>
      </c>
      <c r="N81" s="35">
        <f t="shared" si="2"/>
        <v>13.25</v>
      </c>
      <c r="O81" s="2">
        <v>16.5</v>
      </c>
      <c r="P81" s="2">
        <v>18.25</v>
      </c>
      <c r="Q81" s="35">
        <f t="shared" si="3"/>
        <v>17.375</v>
      </c>
      <c r="R81" s="35"/>
      <c r="S81" s="35"/>
      <c r="T81" s="35"/>
      <c r="U81" s="74" t="e">
        <f>AVERAGE(Tableau1[[#This Row],[1ère composition]:[3è Composition]])</f>
        <v>#DIV/0!</v>
      </c>
    </row>
    <row r="82" spans="1:21" hidden="1" x14ac:dyDescent="0.2">
      <c r="A82" s="1" t="s">
        <v>3111</v>
      </c>
      <c r="B82" s="1" t="s">
        <v>2771</v>
      </c>
      <c r="C82" s="1" t="s">
        <v>3909</v>
      </c>
      <c r="D82" s="1" t="s">
        <v>2803</v>
      </c>
      <c r="E82" s="1">
        <v>2021</v>
      </c>
      <c r="F82" s="1">
        <v>4</v>
      </c>
      <c r="G82" s="1">
        <v>24</v>
      </c>
      <c r="H82" s="1" t="str">
        <f>Tableau1[[#This Row],[Annee d''inscription au programme]]&amp;"-"&amp;Tableau1[[#This Row],[Code d''ecole]]&amp;"-"&amp;Tableau1[[#This Row],[Numero HM de la fille]]</f>
        <v>2021-4-24</v>
      </c>
      <c r="I82" s="1"/>
      <c r="J82" s="1" t="s">
        <v>593</v>
      </c>
      <c r="K82" s="35" t="s">
        <v>298</v>
      </c>
      <c r="L82" s="35">
        <v>13.5</v>
      </c>
      <c r="M82" s="35">
        <v>15</v>
      </c>
      <c r="N82" s="35">
        <f t="shared" si="2"/>
        <v>14.25</v>
      </c>
      <c r="O82" s="35">
        <v>10.5</v>
      </c>
      <c r="P82" s="35">
        <v>12.5</v>
      </c>
      <c r="Q82" s="35">
        <f t="shared" si="3"/>
        <v>11.5</v>
      </c>
      <c r="R82" s="35"/>
      <c r="S82" s="35"/>
      <c r="T82" s="35"/>
      <c r="U82" s="74" t="e">
        <f>AVERAGE(Tableau1[[#This Row],[1ère composition]:[3è Composition]])</f>
        <v>#DIV/0!</v>
      </c>
    </row>
    <row r="83" spans="1:21" hidden="1" x14ac:dyDescent="0.2">
      <c r="A83" s="1" t="s">
        <v>3111</v>
      </c>
      <c r="B83" s="1" t="s">
        <v>2772</v>
      </c>
      <c r="C83" s="1" t="s">
        <v>3909</v>
      </c>
      <c r="D83" s="1" t="s">
        <v>2804</v>
      </c>
      <c r="E83" s="1">
        <v>2021</v>
      </c>
      <c r="F83" s="1">
        <v>4</v>
      </c>
      <c r="G83" s="1">
        <v>25</v>
      </c>
      <c r="H83" s="1" t="str">
        <f>Tableau1[[#This Row],[Annee d''inscription au programme]]&amp;"-"&amp;Tableau1[[#This Row],[Code d''ecole]]&amp;"-"&amp;Tableau1[[#This Row],[Numero HM de la fille]]</f>
        <v>2021-4-25</v>
      </c>
      <c r="I83" s="1"/>
      <c r="J83" s="1" t="s">
        <v>593</v>
      </c>
      <c r="K83" s="35" t="s">
        <v>298</v>
      </c>
      <c r="L83" s="35">
        <v>14.5</v>
      </c>
      <c r="M83" s="35">
        <v>13.5</v>
      </c>
      <c r="N83" s="35">
        <f t="shared" si="2"/>
        <v>14</v>
      </c>
      <c r="O83" s="35">
        <v>17</v>
      </c>
      <c r="P83" s="35">
        <v>19.75</v>
      </c>
      <c r="Q83" s="35">
        <f t="shared" si="3"/>
        <v>18.375</v>
      </c>
      <c r="R83" s="35"/>
      <c r="S83" s="35"/>
      <c r="T83" s="35"/>
      <c r="U83" s="74" t="e">
        <f>AVERAGE(Tableau1[[#This Row],[1ère composition]:[3è Composition]])</f>
        <v>#DIV/0!</v>
      </c>
    </row>
    <row r="84" spans="1:21" hidden="1" x14ac:dyDescent="0.2">
      <c r="A84" s="1" t="s">
        <v>3111</v>
      </c>
      <c r="B84" s="1" t="s">
        <v>2773</v>
      </c>
      <c r="C84" s="1" t="s">
        <v>3909</v>
      </c>
      <c r="D84" s="1" t="s">
        <v>2805</v>
      </c>
      <c r="E84" s="1">
        <v>2021</v>
      </c>
      <c r="F84" s="1">
        <v>4</v>
      </c>
      <c r="G84" s="1">
        <v>26</v>
      </c>
      <c r="H84" s="1" t="str">
        <f>Tableau1[[#This Row],[Annee d''inscription au programme]]&amp;"-"&amp;Tableau1[[#This Row],[Code d''ecole]]&amp;"-"&amp;Tableau1[[#This Row],[Numero HM de la fille]]</f>
        <v>2021-4-26</v>
      </c>
      <c r="I84" s="1"/>
      <c r="J84" s="1" t="s">
        <v>593</v>
      </c>
      <c r="K84" s="35" t="s">
        <v>298</v>
      </c>
      <c r="L84" s="35">
        <v>14.5</v>
      </c>
      <c r="M84" s="35">
        <v>14</v>
      </c>
      <c r="N84" s="35">
        <f t="shared" si="2"/>
        <v>14.25</v>
      </c>
      <c r="O84" s="35">
        <v>13</v>
      </c>
      <c r="P84" s="35">
        <v>18</v>
      </c>
      <c r="Q84" s="35">
        <f t="shared" si="3"/>
        <v>15.5</v>
      </c>
      <c r="R84" s="35"/>
      <c r="S84" s="35"/>
      <c r="T84" s="35"/>
      <c r="U84" s="74" t="e">
        <f>AVERAGE(Tableau1[[#This Row],[1ère composition]:[3è Composition]])</f>
        <v>#DIV/0!</v>
      </c>
    </row>
    <row r="85" spans="1:21" hidden="1" x14ac:dyDescent="0.2">
      <c r="A85" s="1" t="s">
        <v>3111</v>
      </c>
      <c r="B85" s="1" t="s">
        <v>2774</v>
      </c>
      <c r="C85" s="1" t="s">
        <v>3909</v>
      </c>
      <c r="D85" s="1"/>
      <c r="E85" s="1">
        <v>2021</v>
      </c>
      <c r="F85" s="1">
        <v>4</v>
      </c>
      <c r="G85" s="1">
        <v>27</v>
      </c>
      <c r="H85" s="1" t="str">
        <f>Tableau1[[#This Row],[Annee d''inscription au programme]]&amp;"-"&amp;Tableau1[[#This Row],[Code d''ecole]]&amp;"-"&amp;Tableau1[[#This Row],[Numero HM de la fille]]</f>
        <v>2021-4-27</v>
      </c>
      <c r="I85" s="1"/>
      <c r="J85" s="1" t="s">
        <v>593</v>
      </c>
      <c r="K85" s="35" t="s">
        <v>298</v>
      </c>
      <c r="L85" s="35">
        <v>10.5</v>
      </c>
      <c r="M85" s="35">
        <v>8.5</v>
      </c>
      <c r="N85" s="35">
        <f t="shared" si="2"/>
        <v>9.5</v>
      </c>
      <c r="O85" s="35">
        <v>10.5</v>
      </c>
      <c r="P85" s="35">
        <v>5.5</v>
      </c>
      <c r="Q85" s="35">
        <f t="shared" si="3"/>
        <v>8</v>
      </c>
      <c r="R85" s="35"/>
      <c r="S85" s="35"/>
      <c r="T85" s="35"/>
      <c r="U85" s="74" t="e">
        <f>AVERAGE(Tableau1[[#This Row],[1ère composition]:[3è Composition]])</f>
        <v>#DIV/0!</v>
      </c>
    </row>
    <row r="86" spans="1:21" hidden="1" x14ac:dyDescent="0.2">
      <c r="A86" s="1" t="s">
        <v>3111</v>
      </c>
      <c r="B86" s="1" t="s">
        <v>2775</v>
      </c>
      <c r="C86" s="1" t="s">
        <v>3909</v>
      </c>
      <c r="D86" s="1" t="s">
        <v>2806</v>
      </c>
      <c r="E86" s="1">
        <v>2021</v>
      </c>
      <c r="F86" s="1">
        <v>4</v>
      </c>
      <c r="G86" s="1">
        <v>28</v>
      </c>
      <c r="H86" s="1" t="str">
        <f>Tableau1[[#This Row],[Annee d''inscription au programme]]&amp;"-"&amp;Tableau1[[#This Row],[Code d''ecole]]&amp;"-"&amp;Tableau1[[#This Row],[Numero HM de la fille]]</f>
        <v>2021-4-28</v>
      </c>
      <c r="I86" s="1"/>
      <c r="J86" s="1" t="s">
        <v>593</v>
      </c>
      <c r="K86" s="35" t="s">
        <v>298</v>
      </c>
      <c r="L86" s="35">
        <v>11</v>
      </c>
      <c r="M86" s="35">
        <v>12</v>
      </c>
      <c r="N86" s="35">
        <f t="shared" si="2"/>
        <v>11.5</v>
      </c>
      <c r="O86" s="35">
        <v>13</v>
      </c>
      <c r="P86" s="35">
        <v>18</v>
      </c>
      <c r="Q86" s="35">
        <f t="shared" si="3"/>
        <v>15.5</v>
      </c>
      <c r="R86" s="35"/>
      <c r="S86" s="35"/>
      <c r="T86" s="35"/>
      <c r="U86" s="74" t="e">
        <f>AVERAGE(Tableau1[[#This Row],[1ère composition]:[3è Composition]])</f>
        <v>#DIV/0!</v>
      </c>
    </row>
    <row r="87" spans="1:21" hidden="1" x14ac:dyDescent="0.2">
      <c r="A87" s="1" t="s">
        <v>3111</v>
      </c>
      <c r="B87" s="1" t="s">
        <v>2776</v>
      </c>
      <c r="C87" s="1" t="s">
        <v>3909</v>
      </c>
      <c r="D87" s="1" t="s">
        <v>2807</v>
      </c>
      <c r="E87" s="1">
        <v>2021</v>
      </c>
      <c r="F87" s="1">
        <v>4</v>
      </c>
      <c r="G87" s="1">
        <v>29</v>
      </c>
      <c r="H87" s="1" t="str">
        <f>Tableau1[[#This Row],[Annee d''inscription au programme]]&amp;"-"&amp;Tableau1[[#This Row],[Code d''ecole]]&amp;"-"&amp;Tableau1[[#This Row],[Numero HM de la fille]]</f>
        <v>2021-4-29</v>
      </c>
      <c r="I87" s="1"/>
      <c r="J87" s="1" t="s">
        <v>593</v>
      </c>
      <c r="K87" s="35" t="s">
        <v>298</v>
      </c>
      <c r="L87" s="35">
        <v>7.5</v>
      </c>
      <c r="M87" s="35">
        <v>9</v>
      </c>
      <c r="N87" s="35">
        <f t="shared" si="2"/>
        <v>8.25</v>
      </c>
      <c r="O87" s="35">
        <v>9.5</v>
      </c>
      <c r="P87" s="35">
        <v>7.75</v>
      </c>
      <c r="Q87" s="35">
        <f t="shared" si="3"/>
        <v>8.625</v>
      </c>
      <c r="R87" s="35"/>
      <c r="S87" s="35"/>
      <c r="T87" s="35"/>
      <c r="U87" s="74" t="e">
        <f>AVERAGE(Tableau1[[#This Row],[1ère composition]:[3è Composition]])</f>
        <v>#DIV/0!</v>
      </c>
    </row>
    <row r="88" spans="1:21" hidden="1" x14ac:dyDescent="0.2">
      <c r="A88" s="1" t="s">
        <v>3111</v>
      </c>
      <c r="B88" s="1" t="s">
        <v>2777</v>
      </c>
      <c r="C88" s="1"/>
      <c r="D88" s="1"/>
      <c r="E88" s="1">
        <v>2021</v>
      </c>
      <c r="F88" s="1">
        <v>4</v>
      </c>
      <c r="G88" s="1">
        <v>30</v>
      </c>
      <c r="H88" s="1" t="str">
        <f>Tableau1[[#This Row],[Annee d''inscription au programme]]&amp;"-"&amp;Tableau1[[#This Row],[Code d''ecole]]&amp;"-"&amp;Tableau1[[#This Row],[Numero HM de la fille]]</f>
        <v>2021-4-30</v>
      </c>
      <c r="I88" s="1"/>
      <c r="J88" s="1" t="s">
        <v>593</v>
      </c>
      <c r="K88" s="35" t="s">
        <v>298</v>
      </c>
      <c r="L88" s="35">
        <v>11</v>
      </c>
      <c r="M88" s="35">
        <v>9.5</v>
      </c>
      <c r="N88" s="35">
        <f t="shared" si="2"/>
        <v>10.25</v>
      </c>
      <c r="O88" s="35">
        <v>16</v>
      </c>
      <c r="P88" s="35">
        <v>8.5</v>
      </c>
      <c r="Q88" s="35">
        <f t="shared" si="3"/>
        <v>12.25</v>
      </c>
      <c r="R88" s="35"/>
      <c r="S88" s="35"/>
      <c r="T88" s="35"/>
      <c r="U88" s="74" t="e">
        <f>AVERAGE(Tableau1[[#This Row],[1ère composition]:[3è Composition]])</f>
        <v>#DIV/0!</v>
      </c>
    </row>
    <row r="89" spans="1:21" hidden="1" x14ac:dyDescent="0.2">
      <c r="A89" s="1" t="s">
        <v>3111</v>
      </c>
      <c r="B89" s="1" t="s">
        <v>2778</v>
      </c>
      <c r="C89" s="1"/>
      <c r="D89" s="1" t="s">
        <v>2808</v>
      </c>
      <c r="E89" s="1">
        <v>2021</v>
      </c>
      <c r="F89" s="1">
        <v>4</v>
      </c>
      <c r="G89" s="1">
        <v>31</v>
      </c>
      <c r="H89" s="1" t="str">
        <f>Tableau1[[#This Row],[Annee d''inscription au programme]]&amp;"-"&amp;Tableau1[[#This Row],[Code d''ecole]]&amp;"-"&amp;Tableau1[[#This Row],[Numero HM de la fille]]</f>
        <v>2021-4-31</v>
      </c>
      <c r="I89" s="1"/>
      <c r="J89" s="1" t="s">
        <v>593</v>
      </c>
      <c r="K89" s="35" t="s">
        <v>298</v>
      </c>
      <c r="L89" s="35">
        <v>10</v>
      </c>
      <c r="M89" s="35">
        <v>8</v>
      </c>
      <c r="N89" s="35">
        <f t="shared" si="2"/>
        <v>9</v>
      </c>
      <c r="O89" s="35">
        <v>14</v>
      </c>
      <c r="P89" s="35">
        <v>6.75</v>
      </c>
      <c r="Q89" s="35">
        <f t="shared" si="3"/>
        <v>10.375</v>
      </c>
      <c r="R89" s="35"/>
      <c r="S89" s="35"/>
      <c r="T89" s="35"/>
      <c r="U89" s="74" t="e">
        <f>AVERAGE(Tableau1[[#This Row],[1ère composition]:[3è Composition]])</f>
        <v>#DIV/0!</v>
      </c>
    </row>
    <row r="90" spans="1:21" hidden="1" x14ac:dyDescent="0.2">
      <c r="A90" s="1" t="s">
        <v>3111</v>
      </c>
      <c r="B90" s="1" t="s">
        <v>2779</v>
      </c>
      <c r="C90" s="1" t="s">
        <v>3909</v>
      </c>
      <c r="D90" s="1" t="s">
        <v>2809</v>
      </c>
      <c r="E90" s="1">
        <v>2021</v>
      </c>
      <c r="F90" s="1">
        <v>4</v>
      </c>
      <c r="G90" s="1">
        <v>32</v>
      </c>
      <c r="H90" s="1" t="str">
        <f>Tableau1[[#This Row],[Annee d''inscription au programme]]&amp;"-"&amp;Tableau1[[#This Row],[Code d''ecole]]&amp;"-"&amp;Tableau1[[#This Row],[Numero HM de la fille]]</f>
        <v>2021-4-32</v>
      </c>
      <c r="I90" s="1"/>
      <c r="J90" s="1" t="s">
        <v>593</v>
      </c>
      <c r="K90" s="35" t="s">
        <v>298</v>
      </c>
      <c r="L90" s="35">
        <v>14</v>
      </c>
      <c r="M90" s="35">
        <v>13</v>
      </c>
      <c r="N90" s="35">
        <f t="shared" si="2"/>
        <v>13.5</v>
      </c>
      <c r="O90" s="35">
        <v>15</v>
      </c>
      <c r="P90" s="35">
        <v>19</v>
      </c>
      <c r="Q90" s="35">
        <f t="shared" si="3"/>
        <v>17</v>
      </c>
      <c r="R90" s="35"/>
      <c r="S90" s="35"/>
      <c r="T90" s="35"/>
      <c r="U90" s="74" t="e">
        <f>AVERAGE(Tableau1[[#This Row],[1ère composition]:[3è Composition]])</f>
        <v>#DIV/0!</v>
      </c>
    </row>
    <row r="91" spans="1:21" hidden="1" x14ac:dyDescent="0.2">
      <c r="A91" s="1" t="s">
        <v>3111</v>
      </c>
      <c r="B91" s="1" t="s">
        <v>2780</v>
      </c>
      <c r="C91" s="1" t="s">
        <v>3909</v>
      </c>
      <c r="D91" s="1" t="s">
        <v>2810</v>
      </c>
      <c r="E91" s="1">
        <v>2020</v>
      </c>
      <c r="F91" s="1">
        <v>4</v>
      </c>
      <c r="G91" s="1">
        <v>63</v>
      </c>
      <c r="H91" s="1" t="str">
        <f>Tableau1[[#This Row],[Annee d''inscription au programme]]&amp;"-"&amp;Tableau1[[#This Row],[Code d''ecole]]&amp;"-"&amp;Tableau1[[#This Row],[Numero HM de la fille]]</f>
        <v>2020-4-63</v>
      </c>
      <c r="I91" s="1"/>
      <c r="J91" s="1" t="s">
        <v>374</v>
      </c>
      <c r="K91" s="35" t="s">
        <v>3518</v>
      </c>
      <c r="L91" s="35">
        <v>13</v>
      </c>
      <c r="M91" s="35">
        <v>13</v>
      </c>
      <c r="N91" s="35">
        <f t="shared" si="2"/>
        <v>13</v>
      </c>
      <c r="O91" s="35">
        <v>11.5</v>
      </c>
      <c r="P91" s="35">
        <v>6.25</v>
      </c>
      <c r="Q91" s="35">
        <f t="shared" si="3"/>
        <v>8.875</v>
      </c>
      <c r="R91" s="35"/>
      <c r="S91" s="35"/>
      <c r="T91" s="35"/>
      <c r="U91" s="74" t="e">
        <f>AVERAGE(Tableau1[[#This Row],[1ère composition]:[3è Composition]])</f>
        <v>#DIV/0!</v>
      </c>
    </row>
    <row r="92" spans="1:21" hidden="1" x14ac:dyDescent="0.2">
      <c r="A92" s="1" t="s">
        <v>3111</v>
      </c>
      <c r="B92" s="1" t="s">
        <v>2781</v>
      </c>
      <c r="C92" s="1" t="s">
        <v>3909</v>
      </c>
      <c r="D92" s="1" t="s">
        <v>2811</v>
      </c>
      <c r="E92" s="1">
        <v>2021</v>
      </c>
      <c r="F92" s="1">
        <v>4</v>
      </c>
      <c r="G92" s="1">
        <v>33</v>
      </c>
      <c r="H92" s="1" t="str">
        <f>Tableau1[[#This Row],[Annee d''inscription au programme]]&amp;"-"&amp;Tableau1[[#This Row],[Code d''ecole]]&amp;"-"&amp;Tableau1[[#This Row],[Numero HM de la fille]]</f>
        <v>2021-4-33</v>
      </c>
      <c r="I92" s="1"/>
      <c r="J92" s="1" t="s">
        <v>593</v>
      </c>
      <c r="K92" s="35" t="s">
        <v>298</v>
      </c>
      <c r="L92" s="35">
        <v>14.5</v>
      </c>
      <c r="M92" s="35">
        <v>12</v>
      </c>
      <c r="N92" s="35">
        <f t="shared" si="2"/>
        <v>13.25</v>
      </c>
      <c r="O92" s="35">
        <v>15.5</v>
      </c>
      <c r="P92" s="35">
        <v>12</v>
      </c>
      <c r="Q92" s="35">
        <f t="shared" si="3"/>
        <v>13.75</v>
      </c>
      <c r="R92" s="35"/>
      <c r="S92" s="35"/>
      <c r="T92" s="35"/>
      <c r="U92" s="74" t="e">
        <f>AVERAGE(Tableau1[[#This Row],[1ère composition]:[3è Composition]])</f>
        <v>#DIV/0!</v>
      </c>
    </row>
    <row r="93" spans="1:21" hidden="1" x14ac:dyDescent="0.2">
      <c r="A93" s="1" t="s">
        <v>2812</v>
      </c>
      <c r="B93" s="1" t="s">
        <v>2813</v>
      </c>
      <c r="C93" s="1" t="s">
        <v>3645</v>
      </c>
      <c r="D93" s="1"/>
      <c r="E93" s="1">
        <v>2021</v>
      </c>
      <c r="F93" s="1">
        <v>26</v>
      </c>
      <c r="G93" s="1">
        <v>1</v>
      </c>
      <c r="H93" s="1" t="str">
        <f>Tableau1[[#This Row],[Annee d''inscription au programme]]&amp;"-"&amp;Tableau1[[#This Row],[Code d''ecole]]&amp;"-"&amp;Tableau1[[#This Row],[Numero HM de la fille]]</f>
        <v>2021-26-1</v>
      </c>
      <c r="I93" s="1"/>
      <c r="J93" s="1" t="s">
        <v>593</v>
      </c>
      <c r="K93" s="35" t="s">
        <v>298</v>
      </c>
      <c r="L93" s="35">
        <v>2.25</v>
      </c>
      <c r="M93" s="35">
        <v>1.5</v>
      </c>
      <c r="N93" s="35">
        <f t="shared" si="2"/>
        <v>1.875</v>
      </c>
      <c r="O93" s="35">
        <v>4</v>
      </c>
      <c r="P93" s="35">
        <v>3</v>
      </c>
      <c r="Q93" s="35">
        <f t="shared" si="3"/>
        <v>3.5</v>
      </c>
      <c r="R93" s="35"/>
      <c r="S93" s="35"/>
      <c r="T93" s="35"/>
      <c r="U93" s="74" t="e">
        <f>AVERAGE(Tableau1[[#This Row],[1ère composition]:[3è Composition]])</f>
        <v>#DIV/0!</v>
      </c>
    </row>
    <row r="94" spans="1:21" hidden="1" x14ac:dyDescent="0.2">
      <c r="A94" s="1" t="s">
        <v>2812</v>
      </c>
      <c r="B94" s="1" t="s">
        <v>3647</v>
      </c>
      <c r="C94" s="1" t="s">
        <v>3645</v>
      </c>
      <c r="D94" s="1"/>
      <c r="E94" s="1">
        <v>2021</v>
      </c>
      <c r="F94" s="1">
        <v>26</v>
      </c>
      <c r="G94" s="1">
        <v>2</v>
      </c>
      <c r="H94" s="1" t="str">
        <f>Tableau1[[#This Row],[Annee d''inscription au programme]]&amp;"-"&amp;Tableau1[[#This Row],[Code d''ecole]]&amp;"-"&amp;Tableau1[[#This Row],[Numero HM de la fille]]</f>
        <v>2021-26-2</v>
      </c>
      <c r="I94" s="1"/>
      <c r="J94" s="1" t="s">
        <v>593</v>
      </c>
      <c r="K94" s="35" t="s">
        <v>298</v>
      </c>
      <c r="L94" s="35">
        <v>2</v>
      </c>
      <c r="M94" s="35">
        <v>1</v>
      </c>
      <c r="N94" s="35">
        <f t="shared" si="2"/>
        <v>1.5</v>
      </c>
      <c r="O94" s="35">
        <v>2</v>
      </c>
      <c r="P94" s="35">
        <v>4</v>
      </c>
      <c r="Q94" s="35">
        <f t="shared" si="3"/>
        <v>3</v>
      </c>
      <c r="R94" s="35"/>
      <c r="S94" s="35"/>
      <c r="T94" s="35"/>
      <c r="U94" s="74" t="e">
        <f>AVERAGE(Tableau1[[#This Row],[1ère composition]:[3è Composition]])</f>
        <v>#DIV/0!</v>
      </c>
    </row>
    <row r="95" spans="1:21" hidden="1" x14ac:dyDescent="0.2">
      <c r="A95" s="1" t="s">
        <v>2812</v>
      </c>
      <c r="B95" s="1" t="s">
        <v>2814</v>
      </c>
      <c r="C95" s="1"/>
      <c r="D95" s="1"/>
      <c r="E95" s="1">
        <v>2021</v>
      </c>
      <c r="F95" s="1">
        <v>26</v>
      </c>
      <c r="G95" s="1">
        <v>3</v>
      </c>
      <c r="H95" s="1" t="str">
        <f>Tableau1[[#This Row],[Annee d''inscription au programme]]&amp;"-"&amp;Tableau1[[#This Row],[Code d''ecole]]&amp;"-"&amp;Tableau1[[#This Row],[Numero HM de la fille]]</f>
        <v>2021-26-3</v>
      </c>
      <c r="I95" s="1"/>
      <c r="J95" s="1" t="s">
        <v>593</v>
      </c>
      <c r="K95" s="35" t="s">
        <v>298</v>
      </c>
      <c r="L95" s="35">
        <v>1.25</v>
      </c>
      <c r="M95" s="35">
        <v>4</v>
      </c>
      <c r="N95" s="35">
        <f t="shared" si="2"/>
        <v>2.625</v>
      </c>
      <c r="O95" s="35"/>
      <c r="P95" s="35"/>
      <c r="Q95" s="35">
        <f t="shared" si="3"/>
        <v>0</v>
      </c>
      <c r="R95" s="35"/>
      <c r="S95" s="35"/>
      <c r="T95" s="35"/>
      <c r="U95" s="74" t="e">
        <f>AVERAGE(Tableau1[[#This Row],[1ère composition]:[3è Composition]])</f>
        <v>#DIV/0!</v>
      </c>
    </row>
    <row r="96" spans="1:21" hidden="1" x14ac:dyDescent="0.2">
      <c r="A96" s="1" t="s">
        <v>2812</v>
      </c>
      <c r="B96" s="1" t="s">
        <v>2815</v>
      </c>
      <c r="C96" s="1" t="s">
        <v>3645</v>
      </c>
      <c r="D96" s="1"/>
      <c r="E96" s="1">
        <v>2021</v>
      </c>
      <c r="F96" s="1">
        <v>26</v>
      </c>
      <c r="G96" s="1">
        <v>4</v>
      </c>
      <c r="H96" s="1" t="str">
        <f>Tableau1[[#This Row],[Annee d''inscription au programme]]&amp;"-"&amp;Tableau1[[#This Row],[Code d''ecole]]&amp;"-"&amp;Tableau1[[#This Row],[Numero HM de la fille]]</f>
        <v>2021-26-4</v>
      </c>
      <c r="I96" s="1"/>
      <c r="J96" s="1" t="s">
        <v>593</v>
      </c>
      <c r="K96" s="35" t="s">
        <v>298</v>
      </c>
      <c r="L96" s="35">
        <v>1.25</v>
      </c>
      <c r="M96" s="35">
        <v>2</v>
      </c>
      <c r="N96" s="35">
        <f t="shared" si="2"/>
        <v>1.625</v>
      </c>
      <c r="O96" s="35">
        <v>3</v>
      </c>
      <c r="P96" s="35">
        <v>1</v>
      </c>
      <c r="Q96" s="35">
        <f t="shared" si="3"/>
        <v>2</v>
      </c>
      <c r="R96" s="35"/>
      <c r="S96" s="35"/>
      <c r="T96" s="35"/>
      <c r="U96" s="74" t="e">
        <f>AVERAGE(Tableau1[[#This Row],[1ère composition]:[3è Composition]])</f>
        <v>#DIV/0!</v>
      </c>
    </row>
    <row r="97" spans="1:21" hidden="1" x14ac:dyDescent="0.2">
      <c r="A97" s="1" t="s">
        <v>2812</v>
      </c>
      <c r="B97" s="1" t="s">
        <v>2816</v>
      </c>
      <c r="C97" s="1" t="s">
        <v>3645</v>
      </c>
      <c r="D97" s="1"/>
      <c r="E97" s="1">
        <v>2021</v>
      </c>
      <c r="F97" s="1">
        <v>26</v>
      </c>
      <c r="G97" s="1">
        <v>5</v>
      </c>
      <c r="H97" s="1" t="str">
        <f>Tableau1[[#This Row],[Annee d''inscription au programme]]&amp;"-"&amp;Tableau1[[#This Row],[Code d''ecole]]&amp;"-"&amp;Tableau1[[#This Row],[Numero HM de la fille]]</f>
        <v>2021-26-5</v>
      </c>
      <c r="I97" s="1"/>
      <c r="J97" s="1" t="s">
        <v>593</v>
      </c>
      <c r="K97" s="35" t="s">
        <v>298</v>
      </c>
      <c r="L97" s="35">
        <v>3.5</v>
      </c>
      <c r="M97" s="35">
        <v>3</v>
      </c>
      <c r="N97" s="35">
        <f t="shared" si="2"/>
        <v>3.25</v>
      </c>
      <c r="O97" s="35">
        <v>5.5</v>
      </c>
      <c r="P97" s="35">
        <v>3.5</v>
      </c>
      <c r="Q97" s="35">
        <f t="shared" si="3"/>
        <v>4.5</v>
      </c>
      <c r="R97" s="35"/>
      <c r="S97" s="35"/>
      <c r="T97" s="35"/>
      <c r="U97" s="74" t="e">
        <f>AVERAGE(Tableau1[[#This Row],[1ère composition]:[3è Composition]])</f>
        <v>#DIV/0!</v>
      </c>
    </row>
    <row r="98" spans="1:21" hidden="1" x14ac:dyDescent="0.2">
      <c r="A98" s="1" t="s">
        <v>2812</v>
      </c>
      <c r="B98" s="1" t="s">
        <v>2817</v>
      </c>
      <c r="C98" s="1" t="s">
        <v>3645</v>
      </c>
      <c r="D98" s="1"/>
      <c r="E98" s="1">
        <v>2021</v>
      </c>
      <c r="F98" s="1">
        <v>26</v>
      </c>
      <c r="G98" s="1">
        <v>6</v>
      </c>
      <c r="H98" s="1" t="str">
        <f>Tableau1[[#This Row],[Annee d''inscription au programme]]&amp;"-"&amp;Tableau1[[#This Row],[Code d''ecole]]&amp;"-"&amp;Tableau1[[#This Row],[Numero HM de la fille]]</f>
        <v>2021-26-6</v>
      </c>
      <c r="I98" s="1"/>
      <c r="J98" s="1" t="s">
        <v>593</v>
      </c>
      <c r="K98" s="35" t="s">
        <v>298</v>
      </c>
      <c r="L98" s="35">
        <v>0.5</v>
      </c>
      <c r="M98" s="35">
        <v>4</v>
      </c>
      <c r="N98" s="35">
        <f t="shared" si="2"/>
        <v>2.25</v>
      </c>
      <c r="O98" s="35">
        <v>4.5</v>
      </c>
      <c r="P98" s="35">
        <v>3</v>
      </c>
      <c r="Q98" s="35">
        <f t="shared" si="3"/>
        <v>3.75</v>
      </c>
      <c r="R98" s="35"/>
      <c r="S98" s="35"/>
      <c r="T98" s="35"/>
      <c r="U98" s="74" t="e">
        <f>AVERAGE(Tableau1[[#This Row],[1ère composition]:[3è Composition]])</f>
        <v>#DIV/0!</v>
      </c>
    </row>
    <row r="99" spans="1:21" hidden="1" x14ac:dyDescent="0.2">
      <c r="A99" s="1" t="s">
        <v>2812</v>
      </c>
      <c r="B99" s="1" t="s">
        <v>2818</v>
      </c>
      <c r="C99" s="1" t="s">
        <v>3646</v>
      </c>
      <c r="D99" s="1"/>
      <c r="E99" s="1">
        <v>2021</v>
      </c>
      <c r="F99" s="1">
        <v>26</v>
      </c>
      <c r="G99" s="1">
        <v>7</v>
      </c>
      <c r="H99" s="1" t="str">
        <f>Tableau1[[#This Row],[Annee d''inscription au programme]]&amp;"-"&amp;Tableau1[[#This Row],[Code d''ecole]]&amp;"-"&amp;Tableau1[[#This Row],[Numero HM de la fille]]</f>
        <v>2021-26-7</v>
      </c>
      <c r="I99" s="1"/>
      <c r="J99" s="1" t="s">
        <v>593</v>
      </c>
      <c r="K99" s="35" t="s">
        <v>298</v>
      </c>
      <c r="L99" s="35">
        <v>16.5</v>
      </c>
      <c r="M99" s="35">
        <v>7</v>
      </c>
      <c r="N99" s="35">
        <f t="shared" si="2"/>
        <v>11.75</v>
      </c>
      <c r="O99" s="35">
        <v>13.5</v>
      </c>
      <c r="P99" s="35">
        <v>12</v>
      </c>
      <c r="Q99" s="35">
        <f t="shared" si="3"/>
        <v>12.75</v>
      </c>
      <c r="R99" s="35"/>
      <c r="S99" s="35"/>
      <c r="T99" s="35"/>
      <c r="U99" s="74" t="e">
        <f>AVERAGE(Tableau1[[#This Row],[1ère composition]:[3è Composition]])</f>
        <v>#DIV/0!</v>
      </c>
    </row>
    <row r="100" spans="1:21" hidden="1" x14ac:dyDescent="0.2">
      <c r="A100" s="1" t="s">
        <v>2812</v>
      </c>
      <c r="B100" s="1" t="s">
        <v>224</v>
      </c>
      <c r="C100" s="1" t="s">
        <v>3645</v>
      </c>
      <c r="D100" s="1"/>
      <c r="E100" s="1">
        <v>2021</v>
      </c>
      <c r="F100" s="1">
        <v>26</v>
      </c>
      <c r="G100" s="1">
        <v>8</v>
      </c>
      <c r="H100" s="1" t="str">
        <f>Tableau1[[#This Row],[Annee d''inscription au programme]]&amp;"-"&amp;Tableau1[[#This Row],[Code d''ecole]]&amp;"-"&amp;Tableau1[[#This Row],[Numero HM de la fille]]</f>
        <v>2021-26-8</v>
      </c>
      <c r="I100" s="1"/>
      <c r="J100" s="1" t="s">
        <v>593</v>
      </c>
      <c r="K100" s="35" t="s">
        <v>298</v>
      </c>
      <c r="L100" s="35">
        <v>3.75</v>
      </c>
      <c r="M100" s="35">
        <v>3</v>
      </c>
      <c r="N100" s="35">
        <f t="shared" si="2"/>
        <v>3.375</v>
      </c>
      <c r="O100" s="35">
        <v>0.5</v>
      </c>
      <c r="P100" s="35">
        <v>4.5</v>
      </c>
      <c r="Q100" s="35">
        <f t="shared" si="3"/>
        <v>2.5</v>
      </c>
      <c r="R100" s="35"/>
      <c r="S100" s="35"/>
      <c r="T100" s="35"/>
      <c r="U100" s="74" t="e">
        <f>AVERAGE(Tableau1[[#This Row],[1ère composition]:[3è Composition]])</f>
        <v>#DIV/0!</v>
      </c>
    </row>
    <row r="101" spans="1:21" hidden="1" x14ac:dyDescent="0.2">
      <c r="A101" s="1" t="s">
        <v>2812</v>
      </c>
      <c r="B101" s="1" t="s">
        <v>2819</v>
      </c>
      <c r="C101" s="1" t="s">
        <v>3645</v>
      </c>
      <c r="D101" s="1"/>
      <c r="E101" s="1">
        <v>2021</v>
      </c>
      <c r="F101" s="1">
        <v>26</v>
      </c>
      <c r="G101" s="1">
        <v>9</v>
      </c>
      <c r="H101" s="1" t="str">
        <f>Tableau1[[#This Row],[Annee d''inscription au programme]]&amp;"-"&amp;Tableau1[[#This Row],[Code d''ecole]]&amp;"-"&amp;Tableau1[[#This Row],[Numero HM de la fille]]</f>
        <v>2021-26-9</v>
      </c>
      <c r="I101" s="1"/>
      <c r="J101" s="1" t="s">
        <v>593</v>
      </c>
      <c r="K101" s="35" t="s">
        <v>298</v>
      </c>
      <c r="L101" s="35">
        <v>7</v>
      </c>
      <c r="M101" s="35">
        <v>3.5</v>
      </c>
      <c r="N101" s="35">
        <f t="shared" si="2"/>
        <v>5.25</v>
      </c>
      <c r="O101" s="35">
        <v>9</v>
      </c>
      <c r="P101" s="35">
        <v>2</v>
      </c>
      <c r="Q101" s="35">
        <f t="shared" si="3"/>
        <v>5.5</v>
      </c>
      <c r="R101" s="35"/>
      <c r="S101" s="35"/>
      <c r="T101" s="35"/>
      <c r="U101" s="74" t="e">
        <f>AVERAGE(Tableau1[[#This Row],[1ère composition]:[3è Composition]])</f>
        <v>#DIV/0!</v>
      </c>
    </row>
    <row r="102" spans="1:21" hidden="1" x14ac:dyDescent="0.2">
      <c r="A102" s="1" t="s">
        <v>2812</v>
      </c>
      <c r="B102" s="1" t="s">
        <v>2820</v>
      </c>
      <c r="C102" s="1"/>
      <c r="D102" s="1"/>
      <c r="E102" s="1">
        <v>2021</v>
      </c>
      <c r="F102" s="1">
        <v>26</v>
      </c>
      <c r="G102" s="1">
        <v>10</v>
      </c>
      <c r="H102" s="1" t="str">
        <f>Tableau1[[#This Row],[Annee d''inscription au programme]]&amp;"-"&amp;Tableau1[[#This Row],[Code d''ecole]]&amp;"-"&amp;Tableau1[[#This Row],[Numero HM de la fille]]</f>
        <v>2021-26-10</v>
      </c>
      <c r="I102" s="1"/>
      <c r="J102" s="1" t="s">
        <v>593</v>
      </c>
      <c r="K102" s="35" t="s">
        <v>298</v>
      </c>
      <c r="L102" s="35">
        <v>4.5</v>
      </c>
      <c r="M102" s="35">
        <v>2.25</v>
      </c>
      <c r="N102" s="35">
        <f t="shared" si="2"/>
        <v>3.375</v>
      </c>
      <c r="O102" s="35"/>
      <c r="P102" s="35"/>
      <c r="Q102" s="35">
        <f t="shared" si="3"/>
        <v>0</v>
      </c>
      <c r="R102" s="35"/>
      <c r="S102" s="35"/>
      <c r="T102" s="35"/>
      <c r="U102" s="74" t="e">
        <f>AVERAGE(Tableau1[[#This Row],[1ère composition]:[3è Composition]])</f>
        <v>#DIV/0!</v>
      </c>
    </row>
    <row r="103" spans="1:21" hidden="1" x14ac:dyDescent="0.2">
      <c r="A103" s="1" t="s">
        <v>2812</v>
      </c>
      <c r="B103" s="1" t="s">
        <v>2821</v>
      </c>
      <c r="C103" s="1" t="s">
        <v>3645</v>
      </c>
      <c r="D103" s="1"/>
      <c r="E103" s="1">
        <v>2021</v>
      </c>
      <c r="F103" s="1">
        <v>26</v>
      </c>
      <c r="G103" s="1">
        <v>11</v>
      </c>
      <c r="H103" s="1" t="str">
        <f>Tableau1[[#This Row],[Annee d''inscription au programme]]&amp;"-"&amp;Tableau1[[#This Row],[Code d''ecole]]&amp;"-"&amp;Tableau1[[#This Row],[Numero HM de la fille]]</f>
        <v>2021-26-11</v>
      </c>
      <c r="I103" s="1"/>
      <c r="J103" s="1" t="s">
        <v>593</v>
      </c>
      <c r="K103" s="35" t="s">
        <v>298</v>
      </c>
      <c r="L103" s="35">
        <v>17</v>
      </c>
      <c r="M103" s="35">
        <v>14</v>
      </c>
      <c r="N103" s="35">
        <f t="shared" si="2"/>
        <v>15.5</v>
      </c>
      <c r="O103" s="35">
        <v>4.5</v>
      </c>
      <c r="P103" s="35">
        <v>1</v>
      </c>
      <c r="Q103" s="35">
        <f t="shared" si="3"/>
        <v>2.75</v>
      </c>
      <c r="R103" s="35"/>
      <c r="S103" s="35"/>
      <c r="T103" s="35"/>
      <c r="U103" s="74" t="e">
        <f>AVERAGE(Tableau1[[#This Row],[1ère composition]:[3è Composition]])</f>
        <v>#DIV/0!</v>
      </c>
    </row>
    <row r="104" spans="1:21" hidden="1" x14ac:dyDescent="0.2">
      <c r="A104" s="1" t="s">
        <v>2812</v>
      </c>
      <c r="B104" s="1" t="s">
        <v>2822</v>
      </c>
      <c r="C104" s="1" t="s">
        <v>3646</v>
      </c>
      <c r="D104" s="1"/>
      <c r="E104" s="1">
        <v>2021</v>
      </c>
      <c r="F104" s="1">
        <v>26</v>
      </c>
      <c r="G104" s="1">
        <v>12</v>
      </c>
      <c r="H104" s="1" t="str">
        <f>Tableau1[[#This Row],[Annee d''inscription au programme]]&amp;"-"&amp;Tableau1[[#This Row],[Code d''ecole]]&amp;"-"&amp;Tableau1[[#This Row],[Numero HM de la fille]]</f>
        <v>2021-26-12</v>
      </c>
      <c r="I104" s="1"/>
      <c r="J104" s="1" t="s">
        <v>593</v>
      </c>
      <c r="K104" s="35" t="s">
        <v>298</v>
      </c>
      <c r="L104" s="35">
        <v>1.25</v>
      </c>
      <c r="M104" s="35">
        <v>4</v>
      </c>
      <c r="N104" s="35">
        <f t="shared" si="2"/>
        <v>2.625</v>
      </c>
      <c r="O104" s="35">
        <v>6.5</v>
      </c>
      <c r="P104" s="35">
        <v>4</v>
      </c>
      <c r="Q104" s="35">
        <f t="shared" si="3"/>
        <v>5.25</v>
      </c>
      <c r="R104" s="35"/>
      <c r="S104" s="35"/>
      <c r="T104" s="35"/>
      <c r="U104" s="74" t="e">
        <f>AVERAGE(Tableau1[[#This Row],[1ère composition]:[3è Composition]])</f>
        <v>#DIV/0!</v>
      </c>
    </row>
    <row r="105" spans="1:21" hidden="1" x14ac:dyDescent="0.2">
      <c r="A105" s="1" t="s">
        <v>2812</v>
      </c>
      <c r="B105" s="1" t="s">
        <v>2823</v>
      </c>
      <c r="C105" s="1"/>
      <c r="D105" s="1"/>
      <c r="E105" s="1">
        <v>2021</v>
      </c>
      <c r="F105" s="1">
        <v>26</v>
      </c>
      <c r="G105" s="1">
        <v>13</v>
      </c>
      <c r="H105" s="1" t="str">
        <f>Tableau1[[#This Row],[Annee d''inscription au programme]]&amp;"-"&amp;Tableau1[[#This Row],[Code d''ecole]]&amp;"-"&amp;Tableau1[[#This Row],[Numero HM de la fille]]</f>
        <v>2021-26-13</v>
      </c>
      <c r="I105" s="1"/>
      <c r="J105" s="1" t="s">
        <v>593</v>
      </c>
      <c r="K105" s="35" t="s">
        <v>298</v>
      </c>
      <c r="L105" s="35">
        <v>4.5</v>
      </c>
      <c r="M105" s="35">
        <v>4</v>
      </c>
      <c r="N105" s="35">
        <f t="shared" si="2"/>
        <v>4.25</v>
      </c>
      <c r="O105" s="35"/>
      <c r="P105" s="35"/>
      <c r="Q105" s="35">
        <f t="shared" si="3"/>
        <v>0</v>
      </c>
      <c r="R105" s="35"/>
      <c r="S105" s="35"/>
      <c r="T105" s="35"/>
      <c r="U105" s="74" t="e">
        <f>AVERAGE(Tableau1[[#This Row],[1ère composition]:[3è Composition]])</f>
        <v>#DIV/0!</v>
      </c>
    </row>
    <row r="106" spans="1:21" hidden="1" x14ac:dyDescent="0.2">
      <c r="A106" s="1" t="s">
        <v>2812</v>
      </c>
      <c r="B106" s="1" t="s">
        <v>2824</v>
      </c>
      <c r="C106" s="1"/>
      <c r="D106" s="1"/>
      <c r="E106" s="1">
        <v>2021</v>
      </c>
      <c r="F106" s="1">
        <v>26</v>
      </c>
      <c r="G106" s="1">
        <v>14</v>
      </c>
      <c r="H106" s="1" t="str">
        <f>Tableau1[[#This Row],[Annee d''inscription au programme]]&amp;"-"&amp;Tableau1[[#This Row],[Code d''ecole]]&amp;"-"&amp;Tableau1[[#This Row],[Numero HM de la fille]]</f>
        <v>2021-26-14</v>
      </c>
      <c r="I106" s="1"/>
      <c r="J106" s="1" t="s">
        <v>593</v>
      </c>
      <c r="K106" s="35" t="s">
        <v>298</v>
      </c>
      <c r="L106" s="35">
        <v>4.5</v>
      </c>
      <c r="M106" s="35">
        <v>3.5</v>
      </c>
      <c r="N106" s="35">
        <f t="shared" si="2"/>
        <v>4</v>
      </c>
      <c r="O106" s="35"/>
      <c r="P106" s="35"/>
      <c r="Q106" s="35">
        <f t="shared" si="3"/>
        <v>0</v>
      </c>
      <c r="R106" s="35"/>
      <c r="S106" s="35"/>
      <c r="T106" s="35"/>
      <c r="U106" s="74" t="e">
        <f>AVERAGE(Tableau1[[#This Row],[1ère composition]:[3è Composition]])</f>
        <v>#DIV/0!</v>
      </c>
    </row>
    <row r="107" spans="1:21" hidden="1" x14ac:dyDescent="0.2">
      <c r="A107" s="1" t="s">
        <v>2812</v>
      </c>
      <c r="B107" s="1" t="s">
        <v>2825</v>
      </c>
      <c r="C107" s="1"/>
      <c r="D107" s="1"/>
      <c r="E107" s="1">
        <v>2021</v>
      </c>
      <c r="F107" s="1">
        <v>26</v>
      </c>
      <c r="G107" s="1">
        <v>15</v>
      </c>
      <c r="H107" s="1" t="str">
        <f>Tableau1[[#This Row],[Annee d''inscription au programme]]&amp;"-"&amp;Tableau1[[#This Row],[Code d''ecole]]&amp;"-"&amp;Tableau1[[#This Row],[Numero HM de la fille]]</f>
        <v>2021-26-15</v>
      </c>
      <c r="I107" s="1"/>
      <c r="J107" s="1" t="s">
        <v>593</v>
      </c>
      <c r="K107" s="35" t="s">
        <v>298</v>
      </c>
      <c r="L107" s="35">
        <v>4.75</v>
      </c>
      <c r="M107" s="35">
        <v>1.75</v>
      </c>
      <c r="N107" s="35">
        <f t="shared" si="2"/>
        <v>3.25</v>
      </c>
      <c r="O107" s="35"/>
      <c r="P107" s="35"/>
      <c r="Q107" s="35">
        <f t="shared" si="3"/>
        <v>0</v>
      </c>
      <c r="R107" s="35"/>
      <c r="S107" s="35"/>
      <c r="T107" s="35"/>
      <c r="U107" s="74" t="e">
        <f>AVERAGE(Tableau1[[#This Row],[1ère composition]:[3è Composition]])</f>
        <v>#DIV/0!</v>
      </c>
    </row>
    <row r="108" spans="1:21" hidden="1" x14ac:dyDescent="0.2">
      <c r="A108" s="1" t="s">
        <v>2812</v>
      </c>
      <c r="B108" s="1" t="s">
        <v>2826</v>
      </c>
      <c r="C108" s="1" t="s">
        <v>3645</v>
      </c>
      <c r="D108" s="1"/>
      <c r="E108" s="1">
        <v>2021</v>
      </c>
      <c r="F108" s="1">
        <v>26</v>
      </c>
      <c r="G108" s="1">
        <v>16</v>
      </c>
      <c r="H108" s="1" t="str">
        <f>Tableau1[[#This Row],[Annee d''inscription au programme]]&amp;"-"&amp;Tableau1[[#This Row],[Code d''ecole]]&amp;"-"&amp;Tableau1[[#This Row],[Numero HM de la fille]]</f>
        <v>2021-26-16</v>
      </c>
      <c r="I108" s="1"/>
      <c r="J108" s="1" t="s">
        <v>593</v>
      </c>
      <c r="K108" s="35" t="s">
        <v>298</v>
      </c>
      <c r="L108" s="35">
        <v>4.25</v>
      </c>
      <c r="M108" s="35">
        <v>1</v>
      </c>
      <c r="N108" s="35">
        <f t="shared" si="2"/>
        <v>2.625</v>
      </c>
      <c r="O108" s="35">
        <v>5</v>
      </c>
      <c r="P108" s="35">
        <v>4</v>
      </c>
      <c r="Q108" s="35">
        <f t="shared" si="3"/>
        <v>4.5</v>
      </c>
      <c r="R108" s="35"/>
      <c r="S108" s="35"/>
      <c r="T108" s="35"/>
      <c r="U108" s="74" t="e">
        <f>AVERAGE(Tableau1[[#This Row],[1ère composition]:[3è Composition]])</f>
        <v>#DIV/0!</v>
      </c>
    </row>
    <row r="109" spans="1:21" hidden="1" x14ac:dyDescent="0.2">
      <c r="A109" s="1" t="s">
        <v>2812</v>
      </c>
      <c r="B109" s="1" t="s">
        <v>2827</v>
      </c>
      <c r="C109" s="1" t="s">
        <v>3645</v>
      </c>
      <c r="D109" s="1"/>
      <c r="E109" s="1">
        <v>2021</v>
      </c>
      <c r="F109" s="1">
        <v>26</v>
      </c>
      <c r="G109" s="1">
        <v>17</v>
      </c>
      <c r="H109" s="1" t="str">
        <f>Tableau1[[#This Row],[Annee d''inscription au programme]]&amp;"-"&amp;Tableau1[[#This Row],[Code d''ecole]]&amp;"-"&amp;Tableau1[[#This Row],[Numero HM de la fille]]</f>
        <v>2021-26-17</v>
      </c>
      <c r="I109" s="1"/>
      <c r="J109" s="1" t="s">
        <v>593</v>
      </c>
      <c r="K109" s="35" t="s">
        <v>298</v>
      </c>
      <c r="L109" s="35">
        <v>4.5</v>
      </c>
      <c r="M109" s="35">
        <v>4</v>
      </c>
      <c r="N109" s="35">
        <f t="shared" si="2"/>
        <v>4.25</v>
      </c>
      <c r="O109" s="35">
        <v>4</v>
      </c>
      <c r="P109" s="35">
        <v>4.5</v>
      </c>
      <c r="Q109" s="35">
        <f t="shared" si="3"/>
        <v>4.25</v>
      </c>
      <c r="R109" s="35"/>
      <c r="S109" s="35"/>
      <c r="T109" s="35"/>
      <c r="U109" s="74" t="e">
        <f>AVERAGE(Tableau1[[#This Row],[1ère composition]:[3è Composition]])</f>
        <v>#DIV/0!</v>
      </c>
    </row>
    <row r="110" spans="1:21" hidden="1" x14ac:dyDescent="0.2">
      <c r="A110" s="1" t="s">
        <v>2812</v>
      </c>
      <c r="B110" s="1" t="s">
        <v>2828</v>
      </c>
      <c r="C110" s="1"/>
      <c r="D110" s="1"/>
      <c r="E110" s="1">
        <v>2021</v>
      </c>
      <c r="F110" s="1">
        <v>26</v>
      </c>
      <c r="G110" s="1">
        <v>18</v>
      </c>
      <c r="H110" s="1" t="str">
        <f>Tableau1[[#This Row],[Annee d''inscription au programme]]&amp;"-"&amp;Tableau1[[#This Row],[Code d''ecole]]&amp;"-"&amp;Tableau1[[#This Row],[Numero HM de la fille]]</f>
        <v>2021-26-18</v>
      </c>
      <c r="I110" s="1"/>
      <c r="J110" s="1" t="s">
        <v>593</v>
      </c>
      <c r="K110" s="35" t="s">
        <v>298</v>
      </c>
      <c r="L110" s="35">
        <v>3.75</v>
      </c>
      <c r="M110" s="35">
        <v>4.25</v>
      </c>
      <c r="N110" s="35">
        <f t="shared" si="2"/>
        <v>4</v>
      </c>
      <c r="O110" s="35"/>
      <c r="P110" s="35"/>
      <c r="Q110" s="35">
        <f t="shared" si="3"/>
        <v>0</v>
      </c>
      <c r="R110" s="35"/>
      <c r="S110" s="35"/>
      <c r="T110" s="35"/>
      <c r="U110" s="74" t="e">
        <f>AVERAGE(Tableau1[[#This Row],[1ère composition]:[3è Composition]])</f>
        <v>#DIV/0!</v>
      </c>
    </row>
    <row r="111" spans="1:21" hidden="1" x14ac:dyDescent="0.2">
      <c r="A111" s="1" t="s">
        <v>2812</v>
      </c>
      <c r="B111" s="1" t="s">
        <v>2829</v>
      </c>
      <c r="C111" s="1" t="s">
        <v>3646</v>
      </c>
      <c r="D111" s="1"/>
      <c r="E111" s="1">
        <v>2021</v>
      </c>
      <c r="F111" s="1">
        <v>26</v>
      </c>
      <c r="G111" s="1">
        <v>19</v>
      </c>
      <c r="H111" s="1" t="str">
        <f>Tableau1[[#This Row],[Annee d''inscription au programme]]&amp;"-"&amp;Tableau1[[#This Row],[Code d''ecole]]&amp;"-"&amp;Tableau1[[#This Row],[Numero HM de la fille]]</f>
        <v>2021-26-19</v>
      </c>
      <c r="I111" s="1"/>
      <c r="J111" s="1" t="s">
        <v>593</v>
      </c>
      <c r="K111" s="35" t="s">
        <v>298</v>
      </c>
      <c r="L111" s="35">
        <v>15</v>
      </c>
      <c r="M111" s="35">
        <v>5.5</v>
      </c>
      <c r="N111" s="35">
        <f t="shared" si="2"/>
        <v>10.25</v>
      </c>
      <c r="O111" s="35">
        <v>16</v>
      </c>
      <c r="P111" s="35">
        <v>7.5</v>
      </c>
      <c r="Q111" s="35">
        <f t="shared" si="3"/>
        <v>11.75</v>
      </c>
      <c r="R111" s="35"/>
      <c r="S111" s="35"/>
      <c r="T111" s="35"/>
      <c r="U111" s="74" t="e">
        <f>AVERAGE(Tableau1[[#This Row],[1ère composition]:[3è Composition]])</f>
        <v>#DIV/0!</v>
      </c>
    </row>
    <row r="112" spans="1:21" hidden="1" x14ac:dyDescent="0.2">
      <c r="A112" s="1" t="s">
        <v>2812</v>
      </c>
      <c r="B112" s="1" t="s">
        <v>2830</v>
      </c>
      <c r="C112" s="1" t="s">
        <v>3645</v>
      </c>
      <c r="D112" s="1"/>
      <c r="E112" s="1">
        <v>2021</v>
      </c>
      <c r="F112" s="1">
        <v>26</v>
      </c>
      <c r="G112" s="1">
        <v>20</v>
      </c>
      <c r="H112" s="1" t="str">
        <f>Tableau1[[#This Row],[Annee d''inscription au programme]]&amp;"-"&amp;Tableau1[[#This Row],[Code d''ecole]]&amp;"-"&amp;Tableau1[[#This Row],[Numero HM de la fille]]</f>
        <v>2021-26-20</v>
      </c>
      <c r="I112" s="1"/>
      <c r="J112" s="1" t="s">
        <v>593</v>
      </c>
      <c r="K112" s="35" t="s">
        <v>298</v>
      </c>
      <c r="L112" s="35">
        <v>8</v>
      </c>
      <c r="M112" s="35">
        <v>6</v>
      </c>
      <c r="N112" s="35">
        <f t="shared" si="2"/>
        <v>7</v>
      </c>
      <c r="O112" s="35">
        <v>12</v>
      </c>
      <c r="P112" s="35">
        <v>5</v>
      </c>
      <c r="Q112" s="35">
        <f t="shared" si="3"/>
        <v>8.5</v>
      </c>
      <c r="R112" s="35"/>
      <c r="S112" s="35"/>
      <c r="T112" s="35"/>
      <c r="U112" s="74" t="e">
        <f>AVERAGE(Tableau1[[#This Row],[1ère composition]:[3è Composition]])</f>
        <v>#DIV/0!</v>
      </c>
    </row>
    <row r="113" spans="1:21" s="14" customFormat="1" hidden="1" x14ac:dyDescent="0.2">
      <c r="A113" s="1" t="s">
        <v>84</v>
      </c>
      <c r="B113" s="1" t="s">
        <v>2831</v>
      </c>
      <c r="C113" s="1" t="s">
        <v>3556</v>
      </c>
      <c r="D113" s="1"/>
      <c r="E113" s="1">
        <v>2021</v>
      </c>
      <c r="F113" s="1">
        <v>33</v>
      </c>
      <c r="G113" s="1">
        <v>1</v>
      </c>
      <c r="H113" s="1" t="str">
        <f>Tableau1[[#This Row],[Annee d''inscription au programme]]&amp;"-"&amp;Tableau1[[#This Row],[Code d''ecole]]&amp;"-"&amp;Tableau1[[#This Row],[Numero HM de la fille]]</f>
        <v>2021-33-1</v>
      </c>
      <c r="I113" s="1"/>
      <c r="J113" s="1" t="s">
        <v>593</v>
      </c>
      <c r="K113" s="35" t="s">
        <v>298</v>
      </c>
      <c r="L113" s="90">
        <v>11</v>
      </c>
      <c r="M113" s="90">
        <v>10.5</v>
      </c>
      <c r="N113" s="90">
        <f t="shared" si="2"/>
        <v>10.75</v>
      </c>
      <c r="O113" s="90"/>
      <c r="P113" s="90"/>
      <c r="Q113" s="90">
        <f t="shared" si="3"/>
        <v>0</v>
      </c>
      <c r="R113" s="35"/>
      <c r="S113" s="35"/>
      <c r="T113" s="35"/>
      <c r="U113" s="74" t="e">
        <f>AVERAGE(Tableau1[[#This Row],[1ère composition]:[3è Composition]])</f>
        <v>#DIV/0!</v>
      </c>
    </row>
    <row r="114" spans="1:21" hidden="1" x14ac:dyDescent="0.2">
      <c r="A114" s="1" t="s">
        <v>84</v>
      </c>
      <c r="B114" s="1" t="s">
        <v>2832</v>
      </c>
      <c r="C114" s="1" t="s">
        <v>3557</v>
      </c>
      <c r="D114" s="1"/>
      <c r="E114" s="1">
        <v>2021</v>
      </c>
      <c r="F114" s="1">
        <v>33</v>
      </c>
      <c r="G114" s="1">
        <v>2</v>
      </c>
      <c r="H114" s="1" t="str">
        <f>Tableau1[[#This Row],[Annee d''inscription au programme]]&amp;"-"&amp;Tableau1[[#This Row],[Code d''ecole]]&amp;"-"&amp;Tableau1[[#This Row],[Numero HM de la fille]]</f>
        <v>2021-33-2</v>
      </c>
      <c r="I114" s="1"/>
      <c r="J114" s="1" t="s">
        <v>593</v>
      </c>
      <c r="K114" s="35" t="s">
        <v>298</v>
      </c>
      <c r="L114" s="35">
        <v>9.5</v>
      </c>
      <c r="M114" s="35">
        <v>3</v>
      </c>
      <c r="N114" s="35">
        <f t="shared" si="2"/>
        <v>6.25</v>
      </c>
      <c r="O114" s="35"/>
      <c r="P114" s="35"/>
      <c r="Q114" s="35">
        <f t="shared" si="3"/>
        <v>0</v>
      </c>
      <c r="R114" s="35"/>
      <c r="S114" s="35"/>
      <c r="T114" s="35"/>
      <c r="U114" s="74" t="e">
        <f>AVERAGE(Tableau1[[#This Row],[1ère composition]:[3è Composition]])</f>
        <v>#DIV/0!</v>
      </c>
    </row>
    <row r="115" spans="1:21" hidden="1" x14ac:dyDescent="0.2">
      <c r="A115" s="1" t="s">
        <v>84</v>
      </c>
      <c r="B115" s="1" t="s">
        <v>2833</v>
      </c>
      <c r="C115" s="1" t="s">
        <v>3558</v>
      </c>
      <c r="D115" s="1"/>
      <c r="E115" s="1">
        <v>2021</v>
      </c>
      <c r="F115" s="1">
        <v>33</v>
      </c>
      <c r="G115" s="1">
        <v>3</v>
      </c>
      <c r="H115" s="1" t="str">
        <f>Tableau1[[#This Row],[Annee d''inscription au programme]]&amp;"-"&amp;Tableau1[[#This Row],[Code d''ecole]]&amp;"-"&amp;Tableau1[[#This Row],[Numero HM de la fille]]</f>
        <v>2021-33-3</v>
      </c>
      <c r="I115" s="1"/>
      <c r="J115" s="1" t="s">
        <v>593</v>
      </c>
      <c r="K115" s="35" t="s">
        <v>298</v>
      </c>
      <c r="L115" s="35">
        <v>16</v>
      </c>
      <c r="M115" s="35">
        <v>15</v>
      </c>
      <c r="N115" s="35">
        <f t="shared" si="2"/>
        <v>15.5</v>
      </c>
      <c r="O115" s="35"/>
      <c r="P115" s="35"/>
      <c r="Q115" s="35">
        <f t="shared" si="3"/>
        <v>0</v>
      </c>
      <c r="R115" s="35"/>
      <c r="S115" s="35"/>
      <c r="T115" s="35"/>
      <c r="U115" s="74" t="e">
        <f>AVERAGE(Tableau1[[#This Row],[1ère composition]:[3è Composition]])</f>
        <v>#DIV/0!</v>
      </c>
    </row>
    <row r="116" spans="1:21" hidden="1" x14ac:dyDescent="0.2">
      <c r="A116" s="1" t="s">
        <v>84</v>
      </c>
      <c r="B116" s="1" t="s">
        <v>2834</v>
      </c>
      <c r="C116" s="1" t="s">
        <v>3559</v>
      </c>
      <c r="D116" s="1"/>
      <c r="E116" s="1">
        <v>2021</v>
      </c>
      <c r="F116" s="1">
        <v>33</v>
      </c>
      <c r="G116" s="1">
        <v>4</v>
      </c>
      <c r="H116" s="1" t="str">
        <f>Tableau1[[#This Row],[Annee d''inscription au programme]]&amp;"-"&amp;Tableau1[[#This Row],[Code d''ecole]]&amp;"-"&amp;Tableau1[[#This Row],[Numero HM de la fille]]</f>
        <v>2021-33-4</v>
      </c>
      <c r="I116" s="1"/>
      <c r="J116" s="1" t="s">
        <v>593</v>
      </c>
      <c r="K116" s="35" t="s">
        <v>298</v>
      </c>
      <c r="L116" s="35">
        <v>15.5</v>
      </c>
      <c r="M116" s="35">
        <v>17</v>
      </c>
      <c r="N116" s="35">
        <f t="shared" si="2"/>
        <v>16.25</v>
      </c>
      <c r="O116" s="35"/>
      <c r="P116" s="35"/>
      <c r="Q116" s="35">
        <f t="shared" si="3"/>
        <v>0</v>
      </c>
      <c r="R116" s="35"/>
      <c r="S116" s="35"/>
      <c r="T116" s="35"/>
      <c r="U116" s="74" t="e">
        <f>AVERAGE(Tableau1[[#This Row],[1ère composition]:[3è Composition]])</f>
        <v>#DIV/0!</v>
      </c>
    </row>
    <row r="117" spans="1:21" hidden="1" x14ac:dyDescent="0.2">
      <c r="A117" s="1" t="s">
        <v>84</v>
      </c>
      <c r="B117" s="1" t="s">
        <v>2835</v>
      </c>
      <c r="C117" s="1" t="s">
        <v>3560</v>
      </c>
      <c r="D117" s="1"/>
      <c r="E117" s="1">
        <v>2021</v>
      </c>
      <c r="F117" s="1">
        <v>33</v>
      </c>
      <c r="G117" s="1">
        <v>5</v>
      </c>
      <c r="H117" s="1" t="str">
        <f>Tableau1[[#This Row],[Annee d''inscription au programme]]&amp;"-"&amp;Tableau1[[#This Row],[Code d''ecole]]&amp;"-"&amp;Tableau1[[#This Row],[Numero HM de la fille]]</f>
        <v>2021-33-5</v>
      </c>
      <c r="I117" s="1"/>
      <c r="J117" s="1" t="s">
        <v>593</v>
      </c>
      <c r="K117" s="35" t="s">
        <v>298</v>
      </c>
      <c r="L117" s="35">
        <v>6.5</v>
      </c>
      <c r="M117" s="35">
        <v>1</v>
      </c>
      <c r="N117" s="35">
        <f t="shared" si="2"/>
        <v>3.75</v>
      </c>
      <c r="O117" s="35"/>
      <c r="P117" s="35"/>
      <c r="Q117" s="35">
        <f t="shared" si="3"/>
        <v>0</v>
      </c>
      <c r="R117" s="35"/>
      <c r="S117" s="35"/>
      <c r="T117" s="35"/>
      <c r="U117" s="74" t="e">
        <f>AVERAGE(Tableau1[[#This Row],[1ère composition]:[3è Composition]])</f>
        <v>#DIV/0!</v>
      </c>
    </row>
    <row r="118" spans="1:21" hidden="1" x14ac:dyDescent="0.2">
      <c r="A118" s="1" t="s">
        <v>84</v>
      </c>
      <c r="B118" s="1" t="s">
        <v>2836</v>
      </c>
      <c r="C118" s="1" t="s">
        <v>3561</v>
      </c>
      <c r="D118" s="1"/>
      <c r="E118" s="1">
        <v>2021</v>
      </c>
      <c r="F118" s="1">
        <v>33</v>
      </c>
      <c r="G118" s="1">
        <v>6</v>
      </c>
      <c r="H118" s="1" t="str">
        <f>Tableau1[[#This Row],[Annee d''inscription au programme]]&amp;"-"&amp;Tableau1[[#This Row],[Code d''ecole]]&amp;"-"&amp;Tableau1[[#This Row],[Numero HM de la fille]]</f>
        <v>2021-33-6</v>
      </c>
      <c r="I118" s="1"/>
      <c r="J118" s="1" t="s">
        <v>593</v>
      </c>
      <c r="K118" s="35" t="s">
        <v>298</v>
      </c>
      <c r="L118" s="35">
        <v>14</v>
      </c>
      <c r="M118" s="35">
        <v>18</v>
      </c>
      <c r="N118" s="35">
        <f t="shared" si="2"/>
        <v>16</v>
      </c>
      <c r="O118" s="35"/>
      <c r="P118" s="35"/>
      <c r="Q118" s="35">
        <f t="shared" si="3"/>
        <v>0</v>
      </c>
      <c r="R118" s="35"/>
      <c r="S118" s="35"/>
      <c r="T118" s="35"/>
      <c r="U118" s="74" t="e">
        <f>AVERAGE(Tableau1[[#This Row],[1ère composition]:[3è Composition]])</f>
        <v>#DIV/0!</v>
      </c>
    </row>
    <row r="119" spans="1:21" hidden="1" x14ac:dyDescent="0.2">
      <c r="A119" s="1" t="s">
        <v>84</v>
      </c>
      <c r="B119" s="1" t="s">
        <v>2837</v>
      </c>
      <c r="C119" s="1" t="s">
        <v>3562</v>
      </c>
      <c r="D119" s="1"/>
      <c r="E119" s="1">
        <v>2020</v>
      </c>
      <c r="F119" s="1">
        <v>33</v>
      </c>
      <c r="G119" s="1">
        <v>215</v>
      </c>
      <c r="H119" s="1" t="str">
        <f>Tableau1[[#This Row],[Annee d''inscription au programme]]&amp;"-"&amp;Tableau1[[#This Row],[Code d''ecole]]&amp;"-"&amp;Tableau1[[#This Row],[Numero HM de la fille]]</f>
        <v>2020-33-215</v>
      </c>
      <c r="I119" s="1"/>
      <c r="J119" s="1" t="s">
        <v>374</v>
      </c>
      <c r="K119" s="35" t="s">
        <v>3518</v>
      </c>
      <c r="L119" s="35">
        <v>17</v>
      </c>
      <c r="M119" s="35">
        <v>14.5</v>
      </c>
      <c r="N119" s="35">
        <f t="shared" si="2"/>
        <v>15.75</v>
      </c>
      <c r="O119" s="13"/>
      <c r="P119" s="13"/>
      <c r="Q119" s="13">
        <f t="shared" si="3"/>
        <v>0</v>
      </c>
      <c r="R119" s="35"/>
      <c r="S119" s="35"/>
      <c r="T119" s="35"/>
      <c r="U119" s="74" t="e">
        <f>AVERAGE(Tableau1[[#This Row],[1ère composition]:[3è Composition]])</f>
        <v>#DIV/0!</v>
      </c>
    </row>
    <row r="120" spans="1:21" hidden="1" x14ac:dyDescent="0.2">
      <c r="A120" s="1" t="s">
        <v>84</v>
      </c>
      <c r="B120" s="1" t="s">
        <v>2838</v>
      </c>
      <c r="C120" s="1" t="s">
        <v>3563</v>
      </c>
      <c r="D120" s="1"/>
      <c r="E120" s="1">
        <v>2021</v>
      </c>
      <c r="F120" s="1">
        <v>33</v>
      </c>
      <c r="G120" s="1">
        <v>7</v>
      </c>
      <c r="H120" s="1" t="str">
        <f>Tableau1[[#This Row],[Annee d''inscription au programme]]&amp;"-"&amp;Tableau1[[#This Row],[Code d''ecole]]&amp;"-"&amp;Tableau1[[#This Row],[Numero HM de la fille]]</f>
        <v>2021-33-7</v>
      </c>
      <c r="I120" s="1"/>
      <c r="J120" s="1" t="s">
        <v>593</v>
      </c>
      <c r="K120" s="35" t="s">
        <v>298</v>
      </c>
      <c r="L120" s="35">
        <v>14.5</v>
      </c>
      <c r="M120" s="35">
        <v>11.5</v>
      </c>
      <c r="N120" s="35">
        <f t="shared" si="2"/>
        <v>13</v>
      </c>
      <c r="O120" s="13"/>
      <c r="P120" s="13"/>
      <c r="Q120" s="13">
        <f t="shared" si="3"/>
        <v>0</v>
      </c>
      <c r="R120" s="35"/>
      <c r="S120" s="35"/>
      <c r="T120" s="35"/>
      <c r="U120" s="74" t="e">
        <f>AVERAGE(Tableau1[[#This Row],[1ère composition]:[3è Composition]])</f>
        <v>#DIV/0!</v>
      </c>
    </row>
    <row r="121" spans="1:21" hidden="1" x14ac:dyDescent="0.2">
      <c r="A121" s="1" t="s">
        <v>84</v>
      </c>
      <c r="B121" s="1" t="s">
        <v>2839</v>
      </c>
      <c r="C121" s="1" t="s">
        <v>3564</v>
      </c>
      <c r="D121" s="1"/>
      <c r="E121" s="1">
        <v>2021</v>
      </c>
      <c r="F121" s="1">
        <v>33</v>
      </c>
      <c r="G121" s="1">
        <v>8</v>
      </c>
      <c r="H121" s="1" t="str">
        <f>Tableau1[[#This Row],[Annee d''inscription au programme]]&amp;"-"&amp;Tableau1[[#This Row],[Code d''ecole]]&amp;"-"&amp;Tableau1[[#This Row],[Numero HM de la fille]]</f>
        <v>2021-33-8</v>
      </c>
      <c r="I121" s="1"/>
      <c r="J121" s="1" t="s">
        <v>593</v>
      </c>
      <c r="K121" s="35" t="s">
        <v>298</v>
      </c>
      <c r="L121" s="35">
        <v>15.75</v>
      </c>
      <c r="M121" s="35">
        <v>19</v>
      </c>
      <c r="N121" s="35">
        <f t="shared" si="2"/>
        <v>17.375</v>
      </c>
      <c r="O121" s="13"/>
      <c r="P121" s="13"/>
      <c r="Q121" s="13">
        <f t="shared" si="3"/>
        <v>0</v>
      </c>
      <c r="R121" s="35"/>
      <c r="S121" s="35"/>
      <c r="T121" s="35"/>
      <c r="U121" s="74" t="e">
        <f>AVERAGE(Tableau1[[#This Row],[1ère composition]:[3è Composition]])</f>
        <v>#DIV/0!</v>
      </c>
    </row>
    <row r="122" spans="1:21" hidden="1" x14ac:dyDescent="0.2">
      <c r="A122" s="1" t="s">
        <v>84</v>
      </c>
      <c r="B122" s="1" t="s">
        <v>2840</v>
      </c>
      <c r="C122" s="1" t="s">
        <v>3565</v>
      </c>
      <c r="D122" s="1"/>
      <c r="E122" s="1">
        <v>2021</v>
      </c>
      <c r="F122" s="1">
        <v>33</v>
      </c>
      <c r="G122" s="1">
        <v>9</v>
      </c>
      <c r="H122" s="1" t="str">
        <f>Tableau1[[#This Row],[Annee d''inscription au programme]]&amp;"-"&amp;Tableau1[[#This Row],[Code d''ecole]]&amp;"-"&amp;Tableau1[[#This Row],[Numero HM de la fille]]</f>
        <v>2021-33-9</v>
      </c>
      <c r="I122" s="1"/>
      <c r="J122" s="1" t="s">
        <v>593</v>
      </c>
      <c r="K122" s="35" t="s">
        <v>298</v>
      </c>
      <c r="L122" s="35">
        <v>0</v>
      </c>
      <c r="M122" s="35">
        <v>0</v>
      </c>
      <c r="N122" s="35">
        <f t="shared" si="2"/>
        <v>0</v>
      </c>
      <c r="O122" s="13"/>
      <c r="P122" s="13"/>
      <c r="Q122" s="13">
        <f t="shared" si="3"/>
        <v>0</v>
      </c>
      <c r="R122" s="35"/>
      <c r="S122" s="35"/>
      <c r="T122" s="35"/>
      <c r="U122" s="74" t="e">
        <f>AVERAGE(Tableau1[[#This Row],[1ère composition]:[3è Composition]])</f>
        <v>#DIV/0!</v>
      </c>
    </row>
    <row r="123" spans="1:21" hidden="1" x14ac:dyDescent="0.2">
      <c r="A123" s="1" t="s">
        <v>84</v>
      </c>
      <c r="B123" s="1" t="s">
        <v>2841</v>
      </c>
      <c r="C123" s="1" t="s">
        <v>3566</v>
      </c>
      <c r="D123" s="1"/>
      <c r="E123" s="1">
        <v>2021</v>
      </c>
      <c r="F123" s="1">
        <v>33</v>
      </c>
      <c r="G123" s="1">
        <v>10</v>
      </c>
      <c r="H123" s="1" t="str">
        <f>Tableau1[[#This Row],[Annee d''inscription au programme]]&amp;"-"&amp;Tableau1[[#This Row],[Code d''ecole]]&amp;"-"&amp;Tableau1[[#This Row],[Numero HM de la fille]]</f>
        <v>2021-33-10</v>
      </c>
      <c r="I123" s="1"/>
      <c r="J123" s="1" t="s">
        <v>593</v>
      </c>
      <c r="K123" s="35" t="s">
        <v>298</v>
      </c>
      <c r="L123" s="35">
        <v>8</v>
      </c>
      <c r="M123" s="35">
        <v>3.5</v>
      </c>
      <c r="N123" s="35">
        <f t="shared" si="2"/>
        <v>5.75</v>
      </c>
      <c r="O123" s="13"/>
      <c r="P123" s="13"/>
      <c r="Q123" s="13">
        <f t="shared" si="3"/>
        <v>0</v>
      </c>
      <c r="R123" s="35"/>
      <c r="S123" s="35"/>
      <c r="T123" s="35"/>
      <c r="U123" s="74" t="e">
        <f>AVERAGE(Tableau1[[#This Row],[1ère composition]:[3è Composition]])</f>
        <v>#DIV/0!</v>
      </c>
    </row>
    <row r="124" spans="1:21" hidden="1" x14ac:dyDescent="0.2">
      <c r="A124" s="1" t="s">
        <v>84</v>
      </c>
      <c r="B124" s="1" t="s">
        <v>2842</v>
      </c>
      <c r="C124" s="1" t="s">
        <v>3567</v>
      </c>
      <c r="D124" s="1"/>
      <c r="E124" s="1">
        <v>2021</v>
      </c>
      <c r="F124" s="1">
        <v>33</v>
      </c>
      <c r="G124" s="1">
        <v>11</v>
      </c>
      <c r="H124" s="1" t="str">
        <f>Tableau1[[#This Row],[Annee d''inscription au programme]]&amp;"-"&amp;Tableau1[[#This Row],[Code d''ecole]]&amp;"-"&amp;Tableau1[[#This Row],[Numero HM de la fille]]</f>
        <v>2021-33-11</v>
      </c>
      <c r="I124" s="1"/>
      <c r="J124" s="1" t="s">
        <v>593</v>
      </c>
      <c r="K124" s="35" t="s">
        <v>298</v>
      </c>
      <c r="L124" s="35">
        <v>17</v>
      </c>
      <c r="M124" s="35">
        <v>19</v>
      </c>
      <c r="N124" s="35">
        <f t="shared" si="2"/>
        <v>18</v>
      </c>
      <c r="O124" s="13"/>
      <c r="P124" s="13"/>
      <c r="Q124" s="13">
        <f t="shared" si="3"/>
        <v>0</v>
      </c>
      <c r="R124" s="35"/>
      <c r="S124" s="35"/>
      <c r="T124" s="35"/>
      <c r="U124" s="74" t="e">
        <f>AVERAGE(Tableau1[[#This Row],[1ère composition]:[3è Composition]])</f>
        <v>#DIV/0!</v>
      </c>
    </row>
    <row r="125" spans="1:21" hidden="1" x14ac:dyDescent="0.2">
      <c r="A125" s="1" t="s">
        <v>84</v>
      </c>
      <c r="B125" s="1" t="s">
        <v>2843</v>
      </c>
      <c r="C125" s="1" t="s">
        <v>3568</v>
      </c>
      <c r="D125" s="1"/>
      <c r="E125" s="1">
        <v>2021</v>
      </c>
      <c r="F125" s="1">
        <v>33</v>
      </c>
      <c r="G125" s="1">
        <v>12</v>
      </c>
      <c r="H125" s="1" t="str">
        <f>Tableau1[[#This Row],[Annee d''inscription au programme]]&amp;"-"&amp;Tableau1[[#This Row],[Code d''ecole]]&amp;"-"&amp;Tableau1[[#This Row],[Numero HM de la fille]]</f>
        <v>2021-33-12</v>
      </c>
      <c r="I125" s="1"/>
      <c r="J125" s="1" t="s">
        <v>593</v>
      </c>
      <c r="K125" s="35" t="s">
        <v>298</v>
      </c>
      <c r="L125" s="35">
        <v>0</v>
      </c>
      <c r="M125" s="35">
        <v>0</v>
      </c>
      <c r="N125" s="35">
        <f t="shared" si="2"/>
        <v>0</v>
      </c>
      <c r="O125" s="13"/>
      <c r="P125" s="13"/>
      <c r="Q125" s="13">
        <f t="shared" si="3"/>
        <v>0</v>
      </c>
      <c r="R125" s="35"/>
      <c r="S125" s="35"/>
      <c r="T125" s="35"/>
      <c r="U125" s="74" t="e">
        <f>AVERAGE(Tableau1[[#This Row],[1ère composition]:[3è Composition]])</f>
        <v>#DIV/0!</v>
      </c>
    </row>
    <row r="126" spans="1:21" hidden="1" x14ac:dyDescent="0.2">
      <c r="A126" s="1" t="s">
        <v>84</v>
      </c>
      <c r="B126" s="1" t="s">
        <v>2844</v>
      </c>
      <c r="C126" s="1" t="s">
        <v>3569</v>
      </c>
      <c r="D126" s="1"/>
      <c r="E126" s="1">
        <v>2021</v>
      </c>
      <c r="F126" s="1">
        <v>33</v>
      </c>
      <c r="G126" s="1">
        <v>13</v>
      </c>
      <c r="H126" s="1" t="str">
        <f>Tableau1[[#This Row],[Annee d''inscription au programme]]&amp;"-"&amp;Tableau1[[#This Row],[Code d''ecole]]&amp;"-"&amp;Tableau1[[#This Row],[Numero HM de la fille]]</f>
        <v>2021-33-13</v>
      </c>
      <c r="I126" s="1"/>
      <c r="J126" s="1" t="s">
        <v>593</v>
      </c>
      <c r="K126" s="35" t="s">
        <v>298</v>
      </c>
      <c r="L126" s="35">
        <v>0</v>
      </c>
      <c r="M126" s="35">
        <v>0</v>
      </c>
      <c r="N126" s="35">
        <f t="shared" si="2"/>
        <v>0</v>
      </c>
      <c r="O126" s="13"/>
      <c r="P126" s="13"/>
      <c r="Q126" s="13">
        <f t="shared" si="3"/>
        <v>0</v>
      </c>
      <c r="R126" s="35"/>
      <c r="S126" s="35"/>
      <c r="T126" s="35"/>
      <c r="U126" s="74" t="e">
        <f>AVERAGE(Tableau1[[#This Row],[1ère composition]:[3è Composition]])</f>
        <v>#DIV/0!</v>
      </c>
    </row>
    <row r="127" spans="1:21" hidden="1" x14ac:dyDescent="0.2">
      <c r="A127" s="1" t="s">
        <v>84</v>
      </c>
      <c r="B127" s="1" t="s">
        <v>2845</v>
      </c>
      <c r="C127" s="1" t="s">
        <v>3566</v>
      </c>
      <c r="D127" s="1"/>
      <c r="E127" s="1">
        <v>2021</v>
      </c>
      <c r="F127" s="1">
        <v>33</v>
      </c>
      <c r="G127" s="1">
        <v>14</v>
      </c>
      <c r="H127" s="1" t="str">
        <f>Tableau1[[#This Row],[Annee d''inscription au programme]]&amp;"-"&amp;Tableau1[[#This Row],[Code d''ecole]]&amp;"-"&amp;Tableau1[[#This Row],[Numero HM de la fille]]</f>
        <v>2021-33-14</v>
      </c>
      <c r="I127" s="1"/>
      <c r="J127" s="1" t="s">
        <v>593</v>
      </c>
      <c r="K127" s="35" t="s">
        <v>298</v>
      </c>
      <c r="L127" s="35">
        <v>0</v>
      </c>
      <c r="M127" s="35">
        <v>0</v>
      </c>
      <c r="N127" s="35">
        <f t="shared" si="2"/>
        <v>0</v>
      </c>
      <c r="O127" s="13"/>
      <c r="P127" s="13"/>
      <c r="Q127" s="13">
        <f t="shared" si="3"/>
        <v>0</v>
      </c>
      <c r="R127" s="35"/>
      <c r="S127" s="35"/>
      <c r="T127" s="35"/>
      <c r="U127" s="74" t="e">
        <f>AVERAGE(Tableau1[[#This Row],[1ère composition]:[3è Composition]])</f>
        <v>#DIV/0!</v>
      </c>
    </row>
    <row r="128" spans="1:21" hidden="1" x14ac:dyDescent="0.2">
      <c r="A128" s="1" t="s">
        <v>84</v>
      </c>
      <c r="B128" s="1" t="s">
        <v>2846</v>
      </c>
      <c r="C128" s="1" t="s">
        <v>3570</v>
      </c>
      <c r="D128" s="1"/>
      <c r="E128" s="1">
        <v>2021</v>
      </c>
      <c r="F128" s="1">
        <v>33</v>
      </c>
      <c r="G128" s="1">
        <v>15</v>
      </c>
      <c r="H128" s="1" t="str">
        <f>Tableau1[[#This Row],[Annee d''inscription au programme]]&amp;"-"&amp;Tableau1[[#This Row],[Code d''ecole]]&amp;"-"&amp;Tableau1[[#This Row],[Numero HM de la fille]]</f>
        <v>2021-33-15</v>
      </c>
      <c r="I128" s="1"/>
      <c r="J128" s="1" t="s">
        <v>593</v>
      </c>
      <c r="K128" s="35" t="s">
        <v>298</v>
      </c>
      <c r="L128" s="35">
        <v>5</v>
      </c>
      <c r="M128" s="35">
        <v>9</v>
      </c>
      <c r="N128" s="35">
        <f t="shared" si="2"/>
        <v>7</v>
      </c>
      <c r="O128" s="13"/>
      <c r="P128" s="13"/>
      <c r="Q128" s="13">
        <f t="shared" si="3"/>
        <v>0</v>
      </c>
      <c r="R128" s="35"/>
      <c r="S128" s="35"/>
      <c r="T128" s="35"/>
      <c r="U128" s="74" t="e">
        <f>AVERAGE(Tableau1[[#This Row],[1ère composition]:[3è Composition]])</f>
        <v>#DIV/0!</v>
      </c>
    </row>
    <row r="129" spans="1:21" hidden="1" x14ac:dyDescent="0.2">
      <c r="A129" s="1" t="s">
        <v>84</v>
      </c>
      <c r="B129" s="1" t="s">
        <v>2847</v>
      </c>
      <c r="C129" s="1" t="s">
        <v>3565</v>
      </c>
      <c r="D129" s="1"/>
      <c r="E129" s="1">
        <v>2021</v>
      </c>
      <c r="F129" s="1">
        <v>33</v>
      </c>
      <c r="G129" s="1">
        <v>16</v>
      </c>
      <c r="H129" s="1" t="str">
        <f>Tableau1[[#This Row],[Annee d''inscription au programme]]&amp;"-"&amp;Tableau1[[#This Row],[Code d''ecole]]&amp;"-"&amp;Tableau1[[#This Row],[Numero HM de la fille]]</f>
        <v>2021-33-16</v>
      </c>
      <c r="I129" s="1"/>
      <c r="J129" s="1" t="s">
        <v>593</v>
      </c>
      <c r="K129" s="35" t="s">
        <v>298</v>
      </c>
      <c r="L129" s="35">
        <v>15</v>
      </c>
      <c r="M129" s="35">
        <v>19.5</v>
      </c>
      <c r="N129" s="35">
        <f t="shared" si="2"/>
        <v>17.25</v>
      </c>
      <c r="O129" s="13"/>
      <c r="P129" s="13"/>
      <c r="Q129" s="13">
        <f t="shared" si="3"/>
        <v>0</v>
      </c>
      <c r="R129" s="35"/>
      <c r="S129" s="35"/>
      <c r="T129" s="35"/>
      <c r="U129" s="74" t="e">
        <f>AVERAGE(Tableau1[[#This Row],[1ère composition]:[3è Composition]])</f>
        <v>#DIV/0!</v>
      </c>
    </row>
    <row r="130" spans="1:21" hidden="1" x14ac:dyDescent="0.2">
      <c r="A130" s="1" t="s">
        <v>84</v>
      </c>
      <c r="B130" s="1" t="s">
        <v>2848</v>
      </c>
      <c r="C130" s="1" t="s">
        <v>3566</v>
      </c>
      <c r="D130" s="1"/>
      <c r="E130" s="1">
        <v>2021</v>
      </c>
      <c r="F130" s="1">
        <v>33</v>
      </c>
      <c r="G130" s="1">
        <v>17</v>
      </c>
      <c r="H130" s="1" t="str">
        <f>Tableau1[[#This Row],[Annee d''inscription au programme]]&amp;"-"&amp;Tableau1[[#This Row],[Code d''ecole]]&amp;"-"&amp;Tableau1[[#This Row],[Numero HM de la fille]]</f>
        <v>2021-33-17</v>
      </c>
      <c r="I130" s="1"/>
      <c r="J130" s="1" t="s">
        <v>593</v>
      </c>
      <c r="K130" s="35" t="s">
        <v>298</v>
      </c>
      <c r="L130" s="35">
        <v>10.5</v>
      </c>
      <c r="M130" s="35">
        <v>13.5</v>
      </c>
      <c r="N130" s="35">
        <f t="shared" si="2"/>
        <v>12</v>
      </c>
      <c r="O130" s="13"/>
      <c r="P130" s="13"/>
      <c r="Q130" s="13">
        <f t="shared" si="3"/>
        <v>0</v>
      </c>
      <c r="R130" s="35"/>
      <c r="S130" s="35"/>
      <c r="T130" s="35"/>
      <c r="U130" s="74" t="e">
        <f>AVERAGE(Tableau1[[#This Row],[1ère composition]:[3è Composition]])</f>
        <v>#DIV/0!</v>
      </c>
    </row>
    <row r="131" spans="1:21" hidden="1" x14ac:dyDescent="0.2">
      <c r="A131" s="1" t="s">
        <v>84</v>
      </c>
      <c r="B131" s="1" t="s">
        <v>2849</v>
      </c>
      <c r="C131" s="1" t="s">
        <v>3571</v>
      </c>
      <c r="D131" s="1"/>
      <c r="E131" s="1">
        <v>2021</v>
      </c>
      <c r="F131" s="1">
        <v>33</v>
      </c>
      <c r="G131" s="1">
        <v>18</v>
      </c>
      <c r="H131" s="1" t="str">
        <f>Tableau1[[#This Row],[Annee d''inscription au programme]]&amp;"-"&amp;Tableau1[[#This Row],[Code d''ecole]]&amp;"-"&amp;Tableau1[[#This Row],[Numero HM de la fille]]</f>
        <v>2021-33-18</v>
      </c>
      <c r="I131" s="1"/>
      <c r="J131" s="1" t="s">
        <v>593</v>
      </c>
      <c r="K131" s="35" t="s">
        <v>298</v>
      </c>
      <c r="L131" s="35">
        <v>11</v>
      </c>
      <c r="M131" s="35">
        <v>13.5</v>
      </c>
      <c r="N131" s="35">
        <f t="shared" si="2"/>
        <v>12.25</v>
      </c>
      <c r="O131" s="13"/>
      <c r="P131" s="13"/>
      <c r="Q131" s="13">
        <f t="shared" si="3"/>
        <v>0</v>
      </c>
      <c r="R131" s="35"/>
      <c r="S131" s="35"/>
      <c r="T131" s="35"/>
      <c r="U131" s="74" t="e">
        <f>AVERAGE(Tableau1[[#This Row],[1ère composition]:[3è Composition]])</f>
        <v>#DIV/0!</v>
      </c>
    </row>
    <row r="132" spans="1:21" hidden="1" x14ac:dyDescent="0.2">
      <c r="A132" s="1" t="s">
        <v>84</v>
      </c>
      <c r="B132" s="1" t="s">
        <v>2850</v>
      </c>
      <c r="C132" s="1" t="s">
        <v>3572</v>
      </c>
      <c r="D132" s="1"/>
      <c r="E132" s="1">
        <v>2021</v>
      </c>
      <c r="F132" s="1">
        <v>33</v>
      </c>
      <c r="G132" s="1">
        <v>19</v>
      </c>
      <c r="H132" s="1" t="str">
        <f>Tableau1[[#This Row],[Annee d''inscription au programme]]&amp;"-"&amp;Tableau1[[#This Row],[Code d''ecole]]&amp;"-"&amp;Tableau1[[#This Row],[Numero HM de la fille]]</f>
        <v>2021-33-19</v>
      </c>
      <c r="I132" s="1"/>
      <c r="J132" s="1" t="s">
        <v>593</v>
      </c>
      <c r="K132" s="35" t="s">
        <v>298</v>
      </c>
      <c r="L132" s="35">
        <v>15</v>
      </c>
      <c r="M132" s="35">
        <v>13</v>
      </c>
      <c r="N132" s="35">
        <f t="shared" si="2"/>
        <v>14</v>
      </c>
      <c r="O132" s="13"/>
      <c r="P132" s="13"/>
      <c r="Q132" s="13">
        <f t="shared" si="3"/>
        <v>0</v>
      </c>
      <c r="R132" s="35"/>
      <c r="S132" s="35"/>
      <c r="T132" s="35"/>
      <c r="U132" s="74" t="e">
        <f>AVERAGE(Tableau1[[#This Row],[1ère composition]:[3è Composition]])</f>
        <v>#DIV/0!</v>
      </c>
    </row>
    <row r="133" spans="1:21" hidden="1" x14ac:dyDescent="0.2">
      <c r="A133" s="1" t="s">
        <v>84</v>
      </c>
      <c r="B133" s="1" t="s">
        <v>2851</v>
      </c>
      <c r="C133" s="1" t="s">
        <v>3573</v>
      </c>
      <c r="D133" s="1"/>
      <c r="E133" s="1">
        <v>2021</v>
      </c>
      <c r="F133" s="1">
        <v>33</v>
      </c>
      <c r="G133" s="1">
        <v>20</v>
      </c>
      <c r="H133" s="1" t="str">
        <f>Tableau1[[#This Row],[Annee d''inscription au programme]]&amp;"-"&amp;Tableau1[[#This Row],[Code d''ecole]]&amp;"-"&amp;Tableau1[[#This Row],[Numero HM de la fille]]</f>
        <v>2021-33-20</v>
      </c>
      <c r="I133" s="1"/>
      <c r="J133" s="1" t="s">
        <v>593</v>
      </c>
      <c r="K133" s="35" t="s">
        <v>298</v>
      </c>
      <c r="L133" s="35">
        <v>15</v>
      </c>
      <c r="M133" s="35">
        <v>7.5</v>
      </c>
      <c r="N133" s="35">
        <f t="shared" ref="N133:N196" si="4" xml:space="preserve"> AVERAGE(L133+M133)/2</f>
        <v>11.25</v>
      </c>
      <c r="O133" s="13"/>
      <c r="P133" s="13"/>
      <c r="Q133" s="13">
        <f t="shared" ref="Q133:Q196" si="5">AVERAGE(O133+P133)/2</f>
        <v>0</v>
      </c>
      <c r="R133" s="35"/>
      <c r="S133" s="35"/>
      <c r="T133" s="35"/>
      <c r="U133" s="74" t="e">
        <f>AVERAGE(Tableau1[[#This Row],[1ère composition]:[3è Composition]])</f>
        <v>#DIV/0!</v>
      </c>
    </row>
    <row r="134" spans="1:21" hidden="1" x14ac:dyDescent="0.2">
      <c r="A134" s="1" t="s">
        <v>84</v>
      </c>
      <c r="B134" s="1" t="s">
        <v>2852</v>
      </c>
      <c r="C134" s="1" t="s">
        <v>3569</v>
      </c>
      <c r="D134" s="1"/>
      <c r="E134" s="1">
        <v>2021</v>
      </c>
      <c r="F134" s="1">
        <v>33</v>
      </c>
      <c r="G134" s="1">
        <v>21</v>
      </c>
      <c r="H134" s="1" t="str">
        <f>Tableau1[[#This Row],[Annee d''inscription au programme]]&amp;"-"&amp;Tableau1[[#This Row],[Code d''ecole]]&amp;"-"&amp;Tableau1[[#This Row],[Numero HM de la fille]]</f>
        <v>2021-33-21</v>
      </c>
      <c r="I134" s="1"/>
      <c r="J134" s="1" t="s">
        <v>593</v>
      </c>
      <c r="K134" s="35" t="s">
        <v>298</v>
      </c>
      <c r="L134" s="35">
        <v>6</v>
      </c>
      <c r="M134" s="35">
        <v>6.5</v>
      </c>
      <c r="N134" s="35">
        <f t="shared" si="4"/>
        <v>6.25</v>
      </c>
      <c r="O134" s="13"/>
      <c r="P134" s="13"/>
      <c r="Q134" s="13">
        <f t="shared" si="5"/>
        <v>0</v>
      </c>
      <c r="R134" s="35"/>
      <c r="S134" s="35"/>
      <c r="T134" s="35"/>
      <c r="U134" s="74" t="e">
        <f>AVERAGE(Tableau1[[#This Row],[1ère composition]:[3è Composition]])</f>
        <v>#DIV/0!</v>
      </c>
    </row>
    <row r="135" spans="1:21" hidden="1" x14ac:dyDescent="0.2">
      <c r="A135" s="1" t="s">
        <v>84</v>
      </c>
      <c r="B135" s="1" t="s">
        <v>2853</v>
      </c>
      <c r="C135" s="75" t="s">
        <v>3574</v>
      </c>
      <c r="D135" s="1"/>
      <c r="E135" s="1">
        <v>2021</v>
      </c>
      <c r="F135" s="1">
        <v>33</v>
      </c>
      <c r="G135" s="1">
        <v>22</v>
      </c>
      <c r="H135" s="1" t="str">
        <f>Tableau1[[#This Row],[Annee d''inscription au programme]]&amp;"-"&amp;Tableau1[[#This Row],[Code d''ecole]]&amp;"-"&amp;Tableau1[[#This Row],[Numero HM de la fille]]</f>
        <v>2021-33-22</v>
      </c>
      <c r="I135" s="1"/>
      <c r="J135" s="1" t="s">
        <v>593</v>
      </c>
      <c r="K135" s="35" t="s">
        <v>298</v>
      </c>
      <c r="L135" s="35">
        <v>14</v>
      </c>
      <c r="M135" s="35">
        <v>13.5</v>
      </c>
      <c r="N135" s="35">
        <f t="shared" si="4"/>
        <v>13.75</v>
      </c>
      <c r="O135" s="13"/>
      <c r="P135" s="13"/>
      <c r="Q135" s="13">
        <f t="shared" si="5"/>
        <v>0</v>
      </c>
      <c r="R135" s="35"/>
      <c r="S135" s="35"/>
      <c r="T135" s="35"/>
      <c r="U135" s="74" t="e">
        <f>AVERAGE(Tableau1[[#This Row],[1ère composition]:[3è Composition]])</f>
        <v>#DIV/0!</v>
      </c>
    </row>
    <row r="136" spans="1:21" hidden="1" x14ac:dyDescent="0.2">
      <c r="A136" s="1" t="s">
        <v>84</v>
      </c>
      <c r="B136" s="1" t="s">
        <v>2854</v>
      </c>
      <c r="C136" s="1" t="s">
        <v>3575</v>
      </c>
      <c r="D136" s="1"/>
      <c r="E136" s="1">
        <v>2021</v>
      </c>
      <c r="F136" s="1">
        <v>33</v>
      </c>
      <c r="G136" s="1">
        <v>23</v>
      </c>
      <c r="H136" s="1" t="str">
        <f>Tableau1[[#This Row],[Annee d''inscription au programme]]&amp;"-"&amp;Tableau1[[#This Row],[Code d''ecole]]&amp;"-"&amp;Tableau1[[#This Row],[Numero HM de la fille]]</f>
        <v>2021-33-23</v>
      </c>
      <c r="I136" s="1"/>
      <c r="J136" s="1" t="s">
        <v>593</v>
      </c>
      <c r="K136" s="35" t="s">
        <v>298</v>
      </c>
      <c r="L136" s="35">
        <v>0</v>
      </c>
      <c r="M136" s="35">
        <v>0</v>
      </c>
      <c r="N136" s="35">
        <f t="shared" si="4"/>
        <v>0</v>
      </c>
      <c r="O136" s="13"/>
      <c r="P136" s="13"/>
      <c r="Q136" s="13">
        <f t="shared" si="5"/>
        <v>0</v>
      </c>
      <c r="R136" s="35"/>
      <c r="S136" s="35"/>
      <c r="T136" s="35"/>
      <c r="U136" s="74" t="e">
        <f>AVERAGE(Tableau1[[#This Row],[1ère composition]:[3è Composition]])</f>
        <v>#DIV/0!</v>
      </c>
    </row>
    <row r="137" spans="1:21" hidden="1" x14ac:dyDescent="0.2">
      <c r="A137" s="1" t="s">
        <v>2855</v>
      </c>
      <c r="B137" s="1" t="s">
        <v>2856</v>
      </c>
      <c r="C137" s="1" t="s">
        <v>3732</v>
      </c>
      <c r="D137" s="1"/>
      <c r="E137" s="1">
        <v>2021</v>
      </c>
      <c r="F137" s="1">
        <v>41</v>
      </c>
      <c r="G137" s="1">
        <v>1</v>
      </c>
      <c r="H137" s="76" t="str">
        <f>Tableau1[[#This Row],[Annee d''inscription au programme]]&amp;"-"&amp;Tableau1[[#This Row],[Code d''ecole]]&amp;"-"&amp;Tableau1[[#This Row],[Numero HM de la fille]]</f>
        <v>2021-41-1</v>
      </c>
      <c r="I137" s="1"/>
      <c r="J137" s="1" t="s">
        <v>593</v>
      </c>
      <c r="K137" s="35" t="s">
        <v>298</v>
      </c>
      <c r="L137" s="35">
        <v>12.5</v>
      </c>
      <c r="M137" s="35">
        <v>14</v>
      </c>
      <c r="N137" s="35">
        <f t="shared" si="4"/>
        <v>13.25</v>
      </c>
      <c r="O137" s="35">
        <v>15.5</v>
      </c>
      <c r="P137" s="13">
        <v>14.5</v>
      </c>
      <c r="Q137" s="35">
        <f t="shared" si="5"/>
        <v>15</v>
      </c>
      <c r="R137" s="35"/>
      <c r="S137" s="35"/>
      <c r="T137" s="35"/>
      <c r="U137" s="74" t="e">
        <f>AVERAGE(Tableau1[[#This Row],[1ère composition]:[3è Composition]])</f>
        <v>#DIV/0!</v>
      </c>
    </row>
    <row r="138" spans="1:21" hidden="1" x14ac:dyDescent="0.2">
      <c r="A138" s="1" t="s">
        <v>2855</v>
      </c>
      <c r="B138" s="1" t="s">
        <v>2857</v>
      </c>
      <c r="C138" s="1" t="s">
        <v>3732</v>
      </c>
      <c r="D138" s="1"/>
      <c r="E138" s="1">
        <v>2021</v>
      </c>
      <c r="F138" s="1">
        <v>41</v>
      </c>
      <c r="G138" s="1">
        <v>2</v>
      </c>
      <c r="H138" s="76" t="str">
        <f>Tableau1[[#This Row],[Annee d''inscription au programme]]&amp;"-"&amp;Tableau1[[#This Row],[Code d''ecole]]&amp;"-"&amp;Tableau1[[#This Row],[Numero HM de la fille]]</f>
        <v>2021-41-2</v>
      </c>
      <c r="I138" s="1"/>
      <c r="J138" s="1" t="s">
        <v>593</v>
      </c>
      <c r="K138" s="35" t="s">
        <v>298</v>
      </c>
      <c r="L138" s="35">
        <v>0</v>
      </c>
      <c r="M138" s="35">
        <v>0</v>
      </c>
      <c r="N138" s="35">
        <f t="shared" si="4"/>
        <v>0</v>
      </c>
      <c r="O138" s="35">
        <v>8.5</v>
      </c>
      <c r="P138" s="13">
        <v>2.5</v>
      </c>
      <c r="Q138" s="35">
        <f t="shared" si="5"/>
        <v>5.5</v>
      </c>
      <c r="R138" s="35"/>
      <c r="S138" s="35"/>
      <c r="T138" s="35"/>
      <c r="U138" s="74" t="e">
        <f>AVERAGE(Tableau1[[#This Row],[1ère composition]:[3è Composition]])</f>
        <v>#DIV/0!</v>
      </c>
    </row>
    <row r="139" spans="1:21" hidden="1" x14ac:dyDescent="0.2">
      <c r="A139" s="1" t="s">
        <v>2855</v>
      </c>
      <c r="B139" s="1" t="s">
        <v>2858</v>
      </c>
      <c r="C139" s="1" t="s">
        <v>3731</v>
      </c>
      <c r="D139" s="1"/>
      <c r="E139" s="1">
        <v>2020</v>
      </c>
      <c r="F139" s="1">
        <v>41</v>
      </c>
      <c r="G139" s="1">
        <v>227</v>
      </c>
      <c r="H139" s="76" t="str">
        <f>Tableau1[[#This Row],[Annee d''inscription au programme]]&amp;"-"&amp;Tableau1[[#This Row],[Code d''ecole]]&amp;"-"&amp;Tableau1[[#This Row],[Numero HM de la fille]]</f>
        <v>2020-41-227</v>
      </c>
      <c r="I139" s="1"/>
      <c r="J139" s="1" t="s">
        <v>374</v>
      </c>
      <c r="K139" s="35" t="s">
        <v>3518</v>
      </c>
      <c r="L139" s="35">
        <v>9.5</v>
      </c>
      <c r="M139" s="35">
        <v>9.5</v>
      </c>
      <c r="N139" s="35">
        <f t="shared" si="4"/>
        <v>9.5</v>
      </c>
      <c r="O139" s="35">
        <v>8.5</v>
      </c>
      <c r="P139" s="13">
        <v>6</v>
      </c>
      <c r="Q139" s="35">
        <f t="shared" si="5"/>
        <v>7.25</v>
      </c>
      <c r="R139" s="35"/>
      <c r="S139" s="35"/>
      <c r="T139" s="35"/>
      <c r="U139" s="74" t="e">
        <f>AVERAGE(Tableau1[[#This Row],[1ère composition]:[3è Composition]])</f>
        <v>#DIV/0!</v>
      </c>
    </row>
    <row r="140" spans="1:21" hidden="1" x14ac:dyDescent="0.2">
      <c r="A140" s="1" t="s">
        <v>2855</v>
      </c>
      <c r="B140" s="1" t="s">
        <v>2859</v>
      </c>
      <c r="C140" s="1" t="s">
        <v>3731</v>
      </c>
      <c r="D140" s="1"/>
      <c r="E140" s="1">
        <v>2020</v>
      </c>
      <c r="F140" s="1">
        <v>41</v>
      </c>
      <c r="G140" s="1">
        <v>232</v>
      </c>
      <c r="H140" s="76" t="str">
        <f>Tableau1[[#This Row],[Annee d''inscription au programme]]&amp;"-"&amp;Tableau1[[#This Row],[Code d''ecole]]&amp;"-"&amp;Tableau1[[#This Row],[Numero HM de la fille]]</f>
        <v>2020-41-232</v>
      </c>
      <c r="I140" s="1"/>
      <c r="J140" s="1" t="s">
        <v>374</v>
      </c>
      <c r="K140" s="35" t="s">
        <v>3518</v>
      </c>
      <c r="L140" s="35">
        <v>1.5</v>
      </c>
      <c r="M140" s="35">
        <v>1.5</v>
      </c>
      <c r="N140" s="35">
        <f t="shared" si="4"/>
        <v>1.5</v>
      </c>
      <c r="O140" s="35">
        <v>5.5</v>
      </c>
      <c r="P140" s="13">
        <v>2</v>
      </c>
      <c r="Q140" s="35">
        <f t="shared" si="5"/>
        <v>3.75</v>
      </c>
      <c r="R140" s="35"/>
      <c r="S140" s="35"/>
      <c r="T140" s="35"/>
      <c r="U140" s="74" t="e">
        <f>AVERAGE(Tableau1[[#This Row],[1ère composition]:[3è Composition]])</f>
        <v>#DIV/0!</v>
      </c>
    </row>
    <row r="141" spans="1:21" hidden="1" x14ac:dyDescent="0.2">
      <c r="A141" s="1" t="s">
        <v>2855</v>
      </c>
      <c r="B141" s="1" t="s">
        <v>2860</v>
      </c>
      <c r="C141" s="1" t="s">
        <v>3731</v>
      </c>
      <c r="D141" s="1"/>
      <c r="E141" s="1">
        <v>2020</v>
      </c>
      <c r="F141" s="1">
        <v>41</v>
      </c>
      <c r="G141" s="1">
        <v>222</v>
      </c>
      <c r="H141" s="76" t="str">
        <f>Tableau1[[#This Row],[Annee d''inscription au programme]]&amp;"-"&amp;Tableau1[[#This Row],[Code d''ecole]]&amp;"-"&amp;Tableau1[[#This Row],[Numero HM de la fille]]</f>
        <v>2020-41-222</v>
      </c>
      <c r="I141" s="1"/>
      <c r="J141" s="1" t="s">
        <v>374</v>
      </c>
      <c r="K141" s="35" t="s">
        <v>3518</v>
      </c>
      <c r="L141" s="35">
        <v>10.5</v>
      </c>
      <c r="M141" s="35">
        <v>9.75</v>
      </c>
      <c r="N141" s="35">
        <f t="shared" si="4"/>
        <v>10.125</v>
      </c>
      <c r="O141" s="35">
        <v>14.5</v>
      </c>
      <c r="P141" s="13">
        <v>9</v>
      </c>
      <c r="Q141" s="35">
        <f t="shared" si="5"/>
        <v>11.75</v>
      </c>
      <c r="R141" s="35"/>
      <c r="S141" s="35"/>
      <c r="T141" s="35"/>
      <c r="U141" s="74" t="e">
        <f>AVERAGE(Tableau1[[#This Row],[1ère composition]:[3è Composition]])</f>
        <v>#DIV/0!</v>
      </c>
    </row>
    <row r="142" spans="1:21" hidden="1" x14ac:dyDescent="0.2">
      <c r="A142" s="1" t="s">
        <v>2855</v>
      </c>
      <c r="B142" s="1" t="s">
        <v>2861</v>
      </c>
      <c r="C142" s="1" t="s">
        <v>3732</v>
      </c>
      <c r="D142" s="1"/>
      <c r="E142" s="1">
        <v>2021</v>
      </c>
      <c r="F142" s="1">
        <v>41</v>
      </c>
      <c r="G142" s="1">
        <v>3</v>
      </c>
      <c r="H142" s="76" t="str">
        <f>Tableau1[[#This Row],[Annee d''inscription au programme]]&amp;"-"&amp;Tableau1[[#This Row],[Code d''ecole]]&amp;"-"&amp;Tableau1[[#This Row],[Numero HM de la fille]]</f>
        <v>2021-41-3</v>
      </c>
      <c r="I142" s="1"/>
      <c r="J142" s="1" t="s">
        <v>593</v>
      </c>
      <c r="K142" s="35" t="s">
        <v>298</v>
      </c>
      <c r="L142" s="35">
        <v>9</v>
      </c>
      <c r="M142" s="35">
        <v>7.5</v>
      </c>
      <c r="N142" s="35">
        <f t="shared" si="4"/>
        <v>8.25</v>
      </c>
      <c r="O142" s="35">
        <v>8</v>
      </c>
      <c r="P142" s="13">
        <v>4.5</v>
      </c>
      <c r="Q142" s="35">
        <f t="shared" si="5"/>
        <v>6.25</v>
      </c>
      <c r="R142" s="35"/>
      <c r="S142" s="35"/>
      <c r="T142" s="35"/>
      <c r="U142" s="74" t="e">
        <f>AVERAGE(Tableau1[[#This Row],[1ère composition]:[3è Composition]])</f>
        <v>#DIV/0!</v>
      </c>
    </row>
    <row r="143" spans="1:21" hidden="1" x14ac:dyDescent="0.2">
      <c r="A143" s="1" t="s">
        <v>2855</v>
      </c>
      <c r="B143" s="1" t="s">
        <v>2862</v>
      </c>
      <c r="C143" s="1" t="s">
        <v>3731</v>
      </c>
      <c r="D143" s="1"/>
      <c r="E143" s="1">
        <v>2020</v>
      </c>
      <c r="F143" s="1">
        <v>41</v>
      </c>
      <c r="G143" s="1">
        <v>234</v>
      </c>
      <c r="H143" s="76" t="str">
        <f>Tableau1[[#This Row],[Annee d''inscription au programme]]&amp;"-"&amp;Tableau1[[#This Row],[Code d''ecole]]&amp;"-"&amp;Tableau1[[#This Row],[Numero HM de la fille]]</f>
        <v>2020-41-234</v>
      </c>
      <c r="I143" s="1"/>
      <c r="J143" s="1" t="s">
        <v>374</v>
      </c>
      <c r="K143" s="35" t="s">
        <v>3518</v>
      </c>
      <c r="L143" s="35">
        <v>8</v>
      </c>
      <c r="M143" s="35">
        <v>11.5</v>
      </c>
      <c r="N143" s="35">
        <f t="shared" si="4"/>
        <v>9.75</v>
      </c>
      <c r="O143" s="35">
        <v>9.5</v>
      </c>
      <c r="P143" s="13">
        <v>8.5</v>
      </c>
      <c r="Q143" s="35">
        <f t="shared" si="5"/>
        <v>9</v>
      </c>
      <c r="R143" s="35"/>
      <c r="S143" s="35"/>
      <c r="T143" s="35"/>
      <c r="U143" s="74" t="e">
        <f>AVERAGE(Tableau1[[#This Row],[1ère composition]:[3è Composition]])</f>
        <v>#DIV/0!</v>
      </c>
    </row>
    <row r="144" spans="1:21" hidden="1" x14ac:dyDescent="0.2">
      <c r="A144" s="1" t="s">
        <v>2855</v>
      </c>
      <c r="B144" s="1" t="s">
        <v>2863</v>
      </c>
      <c r="C144" s="1" t="s">
        <v>3732</v>
      </c>
      <c r="D144" s="1"/>
      <c r="E144" s="1">
        <v>2021</v>
      </c>
      <c r="F144" s="1">
        <v>41</v>
      </c>
      <c r="G144" s="1">
        <v>4</v>
      </c>
      <c r="H144" s="76" t="str">
        <f>Tableau1[[#This Row],[Annee d''inscription au programme]]&amp;"-"&amp;Tableau1[[#This Row],[Code d''ecole]]&amp;"-"&amp;Tableau1[[#This Row],[Numero HM de la fille]]</f>
        <v>2021-41-4</v>
      </c>
      <c r="I144" s="1"/>
      <c r="J144" s="1" t="s">
        <v>593</v>
      </c>
      <c r="K144" s="35" t="s">
        <v>298</v>
      </c>
      <c r="L144" s="35">
        <v>6.5</v>
      </c>
      <c r="M144" s="35">
        <v>9</v>
      </c>
      <c r="N144" s="35">
        <f t="shared" si="4"/>
        <v>7.75</v>
      </c>
      <c r="O144" s="35">
        <v>7</v>
      </c>
      <c r="P144" s="13">
        <v>8.5</v>
      </c>
      <c r="Q144" s="35">
        <f t="shared" si="5"/>
        <v>7.75</v>
      </c>
      <c r="R144" s="35"/>
      <c r="S144" s="35"/>
      <c r="T144" s="35"/>
      <c r="U144" s="74" t="e">
        <f>AVERAGE(Tableau1[[#This Row],[1ère composition]:[3è Composition]])</f>
        <v>#DIV/0!</v>
      </c>
    </row>
    <row r="145" spans="1:21" hidden="1" x14ac:dyDescent="0.2">
      <c r="A145" s="1" t="s">
        <v>2855</v>
      </c>
      <c r="B145" s="1" t="s">
        <v>2864</v>
      </c>
      <c r="C145" s="1" t="s">
        <v>3732</v>
      </c>
      <c r="D145" s="1"/>
      <c r="E145" s="1">
        <v>2021</v>
      </c>
      <c r="F145" s="1">
        <v>41</v>
      </c>
      <c r="G145" s="1">
        <v>5</v>
      </c>
      <c r="H145" s="76" t="str">
        <f>Tableau1[[#This Row],[Annee d''inscription au programme]]&amp;"-"&amp;Tableau1[[#This Row],[Code d''ecole]]&amp;"-"&amp;Tableau1[[#This Row],[Numero HM de la fille]]</f>
        <v>2021-41-5</v>
      </c>
      <c r="I145" s="1"/>
      <c r="J145" s="1" t="s">
        <v>593</v>
      </c>
      <c r="K145" s="35" t="s">
        <v>298</v>
      </c>
      <c r="L145" s="35">
        <v>9</v>
      </c>
      <c r="M145" s="35">
        <v>11.5</v>
      </c>
      <c r="N145" s="35">
        <f t="shared" si="4"/>
        <v>10.25</v>
      </c>
      <c r="O145" s="35">
        <v>12</v>
      </c>
      <c r="P145" s="13">
        <v>10.5</v>
      </c>
      <c r="Q145" s="35">
        <f t="shared" si="5"/>
        <v>11.25</v>
      </c>
      <c r="R145" s="35"/>
      <c r="S145" s="35"/>
      <c r="T145" s="35"/>
      <c r="U145" s="74" t="e">
        <f>AVERAGE(Tableau1[[#This Row],[1ère composition]:[3è Composition]])</f>
        <v>#DIV/0!</v>
      </c>
    </row>
    <row r="146" spans="1:21" hidden="1" x14ac:dyDescent="0.2">
      <c r="A146" s="1" t="s">
        <v>2855</v>
      </c>
      <c r="B146" s="1" t="s">
        <v>1199</v>
      </c>
      <c r="C146" s="1" t="s">
        <v>3732</v>
      </c>
      <c r="D146" s="1"/>
      <c r="E146" s="1">
        <v>2021</v>
      </c>
      <c r="F146" s="1">
        <v>41</v>
      </c>
      <c r="G146" s="1">
        <v>6</v>
      </c>
      <c r="H146" s="76" t="str">
        <f>Tableau1[[#This Row],[Annee d''inscription au programme]]&amp;"-"&amp;Tableau1[[#This Row],[Code d''ecole]]&amp;"-"&amp;Tableau1[[#This Row],[Numero HM de la fille]]</f>
        <v>2021-41-6</v>
      </c>
      <c r="I146" s="1"/>
      <c r="J146" s="1" t="s">
        <v>593</v>
      </c>
      <c r="K146" s="35" t="s">
        <v>298</v>
      </c>
      <c r="L146" s="35">
        <v>14</v>
      </c>
      <c r="M146" s="35">
        <v>18.25</v>
      </c>
      <c r="N146" s="35">
        <f t="shared" si="4"/>
        <v>16.125</v>
      </c>
      <c r="O146" s="35">
        <v>9.5</v>
      </c>
      <c r="P146" s="13">
        <v>14</v>
      </c>
      <c r="Q146" s="35">
        <f t="shared" si="5"/>
        <v>11.75</v>
      </c>
      <c r="R146" s="35"/>
      <c r="S146" s="35"/>
      <c r="T146" s="35"/>
      <c r="U146" s="74" t="e">
        <f>AVERAGE(Tableau1[[#This Row],[1ère composition]:[3è Composition]])</f>
        <v>#DIV/0!</v>
      </c>
    </row>
    <row r="147" spans="1:21" hidden="1" x14ac:dyDescent="0.2">
      <c r="A147" s="1" t="s">
        <v>2855</v>
      </c>
      <c r="B147" s="1" t="s">
        <v>403</v>
      </c>
      <c r="C147" s="1" t="s">
        <v>3732</v>
      </c>
      <c r="D147" s="1"/>
      <c r="E147" s="1">
        <v>2021</v>
      </c>
      <c r="F147" s="1">
        <v>41</v>
      </c>
      <c r="G147" s="1">
        <v>7</v>
      </c>
      <c r="H147" s="76" t="str">
        <f>Tableau1[[#This Row],[Annee d''inscription au programme]]&amp;"-"&amp;Tableau1[[#This Row],[Code d''ecole]]&amp;"-"&amp;Tableau1[[#This Row],[Numero HM de la fille]]</f>
        <v>2021-41-7</v>
      </c>
      <c r="I147" s="1"/>
      <c r="J147" s="1" t="s">
        <v>593</v>
      </c>
      <c r="K147" s="35" t="s">
        <v>298</v>
      </c>
      <c r="L147" s="35">
        <v>7.5</v>
      </c>
      <c r="M147" s="35">
        <v>10</v>
      </c>
      <c r="N147" s="35">
        <f t="shared" si="4"/>
        <v>8.75</v>
      </c>
      <c r="O147" s="35">
        <v>13.5</v>
      </c>
      <c r="P147" s="13">
        <v>11.5</v>
      </c>
      <c r="Q147" s="35">
        <f t="shared" si="5"/>
        <v>12.5</v>
      </c>
      <c r="R147" s="35"/>
      <c r="S147" s="35"/>
      <c r="T147" s="35"/>
      <c r="U147" s="74" t="e">
        <f>AVERAGE(Tableau1[[#This Row],[1ère composition]:[3è Composition]])</f>
        <v>#DIV/0!</v>
      </c>
    </row>
    <row r="148" spans="1:21" hidden="1" x14ac:dyDescent="0.2">
      <c r="A148" s="1" t="s">
        <v>2855</v>
      </c>
      <c r="B148" s="1" t="s">
        <v>1167</v>
      </c>
      <c r="C148" s="1" t="s">
        <v>3731</v>
      </c>
      <c r="D148" s="1"/>
      <c r="E148" s="1">
        <v>2020</v>
      </c>
      <c r="F148" s="1">
        <v>41</v>
      </c>
      <c r="G148" s="1">
        <v>233</v>
      </c>
      <c r="H148" s="76" t="str">
        <f>Tableau1[[#This Row],[Annee d''inscription au programme]]&amp;"-"&amp;Tableau1[[#This Row],[Code d''ecole]]&amp;"-"&amp;Tableau1[[#This Row],[Numero HM de la fille]]</f>
        <v>2020-41-233</v>
      </c>
      <c r="I148" s="1"/>
      <c r="J148" s="1" t="s">
        <v>374</v>
      </c>
      <c r="K148" s="35" t="s">
        <v>3518</v>
      </c>
      <c r="L148" s="35">
        <v>6.5</v>
      </c>
      <c r="M148" s="35">
        <v>5</v>
      </c>
      <c r="N148" s="35">
        <f t="shared" si="4"/>
        <v>5.75</v>
      </c>
      <c r="O148" s="35">
        <v>5</v>
      </c>
      <c r="P148" s="13">
        <v>4.5</v>
      </c>
      <c r="Q148" s="35">
        <f t="shared" si="5"/>
        <v>4.75</v>
      </c>
      <c r="R148" s="35"/>
      <c r="S148" s="35"/>
      <c r="T148" s="35"/>
      <c r="U148" s="74" t="e">
        <f>AVERAGE(Tableau1[[#This Row],[1ère composition]:[3è Composition]])</f>
        <v>#DIV/0!</v>
      </c>
    </row>
    <row r="149" spans="1:21" hidden="1" x14ac:dyDescent="0.2">
      <c r="A149" s="1" t="s">
        <v>2855</v>
      </c>
      <c r="B149" s="1" t="s">
        <v>2865</v>
      </c>
      <c r="C149" s="1" t="s">
        <v>3731</v>
      </c>
      <c r="D149" s="1"/>
      <c r="E149" s="1">
        <v>2020</v>
      </c>
      <c r="F149" s="1">
        <v>41</v>
      </c>
      <c r="G149" s="1">
        <v>231</v>
      </c>
      <c r="H149" s="76" t="str">
        <f>Tableau1[[#This Row],[Annee d''inscription au programme]]&amp;"-"&amp;Tableau1[[#This Row],[Code d''ecole]]&amp;"-"&amp;Tableau1[[#This Row],[Numero HM de la fille]]</f>
        <v>2020-41-231</v>
      </c>
      <c r="I149" s="1"/>
      <c r="J149" s="1" t="s">
        <v>374</v>
      </c>
      <c r="K149" s="35" t="s">
        <v>3518</v>
      </c>
      <c r="L149" s="35">
        <v>5.5</v>
      </c>
      <c r="M149" s="35">
        <v>8</v>
      </c>
      <c r="N149" s="35">
        <f t="shared" si="4"/>
        <v>6.75</v>
      </c>
      <c r="O149" s="35">
        <v>11</v>
      </c>
      <c r="P149" s="35">
        <v>9</v>
      </c>
      <c r="Q149" s="35">
        <f t="shared" si="5"/>
        <v>10</v>
      </c>
      <c r="R149" s="35"/>
      <c r="S149" s="35"/>
      <c r="T149" s="35"/>
      <c r="U149" s="74" t="e">
        <f>AVERAGE(Tableau1[[#This Row],[1ère composition]:[3è Composition]])</f>
        <v>#DIV/0!</v>
      </c>
    </row>
    <row r="150" spans="1:21" hidden="1" x14ac:dyDescent="0.2">
      <c r="A150" s="1" t="s">
        <v>2855</v>
      </c>
      <c r="B150" s="1" t="s">
        <v>2866</v>
      </c>
      <c r="C150" s="1" t="s">
        <v>3732</v>
      </c>
      <c r="D150" s="1"/>
      <c r="E150" s="1">
        <v>2021</v>
      </c>
      <c r="F150" s="1">
        <v>41</v>
      </c>
      <c r="G150" s="1">
        <v>8</v>
      </c>
      <c r="H150" s="76" t="str">
        <f>Tableau1[[#This Row],[Annee d''inscription au programme]]&amp;"-"&amp;Tableau1[[#This Row],[Code d''ecole]]&amp;"-"&amp;Tableau1[[#This Row],[Numero HM de la fille]]</f>
        <v>2021-41-8</v>
      </c>
      <c r="I150" s="1"/>
      <c r="J150" s="1" t="s">
        <v>593</v>
      </c>
      <c r="K150" s="35" t="s">
        <v>298</v>
      </c>
      <c r="L150" s="35">
        <v>7.5</v>
      </c>
      <c r="M150" s="35">
        <v>9</v>
      </c>
      <c r="N150" s="35">
        <f t="shared" si="4"/>
        <v>8.25</v>
      </c>
      <c r="O150" s="35">
        <v>7</v>
      </c>
      <c r="P150" s="35">
        <v>9.75</v>
      </c>
      <c r="Q150" s="35">
        <f t="shared" si="5"/>
        <v>8.375</v>
      </c>
      <c r="R150" s="35"/>
      <c r="S150" s="35"/>
      <c r="T150" s="35"/>
      <c r="U150" s="74" t="e">
        <f>AVERAGE(Tableau1[[#This Row],[1ère composition]:[3è Composition]])</f>
        <v>#DIV/0!</v>
      </c>
    </row>
    <row r="151" spans="1:21" hidden="1" x14ac:dyDescent="0.2">
      <c r="A151" s="1" t="s">
        <v>2855</v>
      </c>
      <c r="B151" s="1" t="s">
        <v>2867</v>
      </c>
      <c r="C151" s="1" t="s">
        <v>3732</v>
      </c>
      <c r="D151" s="1"/>
      <c r="E151" s="1">
        <v>2021</v>
      </c>
      <c r="F151" s="1">
        <v>41</v>
      </c>
      <c r="G151" s="1">
        <v>9</v>
      </c>
      <c r="H151" s="76" t="str">
        <f>Tableau1[[#This Row],[Annee d''inscription au programme]]&amp;"-"&amp;Tableau1[[#This Row],[Code d''ecole]]&amp;"-"&amp;Tableau1[[#This Row],[Numero HM de la fille]]</f>
        <v>2021-41-9</v>
      </c>
      <c r="I151" s="1"/>
      <c r="J151" s="1" t="s">
        <v>593</v>
      </c>
      <c r="K151" s="35" t="s">
        <v>298</v>
      </c>
      <c r="L151" s="35">
        <v>3.5</v>
      </c>
      <c r="M151" s="35">
        <v>0.5</v>
      </c>
      <c r="N151" s="35">
        <f t="shared" si="4"/>
        <v>2</v>
      </c>
      <c r="O151" s="35"/>
      <c r="P151" s="35"/>
      <c r="Q151" s="35">
        <f t="shared" si="5"/>
        <v>0</v>
      </c>
      <c r="R151" s="35"/>
      <c r="S151" s="35"/>
      <c r="T151" s="35"/>
      <c r="U151" s="74" t="e">
        <f>AVERAGE(Tableau1[[#This Row],[1ère composition]:[3è Composition]])</f>
        <v>#DIV/0!</v>
      </c>
    </row>
    <row r="152" spans="1:21" hidden="1" x14ac:dyDescent="0.2">
      <c r="A152" s="1" t="s">
        <v>2855</v>
      </c>
      <c r="B152" s="1" t="s">
        <v>2868</v>
      </c>
      <c r="C152" s="1" t="s">
        <v>3732</v>
      </c>
      <c r="D152" s="1"/>
      <c r="E152" s="1">
        <v>2021</v>
      </c>
      <c r="F152" s="1">
        <v>41</v>
      </c>
      <c r="G152" s="1">
        <v>10</v>
      </c>
      <c r="H152" s="76" t="str">
        <f>Tableau1[[#This Row],[Annee d''inscription au programme]]&amp;"-"&amp;Tableau1[[#This Row],[Code d''ecole]]&amp;"-"&amp;Tableau1[[#This Row],[Numero HM de la fille]]</f>
        <v>2021-41-10</v>
      </c>
      <c r="I152" s="1"/>
      <c r="J152" s="1" t="s">
        <v>593</v>
      </c>
      <c r="K152" s="35" t="s">
        <v>298</v>
      </c>
      <c r="L152" s="35">
        <v>11</v>
      </c>
      <c r="M152" s="35">
        <v>10</v>
      </c>
      <c r="N152" s="35">
        <f t="shared" si="4"/>
        <v>10.5</v>
      </c>
      <c r="O152" s="35">
        <v>16.5</v>
      </c>
      <c r="P152" s="35">
        <v>15.75</v>
      </c>
      <c r="Q152" s="35">
        <f t="shared" si="5"/>
        <v>16.125</v>
      </c>
      <c r="R152" s="35"/>
      <c r="S152" s="35"/>
      <c r="T152" s="35"/>
      <c r="U152" s="74" t="e">
        <f>AVERAGE(Tableau1[[#This Row],[1ère composition]:[3è Composition]])</f>
        <v>#DIV/0!</v>
      </c>
    </row>
    <row r="153" spans="1:21" hidden="1" x14ac:dyDescent="0.2">
      <c r="A153" s="1" t="s">
        <v>2855</v>
      </c>
      <c r="B153" s="1" t="s">
        <v>2869</v>
      </c>
      <c r="C153" s="1" t="s">
        <v>3732</v>
      </c>
      <c r="D153" s="1"/>
      <c r="E153" s="1">
        <v>2021</v>
      </c>
      <c r="F153" s="1">
        <v>41</v>
      </c>
      <c r="G153" s="1">
        <v>11</v>
      </c>
      <c r="H153" s="76" t="str">
        <f>Tableau1[[#This Row],[Annee d''inscription au programme]]&amp;"-"&amp;Tableau1[[#This Row],[Code d''ecole]]&amp;"-"&amp;Tableau1[[#This Row],[Numero HM de la fille]]</f>
        <v>2021-41-11</v>
      </c>
      <c r="I153" s="1"/>
      <c r="J153" s="1" t="s">
        <v>593</v>
      </c>
      <c r="K153" s="35" t="s">
        <v>298</v>
      </c>
      <c r="L153" s="35">
        <v>3</v>
      </c>
      <c r="M153" s="35">
        <v>2</v>
      </c>
      <c r="N153" s="35">
        <f t="shared" si="4"/>
        <v>2.5</v>
      </c>
      <c r="O153" s="35"/>
      <c r="P153" s="35"/>
      <c r="Q153" s="35">
        <f t="shared" si="5"/>
        <v>0</v>
      </c>
      <c r="R153" s="35"/>
      <c r="S153" s="35"/>
      <c r="T153" s="35"/>
      <c r="U153" s="74" t="e">
        <f>AVERAGE(Tableau1[[#This Row],[1ère composition]:[3è Composition]])</f>
        <v>#DIV/0!</v>
      </c>
    </row>
    <row r="154" spans="1:21" hidden="1" x14ac:dyDescent="0.2">
      <c r="A154" s="1" t="s">
        <v>2855</v>
      </c>
      <c r="B154" s="1" t="s">
        <v>2870</v>
      </c>
      <c r="C154" s="1" t="s">
        <v>3732</v>
      </c>
      <c r="D154" s="1"/>
      <c r="E154" s="1">
        <v>2021</v>
      </c>
      <c r="F154" s="1">
        <v>41</v>
      </c>
      <c r="G154" s="1">
        <v>12</v>
      </c>
      <c r="H154" s="76" t="str">
        <f>Tableau1[[#This Row],[Annee d''inscription au programme]]&amp;"-"&amp;Tableau1[[#This Row],[Code d''ecole]]&amp;"-"&amp;Tableau1[[#This Row],[Numero HM de la fille]]</f>
        <v>2021-41-12</v>
      </c>
      <c r="I154" s="1"/>
      <c r="J154" s="1" t="s">
        <v>593</v>
      </c>
      <c r="K154" s="35" t="s">
        <v>298</v>
      </c>
      <c r="L154" s="35">
        <v>12.5</v>
      </c>
      <c r="M154" s="35">
        <v>19</v>
      </c>
      <c r="N154" s="35">
        <f t="shared" si="4"/>
        <v>15.75</v>
      </c>
      <c r="O154" s="35">
        <v>16.5</v>
      </c>
      <c r="P154" s="35">
        <v>16</v>
      </c>
      <c r="Q154" s="35">
        <f t="shared" si="5"/>
        <v>16.25</v>
      </c>
      <c r="R154" s="35"/>
      <c r="S154" s="35"/>
      <c r="T154" s="35"/>
      <c r="U154" s="74" t="e">
        <f>AVERAGE(Tableau1[[#This Row],[1ère composition]:[3è Composition]])</f>
        <v>#DIV/0!</v>
      </c>
    </row>
    <row r="155" spans="1:21" hidden="1" x14ac:dyDescent="0.2">
      <c r="A155" s="1" t="s">
        <v>63</v>
      </c>
      <c r="B155" s="1" t="s">
        <v>2871</v>
      </c>
      <c r="C155" s="1" t="s">
        <v>3576</v>
      </c>
      <c r="D155" s="1"/>
      <c r="E155" s="1">
        <v>2021</v>
      </c>
      <c r="F155" s="1">
        <v>18</v>
      </c>
      <c r="G155" s="1">
        <v>1</v>
      </c>
      <c r="H155" s="76" t="str">
        <f>Tableau1[[#This Row],[Annee d''inscription au programme]]&amp;"-"&amp;Tableau1[[#This Row],[Code d''ecole]]&amp;"-"&amp;Tableau1[[#This Row],[Numero HM de la fille]]</f>
        <v>2021-18-1</v>
      </c>
      <c r="I155" s="1"/>
      <c r="J155" s="1" t="s">
        <v>3505</v>
      </c>
      <c r="K155" s="35" t="s">
        <v>298</v>
      </c>
      <c r="L155" s="35">
        <v>10</v>
      </c>
      <c r="M155" s="35">
        <v>6</v>
      </c>
      <c r="N155" s="35">
        <f t="shared" si="4"/>
        <v>8</v>
      </c>
      <c r="O155" s="35">
        <v>10.5</v>
      </c>
      <c r="P155" s="35">
        <v>15</v>
      </c>
      <c r="Q155" s="35">
        <f t="shared" si="5"/>
        <v>12.75</v>
      </c>
      <c r="R155" s="35"/>
      <c r="S155" s="35"/>
      <c r="T155" s="35"/>
      <c r="U155" s="74" t="e">
        <f>AVERAGE(Tableau1[[#This Row],[1ère composition]:[3è Composition]])</f>
        <v>#DIV/0!</v>
      </c>
    </row>
    <row r="156" spans="1:21" hidden="1" x14ac:dyDescent="0.2">
      <c r="A156" s="1" t="s">
        <v>63</v>
      </c>
      <c r="B156" s="1" t="s">
        <v>665</v>
      </c>
      <c r="C156" s="1" t="s">
        <v>3577</v>
      </c>
      <c r="D156" s="1"/>
      <c r="E156" s="1">
        <v>2021</v>
      </c>
      <c r="F156" s="1">
        <v>18</v>
      </c>
      <c r="G156" s="1">
        <v>2</v>
      </c>
      <c r="H156" s="76" t="str">
        <f>Tableau1[[#This Row],[Annee d''inscription au programme]]&amp;"-"&amp;Tableau1[[#This Row],[Code d''ecole]]&amp;"-"&amp;Tableau1[[#This Row],[Numero HM de la fille]]</f>
        <v>2021-18-2</v>
      </c>
      <c r="I156" s="1"/>
      <c r="J156" s="1" t="s">
        <v>3505</v>
      </c>
      <c r="K156" s="35" t="s">
        <v>298</v>
      </c>
      <c r="L156" s="35">
        <v>7</v>
      </c>
      <c r="M156" s="35">
        <v>11.5</v>
      </c>
      <c r="N156" s="35">
        <f t="shared" si="4"/>
        <v>9.25</v>
      </c>
      <c r="O156" s="35">
        <v>10.5</v>
      </c>
      <c r="P156" s="35">
        <v>18</v>
      </c>
      <c r="Q156" s="35">
        <f t="shared" si="5"/>
        <v>14.25</v>
      </c>
      <c r="R156" s="35"/>
      <c r="S156" s="35"/>
      <c r="T156" s="35"/>
      <c r="U156" s="74" t="e">
        <f>AVERAGE(Tableau1[[#This Row],[1ère composition]:[3è Composition]])</f>
        <v>#DIV/0!</v>
      </c>
    </row>
    <row r="157" spans="1:21" hidden="1" x14ac:dyDescent="0.2">
      <c r="A157" s="1" t="s">
        <v>63</v>
      </c>
      <c r="B157" s="1" t="s">
        <v>2872</v>
      </c>
      <c r="C157" s="1" t="s">
        <v>3577</v>
      </c>
      <c r="D157" s="1"/>
      <c r="E157" s="1">
        <v>2021</v>
      </c>
      <c r="F157" s="1">
        <v>18</v>
      </c>
      <c r="G157" s="1">
        <v>3</v>
      </c>
      <c r="H157" s="76" t="str">
        <f>Tableau1[[#This Row],[Annee d''inscription au programme]]&amp;"-"&amp;Tableau1[[#This Row],[Code d''ecole]]&amp;"-"&amp;Tableau1[[#This Row],[Numero HM de la fille]]</f>
        <v>2021-18-3</v>
      </c>
      <c r="I157" s="1"/>
      <c r="J157" s="1" t="s">
        <v>3505</v>
      </c>
      <c r="K157" s="35" t="s">
        <v>298</v>
      </c>
      <c r="L157" s="35">
        <v>5.5</v>
      </c>
      <c r="M157" s="35">
        <v>5.25</v>
      </c>
      <c r="N157" s="35">
        <f t="shared" si="4"/>
        <v>5.375</v>
      </c>
      <c r="O157" s="35">
        <v>10.5</v>
      </c>
      <c r="P157" s="35">
        <v>11</v>
      </c>
      <c r="Q157" s="35">
        <f t="shared" si="5"/>
        <v>10.75</v>
      </c>
      <c r="R157" s="35"/>
      <c r="S157" s="35"/>
      <c r="T157" s="35"/>
      <c r="U157" s="74" t="e">
        <f>AVERAGE(Tableau1[[#This Row],[1ère composition]:[3è Composition]])</f>
        <v>#DIV/0!</v>
      </c>
    </row>
    <row r="158" spans="1:21" hidden="1" x14ac:dyDescent="0.2">
      <c r="A158" s="1" t="s">
        <v>63</v>
      </c>
      <c r="B158" s="1" t="s">
        <v>2873</v>
      </c>
      <c r="C158" s="1" t="s">
        <v>3577</v>
      </c>
      <c r="D158" s="1"/>
      <c r="E158" s="1">
        <v>2021</v>
      </c>
      <c r="F158" s="1">
        <v>18</v>
      </c>
      <c r="G158" s="1">
        <v>4</v>
      </c>
      <c r="H158" s="76" t="str">
        <f>Tableau1[[#This Row],[Annee d''inscription au programme]]&amp;"-"&amp;Tableau1[[#This Row],[Code d''ecole]]&amp;"-"&amp;Tableau1[[#This Row],[Numero HM de la fille]]</f>
        <v>2021-18-4</v>
      </c>
      <c r="I158" s="1"/>
      <c r="J158" s="1" t="s">
        <v>3505</v>
      </c>
      <c r="K158" s="35" t="s">
        <v>298</v>
      </c>
      <c r="L158" s="35">
        <v>7</v>
      </c>
      <c r="M158" s="35">
        <v>7</v>
      </c>
      <c r="N158" s="35">
        <f t="shared" si="4"/>
        <v>7</v>
      </c>
      <c r="O158" s="35">
        <v>4</v>
      </c>
      <c r="P158" s="35">
        <v>13.5</v>
      </c>
      <c r="Q158" s="35">
        <f t="shared" si="5"/>
        <v>8.75</v>
      </c>
      <c r="R158" s="35"/>
      <c r="S158" s="35"/>
      <c r="T158" s="35"/>
      <c r="U158" s="74" t="e">
        <f>AVERAGE(Tableau1[[#This Row],[1ère composition]:[3è Composition]])</f>
        <v>#DIV/0!</v>
      </c>
    </row>
    <row r="159" spans="1:21" hidden="1" x14ac:dyDescent="0.2">
      <c r="A159" s="1" t="s">
        <v>63</v>
      </c>
      <c r="B159" s="1" t="s">
        <v>2874</v>
      </c>
      <c r="C159" s="1" t="s">
        <v>3578</v>
      </c>
      <c r="D159" s="1"/>
      <c r="E159" s="1">
        <v>2021</v>
      </c>
      <c r="F159" s="1">
        <v>18</v>
      </c>
      <c r="G159" s="1">
        <v>5</v>
      </c>
      <c r="H159" s="76" t="str">
        <f>Tableau1[[#This Row],[Annee d''inscription au programme]]&amp;"-"&amp;Tableau1[[#This Row],[Code d''ecole]]&amp;"-"&amp;Tableau1[[#This Row],[Numero HM de la fille]]</f>
        <v>2021-18-5</v>
      </c>
      <c r="I159" s="1"/>
      <c r="J159" s="1" t="s">
        <v>593</v>
      </c>
      <c r="K159" s="35" t="s">
        <v>298</v>
      </c>
      <c r="L159" s="35">
        <v>9</v>
      </c>
      <c r="M159" s="35">
        <v>6</v>
      </c>
      <c r="N159" s="35">
        <f t="shared" si="4"/>
        <v>7.5</v>
      </c>
      <c r="O159" s="35">
        <v>8</v>
      </c>
      <c r="P159" s="35">
        <v>10.5</v>
      </c>
      <c r="Q159" s="35">
        <f t="shared" si="5"/>
        <v>9.25</v>
      </c>
      <c r="R159" s="35"/>
      <c r="S159" s="35"/>
      <c r="T159" s="35"/>
      <c r="U159" s="74" t="e">
        <f>AVERAGE(Tableau1[[#This Row],[1ère composition]:[3è Composition]])</f>
        <v>#DIV/0!</v>
      </c>
    </row>
    <row r="160" spans="1:21" hidden="1" x14ac:dyDescent="0.2">
      <c r="A160" s="1" t="s">
        <v>63</v>
      </c>
      <c r="B160" s="1" t="s">
        <v>2875</v>
      </c>
      <c r="C160" s="1" t="s">
        <v>3577</v>
      </c>
      <c r="D160" s="1"/>
      <c r="E160" s="1">
        <v>2021</v>
      </c>
      <c r="F160" s="1">
        <v>18</v>
      </c>
      <c r="G160" s="1">
        <v>6</v>
      </c>
      <c r="H160" s="76" t="str">
        <f>Tableau1[[#This Row],[Annee d''inscription au programme]]&amp;"-"&amp;Tableau1[[#This Row],[Code d''ecole]]&amp;"-"&amp;Tableau1[[#This Row],[Numero HM de la fille]]</f>
        <v>2021-18-6</v>
      </c>
      <c r="I160" s="1"/>
      <c r="J160" s="1" t="s">
        <v>3505</v>
      </c>
      <c r="K160" s="35" t="s">
        <v>298</v>
      </c>
      <c r="L160" s="35">
        <v>1.5</v>
      </c>
      <c r="M160" s="35">
        <v>3</v>
      </c>
      <c r="N160" s="35">
        <f t="shared" si="4"/>
        <v>2.25</v>
      </c>
      <c r="O160" s="35">
        <v>4</v>
      </c>
      <c r="P160" s="35">
        <v>5</v>
      </c>
      <c r="Q160" s="35">
        <f t="shared" si="5"/>
        <v>4.5</v>
      </c>
      <c r="R160" s="35"/>
      <c r="S160" s="35"/>
      <c r="T160" s="35"/>
      <c r="U160" s="74" t="e">
        <f>AVERAGE(Tableau1[[#This Row],[1ère composition]:[3è Composition]])</f>
        <v>#DIV/0!</v>
      </c>
    </row>
    <row r="161" spans="1:21" hidden="1" x14ac:dyDescent="0.2">
      <c r="A161" s="1" t="s">
        <v>63</v>
      </c>
      <c r="B161" s="1" t="s">
        <v>2876</v>
      </c>
      <c r="C161" s="1" t="s">
        <v>3577</v>
      </c>
      <c r="D161" s="1"/>
      <c r="E161" s="1">
        <v>2021</v>
      </c>
      <c r="F161" s="1">
        <v>18</v>
      </c>
      <c r="G161" s="1">
        <v>7</v>
      </c>
      <c r="H161" s="76" t="str">
        <f>Tableau1[[#This Row],[Annee d''inscription au programme]]&amp;"-"&amp;Tableau1[[#This Row],[Code d''ecole]]&amp;"-"&amp;Tableau1[[#This Row],[Numero HM de la fille]]</f>
        <v>2021-18-7</v>
      </c>
      <c r="I161" s="1"/>
      <c r="J161" s="1" t="s">
        <v>3505</v>
      </c>
      <c r="K161" s="35" t="s">
        <v>298</v>
      </c>
      <c r="L161" s="35">
        <v>0</v>
      </c>
      <c r="M161" s="35">
        <v>0</v>
      </c>
      <c r="N161" s="35">
        <f t="shared" si="4"/>
        <v>0</v>
      </c>
      <c r="O161" s="35">
        <v>13.5</v>
      </c>
      <c r="P161" s="35">
        <v>18.5</v>
      </c>
      <c r="Q161" s="35">
        <f t="shared" si="5"/>
        <v>16</v>
      </c>
      <c r="R161" s="35"/>
      <c r="S161" s="35"/>
      <c r="T161" s="35"/>
      <c r="U161" s="74" t="e">
        <f>AVERAGE(Tableau1[[#This Row],[1ère composition]:[3è Composition]])</f>
        <v>#DIV/0!</v>
      </c>
    </row>
    <row r="162" spans="1:21" hidden="1" x14ac:dyDescent="0.2">
      <c r="A162" s="1" t="s">
        <v>63</v>
      </c>
      <c r="B162" s="1" t="s">
        <v>2877</v>
      </c>
      <c r="C162" s="1"/>
      <c r="D162" s="1"/>
      <c r="E162" s="1">
        <v>2021</v>
      </c>
      <c r="F162" s="1">
        <v>18</v>
      </c>
      <c r="G162" s="1">
        <v>8</v>
      </c>
      <c r="H162" s="76" t="str">
        <f>Tableau1[[#This Row],[Annee d''inscription au programme]]&amp;"-"&amp;Tableau1[[#This Row],[Code d''ecole]]&amp;"-"&amp;Tableau1[[#This Row],[Numero HM de la fille]]</f>
        <v>2021-18-8</v>
      </c>
      <c r="I162" s="1"/>
      <c r="J162" s="1" t="s">
        <v>3505</v>
      </c>
      <c r="K162" s="35" t="s">
        <v>298</v>
      </c>
      <c r="L162" s="35">
        <v>0</v>
      </c>
      <c r="M162" s="35">
        <v>0</v>
      </c>
      <c r="N162" s="35">
        <f t="shared" si="4"/>
        <v>0</v>
      </c>
      <c r="O162" s="35">
        <v>10.5</v>
      </c>
      <c r="P162" s="35">
        <v>15.5</v>
      </c>
      <c r="Q162" s="35">
        <f t="shared" si="5"/>
        <v>13</v>
      </c>
      <c r="R162" s="35"/>
      <c r="S162" s="35"/>
      <c r="T162" s="35"/>
      <c r="U162" s="74" t="e">
        <f>AVERAGE(Tableau1[[#This Row],[1ère composition]:[3è Composition]])</f>
        <v>#DIV/0!</v>
      </c>
    </row>
    <row r="163" spans="1:21" hidden="1" x14ac:dyDescent="0.2">
      <c r="A163" s="1" t="s">
        <v>63</v>
      </c>
      <c r="B163" s="1" t="s">
        <v>2297</v>
      </c>
      <c r="C163" s="1" t="s">
        <v>3579</v>
      </c>
      <c r="D163" s="1"/>
      <c r="E163" s="1">
        <v>2020</v>
      </c>
      <c r="F163" s="1">
        <v>18</v>
      </c>
      <c r="G163" s="1">
        <v>51</v>
      </c>
      <c r="H163" s="76" t="str">
        <f>Tableau1[[#This Row],[Annee d''inscription au programme]]&amp;"-"&amp;Tableau1[[#This Row],[Code d''ecole]]&amp;"-"&amp;Tableau1[[#This Row],[Numero HM de la fille]]</f>
        <v>2020-18-51</v>
      </c>
      <c r="I163" s="1"/>
      <c r="J163" s="1" t="s">
        <v>374</v>
      </c>
      <c r="K163" s="35" t="s">
        <v>3518</v>
      </c>
      <c r="L163" s="35">
        <v>13</v>
      </c>
      <c r="M163" s="35">
        <v>14</v>
      </c>
      <c r="N163" s="35">
        <f t="shared" si="4"/>
        <v>13.5</v>
      </c>
      <c r="O163" s="35">
        <v>8.5</v>
      </c>
      <c r="P163" s="35">
        <v>12.5</v>
      </c>
      <c r="Q163" s="35">
        <f t="shared" si="5"/>
        <v>10.5</v>
      </c>
      <c r="R163" s="35"/>
      <c r="S163" s="35"/>
      <c r="T163" s="35"/>
      <c r="U163" s="74" t="e">
        <f>AVERAGE(Tableau1[[#This Row],[1ère composition]:[3è Composition]])</f>
        <v>#DIV/0!</v>
      </c>
    </row>
    <row r="164" spans="1:21" hidden="1" x14ac:dyDescent="0.2">
      <c r="A164" s="1" t="s">
        <v>63</v>
      </c>
      <c r="B164" s="1" t="s">
        <v>2878</v>
      </c>
      <c r="C164" s="1" t="s">
        <v>3580</v>
      </c>
      <c r="D164" s="1"/>
      <c r="E164" s="1">
        <v>2021</v>
      </c>
      <c r="F164" s="1">
        <v>18</v>
      </c>
      <c r="G164" s="1">
        <v>9</v>
      </c>
      <c r="H164" s="76" t="str">
        <f>Tableau1[[#This Row],[Annee d''inscription au programme]]&amp;"-"&amp;Tableau1[[#This Row],[Code d''ecole]]&amp;"-"&amp;Tableau1[[#This Row],[Numero HM de la fille]]</f>
        <v>2021-18-9</v>
      </c>
      <c r="I164" s="1"/>
      <c r="J164" s="1" t="s">
        <v>3505</v>
      </c>
      <c r="K164" s="35" t="s">
        <v>298</v>
      </c>
      <c r="L164" s="35">
        <v>3</v>
      </c>
      <c r="M164" s="35">
        <v>2.5</v>
      </c>
      <c r="N164" s="35">
        <f t="shared" si="4"/>
        <v>2.75</v>
      </c>
      <c r="O164" s="35">
        <v>20</v>
      </c>
      <c r="P164" s="35">
        <v>20</v>
      </c>
      <c r="Q164" s="35">
        <f t="shared" si="5"/>
        <v>20</v>
      </c>
      <c r="R164" s="35"/>
      <c r="S164" s="35"/>
      <c r="T164" s="35"/>
      <c r="U164" s="74" t="e">
        <f>AVERAGE(Tableau1[[#This Row],[1ère composition]:[3è Composition]])</f>
        <v>#DIV/0!</v>
      </c>
    </row>
    <row r="165" spans="1:21" hidden="1" x14ac:dyDescent="0.2">
      <c r="A165" s="1" t="s">
        <v>63</v>
      </c>
      <c r="B165" s="1" t="s">
        <v>2879</v>
      </c>
      <c r="C165" s="1" t="s">
        <v>3578</v>
      </c>
      <c r="D165" s="1"/>
      <c r="E165" s="1">
        <v>2021</v>
      </c>
      <c r="F165" s="1">
        <v>18</v>
      </c>
      <c r="G165" s="1">
        <v>10</v>
      </c>
      <c r="H165" s="76" t="str">
        <f>Tableau1[[#This Row],[Annee d''inscription au programme]]&amp;"-"&amp;Tableau1[[#This Row],[Code d''ecole]]&amp;"-"&amp;Tableau1[[#This Row],[Numero HM de la fille]]</f>
        <v>2021-18-10</v>
      </c>
      <c r="I165" s="1"/>
      <c r="J165" s="1" t="s">
        <v>3505</v>
      </c>
      <c r="K165" s="35" t="s">
        <v>298</v>
      </c>
      <c r="L165" s="35">
        <v>5.5</v>
      </c>
      <c r="M165" s="35">
        <v>11</v>
      </c>
      <c r="N165" s="35">
        <f t="shared" si="4"/>
        <v>8.25</v>
      </c>
      <c r="O165" s="35">
        <v>16.5</v>
      </c>
      <c r="P165" s="35">
        <v>17</v>
      </c>
      <c r="Q165" s="35">
        <f t="shared" si="5"/>
        <v>16.75</v>
      </c>
      <c r="R165" s="35"/>
      <c r="S165" s="35"/>
      <c r="T165" s="35"/>
      <c r="U165" s="74" t="e">
        <f>AVERAGE(Tableau1[[#This Row],[1ère composition]:[3è Composition]])</f>
        <v>#DIV/0!</v>
      </c>
    </row>
    <row r="166" spans="1:21" hidden="1" x14ac:dyDescent="0.2">
      <c r="A166" s="1" t="s">
        <v>63</v>
      </c>
      <c r="B166" s="1" t="s">
        <v>2880</v>
      </c>
      <c r="C166" s="1"/>
      <c r="D166" s="1"/>
      <c r="E166" s="1">
        <v>2021</v>
      </c>
      <c r="F166" s="1">
        <v>18</v>
      </c>
      <c r="G166" s="1">
        <v>11</v>
      </c>
      <c r="H166" s="76" t="str">
        <f>Tableau1[[#This Row],[Annee d''inscription au programme]]&amp;"-"&amp;Tableau1[[#This Row],[Code d''ecole]]&amp;"-"&amp;Tableau1[[#This Row],[Numero HM de la fille]]</f>
        <v>2021-18-11</v>
      </c>
      <c r="I166" s="1"/>
      <c r="J166" s="1" t="s">
        <v>3505</v>
      </c>
      <c r="K166" s="35" t="s">
        <v>298</v>
      </c>
      <c r="L166" s="35">
        <v>10</v>
      </c>
      <c r="M166" s="35">
        <v>19.5</v>
      </c>
      <c r="N166" s="35">
        <f t="shared" si="4"/>
        <v>14.75</v>
      </c>
      <c r="O166" s="35">
        <v>6.5</v>
      </c>
      <c r="P166" s="35">
        <v>7</v>
      </c>
      <c r="Q166" s="35">
        <f t="shared" si="5"/>
        <v>6.75</v>
      </c>
      <c r="R166" s="35"/>
      <c r="S166" s="35"/>
      <c r="T166" s="35"/>
      <c r="U166" s="74" t="e">
        <f>AVERAGE(Tableau1[[#This Row],[1ère composition]:[3è Composition]])</f>
        <v>#DIV/0!</v>
      </c>
    </row>
    <row r="167" spans="1:21" hidden="1" x14ac:dyDescent="0.2">
      <c r="A167" s="1" t="s">
        <v>63</v>
      </c>
      <c r="B167" s="1" t="s">
        <v>2881</v>
      </c>
      <c r="C167" s="1" t="s">
        <v>3577</v>
      </c>
      <c r="D167" s="1"/>
      <c r="E167" s="1">
        <v>2021</v>
      </c>
      <c r="F167" s="1">
        <v>18</v>
      </c>
      <c r="G167" s="1">
        <v>12</v>
      </c>
      <c r="H167" s="76" t="str">
        <f>Tableau1[[#This Row],[Annee d''inscription au programme]]&amp;"-"&amp;Tableau1[[#This Row],[Code d''ecole]]&amp;"-"&amp;Tableau1[[#This Row],[Numero HM de la fille]]</f>
        <v>2021-18-12</v>
      </c>
      <c r="I167" s="1"/>
      <c r="J167" s="1" t="s">
        <v>3505</v>
      </c>
      <c r="K167" s="35" t="s">
        <v>298</v>
      </c>
      <c r="L167" s="35">
        <v>10.5</v>
      </c>
      <c r="M167" s="35">
        <v>19.5</v>
      </c>
      <c r="N167" s="35">
        <f t="shared" si="4"/>
        <v>15</v>
      </c>
      <c r="O167" s="35">
        <v>10</v>
      </c>
      <c r="P167" s="35">
        <v>11</v>
      </c>
      <c r="Q167" s="35">
        <f t="shared" si="5"/>
        <v>10.5</v>
      </c>
      <c r="R167" s="35"/>
      <c r="S167" s="35"/>
      <c r="T167" s="35"/>
      <c r="U167" s="74" t="e">
        <f>AVERAGE(Tableau1[[#This Row],[1ère composition]:[3è Composition]])</f>
        <v>#DIV/0!</v>
      </c>
    </row>
    <row r="168" spans="1:21" hidden="1" x14ac:dyDescent="0.2">
      <c r="A168" s="1" t="s">
        <v>63</v>
      </c>
      <c r="B168" s="1" t="s">
        <v>2882</v>
      </c>
      <c r="C168" s="1" t="s">
        <v>3581</v>
      </c>
      <c r="D168" s="1"/>
      <c r="E168" s="1">
        <v>2021</v>
      </c>
      <c r="F168" s="1">
        <v>18</v>
      </c>
      <c r="G168" s="1">
        <v>13</v>
      </c>
      <c r="H168" s="76" t="str">
        <f>Tableau1[[#This Row],[Annee d''inscription au programme]]&amp;"-"&amp;Tableau1[[#This Row],[Code d''ecole]]&amp;"-"&amp;Tableau1[[#This Row],[Numero HM de la fille]]</f>
        <v>2021-18-13</v>
      </c>
      <c r="I168" s="1"/>
      <c r="J168" s="1" t="s">
        <v>3505</v>
      </c>
      <c r="K168" s="35" t="s">
        <v>298</v>
      </c>
      <c r="L168" s="35">
        <v>11</v>
      </c>
      <c r="M168" s="35">
        <v>10.25</v>
      </c>
      <c r="N168" s="35">
        <f t="shared" si="4"/>
        <v>10.625</v>
      </c>
      <c r="O168" s="35">
        <v>14</v>
      </c>
      <c r="P168" s="35">
        <v>20</v>
      </c>
      <c r="Q168" s="35">
        <f t="shared" si="5"/>
        <v>17</v>
      </c>
      <c r="R168" s="35"/>
      <c r="S168" s="35"/>
      <c r="T168" s="35"/>
      <c r="U168" s="74" t="e">
        <f>AVERAGE(Tableau1[[#This Row],[1ère composition]:[3è Composition]])</f>
        <v>#DIV/0!</v>
      </c>
    </row>
    <row r="169" spans="1:21" hidden="1" x14ac:dyDescent="0.2">
      <c r="A169" s="1" t="s">
        <v>63</v>
      </c>
      <c r="B169" s="1" t="s">
        <v>2883</v>
      </c>
      <c r="C169" s="1" t="s">
        <v>3582</v>
      </c>
      <c r="D169" s="1"/>
      <c r="E169" s="1">
        <v>2021</v>
      </c>
      <c r="F169" s="1">
        <v>18</v>
      </c>
      <c r="G169" s="1">
        <v>14</v>
      </c>
      <c r="H169" s="76" t="str">
        <f>Tableau1[[#This Row],[Annee d''inscription au programme]]&amp;"-"&amp;Tableau1[[#This Row],[Code d''ecole]]&amp;"-"&amp;Tableau1[[#This Row],[Numero HM de la fille]]</f>
        <v>2021-18-14</v>
      </c>
      <c r="I169" s="1"/>
      <c r="J169" s="1" t="s">
        <v>3505</v>
      </c>
      <c r="K169" s="35" t="s">
        <v>298</v>
      </c>
      <c r="L169" s="35">
        <v>7</v>
      </c>
      <c r="M169" s="35">
        <v>8.5</v>
      </c>
      <c r="N169" s="35">
        <f t="shared" si="4"/>
        <v>7.75</v>
      </c>
      <c r="O169" s="35">
        <v>15.5</v>
      </c>
      <c r="P169" s="35">
        <v>20</v>
      </c>
      <c r="Q169" s="35">
        <f t="shared" si="5"/>
        <v>17.75</v>
      </c>
      <c r="R169" s="35"/>
      <c r="S169" s="35"/>
      <c r="T169" s="35"/>
      <c r="U169" s="74" t="e">
        <f>AVERAGE(Tableau1[[#This Row],[1ère composition]:[3è Composition]])</f>
        <v>#DIV/0!</v>
      </c>
    </row>
    <row r="170" spans="1:21" hidden="1" x14ac:dyDescent="0.2">
      <c r="A170" s="1" t="s">
        <v>63</v>
      </c>
      <c r="B170" s="1" t="s">
        <v>2884</v>
      </c>
      <c r="C170" s="1" t="s">
        <v>3577</v>
      </c>
      <c r="D170" s="1"/>
      <c r="E170" s="1">
        <v>2021</v>
      </c>
      <c r="F170" s="1">
        <v>18</v>
      </c>
      <c r="G170" s="1">
        <v>15</v>
      </c>
      <c r="H170" s="76" t="str">
        <f>Tableau1[[#This Row],[Annee d''inscription au programme]]&amp;"-"&amp;Tableau1[[#This Row],[Code d''ecole]]&amp;"-"&amp;Tableau1[[#This Row],[Numero HM de la fille]]</f>
        <v>2021-18-15</v>
      </c>
      <c r="I170" s="1"/>
      <c r="J170" s="1" t="s">
        <v>3505</v>
      </c>
      <c r="K170" s="35" t="s">
        <v>298</v>
      </c>
      <c r="L170" s="35">
        <v>0</v>
      </c>
      <c r="M170" s="35">
        <v>0</v>
      </c>
      <c r="N170" s="35">
        <f t="shared" si="4"/>
        <v>0</v>
      </c>
      <c r="O170" s="35">
        <v>15.5</v>
      </c>
      <c r="P170" s="35">
        <v>18.5</v>
      </c>
      <c r="Q170" s="35">
        <f t="shared" si="5"/>
        <v>17</v>
      </c>
      <c r="R170" s="35"/>
      <c r="S170" s="35"/>
      <c r="T170" s="35"/>
      <c r="U170" s="74" t="e">
        <f>AVERAGE(Tableau1[[#This Row],[1ère composition]:[3è Composition]])</f>
        <v>#DIV/0!</v>
      </c>
    </row>
    <row r="171" spans="1:21" hidden="1" x14ac:dyDescent="0.2">
      <c r="A171" s="1" t="s">
        <v>63</v>
      </c>
      <c r="B171" s="1" t="s">
        <v>2885</v>
      </c>
      <c r="C171" s="1" t="s">
        <v>3577</v>
      </c>
      <c r="D171" s="1"/>
      <c r="E171" s="1">
        <v>2021</v>
      </c>
      <c r="F171" s="1">
        <v>18</v>
      </c>
      <c r="G171" s="1">
        <v>16</v>
      </c>
      <c r="H171" s="76" t="str">
        <f>Tableau1[[#This Row],[Annee d''inscription au programme]]&amp;"-"&amp;Tableau1[[#This Row],[Code d''ecole]]&amp;"-"&amp;Tableau1[[#This Row],[Numero HM de la fille]]</f>
        <v>2021-18-16</v>
      </c>
      <c r="I171" s="1"/>
      <c r="J171" s="1" t="s">
        <v>3505</v>
      </c>
      <c r="K171" s="35" t="s">
        <v>298</v>
      </c>
      <c r="L171" s="35">
        <v>1.5</v>
      </c>
      <c r="M171" s="35">
        <v>6.5</v>
      </c>
      <c r="N171" s="35">
        <f t="shared" si="4"/>
        <v>4</v>
      </c>
      <c r="O171" s="35">
        <v>6.5</v>
      </c>
      <c r="P171" s="35">
        <v>7</v>
      </c>
      <c r="Q171" s="35">
        <f t="shared" si="5"/>
        <v>6.75</v>
      </c>
      <c r="R171" s="35"/>
      <c r="S171" s="35"/>
      <c r="T171" s="35"/>
      <c r="U171" s="74" t="e">
        <f>AVERAGE(Tableau1[[#This Row],[1ère composition]:[3è Composition]])</f>
        <v>#DIV/0!</v>
      </c>
    </row>
    <row r="172" spans="1:21" hidden="1" x14ac:dyDescent="0.2">
      <c r="A172" s="1" t="s">
        <v>63</v>
      </c>
      <c r="B172" s="1" t="s">
        <v>2886</v>
      </c>
      <c r="C172" s="1" t="s">
        <v>3583</v>
      </c>
      <c r="D172" s="1"/>
      <c r="E172" s="1">
        <v>2020</v>
      </c>
      <c r="F172" s="1">
        <v>18</v>
      </c>
      <c r="G172" s="1">
        <v>96</v>
      </c>
      <c r="H172" s="76" t="str">
        <f>Tableau1[[#This Row],[Annee d''inscription au programme]]&amp;"-"&amp;Tableau1[[#This Row],[Code d''ecole]]&amp;"-"&amp;Tableau1[[#This Row],[Numero HM de la fille]]</f>
        <v>2020-18-96</v>
      </c>
      <c r="I172" s="1"/>
      <c r="J172" s="1" t="s">
        <v>374</v>
      </c>
      <c r="K172" s="35" t="s">
        <v>3518</v>
      </c>
      <c r="L172" s="35">
        <v>15.5</v>
      </c>
      <c r="M172" s="35">
        <v>20</v>
      </c>
      <c r="N172" s="35">
        <f t="shared" si="4"/>
        <v>17.75</v>
      </c>
      <c r="O172" s="35">
        <v>7.5</v>
      </c>
      <c r="P172" s="35">
        <v>8</v>
      </c>
      <c r="Q172" s="35">
        <f t="shared" si="5"/>
        <v>7.75</v>
      </c>
      <c r="R172" s="35"/>
      <c r="S172" s="35"/>
      <c r="T172" s="35"/>
      <c r="U172" s="74" t="e">
        <f>AVERAGE(Tableau1[[#This Row],[1ère composition]:[3è Composition]])</f>
        <v>#DIV/0!</v>
      </c>
    </row>
    <row r="173" spans="1:21" hidden="1" x14ac:dyDescent="0.2">
      <c r="A173" s="1" t="s">
        <v>63</v>
      </c>
      <c r="B173" s="1" t="s">
        <v>2887</v>
      </c>
      <c r="C173" s="1" t="s">
        <v>3584</v>
      </c>
      <c r="D173" s="1"/>
      <c r="E173" s="1">
        <v>2021</v>
      </c>
      <c r="F173" s="1">
        <v>18</v>
      </c>
      <c r="G173" s="1">
        <v>17</v>
      </c>
      <c r="H173" s="76" t="str">
        <f>Tableau1[[#This Row],[Annee d''inscription au programme]]&amp;"-"&amp;Tableau1[[#This Row],[Code d''ecole]]&amp;"-"&amp;Tableau1[[#This Row],[Numero HM de la fille]]</f>
        <v>2021-18-17</v>
      </c>
      <c r="I173" s="1"/>
      <c r="J173" s="1" t="s">
        <v>3505</v>
      </c>
      <c r="K173" s="35" t="s">
        <v>298</v>
      </c>
      <c r="L173" s="35">
        <v>12.5</v>
      </c>
      <c r="M173" s="35">
        <v>19.5</v>
      </c>
      <c r="N173" s="35">
        <f t="shared" si="4"/>
        <v>16</v>
      </c>
      <c r="O173" s="35">
        <v>20</v>
      </c>
      <c r="P173" s="35">
        <v>20</v>
      </c>
      <c r="Q173" s="35">
        <f t="shared" si="5"/>
        <v>20</v>
      </c>
      <c r="R173" s="35"/>
      <c r="S173" s="35"/>
      <c r="T173" s="35"/>
      <c r="U173" s="74" t="e">
        <f>AVERAGE(Tableau1[[#This Row],[1ère composition]:[3è Composition]])</f>
        <v>#DIV/0!</v>
      </c>
    </row>
    <row r="174" spans="1:21" hidden="1" x14ac:dyDescent="0.2">
      <c r="A174" s="1" t="s">
        <v>63</v>
      </c>
      <c r="B174" s="1" t="s">
        <v>2888</v>
      </c>
      <c r="C174" s="1" t="s">
        <v>3584</v>
      </c>
      <c r="D174" s="1"/>
      <c r="E174" s="1">
        <v>2021</v>
      </c>
      <c r="F174" s="1">
        <v>18</v>
      </c>
      <c r="G174" s="1">
        <v>18</v>
      </c>
      <c r="H174" s="76" t="str">
        <f>Tableau1[[#This Row],[Annee d''inscription au programme]]&amp;"-"&amp;Tableau1[[#This Row],[Code d''ecole]]&amp;"-"&amp;Tableau1[[#This Row],[Numero HM de la fille]]</f>
        <v>2021-18-18</v>
      </c>
      <c r="I174" s="1"/>
      <c r="J174" s="1" t="s">
        <v>3505</v>
      </c>
      <c r="K174" s="35" t="s">
        <v>298</v>
      </c>
      <c r="L174" s="35">
        <v>11</v>
      </c>
      <c r="M174" s="35">
        <v>12.5</v>
      </c>
      <c r="N174" s="35">
        <f t="shared" si="4"/>
        <v>11.75</v>
      </c>
      <c r="O174" s="35">
        <v>5</v>
      </c>
      <c r="P174" s="35">
        <v>3</v>
      </c>
      <c r="Q174" s="35">
        <f t="shared" si="5"/>
        <v>4</v>
      </c>
      <c r="R174" s="35"/>
      <c r="S174" s="35"/>
      <c r="T174" s="35"/>
      <c r="U174" s="74" t="e">
        <f>AVERAGE(Tableau1[[#This Row],[1ère composition]:[3è Composition]])</f>
        <v>#DIV/0!</v>
      </c>
    </row>
    <row r="175" spans="1:21" hidden="1" x14ac:dyDescent="0.2">
      <c r="A175" s="1" t="s">
        <v>63</v>
      </c>
      <c r="B175" s="1" t="s">
        <v>2889</v>
      </c>
      <c r="C175" s="1" t="s">
        <v>3577</v>
      </c>
      <c r="D175" s="1"/>
      <c r="E175" s="1">
        <v>2021</v>
      </c>
      <c r="F175" s="1">
        <v>18</v>
      </c>
      <c r="G175" s="1">
        <v>19</v>
      </c>
      <c r="H175" s="76" t="str">
        <f>Tableau1[[#This Row],[Annee d''inscription au programme]]&amp;"-"&amp;Tableau1[[#This Row],[Code d''ecole]]&amp;"-"&amp;Tableau1[[#This Row],[Numero HM de la fille]]</f>
        <v>2021-18-19</v>
      </c>
      <c r="I175" s="1"/>
      <c r="J175" s="1" t="s">
        <v>3505</v>
      </c>
      <c r="K175" s="35" t="s">
        <v>298</v>
      </c>
      <c r="L175" s="35">
        <v>0</v>
      </c>
      <c r="M175" s="35">
        <v>0</v>
      </c>
      <c r="N175" s="35">
        <f t="shared" si="4"/>
        <v>0</v>
      </c>
      <c r="O175" s="35">
        <v>18.5</v>
      </c>
      <c r="P175" s="35">
        <v>20</v>
      </c>
      <c r="Q175" s="35">
        <f t="shared" si="5"/>
        <v>19.25</v>
      </c>
      <c r="R175" s="35"/>
      <c r="S175" s="35"/>
      <c r="T175" s="35"/>
      <c r="U175" s="74" t="e">
        <f>AVERAGE(Tableau1[[#This Row],[1ère composition]:[3è Composition]])</f>
        <v>#DIV/0!</v>
      </c>
    </row>
    <row r="176" spans="1:21" hidden="1" x14ac:dyDescent="0.2">
      <c r="A176" s="1" t="s">
        <v>63</v>
      </c>
      <c r="B176" s="1" t="s">
        <v>2890</v>
      </c>
      <c r="C176" s="1" t="s">
        <v>3577</v>
      </c>
      <c r="D176" s="1"/>
      <c r="E176" s="1">
        <v>2021</v>
      </c>
      <c r="F176" s="1">
        <v>18</v>
      </c>
      <c r="G176" s="1">
        <v>20</v>
      </c>
      <c r="H176" s="76" t="str">
        <f>Tableau1[[#This Row],[Annee d''inscription au programme]]&amp;"-"&amp;Tableau1[[#This Row],[Code d''ecole]]&amp;"-"&amp;Tableau1[[#This Row],[Numero HM de la fille]]</f>
        <v>2021-18-20</v>
      </c>
      <c r="I176" s="1"/>
      <c r="J176" s="1" t="s">
        <v>3505</v>
      </c>
      <c r="K176" s="35" t="s">
        <v>298</v>
      </c>
      <c r="L176" s="35">
        <v>2</v>
      </c>
      <c r="M176" s="35">
        <v>2.5</v>
      </c>
      <c r="N176" s="35">
        <f t="shared" si="4"/>
        <v>2.25</v>
      </c>
      <c r="O176" s="35">
        <v>14.5</v>
      </c>
      <c r="P176" s="35">
        <v>20</v>
      </c>
      <c r="Q176" s="35">
        <f t="shared" si="5"/>
        <v>17.25</v>
      </c>
      <c r="R176" s="35"/>
      <c r="S176" s="35"/>
      <c r="T176" s="35"/>
      <c r="U176" s="74" t="e">
        <f>AVERAGE(Tableau1[[#This Row],[1ère composition]:[3è Composition]])</f>
        <v>#DIV/0!</v>
      </c>
    </row>
    <row r="177" spans="1:21" hidden="1" x14ac:dyDescent="0.2">
      <c r="A177" s="1" t="s">
        <v>63</v>
      </c>
      <c r="B177" s="1" t="s">
        <v>2891</v>
      </c>
      <c r="C177" s="1" t="s">
        <v>3577</v>
      </c>
      <c r="D177" s="1"/>
      <c r="E177" s="1">
        <v>2021</v>
      </c>
      <c r="F177" s="1">
        <v>18</v>
      </c>
      <c r="G177" s="1">
        <v>21</v>
      </c>
      <c r="H177" s="76" t="str">
        <f>Tableau1[[#This Row],[Annee d''inscription au programme]]&amp;"-"&amp;Tableau1[[#This Row],[Code d''ecole]]&amp;"-"&amp;Tableau1[[#This Row],[Numero HM de la fille]]</f>
        <v>2021-18-21</v>
      </c>
      <c r="I177" s="1"/>
      <c r="J177" s="1" t="s">
        <v>3505</v>
      </c>
      <c r="K177" s="35" t="s">
        <v>298</v>
      </c>
      <c r="L177" s="35">
        <v>7.5</v>
      </c>
      <c r="M177" s="35">
        <v>6.5</v>
      </c>
      <c r="N177" s="35">
        <f t="shared" si="4"/>
        <v>7</v>
      </c>
      <c r="O177" s="35">
        <v>10</v>
      </c>
      <c r="P177" s="35">
        <v>17</v>
      </c>
      <c r="Q177" s="35">
        <f t="shared" si="5"/>
        <v>13.5</v>
      </c>
      <c r="R177" s="35"/>
      <c r="S177" s="35"/>
      <c r="T177" s="35"/>
      <c r="U177" s="74" t="e">
        <f>AVERAGE(Tableau1[[#This Row],[1ère composition]:[3è Composition]])</f>
        <v>#DIV/0!</v>
      </c>
    </row>
    <row r="178" spans="1:21" hidden="1" x14ac:dyDescent="0.2">
      <c r="A178" s="1" t="s">
        <v>63</v>
      </c>
      <c r="B178" s="1" t="s">
        <v>2734</v>
      </c>
      <c r="C178" s="1"/>
      <c r="D178" s="1"/>
      <c r="E178" s="1">
        <v>2020</v>
      </c>
      <c r="F178" s="1">
        <v>18</v>
      </c>
      <c r="G178" s="1">
        <v>95</v>
      </c>
      <c r="H178" s="76" t="str">
        <f>Tableau1[[#This Row],[Annee d''inscription au programme]]&amp;"-"&amp;Tableau1[[#This Row],[Code d''ecole]]&amp;"-"&amp;Tableau1[[#This Row],[Numero HM de la fille]]</f>
        <v>2020-18-95</v>
      </c>
      <c r="I178" s="1"/>
      <c r="J178" s="1" t="s">
        <v>374</v>
      </c>
      <c r="K178" s="35" t="s">
        <v>3518</v>
      </c>
      <c r="L178" s="35">
        <v>9</v>
      </c>
      <c r="M178" s="35">
        <v>6.75</v>
      </c>
      <c r="N178" s="35">
        <f t="shared" si="4"/>
        <v>7.875</v>
      </c>
      <c r="O178" s="35">
        <v>4</v>
      </c>
      <c r="P178" s="35">
        <v>12</v>
      </c>
      <c r="Q178" s="35">
        <f t="shared" si="5"/>
        <v>8</v>
      </c>
      <c r="R178" s="35"/>
      <c r="S178" s="35"/>
      <c r="T178" s="35"/>
      <c r="U178" s="74" t="e">
        <f>AVERAGE(Tableau1[[#This Row],[1ère composition]:[3è Composition]])</f>
        <v>#DIV/0!</v>
      </c>
    </row>
    <row r="179" spans="1:21" hidden="1" x14ac:dyDescent="0.2">
      <c r="A179" s="1" t="s">
        <v>63</v>
      </c>
      <c r="B179" s="1" t="s">
        <v>2892</v>
      </c>
      <c r="C179" s="1" t="s">
        <v>3585</v>
      </c>
      <c r="D179" s="1"/>
      <c r="E179" s="1">
        <v>2021</v>
      </c>
      <c r="F179" s="1">
        <v>18</v>
      </c>
      <c r="G179" s="1">
        <v>22</v>
      </c>
      <c r="H179" s="76" t="str">
        <f>Tableau1[[#This Row],[Annee d''inscription au programme]]&amp;"-"&amp;Tableau1[[#This Row],[Code d''ecole]]&amp;"-"&amp;Tableau1[[#This Row],[Numero HM de la fille]]</f>
        <v>2021-18-22</v>
      </c>
      <c r="I179" s="1"/>
      <c r="J179" s="1" t="s">
        <v>3505</v>
      </c>
      <c r="K179" s="35" t="s">
        <v>298</v>
      </c>
      <c r="L179" s="35">
        <v>12.5</v>
      </c>
      <c r="M179" s="35">
        <v>19.5</v>
      </c>
      <c r="N179" s="35">
        <f t="shared" si="4"/>
        <v>16</v>
      </c>
      <c r="O179" s="35">
        <v>12</v>
      </c>
      <c r="P179" s="35">
        <v>7</v>
      </c>
      <c r="Q179" s="35">
        <f t="shared" si="5"/>
        <v>9.5</v>
      </c>
      <c r="R179" s="35"/>
      <c r="S179" s="35"/>
      <c r="T179" s="35"/>
      <c r="U179" s="74" t="e">
        <f>AVERAGE(Tableau1[[#This Row],[1ère composition]:[3è Composition]])</f>
        <v>#DIV/0!</v>
      </c>
    </row>
    <row r="180" spans="1:21" hidden="1" x14ac:dyDescent="0.2">
      <c r="A180" s="1" t="s">
        <v>63</v>
      </c>
      <c r="B180" s="1" t="s">
        <v>869</v>
      </c>
      <c r="C180" s="1" t="s">
        <v>3586</v>
      </c>
      <c r="D180" s="1"/>
      <c r="E180" s="1">
        <v>2021</v>
      </c>
      <c r="F180" s="1">
        <v>18</v>
      </c>
      <c r="G180" s="1">
        <v>23</v>
      </c>
      <c r="H180" s="76" t="str">
        <f>Tableau1[[#This Row],[Annee d''inscription au programme]]&amp;"-"&amp;Tableau1[[#This Row],[Code d''ecole]]&amp;"-"&amp;Tableau1[[#This Row],[Numero HM de la fille]]</f>
        <v>2021-18-23</v>
      </c>
      <c r="I180" s="1"/>
      <c r="J180" s="1" t="s">
        <v>3505</v>
      </c>
      <c r="K180" s="35" t="s">
        <v>298</v>
      </c>
      <c r="L180" s="35">
        <v>12.5</v>
      </c>
      <c r="M180" s="35">
        <v>14</v>
      </c>
      <c r="N180" s="35">
        <f t="shared" si="4"/>
        <v>13.25</v>
      </c>
      <c r="O180" s="35">
        <v>12</v>
      </c>
      <c r="P180" s="35">
        <v>10</v>
      </c>
      <c r="Q180" s="35">
        <f t="shared" si="5"/>
        <v>11</v>
      </c>
      <c r="R180" s="35"/>
      <c r="S180" s="35"/>
      <c r="T180" s="35"/>
      <c r="U180" s="74" t="e">
        <f>AVERAGE(Tableau1[[#This Row],[1ère composition]:[3è Composition]])</f>
        <v>#DIV/0!</v>
      </c>
    </row>
    <row r="181" spans="1:21" hidden="1" x14ac:dyDescent="0.2">
      <c r="A181" s="1" t="s">
        <v>63</v>
      </c>
      <c r="B181" s="1" t="s">
        <v>2893</v>
      </c>
      <c r="C181" s="1" t="s">
        <v>3587</v>
      </c>
      <c r="D181" s="1"/>
      <c r="E181" s="1">
        <v>2021</v>
      </c>
      <c r="F181" s="1">
        <v>18</v>
      </c>
      <c r="G181" s="1">
        <v>24</v>
      </c>
      <c r="H181" s="76" t="str">
        <f>Tableau1[[#This Row],[Annee d''inscription au programme]]&amp;"-"&amp;Tableau1[[#This Row],[Code d''ecole]]&amp;"-"&amp;Tableau1[[#This Row],[Numero HM de la fille]]</f>
        <v>2021-18-24</v>
      </c>
      <c r="I181" s="1"/>
      <c r="J181" s="1" t="s">
        <v>3505</v>
      </c>
      <c r="K181" s="35" t="s">
        <v>298</v>
      </c>
      <c r="L181" s="35">
        <v>13.5</v>
      </c>
      <c r="M181" s="35">
        <v>19.5</v>
      </c>
      <c r="N181" s="35">
        <f t="shared" si="4"/>
        <v>16.5</v>
      </c>
      <c r="O181" s="35">
        <v>14</v>
      </c>
      <c r="P181" s="35">
        <v>20</v>
      </c>
      <c r="Q181" s="35">
        <f t="shared" si="5"/>
        <v>17</v>
      </c>
      <c r="R181" s="35"/>
      <c r="S181" s="35"/>
      <c r="T181" s="35"/>
      <c r="U181" s="74" t="e">
        <f>AVERAGE(Tableau1[[#This Row],[1ère composition]:[3è Composition]])</f>
        <v>#DIV/0!</v>
      </c>
    </row>
    <row r="182" spans="1:21" hidden="1" x14ac:dyDescent="0.2">
      <c r="A182" s="1" t="s">
        <v>63</v>
      </c>
      <c r="B182" s="1" t="s">
        <v>2894</v>
      </c>
      <c r="C182" s="1" t="s">
        <v>3587</v>
      </c>
      <c r="D182" s="1"/>
      <c r="E182" s="1">
        <v>2021</v>
      </c>
      <c r="F182" s="1">
        <v>18</v>
      </c>
      <c r="G182" s="1">
        <v>25</v>
      </c>
      <c r="H182" s="76" t="str">
        <f>Tableau1[[#This Row],[Annee d''inscription au programme]]&amp;"-"&amp;Tableau1[[#This Row],[Code d''ecole]]&amp;"-"&amp;Tableau1[[#This Row],[Numero HM de la fille]]</f>
        <v>2021-18-25</v>
      </c>
      <c r="I182" s="1"/>
      <c r="J182" s="1" t="s">
        <v>3505</v>
      </c>
      <c r="K182" s="35" t="s">
        <v>298</v>
      </c>
      <c r="L182" s="91" t="s">
        <v>1275</v>
      </c>
      <c r="M182" s="35">
        <v>14</v>
      </c>
      <c r="N182" s="35">
        <f t="shared" si="4"/>
        <v>13.5</v>
      </c>
      <c r="O182" s="35">
        <v>18</v>
      </c>
      <c r="P182" s="35">
        <v>18.5</v>
      </c>
      <c r="Q182" s="35">
        <f t="shared" si="5"/>
        <v>18.25</v>
      </c>
      <c r="R182" s="35"/>
      <c r="S182" s="35"/>
      <c r="T182" s="35"/>
      <c r="U182" s="74" t="e">
        <f>AVERAGE(Tableau1[[#This Row],[1ère composition]:[3è Composition]])</f>
        <v>#DIV/0!</v>
      </c>
    </row>
    <row r="183" spans="1:21" hidden="1" x14ac:dyDescent="0.2">
      <c r="A183" s="1" t="s">
        <v>2895</v>
      </c>
      <c r="B183" s="1" t="s">
        <v>2896</v>
      </c>
      <c r="C183" s="1" t="s">
        <v>3598</v>
      </c>
      <c r="D183" s="1"/>
      <c r="E183" s="1">
        <v>2021</v>
      </c>
      <c r="F183" s="1">
        <v>62</v>
      </c>
      <c r="G183" s="1">
        <v>1</v>
      </c>
      <c r="H183" s="76" t="str">
        <f>Tableau1[[#This Row],[Annee d''inscription au programme]]&amp;"-"&amp;Tableau1[[#This Row],[Code d''ecole]]&amp;"-"&amp;Tableau1[[#This Row],[Numero HM de la fille]]</f>
        <v>2021-62-1</v>
      </c>
      <c r="I183" s="1"/>
      <c r="J183" s="1" t="s">
        <v>3505</v>
      </c>
      <c r="K183" s="35" t="s">
        <v>298</v>
      </c>
      <c r="L183" s="35">
        <v>15</v>
      </c>
      <c r="M183" s="35">
        <v>17</v>
      </c>
      <c r="N183" s="35">
        <f t="shared" si="4"/>
        <v>16</v>
      </c>
      <c r="O183" s="35">
        <v>11.5</v>
      </c>
      <c r="P183" s="35">
        <v>18.5</v>
      </c>
      <c r="Q183" s="35">
        <f t="shared" si="5"/>
        <v>15</v>
      </c>
      <c r="R183" s="35"/>
      <c r="S183" s="35"/>
      <c r="T183" s="35"/>
      <c r="U183" s="74" t="e">
        <f>AVERAGE(Tableau1[[#This Row],[1ère composition]:[3è Composition]])</f>
        <v>#DIV/0!</v>
      </c>
    </row>
    <row r="184" spans="1:21" hidden="1" x14ac:dyDescent="0.2">
      <c r="A184" s="1" t="s">
        <v>2895</v>
      </c>
      <c r="B184" s="1" t="s">
        <v>2897</v>
      </c>
      <c r="C184" s="1" t="s">
        <v>3598</v>
      </c>
      <c r="D184" s="1"/>
      <c r="E184" s="1">
        <v>2021</v>
      </c>
      <c r="F184" s="1">
        <v>62</v>
      </c>
      <c r="G184" s="1">
        <v>2</v>
      </c>
      <c r="H184" s="76" t="str">
        <f>Tableau1[[#This Row],[Annee d''inscription au programme]]&amp;"-"&amp;Tableau1[[#This Row],[Code d''ecole]]&amp;"-"&amp;Tableau1[[#This Row],[Numero HM de la fille]]</f>
        <v>2021-62-2</v>
      </c>
      <c r="I184" s="1"/>
      <c r="J184" s="1" t="s">
        <v>3505</v>
      </c>
      <c r="K184" s="35" t="s">
        <v>298</v>
      </c>
      <c r="L184" s="35">
        <v>15.75</v>
      </c>
      <c r="M184" s="35">
        <v>19</v>
      </c>
      <c r="N184" s="35">
        <f t="shared" si="4"/>
        <v>17.375</v>
      </c>
      <c r="O184" s="35">
        <v>14</v>
      </c>
      <c r="P184" s="35">
        <v>19.5</v>
      </c>
      <c r="Q184" s="35">
        <f t="shared" si="5"/>
        <v>16.75</v>
      </c>
      <c r="R184" s="35"/>
      <c r="S184" s="35"/>
      <c r="T184" s="35"/>
      <c r="U184" s="74" t="e">
        <f>AVERAGE(Tableau1[[#This Row],[1ère composition]:[3è Composition]])</f>
        <v>#DIV/0!</v>
      </c>
    </row>
    <row r="185" spans="1:21" hidden="1" x14ac:dyDescent="0.2">
      <c r="A185" s="1" t="s">
        <v>2895</v>
      </c>
      <c r="B185" s="1" t="s">
        <v>2899</v>
      </c>
      <c r="C185" s="1" t="s">
        <v>3598</v>
      </c>
      <c r="D185" s="1"/>
      <c r="E185" s="1">
        <v>2021</v>
      </c>
      <c r="F185" s="1">
        <v>62</v>
      </c>
      <c r="G185" s="1">
        <v>3</v>
      </c>
      <c r="H185" s="76" t="str">
        <f>Tableau1[[#This Row],[Annee d''inscription au programme]]&amp;"-"&amp;Tableau1[[#This Row],[Code d''ecole]]&amp;"-"&amp;Tableau1[[#This Row],[Numero HM de la fille]]</f>
        <v>2021-62-3</v>
      </c>
      <c r="I185" s="1"/>
      <c r="J185" s="1" t="s">
        <v>3505</v>
      </c>
      <c r="K185" s="35" t="s">
        <v>298</v>
      </c>
      <c r="L185" s="35">
        <v>14.5</v>
      </c>
      <c r="M185" s="35">
        <v>17</v>
      </c>
      <c r="N185" s="35">
        <f t="shared" si="4"/>
        <v>15.75</v>
      </c>
      <c r="O185" s="35">
        <v>13.5</v>
      </c>
      <c r="P185" s="35">
        <v>18.5</v>
      </c>
      <c r="Q185" s="35">
        <f t="shared" si="5"/>
        <v>16</v>
      </c>
      <c r="R185" s="35"/>
      <c r="S185" s="35"/>
      <c r="T185" s="35"/>
      <c r="U185" s="74" t="e">
        <f>AVERAGE(Tableau1[[#This Row],[1ère composition]:[3è Composition]])</f>
        <v>#DIV/0!</v>
      </c>
    </row>
    <row r="186" spans="1:21" hidden="1" x14ac:dyDescent="0.2">
      <c r="A186" s="1" t="s">
        <v>2895</v>
      </c>
      <c r="B186" s="1" t="s">
        <v>2900</v>
      </c>
      <c r="C186" s="1" t="s">
        <v>3598</v>
      </c>
      <c r="D186" s="1"/>
      <c r="E186" s="1">
        <v>2021</v>
      </c>
      <c r="F186" s="1">
        <v>62</v>
      </c>
      <c r="G186" s="1">
        <v>4</v>
      </c>
      <c r="H186" s="76" t="str">
        <f>Tableau1[[#This Row],[Annee d''inscription au programme]]&amp;"-"&amp;Tableau1[[#This Row],[Code d''ecole]]&amp;"-"&amp;Tableau1[[#This Row],[Numero HM de la fille]]</f>
        <v>2021-62-4</v>
      </c>
      <c r="I186" s="1"/>
      <c r="J186" s="1" t="s">
        <v>3505</v>
      </c>
      <c r="K186" s="35" t="s">
        <v>298</v>
      </c>
      <c r="L186" s="35">
        <v>8</v>
      </c>
      <c r="M186" s="35">
        <v>14</v>
      </c>
      <c r="N186" s="35">
        <f t="shared" si="4"/>
        <v>11</v>
      </c>
      <c r="O186" s="35">
        <v>8.5</v>
      </c>
      <c r="P186" s="35">
        <v>14.25</v>
      </c>
      <c r="Q186" s="35">
        <f t="shared" si="5"/>
        <v>11.375</v>
      </c>
      <c r="R186" s="35"/>
      <c r="S186" s="35"/>
      <c r="T186" s="35"/>
      <c r="U186" s="74" t="e">
        <f>AVERAGE(Tableau1[[#This Row],[1ère composition]:[3è Composition]])</f>
        <v>#DIV/0!</v>
      </c>
    </row>
    <row r="187" spans="1:21" hidden="1" x14ac:dyDescent="0.2">
      <c r="A187" s="1" t="s">
        <v>2895</v>
      </c>
      <c r="B187" s="1" t="s">
        <v>2901</v>
      </c>
      <c r="C187" s="1" t="s">
        <v>3598</v>
      </c>
      <c r="D187" s="1"/>
      <c r="E187" s="1">
        <v>2021</v>
      </c>
      <c r="F187" s="1">
        <v>62</v>
      </c>
      <c r="G187" s="1">
        <v>5</v>
      </c>
      <c r="H187" s="76" t="str">
        <f>Tableau1[[#This Row],[Annee d''inscription au programme]]&amp;"-"&amp;Tableau1[[#This Row],[Code d''ecole]]&amp;"-"&amp;Tableau1[[#This Row],[Numero HM de la fille]]</f>
        <v>2021-62-5</v>
      </c>
      <c r="I187" s="1"/>
      <c r="J187" s="1" t="s">
        <v>3505</v>
      </c>
      <c r="K187" s="35" t="s">
        <v>298</v>
      </c>
      <c r="L187" s="35">
        <v>4.5</v>
      </c>
      <c r="M187" s="35">
        <v>4</v>
      </c>
      <c r="N187" s="35">
        <f t="shared" si="4"/>
        <v>4.25</v>
      </c>
      <c r="O187" s="35">
        <v>6</v>
      </c>
      <c r="P187" s="35">
        <v>5</v>
      </c>
      <c r="Q187" s="35">
        <f t="shared" si="5"/>
        <v>5.5</v>
      </c>
      <c r="R187" s="35"/>
      <c r="S187" s="35"/>
      <c r="T187" s="35"/>
      <c r="U187" s="74" t="e">
        <f>AVERAGE(Tableau1[[#This Row],[1ère composition]:[3è Composition]])</f>
        <v>#DIV/0!</v>
      </c>
    </row>
    <row r="188" spans="1:21" hidden="1" x14ac:dyDescent="0.2">
      <c r="A188" s="1" t="s">
        <v>2895</v>
      </c>
      <c r="B188" s="1" t="s">
        <v>2905</v>
      </c>
      <c r="C188" s="1" t="s">
        <v>3598</v>
      </c>
      <c r="D188" s="1"/>
      <c r="E188" s="1">
        <v>2021</v>
      </c>
      <c r="F188" s="1">
        <v>62</v>
      </c>
      <c r="G188" s="1">
        <v>6</v>
      </c>
      <c r="H188" s="76" t="str">
        <f>Tableau1[[#This Row],[Annee d''inscription au programme]]&amp;"-"&amp;Tableau1[[#This Row],[Code d''ecole]]&amp;"-"&amp;Tableau1[[#This Row],[Numero HM de la fille]]</f>
        <v>2021-62-6</v>
      </c>
      <c r="I188" s="1"/>
      <c r="J188" s="1" t="s">
        <v>3505</v>
      </c>
      <c r="K188" s="35" t="s">
        <v>298</v>
      </c>
      <c r="L188" s="35">
        <v>12</v>
      </c>
      <c r="M188" s="35">
        <v>8</v>
      </c>
      <c r="N188" s="35">
        <f t="shared" si="4"/>
        <v>10</v>
      </c>
      <c r="O188" s="35">
        <v>11.5</v>
      </c>
      <c r="P188" s="35">
        <v>8</v>
      </c>
      <c r="Q188" s="35">
        <f t="shared" si="5"/>
        <v>9.75</v>
      </c>
      <c r="R188" s="35"/>
      <c r="S188" s="35"/>
      <c r="T188" s="35"/>
      <c r="U188" s="74" t="e">
        <f>AVERAGE(Tableau1[[#This Row],[1ère composition]:[3è Composition]])</f>
        <v>#DIV/0!</v>
      </c>
    </row>
    <row r="189" spans="1:21" hidden="1" x14ac:dyDescent="0.2">
      <c r="A189" s="1" t="s">
        <v>2895</v>
      </c>
      <c r="B189" s="1" t="s">
        <v>2909</v>
      </c>
      <c r="C189" s="1" t="s">
        <v>3598</v>
      </c>
      <c r="D189" s="1"/>
      <c r="E189" s="1">
        <v>2021</v>
      </c>
      <c r="F189" s="1">
        <v>62</v>
      </c>
      <c r="G189" s="1">
        <v>7</v>
      </c>
      <c r="H189" s="76" t="str">
        <f>Tableau1[[#This Row],[Annee d''inscription au programme]]&amp;"-"&amp;Tableau1[[#This Row],[Code d''ecole]]&amp;"-"&amp;Tableau1[[#This Row],[Numero HM de la fille]]</f>
        <v>2021-62-7</v>
      </c>
      <c r="I189" s="1"/>
      <c r="J189" s="1" t="s">
        <v>3505</v>
      </c>
      <c r="K189" s="35" t="s">
        <v>298</v>
      </c>
      <c r="L189" s="35">
        <v>12</v>
      </c>
      <c r="M189" s="35">
        <v>19</v>
      </c>
      <c r="N189" s="35">
        <f t="shared" si="4"/>
        <v>15.5</v>
      </c>
      <c r="O189" s="35">
        <v>12</v>
      </c>
      <c r="P189" s="35">
        <v>19.75</v>
      </c>
      <c r="Q189" s="35">
        <f t="shared" si="5"/>
        <v>15.875</v>
      </c>
      <c r="R189" s="35"/>
      <c r="S189" s="35"/>
      <c r="T189" s="35"/>
      <c r="U189" s="74" t="e">
        <f>AVERAGE(Tableau1[[#This Row],[1ère composition]:[3è Composition]])</f>
        <v>#DIV/0!</v>
      </c>
    </row>
    <row r="190" spans="1:21" hidden="1" x14ac:dyDescent="0.2">
      <c r="A190" s="1" t="s">
        <v>2895</v>
      </c>
      <c r="B190" s="1" t="s">
        <v>2910</v>
      </c>
      <c r="C190" s="1" t="s">
        <v>3598</v>
      </c>
      <c r="D190" s="1"/>
      <c r="E190" s="1">
        <v>2021</v>
      </c>
      <c r="F190" s="1">
        <v>62</v>
      </c>
      <c r="G190" s="1">
        <v>8</v>
      </c>
      <c r="H190" s="76" t="str">
        <f>Tableau1[[#This Row],[Annee d''inscription au programme]]&amp;"-"&amp;Tableau1[[#This Row],[Code d''ecole]]&amp;"-"&amp;Tableau1[[#This Row],[Numero HM de la fille]]</f>
        <v>2021-62-8</v>
      </c>
      <c r="I190" s="1"/>
      <c r="J190" s="1" t="s">
        <v>3505</v>
      </c>
      <c r="K190" s="35" t="s">
        <v>298</v>
      </c>
      <c r="L190" s="35">
        <v>16.25</v>
      </c>
      <c r="M190" s="35">
        <v>6</v>
      </c>
      <c r="N190" s="35">
        <f t="shared" si="4"/>
        <v>11.125</v>
      </c>
      <c r="O190" s="35">
        <v>14</v>
      </c>
      <c r="P190" s="35">
        <v>11.5</v>
      </c>
      <c r="Q190" s="35">
        <f t="shared" si="5"/>
        <v>12.75</v>
      </c>
      <c r="R190" s="35"/>
      <c r="S190" s="35"/>
      <c r="T190" s="35"/>
      <c r="U190" s="74" t="e">
        <f>AVERAGE(Tableau1[[#This Row],[1ère composition]:[3è Composition]])</f>
        <v>#DIV/0!</v>
      </c>
    </row>
    <row r="191" spans="1:21" hidden="1" x14ac:dyDescent="0.2">
      <c r="A191" s="1" t="s">
        <v>2895</v>
      </c>
      <c r="B191" s="1" t="s">
        <v>2911</v>
      </c>
      <c r="C191" s="1" t="s">
        <v>3598</v>
      </c>
      <c r="D191" s="1"/>
      <c r="E191" s="1">
        <v>2021</v>
      </c>
      <c r="F191" s="1">
        <v>62</v>
      </c>
      <c r="G191" s="1">
        <v>9</v>
      </c>
      <c r="H191" s="76" t="str">
        <f>Tableau1[[#This Row],[Annee d''inscription au programme]]&amp;"-"&amp;Tableau1[[#This Row],[Code d''ecole]]&amp;"-"&amp;Tableau1[[#This Row],[Numero HM de la fille]]</f>
        <v>2021-62-9</v>
      </c>
      <c r="I191" s="1"/>
      <c r="J191" s="1" t="s">
        <v>3505</v>
      </c>
      <c r="K191" s="35" t="s">
        <v>298</v>
      </c>
      <c r="L191" s="35">
        <v>12.75</v>
      </c>
      <c r="M191" s="35">
        <v>13</v>
      </c>
      <c r="N191" s="35">
        <f t="shared" si="4"/>
        <v>12.875</v>
      </c>
      <c r="O191" s="35">
        <v>10.5</v>
      </c>
      <c r="P191" s="35">
        <v>13.75</v>
      </c>
      <c r="Q191" s="35">
        <f t="shared" si="5"/>
        <v>12.125</v>
      </c>
      <c r="R191" s="35"/>
      <c r="S191" s="35"/>
      <c r="T191" s="35"/>
      <c r="U191" s="74" t="e">
        <f>AVERAGE(Tableau1[[#This Row],[1ère composition]:[3è Composition]])</f>
        <v>#DIV/0!</v>
      </c>
    </row>
    <row r="192" spans="1:21" hidden="1" x14ac:dyDescent="0.2">
      <c r="A192" s="1" t="s">
        <v>2895</v>
      </c>
      <c r="B192" s="1" t="s">
        <v>2912</v>
      </c>
      <c r="C192" s="1" t="s">
        <v>3598</v>
      </c>
      <c r="D192" s="1"/>
      <c r="E192" s="1">
        <v>2021</v>
      </c>
      <c r="F192" s="1">
        <v>62</v>
      </c>
      <c r="G192" s="1">
        <v>10</v>
      </c>
      <c r="H192" s="76" t="str">
        <f>Tableau1[[#This Row],[Annee d''inscription au programme]]&amp;"-"&amp;Tableau1[[#This Row],[Code d''ecole]]&amp;"-"&amp;Tableau1[[#This Row],[Numero HM de la fille]]</f>
        <v>2021-62-10</v>
      </c>
      <c r="I192" s="1"/>
      <c r="J192" s="1" t="s">
        <v>3505</v>
      </c>
      <c r="K192" s="35" t="s">
        <v>298</v>
      </c>
      <c r="L192" s="35">
        <v>15.75</v>
      </c>
      <c r="M192" s="35">
        <v>17.5</v>
      </c>
      <c r="N192" s="35">
        <f t="shared" si="4"/>
        <v>16.625</v>
      </c>
      <c r="O192" s="35">
        <v>14</v>
      </c>
      <c r="P192" s="35">
        <v>19</v>
      </c>
      <c r="Q192" s="35">
        <f t="shared" si="5"/>
        <v>16.5</v>
      </c>
      <c r="R192" s="35"/>
      <c r="S192" s="35"/>
      <c r="T192" s="35"/>
      <c r="U192" s="74" t="e">
        <f>AVERAGE(Tableau1[[#This Row],[1ère composition]:[3è Composition]])</f>
        <v>#DIV/0!</v>
      </c>
    </row>
    <row r="193" spans="1:21" hidden="1" x14ac:dyDescent="0.2">
      <c r="A193" s="1" t="s">
        <v>2895</v>
      </c>
      <c r="B193" s="1" t="s">
        <v>3946</v>
      </c>
      <c r="C193" s="1" t="s">
        <v>3598</v>
      </c>
      <c r="D193" s="78"/>
      <c r="E193" s="1">
        <v>2021</v>
      </c>
      <c r="F193" s="1">
        <v>62</v>
      </c>
      <c r="G193" s="1">
        <v>11</v>
      </c>
      <c r="H193" s="79" t="str">
        <f>Tableau1[[#This Row],[Annee d''inscription au programme]]&amp;"-"&amp;Tableau1[[#This Row],[Code d''ecole]]&amp;"-"&amp;Tableau1[[#This Row],[Numero HM de la fille]]</f>
        <v>2021-62-11</v>
      </c>
      <c r="I193" s="80"/>
      <c r="J193" s="35"/>
      <c r="K193" s="35"/>
      <c r="L193" s="51">
        <v>0</v>
      </c>
      <c r="M193" s="51">
        <v>0</v>
      </c>
      <c r="N193" s="35">
        <f t="shared" si="4"/>
        <v>0</v>
      </c>
      <c r="O193" s="35"/>
      <c r="P193" s="35"/>
      <c r="Q193" s="35">
        <f t="shared" si="5"/>
        <v>0</v>
      </c>
      <c r="R193" s="35"/>
      <c r="S193" s="35"/>
      <c r="T193" s="35"/>
      <c r="U193" s="74" t="e">
        <f>AVERAGE(Tableau1[[#This Row],[1ère composition]:[3è Composition]])</f>
        <v>#DIV/0!</v>
      </c>
    </row>
    <row r="194" spans="1:21" hidden="1" x14ac:dyDescent="0.2">
      <c r="A194" s="1" t="s">
        <v>2895</v>
      </c>
      <c r="B194" s="1" t="s">
        <v>3947</v>
      </c>
      <c r="C194" s="1" t="s">
        <v>3598</v>
      </c>
      <c r="D194" s="78"/>
      <c r="E194" s="1">
        <v>2021</v>
      </c>
      <c r="F194" s="1">
        <v>62</v>
      </c>
      <c r="G194" s="1">
        <v>12</v>
      </c>
      <c r="H194" s="79" t="str">
        <f>Tableau1[[#This Row],[Annee d''inscription au programme]]&amp;"-"&amp;Tableau1[[#This Row],[Code d''ecole]]&amp;"-"&amp;Tableau1[[#This Row],[Numero HM de la fille]]</f>
        <v>2021-62-12</v>
      </c>
      <c r="I194" s="80"/>
      <c r="J194" s="35"/>
      <c r="K194" s="35"/>
      <c r="L194" s="51">
        <v>0</v>
      </c>
      <c r="M194" s="51">
        <v>0</v>
      </c>
      <c r="N194" s="35">
        <f t="shared" si="4"/>
        <v>0</v>
      </c>
      <c r="O194" s="35"/>
      <c r="P194" s="35"/>
      <c r="Q194" s="35">
        <f t="shared" si="5"/>
        <v>0</v>
      </c>
      <c r="R194" s="35"/>
      <c r="S194" s="35"/>
      <c r="T194" s="35"/>
      <c r="U194" s="74" t="e">
        <f>AVERAGE(Tableau1[[#This Row],[1ère composition]:[3è Composition]])</f>
        <v>#DIV/0!</v>
      </c>
    </row>
    <row r="195" spans="1:21" hidden="1" x14ac:dyDescent="0.2">
      <c r="A195" s="1" t="s">
        <v>2913</v>
      </c>
      <c r="B195" s="1" t="s">
        <v>2914</v>
      </c>
      <c r="C195" s="1" t="s">
        <v>3622</v>
      </c>
      <c r="D195" s="1"/>
      <c r="E195" s="1">
        <v>2021</v>
      </c>
      <c r="F195" s="1">
        <v>66</v>
      </c>
      <c r="G195" s="1">
        <v>1</v>
      </c>
      <c r="H195" s="76" t="str">
        <f>Tableau1[[#This Row],[Annee d''inscription au programme]]&amp;"-"&amp;Tableau1[[#This Row],[Code d''ecole]]&amp;"-"&amp;Tableau1[[#This Row],[Numero HM de la fille]]</f>
        <v>2021-66-1</v>
      </c>
      <c r="I195" s="1"/>
      <c r="J195" s="1" t="s">
        <v>3505</v>
      </c>
      <c r="K195" s="35" t="s">
        <v>298</v>
      </c>
      <c r="L195" s="35">
        <v>3.5</v>
      </c>
      <c r="M195" s="35">
        <v>1</v>
      </c>
      <c r="N195" s="35">
        <f t="shared" si="4"/>
        <v>2.25</v>
      </c>
      <c r="O195" s="35"/>
      <c r="P195" s="35"/>
      <c r="Q195" s="35">
        <f t="shared" si="5"/>
        <v>0</v>
      </c>
      <c r="R195" s="35"/>
      <c r="S195" s="35"/>
      <c r="T195" s="35"/>
      <c r="U195" s="74" t="e">
        <f>AVERAGE(Tableau1[[#This Row],[1ère composition]:[3è Composition]])</f>
        <v>#DIV/0!</v>
      </c>
    </row>
    <row r="196" spans="1:21" hidden="1" x14ac:dyDescent="0.2">
      <c r="A196" s="1" t="s">
        <v>2913</v>
      </c>
      <c r="B196" s="1" t="s">
        <v>2915</v>
      </c>
      <c r="C196" s="1" t="s">
        <v>3622</v>
      </c>
      <c r="D196" s="1"/>
      <c r="E196" s="1">
        <v>2021</v>
      </c>
      <c r="F196" s="1">
        <v>66</v>
      </c>
      <c r="G196" s="1">
        <v>2</v>
      </c>
      <c r="H196" s="76" t="str">
        <f>Tableau1[[#This Row],[Annee d''inscription au programme]]&amp;"-"&amp;Tableau1[[#This Row],[Code d''ecole]]&amp;"-"&amp;Tableau1[[#This Row],[Numero HM de la fille]]</f>
        <v>2021-66-2</v>
      </c>
      <c r="I196" s="1"/>
      <c r="J196" s="1" t="s">
        <v>3505</v>
      </c>
      <c r="K196" s="35" t="s">
        <v>298</v>
      </c>
      <c r="L196" s="35">
        <v>9.5</v>
      </c>
      <c r="M196" s="35">
        <v>2</v>
      </c>
      <c r="N196" s="35">
        <f t="shared" si="4"/>
        <v>5.75</v>
      </c>
      <c r="O196" s="35">
        <v>5.5</v>
      </c>
      <c r="P196" s="35">
        <v>7.75</v>
      </c>
      <c r="Q196" s="35">
        <f t="shared" si="5"/>
        <v>6.625</v>
      </c>
      <c r="R196" s="35"/>
      <c r="S196" s="35"/>
      <c r="T196" s="35"/>
      <c r="U196" s="74" t="e">
        <f>AVERAGE(Tableau1[[#This Row],[1ère composition]:[3è Composition]])</f>
        <v>#DIV/0!</v>
      </c>
    </row>
    <row r="197" spans="1:21" hidden="1" x14ac:dyDescent="0.2">
      <c r="A197" s="1" t="s">
        <v>2913</v>
      </c>
      <c r="B197" s="1" t="s">
        <v>2916</v>
      </c>
      <c r="C197" s="1" t="s">
        <v>3622</v>
      </c>
      <c r="D197" s="1"/>
      <c r="E197" s="1">
        <v>2021</v>
      </c>
      <c r="F197" s="1">
        <v>66</v>
      </c>
      <c r="G197" s="1">
        <v>3</v>
      </c>
      <c r="H197" s="76" t="str">
        <f>Tableau1[[#This Row],[Annee d''inscription au programme]]&amp;"-"&amp;Tableau1[[#This Row],[Code d''ecole]]&amp;"-"&amp;Tableau1[[#This Row],[Numero HM de la fille]]</f>
        <v>2021-66-3</v>
      </c>
      <c r="I197" s="1"/>
      <c r="J197" s="1" t="s">
        <v>593</v>
      </c>
      <c r="K197" s="35" t="s">
        <v>298</v>
      </c>
      <c r="L197" s="35">
        <v>7</v>
      </c>
      <c r="M197" s="35">
        <v>3.5</v>
      </c>
      <c r="N197" s="35">
        <f t="shared" ref="N197:N260" si="6" xml:space="preserve"> AVERAGE(L197+M197)/2</f>
        <v>5.25</v>
      </c>
      <c r="O197" s="35">
        <v>14</v>
      </c>
      <c r="P197" s="35">
        <v>15.5</v>
      </c>
      <c r="Q197" s="35">
        <f t="shared" ref="Q197:Q260" si="7">AVERAGE(O197+P197)/2</f>
        <v>14.75</v>
      </c>
      <c r="R197" s="35"/>
      <c r="S197" s="35"/>
      <c r="T197" s="35"/>
      <c r="U197" s="74" t="e">
        <f>AVERAGE(Tableau1[[#This Row],[1ère composition]:[3è Composition]])</f>
        <v>#DIV/0!</v>
      </c>
    </row>
    <row r="198" spans="1:21" hidden="1" x14ac:dyDescent="0.2">
      <c r="A198" s="1" t="s">
        <v>2913</v>
      </c>
      <c r="B198" s="1" t="s">
        <v>2917</v>
      </c>
      <c r="C198" s="1" t="s">
        <v>3622</v>
      </c>
      <c r="D198" s="1"/>
      <c r="E198" s="1">
        <v>2021</v>
      </c>
      <c r="F198" s="1">
        <v>66</v>
      </c>
      <c r="G198" s="1">
        <v>4</v>
      </c>
      <c r="H198" s="76" t="str">
        <f>Tableau1[[#This Row],[Annee d''inscription au programme]]&amp;"-"&amp;Tableau1[[#This Row],[Code d''ecole]]&amp;"-"&amp;Tableau1[[#This Row],[Numero HM de la fille]]</f>
        <v>2021-66-4</v>
      </c>
      <c r="I198" s="1"/>
      <c r="J198" s="1" t="s">
        <v>593</v>
      </c>
      <c r="K198" s="35" t="s">
        <v>298</v>
      </c>
      <c r="L198" s="35">
        <v>7.5</v>
      </c>
      <c r="M198" s="35">
        <v>3.5</v>
      </c>
      <c r="N198" s="35">
        <f t="shared" si="6"/>
        <v>5.5</v>
      </c>
      <c r="O198" s="35">
        <v>9</v>
      </c>
      <c r="P198" s="35">
        <v>17.25</v>
      </c>
      <c r="Q198" s="35">
        <f t="shared" si="7"/>
        <v>13.125</v>
      </c>
      <c r="R198" s="35"/>
      <c r="S198" s="35"/>
      <c r="T198" s="35"/>
      <c r="U198" s="74" t="e">
        <f>AVERAGE(Tableau1[[#This Row],[1ère composition]:[3è Composition]])</f>
        <v>#DIV/0!</v>
      </c>
    </row>
    <row r="199" spans="1:21" hidden="1" x14ac:dyDescent="0.2">
      <c r="A199" s="1" t="s">
        <v>2913</v>
      </c>
      <c r="B199" s="1" t="s">
        <v>2918</v>
      </c>
      <c r="C199" s="1" t="s">
        <v>3622</v>
      </c>
      <c r="D199" s="1"/>
      <c r="E199" s="1">
        <v>2021</v>
      </c>
      <c r="F199" s="1">
        <v>66</v>
      </c>
      <c r="G199" s="1">
        <v>5</v>
      </c>
      <c r="H199" s="76" t="str">
        <f>Tableau1[[#This Row],[Annee d''inscription au programme]]&amp;"-"&amp;Tableau1[[#This Row],[Code d''ecole]]&amp;"-"&amp;Tableau1[[#This Row],[Numero HM de la fille]]</f>
        <v>2021-66-5</v>
      </c>
      <c r="I199" s="1"/>
      <c r="J199" s="1" t="s">
        <v>593</v>
      </c>
      <c r="K199" s="35" t="s">
        <v>298</v>
      </c>
      <c r="L199" s="35">
        <v>6.5</v>
      </c>
      <c r="M199" s="35">
        <v>3</v>
      </c>
      <c r="N199" s="35">
        <f t="shared" si="6"/>
        <v>4.75</v>
      </c>
      <c r="O199" s="35">
        <v>11</v>
      </c>
      <c r="P199" s="35">
        <v>4</v>
      </c>
      <c r="Q199" s="35">
        <f t="shared" si="7"/>
        <v>7.5</v>
      </c>
      <c r="R199" s="35"/>
      <c r="S199" s="35"/>
      <c r="T199" s="35"/>
      <c r="U199" s="74" t="e">
        <f>AVERAGE(Tableau1[[#This Row],[1ère composition]:[3è Composition]])</f>
        <v>#DIV/0!</v>
      </c>
    </row>
    <row r="200" spans="1:21" hidden="1" x14ac:dyDescent="0.2">
      <c r="A200" s="1" t="s">
        <v>2913</v>
      </c>
      <c r="B200" s="1" t="s">
        <v>2919</v>
      </c>
      <c r="C200" s="1" t="s">
        <v>3622</v>
      </c>
      <c r="D200" s="1"/>
      <c r="E200" s="1">
        <v>2021</v>
      </c>
      <c r="F200" s="1">
        <v>66</v>
      </c>
      <c r="G200" s="1">
        <v>6</v>
      </c>
      <c r="H200" s="76" t="str">
        <f>Tableau1[[#This Row],[Annee d''inscription au programme]]&amp;"-"&amp;Tableau1[[#This Row],[Code d''ecole]]&amp;"-"&amp;Tableau1[[#This Row],[Numero HM de la fille]]</f>
        <v>2021-66-6</v>
      </c>
      <c r="I200" s="1"/>
      <c r="J200" s="1" t="s">
        <v>593</v>
      </c>
      <c r="K200" s="35" t="s">
        <v>298</v>
      </c>
      <c r="L200" s="35">
        <v>14.5</v>
      </c>
      <c r="M200" s="35">
        <v>6</v>
      </c>
      <c r="N200" s="35">
        <f t="shared" si="6"/>
        <v>10.25</v>
      </c>
      <c r="O200" s="35">
        <v>3.5</v>
      </c>
      <c r="P200" s="35">
        <v>2.5</v>
      </c>
      <c r="Q200" s="35">
        <f t="shared" si="7"/>
        <v>3</v>
      </c>
      <c r="R200" s="35"/>
      <c r="S200" s="35"/>
      <c r="T200" s="35"/>
      <c r="U200" s="74" t="e">
        <f>AVERAGE(Tableau1[[#This Row],[1ère composition]:[3è Composition]])</f>
        <v>#DIV/0!</v>
      </c>
    </row>
    <row r="201" spans="1:21" hidden="1" x14ac:dyDescent="0.2">
      <c r="A201" s="1" t="s">
        <v>2913</v>
      </c>
      <c r="B201" s="1" t="s">
        <v>2920</v>
      </c>
      <c r="C201" s="1" t="s">
        <v>3622</v>
      </c>
      <c r="D201" s="1"/>
      <c r="E201" s="1">
        <v>2021</v>
      </c>
      <c r="F201" s="1">
        <v>66</v>
      </c>
      <c r="G201" s="1">
        <v>7</v>
      </c>
      <c r="H201" s="76" t="str">
        <f>Tableau1[[#This Row],[Annee d''inscription au programme]]&amp;"-"&amp;Tableau1[[#This Row],[Code d''ecole]]&amp;"-"&amp;Tableau1[[#This Row],[Numero HM de la fille]]</f>
        <v>2021-66-7</v>
      </c>
      <c r="I201" s="1"/>
      <c r="J201" s="1" t="s">
        <v>593</v>
      </c>
      <c r="K201" s="35" t="s">
        <v>298</v>
      </c>
      <c r="L201" s="35">
        <v>14</v>
      </c>
      <c r="M201" s="35">
        <v>3</v>
      </c>
      <c r="N201" s="35">
        <f t="shared" si="6"/>
        <v>8.5</v>
      </c>
      <c r="O201" s="35">
        <v>9</v>
      </c>
      <c r="P201" s="35">
        <v>6.5</v>
      </c>
      <c r="Q201" s="35">
        <f t="shared" si="7"/>
        <v>7.75</v>
      </c>
      <c r="R201" s="35"/>
      <c r="S201" s="35"/>
      <c r="T201" s="35"/>
      <c r="U201" s="74" t="e">
        <f>AVERAGE(Tableau1[[#This Row],[1ère composition]:[3è Composition]])</f>
        <v>#DIV/0!</v>
      </c>
    </row>
    <row r="202" spans="1:21" hidden="1" x14ac:dyDescent="0.2">
      <c r="A202" s="1" t="s">
        <v>2913</v>
      </c>
      <c r="B202" s="1" t="s">
        <v>2921</v>
      </c>
      <c r="C202" s="1" t="s">
        <v>3622</v>
      </c>
      <c r="D202" s="1"/>
      <c r="E202" s="1">
        <v>2021</v>
      </c>
      <c r="F202" s="1">
        <v>66</v>
      </c>
      <c r="G202" s="1">
        <v>8</v>
      </c>
      <c r="H202" s="76" t="str">
        <f>Tableau1[[#This Row],[Annee d''inscription au programme]]&amp;"-"&amp;Tableau1[[#This Row],[Code d''ecole]]&amp;"-"&amp;Tableau1[[#This Row],[Numero HM de la fille]]</f>
        <v>2021-66-8</v>
      </c>
      <c r="I202" s="1"/>
      <c r="J202" s="1" t="s">
        <v>593</v>
      </c>
      <c r="K202" s="35" t="s">
        <v>298</v>
      </c>
      <c r="L202" s="35">
        <v>16</v>
      </c>
      <c r="M202" s="35">
        <v>12.5</v>
      </c>
      <c r="N202" s="35">
        <f t="shared" si="6"/>
        <v>14.25</v>
      </c>
      <c r="O202" s="35">
        <v>7.5</v>
      </c>
      <c r="P202" s="35">
        <v>6.25</v>
      </c>
      <c r="Q202" s="35">
        <f t="shared" si="7"/>
        <v>6.875</v>
      </c>
      <c r="R202" s="35"/>
      <c r="S202" s="35"/>
      <c r="T202" s="35"/>
      <c r="U202" s="74" t="e">
        <f>AVERAGE(Tableau1[[#This Row],[1ère composition]:[3è Composition]])</f>
        <v>#DIV/0!</v>
      </c>
    </row>
    <row r="203" spans="1:21" hidden="1" x14ac:dyDescent="0.2">
      <c r="A203" s="1" t="s">
        <v>2913</v>
      </c>
      <c r="B203" s="1" t="s">
        <v>2922</v>
      </c>
      <c r="C203" s="1" t="s">
        <v>3622</v>
      </c>
      <c r="D203" s="1"/>
      <c r="E203" s="1">
        <v>2021</v>
      </c>
      <c r="F203" s="1">
        <v>66</v>
      </c>
      <c r="G203" s="1">
        <v>9</v>
      </c>
      <c r="H203" s="76" t="str">
        <f>Tableau1[[#This Row],[Annee d''inscription au programme]]&amp;"-"&amp;Tableau1[[#This Row],[Code d''ecole]]&amp;"-"&amp;Tableau1[[#This Row],[Numero HM de la fille]]</f>
        <v>2021-66-9</v>
      </c>
      <c r="I203" s="1"/>
      <c r="J203" s="1" t="s">
        <v>593</v>
      </c>
      <c r="K203" s="35" t="s">
        <v>298</v>
      </c>
      <c r="L203" s="35">
        <v>3</v>
      </c>
      <c r="M203" s="35">
        <v>4.5</v>
      </c>
      <c r="N203" s="35">
        <f t="shared" si="6"/>
        <v>3.75</v>
      </c>
      <c r="O203" s="35">
        <v>17.5</v>
      </c>
      <c r="P203" s="35">
        <v>16</v>
      </c>
      <c r="Q203" s="35">
        <f t="shared" si="7"/>
        <v>16.75</v>
      </c>
      <c r="R203" s="35"/>
      <c r="S203" s="35"/>
      <c r="T203" s="35"/>
      <c r="U203" s="74" t="e">
        <f>AVERAGE(Tableau1[[#This Row],[1ère composition]:[3è Composition]])</f>
        <v>#DIV/0!</v>
      </c>
    </row>
    <row r="204" spans="1:21" hidden="1" x14ac:dyDescent="0.2">
      <c r="A204" s="1" t="s">
        <v>2913</v>
      </c>
      <c r="B204" s="1" t="s">
        <v>2923</v>
      </c>
      <c r="C204" s="1" t="s">
        <v>3622</v>
      </c>
      <c r="D204" s="1"/>
      <c r="E204" s="1">
        <v>2021</v>
      </c>
      <c r="F204" s="1">
        <v>66</v>
      </c>
      <c r="G204" s="1">
        <v>10</v>
      </c>
      <c r="H204" s="76" t="str">
        <f>Tableau1[[#This Row],[Annee d''inscription au programme]]&amp;"-"&amp;Tableau1[[#This Row],[Code d''ecole]]&amp;"-"&amp;Tableau1[[#This Row],[Numero HM de la fille]]</f>
        <v>2021-66-10</v>
      </c>
      <c r="I204" s="1"/>
      <c r="J204" s="1" t="s">
        <v>593</v>
      </c>
      <c r="K204" s="35" t="s">
        <v>298</v>
      </c>
      <c r="L204" s="35">
        <v>4.5</v>
      </c>
      <c r="M204" s="35">
        <v>2</v>
      </c>
      <c r="N204" s="35">
        <f t="shared" si="6"/>
        <v>3.25</v>
      </c>
      <c r="O204" s="35">
        <v>4.5</v>
      </c>
      <c r="P204" s="35">
        <v>7</v>
      </c>
      <c r="Q204" s="35">
        <f t="shared" si="7"/>
        <v>5.75</v>
      </c>
      <c r="R204" s="35"/>
      <c r="S204" s="35"/>
      <c r="T204" s="35"/>
      <c r="U204" s="74" t="e">
        <f>AVERAGE(Tableau1[[#This Row],[1ère composition]:[3è Composition]])</f>
        <v>#DIV/0!</v>
      </c>
    </row>
    <row r="205" spans="1:21" hidden="1" x14ac:dyDescent="0.2">
      <c r="A205" s="1" t="s">
        <v>2913</v>
      </c>
      <c r="B205" s="1" t="s">
        <v>3313</v>
      </c>
      <c r="C205" s="1" t="s">
        <v>3622</v>
      </c>
      <c r="D205" s="1">
        <v>97835822</v>
      </c>
      <c r="E205" s="1">
        <v>2021</v>
      </c>
      <c r="F205" s="1">
        <v>66</v>
      </c>
      <c r="G205" s="1">
        <v>11</v>
      </c>
      <c r="H205" s="76" t="str">
        <f>Tableau1[[#This Row],[Annee d''inscription au programme]]&amp;"-"&amp;Tableau1[[#This Row],[Code d''ecole]]&amp;"-"&amp;Tableau1[[#This Row],[Numero HM de la fille]]</f>
        <v>2021-66-11</v>
      </c>
      <c r="I205" s="1"/>
      <c r="J205" s="1" t="s">
        <v>593</v>
      </c>
      <c r="K205" s="35" t="s">
        <v>298</v>
      </c>
      <c r="L205" s="35">
        <v>5</v>
      </c>
      <c r="M205" s="35">
        <v>2</v>
      </c>
      <c r="N205" s="35">
        <f t="shared" si="6"/>
        <v>3.5</v>
      </c>
      <c r="O205" s="35">
        <v>1.5</v>
      </c>
      <c r="P205" s="35">
        <v>4.5</v>
      </c>
      <c r="Q205" s="35">
        <f t="shared" si="7"/>
        <v>3</v>
      </c>
      <c r="R205" s="35"/>
      <c r="S205" s="35"/>
      <c r="T205" s="35"/>
      <c r="U205" s="74" t="e">
        <f>AVERAGE(Tableau1[[#This Row],[1ère composition]:[3è Composition]])</f>
        <v>#DIV/0!</v>
      </c>
    </row>
    <row r="206" spans="1:21" hidden="1" x14ac:dyDescent="0.2">
      <c r="A206" s="1" t="s">
        <v>2913</v>
      </c>
      <c r="B206" s="1" t="s">
        <v>3314</v>
      </c>
      <c r="C206" s="1" t="s">
        <v>3622</v>
      </c>
      <c r="D206" s="1">
        <v>95382169</v>
      </c>
      <c r="E206" s="1">
        <v>2021</v>
      </c>
      <c r="F206" s="1">
        <v>66</v>
      </c>
      <c r="G206" s="1">
        <v>12</v>
      </c>
      <c r="H206" s="76" t="str">
        <f>Tableau1[[#This Row],[Annee d''inscription au programme]]&amp;"-"&amp;Tableau1[[#This Row],[Code d''ecole]]&amp;"-"&amp;Tableau1[[#This Row],[Numero HM de la fille]]</f>
        <v>2021-66-12</v>
      </c>
      <c r="I206" s="1"/>
      <c r="J206" s="1" t="s">
        <v>593</v>
      </c>
      <c r="K206" s="35" t="s">
        <v>298</v>
      </c>
      <c r="L206" s="35">
        <v>11.5</v>
      </c>
      <c r="M206" s="35">
        <v>12.5</v>
      </c>
      <c r="N206" s="35">
        <f t="shared" si="6"/>
        <v>12</v>
      </c>
      <c r="O206" s="35">
        <v>5.5</v>
      </c>
      <c r="P206" s="35">
        <v>5.5</v>
      </c>
      <c r="Q206" s="35">
        <f t="shared" si="7"/>
        <v>5.5</v>
      </c>
      <c r="R206" s="35"/>
      <c r="S206" s="35"/>
      <c r="T206" s="35"/>
      <c r="U206" s="74" t="e">
        <f>AVERAGE(Tableau1[[#This Row],[1ère composition]:[3è Composition]])</f>
        <v>#DIV/0!</v>
      </c>
    </row>
    <row r="207" spans="1:21" hidden="1" x14ac:dyDescent="0.2">
      <c r="A207" s="1" t="s">
        <v>2913</v>
      </c>
      <c r="B207" s="1" t="s">
        <v>3315</v>
      </c>
      <c r="C207" s="1" t="s">
        <v>3622</v>
      </c>
      <c r="D207" s="1">
        <v>94405119</v>
      </c>
      <c r="E207" s="1">
        <v>2021</v>
      </c>
      <c r="F207" s="1">
        <v>66</v>
      </c>
      <c r="G207" s="1">
        <v>13</v>
      </c>
      <c r="H207" s="76" t="str">
        <f>Tableau1[[#This Row],[Annee d''inscription au programme]]&amp;"-"&amp;Tableau1[[#This Row],[Code d''ecole]]&amp;"-"&amp;Tableau1[[#This Row],[Numero HM de la fille]]</f>
        <v>2021-66-13</v>
      </c>
      <c r="I207" s="1"/>
      <c r="J207" s="1" t="s">
        <v>593</v>
      </c>
      <c r="K207" s="35" t="s">
        <v>298</v>
      </c>
      <c r="L207" s="35">
        <v>6.5</v>
      </c>
      <c r="M207" s="35">
        <v>5</v>
      </c>
      <c r="N207" s="35">
        <f t="shared" si="6"/>
        <v>5.75</v>
      </c>
      <c r="O207" s="35">
        <v>7</v>
      </c>
      <c r="P207" s="35">
        <v>4.25</v>
      </c>
      <c r="Q207" s="35">
        <f t="shared" si="7"/>
        <v>5.625</v>
      </c>
      <c r="R207" s="35"/>
      <c r="S207" s="35"/>
      <c r="T207" s="35"/>
      <c r="U207" s="74" t="e">
        <f>AVERAGE(Tableau1[[#This Row],[1ère composition]:[3è Composition]])</f>
        <v>#DIV/0!</v>
      </c>
    </row>
    <row r="208" spans="1:21" hidden="1" x14ac:dyDescent="0.2">
      <c r="A208" s="1" t="s">
        <v>2913</v>
      </c>
      <c r="B208" s="1" t="s">
        <v>3316</v>
      </c>
      <c r="C208" s="1" t="s">
        <v>3622</v>
      </c>
      <c r="D208" s="1">
        <v>74186067</v>
      </c>
      <c r="E208" s="1">
        <v>2021</v>
      </c>
      <c r="F208" s="1">
        <v>66</v>
      </c>
      <c r="G208" s="1">
        <v>14</v>
      </c>
      <c r="H208" s="76" t="str">
        <f>Tableau1[[#This Row],[Annee d''inscription au programme]]&amp;"-"&amp;Tableau1[[#This Row],[Code d''ecole]]&amp;"-"&amp;Tableau1[[#This Row],[Numero HM de la fille]]</f>
        <v>2021-66-14</v>
      </c>
      <c r="I208" s="1"/>
      <c r="J208" s="1" t="s">
        <v>593</v>
      </c>
      <c r="K208" s="35" t="s">
        <v>298</v>
      </c>
      <c r="L208" s="35">
        <v>15</v>
      </c>
      <c r="M208" s="35">
        <v>3</v>
      </c>
      <c r="N208" s="35">
        <f t="shared" si="6"/>
        <v>9</v>
      </c>
      <c r="O208" s="35">
        <v>1.5</v>
      </c>
      <c r="P208" s="35">
        <v>4.5</v>
      </c>
      <c r="Q208" s="35">
        <f t="shared" si="7"/>
        <v>3</v>
      </c>
      <c r="R208" s="35"/>
      <c r="S208" s="35"/>
      <c r="T208" s="35"/>
      <c r="U208" s="74" t="e">
        <f>AVERAGE(Tableau1[[#This Row],[1ère composition]:[3è Composition]])</f>
        <v>#DIV/0!</v>
      </c>
    </row>
    <row r="209" spans="1:21" hidden="1" x14ac:dyDescent="0.2">
      <c r="A209" s="1" t="s">
        <v>2913</v>
      </c>
      <c r="B209" s="1" t="s">
        <v>3317</v>
      </c>
      <c r="C209" s="1" t="s">
        <v>3622</v>
      </c>
      <c r="D209" s="1">
        <v>70559298</v>
      </c>
      <c r="E209" s="1">
        <v>2021</v>
      </c>
      <c r="F209" s="1">
        <v>66</v>
      </c>
      <c r="G209" s="1">
        <v>15</v>
      </c>
      <c r="H209" s="76" t="str">
        <f>Tableau1[[#This Row],[Annee d''inscription au programme]]&amp;"-"&amp;Tableau1[[#This Row],[Code d''ecole]]&amp;"-"&amp;Tableau1[[#This Row],[Numero HM de la fille]]</f>
        <v>2021-66-15</v>
      </c>
      <c r="I209" s="1"/>
      <c r="J209" s="1" t="s">
        <v>593</v>
      </c>
      <c r="K209" s="35" t="s">
        <v>298</v>
      </c>
      <c r="L209" s="35">
        <v>8</v>
      </c>
      <c r="M209" s="35">
        <v>3</v>
      </c>
      <c r="N209" s="35">
        <f t="shared" si="6"/>
        <v>5.5</v>
      </c>
      <c r="O209" s="35">
        <v>6</v>
      </c>
      <c r="P209" s="35">
        <v>4.25</v>
      </c>
      <c r="Q209" s="35">
        <f t="shared" si="7"/>
        <v>5.125</v>
      </c>
      <c r="R209" s="35"/>
      <c r="S209" s="35"/>
      <c r="T209" s="35"/>
      <c r="U209" s="74" t="e">
        <f>AVERAGE(Tableau1[[#This Row],[1ère composition]:[3è Composition]])</f>
        <v>#DIV/0!</v>
      </c>
    </row>
    <row r="210" spans="1:21" hidden="1" x14ac:dyDescent="0.2">
      <c r="A210" s="1" t="s">
        <v>2913</v>
      </c>
      <c r="B210" s="1" t="s">
        <v>3318</v>
      </c>
      <c r="C210" s="1" t="s">
        <v>3622</v>
      </c>
      <c r="D210" s="1">
        <v>95734518</v>
      </c>
      <c r="E210" s="1">
        <v>2021</v>
      </c>
      <c r="F210" s="1">
        <v>66</v>
      </c>
      <c r="G210" s="1">
        <v>16</v>
      </c>
      <c r="H210" s="76" t="str">
        <f>Tableau1[[#This Row],[Annee d''inscription au programme]]&amp;"-"&amp;Tableau1[[#This Row],[Code d''ecole]]&amp;"-"&amp;Tableau1[[#This Row],[Numero HM de la fille]]</f>
        <v>2021-66-16</v>
      </c>
      <c r="I210" s="1"/>
      <c r="J210" s="1" t="s">
        <v>593</v>
      </c>
      <c r="K210" s="35" t="s">
        <v>298</v>
      </c>
      <c r="L210" s="35">
        <v>13</v>
      </c>
      <c r="M210" s="35">
        <v>6</v>
      </c>
      <c r="N210" s="35">
        <f t="shared" si="6"/>
        <v>9.5</v>
      </c>
      <c r="O210" s="35">
        <v>12.25</v>
      </c>
      <c r="P210" s="35">
        <v>16.75</v>
      </c>
      <c r="Q210" s="35">
        <f t="shared" si="7"/>
        <v>14.5</v>
      </c>
      <c r="R210" s="35"/>
      <c r="S210" s="35"/>
      <c r="T210" s="35"/>
      <c r="U210" s="74" t="e">
        <f>AVERAGE(Tableau1[[#This Row],[1ère composition]:[3è Composition]])</f>
        <v>#DIV/0!</v>
      </c>
    </row>
    <row r="211" spans="1:21" hidden="1" x14ac:dyDescent="0.2">
      <c r="A211" s="1" t="s">
        <v>2913</v>
      </c>
      <c r="B211" s="1" t="s">
        <v>347</v>
      </c>
      <c r="C211" s="1" t="s">
        <v>3622</v>
      </c>
      <c r="D211" s="1">
        <v>88322392</v>
      </c>
      <c r="E211" s="1">
        <v>2021</v>
      </c>
      <c r="F211" s="1">
        <v>66</v>
      </c>
      <c r="G211" s="1">
        <v>17</v>
      </c>
      <c r="H211" s="76" t="str">
        <f>Tableau1[[#This Row],[Annee d''inscription au programme]]&amp;"-"&amp;Tableau1[[#This Row],[Code d''ecole]]&amp;"-"&amp;Tableau1[[#This Row],[Numero HM de la fille]]</f>
        <v>2021-66-17</v>
      </c>
      <c r="I211" s="1"/>
      <c r="J211" s="1" t="s">
        <v>593</v>
      </c>
      <c r="K211" s="35" t="s">
        <v>298</v>
      </c>
      <c r="L211" s="35">
        <v>13</v>
      </c>
      <c r="M211" s="35">
        <v>15.5</v>
      </c>
      <c r="N211" s="35">
        <f t="shared" si="6"/>
        <v>14.25</v>
      </c>
      <c r="O211" s="35">
        <v>17.5</v>
      </c>
      <c r="P211" s="35">
        <v>16</v>
      </c>
      <c r="Q211" s="35">
        <f t="shared" si="7"/>
        <v>16.75</v>
      </c>
      <c r="R211" s="35"/>
      <c r="S211" s="35"/>
      <c r="T211" s="35"/>
      <c r="U211" s="74" t="e">
        <f>AVERAGE(Tableau1[[#This Row],[1ère composition]:[3è Composition]])</f>
        <v>#DIV/0!</v>
      </c>
    </row>
    <row r="212" spans="1:21" hidden="1" x14ac:dyDescent="0.2">
      <c r="A212" s="1" t="s">
        <v>2913</v>
      </c>
      <c r="B212" s="1" t="s">
        <v>3319</v>
      </c>
      <c r="C212" s="1" t="s">
        <v>3622</v>
      </c>
      <c r="D212" s="1">
        <v>84148926</v>
      </c>
      <c r="E212" s="1">
        <v>2021</v>
      </c>
      <c r="F212" s="1">
        <v>66</v>
      </c>
      <c r="G212" s="1">
        <v>18</v>
      </c>
      <c r="H212" s="76" t="str">
        <f>Tableau1[[#This Row],[Annee d''inscription au programme]]&amp;"-"&amp;Tableau1[[#This Row],[Code d''ecole]]&amp;"-"&amp;Tableau1[[#This Row],[Numero HM de la fille]]</f>
        <v>2021-66-18</v>
      </c>
      <c r="I212" s="1"/>
      <c r="J212" s="1" t="s">
        <v>593</v>
      </c>
      <c r="K212" s="35" t="s">
        <v>298</v>
      </c>
      <c r="L212" s="35">
        <v>7</v>
      </c>
      <c r="M212" s="35">
        <v>4</v>
      </c>
      <c r="N212" s="35">
        <f t="shared" si="6"/>
        <v>5.5</v>
      </c>
      <c r="O212" s="35">
        <v>8</v>
      </c>
      <c r="P212" s="35">
        <v>15</v>
      </c>
      <c r="Q212" s="35">
        <f t="shared" si="7"/>
        <v>11.5</v>
      </c>
      <c r="R212" s="35"/>
      <c r="S212" s="35"/>
      <c r="T212" s="35"/>
      <c r="U212" s="74" t="e">
        <f>AVERAGE(Tableau1[[#This Row],[1ère composition]:[3è Composition]])</f>
        <v>#DIV/0!</v>
      </c>
    </row>
    <row r="213" spans="1:21" hidden="1" x14ac:dyDescent="0.2">
      <c r="A213" s="1" t="s">
        <v>2913</v>
      </c>
      <c r="B213" s="1" t="s">
        <v>1022</v>
      </c>
      <c r="C213" s="1" t="s">
        <v>3622</v>
      </c>
      <c r="D213" s="1">
        <v>95159245</v>
      </c>
      <c r="E213" s="1">
        <v>2021</v>
      </c>
      <c r="F213" s="1">
        <v>66</v>
      </c>
      <c r="G213" s="1">
        <v>19</v>
      </c>
      <c r="H213" s="76" t="str">
        <f>Tableau1[[#This Row],[Annee d''inscription au programme]]&amp;"-"&amp;Tableau1[[#This Row],[Code d''ecole]]&amp;"-"&amp;Tableau1[[#This Row],[Numero HM de la fille]]</f>
        <v>2021-66-19</v>
      </c>
      <c r="I213" s="1"/>
      <c r="J213" s="1" t="s">
        <v>593</v>
      </c>
      <c r="K213" s="35" t="s">
        <v>298</v>
      </c>
      <c r="L213" s="35">
        <v>13.5</v>
      </c>
      <c r="M213" s="35">
        <v>18</v>
      </c>
      <c r="N213" s="35">
        <f t="shared" si="6"/>
        <v>15.75</v>
      </c>
      <c r="O213" s="35">
        <v>9</v>
      </c>
      <c r="P213" s="35">
        <v>5.75</v>
      </c>
      <c r="Q213" s="35">
        <f t="shared" si="7"/>
        <v>7.375</v>
      </c>
      <c r="R213" s="35"/>
      <c r="S213" s="35"/>
      <c r="T213" s="35"/>
      <c r="U213" s="74" t="e">
        <f>AVERAGE(Tableau1[[#This Row],[1ère composition]:[3è Composition]])</f>
        <v>#DIV/0!</v>
      </c>
    </row>
    <row r="214" spans="1:21" hidden="1" x14ac:dyDescent="0.2">
      <c r="A214" s="1" t="s">
        <v>2913</v>
      </c>
      <c r="B214" s="1" t="s">
        <v>3626</v>
      </c>
      <c r="C214" s="1" t="s">
        <v>3622</v>
      </c>
      <c r="D214" s="1">
        <v>70559298</v>
      </c>
      <c r="E214" s="1">
        <v>2021</v>
      </c>
      <c r="F214" s="1">
        <v>66</v>
      </c>
      <c r="G214" s="1">
        <v>20</v>
      </c>
      <c r="H214" s="76" t="str">
        <f>Tableau1[[#This Row],[Annee d''inscription au programme]]&amp;"-"&amp;Tableau1[[#This Row],[Code d''ecole]]&amp;"-"&amp;Tableau1[[#This Row],[Numero HM de la fille]]</f>
        <v>2021-66-20</v>
      </c>
      <c r="I214" s="1"/>
      <c r="J214" s="1" t="s">
        <v>593</v>
      </c>
      <c r="K214" s="35" t="s">
        <v>298</v>
      </c>
      <c r="L214" s="35">
        <v>9.5</v>
      </c>
      <c r="M214" s="35">
        <v>3</v>
      </c>
      <c r="N214" s="35">
        <f t="shared" si="6"/>
        <v>6.25</v>
      </c>
      <c r="O214" s="35">
        <v>7.5</v>
      </c>
      <c r="P214" s="35">
        <v>3.5</v>
      </c>
      <c r="Q214" s="35">
        <f t="shared" si="7"/>
        <v>5.5</v>
      </c>
      <c r="R214" s="35"/>
      <c r="S214" s="35"/>
      <c r="T214" s="35"/>
      <c r="U214" s="74" t="e">
        <f>AVERAGE(Tableau1[[#This Row],[1ère composition]:[3è Composition]])</f>
        <v>#DIV/0!</v>
      </c>
    </row>
    <row r="215" spans="1:21" hidden="1" x14ac:dyDescent="0.2">
      <c r="A215" s="1" t="s">
        <v>2913</v>
      </c>
      <c r="B215" s="1" t="s">
        <v>3320</v>
      </c>
      <c r="C215" s="1" t="s">
        <v>3622</v>
      </c>
      <c r="D215" s="1">
        <v>84660552</v>
      </c>
      <c r="E215" s="1">
        <v>2021</v>
      </c>
      <c r="F215" s="1">
        <v>66</v>
      </c>
      <c r="G215" s="1">
        <v>21</v>
      </c>
      <c r="H215" s="76" t="str">
        <f>Tableau1[[#This Row],[Annee d''inscription au programme]]&amp;"-"&amp;Tableau1[[#This Row],[Code d''ecole]]&amp;"-"&amp;Tableau1[[#This Row],[Numero HM de la fille]]</f>
        <v>2021-66-21</v>
      </c>
      <c r="I215" s="1"/>
      <c r="J215" s="1" t="s">
        <v>593</v>
      </c>
      <c r="K215" s="35" t="s">
        <v>298</v>
      </c>
      <c r="L215" s="35">
        <v>16</v>
      </c>
      <c r="M215" s="35">
        <v>11.5</v>
      </c>
      <c r="N215" s="35">
        <f t="shared" si="6"/>
        <v>13.75</v>
      </c>
      <c r="O215" s="35">
        <v>12</v>
      </c>
      <c r="P215" s="35">
        <v>3.5</v>
      </c>
      <c r="Q215" s="35">
        <f t="shared" si="7"/>
        <v>7.75</v>
      </c>
      <c r="R215" s="35"/>
      <c r="S215" s="35"/>
      <c r="T215" s="35"/>
      <c r="U215" s="74" t="e">
        <f>AVERAGE(Tableau1[[#This Row],[1ère composition]:[3è Composition]])</f>
        <v>#DIV/0!</v>
      </c>
    </row>
    <row r="216" spans="1:21" hidden="1" x14ac:dyDescent="0.2">
      <c r="A216" s="1" t="s">
        <v>2913</v>
      </c>
      <c r="B216" s="1" t="s">
        <v>3321</v>
      </c>
      <c r="C216" s="1" t="s">
        <v>3622</v>
      </c>
      <c r="D216" s="1">
        <v>96163022</v>
      </c>
      <c r="E216" s="1">
        <v>2021</v>
      </c>
      <c r="F216" s="1">
        <v>66</v>
      </c>
      <c r="G216" s="1">
        <v>22</v>
      </c>
      <c r="H216" s="76" t="str">
        <f>Tableau1[[#This Row],[Annee d''inscription au programme]]&amp;"-"&amp;Tableau1[[#This Row],[Code d''ecole]]&amp;"-"&amp;Tableau1[[#This Row],[Numero HM de la fille]]</f>
        <v>2021-66-22</v>
      </c>
      <c r="I216" s="1"/>
      <c r="J216" s="1" t="s">
        <v>593</v>
      </c>
      <c r="K216" s="35" t="s">
        <v>298</v>
      </c>
      <c r="L216" s="35">
        <v>18</v>
      </c>
      <c r="M216" s="35">
        <v>16</v>
      </c>
      <c r="N216" s="35">
        <f t="shared" si="6"/>
        <v>17</v>
      </c>
      <c r="O216" s="35">
        <v>15.5</v>
      </c>
      <c r="P216" s="35">
        <v>17.5</v>
      </c>
      <c r="Q216" s="35">
        <f t="shared" si="7"/>
        <v>16.5</v>
      </c>
      <c r="R216" s="35"/>
      <c r="S216" s="35"/>
      <c r="T216" s="35"/>
      <c r="U216" s="74" t="e">
        <f>AVERAGE(Tableau1[[#This Row],[1ère composition]:[3è Composition]])</f>
        <v>#DIV/0!</v>
      </c>
    </row>
    <row r="217" spans="1:21" hidden="1" x14ac:dyDescent="0.2">
      <c r="A217" s="1" t="s">
        <v>2913</v>
      </c>
      <c r="B217" s="1" t="s">
        <v>3322</v>
      </c>
      <c r="C217" s="1" t="s">
        <v>3622</v>
      </c>
      <c r="D217" s="1">
        <v>96846164</v>
      </c>
      <c r="E217" s="1">
        <v>2021</v>
      </c>
      <c r="F217" s="1">
        <v>66</v>
      </c>
      <c r="G217" s="1">
        <v>23</v>
      </c>
      <c r="H217" s="76" t="str">
        <f>Tableau1[[#This Row],[Annee d''inscription au programme]]&amp;"-"&amp;Tableau1[[#This Row],[Code d''ecole]]&amp;"-"&amp;Tableau1[[#This Row],[Numero HM de la fille]]</f>
        <v>2021-66-23</v>
      </c>
      <c r="I217" s="1"/>
      <c r="J217" s="1" t="s">
        <v>593</v>
      </c>
      <c r="K217" s="35" t="s">
        <v>298</v>
      </c>
      <c r="L217" s="35">
        <v>0</v>
      </c>
      <c r="M217" s="35">
        <v>0</v>
      </c>
      <c r="N217" s="35">
        <f t="shared" si="6"/>
        <v>0</v>
      </c>
      <c r="O217" s="35">
        <v>15.5</v>
      </c>
      <c r="P217" s="35">
        <v>15</v>
      </c>
      <c r="Q217" s="35">
        <f t="shared" si="7"/>
        <v>15.25</v>
      </c>
      <c r="R217" s="35"/>
      <c r="S217" s="35"/>
      <c r="T217" s="35"/>
      <c r="U217" s="74" t="e">
        <f>AVERAGE(Tableau1[[#This Row],[1ère composition]:[3è Composition]])</f>
        <v>#DIV/0!</v>
      </c>
    </row>
    <row r="218" spans="1:21" hidden="1" x14ac:dyDescent="0.2">
      <c r="A218" s="1" t="s">
        <v>2913</v>
      </c>
      <c r="B218" s="1" t="s">
        <v>3323</v>
      </c>
      <c r="C218" s="1" t="s">
        <v>3622</v>
      </c>
      <c r="D218" s="1">
        <v>98645003</v>
      </c>
      <c r="E218" s="1">
        <v>2021</v>
      </c>
      <c r="F218" s="1">
        <v>66</v>
      </c>
      <c r="G218" s="1">
        <v>24</v>
      </c>
      <c r="H218" s="76" t="str">
        <f>Tableau1[[#This Row],[Annee d''inscription au programme]]&amp;"-"&amp;Tableau1[[#This Row],[Code d''ecole]]&amp;"-"&amp;Tableau1[[#This Row],[Numero HM de la fille]]</f>
        <v>2021-66-24</v>
      </c>
      <c r="I218" s="1"/>
      <c r="J218" s="1" t="s">
        <v>593</v>
      </c>
      <c r="K218" s="35" t="s">
        <v>298</v>
      </c>
      <c r="L218" s="35">
        <v>5</v>
      </c>
      <c r="M218" s="35">
        <v>2.5</v>
      </c>
      <c r="N218" s="35">
        <f t="shared" si="6"/>
        <v>3.75</v>
      </c>
      <c r="O218" s="35">
        <v>4</v>
      </c>
      <c r="P218" s="35">
        <v>3.5</v>
      </c>
      <c r="Q218" s="35">
        <f t="shared" si="7"/>
        <v>3.75</v>
      </c>
      <c r="R218" s="35"/>
      <c r="S218" s="35"/>
      <c r="T218" s="35"/>
      <c r="U218" s="74" t="e">
        <f>AVERAGE(Tableau1[[#This Row],[1ère composition]:[3è Composition]])</f>
        <v>#DIV/0!</v>
      </c>
    </row>
    <row r="219" spans="1:21" hidden="1" x14ac:dyDescent="0.2">
      <c r="A219" s="1" t="s">
        <v>2913</v>
      </c>
      <c r="B219" s="1" t="s">
        <v>3324</v>
      </c>
      <c r="C219" s="1" t="s">
        <v>3622</v>
      </c>
      <c r="D219" s="1">
        <v>94970447</v>
      </c>
      <c r="E219" s="1">
        <v>2021</v>
      </c>
      <c r="F219" s="1">
        <v>66</v>
      </c>
      <c r="G219" s="1">
        <v>25</v>
      </c>
      <c r="H219" s="76" t="str">
        <f>Tableau1[[#This Row],[Annee d''inscription au programme]]&amp;"-"&amp;Tableau1[[#This Row],[Code d''ecole]]&amp;"-"&amp;Tableau1[[#This Row],[Numero HM de la fille]]</f>
        <v>2021-66-25</v>
      </c>
      <c r="I219" s="1"/>
      <c r="J219" s="1" t="s">
        <v>593</v>
      </c>
      <c r="K219" s="35" t="s">
        <v>298</v>
      </c>
      <c r="L219" s="35">
        <v>9</v>
      </c>
      <c r="M219" s="35">
        <v>5.5</v>
      </c>
      <c r="N219" s="35">
        <f t="shared" si="6"/>
        <v>7.25</v>
      </c>
      <c r="O219" s="35">
        <v>14</v>
      </c>
      <c r="P219" s="35">
        <v>15.5</v>
      </c>
      <c r="Q219" s="35">
        <f t="shared" si="7"/>
        <v>14.75</v>
      </c>
      <c r="R219" s="35"/>
      <c r="S219" s="35"/>
      <c r="T219" s="35"/>
      <c r="U219" s="74" t="e">
        <f>AVERAGE(Tableau1[[#This Row],[1ère composition]:[3è Composition]])</f>
        <v>#DIV/0!</v>
      </c>
    </row>
    <row r="220" spans="1:21" hidden="1" x14ac:dyDescent="0.2">
      <c r="A220" s="1" t="s">
        <v>2913</v>
      </c>
      <c r="B220" s="1" t="s">
        <v>3325</v>
      </c>
      <c r="C220" s="1" t="s">
        <v>3622</v>
      </c>
      <c r="D220" s="1"/>
      <c r="E220" s="1">
        <v>2021</v>
      </c>
      <c r="F220" s="1">
        <v>66</v>
      </c>
      <c r="G220" s="1">
        <v>26</v>
      </c>
      <c r="H220" s="76" t="str">
        <f>Tableau1[[#This Row],[Annee d''inscription au programme]]&amp;"-"&amp;Tableau1[[#This Row],[Code d''ecole]]&amp;"-"&amp;Tableau1[[#This Row],[Numero HM de la fille]]</f>
        <v>2021-66-26</v>
      </c>
      <c r="I220" s="1"/>
      <c r="J220" s="1" t="s">
        <v>593</v>
      </c>
      <c r="K220" s="35" t="s">
        <v>298</v>
      </c>
      <c r="L220" s="35">
        <v>12.5</v>
      </c>
      <c r="M220" s="35">
        <v>14.5</v>
      </c>
      <c r="N220" s="35">
        <f t="shared" si="6"/>
        <v>13.5</v>
      </c>
      <c r="O220" s="35">
        <v>6.5</v>
      </c>
      <c r="P220" s="35">
        <v>11.25</v>
      </c>
      <c r="Q220" s="35">
        <f t="shared" si="7"/>
        <v>8.875</v>
      </c>
      <c r="R220" s="35"/>
      <c r="S220" s="35"/>
      <c r="T220" s="35"/>
      <c r="U220" s="74" t="e">
        <f>AVERAGE(Tableau1[[#This Row],[1ère composition]:[3è Composition]])</f>
        <v>#DIV/0!</v>
      </c>
    </row>
    <row r="221" spans="1:21" hidden="1" x14ac:dyDescent="0.2">
      <c r="A221" s="1" t="s">
        <v>2924</v>
      </c>
      <c r="B221" s="1" t="s">
        <v>2925</v>
      </c>
      <c r="C221" s="1" t="s">
        <v>3624</v>
      </c>
      <c r="D221" s="1"/>
      <c r="E221" s="1">
        <v>2021</v>
      </c>
      <c r="F221" s="1">
        <v>67</v>
      </c>
      <c r="G221" s="1">
        <v>1</v>
      </c>
      <c r="H221" s="76" t="str">
        <f>Tableau1[[#This Row],[Annee d''inscription au programme]]&amp;"-"&amp;Tableau1[[#This Row],[Code d''ecole]]&amp;"-"&amp;Tableau1[[#This Row],[Numero HM de la fille]]</f>
        <v>2021-67-1</v>
      </c>
      <c r="I221" s="1"/>
      <c r="J221" s="1" t="s">
        <v>593</v>
      </c>
      <c r="K221" s="35" t="s">
        <v>298</v>
      </c>
      <c r="L221" s="35">
        <v>6</v>
      </c>
      <c r="M221" s="35">
        <v>3</v>
      </c>
      <c r="N221" s="35">
        <f t="shared" si="6"/>
        <v>4.5</v>
      </c>
      <c r="O221" s="35">
        <v>10.5</v>
      </c>
      <c r="P221" s="35">
        <v>15.25</v>
      </c>
      <c r="Q221" s="35">
        <f t="shared" si="7"/>
        <v>12.875</v>
      </c>
      <c r="R221" s="35"/>
      <c r="S221" s="35"/>
      <c r="T221" s="35"/>
      <c r="U221" s="74" t="e">
        <f>AVERAGE(Tableau1[[#This Row],[1ère composition]:[3è Composition]])</f>
        <v>#DIV/0!</v>
      </c>
    </row>
    <row r="222" spans="1:21" hidden="1" x14ac:dyDescent="0.2">
      <c r="A222" s="1" t="s">
        <v>2924</v>
      </c>
      <c r="B222" s="1" t="s">
        <v>2926</v>
      </c>
      <c r="C222" s="1" t="s">
        <v>3624</v>
      </c>
      <c r="D222" s="1"/>
      <c r="E222" s="1">
        <v>2021</v>
      </c>
      <c r="F222" s="1">
        <v>67</v>
      </c>
      <c r="G222" s="1">
        <v>2</v>
      </c>
      <c r="H222" s="76" t="str">
        <f>Tableau1[[#This Row],[Annee d''inscription au programme]]&amp;"-"&amp;Tableau1[[#This Row],[Code d''ecole]]&amp;"-"&amp;Tableau1[[#This Row],[Numero HM de la fille]]</f>
        <v>2021-67-2</v>
      </c>
      <c r="I222" s="1"/>
      <c r="J222" s="1" t="s">
        <v>593</v>
      </c>
      <c r="K222" s="35" t="s">
        <v>298</v>
      </c>
      <c r="L222" s="35">
        <v>12</v>
      </c>
      <c r="M222" s="35">
        <v>7.5</v>
      </c>
      <c r="N222" s="35">
        <f t="shared" si="6"/>
        <v>9.75</v>
      </c>
      <c r="O222" s="35">
        <v>11.5</v>
      </c>
      <c r="P222" s="35">
        <v>11</v>
      </c>
      <c r="Q222" s="35">
        <f t="shared" si="7"/>
        <v>11.25</v>
      </c>
      <c r="R222" s="35"/>
      <c r="S222" s="35"/>
      <c r="T222" s="35"/>
      <c r="U222" s="74" t="e">
        <f>AVERAGE(Tableau1[[#This Row],[1ère composition]:[3è Composition]])</f>
        <v>#DIV/0!</v>
      </c>
    </row>
    <row r="223" spans="1:21" hidden="1" x14ac:dyDescent="0.2">
      <c r="A223" s="1" t="s">
        <v>2924</v>
      </c>
      <c r="B223" s="1" t="s">
        <v>2927</v>
      </c>
      <c r="C223" s="1" t="s">
        <v>3624</v>
      </c>
      <c r="D223" s="1"/>
      <c r="E223" s="1">
        <v>2021</v>
      </c>
      <c r="F223" s="1">
        <v>67</v>
      </c>
      <c r="G223" s="1">
        <v>3</v>
      </c>
      <c r="H223" s="76" t="str">
        <f>Tableau1[[#This Row],[Annee d''inscription au programme]]&amp;"-"&amp;Tableau1[[#This Row],[Code d''ecole]]&amp;"-"&amp;Tableau1[[#This Row],[Numero HM de la fille]]</f>
        <v>2021-67-3</v>
      </c>
      <c r="I223" s="1"/>
      <c r="J223" s="1" t="s">
        <v>593</v>
      </c>
      <c r="K223" s="35" t="s">
        <v>298</v>
      </c>
      <c r="L223" s="35">
        <v>3</v>
      </c>
      <c r="M223" s="35">
        <v>8</v>
      </c>
      <c r="N223" s="35">
        <f t="shared" si="6"/>
        <v>5.5</v>
      </c>
      <c r="O223" s="35">
        <v>13.5</v>
      </c>
      <c r="P223" s="35">
        <v>8.25</v>
      </c>
      <c r="Q223" s="35">
        <f t="shared" si="7"/>
        <v>10.875</v>
      </c>
      <c r="R223" s="35"/>
      <c r="S223" s="35"/>
      <c r="T223" s="35"/>
      <c r="U223" s="74" t="e">
        <f>AVERAGE(Tableau1[[#This Row],[1ère composition]:[3è Composition]])</f>
        <v>#DIV/0!</v>
      </c>
    </row>
    <row r="224" spans="1:21" hidden="1" x14ac:dyDescent="0.2">
      <c r="A224" s="1" t="s">
        <v>2924</v>
      </c>
      <c r="B224" s="1" t="s">
        <v>2928</v>
      </c>
      <c r="C224" s="1" t="s">
        <v>3624</v>
      </c>
      <c r="D224" s="1"/>
      <c r="E224" s="1">
        <v>2021</v>
      </c>
      <c r="F224" s="1">
        <v>67</v>
      </c>
      <c r="G224" s="1">
        <v>4</v>
      </c>
      <c r="H224" s="76" t="str">
        <f>Tableau1[[#This Row],[Annee d''inscription au programme]]&amp;"-"&amp;Tableau1[[#This Row],[Code d''ecole]]&amp;"-"&amp;Tableau1[[#This Row],[Numero HM de la fille]]</f>
        <v>2021-67-4</v>
      </c>
      <c r="I224" s="1"/>
      <c r="J224" s="1" t="s">
        <v>593</v>
      </c>
      <c r="K224" s="35" t="s">
        <v>298</v>
      </c>
      <c r="L224" s="35">
        <v>6</v>
      </c>
      <c r="M224" s="35">
        <v>3.5</v>
      </c>
      <c r="N224" s="35">
        <f t="shared" si="6"/>
        <v>4.75</v>
      </c>
      <c r="O224" s="35"/>
      <c r="P224" s="35"/>
      <c r="Q224" s="35">
        <f t="shared" si="7"/>
        <v>0</v>
      </c>
      <c r="R224" s="35"/>
      <c r="S224" s="35"/>
      <c r="T224" s="35"/>
      <c r="U224" s="74" t="e">
        <f>AVERAGE(Tableau1[[#This Row],[1ère composition]:[3è Composition]])</f>
        <v>#DIV/0!</v>
      </c>
    </row>
    <row r="225" spans="1:21" hidden="1" x14ac:dyDescent="0.2">
      <c r="A225" s="1" t="s">
        <v>2924</v>
      </c>
      <c r="B225" s="1" t="s">
        <v>2929</v>
      </c>
      <c r="C225" s="1" t="s">
        <v>3624</v>
      </c>
      <c r="D225" s="1"/>
      <c r="E225" s="1">
        <v>2021</v>
      </c>
      <c r="F225" s="1">
        <v>67</v>
      </c>
      <c r="G225" s="1">
        <v>5</v>
      </c>
      <c r="H225" s="76" t="str">
        <f>Tableau1[[#This Row],[Annee d''inscription au programme]]&amp;"-"&amp;Tableau1[[#This Row],[Code d''ecole]]&amp;"-"&amp;Tableau1[[#This Row],[Numero HM de la fille]]</f>
        <v>2021-67-5</v>
      </c>
      <c r="I225" s="1"/>
      <c r="J225" s="1" t="s">
        <v>593</v>
      </c>
      <c r="K225" s="35" t="s">
        <v>298</v>
      </c>
      <c r="L225" s="35">
        <v>6</v>
      </c>
      <c r="M225" s="35">
        <v>3</v>
      </c>
      <c r="N225" s="35">
        <f t="shared" si="6"/>
        <v>4.5</v>
      </c>
      <c r="O225" s="35"/>
      <c r="P225" s="35"/>
      <c r="Q225" s="35">
        <f t="shared" si="7"/>
        <v>0</v>
      </c>
      <c r="R225" s="35"/>
      <c r="S225" s="35"/>
      <c r="T225" s="35"/>
      <c r="U225" s="74" t="e">
        <f>AVERAGE(Tableau1[[#This Row],[1ère composition]:[3è Composition]])</f>
        <v>#DIV/0!</v>
      </c>
    </row>
    <row r="226" spans="1:21" hidden="1" x14ac:dyDescent="0.2">
      <c r="A226" s="1" t="s">
        <v>2924</v>
      </c>
      <c r="B226" s="1" t="s">
        <v>2930</v>
      </c>
      <c r="C226" s="1" t="s">
        <v>3624</v>
      </c>
      <c r="D226" s="1"/>
      <c r="E226" s="1">
        <v>2021</v>
      </c>
      <c r="F226" s="1">
        <v>67</v>
      </c>
      <c r="G226" s="1">
        <v>6</v>
      </c>
      <c r="H226" s="76" t="str">
        <f>Tableau1[[#This Row],[Annee d''inscription au programme]]&amp;"-"&amp;Tableau1[[#This Row],[Code d''ecole]]&amp;"-"&amp;Tableau1[[#This Row],[Numero HM de la fille]]</f>
        <v>2021-67-6</v>
      </c>
      <c r="I226" s="1"/>
      <c r="J226" s="1" t="s">
        <v>593</v>
      </c>
      <c r="K226" s="35" t="s">
        <v>298</v>
      </c>
      <c r="L226" s="35">
        <v>2</v>
      </c>
      <c r="M226" s="35">
        <v>3</v>
      </c>
      <c r="N226" s="35">
        <f t="shared" si="6"/>
        <v>2.5</v>
      </c>
      <c r="O226" s="35">
        <v>3.5</v>
      </c>
      <c r="P226" s="35">
        <v>6.75</v>
      </c>
      <c r="Q226" s="35">
        <f t="shared" si="7"/>
        <v>5.125</v>
      </c>
      <c r="R226" s="35"/>
      <c r="S226" s="35"/>
      <c r="T226" s="35"/>
      <c r="U226" s="74" t="e">
        <f>AVERAGE(Tableau1[[#This Row],[1ère composition]:[3è Composition]])</f>
        <v>#DIV/0!</v>
      </c>
    </row>
    <row r="227" spans="1:21" hidden="1" x14ac:dyDescent="0.2">
      <c r="A227" s="1" t="s">
        <v>2924</v>
      </c>
      <c r="B227" s="1" t="s">
        <v>2931</v>
      </c>
      <c r="C227" s="1" t="s">
        <v>3624</v>
      </c>
      <c r="D227" s="1"/>
      <c r="E227" s="1">
        <v>2021</v>
      </c>
      <c r="F227" s="1">
        <v>67</v>
      </c>
      <c r="G227" s="1">
        <v>7</v>
      </c>
      <c r="H227" s="76" t="str">
        <f>Tableau1[[#This Row],[Annee d''inscription au programme]]&amp;"-"&amp;Tableau1[[#This Row],[Code d''ecole]]&amp;"-"&amp;Tableau1[[#This Row],[Numero HM de la fille]]</f>
        <v>2021-67-7</v>
      </c>
      <c r="I227" s="1"/>
      <c r="J227" s="1" t="s">
        <v>593</v>
      </c>
      <c r="K227" s="35" t="s">
        <v>298</v>
      </c>
      <c r="L227" s="35">
        <v>11</v>
      </c>
      <c r="M227" s="35">
        <v>2</v>
      </c>
      <c r="N227" s="35">
        <f t="shared" si="6"/>
        <v>6.5</v>
      </c>
      <c r="O227" s="35">
        <v>7.5</v>
      </c>
      <c r="P227" s="35">
        <v>8.5</v>
      </c>
      <c r="Q227" s="35">
        <f t="shared" si="7"/>
        <v>8</v>
      </c>
      <c r="R227" s="35"/>
      <c r="S227" s="35"/>
      <c r="T227" s="35"/>
      <c r="U227" s="74" t="e">
        <f>AVERAGE(Tableau1[[#This Row],[1ère composition]:[3è Composition]])</f>
        <v>#DIV/0!</v>
      </c>
    </row>
    <row r="228" spans="1:21" hidden="1" x14ac:dyDescent="0.2">
      <c r="A228" s="1" t="s">
        <v>2924</v>
      </c>
      <c r="B228" s="1" t="s">
        <v>2932</v>
      </c>
      <c r="C228" s="1" t="s">
        <v>3624</v>
      </c>
      <c r="D228" s="1"/>
      <c r="E228" s="1">
        <v>2021</v>
      </c>
      <c r="F228" s="1">
        <v>67</v>
      </c>
      <c r="G228" s="1">
        <v>8</v>
      </c>
      <c r="H228" s="76" t="str">
        <f>Tableau1[[#This Row],[Annee d''inscription au programme]]&amp;"-"&amp;Tableau1[[#This Row],[Code d''ecole]]&amp;"-"&amp;Tableau1[[#This Row],[Numero HM de la fille]]</f>
        <v>2021-67-8</v>
      </c>
      <c r="I228" s="1"/>
      <c r="J228" s="1" t="s">
        <v>593</v>
      </c>
      <c r="K228" s="35" t="s">
        <v>298</v>
      </c>
      <c r="L228" s="35">
        <v>13.5</v>
      </c>
      <c r="M228" s="35">
        <v>8</v>
      </c>
      <c r="N228" s="35">
        <f t="shared" si="6"/>
        <v>10.75</v>
      </c>
      <c r="O228" s="35">
        <v>11.5</v>
      </c>
      <c r="P228" s="35">
        <v>9.75</v>
      </c>
      <c r="Q228" s="35">
        <f t="shared" si="7"/>
        <v>10.625</v>
      </c>
      <c r="R228" s="35"/>
      <c r="S228" s="35"/>
      <c r="T228" s="35"/>
      <c r="U228" s="74" t="e">
        <f>AVERAGE(Tableau1[[#This Row],[1ère composition]:[3è Composition]])</f>
        <v>#DIV/0!</v>
      </c>
    </row>
    <row r="229" spans="1:21" hidden="1" x14ac:dyDescent="0.2">
      <c r="A229" s="1" t="s">
        <v>2924</v>
      </c>
      <c r="B229" s="1" t="s">
        <v>2933</v>
      </c>
      <c r="C229" s="1" t="s">
        <v>3624</v>
      </c>
      <c r="D229" s="1"/>
      <c r="E229" s="1">
        <v>2021</v>
      </c>
      <c r="F229" s="1">
        <v>67</v>
      </c>
      <c r="G229" s="1">
        <v>9</v>
      </c>
      <c r="H229" s="76" t="str">
        <f>Tableau1[[#This Row],[Annee d''inscription au programme]]&amp;"-"&amp;Tableau1[[#This Row],[Code d''ecole]]&amp;"-"&amp;Tableau1[[#This Row],[Numero HM de la fille]]</f>
        <v>2021-67-9</v>
      </c>
      <c r="I229" s="1"/>
      <c r="J229" s="1" t="s">
        <v>593</v>
      </c>
      <c r="K229" s="35" t="s">
        <v>298</v>
      </c>
      <c r="L229" s="35">
        <v>13.5</v>
      </c>
      <c r="M229" s="35">
        <v>2</v>
      </c>
      <c r="N229" s="35">
        <f t="shared" si="6"/>
        <v>7.75</v>
      </c>
      <c r="O229" s="35">
        <v>3.5</v>
      </c>
      <c r="P229" s="35">
        <v>6</v>
      </c>
      <c r="Q229" s="35">
        <f t="shared" si="7"/>
        <v>4.75</v>
      </c>
      <c r="R229" s="35"/>
      <c r="S229" s="35"/>
      <c r="T229" s="35"/>
      <c r="U229" s="74" t="e">
        <f>AVERAGE(Tableau1[[#This Row],[1ère composition]:[3è Composition]])</f>
        <v>#DIV/0!</v>
      </c>
    </row>
    <row r="230" spans="1:21" hidden="1" x14ac:dyDescent="0.2">
      <c r="A230" s="1" t="s">
        <v>2924</v>
      </c>
      <c r="B230" s="1" t="s">
        <v>2752</v>
      </c>
      <c r="C230" s="1" t="s">
        <v>3624</v>
      </c>
      <c r="D230" s="1"/>
      <c r="E230" s="1">
        <v>2021</v>
      </c>
      <c r="F230" s="1">
        <v>67</v>
      </c>
      <c r="G230" s="1">
        <v>10</v>
      </c>
      <c r="H230" s="76" t="str">
        <f>Tableau1[[#This Row],[Annee d''inscription au programme]]&amp;"-"&amp;Tableau1[[#This Row],[Code d''ecole]]&amp;"-"&amp;Tableau1[[#This Row],[Numero HM de la fille]]</f>
        <v>2021-67-10</v>
      </c>
      <c r="I230" s="1"/>
      <c r="J230" s="1" t="s">
        <v>593</v>
      </c>
      <c r="K230" s="35" t="s">
        <v>298</v>
      </c>
      <c r="L230" s="35">
        <v>13.5</v>
      </c>
      <c r="M230" s="35">
        <v>3</v>
      </c>
      <c r="N230" s="35">
        <f t="shared" si="6"/>
        <v>8.25</v>
      </c>
      <c r="O230" s="35">
        <v>10.5</v>
      </c>
      <c r="P230" s="35">
        <v>10</v>
      </c>
      <c r="Q230" s="35">
        <f t="shared" si="7"/>
        <v>10.25</v>
      </c>
      <c r="R230" s="35"/>
      <c r="S230" s="35"/>
      <c r="T230" s="35"/>
      <c r="U230" s="74" t="e">
        <f>AVERAGE(Tableau1[[#This Row],[1ère composition]:[3è Composition]])</f>
        <v>#DIV/0!</v>
      </c>
    </row>
    <row r="231" spans="1:21" hidden="1" x14ac:dyDescent="0.2">
      <c r="A231" s="1" t="s">
        <v>2924</v>
      </c>
      <c r="B231" s="1" t="s">
        <v>2934</v>
      </c>
      <c r="C231" s="1" t="s">
        <v>3624</v>
      </c>
      <c r="D231" s="1"/>
      <c r="E231" s="1">
        <v>2021</v>
      </c>
      <c r="F231" s="1">
        <v>67</v>
      </c>
      <c r="G231" s="1">
        <v>11</v>
      </c>
      <c r="H231" s="76" t="str">
        <f>Tableau1[[#This Row],[Annee d''inscription au programme]]&amp;"-"&amp;Tableau1[[#This Row],[Code d''ecole]]&amp;"-"&amp;Tableau1[[#This Row],[Numero HM de la fille]]</f>
        <v>2021-67-11</v>
      </c>
      <c r="I231" s="1"/>
      <c r="J231" s="1" t="s">
        <v>593</v>
      </c>
      <c r="K231" s="35" t="s">
        <v>298</v>
      </c>
      <c r="L231" s="35">
        <v>13.5</v>
      </c>
      <c r="M231" s="35">
        <v>7</v>
      </c>
      <c r="N231" s="35">
        <f t="shared" si="6"/>
        <v>10.25</v>
      </c>
      <c r="O231" s="35">
        <v>8.5</v>
      </c>
      <c r="P231" s="35">
        <v>7.75</v>
      </c>
      <c r="Q231" s="35">
        <f t="shared" si="7"/>
        <v>8.125</v>
      </c>
      <c r="R231" s="35"/>
      <c r="S231" s="35"/>
      <c r="T231" s="35"/>
      <c r="U231" s="74" t="e">
        <f>AVERAGE(Tableau1[[#This Row],[1ère composition]:[3è Composition]])</f>
        <v>#DIV/0!</v>
      </c>
    </row>
    <row r="232" spans="1:21" hidden="1" x14ac:dyDescent="0.2">
      <c r="A232" s="1" t="s">
        <v>2924</v>
      </c>
      <c r="B232" s="1" t="s">
        <v>3625</v>
      </c>
      <c r="C232" s="1" t="s">
        <v>3624</v>
      </c>
      <c r="D232" s="1"/>
      <c r="E232" s="1">
        <v>2021</v>
      </c>
      <c r="F232" s="1">
        <v>67</v>
      </c>
      <c r="G232" s="1">
        <v>12</v>
      </c>
      <c r="H232" s="76" t="str">
        <f>Tableau1[[#This Row],[Annee d''inscription au programme]]&amp;"-"&amp;Tableau1[[#This Row],[Code d''ecole]]&amp;"-"&amp;Tableau1[[#This Row],[Numero HM de la fille]]</f>
        <v>2021-67-12</v>
      </c>
      <c r="I232" s="1"/>
      <c r="J232" s="1" t="s">
        <v>593</v>
      </c>
      <c r="K232" s="35" t="s">
        <v>298</v>
      </c>
      <c r="L232" s="35">
        <v>13.5</v>
      </c>
      <c r="M232" s="35">
        <v>6</v>
      </c>
      <c r="N232" s="35">
        <f t="shared" si="6"/>
        <v>9.75</v>
      </c>
      <c r="O232" s="35">
        <v>6.5</v>
      </c>
      <c r="P232" s="35">
        <v>15.25</v>
      </c>
      <c r="Q232" s="35">
        <f t="shared" si="7"/>
        <v>10.875</v>
      </c>
      <c r="R232" s="35"/>
      <c r="S232" s="35"/>
      <c r="T232" s="35"/>
      <c r="U232" s="74" t="e">
        <f>AVERAGE(Tableau1[[#This Row],[1ère composition]:[3è Composition]])</f>
        <v>#DIV/0!</v>
      </c>
    </row>
    <row r="233" spans="1:21" hidden="1" x14ac:dyDescent="0.2">
      <c r="A233" s="1" t="s">
        <v>2924</v>
      </c>
      <c r="B233" s="1" t="s">
        <v>2935</v>
      </c>
      <c r="C233" s="1" t="s">
        <v>3624</v>
      </c>
      <c r="D233" s="1"/>
      <c r="E233" s="1">
        <v>2021</v>
      </c>
      <c r="F233" s="1">
        <v>67</v>
      </c>
      <c r="G233" s="1">
        <v>13</v>
      </c>
      <c r="H233" s="76" t="str">
        <f>Tableau1[[#This Row],[Annee d''inscription au programme]]&amp;"-"&amp;Tableau1[[#This Row],[Code d''ecole]]&amp;"-"&amp;Tableau1[[#This Row],[Numero HM de la fille]]</f>
        <v>2021-67-13</v>
      </c>
      <c r="I233" s="1"/>
      <c r="J233" s="1" t="s">
        <v>593</v>
      </c>
      <c r="K233" s="35" t="s">
        <v>298</v>
      </c>
      <c r="L233" s="35">
        <v>13</v>
      </c>
      <c r="M233" s="35">
        <v>4</v>
      </c>
      <c r="N233" s="35">
        <f t="shared" si="6"/>
        <v>8.5</v>
      </c>
      <c r="O233" s="35">
        <v>9.5</v>
      </c>
      <c r="P233" s="35">
        <v>7.75</v>
      </c>
      <c r="Q233" s="35">
        <f t="shared" si="7"/>
        <v>8.625</v>
      </c>
      <c r="R233" s="35"/>
      <c r="S233" s="35"/>
      <c r="T233" s="35"/>
      <c r="U233" s="74" t="e">
        <f>AVERAGE(Tableau1[[#This Row],[1ère composition]:[3è Composition]])</f>
        <v>#DIV/0!</v>
      </c>
    </row>
    <row r="234" spans="1:21" hidden="1" x14ac:dyDescent="0.2">
      <c r="A234" s="1" t="s">
        <v>2924</v>
      </c>
      <c r="B234" s="1" t="s">
        <v>2936</v>
      </c>
      <c r="C234" s="1" t="s">
        <v>3624</v>
      </c>
      <c r="D234" s="1"/>
      <c r="E234" s="1">
        <v>2021</v>
      </c>
      <c r="F234" s="1">
        <v>67</v>
      </c>
      <c r="G234" s="1">
        <v>14</v>
      </c>
      <c r="H234" s="76" t="str">
        <f>Tableau1[[#This Row],[Annee d''inscription au programme]]&amp;"-"&amp;Tableau1[[#This Row],[Code d''ecole]]&amp;"-"&amp;Tableau1[[#This Row],[Numero HM de la fille]]</f>
        <v>2021-67-14</v>
      </c>
      <c r="I234" s="1"/>
      <c r="J234" s="1" t="s">
        <v>593</v>
      </c>
      <c r="K234" s="35" t="s">
        <v>298</v>
      </c>
      <c r="L234" s="35">
        <v>13.5</v>
      </c>
      <c r="M234" s="35">
        <v>0</v>
      </c>
      <c r="N234" s="35">
        <f t="shared" si="6"/>
        <v>6.75</v>
      </c>
      <c r="O234" s="35"/>
      <c r="P234" s="35"/>
      <c r="Q234" s="35">
        <f t="shared" si="7"/>
        <v>0</v>
      </c>
      <c r="R234" s="35"/>
      <c r="S234" s="35"/>
      <c r="T234" s="35"/>
      <c r="U234" s="74" t="e">
        <f>AVERAGE(Tableau1[[#This Row],[1ère composition]:[3è Composition]])</f>
        <v>#DIV/0!</v>
      </c>
    </row>
    <row r="235" spans="1:21" hidden="1" x14ac:dyDescent="0.2">
      <c r="A235" s="1" t="s">
        <v>2924</v>
      </c>
      <c r="B235" s="1" t="s">
        <v>2937</v>
      </c>
      <c r="C235" s="1" t="s">
        <v>3624</v>
      </c>
      <c r="D235" s="1"/>
      <c r="E235" s="1">
        <v>2021</v>
      </c>
      <c r="F235" s="1">
        <v>67</v>
      </c>
      <c r="G235" s="1">
        <v>15</v>
      </c>
      <c r="H235" s="76" t="str">
        <f>Tableau1[[#This Row],[Annee d''inscription au programme]]&amp;"-"&amp;Tableau1[[#This Row],[Code d''ecole]]&amp;"-"&amp;Tableau1[[#This Row],[Numero HM de la fille]]</f>
        <v>2021-67-15</v>
      </c>
      <c r="I235" s="1"/>
      <c r="J235" s="1" t="s">
        <v>593</v>
      </c>
      <c r="K235" s="35" t="s">
        <v>298</v>
      </c>
      <c r="L235" s="35">
        <v>13.5</v>
      </c>
      <c r="M235" s="35">
        <v>3</v>
      </c>
      <c r="N235" s="35">
        <f t="shared" si="6"/>
        <v>8.25</v>
      </c>
      <c r="O235" s="35">
        <v>3.5</v>
      </c>
      <c r="P235" s="35">
        <v>7</v>
      </c>
      <c r="Q235" s="35">
        <f t="shared" si="7"/>
        <v>5.25</v>
      </c>
      <c r="R235" s="35"/>
      <c r="S235" s="35"/>
      <c r="T235" s="35"/>
      <c r="U235" s="74" t="e">
        <f>AVERAGE(Tableau1[[#This Row],[1ère composition]:[3è Composition]])</f>
        <v>#DIV/0!</v>
      </c>
    </row>
    <row r="236" spans="1:21" hidden="1" x14ac:dyDescent="0.2">
      <c r="A236" s="1" t="s">
        <v>2924</v>
      </c>
      <c r="B236" s="1" t="s">
        <v>2938</v>
      </c>
      <c r="C236" s="1" t="s">
        <v>3624</v>
      </c>
      <c r="D236" s="1"/>
      <c r="E236" s="1">
        <v>2021</v>
      </c>
      <c r="F236" s="1">
        <v>67</v>
      </c>
      <c r="G236" s="1">
        <v>16</v>
      </c>
      <c r="H236" s="76" t="str">
        <f>Tableau1[[#This Row],[Annee d''inscription au programme]]&amp;"-"&amp;Tableau1[[#This Row],[Code d''ecole]]&amp;"-"&amp;Tableau1[[#This Row],[Numero HM de la fille]]</f>
        <v>2021-67-16</v>
      </c>
      <c r="I236" s="1"/>
      <c r="J236" s="1" t="s">
        <v>593</v>
      </c>
      <c r="K236" s="35" t="s">
        <v>298</v>
      </c>
      <c r="L236" s="35">
        <v>13.5</v>
      </c>
      <c r="M236" s="35">
        <v>12.5</v>
      </c>
      <c r="N236" s="35">
        <f t="shared" si="6"/>
        <v>13</v>
      </c>
      <c r="O236" s="35">
        <v>11</v>
      </c>
      <c r="P236" s="35">
        <v>14.25</v>
      </c>
      <c r="Q236" s="35">
        <f t="shared" si="7"/>
        <v>12.625</v>
      </c>
      <c r="R236" s="35"/>
      <c r="S236" s="35"/>
      <c r="T236" s="35"/>
      <c r="U236" s="74" t="e">
        <f>AVERAGE(Tableau1[[#This Row],[1ère composition]:[3è Composition]])</f>
        <v>#DIV/0!</v>
      </c>
    </row>
    <row r="237" spans="1:21" hidden="1" x14ac:dyDescent="0.2">
      <c r="A237" s="1" t="s">
        <v>2924</v>
      </c>
      <c r="B237" s="1" t="s">
        <v>2939</v>
      </c>
      <c r="C237" s="1" t="s">
        <v>3624</v>
      </c>
      <c r="D237" s="1"/>
      <c r="E237" s="1">
        <v>2021</v>
      </c>
      <c r="F237" s="1">
        <v>67</v>
      </c>
      <c r="G237" s="1">
        <v>17</v>
      </c>
      <c r="H237" s="76" t="str">
        <f>Tableau1[[#This Row],[Annee d''inscription au programme]]&amp;"-"&amp;Tableau1[[#This Row],[Code d''ecole]]&amp;"-"&amp;Tableau1[[#This Row],[Numero HM de la fille]]</f>
        <v>2021-67-17</v>
      </c>
      <c r="I237" s="1"/>
      <c r="J237" s="1" t="s">
        <v>593</v>
      </c>
      <c r="K237" s="35" t="s">
        <v>298</v>
      </c>
      <c r="L237" s="35">
        <v>13.5</v>
      </c>
      <c r="M237" s="35">
        <v>6</v>
      </c>
      <c r="N237" s="35">
        <f t="shared" si="6"/>
        <v>9.75</v>
      </c>
      <c r="O237" s="35">
        <v>7</v>
      </c>
      <c r="P237" s="35">
        <v>6.75</v>
      </c>
      <c r="Q237" s="35">
        <f t="shared" si="7"/>
        <v>6.875</v>
      </c>
      <c r="R237" s="35"/>
      <c r="S237" s="35"/>
      <c r="T237" s="35"/>
      <c r="U237" s="74" t="e">
        <f>AVERAGE(Tableau1[[#This Row],[1ère composition]:[3è Composition]])</f>
        <v>#DIV/0!</v>
      </c>
    </row>
    <row r="238" spans="1:21" hidden="1" x14ac:dyDescent="0.2">
      <c r="A238" s="1" t="s">
        <v>2924</v>
      </c>
      <c r="B238" s="1" t="s">
        <v>2940</v>
      </c>
      <c r="C238" s="1" t="s">
        <v>3624</v>
      </c>
      <c r="D238" s="1"/>
      <c r="E238" s="1">
        <v>2021</v>
      </c>
      <c r="F238" s="1">
        <v>67</v>
      </c>
      <c r="G238" s="1">
        <v>18</v>
      </c>
      <c r="H238" s="76" t="str">
        <f>Tableau1[[#This Row],[Annee d''inscription au programme]]&amp;"-"&amp;Tableau1[[#This Row],[Code d''ecole]]&amp;"-"&amp;Tableau1[[#This Row],[Numero HM de la fille]]</f>
        <v>2021-67-18</v>
      </c>
      <c r="I238" s="1"/>
      <c r="J238" s="1" t="s">
        <v>593</v>
      </c>
      <c r="K238" s="35" t="s">
        <v>298</v>
      </c>
      <c r="L238" s="35">
        <v>13.5</v>
      </c>
      <c r="M238" s="35">
        <v>1</v>
      </c>
      <c r="N238" s="35">
        <f t="shared" si="6"/>
        <v>7.25</v>
      </c>
      <c r="O238" s="35"/>
      <c r="P238" s="35"/>
      <c r="Q238" s="35">
        <f t="shared" si="7"/>
        <v>0</v>
      </c>
      <c r="R238" s="35"/>
      <c r="S238" s="35"/>
      <c r="T238" s="35"/>
      <c r="U238" s="74" t="e">
        <f>AVERAGE(Tableau1[[#This Row],[1ère composition]:[3è Composition]])</f>
        <v>#DIV/0!</v>
      </c>
    </row>
    <row r="239" spans="1:21" hidden="1" x14ac:dyDescent="0.2">
      <c r="A239" s="1" t="s">
        <v>2924</v>
      </c>
      <c r="B239" s="1" t="s">
        <v>2941</v>
      </c>
      <c r="C239" s="1" t="s">
        <v>3624</v>
      </c>
      <c r="D239" s="1"/>
      <c r="E239" s="1">
        <v>2021</v>
      </c>
      <c r="F239" s="1">
        <v>67</v>
      </c>
      <c r="G239" s="1">
        <v>19</v>
      </c>
      <c r="H239" s="76" t="str">
        <f>Tableau1[[#This Row],[Annee d''inscription au programme]]&amp;"-"&amp;Tableau1[[#This Row],[Code d''ecole]]&amp;"-"&amp;Tableau1[[#This Row],[Numero HM de la fille]]</f>
        <v>2021-67-19</v>
      </c>
      <c r="I239" s="1"/>
      <c r="J239" s="1" t="s">
        <v>593</v>
      </c>
      <c r="K239" s="35" t="s">
        <v>298</v>
      </c>
      <c r="L239" s="35">
        <v>13.5</v>
      </c>
      <c r="M239" s="35">
        <v>1</v>
      </c>
      <c r="N239" s="35">
        <f t="shared" si="6"/>
        <v>7.25</v>
      </c>
      <c r="O239" s="35">
        <v>3</v>
      </c>
      <c r="P239" s="35">
        <v>1.25</v>
      </c>
      <c r="Q239" s="35">
        <f t="shared" si="7"/>
        <v>2.125</v>
      </c>
      <c r="R239" s="35"/>
      <c r="S239" s="35"/>
      <c r="T239" s="35"/>
      <c r="U239" s="74" t="e">
        <f>AVERAGE(Tableau1[[#This Row],[1ère composition]:[3è Composition]])</f>
        <v>#DIV/0!</v>
      </c>
    </row>
    <row r="240" spans="1:21" hidden="1" x14ac:dyDescent="0.2">
      <c r="A240" s="1" t="s">
        <v>2924</v>
      </c>
      <c r="B240" s="1" t="s">
        <v>2942</v>
      </c>
      <c r="C240" s="1" t="s">
        <v>3624</v>
      </c>
      <c r="D240" s="1"/>
      <c r="E240" s="1">
        <v>2021</v>
      </c>
      <c r="F240" s="1">
        <v>67</v>
      </c>
      <c r="G240" s="1">
        <v>20</v>
      </c>
      <c r="H240" s="76" t="str">
        <f>Tableau1[[#This Row],[Annee d''inscription au programme]]&amp;"-"&amp;Tableau1[[#This Row],[Code d''ecole]]&amp;"-"&amp;Tableau1[[#This Row],[Numero HM de la fille]]</f>
        <v>2021-67-20</v>
      </c>
      <c r="I240" s="1"/>
      <c r="J240" s="1" t="s">
        <v>593</v>
      </c>
      <c r="K240" s="35" t="s">
        <v>298</v>
      </c>
      <c r="L240" s="35">
        <v>0</v>
      </c>
      <c r="M240" s="35">
        <v>0</v>
      </c>
      <c r="N240" s="35">
        <f t="shared" si="6"/>
        <v>0</v>
      </c>
      <c r="O240" s="35">
        <v>7</v>
      </c>
      <c r="P240" s="35">
        <v>9</v>
      </c>
      <c r="Q240" s="35">
        <f t="shared" si="7"/>
        <v>8</v>
      </c>
      <c r="R240" s="35"/>
      <c r="S240" s="35"/>
      <c r="T240" s="35"/>
      <c r="U240" s="74" t="e">
        <f>AVERAGE(Tableau1[[#This Row],[1ère composition]:[3è Composition]])</f>
        <v>#DIV/0!</v>
      </c>
    </row>
    <row r="241" spans="1:21" hidden="1" x14ac:dyDescent="0.2">
      <c r="A241" s="1" t="s">
        <v>2924</v>
      </c>
      <c r="B241" s="1" t="s">
        <v>2943</v>
      </c>
      <c r="C241" s="1" t="s">
        <v>3624</v>
      </c>
      <c r="D241" s="1"/>
      <c r="E241" s="1">
        <v>2021</v>
      </c>
      <c r="F241" s="1">
        <v>67</v>
      </c>
      <c r="G241" s="1">
        <v>21</v>
      </c>
      <c r="H241" s="76" t="str">
        <f>Tableau1[[#This Row],[Annee d''inscription au programme]]&amp;"-"&amp;Tableau1[[#This Row],[Code d''ecole]]&amp;"-"&amp;Tableau1[[#This Row],[Numero HM de la fille]]</f>
        <v>2021-67-21</v>
      </c>
      <c r="I241" s="1"/>
      <c r="J241" s="1" t="s">
        <v>593</v>
      </c>
      <c r="K241" s="35" t="s">
        <v>298</v>
      </c>
      <c r="L241" s="35">
        <v>6.5</v>
      </c>
      <c r="M241" s="35">
        <v>8</v>
      </c>
      <c r="N241" s="35">
        <f t="shared" si="6"/>
        <v>7.25</v>
      </c>
      <c r="O241" s="35">
        <v>10.5</v>
      </c>
      <c r="P241" s="35">
        <v>15</v>
      </c>
      <c r="Q241" s="35">
        <f t="shared" si="7"/>
        <v>12.75</v>
      </c>
      <c r="R241" s="35"/>
      <c r="S241" s="35"/>
      <c r="T241" s="35"/>
      <c r="U241" s="74" t="e">
        <f>AVERAGE(Tableau1[[#This Row],[1ère composition]:[3è Composition]])</f>
        <v>#DIV/0!</v>
      </c>
    </row>
    <row r="242" spans="1:21" hidden="1" x14ac:dyDescent="0.2">
      <c r="A242" s="1" t="s">
        <v>2924</v>
      </c>
      <c r="B242" s="1" t="s">
        <v>2944</v>
      </c>
      <c r="C242" s="1" t="s">
        <v>3624</v>
      </c>
      <c r="D242" s="1"/>
      <c r="E242" s="1">
        <v>2021</v>
      </c>
      <c r="F242" s="1">
        <v>67</v>
      </c>
      <c r="G242" s="1">
        <v>22</v>
      </c>
      <c r="H242" s="76" t="str">
        <f>Tableau1[[#This Row],[Annee d''inscription au programme]]&amp;"-"&amp;Tableau1[[#This Row],[Code d''ecole]]&amp;"-"&amp;Tableau1[[#This Row],[Numero HM de la fille]]</f>
        <v>2021-67-22</v>
      </c>
      <c r="I242" s="1"/>
      <c r="J242" s="1" t="s">
        <v>593</v>
      </c>
      <c r="K242" s="35" t="s">
        <v>298</v>
      </c>
      <c r="L242" s="35">
        <v>8.5</v>
      </c>
      <c r="M242" s="35">
        <v>10.5</v>
      </c>
      <c r="N242" s="35">
        <f t="shared" si="6"/>
        <v>9.5</v>
      </c>
      <c r="O242" s="35">
        <v>13</v>
      </c>
      <c r="P242" s="35">
        <v>15.25</v>
      </c>
      <c r="Q242" s="35">
        <f t="shared" si="7"/>
        <v>14.125</v>
      </c>
      <c r="R242" s="35"/>
      <c r="S242" s="35"/>
      <c r="T242" s="35"/>
      <c r="U242" s="74" t="e">
        <f>AVERAGE(Tableau1[[#This Row],[1ère composition]:[3è Composition]])</f>
        <v>#DIV/0!</v>
      </c>
    </row>
    <row r="243" spans="1:21" hidden="1" x14ac:dyDescent="0.2">
      <c r="A243" s="1" t="s">
        <v>2924</v>
      </c>
      <c r="B243" s="1" t="s">
        <v>2945</v>
      </c>
      <c r="C243" s="1" t="s">
        <v>3624</v>
      </c>
      <c r="D243" s="1"/>
      <c r="E243" s="1">
        <v>2021</v>
      </c>
      <c r="F243" s="1">
        <v>67</v>
      </c>
      <c r="G243" s="1">
        <v>23</v>
      </c>
      <c r="H243" s="76" t="str">
        <f>Tableau1[[#This Row],[Annee d''inscription au programme]]&amp;"-"&amp;Tableau1[[#This Row],[Code d''ecole]]&amp;"-"&amp;Tableau1[[#This Row],[Numero HM de la fille]]</f>
        <v>2021-67-23</v>
      </c>
      <c r="I243" s="1"/>
      <c r="J243" s="1" t="s">
        <v>593</v>
      </c>
      <c r="K243" s="35" t="s">
        <v>298</v>
      </c>
      <c r="L243" s="35">
        <v>4</v>
      </c>
      <c r="M243" s="35">
        <v>6</v>
      </c>
      <c r="N243" s="35">
        <f t="shared" si="6"/>
        <v>5</v>
      </c>
      <c r="O243" s="35">
        <v>6</v>
      </c>
      <c r="P243" s="35">
        <v>8</v>
      </c>
      <c r="Q243" s="35">
        <f t="shared" si="7"/>
        <v>7</v>
      </c>
      <c r="R243" s="35"/>
      <c r="S243" s="35"/>
      <c r="T243" s="35"/>
      <c r="U243" s="74" t="e">
        <f>AVERAGE(Tableau1[[#This Row],[1ère composition]:[3è Composition]])</f>
        <v>#DIV/0!</v>
      </c>
    </row>
    <row r="244" spans="1:21" hidden="1" x14ac:dyDescent="0.2">
      <c r="A244" s="1" t="s">
        <v>2924</v>
      </c>
      <c r="B244" s="1" t="s">
        <v>2946</v>
      </c>
      <c r="C244" s="1" t="s">
        <v>3624</v>
      </c>
      <c r="D244" s="1"/>
      <c r="E244" s="1">
        <v>2021</v>
      </c>
      <c r="F244" s="1">
        <v>67</v>
      </c>
      <c r="G244" s="1">
        <v>24</v>
      </c>
      <c r="H244" s="76" t="str">
        <f>Tableau1[[#This Row],[Annee d''inscription au programme]]&amp;"-"&amp;Tableau1[[#This Row],[Code d''ecole]]&amp;"-"&amp;Tableau1[[#This Row],[Numero HM de la fille]]</f>
        <v>2021-67-24</v>
      </c>
      <c r="I244" s="1"/>
      <c r="J244" s="1" t="s">
        <v>593</v>
      </c>
      <c r="K244" s="35" t="s">
        <v>298</v>
      </c>
      <c r="L244" s="35">
        <v>6</v>
      </c>
      <c r="M244" s="35">
        <v>6</v>
      </c>
      <c r="N244" s="35">
        <f t="shared" si="6"/>
        <v>6</v>
      </c>
      <c r="O244" s="35">
        <v>7</v>
      </c>
      <c r="P244" s="35">
        <v>5</v>
      </c>
      <c r="Q244" s="35">
        <f t="shared" si="7"/>
        <v>6</v>
      </c>
      <c r="R244" s="35"/>
      <c r="S244" s="35"/>
      <c r="T244" s="35"/>
      <c r="U244" s="74" t="e">
        <f>AVERAGE(Tableau1[[#This Row],[1ère composition]:[3è Composition]])</f>
        <v>#DIV/0!</v>
      </c>
    </row>
    <row r="245" spans="1:21" hidden="1" x14ac:dyDescent="0.2">
      <c r="A245" s="1" t="s">
        <v>2924</v>
      </c>
      <c r="B245" s="1" t="s">
        <v>2947</v>
      </c>
      <c r="C245" s="1" t="s">
        <v>3624</v>
      </c>
      <c r="D245" s="1"/>
      <c r="E245" s="1">
        <v>2021</v>
      </c>
      <c r="F245" s="1">
        <v>67</v>
      </c>
      <c r="G245" s="1">
        <v>25</v>
      </c>
      <c r="H245" s="76" t="str">
        <f>Tableau1[[#This Row],[Annee d''inscription au programme]]&amp;"-"&amp;Tableau1[[#This Row],[Code d''ecole]]&amp;"-"&amp;Tableau1[[#This Row],[Numero HM de la fille]]</f>
        <v>2021-67-25</v>
      </c>
      <c r="I245" s="1"/>
      <c r="J245" s="1" t="s">
        <v>593</v>
      </c>
      <c r="K245" s="35" t="s">
        <v>298</v>
      </c>
      <c r="L245" s="35">
        <v>0</v>
      </c>
      <c r="M245" s="35">
        <v>0</v>
      </c>
      <c r="N245" s="35">
        <f t="shared" si="6"/>
        <v>0</v>
      </c>
      <c r="O245" s="35">
        <v>6.5</v>
      </c>
      <c r="P245" s="35">
        <v>7.75</v>
      </c>
      <c r="Q245" s="35">
        <f t="shared" si="7"/>
        <v>7.125</v>
      </c>
      <c r="R245" s="35"/>
      <c r="S245" s="35"/>
      <c r="T245" s="35"/>
      <c r="U245" s="74" t="e">
        <f>AVERAGE(Tableau1[[#This Row],[1ère composition]:[3è Composition]])</f>
        <v>#DIV/0!</v>
      </c>
    </row>
    <row r="246" spans="1:21" hidden="1" x14ac:dyDescent="0.2">
      <c r="A246" s="1" t="s">
        <v>2924</v>
      </c>
      <c r="B246" s="1" t="s">
        <v>2948</v>
      </c>
      <c r="C246" s="1" t="s">
        <v>3624</v>
      </c>
      <c r="D246" s="1"/>
      <c r="E246" s="1">
        <v>2021</v>
      </c>
      <c r="F246" s="1">
        <v>67</v>
      </c>
      <c r="G246" s="1">
        <v>26</v>
      </c>
      <c r="H246" s="76" t="str">
        <f>Tableau1[[#This Row],[Annee d''inscription au programme]]&amp;"-"&amp;Tableau1[[#This Row],[Code d''ecole]]&amp;"-"&amp;Tableau1[[#This Row],[Numero HM de la fille]]</f>
        <v>2021-67-26</v>
      </c>
      <c r="I246" s="1"/>
      <c r="J246" s="1" t="s">
        <v>593</v>
      </c>
      <c r="K246" s="35" t="s">
        <v>298</v>
      </c>
      <c r="L246" s="35">
        <v>7.5</v>
      </c>
      <c r="M246" s="35">
        <v>6</v>
      </c>
      <c r="N246" s="35">
        <f t="shared" si="6"/>
        <v>6.75</v>
      </c>
      <c r="O246" s="35">
        <v>8</v>
      </c>
      <c r="P246" s="35">
        <v>6.5</v>
      </c>
      <c r="Q246" s="35">
        <f t="shared" si="7"/>
        <v>7.25</v>
      </c>
      <c r="R246" s="35"/>
      <c r="S246" s="35"/>
      <c r="T246" s="35"/>
      <c r="U246" s="74" t="e">
        <f>AVERAGE(Tableau1[[#This Row],[1ère composition]:[3è Composition]])</f>
        <v>#DIV/0!</v>
      </c>
    </row>
    <row r="247" spans="1:21" hidden="1" x14ac:dyDescent="0.2">
      <c r="A247" s="1" t="s">
        <v>2924</v>
      </c>
      <c r="B247" s="1" t="s">
        <v>2949</v>
      </c>
      <c r="C247" s="1" t="s">
        <v>3624</v>
      </c>
      <c r="D247" s="1"/>
      <c r="E247" s="1">
        <v>2021</v>
      </c>
      <c r="F247" s="1">
        <v>67</v>
      </c>
      <c r="G247" s="1">
        <v>27</v>
      </c>
      <c r="H247" s="76" t="str">
        <f>Tableau1[[#This Row],[Annee d''inscription au programme]]&amp;"-"&amp;Tableau1[[#This Row],[Code d''ecole]]&amp;"-"&amp;Tableau1[[#This Row],[Numero HM de la fille]]</f>
        <v>2021-67-27</v>
      </c>
      <c r="I247" s="1"/>
      <c r="J247" s="1" t="s">
        <v>593</v>
      </c>
      <c r="K247" s="35" t="s">
        <v>298</v>
      </c>
      <c r="L247" s="35">
        <v>5</v>
      </c>
      <c r="M247" s="35">
        <v>3</v>
      </c>
      <c r="N247" s="35">
        <f t="shared" si="6"/>
        <v>4</v>
      </c>
      <c r="O247" s="35">
        <v>3.5</v>
      </c>
      <c r="P247" s="35">
        <v>4</v>
      </c>
      <c r="Q247" s="35">
        <f t="shared" si="7"/>
        <v>3.75</v>
      </c>
      <c r="R247" s="35"/>
      <c r="S247" s="35"/>
      <c r="T247" s="35"/>
      <c r="U247" s="74" t="e">
        <f>AVERAGE(Tableau1[[#This Row],[1ère composition]:[3è Composition]])</f>
        <v>#DIV/0!</v>
      </c>
    </row>
    <row r="248" spans="1:21" hidden="1" x14ac:dyDescent="0.2">
      <c r="A248" s="1" t="s">
        <v>2924</v>
      </c>
      <c r="B248" s="1" t="s">
        <v>234</v>
      </c>
      <c r="C248" s="1" t="s">
        <v>3624</v>
      </c>
      <c r="D248" s="1"/>
      <c r="E248" s="1">
        <v>2021</v>
      </c>
      <c r="F248" s="1">
        <v>67</v>
      </c>
      <c r="G248" s="1">
        <v>28</v>
      </c>
      <c r="H248" s="76" t="str">
        <f>Tableau1[[#This Row],[Annee d''inscription au programme]]&amp;"-"&amp;Tableau1[[#This Row],[Code d''ecole]]&amp;"-"&amp;Tableau1[[#This Row],[Numero HM de la fille]]</f>
        <v>2021-67-28</v>
      </c>
      <c r="I248" s="1"/>
      <c r="J248" s="1" t="s">
        <v>593</v>
      </c>
      <c r="K248" s="35" t="s">
        <v>298</v>
      </c>
      <c r="L248" s="35">
        <v>10.5</v>
      </c>
      <c r="M248" s="35">
        <v>8</v>
      </c>
      <c r="N248" s="35">
        <f t="shared" si="6"/>
        <v>9.25</v>
      </c>
      <c r="O248" s="35">
        <v>11</v>
      </c>
      <c r="P248" s="35">
        <v>13.75</v>
      </c>
      <c r="Q248" s="35">
        <f t="shared" si="7"/>
        <v>12.375</v>
      </c>
      <c r="R248" s="35"/>
      <c r="S248" s="35"/>
      <c r="T248" s="35"/>
      <c r="U248" s="74" t="e">
        <f>AVERAGE(Tableau1[[#This Row],[1ère composition]:[3è Composition]])</f>
        <v>#DIV/0!</v>
      </c>
    </row>
    <row r="249" spans="1:21" hidden="1" x14ac:dyDescent="0.2">
      <c r="A249" s="1" t="s">
        <v>2924</v>
      </c>
      <c r="B249" s="1" t="s">
        <v>2950</v>
      </c>
      <c r="C249" s="1" t="s">
        <v>3624</v>
      </c>
      <c r="D249" s="1"/>
      <c r="E249" s="1">
        <v>2021</v>
      </c>
      <c r="F249" s="1">
        <v>67</v>
      </c>
      <c r="G249" s="1">
        <v>29</v>
      </c>
      <c r="H249" s="76" t="str">
        <f>Tableau1[[#This Row],[Annee d''inscription au programme]]&amp;"-"&amp;Tableau1[[#This Row],[Code d''ecole]]&amp;"-"&amp;Tableau1[[#This Row],[Numero HM de la fille]]</f>
        <v>2021-67-29</v>
      </c>
      <c r="I249" s="1"/>
      <c r="J249" s="1" t="s">
        <v>593</v>
      </c>
      <c r="K249" s="35" t="s">
        <v>298</v>
      </c>
      <c r="L249" s="35">
        <v>11.75</v>
      </c>
      <c r="M249" s="35">
        <v>6</v>
      </c>
      <c r="N249" s="35">
        <f t="shared" si="6"/>
        <v>8.875</v>
      </c>
      <c r="O249" s="35">
        <v>17.5</v>
      </c>
      <c r="P249" s="35">
        <v>9.5</v>
      </c>
      <c r="Q249" s="35">
        <f t="shared" si="7"/>
        <v>13.5</v>
      </c>
      <c r="R249" s="35"/>
      <c r="S249" s="35"/>
      <c r="T249" s="35"/>
      <c r="U249" s="74" t="e">
        <f>AVERAGE(Tableau1[[#This Row],[1ère composition]:[3è Composition]])</f>
        <v>#DIV/0!</v>
      </c>
    </row>
    <row r="250" spans="1:21" hidden="1" x14ac:dyDescent="0.2">
      <c r="A250" s="1" t="s">
        <v>2924</v>
      </c>
      <c r="B250" s="1" t="s">
        <v>2951</v>
      </c>
      <c r="C250" s="1" t="s">
        <v>3624</v>
      </c>
      <c r="D250" s="1"/>
      <c r="E250" s="1">
        <v>2021</v>
      </c>
      <c r="F250" s="1">
        <v>67</v>
      </c>
      <c r="G250" s="1">
        <v>30</v>
      </c>
      <c r="H250" s="76" t="str">
        <f>Tableau1[[#This Row],[Annee d''inscription au programme]]&amp;"-"&amp;Tableau1[[#This Row],[Code d''ecole]]&amp;"-"&amp;Tableau1[[#This Row],[Numero HM de la fille]]</f>
        <v>2021-67-30</v>
      </c>
      <c r="I250" s="1"/>
      <c r="J250" s="1" t="s">
        <v>593</v>
      </c>
      <c r="K250" s="35" t="s">
        <v>298</v>
      </c>
      <c r="L250" s="35">
        <v>4</v>
      </c>
      <c r="M250" s="35">
        <v>2</v>
      </c>
      <c r="N250" s="35">
        <f t="shared" si="6"/>
        <v>3</v>
      </c>
      <c r="O250" s="35">
        <v>4.5</v>
      </c>
      <c r="P250" s="35">
        <v>3.25</v>
      </c>
      <c r="Q250" s="35">
        <f t="shared" si="7"/>
        <v>3.875</v>
      </c>
      <c r="R250" s="35"/>
      <c r="S250" s="35"/>
      <c r="T250" s="35"/>
      <c r="U250" s="74" t="e">
        <f>AVERAGE(Tableau1[[#This Row],[1ère composition]:[3è Composition]])</f>
        <v>#DIV/0!</v>
      </c>
    </row>
    <row r="251" spans="1:21" hidden="1" x14ac:dyDescent="0.2">
      <c r="A251" s="1" t="s">
        <v>2924</v>
      </c>
      <c r="B251" s="1" t="s">
        <v>2952</v>
      </c>
      <c r="C251" s="1" t="s">
        <v>3624</v>
      </c>
      <c r="D251" s="1"/>
      <c r="E251" s="1">
        <v>2021</v>
      </c>
      <c r="F251" s="1">
        <v>67</v>
      </c>
      <c r="G251" s="1">
        <v>31</v>
      </c>
      <c r="H251" s="76" t="str">
        <f>Tableau1[[#This Row],[Annee d''inscription au programme]]&amp;"-"&amp;Tableau1[[#This Row],[Code d''ecole]]&amp;"-"&amp;Tableau1[[#This Row],[Numero HM de la fille]]</f>
        <v>2021-67-31</v>
      </c>
      <c r="I251" s="1"/>
      <c r="J251" s="1" t="s">
        <v>593</v>
      </c>
      <c r="K251" s="35" t="s">
        <v>298</v>
      </c>
      <c r="L251" s="35">
        <v>10</v>
      </c>
      <c r="M251" s="35">
        <v>9.5</v>
      </c>
      <c r="N251" s="35">
        <f t="shared" si="6"/>
        <v>9.75</v>
      </c>
      <c r="O251" s="35">
        <v>12</v>
      </c>
      <c r="P251" s="35">
        <v>14.75</v>
      </c>
      <c r="Q251" s="35">
        <f t="shared" si="7"/>
        <v>13.375</v>
      </c>
      <c r="R251" s="35"/>
      <c r="S251" s="35"/>
      <c r="T251" s="35"/>
      <c r="U251" s="74" t="e">
        <f>AVERAGE(Tableau1[[#This Row],[1ère composition]:[3è Composition]])</f>
        <v>#DIV/0!</v>
      </c>
    </row>
    <row r="252" spans="1:21" hidden="1" x14ac:dyDescent="0.2">
      <c r="A252" s="1" t="s">
        <v>2924</v>
      </c>
      <c r="B252" s="1" t="s">
        <v>2953</v>
      </c>
      <c r="C252" s="1" t="s">
        <v>3624</v>
      </c>
      <c r="D252" s="1"/>
      <c r="E252" s="1">
        <v>2021</v>
      </c>
      <c r="F252" s="1">
        <v>67</v>
      </c>
      <c r="G252" s="1">
        <v>32</v>
      </c>
      <c r="H252" s="76" t="str">
        <f>Tableau1[[#This Row],[Annee d''inscription au programme]]&amp;"-"&amp;Tableau1[[#This Row],[Code d''ecole]]&amp;"-"&amp;Tableau1[[#This Row],[Numero HM de la fille]]</f>
        <v>2021-67-32</v>
      </c>
      <c r="I252" s="1"/>
      <c r="J252" s="1" t="s">
        <v>593</v>
      </c>
      <c r="K252" s="35" t="s">
        <v>298</v>
      </c>
      <c r="L252" s="35">
        <v>7</v>
      </c>
      <c r="M252" s="35">
        <v>5</v>
      </c>
      <c r="N252" s="35">
        <f t="shared" si="6"/>
        <v>6</v>
      </c>
      <c r="O252" s="35">
        <v>7</v>
      </c>
      <c r="P252" s="35">
        <v>7.5</v>
      </c>
      <c r="Q252" s="35">
        <f t="shared" si="7"/>
        <v>7.25</v>
      </c>
      <c r="R252" s="35"/>
      <c r="S252" s="35"/>
      <c r="T252" s="35"/>
      <c r="U252" s="74" t="e">
        <f>AVERAGE(Tableau1[[#This Row],[1ère composition]:[3è Composition]])</f>
        <v>#DIV/0!</v>
      </c>
    </row>
    <row r="253" spans="1:21" hidden="1" x14ac:dyDescent="0.2">
      <c r="A253" s="1" t="s">
        <v>2924</v>
      </c>
      <c r="B253" s="1" t="s">
        <v>2954</v>
      </c>
      <c r="C253" s="1" t="s">
        <v>3624</v>
      </c>
      <c r="D253" s="1"/>
      <c r="E253" s="1">
        <v>2021</v>
      </c>
      <c r="F253" s="1">
        <v>67</v>
      </c>
      <c r="G253" s="1">
        <v>33</v>
      </c>
      <c r="H253" s="76" t="str">
        <f>Tableau1[[#This Row],[Annee d''inscription au programme]]&amp;"-"&amp;Tableau1[[#This Row],[Code d''ecole]]&amp;"-"&amp;Tableau1[[#This Row],[Numero HM de la fille]]</f>
        <v>2021-67-33</v>
      </c>
      <c r="I253" s="1"/>
      <c r="J253" s="1" t="s">
        <v>593</v>
      </c>
      <c r="K253" s="35" t="s">
        <v>298</v>
      </c>
      <c r="L253" s="35">
        <v>13.5</v>
      </c>
      <c r="M253" s="35">
        <v>17.5</v>
      </c>
      <c r="N253" s="35">
        <f t="shared" si="6"/>
        <v>15.5</v>
      </c>
      <c r="O253" s="35">
        <v>18.5</v>
      </c>
      <c r="P253" s="35">
        <v>17.25</v>
      </c>
      <c r="Q253" s="35">
        <f t="shared" si="7"/>
        <v>17.875</v>
      </c>
      <c r="R253" s="35"/>
      <c r="S253" s="35"/>
      <c r="T253" s="35"/>
      <c r="U253" s="74" t="e">
        <f>AVERAGE(Tableau1[[#This Row],[1ère composition]:[3è Composition]])</f>
        <v>#DIV/0!</v>
      </c>
    </row>
    <row r="254" spans="1:21" hidden="1" x14ac:dyDescent="0.2">
      <c r="A254" s="1" t="s">
        <v>2924</v>
      </c>
      <c r="B254" s="1" t="s">
        <v>2955</v>
      </c>
      <c r="C254" s="1" t="s">
        <v>3624</v>
      </c>
      <c r="D254" s="1"/>
      <c r="E254" s="1">
        <v>2021</v>
      </c>
      <c r="F254" s="1">
        <v>67</v>
      </c>
      <c r="G254" s="1">
        <v>34</v>
      </c>
      <c r="H254" s="76" t="str">
        <f>Tableau1[[#This Row],[Annee d''inscription au programme]]&amp;"-"&amp;Tableau1[[#This Row],[Code d''ecole]]&amp;"-"&amp;Tableau1[[#This Row],[Numero HM de la fille]]</f>
        <v>2021-67-34</v>
      </c>
      <c r="I254" s="1"/>
      <c r="J254" s="1" t="s">
        <v>593</v>
      </c>
      <c r="K254" s="35" t="s">
        <v>298</v>
      </c>
      <c r="L254" s="35">
        <v>11.5</v>
      </c>
      <c r="M254" s="35">
        <v>17</v>
      </c>
      <c r="N254" s="35">
        <f t="shared" si="6"/>
        <v>14.25</v>
      </c>
      <c r="O254" s="35">
        <v>13.5</v>
      </c>
      <c r="P254" s="35">
        <v>18.5</v>
      </c>
      <c r="Q254" s="35">
        <f t="shared" si="7"/>
        <v>16</v>
      </c>
      <c r="R254" s="35"/>
      <c r="S254" s="35"/>
      <c r="T254" s="35"/>
      <c r="U254" s="74" t="e">
        <f>AVERAGE(Tableau1[[#This Row],[1ère composition]:[3è Composition]])</f>
        <v>#DIV/0!</v>
      </c>
    </row>
    <row r="255" spans="1:21" hidden="1" x14ac:dyDescent="0.2">
      <c r="A255" s="1" t="s">
        <v>2924</v>
      </c>
      <c r="B255" s="1" t="s">
        <v>193</v>
      </c>
      <c r="C255" s="1" t="s">
        <v>3624</v>
      </c>
      <c r="D255" s="1"/>
      <c r="E255" s="1">
        <v>2021</v>
      </c>
      <c r="F255" s="1">
        <v>67</v>
      </c>
      <c r="G255" s="1">
        <v>35</v>
      </c>
      <c r="H255" s="76" t="str">
        <f>Tableau1[[#This Row],[Annee d''inscription au programme]]&amp;"-"&amp;Tableau1[[#This Row],[Code d''ecole]]&amp;"-"&amp;Tableau1[[#This Row],[Numero HM de la fille]]</f>
        <v>2021-67-35</v>
      </c>
      <c r="I255" s="1"/>
      <c r="J255" s="1" t="s">
        <v>593</v>
      </c>
      <c r="K255" s="35" t="s">
        <v>298</v>
      </c>
      <c r="L255" s="35">
        <v>16.25</v>
      </c>
      <c r="M255" s="35">
        <v>19</v>
      </c>
      <c r="N255" s="35">
        <f t="shared" si="6"/>
        <v>17.625</v>
      </c>
      <c r="O255" s="35"/>
      <c r="P255" s="35"/>
      <c r="Q255" s="35">
        <f t="shared" si="7"/>
        <v>0</v>
      </c>
      <c r="R255" s="35"/>
      <c r="S255" s="35"/>
      <c r="T255" s="35"/>
      <c r="U255" s="74" t="e">
        <f>AVERAGE(Tableau1[[#This Row],[1ère composition]:[3è Composition]])</f>
        <v>#DIV/0!</v>
      </c>
    </row>
    <row r="256" spans="1:21" hidden="1" x14ac:dyDescent="0.2">
      <c r="A256" s="1" t="s">
        <v>2924</v>
      </c>
      <c r="B256" s="1" t="s">
        <v>2956</v>
      </c>
      <c r="C256" s="1" t="s">
        <v>3624</v>
      </c>
      <c r="D256" s="1"/>
      <c r="E256" s="1">
        <v>2021</v>
      </c>
      <c r="F256" s="1">
        <v>67</v>
      </c>
      <c r="G256" s="1">
        <v>36</v>
      </c>
      <c r="H256" s="76" t="str">
        <f>Tableau1[[#This Row],[Annee d''inscription au programme]]&amp;"-"&amp;Tableau1[[#This Row],[Code d''ecole]]&amp;"-"&amp;Tableau1[[#This Row],[Numero HM de la fille]]</f>
        <v>2021-67-36</v>
      </c>
      <c r="I256" s="1"/>
      <c r="J256" s="1" t="s">
        <v>593</v>
      </c>
      <c r="K256" s="35" t="s">
        <v>298</v>
      </c>
      <c r="L256" s="35">
        <v>6</v>
      </c>
      <c r="M256" s="35">
        <v>5</v>
      </c>
      <c r="N256" s="35">
        <f t="shared" si="6"/>
        <v>5.5</v>
      </c>
      <c r="O256" s="35">
        <v>7</v>
      </c>
      <c r="P256" s="35">
        <v>8</v>
      </c>
      <c r="Q256" s="35">
        <f t="shared" si="7"/>
        <v>7.5</v>
      </c>
      <c r="R256" s="35"/>
      <c r="S256" s="35"/>
      <c r="T256" s="35"/>
      <c r="U256" s="74" t="e">
        <f>AVERAGE(Tableau1[[#This Row],[1ère composition]:[3è Composition]])</f>
        <v>#DIV/0!</v>
      </c>
    </row>
    <row r="257" spans="1:21" hidden="1" x14ac:dyDescent="0.2">
      <c r="A257" s="1" t="s">
        <v>2924</v>
      </c>
      <c r="B257" s="1" t="s">
        <v>2957</v>
      </c>
      <c r="C257" s="1" t="s">
        <v>3624</v>
      </c>
      <c r="D257" s="1"/>
      <c r="E257" s="1">
        <v>2021</v>
      </c>
      <c r="F257" s="1">
        <v>67</v>
      </c>
      <c r="G257" s="1">
        <v>37</v>
      </c>
      <c r="H257" s="76" t="str">
        <f>Tableau1[[#This Row],[Annee d''inscription au programme]]&amp;"-"&amp;Tableau1[[#This Row],[Code d''ecole]]&amp;"-"&amp;Tableau1[[#This Row],[Numero HM de la fille]]</f>
        <v>2021-67-37</v>
      </c>
      <c r="I257" s="1"/>
      <c r="J257" s="1" t="s">
        <v>593</v>
      </c>
      <c r="K257" s="35" t="s">
        <v>298</v>
      </c>
      <c r="L257" s="35">
        <v>4.5</v>
      </c>
      <c r="M257" s="35">
        <v>2.5</v>
      </c>
      <c r="N257" s="35">
        <f t="shared" si="6"/>
        <v>3.5</v>
      </c>
      <c r="O257" s="35">
        <v>5</v>
      </c>
      <c r="P257" s="35">
        <v>6.25</v>
      </c>
      <c r="Q257" s="35">
        <f t="shared" si="7"/>
        <v>5.625</v>
      </c>
      <c r="R257" s="35"/>
      <c r="S257" s="35"/>
      <c r="T257" s="35"/>
      <c r="U257" s="74" t="e">
        <f>AVERAGE(Tableau1[[#This Row],[1ère composition]:[3è Composition]])</f>
        <v>#DIV/0!</v>
      </c>
    </row>
    <row r="258" spans="1:21" hidden="1" x14ac:dyDescent="0.2">
      <c r="A258" s="1" t="s">
        <v>2924</v>
      </c>
      <c r="B258" s="1" t="s">
        <v>2958</v>
      </c>
      <c r="C258" s="1" t="s">
        <v>3624</v>
      </c>
      <c r="D258" s="1"/>
      <c r="E258" s="1">
        <v>2021</v>
      </c>
      <c r="F258" s="1">
        <v>67</v>
      </c>
      <c r="G258" s="1">
        <v>38</v>
      </c>
      <c r="H258" s="76" t="str">
        <f>Tableau1[[#This Row],[Annee d''inscription au programme]]&amp;"-"&amp;Tableau1[[#This Row],[Code d''ecole]]&amp;"-"&amp;Tableau1[[#This Row],[Numero HM de la fille]]</f>
        <v>2021-67-38</v>
      </c>
      <c r="I258" s="1"/>
      <c r="J258" s="1" t="s">
        <v>593</v>
      </c>
      <c r="K258" s="35" t="s">
        <v>298</v>
      </c>
      <c r="L258" s="35">
        <v>14</v>
      </c>
      <c r="M258" s="35">
        <v>15.5</v>
      </c>
      <c r="N258" s="35">
        <f t="shared" si="6"/>
        <v>14.75</v>
      </c>
      <c r="O258" s="35">
        <v>18.5</v>
      </c>
      <c r="P258" s="35">
        <v>15.5</v>
      </c>
      <c r="Q258" s="35">
        <f t="shared" si="7"/>
        <v>17</v>
      </c>
      <c r="R258" s="35"/>
      <c r="S258" s="35"/>
      <c r="T258" s="35"/>
      <c r="U258" s="74" t="e">
        <f>AVERAGE(Tableau1[[#This Row],[1ère composition]:[3è Composition]])</f>
        <v>#DIV/0!</v>
      </c>
    </row>
    <row r="259" spans="1:21" hidden="1" x14ac:dyDescent="0.2">
      <c r="A259" s="1" t="s">
        <v>2924</v>
      </c>
      <c r="B259" s="1" t="s">
        <v>2959</v>
      </c>
      <c r="C259" s="1"/>
      <c r="D259" s="1"/>
      <c r="E259" s="1">
        <v>2021</v>
      </c>
      <c r="F259" s="1">
        <v>67</v>
      </c>
      <c r="G259" s="1">
        <v>39</v>
      </c>
      <c r="H259" s="76" t="str">
        <f>Tableau1[[#This Row],[Annee d''inscription au programme]]&amp;"-"&amp;Tableau1[[#This Row],[Code d''ecole]]&amp;"-"&amp;Tableau1[[#This Row],[Numero HM de la fille]]</f>
        <v>2021-67-39</v>
      </c>
      <c r="I259" s="1"/>
      <c r="J259" s="1" t="s">
        <v>593</v>
      </c>
      <c r="K259" s="35" t="s">
        <v>298</v>
      </c>
      <c r="L259" s="35">
        <v>6.5</v>
      </c>
      <c r="M259" s="35">
        <v>6</v>
      </c>
      <c r="N259" s="35">
        <f t="shared" si="6"/>
        <v>6.25</v>
      </c>
      <c r="O259" s="35">
        <v>9</v>
      </c>
      <c r="P259" s="35">
        <v>14</v>
      </c>
      <c r="Q259" s="35">
        <f t="shared" si="7"/>
        <v>11.5</v>
      </c>
      <c r="R259" s="35"/>
      <c r="S259" s="35"/>
      <c r="T259" s="35"/>
      <c r="U259" s="74" t="e">
        <f>AVERAGE(Tableau1[[#This Row],[1ère composition]:[3è Composition]])</f>
        <v>#DIV/0!</v>
      </c>
    </row>
    <row r="260" spans="1:21" hidden="1" x14ac:dyDescent="0.2">
      <c r="A260" s="1" t="s">
        <v>2924</v>
      </c>
      <c r="B260" s="1" t="s">
        <v>2960</v>
      </c>
      <c r="C260" s="1"/>
      <c r="D260" s="1"/>
      <c r="E260" s="1">
        <v>2021</v>
      </c>
      <c r="F260" s="1">
        <v>67</v>
      </c>
      <c r="G260" s="1">
        <v>40</v>
      </c>
      <c r="H260" s="76" t="str">
        <f>Tableau1[[#This Row],[Annee d''inscription au programme]]&amp;"-"&amp;Tableau1[[#This Row],[Code d''ecole]]&amp;"-"&amp;Tableau1[[#This Row],[Numero HM de la fille]]</f>
        <v>2021-67-40</v>
      </c>
      <c r="I260" s="1"/>
      <c r="J260" s="1" t="s">
        <v>593</v>
      </c>
      <c r="K260" s="35" t="s">
        <v>298</v>
      </c>
      <c r="L260" s="35">
        <v>8.5</v>
      </c>
      <c r="M260" s="35">
        <v>8.5</v>
      </c>
      <c r="N260" s="35">
        <f t="shared" si="6"/>
        <v>8.5</v>
      </c>
      <c r="O260" s="35">
        <v>6.5</v>
      </c>
      <c r="P260" s="35">
        <v>13</v>
      </c>
      <c r="Q260" s="35">
        <f t="shared" si="7"/>
        <v>9.75</v>
      </c>
      <c r="R260" s="35"/>
      <c r="S260" s="35"/>
      <c r="T260" s="35"/>
      <c r="U260" s="74" t="e">
        <f>AVERAGE(Tableau1[[#This Row],[1ère composition]:[3è Composition]])</f>
        <v>#DIV/0!</v>
      </c>
    </row>
    <row r="261" spans="1:21" hidden="1" x14ac:dyDescent="0.2">
      <c r="A261" s="1" t="s">
        <v>2961</v>
      </c>
      <c r="B261" s="1" t="s">
        <v>2962</v>
      </c>
      <c r="C261" s="1" t="s">
        <v>3733</v>
      </c>
      <c r="D261" s="1"/>
      <c r="E261" s="1">
        <v>2021</v>
      </c>
      <c r="F261" s="1">
        <v>22</v>
      </c>
      <c r="G261" s="1">
        <v>1</v>
      </c>
      <c r="H261" s="76" t="str">
        <f>Tableau1[[#This Row],[Annee d''inscription au programme]]&amp;"-"&amp;Tableau1[[#This Row],[Code d''ecole]]&amp;"-"&amp;Tableau1[[#This Row],[Numero HM de la fille]]</f>
        <v>2021-22-1</v>
      </c>
      <c r="I261" s="1"/>
      <c r="J261" s="1" t="s">
        <v>593</v>
      </c>
      <c r="K261" s="35" t="s">
        <v>698</v>
      </c>
      <c r="L261" s="35">
        <v>8</v>
      </c>
      <c r="M261" s="35">
        <v>6</v>
      </c>
      <c r="N261" s="35">
        <f t="shared" ref="N261:N324" si="8" xml:space="preserve"> AVERAGE(L261+M261)/2</f>
        <v>7</v>
      </c>
      <c r="O261" s="35">
        <v>16.5</v>
      </c>
      <c r="P261" s="35">
        <v>15</v>
      </c>
      <c r="Q261" s="35">
        <f t="shared" ref="Q261:Q324" si="9">AVERAGE(O261+P261)/2</f>
        <v>15.75</v>
      </c>
      <c r="R261" s="35"/>
      <c r="S261" s="35"/>
      <c r="T261" s="35"/>
      <c r="U261" s="74" t="e">
        <f>AVERAGE(Tableau1[[#This Row],[1ère composition]:[3è Composition]])</f>
        <v>#DIV/0!</v>
      </c>
    </row>
    <row r="262" spans="1:21" hidden="1" x14ac:dyDescent="0.2">
      <c r="A262" s="1" t="s">
        <v>2961</v>
      </c>
      <c r="B262" s="1" t="s">
        <v>2963</v>
      </c>
      <c r="C262" s="1" t="s">
        <v>3733</v>
      </c>
      <c r="D262" s="1"/>
      <c r="E262" s="1">
        <v>2021</v>
      </c>
      <c r="F262" s="1">
        <v>22</v>
      </c>
      <c r="G262" s="1">
        <v>2</v>
      </c>
      <c r="H262" s="76" t="str">
        <f>Tableau1[[#This Row],[Annee d''inscription au programme]]&amp;"-"&amp;Tableau1[[#This Row],[Code d''ecole]]&amp;"-"&amp;Tableau1[[#This Row],[Numero HM de la fille]]</f>
        <v>2021-22-2</v>
      </c>
      <c r="I262" s="1"/>
      <c r="J262" s="1" t="s">
        <v>593</v>
      </c>
      <c r="K262" s="35" t="s">
        <v>698</v>
      </c>
      <c r="L262" s="35">
        <v>16</v>
      </c>
      <c r="M262" s="35">
        <v>4.5</v>
      </c>
      <c r="N262" s="35">
        <f t="shared" si="8"/>
        <v>10.25</v>
      </c>
      <c r="O262" s="35">
        <v>15</v>
      </c>
      <c r="P262" s="35">
        <v>6.5</v>
      </c>
      <c r="Q262" s="35">
        <f t="shared" si="9"/>
        <v>10.75</v>
      </c>
      <c r="R262" s="35"/>
      <c r="S262" s="35"/>
      <c r="T262" s="35"/>
      <c r="U262" s="74" t="e">
        <f>AVERAGE(Tableau1[[#This Row],[1ère composition]:[3è Composition]])</f>
        <v>#DIV/0!</v>
      </c>
    </row>
    <row r="263" spans="1:21" hidden="1" x14ac:dyDescent="0.2">
      <c r="A263" s="1" t="s">
        <v>2961</v>
      </c>
      <c r="B263" s="1" t="s">
        <v>2964</v>
      </c>
      <c r="C263" s="1" t="s">
        <v>3733</v>
      </c>
      <c r="D263" s="1"/>
      <c r="E263" s="1">
        <v>2021</v>
      </c>
      <c r="F263" s="1">
        <v>22</v>
      </c>
      <c r="G263" s="1">
        <v>3</v>
      </c>
      <c r="H263" s="76" t="str">
        <f>Tableau1[[#This Row],[Annee d''inscription au programme]]&amp;"-"&amp;Tableau1[[#This Row],[Code d''ecole]]&amp;"-"&amp;Tableau1[[#This Row],[Numero HM de la fille]]</f>
        <v>2021-22-3</v>
      </c>
      <c r="I263" s="1"/>
      <c r="J263" s="1" t="s">
        <v>593</v>
      </c>
      <c r="K263" s="35" t="s">
        <v>698</v>
      </c>
      <c r="L263" s="35">
        <v>12.5</v>
      </c>
      <c r="M263" s="35">
        <v>4</v>
      </c>
      <c r="N263" s="35">
        <f t="shared" si="8"/>
        <v>8.25</v>
      </c>
      <c r="O263" s="35">
        <v>14.5</v>
      </c>
      <c r="P263" s="35">
        <v>7.75</v>
      </c>
      <c r="Q263" s="35">
        <f t="shared" si="9"/>
        <v>11.125</v>
      </c>
      <c r="R263" s="35"/>
      <c r="S263" s="35"/>
      <c r="T263" s="35"/>
      <c r="U263" s="74" t="e">
        <f>AVERAGE(Tableau1[[#This Row],[1ère composition]:[3è Composition]])</f>
        <v>#DIV/0!</v>
      </c>
    </row>
    <row r="264" spans="1:21" hidden="1" x14ac:dyDescent="0.2">
      <c r="A264" s="1" t="s">
        <v>2961</v>
      </c>
      <c r="B264" s="1" t="s">
        <v>2965</v>
      </c>
      <c r="C264" s="1" t="s">
        <v>3733</v>
      </c>
      <c r="D264" s="1"/>
      <c r="E264" s="1">
        <v>2021</v>
      </c>
      <c r="F264" s="1">
        <v>22</v>
      </c>
      <c r="G264" s="1">
        <v>4</v>
      </c>
      <c r="H264" s="76" t="str">
        <f>Tableau1[[#This Row],[Annee d''inscription au programme]]&amp;"-"&amp;Tableau1[[#This Row],[Code d''ecole]]&amp;"-"&amp;Tableau1[[#This Row],[Numero HM de la fille]]</f>
        <v>2021-22-4</v>
      </c>
      <c r="I264" s="1"/>
      <c r="J264" s="1" t="s">
        <v>593</v>
      </c>
      <c r="K264" s="35" t="s">
        <v>698</v>
      </c>
      <c r="L264" s="35">
        <v>12.5</v>
      </c>
      <c r="M264" s="35">
        <v>8</v>
      </c>
      <c r="N264" s="35">
        <f t="shared" si="8"/>
        <v>10.25</v>
      </c>
      <c r="O264" s="35">
        <v>14</v>
      </c>
      <c r="P264" s="35">
        <v>4.25</v>
      </c>
      <c r="Q264" s="35">
        <f t="shared" si="9"/>
        <v>9.125</v>
      </c>
      <c r="R264" s="35"/>
      <c r="S264" s="35"/>
      <c r="T264" s="35"/>
      <c r="U264" s="74" t="e">
        <f>AVERAGE(Tableau1[[#This Row],[1ère composition]:[3è Composition]])</f>
        <v>#DIV/0!</v>
      </c>
    </row>
    <row r="265" spans="1:21" hidden="1" x14ac:dyDescent="0.2">
      <c r="A265" s="1" t="s">
        <v>2961</v>
      </c>
      <c r="B265" s="1" t="s">
        <v>2966</v>
      </c>
      <c r="C265" s="1" t="s">
        <v>3733</v>
      </c>
      <c r="D265" s="1"/>
      <c r="E265" s="1">
        <v>2021</v>
      </c>
      <c r="F265" s="1">
        <v>22</v>
      </c>
      <c r="G265" s="1">
        <v>5</v>
      </c>
      <c r="H265" s="76" t="str">
        <f>Tableau1[[#This Row],[Annee d''inscription au programme]]&amp;"-"&amp;Tableau1[[#This Row],[Code d''ecole]]&amp;"-"&amp;Tableau1[[#This Row],[Numero HM de la fille]]</f>
        <v>2021-22-5</v>
      </c>
      <c r="I265" s="1"/>
      <c r="J265" s="1" t="s">
        <v>593</v>
      </c>
      <c r="K265" s="35" t="s">
        <v>698</v>
      </c>
      <c r="L265" s="35">
        <v>7.5</v>
      </c>
      <c r="M265" s="35">
        <v>2</v>
      </c>
      <c r="N265" s="35">
        <f t="shared" si="8"/>
        <v>4.75</v>
      </c>
      <c r="O265" s="35">
        <v>15</v>
      </c>
      <c r="P265" s="35">
        <v>9</v>
      </c>
      <c r="Q265" s="35">
        <f t="shared" si="9"/>
        <v>12</v>
      </c>
      <c r="R265" s="35"/>
      <c r="S265" s="35"/>
      <c r="T265" s="35"/>
      <c r="U265" s="74" t="e">
        <f>AVERAGE(Tableau1[[#This Row],[1ère composition]:[3è Composition]])</f>
        <v>#DIV/0!</v>
      </c>
    </row>
    <row r="266" spans="1:21" hidden="1" x14ac:dyDescent="0.2">
      <c r="A266" s="1" t="s">
        <v>2961</v>
      </c>
      <c r="B266" s="1" t="s">
        <v>2967</v>
      </c>
      <c r="C266" s="1" t="s">
        <v>3733</v>
      </c>
      <c r="D266" s="1"/>
      <c r="E266" s="1">
        <v>2021</v>
      </c>
      <c r="F266" s="1">
        <v>22</v>
      </c>
      <c r="G266" s="1">
        <v>6</v>
      </c>
      <c r="H266" s="76" t="str">
        <f>Tableau1[[#This Row],[Annee d''inscription au programme]]&amp;"-"&amp;Tableau1[[#This Row],[Code d''ecole]]&amp;"-"&amp;Tableau1[[#This Row],[Numero HM de la fille]]</f>
        <v>2021-22-6</v>
      </c>
      <c r="I266" s="1"/>
      <c r="J266" s="1" t="s">
        <v>593</v>
      </c>
      <c r="K266" s="35" t="s">
        <v>698</v>
      </c>
      <c r="L266" s="35">
        <v>6.5</v>
      </c>
      <c r="M266" s="35">
        <v>4</v>
      </c>
      <c r="N266" s="35">
        <f t="shared" si="8"/>
        <v>5.25</v>
      </c>
      <c r="O266" s="35">
        <v>6.5</v>
      </c>
      <c r="P266" s="35">
        <v>5</v>
      </c>
      <c r="Q266" s="35">
        <f t="shared" si="9"/>
        <v>5.75</v>
      </c>
      <c r="R266" s="35"/>
      <c r="S266" s="35"/>
      <c r="T266" s="35"/>
      <c r="U266" s="74" t="e">
        <f>AVERAGE(Tableau1[[#This Row],[1ère composition]:[3è Composition]])</f>
        <v>#DIV/0!</v>
      </c>
    </row>
    <row r="267" spans="1:21" hidden="1" x14ac:dyDescent="0.2">
      <c r="A267" s="1" t="s">
        <v>2961</v>
      </c>
      <c r="B267" s="1" t="s">
        <v>2968</v>
      </c>
      <c r="C267" s="1" t="s">
        <v>3733</v>
      </c>
      <c r="D267" s="1"/>
      <c r="E267" s="1">
        <v>2021</v>
      </c>
      <c r="F267" s="1">
        <v>22</v>
      </c>
      <c r="G267" s="1">
        <v>7</v>
      </c>
      <c r="H267" s="76" t="str">
        <f>Tableau1[[#This Row],[Annee d''inscription au programme]]&amp;"-"&amp;Tableau1[[#This Row],[Code d''ecole]]&amp;"-"&amp;Tableau1[[#This Row],[Numero HM de la fille]]</f>
        <v>2021-22-7</v>
      </c>
      <c r="I267" s="1"/>
      <c r="J267" s="1" t="s">
        <v>593</v>
      </c>
      <c r="K267" s="35" t="s">
        <v>698</v>
      </c>
      <c r="L267" s="35">
        <v>1.5</v>
      </c>
      <c r="M267" s="35">
        <v>6</v>
      </c>
      <c r="N267" s="35">
        <f t="shared" si="8"/>
        <v>3.75</v>
      </c>
      <c r="O267" s="35">
        <v>17.5</v>
      </c>
      <c r="P267" s="35">
        <v>8.25</v>
      </c>
      <c r="Q267" s="35">
        <f t="shared" si="9"/>
        <v>12.875</v>
      </c>
      <c r="R267" s="35"/>
      <c r="S267" s="35"/>
      <c r="T267" s="35"/>
      <c r="U267" s="74" t="e">
        <f>AVERAGE(Tableau1[[#This Row],[1ère composition]:[3è Composition]])</f>
        <v>#DIV/0!</v>
      </c>
    </row>
    <row r="268" spans="1:21" hidden="1" x14ac:dyDescent="0.2">
      <c r="A268" s="1" t="s">
        <v>2961</v>
      </c>
      <c r="B268" s="1" t="s">
        <v>2969</v>
      </c>
      <c r="C268" s="1" t="s">
        <v>3733</v>
      </c>
      <c r="D268" s="1"/>
      <c r="E268" s="1">
        <v>2021</v>
      </c>
      <c r="F268" s="1">
        <v>22</v>
      </c>
      <c r="G268" s="1">
        <v>8</v>
      </c>
      <c r="H268" s="76" t="str">
        <f>Tableau1[[#This Row],[Annee d''inscription au programme]]&amp;"-"&amp;Tableau1[[#This Row],[Code d''ecole]]&amp;"-"&amp;Tableau1[[#This Row],[Numero HM de la fille]]</f>
        <v>2021-22-8</v>
      </c>
      <c r="I268" s="1"/>
      <c r="J268" s="1" t="s">
        <v>593</v>
      </c>
      <c r="K268" s="35" t="s">
        <v>698</v>
      </c>
      <c r="L268" s="35">
        <v>7</v>
      </c>
      <c r="M268" s="35">
        <v>4.5</v>
      </c>
      <c r="N268" s="35">
        <f t="shared" si="8"/>
        <v>5.75</v>
      </c>
      <c r="O268" s="2">
        <v>6</v>
      </c>
      <c r="P268" s="2">
        <v>5.5</v>
      </c>
      <c r="Q268" s="35">
        <f t="shared" si="9"/>
        <v>5.75</v>
      </c>
      <c r="R268" s="35"/>
      <c r="S268" s="35"/>
      <c r="T268" s="35"/>
      <c r="U268" s="74" t="e">
        <f>AVERAGE(Tableau1[[#This Row],[1ère composition]:[3è Composition]])</f>
        <v>#DIV/0!</v>
      </c>
    </row>
    <row r="269" spans="1:21" hidden="1" x14ac:dyDescent="0.2">
      <c r="A269" s="1" t="s">
        <v>2961</v>
      </c>
      <c r="B269" s="1" t="s">
        <v>2970</v>
      </c>
      <c r="C269" s="1" t="s">
        <v>3733</v>
      </c>
      <c r="D269" s="1"/>
      <c r="E269" s="1">
        <v>2021</v>
      </c>
      <c r="F269" s="1">
        <v>22</v>
      </c>
      <c r="G269" s="1">
        <v>9</v>
      </c>
      <c r="H269" s="76" t="str">
        <f>Tableau1[[#This Row],[Annee d''inscription au programme]]&amp;"-"&amp;Tableau1[[#This Row],[Code d''ecole]]&amp;"-"&amp;Tableau1[[#This Row],[Numero HM de la fille]]</f>
        <v>2021-22-9</v>
      </c>
      <c r="I269" s="1"/>
      <c r="J269" s="1" t="s">
        <v>593</v>
      </c>
      <c r="K269" s="35" t="s">
        <v>698</v>
      </c>
      <c r="L269" s="35">
        <v>6.5</v>
      </c>
      <c r="M269" s="35">
        <v>2</v>
      </c>
      <c r="N269" s="35">
        <f t="shared" si="8"/>
        <v>4.25</v>
      </c>
      <c r="O269" s="35">
        <v>9.5</v>
      </c>
      <c r="P269" s="35">
        <v>2</v>
      </c>
      <c r="Q269" s="35">
        <f t="shared" si="9"/>
        <v>5.75</v>
      </c>
      <c r="R269" s="35"/>
      <c r="S269" s="35"/>
      <c r="T269" s="35"/>
      <c r="U269" s="74" t="e">
        <f>AVERAGE(Tableau1[[#This Row],[1ère composition]:[3è Composition]])</f>
        <v>#DIV/0!</v>
      </c>
    </row>
    <row r="270" spans="1:21" hidden="1" x14ac:dyDescent="0.2">
      <c r="A270" s="1" t="s">
        <v>2961</v>
      </c>
      <c r="B270" s="1" t="s">
        <v>2971</v>
      </c>
      <c r="C270" s="1" t="s">
        <v>3733</v>
      </c>
      <c r="D270" s="1"/>
      <c r="E270" s="1">
        <v>2021</v>
      </c>
      <c r="F270" s="1">
        <v>22</v>
      </c>
      <c r="G270" s="1">
        <v>10</v>
      </c>
      <c r="H270" s="76" t="str">
        <f>Tableau1[[#This Row],[Annee d''inscription au programme]]&amp;"-"&amp;Tableau1[[#This Row],[Code d''ecole]]&amp;"-"&amp;Tableau1[[#This Row],[Numero HM de la fille]]</f>
        <v>2021-22-10</v>
      </c>
      <c r="I270" s="1"/>
      <c r="J270" s="1" t="s">
        <v>593</v>
      </c>
      <c r="K270" s="35" t="s">
        <v>698</v>
      </c>
      <c r="L270" s="35">
        <v>6.5</v>
      </c>
      <c r="M270" s="35">
        <v>3</v>
      </c>
      <c r="N270" s="35">
        <f t="shared" si="8"/>
        <v>4.75</v>
      </c>
      <c r="O270" s="35">
        <v>14.5</v>
      </c>
      <c r="P270" s="35">
        <v>4</v>
      </c>
      <c r="Q270" s="35">
        <f t="shared" si="9"/>
        <v>9.25</v>
      </c>
      <c r="R270" s="35"/>
      <c r="S270" s="35"/>
      <c r="T270" s="35"/>
      <c r="U270" s="74" t="e">
        <f>AVERAGE(Tableau1[[#This Row],[1ère composition]:[3è Composition]])</f>
        <v>#DIV/0!</v>
      </c>
    </row>
    <row r="271" spans="1:21" hidden="1" x14ac:dyDescent="0.2">
      <c r="A271" s="1" t="s">
        <v>2961</v>
      </c>
      <c r="B271" s="1" t="s">
        <v>2972</v>
      </c>
      <c r="C271" s="1" t="s">
        <v>3733</v>
      </c>
      <c r="D271" s="1"/>
      <c r="E271" s="1">
        <v>2021</v>
      </c>
      <c r="F271" s="1">
        <v>22</v>
      </c>
      <c r="G271" s="1">
        <v>11</v>
      </c>
      <c r="H271" s="76" t="str">
        <f>Tableau1[[#This Row],[Annee d''inscription au programme]]&amp;"-"&amp;Tableau1[[#This Row],[Code d''ecole]]&amp;"-"&amp;Tableau1[[#This Row],[Numero HM de la fille]]</f>
        <v>2021-22-11</v>
      </c>
      <c r="I271" s="1"/>
      <c r="J271" s="1" t="s">
        <v>593</v>
      </c>
      <c r="K271" s="35" t="s">
        <v>698</v>
      </c>
      <c r="L271" s="35">
        <v>10.5</v>
      </c>
      <c r="M271" s="35">
        <v>5</v>
      </c>
      <c r="N271" s="35">
        <f t="shared" si="8"/>
        <v>7.75</v>
      </c>
      <c r="O271" s="35">
        <v>7</v>
      </c>
      <c r="P271" s="35">
        <v>4.25</v>
      </c>
      <c r="Q271" s="35">
        <f t="shared" si="9"/>
        <v>5.625</v>
      </c>
      <c r="R271" s="35"/>
      <c r="S271" s="35"/>
      <c r="T271" s="35"/>
      <c r="U271" s="74" t="e">
        <f>AVERAGE(Tableau1[[#This Row],[1ère composition]:[3è Composition]])</f>
        <v>#DIV/0!</v>
      </c>
    </row>
    <row r="272" spans="1:21" hidden="1" x14ac:dyDescent="0.2">
      <c r="A272" s="1" t="s">
        <v>2961</v>
      </c>
      <c r="B272" s="1" t="s">
        <v>2973</v>
      </c>
      <c r="C272" s="1" t="s">
        <v>3733</v>
      </c>
      <c r="D272" s="1"/>
      <c r="E272" s="1">
        <v>2021</v>
      </c>
      <c r="F272" s="1">
        <v>22</v>
      </c>
      <c r="G272" s="1">
        <v>12</v>
      </c>
      <c r="H272" s="76" t="str">
        <f>Tableau1[[#This Row],[Annee d''inscription au programme]]&amp;"-"&amp;Tableau1[[#This Row],[Code d''ecole]]&amp;"-"&amp;Tableau1[[#This Row],[Numero HM de la fille]]</f>
        <v>2021-22-12</v>
      </c>
      <c r="I272" s="1"/>
      <c r="J272" s="1" t="s">
        <v>593</v>
      </c>
      <c r="K272" s="35" t="s">
        <v>698</v>
      </c>
      <c r="L272" s="35">
        <v>13.5</v>
      </c>
      <c r="M272" s="35">
        <v>15</v>
      </c>
      <c r="N272" s="35">
        <f t="shared" si="8"/>
        <v>14.25</v>
      </c>
      <c r="O272" s="35">
        <v>12</v>
      </c>
      <c r="P272" s="35">
        <v>15.25</v>
      </c>
      <c r="Q272" s="35">
        <f t="shared" si="9"/>
        <v>13.625</v>
      </c>
      <c r="R272" s="35"/>
      <c r="S272" s="35"/>
      <c r="T272" s="35"/>
      <c r="U272" s="74" t="e">
        <f>AVERAGE(Tableau1[[#This Row],[1ère composition]:[3è Composition]])</f>
        <v>#DIV/0!</v>
      </c>
    </row>
    <row r="273" spans="1:21" hidden="1" x14ac:dyDescent="0.2">
      <c r="A273" s="1" t="s">
        <v>2961</v>
      </c>
      <c r="B273" s="1" t="s">
        <v>2974</v>
      </c>
      <c r="C273" s="1" t="s">
        <v>3733</v>
      </c>
      <c r="D273" s="1"/>
      <c r="E273" s="1">
        <v>2021</v>
      </c>
      <c r="F273" s="1">
        <v>22</v>
      </c>
      <c r="G273" s="1">
        <v>13</v>
      </c>
      <c r="H273" s="76" t="str">
        <f>Tableau1[[#This Row],[Annee d''inscription au programme]]&amp;"-"&amp;Tableau1[[#This Row],[Code d''ecole]]&amp;"-"&amp;Tableau1[[#This Row],[Numero HM de la fille]]</f>
        <v>2021-22-13</v>
      </c>
      <c r="I273" s="1"/>
      <c r="J273" s="1" t="s">
        <v>593</v>
      </c>
      <c r="K273" s="35" t="s">
        <v>698</v>
      </c>
      <c r="L273" s="35">
        <v>18</v>
      </c>
      <c r="M273" s="35">
        <v>7.5</v>
      </c>
      <c r="N273" s="35">
        <f t="shared" si="8"/>
        <v>12.75</v>
      </c>
      <c r="O273" s="35">
        <v>16</v>
      </c>
      <c r="P273" s="35">
        <v>15</v>
      </c>
      <c r="Q273" s="35">
        <f t="shared" si="9"/>
        <v>15.5</v>
      </c>
      <c r="R273" s="35"/>
      <c r="S273" s="35"/>
      <c r="T273" s="35"/>
      <c r="U273" s="74" t="e">
        <f>AVERAGE(Tableau1[[#This Row],[1ère composition]:[3è Composition]])</f>
        <v>#DIV/0!</v>
      </c>
    </row>
    <row r="274" spans="1:21" hidden="1" x14ac:dyDescent="0.2">
      <c r="A274" s="1" t="s">
        <v>2961</v>
      </c>
      <c r="B274" s="1" t="s">
        <v>2975</v>
      </c>
      <c r="C274" s="1" t="s">
        <v>3733</v>
      </c>
      <c r="D274" s="1"/>
      <c r="E274" s="1">
        <v>2021</v>
      </c>
      <c r="F274" s="1">
        <v>22</v>
      </c>
      <c r="G274" s="1">
        <v>14</v>
      </c>
      <c r="H274" s="76" t="str">
        <f>Tableau1[[#This Row],[Annee d''inscription au programme]]&amp;"-"&amp;Tableau1[[#This Row],[Code d''ecole]]&amp;"-"&amp;Tableau1[[#This Row],[Numero HM de la fille]]</f>
        <v>2021-22-14</v>
      </c>
      <c r="I274" s="1"/>
      <c r="J274" s="1" t="s">
        <v>593</v>
      </c>
      <c r="K274" s="35" t="s">
        <v>698</v>
      </c>
      <c r="L274" s="35">
        <v>17</v>
      </c>
      <c r="M274" s="35">
        <v>11</v>
      </c>
      <c r="N274" s="35">
        <f t="shared" si="8"/>
        <v>14</v>
      </c>
      <c r="O274" s="35">
        <v>14</v>
      </c>
      <c r="P274" s="35">
        <v>14.75</v>
      </c>
      <c r="Q274" s="35">
        <f t="shared" si="9"/>
        <v>14.375</v>
      </c>
      <c r="R274" s="35"/>
      <c r="S274" s="35"/>
      <c r="T274" s="35"/>
      <c r="U274" s="74" t="e">
        <f>AVERAGE(Tableau1[[#This Row],[1ère composition]:[3è Composition]])</f>
        <v>#DIV/0!</v>
      </c>
    </row>
    <row r="275" spans="1:21" hidden="1" x14ac:dyDescent="0.2">
      <c r="A275" s="1" t="s">
        <v>2961</v>
      </c>
      <c r="B275" s="1" t="s">
        <v>2976</v>
      </c>
      <c r="C275" s="1" t="s">
        <v>3733</v>
      </c>
      <c r="D275" s="1"/>
      <c r="E275" s="1">
        <v>2021</v>
      </c>
      <c r="F275" s="1">
        <v>22</v>
      </c>
      <c r="G275" s="1">
        <v>15</v>
      </c>
      <c r="H275" s="76" t="str">
        <f>Tableau1[[#This Row],[Annee d''inscription au programme]]&amp;"-"&amp;Tableau1[[#This Row],[Code d''ecole]]&amp;"-"&amp;Tableau1[[#This Row],[Numero HM de la fille]]</f>
        <v>2021-22-15</v>
      </c>
      <c r="I275" s="1"/>
      <c r="J275" s="1" t="s">
        <v>593</v>
      </c>
      <c r="K275" s="35" t="s">
        <v>698</v>
      </c>
      <c r="L275" s="35">
        <v>13.5</v>
      </c>
      <c r="M275" s="35">
        <v>4.5</v>
      </c>
      <c r="N275" s="35">
        <f t="shared" si="8"/>
        <v>9</v>
      </c>
      <c r="O275" s="35"/>
      <c r="P275" s="35"/>
      <c r="Q275" s="35">
        <f t="shared" si="9"/>
        <v>0</v>
      </c>
      <c r="R275" s="35"/>
      <c r="S275" s="35"/>
      <c r="T275" s="35"/>
      <c r="U275" s="74" t="e">
        <f>AVERAGE(Tableau1[[#This Row],[1ère composition]:[3è Composition]])</f>
        <v>#DIV/0!</v>
      </c>
    </row>
    <row r="276" spans="1:21" hidden="1" x14ac:dyDescent="0.2">
      <c r="A276" s="1" t="s">
        <v>2961</v>
      </c>
      <c r="B276" s="1" t="s">
        <v>2977</v>
      </c>
      <c r="C276" s="1" t="s">
        <v>3733</v>
      </c>
      <c r="D276" s="1"/>
      <c r="E276" s="1">
        <v>2021</v>
      </c>
      <c r="F276" s="1">
        <v>22</v>
      </c>
      <c r="G276" s="1">
        <v>16</v>
      </c>
      <c r="H276" s="76" t="str">
        <f>Tableau1[[#This Row],[Annee d''inscription au programme]]&amp;"-"&amp;Tableau1[[#This Row],[Code d''ecole]]&amp;"-"&amp;Tableau1[[#This Row],[Numero HM de la fille]]</f>
        <v>2021-22-16</v>
      </c>
      <c r="I276" s="1"/>
      <c r="J276" s="1" t="s">
        <v>593</v>
      </c>
      <c r="K276" s="35" t="s">
        <v>698</v>
      </c>
      <c r="L276" s="35">
        <v>12</v>
      </c>
      <c r="M276" s="35">
        <v>4.5</v>
      </c>
      <c r="N276" s="35">
        <f t="shared" si="8"/>
        <v>8.25</v>
      </c>
      <c r="O276" s="35">
        <v>12.25</v>
      </c>
      <c r="P276" s="35">
        <v>6</v>
      </c>
      <c r="Q276" s="35">
        <f t="shared" si="9"/>
        <v>9.125</v>
      </c>
      <c r="R276" s="35"/>
      <c r="S276" s="35"/>
      <c r="T276" s="35"/>
      <c r="U276" s="74" t="e">
        <f>AVERAGE(Tableau1[[#This Row],[1ère composition]:[3è Composition]])</f>
        <v>#DIV/0!</v>
      </c>
    </row>
    <row r="277" spans="1:21" hidden="1" x14ac:dyDescent="0.2">
      <c r="A277" s="1" t="s">
        <v>2961</v>
      </c>
      <c r="B277" s="1" t="s">
        <v>2978</v>
      </c>
      <c r="C277" s="1" t="s">
        <v>3733</v>
      </c>
      <c r="D277" s="1"/>
      <c r="E277" s="1">
        <v>2021</v>
      </c>
      <c r="F277" s="1">
        <v>22</v>
      </c>
      <c r="G277" s="1">
        <v>17</v>
      </c>
      <c r="H277" s="76" t="str">
        <f>Tableau1[[#This Row],[Annee d''inscription au programme]]&amp;"-"&amp;Tableau1[[#This Row],[Code d''ecole]]&amp;"-"&amp;Tableau1[[#This Row],[Numero HM de la fille]]</f>
        <v>2021-22-17</v>
      </c>
      <c r="I277" s="1"/>
      <c r="J277" s="1" t="s">
        <v>593</v>
      </c>
      <c r="K277" s="35" t="s">
        <v>698</v>
      </c>
      <c r="L277" s="89">
        <v>11.5</v>
      </c>
      <c r="M277" s="89">
        <v>5.5</v>
      </c>
      <c r="N277" s="89">
        <f t="shared" si="8"/>
        <v>8.5</v>
      </c>
      <c r="O277" s="35">
        <v>10.5</v>
      </c>
      <c r="P277" s="35">
        <v>7</v>
      </c>
      <c r="Q277" s="35">
        <f t="shared" si="9"/>
        <v>8.75</v>
      </c>
      <c r="R277" s="35"/>
      <c r="S277" s="35"/>
      <c r="T277" s="35"/>
      <c r="U277" s="74" t="e">
        <f>AVERAGE(Tableau1[[#This Row],[1ère composition]:[3è Composition]])</f>
        <v>#DIV/0!</v>
      </c>
    </row>
    <row r="278" spans="1:21" hidden="1" x14ac:dyDescent="0.2">
      <c r="A278" s="1" t="s">
        <v>2961</v>
      </c>
      <c r="B278" s="1" t="s">
        <v>2979</v>
      </c>
      <c r="C278" s="1" t="s">
        <v>3733</v>
      </c>
      <c r="D278" s="1"/>
      <c r="E278" s="1">
        <v>2021</v>
      </c>
      <c r="F278" s="1">
        <v>22</v>
      </c>
      <c r="G278" s="1">
        <v>18</v>
      </c>
      <c r="H278" s="76" t="str">
        <f>Tableau1[[#This Row],[Annee d''inscription au programme]]&amp;"-"&amp;Tableau1[[#This Row],[Code d''ecole]]&amp;"-"&amp;Tableau1[[#This Row],[Numero HM de la fille]]</f>
        <v>2021-22-18</v>
      </c>
      <c r="I278" s="1"/>
      <c r="J278" s="1" t="s">
        <v>593</v>
      </c>
      <c r="K278" s="35" t="s">
        <v>698</v>
      </c>
      <c r="L278" s="35">
        <v>16</v>
      </c>
      <c r="M278" s="35">
        <v>7</v>
      </c>
      <c r="N278" s="35">
        <f t="shared" si="8"/>
        <v>11.5</v>
      </c>
      <c r="O278" s="35">
        <v>8.5</v>
      </c>
      <c r="P278" s="35">
        <v>6.25</v>
      </c>
      <c r="Q278" s="35">
        <f t="shared" si="9"/>
        <v>7.375</v>
      </c>
      <c r="R278" s="35"/>
      <c r="S278" s="35"/>
      <c r="T278" s="35"/>
      <c r="U278" s="74" t="e">
        <f>AVERAGE(Tableau1[[#This Row],[1ère composition]:[3è Composition]])</f>
        <v>#DIV/0!</v>
      </c>
    </row>
    <row r="279" spans="1:21" hidden="1" x14ac:dyDescent="0.2">
      <c r="A279" s="1" t="s">
        <v>2961</v>
      </c>
      <c r="B279" s="1" t="s">
        <v>2980</v>
      </c>
      <c r="C279" s="1" t="s">
        <v>3733</v>
      </c>
      <c r="D279" s="1"/>
      <c r="E279" s="1">
        <v>2021</v>
      </c>
      <c r="F279" s="1">
        <v>22</v>
      </c>
      <c r="G279" s="1">
        <v>19</v>
      </c>
      <c r="H279" s="76" t="str">
        <f>Tableau1[[#This Row],[Annee d''inscription au programme]]&amp;"-"&amp;Tableau1[[#This Row],[Code d''ecole]]&amp;"-"&amp;Tableau1[[#This Row],[Numero HM de la fille]]</f>
        <v>2021-22-19</v>
      </c>
      <c r="I279" s="1"/>
      <c r="J279" s="1" t="s">
        <v>593</v>
      </c>
      <c r="K279" s="35" t="s">
        <v>698</v>
      </c>
      <c r="L279" s="35">
        <v>10</v>
      </c>
      <c r="M279" s="35">
        <v>5</v>
      </c>
      <c r="N279" s="35">
        <f t="shared" si="8"/>
        <v>7.5</v>
      </c>
      <c r="O279" s="35">
        <v>11</v>
      </c>
      <c r="P279" s="35">
        <v>5.75</v>
      </c>
      <c r="Q279" s="35">
        <f t="shared" si="9"/>
        <v>8.375</v>
      </c>
      <c r="R279" s="35"/>
      <c r="S279" s="35"/>
      <c r="T279" s="35"/>
      <c r="U279" s="74" t="e">
        <f>AVERAGE(Tableau1[[#This Row],[1ère composition]:[3è Composition]])</f>
        <v>#DIV/0!</v>
      </c>
    </row>
    <row r="280" spans="1:21" hidden="1" x14ac:dyDescent="0.2">
      <c r="A280" s="1" t="s">
        <v>2961</v>
      </c>
      <c r="B280" s="1" t="s">
        <v>2981</v>
      </c>
      <c r="C280" s="1" t="s">
        <v>3733</v>
      </c>
      <c r="D280" s="1"/>
      <c r="E280" s="1">
        <v>2021</v>
      </c>
      <c r="F280" s="1">
        <v>22</v>
      </c>
      <c r="G280" s="1">
        <v>20</v>
      </c>
      <c r="H280" s="76" t="str">
        <f>Tableau1[[#This Row],[Annee d''inscription au programme]]&amp;"-"&amp;Tableau1[[#This Row],[Code d''ecole]]&amp;"-"&amp;Tableau1[[#This Row],[Numero HM de la fille]]</f>
        <v>2021-22-20</v>
      </c>
      <c r="I280" s="1"/>
      <c r="J280" s="1" t="s">
        <v>593</v>
      </c>
      <c r="K280" s="35" t="s">
        <v>698</v>
      </c>
      <c r="L280" s="35">
        <v>7.5</v>
      </c>
      <c r="M280" s="35">
        <v>3.5</v>
      </c>
      <c r="N280" s="35">
        <f t="shared" si="8"/>
        <v>5.5</v>
      </c>
      <c r="O280" s="35">
        <v>7</v>
      </c>
      <c r="P280" s="35">
        <v>2.25</v>
      </c>
      <c r="Q280" s="35">
        <f t="shared" si="9"/>
        <v>4.625</v>
      </c>
      <c r="R280" s="35"/>
      <c r="S280" s="35"/>
      <c r="T280" s="35"/>
      <c r="U280" s="74" t="e">
        <f>AVERAGE(Tableau1[[#This Row],[1ère composition]:[3è Composition]])</f>
        <v>#DIV/0!</v>
      </c>
    </row>
    <row r="281" spans="1:21" hidden="1" x14ac:dyDescent="0.2">
      <c r="A281" s="1" t="s">
        <v>2982</v>
      </c>
      <c r="B281" s="1" t="s">
        <v>2983</v>
      </c>
      <c r="C281" s="1" t="s">
        <v>3736</v>
      </c>
      <c r="D281" s="1"/>
      <c r="E281" s="1">
        <v>2021</v>
      </c>
      <c r="F281" s="1">
        <v>30</v>
      </c>
      <c r="G281" s="1">
        <v>1</v>
      </c>
      <c r="H281" s="76" t="str">
        <f>Tableau1[[#This Row],[Annee d''inscription au programme]]&amp;"-"&amp;Tableau1[[#This Row],[Code d''ecole]]&amp;"-"&amp;Tableau1[[#This Row],[Numero HM de la fille]]</f>
        <v>2021-30-1</v>
      </c>
      <c r="I281" s="1"/>
      <c r="J281" s="1" t="s">
        <v>593</v>
      </c>
      <c r="K281" s="35" t="s">
        <v>698</v>
      </c>
      <c r="L281" s="35">
        <v>14.5</v>
      </c>
      <c r="M281" s="35">
        <v>10</v>
      </c>
      <c r="N281" s="35">
        <f t="shared" si="8"/>
        <v>12.25</v>
      </c>
      <c r="O281" s="35">
        <v>16.5</v>
      </c>
      <c r="P281" s="35">
        <v>16.5</v>
      </c>
      <c r="Q281" s="35">
        <f t="shared" si="9"/>
        <v>16.5</v>
      </c>
      <c r="R281" s="35"/>
      <c r="S281" s="35"/>
      <c r="T281" s="35"/>
      <c r="U281" s="74" t="e">
        <f>AVERAGE(Tableau1[[#This Row],[1ère composition]:[3è Composition]])</f>
        <v>#DIV/0!</v>
      </c>
    </row>
    <row r="282" spans="1:21" hidden="1" x14ac:dyDescent="0.2">
      <c r="A282" s="1" t="s">
        <v>2982</v>
      </c>
      <c r="B282" s="1" t="s">
        <v>2984</v>
      </c>
      <c r="C282" s="1" t="s">
        <v>3736</v>
      </c>
      <c r="D282" s="1"/>
      <c r="E282" s="1">
        <v>2021</v>
      </c>
      <c r="F282" s="1">
        <v>30</v>
      </c>
      <c r="G282" s="1">
        <v>2</v>
      </c>
      <c r="H282" s="76" t="str">
        <f>Tableau1[[#This Row],[Annee d''inscription au programme]]&amp;"-"&amp;Tableau1[[#This Row],[Code d''ecole]]&amp;"-"&amp;Tableau1[[#This Row],[Numero HM de la fille]]</f>
        <v>2021-30-2</v>
      </c>
      <c r="I282" s="1"/>
      <c r="J282" s="1" t="s">
        <v>593</v>
      </c>
      <c r="K282" s="35" t="s">
        <v>698</v>
      </c>
      <c r="L282" s="89">
        <v>13</v>
      </c>
      <c r="M282" s="89">
        <v>19</v>
      </c>
      <c r="N282" s="35">
        <f t="shared" si="8"/>
        <v>16</v>
      </c>
      <c r="O282" s="89">
        <v>14.5</v>
      </c>
      <c r="P282" s="35">
        <v>20</v>
      </c>
      <c r="Q282" s="35">
        <f t="shared" si="9"/>
        <v>17.25</v>
      </c>
      <c r="R282" s="35"/>
      <c r="S282" s="35"/>
      <c r="T282" s="35"/>
      <c r="U282" s="74" t="e">
        <f>AVERAGE(Tableau1[[#This Row],[1ère composition]:[3è Composition]])</f>
        <v>#DIV/0!</v>
      </c>
    </row>
    <row r="283" spans="1:21" hidden="1" x14ac:dyDescent="0.2">
      <c r="A283" s="1" t="s">
        <v>2982</v>
      </c>
      <c r="B283" s="1" t="s">
        <v>2985</v>
      </c>
      <c r="C283" s="1" t="s">
        <v>3736</v>
      </c>
      <c r="D283" s="1"/>
      <c r="E283" s="1">
        <v>2021</v>
      </c>
      <c r="F283" s="1">
        <v>30</v>
      </c>
      <c r="G283" s="1">
        <v>3</v>
      </c>
      <c r="H283" s="76" t="str">
        <f>Tableau1[[#This Row],[Annee d''inscription au programme]]&amp;"-"&amp;Tableau1[[#This Row],[Code d''ecole]]&amp;"-"&amp;Tableau1[[#This Row],[Numero HM de la fille]]</f>
        <v>2021-30-3</v>
      </c>
      <c r="I283" s="1"/>
      <c r="J283" s="1" t="s">
        <v>593</v>
      </c>
      <c r="K283" s="35" t="s">
        <v>698</v>
      </c>
      <c r="L283" s="35">
        <v>13.5</v>
      </c>
      <c r="M283" s="35">
        <v>15</v>
      </c>
      <c r="N283" s="35">
        <f t="shared" si="8"/>
        <v>14.25</v>
      </c>
      <c r="O283" s="35">
        <v>19</v>
      </c>
      <c r="P283" s="35">
        <v>20</v>
      </c>
      <c r="Q283" s="35">
        <f t="shared" si="9"/>
        <v>19.5</v>
      </c>
      <c r="R283" s="35"/>
      <c r="S283" s="35"/>
      <c r="T283" s="35"/>
      <c r="U283" s="74" t="e">
        <f>AVERAGE(Tableau1[[#This Row],[1ère composition]:[3è Composition]])</f>
        <v>#DIV/0!</v>
      </c>
    </row>
    <row r="284" spans="1:21" hidden="1" x14ac:dyDescent="0.2">
      <c r="A284" s="1" t="s">
        <v>2982</v>
      </c>
      <c r="B284" s="1" t="s">
        <v>2986</v>
      </c>
      <c r="C284" s="1" t="s">
        <v>3736</v>
      </c>
      <c r="D284" s="1"/>
      <c r="E284" s="1">
        <v>2021</v>
      </c>
      <c r="F284" s="1">
        <v>30</v>
      </c>
      <c r="G284" s="1">
        <v>4</v>
      </c>
      <c r="H284" s="76" t="str">
        <f>Tableau1[[#This Row],[Annee d''inscription au programme]]&amp;"-"&amp;Tableau1[[#This Row],[Code d''ecole]]&amp;"-"&amp;Tableau1[[#This Row],[Numero HM de la fille]]</f>
        <v>2021-30-4</v>
      </c>
      <c r="I284" s="1"/>
      <c r="J284" s="1" t="s">
        <v>593</v>
      </c>
      <c r="K284" s="35" t="s">
        <v>698</v>
      </c>
      <c r="L284" s="35">
        <v>14</v>
      </c>
      <c r="M284" s="35">
        <v>16.5</v>
      </c>
      <c r="N284" s="35">
        <f t="shared" si="8"/>
        <v>15.25</v>
      </c>
      <c r="O284" s="35">
        <v>16.5</v>
      </c>
      <c r="P284" s="35">
        <v>19.5</v>
      </c>
      <c r="Q284" s="35">
        <f t="shared" si="9"/>
        <v>18</v>
      </c>
      <c r="R284" s="35"/>
      <c r="S284" s="35"/>
      <c r="T284" s="35"/>
      <c r="U284" s="74" t="e">
        <f>AVERAGE(Tableau1[[#This Row],[1ère composition]:[3è Composition]])</f>
        <v>#DIV/0!</v>
      </c>
    </row>
    <row r="285" spans="1:21" hidden="1" x14ac:dyDescent="0.2">
      <c r="A285" s="1" t="s">
        <v>2982</v>
      </c>
      <c r="B285" s="1" t="s">
        <v>2987</v>
      </c>
      <c r="C285" s="1" t="s">
        <v>3738</v>
      </c>
      <c r="D285" s="1"/>
      <c r="E285" s="1">
        <v>2021</v>
      </c>
      <c r="F285" s="1">
        <v>30</v>
      </c>
      <c r="G285" s="1">
        <v>5</v>
      </c>
      <c r="H285" s="76" t="str">
        <f>Tableau1[[#This Row],[Annee d''inscription au programme]]&amp;"-"&amp;Tableau1[[#This Row],[Code d''ecole]]&amp;"-"&amp;Tableau1[[#This Row],[Numero HM de la fille]]</f>
        <v>2021-30-5</v>
      </c>
      <c r="I285" s="1"/>
      <c r="J285" s="1" t="s">
        <v>593</v>
      </c>
      <c r="K285" s="35" t="s">
        <v>698</v>
      </c>
      <c r="L285" s="35">
        <v>16.5</v>
      </c>
      <c r="M285" s="35">
        <v>12</v>
      </c>
      <c r="N285" s="35">
        <f t="shared" si="8"/>
        <v>14.25</v>
      </c>
      <c r="O285" s="35">
        <v>18.5</v>
      </c>
      <c r="P285" s="35">
        <v>19.25</v>
      </c>
      <c r="Q285" s="35">
        <f t="shared" si="9"/>
        <v>18.875</v>
      </c>
      <c r="R285" s="35"/>
      <c r="S285" s="35"/>
      <c r="T285" s="35"/>
      <c r="U285" s="74" t="e">
        <f>AVERAGE(Tableau1[[#This Row],[1ère composition]:[3è Composition]])</f>
        <v>#DIV/0!</v>
      </c>
    </row>
    <row r="286" spans="1:21" hidden="1" x14ac:dyDescent="0.2">
      <c r="A286" s="1" t="s">
        <v>2982</v>
      </c>
      <c r="B286" s="1" t="s">
        <v>2988</v>
      </c>
      <c r="C286" s="1" t="s">
        <v>3736</v>
      </c>
      <c r="D286" s="1"/>
      <c r="E286" s="1">
        <v>2021</v>
      </c>
      <c r="F286" s="1">
        <v>30</v>
      </c>
      <c r="G286" s="1">
        <v>6</v>
      </c>
      <c r="H286" s="76" t="str">
        <f>Tableau1[[#This Row],[Annee d''inscription au programme]]&amp;"-"&amp;Tableau1[[#This Row],[Code d''ecole]]&amp;"-"&amp;Tableau1[[#This Row],[Numero HM de la fille]]</f>
        <v>2021-30-6</v>
      </c>
      <c r="I286" s="1"/>
      <c r="J286" s="1" t="s">
        <v>593</v>
      </c>
      <c r="K286" s="35" t="s">
        <v>698</v>
      </c>
      <c r="L286" s="35">
        <v>10</v>
      </c>
      <c r="M286" s="35">
        <v>14.5</v>
      </c>
      <c r="N286" s="35">
        <f t="shared" si="8"/>
        <v>12.25</v>
      </c>
      <c r="O286" s="35">
        <v>16.5</v>
      </c>
      <c r="P286" s="35">
        <v>19.25</v>
      </c>
      <c r="Q286" s="35">
        <f t="shared" si="9"/>
        <v>17.875</v>
      </c>
      <c r="R286" s="35"/>
      <c r="S286" s="35"/>
      <c r="T286" s="35"/>
      <c r="U286" s="74" t="e">
        <f>AVERAGE(Tableau1[[#This Row],[1ère composition]:[3è Composition]])</f>
        <v>#DIV/0!</v>
      </c>
    </row>
    <row r="287" spans="1:21" hidden="1" x14ac:dyDescent="0.2">
      <c r="A287" s="1" t="s">
        <v>2982</v>
      </c>
      <c r="B287" s="1" t="s">
        <v>2989</v>
      </c>
      <c r="C287" s="1" t="s">
        <v>3735</v>
      </c>
      <c r="D287" s="1"/>
      <c r="E287" s="1">
        <v>2021</v>
      </c>
      <c r="F287" s="1">
        <v>30</v>
      </c>
      <c r="G287" s="1">
        <v>7</v>
      </c>
      <c r="H287" s="76" t="str">
        <f>Tableau1[[#This Row],[Annee d''inscription au programme]]&amp;"-"&amp;Tableau1[[#This Row],[Code d''ecole]]&amp;"-"&amp;Tableau1[[#This Row],[Numero HM de la fille]]</f>
        <v>2021-30-7</v>
      </c>
      <c r="I287" s="1"/>
      <c r="J287" s="1" t="s">
        <v>593</v>
      </c>
      <c r="K287" s="35" t="s">
        <v>698</v>
      </c>
      <c r="L287" s="35">
        <v>16.5</v>
      </c>
      <c r="M287" s="35">
        <v>12.5</v>
      </c>
      <c r="N287" s="35">
        <f t="shared" si="8"/>
        <v>14.5</v>
      </c>
      <c r="O287" s="35">
        <v>19</v>
      </c>
      <c r="P287" s="35">
        <v>20</v>
      </c>
      <c r="Q287" s="35">
        <f t="shared" si="9"/>
        <v>19.5</v>
      </c>
      <c r="R287" s="35"/>
      <c r="S287" s="35"/>
      <c r="T287" s="35"/>
      <c r="U287" s="74" t="e">
        <f>AVERAGE(Tableau1[[#This Row],[1ère composition]:[3è Composition]])</f>
        <v>#DIV/0!</v>
      </c>
    </row>
    <row r="288" spans="1:21" hidden="1" x14ac:dyDescent="0.2">
      <c r="A288" s="1" t="s">
        <v>2982</v>
      </c>
      <c r="B288" s="1" t="s">
        <v>2990</v>
      </c>
      <c r="C288" s="1" t="s">
        <v>3736</v>
      </c>
      <c r="D288" s="1"/>
      <c r="E288" s="1">
        <v>2021</v>
      </c>
      <c r="F288" s="1">
        <v>30</v>
      </c>
      <c r="G288" s="1">
        <v>8</v>
      </c>
      <c r="H288" s="76" t="str">
        <f>Tableau1[[#This Row],[Annee d''inscription au programme]]&amp;"-"&amp;Tableau1[[#This Row],[Code d''ecole]]&amp;"-"&amp;Tableau1[[#This Row],[Numero HM de la fille]]</f>
        <v>2021-30-8</v>
      </c>
      <c r="I288" s="1"/>
      <c r="J288" s="1" t="s">
        <v>593</v>
      </c>
      <c r="K288" s="35" t="s">
        <v>698</v>
      </c>
      <c r="L288" s="35">
        <v>14</v>
      </c>
      <c r="M288" s="35">
        <v>14</v>
      </c>
      <c r="N288" s="35">
        <f t="shared" si="8"/>
        <v>14</v>
      </c>
      <c r="O288" s="35">
        <v>14.5</v>
      </c>
      <c r="P288" s="35">
        <v>19.5</v>
      </c>
      <c r="Q288" s="35">
        <f t="shared" si="9"/>
        <v>17</v>
      </c>
      <c r="R288" s="35"/>
      <c r="S288" s="35"/>
      <c r="T288" s="35"/>
      <c r="U288" s="74" t="e">
        <f>AVERAGE(Tableau1[[#This Row],[1ère composition]:[3è Composition]])</f>
        <v>#DIV/0!</v>
      </c>
    </row>
    <row r="289" spans="1:21" hidden="1" x14ac:dyDescent="0.2">
      <c r="A289" s="1" t="s">
        <v>2982</v>
      </c>
      <c r="B289" s="1" t="s">
        <v>2991</v>
      </c>
      <c r="C289" s="1" t="s">
        <v>3736</v>
      </c>
      <c r="D289" s="1"/>
      <c r="E289" s="1">
        <v>2021</v>
      </c>
      <c r="F289" s="1">
        <v>30</v>
      </c>
      <c r="G289" s="1">
        <v>9</v>
      </c>
      <c r="H289" s="76" t="str">
        <f>Tableau1[[#This Row],[Annee d''inscription au programme]]&amp;"-"&amp;Tableau1[[#This Row],[Code d''ecole]]&amp;"-"&amp;Tableau1[[#This Row],[Numero HM de la fille]]</f>
        <v>2021-30-9</v>
      </c>
      <c r="I289" s="1"/>
      <c r="J289" s="1" t="s">
        <v>593</v>
      </c>
      <c r="K289" s="35" t="s">
        <v>698</v>
      </c>
      <c r="L289" s="89">
        <v>16</v>
      </c>
      <c r="M289" s="89">
        <v>11.75</v>
      </c>
      <c r="N289" s="35">
        <f t="shared" si="8"/>
        <v>13.875</v>
      </c>
      <c r="O289" s="89">
        <v>19</v>
      </c>
      <c r="P289" s="35">
        <v>20</v>
      </c>
      <c r="Q289" s="35">
        <f t="shared" si="9"/>
        <v>19.5</v>
      </c>
      <c r="R289" s="35"/>
      <c r="S289" s="35"/>
      <c r="T289" s="35"/>
      <c r="U289" s="74" t="e">
        <f>AVERAGE(Tableau1[[#This Row],[1ère composition]:[3è Composition]])</f>
        <v>#DIV/0!</v>
      </c>
    </row>
    <row r="290" spans="1:21" hidden="1" x14ac:dyDescent="0.2">
      <c r="A290" s="1" t="s">
        <v>2982</v>
      </c>
      <c r="B290" s="1" t="s">
        <v>2992</v>
      </c>
      <c r="C290" s="1" t="s">
        <v>3736</v>
      </c>
      <c r="D290" s="1"/>
      <c r="E290" s="1">
        <v>2021</v>
      </c>
      <c r="F290" s="1">
        <v>30</v>
      </c>
      <c r="G290" s="1">
        <v>10</v>
      </c>
      <c r="H290" s="76" t="str">
        <f>Tableau1[[#This Row],[Annee d''inscription au programme]]&amp;"-"&amp;Tableau1[[#This Row],[Code d''ecole]]&amp;"-"&amp;Tableau1[[#This Row],[Numero HM de la fille]]</f>
        <v>2021-30-10</v>
      </c>
      <c r="I290" s="1"/>
      <c r="J290" s="1" t="s">
        <v>593</v>
      </c>
      <c r="K290" s="35" t="s">
        <v>698</v>
      </c>
      <c r="L290" s="35">
        <v>12.5</v>
      </c>
      <c r="M290" s="35">
        <v>18</v>
      </c>
      <c r="N290" s="35">
        <f t="shared" si="8"/>
        <v>15.25</v>
      </c>
      <c r="O290" s="35">
        <v>12.5</v>
      </c>
      <c r="P290" s="35">
        <v>20</v>
      </c>
      <c r="Q290" s="35">
        <f t="shared" si="9"/>
        <v>16.25</v>
      </c>
      <c r="R290" s="35"/>
      <c r="S290" s="35"/>
      <c r="T290" s="35"/>
      <c r="U290" s="74" t="e">
        <f>AVERAGE(Tableau1[[#This Row],[1ère composition]:[3è Composition]])</f>
        <v>#DIV/0!</v>
      </c>
    </row>
    <row r="291" spans="1:21" hidden="1" x14ac:dyDescent="0.2">
      <c r="A291" s="1" t="s">
        <v>2982</v>
      </c>
      <c r="B291" s="1" t="s">
        <v>2993</v>
      </c>
      <c r="C291" s="1" t="s">
        <v>3736</v>
      </c>
      <c r="D291" s="1"/>
      <c r="E291" s="1">
        <v>2021</v>
      </c>
      <c r="F291" s="1">
        <v>30</v>
      </c>
      <c r="G291" s="1">
        <v>11</v>
      </c>
      <c r="H291" s="76" t="str">
        <f>Tableau1[[#This Row],[Annee d''inscription au programme]]&amp;"-"&amp;Tableau1[[#This Row],[Code d''ecole]]&amp;"-"&amp;Tableau1[[#This Row],[Numero HM de la fille]]</f>
        <v>2021-30-11</v>
      </c>
      <c r="I291" s="1"/>
      <c r="J291" s="1" t="s">
        <v>593</v>
      </c>
      <c r="K291" s="35" t="s">
        <v>698</v>
      </c>
      <c r="L291" s="35">
        <v>14.5</v>
      </c>
      <c r="M291" s="35">
        <v>12.5</v>
      </c>
      <c r="N291" s="35">
        <f t="shared" si="8"/>
        <v>13.5</v>
      </c>
      <c r="O291" s="35">
        <v>19</v>
      </c>
      <c r="P291" s="35">
        <v>20</v>
      </c>
      <c r="Q291" s="35">
        <f t="shared" si="9"/>
        <v>19.5</v>
      </c>
      <c r="R291" s="35"/>
      <c r="S291" s="35"/>
      <c r="T291" s="35"/>
      <c r="U291" s="74" t="e">
        <f>AVERAGE(Tableau1[[#This Row],[1ère composition]:[3è Composition]])</f>
        <v>#DIV/0!</v>
      </c>
    </row>
    <row r="292" spans="1:21" hidden="1" x14ac:dyDescent="0.2">
      <c r="A292" s="1" t="s">
        <v>2982</v>
      </c>
      <c r="B292" s="1" t="s">
        <v>2994</v>
      </c>
      <c r="C292" s="1" t="s">
        <v>3739</v>
      </c>
      <c r="D292" s="1"/>
      <c r="E292" s="1">
        <v>2021</v>
      </c>
      <c r="F292" s="1">
        <v>30</v>
      </c>
      <c r="G292" s="1">
        <v>12</v>
      </c>
      <c r="H292" s="76" t="str">
        <f>Tableau1[[#This Row],[Annee d''inscription au programme]]&amp;"-"&amp;Tableau1[[#This Row],[Code d''ecole]]&amp;"-"&amp;Tableau1[[#This Row],[Numero HM de la fille]]</f>
        <v>2021-30-12</v>
      </c>
      <c r="I292" s="1"/>
      <c r="J292" s="1" t="s">
        <v>593</v>
      </c>
      <c r="K292" s="35" t="s">
        <v>698</v>
      </c>
      <c r="L292" s="35">
        <v>12.5</v>
      </c>
      <c r="M292" s="35">
        <v>19</v>
      </c>
      <c r="N292" s="35">
        <f t="shared" si="8"/>
        <v>15.75</v>
      </c>
      <c r="O292" s="35">
        <v>18.5</v>
      </c>
      <c r="P292" s="35">
        <v>20</v>
      </c>
      <c r="Q292" s="35">
        <f t="shared" si="9"/>
        <v>19.25</v>
      </c>
      <c r="R292" s="35"/>
      <c r="S292" s="35"/>
      <c r="T292" s="35"/>
      <c r="U292" s="74" t="e">
        <f>AVERAGE(Tableau1[[#This Row],[1ère composition]:[3è Composition]])</f>
        <v>#DIV/0!</v>
      </c>
    </row>
    <row r="293" spans="1:21" hidden="1" x14ac:dyDescent="0.2">
      <c r="A293" s="1" t="s">
        <v>2982</v>
      </c>
      <c r="B293" s="1" t="s">
        <v>2995</v>
      </c>
      <c r="C293" s="1" t="s">
        <v>3736</v>
      </c>
      <c r="D293" s="1"/>
      <c r="E293" s="1">
        <v>2021</v>
      </c>
      <c r="F293" s="1">
        <v>30</v>
      </c>
      <c r="G293" s="1">
        <v>13</v>
      </c>
      <c r="H293" s="76" t="str">
        <f>Tableau1[[#This Row],[Annee d''inscription au programme]]&amp;"-"&amp;Tableau1[[#This Row],[Code d''ecole]]&amp;"-"&amp;Tableau1[[#This Row],[Numero HM de la fille]]</f>
        <v>2021-30-13</v>
      </c>
      <c r="I293" s="1"/>
      <c r="J293" s="1" t="s">
        <v>593</v>
      </c>
      <c r="K293" s="35" t="s">
        <v>698</v>
      </c>
      <c r="L293" s="35">
        <v>17.5</v>
      </c>
      <c r="M293" s="35">
        <v>19.5</v>
      </c>
      <c r="N293" s="35">
        <f t="shared" si="8"/>
        <v>18.5</v>
      </c>
      <c r="O293" s="35">
        <v>18.5</v>
      </c>
      <c r="P293" s="35">
        <v>20</v>
      </c>
      <c r="Q293" s="35">
        <f t="shared" si="9"/>
        <v>19.25</v>
      </c>
      <c r="R293" s="35"/>
      <c r="S293" s="35"/>
      <c r="T293" s="35"/>
      <c r="U293" s="74" t="e">
        <f>AVERAGE(Tableau1[[#This Row],[1ère composition]:[3è Composition]])</f>
        <v>#DIV/0!</v>
      </c>
    </row>
    <row r="294" spans="1:21" hidden="1" x14ac:dyDescent="0.2">
      <c r="A294" s="1" t="s">
        <v>2982</v>
      </c>
      <c r="B294" s="1" t="s">
        <v>2996</v>
      </c>
      <c r="C294" s="1" t="s">
        <v>3734</v>
      </c>
      <c r="D294" s="1"/>
      <c r="E294" s="1">
        <v>2021</v>
      </c>
      <c r="F294" s="1">
        <v>30</v>
      </c>
      <c r="G294" s="1">
        <v>14</v>
      </c>
      <c r="H294" s="76" t="str">
        <f>Tableau1[[#This Row],[Annee d''inscription au programme]]&amp;"-"&amp;Tableau1[[#This Row],[Code d''ecole]]&amp;"-"&amp;Tableau1[[#This Row],[Numero HM de la fille]]</f>
        <v>2021-30-14</v>
      </c>
      <c r="I294" s="1"/>
      <c r="J294" s="1" t="s">
        <v>593</v>
      </c>
      <c r="K294" s="35" t="s">
        <v>698</v>
      </c>
      <c r="L294" s="35">
        <v>16</v>
      </c>
      <c r="M294" s="35">
        <v>12.5</v>
      </c>
      <c r="N294" s="35">
        <f t="shared" si="8"/>
        <v>14.25</v>
      </c>
      <c r="O294" s="35">
        <v>18.5</v>
      </c>
      <c r="P294" s="35">
        <v>20</v>
      </c>
      <c r="Q294" s="35">
        <f t="shared" si="9"/>
        <v>19.25</v>
      </c>
      <c r="R294" s="35"/>
      <c r="S294" s="35"/>
      <c r="T294" s="35"/>
      <c r="U294" s="74" t="e">
        <f>AVERAGE(Tableau1[[#This Row],[1ère composition]:[3è Composition]])</f>
        <v>#DIV/0!</v>
      </c>
    </row>
    <row r="295" spans="1:21" hidden="1" x14ac:dyDescent="0.2">
      <c r="A295" s="1" t="s">
        <v>2982</v>
      </c>
      <c r="B295" s="1" t="s">
        <v>2997</v>
      </c>
      <c r="C295" s="1" t="s">
        <v>3736</v>
      </c>
      <c r="D295" s="1"/>
      <c r="E295" s="1">
        <v>2021</v>
      </c>
      <c r="F295" s="1">
        <v>30</v>
      </c>
      <c r="G295" s="1">
        <v>15</v>
      </c>
      <c r="H295" s="76" t="str">
        <f>Tableau1[[#This Row],[Annee d''inscription au programme]]&amp;"-"&amp;Tableau1[[#This Row],[Code d''ecole]]&amp;"-"&amp;Tableau1[[#This Row],[Numero HM de la fille]]</f>
        <v>2021-30-15</v>
      </c>
      <c r="I295" s="1"/>
      <c r="J295" s="1" t="s">
        <v>593</v>
      </c>
      <c r="K295" s="35" t="s">
        <v>698</v>
      </c>
      <c r="L295" s="35">
        <v>14</v>
      </c>
      <c r="M295" s="35">
        <v>8.5</v>
      </c>
      <c r="N295" s="35">
        <f t="shared" si="8"/>
        <v>11.25</v>
      </c>
      <c r="O295" s="35">
        <v>12.5</v>
      </c>
      <c r="P295" s="35">
        <v>17</v>
      </c>
      <c r="Q295" s="35">
        <f t="shared" si="9"/>
        <v>14.75</v>
      </c>
      <c r="R295" s="35"/>
      <c r="S295" s="35"/>
      <c r="T295" s="35"/>
      <c r="U295" s="74" t="e">
        <f>AVERAGE(Tableau1[[#This Row],[1ère composition]:[3è Composition]])</f>
        <v>#DIV/0!</v>
      </c>
    </row>
    <row r="296" spans="1:21" hidden="1" x14ac:dyDescent="0.2">
      <c r="A296" s="1" t="s">
        <v>2982</v>
      </c>
      <c r="B296" s="1" t="s">
        <v>2998</v>
      </c>
      <c r="C296" s="1" t="s">
        <v>3736</v>
      </c>
      <c r="D296" s="1"/>
      <c r="E296" s="1">
        <v>2021</v>
      </c>
      <c r="F296" s="1">
        <v>30</v>
      </c>
      <c r="G296" s="1">
        <v>16</v>
      </c>
      <c r="H296" s="76" t="str">
        <f>Tableau1[[#This Row],[Annee d''inscription au programme]]&amp;"-"&amp;Tableau1[[#This Row],[Code d''ecole]]&amp;"-"&amp;Tableau1[[#This Row],[Numero HM de la fille]]</f>
        <v>2021-30-16</v>
      </c>
      <c r="I296" s="1"/>
      <c r="J296" s="1" t="s">
        <v>593</v>
      </c>
      <c r="K296" s="35" t="s">
        <v>698</v>
      </c>
      <c r="L296" s="35">
        <v>15</v>
      </c>
      <c r="M296" s="35">
        <v>13.75</v>
      </c>
      <c r="N296" s="35">
        <f t="shared" si="8"/>
        <v>14.375</v>
      </c>
      <c r="O296" s="35">
        <v>17</v>
      </c>
      <c r="P296" s="35">
        <v>20</v>
      </c>
      <c r="Q296" s="35">
        <f t="shared" si="9"/>
        <v>18.5</v>
      </c>
      <c r="R296" s="35"/>
      <c r="S296" s="35"/>
      <c r="T296" s="35"/>
      <c r="U296" s="74" t="e">
        <f>AVERAGE(Tableau1[[#This Row],[1ère composition]:[3è Composition]])</f>
        <v>#DIV/0!</v>
      </c>
    </row>
    <row r="297" spans="1:21" hidden="1" x14ac:dyDescent="0.2">
      <c r="A297" s="1" t="s">
        <v>2982</v>
      </c>
      <c r="B297" s="1" t="s">
        <v>2999</v>
      </c>
      <c r="C297" s="1" t="s">
        <v>3736</v>
      </c>
      <c r="D297" s="1"/>
      <c r="E297" s="1">
        <v>2021</v>
      </c>
      <c r="F297" s="1">
        <v>30</v>
      </c>
      <c r="G297" s="1">
        <v>17</v>
      </c>
      <c r="H297" s="76" t="str">
        <f>Tableau1[[#This Row],[Annee d''inscription au programme]]&amp;"-"&amp;Tableau1[[#This Row],[Code d''ecole]]&amp;"-"&amp;Tableau1[[#This Row],[Numero HM de la fille]]</f>
        <v>2021-30-17</v>
      </c>
      <c r="I297" s="1"/>
      <c r="J297" s="1" t="s">
        <v>593</v>
      </c>
      <c r="K297" s="35" t="s">
        <v>698</v>
      </c>
      <c r="L297" s="35">
        <v>15.5</v>
      </c>
      <c r="M297" s="35">
        <v>15</v>
      </c>
      <c r="N297" s="35">
        <f t="shared" si="8"/>
        <v>15.25</v>
      </c>
      <c r="O297" s="35">
        <v>18.5</v>
      </c>
      <c r="P297" s="35">
        <v>20</v>
      </c>
      <c r="Q297" s="35">
        <f t="shared" si="9"/>
        <v>19.25</v>
      </c>
      <c r="R297" s="35"/>
      <c r="S297" s="35"/>
      <c r="T297" s="35"/>
      <c r="U297" s="74" t="e">
        <f>AVERAGE(Tableau1[[#This Row],[1ère composition]:[3è Composition]])</f>
        <v>#DIV/0!</v>
      </c>
    </row>
    <row r="298" spans="1:21" hidden="1" x14ac:dyDescent="0.2">
      <c r="A298" s="1" t="s">
        <v>2982</v>
      </c>
      <c r="B298" s="1" t="s">
        <v>3000</v>
      </c>
      <c r="C298" s="1" t="s">
        <v>3736</v>
      </c>
      <c r="D298" s="1"/>
      <c r="E298" s="1">
        <v>2021</v>
      </c>
      <c r="F298" s="1">
        <v>30</v>
      </c>
      <c r="G298" s="1">
        <v>18</v>
      </c>
      <c r="H298" s="76" t="str">
        <f>Tableau1[[#This Row],[Annee d''inscription au programme]]&amp;"-"&amp;Tableau1[[#This Row],[Code d''ecole]]&amp;"-"&amp;Tableau1[[#This Row],[Numero HM de la fille]]</f>
        <v>2021-30-18</v>
      </c>
      <c r="I298" s="1"/>
      <c r="J298" s="1" t="s">
        <v>593</v>
      </c>
      <c r="K298" s="35" t="s">
        <v>698</v>
      </c>
      <c r="L298" s="35">
        <v>16.5</v>
      </c>
      <c r="M298" s="35">
        <v>17</v>
      </c>
      <c r="N298" s="35">
        <f t="shared" si="8"/>
        <v>16.75</v>
      </c>
      <c r="O298" s="35">
        <v>17.5</v>
      </c>
      <c r="P298" s="35">
        <v>19.75</v>
      </c>
      <c r="Q298" s="35">
        <f t="shared" si="9"/>
        <v>18.625</v>
      </c>
      <c r="R298" s="35"/>
      <c r="S298" s="35"/>
      <c r="T298" s="35"/>
      <c r="U298" s="74" t="e">
        <f>AVERAGE(Tableau1[[#This Row],[1ère composition]:[3è Composition]])</f>
        <v>#DIV/0!</v>
      </c>
    </row>
    <row r="299" spans="1:21" hidden="1" x14ac:dyDescent="0.2">
      <c r="A299" s="1" t="s">
        <v>2982</v>
      </c>
      <c r="B299" s="1" t="s">
        <v>3001</v>
      </c>
      <c r="C299" s="1" t="s">
        <v>3736</v>
      </c>
      <c r="D299" s="1"/>
      <c r="E299" s="1">
        <v>2021</v>
      </c>
      <c r="F299" s="1">
        <v>30</v>
      </c>
      <c r="G299" s="1">
        <v>19</v>
      </c>
      <c r="H299" s="76" t="str">
        <f>Tableau1[[#This Row],[Annee d''inscription au programme]]&amp;"-"&amp;Tableau1[[#This Row],[Code d''ecole]]&amp;"-"&amp;Tableau1[[#This Row],[Numero HM de la fille]]</f>
        <v>2021-30-19</v>
      </c>
      <c r="I299" s="1"/>
      <c r="J299" s="1" t="s">
        <v>593</v>
      </c>
      <c r="K299" s="35" t="s">
        <v>698</v>
      </c>
      <c r="L299" s="35">
        <v>12.5</v>
      </c>
      <c r="M299" s="35">
        <v>16.25</v>
      </c>
      <c r="N299" s="35">
        <f t="shared" si="8"/>
        <v>14.375</v>
      </c>
      <c r="O299" s="35">
        <v>17</v>
      </c>
      <c r="P299" s="35">
        <v>19.25</v>
      </c>
      <c r="Q299" s="35">
        <f t="shared" si="9"/>
        <v>18.125</v>
      </c>
      <c r="R299" s="35"/>
      <c r="S299" s="35"/>
      <c r="T299" s="35"/>
      <c r="U299" s="74" t="e">
        <f>AVERAGE(Tableau1[[#This Row],[1ère composition]:[3è Composition]])</f>
        <v>#DIV/0!</v>
      </c>
    </row>
    <row r="300" spans="1:21" hidden="1" x14ac:dyDescent="0.2">
      <c r="A300" s="1" t="s">
        <v>2982</v>
      </c>
      <c r="B300" s="1" t="s">
        <v>2381</v>
      </c>
      <c r="C300" s="1" t="s">
        <v>3737</v>
      </c>
      <c r="D300" s="1"/>
      <c r="E300" s="1">
        <v>2021</v>
      </c>
      <c r="F300" s="1">
        <v>30</v>
      </c>
      <c r="G300" s="1">
        <v>20</v>
      </c>
      <c r="H300" s="76" t="str">
        <f>Tableau1[[#This Row],[Annee d''inscription au programme]]&amp;"-"&amp;Tableau1[[#This Row],[Code d''ecole]]&amp;"-"&amp;Tableau1[[#This Row],[Numero HM de la fille]]</f>
        <v>2021-30-20</v>
      </c>
      <c r="I300" s="1"/>
      <c r="J300" s="1" t="s">
        <v>593</v>
      </c>
      <c r="K300" s="35" t="s">
        <v>698</v>
      </c>
      <c r="L300" s="35">
        <v>14.75</v>
      </c>
      <c r="M300" s="35">
        <v>14</v>
      </c>
      <c r="N300" s="35">
        <f t="shared" si="8"/>
        <v>14.375</v>
      </c>
      <c r="O300" s="35">
        <v>16.5</v>
      </c>
      <c r="P300" s="35">
        <v>18.25</v>
      </c>
      <c r="Q300" s="35">
        <f t="shared" si="9"/>
        <v>17.375</v>
      </c>
      <c r="R300" s="35"/>
      <c r="S300" s="35"/>
      <c r="T300" s="35"/>
      <c r="U300" s="74" t="e">
        <f>AVERAGE(Tableau1[[#This Row],[1ère composition]:[3è Composition]])</f>
        <v>#DIV/0!</v>
      </c>
    </row>
    <row r="301" spans="1:21" hidden="1" x14ac:dyDescent="0.2">
      <c r="A301" s="1" t="s">
        <v>3002</v>
      </c>
      <c r="B301" s="1" t="s">
        <v>1219</v>
      </c>
      <c r="C301" s="1" t="s">
        <v>3700</v>
      </c>
      <c r="D301" s="1"/>
      <c r="E301" s="1">
        <v>2021</v>
      </c>
      <c r="F301" s="1">
        <v>35</v>
      </c>
      <c r="G301" s="1">
        <v>1</v>
      </c>
      <c r="H301" s="76" t="str">
        <f>Tableau1[[#This Row],[Annee d''inscription au programme]]&amp;"-"&amp;Tableau1[[#This Row],[Code d''ecole]]&amp;"-"&amp;Tableau1[[#This Row],[Numero HM de la fille]]</f>
        <v>2021-35-1</v>
      </c>
      <c r="I301" s="1"/>
      <c r="J301" s="1" t="s">
        <v>593</v>
      </c>
      <c r="K301" s="35" t="s">
        <v>298</v>
      </c>
      <c r="L301" s="35">
        <v>4.5</v>
      </c>
      <c r="M301" s="35">
        <v>1</v>
      </c>
      <c r="N301" s="35">
        <f t="shared" si="8"/>
        <v>2.75</v>
      </c>
      <c r="O301" s="35">
        <v>8</v>
      </c>
      <c r="P301" s="35">
        <v>6</v>
      </c>
      <c r="Q301" s="35">
        <f t="shared" si="9"/>
        <v>7</v>
      </c>
      <c r="R301" s="35"/>
      <c r="S301" s="35"/>
      <c r="T301" s="35"/>
      <c r="U301" s="74" t="e">
        <f>AVERAGE(Tableau1[[#This Row],[1ère composition]:[3è Composition]])</f>
        <v>#DIV/0!</v>
      </c>
    </row>
    <row r="302" spans="1:21" hidden="1" x14ac:dyDescent="0.2">
      <c r="A302" s="1" t="s">
        <v>3002</v>
      </c>
      <c r="B302" s="1" t="s">
        <v>3003</v>
      </c>
      <c r="C302" s="1" t="s">
        <v>3697</v>
      </c>
      <c r="D302" s="1"/>
      <c r="E302" s="1">
        <v>2021</v>
      </c>
      <c r="F302" s="1">
        <v>35</v>
      </c>
      <c r="G302" s="1">
        <v>2</v>
      </c>
      <c r="H302" s="76" t="str">
        <f>Tableau1[[#This Row],[Annee d''inscription au programme]]&amp;"-"&amp;Tableau1[[#This Row],[Code d''ecole]]&amp;"-"&amp;Tableau1[[#This Row],[Numero HM de la fille]]</f>
        <v>2021-35-2</v>
      </c>
      <c r="I302" s="1"/>
      <c r="J302" s="1" t="s">
        <v>593</v>
      </c>
      <c r="K302" s="35" t="s">
        <v>298</v>
      </c>
      <c r="L302" s="35">
        <v>7.5</v>
      </c>
      <c r="M302" s="35">
        <v>4</v>
      </c>
      <c r="N302" s="35">
        <f t="shared" si="8"/>
        <v>5.75</v>
      </c>
      <c r="O302" s="35">
        <v>9</v>
      </c>
      <c r="P302" s="35">
        <v>10.5</v>
      </c>
      <c r="Q302" s="35">
        <f t="shared" si="9"/>
        <v>9.75</v>
      </c>
      <c r="R302" s="35"/>
      <c r="S302" s="35"/>
      <c r="T302" s="35"/>
      <c r="U302" s="74" t="e">
        <f>AVERAGE(Tableau1[[#This Row],[1ère composition]:[3è Composition]])</f>
        <v>#DIV/0!</v>
      </c>
    </row>
    <row r="303" spans="1:21" hidden="1" x14ac:dyDescent="0.2">
      <c r="A303" s="1" t="s">
        <v>3002</v>
      </c>
      <c r="B303" s="1" t="s">
        <v>3004</v>
      </c>
      <c r="C303" s="1" t="s">
        <v>3697</v>
      </c>
      <c r="D303" s="1"/>
      <c r="E303" s="1">
        <v>2021</v>
      </c>
      <c r="F303" s="1">
        <v>35</v>
      </c>
      <c r="G303" s="1">
        <v>3</v>
      </c>
      <c r="H303" s="76" t="str">
        <f>Tableau1[[#This Row],[Annee d''inscription au programme]]&amp;"-"&amp;Tableau1[[#This Row],[Code d''ecole]]&amp;"-"&amp;Tableau1[[#This Row],[Numero HM de la fille]]</f>
        <v>2021-35-3</v>
      </c>
      <c r="I303" s="1"/>
      <c r="J303" s="1" t="s">
        <v>593</v>
      </c>
      <c r="K303" s="35" t="s">
        <v>298</v>
      </c>
      <c r="L303" s="35">
        <v>9</v>
      </c>
      <c r="M303" s="35">
        <v>12</v>
      </c>
      <c r="N303" s="35">
        <f t="shared" si="8"/>
        <v>10.5</v>
      </c>
      <c r="O303" s="35">
        <v>9.5</v>
      </c>
      <c r="P303" s="35">
        <v>12.5</v>
      </c>
      <c r="Q303" s="35">
        <f t="shared" si="9"/>
        <v>11</v>
      </c>
      <c r="R303" s="35"/>
      <c r="S303" s="35"/>
      <c r="T303" s="35"/>
      <c r="U303" s="74" t="e">
        <f>AVERAGE(Tableau1[[#This Row],[1ère composition]:[3è Composition]])</f>
        <v>#DIV/0!</v>
      </c>
    </row>
    <row r="304" spans="1:21" hidden="1" x14ac:dyDescent="0.2">
      <c r="A304" s="1" t="s">
        <v>3002</v>
      </c>
      <c r="B304" s="1" t="s">
        <v>3005</v>
      </c>
      <c r="C304" s="1" t="s">
        <v>3699</v>
      </c>
      <c r="D304" s="1"/>
      <c r="E304" s="1">
        <v>2021</v>
      </c>
      <c r="F304" s="1">
        <v>35</v>
      </c>
      <c r="G304" s="1">
        <v>4</v>
      </c>
      <c r="H304" s="76" t="str">
        <f>Tableau1[[#This Row],[Annee d''inscription au programme]]&amp;"-"&amp;Tableau1[[#This Row],[Code d''ecole]]&amp;"-"&amp;Tableau1[[#This Row],[Numero HM de la fille]]</f>
        <v>2021-35-4</v>
      </c>
      <c r="I304" s="1"/>
      <c r="J304" s="1" t="s">
        <v>593</v>
      </c>
      <c r="K304" s="35" t="s">
        <v>298</v>
      </c>
      <c r="L304" s="35">
        <v>3.5</v>
      </c>
      <c r="M304" s="35">
        <v>8</v>
      </c>
      <c r="N304" s="35">
        <f t="shared" si="8"/>
        <v>5.75</v>
      </c>
      <c r="O304" s="35">
        <v>7</v>
      </c>
      <c r="P304" s="35">
        <v>7.5</v>
      </c>
      <c r="Q304" s="35">
        <f t="shared" si="9"/>
        <v>7.25</v>
      </c>
      <c r="R304" s="35"/>
      <c r="S304" s="35"/>
      <c r="T304" s="35"/>
      <c r="U304" s="74" t="e">
        <f>AVERAGE(Tableau1[[#This Row],[1ère composition]:[3è Composition]])</f>
        <v>#DIV/0!</v>
      </c>
    </row>
    <row r="305" spans="1:21" hidden="1" x14ac:dyDescent="0.2">
      <c r="A305" s="1" t="s">
        <v>3002</v>
      </c>
      <c r="B305" s="1" t="s">
        <v>3006</v>
      </c>
      <c r="C305" s="1" t="s">
        <v>3698</v>
      </c>
      <c r="D305" s="1"/>
      <c r="E305" s="1">
        <v>2021</v>
      </c>
      <c r="F305" s="1">
        <v>35</v>
      </c>
      <c r="G305" s="1">
        <v>5</v>
      </c>
      <c r="H305" s="76" t="str">
        <f>Tableau1[[#This Row],[Annee d''inscription au programme]]&amp;"-"&amp;Tableau1[[#This Row],[Code d''ecole]]&amp;"-"&amp;Tableau1[[#This Row],[Numero HM de la fille]]</f>
        <v>2021-35-5</v>
      </c>
      <c r="I305" s="1"/>
      <c r="J305" s="1" t="s">
        <v>593</v>
      </c>
      <c r="K305" s="35" t="s">
        <v>298</v>
      </c>
      <c r="L305" s="35">
        <v>13</v>
      </c>
      <c r="M305" s="35">
        <v>13.5</v>
      </c>
      <c r="N305" s="35">
        <f t="shared" si="8"/>
        <v>13.25</v>
      </c>
      <c r="O305" s="35">
        <v>16</v>
      </c>
      <c r="P305" s="35">
        <v>16.5</v>
      </c>
      <c r="Q305" s="35">
        <f t="shared" si="9"/>
        <v>16.25</v>
      </c>
      <c r="R305" s="35"/>
      <c r="S305" s="35"/>
      <c r="T305" s="35"/>
      <c r="U305" s="74" t="e">
        <f>AVERAGE(Tableau1[[#This Row],[1ère composition]:[3è Composition]])</f>
        <v>#DIV/0!</v>
      </c>
    </row>
    <row r="306" spans="1:21" hidden="1" x14ac:dyDescent="0.2">
      <c r="A306" s="1" t="s">
        <v>3002</v>
      </c>
      <c r="B306" s="1" t="s">
        <v>3007</v>
      </c>
      <c r="C306" s="1" t="s">
        <v>3721</v>
      </c>
      <c r="D306" s="1"/>
      <c r="E306" s="1">
        <v>2020</v>
      </c>
      <c r="F306" s="1">
        <v>35</v>
      </c>
      <c r="G306" s="1">
        <v>275</v>
      </c>
      <c r="H306" s="76" t="str">
        <f>Tableau1[[#This Row],[Annee d''inscription au programme]]&amp;"-"&amp;Tableau1[[#This Row],[Code d''ecole]]&amp;"-"&amp;Tableau1[[#This Row],[Numero HM de la fille]]</f>
        <v>2020-35-275</v>
      </c>
      <c r="I306" s="1"/>
      <c r="J306" s="1" t="s">
        <v>374</v>
      </c>
      <c r="K306" s="35" t="s">
        <v>3518</v>
      </c>
      <c r="L306" s="35">
        <v>13.5</v>
      </c>
      <c r="M306" s="35">
        <v>15</v>
      </c>
      <c r="N306" s="35">
        <f t="shared" si="8"/>
        <v>14.25</v>
      </c>
      <c r="O306" s="35">
        <v>19.5</v>
      </c>
      <c r="P306" s="35">
        <v>16.5</v>
      </c>
      <c r="Q306" s="35">
        <f t="shared" si="9"/>
        <v>18</v>
      </c>
      <c r="R306" s="35"/>
      <c r="S306" s="35"/>
      <c r="T306" s="35"/>
      <c r="U306" s="74" t="e">
        <f>AVERAGE(Tableau1[[#This Row],[1ère composition]:[3è Composition]])</f>
        <v>#DIV/0!</v>
      </c>
    </row>
    <row r="307" spans="1:21" hidden="1" x14ac:dyDescent="0.2">
      <c r="A307" s="1" t="s">
        <v>3002</v>
      </c>
      <c r="B307" s="1" t="s">
        <v>3008</v>
      </c>
      <c r="C307" s="1" t="s">
        <v>3722</v>
      </c>
      <c r="D307" s="1"/>
      <c r="E307" s="1">
        <v>2020</v>
      </c>
      <c r="F307" s="1">
        <v>35</v>
      </c>
      <c r="G307" s="1">
        <v>274</v>
      </c>
      <c r="H307" s="76" t="str">
        <f>Tableau1[[#This Row],[Annee d''inscription au programme]]&amp;"-"&amp;Tableau1[[#This Row],[Code d''ecole]]&amp;"-"&amp;Tableau1[[#This Row],[Numero HM de la fille]]</f>
        <v>2020-35-274</v>
      </c>
      <c r="I307" s="1"/>
      <c r="J307" s="1" t="s">
        <v>374</v>
      </c>
      <c r="K307" s="35" t="s">
        <v>3518</v>
      </c>
      <c r="L307" s="35">
        <v>12.5</v>
      </c>
      <c r="M307" s="35">
        <v>16.5</v>
      </c>
      <c r="N307" s="35">
        <f t="shared" si="8"/>
        <v>14.5</v>
      </c>
      <c r="O307" s="35">
        <v>20</v>
      </c>
      <c r="P307" s="35">
        <v>11</v>
      </c>
      <c r="Q307" s="35">
        <f t="shared" si="9"/>
        <v>15.5</v>
      </c>
      <c r="R307" s="35"/>
      <c r="S307" s="35"/>
      <c r="T307" s="35"/>
      <c r="U307" s="74" t="e">
        <f>AVERAGE(Tableau1[[#This Row],[1ère composition]:[3è Composition]])</f>
        <v>#DIV/0!</v>
      </c>
    </row>
    <row r="308" spans="1:21" hidden="1" x14ac:dyDescent="0.2">
      <c r="A308" s="1" t="s">
        <v>3002</v>
      </c>
      <c r="B308" s="1" t="s">
        <v>3009</v>
      </c>
      <c r="C308" s="75" t="s">
        <v>3701</v>
      </c>
      <c r="D308" s="1"/>
      <c r="E308" s="1">
        <v>2021</v>
      </c>
      <c r="F308" s="1">
        <v>35</v>
      </c>
      <c r="G308" s="1">
        <v>6</v>
      </c>
      <c r="H308" s="76" t="str">
        <f>Tableau1[[#This Row],[Annee d''inscription au programme]]&amp;"-"&amp;Tableau1[[#This Row],[Code d''ecole]]&amp;"-"&amp;Tableau1[[#This Row],[Numero HM de la fille]]</f>
        <v>2021-35-6</v>
      </c>
      <c r="I308" s="1"/>
      <c r="J308" s="1" t="s">
        <v>593</v>
      </c>
      <c r="K308" s="35" t="s">
        <v>298</v>
      </c>
      <c r="L308" s="35">
        <v>12</v>
      </c>
      <c r="M308" s="35">
        <v>17.5</v>
      </c>
      <c r="N308" s="35">
        <f t="shared" si="8"/>
        <v>14.75</v>
      </c>
      <c r="O308" s="35">
        <v>20</v>
      </c>
      <c r="P308" s="35">
        <v>19.5</v>
      </c>
      <c r="Q308" s="35">
        <f t="shared" si="9"/>
        <v>19.75</v>
      </c>
      <c r="R308" s="35"/>
      <c r="S308" s="35"/>
      <c r="T308" s="35"/>
      <c r="U308" s="74" t="e">
        <f>AVERAGE(Tableau1[[#This Row],[1ère composition]:[3è Composition]])</f>
        <v>#DIV/0!</v>
      </c>
    </row>
    <row r="309" spans="1:21" hidden="1" x14ac:dyDescent="0.2">
      <c r="A309" s="1" t="s">
        <v>3002</v>
      </c>
      <c r="B309" s="1" t="s">
        <v>3010</v>
      </c>
      <c r="C309" s="1" t="s">
        <v>3697</v>
      </c>
      <c r="D309" s="1"/>
      <c r="E309" s="1">
        <v>2021</v>
      </c>
      <c r="F309" s="1">
        <v>35</v>
      </c>
      <c r="G309" s="1">
        <v>7</v>
      </c>
      <c r="H309" s="76" t="str">
        <f>Tableau1[[#This Row],[Annee d''inscription au programme]]&amp;"-"&amp;Tableau1[[#This Row],[Code d''ecole]]&amp;"-"&amp;Tableau1[[#This Row],[Numero HM de la fille]]</f>
        <v>2021-35-7</v>
      </c>
      <c r="I309" s="1"/>
      <c r="J309" s="1" t="s">
        <v>593</v>
      </c>
      <c r="K309" s="35" t="s">
        <v>298</v>
      </c>
      <c r="L309" s="35">
        <v>17</v>
      </c>
      <c r="M309" s="35">
        <v>16.5</v>
      </c>
      <c r="N309" s="35">
        <f t="shared" si="8"/>
        <v>16.75</v>
      </c>
      <c r="O309" s="35">
        <v>20</v>
      </c>
      <c r="P309" s="35">
        <v>18</v>
      </c>
      <c r="Q309" s="35">
        <f t="shared" si="9"/>
        <v>19</v>
      </c>
      <c r="R309" s="35"/>
      <c r="S309" s="35"/>
      <c r="T309" s="35"/>
      <c r="U309" s="74" t="e">
        <f>AVERAGE(Tableau1[[#This Row],[1ère composition]:[3è Composition]])</f>
        <v>#DIV/0!</v>
      </c>
    </row>
    <row r="310" spans="1:21" hidden="1" x14ac:dyDescent="0.2">
      <c r="A310" s="1" t="s">
        <v>3002</v>
      </c>
      <c r="B310" s="1" t="s">
        <v>3011</v>
      </c>
      <c r="C310" s="1" t="s">
        <v>3723</v>
      </c>
      <c r="D310" s="1"/>
      <c r="E310" s="1">
        <v>2020</v>
      </c>
      <c r="F310" s="1">
        <v>35</v>
      </c>
      <c r="G310" s="1">
        <v>288</v>
      </c>
      <c r="H310" s="76" t="str">
        <f>Tableau1[[#This Row],[Annee d''inscription au programme]]&amp;"-"&amp;Tableau1[[#This Row],[Code d''ecole]]&amp;"-"&amp;Tableau1[[#This Row],[Numero HM de la fille]]</f>
        <v>2020-35-288</v>
      </c>
      <c r="I310" s="1"/>
      <c r="J310" s="1" t="s">
        <v>374</v>
      </c>
      <c r="K310" s="35" t="s">
        <v>3518</v>
      </c>
      <c r="L310" s="35">
        <v>15.5</v>
      </c>
      <c r="M310" s="35">
        <v>15</v>
      </c>
      <c r="N310" s="35">
        <f t="shared" si="8"/>
        <v>15.25</v>
      </c>
      <c r="O310" s="35">
        <v>19.5</v>
      </c>
      <c r="P310" s="35">
        <v>18</v>
      </c>
      <c r="Q310" s="35">
        <f t="shared" si="9"/>
        <v>18.75</v>
      </c>
      <c r="R310" s="35"/>
      <c r="S310" s="35"/>
      <c r="T310" s="35"/>
      <c r="U310" s="74" t="e">
        <f>AVERAGE(Tableau1[[#This Row],[1ère composition]:[3è Composition]])</f>
        <v>#DIV/0!</v>
      </c>
    </row>
    <row r="311" spans="1:21" hidden="1" x14ac:dyDescent="0.2">
      <c r="A311" s="1" t="s">
        <v>3002</v>
      </c>
      <c r="B311" s="1" t="s">
        <v>3540</v>
      </c>
      <c r="C311" s="1" t="s">
        <v>3719</v>
      </c>
      <c r="D311" s="1"/>
      <c r="E311" s="1">
        <v>2020</v>
      </c>
      <c r="F311" s="1">
        <v>35</v>
      </c>
      <c r="G311" s="1">
        <v>276</v>
      </c>
      <c r="H311" s="76" t="str">
        <f>Tableau1[[#This Row],[Annee d''inscription au programme]]&amp;"-"&amp;Tableau1[[#This Row],[Code d''ecole]]&amp;"-"&amp;Tableau1[[#This Row],[Numero HM de la fille]]</f>
        <v>2020-35-276</v>
      </c>
      <c r="I311" s="1"/>
      <c r="J311" s="1" t="s">
        <v>374</v>
      </c>
      <c r="K311" s="35" t="s">
        <v>3518</v>
      </c>
      <c r="L311" s="35">
        <v>15</v>
      </c>
      <c r="M311" s="35">
        <v>11</v>
      </c>
      <c r="N311" s="35">
        <f t="shared" si="8"/>
        <v>13</v>
      </c>
      <c r="O311" s="35">
        <v>19.5</v>
      </c>
      <c r="P311" s="35">
        <v>17.5</v>
      </c>
      <c r="Q311" s="35">
        <f t="shared" si="9"/>
        <v>18.5</v>
      </c>
      <c r="R311" s="35"/>
      <c r="S311" s="35"/>
      <c r="T311" s="35"/>
      <c r="U311" s="74" t="e">
        <f>AVERAGE(Tableau1[[#This Row],[1ère composition]:[3è Composition]])</f>
        <v>#DIV/0!</v>
      </c>
    </row>
    <row r="312" spans="1:21" hidden="1" x14ac:dyDescent="0.2">
      <c r="A312" s="1" t="s">
        <v>3002</v>
      </c>
      <c r="B312" s="1" t="s">
        <v>3012</v>
      </c>
      <c r="C312" s="1" t="s">
        <v>3697</v>
      </c>
      <c r="D312" s="1"/>
      <c r="E312" s="1">
        <v>2021</v>
      </c>
      <c r="F312" s="1">
        <v>35</v>
      </c>
      <c r="G312" s="1">
        <v>8</v>
      </c>
      <c r="H312" s="76" t="str">
        <f>Tableau1[[#This Row],[Annee d''inscription au programme]]&amp;"-"&amp;Tableau1[[#This Row],[Code d''ecole]]&amp;"-"&amp;Tableau1[[#This Row],[Numero HM de la fille]]</f>
        <v>2021-35-8</v>
      </c>
      <c r="I312" s="1"/>
      <c r="J312" s="1" t="s">
        <v>593</v>
      </c>
      <c r="K312" s="35" t="s">
        <v>298</v>
      </c>
      <c r="L312" s="35">
        <v>16</v>
      </c>
      <c r="M312" s="35">
        <v>17</v>
      </c>
      <c r="N312" s="35">
        <f t="shared" si="8"/>
        <v>16.5</v>
      </c>
      <c r="O312" s="35">
        <v>20</v>
      </c>
      <c r="P312" s="35">
        <v>19</v>
      </c>
      <c r="Q312" s="35">
        <f t="shared" si="9"/>
        <v>19.5</v>
      </c>
      <c r="R312" s="35"/>
      <c r="S312" s="35"/>
      <c r="T312" s="35"/>
      <c r="U312" s="74" t="e">
        <f>AVERAGE(Tableau1[[#This Row],[1ère composition]:[3è Composition]])</f>
        <v>#DIV/0!</v>
      </c>
    </row>
    <row r="313" spans="1:21" hidden="1" x14ac:dyDescent="0.2">
      <c r="A313" s="1" t="s">
        <v>3002</v>
      </c>
      <c r="B313" s="1" t="s">
        <v>3013</v>
      </c>
      <c r="C313" s="1" t="s">
        <v>3698</v>
      </c>
      <c r="D313" s="1"/>
      <c r="E313" s="1">
        <v>2020</v>
      </c>
      <c r="F313" s="1">
        <v>35</v>
      </c>
      <c r="G313" s="1">
        <v>263</v>
      </c>
      <c r="H313" s="76" t="str">
        <f>Tableau1[[#This Row],[Annee d''inscription au programme]]&amp;"-"&amp;Tableau1[[#This Row],[Code d''ecole]]&amp;"-"&amp;Tableau1[[#This Row],[Numero HM de la fille]]</f>
        <v>2020-35-263</v>
      </c>
      <c r="I313" s="1"/>
      <c r="J313" s="1" t="s">
        <v>374</v>
      </c>
      <c r="K313" s="35" t="s">
        <v>3518</v>
      </c>
      <c r="L313" s="35">
        <v>11.5</v>
      </c>
      <c r="M313" s="35">
        <v>10.5</v>
      </c>
      <c r="N313" s="35">
        <f t="shared" si="8"/>
        <v>11</v>
      </c>
      <c r="O313" s="35">
        <v>11</v>
      </c>
      <c r="P313" s="35">
        <v>14</v>
      </c>
      <c r="Q313" s="35">
        <f t="shared" si="9"/>
        <v>12.5</v>
      </c>
      <c r="R313" s="35"/>
      <c r="S313" s="35"/>
      <c r="T313" s="35"/>
      <c r="U313" s="74" t="e">
        <f>AVERAGE(Tableau1[[#This Row],[1ère composition]:[3è Composition]])</f>
        <v>#DIV/0!</v>
      </c>
    </row>
    <row r="314" spans="1:21" hidden="1" x14ac:dyDescent="0.2">
      <c r="A314" s="1" t="s">
        <v>3002</v>
      </c>
      <c r="B314" s="1" t="s">
        <v>3014</v>
      </c>
      <c r="C314" s="1" t="s">
        <v>3724</v>
      </c>
      <c r="D314" s="1"/>
      <c r="E314" s="1">
        <v>2020</v>
      </c>
      <c r="F314" s="1">
        <v>35</v>
      </c>
      <c r="G314" s="1">
        <v>258</v>
      </c>
      <c r="H314" s="76" t="str">
        <f>Tableau1[[#This Row],[Annee d''inscription au programme]]&amp;"-"&amp;Tableau1[[#This Row],[Code d''ecole]]&amp;"-"&amp;Tableau1[[#This Row],[Numero HM de la fille]]</f>
        <v>2020-35-258</v>
      </c>
      <c r="I314" s="1"/>
      <c r="J314" s="1" t="s">
        <v>374</v>
      </c>
      <c r="K314" s="35" t="s">
        <v>3518</v>
      </c>
      <c r="L314" s="35">
        <v>7.5</v>
      </c>
      <c r="M314" s="35">
        <v>9.5</v>
      </c>
      <c r="N314" s="35">
        <f t="shared" si="8"/>
        <v>8.5</v>
      </c>
      <c r="O314" s="35">
        <v>13</v>
      </c>
      <c r="P314" s="35">
        <v>6.5</v>
      </c>
      <c r="Q314" s="35">
        <f t="shared" si="9"/>
        <v>9.75</v>
      </c>
      <c r="R314" s="35"/>
      <c r="S314" s="35"/>
      <c r="T314" s="35"/>
      <c r="U314" s="74" t="e">
        <f>AVERAGE(Tableau1[[#This Row],[1ère composition]:[3è Composition]])</f>
        <v>#DIV/0!</v>
      </c>
    </row>
    <row r="315" spans="1:21" hidden="1" x14ac:dyDescent="0.2">
      <c r="A315" s="1" t="s">
        <v>3002</v>
      </c>
      <c r="B315" s="1" t="s">
        <v>3015</v>
      </c>
      <c r="C315" s="1" t="s">
        <v>3703</v>
      </c>
      <c r="D315" s="1"/>
      <c r="E315" s="1">
        <v>2021</v>
      </c>
      <c r="F315" s="1">
        <v>35</v>
      </c>
      <c r="G315" s="1">
        <v>9</v>
      </c>
      <c r="H315" s="76" t="str">
        <f>Tableau1[[#This Row],[Annee d''inscription au programme]]&amp;"-"&amp;Tableau1[[#This Row],[Code d''ecole]]&amp;"-"&amp;Tableau1[[#This Row],[Numero HM de la fille]]</f>
        <v>2021-35-9</v>
      </c>
      <c r="I315" s="1"/>
      <c r="J315" s="1" t="s">
        <v>593</v>
      </c>
      <c r="K315" s="35" t="s">
        <v>298</v>
      </c>
      <c r="L315" s="89">
        <v>7.5</v>
      </c>
      <c r="M315" s="89">
        <v>4</v>
      </c>
      <c r="N315" s="35">
        <f t="shared" si="8"/>
        <v>5.75</v>
      </c>
      <c r="O315" s="35">
        <v>11</v>
      </c>
      <c r="P315" s="35">
        <v>11</v>
      </c>
      <c r="Q315" s="35">
        <f t="shared" si="9"/>
        <v>11</v>
      </c>
      <c r="R315" s="35"/>
      <c r="S315" s="35"/>
      <c r="T315" s="35"/>
      <c r="U315" s="74" t="e">
        <f>AVERAGE(Tableau1[[#This Row],[1ère composition]:[3è Composition]])</f>
        <v>#DIV/0!</v>
      </c>
    </row>
    <row r="316" spans="1:21" hidden="1" x14ac:dyDescent="0.2">
      <c r="A316" s="1" t="s">
        <v>3002</v>
      </c>
      <c r="B316" s="1" t="s">
        <v>3016</v>
      </c>
      <c r="C316" s="1" t="s">
        <v>3702</v>
      </c>
      <c r="D316" s="1"/>
      <c r="E316" s="1">
        <v>2021</v>
      </c>
      <c r="F316" s="1">
        <v>35</v>
      </c>
      <c r="G316" s="1">
        <v>10</v>
      </c>
      <c r="H316" s="76" t="str">
        <f>Tableau1[[#This Row],[Annee d''inscription au programme]]&amp;"-"&amp;Tableau1[[#This Row],[Code d''ecole]]&amp;"-"&amp;Tableau1[[#This Row],[Numero HM de la fille]]</f>
        <v>2021-35-10</v>
      </c>
      <c r="I316" s="1"/>
      <c r="J316" s="1" t="s">
        <v>593</v>
      </c>
      <c r="K316" s="35" t="s">
        <v>298</v>
      </c>
      <c r="L316" s="35">
        <v>2</v>
      </c>
      <c r="M316" s="35">
        <v>2</v>
      </c>
      <c r="N316" s="35">
        <f t="shared" si="8"/>
        <v>2</v>
      </c>
      <c r="O316" s="35">
        <v>3</v>
      </c>
      <c r="P316" s="35">
        <v>4.5</v>
      </c>
      <c r="Q316" s="35">
        <f t="shared" si="9"/>
        <v>3.75</v>
      </c>
      <c r="R316" s="35"/>
      <c r="S316" s="35"/>
      <c r="T316" s="35"/>
      <c r="U316" s="74" t="e">
        <f>AVERAGE(Tableau1[[#This Row],[1ère composition]:[3è Composition]])</f>
        <v>#DIV/0!</v>
      </c>
    </row>
    <row r="317" spans="1:21" hidden="1" x14ac:dyDescent="0.2">
      <c r="A317" s="1" t="s">
        <v>3002</v>
      </c>
      <c r="B317" s="1" t="s">
        <v>3017</v>
      </c>
      <c r="C317" s="1" t="s">
        <v>3704</v>
      </c>
      <c r="D317" s="1"/>
      <c r="E317" s="1">
        <v>2021</v>
      </c>
      <c r="F317" s="1">
        <v>35</v>
      </c>
      <c r="G317" s="1">
        <v>11</v>
      </c>
      <c r="H317" s="76" t="str">
        <f>Tableau1[[#This Row],[Annee d''inscription au programme]]&amp;"-"&amp;Tableau1[[#This Row],[Code d''ecole]]&amp;"-"&amp;Tableau1[[#This Row],[Numero HM de la fille]]</f>
        <v>2021-35-11</v>
      </c>
      <c r="I317" s="1"/>
      <c r="J317" s="1" t="s">
        <v>593</v>
      </c>
      <c r="K317" s="35" t="s">
        <v>298</v>
      </c>
      <c r="L317" s="35">
        <v>6.5</v>
      </c>
      <c r="M317" s="35">
        <v>3</v>
      </c>
      <c r="N317" s="35">
        <f t="shared" si="8"/>
        <v>4.75</v>
      </c>
      <c r="O317" s="35">
        <v>2</v>
      </c>
      <c r="P317" s="35">
        <v>4</v>
      </c>
      <c r="Q317" s="35">
        <f t="shared" si="9"/>
        <v>3</v>
      </c>
      <c r="R317" s="35"/>
      <c r="S317" s="35"/>
      <c r="T317" s="35"/>
      <c r="U317" s="74" t="e">
        <f>AVERAGE(Tableau1[[#This Row],[1ère composition]:[3è Composition]])</f>
        <v>#DIV/0!</v>
      </c>
    </row>
    <row r="318" spans="1:21" hidden="1" x14ac:dyDescent="0.2">
      <c r="A318" s="1" t="s">
        <v>3002</v>
      </c>
      <c r="B318" s="1" t="s">
        <v>3018</v>
      </c>
      <c r="C318" s="1" t="s">
        <v>3706</v>
      </c>
      <c r="D318" s="1"/>
      <c r="E318" s="1">
        <v>2021</v>
      </c>
      <c r="F318" s="1">
        <v>35</v>
      </c>
      <c r="G318" s="1">
        <v>12</v>
      </c>
      <c r="H318" s="76" t="str">
        <f>Tableau1[[#This Row],[Annee d''inscription au programme]]&amp;"-"&amp;Tableau1[[#This Row],[Code d''ecole]]&amp;"-"&amp;Tableau1[[#This Row],[Numero HM de la fille]]</f>
        <v>2021-35-12</v>
      </c>
      <c r="I318" s="1"/>
      <c r="J318" s="1" t="s">
        <v>593</v>
      </c>
      <c r="K318" s="35" t="s">
        <v>298</v>
      </c>
      <c r="L318" s="35">
        <v>15</v>
      </c>
      <c r="M318" s="35">
        <v>20</v>
      </c>
      <c r="N318" s="35">
        <f t="shared" si="8"/>
        <v>17.5</v>
      </c>
      <c r="O318" s="35">
        <v>20</v>
      </c>
      <c r="P318" s="35">
        <v>18.5</v>
      </c>
      <c r="Q318" s="35">
        <f t="shared" si="9"/>
        <v>19.25</v>
      </c>
      <c r="R318" s="35"/>
      <c r="S318" s="35"/>
      <c r="T318" s="35"/>
      <c r="U318" s="74" t="e">
        <f>AVERAGE(Tableau1[[#This Row],[1ère composition]:[3è Composition]])</f>
        <v>#DIV/0!</v>
      </c>
    </row>
    <row r="319" spans="1:21" hidden="1" x14ac:dyDescent="0.2">
      <c r="A319" s="1" t="s">
        <v>3002</v>
      </c>
      <c r="B319" s="1" t="s">
        <v>2295</v>
      </c>
      <c r="C319" s="1" t="s">
        <v>3705</v>
      </c>
      <c r="D319" s="1"/>
      <c r="E319" s="1">
        <v>2021</v>
      </c>
      <c r="F319" s="1">
        <v>35</v>
      </c>
      <c r="G319" s="1">
        <v>13</v>
      </c>
      <c r="H319" s="76" t="str">
        <f>Tableau1[[#This Row],[Annee d''inscription au programme]]&amp;"-"&amp;Tableau1[[#This Row],[Code d''ecole]]&amp;"-"&amp;Tableau1[[#This Row],[Numero HM de la fille]]</f>
        <v>2021-35-13</v>
      </c>
      <c r="I319" s="1"/>
      <c r="J319" s="1" t="s">
        <v>593</v>
      </c>
      <c r="K319" s="35" t="s">
        <v>298</v>
      </c>
      <c r="L319" s="35">
        <v>1</v>
      </c>
      <c r="M319" s="35">
        <v>4</v>
      </c>
      <c r="N319" s="35">
        <f t="shared" si="8"/>
        <v>2.5</v>
      </c>
      <c r="O319" s="35"/>
      <c r="P319" s="35"/>
      <c r="Q319" s="35">
        <f t="shared" si="9"/>
        <v>0</v>
      </c>
      <c r="R319" s="35"/>
      <c r="S319" s="35"/>
      <c r="T319" s="35"/>
      <c r="U319" s="74" t="e">
        <f>AVERAGE(Tableau1[[#This Row],[1ère composition]:[3è Composition]])</f>
        <v>#DIV/0!</v>
      </c>
    </row>
    <row r="320" spans="1:21" hidden="1" x14ac:dyDescent="0.2">
      <c r="A320" s="1" t="s">
        <v>3002</v>
      </c>
      <c r="B320" s="1" t="s">
        <v>3019</v>
      </c>
      <c r="C320" s="1" t="s">
        <v>3697</v>
      </c>
      <c r="D320" s="1"/>
      <c r="E320" s="1">
        <v>2021</v>
      </c>
      <c r="F320" s="1">
        <v>35</v>
      </c>
      <c r="G320" s="1">
        <v>14</v>
      </c>
      <c r="H320" s="76" t="str">
        <f>Tableau1[[#This Row],[Annee d''inscription au programme]]&amp;"-"&amp;Tableau1[[#This Row],[Code d''ecole]]&amp;"-"&amp;Tableau1[[#This Row],[Numero HM de la fille]]</f>
        <v>2021-35-14</v>
      </c>
      <c r="I320" s="1"/>
      <c r="J320" s="1" t="s">
        <v>593</v>
      </c>
      <c r="K320" s="35" t="s">
        <v>298</v>
      </c>
      <c r="L320" s="35">
        <v>8</v>
      </c>
      <c r="M320" s="35">
        <v>17.5</v>
      </c>
      <c r="N320" s="35">
        <f t="shared" si="8"/>
        <v>12.75</v>
      </c>
      <c r="O320" s="35">
        <v>20</v>
      </c>
      <c r="P320" s="35">
        <v>13.5</v>
      </c>
      <c r="Q320" s="35">
        <f t="shared" si="9"/>
        <v>16.75</v>
      </c>
      <c r="R320" s="35"/>
      <c r="S320" s="35"/>
      <c r="T320" s="35"/>
      <c r="U320" s="74" t="e">
        <f>AVERAGE(Tableau1[[#This Row],[1ère composition]:[3è Composition]])</f>
        <v>#DIV/0!</v>
      </c>
    </row>
    <row r="321" spans="1:21" hidden="1" x14ac:dyDescent="0.2">
      <c r="A321" s="1" t="s">
        <v>3002</v>
      </c>
      <c r="B321" s="1" t="s">
        <v>3020</v>
      </c>
      <c r="C321" s="1" t="s">
        <v>3709</v>
      </c>
      <c r="D321" s="1"/>
      <c r="E321" s="1">
        <v>2021</v>
      </c>
      <c r="F321" s="1">
        <v>35</v>
      </c>
      <c r="G321" s="1">
        <v>15</v>
      </c>
      <c r="H321" s="76" t="str">
        <f>Tableau1[[#This Row],[Annee d''inscription au programme]]&amp;"-"&amp;Tableau1[[#This Row],[Code d''ecole]]&amp;"-"&amp;Tableau1[[#This Row],[Numero HM de la fille]]</f>
        <v>2021-35-15</v>
      </c>
      <c r="I321" s="1"/>
      <c r="J321" s="1" t="s">
        <v>593</v>
      </c>
      <c r="K321" s="35" t="s">
        <v>298</v>
      </c>
      <c r="L321" s="89">
        <v>6.5</v>
      </c>
      <c r="M321" s="89">
        <v>5</v>
      </c>
      <c r="N321" s="35">
        <f t="shared" si="8"/>
        <v>5.75</v>
      </c>
      <c r="O321" s="35">
        <v>6</v>
      </c>
      <c r="P321" s="35">
        <v>15.5</v>
      </c>
      <c r="Q321" s="35">
        <f t="shared" si="9"/>
        <v>10.75</v>
      </c>
      <c r="R321" s="35"/>
      <c r="S321" s="35"/>
      <c r="T321" s="35"/>
      <c r="U321" s="74" t="e">
        <f>AVERAGE(Tableau1[[#This Row],[1ère composition]:[3è Composition]])</f>
        <v>#DIV/0!</v>
      </c>
    </row>
    <row r="322" spans="1:21" hidden="1" x14ac:dyDescent="0.2">
      <c r="A322" s="1" t="s">
        <v>3002</v>
      </c>
      <c r="B322" s="1" t="s">
        <v>3021</v>
      </c>
      <c r="C322" s="1" t="s">
        <v>3698</v>
      </c>
      <c r="D322" s="1"/>
      <c r="E322" s="1">
        <v>2020</v>
      </c>
      <c r="F322" s="1">
        <v>35</v>
      </c>
      <c r="G322" s="1">
        <v>259</v>
      </c>
      <c r="H322" s="76" t="str">
        <f>Tableau1[[#This Row],[Annee d''inscription au programme]]&amp;"-"&amp;Tableau1[[#This Row],[Code d''ecole]]&amp;"-"&amp;Tableau1[[#This Row],[Numero HM de la fille]]</f>
        <v>2020-35-259</v>
      </c>
      <c r="I322" s="1"/>
      <c r="J322" s="1" t="s">
        <v>374</v>
      </c>
      <c r="K322" s="35" t="s">
        <v>3518</v>
      </c>
      <c r="L322" s="35">
        <v>13</v>
      </c>
      <c r="M322" s="35">
        <v>13.5</v>
      </c>
      <c r="N322" s="35">
        <f t="shared" si="8"/>
        <v>13.25</v>
      </c>
      <c r="O322" s="35">
        <v>12.5</v>
      </c>
      <c r="P322" s="35">
        <v>15.5</v>
      </c>
      <c r="Q322" s="35">
        <f t="shared" si="9"/>
        <v>14</v>
      </c>
      <c r="R322" s="35"/>
      <c r="S322" s="35"/>
      <c r="T322" s="35"/>
      <c r="U322" s="74" t="e">
        <f>AVERAGE(Tableau1[[#This Row],[1ère composition]:[3è Composition]])</f>
        <v>#DIV/0!</v>
      </c>
    </row>
    <row r="323" spans="1:21" hidden="1" x14ac:dyDescent="0.2">
      <c r="A323" s="1" t="s">
        <v>3002</v>
      </c>
      <c r="B323" s="1" t="s">
        <v>3022</v>
      </c>
      <c r="C323" s="1" t="s">
        <v>3697</v>
      </c>
      <c r="D323" s="1"/>
      <c r="E323" s="1">
        <v>2021</v>
      </c>
      <c r="F323" s="1">
        <v>35</v>
      </c>
      <c r="G323" s="1">
        <v>16</v>
      </c>
      <c r="H323" s="76" t="str">
        <f>Tableau1[[#This Row],[Annee d''inscription au programme]]&amp;"-"&amp;Tableau1[[#This Row],[Code d''ecole]]&amp;"-"&amp;Tableau1[[#This Row],[Numero HM de la fille]]</f>
        <v>2021-35-16</v>
      </c>
      <c r="I323" s="1"/>
      <c r="J323" s="1" t="s">
        <v>593</v>
      </c>
      <c r="K323" s="35" t="s">
        <v>298</v>
      </c>
      <c r="L323" s="35">
        <v>16</v>
      </c>
      <c r="M323" s="35">
        <v>14</v>
      </c>
      <c r="N323" s="35">
        <f t="shared" si="8"/>
        <v>15</v>
      </c>
      <c r="O323" s="35">
        <v>13</v>
      </c>
      <c r="P323" s="35">
        <v>15.5</v>
      </c>
      <c r="Q323" s="35">
        <f t="shared" si="9"/>
        <v>14.25</v>
      </c>
      <c r="R323" s="35"/>
      <c r="S323" s="35"/>
      <c r="T323" s="35"/>
      <c r="U323" s="74" t="e">
        <f>AVERAGE(Tableau1[[#This Row],[1ère composition]:[3è Composition]])</f>
        <v>#DIV/0!</v>
      </c>
    </row>
    <row r="324" spans="1:21" hidden="1" x14ac:dyDescent="0.2">
      <c r="A324" s="1" t="s">
        <v>3002</v>
      </c>
      <c r="B324" s="1" t="s">
        <v>3023</v>
      </c>
      <c r="C324" s="1" t="s">
        <v>3710</v>
      </c>
      <c r="D324" s="1"/>
      <c r="E324" s="1">
        <v>2021</v>
      </c>
      <c r="F324" s="1">
        <v>35</v>
      </c>
      <c r="G324" s="1">
        <v>17</v>
      </c>
      <c r="H324" s="76" t="str">
        <f>Tableau1[[#This Row],[Annee d''inscription au programme]]&amp;"-"&amp;Tableau1[[#This Row],[Code d''ecole]]&amp;"-"&amp;Tableau1[[#This Row],[Numero HM de la fille]]</f>
        <v>2021-35-17</v>
      </c>
      <c r="I324" s="1"/>
      <c r="J324" s="1" t="s">
        <v>593</v>
      </c>
      <c r="K324" s="35" t="s">
        <v>298</v>
      </c>
      <c r="L324" s="35">
        <v>4</v>
      </c>
      <c r="M324" s="35">
        <v>0</v>
      </c>
      <c r="N324" s="35">
        <f t="shared" si="8"/>
        <v>2</v>
      </c>
      <c r="O324" s="35">
        <v>3.5</v>
      </c>
      <c r="P324" s="35">
        <v>4.5</v>
      </c>
      <c r="Q324" s="35">
        <f t="shared" si="9"/>
        <v>4</v>
      </c>
      <c r="R324" s="35"/>
      <c r="S324" s="35"/>
      <c r="T324" s="35"/>
      <c r="U324" s="74" t="e">
        <f>AVERAGE(Tableau1[[#This Row],[1ère composition]:[3è Composition]])</f>
        <v>#DIV/0!</v>
      </c>
    </row>
    <row r="325" spans="1:21" hidden="1" x14ac:dyDescent="0.2">
      <c r="A325" s="1" t="s">
        <v>3002</v>
      </c>
      <c r="B325" s="1" t="s">
        <v>3024</v>
      </c>
      <c r="C325" s="1" t="s">
        <v>3711</v>
      </c>
      <c r="D325" s="1"/>
      <c r="E325" s="1">
        <v>2021</v>
      </c>
      <c r="F325" s="1">
        <v>35</v>
      </c>
      <c r="G325" s="1">
        <v>18</v>
      </c>
      <c r="H325" s="76" t="str">
        <f>Tableau1[[#This Row],[Annee d''inscription au programme]]&amp;"-"&amp;Tableau1[[#This Row],[Code d''ecole]]&amp;"-"&amp;Tableau1[[#This Row],[Numero HM de la fille]]</f>
        <v>2021-35-18</v>
      </c>
      <c r="I325" s="1"/>
      <c r="J325" s="1" t="s">
        <v>593</v>
      </c>
      <c r="K325" s="35" t="s">
        <v>298</v>
      </c>
      <c r="L325" s="35">
        <v>6</v>
      </c>
      <c r="M325" s="35">
        <v>10</v>
      </c>
      <c r="N325" s="35">
        <f t="shared" ref="N325:N388" si="10" xml:space="preserve"> AVERAGE(L325+M325)/2</f>
        <v>8</v>
      </c>
      <c r="O325" s="35">
        <v>8</v>
      </c>
      <c r="P325" s="35">
        <v>15</v>
      </c>
      <c r="Q325" s="35">
        <f t="shared" ref="Q325:Q388" si="11">AVERAGE(O325+P325)/2</f>
        <v>11.5</v>
      </c>
      <c r="R325" s="35"/>
      <c r="S325" s="35"/>
      <c r="T325" s="35"/>
      <c r="U325" s="74" t="e">
        <f>AVERAGE(Tableau1[[#This Row],[1ère composition]:[3è Composition]])</f>
        <v>#DIV/0!</v>
      </c>
    </row>
    <row r="326" spans="1:21" hidden="1" x14ac:dyDescent="0.2">
      <c r="A326" s="1" t="s">
        <v>3002</v>
      </c>
      <c r="B326" s="1" t="s">
        <v>3025</v>
      </c>
      <c r="C326" s="1" t="s">
        <v>3719</v>
      </c>
      <c r="D326" s="1"/>
      <c r="E326" s="1">
        <v>2020</v>
      </c>
      <c r="F326" s="1">
        <v>35</v>
      </c>
      <c r="G326" s="1">
        <v>283</v>
      </c>
      <c r="H326" s="76" t="str">
        <f>Tableau1[[#This Row],[Annee d''inscription au programme]]&amp;"-"&amp;Tableau1[[#This Row],[Code d''ecole]]&amp;"-"&amp;Tableau1[[#This Row],[Numero HM de la fille]]</f>
        <v>2020-35-283</v>
      </c>
      <c r="I326" s="1"/>
      <c r="J326" s="1" t="s">
        <v>374</v>
      </c>
      <c r="K326" s="35" t="s">
        <v>3518</v>
      </c>
      <c r="L326" s="35">
        <v>11.5</v>
      </c>
      <c r="M326" s="35">
        <v>17.5</v>
      </c>
      <c r="N326" s="35">
        <f t="shared" si="10"/>
        <v>14.5</v>
      </c>
      <c r="O326" s="35">
        <v>20</v>
      </c>
      <c r="P326" s="35">
        <v>17.5</v>
      </c>
      <c r="Q326" s="35">
        <f t="shared" si="11"/>
        <v>18.75</v>
      </c>
      <c r="R326" s="35"/>
      <c r="S326" s="35"/>
      <c r="T326" s="35"/>
      <c r="U326" s="74" t="e">
        <f>AVERAGE(Tableau1[[#This Row],[1ère composition]:[3è Composition]])</f>
        <v>#DIV/0!</v>
      </c>
    </row>
    <row r="327" spans="1:21" hidden="1" x14ac:dyDescent="0.2">
      <c r="A327" s="1" t="s">
        <v>3002</v>
      </c>
      <c r="B327" s="1" t="s">
        <v>3026</v>
      </c>
      <c r="C327" s="1" t="s">
        <v>3708</v>
      </c>
      <c r="D327" s="1"/>
      <c r="E327" s="1">
        <v>2021</v>
      </c>
      <c r="F327" s="1">
        <v>35</v>
      </c>
      <c r="G327" s="1">
        <v>19</v>
      </c>
      <c r="H327" s="76" t="str">
        <f>Tableau1[[#This Row],[Annee d''inscription au programme]]&amp;"-"&amp;Tableau1[[#This Row],[Code d''ecole]]&amp;"-"&amp;Tableau1[[#This Row],[Numero HM de la fille]]</f>
        <v>2021-35-19</v>
      </c>
      <c r="I327" s="1"/>
      <c r="J327" s="1" t="s">
        <v>3505</v>
      </c>
      <c r="K327" s="35" t="s">
        <v>298</v>
      </c>
      <c r="L327" s="35">
        <v>11</v>
      </c>
      <c r="M327" s="35">
        <v>19</v>
      </c>
      <c r="N327" s="35">
        <f t="shared" si="10"/>
        <v>15</v>
      </c>
      <c r="O327" s="35">
        <v>19.5</v>
      </c>
      <c r="P327" s="35">
        <v>12</v>
      </c>
      <c r="Q327" s="35">
        <f t="shared" si="11"/>
        <v>15.75</v>
      </c>
      <c r="R327" s="35"/>
      <c r="S327" s="35"/>
      <c r="T327" s="35"/>
      <c r="U327" s="74" t="e">
        <f>AVERAGE(Tableau1[[#This Row],[1ère composition]:[3è Composition]])</f>
        <v>#DIV/0!</v>
      </c>
    </row>
    <row r="328" spans="1:21" hidden="1" x14ac:dyDescent="0.2">
      <c r="A328" s="1" t="s">
        <v>3002</v>
      </c>
      <c r="B328" s="1" t="s">
        <v>3027</v>
      </c>
      <c r="C328" s="1" t="s">
        <v>3707</v>
      </c>
      <c r="D328" s="1"/>
      <c r="E328" s="1">
        <v>2021</v>
      </c>
      <c r="F328" s="1">
        <v>35</v>
      </c>
      <c r="G328" s="1">
        <v>20</v>
      </c>
      <c r="H328" s="76" t="str">
        <f>Tableau1[[#This Row],[Annee d''inscription au programme]]&amp;"-"&amp;Tableau1[[#This Row],[Code d''ecole]]&amp;"-"&amp;Tableau1[[#This Row],[Numero HM de la fille]]</f>
        <v>2021-35-20</v>
      </c>
      <c r="I328" s="1"/>
      <c r="J328" s="1" t="s">
        <v>3505</v>
      </c>
      <c r="K328" s="35" t="s">
        <v>298</v>
      </c>
      <c r="L328" s="35">
        <v>12.5</v>
      </c>
      <c r="M328" s="35">
        <v>16</v>
      </c>
      <c r="N328" s="35">
        <f t="shared" si="10"/>
        <v>14.25</v>
      </c>
      <c r="O328" s="35">
        <v>16</v>
      </c>
      <c r="P328" s="35">
        <v>17</v>
      </c>
      <c r="Q328" s="35">
        <f t="shared" si="11"/>
        <v>16.5</v>
      </c>
      <c r="R328" s="35"/>
      <c r="S328" s="35"/>
      <c r="T328" s="35"/>
      <c r="U328" s="74" t="e">
        <f>AVERAGE(Tableau1[[#This Row],[1ère composition]:[3è Composition]])</f>
        <v>#DIV/0!</v>
      </c>
    </row>
    <row r="329" spans="1:21" hidden="1" x14ac:dyDescent="0.2">
      <c r="A329" s="1" t="s">
        <v>3002</v>
      </c>
      <c r="B329" s="1" t="s">
        <v>3714</v>
      </c>
      <c r="C329" s="1" t="s">
        <v>3713</v>
      </c>
      <c r="D329" s="1"/>
      <c r="E329" s="1">
        <v>2021</v>
      </c>
      <c r="F329" s="1">
        <v>35</v>
      </c>
      <c r="G329" s="1">
        <v>21</v>
      </c>
      <c r="H329" s="76" t="str">
        <f>Tableau1[[#This Row],[Annee d''inscription au programme]]&amp;"-"&amp;Tableau1[[#This Row],[Code d''ecole]]&amp;"-"&amp;Tableau1[[#This Row],[Numero HM de la fille]]</f>
        <v>2021-35-21</v>
      </c>
      <c r="I329" s="1"/>
      <c r="J329" s="1" t="s">
        <v>3505</v>
      </c>
      <c r="K329" s="35" t="s">
        <v>298</v>
      </c>
      <c r="L329" s="35">
        <v>8</v>
      </c>
      <c r="M329" s="35">
        <v>7.5</v>
      </c>
      <c r="N329" s="35">
        <f t="shared" si="10"/>
        <v>7.75</v>
      </c>
      <c r="O329" s="35">
        <v>9.5</v>
      </c>
      <c r="P329" s="35">
        <v>14.5</v>
      </c>
      <c r="Q329" s="35">
        <f t="shared" si="11"/>
        <v>12</v>
      </c>
      <c r="R329" s="35"/>
      <c r="S329" s="35"/>
      <c r="T329" s="35"/>
      <c r="U329" s="74" t="e">
        <f>AVERAGE(Tableau1[[#This Row],[1ère composition]:[3è Composition]])</f>
        <v>#DIV/0!</v>
      </c>
    </row>
    <row r="330" spans="1:21" hidden="1" x14ac:dyDescent="0.2">
      <c r="A330" s="1" t="s">
        <v>3002</v>
      </c>
      <c r="B330" s="1" t="s">
        <v>3028</v>
      </c>
      <c r="C330" s="1" t="s">
        <v>3697</v>
      </c>
      <c r="D330" s="1"/>
      <c r="E330" s="1">
        <v>2021</v>
      </c>
      <c r="F330" s="1">
        <v>35</v>
      </c>
      <c r="G330" s="1">
        <v>22</v>
      </c>
      <c r="H330" s="76" t="str">
        <f>Tableau1[[#This Row],[Annee d''inscription au programme]]&amp;"-"&amp;Tableau1[[#This Row],[Code d''ecole]]&amp;"-"&amp;Tableau1[[#This Row],[Numero HM de la fille]]</f>
        <v>2021-35-22</v>
      </c>
      <c r="I330" s="1"/>
      <c r="J330" s="1" t="s">
        <v>3505</v>
      </c>
      <c r="K330" s="35" t="s">
        <v>298</v>
      </c>
      <c r="L330" s="35">
        <v>8</v>
      </c>
      <c r="M330" s="35">
        <v>6</v>
      </c>
      <c r="N330" s="35">
        <f t="shared" si="10"/>
        <v>7</v>
      </c>
      <c r="O330" s="35">
        <v>7</v>
      </c>
      <c r="P330" s="35">
        <v>16.5</v>
      </c>
      <c r="Q330" s="35">
        <f t="shared" si="11"/>
        <v>11.75</v>
      </c>
      <c r="R330" s="35"/>
      <c r="S330" s="35"/>
      <c r="T330" s="35"/>
      <c r="U330" s="74" t="e">
        <f>AVERAGE(Tableau1[[#This Row],[1ère composition]:[3è Composition]])</f>
        <v>#DIV/0!</v>
      </c>
    </row>
    <row r="331" spans="1:21" hidden="1" x14ac:dyDescent="0.2">
      <c r="A331" s="1" t="s">
        <v>3002</v>
      </c>
      <c r="B331" s="1" t="s">
        <v>3029</v>
      </c>
      <c r="C331" s="1" t="s">
        <v>3715</v>
      </c>
      <c r="D331" s="1"/>
      <c r="E331" s="1">
        <v>2021</v>
      </c>
      <c r="F331" s="1">
        <v>35</v>
      </c>
      <c r="G331" s="1">
        <v>23</v>
      </c>
      <c r="H331" s="76" t="str">
        <f>Tableau1[[#This Row],[Annee d''inscription au programme]]&amp;"-"&amp;Tableau1[[#This Row],[Code d''ecole]]&amp;"-"&amp;Tableau1[[#This Row],[Numero HM de la fille]]</f>
        <v>2021-35-23</v>
      </c>
      <c r="I331" s="1"/>
      <c r="J331" s="1" t="s">
        <v>3505</v>
      </c>
      <c r="K331" s="35" t="s">
        <v>298</v>
      </c>
      <c r="L331" s="35">
        <v>11</v>
      </c>
      <c r="M331" s="35">
        <v>8.5</v>
      </c>
      <c r="N331" s="35">
        <f t="shared" si="10"/>
        <v>9.75</v>
      </c>
      <c r="O331" s="35">
        <v>19</v>
      </c>
      <c r="P331" s="35">
        <v>13.5</v>
      </c>
      <c r="Q331" s="35">
        <f t="shared" si="11"/>
        <v>16.25</v>
      </c>
      <c r="R331" s="35"/>
      <c r="S331" s="35"/>
      <c r="T331" s="35"/>
      <c r="U331" s="74" t="e">
        <f>AVERAGE(Tableau1[[#This Row],[1ère composition]:[3è Composition]])</f>
        <v>#DIV/0!</v>
      </c>
    </row>
    <row r="332" spans="1:21" hidden="1" x14ac:dyDescent="0.2">
      <c r="A332" s="1" t="s">
        <v>3002</v>
      </c>
      <c r="B332" s="1" t="s">
        <v>3030</v>
      </c>
      <c r="C332" s="1" t="s">
        <v>3716</v>
      </c>
      <c r="D332" s="1"/>
      <c r="E332" s="1">
        <v>2021</v>
      </c>
      <c r="F332" s="1">
        <v>35</v>
      </c>
      <c r="G332" s="1">
        <v>24</v>
      </c>
      <c r="H332" s="76" t="str">
        <f>Tableau1[[#This Row],[Annee d''inscription au programme]]&amp;"-"&amp;Tableau1[[#This Row],[Code d''ecole]]&amp;"-"&amp;Tableau1[[#This Row],[Numero HM de la fille]]</f>
        <v>2021-35-24</v>
      </c>
      <c r="I332" s="1"/>
      <c r="J332" s="1" t="s">
        <v>3505</v>
      </c>
      <c r="K332" s="35" t="s">
        <v>298</v>
      </c>
      <c r="L332" s="35">
        <v>12.5</v>
      </c>
      <c r="M332" s="35">
        <v>16.5</v>
      </c>
      <c r="N332" s="35">
        <f t="shared" si="10"/>
        <v>14.5</v>
      </c>
      <c r="O332" s="35">
        <v>19</v>
      </c>
      <c r="P332" s="35">
        <v>15.5</v>
      </c>
      <c r="Q332" s="35">
        <f t="shared" si="11"/>
        <v>17.25</v>
      </c>
      <c r="R332" s="35"/>
      <c r="S332" s="35"/>
      <c r="T332" s="35"/>
      <c r="U332" s="74" t="e">
        <f>AVERAGE(Tableau1[[#This Row],[1ère composition]:[3è Composition]])</f>
        <v>#DIV/0!</v>
      </c>
    </row>
    <row r="333" spans="1:21" hidden="1" x14ac:dyDescent="0.2">
      <c r="A333" s="1" t="s">
        <v>3002</v>
      </c>
      <c r="B333" s="1" t="s">
        <v>3541</v>
      </c>
      <c r="C333" s="1" t="s">
        <v>3712</v>
      </c>
      <c r="D333" s="1"/>
      <c r="E333" s="1">
        <v>2021</v>
      </c>
      <c r="F333" s="1">
        <v>35</v>
      </c>
      <c r="G333" s="1">
        <v>25</v>
      </c>
      <c r="H333" s="76" t="str">
        <f>Tableau1[[#This Row],[Annee d''inscription au programme]]&amp;"-"&amp;Tableau1[[#This Row],[Code d''ecole]]&amp;"-"&amp;Tableau1[[#This Row],[Numero HM de la fille]]</f>
        <v>2021-35-25</v>
      </c>
      <c r="I333" s="1"/>
      <c r="J333" s="1" t="s">
        <v>3505</v>
      </c>
      <c r="K333" s="35" t="s">
        <v>298</v>
      </c>
      <c r="L333" s="35">
        <v>13</v>
      </c>
      <c r="M333" s="35">
        <v>19</v>
      </c>
      <c r="N333" s="35">
        <f t="shared" si="10"/>
        <v>16</v>
      </c>
      <c r="O333" s="35">
        <v>20</v>
      </c>
      <c r="P333" s="35">
        <v>15</v>
      </c>
      <c r="Q333" s="35">
        <f t="shared" si="11"/>
        <v>17.5</v>
      </c>
      <c r="R333" s="35"/>
      <c r="S333" s="35"/>
      <c r="T333" s="35"/>
      <c r="U333" s="74" t="e">
        <f>AVERAGE(Tableau1[[#This Row],[1ère composition]:[3è Composition]])</f>
        <v>#DIV/0!</v>
      </c>
    </row>
    <row r="334" spans="1:21" hidden="1" x14ac:dyDescent="0.2">
      <c r="A334" s="1" t="s">
        <v>3002</v>
      </c>
      <c r="B334" s="1" t="s">
        <v>3031</v>
      </c>
      <c r="C334" s="1" t="s">
        <v>3720</v>
      </c>
      <c r="D334" s="1"/>
      <c r="E334" s="1">
        <v>2020</v>
      </c>
      <c r="F334" s="1">
        <v>35</v>
      </c>
      <c r="G334" s="1">
        <v>287</v>
      </c>
      <c r="H334" s="76" t="str">
        <f>Tableau1[[#This Row],[Annee d''inscription au programme]]&amp;"-"&amp;Tableau1[[#This Row],[Code d''ecole]]&amp;"-"&amp;Tableau1[[#This Row],[Numero HM de la fille]]</f>
        <v>2020-35-287</v>
      </c>
      <c r="I334" s="1"/>
      <c r="J334" s="1" t="s">
        <v>374</v>
      </c>
      <c r="K334" s="35" t="s">
        <v>3518</v>
      </c>
      <c r="L334" s="35">
        <v>2</v>
      </c>
      <c r="M334" s="35">
        <v>5</v>
      </c>
      <c r="N334" s="35">
        <f t="shared" si="10"/>
        <v>3.5</v>
      </c>
      <c r="O334" s="35">
        <v>8.5</v>
      </c>
      <c r="P334" s="35">
        <v>9</v>
      </c>
      <c r="Q334" s="35">
        <f t="shared" si="11"/>
        <v>8.75</v>
      </c>
      <c r="R334" s="35"/>
      <c r="S334" s="35"/>
      <c r="T334" s="35"/>
      <c r="U334" s="74" t="e">
        <f>AVERAGE(Tableau1[[#This Row],[1ère composition]:[3è Composition]])</f>
        <v>#DIV/0!</v>
      </c>
    </row>
    <row r="335" spans="1:21" hidden="1" x14ac:dyDescent="0.2">
      <c r="A335" s="1" t="s">
        <v>3002</v>
      </c>
      <c r="B335" s="1" t="s">
        <v>3032</v>
      </c>
      <c r="C335" s="1" t="s">
        <v>3717</v>
      </c>
      <c r="D335" s="1"/>
      <c r="E335" s="1">
        <v>2021</v>
      </c>
      <c r="F335" s="1">
        <v>35</v>
      </c>
      <c r="G335" s="1">
        <v>26</v>
      </c>
      <c r="H335" s="76" t="str">
        <f>Tableau1[[#This Row],[Annee d''inscription au programme]]&amp;"-"&amp;Tableau1[[#This Row],[Code d''ecole]]&amp;"-"&amp;Tableau1[[#This Row],[Numero HM de la fille]]</f>
        <v>2021-35-26</v>
      </c>
      <c r="I335" s="1"/>
      <c r="J335" s="1" t="s">
        <v>3505</v>
      </c>
      <c r="K335" s="35" t="s">
        <v>298</v>
      </c>
      <c r="L335" s="89">
        <v>13.5</v>
      </c>
      <c r="M335" s="89">
        <v>18</v>
      </c>
      <c r="N335" s="35">
        <f t="shared" si="10"/>
        <v>15.75</v>
      </c>
      <c r="O335" s="35">
        <v>20</v>
      </c>
      <c r="P335" s="35">
        <v>17.5</v>
      </c>
      <c r="Q335" s="35">
        <f t="shared" si="11"/>
        <v>18.75</v>
      </c>
      <c r="R335" s="35"/>
      <c r="S335" s="35"/>
      <c r="T335" s="35"/>
      <c r="U335" s="74" t="e">
        <f>AVERAGE(Tableau1[[#This Row],[1ère composition]:[3è Composition]])</f>
        <v>#DIV/0!</v>
      </c>
    </row>
    <row r="336" spans="1:21" hidden="1" x14ac:dyDescent="0.2">
      <c r="A336" s="1" t="s">
        <v>3002</v>
      </c>
      <c r="B336" s="1" t="s">
        <v>3033</v>
      </c>
      <c r="C336" s="1" t="s">
        <v>3718</v>
      </c>
      <c r="D336" s="1"/>
      <c r="E336" s="1">
        <v>2021</v>
      </c>
      <c r="F336" s="1">
        <v>35</v>
      </c>
      <c r="G336" s="1">
        <v>27</v>
      </c>
      <c r="H336" s="76" t="str">
        <f>Tableau1[[#This Row],[Annee d''inscription au programme]]&amp;"-"&amp;Tableau1[[#This Row],[Code d''ecole]]&amp;"-"&amp;Tableau1[[#This Row],[Numero HM de la fille]]</f>
        <v>2021-35-27</v>
      </c>
      <c r="I336" s="1"/>
      <c r="J336" s="1" t="s">
        <v>3505</v>
      </c>
      <c r="K336" s="35" t="s">
        <v>298</v>
      </c>
      <c r="L336" s="89">
        <v>14</v>
      </c>
      <c r="M336" s="89">
        <v>12</v>
      </c>
      <c r="N336" s="89">
        <f t="shared" si="10"/>
        <v>13</v>
      </c>
      <c r="O336" s="35"/>
      <c r="P336" s="35"/>
      <c r="Q336" s="35">
        <f t="shared" si="11"/>
        <v>0</v>
      </c>
      <c r="R336" s="35"/>
      <c r="S336" s="35"/>
      <c r="T336" s="35"/>
      <c r="U336" s="74" t="e">
        <f>AVERAGE(Tableau1[[#This Row],[1ère composition]:[3è Composition]])</f>
        <v>#DIV/0!</v>
      </c>
    </row>
    <row r="337" spans="1:21" hidden="1" x14ac:dyDescent="0.2">
      <c r="A337" s="1" t="s">
        <v>3002</v>
      </c>
      <c r="B337" s="1" t="s">
        <v>3034</v>
      </c>
      <c r="C337" s="1" t="s">
        <v>3719</v>
      </c>
      <c r="D337" s="1"/>
      <c r="E337" s="1">
        <v>2021</v>
      </c>
      <c r="F337" s="1">
        <v>35</v>
      </c>
      <c r="G337" s="1">
        <v>28</v>
      </c>
      <c r="H337" s="76" t="str">
        <f>Tableau1[[#This Row],[Annee d''inscription au programme]]&amp;"-"&amp;Tableau1[[#This Row],[Code d''ecole]]&amp;"-"&amp;Tableau1[[#This Row],[Numero HM de la fille]]</f>
        <v>2021-35-28</v>
      </c>
      <c r="I337" s="1"/>
      <c r="J337" s="1" t="s">
        <v>3505</v>
      </c>
      <c r="K337" s="35" t="s">
        <v>298</v>
      </c>
      <c r="L337" s="35">
        <v>3</v>
      </c>
      <c r="M337" s="35">
        <v>2</v>
      </c>
      <c r="N337" s="35">
        <f t="shared" si="10"/>
        <v>2.5</v>
      </c>
      <c r="O337" s="35"/>
      <c r="P337" s="35"/>
      <c r="Q337" s="35">
        <f t="shared" si="11"/>
        <v>0</v>
      </c>
      <c r="R337" s="35"/>
      <c r="S337" s="35"/>
      <c r="T337" s="35"/>
      <c r="U337" s="74" t="e">
        <f>AVERAGE(Tableau1[[#This Row],[1ère composition]:[3è Composition]])</f>
        <v>#DIV/0!</v>
      </c>
    </row>
    <row r="338" spans="1:21" hidden="1" x14ac:dyDescent="0.2">
      <c r="A338" s="1" t="s">
        <v>3035</v>
      </c>
      <c r="B338" s="1" t="s">
        <v>3036</v>
      </c>
      <c r="C338" s="1" t="s">
        <v>3725</v>
      </c>
      <c r="D338" s="1"/>
      <c r="E338" s="1">
        <v>2021</v>
      </c>
      <c r="F338" s="1">
        <v>71</v>
      </c>
      <c r="G338" s="1">
        <v>1</v>
      </c>
      <c r="H338" s="76" t="str">
        <f>Tableau1[[#This Row],[Annee d''inscription au programme]]&amp;"-"&amp;Tableau1[[#This Row],[Code d''ecole]]&amp;"-"&amp;Tableau1[[#This Row],[Numero HM de la fille]]</f>
        <v>2021-71-1</v>
      </c>
      <c r="I338" s="1"/>
      <c r="J338" s="1" t="s">
        <v>3505</v>
      </c>
      <c r="K338" s="35" t="s">
        <v>298</v>
      </c>
      <c r="L338" s="35">
        <v>1.5</v>
      </c>
      <c r="M338" s="35">
        <v>2</v>
      </c>
      <c r="N338" s="35">
        <f t="shared" si="10"/>
        <v>1.75</v>
      </c>
      <c r="O338" s="35">
        <v>2</v>
      </c>
      <c r="P338" s="35">
        <v>2.5</v>
      </c>
      <c r="Q338" s="35">
        <f t="shared" si="11"/>
        <v>2.25</v>
      </c>
      <c r="R338" s="35"/>
      <c r="S338" s="35"/>
      <c r="T338" s="35"/>
      <c r="U338" s="74" t="e">
        <f>AVERAGE(Tableau1[[#This Row],[1ère composition]:[3è Composition]])</f>
        <v>#DIV/0!</v>
      </c>
    </row>
    <row r="339" spans="1:21" hidden="1" x14ac:dyDescent="0.2">
      <c r="A339" s="1" t="s">
        <v>3035</v>
      </c>
      <c r="B339" s="1" t="s">
        <v>3037</v>
      </c>
      <c r="C339" s="1" t="s">
        <v>3727</v>
      </c>
      <c r="D339" s="1"/>
      <c r="E339" s="1">
        <v>2021</v>
      </c>
      <c r="F339" s="1">
        <v>71</v>
      </c>
      <c r="G339" s="1">
        <v>2</v>
      </c>
      <c r="H339" s="76" t="str">
        <f>Tableau1[[#This Row],[Annee d''inscription au programme]]&amp;"-"&amp;Tableau1[[#This Row],[Code d''ecole]]&amp;"-"&amp;Tableau1[[#This Row],[Numero HM de la fille]]</f>
        <v>2021-71-2</v>
      </c>
      <c r="I339" s="1"/>
      <c r="J339" s="1" t="s">
        <v>3505</v>
      </c>
      <c r="K339" s="35" t="s">
        <v>298</v>
      </c>
      <c r="L339" s="35">
        <v>2</v>
      </c>
      <c r="M339" s="35">
        <v>3.5</v>
      </c>
      <c r="N339" s="35">
        <f t="shared" si="10"/>
        <v>2.75</v>
      </c>
      <c r="O339" s="35">
        <v>2.75</v>
      </c>
      <c r="P339" s="35">
        <v>5.5</v>
      </c>
      <c r="Q339" s="35">
        <f t="shared" si="11"/>
        <v>4.125</v>
      </c>
      <c r="R339" s="35"/>
      <c r="S339" s="35"/>
      <c r="T339" s="35"/>
      <c r="U339" s="74" t="e">
        <f>AVERAGE(Tableau1[[#This Row],[1ère composition]:[3è Composition]])</f>
        <v>#DIV/0!</v>
      </c>
    </row>
    <row r="340" spans="1:21" hidden="1" x14ac:dyDescent="0.2">
      <c r="A340" s="1" t="s">
        <v>3035</v>
      </c>
      <c r="B340" s="1" t="s">
        <v>3038</v>
      </c>
      <c r="C340" s="1" t="s">
        <v>3726</v>
      </c>
      <c r="D340" s="1"/>
      <c r="E340" s="1">
        <v>2021</v>
      </c>
      <c r="F340" s="1">
        <v>71</v>
      </c>
      <c r="G340" s="1">
        <v>3</v>
      </c>
      <c r="H340" s="76" t="str">
        <f>Tableau1[[#This Row],[Annee d''inscription au programme]]&amp;"-"&amp;Tableau1[[#This Row],[Code d''ecole]]&amp;"-"&amp;Tableau1[[#This Row],[Numero HM de la fille]]</f>
        <v>2021-71-3</v>
      </c>
      <c r="I340" s="1"/>
      <c r="J340" s="1" t="s">
        <v>3505</v>
      </c>
      <c r="K340" s="35" t="s">
        <v>298</v>
      </c>
      <c r="L340" s="35">
        <v>0</v>
      </c>
      <c r="M340" s="35">
        <v>0</v>
      </c>
      <c r="N340" s="35">
        <f t="shared" si="10"/>
        <v>0</v>
      </c>
      <c r="O340" s="35">
        <v>1.25</v>
      </c>
      <c r="P340" s="35">
        <v>4</v>
      </c>
      <c r="Q340" s="35">
        <f t="shared" si="11"/>
        <v>2.625</v>
      </c>
      <c r="R340" s="35"/>
      <c r="S340" s="35"/>
      <c r="T340" s="35"/>
      <c r="U340" s="74" t="e">
        <f>AVERAGE(Tableau1[[#This Row],[1ère composition]:[3è Composition]])</f>
        <v>#DIV/0!</v>
      </c>
    </row>
    <row r="341" spans="1:21" hidden="1" x14ac:dyDescent="0.2">
      <c r="A341" s="1" t="s">
        <v>3035</v>
      </c>
      <c r="B341" s="1" t="s">
        <v>3039</v>
      </c>
      <c r="C341" s="1" t="s">
        <v>3728</v>
      </c>
      <c r="D341" s="1"/>
      <c r="E341" s="1">
        <v>2021</v>
      </c>
      <c r="F341" s="1">
        <v>71</v>
      </c>
      <c r="G341" s="1">
        <v>4</v>
      </c>
      <c r="H341" s="76" t="str">
        <f>Tableau1[[#This Row],[Annee d''inscription au programme]]&amp;"-"&amp;Tableau1[[#This Row],[Code d''ecole]]&amp;"-"&amp;Tableau1[[#This Row],[Numero HM de la fille]]</f>
        <v>2021-71-4</v>
      </c>
      <c r="I341" s="1"/>
      <c r="J341" s="1" t="s">
        <v>3505</v>
      </c>
      <c r="K341" s="35" t="s">
        <v>298</v>
      </c>
      <c r="L341" s="35">
        <v>4</v>
      </c>
      <c r="M341" s="35">
        <v>4.5</v>
      </c>
      <c r="N341" s="35">
        <f t="shared" si="10"/>
        <v>4.25</v>
      </c>
      <c r="O341" s="35">
        <v>12.75</v>
      </c>
      <c r="P341" s="35">
        <v>6.5</v>
      </c>
      <c r="Q341" s="35">
        <f t="shared" si="11"/>
        <v>9.625</v>
      </c>
      <c r="R341" s="35"/>
      <c r="S341" s="35"/>
      <c r="T341" s="35"/>
      <c r="U341" s="74" t="e">
        <f>AVERAGE(Tableau1[[#This Row],[1ère composition]:[3è Composition]])</f>
        <v>#DIV/0!</v>
      </c>
    </row>
    <row r="342" spans="1:21" hidden="1" x14ac:dyDescent="0.2">
      <c r="A342" s="1" t="s">
        <v>3035</v>
      </c>
      <c r="B342" s="1" t="s">
        <v>3040</v>
      </c>
      <c r="C342" s="1" t="s">
        <v>3726</v>
      </c>
      <c r="D342" s="1"/>
      <c r="E342" s="1">
        <v>2021</v>
      </c>
      <c r="F342" s="1">
        <v>71</v>
      </c>
      <c r="G342" s="1">
        <v>5</v>
      </c>
      <c r="H342" s="76" t="str">
        <f>Tableau1[[#This Row],[Annee d''inscription au programme]]&amp;"-"&amp;Tableau1[[#This Row],[Code d''ecole]]&amp;"-"&amp;Tableau1[[#This Row],[Numero HM de la fille]]</f>
        <v>2021-71-5</v>
      </c>
      <c r="I342" s="1"/>
      <c r="J342" s="1" t="s">
        <v>3505</v>
      </c>
      <c r="K342" s="35" t="s">
        <v>298</v>
      </c>
      <c r="L342" s="35">
        <v>9.5</v>
      </c>
      <c r="M342" s="35">
        <v>13</v>
      </c>
      <c r="N342" s="35">
        <f t="shared" si="10"/>
        <v>11.25</v>
      </c>
      <c r="O342" s="35">
        <v>18.75</v>
      </c>
      <c r="P342" s="35">
        <v>11.5</v>
      </c>
      <c r="Q342" s="35">
        <f t="shared" si="11"/>
        <v>15.125</v>
      </c>
      <c r="R342" s="35"/>
      <c r="S342" s="35"/>
      <c r="T342" s="35"/>
      <c r="U342" s="74" t="e">
        <f>AVERAGE(Tableau1[[#This Row],[1ère composition]:[3è Composition]])</f>
        <v>#DIV/0!</v>
      </c>
    </row>
    <row r="343" spans="1:21" hidden="1" x14ac:dyDescent="0.2">
      <c r="A343" s="1" t="s">
        <v>3035</v>
      </c>
      <c r="B343" s="1" t="s">
        <v>3041</v>
      </c>
      <c r="C343" s="1" t="s">
        <v>3726</v>
      </c>
      <c r="D343" s="1"/>
      <c r="E343" s="1">
        <v>2021</v>
      </c>
      <c r="F343" s="1">
        <v>71</v>
      </c>
      <c r="G343" s="1">
        <v>6</v>
      </c>
      <c r="H343" s="76" t="str">
        <f>Tableau1[[#This Row],[Annee d''inscription au programme]]&amp;"-"&amp;Tableau1[[#This Row],[Code d''ecole]]&amp;"-"&amp;Tableau1[[#This Row],[Numero HM de la fille]]</f>
        <v>2021-71-6</v>
      </c>
      <c r="I343" s="1"/>
      <c r="J343" s="1" t="s">
        <v>3505</v>
      </c>
      <c r="K343" s="35" t="s">
        <v>298</v>
      </c>
      <c r="L343" s="35">
        <v>0.5</v>
      </c>
      <c r="M343" s="35">
        <v>1.75</v>
      </c>
      <c r="N343" s="35">
        <f t="shared" si="10"/>
        <v>1.125</v>
      </c>
      <c r="O343" s="35">
        <v>4.25</v>
      </c>
      <c r="P343" s="35">
        <v>2</v>
      </c>
      <c r="Q343" s="35">
        <f t="shared" si="11"/>
        <v>3.125</v>
      </c>
      <c r="R343" s="35"/>
      <c r="S343" s="35"/>
      <c r="T343" s="35"/>
      <c r="U343" s="74" t="e">
        <f>AVERAGE(Tableau1[[#This Row],[1ère composition]:[3è Composition]])</f>
        <v>#DIV/0!</v>
      </c>
    </row>
    <row r="344" spans="1:21" hidden="1" x14ac:dyDescent="0.2">
      <c r="A344" s="1" t="s">
        <v>3035</v>
      </c>
      <c r="B344" s="1" t="s">
        <v>3042</v>
      </c>
      <c r="C344" s="1"/>
      <c r="D344" s="1"/>
      <c r="E344" s="1">
        <v>2021</v>
      </c>
      <c r="F344" s="1">
        <v>71</v>
      </c>
      <c r="G344" s="1">
        <v>7</v>
      </c>
      <c r="H344" s="76" t="str">
        <f>Tableau1[[#This Row],[Annee d''inscription au programme]]&amp;"-"&amp;Tableau1[[#This Row],[Code d''ecole]]&amp;"-"&amp;Tableau1[[#This Row],[Numero HM de la fille]]</f>
        <v>2021-71-7</v>
      </c>
      <c r="I344" s="1"/>
      <c r="J344" s="1" t="s">
        <v>3505</v>
      </c>
      <c r="K344" s="35" t="s">
        <v>298</v>
      </c>
      <c r="L344" s="35">
        <v>12.5</v>
      </c>
      <c r="M344" s="35">
        <v>5.75</v>
      </c>
      <c r="N344" s="35">
        <f t="shared" si="10"/>
        <v>9.125</v>
      </c>
      <c r="O344" s="35">
        <v>16.25</v>
      </c>
      <c r="P344" s="35">
        <v>11</v>
      </c>
      <c r="Q344" s="35">
        <f t="shared" si="11"/>
        <v>13.625</v>
      </c>
      <c r="R344" s="35"/>
      <c r="S344" s="35"/>
      <c r="T344" s="35"/>
      <c r="U344" s="74" t="e">
        <f>AVERAGE(Tableau1[[#This Row],[1ère composition]:[3è Composition]])</f>
        <v>#DIV/0!</v>
      </c>
    </row>
    <row r="345" spans="1:21" hidden="1" x14ac:dyDescent="0.2">
      <c r="A345" s="1" t="s">
        <v>3035</v>
      </c>
      <c r="B345" s="1" t="s">
        <v>3729</v>
      </c>
      <c r="C345" s="1" t="s">
        <v>3726</v>
      </c>
      <c r="D345" s="1"/>
      <c r="E345" s="1">
        <v>2021</v>
      </c>
      <c r="F345" s="1">
        <v>71</v>
      </c>
      <c r="G345" s="1">
        <v>8</v>
      </c>
      <c r="H345" s="76" t="str">
        <f>Tableau1[[#This Row],[Annee d''inscription au programme]]&amp;"-"&amp;Tableau1[[#This Row],[Code d''ecole]]&amp;"-"&amp;Tableau1[[#This Row],[Numero HM de la fille]]</f>
        <v>2021-71-8</v>
      </c>
      <c r="I345" s="1"/>
      <c r="J345" s="1" t="s">
        <v>3505</v>
      </c>
      <c r="K345" s="35" t="s">
        <v>298</v>
      </c>
      <c r="L345" s="35">
        <v>12.5</v>
      </c>
      <c r="M345" s="35">
        <v>6</v>
      </c>
      <c r="N345" s="35">
        <f t="shared" si="10"/>
        <v>9.25</v>
      </c>
      <c r="O345" s="35">
        <v>11.75</v>
      </c>
      <c r="P345" s="35">
        <v>9</v>
      </c>
      <c r="Q345" s="35">
        <f t="shared" si="11"/>
        <v>10.375</v>
      </c>
      <c r="R345" s="35"/>
      <c r="S345" s="35"/>
      <c r="T345" s="35"/>
      <c r="U345" s="74" t="e">
        <f>AVERAGE(Tableau1[[#This Row],[1ère composition]:[3è Composition]])</f>
        <v>#DIV/0!</v>
      </c>
    </row>
    <row r="346" spans="1:21" hidden="1" x14ac:dyDescent="0.2">
      <c r="A346" s="1" t="s">
        <v>3035</v>
      </c>
      <c r="B346" s="1" t="s">
        <v>3043</v>
      </c>
      <c r="C346" s="1" t="s">
        <v>3726</v>
      </c>
      <c r="D346" s="1"/>
      <c r="E346" s="1">
        <v>2021</v>
      </c>
      <c r="F346" s="1">
        <v>71</v>
      </c>
      <c r="G346" s="1">
        <v>9</v>
      </c>
      <c r="H346" s="76" t="str">
        <f>Tableau1[[#This Row],[Annee d''inscription au programme]]&amp;"-"&amp;Tableau1[[#This Row],[Code d''ecole]]&amp;"-"&amp;Tableau1[[#This Row],[Numero HM de la fille]]</f>
        <v>2021-71-9</v>
      </c>
      <c r="I346" s="1"/>
      <c r="J346" s="1" t="s">
        <v>3505</v>
      </c>
      <c r="K346" s="35" t="s">
        <v>298</v>
      </c>
      <c r="L346" s="35">
        <v>4</v>
      </c>
      <c r="M346" s="35">
        <v>2.75</v>
      </c>
      <c r="N346" s="35">
        <f t="shared" si="10"/>
        <v>3.375</v>
      </c>
      <c r="O346" s="35">
        <v>11.25</v>
      </c>
      <c r="P346" s="35">
        <v>6</v>
      </c>
      <c r="Q346" s="35">
        <f t="shared" si="11"/>
        <v>8.625</v>
      </c>
      <c r="R346" s="35"/>
      <c r="S346" s="35"/>
      <c r="T346" s="35"/>
      <c r="U346" s="74" t="e">
        <f>AVERAGE(Tableau1[[#This Row],[1ère composition]:[3è Composition]])</f>
        <v>#DIV/0!</v>
      </c>
    </row>
    <row r="347" spans="1:21" hidden="1" x14ac:dyDescent="0.2">
      <c r="A347" s="1" t="s">
        <v>3035</v>
      </c>
      <c r="B347" s="1" t="s">
        <v>3044</v>
      </c>
      <c r="C347" s="1" t="s">
        <v>3730</v>
      </c>
      <c r="D347" s="1"/>
      <c r="E347" s="1">
        <v>2021</v>
      </c>
      <c r="F347" s="1">
        <v>71</v>
      </c>
      <c r="G347" s="1">
        <v>10</v>
      </c>
      <c r="H347" s="76" t="str">
        <f>Tableau1[[#This Row],[Annee d''inscription au programme]]&amp;"-"&amp;Tableau1[[#This Row],[Code d''ecole]]&amp;"-"&amp;Tableau1[[#This Row],[Numero HM de la fille]]</f>
        <v>2021-71-10</v>
      </c>
      <c r="I347" s="1"/>
      <c r="J347" s="1" t="s">
        <v>3505</v>
      </c>
      <c r="K347" s="35" t="s">
        <v>298</v>
      </c>
      <c r="L347" s="35">
        <v>5</v>
      </c>
      <c r="M347" s="35">
        <v>5.5</v>
      </c>
      <c r="N347" s="35">
        <f t="shared" si="10"/>
        <v>5.25</v>
      </c>
      <c r="O347" s="35">
        <v>13.25</v>
      </c>
      <c r="P347" s="35">
        <v>9.5</v>
      </c>
      <c r="Q347" s="35">
        <f t="shared" si="11"/>
        <v>11.375</v>
      </c>
      <c r="R347" s="35"/>
      <c r="S347" s="35"/>
      <c r="T347" s="35"/>
      <c r="U347" s="74" t="e">
        <f>AVERAGE(Tableau1[[#This Row],[1ère composition]:[3è Composition]])</f>
        <v>#DIV/0!</v>
      </c>
    </row>
    <row r="348" spans="1:21" hidden="1" x14ac:dyDescent="0.2">
      <c r="A348" s="1" t="s">
        <v>3045</v>
      </c>
      <c r="B348" s="1" t="s">
        <v>3046</v>
      </c>
      <c r="C348" s="1" t="s">
        <v>3719</v>
      </c>
      <c r="D348" s="1"/>
      <c r="E348" s="1">
        <v>2021</v>
      </c>
      <c r="F348" s="1">
        <v>45</v>
      </c>
      <c r="G348" s="1">
        <v>1</v>
      </c>
      <c r="H348" s="76" t="str">
        <f>Tableau1[[#This Row],[Annee d''inscription au programme]]&amp;"-"&amp;Tableau1[[#This Row],[Code d''ecole]]&amp;"-"&amp;Tableau1[[#This Row],[Numero HM de la fille]]</f>
        <v>2021-45-1</v>
      </c>
      <c r="I348" s="1"/>
      <c r="J348" s="1" t="s">
        <v>3505</v>
      </c>
      <c r="K348" s="35" t="s">
        <v>298</v>
      </c>
      <c r="L348" s="35">
        <v>17</v>
      </c>
      <c r="M348" s="35">
        <v>3</v>
      </c>
      <c r="N348" s="35">
        <f t="shared" si="10"/>
        <v>10</v>
      </c>
      <c r="O348" s="35">
        <v>8</v>
      </c>
      <c r="P348" s="35">
        <v>9</v>
      </c>
      <c r="Q348" s="35">
        <f t="shared" si="11"/>
        <v>8.5</v>
      </c>
      <c r="R348" s="35"/>
      <c r="S348" s="35"/>
      <c r="T348" s="35"/>
      <c r="U348" s="74" t="e">
        <f>AVERAGE(Tableau1[[#This Row],[1ère composition]:[3è Composition]])</f>
        <v>#DIV/0!</v>
      </c>
    </row>
    <row r="349" spans="1:21" hidden="1" x14ac:dyDescent="0.2">
      <c r="A349" s="1" t="s">
        <v>3045</v>
      </c>
      <c r="B349" s="1" t="s">
        <v>3047</v>
      </c>
      <c r="C349" s="1" t="s">
        <v>3719</v>
      </c>
      <c r="D349" s="1"/>
      <c r="E349" s="1">
        <v>2020</v>
      </c>
      <c r="F349" s="1">
        <v>45</v>
      </c>
      <c r="G349" s="1">
        <v>192</v>
      </c>
      <c r="H349" s="76" t="str">
        <f>Tableau1[[#This Row],[Annee d''inscription au programme]]&amp;"-"&amp;Tableau1[[#This Row],[Code d''ecole]]&amp;"-"&amp;Tableau1[[#This Row],[Numero HM de la fille]]</f>
        <v>2020-45-192</v>
      </c>
      <c r="I349" s="1"/>
      <c r="J349" s="1" t="s">
        <v>374</v>
      </c>
      <c r="K349" s="35" t="s">
        <v>3518</v>
      </c>
      <c r="L349" s="35">
        <v>12.5</v>
      </c>
      <c r="M349" s="35">
        <v>8.5</v>
      </c>
      <c r="N349" s="35">
        <f t="shared" si="10"/>
        <v>10.5</v>
      </c>
      <c r="O349" s="35">
        <v>14</v>
      </c>
      <c r="P349" s="35">
        <v>11</v>
      </c>
      <c r="Q349" s="35">
        <f t="shared" si="11"/>
        <v>12.5</v>
      </c>
      <c r="R349" s="35"/>
      <c r="S349" s="35"/>
      <c r="T349" s="35"/>
      <c r="U349" s="74" t="e">
        <f>AVERAGE(Tableau1[[#This Row],[1ère composition]:[3è Composition]])</f>
        <v>#DIV/0!</v>
      </c>
    </row>
    <row r="350" spans="1:21" hidden="1" x14ac:dyDescent="0.2">
      <c r="A350" s="1" t="s">
        <v>3045</v>
      </c>
      <c r="B350" s="1" t="s">
        <v>3766</v>
      </c>
      <c r="C350" s="1" t="s">
        <v>3719</v>
      </c>
      <c r="D350" s="1"/>
      <c r="E350" s="1">
        <v>2021</v>
      </c>
      <c r="F350" s="1">
        <v>45</v>
      </c>
      <c r="G350" s="1">
        <v>2</v>
      </c>
      <c r="H350" s="76" t="str">
        <f>Tableau1[[#This Row],[Annee d''inscription au programme]]&amp;"-"&amp;Tableau1[[#This Row],[Code d''ecole]]&amp;"-"&amp;Tableau1[[#This Row],[Numero HM de la fille]]</f>
        <v>2021-45-2</v>
      </c>
      <c r="I350" s="1"/>
      <c r="J350" s="1" t="s">
        <v>593</v>
      </c>
      <c r="K350" s="35" t="s">
        <v>298</v>
      </c>
      <c r="L350" s="35">
        <v>17</v>
      </c>
      <c r="M350" s="35">
        <v>15</v>
      </c>
      <c r="N350" s="35">
        <f t="shared" si="10"/>
        <v>16</v>
      </c>
      <c r="O350" s="35">
        <v>14</v>
      </c>
      <c r="P350" s="35">
        <v>17</v>
      </c>
      <c r="Q350" s="35">
        <f t="shared" si="11"/>
        <v>15.5</v>
      </c>
      <c r="R350" s="35"/>
      <c r="S350" s="35"/>
      <c r="T350" s="35"/>
      <c r="U350" s="74" t="e">
        <f>AVERAGE(Tableau1[[#This Row],[1ère composition]:[3è Composition]])</f>
        <v>#DIV/0!</v>
      </c>
    </row>
    <row r="351" spans="1:21" hidden="1" x14ac:dyDescent="0.2">
      <c r="A351" s="1" t="s">
        <v>3045</v>
      </c>
      <c r="B351" s="1" t="s">
        <v>3048</v>
      </c>
      <c r="C351" s="1" t="s">
        <v>3719</v>
      </c>
      <c r="D351" s="1"/>
      <c r="E351" s="1">
        <v>2021</v>
      </c>
      <c r="F351" s="1">
        <v>45</v>
      </c>
      <c r="G351" s="1">
        <v>3</v>
      </c>
      <c r="H351" s="76" t="str">
        <f>Tableau1[[#This Row],[Annee d''inscription au programme]]&amp;"-"&amp;Tableau1[[#This Row],[Code d''ecole]]&amp;"-"&amp;Tableau1[[#This Row],[Numero HM de la fille]]</f>
        <v>2021-45-3</v>
      </c>
      <c r="I351" s="1"/>
      <c r="J351" s="1" t="s">
        <v>3505</v>
      </c>
      <c r="K351" s="35" t="s">
        <v>298</v>
      </c>
      <c r="L351" s="35">
        <v>16</v>
      </c>
      <c r="M351" s="35">
        <v>17.5</v>
      </c>
      <c r="N351" s="35">
        <f t="shared" si="10"/>
        <v>16.75</v>
      </c>
      <c r="O351" s="35">
        <v>15.5</v>
      </c>
      <c r="P351" s="35">
        <v>17</v>
      </c>
      <c r="Q351" s="35">
        <f t="shared" si="11"/>
        <v>16.25</v>
      </c>
      <c r="R351" s="35"/>
      <c r="S351" s="35"/>
      <c r="T351" s="35"/>
      <c r="U351" s="74" t="e">
        <f>AVERAGE(Tableau1[[#This Row],[1ère composition]:[3è Composition]])</f>
        <v>#DIV/0!</v>
      </c>
    </row>
    <row r="352" spans="1:21" hidden="1" x14ac:dyDescent="0.2">
      <c r="A352" s="1" t="s">
        <v>3045</v>
      </c>
      <c r="B352" s="1" t="s">
        <v>3049</v>
      </c>
      <c r="C352" s="1" t="s">
        <v>3719</v>
      </c>
      <c r="D352" s="1"/>
      <c r="E352" s="1">
        <v>2021</v>
      </c>
      <c r="F352" s="1">
        <v>45</v>
      </c>
      <c r="G352" s="1">
        <v>4</v>
      </c>
      <c r="H352" s="76" t="str">
        <f>Tableau1[[#This Row],[Annee d''inscription au programme]]&amp;"-"&amp;Tableau1[[#This Row],[Code d''ecole]]&amp;"-"&amp;Tableau1[[#This Row],[Numero HM de la fille]]</f>
        <v>2021-45-4</v>
      </c>
      <c r="I352" s="1"/>
      <c r="J352" s="1" t="s">
        <v>3505</v>
      </c>
      <c r="K352" s="35" t="s">
        <v>298</v>
      </c>
      <c r="L352" s="35">
        <v>14.5</v>
      </c>
      <c r="M352" s="35">
        <v>17</v>
      </c>
      <c r="N352" s="35">
        <f t="shared" si="10"/>
        <v>15.75</v>
      </c>
      <c r="O352" s="35">
        <v>16</v>
      </c>
      <c r="P352" s="35">
        <v>17</v>
      </c>
      <c r="Q352" s="35">
        <f t="shared" si="11"/>
        <v>16.5</v>
      </c>
      <c r="R352" s="35"/>
      <c r="S352" s="35"/>
      <c r="T352" s="35"/>
      <c r="U352" s="74" t="e">
        <f>AVERAGE(Tableau1[[#This Row],[1ère composition]:[3è Composition]])</f>
        <v>#DIV/0!</v>
      </c>
    </row>
    <row r="353" spans="1:21" hidden="1" x14ac:dyDescent="0.2">
      <c r="A353" s="1" t="s">
        <v>3045</v>
      </c>
      <c r="B353" s="1" t="s">
        <v>1007</v>
      </c>
      <c r="C353" s="1" t="s">
        <v>3719</v>
      </c>
      <c r="D353" s="1"/>
      <c r="E353" s="1">
        <v>2021</v>
      </c>
      <c r="F353" s="1">
        <v>45</v>
      </c>
      <c r="G353" s="1">
        <v>5</v>
      </c>
      <c r="H353" s="76" t="str">
        <f>Tableau1[[#This Row],[Annee d''inscription au programme]]&amp;"-"&amp;Tableau1[[#This Row],[Code d''ecole]]&amp;"-"&amp;Tableau1[[#This Row],[Numero HM de la fille]]</f>
        <v>2021-45-5</v>
      </c>
      <c r="I353" s="1"/>
      <c r="J353" s="1" t="s">
        <v>3505</v>
      </c>
      <c r="K353" s="35" t="s">
        <v>298</v>
      </c>
      <c r="L353" s="35">
        <v>15</v>
      </c>
      <c r="M353" s="35">
        <v>12</v>
      </c>
      <c r="N353" s="35">
        <f t="shared" si="10"/>
        <v>13.5</v>
      </c>
      <c r="O353" s="35">
        <v>19</v>
      </c>
      <c r="P353" s="35">
        <v>18.5</v>
      </c>
      <c r="Q353" s="35">
        <f t="shared" si="11"/>
        <v>18.75</v>
      </c>
      <c r="R353" s="35"/>
      <c r="S353" s="35"/>
      <c r="T353" s="35"/>
      <c r="U353" s="74" t="e">
        <f>AVERAGE(Tableau1[[#This Row],[1ère composition]:[3è Composition]])</f>
        <v>#DIV/0!</v>
      </c>
    </row>
    <row r="354" spans="1:21" hidden="1" x14ac:dyDescent="0.2">
      <c r="A354" s="1" t="s">
        <v>3045</v>
      </c>
      <c r="B354" s="1" t="s">
        <v>3050</v>
      </c>
      <c r="C354" s="1" t="s">
        <v>3719</v>
      </c>
      <c r="D354" s="1"/>
      <c r="E354" s="1">
        <v>2021</v>
      </c>
      <c r="F354" s="1">
        <v>45</v>
      </c>
      <c r="G354" s="1">
        <v>6</v>
      </c>
      <c r="H354" s="76" t="str">
        <f>Tableau1[[#This Row],[Annee d''inscription au programme]]&amp;"-"&amp;Tableau1[[#This Row],[Code d''ecole]]&amp;"-"&amp;Tableau1[[#This Row],[Numero HM de la fille]]</f>
        <v>2021-45-6</v>
      </c>
      <c r="I354" s="1"/>
      <c r="J354" s="1" t="s">
        <v>3505</v>
      </c>
      <c r="K354" s="35" t="s">
        <v>298</v>
      </c>
      <c r="L354" s="35">
        <v>14</v>
      </c>
      <c r="M354" s="35">
        <v>4.75</v>
      </c>
      <c r="N354" s="35">
        <f t="shared" si="10"/>
        <v>9.375</v>
      </c>
      <c r="O354" s="35">
        <v>12</v>
      </c>
      <c r="P354" s="35">
        <v>16</v>
      </c>
      <c r="Q354" s="35">
        <f t="shared" si="11"/>
        <v>14</v>
      </c>
      <c r="R354" s="35"/>
      <c r="S354" s="35"/>
      <c r="T354" s="35"/>
      <c r="U354" s="74" t="e">
        <f>AVERAGE(Tableau1[[#This Row],[1ère composition]:[3è Composition]])</f>
        <v>#DIV/0!</v>
      </c>
    </row>
    <row r="355" spans="1:21" hidden="1" x14ac:dyDescent="0.2">
      <c r="A355" s="1" t="s">
        <v>3045</v>
      </c>
      <c r="B355" s="1" t="s">
        <v>3051</v>
      </c>
      <c r="C355" s="1" t="s">
        <v>3719</v>
      </c>
      <c r="D355" s="1"/>
      <c r="E355" s="1">
        <v>2021</v>
      </c>
      <c r="F355" s="1">
        <v>45</v>
      </c>
      <c r="G355" s="1">
        <v>7</v>
      </c>
      <c r="H355" s="76" t="str">
        <f>Tableau1[[#This Row],[Annee d''inscription au programme]]&amp;"-"&amp;Tableau1[[#This Row],[Code d''ecole]]&amp;"-"&amp;Tableau1[[#This Row],[Numero HM de la fille]]</f>
        <v>2021-45-7</v>
      </c>
      <c r="I355" s="1"/>
      <c r="J355" s="1" t="s">
        <v>593</v>
      </c>
      <c r="K355" s="35" t="s">
        <v>298</v>
      </c>
      <c r="L355" s="35">
        <v>11</v>
      </c>
      <c r="M355" s="35">
        <v>5</v>
      </c>
      <c r="N355" s="35">
        <f t="shared" si="10"/>
        <v>8</v>
      </c>
      <c r="O355" s="35"/>
      <c r="P355" s="35"/>
      <c r="Q355" s="35">
        <f t="shared" si="11"/>
        <v>0</v>
      </c>
      <c r="R355" s="35"/>
      <c r="S355" s="35"/>
      <c r="T355" s="35"/>
      <c r="U355" s="74" t="e">
        <f>AVERAGE(Tableau1[[#This Row],[1ère composition]:[3è Composition]])</f>
        <v>#DIV/0!</v>
      </c>
    </row>
    <row r="356" spans="1:21" hidden="1" x14ac:dyDescent="0.2">
      <c r="A356" s="1" t="s">
        <v>3045</v>
      </c>
      <c r="B356" s="1" t="s">
        <v>3052</v>
      </c>
      <c r="C356" s="1" t="s">
        <v>3719</v>
      </c>
      <c r="D356" s="1"/>
      <c r="E356" s="1">
        <v>2021</v>
      </c>
      <c r="F356" s="1">
        <v>45</v>
      </c>
      <c r="G356" s="1">
        <v>8</v>
      </c>
      <c r="H356" s="76" t="str">
        <f>Tableau1[[#This Row],[Annee d''inscription au programme]]&amp;"-"&amp;Tableau1[[#This Row],[Code d''ecole]]&amp;"-"&amp;Tableau1[[#This Row],[Numero HM de la fille]]</f>
        <v>2021-45-8</v>
      </c>
      <c r="I356" s="1"/>
      <c r="J356" s="1" t="s">
        <v>3505</v>
      </c>
      <c r="K356" s="35" t="s">
        <v>298</v>
      </c>
      <c r="L356" s="35">
        <v>15</v>
      </c>
      <c r="M356" s="35">
        <v>19</v>
      </c>
      <c r="N356" s="35">
        <f t="shared" si="10"/>
        <v>17</v>
      </c>
      <c r="O356" s="35">
        <v>20</v>
      </c>
      <c r="P356" s="35">
        <v>18</v>
      </c>
      <c r="Q356" s="35">
        <f t="shared" si="11"/>
        <v>19</v>
      </c>
      <c r="R356" s="35"/>
      <c r="S356" s="35"/>
      <c r="T356" s="35"/>
      <c r="U356" s="74" t="e">
        <f>AVERAGE(Tableau1[[#This Row],[1ère composition]:[3è Composition]])</f>
        <v>#DIV/0!</v>
      </c>
    </row>
    <row r="357" spans="1:21" hidden="1" x14ac:dyDescent="0.2">
      <c r="A357" s="1" t="s">
        <v>3045</v>
      </c>
      <c r="B357" s="1" t="s">
        <v>3053</v>
      </c>
      <c r="C357" s="1" t="s">
        <v>3719</v>
      </c>
      <c r="D357" s="1"/>
      <c r="E357" s="1">
        <v>2021</v>
      </c>
      <c r="F357" s="1">
        <v>45</v>
      </c>
      <c r="G357" s="1">
        <v>9</v>
      </c>
      <c r="H357" s="76" t="str">
        <f>Tableau1[[#This Row],[Annee d''inscription au programme]]&amp;"-"&amp;Tableau1[[#This Row],[Code d''ecole]]&amp;"-"&amp;Tableau1[[#This Row],[Numero HM de la fille]]</f>
        <v>2021-45-9</v>
      </c>
      <c r="I357" s="1"/>
      <c r="J357" s="1" t="s">
        <v>3505</v>
      </c>
      <c r="K357" s="35" t="s">
        <v>298</v>
      </c>
      <c r="L357" s="35">
        <v>14.5</v>
      </c>
      <c r="M357" s="35">
        <v>20</v>
      </c>
      <c r="N357" s="35">
        <f t="shared" si="10"/>
        <v>17.25</v>
      </c>
      <c r="O357" s="35">
        <v>19</v>
      </c>
      <c r="P357" s="35">
        <v>18</v>
      </c>
      <c r="Q357" s="35">
        <f t="shared" si="11"/>
        <v>18.5</v>
      </c>
      <c r="R357" s="35"/>
      <c r="S357" s="35"/>
      <c r="T357" s="35"/>
      <c r="U357" s="74" t="e">
        <f>AVERAGE(Tableau1[[#This Row],[1ère composition]:[3è Composition]])</f>
        <v>#DIV/0!</v>
      </c>
    </row>
    <row r="358" spans="1:21" hidden="1" x14ac:dyDescent="0.2">
      <c r="A358" s="1" t="s">
        <v>3045</v>
      </c>
      <c r="B358" s="1" t="s">
        <v>3054</v>
      </c>
      <c r="C358" s="1" t="s">
        <v>3719</v>
      </c>
      <c r="D358" s="1"/>
      <c r="E358" s="1">
        <v>2021</v>
      </c>
      <c r="F358" s="1">
        <v>45</v>
      </c>
      <c r="G358" s="1">
        <v>10</v>
      </c>
      <c r="H358" s="76" t="str">
        <f>Tableau1[[#This Row],[Annee d''inscription au programme]]&amp;"-"&amp;Tableau1[[#This Row],[Code d''ecole]]&amp;"-"&amp;Tableau1[[#This Row],[Numero HM de la fille]]</f>
        <v>2021-45-10</v>
      </c>
      <c r="I358" s="1"/>
      <c r="J358" s="1" t="s">
        <v>3505</v>
      </c>
      <c r="K358" s="35" t="s">
        <v>298</v>
      </c>
      <c r="L358" s="35">
        <v>10</v>
      </c>
      <c r="M358" s="35">
        <v>10</v>
      </c>
      <c r="N358" s="35">
        <f t="shared" si="10"/>
        <v>10</v>
      </c>
      <c r="O358" s="35">
        <v>9</v>
      </c>
      <c r="P358" s="35">
        <v>15</v>
      </c>
      <c r="Q358" s="35">
        <f t="shared" si="11"/>
        <v>12</v>
      </c>
      <c r="R358" s="35"/>
      <c r="S358" s="35"/>
      <c r="T358" s="35"/>
      <c r="U358" s="74" t="e">
        <f>AVERAGE(Tableau1[[#This Row],[1ère composition]:[3è Composition]])</f>
        <v>#DIV/0!</v>
      </c>
    </row>
    <row r="359" spans="1:21" hidden="1" x14ac:dyDescent="0.2">
      <c r="A359" s="1" t="s">
        <v>3045</v>
      </c>
      <c r="B359" s="1" t="s">
        <v>3055</v>
      </c>
      <c r="C359" s="1" t="s">
        <v>3719</v>
      </c>
      <c r="D359" s="1"/>
      <c r="E359" s="1">
        <v>2021</v>
      </c>
      <c r="F359" s="1">
        <v>45</v>
      </c>
      <c r="G359" s="1">
        <v>11</v>
      </c>
      <c r="H359" s="76" t="str">
        <f>Tableau1[[#This Row],[Annee d''inscription au programme]]&amp;"-"&amp;Tableau1[[#This Row],[Code d''ecole]]&amp;"-"&amp;Tableau1[[#This Row],[Numero HM de la fille]]</f>
        <v>2021-45-11</v>
      </c>
      <c r="I359" s="1"/>
      <c r="J359" s="1" t="s">
        <v>3505</v>
      </c>
      <c r="K359" s="35" t="s">
        <v>298</v>
      </c>
      <c r="L359" s="35">
        <v>15.5</v>
      </c>
      <c r="M359" s="35">
        <v>20</v>
      </c>
      <c r="N359" s="35">
        <f t="shared" si="10"/>
        <v>17.75</v>
      </c>
      <c r="O359" s="35">
        <v>20</v>
      </c>
      <c r="P359" s="35">
        <v>17.5</v>
      </c>
      <c r="Q359" s="35">
        <f t="shared" si="11"/>
        <v>18.75</v>
      </c>
      <c r="R359" s="35"/>
      <c r="S359" s="35"/>
      <c r="T359" s="35"/>
      <c r="U359" s="74" t="e">
        <f>AVERAGE(Tableau1[[#This Row],[1ère composition]:[3è Composition]])</f>
        <v>#DIV/0!</v>
      </c>
    </row>
    <row r="360" spans="1:21" hidden="1" x14ac:dyDescent="0.2">
      <c r="A360" s="1" t="s">
        <v>3045</v>
      </c>
      <c r="B360" s="1" t="s">
        <v>3056</v>
      </c>
      <c r="C360" s="1" t="s">
        <v>3719</v>
      </c>
      <c r="D360" s="1"/>
      <c r="E360" s="1">
        <v>2021</v>
      </c>
      <c r="F360" s="1">
        <v>45</v>
      </c>
      <c r="G360" s="1">
        <v>12</v>
      </c>
      <c r="H360" s="76" t="str">
        <f>Tableau1[[#This Row],[Annee d''inscription au programme]]&amp;"-"&amp;Tableau1[[#This Row],[Code d''ecole]]&amp;"-"&amp;Tableau1[[#This Row],[Numero HM de la fille]]</f>
        <v>2021-45-12</v>
      </c>
      <c r="I360" s="1"/>
      <c r="J360" s="1" t="s">
        <v>3505</v>
      </c>
      <c r="K360" s="35" t="s">
        <v>298</v>
      </c>
      <c r="L360" s="35">
        <v>12</v>
      </c>
      <c r="M360" s="35">
        <v>4</v>
      </c>
      <c r="N360" s="35">
        <f t="shared" si="10"/>
        <v>8</v>
      </c>
      <c r="O360" s="35">
        <v>9</v>
      </c>
      <c r="P360" s="35">
        <v>16</v>
      </c>
      <c r="Q360" s="35">
        <f t="shared" si="11"/>
        <v>12.5</v>
      </c>
      <c r="R360" s="35"/>
      <c r="S360" s="35"/>
      <c r="T360" s="35"/>
      <c r="U360" s="74" t="e">
        <f>AVERAGE(Tableau1[[#This Row],[1ère composition]:[3è Composition]])</f>
        <v>#DIV/0!</v>
      </c>
    </row>
    <row r="361" spans="1:21" hidden="1" x14ac:dyDescent="0.2">
      <c r="A361" s="1" t="s">
        <v>3045</v>
      </c>
      <c r="B361" s="1" t="s">
        <v>3057</v>
      </c>
      <c r="C361" s="1" t="s">
        <v>3719</v>
      </c>
      <c r="D361" s="1"/>
      <c r="E361" s="1">
        <v>2020</v>
      </c>
      <c r="F361" s="1">
        <v>45</v>
      </c>
      <c r="G361" s="1">
        <v>13</v>
      </c>
      <c r="H361" s="76" t="str">
        <f>Tableau1[[#This Row],[Annee d''inscription au programme]]&amp;"-"&amp;Tableau1[[#This Row],[Code d''ecole]]&amp;"-"&amp;Tableau1[[#This Row],[Numero HM de la fille]]</f>
        <v>2020-45-13</v>
      </c>
      <c r="I361" s="1"/>
      <c r="J361" s="1" t="s">
        <v>374</v>
      </c>
      <c r="K361" s="35" t="s">
        <v>3518</v>
      </c>
      <c r="L361" s="35">
        <v>7</v>
      </c>
      <c r="M361" s="35">
        <v>4</v>
      </c>
      <c r="N361" s="35">
        <f t="shared" si="10"/>
        <v>5.5</v>
      </c>
      <c r="O361" s="35">
        <v>8</v>
      </c>
      <c r="P361" s="35">
        <v>10</v>
      </c>
      <c r="Q361" s="35">
        <f t="shared" si="11"/>
        <v>9</v>
      </c>
      <c r="R361" s="35"/>
      <c r="S361" s="35"/>
      <c r="T361" s="35"/>
      <c r="U361" s="74" t="e">
        <f>AVERAGE(Tableau1[[#This Row],[1ère composition]:[3è Composition]])</f>
        <v>#DIV/0!</v>
      </c>
    </row>
    <row r="362" spans="1:21" hidden="1" x14ac:dyDescent="0.2">
      <c r="A362" s="1" t="s">
        <v>3045</v>
      </c>
      <c r="B362" s="1" t="s">
        <v>3058</v>
      </c>
      <c r="C362" s="1" t="s">
        <v>3719</v>
      </c>
      <c r="D362" s="1"/>
      <c r="E362" s="1">
        <v>2021</v>
      </c>
      <c r="F362" s="1">
        <v>45</v>
      </c>
      <c r="G362" s="1">
        <v>14</v>
      </c>
      <c r="H362" s="76" t="str">
        <f>Tableau1[[#This Row],[Annee d''inscription au programme]]&amp;"-"&amp;Tableau1[[#This Row],[Code d''ecole]]&amp;"-"&amp;Tableau1[[#This Row],[Numero HM de la fille]]</f>
        <v>2021-45-14</v>
      </c>
      <c r="I362" s="1"/>
      <c r="J362" s="1" t="s">
        <v>3505</v>
      </c>
      <c r="K362" s="35" t="s">
        <v>298</v>
      </c>
      <c r="L362" s="35">
        <v>14.5</v>
      </c>
      <c r="M362" s="35">
        <v>4.75</v>
      </c>
      <c r="N362" s="35">
        <f t="shared" si="10"/>
        <v>9.625</v>
      </c>
      <c r="O362" s="35">
        <v>7</v>
      </c>
      <c r="P362" s="35">
        <v>15</v>
      </c>
      <c r="Q362" s="35">
        <f t="shared" si="11"/>
        <v>11</v>
      </c>
      <c r="R362" s="35"/>
      <c r="S362" s="35"/>
      <c r="T362" s="35"/>
      <c r="U362" s="74" t="e">
        <f>AVERAGE(Tableau1[[#This Row],[1ère composition]:[3è Composition]])</f>
        <v>#DIV/0!</v>
      </c>
    </row>
    <row r="363" spans="1:21" hidden="1" x14ac:dyDescent="0.2">
      <c r="A363" s="1" t="s">
        <v>3045</v>
      </c>
      <c r="B363" s="1" t="s">
        <v>3544</v>
      </c>
      <c r="C363" s="75" t="s">
        <v>3769</v>
      </c>
      <c r="D363" s="1"/>
      <c r="E363" s="1">
        <v>2020</v>
      </c>
      <c r="F363" s="1">
        <v>45</v>
      </c>
      <c r="G363" s="1">
        <v>184</v>
      </c>
      <c r="H363" s="76" t="str">
        <f>Tableau1[[#This Row],[Annee d''inscription au programme]]&amp;"-"&amp;Tableau1[[#This Row],[Code d''ecole]]&amp;"-"&amp;Tableau1[[#This Row],[Numero HM de la fille]]</f>
        <v>2020-45-184</v>
      </c>
      <c r="I363" s="1"/>
      <c r="J363" s="1" t="s">
        <v>374</v>
      </c>
      <c r="K363" s="35" t="s">
        <v>3518</v>
      </c>
      <c r="L363" s="35">
        <v>2.5</v>
      </c>
      <c r="M363" s="35">
        <v>3.5</v>
      </c>
      <c r="N363" s="35">
        <f t="shared" si="10"/>
        <v>3</v>
      </c>
      <c r="O363" s="35">
        <v>4.5</v>
      </c>
      <c r="P363" s="35">
        <v>8</v>
      </c>
      <c r="Q363" s="35">
        <f t="shared" si="11"/>
        <v>6.25</v>
      </c>
      <c r="R363" s="35"/>
      <c r="S363" s="35"/>
      <c r="T363" s="35"/>
      <c r="U363" s="74" t="e">
        <f>AVERAGE(Tableau1[[#This Row],[1ère composition]:[3è Composition]])</f>
        <v>#DIV/0!</v>
      </c>
    </row>
    <row r="364" spans="1:21" hidden="1" x14ac:dyDescent="0.2">
      <c r="A364" s="1" t="s">
        <v>3045</v>
      </c>
      <c r="B364" s="1" t="s">
        <v>3545</v>
      </c>
      <c r="C364" s="1" t="s">
        <v>3719</v>
      </c>
      <c r="D364" s="1"/>
      <c r="E364" s="1">
        <v>2020</v>
      </c>
      <c r="F364" s="1">
        <v>45</v>
      </c>
      <c r="G364" s="1">
        <v>195</v>
      </c>
      <c r="H364" s="76" t="str">
        <f>Tableau1[[#This Row],[Annee d''inscription au programme]]&amp;"-"&amp;Tableau1[[#This Row],[Code d''ecole]]&amp;"-"&amp;Tableau1[[#This Row],[Numero HM de la fille]]</f>
        <v>2020-45-195</v>
      </c>
      <c r="I364" s="1"/>
      <c r="J364" s="1" t="s">
        <v>374</v>
      </c>
      <c r="K364" s="35" t="s">
        <v>3518</v>
      </c>
      <c r="L364" s="35">
        <v>14.5</v>
      </c>
      <c r="M364" s="35">
        <v>13.5</v>
      </c>
      <c r="N364" s="35">
        <f t="shared" si="10"/>
        <v>14</v>
      </c>
      <c r="O364" s="35">
        <v>13.5</v>
      </c>
      <c r="P364" s="35">
        <v>15.5</v>
      </c>
      <c r="Q364" s="35">
        <f t="shared" si="11"/>
        <v>14.5</v>
      </c>
      <c r="R364" s="35"/>
      <c r="S364" s="35"/>
      <c r="T364" s="35"/>
      <c r="U364" s="74" t="e">
        <f>AVERAGE(Tableau1[[#This Row],[1ère composition]:[3è Composition]])</f>
        <v>#DIV/0!</v>
      </c>
    </row>
    <row r="365" spans="1:21" hidden="1" x14ac:dyDescent="0.2">
      <c r="A365" s="1" t="s">
        <v>3045</v>
      </c>
      <c r="B365" s="1" t="s">
        <v>3546</v>
      </c>
      <c r="C365" s="1" t="s">
        <v>3767</v>
      </c>
      <c r="D365" s="1"/>
      <c r="E365" s="1">
        <v>2020</v>
      </c>
      <c r="F365" s="1">
        <v>45</v>
      </c>
      <c r="G365" s="1">
        <v>174</v>
      </c>
      <c r="H365" s="76" t="str">
        <f>Tableau1[[#This Row],[Annee d''inscription au programme]]&amp;"-"&amp;Tableau1[[#This Row],[Code d''ecole]]&amp;"-"&amp;Tableau1[[#This Row],[Numero HM de la fille]]</f>
        <v>2020-45-174</v>
      </c>
      <c r="I365" s="1"/>
      <c r="J365" s="1" t="s">
        <v>374</v>
      </c>
      <c r="K365" s="35" t="s">
        <v>3518</v>
      </c>
      <c r="L365" s="35">
        <v>14</v>
      </c>
      <c r="M365" s="35">
        <v>10.5</v>
      </c>
      <c r="N365" s="35">
        <f t="shared" si="10"/>
        <v>12.25</v>
      </c>
      <c r="O365" s="35">
        <v>13.5</v>
      </c>
      <c r="P365" s="35">
        <v>15</v>
      </c>
      <c r="Q365" s="35">
        <f t="shared" si="11"/>
        <v>14.25</v>
      </c>
      <c r="R365" s="35"/>
      <c r="S365" s="35"/>
      <c r="T365" s="35"/>
      <c r="U365" s="74" t="e">
        <f>AVERAGE(Tableau1[[#This Row],[1ère composition]:[3è Composition]])</f>
        <v>#DIV/0!</v>
      </c>
    </row>
    <row r="366" spans="1:21" hidden="1" x14ac:dyDescent="0.2">
      <c r="A366" s="1" t="s">
        <v>3045</v>
      </c>
      <c r="B366" s="1" t="s">
        <v>3059</v>
      </c>
      <c r="C366" s="1" t="s">
        <v>3719</v>
      </c>
      <c r="D366" s="1"/>
      <c r="E366" s="1">
        <v>2021</v>
      </c>
      <c r="F366" s="1">
        <v>45</v>
      </c>
      <c r="G366" s="1">
        <v>15</v>
      </c>
      <c r="H366" s="76" t="str">
        <f>Tableau1[[#This Row],[Annee d''inscription au programme]]&amp;"-"&amp;Tableau1[[#This Row],[Code d''ecole]]&amp;"-"&amp;Tableau1[[#This Row],[Numero HM de la fille]]</f>
        <v>2021-45-15</v>
      </c>
      <c r="I366" s="1"/>
      <c r="J366" s="1" t="s">
        <v>593</v>
      </c>
      <c r="K366" s="35" t="s">
        <v>298</v>
      </c>
      <c r="L366" s="35">
        <v>20</v>
      </c>
      <c r="M366" s="35">
        <v>19</v>
      </c>
      <c r="N366" s="35">
        <f t="shared" si="10"/>
        <v>19.5</v>
      </c>
      <c r="O366" s="35">
        <v>20</v>
      </c>
      <c r="P366" s="35">
        <v>18</v>
      </c>
      <c r="Q366" s="35">
        <f t="shared" si="11"/>
        <v>19</v>
      </c>
      <c r="R366" s="35"/>
      <c r="S366" s="35"/>
      <c r="T366" s="35"/>
      <c r="U366" s="74" t="e">
        <f>AVERAGE(Tableau1[[#This Row],[1ère composition]:[3è Composition]])</f>
        <v>#DIV/0!</v>
      </c>
    </row>
    <row r="367" spans="1:21" hidden="1" x14ac:dyDescent="0.2">
      <c r="A367" s="1" t="s">
        <v>3045</v>
      </c>
      <c r="B367" s="1" t="s">
        <v>3060</v>
      </c>
      <c r="C367" s="1" t="s">
        <v>3719</v>
      </c>
      <c r="D367" s="1"/>
      <c r="E367" s="1">
        <v>2021</v>
      </c>
      <c r="F367" s="1">
        <v>45</v>
      </c>
      <c r="G367" s="1">
        <v>16</v>
      </c>
      <c r="H367" s="76" t="str">
        <f>Tableau1[[#This Row],[Annee d''inscription au programme]]&amp;"-"&amp;Tableau1[[#This Row],[Code d''ecole]]&amp;"-"&amp;Tableau1[[#This Row],[Numero HM de la fille]]</f>
        <v>2021-45-16</v>
      </c>
      <c r="I367" s="1"/>
      <c r="J367" s="1" t="s">
        <v>3505</v>
      </c>
      <c r="K367" s="35" t="s">
        <v>298</v>
      </c>
      <c r="L367" s="35">
        <v>11.5</v>
      </c>
      <c r="M367" s="35">
        <v>17</v>
      </c>
      <c r="N367" s="35">
        <f t="shared" si="10"/>
        <v>14.25</v>
      </c>
      <c r="O367" s="35">
        <v>15.5</v>
      </c>
      <c r="P367" s="35">
        <v>17.5</v>
      </c>
      <c r="Q367" s="35">
        <f t="shared" si="11"/>
        <v>16.5</v>
      </c>
      <c r="R367" s="35"/>
      <c r="S367" s="35"/>
      <c r="T367" s="35"/>
      <c r="U367" s="74" t="e">
        <f>AVERAGE(Tableau1[[#This Row],[1ère composition]:[3è Composition]])</f>
        <v>#DIV/0!</v>
      </c>
    </row>
    <row r="368" spans="1:21" hidden="1" x14ac:dyDescent="0.2">
      <c r="A368" s="1" t="s">
        <v>3045</v>
      </c>
      <c r="B368" s="1" t="s">
        <v>3061</v>
      </c>
      <c r="C368" s="1" t="s">
        <v>3719</v>
      </c>
      <c r="D368" s="1"/>
      <c r="E368" s="1">
        <v>2021</v>
      </c>
      <c r="F368" s="1">
        <v>45</v>
      </c>
      <c r="G368" s="1">
        <v>17</v>
      </c>
      <c r="H368" s="76" t="str">
        <f>Tableau1[[#This Row],[Annee d''inscription au programme]]&amp;"-"&amp;Tableau1[[#This Row],[Code d''ecole]]&amp;"-"&amp;Tableau1[[#This Row],[Numero HM de la fille]]</f>
        <v>2021-45-17</v>
      </c>
      <c r="I368" s="1"/>
      <c r="J368" s="1" t="s">
        <v>3505</v>
      </c>
      <c r="K368" s="35" t="s">
        <v>298</v>
      </c>
      <c r="L368" s="35">
        <v>9.5</v>
      </c>
      <c r="M368" s="35">
        <v>4.75</v>
      </c>
      <c r="N368" s="35">
        <f t="shared" si="10"/>
        <v>7.125</v>
      </c>
      <c r="O368" s="35">
        <v>9</v>
      </c>
      <c r="P368" s="35">
        <v>12.5</v>
      </c>
      <c r="Q368" s="35">
        <f t="shared" si="11"/>
        <v>10.75</v>
      </c>
      <c r="R368" s="35"/>
      <c r="S368" s="35"/>
      <c r="T368" s="35"/>
      <c r="U368" s="74" t="e">
        <f>AVERAGE(Tableau1[[#This Row],[1ère composition]:[3è Composition]])</f>
        <v>#DIV/0!</v>
      </c>
    </row>
    <row r="369" spans="1:21" hidden="1" x14ac:dyDescent="0.2">
      <c r="A369" s="1" t="s">
        <v>3045</v>
      </c>
      <c r="B369" s="1" t="s">
        <v>3062</v>
      </c>
      <c r="C369" s="1" t="s">
        <v>3719</v>
      </c>
      <c r="D369" s="1"/>
      <c r="E369" s="1">
        <v>2021</v>
      </c>
      <c r="F369" s="1">
        <v>45</v>
      </c>
      <c r="G369" s="1">
        <v>18</v>
      </c>
      <c r="H369" s="76" t="str">
        <f>Tableau1[[#This Row],[Annee d''inscription au programme]]&amp;"-"&amp;Tableau1[[#This Row],[Code d''ecole]]&amp;"-"&amp;Tableau1[[#This Row],[Numero HM de la fille]]</f>
        <v>2021-45-18</v>
      </c>
      <c r="I369" s="1"/>
      <c r="J369" s="1" t="s">
        <v>3505</v>
      </c>
      <c r="K369" s="35" t="s">
        <v>298</v>
      </c>
      <c r="L369" s="35">
        <v>12</v>
      </c>
      <c r="M369" s="35">
        <v>18.5</v>
      </c>
      <c r="N369" s="35">
        <f t="shared" si="10"/>
        <v>15.25</v>
      </c>
      <c r="O369" s="35">
        <v>16</v>
      </c>
      <c r="P369" s="35">
        <v>12.5</v>
      </c>
      <c r="Q369" s="35">
        <f t="shared" si="11"/>
        <v>14.25</v>
      </c>
      <c r="R369" s="35"/>
      <c r="S369" s="35"/>
      <c r="T369" s="35"/>
      <c r="U369" s="74" t="e">
        <f>AVERAGE(Tableau1[[#This Row],[1ère composition]:[3è Composition]])</f>
        <v>#DIV/0!</v>
      </c>
    </row>
    <row r="370" spans="1:21" hidden="1" x14ac:dyDescent="0.2">
      <c r="A370" s="1" t="s">
        <v>3045</v>
      </c>
      <c r="B370" s="1" t="s">
        <v>3063</v>
      </c>
      <c r="C370" s="1" t="s">
        <v>3719</v>
      </c>
      <c r="D370" s="1"/>
      <c r="E370" s="1">
        <v>2021</v>
      </c>
      <c r="F370" s="1">
        <v>45</v>
      </c>
      <c r="G370" s="1">
        <v>19</v>
      </c>
      <c r="H370" s="76" t="str">
        <f>Tableau1[[#This Row],[Annee d''inscription au programme]]&amp;"-"&amp;Tableau1[[#This Row],[Code d''ecole]]&amp;"-"&amp;Tableau1[[#This Row],[Numero HM de la fille]]</f>
        <v>2021-45-19</v>
      </c>
      <c r="I370" s="1"/>
      <c r="J370" s="1" t="s">
        <v>593</v>
      </c>
      <c r="K370" s="35" t="s">
        <v>298</v>
      </c>
      <c r="L370" s="35">
        <v>14.5</v>
      </c>
      <c r="M370" s="35">
        <v>17</v>
      </c>
      <c r="N370" s="35">
        <f t="shared" si="10"/>
        <v>15.75</v>
      </c>
      <c r="O370" s="35">
        <v>20</v>
      </c>
      <c r="P370" s="35">
        <v>19</v>
      </c>
      <c r="Q370" s="35">
        <f t="shared" si="11"/>
        <v>19.5</v>
      </c>
      <c r="R370" s="35"/>
      <c r="S370" s="35"/>
      <c r="T370" s="35"/>
      <c r="U370" s="74" t="e">
        <f>AVERAGE(Tableau1[[#This Row],[1ère composition]:[3è Composition]])</f>
        <v>#DIV/0!</v>
      </c>
    </row>
    <row r="371" spans="1:21" hidden="1" x14ac:dyDescent="0.2">
      <c r="A371" s="1" t="s">
        <v>3045</v>
      </c>
      <c r="B371" s="1" t="s">
        <v>2823</v>
      </c>
      <c r="C371" s="1" t="s">
        <v>3719</v>
      </c>
      <c r="D371" s="1"/>
      <c r="E371" s="1">
        <v>2021</v>
      </c>
      <c r="F371" s="1">
        <v>45</v>
      </c>
      <c r="G371" s="1">
        <v>20</v>
      </c>
      <c r="H371" s="76" t="str">
        <f>Tableau1[[#This Row],[Annee d''inscription au programme]]&amp;"-"&amp;Tableau1[[#This Row],[Code d''ecole]]&amp;"-"&amp;Tableau1[[#This Row],[Numero HM de la fille]]</f>
        <v>2021-45-20</v>
      </c>
      <c r="I371" s="1"/>
      <c r="J371" s="1" t="s">
        <v>593</v>
      </c>
      <c r="K371" s="35" t="s">
        <v>298</v>
      </c>
      <c r="L371" s="35">
        <v>2.5</v>
      </c>
      <c r="M371" s="35">
        <v>1</v>
      </c>
      <c r="N371" s="35">
        <f t="shared" si="10"/>
        <v>1.75</v>
      </c>
      <c r="O371" s="35">
        <v>0.5</v>
      </c>
      <c r="P371" s="35">
        <v>6</v>
      </c>
      <c r="Q371" s="35">
        <f t="shared" si="11"/>
        <v>3.25</v>
      </c>
      <c r="R371" s="35"/>
      <c r="S371" s="35"/>
      <c r="T371" s="35"/>
      <c r="U371" s="74" t="e">
        <f>AVERAGE(Tableau1[[#This Row],[1ère composition]:[3è Composition]])</f>
        <v>#DIV/0!</v>
      </c>
    </row>
    <row r="372" spans="1:21" hidden="1" x14ac:dyDescent="0.2">
      <c r="A372" s="1" t="s">
        <v>3045</v>
      </c>
      <c r="B372" s="1" t="s">
        <v>3064</v>
      </c>
      <c r="C372" s="1" t="s">
        <v>3719</v>
      </c>
      <c r="D372" s="1"/>
      <c r="E372" s="1">
        <v>2021</v>
      </c>
      <c r="F372" s="1">
        <v>45</v>
      </c>
      <c r="G372" s="1">
        <v>21</v>
      </c>
      <c r="H372" s="76" t="str">
        <f>Tableau1[[#This Row],[Annee d''inscription au programme]]&amp;"-"&amp;Tableau1[[#This Row],[Code d''ecole]]&amp;"-"&amp;Tableau1[[#This Row],[Numero HM de la fille]]</f>
        <v>2021-45-21</v>
      </c>
      <c r="I372" s="1"/>
      <c r="J372" s="1" t="s">
        <v>3505</v>
      </c>
      <c r="K372" s="35" t="s">
        <v>298</v>
      </c>
      <c r="L372" s="35">
        <v>7.5</v>
      </c>
      <c r="M372" s="35">
        <v>12.5</v>
      </c>
      <c r="N372" s="35">
        <f t="shared" si="10"/>
        <v>10</v>
      </c>
      <c r="O372" s="35">
        <v>11</v>
      </c>
      <c r="P372" s="35">
        <v>11.5</v>
      </c>
      <c r="Q372" s="35">
        <f t="shared" si="11"/>
        <v>11.25</v>
      </c>
      <c r="R372" s="35"/>
      <c r="S372" s="35"/>
      <c r="T372" s="35"/>
      <c r="U372" s="74" t="e">
        <f>AVERAGE(Tableau1[[#This Row],[1ère composition]:[3è Composition]])</f>
        <v>#DIV/0!</v>
      </c>
    </row>
    <row r="373" spans="1:21" hidden="1" x14ac:dyDescent="0.2">
      <c r="A373" s="1" t="s">
        <v>3045</v>
      </c>
      <c r="B373" s="1" t="s">
        <v>3065</v>
      </c>
      <c r="C373" s="1" t="s">
        <v>3719</v>
      </c>
      <c r="D373" s="1"/>
      <c r="E373" s="1">
        <v>2021</v>
      </c>
      <c r="F373" s="1">
        <v>45</v>
      </c>
      <c r="G373" s="1">
        <v>22</v>
      </c>
      <c r="H373" s="76" t="str">
        <f>Tableau1[[#This Row],[Annee d''inscription au programme]]&amp;"-"&amp;Tableau1[[#This Row],[Code d''ecole]]&amp;"-"&amp;Tableau1[[#This Row],[Numero HM de la fille]]</f>
        <v>2021-45-22</v>
      </c>
      <c r="I373" s="1"/>
      <c r="J373" s="1" t="s">
        <v>3505</v>
      </c>
      <c r="K373" s="35" t="s">
        <v>298</v>
      </c>
      <c r="L373" s="35">
        <v>9.5</v>
      </c>
      <c r="M373" s="35">
        <v>10</v>
      </c>
      <c r="N373" s="35">
        <f t="shared" si="10"/>
        <v>9.75</v>
      </c>
      <c r="O373" s="35">
        <v>6</v>
      </c>
      <c r="P373" s="35">
        <v>9</v>
      </c>
      <c r="Q373" s="35">
        <f t="shared" si="11"/>
        <v>7.5</v>
      </c>
      <c r="R373" s="35"/>
      <c r="S373" s="35"/>
      <c r="T373" s="35"/>
      <c r="U373" s="74" t="e">
        <f>AVERAGE(Tableau1[[#This Row],[1ère composition]:[3è Composition]])</f>
        <v>#DIV/0!</v>
      </c>
    </row>
    <row r="374" spans="1:21" hidden="1" x14ac:dyDescent="0.2">
      <c r="A374" s="1" t="s">
        <v>3045</v>
      </c>
      <c r="B374" s="1" t="s">
        <v>3066</v>
      </c>
      <c r="C374" s="1" t="s">
        <v>3719</v>
      </c>
      <c r="D374" s="1"/>
      <c r="E374" s="1">
        <v>2021</v>
      </c>
      <c r="F374" s="1">
        <v>45</v>
      </c>
      <c r="G374" s="1">
        <v>23</v>
      </c>
      <c r="H374" s="76" t="str">
        <f>Tableau1[[#This Row],[Annee d''inscription au programme]]&amp;"-"&amp;Tableau1[[#This Row],[Code d''ecole]]&amp;"-"&amp;Tableau1[[#This Row],[Numero HM de la fille]]</f>
        <v>2021-45-23</v>
      </c>
      <c r="I374" s="1"/>
      <c r="J374" s="1" t="s">
        <v>593</v>
      </c>
      <c r="K374" s="35" t="s">
        <v>298</v>
      </c>
      <c r="L374" s="35">
        <v>16.5</v>
      </c>
      <c r="M374" s="35">
        <v>19.75</v>
      </c>
      <c r="N374" s="35">
        <f t="shared" si="10"/>
        <v>18.125</v>
      </c>
      <c r="O374" s="35">
        <v>20</v>
      </c>
      <c r="P374" s="35">
        <v>14.5</v>
      </c>
      <c r="Q374" s="35">
        <f t="shared" si="11"/>
        <v>17.25</v>
      </c>
      <c r="R374" s="35"/>
      <c r="S374" s="35"/>
      <c r="T374" s="35"/>
      <c r="U374" s="74" t="e">
        <f>AVERAGE(Tableau1[[#This Row],[1ère composition]:[3è Composition]])</f>
        <v>#DIV/0!</v>
      </c>
    </row>
    <row r="375" spans="1:21" hidden="1" x14ac:dyDescent="0.2">
      <c r="A375" s="1" t="s">
        <v>3045</v>
      </c>
      <c r="B375" s="1" t="s">
        <v>3067</v>
      </c>
      <c r="C375" s="1" t="s">
        <v>3719</v>
      </c>
      <c r="D375" s="1"/>
      <c r="E375" s="1">
        <v>2021</v>
      </c>
      <c r="F375" s="1">
        <v>45</v>
      </c>
      <c r="G375" s="1">
        <v>25</v>
      </c>
      <c r="H375" s="76" t="str">
        <f>Tableau1[[#This Row],[Annee d''inscription au programme]]&amp;"-"&amp;Tableau1[[#This Row],[Code d''ecole]]&amp;"-"&amp;Tableau1[[#This Row],[Numero HM de la fille]]</f>
        <v>2021-45-25</v>
      </c>
      <c r="I375" s="1"/>
      <c r="J375" s="1" t="s">
        <v>593</v>
      </c>
      <c r="K375" s="35" t="s">
        <v>298</v>
      </c>
      <c r="L375" s="35">
        <v>14</v>
      </c>
      <c r="M375" s="35">
        <v>20</v>
      </c>
      <c r="N375" s="35">
        <f t="shared" si="10"/>
        <v>17</v>
      </c>
      <c r="O375" s="35">
        <v>20</v>
      </c>
      <c r="P375" s="35">
        <v>17.5</v>
      </c>
      <c r="Q375" s="35">
        <f t="shared" si="11"/>
        <v>18.75</v>
      </c>
      <c r="R375" s="35"/>
      <c r="S375" s="35"/>
      <c r="T375" s="35"/>
      <c r="U375" s="74" t="e">
        <f>AVERAGE(Tableau1[[#This Row],[1ère composition]:[3è Composition]])</f>
        <v>#DIV/0!</v>
      </c>
    </row>
    <row r="376" spans="1:21" hidden="1" x14ac:dyDescent="0.2">
      <c r="A376" s="1" t="s">
        <v>3045</v>
      </c>
      <c r="B376" s="1" t="s">
        <v>480</v>
      </c>
      <c r="C376" s="1" t="s">
        <v>3719</v>
      </c>
      <c r="D376" s="1"/>
      <c r="E376" s="1">
        <v>2021</v>
      </c>
      <c r="F376" s="1">
        <v>45</v>
      </c>
      <c r="G376" s="1">
        <v>26</v>
      </c>
      <c r="H376" s="76" t="str">
        <f>Tableau1[[#This Row],[Annee d''inscription au programme]]&amp;"-"&amp;Tableau1[[#This Row],[Code d''ecole]]&amp;"-"&amp;Tableau1[[#This Row],[Numero HM de la fille]]</f>
        <v>2021-45-26</v>
      </c>
      <c r="I376" s="1"/>
      <c r="J376" s="1" t="s">
        <v>3505</v>
      </c>
      <c r="K376" s="35" t="s">
        <v>298</v>
      </c>
      <c r="L376" s="35">
        <v>11</v>
      </c>
      <c r="M376" s="35">
        <v>14</v>
      </c>
      <c r="N376" s="35">
        <f t="shared" si="10"/>
        <v>12.5</v>
      </c>
      <c r="O376" s="35">
        <v>10</v>
      </c>
      <c r="P376" s="35">
        <v>8.5</v>
      </c>
      <c r="Q376" s="35">
        <f t="shared" si="11"/>
        <v>9.25</v>
      </c>
      <c r="R376" s="35"/>
      <c r="S376" s="35"/>
      <c r="T376" s="35"/>
      <c r="U376" s="74" t="e">
        <f>AVERAGE(Tableau1[[#This Row],[1ère composition]:[3è Composition]])</f>
        <v>#DIV/0!</v>
      </c>
    </row>
    <row r="377" spans="1:21" hidden="1" x14ac:dyDescent="0.2">
      <c r="A377" s="1" t="s">
        <v>3045</v>
      </c>
      <c r="B377" s="1" t="s">
        <v>3068</v>
      </c>
      <c r="C377" s="1" t="s">
        <v>3719</v>
      </c>
      <c r="D377" s="1"/>
      <c r="E377" s="1">
        <v>2021</v>
      </c>
      <c r="F377" s="1">
        <v>45</v>
      </c>
      <c r="G377" s="1">
        <v>27</v>
      </c>
      <c r="H377" s="76" t="str">
        <f>Tableau1[[#This Row],[Annee d''inscription au programme]]&amp;"-"&amp;Tableau1[[#This Row],[Code d''ecole]]&amp;"-"&amp;Tableau1[[#This Row],[Numero HM de la fille]]</f>
        <v>2021-45-27</v>
      </c>
      <c r="I377" s="1"/>
      <c r="J377" s="1" t="s">
        <v>593</v>
      </c>
      <c r="K377" s="35" t="s">
        <v>298</v>
      </c>
      <c r="L377" s="35">
        <v>9</v>
      </c>
      <c r="M377" s="35">
        <v>8</v>
      </c>
      <c r="N377" s="35">
        <f t="shared" si="10"/>
        <v>8.5</v>
      </c>
      <c r="O377" s="35">
        <v>5</v>
      </c>
      <c r="P377" s="35">
        <v>8</v>
      </c>
      <c r="Q377" s="35">
        <f t="shared" si="11"/>
        <v>6.5</v>
      </c>
      <c r="R377" s="35"/>
      <c r="S377" s="35"/>
      <c r="T377" s="35"/>
      <c r="U377" s="74" t="e">
        <f>AVERAGE(Tableau1[[#This Row],[1ère composition]:[3è Composition]])</f>
        <v>#DIV/0!</v>
      </c>
    </row>
    <row r="378" spans="1:21" hidden="1" x14ac:dyDescent="0.2">
      <c r="A378" s="1" t="s">
        <v>3045</v>
      </c>
      <c r="B378" s="1" t="s">
        <v>3069</v>
      </c>
      <c r="C378" s="1" t="s">
        <v>3719</v>
      </c>
      <c r="D378" s="1"/>
      <c r="E378" s="1">
        <v>2020</v>
      </c>
      <c r="F378" s="1">
        <v>45</v>
      </c>
      <c r="G378" s="1">
        <v>201</v>
      </c>
      <c r="H378" s="76" t="str">
        <f>Tableau1[[#This Row],[Annee d''inscription au programme]]&amp;"-"&amp;Tableau1[[#This Row],[Code d''ecole]]&amp;"-"&amp;Tableau1[[#This Row],[Numero HM de la fille]]</f>
        <v>2020-45-201</v>
      </c>
      <c r="I378" s="1"/>
      <c r="J378" s="1" t="s">
        <v>3505</v>
      </c>
      <c r="K378" s="35" t="s">
        <v>298</v>
      </c>
      <c r="L378" s="35">
        <v>11</v>
      </c>
      <c r="M378" s="35">
        <v>5</v>
      </c>
      <c r="N378" s="35">
        <f t="shared" si="10"/>
        <v>8</v>
      </c>
      <c r="O378" s="35">
        <v>5.5</v>
      </c>
      <c r="P378" s="35">
        <v>9</v>
      </c>
      <c r="Q378" s="35">
        <f t="shared" si="11"/>
        <v>7.25</v>
      </c>
      <c r="R378" s="35"/>
      <c r="S378" s="35"/>
      <c r="T378" s="35"/>
      <c r="U378" s="74" t="e">
        <f>AVERAGE(Tableau1[[#This Row],[1ère composition]:[3è Composition]])</f>
        <v>#DIV/0!</v>
      </c>
    </row>
    <row r="379" spans="1:21" hidden="1" x14ac:dyDescent="0.2">
      <c r="A379" s="1" t="s">
        <v>3045</v>
      </c>
      <c r="B379" s="1" t="s">
        <v>2474</v>
      </c>
      <c r="C379" s="1" t="s">
        <v>3719</v>
      </c>
      <c r="D379" s="1"/>
      <c r="E379" s="1">
        <v>2021</v>
      </c>
      <c r="F379" s="1">
        <v>45</v>
      </c>
      <c r="G379" s="1">
        <v>28</v>
      </c>
      <c r="H379" s="76" t="str">
        <f>Tableau1[[#This Row],[Annee d''inscription au programme]]&amp;"-"&amp;Tableau1[[#This Row],[Code d''ecole]]&amp;"-"&amp;Tableau1[[#This Row],[Numero HM de la fille]]</f>
        <v>2021-45-28</v>
      </c>
      <c r="I379" s="1"/>
      <c r="J379" s="1" t="s">
        <v>3505</v>
      </c>
      <c r="K379" s="35" t="s">
        <v>298</v>
      </c>
      <c r="L379" s="35">
        <v>9.5</v>
      </c>
      <c r="M379" s="35">
        <v>4.75</v>
      </c>
      <c r="N379" s="35">
        <f t="shared" si="10"/>
        <v>7.125</v>
      </c>
      <c r="O379" s="35">
        <v>8</v>
      </c>
      <c r="P379" s="35">
        <v>5.5</v>
      </c>
      <c r="Q379" s="35">
        <f t="shared" si="11"/>
        <v>6.75</v>
      </c>
      <c r="R379" s="35"/>
      <c r="S379" s="35"/>
      <c r="T379" s="35"/>
      <c r="U379" s="74" t="e">
        <f>AVERAGE(Tableau1[[#This Row],[1ère composition]:[3è Composition]])</f>
        <v>#DIV/0!</v>
      </c>
    </row>
    <row r="380" spans="1:21" hidden="1" x14ac:dyDescent="0.2">
      <c r="A380" s="1" t="s">
        <v>91</v>
      </c>
      <c r="B380" s="1" t="s">
        <v>3070</v>
      </c>
      <c r="C380" s="1" t="s">
        <v>3668</v>
      </c>
      <c r="D380" s="1">
        <v>88915006</v>
      </c>
      <c r="E380" s="1">
        <v>2021</v>
      </c>
      <c r="F380" s="1">
        <v>10</v>
      </c>
      <c r="G380" s="1">
        <v>1</v>
      </c>
      <c r="H380" s="76" t="str">
        <f>Tableau1[[#This Row],[Annee d''inscription au programme]]&amp;"-"&amp;Tableau1[[#This Row],[Code d''ecole]]&amp;"-"&amp;Tableau1[[#This Row],[Numero HM de la fille]]</f>
        <v>2021-10-1</v>
      </c>
      <c r="I380" s="1"/>
      <c r="J380" s="1" t="s">
        <v>3505</v>
      </c>
      <c r="K380" s="35" t="s">
        <v>298</v>
      </c>
      <c r="L380" s="35">
        <v>12.5</v>
      </c>
      <c r="M380" s="35">
        <v>15</v>
      </c>
      <c r="N380" s="35">
        <f t="shared" si="10"/>
        <v>13.75</v>
      </c>
      <c r="O380" s="35"/>
      <c r="P380" s="35"/>
      <c r="Q380" s="35">
        <f t="shared" si="11"/>
        <v>0</v>
      </c>
      <c r="R380" s="35"/>
      <c r="S380" s="35"/>
      <c r="T380" s="35"/>
      <c r="U380" s="74" t="e">
        <f>AVERAGE(Tableau1[[#This Row],[1ère composition]:[3è Composition]])</f>
        <v>#DIV/0!</v>
      </c>
    </row>
    <row r="381" spans="1:21" hidden="1" x14ac:dyDescent="0.2">
      <c r="A381" s="1" t="s">
        <v>91</v>
      </c>
      <c r="B381" s="1" t="s">
        <v>3071</v>
      </c>
      <c r="C381" s="1" t="s">
        <v>3669</v>
      </c>
      <c r="D381" s="1">
        <v>96024389</v>
      </c>
      <c r="E381" s="1">
        <v>2021</v>
      </c>
      <c r="F381" s="1">
        <v>10</v>
      </c>
      <c r="G381" s="1">
        <v>2</v>
      </c>
      <c r="H381" s="76" t="str">
        <f>Tableau1[[#This Row],[Annee d''inscription au programme]]&amp;"-"&amp;Tableau1[[#This Row],[Code d''ecole]]&amp;"-"&amp;Tableau1[[#This Row],[Numero HM de la fille]]</f>
        <v>2021-10-2</v>
      </c>
      <c r="I381" s="1"/>
      <c r="J381" s="1" t="s">
        <v>3505</v>
      </c>
      <c r="K381" s="35" t="s">
        <v>298</v>
      </c>
      <c r="L381" s="35">
        <v>11.5</v>
      </c>
      <c r="M381" s="35">
        <v>17</v>
      </c>
      <c r="N381" s="35">
        <f t="shared" si="10"/>
        <v>14.25</v>
      </c>
      <c r="O381" s="35"/>
      <c r="P381" s="35"/>
      <c r="Q381" s="35">
        <f t="shared" si="11"/>
        <v>0</v>
      </c>
      <c r="R381" s="35"/>
      <c r="S381" s="35"/>
      <c r="T381" s="35"/>
      <c r="U381" s="74" t="e">
        <f>AVERAGE(Tableau1[[#This Row],[1ère composition]:[3è Composition]])</f>
        <v>#DIV/0!</v>
      </c>
    </row>
    <row r="382" spans="1:21" hidden="1" x14ac:dyDescent="0.2">
      <c r="A382" s="1" t="s">
        <v>91</v>
      </c>
      <c r="B382" s="1" t="s">
        <v>3072</v>
      </c>
      <c r="C382" s="1" t="s">
        <v>3670</v>
      </c>
      <c r="D382" s="1">
        <v>85867785</v>
      </c>
      <c r="E382" s="1">
        <v>2021</v>
      </c>
      <c r="F382" s="1">
        <v>10</v>
      </c>
      <c r="G382" s="1">
        <v>3</v>
      </c>
      <c r="H382" s="76" t="str">
        <f>Tableau1[[#This Row],[Annee d''inscription au programme]]&amp;"-"&amp;Tableau1[[#This Row],[Code d''ecole]]&amp;"-"&amp;Tableau1[[#This Row],[Numero HM de la fille]]</f>
        <v>2021-10-3</v>
      </c>
      <c r="I382" s="1"/>
      <c r="J382" s="1" t="s">
        <v>3505</v>
      </c>
      <c r="K382" s="35" t="s">
        <v>298</v>
      </c>
      <c r="L382" s="35">
        <v>14</v>
      </c>
      <c r="M382" s="35">
        <v>15</v>
      </c>
      <c r="N382" s="35">
        <f t="shared" si="10"/>
        <v>14.5</v>
      </c>
      <c r="O382" s="35"/>
      <c r="P382" s="35"/>
      <c r="Q382" s="35">
        <f t="shared" si="11"/>
        <v>0</v>
      </c>
      <c r="R382" s="35"/>
      <c r="S382" s="35"/>
      <c r="T382" s="35"/>
      <c r="U382" s="74" t="e">
        <f>AVERAGE(Tableau1[[#This Row],[1ère composition]:[3è Composition]])</f>
        <v>#DIV/0!</v>
      </c>
    </row>
    <row r="383" spans="1:21" hidden="1" x14ac:dyDescent="0.2">
      <c r="A383" s="1" t="s">
        <v>91</v>
      </c>
      <c r="B383" s="1" t="s">
        <v>3073</v>
      </c>
      <c r="C383" s="1" t="s">
        <v>3671</v>
      </c>
      <c r="D383" s="1">
        <v>98024832</v>
      </c>
      <c r="E383" s="1">
        <v>2021</v>
      </c>
      <c r="F383" s="1">
        <v>10</v>
      </c>
      <c r="G383" s="1">
        <v>4</v>
      </c>
      <c r="H383" s="76" t="str">
        <f>Tableau1[[#This Row],[Annee d''inscription au programme]]&amp;"-"&amp;Tableau1[[#This Row],[Code d''ecole]]&amp;"-"&amp;Tableau1[[#This Row],[Numero HM de la fille]]</f>
        <v>2021-10-4</v>
      </c>
      <c r="I383" s="1"/>
      <c r="J383" s="1" t="s">
        <v>3505</v>
      </c>
      <c r="K383" s="35" t="s">
        <v>298</v>
      </c>
      <c r="L383" s="35">
        <v>13</v>
      </c>
      <c r="M383" s="35">
        <v>17</v>
      </c>
      <c r="N383" s="35">
        <f t="shared" si="10"/>
        <v>15</v>
      </c>
      <c r="O383" s="35"/>
      <c r="P383" s="35"/>
      <c r="Q383" s="35">
        <f t="shared" si="11"/>
        <v>0</v>
      </c>
      <c r="R383" s="35"/>
      <c r="S383" s="35"/>
      <c r="T383" s="35"/>
      <c r="U383" s="74" t="e">
        <f>AVERAGE(Tableau1[[#This Row],[1ère composition]:[3è Composition]])</f>
        <v>#DIV/0!</v>
      </c>
    </row>
    <row r="384" spans="1:21" hidden="1" x14ac:dyDescent="0.2">
      <c r="A384" s="1" t="s">
        <v>91</v>
      </c>
      <c r="B384" s="1" t="s">
        <v>3074</v>
      </c>
      <c r="C384" s="1" t="s">
        <v>3671</v>
      </c>
      <c r="D384" s="1">
        <v>94082325</v>
      </c>
      <c r="E384" s="1">
        <v>2021</v>
      </c>
      <c r="F384" s="1">
        <v>10</v>
      </c>
      <c r="G384" s="1">
        <v>5</v>
      </c>
      <c r="H384" s="76" t="str">
        <f>Tableau1[[#This Row],[Annee d''inscription au programme]]&amp;"-"&amp;Tableau1[[#This Row],[Code d''ecole]]&amp;"-"&amp;Tableau1[[#This Row],[Numero HM de la fille]]</f>
        <v>2021-10-5</v>
      </c>
      <c r="I384" s="1"/>
      <c r="J384" s="79" t="s">
        <v>3505</v>
      </c>
      <c r="K384" s="35" t="s">
        <v>298</v>
      </c>
      <c r="L384" s="35">
        <v>14.5</v>
      </c>
      <c r="M384" s="35">
        <v>17.5</v>
      </c>
      <c r="N384" s="35">
        <f t="shared" si="10"/>
        <v>16</v>
      </c>
      <c r="O384" s="35"/>
      <c r="P384" s="35"/>
      <c r="Q384" s="35">
        <f t="shared" si="11"/>
        <v>0</v>
      </c>
      <c r="R384" s="35"/>
      <c r="S384" s="35"/>
      <c r="T384" s="35"/>
      <c r="U384" s="10" t="e">
        <f>AVERAGE(Tableau1[[#This Row],[1ère composition]:[3è Composition]])</f>
        <v>#DIV/0!</v>
      </c>
    </row>
    <row r="385" spans="1:21" hidden="1" x14ac:dyDescent="0.2">
      <c r="A385" s="1" t="s">
        <v>91</v>
      </c>
      <c r="B385" s="1" t="s">
        <v>3075</v>
      </c>
      <c r="C385" s="1" t="s">
        <v>3666</v>
      </c>
      <c r="D385" s="1">
        <v>85405116</v>
      </c>
      <c r="E385" s="1">
        <v>2021</v>
      </c>
      <c r="F385" s="1">
        <v>10</v>
      </c>
      <c r="G385" s="1">
        <v>6</v>
      </c>
      <c r="H385" s="76" t="str">
        <f>Tableau1[[#This Row],[Annee d''inscription au programme]]&amp;"-"&amp;Tableau1[[#This Row],[Code d''ecole]]&amp;"-"&amp;Tableau1[[#This Row],[Numero HM de la fille]]</f>
        <v>2021-10-6</v>
      </c>
      <c r="I385" s="81"/>
      <c r="J385" s="79" t="s">
        <v>3505</v>
      </c>
      <c r="K385" s="35" t="s">
        <v>298</v>
      </c>
      <c r="L385" s="35">
        <v>12.5</v>
      </c>
      <c r="M385" s="35">
        <v>15</v>
      </c>
      <c r="N385" s="35">
        <f t="shared" si="10"/>
        <v>13.75</v>
      </c>
      <c r="O385" s="35"/>
      <c r="P385" s="35"/>
      <c r="Q385" s="35">
        <f t="shared" si="11"/>
        <v>0</v>
      </c>
      <c r="R385" s="35"/>
      <c r="S385" s="35"/>
      <c r="T385" s="35"/>
      <c r="U385" s="82" t="e">
        <f>AVERAGE(Tableau1[[#This Row],[1ère composition]:[3è Composition]])</f>
        <v>#DIV/0!</v>
      </c>
    </row>
    <row r="386" spans="1:21" hidden="1" x14ac:dyDescent="0.2">
      <c r="A386" s="1" t="s">
        <v>91</v>
      </c>
      <c r="B386" s="1" t="s">
        <v>3076</v>
      </c>
      <c r="C386" s="1" t="s">
        <v>3667</v>
      </c>
      <c r="D386" s="1">
        <v>96640119</v>
      </c>
      <c r="E386" s="1">
        <v>2021</v>
      </c>
      <c r="F386" s="1">
        <v>10</v>
      </c>
      <c r="G386" s="1">
        <v>7</v>
      </c>
      <c r="H386" s="76" t="str">
        <f>Tableau1[[#This Row],[Annee d''inscription au programme]]&amp;"-"&amp;Tableau1[[#This Row],[Code d''ecole]]&amp;"-"&amp;Tableau1[[#This Row],[Numero HM de la fille]]</f>
        <v>2021-10-7</v>
      </c>
      <c r="I386" s="81"/>
      <c r="J386" s="79" t="s">
        <v>3505</v>
      </c>
      <c r="K386" s="35" t="s">
        <v>298</v>
      </c>
      <c r="L386" s="35">
        <v>15</v>
      </c>
      <c r="M386" s="35">
        <v>19</v>
      </c>
      <c r="N386" s="35">
        <f t="shared" si="10"/>
        <v>17</v>
      </c>
      <c r="O386" s="35"/>
      <c r="P386" s="35"/>
      <c r="Q386" s="35">
        <f t="shared" si="11"/>
        <v>0</v>
      </c>
      <c r="R386" s="35"/>
      <c r="S386" s="35"/>
      <c r="T386" s="35"/>
      <c r="U386" s="82" t="e">
        <f>AVERAGE(Tableau1[[#This Row],[1ère composition]:[3è Composition]])</f>
        <v>#DIV/0!</v>
      </c>
    </row>
    <row r="387" spans="1:21" hidden="1" x14ac:dyDescent="0.2">
      <c r="A387" s="1" t="s">
        <v>91</v>
      </c>
      <c r="B387" s="1" t="s">
        <v>600</v>
      </c>
      <c r="C387" s="1" t="s">
        <v>3666</v>
      </c>
      <c r="D387" s="1">
        <v>95144909</v>
      </c>
      <c r="E387" s="1">
        <v>2021</v>
      </c>
      <c r="F387" s="1">
        <v>10</v>
      </c>
      <c r="G387" s="1">
        <v>8</v>
      </c>
      <c r="H387" s="76" t="str">
        <f>Tableau1[[#This Row],[Annee d''inscription au programme]]&amp;"-"&amp;Tableau1[[#This Row],[Code d''ecole]]&amp;"-"&amp;Tableau1[[#This Row],[Numero HM de la fille]]</f>
        <v>2021-10-8</v>
      </c>
      <c r="I387" s="81"/>
      <c r="J387" s="79" t="s">
        <v>3505</v>
      </c>
      <c r="K387" s="35" t="s">
        <v>298</v>
      </c>
      <c r="L387" s="35">
        <v>7.5</v>
      </c>
      <c r="M387" s="35">
        <v>14.5</v>
      </c>
      <c r="N387" s="35">
        <f t="shared" si="10"/>
        <v>11</v>
      </c>
      <c r="O387" s="35"/>
      <c r="P387" s="35"/>
      <c r="Q387" s="35">
        <f t="shared" si="11"/>
        <v>0</v>
      </c>
      <c r="R387" s="35"/>
      <c r="S387" s="35"/>
      <c r="T387" s="35"/>
      <c r="U387" s="82" t="e">
        <f>AVERAGE(Tableau1[[#This Row],[1ère composition]:[3è Composition]])</f>
        <v>#DIV/0!</v>
      </c>
    </row>
    <row r="388" spans="1:21" hidden="1" x14ac:dyDescent="0.2">
      <c r="A388" s="1" t="s">
        <v>91</v>
      </c>
      <c r="B388" s="1" t="s">
        <v>3077</v>
      </c>
      <c r="C388" s="1" t="s">
        <v>3666</v>
      </c>
      <c r="D388" s="1">
        <v>74631580</v>
      </c>
      <c r="E388" s="1">
        <v>2021</v>
      </c>
      <c r="F388" s="1">
        <v>10</v>
      </c>
      <c r="G388" s="1">
        <v>9</v>
      </c>
      <c r="H388" s="76" t="str">
        <f>Tableau1[[#This Row],[Annee d''inscription au programme]]&amp;"-"&amp;Tableau1[[#This Row],[Code d''ecole]]&amp;"-"&amp;Tableau1[[#This Row],[Numero HM de la fille]]</f>
        <v>2021-10-9</v>
      </c>
      <c r="I388" s="81"/>
      <c r="J388" s="79" t="s">
        <v>3505</v>
      </c>
      <c r="K388" s="35" t="s">
        <v>298</v>
      </c>
      <c r="L388" s="35">
        <v>0</v>
      </c>
      <c r="M388" s="35">
        <v>0</v>
      </c>
      <c r="N388" s="35">
        <f t="shared" si="10"/>
        <v>0</v>
      </c>
      <c r="O388" s="35"/>
      <c r="P388" s="35"/>
      <c r="Q388" s="35">
        <f t="shared" si="11"/>
        <v>0</v>
      </c>
      <c r="R388" s="35"/>
      <c r="S388" s="35"/>
      <c r="T388" s="35"/>
      <c r="U388" s="82" t="e">
        <f>AVERAGE(Tableau1[[#This Row],[1ère composition]:[3è Composition]])</f>
        <v>#DIV/0!</v>
      </c>
    </row>
    <row r="389" spans="1:21" hidden="1" x14ac:dyDescent="0.2">
      <c r="A389" s="1" t="s">
        <v>91</v>
      </c>
      <c r="B389" s="1" t="s">
        <v>3078</v>
      </c>
      <c r="C389" s="1" t="s">
        <v>3678</v>
      </c>
      <c r="D389" s="1">
        <v>94143480</v>
      </c>
      <c r="E389" s="1">
        <v>2021</v>
      </c>
      <c r="F389" s="1">
        <v>10</v>
      </c>
      <c r="G389" s="1">
        <v>10</v>
      </c>
      <c r="H389" s="76" t="str">
        <f>Tableau1[[#This Row],[Annee d''inscription au programme]]&amp;"-"&amp;Tableau1[[#This Row],[Code d''ecole]]&amp;"-"&amp;Tableau1[[#This Row],[Numero HM de la fille]]</f>
        <v>2021-10-10</v>
      </c>
      <c r="I389" s="81"/>
      <c r="J389" s="79" t="s">
        <v>3505</v>
      </c>
      <c r="K389" s="35" t="s">
        <v>298</v>
      </c>
      <c r="L389" s="35">
        <v>15.5</v>
      </c>
      <c r="M389" s="35">
        <v>19</v>
      </c>
      <c r="N389" s="35">
        <f t="shared" ref="N389:N452" si="12" xml:space="preserve"> AVERAGE(L389+M389)/2</f>
        <v>17.25</v>
      </c>
      <c r="O389" s="35"/>
      <c r="P389" s="35"/>
      <c r="Q389" s="35">
        <f t="shared" ref="Q389:Q452" si="13">AVERAGE(O389+P389)/2</f>
        <v>0</v>
      </c>
      <c r="R389" s="35"/>
      <c r="S389" s="35"/>
      <c r="T389" s="35"/>
      <c r="U389" s="82" t="e">
        <f>AVERAGE(Tableau1[[#This Row],[1ère composition]:[3è Composition]])</f>
        <v>#DIV/0!</v>
      </c>
    </row>
    <row r="390" spans="1:21" hidden="1" x14ac:dyDescent="0.2">
      <c r="A390" s="1" t="s">
        <v>91</v>
      </c>
      <c r="B390" s="1" t="s">
        <v>3079</v>
      </c>
      <c r="C390" s="1" t="s">
        <v>3674</v>
      </c>
      <c r="D390" s="1">
        <v>96471579</v>
      </c>
      <c r="E390" s="1">
        <v>2021</v>
      </c>
      <c r="F390" s="1">
        <v>10</v>
      </c>
      <c r="G390" s="1">
        <v>11</v>
      </c>
      <c r="H390" s="76" t="str">
        <f>Tableau1[[#This Row],[Annee d''inscription au programme]]&amp;"-"&amp;Tableau1[[#This Row],[Code d''ecole]]&amp;"-"&amp;Tableau1[[#This Row],[Numero HM de la fille]]</f>
        <v>2021-10-11</v>
      </c>
      <c r="I390" s="81"/>
      <c r="J390" s="79" t="s">
        <v>3505</v>
      </c>
      <c r="K390" s="35" t="s">
        <v>298</v>
      </c>
      <c r="L390" s="35">
        <v>13</v>
      </c>
      <c r="M390" s="35">
        <v>18.5</v>
      </c>
      <c r="N390" s="35">
        <f t="shared" si="12"/>
        <v>15.75</v>
      </c>
      <c r="O390" s="35"/>
      <c r="P390" s="35"/>
      <c r="Q390" s="35">
        <f t="shared" si="13"/>
        <v>0</v>
      </c>
      <c r="R390" s="35"/>
      <c r="S390" s="35"/>
      <c r="T390" s="35"/>
      <c r="U390" s="82" t="e">
        <f>AVERAGE(Tableau1[[#This Row],[1ère composition]:[3è Composition]])</f>
        <v>#DIV/0!</v>
      </c>
    </row>
    <row r="391" spans="1:21" hidden="1" x14ac:dyDescent="0.2">
      <c r="A391" s="1" t="s">
        <v>91</v>
      </c>
      <c r="B391" s="1" t="s">
        <v>3080</v>
      </c>
      <c r="C391" s="1" t="s">
        <v>3666</v>
      </c>
      <c r="D391" s="1">
        <v>86665687</v>
      </c>
      <c r="E391" s="1">
        <v>2020</v>
      </c>
      <c r="F391" s="1">
        <v>10</v>
      </c>
      <c r="G391" s="1">
        <v>13</v>
      </c>
      <c r="H391" s="76" t="str">
        <f>Tableau1[[#This Row],[Annee d''inscription au programme]]&amp;"-"&amp;Tableau1[[#This Row],[Code d''ecole]]&amp;"-"&amp;Tableau1[[#This Row],[Numero HM de la fille]]</f>
        <v>2020-10-13</v>
      </c>
      <c r="I391" s="81"/>
      <c r="J391" s="79" t="s">
        <v>374</v>
      </c>
      <c r="K391" s="35" t="s">
        <v>3518</v>
      </c>
      <c r="L391" s="35">
        <v>12</v>
      </c>
      <c r="M391" s="35">
        <v>16.25</v>
      </c>
      <c r="N391" s="35">
        <f t="shared" si="12"/>
        <v>14.125</v>
      </c>
      <c r="O391" s="35"/>
      <c r="P391" s="35"/>
      <c r="Q391" s="35">
        <f t="shared" si="13"/>
        <v>0</v>
      </c>
      <c r="R391" s="35"/>
      <c r="S391" s="35"/>
      <c r="T391" s="35"/>
      <c r="U391" s="82" t="e">
        <f>AVERAGE(Tableau1[[#This Row],[1ère composition]:[3è Composition]])</f>
        <v>#DIV/0!</v>
      </c>
    </row>
    <row r="392" spans="1:21" hidden="1" x14ac:dyDescent="0.2">
      <c r="A392" s="1" t="s">
        <v>91</v>
      </c>
      <c r="B392" s="1" t="s">
        <v>1233</v>
      </c>
      <c r="C392" s="1" t="s">
        <v>3675</v>
      </c>
      <c r="D392" s="1">
        <v>94172962</v>
      </c>
      <c r="E392" s="1">
        <v>2021</v>
      </c>
      <c r="F392" s="1">
        <v>10</v>
      </c>
      <c r="G392" s="1">
        <v>12</v>
      </c>
      <c r="H392" s="76" t="str">
        <f>Tableau1[[#This Row],[Annee d''inscription au programme]]&amp;"-"&amp;Tableau1[[#This Row],[Code d''ecole]]&amp;"-"&amp;Tableau1[[#This Row],[Numero HM de la fille]]</f>
        <v>2021-10-12</v>
      </c>
      <c r="I392" s="81"/>
      <c r="J392" s="79" t="s">
        <v>3505</v>
      </c>
      <c r="K392" s="35" t="s">
        <v>298</v>
      </c>
      <c r="L392" s="35">
        <v>14.5</v>
      </c>
      <c r="M392" s="35">
        <v>18</v>
      </c>
      <c r="N392" s="35">
        <f t="shared" si="12"/>
        <v>16.25</v>
      </c>
      <c r="O392" s="35"/>
      <c r="P392" s="35"/>
      <c r="Q392" s="35">
        <f t="shared" si="13"/>
        <v>0</v>
      </c>
      <c r="R392" s="35"/>
      <c r="S392" s="35"/>
      <c r="T392" s="35"/>
      <c r="U392" s="82" t="e">
        <f>AVERAGE(Tableau1[[#This Row],[1ère composition]:[3è Composition]])</f>
        <v>#DIV/0!</v>
      </c>
    </row>
    <row r="393" spans="1:21" hidden="1" x14ac:dyDescent="0.2">
      <c r="A393" s="1" t="s">
        <v>91</v>
      </c>
      <c r="B393" s="1" t="s">
        <v>3081</v>
      </c>
      <c r="C393" s="1" t="s">
        <v>3666</v>
      </c>
      <c r="D393" s="1"/>
      <c r="E393" s="1">
        <v>2021</v>
      </c>
      <c r="F393" s="1">
        <v>10</v>
      </c>
      <c r="G393" s="1">
        <v>13</v>
      </c>
      <c r="H393" s="76" t="str">
        <f>Tableau1[[#This Row],[Annee d''inscription au programme]]&amp;"-"&amp;Tableau1[[#This Row],[Code d''ecole]]&amp;"-"&amp;Tableau1[[#This Row],[Numero HM de la fille]]</f>
        <v>2021-10-13</v>
      </c>
      <c r="I393" s="81"/>
      <c r="J393" s="79" t="s">
        <v>3505</v>
      </c>
      <c r="K393" s="35" t="s">
        <v>298</v>
      </c>
      <c r="L393" s="35">
        <v>8</v>
      </c>
      <c r="M393" s="35">
        <v>12</v>
      </c>
      <c r="N393" s="35">
        <f t="shared" si="12"/>
        <v>10</v>
      </c>
      <c r="O393" s="35"/>
      <c r="P393" s="35"/>
      <c r="Q393" s="35">
        <f t="shared" si="13"/>
        <v>0</v>
      </c>
      <c r="R393" s="35"/>
      <c r="S393" s="35"/>
      <c r="T393" s="35"/>
      <c r="U393" s="82" t="e">
        <f>AVERAGE(Tableau1[[#This Row],[1ère composition]:[3è Composition]])</f>
        <v>#DIV/0!</v>
      </c>
    </row>
    <row r="394" spans="1:21" hidden="1" x14ac:dyDescent="0.2">
      <c r="A394" s="1" t="s">
        <v>91</v>
      </c>
      <c r="B394" s="1" t="s">
        <v>3082</v>
      </c>
      <c r="C394" s="1"/>
      <c r="D394" s="1">
        <v>96137577</v>
      </c>
      <c r="E394" s="1">
        <v>2021</v>
      </c>
      <c r="F394" s="1">
        <v>10</v>
      </c>
      <c r="G394" s="1">
        <v>14</v>
      </c>
      <c r="H394" s="76" t="str">
        <f>Tableau1[[#This Row],[Annee d''inscription au programme]]&amp;"-"&amp;Tableau1[[#This Row],[Code d''ecole]]&amp;"-"&amp;Tableau1[[#This Row],[Numero HM de la fille]]</f>
        <v>2021-10-14</v>
      </c>
      <c r="I394" s="81"/>
      <c r="J394" s="79" t="s">
        <v>3505</v>
      </c>
      <c r="K394" s="35" t="s">
        <v>298</v>
      </c>
      <c r="L394" s="35">
        <v>12.5</v>
      </c>
      <c r="M394" s="35">
        <v>16.5</v>
      </c>
      <c r="N394" s="35">
        <f t="shared" si="12"/>
        <v>14.5</v>
      </c>
      <c r="O394" s="35"/>
      <c r="P394" s="35"/>
      <c r="Q394" s="35">
        <f t="shared" si="13"/>
        <v>0</v>
      </c>
      <c r="R394" s="35"/>
      <c r="S394" s="35"/>
      <c r="T394" s="35"/>
      <c r="U394" s="82" t="e">
        <f>AVERAGE(Tableau1[[#This Row],[1ère composition]:[3è Composition]])</f>
        <v>#DIV/0!</v>
      </c>
    </row>
    <row r="395" spans="1:21" hidden="1" x14ac:dyDescent="0.2">
      <c r="A395" s="1" t="s">
        <v>91</v>
      </c>
      <c r="B395" s="1" t="s">
        <v>3083</v>
      </c>
      <c r="C395" s="1" t="s">
        <v>3677</v>
      </c>
      <c r="D395" s="1">
        <v>81853927</v>
      </c>
      <c r="E395" s="1">
        <v>2021</v>
      </c>
      <c r="F395" s="1">
        <v>10</v>
      </c>
      <c r="G395" s="1">
        <v>15</v>
      </c>
      <c r="H395" s="76" t="str">
        <f>Tableau1[[#This Row],[Annee d''inscription au programme]]&amp;"-"&amp;Tableau1[[#This Row],[Code d''ecole]]&amp;"-"&amp;Tableau1[[#This Row],[Numero HM de la fille]]</f>
        <v>2021-10-15</v>
      </c>
      <c r="I395" s="81"/>
      <c r="J395" s="79" t="s">
        <v>3505</v>
      </c>
      <c r="K395" s="35" t="s">
        <v>298</v>
      </c>
      <c r="L395" s="35">
        <v>12</v>
      </c>
      <c r="M395" s="35">
        <v>17</v>
      </c>
      <c r="N395" s="35">
        <f t="shared" si="12"/>
        <v>14.5</v>
      </c>
      <c r="O395" s="35"/>
      <c r="P395" s="35"/>
      <c r="Q395" s="35">
        <f t="shared" si="13"/>
        <v>0</v>
      </c>
      <c r="R395" s="35"/>
      <c r="S395" s="35"/>
      <c r="T395" s="35"/>
      <c r="U395" s="82" t="e">
        <f>AVERAGE(Tableau1[[#This Row],[1ère composition]:[3è Composition]])</f>
        <v>#DIV/0!</v>
      </c>
    </row>
    <row r="396" spans="1:21" hidden="1" x14ac:dyDescent="0.2">
      <c r="A396" s="1" t="s">
        <v>91</v>
      </c>
      <c r="B396" s="1" t="s">
        <v>3084</v>
      </c>
      <c r="C396" s="1" t="s">
        <v>3676</v>
      </c>
      <c r="D396" s="1">
        <v>85000768</v>
      </c>
      <c r="E396" s="1">
        <v>2021</v>
      </c>
      <c r="F396" s="1">
        <v>10</v>
      </c>
      <c r="G396" s="1">
        <v>16</v>
      </c>
      <c r="H396" s="76" t="str">
        <f>Tableau1[[#This Row],[Annee d''inscription au programme]]&amp;"-"&amp;Tableau1[[#This Row],[Code d''ecole]]&amp;"-"&amp;Tableau1[[#This Row],[Numero HM de la fille]]</f>
        <v>2021-10-16</v>
      </c>
      <c r="I396" s="81"/>
      <c r="J396" s="79" t="s">
        <v>3505</v>
      </c>
      <c r="K396" s="35" t="s">
        <v>298</v>
      </c>
      <c r="L396" s="35">
        <v>15</v>
      </c>
      <c r="M396" s="35">
        <v>15</v>
      </c>
      <c r="N396" s="35">
        <f t="shared" si="12"/>
        <v>15</v>
      </c>
      <c r="O396" s="35"/>
      <c r="P396" s="35"/>
      <c r="Q396" s="35">
        <f t="shared" si="13"/>
        <v>0</v>
      </c>
      <c r="R396" s="35"/>
      <c r="S396" s="35"/>
      <c r="T396" s="35"/>
      <c r="U396" s="82" t="e">
        <f>AVERAGE(Tableau1[[#This Row],[1ère composition]:[3è Composition]])</f>
        <v>#DIV/0!</v>
      </c>
    </row>
    <row r="397" spans="1:21" hidden="1" x14ac:dyDescent="0.2">
      <c r="A397" s="1" t="s">
        <v>91</v>
      </c>
      <c r="B397" s="1" t="s">
        <v>3085</v>
      </c>
      <c r="C397" s="1" t="s">
        <v>3682</v>
      </c>
      <c r="D397" s="1"/>
      <c r="E397" s="1">
        <v>2021</v>
      </c>
      <c r="F397" s="1">
        <v>10</v>
      </c>
      <c r="G397" s="1">
        <v>17</v>
      </c>
      <c r="H397" s="76" t="str">
        <f>Tableau1[[#This Row],[Annee d''inscription au programme]]&amp;"-"&amp;Tableau1[[#This Row],[Code d''ecole]]&amp;"-"&amp;Tableau1[[#This Row],[Numero HM de la fille]]</f>
        <v>2021-10-17</v>
      </c>
      <c r="I397" s="81"/>
      <c r="J397" s="79" t="s">
        <v>3505</v>
      </c>
      <c r="K397" s="35" t="s">
        <v>298</v>
      </c>
      <c r="L397" s="35">
        <v>12.5</v>
      </c>
      <c r="M397" s="35">
        <v>14.75</v>
      </c>
      <c r="N397" s="35">
        <f t="shared" si="12"/>
        <v>13.625</v>
      </c>
      <c r="O397" s="35"/>
      <c r="P397" s="35"/>
      <c r="Q397" s="35">
        <f t="shared" si="13"/>
        <v>0</v>
      </c>
      <c r="R397" s="35"/>
      <c r="S397" s="35"/>
      <c r="T397" s="35"/>
      <c r="U397" s="82" t="e">
        <f>AVERAGE(Tableau1[[#This Row],[1ère composition]:[3è Composition]])</f>
        <v>#DIV/0!</v>
      </c>
    </row>
    <row r="398" spans="1:21" hidden="1" x14ac:dyDescent="0.2">
      <c r="A398" s="1" t="s">
        <v>91</v>
      </c>
      <c r="B398" s="1" t="s">
        <v>3086</v>
      </c>
      <c r="C398" s="1" t="s">
        <v>3683</v>
      </c>
      <c r="D398" s="1">
        <v>95422914</v>
      </c>
      <c r="E398" s="1">
        <v>2021</v>
      </c>
      <c r="F398" s="1">
        <v>10</v>
      </c>
      <c r="G398" s="1">
        <v>18</v>
      </c>
      <c r="H398" s="76" t="str">
        <f>Tableau1[[#This Row],[Annee d''inscription au programme]]&amp;"-"&amp;Tableau1[[#This Row],[Code d''ecole]]&amp;"-"&amp;Tableau1[[#This Row],[Numero HM de la fille]]</f>
        <v>2021-10-18</v>
      </c>
      <c r="I398" s="81"/>
      <c r="J398" s="79" t="s">
        <v>3505</v>
      </c>
      <c r="K398" s="35" t="s">
        <v>298</v>
      </c>
      <c r="L398" s="35">
        <v>10</v>
      </c>
      <c r="M398" s="35">
        <v>16</v>
      </c>
      <c r="N398" s="35">
        <f t="shared" si="12"/>
        <v>13</v>
      </c>
      <c r="O398" s="35"/>
      <c r="P398" s="35"/>
      <c r="Q398" s="35">
        <f t="shared" si="13"/>
        <v>0</v>
      </c>
      <c r="R398" s="35"/>
      <c r="S398" s="35"/>
      <c r="T398" s="35"/>
      <c r="U398" s="82" t="e">
        <f>AVERAGE(Tableau1[[#This Row],[1ère composition]:[3è Composition]])</f>
        <v>#DIV/0!</v>
      </c>
    </row>
    <row r="399" spans="1:21" hidden="1" x14ac:dyDescent="0.2">
      <c r="A399" s="1" t="s">
        <v>91</v>
      </c>
      <c r="B399" s="1" t="s">
        <v>3087</v>
      </c>
      <c r="C399" s="1" t="s">
        <v>3681</v>
      </c>
      <c r="D399" s="1">
        <v>96712073</v>
      </c>
      <c r="E399" s="1">
        <v>2021</v>
      </c>
      <c r="F399" s="1">
        <v>10</v>
      </c>
      <c r="G399" s="1">
        <v>19</v>
      </c>
      <c r="H399" s="76" t="str">
        <f>Tableau1[[#This Row],[Annee d''inscription au programme]]&amp;"-"&amp;Tableau1[[#This Row],[Code d''ecole]]&amp;"-"&amp;Tableau1[[#This Row],[Numero HM de la fille]]</f>
        <v>2021-10-19</v>
      </c>
      <c r="I399" s="81"/>
      <c r="J399" s="79" t="s">
        <v>3505</v>
      </c>
      <c r="K399" s="35" t="s">
        <v>298</v>
      </c>
      <c r="L399" s="35">
        <v>0</v>
      </c>
      <c r="M399" s="35">
        <v>0</v>
      </c>
      <c r="N399" s="35">
        <f t="shared" si="12"/>
        <v>0</v>
      </c>
      <c r="O399" s="35"/>
      <c r="P399" s="35"/>
      <c r="Q399" s="35">
        <f t="shared" si="13"/>
        <v>0</v>
      </c>
      <c r="R399" s="35"/>
      <c r="S399" s="35"/>
      <c r="T399" s="35"/>
      <c r="U399" s="82" t="e">
        <f>AVERAGE(Tableau1[[#This Row],[1ère composition]:[3è Composition]])</f>
        <v>#DIV/0!</v>
      </c>
    </row>
    <row r="400" spans="1:21" hidden="1" x14ac:dyDescent="0.2">
      <c r="A400" s="1" t="s">
        <v>91</v>
      </c>
      <c r="B400" s="1" t="s">
        <v>3088</v>
      </c>
      <c r="C400" s="1" t="s">
        <v>3684</v>
      </c>
      <c r="D400" s="1"/>
      <c r="E400" s="1">
        <v>2021</v>
      </c>
      <c r="F400" s="1">
        <v>10</v>
      </c>
      <c r="G400" s="1">
        <v>20</v>
      </c>
      <c r="H400" s="76" t="str">
        <f>Tableau1[[#This Row],[Annee d''inscription au programme]]&amp;"-"&amp;Tableau1[[#This Row],[Code d''ecole]]&amp;"-"&amp;Tableau1[[#This Row],[Numero HM de la fille]]</f>
        <v>2021-10-20</v>
      </c>
      <c r="I400" s="81"/>
      <c r="J400" s="79" t="s">
        <v>3505</v>
      </c>
      <c r="K400" s="35" t="s">
        <v>298</v>
      </c>
      <c r="L400" s="35">
        <v>1.5</v>
      </c>
      <c r="M400" s="35">
        <v>0</v>
      </c>
      <c r="N400" s="35">
        <f t="shared" si="12"/>
        <v>0.75</v>
      </c>
      <c r="O400" s="35"/>
      <c r="P400" s="35"/>
      <c r="Q400" s="35">
        <f t="shared" si="13"/>
        <v>0</v>
      </c>
      <c r="R400" s="35"/>
      <c r="S400" s="35"/>
      <c r="T400" s="35"/>
      <c r="U400" s="82" t="e">
        <f>AVERAGE(Tableau1[[#This Row],[1ère composition]:[3è Composition]])</f>
        <v>#DIV/0!</v>
      </c>
    </row>
    <row r="401" spans="1:21" hidden="1" x14ac:dyDescent="0.2">
      <c r="A401" s="1" t="s">
        <v>91</v>
      </c>
      <c r="B401" s="1" t="s">
        <v>3089</v>
      </c>
      <c r="C401" s="1" t="s">
        <v>3680</v>
      </c>
      <c r="D401" s="1">
        <v>94655628</v>
      </c>
      <c r="E401" s="1">
        <v>2021</v>
      </c>
      <c r="F401" s="1">
        <v>10</v>
      </c>
      <c r="G401" s="1">
        <v>21</v>
      </c>
      <c r="H401" s="76" t="str">
        <f>Tableau1[[#This Row],[Annee d''inscription au programme]]&amp;"-"&amp;Tableau1[[#This Row],[Code d''ecole]]&amp;"-"&amp;Tableau1[[#This Row],[Numero HM de la fille]]</f>
        <v>2021-10-21</v>
      </c>
      <c r="I401" s="81"/>
      <c r="J401" s="79" t="s">
        <v>3505</v>
      </c>
      <c r="K401" s="35" t="s">
        <v>298</v>
      </c>
      <c r="L401" s="35">
        <v>15.5</v>
      </c>
      <c r="M401" s="35">
        <v>12</v>
      </c>
      <c r="N401" s="35">
        <f t="shared" si="12"/>
        <v>13.75</v>
      </c>
      <c r="O401" s="35"/>
      <c r="P401" s="35"/>
      <c r="Q401" s="35">
        <f t="shared" si="13"/>
        <v>0</v>
      </c>
      <c r="R401" s="35"/>
      <c r="S401" s="35"/>
      <c r="T401" s="35"/>
      <c r="U401" s="82" t="e">
        <f>AVERAGE(Tableau1[[#This Row],[1ère composition]:[3è Composition]])</f>
        <v>#DIV/0!</v>
      </c>
    </row>
    <row r="402" spans="1:21" hidden="1" x14ac:dyDescent="0.2">
      <c r="A402" s="1" t="s">
        <v>91</v>
      </c>
      <c r="B402" s="1" t="s">
        <v>3090</v>
      </c>
      <c r="C402" s="1" t="s">
        <v>3666</v>
      </c>
      <c r="D402" s="1">
        <v>96030289</v>
      </c>
      <c r="E402" s="1">
        <v>2021</v>
      </c>
      <c r="F402" s="1">
        <v>10</v>
      </c>
      <c r="G402" s="1">
        <v>22</v>
      </c>
      <c r="H402" s="76" t="str">
        <f>Tableau1[[#This Row],[Annee d''inscription au programme]]&amp;"-"&amp;Tableau1[[#This Row],[Code d''ecole]]&amp;"-"&amp;Tableau1[[#This Row],[Numero HM de la fille]]</f>
        <v>2021-10-22</v>
      </c>
      <c r="I402" s="81"/>
      <c r="J402" s="79" t="s">
        <v>3505</v>
      </c>
      <c r="K402" s="35" t="s">
        <v>298</v>
      </c>
      <c r="L402" s="35">
        <v>8</v>
      </c>
      <c r="M402" s="35">
        <v>15</v>
      </c>
      <c r="N402" s="35">
        <f t="shared" si="12"/>
        <v>11.5</v>
      </c>
      <c r="O402" s="35"/>
      <c r="P402" s="35"/>
      <c r="Q402" s="35">
        <f t="shared" si="13"/>
        <v>0</v>
      </c>
      <c r="R402" s="35"/>
      <c r="S402" s="35"/>
      <c r="T402" s="35"/>
      <c r="U402" s="82" t="e">
        <f>AVERAGE(Tableau1[[#This Row],[1ère composition]:[3è Composition]])</f>
        <v>#DIV/0!</v>
      </c>
    </row>
    <row r="403" spans="1:21" hidden="1" x14ac:dyDescent="0.2">
      <c r="A403" s="1" t="s">
        <v>91</v>
      </c>
      <c r="B403" s="1" t="s">
        <v>3091</v>
      </c>
      <c r="C403" s="75" t="s">
        <v>3686</v>
      </c>
      <c r="D403" s="1"/>
      <c r="E403" s="1">
        <v>2021</v>
      </c>
      <c r="F403" s="1">
        <v>10</v>
      </c>
      <c r="G403" s="1">
        <v>23</v>
      </c>
      <c r="H403" s="76" t="str">
        <f>Tableau1[[#This Row],[Annee d''inscription au programme]]&amp;"-"&amp;Tableau1[[#This Row],[Code d''ecole]]&amp;"-"&amp;Tableau1[[#This Row],[Numero HM de la fille]]</f>
        <v>2021-10-23</v>
      </c>
      <c r="I403" s="81"/>
      <c r="J403" s="79" t="s">
        <v>3505</v>
      </c>
      <c r="K403" s="35" t="s">
        <v>298</v>
      </c>
      <c r="L403" s="35">
        <v>13</v>
      </c>
      <c r="M403" s="35">
        <v>17.25</v>
      </c>
      <c r="N403" s="35">
        <f t="shared" si="12"/>
        <v>15.125</v>
      </c>
      <c r="O403" s="35"/>
      <c r="P403" s="35"/>
      <c r="Q403" s="35">
        <f t="shared" si="13"/>
        <v>0</v>
      </c>
      <c r="R403" s="35"/>
      <c r="S403" s="35"/>
      <c r="T403" s="35"/>
      <c r="U403" s="82" t="e">
        <f>AVERAGE(Tableau1[[#This Row],[1ère composition]:[3è Composition]])</f>
        <v>#DIV/0!</v>
      </c>
    </row>
    <row r="404" spans="1:21" hidden="1" x14ac:dyDescent="0.2">
      <c r="A404" s="1" t="s">
        <v>91</v>
      </c>
      <c r="B404" s="1" t="s">
        <v>3092</v>
      </c>
      <c r="C404" s="75" t="s">
        <v>3686</v>
      </c>
      <c r="D404" s="1">
        <v>97141443</v>
      </c>
      <c r="E404" s="1">
        <v>2021</v>
      </c>
      <c r="F404" s="1">
        <v>10</v>
      </c>
      <c r="G404" s="1">
        <v>24</v>
      </c>
      <c r="H404" s="76" t="str">
        <f>Tableau1[[#This Row],[Annee d''inscription au programme]]&amp;"-"&amp;Tableau1[[#This Row],[Code d''ecole]]&amp;"-"&amp;Tableau1[[#This Row],[Numero HM de la fille]]</f>
        <v>2021-10-24</v>
      </c>
      <c r="I404" s="81"/>
      <c r="J404" s="79" t="s">
        <v>3505</v>
      </c>
      <c r="K404" s="35" t="s">
        <v>298</v>
      </c>
      <c r="L404" s="35">
        <v>10</v>
      </c>
      <c r="M404" s="35">
        <v>15</v>
      </c>
      <c r="N404" s="35">
        <f t="shared" si="12"/>
        <v>12.5</v>
      </c>
      <c r="O404" s="35"/>
      <c r="P404" s="35"/>
      <c r="Q404" s="35">
        <f t="shared" si="13"/>
        <v>0</v>
      </c>
      <c r="R404" s="35"/>
      <c r="S404" s="35"/>
      <c r="T404" s="35"/>
      <c r="U404" s="82" t="e">
        <f>AVERAGE(Tableau1[[#This Row],[1ère composition]:[3è Composition]])</f>
        <v>#DIV/0!</v>
      </c>
    </row>
    <row r="405" spans="1:21" hidden="1" x14ac:dyDescent="0.2">
      <c r="A405" s="1" t="s">
        <v>91</v>
      </c>
      <c r="B405" s="1" t="s">
        <v>3093</v>
      </c>
      <c r="C405" s="75" t="s">
        <v>3686</v>
      </c>
      <c r="D405" s="1">
        <v>97095791</v>
      </c>
      <c r="E405" s="1">
        <v>2021</v>
      </c>
      <c r="F405" s="1">
        <v>10</v>
      </c>
      <c r="G405" s="1">
        <v>25</v>
      </c>
      <c r="H405" s="76" t="str">
        <f>Tableau1[[#This Row],[Annee d''inscription au programme]]&amp;"-"&amp;Tableau1[[#This Row],[Code d''ecole]]&amp;"-"&amp;Tableau1[[#This Row],[Numero HM de la fille]]</f>
        <v>2021-10-25</v>
      </c>
      <c r="I405" s="81"/>
      <c r="J405" s="79" t="s">
        <v>3505</v>
      </c>
      <c r="K405" s="35" t="s">
        <v>298</v>
      </c>
      <c r="L405" s="35">
        <v>12</v>
      </c>
      <c r="M405" s="35">
        <v>17.5</v>
      </c>
      <c r="N405" s="35">
        <f t="shared" si="12"/>
        <v>14.75</v>
      </c>
      <c r="O405" s="35"/>
      <c r="P405" s="35"/>
      <c r="Q405" s="35">
        <f t="shared" si="13"/>
        <v>0</v>
      </c>
      <c r="R405" s="35"/>
      <c r="S405" s="35"/>
      <c r="T405" s="35"/>
      <c r="U405" s="82" t="e">
        <f>AVERAGE(Tableau1[[#This Row],[1ère composition]:[3è Composition]])</f>
        <v>#DIV/0!</v>
      </c>
    </row>
    <row r="406" spans="1:21" hidden="1" x14ac:dyDescent="0.2">
      <c r="A406" s="1" t="s">
        <v>91</v>
      </c>
      <c r="B406" s="1" t="s">
        <v>3094</v>
      </c>
      <c r="C406" s="1" t="s">
        <v>3679</v>
      </c>
      <c r="D406" s="1">
        <v>90005433</v>
      </c>
      <c r="E406" s="1">
        <v>2021</v>
      </c>
      <c r="F406" s="1">
        <v>10</v>
      </c>
      <c r="G406" s="1">
        <v>26</v>
      </c>
      <c r="H406" s="76" t="str">
        <f>Tableau1[[#This Row],[Annee d''inscription au programme]]&amp;"-"&amp;Tableau1[[#This Row],[Code d''ecole]]&amp;"-"&amp;Tableau1[[#This Row],[Numero HM de la fille]]</f>
        <v>2021-10-26</v>
      </c>
      <c r="I406" s="81"/>
      <c r="J406" s="79" t="s">
        <v>3505</v>
      </c>
      <c r="K406" s="35" t="s">
        <v>298</v>
      </c>
      <c r="L406" s="35">
        <v>10</v>
      </c>
      <c r="M406" s="35">
        <v>6</v>
      </c>
      <c r="N406" s="35">
        <f t="shared" si="12"/>
        <v>8</v>
      </c>
      <c r="O406" s="35"/>
      <c r="P406" s="35"/>
      <c r="Q406" s="35">
        <f t="shared" si="13"/>
        <v>0</v>
      </c>
      <c r="R406" s="35"/>
      <c r="S406" s="35"/>
      <c r="T406" s="35"/>
      <c r="U406" s="82" t="e">
        <f>AVERAGE(Tableau1[[#This Row],[1ère composition]:[3è Composition]])</f>
        <v>#DIV/0!</v>
      </c>
    </row>
    <row r="407" spans="1:21" hidden="1" x14ac:dyDescent="0.2">
      <c r="A407" s="1" t="s">
        <v>91</v>
      </c>
      <c r="B407" s="1" t="s">
        <v>3095</v>
      </c>
      <c r="C407" s="75" t="s">
        <v>3686</v>
      </c>
      <c r="D407" s="1">
        <v>96307150</v>
      </c>
      <c r="E407" s="1">
        <v>2021</v>
      </c>
      <c r="F407" s="1">
        <v>10</v>
      </c>
      <c r="G407" s="1">
        <v>27</v>
      </c>
      <c r="H407" s="76" t="str">
        <f>Tableau1[[#This Row],[Annee d''inscription au programme]]&amp;"-"&amp;Tableau1[[#This Row],[Code d''ecole]]&amp;"-"&amp;Tableau1[[#This Row],[Numero HM de la fille]]</f>
        <v>2021-10-27</v>
      </c>
      <c r="I407" s="81"/>
      <c r="J407" s="79" t="s">
        <v>3505</v>
      </c>
      <c r="K407" s="35" t="s">
        <v>298</v>
      </c>
      <c r="L407" s="35">
        <v>0</v>
      </c>
      <c r="M407" s="35">
        <v>0</v>
      </c>
      <c r="N407" s="35">
        <f t="shared" si="12"/>
        <v>0</v>
      </c>
      <c r="O407" s="35"/>
      <c r="P407" s="35"/>
      <c r="Q407" s="35">
        <f t="shared" si="13"/>
        <v>0</v>
      </c>
      <c r="R407" s="35"/>
      <c r="S407" s="35"/>
      <c r="T407" s="35"/>
      <c r="U407" s="82" t="e">
        <f>AVERAGE(Tableau1[[#This Row],[1ère composition]:[3è Composition]])</f>
        <v>#DIV/0!</v>
      </c>
    </row>
    <row r="408" spans="1:21" hidden="1" x14ac:dyDescent="0.2">
      <c r="A408" s="1" t="s">
        <v>91</v>
      </c>
      <c r="B408" s="1" t="s">
        <v>2866</v>
      </c>
      <c r="C408" s="75" t="s">
        <v>3686</v>
      </c>
      <c r="D408" s="1"/>
      <c r="E408" s="1">
        <v>2021</v>
      </c>
      <c r="F408" s="1">
        <v>10</v>
      </c>
      <c r="G408" s="1">
        <v>28</v>
      </c>
      <c r="H408" s="76" t="str">
        <f>Tableau1[[#This Row],[Annee d''inscription au programme]]&amp;"-"&amp;Tableau1[[#This Row],[Code d''ecole]]&amp;"-"&amp;Tableau1[[#This Row],[Numero HM de la fille]]</f>
        <v>2021-10-28</v>
      </c>
      <c r="I408" s="81"/>
      <c r="J408" s="79" t="s">
        <v>3505</v>
      </c>
      <c r="K408" s="35" t="s">
        <v>298</v>
      </c>
      <c r="L408" s="35">
        <v>15</v>
      </c>
      <c r="M408" s="35">
        <v>20</v>
      </c>
      <c r="N408" s="35">
        <f t="shared" si="12"/>
        <v>17.5</v>
      </c>
      <c r="O408" s="35"/>
      <c r="P408" s="35"/>
      <c r="Q408" s="35">
        <f t="shared" si="13"/>
        <v>0</v>
      </c>
      <c r="R408" s="35"/>
      <c r="S408" s="35"/>
      <c r="T408" s="35"/>
      <c r="U408" s="82" t="e">
        <f>AVERAGE(Tableau1[[#This Row],[1ère composition]:[3è Composition]])</f>
        <v>#DIV/0!</v>
      </c>
    </row>
    <row r="409" spans="1:21" hidden="1" x14ac:dyDescent="0.2">
      <c r="A409" s="1" t="s">
        <v>91</v>
      </c>
      <c r="B409" s="1" t="s">
        <v>3542</v>
      </c>
      <c r="C409" s="1" t="s">
        <v>3685</v>
      </c>
      <c r="D409" s="1">
        <v>94112993</v>
      </c>
      <c r="E409" s="1">
        <v>2020</v>
      </c>
      <c r="F409" s="1">
        <v>10</v>
      </c>
      <c r="G409" s="1">
        <v>38</v>
      </c>
      <c r="H409" s="76" t="str">
        <f>Tableau1[[#This Row],[Annee d''inscription au programme]]&amp;"-"&amp;Tableau1[[#This Row],[Code d''ecole]]&amp;"-"&amp;Tableau1[[#This Row],[Numero HM de la fille]]</f>
        <v>2020-10-38</v>
      </c>
      <c r="I409" s="81"/>
      <c r="J409" s="79" t="s">
        <v>374</v>
      </c>
      <c r="K409" s="35" t="s">
        <v>3518</v>
      </c>
      <c r="L409" s="35">
        <v>14.5</v>
      </c>
      <c r="M409" s="35">
        <v>20</v>
      </c>
      <c r="N409" s="35">
        <f t="shared" si="12"/>
        <v>17.25</v>
      </c>
      <c r="O409" s="35"/>
      <c r="P409" s="35"/>
      <c r="Q409" s="35">
        <f t="shared" si="13"/>
        <v>0</v>
      </c>
      <c r="R409" s="35"/>
      <c r="S409" s="35"/>
      <c r="T409" s="35"/>
      <c r="U409" s="82" t="e">
        <f>AVERAGE(Tableau1[[#This Row],[1ère composition]:[3è Composition]])</f>
        <v>#DIV/0!</v>
      </c>
    </row>
    <row r="410" spans="1:21" hidden="1" x14ac:dyDescent="0.2">
      <c r="A410" s="1" t="s">
        <v>91</v>
      </c>
      <c r="B410" s="1" t="s">
        <v>3096</v>
      </c>
      <c r="C410" s="1" t="s">
        <v>3671</v>
      </c>
      <c r="D410" s="1">
        <v>96117638</v>
      </c>
      <c r="E410" s="1">
        <v>2021</v>
      </c>
      <c r="F410" s="1">
        <v>10</v>
      </c>
      <c r="G410" s="1">
        <v>29</v>
      </c>
      <c r="H410" s="76" t="str">
        <f>Tableau1[[#This Row],[Annee d''inscription au programme]]&amp;"-"&amp;Tableau1[[#This Row],[Code d''ecole]]&amp;"-"&amp;Tableau1[[#This Row],[Numero HM de la fille]]</f>
        <v>2021-10-29</v>
      </c>
      <c r="I410" s="81"/>
      <c r="J410" s="79" t="s">
        <v>3505</v>
      </c>
      <c r="K410" s="35" t="s">
        <v>298</v>
      </c>
      <c r="L410" s="35">
        <v>9</v>
      </c>
      <c r="M410" s="35">
        <v>14.75</v>
      </c>
      <c r="N410" s="35">
        <f t="shared" si="12"/>
        <v>11.875</v>
      </c>
      <c r="O410" s="35"/>
      <c r="P410" s="35"/>
      <c r="Q410" s="35">
        <f t="shared" si="13"/>
        <v>0</v>
      </c>
      <c r="R410" s="35"/>
      <c r="S410" s="35"/>
      <c r="T410" s="35"/>
      <c r="U410" s="82" t="e">
        <f>AVERAGE(Tableau1[[#This Row],[1ère composition]:[3è Composition]])</f>
        <v>#DIV/0!</v>
      </c>
    </row>
    <row r="411" spans="1:21" hidden="1" x14ac:dyDescent="0.2">
      <c r="A411" s="1" t="s">
        <v>91</v>
      </c>
      <c r="B411" s="1" t="s">
        <v>3097</v>
      </c>
      <c r="C411" s="75" t="s">
        <v>3689</v>
      </c>
      <c r="D411" s="1"/>
      <c r="E411" s="1">
        <v>2021</v>
      </c>
      <c r="F411" s="1">
        <v>10</v>
      </c>
      <c r="G411" s="1">
        <v>30</v>
      </c>
      <c r="H411" s="76" t="str">
        <f>Tableau1[[#This Row],[Annee d''inscription au programme]]&amp;"-"&amp;Tableau1[[#This Row],[Code d''ecole]]&amp;"-"&amp;Tableau1[[#This Row],[Numero HM de la fille]]</f>
        <v>2021-10-30</v>
      </c>
      <c r="I411" s="81"/>
      <c r="J411" s="79" t="s">
        <v>3505</v>
      </c>
      <c r="K411" s="35" t="s">
        <v>298</v>
      </c>
      <c r="L411" s="35">
        <v>11.5</v>
      </c>
      <c r="M411" s="35">
        <v>13.5</v>
      </c>
      <c r="N411" s="35">
        <f t="shared" si="12"/>
        <v>12.5</v>
      </c>
      <c r="O411" s="35"/>
      <c r="P411" s="35"/>
      <c r="Q411" s="35">
        <f t="shared" si="13"/>
        <v>0</v>
      </c>
      <c r="R411" s="35"/>
      <c r="S411" s="35"/>
      <c r="T411" s="35"/>
      <c r="U411" s="82" t="e">
        <f>AVERAGE(Tableau1[[#This Row],[1ère composition]:[3è Composition]])</f>
        <v>#DIV/0!</v>
      </c>
    </row>
    <row r="412" spans="1:21" hidden="1" x14ac:dyDescent="0.2">
      <c r="A412" s="1" t="s">
        <v>91</v>
      </c>
      <c r="B412" s="1" t="s">
        <v>3098</v>
      </c>
      <c r="C412" s="1" t="s">
        <v>3690</v>
      </c>
      <c r="D412" s="1">
        <v>81083896</v>
      </c>
      <c r="E412" s="1">
        <v>2021</v>
      </c>
      <c r="F412" s="1">
        <v>10</v>
      </c>
      <c r="G412" s="1">
        <v>31</v>
      </c>
      <c r="H412" s="76" t="str">
        <f>Tableau1[[#This Row],[Annee d''inscription au programme]]&amp;"-"&amp;Tableau1[[#This Row],[Code d''ecole]]&amp;"-"&amp;Tableau1[[#This Row],[Numero HM de la fille]]</f>
        <v>2021-10-31</v>
      </c>
      <c r="I412" s="81"/>
      <c r="J412" s="79" t="s">
        <v>3505</v>
      </c>
      <c r="K412" s="35" t="s">
        <v>298</v>
      </c>
      <c r="L412" s="35">
        <v>0</v>
      </c>
      <c r="M412" s="35">
        <v>0</v>
      </c>
      <c r="N412" s="35">
        <f t="shared" si="12"/>
        <v>0</v>
      </c>
      <c r="O412" s="35"/>
      <c r="P412" s="35"/>
      <c r="Q412" s="35">
        <f t="shared" si="13"/>
        <v>0</v>
      </c>
      <c r="R412" s="35"/>
      <c r="S412" s="35"/>
      <c r="T412" s="35"/>
      <c r="U412" s="82" t="e">
        <f>AVERAGE(Tableau1[[#This Row],[1ère composition]:[3è Composition]])</f>
        <v>#DIV/0!</v>
      </c>
    </row>
    <row r="413" spans="1:21" hidden="1" x14ac:dyDescent="0.2">
      <c r="A413" s="1" t="s">
        <v>91</v>
      </c>
      <c r="B413" s="1" t="s">
        <v>3099</v>
      </c>
      <c r="C413" s="1" t="s">
        <v>3694</v>
      </c>
      <c r="D413" s="1">
        <v>97331619</v>
      </c>
      <c r="E413" s="1">
        <v>2021</v>
      </c>
      <c r="F413" s="1">
        <v>10</v>
      </c>
      <c r="G413" s="1">
        <v>32</v>
      </c>
      <c r="H413" s="76" t="str">
        <f>Tableau1[[#This Row],[Annee d''inscription au programme]]&amp;"-"&amp;Tableau1[[#This Row],[Code d''ecole]]&amp;"-"&amp;Tableau1[[#This Row],[Numero HM de la fille]]</f>
        <v>2021-10-32</v>
      </c>
      <c r="I413" s="81"/>
      <c r="J413" s="79" t="s">
        <v>3505</v>
      </c>
      <c r="K413" s="35" t="s">
        <v>298</v>
      </c>
      <c r="L413" s="35">
        <v>14</v>
      </c>
      <c r="M413" s="35">
        <v>19.5</v>
      </c>
      <c r="N413" s="35">
        <f t="shared" si="12"/>
        <v>16.75</v>
      </c>
      <c r="O413" s="35"/>
      <c r="P413" s="35"/>
      <c r="Q413" s="35">
        <f t="shared" si="13"/>
        <v>0</v>
      </c>
      <c r="R413" s="35"/>
      <c r="S413" s="35"/>
      <c r="T413" s="35"/>
      <c r="U413" s="82" t="e">
        <f>AVERAGE(Tableau1[[#This Row],[1ère composition]:[3è Composition]])</f>
        <v>#DIV/0!</v>
      </c>
    </row>
    <row r="414" spans="1:21" hidden="1" x14ac:dyDescent="0.2">
      <c r="A414" s="1" t="s">
        <v>91</v>
      </c>
      <c r="B414" s="1" t="s">
        <v>3100</v>
      </c>
      <c r="C414" s="1" t="s">
        <v>3693</v>
      </c>
      <c r="D414" s="1">
        <v>91753835</v>
      </c>
      <c r="E414" s="1">
        <v>2020</v>
      </c>
      <c r="F414" s="1">
        <v>10</v>
      </c>
      <c r="G414" s="1">
        <v>10</v>
      </c>
      <c r="H414" s="76" t="str">
        <f>Tableau1[[#This Row],[Annee d''inscription au programme]]&amp;"-"&amp;Tableau1[[#This Row],[Code d''ecole]]&amp;"-"&amp;Tableau1[[#This Row],[Numero HM de la fille]]</f>
        <v>2020-10-10</v>
      </c>
      <c r="I414" s="81"/>
      <c r="J414" s="79" t="s">
        <v>374</v>
      </c>
      <c r="K414" s="35" t="s">
        <v>3518</v>
      </c>
      <c r="L414" s="35">
        <v>7</v>
      </c>
      <c r="M414" s="35">
        <v>14</v>
      </c>
      <c r="N414" s="35">
        <f t="shared" si="12"/>
        <v>10.5</v>
      </c>
      <c r="O414" s="35"/>
      <c r="P414" s="35"/>
      <c r="Q414" s="35">
        <f t="shared" si="13"/>
        <v>0</v>
      </c>
      <c r="R414" s="35"/>
      <c r="S414" s="35"/>
      <c r="T414" s="35"/>
      <c r="U414" s="82" t="e">
        <f>AVERAGE(Tableau1[[#This Row],[1ère composition]:[3è Composition]])</f>
        <v>#DIV/0!</v>
      </c>
    </row>
    <row r="415" spans="1:21" hidden="1" x14ac:dyDescent="0.2">
      <c r="A415" s="1" t="s">
        <v>91</v>
      </c>
      <c r="B415" s="1" t="s">
        <v>3543</v>
      </c>
      <c r="C415" s="1"/>
      <c r="D415" s="1">
        <v>94225311</v>
      </c>
      <c r="E415" s="1">
        <v>2020</v>
      </c>
      <c r="F415" s="1">
        <v>10</v>
      </c>
      <c r="G415" s="1">
        <v>19</v>
      </c>
      <c r="H415" s="76" t="str">
        <f>Tableau1[[#This Row],[Annee d''inscription au programme]]&amp;"-"&amp;Tableau1[[#This Row],[Code d''ecole]]&amp;"-"&amp;Tableau1[[#This Row],[Numero HM de la fille]]</f>
        <v>2020-10-19</v>
      </c>
      <c r="I415" s="81"/>
      <c r="J415" s="79" t="s">
        <v>374</v>
      </c>
      <c r="K415" s="35" t="s">
        <v>3518</v>
      </c>
      <c r="L415" s="35">
        <v>11</v>
      </c>
      <c r="M415" s="35">
        <v>14.5</v>
      </c>
      <c r="N415" s="35">
        <f t="shared" si="12"/>
        <v>12.75</v>
      </c>
      <c r="O415" s="35"/>
      <c r="P415" s="35"/>
      <c r="Q415" s="35">
        <f t="shared" si="13"/>
        <v>0</v>
      </c>
      <c r="R415" s="35"/>
      <c r="S415" s="35"/>
      <c r="T415" s="35"/>
      <c r="U415" s="82" t="e">
        <f>AVERAGE(Tableau1[[#This Row],[1ère composition]:[3è Composition]])</f>
        <v>#DIV/0!</v>
      </c>
    </row>
    <row r="416" spans="1:21" hidden="1" x14ac:dyDescent="0.2">
      <c r="A416" s="1" t="s">
        <v>91</v>
      </c>
      <c r="B416" s="1" t="s">
        <v>3692</v>
      </c>
      <c r="C416" s="1" t="s">
        <v>3666</v>
      </c>
      <c r="D416" s="1">
        <v>96292563</v>
      </c>
      <c r="E416" s="1">
        <v>2021</v>
      </c>
      <c r="F416" s="1">
        <v>10</v>
      </c>
      <c r="G416" s="1">
        <v>33</v>
      </c>
      <c r="H416" s="76" t="str">
        <f>Tableau1[[#This Row],[Annee d''inscription au programme]]&amp;"-"&amp;Tableau1[[#This Row],[Code d''ecole]]&amp;"-"&amp;Tableau1[[#This Row],[Numero HM de la fille]]</f>
        <v>2021-10-33</v>
      </c>
      <c r="I416" s="81"/>
      <c r="J416" s="79" t="s">
        <v>3505</v>
      </c>
      <c r="K416" s="35" t="s">
        <v>298</v>
      </c>
      <c r="L416" s="35">
        <v>8</v>
      </c>
      <c r="M416" s="35">
        <v>14.25</v>
      </c>
      <c r="N416" s="35">
        <f t="shared" si="12"/>
        <v>11.125</v>
      </c>
      <c r="O416" s="35"/>
      <c r="P416" s="35"/>
      <c r="Q416" s="35">
        <f t="shared" si="13"/>
        <v>0</v>
      </c>
      <c r="R416" s="35"/>
      <c r="S416" s="35"/>
      <c r="T416" s="35"/>
      <c r="U416" s="82" t="e">
        <f>AVERAGE(Tableau1[[#This Row],[1ère composition]:[3è Composition]])</f>
        <v>#DIV/0!</v>
      </c>
    </row>
    <row r="417" spans="1:21" hidden="1" x14ac:dyDescent="0.2">
      <c r="A417" s="1" t="s">
        <v>91</v>
      </c>
      <c r="B417" s="1" t="s">
        <v>3303</v>
      </c>
      <c r="C417" s="1" t="s">
        <v>3673</v>
      </c>
      <c r="D417" s="1">
        <v>82533461</v>
      </c>
      <c r="E417" s="1">
        <v>2021</v>
      </c>
      <c r="F417" s="1">
        <v>10</v>
      </c>
      <c r="G417" s="1">
        <v>34</v>
      </c>
      <c r="H417" s="76" t="str">
        <f>Tableau1[[#This Row],[Annee d''inscription au programme]]&amp;"-"&amp;Tableau1[[#This Row],[Code d''ecole]]&amp;"-"&amp;Tableau1[[#This Row],[Numero HM de la fille]]</f>
        <v>2021-10-34</v>
      </c>
      <c r="I417" s="81"/>
      <c r="J417" s="79" t="s">
        <v>3505</v>
      </c>
      <c r="K417" s="35" t="s">
        <v>298</v>
      </c>
      <c r="L417" s="35">
        <v>10</v>
      </c>
      <c r="M417" s="35">
        <v>13.5</v>
      </c>
      <c r="N417" s="35">
        <f t="shared" si="12"/>
        <v>11.75</v>
      </c>
      <c r="O417" s="35"/>
      <c r="P417" s="35"/>
      <c r="Q417" s="35">
        <f t="shared" si="13"/>
        <v>0</v>
      </c>
      <c r="R417" s="35"/>
      <c r="S417" s="35"/>
      <c r="T417" s="35"/>
      <c r="U417" s="82" t="e">
        <f>AVERAGE(Tableau1[[#This Row],[1ère composition]:[3è Composition]])</f>
        <v>#DIV/0!</v>
      </c>
    </row>
    <row r="418" spans="1:21" hidden="1" x14ac:dyDescent="0.2">
      <c r="A418" s="1" t="s">
        <v>91</v>
      </c>
      <c r="B418" s="1" t="s">
        <v>3304</v>
      </c>
      <c r="C418" s="1" t="s">
        <v>3666</v>
      </c>
      <c r="D418" s="1">
        <v>87611830</v>
      </c>
      <c r="E418" s="1">
        <v>2021</v>
      </c>
      <c r="F418" s="1">
        <v>10</v>
      </c>
      <c r="G418" s="1">
        <v>35</v>
      </c>
      <c r="H418" s="76" t="str">
        <f>Tableau1[[#This Row],[Annee d''inscription au programme]]&amp;"-"&amp;Tableau1[[#This Row],[Code d''ecole]]&amp;"-"&amp;Tableau1[[#This Row],[Numero HM de la fille]]</f>
        <v>2021-10-35</v>
      </c>
      <c r="I418" s="81"/>
      <c r="J418" s="79" t="s">
        <v>3505</v>
      </c>
      <c r="K418" s="35" t="s">
        <v>298</v>
      </c>
      <c r="L418" s="35">
        <v>9</v>
      </c>
      <c r="M418" s="35">
        <v>10.5</v>
      </c>
      <c r="N418" s="35">
        <f t="shared" si="12"/>
        <v>9.75</v>
      </c>
      <c r="O418" s="35"/>
      <c r="P418" s="35"/>
      <c r="Q418" s="35">
        <f t="shared" si="13"/>
        <v>0</v>
      </c>
      <c r="R418" s="35"/>
      <c r="S418" s="35"/>
      <c r="T418" s="35"/>
      <c r="U418" s="82" t="e">
        <f>AVERAGE(Tableau1[[#This Row],[1ère composition]:[3è Composition]])</f>
        <v>#DIV/0!</v>
      </c>
    </row>
    <row r="419" spans="1:21" hidden="1" x14ac:dyDescent="0.2">
      <c r="A419" s="1" t="s">
        <v>91</v>
      </c>
      <c r="B419" s="1" t="s">
        <v>3305</v>
      </c>
      <c r="C419" s="75" t="s">
        <v>3672</v>
      </c>
      <c r="D419" s="1"/>
      <c r="E419" s="1">
        <v>2021</v>
      </c>
      <c r="F419" s="1">
        <v>10</v>
      </c>
      <c r="G419" s="1">
        <v>36</v>
      </c>
      <c r="H419" s="76" t="str">
        <f>Tableau1[[#This Row],[Annee d''inscription au programme]]&amp;"-"&amp;Tableau1[[#This Row],[Code d''ecole]]&amp;"-"&amp;Tableau1[[#This Row],[Numero HM de la fille]]</f>
        <v>2021-10-36</v>
      </c>
      <c r="I419" s="81"/>
      <c r="J419" s="79" t="s">
        <v>3505</v>
      </c>
      <c r="K419" s="35" t="s">
        <v>298</v>
      </c>
      <c r="L419" s="35">
        <v>12.5</v>
      </c>
      <c r="M419" s="35">
        <v>14</v>
      </c>
      <c r="N419" s="35">
        <f t="shared" si="12"/>
        <v>13.25</v>
      </c>
      <c r="O419" s="35"/>
      <c r="P419" s="35"/>
      <c r="Q419" s="35">
        <f t="shared" si="13"/>
        <v>0</v>
      </c>
      <c r="R419" s="35"/>
      <c r="S419" s="35"/>
      <c r="T419" s="35"/>
      <c r="U419" s="82" t="e">
        <f>AVERAGE(Tableau1[[#This Row],[1ère composition]:[3è Composition]])</f>
        <v>#DIV/0!</v>
      </c>
    </row>
    <row r="420" spans="1:21" hidden="1" x14ac:dyDescent="0.2">
      <c r="A420" s="1" t="s">
        <v>91</v>
      </c>
      <c r="B420" s="1" t="s">
        <v>3306</v>
      </c>
      <c r="C420" s="1" t="s">
        <v>3685</v>
      </c>
      <c r="D420" s="1">
        <v>84356299</v>
      </c>
      <c r="E420" s="1">
        <v>2021</v>
      </c>
      <c r="F420" s="1">
        <v>10</v>
      </c>
      <c r="G420" s="1">
        <v>37</v>
      </c>
      <c r="H420" s="76" t="str">
        <f>Tableau1[[#This Row],[Annee d''inscription au programme]]&amp;"-"&amp;Tableau1[[#This Row],[Code d''ecole]]&amp;"-"&amp;Tableau1[[#This Row],[Numero HM de la fille]]</f>
        <v>2021-10-37</v>
      </c>
      <c r="I420" s="81"/>
      <c r="J420" s="79" t="s">
        <v>3505</v>
      </c>
      <c r="K420" s="35" t="s">
        <v>298</v>
      </c>
      <c r="L420" s="35">
        <v>7.5</v>
      </c>
      <c r="M420" s="35">
        <v>8</v>
      </c>
      <c r="N420" s="35">
        <f t="shared" si="12"/>
        <v>7.75</v>
      </c>
      <c r="O420" s="35"/>
      <c r="P420" s="35"/>
      <c r="Q420" s="35">
        <f t="shared" si="13"/>
        <v>0</v>
      </c>
      <c r="R420" s="35"/>
      <c r="S420" s="35"/>
      <c r="T420" s="35"/>
      <c r="U420" s="82" t="e">
        <f>AVERAGE(Tableau1[[#This Row],[1ère composition]:[3è Composition]])</f>
        <v>#DIV/0!</v>
      </c>
    </row>
    <row r="421" spans="1:21" hidden="1" x14ac:dyDescent="0.2">
      <c r="A421" s="1" t="s">
        <v>91</v>
      </c>
      <c r="B421" s="1" t="s">
        <v>3550</v>
      </c>
      <c r="C421" s="1" t="s">
        <v>3695</v>
      </c>
      <c r="D421" s="1">
        <v>84356299</v>
      </c>
      <c r="E421" s="1">
        <v>2021</v>
      </c>
      <c r="F421" s="1">
        <v>10</v>
      </c>
      <c r="G421" s="1">
        <v>38</v>
      </c>
      <c r="H421" s="76" t="str">
        <f>Tableau1[[#This Row],[Annee d''inscription au programme]]&amp;"-"&amp;Tableau1[[#This Row],[Code d''ecole]]&amp;"-"&amp;Tableau1[[#This Row],[Numero HM de la fille]]</f>
        <v>2021-10-38</v>
      </c>
      <c r="I421" s="81"/>
      <c r="J421" s="79" t="s">
        <v>3505</v>
      </c>
      <c r="K421" s="35" t="s">
        <v>298</v>
      </c>
      <c r="L421" s="35">
        <v>14.5</v>
      </c>
      <c r="M421" s="35">
        <v>9</v>
      </c>
      <c r="N421" s="35">
        <f t="shared" si="12"/>
        <v>11.75</v>
      </c>
      <c r="O421" s="35"/>
      <c r="P421" s="35"/>
      <c r="Q421" s="35">
        <f t="shared" si="13"/>
        <v>0</v>
      </c>
      <c r="R421" s="35"/>
      <c r="S421" s="35"/>
      <c r="T421" s="35"/>
      <c r="U421" s="82" t="e">
        <f>AVERAGE(Tableau1[[#This Row],[1ère composition]:[3è Composition]])</f>
        <v>#DIV/0!</v>
      </c>
    </row>
    <row r="422" spans="1:21" hidden="1" x14ac:dyDescent="0.2">
      <c r="A422" s="1" t="s">
        <v>91</v>
      </c>
      <c r="B422" s="1" t="s">
        <v>3307</v>
      </c>
      <c r="C422" s="1" t="s">
        <v>3696</v>
      </c>
      <c r="D422" s="1">
        <v>95735189</v>
      </c>
      <c r="E422" s="1">
        <v>2020</v>
      </c>
      <c r="F422" s="1">
        <v>10</v>
      </c>
      <c r="G422" s="1">
        <v>25</v>
      </c>
      <c r="H422" s="76" t="str">
        <f>Tableau1[[#This Row],[Annee d''inscription au programme]]&amp;"-"&amp;Tableau1[[#This Row],[Code d''ecole]]&amp;"-"&amp;Tableau1[[#This Row],[Numero HM de la fille]]</f>
        <v>2020-10-25</v>
      </c>
      <c r="I422" s="81"/>
      <c r="J422" s="79" t="s">
        <v>374</v>
      </c>
      <c r="K422" s="35" t="s">
        <v>3518</v>
      </c>
      <c r="L422" s="35">
        <v>4.5</v>
      </c>
      <c r="M422" s="35">
        <v>6</v>
      </c>
      <c r="N422" s="35">
        <f t="shared" si="12"/>
        <v>5.25</v>
      </c>
      <c r="O422" s="35"/>
      <c r="P422" s="35"/>
      <c r="Q422" s="35">
        <f t="shared" si="13"/>
        <v>0</v>
      </c>
      <c r="R422" s="35"/>
      <c r="S422" s="35"/>
      <c r="T422" s="35"/>
      <c r="U422" s="82" t="e">
        <f>AVERAGE(Tableau1[[#This Row],[1ère composition]:[3è Composition]])</f>
        <v>#DIV/0!</v>
      </c>
    </row>
    <row r="423" spans="1:21" hidden="1" x14ac:dyDescent="0.2">
      <c r="A423" s="1" t="s">
        <v>91</v>
      </c>
      <c r="B423" s="1" t="s">
        <v>3308</v>
      </c>
      <c r="C423" s="1" t="s">
        <v>3688</v>
      </c>
      <c r="D423" s="1">
        <v>94221218</v>
      </c>
      <c r="E423" s="1">
        <v>2021</v>
      </c>
      <c r="F423" s="1">
        <v>10</v>
      </c>
      <c r="G423" s="1">
        <v>39</v>
      </c>
      <c r="H423" s="76" t="str">
        <f>Tableau1[[#This Row],[Annee d''inscription au programme]]&amp;"-"&amp;Tableau1[[#This Row],[Code d''ecole]]&amp;"-"&amp;Tableau1[[#This Row],[Numero HM de la fille]]</f>
        <v>2021-10-39</v>
      </c>
      <c r="I423" s="81"/>
      <c r="J423" s="79" t="s">
        <v>3505</v>
      </c>
      <c r="K423" s="35" t="s">
        <v>298</v>
      </c>
      <c r="L423" s="35">
        <v>6.5</v>
      </c>
      <c r="M423" s="35">
        <v>12</v>
      </c>
      <c r="N423" s="35">
        <f t="shared" si="12"/>
        <v>9.25</v>
      </c>
      <c r="O423" s="35"/>
      <c r="P423" s="35"/>
      <c r="Q423" s="35">
        <f t="shared" si="13"/>
        <v>0</v>
      </c>
      <c r="R423" s="35"/>
      <c r="S423" s="35"/>
      <c r="T423" s="35"/>
      <c r="U423" s="82" t="e">
        <f>AVERAGE(Tableau1[[#This Row],[1ère composition]:[3è Composition]])</f>
        <v>#DIV/0!</v>
      </c>
    </row>
    <row r="424" spans="1:21" hidden="1" x14ac:dyDescent="0.2">
      <c r="A424" s="1" t="s">
        <v>91</v>
      </c>
      <c r="B424" s="1" t="s">
        <v>3309</v>
      </c>
      <c r="C424" s="1" t="s">
        <v>3666</v>
      </c>
      <c r="D424" s="1">
        <v>96772790</v>
      </c>
      <c r="E424" s="1">
        <v>2021</v>
      </c>
      <c r="F424" s="1">
        <v>10</v>
      </c>
      <c r="G424" s="1">
        <v>40</v>
      </c>
      <c r="H424" s="76" t="str">
        <f>Tableau1[[#This Row],[Annee d''inscription au programme]]&amp;"-"&amp;Tableau1[[#This Row],[Code d''ecole]]&amp;"-"&amp;Tableau1[[#This Row],[Numero HM de la fille]]</f>
        <v>2021-10-40</v>
      </c>
      <c r="I424" s="81"/>
      <c r="J424" s="79" t="s">
        <v>3505</v>
      </c>
      <c r="K424" s="35" t="s">
        <v>298</v>
      </c>
      <c r="L424" s="35">
        <v>15.5</v>
      </c>
      <c r="M424" s="35">
        <v>17.5</v>
      </c>
      <c r="N424" s="35">
        <f t="shared" si="12"/>
        <v>16.5</v>
      </c>
      <c r="O424" s="35"/>
      <c r="P424" s="35"/>
      <c r="Q424" s="35">
        <f t="shared" si="13"/>
        <v>0</v>
      </c>
      <c r="R424" s="35"/>
      <c r="S424" s="35"/>
      <c r="T424" s="35"/>
      <c r="U424" s="82" t="e">
        <f>AVERAGE(Tableau1[[#This Row],[1ère composition]:[3è Composition]])</f>
        <v>#DIV/0!</v>
      </c>
    </row>
    <row r="425" spans="1:21" hidden="1" x14ac:dyDescent="0.2">
      <c r="A425" s="1" t="s">
        <v>91</v>
      </c>
      <c r="B425" s="1" t="s">
        <v>3310</v>
      </c>
      <c r="C425" s="1" t="s">
        <v>3687</v>
      </c>
      <c r="D425" s="1">
        <v>95635396</v>
      </c>
      <c r="E425" s="1">
        <v>2021</v>
      </c>
      <c r="F425" s="1">
        <v>10</v>
      </c>
      <c r="G425" s="1">
        <v>41</v>
      </c>
      <c r="H425" s="76" t="str">
        <f>Tableau1[[#This Row],[Annee d''inscription au programme]]&amp;"-"&amp;Tableau1[[#This Row],[Code d''ecole]]&amp;"-"&amp;Tableau1[[#This Row],[Numero HM de la fille]]</f>
        <v>2021-10-41</v>
      </c>
      <c r="I425" s="81"/>
      <c r="J425" s="79" t="s">
        <v>3505</v>
      </c>
      <c r="K425" s="35" t="s">
        <v>298</v>
      </c>
      <c r="L425" s="35">
        <v>0</v>
      </c>
      <c r="M425" s="35">
        <v>0</v>
      </c>
      <c r="N425" s="35">
        <f t="shared" si="12"/>
        <v>0</v>
      </c>
      <c r="O425" s="35"/>
      <c r="P425" s="35"/>
      <c r="Q425" s="35">
        <f t="shared" si="13"/>
        <v>0</v>
      </c>
      <c r="R425" s="35"/>
      <c r="S425" s="35"/>
      <c r="T425" s="35"/>
      <c r="U425" s="82" t="e">
        <f>AVERAGE(Tableau1[[#This Row],[1ère composition]:[3è Composition]])</f>
        <v>#DIV/0!</v>
      </c>
    </row>
    <row r="426" spans="1:21" hidden="1" x14ac:dyDescent="0.2">
      <c r="A426" s="1" t="s">
        <v>91</v>
      </c>
      <c r="B426" s="1" t="s">
        <v>3311</v>
      </c>
      <c r="C426" s="1" t="s">
        <v>3691</v>
      </c>
      <c r="D426" s="1">
        <v>95790880</v>
      </c>
      <c r="E426" s="1">
        <v>2021</v>
      </c>
      <c r="F426" s="1">
        <v>10</v>
      </c>
      <c r="G426" s="1">
        <v>42</v>
      </c>
      <c r="H426" s="76" t="str">
        <f>Tableau1[[#This Row],[Annee d''inscription au programme]]&amp;"-"&amp;Tableau1[[#This Row],[Code d''ecole]]&amp;"-"&amp;Tableau1[[#This Row],[Numero HM de la fille]]</f>
        <v>2021-10-42</v>
      </c>
      <c r="I426" s="81"/>
      <c r="J426" s="79" t="s">
        <v>3505</v>
      </c>
      <c r="K426" s="35" t="s">
        <v>298</v>
      </c>
      <c r="L426" s="35">
        <v>11</v>
      </c>
      <c r="M426" s="35">
        <v>16</v>
      </c>
      <c r="N426" s="35">
        <f t="shared" si="12"/>
        <v>13.5</v>
      </c>
      <c r="O426" s="35"/>
      <c r="P426" s="35"/>
      <c r="Q426" s="35">
        <f t="shared" si="13"/>
        <v>0</v>
      </c>
      <c r="R426" s="35"/>
      <c r="S426" s="35"/>
      <c r="T426" s="35"/>
      <c r="U426" s="82" t="e">
        <f>AVERAGE(Tableau1[[#This Row],[1ère composition]:[3è Composition]])</f>
        <v>#DIV/0!</v>
      </c>
    </row>
    <row r="427" spans="1:21" hidden="1" x14ac:dyDescent="0.2">
      <c r="A427" s="1" t="s">
        <v>91</v>
      </c>
      <c r="B427" s="1" t="s">
        <v>3312</v>
      </c>
      <c r="C427" s="1" t="s">
        <v>3685</v>
      </c>
      <c r="D427" s="1">
        <v>99010523</v>
      </c>
      <c r="E427" s="1">
        <v>2021</v>
      </c>
      <c r="F427" s="1">
        <v>10</v>
      </c>
      <c r="G427" s="1">
        <v>43</v>
      </c>
      <c r="H427" s="76" t="str">
        <f>Tableau1[[#This Row],[Annee d''inscription au programme]]&amp;"-"&amp;Tableau1[[#This Row],[Code d''ecole]]&amp;"-"&amp;Tableau1[[#This Row],[Numero HM de la fille]]</f>
        <v>2021-10-43</v>
      </c>
      <c r="I427" s="81"/>
      <c r="J427" s="79" t="s">
        <v>3505</v>
      </c>
      <c r="K427" s="35" t="s">
        <v>298</v>
      </c>
      <c r="L427" s="35">
        <v>0</v>
      </c>
      <c r="M427" s="35">
        <v>0</v>
      </c>
      <c r="N427" s="35">
        <f t="shared" si="12"/>
        <v>0</v>
      </c>
      <c r="O427" s="35"/>
      <c r="P427" s="35"/>
      <c r="Q427" s="35">
        <f t="shared" si="13"/>
        <v>0</v>
      </c>
      <c r="R427" s="35"/>
      <c r="S427" s="35"/>
      <c r="T427" s="35"/>
      <c r="U427" s="82" t="e">
        <f>AVERAGE(Tableau1[[#This Row],[1ère composition]:[3è Composition]])</f>
        <v>#DIV/0!</v>
      </c>
    </row>
    <row r="428" spans="1:21" hidden="1" x14ac:dyDescent="0.2">
      <c r="A428" s="1" t="s">
        <v>3112</v>
      </c>
      <c r="B428" s="1" t="s">
        <v>3135</v>
      </c>
      <c r="C428" s="1" t="s">
        <v>3740</v>
      </c>
      <c r="D428" s="1">
        <v>99340792</v>
      </c>
      <c r="E428" s="1">
        <v>2021</v>
      </c>
      <c r="F428" s="1">
        <v>74</v>
      </c>
      <c r="G428" s="1">
        <v>1</v>
      </c>
      <c r="H428" s="76" t="str">
        <f>Tableau1[[#This Row],[Annee d''inscription au programme]]&amp;"-"&amp;Tableau1[[#This Row],[Code d''ecole]]&amp;"-"&amp;Tableau1[[#This Row],[Numero HM de la fille]]</f>
        <v>2021-74-1</v>
      </c>
      <c r="I428" s="81"/>
      <c r="J428" s="79" t="s">
        <v>3505</v>
      </c>
      <c r="K428" s="35" t="s">
        <v>298</v>
      </c>
      <c r="L428" s="35">
        <v>14</v>
      </c>
      <c r="M428" s="35">
        <v>10.75</v>
      </c>
      <c r="N428" s="35">
        <f t="shared" si="12"/>
        <v>12.375</v>
      </c>
      <c r="O428" s="35">
        <v>18</v>
      </c>
      <c r="P428" s="35">
        <v>15.5</v>
      </c>
      <c r="Q428" s="35">
        <f t="shared" si="13"/>
        <v>16.75</v>
      </c>
      <c r="R428" s="35"/>
      <c r="S428" s="35"/>
      <c r="T428" s="35"/>
      <c r="U428" s="82" t="e">
        <f>AVERAGE(Tableau1[[#This Row],[1ère composition]:[3è Composition]])</f>
        <v>#DIV/0!</v>
      </c>
    </row>
    <row r="429" spans="1:21" hidden="1" x14ac:dyDescent="0.2">
      <c r="A429" s="1" t="s">
        <v>3112</v>
      </c>
      <c r="B429" s="1" t="s">
        <v>3134</v>
      </c>
      <c r="C429" s="1" t="s">
        <v>3741</v>
      </c>
      <c r="D429" s="1">
        <v>74193224</v>
      </c>
      <c r="E429" s="1">
        <v>2021</v>
      </c>
      <c r="F429" s="1">
        <v>74</v>
      </c>
      <c r="G429" s="1">
        <v>2</v>
      </c>
      <c r="H429" s="76" t="str">
        <f>Tableau1[[#This Row],[Annee d''inscription au programme]]&amp;"-"&amp;Tableau1[[#This Row],[Code d''ecole]]&amp;"-"&amp;Tableau1[[#This Row],[Numero HM de la fille]]</f>
        <v>2021-74-2</v>
      </c>
      <c r="I429" s="81"/>
      <c r="J429" s="79" t="s">
        <v>3505</v>
      </c>
      <c r="K429" s="35" t="s">
        <v>298</v>
      </c>
      <c r="L429" s="35">
        <v>4.5</v>
      </c>
      <c r="M429" s="35">
        <v>12</v>
      </c>
      <c r="N429" s="35">
        <f t="shared" si="12"/>
        <v>8.25</v>
      </c>
      <c r="O429" s="35">
        <v>12.5</v>
      </c>
      <c r="P429" s="35">
        <v>4</v>
      </c>
      <c r="Q429" s="35">
        <f t="shared" si="13"/>
        <v>8.25</v>
      </c>
      <c r="R429" s="35"/>
      <c r="S429" s="35"/>
      <c r="T429" s="35"/>
      <c r="U429" s="82" t="e">
        <f>AVERAGE(Tableau1[[#This Row],[1ère composition]:[3è Composition]])</f>
        <v>#DIV/0!</v>
      </c>
    </row>
    <row r="430" spans="1:21" hidden="1" x14ac:dyDescent="0.2">
      <c r="A430" s="1" t="s">
        <v>3112</v>
      </c>
      <c r="B430" s="1" t="s">
        <v>3133</v>
      </c>
      <c r="C430" s="1" t="s">
        <v>3742</v>
      </c>
      <c r="D430" s="1">
        <v>74443436</v>
      </c>
      <c r="E430" s="1">
        <v>2021</v>
      </c>
      <c r="F430" s="1">
        <v>74</v>
      </c>
      <c r="G430" s="1">
        <v>3</v>
      </c>
      <c r="H430" s="76" t="str">
        <f>Tableau1[[#This Row],[Annee d''inscription au programme]]&amp;"-"&amp;Tableau1[[#This Row],[Code d''ecole]]&amp;"-"&amp;Tableau1[[#This Row],[Numero HM de la fille]]</f>
        <v>2021-74-3</v>
      </c>
      <c r="I430" s="81"/>
      <c r="J430" s="79" t="s">
        <v>3505</v>
      </c>
      <c r="K430" s="35" t="s">
        <v>298</v>
      </c>
      <c r="L430" s="35">
        <v>13.5</v>
      </c>
      <c r="M430" s="35">
        <v>9</v>
      </c>
      <c r="N430" s="35">
        <f t="shared" si="12"/>
        <v>11.25</v>
      </c>
      <c r="O430" s="35">
        <v>18.5</v>
      </c>
      <c r="P430" s="35">
        <v>18</v>
      </c>
      <c r="Q430" s="35">
        <f t="shared" si="13"/>
        <v>18.25</v>
      </c>
      <c r="R430" s="35"/>
      <c r="S430" s="35"/>
      <c r="T430" s="35"/>
      <c r="U430" s="82" t="e">
        <f>AVERAGE(Tableau1[[#This Row],[1ère composition]:[3è Composition]])</f>
        <v>#DIV/0!</v>
      </c>
    </row>
    <row r="431" spans="1:21" hidden="1" x14ac:dyDescent="0.2">
      <c r="A431" s="1" t="s">
        <v>3112</v>
      </c>
      <c r="B431" s="1" t="s">
        <v>3743</v>
      </c>
      <c r="C431" s="1" t="s">
        <v>3742</v>
      </c>
      <c r="D431" s="1">
        <v>89515743</v>
      </c>
      <c r="E431" s="1">
        <v>2021</v>
      </c>
      <c r="F431" s="1">
        <v>74</v>
      </c>
      <c r="G431" s="1">
        <v>4</v>
      </c>
      <c r="H431" s="76" t="str">
        <f>Tableau1[[#This Row],[Annee d''inscription au programme]]&amp;"-"&amp;Tableau1[[#This Row],[Code d''ecole]]&amp;"-"&amp;Tableau1[[#This Row],[Numero HM de la fille]]</f>
        <v>2021-74-4</v>
      </c>
      <c r="I431" s="81"/>
      <c r="J431" s="79" t="s">
        <v>3505</v>
      </c>
      <c r="K431" s="35" t="s">
        <v>298</v>
      </c>
      <c r="L431" s="35">
        <v>15.5</v>
      </c>
      <c r="M431" s="35">
        <v>15.5</v>
      </c>
      <c r="N431" s="35">
        <f t="shared" si="12"/>
        <v>15.5</v>
      </c>
      <c r="O431" s="35">
        <v>12.5</v>
      </c>
      <c r="P431" s="35">
        <v>12</v>
      </c>
      <c r="Q431" s="35">
        <f t="shared" si="13"/>
        <v>12.25</v>
      </c>
      <c r="R431" s="35"/>
      <c r="S431" s="35"/>
      <c r="T431" s="35"/>
      <c r="U431" s="82" t="e">
        <f>AVERAGE(Tableau1[[#This Row],[1ère composition]:[3è Composition]])</f>
        <v>#DIV/0!</v>
      </c>
    </row>
    <row r="432" spans="1:21" hidden="1" x14ac:dyDescent="0.2">
      <c r="A432" s="1" t="s">
        <v>3112</v>
      </c>
      <c r="B432" s="1" t="s">
        <v>3744</v>
      </c>
      <c r="C432" s="1" t="s">
        <v>3742</v>
      </c>
      <c r="D432" s="1">
        <v>94196516</v>
      </c>
      <c r="E432" s="1">
        <v>2021</v>
      </c>
      <c r="F432" s="1">
        <v>74</v>
      </c>
      <c r="G432" s="1">
        <v>5</v>
      </c>
      <c r="H432" s="76" t="str">
        <f>Tableau1[[#This Row],[Annee d''inscription au programme]]&amp;"-"&amp;Tableau1[[#This Row],[Code d''ecole]]&amp;"-"&amp;Tableau1[[#This Row],[Numero HM de la fille]]</f>
        <v>2021-74-5</v>
      </c>
      <c r="I432" s="81"/>
      <c r="J432" s="79" t="s">
        <v>3505</v>
      </c>
      <c r="K432" s="35" t="s">
        <v>298</v>
      </c>
      <c r="L432" s="35">
        <v>13</v>
      </c>
      <c r="M432" s="35">
        <v>13</v>
      </c>
      <c r="N432" s="35">
        <f t="shared" si="12"/>
        <v>13</v>
      </c>
      <c r="O432" s="35">
        <v>14.75</v>
      </c>
      <c r="P432" s="35">
        <v>16</v>
      </c>
      <c r="Q432" s="35">
        <f t="shared" si="13"/>
        <v>15.375</v>
      </c>
      <c r="R432" s="35"/>
      <c r="S432" s="35"/>
      <c r="T432" s="35"/>
      <c r="U432" s="82" t="e">
        <f>AVERAGE(Tableau1[[#This Row],[1ère composition]:[3è Composition]])</f>
        <v>#DIV/0!</v>
      </c>
    </row>
    <row r="433" spans="1:21" hidden="1" x14ac:dyDescent="0.2">
      <c r="A433" s="1" t="s">
        <v>3112</v>
      </c>
      <c r="B433" s="1" t="s">
        <v>3132</v>
      </c>
      <c r="C433" s="1" t="s">
        <v>3741</v>
      </c>
      <c r="D433" s="1">
        <v>96917453</v>
      </c>
      <c r="E433" s="1">
        <v>2021</v>
      </c>
      <c r="F433" s="1">
        <v>74</v>
      </c>
      <c r="G433" s="1">
        <v>6</v>
      </c>
      <c r="H433" s="76" t="str">
        <f>Tableau1[[#This Row],[Annee d''inscription au programme]]&amp;"-"&amp;Tableau1[[#This Row],[Code d''ecole]]&amp;"-"&amp;Tableau1[[#This Row],[Numero HM de la fille]]</f>
        <v>2021-74-6</v>
      </c>
      <c r="I433" s="81"/>
      <c r="J433" s="79" t="s">
        <v>3505</v>
      </c>
      <c r="K433" s="35" t="s">
        <v>298</v>
      </c>
      <c r="L433" s="35">
        <v>14.5</v>
      </c>
      <c r="M433" s="35">
        <v>12</v>
      </c>
      <c r="N433" s="35">
        <f t="shared" si="12"/>
        <v>13.25</v>
      </c>
      <c r="O433" s="35">
        <v>17</v>
      </c>
      <c r="P433" s="35">
        <v>19</v>
      </c>
      <c r="Q433" s="35">
        <f t="shared" si="13"/>
        <v>18</v>
      </c>
      <c r="R433" s="35"/>
      <c r="S433" s="35"/>
      <c r="T433" s="35"/>
      <c r="U433" s="82" t="e">
        <f>AVERAGE(Tableau1[[#This Row],[1ère composition]:[3è Composition]])</f>
        <v>#DIV/0!</v>
      </c>
    </row>
    <row r="434" spans="1:21" hidden="1" x14ac:dyDescent="0.2">
      <c r="A434" s="1" t="s">
        <v>3112</v>
      </c>
      <c r="B434" s="1" t="s">
        <v>3131</v>
      </c>
      <c r="C434" s="1" t="s">
        <v>3742</v>
      </c>
      <c r="D434" s="1">
        <v>89515743</v>
      </c>
      <c r="E434" s="1">
        <v>2021</v>
      </c>
      <c r="F434" s="1">
        <v>74</v>
      </c>
      <c r="G434" s="1">
        <v>7</v>
      </c>
      <c r="H434" s="76" t="str">
        <f>Tableau1[[#This Row],[Annee d''inscription au programme]]&amp;"-"&amp;Tableau1[[#This Row],[Code d''ecole]]&amp;"-"&amp;Tableau1[[#This Row],[Numero HM de la fille]]</f>
        <v>2021-74-7</v>
      </c>
      <c r="I434" s="81"/>
      <c r="J434" s="79" t="s">
        <v>3505</v>
      </c>
      <c r="K434" s="35" t="s">
        <v>298</v>
      </c>
      <c r="L434" s="35">
        <v>14</v>
      </c>
      <c r="M434" s="35">
        <v>15.5</v>
      </c>
      <c r="N434" s="35">
        <f t="shared" si="12"/>
        <v>14.75</v>
      </c>
      <c r="O434" s="35">
        <v>16</v>
      </c>
      <c r="P434" s="35">
        <v>7</v>
      </c>
      <c r="Q434" s="35">
        <f t="shared" si="13"/>
        <v>11.5</v>
      </c>
      <c r="R434" s="35"/>
      <c r="S434" s="35"/>
      <c r="T434" s="35"/>
      <c r="U434" s="82" t="e">
        <f>AVERAGE(Tableau1[[#This Row],[1ère composition]:[3è Composition]])</f>
        <v>#DIV/0!</v>
      </c>
    </row>
    <row r="435" spans="1:21" hidden="1" x14ac:dyDescent="0.2">
      <c r="A435" s="1" t="s">
        <v>3112</v>
      </c>
      <c r="B435" s="1" t="s">
        <v>3130</v>
      </c>
      <c r="C435" s="1" t="s">
        <v>3742</v>
      </c>
      <c r="D435" s="1">
        <v>98301464</v>
      </c>
      <c r="E435" s="1">
        <v>2021</v>
      </c>
      <c r="F435" s="1">
        <v>74</v>
      </c>
      <c r="G435" s="1">
        <v>8</v>
      </c>
      <c r="H435" s="76" t="str">
        <f>Tableau1[[#This Row],[Annee d''inscription au programme]]&amp;"-"&amp;Tableau1[[#This Row],[Code d''ecole]]&amp;"-"&amp;Tableau1[[#This Row],[Numero HM de la fille]]</f>
        <v>2021-74-8</v>
      </c>
      <c r="I435" s="81"/>
      <c r="J435" s="79" t="s">
        <v>3505</v>
      </c>
      <c r="K435" s="35" t="s">
        <v>298</v>
      </c>
      <c r="L435" s="35">
        <v>0</v>
      </c>
      <c r="M435" s="35">
        <v>0</v>
      </c>
      <c r="N435" s="35">
        <f t="shared" si="12"/>
        <v>0</v>
      </c>
      <c r="O435" s="35">
        <v>19</v>
      </c>
      <c r="P435" s="35">
        <v>15.5</v>
      </c>
      <c r="Q435" s="35">
        <f t="shared" si="13"/>
        <v>17.25</v>
      </c>
      <c r="R435" s="35"/>
      <c r="S435" s="35"/>
      <c r="T435" s="35"/>
      <c r="U435" s="82" t="e">
        <f>AVERAGE(Tableau1[[#This Row],[1ère composition]:[3è Composition]])</f>
        <v>#DIV/0!</v>
      </c>
    </row>
    <row r="436" spans="1:21" hidden="1" x14ac:dyDescent="0.2">
      <c r="A436" s="1" t="s">
        <v>3112</v>
      </c>
      <c r="B436" s="1" t="s">
        <v>3129</v>
      </c>
      <c r="C436" s="1" t="s">
        <v>3742</v>
      </c>
      <c r="D436" s="1">
        <v>97017324</v>
      </c>
      <c r="E436" s="1">
        <v>2021</v>
      </c>
      <c r="F436" s="1">
        <v>74</v>
      </c>
      <c r="G436" s="1">
        <v>9</v>
      </c>
      <c r="H436" s="76" t="str">
        <f>Tableau1[[#This Row],[Annee d''inscription au programme]]&amp;"-"&amp;Tableau1[[#This Row],[Code d''ecole]]&amp;"-"&amp;Tableau1[[#This Row],[Numero HM de la fille]]</f>
        <v>2021-74-9</v>
      </c>
      <c r="I436" s="81"/>
      <c r="J436" s="79" t="s">
        <v>3505</v>
      </c>
      <c r="K436" s="35" t="s">
        <v>298</v>
      </c>
      <c r="L436" s="35">
        <v>14.5</v>
      </c>
      <c r="M436" s="35">
        <v>9.75</v>
      </c>
      <c r="N436" s="35">
        <f t="shared" si="12"/>
        <v>12.125</v>
      </c>
      <c r="O436" s="35">
        <v>19</v>
      </c>
      <c r="P436" s="35">
        <v>20</v>
      </c>
      <c r="Q436" s="35">
        <f t="shared" si="13"/>
        <v>19.5</v>
      </c>
      <c r="R436" s="35"/>
      <c r="S436" s="35"/>
      <c r="T436" s="35"/>
      <c r="U436" s="82" t="e">
        <f>AVERAGE(Tableau1[[#This Row],[1ère composition]:[3è Composition]])</f>
        <v>#DIV/0!</v>
      </c>
    </row>
    <row r="437" spans="1:21" hidden="1" x14ac:dyDescent="0.2">
      <c r="A437" s="1" t="s">
        <v>3112</v>
      </c>
      <c r="B437" s="1" t="s">
        <v>3128</v>
      </c>
      <c r="C437" s="1" t="s">
        <v>3742</v>
      </c>
      <c r="D437" s="1">
        <v>80962740</v>
      </c>
      <c r="E437" s="1">
        <v>2021</v>
      </c>
      <c r="F437" s="1">
        <v>74</v>
      </c>
      <c r="G437" s="1">
        <v>10</v>
      </c>
      <c r="H437" s="76" t="str">
        <f>Tableau1[[#This Row],[Annee d''inscription au programme]]&amp;"-"&amp;Tableau1[[#This Row],[Code d''ecole]]&amp;"-"&amp;Tableau1[[#This Row],[Numero HM de la fille]]</f>
        <v>2021-74-10</v>
      </c>
      <c r="I437" s="81"/>
      <c r="J437" s="79" t="s">
        <v>3505</v>
      </c>
      <c r="K437" s="35" t="s">
        <v>298</v>
      </c>
      <c r="L437" s="35">
        <v>16.5</v>
      </c>
      <c r="M437" s="35">
        <v>19.75</v>
      </c>
      <c r="N437" s="35">
        <f t="shared" si="12"/>
        <v>18.125</v>
      </c>
      <c r="O437" s="35">
        <v>18</v>
      </c>
      <c r="P437" s="35">
        <v>16</v>
      </c>
      <c r="Q437" s="35">
        <f t="shared" si="13"/>
        <v>17</v>
      </c>
      <c r="R437" s="35"/>
      <c r="S437" s="35"/>
      <c r="T437" s="35"/>
      <c r="U437" s="82" t="e">
        <f>AVERAGE(Tableau1[[#This Row],[1ère composition]:[3è Composition]])</f>
        <v>#DIV/0!</v>
      </c>
    </row>
    <row r="438" spans="1:21" hidden="1" x14ac:dyDescent="0.2">
      <c r="A438" s="1" t="s">
        <v>3112</v>
      </c>
      <c r="B438" s="1" t="s">
        <v>3127</v>
      </c>
      <c r="C438" s="1" t="s">
        <v>3742</v>
      </c>
      <c r="D438" s="1">
        <v>85979332</v>
      </c>
      <c r="E438" s="1">
        <v>2021</v>
      </c>
      <c r="F438" s="1">
        <v>74</v>
      </c>
      <c r="G438" s="1">
        <v>11</v>
      </c>
      <c r="H438" s="76" t="str">
        <f>Tableau1[[#This Row],[Annee d''inscription au programme]]&amp;"-"&amp;Tableau1[[#This Row],[Code d''ecole]]&amp;"-"&amp;Tableau1[[#This Row],[Numero HM de la fille]]</f>
        <v>2021-74-11</v>
      </c>
      <c r="I438" s="81"/>
      <c r="J438" s="79" t="s">
        <v>3505</v>
      </c>
      <c r="K438" s="35" t="s">
        <v>298</v>
      </c>
      <c r="L438" s="35">
        <v>6.5</v>
      </c>
      <c r="M438" s="35">
        <v>3</v>
      </c>
      <c r="N438" s="35">
        <f t="shared" si="12"/>
        <v>4.75</v>
      </c>
      <c r="O438" s="35">
        <v>10.75</v>
      </c>
      <c r="P438" s="35">
        <v>14</v>
      </c>
      <c r="Q438" s="35">
        <f t="shared" si="13"/>
        <v>12.375</v>
      </c>
      <c r="R438" s="35"/>
      <c r="S438" s="35"/>
      <c r="T438" s="35"/>
      <c r="U438" s="82" t="e">
        <f>AVERAGE(Tableau1[[#This Row],[1ère composition]:[3è Composition]])</f>
        <v>#DIV/0!</v>
      </c>
    </row>
    <row r="439" spans="1:21" hidden="1" x14ac:dyDescent="0.2">
      <c r="A439" s="1" t="s">
        <v>3112</v>
      </c>
      <c r="B439" s="1" t="s">
        <v>3126</v>
      </c>
      <c r="C439" s="1" t="s">
        <v>3741</v>
      </c>
      <c r="D439" s="1">
        <v>80240044</v>
      </c>
      <c r="E439" s="1">
        <v>2021</v>
      </c>
      <c r="F439" s="1">
        <v>74</v>
      </c>
      <c r="G439" s="1">
        <v>12</v>
      </c>
      <c r="H439" s="76" t="str">
        <f>Tableau1[[#This Row],[Annee d''inscription au programme]]&amp;"-"&amp;Tableau1[[#This Row],[Code d''ecole]]&amp;"-"&amp;Tableau1[[#This Row],[Numero HM de la fille]]</f>
        <v>2021-74-12</v>
      </c>
      <c r="I439" s="81"/>
      <c r="J439" s="79" t="s">
        <v>3505</v>
      </c>
      <c r="K439" s="35" t="s">
        <v>298</v>
      </c>
      <c r="L439" s="35">
        <v>15.5</v>
      </c>
      <c r="M439" s="35">
        <v>20</v>
      </c>
      <c r="N439" s="35">
        <f t="shared" si="12"/>
        <v>17.75</v>
      </c>
      <c r="O439" s="35">
        <v>3</v>
      </c>
      <c r="P439" s="35">
        <v>4.5</v>
      </c>
      <c r="Q439" s="35">
        <f t="shared" si="13"/>
        <v>3.75</v>
      </c>
      <c r="R439" s="35"/>
      <c r="S439" s="35"/>
      <c r="T439" s="35"/>
      <c r="U439" s="82" t="e">
        <f>AVERAGE(Tableau1[[#This Row],[1ère composition]:[3è Composition]])</f>
        <v>#DIV/0!</v>
      </c>
    </row>
    <row r="440" spans="1:21" hidden="1" x14ac:dyDescent="0.2">
      <c r="A440" s="1" t="s">
        <v>3112</v>
      </c>
      <c r="B440" s="1" t="s">
        <v>3125</v>
      </c>
      <c r="C440" s="1" t="s">
        <v>3742</v>
      </c>
      <c r="D440" s="1">
        <v>74193224</v>
      </c>
      <c r="E440" s="1">
        <v>2021</v>
      </c>
      <c r="F440" s="1">
        <v>74</v>
      </c>
      <c r="G440" s="1">
        <v>13</v>
      </c>
      <c r="H440" s="76" t="str">
        <f>Tableau1[[#This Row],[Annee d''inscription au programme]]&amp;"-"&amp;Tableau1[[#This Row],[Code d''ecole]]&amp;"-"&amp;Tableau1[[#This Row],[Numero HM de la fille]]</f>
        <v>2021-74-13</v>
      </c>
      <c r="I440" s="81"/>
      <c r="J440" s="79" t="s">
        <v>3505</v>
      </c>
      <c r="K440" s="35" t="s">
        <v>298</v>
      </c>
      <c r="L440" s="35">
        <v>13.75</v>
      </c>
      <c r="M440" s="35">
        <v>10</v>
      </c>
      <c r="N440" s="35">
        <f t="shared" si="12"/>
        <v>11.875</v>
      </c>
      <c r="O440" s="35">
        <v>18</v>
      </c>
      <c r="P440" s="35">
        <v>18</v>
      </c>
      <c r="Q440" s="35">
        <f t="shared" si="13"/>
        <v>18</v>
      </c>
      <c r="R440" s="35"/>
      <c r="S440" s="35"/>
      <c r="T440" s="35"/>
      <c r="U440" s="82" t="e">
        <f>AVERAGE(Tableau1[[#This Row],[1ère composition]:[3è Composition]])</f>
        <v>#DIV/0!</v>
      </c>
    </row>
    <row r="441" spans="1:21" hidden="1" x14ac:dyDescent="0.2">
      <c r="A441" s="1" t="s">
        <v>3112</v>
      </c>
      <c r="B441" s="1" t="s">
        <v>3124</v>
      </c>
      <c r="C441" s="1" t="s">
        <v>3742</v>
      </c>
      <c r="D441" s="1">
        <v>95780063</v>
      </c>
      <c r="E441" s="1">
        <v>2021</v>
      </c>
      <c r="F441" s="1">
        <v>74</v>
      </c>
      <c r="G441" s="1">
        <v>14</v>
      </c>
      <c r="H441" s="76" t="str">
        <f>Tableau1[[#This Row],[Annee d''inscription au programme]]&amp;"-"&amp;Tableau1[[#This Row],[Code d''ecole]]&amp;"-"&amp;Tableau1[[#This Row],[Numero HM de la fille]]</f>
        <v>2021-74-14</v>
      </c>
      <c r="I441" s="81"/>
      <c r="J441" s="79" t="s">
        <v>3505</v>
      </c>
      <c r="K441" s="35" t="s">
        <v>298</v>
      </c>
      <c r="L441" s="35">
        <v>8</v>
      </c>
      <c r="M441" s="35">
        <v>19</v>
      </c>
      <c r="N441" s="35">
        <f t="shared" si="12"/>
        <v>13.5</v>
      </c>
      <c r="O441" s="35">
        <v>10</v>
      </c>
      <c r="P441" s="35">
        <v>8</v>
      </c>
      <c r="Q441" s="35">
        <f t="shared" si="13"/>
        <v>9</v>
      </c>
      <c r="R441" s="35"/>
      <c r="S441" s="35"/>
      <c r="T441" s="35"/>
      <c r="U441" s="82" t="e">
        <f>AVERAGE(Tableau1[[#This Row],[1ère composition]:[3è Composition]])</f>
        <v>#DIV/0!</v>
      </c>
    </row>
    <row r="442" spans="1:21" hidden="1" x14ac:dyDescent="0.2">
      <c r="A442" s="1" t="s">
        <v>3112</v>
      </c>
      <c r="B442" s="1" t="s">
        <v>3123</v>
      </c>
      <c r="C442" s="1" t="s">
        <v>3742</v>
      </c>
      <c r="D442" s="1">
        <v>94306297</v>
      </c>
      <c r="E442" s="1">
        <v>2021</v>
      </c>
      <c r="F442" s="1">
        <v>74</v>
      </c>
      <c r="G442" s="1">
        <v>15</v>
      </c>
      <c r="H442" s="76" t="str">
        <f>Tableau1[[#This Row],[Annee d''inscription au programme]]&amp;"-"&amp;Tableau1[[#This Row],[Code d''ecole]]&amp;"-"&amp;Tableau1[[#This Row],[Numero HM de la fille]]</f>
        <v>2021-74-15</v>
      </c>
      <c r="I442" s="81"/>
      <c r="J442" s="79" t="s">
        <v>3505</v>
      </c>
      <c r="K442" s="35" t="s">
        <v>298</v>
      </c>
      <c r="L442" s="35">
        <v>14.5</v>
      </c>
      <c r="M442" s="35">
        <v>11</v>
      </c>
      <c r="N442" s="35">
        <f t="shared" si="12"/>
        <v>12.75</v>
      </c>
      <c r="O442" s="35">
        <v>19</v>
      </c>
      <c r="P442" s="35">
        <v>17</v>
      </c>
      <c r="Q442" s="35">
        <f t="shared" si="13"/>
        <v>18</v>
      </c>
      <c r="R442" s="35"/>
      <c r="S442" s="35"/>
      <c r="T442" s="35"/>
      <c r="U442" s="82" t="e">
        <f>AVERAGE(Tableau1[[#This Row],[1ère composition]:[3è Composition]])</f>
        <v>#DIV/0!</v>
      </c>
    </row>
    <row r="443" spans="1:21" hidden="1" x14ac:dyDescent="0.2">
      <c r="A443" s="1" t="s">
        <v>3112</v>
      </c>
      <c r="B443" s="1" t="s">
        <v>3122</v>
      </c>
      <c r="C443" s="1" t="s">
        <v>3741</v>
      </c>
      <c r="D443" s="1">
        <v>97096292</v>
      </c>
      <c r="E443" s="1">
        <v>2021</v>
      </c>
      <c r="F443" s="1">
        <v>74</v>
      </c>
      <c r="G443" s="1">
        <v>16</v>
      </c>
      <c r="H443" s="76" t="str">
        <f>Tableau1[[#This Row],[Annee d''inscription au programme]]&amp;"-"&amp;Tableau1[[#This Row],[Code d''ecole]]&amp;"-"&amp;Tableau1[[#This Row],[Numero HM de la fille]]</f>
        <v>2021-74-16</v>
      </c>
      <c r="I443" s="81"/>
      <c r="J443" s="79" t="s">
        <v>3505</v>
      </c>
      <c r="K443" s="35" t="s">
        <v>298</v>
      </c>
      <c r="L443" s="35">
        <v>9</v>
      </c>
      <c r="M443" s="35">
        <v>13</v>
      </c>
      <c r="N443" s="35">
        <f t="shared" si="12"/>
        <v>11</v>
      </c>
      <c r="O443" s="35">
        <v>12</v>
      </c>
      <c r="P443" s="35">
        <v>19</v>
      </c>
      <c r="Q443" s="35">
        <f t="shared" si="13"/>
        <v>15.5</v>
      </c>
      <c r="R443" s="35"/>
      <c r="S443" s="35"/>
      <c r="T443" s="35"/>
      <c r="U443" s="82" t="e">
        <f>AVERAGE(Tableau1[[#This Row],[1ère composition]:[3è Composition]])</f>
        <v>#DIV/0!</v>
      </c>
    </row>
    <row r="444" spans="1:21" hidden="1" x14ac:dyDescent="0.2">
      <c r="A444" s="1" t="s">
        <v>3112</v>
      </c>
      <c r="B444" s="1" t="s">
        <v>3121</v>
      </c>
      <c r="C444" s="1" t="s">
        <v>3742</v>
      </c>
      <c r="D444" s="1">
        <v>94904972</v>
      </c>
      <c r="E444" s="1">
        <v>2021</v>
      </c>
      <c r="F444" s="1">
        <v>74</v>
      </c>
      <c r="G444" s="1">
        <v>17</v>
      </c>
      <c r="H444" s="76" t="str">
        <f>Tableau1[[#This Row],[Annee d''inscription au programme]]&amp;"-"&amp;Tableau1[[#This Row],[Code d''ecole]]&amp;"-"&amp;Tableau1[[#This Row],[Numero HM de la fille]]</f>
        <v>2021-74-17</v>
      </c>
      <c r="I444" s="81"/>
      <c r="J444" s="79" t="s">
        <v>3505</v>
      </c>
      <c r="K444" s="35" t="s">
        <v>298</v>
      </c>
      <c r="L444" s="35">
        <v>14.5</v>
      </c>
      <c r="M444" s="35">
        <v>12</v>
      </c>
      <c r="N444" s="35">
        <f t="shared" si="12"/>
        <v>13.25</v>
      </c>
      <c r="O444" s="35">
        <v>13.5</v>
      </c>
      <c r="P444" s="35">
        <v>8</v>
      </c>
      <c r="Q444" s="35">
        <f t="shared" si="13"/>
        <v>10.75</v>
      </c>
      <c r="R444" s="35"/>
      <c r="S444" s="35"/>
      <c r="T444" s="35"/>
      <c r="U444" s="82" t="e">
        <f>AVERAGE(Tableau1[[#This Row],[1ère composition]:[3è Composition]])</f>
        <v>#DIV/0!</v>
      </c>
    </row>
    <row r="445" spans="1:21" hidden="1" x14ac:dyDescent="0.2">
      <c r="A445" s="1" t="s">
        <v>3112</v>
      </c>
      <c r="B445" s="1" t="s">
        <v>3120</v>
      </c>
      <c r="C445" s="1" t="s">
        <v>3742</v>
      </c>
      <c r="D445" s="1">
        <v>99330391</v>
      </c>
      <c r="E445" s="1">
        <v>2021</v>
      </c>
      <c r="F445" s="1">
        <v>74</v>
      </c>
      <c r="G445" s="1">
        <v>18</v>
      </c>
      <c r="H445" s="76" t="str">
        <f>Tableau1[[#This Row],[Annee d''inscription au programme]]&amp;"-"&amp;Tableau1[[#This Row],[Code d''ecole]]&amp;"-"&amp;Tableau1[[#This Row],[Numero HM de la fille]]</f>
        <v>2021-74-18</v>
      </c>
      <c r="I445" s="81"/>
      <c r="J445" s="79" t="s">
        <v>3505</v>
      </c>
      <c r="K445" s="35" t="s">
        <v>298</v>
      </c>
      <c r="L445" s="35">
        <v>12</v>
      </c>
      <c r="M445" s="35">
        <v>8.5</v>
      </c>
      <c r="N445" s="35">
        <f t="shared" si="12"/>
        <v>10.25</v>
      </c>
      <c r="O445" s="35">
        <v>17</v>
      </c>
      <c r="P445" s="35">
        <v>17</v>
      </c>
      <c r="Q445" s="35">
        <f t="shared" si="13"/>
        <v>17</v>
      </c>
      <c r="R445" s="35"/>
      <c r="S445" s="35"/>
      <c r="T445" s="35"/>
      <c r="U445" s="82" t="e">
        <f>AVERAGE(Tableau1[[#This Row],[1ère composition]:[3è Composition]])</f>
        <v>#DIV/0!</v>
      </c>
    </row>
    <row r="446" spans="1:21" hidden="1" x14ac:dyDescent="0.2">
      <c r="A446" s="1" t="s">
        <v>3112</v>
      </c>
      <c r="B446" s="1" t="s">
        <v>3119</v>
      </c>
      <c r="C446" s="1" t="s">
        <v>3742</v>
      </c>
      <c r="D446" s="1">
        <v>94800058</v>
      </c>
      <c r="E446" s="1">
        <v>2021</v>
      </c>
      <c r="F446" s="1">
        <v>74</v>
      </c>
      <c r="G446" s="1">
        <v>19</v>
      </c>
      <c r="H446" s="76" t="str">
        <f>Tableau1[[#This Row],[Annee d''inscription au programme]]&amp;"-"&amp;Tableau1[[#This Row],[Code d''ecole]]&amp;"-"&amp;Tableau1[[#This Row],[Numero HM de la fille]]</f>
        <v>2021-74-19</v>
      </c>
      <c r="I446" s="81"/>
      <c r="J446" s="79" t="s">
        <v>3505</v>
      </c>
      <c r="K446" s="35" t="s">
        <v>298</v>
      </c>
      <c r="L446" s="35">
        <v>2.5</v>
      </c>
      <c r="M446" s="35">
        <v>0</v>
      </c>
      <c r="N446" s="35">
        <f t="shared" si="12"/>
        <v>1.25</v>
      </c>
      <c r="O446" s="35">
        <v>14</v>
      </c>
      <c r="P446" s="35">
        <v>10.5</v>
      </c>
      <c r="Q446" s="35">
        <f t="shared" si="13"/>
        <v>12.25</v>
      </c>
      <c r="R446" s="35"/>
      <c r="S446" s="35"/>
      <c r="T446" s="35"/>
      <c r="U446" s="82" t="e">
        <f>AVERAGE(Tableau1[[#This Row],[1ère composition]:[3è Composition]])</f>
        <v>#DIV/0!</v>
      </c>
    </row>
    <row r="447" spans="1:21" hidden="1" x14ac:dyDescent="0.2">
      <c r="A447" s="1" t="s">
        <v>3112</v>
      </c>
      <c r="B447" s="1" t="s">
        <v>3118</v>
      </c>
      <c r="C447" s="1" t="s">
        <v>3742</v>
      </c>
      <c r="D447" s="1">
        <v>99301217</v>
      </c>
      <c r="E447" s="1">
        <v>2021</v>
      </c>
      <c r="F447" s="1">
        <v>74</v>
      </c>
      <c r="G447" s="1">
        <v>20</v>
      </c>
      <c r="H447" s="76" t="str">
        <f>Tableau1[[#This Row],[Annee d''inscription au programme]]&amp;"-"&amp;Tableau1[[#This Row],[Code d''ecole]]&amp;"-"&amp;Tableau1[[#This Row],[Numero HM de la fille]]</f>
        <v>2021-74-20</v>
      </c>
      <c r="I447" s="81"/>
      <c r="J447" s="79" t="s">
        <v>3505</v>
      </c>
      <c r="K447" s="35" t="s">
        <v>298</v>
      </c>
      <c r="L447" s="35">
        <v>11.5</v>
      </c>
      <c r="M447" s="35">
        <v>10.75</v>
      </c>
      <c r="N447" s="35">
        <f t="shared" si="12"/>
        <v>11.125</v>
      </c>
      <c r="O447" s="35">
        <v>14</v>
      </c>
      <c r="P447" s="35">
        <v>14</v>
      </c>
      <c r="Q447" s="35">
        <f t="shared" si="13"/>
        <v>14</v>
      </c>
      <c r="R447" s="35"/>
      <c r="S447" s="35"/>
      <c r="T447" s="35"/>
      <c r="U447" s="82" t="e">
        <f>AVERAGE(Tableau1[[#This Row],[1ère composition]:[3è Composition]])</f>
        <v>#DIV/0!</v>
      </c>
    </row>
    <row r="448" spans="1:21" hidden="1" x14ac:dyDescent="0.2">
      <c r="A448" s="1" t="s">
        <v>3112</v>
      </c>
      <c r="B448" s="1" t="s">
        <v>3117</v>
      </c>
      <c r="C448" s="1" t="s">
        <v>3741</v>
      </c>
      <c r="D448" s="1">
        <v>98301464</v>
      </c>
      <c r="E448" s="1">
        <v>2021</v>
      </c>
      <c r="F448" s="1">
        <v>74</v>
      </c>
      <c r="G448" s="1">
        <v>21</v>
      </c>
      <c r="H448" s="76" t="str">
        <f>Tableau1[[#This Row],[Annee d''inscription au programme]]&amp;"-"&amp;Tableau1[[#This Row],[Code d''ecole]]&amp;"-"&amp;Tableau1[[#This Row],[Numero HM de la fille]]</f>
        <v>2021-74-21</v>
      </c>
      <c r="I448" s="81"/>
      <c r="J448" s="79" t="s">
        <v>3505</v>
      </c>
      <c r="K448" s="35" t="s">
        <v>298</v>
      </c>
      <c r="L448" s="35">
        <v>14</v>
      </c>
      <c r="M448" s="35">
        <v>9.5</v>
      </c>
      <c r="N448" s="35">
        <f t="shared" si="12"/>
        <v>11.75</v>
      </c>
      <c r="O448" s="35">
        <v>0</v>
      </c>
      <c r="P448" s="35">
        <v>4</v>
      </c>
      <c r="Q448" s="35">
        <f t="shared" si="13"/>
        <v>2</v>
      </c>
      <c r="R448" s="35"/>
      <c r="S448" s="35"/>
      <c r="T448" s="35"/>
      <c r="U448" s="82" t="e">
        <f>AVERAGE(Tableau1[[#This Row],[1ère composition]:[3è Composition]])</f>
        <v>#DIV/0!</v>
      </c>
    </row>
    <row r="449" spans="1:21" hidden="1" x14ac:dyDescent="0.2">
      <c r="A449" s="1" t="s">
        <v>3112</v>
      </c>
      <c r="B449" s="1" t="s">
        <v>876</v>
      </c>
      <c r="C449" s="1" t="s">
        <v>3741</v>
      </c>
      <c r="D449" s="1">
        <v>96209157</v>
      </c>
      <c r="E449" s="1">
        <v>2021</v>
      </c>
      <c r="F449" s="1">
        <v>74</v>
      </c>
      <c r="G449" s="1">
        <v>22</v>
      </c>
      <c r="H449" s="76" t="str">
        <f>Tableau1[[#This Row],[Annee d''inscription au programme]]&amp;"-"&amp;Tableau1[[#This Row],[Code d''ecole]]&amp;"-"&amp;Tableau1[[#This Row],[Numero HM de la fille]]</f>
        <v>2021-74-22</v>
      </c>
      <c r="I449" s="81"/>
      <c r="J449" s="79" t="s">
        <v>3505</v>
      </c>
      <c r="K449" s="35" t="s">
        <v>298</v>
      </c>
      <c r="L449" s="35">
        <v>6.5</v>
      </c>
      <c r="M449" s="35">
        <v>1.75</v>
      </c>
      <c r="N449" s="35">
        <f t="shared" si="12"/>
        <v>4.125</v>
      </c>
      <c r="O449" s="35">
        <v>12.5</v>
      </c>
      <c r="P449" s="35">
        <v>8</v>
      </c>
      <c r="Q449" s="35">
        <f t="shared" si="13"/>
        <v>10.25</v>
      </c>
      <c r="R449" s="35"/>
      <c r="S449" s="35"/>
      <c r="T449" s="35"/>
      <c r="U449" s="82" t="e">
        <f>AVERAGE(Tableau1[[#This Row],[1ère composition]:[3è Composition]])</f>
        <v>#DIV/0!</v>
      </c>
    </row>
    <row r="450" spans="1:21" hidden="1" x14ac:dyDescent="0.2">
      <c r="A450" s="1" t="s">
        <v>3112</v>
      </c>
      <c r="B450" s="1" t="s">
        <v>3116</v>
      </c>
      <c r="C450" s="1" t="s">
        <v>3742</v>
      </c>
      <c r="D450" s="1">
        <v>89515743</v>
      </c>
      <c r="E450" s="1">
        <v>2021</v>
      </c>
      <c r="F450" s="1">
        <v>74</v>
      </c>
      <c r="G450" s="1">
        <v>23</v>
      </c>
      <c r="H450" s="76" t="str">
        <f>Tableau1[[#This Row],[Annee d''inscription au programme]]&amp;"-"&amp;Tableau1[[#This Row],[Code d''ecole]]&amp;"-"&amp;Tableau1[[#This Row],[Numero HM de la fille]]</f>
        <v>2021-74-23</v>
      </c>
      <c r="I450" s="81"/>
      <c r="J450" s="79" t="s">
        <v>3505</v>
      </c>
      <c r="K450" s="35" t="s">
        <v>298</v>
      </c>
      <c r="L450" s="35">
        <v>10.5</v>
      </c>
      <c r="M450" s="35">
        <v>10.5</v>
      </c>
      <c r="N450" s="35">
        <f t="shared" si="12"/>
        <v>10.5</v>
      </c>
      <c r="O450" s="35">
        <v>15</v>
      </c>
      <c r="P450" s="35">
        <v>16.5</v>
      </c>
      <c r="Q450" s="35">
        <f t="shared" si="13"/>
        <v>15.75</v>
      </c>
      <c r="R450" s="35"/>
      <c r="S450" s="35"/>
      <c r="T450" s="35"/>
      <c r="U450" s="82" t="e">
        <f>AVERAGE(Tableau1[[#This Row],[1ère composition]:[3è Composition]])</f>
        <v>#DIV/0!</v>
      </c>
    </row>
    <row r="451" spans="1:21" hidden="1" x14ac:dyDescent="0.2">
      <c r="A451" s="1" t="s">
        <v>3112</v>
      </c>
      <c r="B451" s="1" t="s">
        <v>3115</v>
      </c>
      <c r="C451" s="1" t="s">
        <v>3742</v>
      </c>
      <c r="D451" s="1">
        <v>96917453</v>
      </c>
      <c r="E451" s="1">
        <v>2021</v>
      </c>
      <c r="F451" s="1">
        <v>74</v>
      </c>
      <c r="G451" s="1">
        <v>24</v>
      </c>
      <c r="H451" s="76" t="str">
        <f>Tableau1[[#This Row],[Annee d''inscription au programme]]&amp;"-"&amp;Tableau1[[#This Row],[Code d''ecole]]&amp;"-"&amp;Tableau1[[#This Row],[Numero HM de la fille]]</f>
        <v>2021-74-24</v>
      </c>
      <c r="I451" s="81"/>
      <c r="J451" s="79" t="s">
        <v>3505</v>
      </c>
      <c r="K451" s="35" t="s">
        <v>298</v>
      </c>
      <c r="L451" s="35">
        <v>14.5</v>
      </c>
      <c r="M451" s="35">
        <v>14</v>
      </c>
      <c r="N451" s="35">
        <f t="shared" si="12"/>
        <v>14.25</v>
      </c>
      <c r="O451" s="35">
        <v>3</v>
      </c>
      <c r="P451" s="35">
        <v>5</v>
      </c>
      <c r="Q451" s="35">
        <f t="shared" si="13"/>
        <v>4</v>
      </c>
      <c r="R451" s="35"/>
      <c r="S451" s="35"/>
      <c r="T451" s="35"/>
      <c r="U451" s="82" t="e">
        <f>AVERAGE(Tableau1[[#This Row],[1ère composition]:[3è Composition]])</f>
        <v>#DIV/0!</v>
      </c>
    </row>
    <row r="452" spans="1:21" hidden="1" x14ac:dyDescent="0.2">
      <c r="A452" s="1" t="s">
        <v>3112</v>
      </c>
      <c r="B452" s="1" t="s">
        <v>3114</v>
      </c>
      <c r="C452" s="1" t="s">
        <v>3742</v>
      </c>
      <c r="D452" s="1">
        <v>74193224</v>
      </c>
      <c r="E452" s="1">
        <v>2021</v>
      </c>
      <c r="F452" s="1">
        <v>74</v>
      </c>
      <c r="G452" s="1">
        <v>25</v>
      </c>
      <c r="H452" s="76" t="str">
        <f>Tableau1[[#This Row],[Annee d''inscription au programme]]&amp;"-"&amp;Tableau1[[#This Row],[Code d''ecole]]&amp;"-"&amp;Tableau1[[#This Row],[Numero HM de la fille]]</f>
        <v>2021-74-25</v>
      </c>
      <c r="I452" s="81"/>
      <c r="J452" s="79" t="s">
        <v>3505</v>
      </c>
      <c r="K452" s="35" t="s">
        <v>298</v>
      </c>
      <c r="L452" s="35">
        <v>6.5</v>
      </c>
      <c r="M452" s="35">
        <v>9.75</v>
      </c>
      <c r="N452" s="35">
        <f t="shared" si="12"/>
        <v>8.125</v>
      </c>
      <c r="O452" s="35">
        <v>16.5</v>
      </c>
      <c r="P452" s="35">
        <v>8</v>
      </c>
      <c r="Q452" s="35">
        <f t="shared" si="13"/>
        <v>12.25</v>
      </c>
      <c r="R452" s="35"/>
      <c r="S452" s="35"/>
      <c r="T452" s="35"/>
      <c r="U452" s="82" t="e">
        <f>AVERAGE(Tableau1[[#This Row],[1ère composition]:[3è Composition]])</f>
        <v>#DIV/0!</v>
      </c>
    </row>
    <row r="453" spans="1:21" hidden="1" x14ac:dyDescent="0.2">
      <c r="A453" s="1" t="s">
        <v>3112</v>
      </c>
      <c r="B453" s="1" t="s">
        <v>3113</v>
      </c>
      <c r="C453" s="1" t="s">
        <v>3741</v>
      </c>
      <c r="D453" s="1">
        <v>98982042</v>
      </c>
      <c r="E453" s="1">
        <v>2021</v>
      </c>
      <c r="F453" s="1">
        <v>74</v>
      </c>
      <c r="G453" s="1">
        <v>26</v>
      </c>
      <c r="H453" s="76" t="str">
        <f>Tableau1[[#This Row],[Annee d''inscription au programme]]&amp;"-"&amp;Tableau1[[#This Row],[Code d''ecole]]&amp;"-"&amp;Tableau1[[#This Row],[Numero HM de la fille]]</f>
        <v>2021-74-26</v>
      </c>
      <c r="I453" s="81"/>
      <c r="J453" s="79" t="s">
        <v>3505</v>
      </c>
      <c r="K453" s="35" t="s">
        <v>298</v>
      </c>
      <c r="L453" s="35">
        <v>10</v>
      </c>
      <c r="M453" s="35">
        <v>8.5</v>
      </c>
      <c r="N453" s="35">
        <f t="shared" ref="N453:N516" si="14" xml:space="preserve"> AVERAGE(L453+M453)/2</f>
        <v>9.25</v>
      </c>
      <c r="O453" s="35">
        <v>5.5</v>
      </c>
      <c r="P453" s="35">
        <v>7</v>
      </c>
      <c r="Q453" s="35">
        <f t="shared" ref="Q453:Q516" si="15">AVERAGE(O453+P453)/2</f>
        <v>6.25</v>
      </c>
      <c r="R453" s="35"/>
      <c r="S453" s="35"/>
      <c r="T453" s="35"/>
      <c r="U453" s="82" t="e">
        <f>AVERAGE(Tableau1[[#This Row],[1ère composition]:[3è Composition]])</f>
        <v>#DIV/0!</v>
      </c>
    </row>
    <row r="454" spans="1:21" hidden="1" x14ac:dyDescent="0.2">
      <c r="A454" s="1" t="s">
        <v>3136</v>
      </c>
      <c r="B454" s="1" t="s">
        <v>1004</v>
      </c>
      <c r="C454" s="1" t="s">
        <v>3618</v>
      </c>
      <c r="D454" s="1"/>
      <c r="E454" s="1">
        <v>2021</v>
      </c>
      <c r="F454" s="1">
        <v>72</v>
      </c>
      <c r="G454" s="1">
        <v>1</v>
      </c>
      <c r="H454" s="76" t="str">
        <f>Tableau1[[#This Row],[Annee d''inscription au programme]]&amp;"-"&amp;Tableau1[[#This Row],[Code d''ecole]]&amp;"-"&amp;Tableau1[[#This Row],[Numero HM de la fille]]</f>
        <v>2021-72-1</v>
      </c>
      <c r="I454" s="81"/>
      <c r="J454" s="79" t="s">
        <v>3505</v>
      </c>
      <c r="K454" s="35" t="s">
        <v>298</v>
      </c>
      <c r="L454" s="92">
        <v>3</v>
      </c>
      <c r="M454" s="92">
        <v>8</v>
      </c>
      <c r="N454" s="92">
        <f t="shared" si="14"/>
        <v>5.5</v>
      </c>
      <c r="O454" s="35"/>
      <c r="P454" s="35"/>
      <c r="Q454" s="35">
        <f t="shared" si="15"/>
        <v>0</v>
      </c>
      <c r="R454" s="35"/>
      <c r="S454" s="35"/>
      <c r="T454" s="35"/>
      <c r="U454" s="82" t="e">
        <f>AVERAGE(Tableau1[[#This Row],[1ère composition]:[3è Composition]])</f>
        <v>#DIV/0!</v>
      </c>
    </row>
    <row r="455" spans="1:21" hidden="1" x14ac:dyDescent="0.2">
      <c r="A455" s="1" t="s">
        <v>3136</v>
      </c>
      <c r="B455" s="1" t="s">
        <v>3154</v>
      </c>
      <c r="C455" s="1" t="s">
        <v>3620</v>
      </c>
      <c r="D455" s="1"/>
      <c r="E455" s="1">
        <v>2021</v>
      </c>
      <c r="F455" s="1">
        <v>72</v>
      </c>
      <c r="G455" s="1">
        <v>2</v>
      </c>
      <c r="H455" s="76" t="str">
        <f>Tableau1[[#This Row],[Annee d''inscription au programme]]&amp;"-"&amp;Tableau1[[#This Row],[Code d''ecole]]&amp;"-"&amp;Tableau1[[#This Row],[Numero HM de la fille]]</f>
        <v>2021-72-2</v>
      </c>
      <c r="I455" s="81"/>
      <c r="J455" s="79" t="s">
        <v>3505</v>
      </c>
      <c r="K455" s="35" t="s">
        <v>298</v>
      </c>
      <c r="L455" s="35">
        <v>0</v>
      </c>
      <c r="M455" s="35">
        <v>0</v>
      </c>
      <c r="N455" s="35">
        <f t="shared" si="14"/>
        <v>0</v>
      </c>
      <c r="O455" s="35">
        <v>6</v>
      </c>
      <c r="P455" s="35">
        <v>4.5</v>
      </c>
      <c r="Q455" s="35">
        <f t="shared" si="15"/>
        <v>5.25</v>
      </c>
      <c r="R455" s="35"/>
      <c r="S455" s="35"/>
      <c r="T455" s="35"/>
      <c r="U455" s="82" t="e">
        <f>AVERAGE(Tableau1[[#This Row],[1ère composition]:[3è Composition]])</f>
        <v>#DIV/0!</v>
      </c>
    </row>
    <row r="456" spans="1:21" hidden="1" x14ac:dyDescent="0.2">
      <c r="A456" s="1" t="s">
        <v>3136</v>
      </c>
      <c r="B456" s="1" t="s">
        <v>3153</v>
      </c>
      <c r="C456" s="1" t="s">
        <v>3618</v>
      </c>
      <c r="D456" s="1"/>
      <c r="E456" s="1">
        <v>2021</v>
      </c>
      <c r="F456" s="1">
        <v>72</v>
      </c>
      <c r="G456" s="1">
        <v>3</v>
      </c>
      <c r="H456" s="76" t="str">
        <f>Tableau1[[#This Row],[Annee d''inscription au programme]]&amp;"-"&amp;Tableau1[[#This Row],[Code d''ecole]]&amp;"-"&amp;Tableau1[[#This Row],[Numero HM de la fille]]</f>
        <v>2021-72-3</v>
      </c>
      <c r="I456" s="81"/>
      <c r="J456" s="79" t="s">
        <v>3505</v>
      </c>
      <c r="K456" s="35" t="s">
        <v>298</v>
      </c>
      <c r="L456" s="35">
        <v>0</v>
      </c>
      <c r="M456" s="35">
        <v>0</v>
      </c>
      <c r="N456" s="35">
        <f t="shared" si="14"/>
        <v>0</v>
      </c>
      <c r="O456" s="35"/>
      <c r="P456" s="35"/>
      <c r="Q456" s="35">
        <f t="shared" si="15"/>
        <v>0</v>
      </c>
      <c r="R456" s="35"/>
      <c r="S456" s="35"/>
      <c r="T456" s="35"/>
      <c r="U456" s="82" t="e">
        <f>AVERAGE(Tableau1[[#This Row],[1ère composition]:[3è Composition]])</f>
        <v>#DIV/0!</v>
      </c>
    </row>
    <row r="457" spans="1:21" hidden="1" x14ac:dyDescent="0.2">
      <c r="A457" s="1" t="s">
        <v>3136</v>
      </c>
      <c r="B457" s="1" t="s">
        <v>3152</v>
      </c>
      <c r="C457" s="1" t="s">
        <v>3620</v>
      </c>
      <c r="D457" s="1"/>
      <c r="E457" s="1">
        <v>2021</v>
      </c>
      <c r="F457" s="1">
        <v>72</v>
      </c>
      <c r="G457" s="1">
        <v>4</v>
      </c>
      <c r="H457" s="76" t="str">
        <f>Tableau1[[#This Row],[Annee d''inscription au programme]]&amp;"-"&amp;Tableau1[[#This Row],[Code d''ecole]]&amp;"-"&amp;Tableau1[[#This Row],[Numero HM de la fille]]</f>
        <v>2021-72-4</v>
      </c>
      <c r="I457" s="81"/>
      <c r="J457" s="79" t="s">
        <v>3505</v>
      </c>
      <c r="K457" s="35" t="s">
        <v>298</v>
      </c>
      <c r="L457" s="92">
        <v>0</v>
      </c>
      <c r="M457" s="92">
        <v>1</v>
      </c>
      <c r="N457" s="92">
        <f t="shared" si="14"/>
        <v>0.5</v>
      </c>
      <c r="O457" s="35"/>
      <c r="P457" s="35"/>
      <c r="Q457" s="35">
        <f t="shared" si="15"/>
        <v>0</v>
      </c>
      <c r="R457" s="35"/>
      <c r="S457" s="35"/>
      <c r="T457" s="35"/>
      <c r="U457" s="82" t="e">
        <f>AVERAGE(Tableau1[[#This Row],[1ère composition]:[3è Composition]])</f>
        <v>#DIV/0!</v>
      </c>
    </row>
    <row r="458" spans="1:21" hidden="1" x14ac:dyDescent="0.2">
      <c r="A458" s="1" t="s">
        <v>3136</v>
      </c>
      <c r="B458" s="1" t="s">
        <v>3151</v>
      </c>
      <c r="C458" s="1" t="s">
        <v>3620</v>
      </c>
      <c r="D458" s="1"/>
      <c r="E458" s="1">
        <v>2021</v>
      </c>
      <c r="F458" s="1">
        <v>72</v>
      </c>
      <c r="G458" s="1">
        <v>5</v>
      </c>
      <c r="H458" s="76" t="str">
        <f>Tableau1[[#This Row],[Annee d''inscription au programme]]&amp;"-"&amp;Tableau1[[#This Row],[Code d''ecole]]&amp;"-"&amp;Tableau1[[#This Row],[Numero HM de la fille]]</f>
        <v>2021-72-5</v>
      </c>
      <c r="I458" s="81"/>
      <c r="J458" s="79" t="s">
        <v>3505</v>
      </c>
      <c r="K458" s="35" t="s">
        <v>298</v>
      </c>
      <c r="L458" s="92">
        <v>1</v>
      </c>
      <c r="M458" s="92">
        <v>1</v>
      </c>
      <c r="N458" s="92">
        <f t="shared" si="14"/>
        <v>1</v>
      </c>
      <c r="O458" s="35">
        <v>2.5</v>
      </c>
      <c r="P458" s="35">
        <v>1</v>
      </c>
      <c r="Q458" s="35">
        <f t="shared" si="15"/>
        <v>1.75</v>
      </c>
      <c r="R458" s="35"/>
      <c r="S458" s="35"/>
      <c r="T458" s="35"/>
      <c r="U458" s="82" t="e">
        <f>AVERAGE(Tableau1[[#This Row],[1ère composition]:[3è Composition]])</f>
        <v>#DIV/0!</v>
      </c>
    </row>
    <row r="459" spans="1:21" hidden="1" x14ac:dyDescent="0.2">
      <c r="A459" s="1" t="s">
        <v>3136</v>
      </c>
      <c r="B459" s="1" t="s">
        <v>3150</v>
      </c>
      <c r="C459" s="1" t="s">
        <v>3618</v>
      </c>
      <c r="D459" s="1"/>
      <c r="E459" s="1">
        <v>2021</v>
      </c>
      <c r="F459" s="1">
        <v>72</v>
      </c>
      <c r="G459" s="1">
        <v>6</v>
      </c>
      <c r="H459" s="76" t="str">
        <f>Tableau1[[#This Row],[Annee d''inscription au programme]]&amp;"-"&amp;Tableau1[[#This Row],[Code d''ecole]]&amp;"-"&amp;Tableau1[[#This Row],[Numero HM de la fille]]</f>
        <v>2021-72-6</v>
      </c>
      <c r="I459" s="81"/>
      <c r="J459" s="79" t="s">
        <v>3505</v>
      </c>
      <c r="K459" s="35" t="s">
        <v>298</v>
      </c>
      <c r="L459" s="92">
        <v>2</v>
      </c>
      <c r="M459" s="92">
        <v>1</v>
      </c>
      <c r="N459" s="92">
        <f t="shared" si="14"/>
        <v>1.5</v>
      </c>
      <c r="O459" s="35">
        <v>11.5</v>
      </c>
      <c r="P459" s="35">
        <v>1</v>
      </c>
      <c r="Q459" s="35">
        <f t="shared" si="15"/>
        <v>6.25</v>
      </c>
      <c r="R459" s="35"/>
      <c r="S459" s="35"/>
      <c r="T459" s="35"/>
      <c r="U459" s="82" t="e">
        <f>AVERAGE(Tableau1[[#This Row],[1ère composition]:[3è Composition]])</f>
        <v>#DIV/0!</v>
      </c>
    </row>
    <row r="460" spans="1:21" hidden="1" x14ac:dyDescent="0.2">
      <c r="A460" s="1" t="s">
        <v>3136</v>
      </c>
      <c r="B460" s="1" t="s">
        <v>3149</v>
      </c>
      <c r="C460" s="1" t="s">
        <v>3620</v>
      </c>
      <c r="D460" s="1"/>
      <c r="E460" s="1">
        <v>2021</v>
      </c>
      <c r="F460" s="1">
        <v>72</v>
      </c>
      <c r="G460" s="1">
        <v>7</v>
      </c>
      <c r="H460" s="76" t="str">
        <f>Tableau1[[#This Row],[Annee d''inscription au programme]]&amp;"-"&amp;Tableau1[[#This Row],[Code d''ecole]]&amp;"-"&amp;Tableau1[[#This Row],[Numero HM de la fille]]</f>
        <v>2021-72-7</v>
      </c>
      <c r="I460" s="81"/>
      <c r="J460" s="79" t="s">
        <v>3505</v>
      </c>
      <c r="K460" s="35" t="s">
        <v>298</v>
      </c>
      <c r="L460" s="92">
        <v>2</v>
      </c>
      <c r="M460" s="92">
        <v>4</v>
      </c>
      <c r="N460" s="92">
        <f t="shared" si="14"/>
        <v>3</v>
      </c>
      <c r="O460" s="35">
        <v>7</v>
      </c>
      <c r="P460" s="35">
        <v>5.5</v>
      </c>
      <c r="Q460" s="35">
        <f t="shared" si="15"/>
        <v>6.25</v>
      </c>
      <c r="R460" s="35"/>
      <c r="S460" s="35"/>
      <c r="T460" s="35"/>
      <c r="U460" s="82" t="e">
        <f>AVERAGE(Tableau1[[#This Row],[1ère composition]:[3è Composition]])</f>
        <v>#DIV/0!</v>
      </c>
    </row>
    <row r="461" spans="1:21" hidden="1" x14ac:dyDescent="0.2">
      <c r="A461" s="1" t="s">
        <v>3136</v>
      </c>
      <c r="B461" s="1" t="s">
        <v>3148</v>
      </c>
      <c r="C461" s="1" t="s">
        <v>3618</v>
      </c>
      <c r="D461" s="1"/>
      <c r="E461" s="1">
        <v>2021</v>
      </c>
      <c r="F461" s="1">
        <v>72</v>
      </c>
      <c r="G461" s="1">
        <v>8</v>
      </c>
      <c r="H461" s="76" t="str">
        <f>Tableau1[[#This Row],[Annee d''inscription au programme]]&amp;"-"&amp;Tableau1[[#This Row],[Code d''ecole]]&amp;"-"&amp;Tableau1[[#This Row],[Numero HM de la fille]]</f>
        <v>2021-72-8</v>
      </c>
      <c r="I461" s="81"/>
      <c r="J461" s="79" t="s">
        <v>3505</v>
      </c>
      <c r="K461" s="35" t="s">
        <v>298</v>
      </c>
      <c r="L461" s="35">
        <v>3.5</v>
      </c>
      <c r="M461" s="92">
        <v>7</v>
      </c>
      <c r="N461" s="92">
        <f t="shared" si="14"/>
        <v>5.25</v>
      </c>
      <c r="O461" s="35">
        <v>11</v>
      </c>
      <c r="P461" s="35">
        <v>12</v>
      </c>
      <c r="Q461" s="35">
        <f t="shared" si="15"/>
        <v>11.5</v>
      </c>
      <c r="R461" s="35"/>
      <c r="S461" s="35"/>
      <c r="T461" s="35"/>
      <c r="U461" s="82" t="e">
        <f>AVERAGE(Tableau1[[#This Row],[1ère composition]:[3è Composition]])</f>
        <v>#DIV/0!</v>
      </c>
    </row>
    <row r="462" spans="1:21" hidden="1" x14ac:dyDescent="0.2">
      <c r="A462" s="1" t="s">
        <v>3136</v>
      </c>
      <c r="B462" s="1" t="s">
        <v>2331</v>
      </c>
      <c r="C462" s="1" t="s">
        <v>3618</v>
      </c>
      <c r="D462" s="1"/>
      <c r="E462" s="1">
        <v>2021</v>
      </c>
      <c r="F462" s="1">
        <v>72</v>
      </c>
      <c r="G462" s="1">
        <v>9</v>
      </c>
      <c r="H462" s="76" t="str">
        <f>Tableau1[[#This Row],[Annee d''inscription au programme]]&amp;"-"&amp;Tableau1[[#This Row],[Code d''ecole]]&amp;"-"&amp;Tableau1[[#This Row],[Numero HM de la fille]]</f>
        <v>2021-72-9</v>
      </c>
      <c r="I462" s="81"/>
      <c r="J462" s="79" t="s">
        <v>3505</v>
      </c>
      <c r="K462" s="35" t="s">
        <v>298</v>
      </c>
      <c r="L462" s="92">
        <v>2</v>
      </c>
      <c r="M462" s="92">
        <v>2</v>
      </c>
      <c r="N462" s="92">
        <f t="shared" si="14"/>
        <v>2</v>
      </c>
      <c r="O462" s="35">
        <v>5.5</v>
      </c>
      <c r="P462" s="35">
        <v>3</v>
      </c>
      <c r="Q462" s="35">
        <f t="shared" si="15"/>
        <v>4.25</v>
      </c>
      <c r="R462" s="35"/>
      <c r="S462" s="35"/>
      <c r="T462" s="35"/>
      <c r="U462" s="82" t="e">
        <f>AVERAGE(Tableau1[[#This Row],[1ère composition]:[3è Composition]])</f>
        <v>#DIV/0!</v>
      </c>
    </row>
    <row r="463" spans="1:21" hidden="1" x14ac:dyDescent="0.2">
      <c r="A463" s="1" t="s">
        <v>3136</v>
      </c>
      <c r="B463" s="1" t="s">
        <v>3147</v>
      </c>
      <c r="C463" s="1" t="s">
        <v>3618</v>
      </c>
      <c r="D463" s="1"/>
      <c r="E463" s="1">
        <v>2021</v>
      </c>
      <c r="F463" s="1">
        <v>72</v>
      </c>
      <c r="G463" s="1">
        <v>10</v>
      </c>
      <c r="H463" s="76" t="str">
        <f>Tableau1[[#This Row],[Annee d''inscription au programme]]&amp;"-"&amp;Tableau1[[#This Row],[Code d''ecole]]&amp;"-"&amp;Tableau1[[#This Row],[Numero HM de la fille]]</f>
        <v>2021-72-10</v>
      </c>
      <c r="I463" s="81"/>
      <c r="J463" s="79" t="s">
        <v>3505</v>
      </c>
      <c r="K463" s="35" t="s">
        <v>298</v>
      </c>
      <c r="L463" s="35">
        <v>0.5</v>
      </c>
      <c r="M463" s="35">
        <v>0.5</v>
      </c>
      <c r="N463" s="35">
        <f t="shared" si="14"/>
        <v>0.5</v>
      </c>
      <c r="O463" s="35">
        <v>0.5</v>
      </c>
      <c r="P463" s="35">
        <v>1</v>
      </c>
      <c r="Q463" s="35">
        <f t="shared" si="15"/>
        <v>0.75</v>
      </c>
      <c r="R463" s="35"/>
      <c r="S463" s="35"/>
      <c r="T463" s="35"/>
      <c r="U463" s="82" t="e">
        <f>AVERAGE(Tableau1[[#This Row],[1ère composition]:[3è Composition]])</f>
        <v>#DIV/0!</v>
      </c>
    </row>
    <row r="464" spans="1:21" hidden="1" x14ac:dyDescent="0.2">
      <c r="A464" s="1" t="s">
        <v>3136</v>
      </c>
      <c r="B464" s="1" t="s">
        <v>3146</v>
      </c>
      <c r="C464" s="1" t="s">
        <v>3620</v>
      </c>
      <c r="D464" s="1"/>
      <c r="E464" s="1">
        <v>2021</v>
      </c>
      <c r="F464" s="1">
        <v>72</v>
      </c>
      <c r="G464" s="1">
        <v>11</v>
      </c>
      <c r="H464" s="76" t="str">
        <f>Tableau1[[#This Row],[Annee d''inscription au programme]]&amp;"-"&amp;Tableau1[[#This Row],[Code d''ecole]]&amp;"-"&amp;Tableau1[[#This Row],[Numero HM de la fille]]</f>
        <v>2021-72-11</v>
      </c>
      <c r="I464" s="81"/>
      <c r="J464" s="79" t="s">
        <v>3505</v>
      </c>
      <c r="K464" s="35" t="s">
        <v>298</v>
      </c>
      <c r="L464" s="92">
        <v>1</v>
      </c>
      <c r="M464" s="92">
        <v>1</v>
      </c>
      <c r="N464" s="92">
        <f t="shared" si="14"/>
        <v>1</v>
      </c>
      <c r="O464" s="35">
        <v>3</v>
      </c>
      <c r="P464" s="35">
        <v>2</v>
      </c>
      <c r="Q464" s="35">
        <f t="shared" si="15"/>
        <v>2.5</v>
      </c>
      <c r="R464" s="35"/>
      <c r="S464" s="35"/>
      <c r="T464" s="35"/>
      <c r="U464" s="82" t="e">
        <f>AVERAGE(Tableau1[[#This Row],[1ère composition]:[3è Composition]])</f>
        <v>#DIV/0!</v>
      </c>
    </row>
    <row r="465" spans="1:21" hidden="1" x14ac:dyDescent="0.2">
      <c r="A465" s="1" t="s">
        <v>3136</v>
      </c>
      <c r="B465" s="1" t="s">
        <v>3145</v>
      </c>
      <c r="C465" s="1" t="s">
        <v>3620</v>
      </c>
      <c r="D465" s="1"/>
      <c r="E465" s="1">
        <v>2021</v>
      </c>
      <c r="F465" s="1">
        <v>72</v>
      </c>
      <c r="G465" s="1">
        <v>12</v>
      </c>
      <c r="H465" s="76" t="str">
        <f>Tableau1[[#This Row],[Annee d''inscription au programme]]&amp;"-"&amp;Tableau1[[#This Row],[Code d''ecole]]&amp;"-"&amp;Tableau1[[#This Row],[Numero HM de la fille]]</f>
        <v>2021-72-12</v>
      </c>
      <c r="I465" s="81"/>
      <c r="J465" s="79" t="s">
        <v>3505</v>
      </c>
      <c r="K465" s="35" t="s">
        <v>298</v>
      </c>
      <c r="L465" s="35">
        <v>0.5</v>
      </c>
      <c r="M465" s="92">
        <v>2</v>
      </c>
      <c r="N465" s="92">
        <f t="shared" si="14"/>
        <v>1.25</v>
      </c>
      <c r="O465" s="35"/>
      <c r="P465" s="35"/>
      <c r="Q465" s="35">
        <f t="shared" si="15"/>
        <v>0</v>
      </c>
      <c r="R465" s="35"/>
      <c r="S465" s="35"/>
      <c r="T465" s="35"/>
      <c r="U465" s="82" t="e">
        <f>AVERAGE(Tableau1[[#This Row],[1ère composition]:[3è Composition]])</f>
        <v>#DIV/0!</v>
      </c>
    </row>
    <row r="466" spans="1:21" hidden="1" x14ac:dyDescent="0.2">
      <c r="A466" s="1" t="s">
        <v>3136</v>
      </c>
      <c r="B466" s="1" t="s">
        <v>3144</v>
      </c>
      <c r="C466" s="1" t="s">
        <v>3618</v>
      </c>
      <c r="D466" s="1"/>
      <c r="E466" s="1">
        <v>2021</v>
      </c>
      <c r="F466" s="1">
        <v>72</v>
      </c>
      <c r="G466" s="1">
        <v>13</v>
      </c>
      <c r="H466" s="76" t="str">
        <f>Tableau1[[#This Row],[Annee d''inscription au programme]]&amp;"-"&amp;Tableau1[[#This Row],[Code d''ecole]]&amp;"-"&amp;Tableau1[[#This Row],[Numero HM de la fille]]</f>
        <v>2021-72-13</v>
      </c>
      <c r="I466" s="81"/>
      <c r="J466" s="79" t="s">
        <v>3505</v>
      </c>
      <c r="K466" s="35" t="s">
        <v>298</v>
      </c>
      <c r="L466" s="92">
        <v>0</v>
      </c>
      <c r="M466" s="92">
        <v>1</v>
      </c>
      <c r="N466" s="92">
        <f t="shared" si="14"/>
        <v>0.5</v>
      </c>
      <c r="O466" s="35"/>
      <c r="P466" s="35"/>
      <c r="Q466" s="35">
        <f t="shared" si="15"/>
        <v>0</v>
      </c>
      <c r="R466" s="35"/>
      <c r="S466" s="35"/>
      <c r="T466" s="35"/>
      <c r="U466" s="82" t="e">
        <f>AVERAGE(Tableau1[[#This Row],[1ère composition]:[3è Composition]])</f>
        <v>#DIV/0!</v>
      </c>
    </row>
    <row r="467" spans="1:21" hidden="1" x14ac:dyDescent="0.2">
      <c r="A467" s="1" t="s">
        <v>3136</v>
      </c>
      <c r="B467" s="1" t="s">
        <v>3143</v>
      </c>
      <c r="C467" s="1" t="s">
        <v>3620</v>
      </c>
      <c r="D467" s="1"/>
      <c r="E467" s="1">
        <v>2021</v>
      </c>
      <c r="F467" s="1">
        <v>72</v>
      </c>
      <c r="G467" s="1">
        <v>14</v>
      </c>
      <c r="H467" s="76" t="str">
        <f>Tableau1[[#This Row],[Annee d''inscription au programme]]&amp;"-"&amp;Tableau1[[#This Row],[Code d''ecole]]&amp;"-"&amp;Tableau1[[#This Row],[Numero HM de la fille]]</f>
        <v>2021-72-14</v>
      </c>
      <c r="I467" s="81"/>
      <c r="J467" s="79" t="s">
        <v>3505</v>
      </c>
      <c r="K467" s="35" t="s">
        <v>298</v>
      </c>
      <c r="L467" s="35">
        <v>0.5</v>
      </c>
      <c r="M467" s="35">
        <v>0.5</v>
      </c>
      <c r="N467" s="35">
        <f t="shared" si="14"/>
        <v>0.5</v>
      </c>
      <c r="O467" s="35">
        <v>1</v>
      </c>
      <c r="P467" s="35">
        <v>1.5</v>
      </c>
      <c r="Q467" s="35">
        <f t="shared" si="15"/>
        <v>1.25</v>
      </c>
      <c r="R467" s="35"/>
      <c r="S467" s="35"/>
      <c r="T467" s="35"/>
      <c r="U467" s="82" t="e">
        <f>AVERAGE(Tableau1[[#This Row],[1ère composition]:[3è Composition]])</f>
        <v>#DIV/0!</v>
      </c>
    </row>
    <row r="468" spans="1:21" hidden="1" x14ac:dyDescent="0.2">
      <c r="A468" s="1" t="s">
        <v>3136</v>
      </c>
      <c r="B468" s="1" t="s">
        <v>3619</v>
      </c>
      <c r="C468" s="1" t="s">
        <v>3618</v>
      </c>
      <c r="D468" s="1"/>
      <c r="E468" s="1">
        <v>2021</v>
      </c>
      <c r="F468" s="1">
        <v>72</v>
      </c>
      <c r="G468" s="1">
        <v>15</v>
      </c>
      <c r="H468" s="76" t="str">
        <f>Tableau1[[#This Row],[Annee d''inscription au programme]]&amp;"-"&amp;Tableau1[[#This Row],[Code d''ecole]]&amp;"-"&amp;Tableau1[[#This Row],[Numero HM de la fille]]</f>
        <v>2021-72-15</v>
      </c>
      <c r="I468" s="81"/>
      <c r="J468" s="79" t="s">
        <v>3505</v>
      </c>
      <c r="K468" s="35" t="s">
        <v>298</v>
      </c>
      <c r="L468" s="35">
        <v>0</v>
      </c>
      <c r="M468" s="35">
        <v>0</v>
      </c>
      <c r="N468" s="35">
        <f t="shared" si="14"/>
        <v>0</v>
      </c>
      <c r="O468" s="35">
        <v>12.5</v>
      </c>
      <c r="P468" s="35">
        <v>17.5</v>
      </c>
      <c r="Q468" s="35">
        <f t="shared" si="15"/>
        <v>15</v>
      </c>
      <c r="R468" s="35"/>
      <c r="S468" s="35"/>
      <c r="T468" s="35"/>
      <c r="U468" s="82" t="e">
        <f>AVERAGE(Tableau1[[#This Row],[1ère composition]:[3è Composition]])</f>
        <v>#DIV/0!</v>
      </c>
    </row>
    <row r="469" spans="1:21" hidden="1" x14ac:dyDescent="0.2">
      <c r="A469" s="1" t="s">
        <v>3136</v>
      </c>
      <c r="B469" s="1" t="s">
        <v>3621</v>
      </c>
      <c r="C469" s="1" t="s">
        <v>3620</v>
      </c>
      <c r="D469" s="1"/>
      <c r="E469" s="1">
        <v>2021</v>
      </c>
      <c r="F469" s="1">
        <v>72</v>
      </c>
      <c r="G469" s="1">
        <v>16</v>
      </c>
      <c r="H469" s="76" t="str">
        <f>Tableau1[[#This Row],[Annee d''inscription au programme]]&amp;"-"&amp;Tableau1[[#This Row],[Code d''ecole]]&amp;"-"&amp;Tableau1[[#This Row],[Numero HM de la fille]]</f>
        <v>2021-72-16</v>
      </c>
      <c r="I469" s="81"/>
      <c r="J469" s="79" t="s">
        <v>3505</v>
      </c>
      <c r="K469" s="35" t="s">
        <v>298</v>
      </c>
      <c r="L469" s="92">
        <v>4</v>
      </c>
      <c r="M469" s="92">
        <v>5</v>
      </c>
      <c r="N469" s="92">
        <f t="shared" si="14"/>
        <v>4.5</v>
      </c>
      <c r="O469" s="35">
        <v>9</v>
      </c>
      <c r="P469" s="35">
        <v>6.5</v>
      </c>
      <c r="Q469" s="35">
        <f t="shared" si="15"/>
        <v>7.75</v>
      </c>
      <c r="R469" s="35"/>
      <c r="S469" s="35"/>
      <c r="T469" s="35"/>
      <c r="U469" s="82" t="e">
        <f>AVERAGE(Tableau1[[#This Row],[1ère composition]:[3è Composition]])</f>
        <v>#DIV/0!</v>
      </c>
    </row>
    <row r="470" spans="1:21" hidden="1" x14ac:dyDescent="0.2">
      <c r="A470" s="1" t="s">
        <v>3136</v>
      </c>
      <c r="B470" s="1" t="s">
        <v>2492</v>
      </c>
      <c r="C470" s="1" t="s">
        <v>3618</v>
      </c>
      <c r="D470" s="1"/>
      <c r="E470" s="1">
        <v>2021</v>
      </c>
      <c r="F470" s="1">
        <v>72</v>
      </c>
      <c r="G470" s="1">
        <v>17</v>
      </c>
      <c r="H470" s="76" t="str">
        <f>Tableau1[[#This Row],[Annee d''inscription au programme]]&amp;"-"&amp;Tableau1[[#This Row],[Code d''ecole]]&amp;"-"&amp;Tableau1[[#This Row],[Numero HM de la fille]]</f>
        <v>2021-72-17</v>
      </c>
      <c r="I470" s="81"/>
      <c r="J470" s="79" t="s">
        <v>3505</v>
      </c>
      <c r="K470" s="35" t="s">
        <v>298</v>
      </c>
      <c r="L470" s="92">
        <v>7</v>
      </c>
      <c r="M470" s="92">
        <v>4</v>
      </c>
      <c r="N470" s="92">
        <f t="shared" si="14"/>
        <v>5.5</v>
      </c>
      <c r="O470" s="35">
        <v>6.5</v>
      </c>
      <c r="P470" s="35">
        <v>4.75</v>
      </c>
      <c r="Q470" s="35">
        <f t="shared" si="15"/>
        <v>5.625</v>
      </c>
      <c r="R470" s="35"/>
      <c r="S470" s="35"/>
      <c r="T470" s="35"/>
      <c r="U470" s="82" t="e">
        <f>AVERAGE(Tableau1[[#This Row],[1ère composition]:[3è Composition]])</f>
        <v>#DIV/0!</v>
      </c>
    </row>
    <row r="471" spans="1:21" hidden="1" x14ac:dyDescent="0.2">
      <c r="A471" s="1" t="s">
        <v>3136</v>
      </c>
      <c r="B471" s="1" t="s">
        <v>3142</v>
      </c>
      <c r="C471" s="1" t="s">
        <v>3620</v>
      </c>
      <c r="D471" s="1"/>
      <c r="E471" s="1">
        <v>2021</v>
      </c>
      <c r="F471" s="1">
        <v>72</v>
      </c>
      <c r="G471" s="1">
        <v>18</v>
      </c>
      <c r="H471" s="76" t="str">
        <f>Tableau1[[#This Row],[Annee d''inscription au programme]]&amp;"-"&amp;Tableau1[[#This Row],[Code d''ecole]]&amp;"-"&amp;Tableau1[[#This Row],[Numero HM de la fille]]</f>
        <v>2021-72-18</v>
      </c>
      <c r="I471" s="81"/>
      <c r="J471" s="79" t="s">
        <v>3505</v>
      </c>
      <c r="K471" s="35" t="s">
        <v>298</v>
      </c>
      <c r="L471" s="92">
        <v>3</v>
      </c>
      <c r="M471" s="35">
        <v>3.5</v>
      </c>
      <c r="N471" s="35">
        <f t="shared" si="14"/>
        <v>3.25</v>
      </c>
      <c r="O471" s="35">
        <v>4.5</v>
      </c>
      <c r="P471" s="35">
        <v>2</v>
      </c>
      <c r="Q471" s="35">
        <f t="shared" si="15"/>
        <v>3.25</v>
      </c>
      <c r="R471" s="35"/>
      <c r="S471" s="35"/>
      <c r="T471" s="35"/>
      <c r="U471" s="82" t="e">
        <f>AVERAGE(Tableau1[[#This Row],[1ère composition]:[3è Composition]])</f>
        <v>#DIV/0!</v>
      </c>
    </row>
    <row r="472" spans="1:21" hidden="1" x14ac:dyDescent="0.2">
      <c r="A472" s="1" t="s">
        <v>3136</v>
      </c>
      <c r="B472" s="1" t="s">
        <v>3141</v>
      </c>
      <c r="C472" s="1" t="s">
        <v>3620</v>
      </c>
      <c r="D472" s="1"/>
      <c r="E472" s="1">
        <v>2021</v>
      </c>
      <c r="F472" s="1">
        <v>72</v>
      </c>
      <c r="G472" s="1">
        <v>19</v>
      </c>
      <c r="H472" s="76" t="str">
        <f>Tableau1[[#This Row],[Annee d''inscription au programme]]&amp;"-"&amp;Tableau1[[#This Row],[Code d''ecole]]&amp;"-"&amp;Tableau1[[#This Row],[Numero HM de la fille]]</f>
        <v>2021-72-19</v>
      </c>
      <c r="I472" s="81"/>
      <c r="J472" s="79" t="s">
        <v>3505</v>
      </c>
      <c r="K472" s="35" t="s">
        <v>298</v>
      </c>
      <c r="L472" s="35">
        <v>1.5</v>
      </c>
      <c r="M472" s="92">
        <v>3</v>
      </c>
      <c r="N472" s="92">
        <f t="shared" si="14"/>
        <v>2.25</v>
      </c>
      <c r="O472" s="35">
        <v>1</v>
      </c>
      <c r="P472" s="35">
        <v>3</v>
      </c>
      <c r="Q472" s="35">
        <f t="shared" si="15"/>
        <v>2</v>
      </c>
      <c r="R472" s="35"/>
      <c r="S472" s="35"/>
      <c r="T472" s="35"/>
      <c r="U472" s="82" t="e">
        <f>AVERAGE(Tableau1[[#This Row],[1ère composition]:[3è Composition]])</f>
        <v>#DIV/0!</v>
      </c>
    </row>
    <row r="473" spans="1:21" hidden="1" x14ac:dyDescent="0.2">
      <c r="A473" s="1" t="s">
        <v>3136</v>
      </c>
      <c r="B473" s="1" t="s">
        <v>3140</v>
      </c>
      <c r="C473" s="1" t="s">
        <v>3620</v>
      </c>
      <c r="D473" s="1"/>
      <c r="E473" s="1">
        <v>2021</v>
      </c>
      <c r="F473" s="1">
        <v>72</v>
      </c>
      <c r="G473" s="1">
        <v>20</v>
      </c>
      <c r="H473" s="76" t="str">
        <f>Tableau1[[#This Row],[Annee d''inscription au programme]]&amp;"-"&amp;Tableau1[[#This Row],[Code d''ecole]]&amp;"-"&amp;Tableau1[[#This Row],[Numero HM de la fille]]</f>
        <v>2021-72-20</v>
      </c>
      <c r="I473" s="81"/>
      <c r="J473" s="79" t="s">
        <v>3505</v>
      </c>
      <c r="K473" s="35" t="s">
        <v>298</v>
      </c>
      <c r="L473" s="35">
        <v>0.5</v>
      </c>
      <c r="M473" s="92">
        <v>2</v>
      </c>
      <c r="N473" s="92">
        <f t="shared" si="14"/>
        <v>1.25</v>
      </c>
      <c r="O473" s="35">
        <v>4.5</v>
      </c>
      <c r="P473" s="35">
        <v>2.5</v>
      </c>
      <c r="Q473" s="35">
        <f t="shared" si="15"/>
        <v>3.5</v>
      </c>
      <c r="R473" s="35"/>
      <c r="S473" s="35"/>
      <c r="T473" s="35"/>
      <c r="U473" s="82" t="e">
        <f>AVERAGE(Tableau1[[#This Row],[1ère composition]:[3è Composition]])</f>
        <v>#DIV/0!</v>
      </c>
    </row>
    <row r="474" spans="1:21" hidden="1" x14ac:dyDescent="0.2">
      <c r="A474" s="1" t="s">
        <v>3136</v>
      </c>
      <c r="B474" s="1" t="s">
        <v>3139</v>
      </c>
      <c r="C474" s="1" t="s">
        <v>3620</v>
      </c>
      <c r="D474" s="1"/>
      <c r="E474" s="1">
        <v>2021</v>
      </c>
      <c r="F474" s="1">
        <v>72</v>
      </c>
      <c r="G474" s="1">
        <v>21</v>
      </c>
      <c r="H474" s="76" t="str">
        <f>Tableau1[[#This Row],[Annee d''inscription au programme]]&amp;"-"&amp;Tableau1[[#This Row],[Code d''ecole]]&amp;"-"&amp;Tableau1[[#This Row],[Numero HM de la fille]]</f>
        <v>2021-72-21</v>
      </c>
      <c r="I474" s="81"/>
      <c r="J474" s="79" t="s">
        <v>3505</v>
      </c>
      <c r="K474" s="35" t="s">
        <v>298</v>
      </c>
      <c r="L474" s="35">
        <v>0.5</v>
      </c>
      <c r="M474" s="92">
        <v>2</v>
      </c>
      <c r="N474" s="92">
        <f t="shared" si="14"/>
        <v>1.25</v>
      </c>
      <c r="O474" s="35"/>
      <c r="P474" s="35"/>
      <c r="Q474" s="35">
        <f t="shared" si="15"/>
        <v>0</v>
      </c>
      <c r="R474" s="35"/>
      <c r="S474" s="35"/>
      <c r="T474" s="35"/>
      <c r="U474" s="82" t="e">
        <f>AVERAGE(Tableau1[[#This Row],[1ère composition]:[3è Composition]])</f>
        <v>#DIV/0!</v>
      </c>
    </row>
    <row r="475" spans="1:21" hidden="1" x14ac:dyDescent="0.2">
      <c r="A475" s="1" t="s">
        <v>3136</v>
      </c>
      <c r="B475" s="1" t="s">
        <v>3138</v>
      </c>
      <c r="C475" s="1" t="s">
        <v>3620</v>
      </c>
      <c r="D475" s="1"/>
      <c r="E475" s="1">
        <v>2021</v>
      </c>
      <c r="F475" s="1">
        <v>72</v>
      </c>
      <c r="G475" s="1">
        <v>22</v>
      </c>
      <c r="H475" s="76" t="str">
        <f>Tableau1[[#This Row],[Annee d''inscription au programme]]&amp;"-"&amp;Tableau1[[#This Row],[Code d''ecole]]&amp;"-"&amp;Tableau1[[#This Row],[Numero HM de la fille]]</f>
        <v>2021-72-22</v>
      </c>
      <c r="I475" s="81"/>
      <c r="J475" s="79" t="s">
        <v>3505</v>
      </c>
      <c r="K475" s="35" t="s">
        <v>298</v>
      </c>
      <c r="L475" s="35">
        <v>0</v>
      </c>
      <c r="M475" s="35">
        <v>0</v>
      </c>
      <c r="N475" s="35">
        <f t="shared" si="14"/>
        <v>0</v>
      </c>
      <c r="O475" s="35">
        <v>5.5</v>
      </c>
      <c r="P475" s="35">
        <v>5</v>
      </c>
      <c r="Q475" s="35">
        <f t="shared" si="15"/>
        <v>5.25</v>
      </c>
      <c r="R475" s="35"/>
      <c r="S475" s="35"/>
      <c r="T475" s="35"/>
      <c r="U475" s="82" t="e">
        <f>AVERAGE(Tableau1[[#This Row],[1ère composition]:[3è Composition]])</f>
        <v>#DIV/0!</v>
      </c>
    </row>
    <row r="476" spans="1:21" hidden="1" x14ac:dyDescent="0.2">
      <c r="A476" s="1" t="s">
        <v>3136</v>
      </c>
      <c r="B476" s="1" t="s">
        <v>3137</v>
      </c>
      <c r="C476" s="1" t="s">
        <v>3618</v>
      </c>
      <c r="D476" s="1"/>
      <c r="E476" s="1">
        <v>2021</v>
      </c>
      <c r="F476" s="1">
        <v>72</v>
      </c>
      <c r="G476" s="1">
        <v>23</v>
      </c>
      <c r="H476" s="76" t="str">
        <f>Tableau1[[#This Row],[Annee d''inscription au programme]]&amp;"-"&amp;Tableau1[[#This Row],[Code d''ecole]]&amp;"-"&amp;Tableau1[[#This Row],[Numero HM de la fille]]</f>
        <v>2021-72-23</v>
      </c>
      <c r="I476" s="81"/>
      <c r="J476" s="79" t="s">
        <v>3505</v>
      </c>
      <c r="K476" s="35" t="s">
        <v>298</v>
      </c>
      <c r="L476" s="35">
        <v>0</v>
      </c>
      <c r="M476" s="35">
        <v>0</v>
      </c>
      <c r="N476" s="35">
        <f t="shared" si="14"/>
        <v>0</v>
      </c>
      <c r="O476" s="35"/>
      <c r="P476" s="35"/>
      <c r="Q476" s="35">
        <f t="shared" si="15"/>
        <v>0</v>
      </c>
      <c r="R476" s="35"/>
      <c r="S476" s="35"/>
      <c r="T476" s="35"/>
      <c r="U476" s="82" t="e">
        <f>AVERAGE(Tableau1[[#This Row],[1ère composition]:[3è Composition]])</f>
        <v>#DIV/0!</v>
      </c>
    </row>
    <row r="477" spans="1:21" hidden="1" x14ac:dyDescent="0.2">
      <c r="A477" s="1" t="s">
        <v>3156</v>
      </c>
      <c r="B477" s="1" t="s">
        <v>3157</v>
      </c>
      <c r="C477" s="1"/>
      <c r="D477" s="1">
        <v>96238790</v>
      </c>
      <c r="E477" s="1">
        <v>2021</v>
      </c>
      <c r="F477" s="1">
        <v>14</v>
      </c>
      <c r="G477" s="1">
        <v>1</v>
      </c>
      <c r="H477" s="76" t="str">
        <f>Tableau1[[#This Row],[Annee d''inscription au programme]]&amp;"-"&amp;Tableau1[[#This Row],[Code d''ecole]]&amp;"-"&amp;Tableau1[[#This Row],[Numero HM de la fille]]</f>
        <v>2021-14-1</v>
      </c>
      <c r="I477" s="1"/>
      <c r="J477" s="1"/>
      <c r="K477" s="35"/>
      <c r="L477" s="35">
        <v>17.5</v>
      </c>
      <c r="M477" s="35">
        <v>20</v>
      </c>
      <c r="N477" s="35">
        <f t="shared" si="14"/>
        <v>18.75</v>
      </c>
      <c r="O477" s="35"/>
      <c r="P477" s="35"/>
      <c r="Q477" s="35">
        <f t="shared" si="15"/>
        <v>0</v>
      </c>
      <c r="R477" s="35"/>
      <c r="S477" s="35"/>
      <c r="T477" s="35"/>
      <c r="U477" s="82" t="e">
        <f>AVERAGE(Tableau1[[#This Row],[1ère composition]:[3è Composition]])</f>
        <v>#DIV/0!</v>
      </c>
    </row>
    <row r="478" spans="1:21" hidden="1" x14ac:dyDescent="0.2">
      <c r="A478" s="1" t="s">
        <v>3156</v>
      </c>
      <c r="B478" s="1" t="s">
        <v>3158</v>
      </c>
      <c r="C478" s="1" t="s">
        <v>3909</v>
      </c>
      <c r="D478" s="1">
        <v>85164178</v>
      </c>
      <c r="E478" s="1">
        <v>2021</v>
      </c>
      <c r="F478" s="1">
        <v>14</v>
      </c>
      <c r="G478" s="1">
        <v>2</v>
      </c>
      <c r="H478" s="76" t="str">
        <f>Tableau1[[#This Row],[Annee d''inscription au programme]]&amp;"-"&amp;Tableau1[[#This Row],[Code d''ecole]]&amp;"-"&amp;Tableau1[[#This Row],[Numero HM de la fille]]</f>
        <v>2021-14-2</v>
      </c>
      <c r="I478" s="1"/>
      <c r="J478" s="1"/>
      <c r="K478" s="35"/>
      <c r="L478" s="35">
        <v>8.5</v>
      </c>
      <c r="M478" s="35">
        <v>5</v>
      </c>
      <c r="N478" s="35">
        <f t="shared" si="14"/>
        <v>6.75</v>
      </c>
      <c r="O478" s="35"/>
      <c r="P478" s="35"/>
      <c r="Q478" s="35">
        <f t="shared" si="15"/>
        <v>0</v>
      </c>
      <c r="R478" s="35"/>
      <c r="S478" s="35"/>
      <c r="T478" s="35"/>
      <c r="U478" s="82" t="e">
        <f>AVERAGE(Tableau1[[#This Row],[1ère composition]:[3è Composition]])</f>
        <v>#DIV/0!</v>
      </c>
    </row>
    <row r="479" spans="1:21" hidden="1" x14ac:dyDescent="0.2">
      <c r="A479" s="1" t="s">
        <v>3156</v>
      </c>
      <c r="B479" s="1" t="s">
        <v>3159</v>
      </c>
      <c r="C479" s="1" t="s">
        <v>3909</v>
      </c>
      <c r="D479" s="1">
        <v>95897316</v>
      </c>
      <c r="E479" s="1">
        <v>2021</v>
      </c>
      <c r="F479" s="1">
        <v>14</v>
      </c>
      <c r="G479" s="1">
        <v>3</v>
      </c>
      <c r="H479" s="76" t="str">
        <f>Tableau1[[#This Row],[Annee d''inscription au programme]]&amp;"-"&amp;Tableau1[[#This Row],[Code d''ecole]]&amp;"-"&amp;Tableau1[[#This Row],[Numero HM de la fille]]</f>
        <v>2021-14-3</v>
      </c>
      <c r="I479" s="1"/>
      <c r="J479" s="1"/>
      <c r="K479" s="35"/>
      <c r="L479" s="35">
        <v>14.5</v>
      </c>
      <c r="M479" s="35">
        <v>13</v>
      </c>
      <c r="N479" s="35">
        <f t="shared" si="14"/>
        <v>13.75</v>
      </c>
      <c r="O479" s="35"/>
      <c r="P479" s="35"/>
      <c r="Q479" s="35">
        <f t="shared" si="15"/>
        <v>0</v>
      </c>
      <c r="R479" s="35"/>
      <c r="S479" s="35"/>
      <c r="T479" s="35"/>
      <c r="U479" s="82" t="e">
        <f>AVERAGE(Tableau1[[#This Row],[1ère composition]:[3è Composition]])</f>
        <v>#DIV/0!</v>
      </c>
    </row>
    <row r="480" spans="1:21" hidden="1" x14ac:dyDescent="0.2">
      <c r="A480" s="1" t="s">
        <v>3156</v>
      </c>
      <c r="B480" s="1" t="s">
        <v>3160</v>
      </c>
      <c r="C480" s="1" t="s">
        <v>3909</v>
      </c>
      <c r="D480" s="1">
        <v>74829599</v>
      </c>
      <c r="E480" s="1">
        <v>2021</v>
      </c>
      <c r="F480" s="1">
        <v>14</v>
      </c>
      <c r="G480" s="1">
        <v>4</v>
      </c>
      <c r="H480" s="76" t="str">
        <f>Tableau1[[#This Row],[Annee d''inscription au programme]]&amp;"-"&amp;Tableau1[[#This Row],[Code d''ecole]]&amp;"-"&amp;Tableau1[[#This Row],[Numero HM de la fille]]</f>
        <v>2021-14-4</v>
      </c>
      <c r="I480" s="1"/>
      <c r="J480" s="1"/>
      <c r="K480" s="35"/>
      <c r="L480" s="35">
        <v>14</v>
      </c>
      <c r="M480" s="35">
        <v>11</v>
      </c>
      <c r="N480" s="35">
        <f t="shared" si="14"/>
        <v>12.5</v>
      </c>
      <c r="O480" s="35"/>
      <c r="P480" s="35"/>
      <c r="Q480" s="35">
        <f t="shared" si="15"/>
        <v>0</v>
      </c>
      <c r="R480" s="35"/>
      <c r="S480" s="35"/>
      <c r="T480" s="35"/>
      <c r="U480" s="82" t="e">
        <f>AVERAGE(Tableau1[[#This Row],[1ère composition]:[3è Composition]])</f>
        <v>#DIV/0!</v>
      </c>
    </row>
    <row r="481" spans="1:21" hidden="1" x14ac:dyDescent="0.2">
      <c r="A481" s="1" t="s">
        <v>3156</v>
      </c>
      <c r="B481" s="1" t="s">
        <v>3161</v>
      </c>
      <c r="C481" s="1" t="s">
        <v>3909</v>
      </c>
      <c r="D481" s="1">
        <v>99800332</v>
      </c>
      <c r="E481" s="1">
        <v>2021</v>
      </c>
      <c r="F481" s="1">
        <v>14</v>
      </c>
      <c r="G481" s="1">
        <v>5</v>
      </c>
      <c r="H481" s="76" t="str">
        <f>Tableau1[[#This Row],[Annee d''inscription au programme]]&amp;"-"&amp;Tableau1[[#This Row],[Code d''ecole]]&amp;"-"&amp;Tableau1[[#This Row],[Numero HM de la fille]]</f>
        <v>2021-14-5</v>
      </c>
      <c r="I481" s="1"/>
      <c r="J481" s="1"/>
      <c r="K481" s="35"/>
      <c r="L481" s="35">
        <v>17.25</v>
      </c>
      <c r="M481" s="35">
        <v>12.5</v>
      </c>
      <c r="N481" s="35">
        <f t="shared" si="14"/>
        <v>14.875</v>
      </c>
      <c r="O481" s="35"/>
      <c r="P481" s="35"/>
      <c r="Q481" s="35">
        <f t="shared" si="15"/>
        <v>0</v>
      </c>
      <c r="R481" s="35"/>
      <c r="S481" s="35"/>
      <c r="T481" s="35"/>
      <c r="U481" s="82" t="e">
        <f>AVERAGE(Tableau1[[#This Row],[1ère composition]:[3è Composition]])</f>
        <v>#DIV/0!</v>
      </c>
    </row>
    <row r="482" spans="1:21" hidden="1" x14ac:dyDescent="0.2">
      <c r="A482" s="1" t="s">
        <v>3156</v>
      </c>
      <c r="B482" s="1" t="s">
        <v>3162</v>
      </c>
      <c r="C482" s="1" t="s">
        <v>3909</v>
      </c>
      <c r="D482" s="1">
        <v>74804543</v>
      </c>
      <c r="E482" s="1">
        <v>2021</v>
      </c>
      <c r="F482" s="1">
        <v>14</v>
      </c>
      <c r="G482" s="1">
        <v>6</v>
      </c>
      <c r="H482" s="76" t="str">
        <f>Tableau1[[#This Row],[Annee d''inscription au programme]]&amp;"-"&amp;Tableau1[[#This Row],[Code d''ecole]]&amp;"-"&amp;Tableau1[[#This Row],[Numero HM de la fille]]</f>
        <v>2021-14-6</v>
      </c>
      <c r="I482" s="1"/>
      <c r="J482" s="1"/>
      <c r="K482" s="35"/>
      <c r="L482" s="35">
        <v>13</v>
      </c>
      <c r="M482" s="35">
        <v>9.5</v>
      </c>
      <c r="N482" s="35">
        <f t="shared" si="14"/>
        <v>11.25</v>
      </c>
      <c r="O482" s="35"/>
      <c r="P482" s="35"/>
      <c r="Q482" s="35">
        <f t="shared" si="15"/>
        <v>0</v>
      </c>
      <c r="R482" s="35"/>
      <c r="S482" s="35"/>
      <c r="T482" s="35"/>
      <c r="U482" s="82" t="e">
        <f>AVERAGE(Tableau1[[#This Row],[1ère composition]:[3è Composition]])</f>
        <v>#DIV/0!</v>
      </c>
    </row>
    <row r="483" spans="1:21" hidden="1" x14ac:dyDescent="0.2">
      <c r="A483" s="1" t="s">
        <v>3156</v>
      </c>
      <c r="B483" s="1" t="s">
        <v>3163</v>
      </c>
      <c r="C483" s="1" t="s">
        <v>3909</v>
      </c>
      <c r="D483" s="1">
        <v>94216446</v>
      </c>
      <c r="E483" s="1">
        <v>2021</v>
      </c>
      <c r="F483" s="1">
        <v>14</v>
      </c>
      <c r="G483" s="1">
        <v>7</v>
      </c>
      <c r="H483" s="76" t="str">
        <f>Tableau1[[#This Row],[Annee d''inscription au programme]]&amp;"-"&amp;Tableau1[[#This Row],[Code d''ecole]]&amp;"-"&amp;Tableau1[[#This Row],[Numero HM de la fille]]</f>
        <v>2021-14-7</v>
      </c>
      <c r="I483" s="1"/>
      <c r="J483" s="1"/>
      <c r="K483" s="35"/>
      <c r="L483" s="35">
        <v>14.5</v>
      </c>
      <c r="M483" s="35">
        <v>9.5</v>
      </c>
      <c r="N483" s="35">
        <f t="shared" si="14"/>
        <v>12</v>
      </c>
      <c r="O483" s="35"/>
      <c r="P483" s="35"/>
      <c r="Q483" s="35">
        <f t="shared" si="15"/>
        <v>0</v>
      </c>
      <c r="R483" s="35"/>
      <c r="S483" s="35"/>
      <c r="T483" s="35"/>
      <c r="U483" s="82" t="e">
        <f>AVERAGE(Tableau1[[#This Row],[1ère composition]:[3è Composition]])</f>
        <v>#DIV/0!</v>
      </c>
    </row>
    <row r="484" spans="1:21" hidden="1" x14ac:dyDescent="0.2">
      <c r="A484" s="1" t="s">
        <v>3156</v>
      </c>
      <c r="B484" s="1" t="s">
        <v>3164</v>
      </c>
      <c r="C484" s="1" t="s">
        <v>3909</v>
      </c>
      <c r="D484" s="1">
        <v>96316042</v>
      </c>
      <c r="E484" s="1">
        <v>2021</v>
      </c>
      <c r="F484" s="1">
        <v>14</v>
      </c>
      <c r="G484" s="1">
        <v>8</v>
      </c>
      <c r="H484" s="76" t="str">
        <f>Tableau1[[#This Row],[Annee d''inscription au programme]]&amp;"-"&amp;Tableau1[[#This Row],[Code d''ecole]]&amp;"-"&amp;Tableau1[[#This Row],[Numero HM de la fille]]</f>
        <v>2021-14-8</v>
      </c>
      <c r="I484" s="1"/>
      <c r="J484" s="1"/>
      <c r="K484" s="35"/>
      <c r="L484" s="35">
        <v>17</v>
      </c>
      <c r="M484" s="35">
        <v>18.5</v>
      </c>
      <c r="N484" s="35">
        <f t="shared" si="14"/>
        <v>17.75</v>
      </c>
      <c r="O484" s="35"/>
      <c r="P484" s="35"/>
      <c r="Q484" s="35">
        <f t="shared" si="15"/>
        <v>0</v>
      </c>
      <c r="R484" s="35"/>
      <c r="S484" s="35"/>
      <c r="T484" s="35"/>
      <c r="U484" s="82" t="e">
        <f>AVERAGE(Tableau1[[#This Row],[1ère composition]:[3è Composition]])</f>
        <v>#DIV/0!</v>
      </c>
    </row>
    <row r="485" spans="1:21" hidden="1" x14ac:dyDescent="0.2">
      <c r="A485" s="1" t="s">
        <v>3156</v>
      </c>
      <c r="B485" s="1" t="s">
        <v>3165</v>
      </c>
      <c r="C485" s="1" t="s">
        <v>3909</v>
      </c>
      <c r="D485" s="1">
        <v>98164534</v>
      </c>
      <c r="E485" s="1">
        <v>2021</v>
      </c>
      <c r="F485" s="1">
        <v>14</v>
      </c>
      <c r="G485" s="1">
        <v>9</v>
      </c>
      <c r="H485" s="76" t="str">
        <f>Tableau1[[#This Row],[Annee d''inscription au programme]]&amp;"-"&amp;Tableau1[[#This Row],[Code d''ecole]]&amp;"-"&amp;Tableau1[[#This Row],[Numero HM de la fille]]</f>
        <v>2021-14-9</v>
      </c>
      <c r="I485" s="1"/>
      <c r="J485" s="1"/>
      <c r="K485" s="35"/>
      <c r="L485" s="35">
        <v>14</v>
      </c>
      <c r="M485" s="35">
        <v>12.5</v>
      </c>
      <c r="N485" s="35">
        <f t="shared" si="14"/>
        <v>13.25</v>
      </c>
      <c r="O485" s="35"/>
      <c r="P485" s="35"/>
      <c r="Q485" s="35">
        <f t="shared" si="15"/>
        <v>0</v>
      </c>
      <c r="R485" s="35"/>
      <c r="S485" s="35"/>
      <c r="T485" s="35"/>
      <c r="U485" s="82" t="e">
        <f>AVERAGE(Tableau1[[#This Row],[1ère composition]:[3è Composition]])</f>
        <v>#DIV/0!</v>
      </c>
    </row>
    <row r="486" spans="1:21" hidden="1" x14ac:dyDescent="0.2">
      <c r="A486" s="1" t="s">
        <v>3156</v>
      </c>
      <c r="B486" s="1" t="s">
        <v>3166</v>
      </c>
      <c r="C486" s="1" t="s">
        <v>3909</v>
      </c>
      <c r="D486" s="1">
        <v>96531041</v>
      </c>
      <c r="E486" s="1">
        <v>2021</v>
      </c>
      <c r="F486" s="1">
        <v>14</v>
      </c>
      <c r="G486" s="1">
        <v>10</v>
      </c>
      <c r="H486" s="76" t="str">
        <f>Tableau1[[#This Row],[Annee d''inscription au programme]]&amp;"-"&amp;Tableau1[[#This Row],[Code d''ecole]]&amp;"-"&amp;Tableau1[[#This Row],[Numero HM de la fille]]</f>
        <v>2021-14-10</v>
      </c>
      <c r="I486" s="1"/>
      <c r="J486" s="1"/>
      <c r="K486" s="35"/>
      <c r="L486" s="35">
        <v>15</v>
      </c>
      <c r="M486" s="35">
        <v>11</v>
      </c>
      <c r="N486" s="35">
        <f t="shared" si="14"/>
        <v>13</v>
      </c>
      <c r="O486" s="35"/>
      <c r="P486" s="35"/>
      <c r="Q486" s="35">
        <f t="shared" si="15"/>
        <v>0</v>
      </c>
      <c r="R486" s="35"/>
      <c r="S486" s="35"/>
      <c r="T486" s="35"/>
      <c r="U486" s="82" t="e">
        <f>AVERAGE(Tableau1[[#This Row],[1ère composition]:[3è Composition]])</f>
        <v>#DIV/0!</v>
      </c>
    </row>
    <row r="487" spans="1:21" hidden="1" x14ac:dyDescent="0.2">
      <c r="A487" s="1" t="s">
        <v>3156</v>
      </c>
      <c r="B487" s="1" t="s">
        <v>1233</v>
      </c>
      <c r="C487" s="1" t="s">
        <v>3909</v>
      </c>
      <c r="D487" s="1">
        <v>99491182</v>
      </c>
      <c r="E487" s="1">
        <v>2021</v>
      </c>
      <c r="F487" s="1">
        <v>14</v>
      </c>
      <c r="G487" s="1">
        <v>11</v>
      </c>
      <c r="H487" s="76" t="str">
        <f>Tableau1[[#This Row],[Annee d''inscription au programme]]&amp;"-"&amp;Tableau1[[#This Row],[Code d''ecole]]&amp;"-"&amp;Tableau1[[#This Row],[Numero HM de la fille]]</f>
        <v>2021-14-11</v>
      </c>
      <c r="I487" s="1"/>
      <c r="J487" s="1"/>
      <c r="K487" s="35"/>
      <c r="L487" s="35">
        <v>13.5</v>
      </c>
      <c r="M487" s="35">
        <v>14.5</v>
      </c>
      <c r="N487" s="35">
        <f t="shared" si="14"/>
        <v>14</v>
      </c>
      <c r="O487" s="35"/>
      <c r="P487" s="35"/>
      <c r="Q487" s="35">
        <f t="shared" si="15"/>
        <v>0</v>
      </c>
      <c r="R487" s="35"/>
      <c r="S487" s="35"/>
      <c r="T487" s="35"/>
      <c r="U487" s="82" t="e">
        <f>AVERAGE(Tableau1[[#This Row],[1ère composition]:[3è Composition]])</f>
        <v>#DIV/0!</v>
      </c>
    </row>
    <row r="488" spans="1:21" hidden="1" x14ac:dyDescent="0.2">
      <c r="A488" s="1" t="s">
        <v>3156</v>
      </c>
      <c r="B488" s="1" t="s">
        <v>3167</v>
      </c>
      <c r="C488" s="1" t="s">
        <v>3909</v>
      </c>
      <c r="D488" s="1">
        <v>92351284</v>
      </c>
      <c r="E488" s="1">
        <v>2021</v>
      </c>
      <c r="F488" s="1">
        <v>14</v>
      </c>
      <c r="G488" s="1">
        <v>12</v>
      </c>
      <c r="H488" s="76" t="str">
        <f>Tableau1[[#This Row],[Annee d''inscription au programme]]&amp;"-"&amp;Tableau1[[#This Row],[Code d''ecole]]&amp;"-"&amp;Tableau1[[#This Row],[Numero HM de la fille]]</f>
        <v>2021-14-12</v>
      </c>
      <c r="I488" s="1"/>
      <c r="J488" s="1"/>
      <c r="K488" s="35"/>
      <c r="L488" s="35">
        <v>0</v>
      </c>
      <c r="M488" s="35">
        <v>0</v>
      </c>
      <c r="N488" s="35">
        <f t="shared" si="14"/>
        <v>0</v>
      </c>
      <c r="O488" s="35"/>
      <c r="P488" s="35"/>
      <c r="Q488" s="35">
        <f t="shared" si="15"/>
        <v>0</v>
      </c>
      <c r="R488" s="35"/>
      <c r="S488" s="35"/>
      <c r="T488" s="35"/>
      <c r="U488" s="82" t="e">
        <f>AVERAGE(Tableau1[[#This Row],[1ère composition]:[3è Composition]])</f>
        <v>#DIV/0!</v>
      </c>
    </row>
    <row r="489" spans="1:21" hidden="1" x14ac:dyDescent="0.2">
      <c r="A489" s="1" t="s">
        <v>3156</v>
      </c>
      <c r="B489" s="1" t="s">
        <v>3168</v>
      </c>
      <c r="C489" s="1"/>
      <c r="D489" s="1">
        <v>95873445</v>
      </c>
      <c r="E489" s="1">
        <v>2021</v>
      </c>
      <c r="F489" s="1">
        <v>14</v>
      </c>
      <c r="G489" s="1">
        <v>13</v>
      </c>
      <c r="H489" s="76" t="str">
        <f>Tableau1[[#This Row],[Annee d''inscription au programme]]&amp;"-"&amp;Tableau1[[#This Row],[Code d''ecole]]&amp;"-"&amp;Tableau1[[#This Row],[Numero HM de la fille]]</f>
        <v>2021-14-13</v>
      </c>
      <c r="I489" s="1"/>
      <c r="J489" s="1"/>
      <c r="K489" s="35"/>
      <c r="L489" s="35">
        <v>2</v>
      </c>
      <c r="M489" s="35">
        <v>4</v>
      </c>
      <c r="N489" s="35">
        <f t="shared" si="14"/>
        <v>3</v>
      </c>
      <c r="O489" s="35"/>
      <c r="P489" s="35"/>
      <c r="Q489" s="35">
        <f t="shared" si="15"/>
        <v>0</v>
      </c>
      <c r="R489" s="35"/>
      <c r="S489" s="35"/>
      <c r="T489" s="35"/>
      <c r="U489" s="82" t="e">
        <f>AVERAGE(Tableau1[[#This Row],[1ère composition]:[3è Composition]])</f>
        <v>#DIV/0!</v>
      </c>
    </row>
    <row r="490" spans="1:21" hidden="1" x14ac:dyDescent="0.2">
      <c r="A490" s="1" t="s">
        <v>3156</v>
      </c>
      <c r="B490" s="1" t="s">
        <v>3169</v>
      </c>
      <c r="C490" s="1"/>
      <c r="D490" s="1">
        <v>95992691</v>
      </c>
      <c r="E490" s="1">
        <v>2021</v>
      </c>
      <c r="F490" s="1">
        <v>14</v>
      </c>
      <c r="G490" s="1">
        <v>14</v>
      </c>
      <c r="H490" s="76" t="str">
        <f>Tableau1[[#This Row],[Annee d''inscription au programme]]&amp;"-"&amp;Tableau1[[#This Row],[Code d''ecole]]&amp;"-"&amp;Tableau1[[#This Row],[Numero HM de la fille]]</f>
        <v>2021-14-14</v>
      </c>
      <c r="I490" s="1"/>
      <c r="J490" s="1"/>
      <c r="K490" s="35"/>
      <c r="L490" s="35">
        <v>8</v>
      </c>
      <c r="M490" s="35">
        <v>1</v>
      </c>
      <c r="N490" s="35">
        <f t="shared" si="14"/>
        <v>4.5</v>
      </c>
      <c r="O490" s="35"/>
      <c r="P490" s="35"/>
      <c r="Q490" s="35">
        <f t="shared" si="15"/>
        <v>0</v>
      </c>
      <c r="R490" s="35"/>
      <c r="S490" s="35"/>
      <c r="T490" s="35"/>
      <c r="U490" s="82" t="e">
        <f>AVERAGE(Tableau1[[#This Row],[1ère composition]:[3è Composition]])</f>
        <v>#DIV/0!</v>
      </c>
    </row>
    <row r="491" spans="1:21" hidden="1" x14ac:dyDescent="0.2">
      <c r="A491" s="1" t="s">
        <v>3156</v>
      </c>
      <c r="B491" s="1" t="s">
        <v>3170</v>
      </c>
      <c r="C491" s="1" t="s">
        <v>3909</v>
      </c>
      <c r="D491" s="1">
        <v>94026576</v>
      </c>
      <c r="E491" s="1">
        <v>2021</v>
      </c>
      <c r="F491" s="1">
        <v>14</v>
      </c>
      <c r="G491" s="1">
        <v>15</v>
      </c>
      <c r="H491" s="76" t="str">
        <f>Tableau1[[#This Row],[Annee d''inscription au programme]]&amp;"-"&amp;Tableau1[[#This Row],[Code d''ecole]]&amp;"-"&amp;Tableau1[[#This Row],[Numero HM de la fille]]</f>
        <v>2021-14-15</v>
      </c>
      <c r="I491" s="1"/>
      <c r="J491" s="1"/>
      <c r="K491" s="35"/>
      <c r="L491" s="35">
        <v>6</v>
      </c>
      <c r="M491" s="35">
        <v>3</v>
      </c>
      <c r="N491" s="35">
        <f t="shared" si="14"/>
        <v>4.5</v>
      </c>
      <c r="O491" s="35"/>
      <c r="P491" s="35"/>
      <c r="Q491" s="35">
        <f t="shared" si="15"/>
        <v>0</v>
      </c>
      <c r="R491" s="35"/>
      <c r="S491" s="35"/>
      <c r="T491" s="35"/>
      <c r="U491" s="82" t="e">
        <f>AVERAGE(Tableau1[[#This Row],[1ère composition]:[3è Composition]])</f>
        <v>#DIV/0!</v>
      </c>
    </row>
    <row r="492" spans="1:21" hidden="1" x14ac:dyDescent="0.2">
      <c r="A492" s="1" t="s">
        <v>3156</v>
      </c>
      <c r="B492" s="1" t="s">
        <v>3171</v>
      </c>
      <c r="C492" s="1" t="s">
        <v>3909</v>
      </c>
      <c r="D492" s="1">
        <v>98060608</v>
      </c>
      <c r="E492" s="1">
        <v>2021</v>
      </c>
      <c r="F492" s="1">
        <v>14</v>
      </c>
      <c r="G492" s="1">
        <v>16</v>
      </c>
      <c r="H492" s="76" t="str">
        <f>Tableau1[[#This Row],[Annee d''inscription au programme]]&amp;"-"&amp;Tableau1[[#This Row],[Code d''ecole]]&amp;"-"&amp;Tableau1[[#This Row],[Numero HM de la fille]]</f>
        <v>2021-14-16</v>
      </c>
      <c r="I492" s="1"/>
      <c r="J492" s="1"/>
      <c r="K492" s="35"/>
      <c r="L492" s="35">
        <v>9.5</v>
      </c>
      <c r="M492" s="35">
        <v>6</v>
      </c>
      <c r="N492" s="35">
        <f t="shared" si="14"/>
        <v>7.75</v>
      </c>
      <c r="O492" s="35"/>
      <c r="P492" s="35"/>
      <c r="Q492" s="35">
        <f t="shared" si="15"/>
        <v>0</v>
      </c>
      <c r="R492" s="35"/>
      <c r="S492" s="35"/>
      <c r="T492" s="35"/>
      <c r="U492" s="82" t="e">
        <f>AVERAGE(Tableau1[[#This Row],[1ère composition]:[3è Composition]])</f>
        <v>#DIV/0!</v>
      </c>
    </row>
    <row r="493" spans="1:21" hidden="1" x14ac:dyDescent="0.2">
      <c r="A493" s="1" t="s">
        <v>3156</v>
      </c>
      <c r="B493" s="1" t="s">
        <v>2297</v>
      </c>
      <c r="C493" s="1" t="s">
        <v>3909</v>
      </c>
      <c r="D493" s="1">
        <v>98865474</v>
      </c>
      <c r="E493" s="1">
        <v>2021</v>
      </c>
      <c r="F493" s="1">
        <v>14</v>
      </c>
      <c r="G493" s="1">
        <v>17</v>
      </c>
      <c r="H493" s="76" t="str">
        <f>Tableau1[[#This Row],[Annee d''inscription au programme]]&amp;"-"&amp;Tableau1[[#This Row],[Code d''ecole]]&amp;"-"&amp;Tableau1[[#This Row],[Numero HM de la fille]]</f>
        <v>2021-14-17</v>
      </c>
      <c r="I493" s="1"/>
      <c r="J493" s="1"/>
      <c r="K493" s="35"/>
      <c r="L493" s="35">
        <v>14</v>
      </c>
      <c r="M493" s="35">
        <v>11</v>
      </c>
      <c r="N493" s="35">
        <f t="shared" si="14"/>
        <v>12.5</v>
      </c>
      <c r="O493" s="35"/>
      <c r="P493" s="35"/>
      <c r="Q493" s="35">
        <f t="shared" si="15"/>
        <v>0</v>
      </c>
      <c r="R493" s="35"/>
      <c r="S493" s="35"/>
      <c r="T493" s="35"/>
      <c r="U493" s="82" t="e">
        <f>AVERAGE(Tableau1[[#This Row],[1ère composition]:[3è Composition]])</f>
        <v>#DIV/0!</v>
      </c>
    </row>
    <row r="494" spans="1:21" hidden="1" x14ac:dyDescent="0.2">
      <c r="A494" s="1" t="s">
        <v>3156</v>
      </c>
      <c r="B494" s="1" t="s">
        <v>3172</v>
      </c>
      <c r="C494" s="1" t="s">
        <v>3909</v>
      </c>
      <c r="D494" s="1">
        <v>89362522</v>
      </c>
      <c r="E494" s="1">
        <v>2021</v>
      </c>
      <c r="F494" s="1">
        <v>14</v>
      </c>
      <c r="G494" s="1">
        <v>18</v>
      </c>
      <c r="H494" s="76" t="str">
        <f>Tableau1[[#This Row],[Annee d''inscription au programme]]&amp;"-"&amp;Tableau1[[#This Row],[Code d''ecole]]&amp;"-"&amp;Tableau1[[#This Row],[Numero HM de la fille]]</f>
        <v>2021-14-18</v>
      </c>
      <c r="I494" s="1"/>
      <c r="J494" s="1"/>
      <c r="K494" s="35"/>
      <c r="L494" s="35">
        <v>5.5</v>
      </c>
      <c r="M494" s="35">
        <v>7</v>
      </c>
      <c r="N494" s="35">
        <f t="shared" si="14"/>
        <v>6.25</v>
      </c>
      <c r="O494" s="35"/>
      <c r="P494" s="35"/>
      <c r="Q494" s="35">
        <f t="shared" si="15"/>
        <v>0</v>
      </c>
      <c r="R494" s="35"/>
      <c r="S494" s="35"/>
      <c r="T494" s="35"/>
      <c r="U494" s="82" t="e">
        <f>AVERAGE(Tableau1[[#This Row],[1ère composition]:[3è Composition]])</f>
        <v>#DIV/0!</v>
      </c>
    </row>
    <row r="495" spans="1:21" hidden="1" x14ac:dyDescent="0.2">
      <c r="A495" s="1" t="s">
        <v>3156</v>
      </c>
      <c r="B495" s="1" t="s">
        <v>3173</v>
      </c>
      <c r="C495" s="1" t="s">
        <v>3909</v>
      </c>
      <c r="D495" s="1">
        <v>96291143</v>
      </c>
      <c r="E495" s="1">
        <v>2021</v>
      </c>
      <c r="F495" s="1">
        <v>14</v>
      </c>
      <c r="G495" s="1">
        <v>19</v>
      </c>
      <c r="H495" s="76" t="str">
        <f>Tableau1[[#This Row],[Annee d''inscription au programme]]&amp;"-"&amp;Tableau1[[#This Row],[Code d''ecole]]&amp;"-"&amp;Tableau1[[#This Row],[Numero HM de la fille]]</f>
        <v>2021-14-19</v>
      </c>
      <c r="I495" s="1"/>
      <c r="J495" s="1"/>
      <c r="K495" s="35"/>
      <c r="L495" s="35">
        <v>7</v>
      </c>
      <c r="M495" s="35">
        <v>3.5</v>
      </c>
      <c r="N495" s="35">
        <f t="shared" si="14"/>
        <v>5.25</v>
      </c>
      <c r="O495" s="35"/>
      <c r="P495" s="35"/>
      <c r="Q495" s="35">
        <f t="shared" si="15"/>
        <v>0</v>
      </c>
      <c r="R495" s="35"/>
      <c r="S495" s="35"/>
      <c r="T495" s="35"/>
      <c r="U495" s="82" t="e">
        <f>AVERAGE(Tableau1[[#This Row],[1ère composition]:[3è Composition]])</f>
        <v>#DIV/0!</v>
      </c>
    </row>
    <row r="496" spans="1:21" hidden="1" x14ac:dyDescent="0.2">
      <c r="A496" s="1" t="s">
        <v>3156</v>
      </c>
      <c r="B496" s="1" t="s">
        <v>3174</v>
      </c>
      <c r="C496" s="1" t="s">
        <v>3909</v>
      </c>
      <c r="D496" s="1">
        <v>95609619</v>
      </c>
      <c r="E496" s="1">
        <v>2021</v>
      </c>
      <c r="F496" s="1">
        <v>14</v>
      </c>
      <c r="G496" s="1">
        <v>20</v>
      </c>
      <c r="H496" s="76" t="str">
        <f>Tableau1[[#This Row],[Annee d''inscription au programme]]&amp;"-"&amp;Tableau1[[#This Row],[Code d''ecole]]&amp;"-"&amp;Tableau1[[#This Row],[Numero HM de la fille]]</f>
        <v>2021-14-20</v>
      </c>
      <c r="I496" s="1"/>
      <c r="J496" s="1"/>
      <c r="K496" s="35"/>
      <c r="L496" s="35">
        <v>11.5</v>
      </c>
      <c r="M496" s="35">
        <v>6</v>
      </c>
      <c r="N496" s="35">
        <f t="shared" si="14"/>
        <v>8.75</v>
      </c>
      <c r="O496" s="35"/>
      <c r="P496" s="35"/>
      <c r="Q496" s="35">
        <f t="shared" si="15"/>
        <v>0</v>
      </c>
      <c r="R496" s="35"/>
      <c r="S496" s="35"/>
      <c r="T496" s="35"/>
      <c r="U496" s="82" t="e">
        <f>AVERAGE(Tableau1[[#This Row],[1ère composition]:[3è Composition]])</f>
        <v>#DIV/0!</v>
      </c>
    </row>
    <row r="497" spans="1:21" hidden="1" x14ac:dyDescent="0.2">
      <c r="A497" s="1" t="s">
        <v>3156</v>
      </c>
      <c r="B497" s="1" t="s">
        <v>3175</v>
      </c>
      <c r="C497" s="1" t="s">
        <v>3909</v>
      </c>
      <c r="D497" s="1">
        <v>95386634</v>
      </c>
      <c r="E497" s="1">
        <v>2021</v>
      </c>
      <c r="F497" s="1">
        <v>14</v>
      </c>
      <c r="G497" s="1">
        <v>21</v>
      </c>
      <c r="H497" s="76" t="str">
        <f>Tableau1[[#This Row],[Annee d''inscription au programme]]&amp;"-"&amp;Tableau1[[#This Row],[Code d''ecole]]&amp;"-"&amp;Tableau1[[#This Row],[Numero HM de la fille]]</f>
        <v>2021-14-21</v>
      </c>
      <c r="I497" s="1"/>
      <c r="J497" s="1"/>
      <c r="K497" s="35"/>
      <c r="L497" s="35">
        <v>11.75</v>
      </c>
      <c r="M497" s="35">
        <v>12</v>
      </c>
      <c r="N497" s="35">
        <f t="shared" si="14"/>
        <v>11.875</v>
      </c>
      <c r="O497" s="35"/>
      <c r="P497" s="35"/>
      <c r="Q497" s="35">
        <f t="shared" si="15"/>
        <v>0</v>
      </c>
      <c r="R497" s="35"/>
      <c r="S497" s="35"/>
      <c r="T497" s="35"/>
      <c r="U497" s="82" t="e">
        <f>AVERAGE(Tableau1[[#This Row],[1ère composition]:[3è Composition]])</f>
        <v>#DIV/0!</v>
      </c>
    </row>
    <row r="498" spans="1:21" hidden="1" x14ac:dyDescent="0.2">
      <c r="A498" s="1" t="s">
        <v>3156</v>
      </c>
      <c r="B498" s="1" t="s">
        <v>3176</v>
      </c>
      <c r="C498" s="1" t="s">
        <v>3909</v>
      </c>
      <c r="D498" s="1">
        <v>84032030</v>
      </c>
      <c r="E498" s="1">
        <v>2021</v>
      </c>
      <c r="F498" s="1">
        <v>14</v>
      </c>
      <c r="G498" s="1">
        <v>22</v>
      </c>
      <c r="H498" s="76" t="str">
        <f>Tableau1[[#This Row],[Annee d''inscription au programme]]&amp;"-"&amp;Tableau1[[#This Row],[Code d''ecole]]&amp;"-"&amp;Tableau1[[#This Row],[Numero HM de la fille]]</f>
        <v>2021-14-22</v>
      </c>
      <c r="I498" s="1"/>
      <c r="J498" s="1"/>
      <c r="K498" s="35"/>
      <c r="L498" s="35">
        <v>5</v>
      </c>
      <c r="M498" s="35">
        <v>3</v>
      </c>
      <c r="N498" s="35">
        <f t="shared" si="14"/>
        <v>4</v>
      </c>
      <c r="O498" s="35"/>
      <c r="P498" s="35"/>
      <c r="Q498" s="35">
        <f t="shared" si="15"/>
        <v>0</v>
      </c>
      <c r="R498" s="35"/>
      <c r="S498" s="35"/>
      <c r="T498" s="35"/>
      <c r="U498" s="82" t="e">
        <f>AVERAGE(Tableau1[[#This Row],[1ère composition]:[3è Composition]])</f>
        <v>#DIV/0!</v>
      </c>
    </row>
    <row r="499" spans="1:21" hidden="1" x14ac:dyDescent="0.2">
      <c r="A499" s="1" t="s">
        <v>3156</v>
      </c>
      <c r="B499" s="1" t="s">
        <v>3177</v>
      </c>
      <c r="C499" s="1" t="s">
        <v>3909</v>
      </c>
      <c r="D499" s="1">
        <v>96628130</v>
      </c>
      <c r="E499" s="1">
        <v>2021</v>
      </c>
      <c r="F499" s="1">
        <v>14</v>
      </c>
      <c r="G499" s="1">
        <v>23</v>
      </c>
      <c r="H499" s="76" t="str">
        <f>Tableau1[[#This Row],[Annee d''inscription au programme]]&amp;"-"&amp;Tableau1[[#This Row],[Code d''ecole]]&amp;"-"&amp;Tableau1[[#This Row],[Numero HM de la fille]]</f>
        <v>2021-14-23</v>
      </c>
      <c r="I499" s="1"/>
      <c r="J499" s="1"/>
      <c r="K499" s="35"/>
      <c r="L499" s="35">
        <v>15</v>
      </c>
      <c r="M499" s="35">
        <v>12</v>
      </c>
      <c r="N499" s="35">
        <f t="shared" si="14"/>
        <v>13.5</v>
      </c>
      <c r="O499" s="35"/>
      <c r="P499" s="35"/>
      <c r="Q499" s="35">
        <f t="shared" si="15"/>
        <v>0</v>
      </c>
      <c r="R499" s="35"/>
      <c r="S499" s="35"/>
      <c r="T499" s="35"/>
      <c r="U499" s="82" t="e">
        <f>AVERAGE(Tableau1[[#This Row],[1ère composition]:[3è Composition]])</f>
        <v>#DIV/0!</v>
      </c>
    </row>
    <row r="500" spans="1:21" hidden="1" x14ac:dyDescent="0.2">
      <c r="A500" s="1" t="s">
        <v>3156</v>
      </c>
      <c r="B500" s="1" t="s">
        <v>3107</v>
      </c>
      <c r="C500" s="1" t="s">
        <v>3909</v>
      </c>
      <c r="D500" s="1">
        <v>84563361</v>
      </c>
      <c r="E500" s="1">
        <v>2021</v>
      </c>
      <c r="F500" s="1">
        <v>14</v>
      </c>
      <c r="G500" s="1">
        <v>24</v>
      </c>
      <c r="H500" s="76" t="str">
        <f>Tableau1[[#This Row],[Annee d''inscription au programme]]&amp;"-"&amp;Tableau1[[#This Row],[Code d''ecole]]&amp;"-"&amp;Tableau1[[#This Row],[Numero HM de la fille]]</f>
        <v>2021-14-24</v>
      </c>
      <c r="I500" s="1"/>
      <c r="J500" s="1"/>
      <c r="K500" s="35"/>
      <c r="L500" s="35">
        <v>11</v>
      </c>
      <c r="M500" s="35">
        <v>4</v>
      </c>
      <c r="N500" s="35">
        <f t="shared" si="14"/>
        <v>7.5</v>
      </c>
      <c r="O500" s="35"/>
      <c r="P500" s="35"/>
      <c r="Q500" s="35">
        <f t="shared" si="15"/>
        <v>0</v>
      </c>
      <c r="R500" s="35"/>
      <c r="S500" s="35"/>
      <c r="T500" s="35"/>
      <c r="U500" s="82" t="e">
        <f>AVERAGE(Tableau1[[#This Row],[1ère composition]:[3è Composition]])</f>
        <v>#DIV/0!</v>
      </c>
    </row>
    <row r="501" spans="1:21" hidden="1" x14ac:dyDescent="0.2">
      <c r="A501" s="1" t="s">
        <v>3156</v>
      </c>
      <c r="B501" s="1" t="s">
        <v>3178</v>
      </c>
      <c r="C501" s="1" t="s">
        <v>3910</v>
      </c>
      <c r="D501" s="1">
        <v>95886611</v>
      </c>
      <c r="E501" s="1">
        <v>2021</v>
      </c>
      <c r="F501" s="1">
        <v>14</v>
      </c>
      <c r="G501" s="1">
        <v>25</v>
      </c>
      <c r="H501" s="76" t="str">
        <f>Tableau1[[#This Row],[Annee d''inscription au programme]]&amp;"-"&amp;Tableau1[[#This Row],[Code d''ecole]]&amp;"-"&amp;Tableau1[[#This Row],[Numero HM de la fille]]</f>
        <v>2021-14-25</v>
      </c>
      <c r="I501" s="1"/>
      <c r="J501" s="1"/>
      <c r="K501" s="35"/>
      <c r="L501" s="35">
        <v>0</v>
      </c>
      <c r="M501" s="35">
        <v>0</v>
      </c>
      <c r="N501" s="35">
        <f t="shared" si="14"/>
        <v>0</v>
      </c>
      <c r="O501" s="35"/>
      <c r="P501" s="35"/>
      <c r="Q501" s="35">
        <f t="shared" si="15"/>
        <v>0</v>
      </c>
      <c r="R501" s="35"/>
      <c r="S501" s="35"/>
      <c r="T501" s="35"/>
      <c r="U501" s="82" t="e">
        <f>AVERAGE(Tableau1[[#This Row],[1ère composition]:[3è Composition]])</f>
        <v>#DIV/0!</v>
      </c>
    </row>
    <row r="502" spans="1:21" hidden="1" x14ac:dyDescent="0.2">
      <c r="A502" s="1" t="s">
        <v>3156</v>
      </c>
      <c r="B502" s="1" t="s">
        <v>3179</v>
      </c>
      <c r="C502" s="1" t="s">
        <v>3909</v>
      </c>
      <c r="D502" s="1">
        <v>94191638</v>
      </c>
      <c r="E502" s="1">
        <v>2021</v>
      </c>
      <c r="F502" s="1">
        <v>14</v>
      </c>
      <c r="G502" s="1">
        <v>26</v>
      </c>
      <c r="H502" s="76" t="str">
        <f>Tableau1[[#This Row],[Annee d''inscription au programme]]&amp;"-"&amp;Tableau1[[#This Row],[Code d''ecole]]&amp;"-"&amp;Tableau1[[#This Row],[Numero HM de la fille]]</f>
        <v>2021-14-26</v>
      </c>
      <c r="I502" s="1"/>
      <c r="J502" s="1"/>
      <c r="K502" s="35"/>
      <c r="L502" s="35">
        <v>5</v>
      </c>
      <c r="M502" s="35">
        <v>1.5</v>
      </c>
      <c r="N502" s="35">
        <f t="shared" si="14"/>
        <v>3.25</v>
      </c>
      <c r="O502" s="35"/>
      <c r="P502" s="35"/>
      <c r="Q502" s="35">
        <f t="shared" si="15"/>
        <v>0</v>
      </c>
      <c r="R502" s="35"/>
      <c r="S502" s="35"/>
      <c r="T502" s="35"/>
      <c r="U502" s="82" t="e">
        <f>AVERAGE(Tableau1[[#This Row],[1ère composition]:[3è Composition]])</f>
        <v>#DIV/0!</v>
      </c>
    </row>
    <row r="503" spans="1:21" hidden="1" x14ac:dyDescent="0.2">
      <c r="A503" s="1" t="s">
        <v>3156</v>
      </c>
      <c r="B503" s="1" t="s">
        <v>2843</v>
      </c>
      <c r="C503" s="1" t="s">
        <v>3909</v>
      </c>
      <c r="D503" s="1">
        <v>94369439</v>
      </c>
      <c r="E503" s="1">
        <v>2021</v>
      </c>
      <c r="F503" s="1">
        <v>14</v>
      </c>
      <c r="G503" s="1">
        <v>27</v>
      </c>
      <c r="H503" s="76" t="str">
        <f>Tableau1[[#This Row],[Annee d''inscription au programme]]&amp;"-"&amp;Tableau1[[#This Row],[Code d''ecole]]&amp;"-"&amp;Tableau1[[#This Row],[Numero HM de la fille]]</f>
        <v>2021-14-27</v>
      </c>
      <c r="I503" s="1"/>
      <c r="J503" s="1"/>
      <c r="K503" s="35"/>
      <c r="L503" s="35">
        <v>7.75</v>
      </c>
      <c r="M503" s="35">
        <v>7</v>
      </c>
      <c r="N503" s="35">
        <f t="shared" si="14"/>
        <v>7.375</v>
      </c>
      <c r="O503" s="35"/>
      <c r="P503" s="35"/>
      <c r="Q503" s="35">
        <f t="shared" si="15"/>
        <v>0</v>
      </c>
      <c r="R503" s="35"/>
      <c r="S503" s="35"/>
      <c r="T503" s="35"/>
      <c r="U503" s="82" t="e">
        <f>AVERAGE(Tableau1[[#This Row],[1ère composition]:[3è Composition]])</f>
        <v>#DIV/0!</v>
      </c>
    </row>
    <row r="504" spans="1:21" hidden="1" x14ac:dyDescent="0.2">
      <c r="A504" s="1" t="s">
        <v>3156</v>
      </c>
      <c r="B504" s="1" t="s">
        <v>3180</v>
      </c>
      <c r="C504" s="1" t="s">
        <v>3909</v>
      </c>
      <c r="D504" s="1">
        <v>94191338</v>
      </c>
      <c r="E504" s="1">
        <v>2021</v>
      </c>
      <c r="F504" s="1">
        <v>14</v>
      </c>
      <c r="G504" s="1">
        <v>28</v>
      </c>
      <c r="H504" s="76" t="str">
        <f>Tableau1[[#This Row],[Annee d''inscription au programme]]&amp;"-"&amp;Tableau1[[#This Row],[Code d''ecole]]&amp;"-"&amp;Tableau1[[#This Row],[Numero HM de la fille]]</f>
        <v>2021-14-28</v>
      </c>
      <c r="I504" s="1"/>
      <c r="J504" s="1"/>
      <c r="K504" s="35"/>
      <c r="L504" s="35">
        <v>5</v>
      </c>
      <c r="M504" s="35">
        <v>6.5</v>
      </c>
      <c r="N504" s="35">
        <f t="shared" si="14"/>
        <v>5.75</v>
      </c>
      <c r="O504" s="35"/>
      <c r="P504" s="35"/>
      <c r="Q504" s="35">
        <f t="shared" si="15"/>
        <v>0</v>
      </c>
      <c r="R504" s="35"/>
      <c r="S504" s="35"/>
      <c r="T504" s="35"/>
      <c r="U504" s="82" t="e">
        <f>AVERAGE(Tableau1[[#This Row],[1ère composition]:[3è Composition]])</f>
        <v>#DIV/0!</v>
      </c>
    </row>
    <row r="505" spans="1:21" hidden="1" x14ac:dyDescent="0.2">
      <c r="A505" s="1" t="s">
        <v>3156</v>
      </c>
      <c r="B505" s="1" t="s">
        <v>3181</v>
      </c>
      <c r="C505" s="1" t="s">
        <v>3909</v>
      </c>
      <c r="D505" s="1">
        <v>96525176</v>
      </c>
      <c r="E505" s="1">
        <v>2021</v>
      </c>
      <c r="F505" s="1">
        <v>14</v>
      </c>
      <c r="G505" s="1">
        <v>29</v>
      </c>
      <c r="H505" s="76" t="str">
        <f>Tableau1[[#This Row],[Annee d''inscription au programme]]&amp;"-"&amp;Tableau1[[#This Row],[Code d''ecole]]&amp;"-"&amp;Tableau1[[#This Row],[Numero HM de la fille]]</f>
        <v>2021-14-29</v>
      </c>
      <c r="I505" s="1"/>
      <c r="J505" s="1"/>
      <c r="K505" s="35"/>
      <c r="L505" s="35">
        <v>9</v>
      </c>
      <c r="M505" s="35">
        <v>7</v>
      </c>
      <c r="N505" s="35">
        <f t="shared" si="14"/>
        <v>8</v>
      </c>
      <c r="O505" s="35"/>
      <c r="P505" s="35"/>
      <c r="Q505" s="35">
        <f t="shared" si="15"/>
        <v>0</v>
      </c>
      <c r="R505" s="35"/>
      <c r="S505" s="35"/>
      <c r="T505" s="35"/>
      <c r="U505" s="82" t="e">
        <f>AVERAGE(Tableau1[[#This Row],[1ère composition]:[3è Composition]])</f>
        <v>#DIV/0!</v>
      </c>
    </row>
    <row r="506" spans="1:21" hidden="1" x14ac:dyDescent="0.2">
      <c r="A506" s="1" t="s">
        <v>3156</v>
      </c>
      <c r="B506" s="1" t="s">
        <v>3182</v>
      </c>
      <c r="C506" s="1" t="s">
        <v>3909</v>
      </c>
      <c r="D506" s="1">
        <v>74481253</v>
      </c>
      <c r="E506" s="1">
        <v>2021</v>
      </c>
      <c r="F506" s="1">
        <v>14</v>
      </c>
      <c r="G506" s="1">
        <v>30</v>
      </c>
      <c r="H506" s="76" t="str">
        <f>Tableau1[[#This Row],[Annee d''inscription au programme]]&amp;"-"&amp;Tableau1[[#This Row],[Code d''ecole]]&amp;"-"&amp;Tableau1[[#This Row],[Numero HM de la fille]]</f>
        <v>2021-14-30</v>
      </c>
      <c r="I506" s="1"/>
      <c r="J506" s="1"/>
      <c r="K506" s="35"/>
      <c r="L506" s="35">
        <v>14</v>
      </c>
      <c r="M506" s="35">
        <v>11</v>
      </c>
      <c r="N506" s="35">
        <f t="shared" si="14"/>
        <v>12.5</v>
      </c>
      <c r="O506" s="35"/>
      <c r="P506" s="35"/>
      <c r="Q506" s="35">
        <f t="shared" si="15"/>
        <v>0</v>
      </c>
      <c r="R506" s="35"/>
      <c r="S506" s="35"/>
      <c r="T506" s="35"/>
      <c r="U506" s="82" t="e">
        <f>AVERAGE(Tableau1[[#This Row],[1ère composition]:[3è Composition]])</f>
        <v>#DIV/0!</v>
      </c>
    </row>
    <row r="507" spans="1:21" hidden="1" x14ac:dyDescent="0.2">
      <c r="A507" s="1" t="s">
        <v>3156</v>
      </c>
      <c r="B507" s="1" t="s">
        <v>3183</v>
      </c>
      <c r="C507" s="1" t="s">
        <v>3909</v>
      </c>
      <c r="D507" s="1">
        <v>95045864</v>
      </c>
      <c r="E507" s="1">
        <v>2021</v>
      </c>
      <c r="F507" s="1">
        <v>14</v>
      </c>
      <c r="G507" s="1">
        <v>31</v>
      </c>
      <c r="H507" s="76" t="str">
        <f>Tableau1[[#This Row],[Annee d''inscription au programme]]&amp;"-"&amp;Tableau1[[#This Row],[Code d''ecole]]&amp;"-"&amp;Tableau1[[#This Row],[Numero HM de la fille]]</f>
        <v>2021-14-31</v>
      </c>
      <c r="I507" s="1"/>
      <c r="J507" s="1"/>
      <c r="K507" s="35"/>
      <c r="L507" s="35">
        <v>15.5</v>
      </c>
      <c r="M507" s="35">
        <v>12</v>
      </c>
      <c r="N507" s="35">
        <f t="shared" si="14"/>
        <v>13.75</v>
      </c>
      <c r="O507" s="35"/>
      <c r="P507" s="35"/>
      <c r="Q507" s="35">
        <f t="shared" si="15"/>
        <v>0</v>
      </c>
      <c r="R507" s="35"/>
      <c r="S507" s="35"/>
      <c r="T507" s="35"/>
      <c r="U507" s="82" t="e">
        <f>AVERAGE(Tableau1[[#This Row],[1ère composition]:[3è Composition]])</f>
        <v>#DIV/0!</v>
      </c>
    </row>
    <row r="508" spans="1:21" hidden="1" x14ac:dyDescent="0.2">
      <c r="A508" s="1" t="s">
        <v>3156</v>
      </c>
      <c r="B508" s="1" t="s">
        <v>3184</v>
      </c>
      <c r="C508" s="1" t="s">
        <v>3910</v>
      </c>
      <c r="D508" s="1"/>
      <c r="E508" s="1">
        <v>2021</v>
      </c>
      <c r="F508" s="1">
        <v>14</v>
      </c>
      <c r="G508" s="1">
        <v>32</v>
      </c>
      <c r="H508" s="76" t="str">
        <f>Tableau1[[#This Row],[Annee d''inscription au programme]]&amp;"-"&amp;Tableau1[[#This Row],[Code d''ecole]]&amp;"-"&amp;Tableau1[[#This Row],[Numero HM de la fille]]</f>
        <v>2021-14-32</v>
      </c>
      <c r="I508" s="1"/>
      <c r="J508" s="1"/>
      <c r="K508" s="35"/>
      <c r="L508" s="35">
        <v>6</v>
      </c>
      <c r="M508" s="35">
        <v>4</v>
      </c>
      <c r="N508" s="35">
        <f t="shared" si="14"/>
        <v>5</v>
      </c>
      <c r="O508" s="35"/>
      <c r="P508" s="35"/>
      <c r="Q508" s="35">
        <f t="shared" si="15"/>
        <v>0</v>
      </c>
      <c r="R508" s="35"/>
      <c r="S508" s="35"/>
      <c r="T508" s="35"/>
      <c r="U508" s="82" t="e">
        <f>AVERAGE(Tableau1[[#This Row],[1ère composition]:[3è Composition]])</f>
        <v>#DIV/0!</v>
      </c>
    </row>
    <row r="509" spans="1:21" hidden="1" x14ac:dyDescent="0.2">
      <c r="A509" s="1" t="s">
        <v>3156</v>
      </c>
      <c r="B509" s="1" t="s">
        <v>3185</v>
      </c>
      <c r="C509" s="1" t="s">
        <v>3910</v>
      </c>
      <c r="D509" s="1">
        <v>94488846</v>
      </c>
      <c r="E509" s="1">
        <v>2021</v>
      </c>
      <c r="F509" s="1">
        <v>14</v>
      </c>
      <c r="G509" s="1">
        <v>33</v>
      </c>
      <c r="H509" s="76" t="str">
        <f>Tableau1[[#This Row],[Annee d''inscription au programme]]&amp;"-"&amp;Tableau1[[#This Row],[Code d''ecole]]&amp;"-"&amp;Tableau1[[#This Row],[Numero HM de la fille]]</f>
        <v>2021-14-33</v>
      </c>
      <c r="I509" s="1"/>
      <c r="J509" s="1"/>
      <c r="K509" s="35"/>
      <c r="L509" s="35">
        <v>4</v>
      </c>
      <c r="M509" s="35">
        <v>2</v>
      </c>
      <c r="N509" s="35">
        <f t="shared" si="14"/>
        <v>3</v>
      </c>
      <c r="O509" s="35"/>
      <c r="P509" s="35"/>
      <c r="Q509" s="35">
        <f t="shared" si="15"/>
        <v>0</v>
      </c>
      <c r="R509" s="35"/>
      <c r="S509" s="35"/>
      <c r="T509" s="35"/>
      <c r="U509" s="82" t="e">
        <f>AVERAGE(Tableau1[[#This Row],[1ère composition]:[3è Composition]])</f>
        <v>#DIV/0!</v>
      </c>
    </row>
    <row r="510" spans="1:21" hidden="1" x14ac:dyDescent="0.2">
      <c r="A510" s="1" t="s">
        <v>3156</v>
      </c>
      <c r="B510" s="1" t="s">
        <v>2917</v>
      </c>
      <c r="C510" s="1" t="s">
        <v>3909</v>
      </c>
      <c r="D510" s="1">
        <v>99840341</v>
      </c>
      <c r="E510" s="1">
        <v>2021</v>
      </c>
      <c r="F510" s="1">
        <v>14</v>
      </c>
      <c r="G510" s="1">
        <v>34</v>
      </c>
      <c r="H510" s="76" t="str">
        <f>Tableau1[[#This Row],[Annee d''inscription au programme]]&amp;"-"&amp;Tableau1[[#This Row],[Code d''ecole]]&amp;"-"&amp;Tableau1[[#This Row],[Numero HM de la fille]]</f>
        <v>2021-14-34</v>
      </c>
      <c r="I510" s="1"/>
      <c r="J510" s="1"/>
      <c r="K510" s="35"/>
      <c r="L510" s="35">
        <v>3</v>
      </c>
      <c r="M510" s="35">
        <v>6</v>
      </c>
      <c r="N510" s="35">
        <f t="shared" si="14"/>
        <v>4.5</v>
      </c>
      <c r="O510" s="35"/>
      <c r="P510" s="35"/>
      <c r="Q510" s="35">
        <f t="shared" si="15"/>
        <v>0</v>
      </c>
      <c r="R510" s="35"/>
      <c r="S510" s="35"/>
      <c r="T510" s="35"/>
      <c r="U510" s="82" t="e">
        <f>AVERAGE(Tableau1[[#This Row],[1ère composition]:[3è Composition]])</f>
        <v>#DIV/0!</v>
      </c>
    </row>
    <row r="511" spans="1:21" hidden="1" x14ac:dyDescent="0.2">
      <c r="A511" s="1" t="s">
        <v>3156</v>
      </c>
      <c r="B511" s="1" t="s">
        <v>3186</v>
      </c>
      <c r="C511" s="1" t="s">
        <v>3909</v>
      </c>
      <c r="D511" s="1">
        <v>96377304</v>
      </c>
      <c r="E511" s="1">
        <v>2021</v>
      </c>
      <c r="F511" s="1">
        <v>14</v>
      </c>
      <c r="G511" s="1">
        <v>35</v>
      </c>
      <c r="H511" s="76" t="str">
        <f>Tableau1[[#This Row],[Annee d''inscription au programme]]&amp;"-"&amp;Tableau1[[#This Row],[Code d''ecole]]&amp;"-"&amp;Tableau1[[#This Row],[Numero HM de la fille]]</f>
        <v>2021-14-35</v>
      </c>
      <c r="I511" s="1"/>
      <c r="J511" s="1"/>
      <c r="K511" s="35"/>
      <c r="L511" s="35">
        <v>11.5</v>
      </c>
      <c r="M511" s="35">
        <v>17</v>
      </c>
      <c r="N511" s="35">
        <f t="shared" si="14"/>
        <v>14.25</v>
      </c>
      <c r="O511" s="35"/>
      <c r="P511" s="35"/>
      <c r="Q511" s="35">
        <f t="shared" si="15"/>
        <v>0</v>
      </c>
      <c r="R511" s="35"/>
      <c r="S511" s="35"/>
      <c r="T511" s="35"/>
      <c r="U511" s="82" t="e">
        <f>AVERAGE(Tableau1[[#This Row],[1ère composition]:[3è Composition]])</f>
        <v>#DIV/0!</v>
      </c>
    </row>
    <row r="512" spans="1:21" hidden="1" x14ac:dyDescent="0.2">
      <c r="A512" s="1" t="s">
        <v>3156</v>
      </c>
      <c r="B512" s="1" t="s">
        <v>3187</v>
      </c>
      <c r="C512" s="1" t="s">
        <v>3909</v>
      </c>
      <c r="D512" s="1">
        <v>74115424</v>
      </c>
      <c r="E512" s="1">
        <v>2021</v>
      </c>
      <c r="F512" s="1">
        <v>14</v>
      </c>
      <c r="G512" s="1">
        <v>36</v>
      </c>
      <c r="H512" s="76" t="str">
        <f>Tableau1[[#This Row],[Annee d''inscription au programme]]&amp;"-"&amp;Tableau1[[#This Row],[Code d''ecole]]&amp;"-"&amp;Tableau1[[#This Row],[Numero HM de la fille]]</f>
        <v>2021-14-36</v>
      </c>
      <c r="I512" s="1"/>
      <c r="J512" s="1"/>
      <c r="K512" s="35"/>
      <c r="L512" s="35">
        <v>10</v>
      </c>
      <c r="M512" s="35">
        <v>3</v>
      </c>
      <c r="N512" s="35">
        <f t="shared" si="14"/>
        <v>6.5</v>
      </c>
      <c r="O512" s="35"/>
      <c r="P512" s="35"/>
      <c r="Q512" s="35">
        <f t="shared" si="15"/>
        <v>0</v>
      </c>
      <c r="R512" s="35"/>
      <c r="S512" s="35"/>
      <c r="T512" s="35"/>
      <c r="U512" s="82" t="e">
        <f>AVERAGE(Tableau1[[#This Row],[1ère composition]:[3è Composition]])</f>
        <v>#DIV/0!</v>
      </c>
    </row>
    <row r="513" spans="1:21" hidden="1" x14ac:dyDescent="0.2">
      <c r="A513" s="1" t="s">
        <v>3156</v>
      </c>
      <c r="B513" s="1" t="s">
        <v>3188</v>
      </c>
      <c r="C513" s="1" t="s">
        <v>3909</v>
      </c>
      <c r="D513" s="1">
        <v>98365686</v>
      </c>
      <c r="E513" s="1">
        <v>2021</v>
      </c>
      <c r="F513" s="1">
        <v>14</v>
      </c>
      <c r="G513" s="1">
        <v>37</v>
      </c>
      <c r="H513" s="76" t="str">
        <f>Tableau1[[#This Row],[Annee d''inscription au programme]]&amp;"-"&amp;Tableau1[[#This Row],[Code d''ecole]]&amp;"-"&amp;Tableau1[[#This Row],[Numero HM de la fille]]</f>
        <v>2021-14-37</v>
      </c>
      <c r="I513" s="1"/>
      <c r="J513" s="1"/>
      <c r="K513" s="35"/>
      <c r="L513" s="35">
        <v>4</v>
      </c>
      <c r="M513" s="35">
        <v>2</v>
      </c>
      <c r="N513" s="35">
        <f t="shared" si="14"/>
        <v>3</v>
      </c>
      <c r="O513" s="35"/>
      <c r="P513" s="35"/>
      <c r="Q513" s="35">
        <f t="shared" si="15"/>
        <v>0</v>
      </c>
      <c r="R513" s="35"/>
      <c r="S513" s="35"/>
      <c r="T513" s="35"/>
      <c r="U513" s="82" t="e">
        <f>AVERAGE(Tableau1[[#This Row],[1ère composition]:[3è Composition]])</f>
        <v>#DIV/0!</v>
      </c>
    </row>
    <row r="514" spans="1:21" hidden="1" x14ac:dyDescent="0.2">
      <c r="A514" s="1" t="s">
        <v>3156</v>
      </c>
      <c r="B514" s="1" t="s">
        <v>3189</v>
      </c>
      <c r="C514" s="1" t="s">
        <v>3909</v>
      </c>
      <c r="D514" s="1">
        <v>96552539</v>
      </c>
      <c r="E514" s="1">
        <v>2021</v>
      </c>
      <c r="F514" s="1">
        <v>14</v>
      </c>
      <c r="G514" s="1">
        <v>38</v>
      </c>
      <c r="H514" s="76" t="str">
        <f>Tableau1[[#This Row],[Annee d''inscription au programme]]&amp;"-"&amp;Tableau1[[#This Row],[Code d''ecole]]&amp;"-"&amp;Tableau1[[#This Row],[Numero HM de la fille]]</f>
        <v>2021-14-38</v>
      </c>
      <c r="I514" s="1"/>
      <c r="J514" s="1"/>
      <c r="K514" s="35"/>
      <c r="L514" s="35">
        <v>16</v>
      </c>
      <c r="M514" s="35">
        <v>11.5</v>
      </c>
      <c r="N514" s="35">
        <f t="shared" si="14"/>
        <v>13.75</v>
      </c>
      <c r="O514" s="35"/>
      <c r="P514" s="35"/>
      <c r="Q514" s="35">
        <f t="shared" si="15"/>
        <v>0</v>
      </c>
      <c r="R514" s="35"/>
      <c r="S514" s="35"/>
      <c r="T514" s="35"/>
      <c r="U514" s="82" t="e">
        <f>AVERAGE(Tableau1[[#This Row],[1ère composition]:[3è Composition]])</f>
        <v>#DIV/0!</v>
      </c>
    </row>
    <row r="515" spans="1:21" hidden="1" x14ac:dyDescent="0.2">
      <c r="A515" s="1" t="s">
        <v>3156</v>
      </c>
      <c r="B515" s="1" t="s">
        <v>3190</v>
      </c>
      <c r="C515" s="1" t="s">
        <v>3909</v>
      </c>
      <c r="D515" s="1">
        <v>80970017</v>
      </c>
      <c r="E515" s="1">
        <v>2021</v>
      </c>
      <c r="F515" s="1">
        <v>14</v>
      </c>
      <c r="G515" s="1">
        <v>39</v>
      </c>
      <c r="H515" s="76" t="str">
        <f>Tableau1[[#This Row],[Annee d''inscription au programme]]&amp;"-"&amp;Tableau1[[#This Row],[Code d''ecole]]&amp;"-"&amp;Tableau1[[#This Row],[Numero HM de la fille]]</f>
        <v>2021-14-39</v>
      </c>
      <c r="I515" s="1"/>
      <c r="J515" s="1"/>
      <c r="K515" s="35"/>
      <c r="L515" s="35">
        <v>15</v>
      </c>
      <c r="M515" s="35">
        <v>14</v>
      </c>
      <c r="N515" s="35">
        <f t="shared" si="14"/>
        <v>14.5</v>
      </c>
      <c r="O515" s="35"/>
      <c r="P515" s="35"/>
      <c r="Q515" s="35">
        <f t="shared" si="15"/>
        <v>0</v>
      </c>
      <c r="R515" s="35"/>
      <c r="S515" s="35"/>
      <c r="T515" s="35"/>
      <c r="U515" s="82" t="e">
        <f>AVERAGE(Tableau1[[#This Row],[1ère composition]:[3è Composition]])</f>
        <v>#DIV/0!</v>
      </c>
    </row>
    <row r="516" spans="1:21" hidden="1" x14ac:dyDescent="0.2">
      <c r="A516" s="1" t="s">
        <v>3156</v>
      </c>
      <c r="B516" s="1" t="s">
        <v>3191</v>
      </c>
      <c r="C516" s="1" t="s">
        <v>3909</v>
      </c>
      <c r="D516" s="1">
        <v>90852792</v>
      </c>
      <c r="E516" s="1">
        <v>2021</v>
      </c>
      <c r="F516" s="1">
        <v>14</v>
      </c>
      <c r="G516" s="1">
        <v>40</v>
      </c>
      <c r="H516" s="76" t="str">
        <f>Tableau1[[#This Row],[Annee d''inscription au programme]]&amp;"-"&amp;Tableau1[[#This Row],[Code d''ecole]]&amp;"-"&amp;Tableau1[[#This Row],[Numero HM de la fille]]</f>
        <v>2021-14-40</v>
      </c>
      <c r="I516" s="1"/>
      <c r="J516" s="1"/>
      <c r="K516" s="35"/>
      <c r="L516" s="35">
        <v>17.75</v>
      </c>
      <c r="M516" s="35">
        <v>10</v>
      </c>
      <c r="N516" s="35">
        <f t="shared" si="14"/>
        <v>13.875</v>
      </c>
      <c r="O516" s="35"/>
      <c r="P516" s="35"/>
      <c r="Q516" s="35">
        <f t="shared" si="15"/>
        <v>0</v>
      </c>
      <c r="R516" s="35"/>
      <c r="S516" s="35"/>
      <c r="T516" s="35"/>
      <c r="U516" s="82" t="e">
        <f>AVERAGE(Tableau1[[#This Row],[1ère composition]:[3è Composition]])</f>
        <v>#DIV/0!</v>
      </c>
    </row>
    <row r="517" spans="1:21" hidden="1" x14ac:dyDescent="0.2">
      <c r="A517" s="1" t="s">
        <v>3156</v>
      </c>
      <c r="B517" s="1" t="s">
        <v>3192</v>
      </c>
      <c r="C517" s="1"/>
      <c r="D517" s="1"/>
      <c r="E517" s="1">
        <v>2021</v>
      </c>
      <c r="F517" s="1">
        <v>14</v>
      </c>
      <c r="G517" s="1">
        <v>41</v>
      </c>
      <c r="H517" s="76" t="str">
        <f>Tableau1[[#This Row],[Annee d''inscription au programme]]&amp;"-"&amp;Tableau1[[#This Row],[Code d''ecole]]&amp;"-"&amp;Tableau1[[#This Row],[Numero HM de la fille]]</f>
        <v>2021-14-41</v>
      </c>
      <c r="I517" s="1"/>
      <c r="J517" s="1"/>
      <c r="K517" s="35"/>
      <c r="L517" s="35">
        <v>0</v>
      </c>
      <c r="M517" s="35">
        <v>0</v>
      </c>
      <c r="N517" s="35">
        <f t="shared" ref="N517:N580" si="16" xml:space="preserve"> AVERAGE(L517+M517)/2</f>
        <v>0</v>
      </c>
      <c r="O517" s="35"/>
      <c r="P517" s="35"/>
      <c r="Q517" s="35">
        <f t="shared" ref="Q517:Q580" si="17">AVERAGE(O517+P517)/2</f>
        <v>0</v>
      </c>
      <c r="R517" s="35"/>
      <c r="S517" s="35"/>
      <c r="T517" s="35"/>
      <c r="U517" s="82" t="e">
        <f>AVERAGE(Tableau1[[#This Row],[1ère composition]:[3è Composition]])</f>
        <v>#DIV/0!</v>
      </c>
    </row>
    <row r="518" spans="1:21" hidden="1" x14ac:dyDescent="0.2">
      <c r="A518" s="1" t="s">
        <v>3156</v>
      </c>
      <c r="B518" s="1" t="s">
        <v>3193</v>
      </c>
      <c r="C518" s="1" t="s">
        <v>3909</v>
      </c>
      <c r="D518" s="1"/>
      <c r="E518" s="1">
        <v>2021</v>
      </c>
      <c r="F518" s="1">
        <v>14</v>
      </c>
      <c r="G518" s="1">
        <v>42</v>
      </c>
      <c r="H518" s="76" t="str">
        <f>Tableau1[[#This Row],[Annee d''inscription au programme]]&amp;"-"&amp;Tableau1[[#This Row],[Code d''ecole]]&amp;"-"&amp;Tableau1[[#This Row],[Numero HM de la fille]]</f>
        <v>2021-14-42</v>
      </c>
      <c r="I518" s="1"/>
      <c r="J518" s="1"/>
      <c r="K518" s="35"/>
      <c r="L518" s="35">
        <v>0</v>
      </c>
      <c r="M518" s="35">
        <v>0</v>
      </c>
      <c r="N518" s="35">
        <f t="shared" si="16"/>
        <v>0</v>
      </c>
      <c r="O518" s="35"/>
      <c r="P518" s="35"/>
      <c r="Q518" s="35">
        <f t="shared" si="17"/>
        <v>0</v>
      </c>
      <c r="R518" s="35"/>
      <c r="S518" s="35"/>
      <c r="T518" s="35"/>
      <c r="U518" s="82" t="e">
        <f>AVERAGE(Tableau1[[#This Row],[1ère composition]:[3è Composition]])</f>
        <v>#DIV/0!</v>
      </c>
    </row>
    <row r="519" spans="1:21" hidden="1" x14ac:dyDescent="0.2">
      <c r="A519" s="1" t="s">
        <v>3156</v>
      </c>
      <c r="B519" s="1" t="s">
        <v>3194</v>
      </c>
      <c r="C519" s="1" t="s">
        <v>3909</v>
      </c>
      <c r="D519" s="1">
        <v>94194430</v>
      </c>
      <c r="E519" s="1">
        <v>2021</v>
      </c>
      <c r="F519" s="1">
        <v>14</v>
      </c>
      <c r="G519" s="1">
        <v>43</v>
      </c>
      <c r="H519" s="76" t="str">
        <f>Tableau1[[#This Row],[Annee d''inscription au programme]]&amp;"-"&amp;Tableau1[[#This Row],[Code d''ecole]]&amp;"-"&amp;Tableau1[[#This Row],[Numero HM de la fille]]</f>
        <v>2021-14-43</v>
      </c>
      <c r="I519" s="1"/>
      <c r="J519" s="1"/>
      <c r="K519" s="35"/>
      <c r="L519" s="35">
        <v>14.5</v>
      </c>
      <c r="M519" s="35">
        <v>14.5</v>
      </c>
      <c r="N519" s="35">
        <f t="shared" si="16"/>
        <v>14.5</v>
      </c>
      <c r="O519" s="35"/>
      <c r="P519" s="35"/>
      <c r="Q519" s="35">
        <f t="shared" si="17"/>
        <v>0</v>
      </c>
      <c r="R519" s="35"/>
      <c r="S519" s="35"/>
      <c r="T519" s="35"/>
      <c r="U519" s="82" t="e">
        <f>AVERAGE(Tableau1[[#This Row],[1ère composition]:[3è Composition]])</f>
        <v>#DIV/0!</v>
      </c>
    </row>
    <row r="520" spans="1:21" hidden="1" x14ac:dyDescent="0.2">
      <c r="A520" s="1" t="s">
        <v>3156</v>
      </c>
      <c r="B520" s="1" t="s">
        <v>3195</v>
      </c>
      <c r="C520" s="1" t="s">
        <v>3909</v>
      </c>
      <c r="D520" s="1"/>
      <c r="E520" s="1">
        <v>2021</v>
      </c>
      <c r="F520" s="1">
        <v>14</v>
      </c>
      <c r="G520" s="1">
        <v>44</v>
      </c>
      <c r="H520" s="76" t="str">
        <f>Tableau1[[#This Row],[Annee d''inscription au programme]]&amp;"-"&amp;Tableau1[[#This Row],[Code d''ecole]]&amp;"-"&amp;Tableau1[[#This Row],[Numero HM de la fille]]</f>
        <v>2021-14-44</v>
      </c>
      <c r="I520" s="1"/>
      <c r="J520" s="1"/>
      <c r="K520" s="35"/>
      <c r="L520" s="35">
        <v>13.5</v>
      </c>
      <c r="M520" s="35">
        <v>9</v>
      </c>
      <c r="N520" s="35">
        <f t="shared" si="16"/>
        <v>11.25</v>
      </c>
      <c r="O520" s="35"/>
      <c r="P520" s="35"/>
      <c r="Q520" s="35">
        <f t="shared" si="17"/>
        <v>0</v>
      </c>
      <c r="R520" s="35"/>
      <c r="S520" s="35"/>
      <c r="T520" s="35"/>
      <c r="U520" s="82" t="e">
        <f>AVERAGE(Tableau1[[#This Row],[1ère composition]:[3è Composition]])</f>
        <v>#DIV/0!</v>
      </c>
    </row>
    <row r="521" spans="1:21" hidden="1" x14ac:dyDescent="0.2">
      <c r="A521" s="1" t="s">
        <v>3156</v>
      </c>
      <c r="B521" s="1" t="s">
        <v>3196</v>
      </c>
      <c r="C521" s="1" t="s">
        <v>3909</v>
      </c>
      <c r="D521" s="1">
        <v>84472069</v>
      </c>
      <c r="E521" s="1">
        <v>2021</v>
      </c>
      <c r="F521" s="1">
        <v>14</v>
      </c>
      <c r="G521" s="1">
        <v>45</v>
      </c>
      <c r="H521" s="76" t="str">
        <f>Tableau1[[#This Row],[Annee d''inscription au programme]]&amp;"-"&amp;Tableau1[[#This Row],[Code d''ecole]]&amp;"-"&amp;Tableau1[[#This Row],[Numero HM de la fille]]</f>
        <v>2021-14-45</v>
      </c>
      <c r="I521" s="1"/>
      <c r="J521" s="1"/>
      <c r="K521" s="35"/>
      <c r="L521" s="35">
        <v>3</v>
      </c>
      <c r="M521" s="35">
        <v>8</v>
      </c>
      <c r="N521" s="35">
        <f t="shared" si="16"/>
        <v>5.5</v>
      </c>
      <c r="O521" s="35"/>
      <c r="P521" s="35"/>
      <c r="Q521" s="35">
        <f t="shared" si="17"/>
        <v>0</v>
      </c>
      <c r="R521" s="35"/>
      <c r="S521" s="35"/>
      <c r="T521" s="35"/>
      <c r="U521" s="82" t="e">
        <f>AVERAGE(Tableau1[[#This Row],[1ère composition]:[3è Composition]])</f>
        <v>#DIV/0!</v>
      </c>
    </row>
    <row r="522" spans="1:21" hidden="1" x14ac:dyDescent="0.2">
      <c r="A522" s="1" t="s">
        <v>3156</v>
      </c>
      <c r="B522" s="1" t="s">
        <v>3197</v>
      </c>
      <c r="C522" s="1" t="s">
        <v>3909</v>
      </c>
      <c r="D522" s="1">
        <v>88092421</v>
      </c>
      <c r="E522" s="1">
        <v>2021</v>
      </c>
      <c r="F522" s="1">
        <v>14</v>
      </c>
      <c r="G522" s="1">
        <v>46</v>
      </c>
      <c r="H522" s="76" t="str">
        <f>Tableau1[[#This Row],[Annee d''inscription au programme]]&amp;"-"&amp;Tableau1[[#This Row],[Code d''ecole]]&amp;"-"&amp;Tableau1[[#This Row],[Numero HM de la fille]]</f>
        <v>2021-14-46</v>
      </c>
      <c r="I522" s="1"/>
      <c r="J522" s="1"/>
      <c r="K522" s="35"/>
      <c r="L522" s="35">
        <v>16.5</v>
      </c>
      <c r="M522" s="35">
        <v>5.5</v>
      </c>
      <c r="N522" s="35">
        <f t="shared" si="16"/>
        <v>11</v>
      </c>
      <c r="O522" s="35"/>
      <c r="P522" s="35"/>
      <c r="Q522" s="35">
        <f t="shared" si="17"/>
        <v>0</v>
      </c>
      <c r="R522" s="35"/>
      <c r="S522" s="35"/>
      <c r="T522" s="35"/>
      <c r="U522" s="82" t="e">
        <f>AVERAGE(Tableau1[[#This Row],[1ère composition]:[3è Composition]])</f>
        <v>#DIV/0!</v>
      </c>
    </row>
    <row r="523" spans="1:21" hidden="1" x14ac:dyDescent="0.2">
      <c r="A523" s="1" t="s">
        <v>3156</v>
      </c>
      <c r="B523" s="1" t="s">
        <v>3198</v>
      </c>
      <c r="C523" s="1" t="s">
        <v>3909</v>
      </c>
      <c r="D523" s="1"/>
      <c r="E523" s="1">
        <v>2021</v>
      </c>
      <c r="F523" s="1">
        <v>14</v>
      </c>
      <c r="G523" s="1">
        <v>47</v>
      </c>
      <c r="H523" s="76" t="str">
        <f>Tableau1[[#This Row],[Annee d''inscription au programme]]&amp;"-"&amp;Tableau1[[#This Row],[Code d''ecole]]&amp;"-"&amp;Tableau1[[#This Row],[Numero HM de la fille]]</f>
        <v>2021-14-47</v>
      </c>
      <c r="I523" s="1"/>
      <c r="J523" s="1"/>
      <c r="K523" s="35"/>
      <c r="L523" s="35">
        <v>2</v>
      </c>
      <c r="M523" s="35">
        <v>3</v>
      </c>
      <c r="N523" s="35">
        <f t="shared" si="16"/>
        <v>2.5</v>
      </c>
      <c r="O523" s="35"/>
      <c r="P523" s="35"/>
      <c r="Q523" s="35">
        <f t="shared" si="17"/>
        <v>0</v>
      </c>
      <c r="R523" s="35"/>
      <c r="S523" s="35"/>
      <c r="T523" s="35"/>
      <c r="U523" s="82" t="e">
        <f>AVERAGE(Tableau1[[#This Row],[1ère composition]:[3è Composition]])</f>
        <v>#DIV/0!</v>
      </c>
    </row>
    <row r="524" spans="1:21" hidden="1" x14ac:dyDescent="0.2">
      <c r="A524" s="1" t="s">
        <v>3156</v>
      </c>
      <c r="B524" s="1" t="s">
        <v>3199</v>
      </c>
      <c r="C524" s="1" t="s">
        <v>3910</v>
      </c>
      <c r="D524" s="1"/>
      <c r="E524" s="1">
        <v>2021</v>
      </c>
      <c r="F524" s="1">
        <v>14</v>
      </c>
      <c r="G524" s="1">
        <v>48</v>
      </c>
      <c r="H524" s="76" t="str">
        <f>Tableau1[[#This Row],[Annee d''inscription au programme]]&amp;"-"&amp;Tableau1[[#This Row],[Code d''ecole]]&amp;"-"&amp;Tableau1[[#This Row],[Numero HM de la fille]]</f>
        <v>2021-14-48</v>
      </c>
      <c r="I524" s="1"/>
      <c r="J524" s="1"/>
      <c r="K524" s="35"/>
      <c r="L524" s="35">
        <v>3</v>
      </c>
      <c r="M524" s="35">
        <v>2</v>
      </c>
      <c r="N524" s="35">
        <f t="shared" si="16"/>
        <v>2.5</v>
      </c>
      <c r="O524" s="35"/>
      <c r="P524" s="35"/>
      <c r="Q524" s="35">
        <f t="shared" si="17"/>
        <v>0</v>
      </c>
      <c r="R524" s="35"/>
      <c r="S524" s="35"/>
      <c r="T524" s="35"/>
      <c r="U524" s="82" t="e">
        <f>AVERAGE(Tableau1[[#This Row],[1ère composition]:[3è Composition]])</f>
        <v>#DIV/0!</v>
      </c>
    </row>
    <row r="525" spans="1:21" hidden="1" x14ac:dyDescent="0.2">
      <c r="A525" s="1" t="s">
        <v>3156</v>
      </c>
      <c r="B525" s="1" t="s">
        <v>3200</v>
      </c>
      <c r="C525" s="1" t="s">
        <v>3909</v>
      </c>
      <c r="D525" s="1"/>
      <c r="E525" s="1">
        <v>2021</v>
      </c>
      <c r="F525" s="1">
        <v>14</v>
      </c>
      <c r="G525" s="1">
        <v>49</v>
      </c>
      <c r="H525" s="76" t="str">
        <f>Tableau1[[#This Row],[Annee d''inscription au programme]]&amp;"-"&amp;Tableau1[[#This Row],[Code d''ecole]]&amp;"-"&amp;Tableau1[[#This Row],[Numero HM de la fille]]</f>
        <v>2021-14-49</v>
      </c>
      <c r="I525" s="1"/>
      <c r="J525" s="1"/>
      <c r="K525" s="35"/>
      <c r="L525" s="35">
        <v>1</v>
      </c>
      <c r="M525" s="35">
        <v>4.5</v>
      </c>
      <c r="N525" s="35">
        <f t="shared" si="16"/>
        <v>2.75</v>
      </c>
      <c r="O525" s="35"/>
      <c r="P525" s="35"/>
      <c r="Q525" s="35">
        <f t="shared" si="17"/>
        <v>0</v>
      </c>
      <c r="R525" s="35"/>
      <c r="S525" s="35"/>
      <c r="T525" s="35"/>
      <c r="U525" s="82" t="e">
        <f>AVERAGE(Tableau1[[#This Row],[1ère composition]:[3è Composition]])</f>
        <v>#DIV/0!</v>
      </c>
    </row>
    <row r="526" spans="1:21" x14ac:dyDescent="0.2">
      <c r="A526" s="1" t="s">
        <v>3201</v>
      </c>
      <c r="B526" s="1" t="s">
        <v>3202</v>
      </c>
      <c r="C526" s="1"/>
      <c r="D526" s="1"/>
      <c r="E526" s="1">
        <v>2021</v>
      </c>
      <c r="F526" s="1">
        <v>78</v>
      </c>
      <c r="G526" s="1">
        <v>1</v>
      </c>
      <c r="H526" s="76" t="str">
        <f>Tableau1[[#This Row],[Annee d''inscription au programme]]&amp;"-"&amp;Tableau1[[#This Row],[Code d''ecole]]&amp;"-"&amp;Tableau1[[#This Row],[Numero HM de la fille]]</f>
        <v>2021-78-1</v>
      </c>
      <c r="I526" s="1"/>
      <c r="J526" s="1"/>
      <c r="K526" s="35"/>
      <c r="L526" s="35">
        <v>0</v>
      </c>
      <c r="M526" s="35">
        <v>0</v>
      </c>
      <c r="N526" s="35">
        <f t="shared" si="16"/>
        <v>0</v>
      </c>
      <c r="O526" s="35"/>
      <c r="P526" s="35"/>
      <c r="Q526" s="35">
        <f t="shared" si="17"/>
        <v>0</v>
      </c>
      <c r="R526" s="35"/>
      <c r="S526" s="35"/>
      <c r="T526" s="35"/>
      <c r="U526" s="82" t="e">
        <f>AVERAGE(Tableau1[[#This Row],[1ère composition]:[3è Composition]])</f>
        <v>#DIV/0!</v>
      </c>
    </row>
    <row r="527" spans="1:21" x14ac:dyDescent="0.2">
      <c r="A527" s="1" t="s">
        <v>3201</v>
      </c>
      <c r="B527" s="1" t="s">
        <v>3203</v>
      </c>
      <c r="C527" s="1"/>
      <c r="D527" s="1">
        <v>96590963</v>
      </c>
      <c r="E527" s="1">
        <v>2021</v>
      </c>
      <c r="F527" s="1">
        <v>78</v>
      </c>
      <c r="G527" s="1">
        <v>2</v>
      </c>
      <c r="H527" s="76" t="str">
        <f>Tableau1[[#This Row],[Annee d''inscription au programme]]&amp;"-"&amp;Tableau1[[#This Row],[Code d''ecole]]&amp;"-"&amp;Tableau1[[#This Row],[Numero HM de la fille]]</f>
        <v>2021-78-2</v>
      </c>
      <c r="I527" s="1"/>
      <c r="J527" s="1"/>
      <c r="K527" s="35"/>
      <c r="L527" s="35">
        <v>8</v>
      </c>
      <c r="M527" s="35">
        <v>7.5</v>
      </c>
      <c r="N527" s="35">
        <f t="shared" si="16"/>
        <v>7.75</v>
      </c>
      <c r="O527" s="35">
        <v>10</v>
      </c>
      <c r="P527" s="35">
        <v>14.25</v>
      </c>
      <c r="Q527" s="35">
        <f t="shared" si="17"/>
        <v>12.125</v>
      </c>
      <c r="R527" s="35"/>
      <c r="S527" s="35"/>
      <c r="T527" s="35"/>
      <c r="U527" s="82" t="e">
        <f>AVERAGE(Tableau1[[#This Row],[1ère composition]:[3è Composition]])</f>
        <v>#DIV/0!</v>
      </c>
    </row>
    <row r="528" spans="1:21" x14ac:dyDescent="0.2">
      <c r="A528" s="1" t="s">
        <v>3201</v>
      </c>
      <c r="B528" s="1" t="s">
        <v>3204</v>
      </c>
      <c r="C528" s="1"/>
      <c r="D528" s="1">
        <v>94191012</v>
      </c>
      <c r="E528" s="1">
        <v>2021</v>
      </c>
      <c r="F528" s="1">
        <v>78</v>
      </c>
      <c r="G528" s="1">
        <v>3</v>
      </c>
      <c r="H528" s="76" t="str">
        <f>Tableau1[[#This Row],[Annee d''inscription au programme]]&amp;"-"&amp;Tableau1[[#This Row],[Code d''ecole]]&amp;"-"&amp;Tableau1[[#This Row],[Numero HM de la fille]]</f>
        <v>2021-78-3</v>
      </c>
      <c r="I528" s="1"/>
      <c r="J528" s="1"/>
      <c r="K528" s="35"/>
      <c r="L528" s="35">
        <v>6</v>
      </c>
      <c r="M528" s="35">
        <v>5.5</v>
      </c>
      <c r="N528" s="35">
        <f t="shared" si="16"/>
        <v>5.75</v>
      </c>
      <c r="O528" s="35">
        <v>7</v>
      </c>
      <c r="P528" s="35">
        <v>6.25</v>
      </c>
      <c r="Q528" s="35">
        <f t="shared" si="17"/>
        <v>6.625</v>
      </c>
      <c r="R528" s="35"/>
      <c r="S528" s="35"/>
      <c r="T528" s="35"/>
      <c r="U528" s="82" t="e">
        <f>AVERAGE(Tableau1[[#This Row],[1ère composition]:[3è Composition]])</f>
        <v>#DIV/0!</v>
      </c>
    </row>
    <row r="529" spans="1:21" x14ac:dyDescent="0.2">
      <c r="A529" s="1" t="s">
        <v>3201</v>
      </c>
      <c r="B529" s="1" t="s">
        <v>3205</v>
      </c>
      <c r="C529" s="1"/>
      <c r="D529" s="1">
        <v>90897375</v>
      </c>
      <c r="E529" s="1">
        <v>2021</v>
      </c>
      <c r="F529" s="1">
        <v>78</v>
      </c>
      <c r="G529" s="1">
        <v>4</v>
      </c>
      <c r="H529" s="76" t="str">
        <f>Tableau1[[#This Row],[Annee d''inscription au programme]]&amp;"-"&amp;Tableau1[[#This Row],[Code d''ecole]]&amp;"-"&amp;Tableau1[[#This Row],[Numero HM de la fille]]</f>
        <v>2021-78-4</v>
      </c>
      <c r="I529" s="1"/>
      <c r="J529" s="1"/>
      <c r="K529" s="35"/>
      <c r="L529" s="35">
        <v>4</v>
      </c>
      <c r="M529" s="35">
        <v>6.5</v>
      </c>
      <c r="N529" s="35">
        <f t="shared" si="16"/>
        <v>5.25</v>
      </c>
      <c r="O529" s="35">
        <v>7.75</v>
      </c>
      <c r="P529" s="35">
        <v>5.25</v>
      </c>
      <c r="Q529" s="35">
        <f t="shared" si="17"/>
        <v>6.5</v>
      </c>
      <c r="R529" s="35"/>
      <c r="S529" s="35"/>
      <c r="T529" s="35"/>
      <c r="U529" s="82" t="e">
        <f>AVERAGE(Tableau1[[#This Row],[1ère composition]:[3è Composition]])</f>
        <v>#DIV/0!</v>
      </c>
    </row>
    <row r="530" spans="1:21" x14ac:dyDescent="0.2">
      <c r="A530" s="1" t="s">
        <v>3201</v>
      </c>
      <c r="B530" s="1" t="s">
        <v>3206</v>
      </c>
      <c r="C530" s="1" t="s">
        <v>3930</v>
      </c>
      <c r="D530" s="1"/>
      <c r="E530" s="1">
        <v>2021</v>
      </c>
      <c r="F530" s="1">
        <v>78</v>
      </c>
      <c r="G530" s="1">
        <v>5</v>
      </c>
      <c r="H530" s="76" t="str">
        <f>Tableau1[[#This Row],[Annee d''inscription au programme]]&amp;"-"&amp;Tableau1[[#This Row],[Code d''ecole]]&amp;"-"&amp;Tableau1[[#This Row],[Numero HM de la fille]]</f>
        <v>2021-78-5</v>
      </c>
      <c r="I530" s="1"/>
      <c r="J530" s="1"/>
      <c r="K530" s="35"/>
      <c r="L530" s="35">
        <v>3.5</v>
      </c>
      <c r="M530" s="35">
        <v>0.5</v>
      </c>
      <c r="N530" s="35">
        <f t="shared" si="16"/>
        <v>2</v>
      </c>
      <c r="O530" s="35">
        <v>2.25</v>
      </c>
      <c r="P530" s="35">
        <v>0.5</v>
      </c>
      <c r="Q530" s="35">
        <f t="shared" si="17"/>
        <v>1.375</v>
      </c>
      <c r="R530" s="35"/>
      <c r="S530" s="35"/>
      <c r="T530" s="35"/>
      <c r="U530" s="82" t="e">
        <f>AVERAGE(Tableau1[[#This Row],[1ère composition]:[3è Composition]])</f>
        <v>#DIV/0!</v>
      </c>
    </row>
    <row r="531" spans="1:21" x14ac:dyDescent="0.2">
      <c r="A531" s="1" t="s">
        <v>3201</v>
      </c>
      <c r="B531" s="1" t="s">
        <v>3207</v>
      </c>
      <c r="C531" s="1" t="s">
        <v>3662</v>
      </c>
      <c r="D531" s="1">
        <v>97836193</v>
      </c>
      <c r="E531" s="1">
        <v>2021</v>
      </c>
      <c r="F531" s="1">
        <v>78</v>
      </c>
      <c r="G531" s="1">
        <v>6</v>
      </c>
      <c r="H531" s="76" t="str">
        <f>Tableau1[[#This Row],[Annee d''inscription au programme]]&amp;"-"&amp;Tableau1[[#This Row],[Code d''ecole]]&amp;"-"&amp;Tableau1[[#This Row],[Numero HM de la fille]]</f>
        <v>2021-78-6</v>
      </c>
      <c r="I531" s="1"/>
      <c r="J531" s="1"/>
      <c r="K531" s="35"/>
      <c r="L531" s="35">
        <v>10</v>
      </c>
      <c r="M531" s="35">
        <v>7.5</v>
      </c>
      <c r="N531" s="35">
        <f t="shared" si="16"/>
        <v>8.75</v>
      </c>
      <c r="O531" s="35">
        <v>12</v>
      </c>
      <c r="P531" s="35">
        <v>8.75</v>
      </c>
      <c r="Q531" s="35">
        <f t="shared" si="17"/>
        <v>10.375</v>
      </c>
      <c r="R531" s="35"/>
      <c r="S531" s="35"/>
      <c r="T531" s="35"/>
      <c r="U531" s="82" t="e">
        <f>AVERAGE(Tableau1[[#This Row],[1ère composition]:[3è Composition]])</f>
        <v>#DIV/0!</v>
      </c>
    </row>
    <row r="532" spans="1:21" x14ac:dyDescent="0.2">
      <c r="A532" s="1" t="s">
        <v>3201</v>
      </c>
      <c r="B532" s="1" t="s">
        <v>3200</v>
      </c>
      <c r="C532" s="1"/>
      <c r="D532" s="1">
        <v>96387902</v>
      </c>
      <c r="E532" s="1">
        <v>2021</v>
      </c>
      <c r="F532" s="1">
        <v>78</v>
      </c>
      <c r="G532" s="1">
        <v>7</v>
      </c>
      <c r="H532" s="76" t="str">
        <f>Tableau1[[#This Row],[Annee d''inscription au programme]]&amp;"-"&amp;Tableau1[[#This Row],[Code d''ecole]]&amp;"-"&amp;Tableau1[[#This Row],[Numero HM de la fille]]</f>
        <v>2021-78-7</v>
      </c>
      <c r="I532" s="1"/>
      <c r="J532" s="1"/>
      <c r="K532" s="35"/>
      <c r="L532" s="35">
        <v>6.5</v>
      </c>
      <c r="M532" s="35">
        <v>8.5</v>
      </c>
      <c r="N532" s="35">
        <f t="shared" si="16"/>
        <v>7.5</v>
      </c>
      <c r="O532" s="35">
        <v>6</v>
      </c>
      <c r="P532" s="35">
        <v>5.75</v>
      </c>
      <c r="Q532" s="35">
        <f t="shared" si="17"/>
        <v>5.875</v>
      </c>
      <c r="R532" s="35"/>
      <c r="S532" s="35"/>
      <c r="T532" s="35"/>
      <c r="U532" s="82" t="e">
        <f>AVERAGE(Tableau1[[#This Row],[1ère composition]:[3è Composition]])</f>
        <v>#DIV/0!</v>
      </c>
    </row>
    <row r="533" spans="1:21" x14ac:dyDescent="0.2">
      <c r="A533" s="1" t="s">
        <v>3201</v>
      </c>
      <c r="B533" s="1" t="s">
        <v>3208</v>
      </c>
      <c r="C533" s="1"/>
      <c r="D533" s="1">
        <v>98363841</v>
      </c>
      <c r="E533" s="1">
        <v>2021</v>
      </c>
      <c r="F533" s="1">
        <v>78</v>
      </c>
      <c r="G533" s="1">
        <v>8</v>
      </c>
      <c r="H533" s="76" t="str">
        <f>Tableau1[[#This Row],[Annee d''inscription au programme]]&amp;"-"&amp;Tableau1[[#This Row],[Code d''ecole]]&amp;"-"&amp;Tableau1[[#This Row],[Numero HM de la fille]]</f>
        <v>2021-78-8</v>
      </c>
      <c r="I533" s="1"/>
      <c r="J533" s="1"/>
      <c r="K533" s="35"/>
      <c r="L533" s="35">
        <v>13.25</v>
      </c>
      <c r="M533" s="35">
        <v>11.25</v>
      </c>
      <c r="N533" s="35">
        <f t="shared" si="16"/>
        <v>12.25</v>
      </c>
      <c r="O533" s="35">
        <v>13.5</v>
      </c>
      <c r="P533" s="35">
        <v>15</v>
      </c>
      <c r="Q533" s="35">
        <f t="shared" si="17"/>
        <v>14.25</v>
      </c>
      <c r="R533" s="35"/>
      <c r="S533" s="35"/>
      <c r="T533" s="35"/>
      <c r="U533" s="82" t="e">
        <f>AVERAGE(Tableau1[[#This Row],[1ère composition]:[3è Composition]])</f>
        <v>#DIV/0!</v>
      </c>
    </row>
    <row r="534" spans="1:21" x14ac:dyDescent="0.2">
      <c r="A534" s="1" t="s">
        <v>3201</v>
      </c>
      <c r="B534" s="1" t="s">
        <v>3209</v>
      </c>
      <c r="C534" s="1"/>
      <c r="D534" s="1">
        <v>80417578</v>
      </c>
      <c r="E534" s="1">
        <v>2021</v>
      </c>
      <c r="F534" s="1">
        <v>78</v>
      </c>
      <c r="G534" s="1">
        <v>9</v>
      </c>
      <c r="H534" s="76" t="str">
        <f>Tableau1[[#This Row],[Annee d''inscription au programme]]&amp;"-"&amp;Tableau1[[#This Row],[Code d''ecole]]&amp;"-"&amp;Tableau1[[#This Row],[Numero HM de la fille]]</f>
        <v>2021-78-9</v>
      </c>
      <c r="I534" s="1"/>
      <c r="J534" s="1"/>
      <c r="K534" s="35"/>
      <c r="L534" s="35">
        <v>6.5</v>
      </c>
      <c r="M534" s="35">
        <v>2</v>
      </c>
      <c r="N534" s="35">
        <f t="shared" si="16"/>
        <v>4.25</v>
      </c>
      <c r="O534" s="35">
        <v>5</v>
      </c>
      <c r="P534" s="35">
        <v>1</v>
      </c>
      <c r="Q534" s="35">
        <f t="shared" si="17"/>
        <v>3</v>
      </c>
      <c r="R534" s="35"/>
      <c r="S534" s="35"/>
      <c r="T534" s="35"/>
      <c r="U534" s="82" t="e">
        <f>AVERAGE(Tableau1[[#This Row],[1ère composition]:[3è Composition]])</f>
        <v>#DIV/0!</v>
      </c>
    </row>
    <row r="535" spans="1:21" x14ac:dyDescent="0.2">
      <c r="A535" s="1" t="s">
        <v>3201</v>
      </c>
      <c r="B535" s="1" t="s">
        <v>2331</v>
      </c>
      <c r="C535" s="1"/>
      <c r="D535" s="1">
        <v>85529630</v>
      </c>
      <c r="E535" s="1">
        <v>2021</v>
      </c>
      <c r="F535" s="1">
        <v>78</v>
      </c>
      <c r="G535" s="1">
        <v>10</v>
      </c>
      <c r="H535" s="76" t="str">
        <f>Tableau1[[#This Row],[Annee d''inscription au programme]]&amp;"-"&amp;Tableau1[[#This Row],[Code d''ecole]]&amp;"-"&amp;Tableau1[[#This Row],[Numero HM de la fille]]</f>
        <v>2021-78-10</v>
      </c>
      <c r="I535" s="1"/>
      <c r="J535" s="1"/>
      <c r="K535" s="35"/>
      <c r="L535" s="35">
        <v>11.75</v>
      </c>
      <c r="M535" s="35">
        <v>7.5</v>
      </c>
      <c r="N535" s="35">
        <f t="shared" si="16"/>
        <v>9.625</v>
      </c>
      <c r="O535" s="35">
        <v>8.5</v>
      </c>
      <c r="P535" s="35">
        <v>10</v>
      </c>
      <c r="Q535" s="35">
        <f t="shared" si="17"/>
        <v>9.25</v>
      </c>
      <c r="R535" s="35"/>
      <c r="S535" s="35"/>
      <c r="T535" s="35"/>
      <c r="U535" s="82" t="e">
        <f>AVERAGE(Tableau1[[#This Row],[1ère composition]:[3è Composition]])</f>
        <v>#DIV/0!</v>
      </c>
    </row>
    <row r="536" spans="1:21" x14ac:dyDescent="0.2">
      <c r="A536" s="1" t="s">
        <v>3201</v>
      </c>
      <c r="B536" s="1" t="s">
        <v>2816</v>
      </c>
      <c r="C536" s="1" t="s">
        <v>3931</v>
      </c>
      <c r="D536" s="1">
        <v>84843048</v>
      </c>
      <c r="E536" s="1">
        <v>2021</v>
      </c>
      <c r="F536" s="1">
        <v>78</v>
      </c>
      <c r="G536" s="1">
        <v>11</v>
      </c>
      <c r="H536" s="76" t="str">
        <f>Tableau1[[#This Row],[Annee d''inscription au programme]]&amp;"-"&amp;Tableau1[[#This Row],[Code d''ecole]]&amp;"-"&amp;Tableau1[[#This Row],[Numero HM de la fille]]</f>
        <v>2021-78-11</v>
      </c>
      <c r="I536" s="1"/>
      <c r="J536" s="1"/>
      <c r="K536" s="35"/>
      <c r="L536" s="35">
        <v>4.5</v>
      </c>
      <c r="M536" s="35">
        <v>3</v>
      </c>
      <c r="N536" s="35">
        <f t="shared" si="16"/>
        <v>3.75</v>
      </c>
      <c r="O536" s="35">
        <v>3</v>
      </c>
      <c r="P536" s="35">
        <v>3</v>
      </c>
      <c r="Q536" s="35">
        <f t="shared" si="17"/>
        <v>3</v>
      </c>
      <c r="R536" s="35"/>
      <c r="S536" s="35"/>
      <c r="T536" s="35"/>
      <c r="U536" s="82" t="e">
        <f>AVERAGE(Tableau1[[#This Row],[1ère composition]:[3è Composition]])</f>
        <v>#DIV/0!</v>
      </c>
    </row>
    <row r="537" spans="1:21" x14ac:dyDescent="0.2">
      <c r="A537" s="1" t="s">
        <v>3201</v>
      </c>
      <c r="B537" s="1" t="s">
        <v>3210</v>
      </c>
      <c r="C537" s="1" t="s">
        <v>3663</v>
      </c>
      <c r="D537" s="1">
        <v>94379154</v>
      </c>
      <c r="E537" s="1">
        <v>2021</v>
      </c>
      <c r="F537" s="1">
        <v>78</v>
      </c>
      <c r="G537" s="1">
        <v>12</v>
      </c>
      <c r="H537" s="76" t="str">
        <f>Tableau1[[#This Row],[Annee d''inscription au programme]]&amp;"-"&amp;Tableau1[[#This Row],[Code d''ecole]]&amp;"-"&amp;Tableau1[[#This Row],[Numero HM de la fille]]</f>
        <v>2021-78-12</v>
      </c>
      <c r="I537" s="1"/>
      <c r="J537" s="1"/>
      <c r="K537" s="35"/>
      <c r="L537" s="35">
        <v>7.5</v>
      </c>
      <c r="M537" s="35">
        <v>2.5</v>
      </c>
      <c r="N537" s="35">
        <f t="shared" si="16"/>
        <v>5</v>
      </c>
      <c r="O537" s="35">
        <v>5.5</v>
      </c>
      <c r="P537" s="35">
        <v>4.75</v>
      </c>
      <c r="Q537" s="35">
        <f t="shared" si="17"/>
        <v>5.125</v>
      </c>
      <c r="R537" s="35"/>
      <c r="S537" s="35"/>
      <c r="T537" s="35"/>
      <c r="U537" s="82" t="e">
        <f>AVERAGE(Tableau1[[#This Row],[1ère composition]:[3è Composition]])</f>
        <v>#DIV/0!</v>
      </c>
    </row>
    <row r="538" spans="1:21" x14ac:dyDescent="0.2">
      <c r="A538" s="1" t="s">
        <v>3201</v>
      </c>
      <c r="B538" s="1" t="s">
        <v>3211</v>
      </c>
      <c r="C538" s="1"/>
      <c r="D538" s="1">
        <v>85335194</v>
      </c>
      <c r="E538" s="1">
        <v>2021</v>
      </c>
      <c r="F538" s="1">
        <v>78</v>
      </c>
      <c r="G538" s="1">
        <v>13</v>
      </c>
      <c r="H538" s="76" t="str">
        <f>Tableau1[[#This Row],[Annee d''inscription au programme]]&amp;"-"&amp;Tableau1[[#This Row],[Code d''ecole]]&amp;"-"&amp;Tableau1[[#This Row],[Numero HM de la fille]]</f>
        <v>2021-78-13</v>
      </c>
      <c r="I538" s="1"/>
      <c r="J538" s="1"/>
      <c r="K538" s="35"/>
      <c r="L538" s="35">
        <v>8.75</v>
      </c>
      <c r="M538" s="35">
        <v>9</v>
      </c>
      <c r="N538" s="35">
        <f t="shared" si="16"/>
        <v>8.875</v>
      </c>
      <c r="O538" s="35">
        <v>10</v>
      </c>
      <c r="P538" s="35">
        <v>12.75</v>
      </c>
      <c r="Q538" s="35">
        <f t="shared" si="17"/>
        <v>11.375</v>
      </c>
      <c r="R538" s="35"/>
      <c r="S538" s="35"/>
      <c r="T538" s="35"/>
      <c r="U538" s="82" t="e">
        <f>AVERAGE(Tableau1[[#This Row],[1ère composition]:[3è Composition]])</f>
        <v>#DIV/0!</v>
      </c>
    </row>
    <row r="539" spans="1:21" x14ac:dyDescent="0.2">
      <c r="A539" s="1" t="s">
        <v>3201</v>
      </c>
      <c r="B539" s="1" t="s">
        <v>3212</v>
      </c>
      <c r="C539" s="1"/>
      <c r="D539" s="1">
        <v>94389014</v>
      </c>
      <c r="E539" s="1">
        <v>2021</v>
      </c>
      <c r="F539" s="1">
        <v>78</v>
      </c>
      <c r="G539" s="1">
        <v>14</v>
      </c>
      <c r="H539" s="76" t="str">
        <f>Tableau1[[#This Row],[Annee d''inscription au programme]]&amp;"-"&amp;Tableau1[[#This Row],[Code d''ecole]]&amp;"-"&amp;Tableau1[[#This Row],[Numero HM de la fille]]</f>
        <v>2021-78-14</v>
      </c>
      <c r="I539" s="1"/>
      <c r="J539" s="1"/>
      <c r="K539" s="35"/>
      <c r="L539" s="35">
        <v>4</v>
      </c>
      <c r="M539" s="35">
        <v>2</v>
      </c>
      <c r="N539" s="35">
        <f t="shared" si="16"/>
        <v>3</v>
      </c>
      <c r="O539" s="35">
        <v>1.5</v>
      </c>
      <c r="P539" s="35">
        <v>3</v>
      </c>
      <c r="Q539" s="35">
        <f t="shared" si="17"/>
        <v>2.25</v>
      </c>
      <c r="R539" s="35"/>
      <c r="S539" s="35"/>
      <c r="T539" s="35"/>
      <c r="U539" s="82" t="e">
        <f>AVERAGE(Tableau1[[#This Row],[1ère composition]:[3è Composition]])</f>
        <v>#DIV/0!</v>
      </c>
    </row>
    <row r="540" spans="1:21" x14ac:dyDescent="0.2">
      <c r="A540" s="1" t="s">
        <v>3201</v>
      </c>
      <c r="B540" s="1" t="s">
        <v>3213</v>
      </c>
      <c r="C540" s="1" t="s">
        <v>3663</v>
      </c>
      <c r="D540" s="1">
        <v>80381270</v>
      </c>
      <c r="E540" s="1">
        <v>2021</v>
      </c>
      <c r="F540" s="1">
        <v>78</v>
      </c>
      <c r="G540" s="1">
        <v>15</v>
      </c>
      <c r="H540" s="76" t="str">
        <f>Tableau1[[#This Row],[Annee d''inscription au programme]]&amp;"-"&amp;Tableau1[[#This Row],[Code d''ecole]]&amp;"-"&amp;Tableau1[[#This Row],[Numero HM de la fille]]</f>
        <v>2021-78-15</v>
      </c>
      <c r="I540" s="1"/>
      <c r="J540" s="1"/>
      <c r="K540" s="35"/>
      <c r="L540" s="35">
        <v>11.75</v>
      </c>
      <c r="M540" s="35">
        <v>6</v>
      </c>
      <c r="N540" s="35">
        <f t="shared" si="16"/>
        <v>8.875</v>
      </c>
      <c r="O540" s="35">
        <v>9.5</v>
      </c>
      <c r="P540" s="35">
        <v>5</v>
      </c>
      <c r="Q540" s="35">
        <f t="shared" si="17"/>
        <v>7.25</v>
      </c>
      <c r="R540" s="35"/>
      <c r="S540" s="35"/>
      <c r="T540" s="35"/>
      <c r="U540" s="82" t="e">
        <f>AVERAGE(Tableau1[[#This Row],[1ère composition]:[3è Composition]])</f>
        <v>#DIV/0!</v>
      </c>
    </row>
    <row r="541" spans="1:21" x14ac:dyDescent="0.2">
      <c r="A541" s="1" t="s">
        <v>3201</v>
      </c>
      <c r="B541" s="1" t="s">
        <v>3214</v>
      </c>
      <c r="C541" s="1"/>
      <c r="D541" s="1">
        <v>96848356</v>
      </c>
      <c r="E541" s="1">
        <v>2021</v>
      </c>
      <c r="F541" s="1">
        <v>78</v>
      </c>
      <c r="G541" s="1">
        <v>16</v>
      </c>
      <c r="H541" s="76" t="str">
        <f>Tableau1[[#This Row],[Annee d''inscription au programme]]&amp;"-"&amp;Tableau1[[#This Row],[Code d''ecole]]&amp;"-"&amp;Tableau1[[#This Row],[Numero HM de la fille]]</f>
        <v>2021-78-16</v>
      </c>
      <c r="I541" s="1"/>
      <c r="J541" s="1"/>
      <c r="K541" s="35"/>
      <c r="L541" s="35">
        <v>10.75</v>
      </c>
      <c r="M541" s="35">
        <v>8</v>
      </c>
      <c r="N541" s="35">
        <f t="shared" si="16"/>
        <v>9.375</v>
      </c>
      <c r="O541" s="35">
        <v>11</v>
      </c>
      <c r="P541" s="35">
        <v>14</v>
      </c>
      <c r="Q541" s="35">
        <f t="shared" si="17"/>
        <v>12.5</v>
      </c>
      <c r="R541" s="35"/>
      <c r="S541" s="35"/>
      <c r="T541" s="35"/>
      <c r="U541" s="82" t="e">
        <f>AVERAGE(Tableau1[[#This Row],[1ère composition]:[3è Composition]])</f>
        <v>#DIV/0!</v>
      </c>
    </row>
    <row r="542" spans="1:21" x14ac:dyDescent="0.2">
      <c r="A542" s="1" t="s">
        <v>3201</v>
      </c>
      <c r="B542" s="1" t="s">
        <v>3215</v>
      </c>
      <c r="C542" s="1"/>
      <c r="D542" s="1"/>
      <c r="E542" s="1">
        <v>2021</v>
      </c>
      <c r="F542" s="1">
        <v>78</v>
      </c>
      <c r="G542" s="1">
        <v>17</v>
      </c>
      <c r="H542" s="76" t="str">
        <f>Tableau1[[#This Row],[Annee d''inscription au programme]]&amp;"-"&amp;Tableau1[[#This Row],[Code d''ecole]]&amp;"-"&amp;Tableau1[[#This Row],[Numero HM de la fille]]</f>
        <v>2021-78-17</v>
      </c>
      <c r="I542" s="1"/>
      <c r="J542" s="1"/>
      <c r="K542" s="35"/>
      <c r="L542" s="35">
        <v>5.5</v>
      </c>
      <c r="M542" s="35">
        <v>1</v>
      </c>
      <c r="N542" s="35">
        <f t="shared" si="16"/>
        <v>3.25</v>
      </c>
      <c r="O542" s="35"/>
      <c r="P542" s="35"/>
      <c r="Q542" s="35">
        <f t="shared" si="17"/>
        <v>0</v>
      </c>
      <c r="R542" s="35"/>
      <c r="S542" s="35"/>
      <c r="T542" s="35"/>
      <c r="U542" s="82" t="e">
        <f>AVERAGE(Tableau1[[#This Row],[1ère composition]:[3è Composition]])</f>
        <v>#DIV/0!</v>
      </c>
    </row>
    <row r="543" spans="1:21" x14ac:dyDescent="0.2">
      <c r="A543" s="1" t="s">
        <v>3201</v>
      </c>
      <c r="B543" s="1" t="s">
        <v>3216</v>
      </c>
      <c r="C543" s="1"/>
      <c r="D543" s="1">
        <v>94614604</v>
      </c>
      <c r="E543" s="1">
        <v>2021</v>
      </c>
      <c r="F543" s="1">
        <v>78</v>
      </c>
      <c r="G543" s="1">
        <v>18</v>
      </c>
      <c r="H543" s="76" t="str">
        <f>Tableau1[[#This Row],[Annee d''inscription au programme]]&amp;"-"&amp;Tableau1[[#This Row],[Code d''ecole]]&amp;"-"&amp;Tableau1[[#This Row],[Numero HM de la fille]]</f>
        <v>2021-78-18</v>
      </c>
      <c r="I543" s="1"/>
      <c r="J543" s="1"/>
      <c r="K543" s="35"/>
      <c r="L543" s="35">
        <v>15</v>
      </c>
      <c r="M543" s="35">
        <v>16</v>
      </c>
      <c r="N543" s="35">
        <f t="shared" si="16"/>
        <v>15.5</v>
      </c>
      <c r="O543" s="35">
        <v>15</v>
      </c>
      <c r="P543" s="35">
        <v>13.5</v>
      </c>
      <c r="Q543" s="35">
        <f t="shared" si="17"/>
        <v>14.25</v>
      </c>
      <c r="R543" s="35"/>
      <c r="S543" s="35"/>
      <c r="T543" s="35"/>
      <c r="U543" s="82" t="e">
        <f>AVERAGE(Tableau1[[#This Row],[1ère composition]:[3è Composition]])</f>
        <v>#DIV/0!</v>
      </c>
    </row>
    <row r="544" spans="1:21" x14ac:dyDescent="0.2">
      <c r="A544" s="1" t="s">
        <v>3201</v>
      </c>
      <c r="B544" s="1" t="s">
        <v>3217</v>
      </c>
      <c r="C544" s="1"/>
      <c r="D544" s="1">
        <v>85609860</v>
      </c>
      <c r="E544" s="1">
        <v>2021</v>
      </c>
      <c r="F544" s="1">
        <v>78</v>
      </c>
      <c r="G544" s="1">
        <v>19</v>
      </c>
      <c r="H544" s="76" t="str">
        <f>Tableau1[[#This Row],[Annee d''inscription au programme]]&amp;"-"&amp;Tableau1[[#This Row],[Code d''ecole]]&amp;"-"&amp;Tableau1[[#This Row],[Numero HM de la fille]]</f>
        <v>2021-78-19</v>
      </c>
      <c r="I544" s="1"/>
      <c r="J544" s="1"/>
      <c r="K544" s="35"/>
      <c r="L544" s="35">
        <v>2</v>
      </c>
      <c r="M544" s="35">
        <v>3</v>
      </c>
      <c r="N544" s="35">
        <f t="shared" si="16"/>
        <v>2.5</v>
      </c>
      <c r="O544" s="35">
        <v>7.5</v>
      </c>
      <c r="P544" s="35">
        <v>3</v>
      </c>
      <c r="Q544" s="35">
        <f t="shared" si="17"/>
        <v>5.25</v>
      </c>
      <c r="R544" s="35"/>
      <c r="S544" s="35"/>
      <c r="T544" s="35"/>
      <c r="U544" s="82" t="e">
        <f>AVERAGE(Tableau1[[#This Row],[1ère composition]:[3è Composition]])</f>
        <v>#DIV/0!</v>
      </c>
    </row>
    <row r="545" spans="1:21" x14ac:dyDescent="0.2">
      <c r="A545" s="1" t="s">
        <v>3201</v>
      </c>
      <c r="B545" s="1" t="s">
        <v>3218</v>
      </c>
      <c r="C545" s="1" t="s">
        <v>3662</v>
      </c>
      <c r="D545" s="1">
        <v>99477700</v>
      </c>
      <c r="E545" s="1">
        <v>2021</v>
      </c>
      <c r="F545" s="1">
        <v>78</v>
      </c>
      <c r="G545" s="1">
        <v>20</v>
      </c>
      <c r="H545" s="76" t="str">
        <f>Tableau1[[#This Row],[Annee d''inscription au programme]]&amp;"-"&amp;Tableau1[[#This Row],[Code d''ecole]]&amp;"-"&amp;Tableau1[[#This Row],[Numero HM de la fille]]</f>
        <v>2021-78-20</v>
      </c>
      <c r="I545" s="1"/>
      <c r="J545" s="1"/>
      <c r="K545" s="35"/>
      <c r="L545" s="35">
        <v>12.5</v>
      </c>
      <c r="M545" s="35">
        <v>9</v>
      </c>
      <c r="N545" s="35">
        <f t="shared" si="16"/>
        <v>10.75</v>
      </c>
      <c r="O545" s="35">
        <v>8</v>
      </c>
      <c r="P545" s="35">
        <v>11.75</v>
      </c>
      <c r="Q545" s="35">
        <f t="shared" si="17"/>
        <v>9.875</v>
      </c>
      <c r="R545" s="35"/>
      <c r="S545" s="35"/>
      <c r="T545" s="35"/>
      <c r="U545" s="82" t="e">
        <f>AVERAGE(Tableau1[[#This Row],[1ère composition]:[3è Composition]])</f>
        <v>#DIV/0!</v>
      </c>
    </row>
    <row r="546" spans="1:21" x14ac:dyDescent="0.2">
      <c r="A546" s="1" t="s">
        <v>3201</v>
      </c>
      <c r="B546" s="1" t="s">
        <v>3219</v>
      </c>
      <c r="C546" s="1" t="s">
        <v>3662</v>
      </c>
      <c r="D546" s="1">
        <v>90623448</v>
      </c>
      <c r="E546" s="1">
        <v>2021</v>
      </c>
      <c r="F546" s="1">
        <v>78</v>
      </c>
      <c r="G546" s="1">
        <v>21</v>
      </c>
      <c r="H546" s="76" t="str">
        <f>Tableau1[[#This Row],[Annee d''inscription au programme]]&amp;"-"&amp;Tableau1[[#This Row],[Code d''ecole]]&amp;"-"&amp;Tableau1[[#This Row],[Numero HM de la fille]]</f>
        <v>2021-78-21</v>
      </c>
      <c r="I546" s="1"/>
      <c r="J546" s="1"/>
      <c r="K546" s="35"/>
      <c r="L546" s="35">
        <v>2</v>
      </c>
      <c r="M546" s="35">
        <v>0.5</v>
      </c>
      <c r="N546" s="35">
        <f t="shared" si="16"/>
        <v>1.25</v>
      </c>
      <c r="O546" s="35">
        <v>4.5</v>
      </c>
      <c r="P546" s="35">
        <v>4.25</v>
      </c>
      <c r="Q546" s="35">
        <f t="shared" si="17"/>
        <v>4.375</v>
      </c>
      <c r="R546" s="35"/>
      <c r="S546" s="35"/>
      <c r="T546" s="35"/>
      <c r="U546" s="82" t="e">
        <f>AVERAGE(Tableau1[[#This Row],[1ère composition]:[3è Composition]])</f>
        <v>#DIV/0!</v>
      </c>
    </row>
    <row r="547" spans="1:21" x14ac:dyDescent="0.2">
      <c r="A547" s="1" t="s">
        <v>3201</v>
      </c>
      <c r="B547" s="1" t="s">
        <v>3220</v>
      </c>
      <c r="C547" s="1"/>
      <c r="D547" s="1">
        <v>98523630</v>
      </c>
      <c r="E547" s="1">
        <v>2021</v>
      </c>
      <c r="F547" s="1">
        <v>78</v>
      </c>
      <c r="G547" s="1">
        <v>22</v>
      </c>
      <c r="H547" s="76" t="str">
        <f>Tableau1[[#This Row],[Annee d''inscription au programme]]&amp;"-"&amp;Tableau1[[#This Row],[Code d''ecole]]&amp;"-"&amp;Tableau1[[#This Row],[Numero HM de la fille]]</f>
        <v>2021-78-22</v>
      </c>
      <c r="I547" s="1"/>
      <c r="J547" s="1"/>
      <c r="K547" s="35"/>
      <c r="L547" s="35">
        <v>14</v>
      </c>
      <c r="M547" s="35">
        <v>16</v>
      </c>
      <c r="N547" s="35">
        <f t="shared" si="16"/>
        <v>15</v>
      </c>
      <c r="O547" s="35">
        <v>12</v>
      </c>
      <c r="P547" s="35">
        <v>13.25</v>
      </c>
      <c r="Q547" s="35">
        <f t="shared" si="17"/>
        <v>12.625</v>
      </c>
      <c r="R547" s="35"/>
      <c r="S547" s="35"/>
      <c r="T547" s="35"/>
      <c r="U547" s="82" t="e">
        <f>AVERAGE(Tableau1[[#This Row],[1ère composition]:[3è Composition]])</f>
        <v>#DIV/0!</v>
      </c>
    </row>
    <row r="548" spans="1:21" x14ac:dyDescent="0.2">
      <c r="A548" s="1" t="s">
        <v>3201</v>
      </c>
      <c r="B548" s="1" t="s">
        <v>3221</v>
      </c>
      <c r="C548" s="1"/>
      <c r="D548" s="1">
        <v>89916562</v>
      </c>
      <c r="E548" s="1">
        <v>2021</v>
      </c>
      <c r="F548" s="1">
        <v>78</v>
      </c>
      <c r="G548" s="1">
        <v>23</v>
      </c>
      <c r="H548" s="76" t="str">
        <f>Tableau1[[#This Row],[Annee d''inscription au programme]]&amp;"-"&amp;Tableau1[[#This Row],[Code d''ecole]]&amp;"-"&amp;Tableau1[[#This Row],[Numero HM de la fille]]</f>
        <v>2021-78-23</v>
      </c>
      <c r="I548" s="1"/>
      <c r="J548" s="1"/>
      <c r="K548" s="35"/>
      <c r="L548" s="35">
        <v>5</v>
      </c>
      <c r="M548" s="35">
        <v>3</v>
      </c>
      <c r="N548" s="35">
        <f t="shared" si="16"/>
        <v>4</v>
      </c>
      <c r="O548" s="35">
        <v>4.5</v>
      </c>
      <c r="P548" s="35">
        <v>6.75</v>
      </c>
      <c r="Q548" s="35">
        <f t="shared" si="17"/>
        <v>5.625</v>
      </c>
      <c r="R548" s="35"/>
      <c r="S548" s="35"/>
      <c r="T548" s="35"/>
      <c r="U548" s="82" t="e">
        <f>AVERAGE(Tableau1[[#This Row],[1ère composition]:[3è Composition]])</f>
        <v>#DIV/0!</v>
      </c>
    </row>
    <row r="549" spans="1:21" x14ac:dyDescent="0.2">
      <c r="A549" s="1" t="s">
        <v>3201</v>
      </c>
      <c r="B549" s="1" t="s">
        <v>3222</v>
      </c>
      <c r="C549" s="1" t="s">
        <v>3662</v>
      </c>
      <c r="D549" s="1"/>
      <c r="E549" s="1">
        <v>2021</v>
      </c>
      <c r="F549" s="1">
        <v>78</v>
      </c>
      <c r="G549" s="1">
        <v>24</v>
      </c>
      <c r="H549" s="76" t="str">
        <f>Tableau1[[#This Row],[Annee d''inscription au programme]]&amp;"-"&amp;Tableau1[[#This Row],[Code d''ecole]]&amp;"-"&amp;Tableau1[[#This Row],[Numero HM de la fille]]</f>
        <v>2021-78-24</v>
      </c>
      <c r="I549" s="1"/>
      <c r="J549" s="1"/>
      <c r="K549" s="35"/>
      <c r="L549" s="35">
        <v>3.5</v>
      </c>
      <c r="M549" s="35">
        <v>0.5</v>
      </c>
      <c r="N549" s="35">
        <f t="shared" si="16"/>
        <v>2</v>
      </c>
      <c r="O549" s="35">
        <v>5.5</v>
      </c>
      <c r="P549" s="35">
        <v>1</v>
      </c>
      <c r="Q549" s="35">
        <f t="shared" si="17"/>
        <v>3.25</v>
      </c>
      <c r="R549" s="35"/>
      <c r="S549" s="35"/>
      <c r="T549" s="35"/>
      <c r="U549" s="82" t="e">
        <f>AVERAGE(Tableau1[[#This Row],[1ère composition]:[3è Composition]])</f>
        <v>#DIV/0!</v>
      </c>
    </row>
    <row r="550" spans="1:21" x14ac:dyDescent="0.2">
      <c r="A550" s="1" t="s">
        <v>3201</v>
      </c>
      <c r="B550" s="1" t="s">
        <v>3223</v>
      </c>
      <c r="C550" s="1"/>
      <c r="D550" s="1"/>
      <c r="E550" s="1">
        <v>2021</v>
      </c>
      <c r="F550" s="1">
        <v>78</v>
      </c>
      <c r="G550" s="1">
        <v>25</v>
      </c>
      <c r="H550" s="76" t="str">
        <f>Tableau1[[#This Row],[Annee d''inscription au programme]]&amp;"-"&amp;Tableau1[[#This Row],[Code d''ecole]]&amp;"-"&amp;Tableau1[[#This Row],[Numero HM de la fille]]</f>
        <v>2021-78-25</v>
      </c>
      <c r="I550" s="1"/>
      <c r="J550" s="1"/>
      <c r="K550" s="35"/>
      <c r="L550" s="35">
        <v>4</v>
      </c>
      <c r="M550" s="35">
        <v>1</v>
      </c>
      <c r="N550" s="35">
        <f t="shared" si="16"/>
        <v>2.5</v>
      </c>
      <c r="O550" s="35">
        <v>5.5</v>
      </c>
      <c r="P550" s="35">
        <v>3.75</v>
      </c>
      <c r="Q550" s="35">
        <f t="shared" si="17"/>
        <v>4.625</v>
      </c>
      <c r="R550" s="35"/>
      <c r="S550" s="35"/>
      <c r="T550" s="35"/>
      <c r="U550" s="82" t="e">
        <f>AVERAGE(Tableau1[[#This Row],[1ère composition]:[3è Composition]])</f>
        <v>#DIV/0!</v>
      </c>
    </row>
    <row r="551" spans="1:21" x14ac:dyDescent="0.2">
      <c r="A551" s="1" t="s">
        <v>3201</v>
      </c>
      <c r="B551" s="1" t="s">
        <v>3224</v>
      </c>
      <c r="C551" s="1"/>
      <c r="D551" s="1">
        <v>97797581</v>
      </c>
      <c r="E551" s="1">
        <v>2021</v>
      </c>
      <c r="F551" s="1">
        <v>78</v>
      </c>
      <c r="G551" s="1">
        <v>26</v>
      </c>
      <c r="H551" s="76" t="str">
        <f>Tableau1[[#This Row],[Annee d''inscription au programme]]&amp;"-"&amp;Tableau1[[#This Row],[Code d''ecole]]&amp;"-"&amp;Tableau1[[#This Row],[Numero HM de la fille]]</f>
        <v>2021-78-26</v>
      </c>
      <c r="I551" s="1"/>
      <c r="J551" s="1"/>
      <c r="K551" s="35"/>
      <c r="L551" s="35">
        <v>8.5</v>
      </c>
      <c r="M551" s="35">
        <v>2.5</v>
      </c>
      <c r="N551" s="35">
        <f t="shared" si="16"/>
        <v>5.5</v>
      </c>
      <c r="O551" s="35">
        <v>6</v>
      </c>
      <c r="P551" s="35">
        <v>2.75</v>
      </c>
      <c r="Q551" s="35">
        <f t="shared" si="17"/>
        <v>4.375</v>
      </c>
      <c r="R551" s="35"/>
      <c r="S551" s="35"/>
      <c r="T551" s="35"/>
      <c r="U551" s="82" t="e">
        <f>AVERAGE(Tableau1[[#This Row],[1ère composition]:[3è Composition]])</f>
        <v>#DIV/0!</v>
      </c>
    </row>
    <row r="552" spans="1:21" x14ac:dyDescent="0.2">
      <c r="A552" s="1" t="s">
        <v>3201</v>
      </c>
      <c r="B552" s="1" t="s">
        <v>3225</v>
      </c>
      <c r="C552" s="1" t="s">
        <v>3663</v>
      </c>
      <c r="D552" s="1">
        <v>74215896</v>
      </c>
      <c r="E552" s="1">
        <v>2021</v>
      </c>
      <c r="F552" s="1">
        <v>78</v>
      </c>
      <c r="G552" s="1">
        <v>27</v>
      </c>
      <c r="H552" s="76" t="str">
        <f>Tableau1[[#This Row],[Annee d''inscription au programme]]&amp;"-"&amp;Tableau1[[#This Row],[Code d''ecole]]&amp;"-"&amp;Tableau1[[#This Row],[Numero HM de la fille]]</f>
        <v>2021-78-27</v>
      </c>
      <c r="I552" s="1"/>
      <c r="J552" s="1"/>
      <c r="K552" s="35"/>
      <c r="L552" s="35">
        <v>0</v>
      </c>
      <c r="M552" s="35">
        <v>0</v>
      </c>
      <c r="N552" s="35">
        <f t="shared" si="16"/>
        <v>0</v>
      </c>
      <c r="O552" s="35"/>
      <c r="P552" s="35"/>
      <c r="Q552" s="35">
        <f t="shared" si="17"/>
        <v>0</v>
      </c>
      <c r="R552" s="35"/>
      <c r="S552" s="35"/>
      <c r="T552" s="35"/>
      <c r="U552" s="82" t="e">
        <f>AVERAGE(Tableau1[[#This Row],[1ère composition]:[3è Composition]])</f>
        <v>#DIV/0!</v>
      </c>
    </row>
    <row r="553" spans="1:21" x14ac:dyDescent="0.2">
      <c r="A553" s="1" t="s">
        <v>3201</v>
      </c>
      <c r="B553" s="1" t="s">
        <v>3226</v>
      </c>
      <c r="C553" s="1"/>
      <c r="D553" s="1">
        <v>98523630</v>
      </c>
      <c r="E553" s="1">
        <v>2021</v>
      </c>
      <c r="F553" s="1">
        <v>78</v>
      </c>
      <c r="G553" s="1">
        <v>28</v>
      </c>
      <c r="H553" s="76" t="str">
        <f>Tableau1[[#This Row],[Annee d''inscription au programme]]&amp;"-"&amp;Tableau1[[#This Row],[Code d''ecole]]&amp;"-"&amp;Tableau1[[#This Row],[Numero HM de la fille]]</f>
        <v>2021-78-28</v>
      </c>
      <c r="I553" s="1"/>
      <c r="J553" s="1"/>
      <c r="K553" s="35"/>
      <c r="L553" s="35">
        <v>3</v>
      </c>
      <c r="M553" s="35">
        <v>2.5</v>
      </c>
      <c r="N553" s="35">
        <f t="shared" si="16"/>
        <v>2.75</v>
      </c>
      <c r="O553" s="35">
        <v>4</v>
      </c>
      <c r="P553" s="35">
        <v>1</v>
      </c>
      <c r="Q553" s="35">
        <f t="shared" si="17"/>
        <v>2.5</v>
      </c>
      <c r="R553" s="35"/>
      <c r="S553" s="35"/>
      <c r="T553" s="35"/>
      <c r="U553" s="82" t="e">
        <f>AVERAGE(Tableau1[[#This Row],[1ère composition]:[3è Composition]])</f>
        <v>#DIV/0!</v>
      </c>
    </row>
    <row r="554" spans="1:21" x14ac:dyDescent="0.2">
      <c r="A554" s="1" t="s">
        <v>3201</v>
      </c>
      <c r="B554" s="1" t="s">
        <v>3227</v>
      </c>
      <c r="C554" s="1" t="s">
        <v>3663</v>
      </c>
      <c r="D554" s="1">
        <v>82119375</v>
      </c>
      <c r="E554" s="1">
        <v>2021</v>
      </c>
      <c r="F554" s="1">
        <v>78</v>
      </c>
      <c r="G554" s="1">
        <v>29</v>
      </c>
      <c r="H554" s="76" t="str">
        <f>Tableau1[[#This Row],[Annee d''inscription au programme]]&amp;"-"&amp;Tableau1[[#This Row],[Code d''ecole]]&amp;"-"&amp;Tableau1[[#This Row],[Numero HM de la fille]]</f>
        <v>2021-78-29</v>
      </c>
      <c r="I554" s="1"/>
      <c r="J554" s="1"/>
      <c r="K554" s="35"/>
      <c r="L554" s="35">
        <v>7.5</v>
      </c>
      <c r="M554" s="35">
        <v>3</v>
      </c>
      <c r="N554" s="35">
        <f t="shared" si="16"/>
        <v>5.25</v>
      </c>
      <c r="O554" s="35">
        <v>7.75</v>
      </c>
      <c r="P554" s="35">
        <v>6.75</v>
      </c>
      <c r="Q554" s="35">
        <f t="shared" si="17"/>
        <v>7.25</v>
      </c>
      <c r="R554" s="35"/>
      <c r="S554" s="35"/>
      <c r="T554" s="35"/>
      <c r="U554" s="82" t="e">
        <f>AVERAGE(Tableau1[[#This Row],[1ère composition]:[3è Composition]])</f>
        <v>#DIV/0!</v>
      </c>
    </row>
    <row r="555" spans="1:21" x14ac:dyDescent="0.2">
      <c r="A555" s="1" t="s">
        <v>3201</v>
      </c>
      <c r="B555" s="1" t="s">
        <v>3228</v>
      </c>
      <c r="C555" s="1"/>
      <c r="D555" s="1">
        <v>84131001</v>
      </c>
      <c r="E555" s="1">
        <v>2021</v>
      </c>
      <c r="F555" s="1">
        <v>78</v>
      </c>
      <c r="G555" s="1">
        <v>30</v>
      </c>
      <c r="H555" s="76" t="str">
        <f>Tableau1[[#This Row],[Annee d''inscription au programme]]&amp;"-"&amp;Tableau1[[#This Row],[Code d''ecole]]&amp;"-"&amp;Tableau1[[#This Row],[Numero HM de la fille]]</f>
        <v>2021-78-30</v>
      </c>
      <c r="I555" s="1"/>
      <c r="J555" s="1"/>
      <c r="K555" s="35"/>
      <c r="L555" s="35">
        <v>8</v>
      </c>
      <c r="M555" s="35">
        <v>3.5</v>
      </c>
      <c r="N555" s="35">
        <f t="shared" si="16"/>
        <v>5.75</v>
      </c>
      <c r="O555" s="35">
        <v>6</v>
      </c>
      <c r="P555" s="35">
        <v>5</v>
      </c>
      <c r="Q555" s="35">
        <f t="shared" si="17"/>
        <v>5.5</v>
      </c>
      <c r="R555" s="35"/>
      <c r="S555" s="35"/>
      <c r="T555" s="35"/>
      <c r="U555" s="82" t="e">
        <f>AVERAGE(Tableau1[[#This Row],[1ère composition]:[3è Composition]])</f>
        <v>#DIV/0!</v>
      </c>
    </row>
    <row r="556" spans="1:21" x14ac:dyDescent="0.2">
      <c r="A556" s="1" t="s">
        <v>3201</v>
      </c>
      <c r="B556" s="1" t="s">
        <v>3229</v>
      </c>
      <c r="C556" s="1"/>
      <c r="D556" s="1">
        <v>84839692</v>
      </c>
      <c r="E556" s="1">
        <v>2021</v>
      </c>
      <c r="F556" s="1">
        <v>78</v>
      </c>
      <c r="G556" s="1">
        <v>31</v>
      </c>
      <c r="H556" s="76" t="str">
        <f>Tableau1[[#This Row],[Annee d''inscription au programme]]&amp;"-"&amp;Tableau1[[#This Row],[Code d''ecole]]&amp;"-"&amp;Tableau1[[#This Row],[Numero HM de la fille]]</f>
        <v>2021-78-31</v>
      </c>
      <c r="I556" s="1"/>
      <c r="J556" s="1"/>
      <c r="K556" s="35"/>
      <c r="L556" s="35">
        <v>4.5</v>
      </c>
      <c r="M556" s="35">
        <v>3.5</v>
      </c>
      <c r="N556" s="35">
        <f t="shared" si="16"/>
        <v>4</v>
      </c>
      <c r="O556" s="35">
        <v>6</v>
      </c>
      <c r="P556" s="35">
        <v>5.25</v>
      </c>
      <c r="Q556" s="35">
        <f t="shared" si="17"/>
        <v>5.625</v>
      </c>
      <c r="R556" s="35"/>
      <c r="S556" s="35"/>
      <c r="T556" s="35"/>
      <c r="U556" s="82" t="e">
        <f>AVERAGE(Tableau1[[#This Row],[1ère composition]:[3è Composition]])</f>
        <v>#DIV/0!</v>
      </c>
    </row>
    <row r="557" spans="1:21" x14ac:dyDescent="0.2">
      <c r="A557" s="1" t="s">
        <v>3201</v>
      </c>
      <c r="B557" s="1" t="s">
        <v>3230</v>
      </c>
      <c r="C557" s="1"/>
      <c r="D557" s="1">
        <v>89916562</v>
      </c>
      <c r="E557" s="1">
        <v>2021</v>
      </c>
      <c r="F557" s="1">
        <v>78</v>
      </c>
      <c r="G557" s="1">
        <v>32</v>
      </c>
      <c r="H557" s="76" t="str">
        <f>Tableau1[[#This Row],[Annee d''inscription au programme]]&amp;"-"&amp;Tableau1[[#This Row],[Code d''ecole]]&amp;"-"&amp;Tableau1[[#This Row],[Numero HM de la fille]]</f>
        <v>2021-78-32</v>
      </c>
      <c r="I557" s="1"/>
      <c r="J557" s="1"/>
      <c r="K557" s="35"/>
      <c r="L557" s="35">
        <v>8</v>
      </c>
      <c r="M557" s="35">
        <v>6</v>
      </c>
      <c r="N557" s="35">
        <f t="shared" si="16"/>
        <v>7</v>
      </c>
      <c r="O557" s="35">
        <v>11</v>
      </c>
      <c r="P557" s="35">
        <v>8</v>
      </c>
      <c r="Q557" s="35">
        <f t="shared" si="17"/>
        <v>9.5</v>
      </c>
      <c r="R557" s="35"/>
      <c r="S557" s="35"/>
      <c r="T557" s="35"/>
      <c r="U557" s="82" t="e">
        <f>AVERAGE(Tableau1[[#This Row],[1ère composition]:[3è Composition]])</f>
        <v>#DIV/0!</v>
      </c>
    </row>
    <row r="558" spans="1:21" x14ac:dyDescent="0.2">
      <c r="A558" s="1" t="s">
        <v>3201</v>
      </c>
      <c r="B558" s="1" t="s">
        <v>3231</v>
      </c>
      <c r="C558" s="1"/>
      <c r="D558" s="1">
        <v>90836455</v>
      </c>
      <c r="E558" s="1">
        <v>2021</v>
      </c>
      <c r="F558" s="1">
        <v>78</v>
      </c>
      <c r="G558" s="1">
        <v>33</v>
      </c>
      <c r="H558" s="76" t="str">
        <f>Tableau1[[#This Row],[Annee d''inscription au programme]]&amp;"-"&amp;Tableau1[[#This Row],[Code d''ecole]]&amp;"-"&amp;Tableau1[[#This Row],[Numero HM de la fille]]</f>
        <v>2021-78-33</v>
      </c>
      <c r="I558" s="1"/>
      <c r="J558" s="1"/>
      <c r="K558" s="35"/>
      <c r="L558" s="35">
        <v>3</v>
      </c>
      <c r="M558" s="35">
        <v>2</v>
      </c>
      <c r="N558" s="35">
        <f t="shared" si="16"/>
        <v>2.5</v>
      </c>
      <c r="O558" s="35"/>
      <c r="P558" s="35"/>
      <c r="Q558" s="35">
        <f t="shared" si="17"/>
        <v>0</v>
      </c>
      <c r="R558" s="35"/>
      <c r="S558" s="35"/>
      <c r="T558" s="35"/>
      <c r="U558" s="82" t="e">
        <f>AVERAGE(Tableau1[[#This Row],[1ère composition]:[3è Composition]])</f>
        <v>#DIV/0!</v>
      </c>
    </row>
    <row r="559" spans="1:21" x14ac:dyDescent="0.2">
      <c r="A559" s="1" t="s">
        <v>3201</v>
      </c>
      <c r="B559" s="1" t="s">
        <v>3232</v>
      </c>
      <c r="C559" s="1"/>
      <c r="D559" s="1">
        <v>85211066</v>
      </c>
      <c r="E559" s="1">
        <v>2021</v>
      </c>
      <c r="F559" s="1">
        <v>78</v>
      </c>
      <c r="G559" s="1">
        <v>34</v>
      </c>
      <c r="H559" s="76" t="str">
        <f>Tableau1[[#This Row],[Annee d''inscription au programme]]&amp;"-"&amp;Tableau1[[#This Row],[Code d''ecole]]&amp;"-"&amp;Tableau1[[#This Row],[Numero HM de la fille]]</f>
        <v>2021-78-34</v>
      </c>
      <c r="I559" s="1"/>
      <c r="J559" s="1"/>
      <c r="K559" s="35"/>
      <c r="L559" s="35">
        <v>14.75</v>
      </c>
      <c r="M559" s="35">
        <v>11</v>
      </c>
      <c r="N559" s="35">
        <f t="shared" si="16"/>
        <v>12.875</v>
      </c>
      <c r="O559" s="35">
        <v>10.5</v>
      </c>
      <c r="P559" s="35">
        <v>13</v>
      </c>
      <c r="Q559" s="35">
        <f t="shared" si="17"/>
        <v>11.75</v>
      </c>
      <c r="R559" s="35"/>
      <c r="S559" s="35"/>
      <c r="T559" s="35"/>
      <c r="U559" s="82" t="e">
        <f>AVERAGE(Tableau1[[#This Row],[1ère composition]:[3è Composition]])</f>
        <v>#DIV/0!</v>
      </c>
    </row>
    <row r="560" spans="1:21" x14ac:dyDescent="0.2">
      <c r="A560" s="1" t="s">
        <v>3201</v>
      </c>
      <c r="B560" s="1" t="s">
        <v>3233</v>
      </c>
      <c r="C560" s="1" t="s">
        <v>3663</v>
      </c>
      <c r="D560" s="1">
        <v>84661956</v>
      </c>
      <c r="E560" s="1">
        <v>2021</v>
      </c>
      <c r="F560" s="1">
        <v>78</v>
      </c>
      <c r="G560" s="1">
        <v>35</v>
      </c>
      <c r="H560" s="76" t="str">
        <f>Tableau1[[#This Row],[Annee d''inscription au programme]]&amp;"-"&amp;Tableau1[[#This Row],[Code d''ecole]]&amp;"-"&amp;Tableau1[[#This Row],[Numero HM de la fille]]</f>
        <v>2021-78-35</v>
      </c>
      <c r="I560" s="1"/>
      <c r="J560" s="1"/>
      <c r="K560" s="35"/>
      <c r="L560" s="35">
        <v>5.5</v>
      </c>
      <c r="M560" s="35">
        <v>2.5</v>
      </c>
      <c r="N560" s="35">
        <f t="shared" si="16"/>
        <v>4</v>
      </c>
      <c r="O560" s="35">
        <v>2</v>
      </c>
      <c r="P560" s="35">
        <v>6</v>
      </c>
      <c r="Q560" s="35">
        <f t="shared" si="17"/>
        <v>4</v>
      </c>
      <c r="R560" s="35"/>
      <c r="S560" s="35"/>
      <c r="T560" s="35"/>
      <c r="U560" s="82" t="e">
        <f>AVERAGE(Tableau1[[#This Row],[1ère composition]:[3è Composition]])</f>
        <v>#DIV/0!</v>
      </c>
    </row>
    <row r="561" spans="1:21" x14ac:dyDescent="0.2">
      <c r="A561" s="1" t="s">
        <v>3201</v>
      </c>
      <c r="B561" s="1" t="s">
        <v>3234</v>
      </c>
      <c r="C561" s="1"/>
      <c r="D561" s="1">
        <v>84913321</v>
      </c>
      <c r="E561" s="1">
        <v>2021</v>
      </c>
      <c r="F561" s="1">
        <v>78</v>
      </c>
      <c r="G561" s="1">
        <v>36</v>
      </c>
      <c r="H561" s="76" t="str">
        <f>Tableau1[[#This Row],[Annee d''inscription au programme]]&amp;"-"&amp;Tableau1[[#This Row],[Code d''ecole]]&amp;"-"&amp;Tableau1[[#This Row],[Numero HM de la fille]]</f>
        <v>2021-78-36</v>
      </c>
      <c r="I561" s="1"/>
      <c r="J561" s="1"/>
      <c r="K561" s="35"/>
      <c r="L561" s="35">
        <v>12</v>
      </c>
      <c r="M561" s="35">
        <v>5</v>
      </c>
      <c r="N561" s="35">
        <f t="shared" si="16"/>
        <v>8.5</v>
      </c>
      <c r="O561" s="35">
        <v>9.5</v>
      </c>
      <c r="P561" s="35">
        <v>7.75</v>
      </c>
      <c r="Q561" s="35">
        <f t="shared" si="17"/>
        <v>8.625</v>
      </c>
      <c r="R561" s="35"/>
      <c r="S561" s="35"/>
      <c r="T561" s="35"/>
      <c r="U561" s="82" t="e">
        <f>AVERAGE(Tableau1[[#This Row],[1ère composition]:[3è Composition]])</f>
        <v>#DIV/0!</v>
      </c>
    </row>
    <row r="562" spans="1:21" x14ac:dyDescent="0.2">
      <c r="A562" s="1" t="s">
        <v>3201</v>
      </c>
      <c r="B562" s="1" t="s">
        <v>3235</v>
      </c>
      <c r="C562" s="1" t="s">
        <v>3662</v>
      </c>
      <c r="D562" s="1">
        <v>91296378</v>
      </c>
      <c r="E562" s="1">
        <v>2021</v>
      </c>
      <c r="F562" s="1">
        <v>78</v>
      </c>
      <c r="G562" s="1">
        <v>37</v>
      </c>
      <c r="H562" s="76" t="str">
        <f>Tableau1[[#This Row],[Annee d''inscription au programme]]&amp;"-"&amp;Tableau1[[#This Row],[Code d''ecole]]&amp;"-"&amp;Tableau1[[#This Row],[Numero HM de la fille]]</f>
        <v>2021-78-37</v>
      </c>
      <c r="I562" s="1"/>
      <c r="J562" s="1"/>
      <c r="K562" s="35"/>
      <c r="L562" s="35">
        <v>8</v>
      </c>
      <c r="M562" s="35">
        <v>3</v>
      </c>
      <c r="N562" s="35">
        <f t="shared" si="16"/>
        <v>5.5</v>
      </c>
      <c r="O562" s="35">
        <v>8</v>
      </c>
      <c r="P562" s="35">
        <v>6</v>
      </c>
      <c r="Q562" s="35">
        <f t="shared" si="17"/>
        <v>7</v>
      </c>
      <c r="R562" s="35"/>
      <c r="S562" s="35"/>
      <c r="T562" s="35"/>
      <c r="U562" s="82" t="e">
        <f>AVERAGE(Tableau1[[#This Row],[1ère composition]:[3è Composition]])</f>
        <v>#DIV/0!</v>
      </c>
    </row>
    <row r="563" spans="1:21" x14ac:dyDescent="0.2">
      <c r="A563" s="1" t="s">
        <v>3201</v>
      </c>
      <c r="B563" s="1" t="s">
        <v>3236</v>
      </c>
      <c r="C563" s="1" t="s">
        <v>3663</v>
      </c>
      <c r="D563" s="1">
        <v>84733350</v>
      </c>
      <c r="E563" s="1">
        <v>2021</v>
      </c>
      <c r="F563" s="1">
        <v>78</v>
      </c>
      <c r="G563" s="1">
        <v>38</v>
      </c>
      <c r="H563" s="76" t="str">
        <f>Tableau1[[#This Row],[Annee d''inscription au programme]]&amp;"-"&amp;Tableau1[[#This Row],[Code d''ecole]]&amp;"-"&amp;Tableau1[[#This Row],[Numero HM de la fille]]</f>
        <v>2021-78-38</v>
      </c>
      <c r="I563" s="1"/>
      <c r="J563" s="1"/>
      <c r="K563" s="35"/>
      <c r="L563" s="35">
        <v>7.5</v>
      </c>
      <c r="M563" s="35">
        <v>3</v>
      </c>
      <c r="N563" s="35">
        <f t="shared" si="16"/>
        <v>5.25</v>
      </c>
      <c r="O563" s="35">
        <v>6</v>
      </c>
      <c r="P563" s="35">
        <v>2.5</v>
      </c>
      <c r="Q563" s="35">
        <f t="shared" si="17"/>
        <v>4.25</v>
      </c>
      <c r="R563" s="35"/>
      <c r="S563" s="35"/>
      <c r="T563" s="35"/>
      <c r="U563" s="82" t="e">
        <f>AVERAGE(Tableau1[[#This Row],[1ère composition]:[3è Composition]])</f>
        <v>#DIV/0!</v>
      </c>
    </row>
    <row r="564" spans="1:21" x14ac:dyDescent="0.2">
      <c r="A564" s="1" t="s">
        <v>3201</v>
      </c>
      <c r="B564" s="1" t="s">
        <v>3237</v>
      </c>
      <c r="C564" s="1" t="s">
        <v>3932</v>
      </c>
      <c r="D564" s="1">
        <v>84989157</v>
      </c>
      <c r="E564" s="1">
        <v>2021</v>
      </c>
      <c r="F564" s="1">
        <v>78</v>
      </c>
      <c r="G564" s="1">
        <v>39</v>
      </c>
      <c r="H564" s="76" t="str">
        <f>Tableau1[[#This Row],[Annee d''inscription au programme]]&amp;"-"&amp;Tableau1[[#This Row],[Code d''ecole]]&amp;"-"&amp;Tableau1[[#This Row],[Numero HM de la fille]]</f>
        <v>2021-78-39</v>
      </c>
      <c r="I564" s="1"/>
      <c r="J564" s="1"/>
      <c r="K564" s="35"/>
      <c r="L564" s="35">
        <v>8.5</v>
      </c>
      <c r="M564" s="35">
        <v>2</v>
      </c>
      <c r="N564" s="35">
        <f t="shared" si="16"/>
        <v>5.25</v>
      </c>
      <c r="O564" s="35">
        <v>6.5</v>
      </c>
      <c r="P564" s="35">
        <v>3.75</v>
      </c>
      <c r="Q564" s="35">
        <f t="shared" si="17"/>
        <v>5.125</v>
      </c>
      <c r="R564" s="35"/>
      <c r="S564" s="35"/>
      <c r="T564" s="35"/>
      <c r="U564" s="82" t="e">
        <f>AVERAGE(Tableau1[[#This Row],[1ère composition]:[3è Composition]])</f>
        <v>#DIV/0!</v>
      </c>
    </row>
    <row r="565" spans="1:21" x14ac:dyDescent="0.2">
      <c r="A565" s="1" t="s">
        <v>3201</v>
      </c>
      <c r="B565" s="1" t="s">
        <v>3238</v>
      </c>
      <c r="C565" s="1"/>
      <c r="D565" s="1">
        <v>80081034</v>
      </c>
      <c r="E565" s="1">
        <v>2021</v>
      </c>
      <c r="F565" s="1">
        <v>78</v>
      </c>
      <c r="G565" s="1">
        <v>40</v>
      </c>
      <c r="H565" s="76" t="str">
        <f>Tableau1[[#This Row],[Annee d''inscription au programme]]&amp;"-"&amp;Tableau1[[#This Row],[Code d''ecole]]&amp;"-"&amp;Tableau1[[#This Row],[Numero HM de la fille]]</f>
        <v>2021-78-40</v>
      </c>
      <c r="I565" s="1"/>
      <c r="J565" s="1"/>
      <c r="K565" s="35"/>
      <c r="L565" s="35">
        <v>5.5</v>
      </c>
      <c r="M565" s="35">
        <v>2</v>
      </c>
      <c r="N565" s="35">
        <f t="shared" si="16"/>
        <v>3.75</v>
      </c>
      <c r="O565" s="35">
        <v>4.5</v>
      </c>
      <c r="P565" s="35">
        <v>3.25</v>
      </c>
      <c r="Q565" s="35">
        <f t="shared" si="17"/>
        <v>3.875</v>
      </c>
      <c r="R565" s="35"/>
      <c r="S565" s="35"/>
      <c r="T565" s="35"/>
      <c r="U565" s="82" t="e">
        <f>AVERAGE(Tableau1[[#This Row],[1ère composition]:[3è Composition]])</f>
        <v>#DIV/0!</v>
      </c>
    </row>
    <row r="566" spans="1:21" hidden="1" x14ac:dyDescent="0.2">
      <c r="A566" s="1" t="s">
        <v>3239</v>
      </c>
      <c r="B566" s="1" t="s">
        <v>2269</v>
      </c>
      <c r="C566" s="1" t="s">
        <v>3648</v>
      </c>
      <c r="D566" s="1">
        <v>83345349</v>
      </c>
      <c r="E566" s="1">
        <v>2021</v>
      </c>
      <c r="F566" s="1">
        <v>73</v>
      </c>
      <c r="G566" s="1">
        <v>1</v>
      </c>
      <c r="H566" s="76" t="str">
        <f>Tableau1[[#This Row],[Annee d''inscription au programme]]&amp;"-"&amp;Tableau1[[#This Row],[Code d''ecole]]&amp;"-"&amp;Tableau1[[#This Row],[Numero HM de la fille]]</f>
        <v>2021-73-1</v>
      </c>
      <c r="I566" s="1"/>
      <c r="J566" s="35"/>
      <c r="K566" s="35"/>
      <c r="L566" s="35">
        <v>10</v>
      </c>
      <c r="M566" s="35">
        <v>5.5</v>
      </c>
      <c r="N566" s="35">
        <f t="shared" si="16"/>
        <v>7.75</v>
      </c>
      <c r="O566" s="35">
        <v>14</v>
      </c>
      <c r="P566" s="35">
        <v>14</v>
      </c>
      <c r="Q566" s="35">
        <f t="shared" si="17"/>
        <v>14</v>
      </c>
      <c r="R566" s="35"/>
      <c r="S566" s="35"/>
      <c r="T566" s="35"/>
      <c r="U566" s="82" t="e">
        <f>AVERAGE(Tableau1[[#This Row],[1ère composition]:[3è Composition]])</f>
        <v>#DIV/0!</v>
      </c>
    </row>
    <row r="567" spans="1:21" hidden="1" x14ac:dyDescent="0.2">
      <c r="A567" s="1" t="s">
        <v>3239</v>
      </c>
      <c r="B567" s="1" t="s">
        <v>3240</v>
      </c>
      <c r="C567" s="1" t="s">
        <v>3649</v>
      </c>
      <c r="D567" s="1">
        <v>92865105</v>
      </c>
      <c r="E567" s="1">
        <v>2021</v>
      </c>
      <c r="F567" s="1">
        <v>73</v>
      </c>
      <c r="G567" s="1">
        <v>2</v>
      </c>
      <c r="H567" s="76" t="str">
        <f>Tableau1[[#This Row],[Annee d''inscription au programme]]&amp;"-"&amp;Tableau1[[#This Row],[Code d''ecole]]&amp;"-"&amp;Tableau1[[#This Row],[Numero HM de la fille]]</f>
        <v>2021-73-2</v>
      </c>
      <c r="I567" s="1"/>
      <c r="J567" s="35"/>
      <c r="K567" s="35"/>
      <c r="L567" s="35">
        <v>8.5</v>
      </c>
      <c r="M567" s="35">
        <v>5.5</v>
      </c>
      <c r="N567" s="35">
        <f t="shared" si="16"/>
        <v>7</v>
      </c>
      <c r="O567" s="35">
        <v>7.5</v>
      </c>
      <c r="P567" s="35">
        <v>3</v>
      </c>
      <c r="Q567" s="35">
        <f t="shared" si="17"/>
        <v>5.25</v>
      </c>
      <c r="R567" s="35"/>
      <c r="S567" s="35"/>
      <c r="T567" s="35"/>
      <c r="U567" s="82" t="e">
        <f>AVERAGE(Tableau1[[#This Row],[1ère composition]:[3è Composition]])</f>
        <v>#DIV/0!</v>
      </c>
    </row>
    <row r="568" spans="1:21" hidden="1" x14ac:dyDescent="0.2">
      <c r="A568" s="1" t="s">
        <v>3239</v>
      </c>
      <c r="B568" s="1" t="s">
        <v>3241</v>
      </c>
      <c r="C568" s="1" t="s">
        <v>3654</v>
      </c>
      <c r="D568" s="1">
        <v>85646432</v>
      </c>
      <c r="E568" s="1">
        <v>2021</v>
      </c>
      <c r="F568" s="1">
        <v>73</v>
      </c>
      <c r="G568" s="1">
        <v>3</v>
      </c>
      <c r="H568" s="76" t="str">
        <f>Tableau1[[#This Row],[Annee d''inscription au programme]]&amp;"-"&amp;Tableau1[[#This Row],[Code d''ecole]]&amp;"-"&amp;Tableau1[[#This Row],[Numero HM de la fille]]</f>
        <v>2021-73-3</v>
      </c>
      <c r="I568" s="1"/>
      <c r="J568" s="35"/>
      <c r="K568" s="35"/>
      <c r="L568" s="35">
        <v>7.5</v>
      </c>
      <c r="M568" s="35">
        <v>5.5</v>
      </c>
      <c r="N568" s="35">
        <f t="shared" si="16"/>
        <v>6.5</v>
      </c>
      <c r="O568" s="35">
        <v>7</v>
      </c>
      <c r="P568" s="35">
        <v>8.5</v>
      </c>
      <c r="Q568" s="35">
        <f t="shared" si="17"/>
        <v>7.75</v>
      </c>
      <c r="R568" s="35"/>
      <c r="S568" s="35"/>
      <c r="T568" s="35"/>
      <c r="U568" s="82" t="e">
        <f>AVERAGE(Tableau1[[#This Row],[1ère composition]:[3è Composition]])</f>
        <v>#DIV/0!</v>
      </c>
    </row>
    <row r="569" spans="1:21" hidden="1" x14ac:dyDescent="0.2">
      <c r="A569" s="1" t="s">
        <v>3239</v>
      </c>
      <c r="B569" s="1" t="s">
        <v>3242</v>
      </c>
      <c r="C569" s="1" t="s">
        <v>3648</v>
      </c>
      <c r="D569" s="1"/>
      <c r="E569" s="1">
        <v>2021</v>
      </c>
      <c r="F569" s="1">
        <v>73</v>
      </c>
      <c r="G569" s="1">
        <v>4</v>
      </c>
      <c r="H569" s="76" t="str">
        <f>Tableau1[[#This Row],[Annee d''inscription au programme]]&amp;"-"&amp;Tableau1[[#This Row],[Code d''ecole]]&amp;"-"&amp;Tableau1[[#This Row],[Numero HM de la fille]]</f>
        <v>2021-73-4</v>
      </c>
      <c r="I569" s="1"/>
      <c r="J569" s="35"/>
      <c r="K569" s="35"/>
      <c r="L569" s="35">
        <v>3.5</v>
      </c>
      <c r="M569" s="35">
        <v>2.5</v>
      </c>
      <c r="N569" s="35">
        <f t="shared" si="16"/>
        <v>3</v>
      </c>
      <c r="O569" s="35">
        <v>5.5</v>
      </c>
      <c r="P569" s="35">
        <v>4</v>
      </c>
      <c r="Q569" s="35">
        <f t="shared" si="17"/>
        <v>4.75</v>
      </c>
      <c r="R569" s="35"/>
      <c r="S569" s="35"/>
      <c r="T569" s="35"/>
      <c r="U569" s="82" t="e">
        <f>AVERAGE(Tableau1[[#This Row],[1ère composition]:[3è Composition]])</f>
        <v>#DIV/0!</v>
      </c>
    </row>
    <row r="570" spans="1:21" hidden="1" x14ac:dyDescent="0.2">
      <c r="A570" s="1" t="s">
        <v>3239</v>
      </c>
      <c r="B570" s="1" t="s">
        <v>3243</v>
      </c>
      <c r="C570" s="1" t="s">
        <v>3650</v>
      </c>
      <c r="D570" s="1">
        <v>96176498</v>
      </c>
      <c r="E570" s="1">
        <v>2021</v>
      </c>
      <c r="F570" s="1">
        <v>73</v>
      </c>
      <c r="G570" s="1">
        <v>5</v>
      </c>
      <c r="H570" s="76" t="str">
        <f>Tableau1[[#This Row],[Annee d''inscription au programme]]&amp;"-"&amp;Tableau1[[#This Row],[Code d''ecole]]&amp;"-"&amp;Tableau1[[#This Row],[Numero HM de la fille]]</f>
        <v>2021-73-5</v>
      </c>
      <c r="I570" s="1"/>
      <c r="J570" s="35"/>
      <c r="K570" s="35"/>
      <c r="L570" s="35">
        <v>9.25</v>
      </c>
      <c r="M570" s="35">
        <v>1</v>
      </c>
      <c r="N570" s="35">
        <f t="shared" si="16"/>
        <v>5.125</v>
      </c>
      <c r="O570" s="35">
        <v>6.5</v>
      </c>
      <c r="P570" s="35">
        <v>4</v>
      </c>
      <c r="Q570" s="35">
        <f t="shared" si="17"/>
        <v>5.25</v>
      </c>
      <c r="R570" s="35"/>
      <c r="S570" s="35"/>
      <c r="T570" s="35"/>
      <c r="U570" s="82" t="e">
        <f>AVERAGE(Tableau1[[#This Row],[1ère composition]:[3è Composition]])</f>
        <v>#DIV/0!</v>
      </c>
    </row>
    <row r="571" spans="1:21" hidden="1" x14ac:dyDescent="0.2">
      <c r="A571" s="1" t="s">
        <v>3239</v>
      </c>
      <c r="B571" s="1" t="s">
        <v>3244</v>
      </c>
      <c r="C571" s="1" t="s">
        <v>3648</v>
      </c>
      <c r="D571" s="1">
        <v>84179333</v>
      </c>
      <c r="E571" s="1">
        <v>2021</v>
      </c>
      <c r="F571" s="1">
        <v>73</v>
      </c>
      <c r="G571" s="1">
        <v>6</v>
      </c>
      <c r="H571" s="76" t="str">
        <f>Tableau1[[#This Row],[Annee d''inscription au programme]]&amp;"-"&amp;Tableau1[[#This Row],[Code d''ecole]]&amp;"-"&amp;Tableau1[[#This Row],[Numero HM de la fille]]</f>
        <v>2021-73-6</v>
      </c>
      <c r="I571" s="1"/>
      <c r="J571" s="35"/>
      <c r="K571" s="35"/>
      <c r="L571" s="35">
        <v>11</v>
      </c>
      <c r="M571" s="35">
        <v>9</v>
      </c>
      <c r="N571" s="35">
        <f t="shared" si="16"/>
        <v>10</v>
      </c>
      <c r="O571" s="35">
        <v>10.5</v>
      </c>
      <c r="P571" s="35">
        <v>15</v>
      </c>
      <c r="Q571" s="35">
        <f t="shared" si="17"/>
        <v>12.75</v>
      </c>
      <c r="R571" s="35"/>
      <c r="S571" s="35"/>
      <c r="T571" s="35"/>
      <c r="U571" s="82" t="e">
        <f>AVERAGE(Tableau1[[#This Row],[1ère composition]:[3è Composition]])</f>
        <v>#DIV/0!</v>
      </c>
    </row>
    <row r="572" spans="1:21" hidden="1" x14ac:dyDescent="0.2">
      <c r="A572" s="1" t="s">
        <v>3239</v>
      </c>
      <c r="B572" s="1" t="s">
        <v>3245</v>
      </c>
      <c r="C572" s="1"/>
      <c r="D572" s="1">
        <v>94337060</v>
      </c>
      <c r="E572" s="1">
        <v>2021</v>
      </c>
      <c r="F572" s="1">
        <v>73</v>
      </c>
      <c r="G572" s="1">
        <v>7</v>
      </c>
      <c r="H572" s="76" t="str">
        <f>Tableau1[[#This Row],[Annee d''inscription au programme]]&amp;"-"&amp;Tableau1[[#This Row],[Code d''ecole]]&amp;"-"&amp;Tableau1[[#This Row],[Numero HM de la fille]]</f>
        <v>2021-73-7</v>
      </c>
      <c r="I572" s="1"/>
      <c r="J572" s="35"/>
      <c r="K572" s="35"/>
      <c r="L572" s="35">
        <v>13.5</v>
      </c>
      <c r="M572" s="35">
        <v>9</v>
      </c>
      <c r="N572" s="35">
        <f t="shared" si="16"/>
        <v>11.25</v>
      </c>
      <c r="O572" s="35">
        <v>11</v>
      </c>
      <c r="P572" s="35">
        <v>8</v>
      </c>
      <c r="Q572" s="35">
        <f t="shared" si="17"/>
        <v>9.5</v>
      </c>
      <c r="R572" s="35"/>
      <c r="S572" s="35"/>
      <c r="T572" s="35"/>
      <c r="U572" s="82" t="e">
        <f>AVERAGE(Tableau1[[#This Row],[1ère composition]:[3è Composition]])</f>
        <v>#DIV/0!</v>
      </c>
    </row>
    <row r="573" spans="1:21" hidden="1" x14ac:dyDescent="0.2">
      <c r="A573" s="1" t="s">
        <v>3239</v>
      </c>
      <c r="B573" s="1" t="s">
        <v>3246</v>
      </c>
      <c r="C573" s="1" t="s">
        <v>3651</v>
      </c>
      <c r="D573" s="1">
        <v>92911365</v>
      </c>
      <c r="E573" s="1">
        <v>2021</v>
      </c>
      <c r="F573" s="1">
        <v>73</v>
      </c>
      <c r="G573" s="1">
        <v>8</v>
      </c>
      <c r="H573" s="76" t="str">
        <f>Tableau1[[#This Row],[Annee d''inscription au programme]]&amp;"-"&amp;Tableau1[[#This Row],[Code d''ecole]]&amp;"-"&amp;Tableau1[[#This Row],[Numero HM de la fille]]</f>
        <v>2021-73-8</v>
      </c>
      <c r="I573" s="1"/>
      <c r="J573" s="35"/>
      <c r="K573" s="35"/>
      <c r="L573" s="35">
        <v>2</v>
      </c>
      <c r="M573" s="35">
        <v>3</v>
      </c>
      <c r="N573" s="35">
        <f t="shared" si="16"/>
        <v>2.5</v>
      </c>
      <c r="O573" s="35">
        <v>6.5</v>
      </c>
      <c r="P573" s="35">
        <v>5</v>
      </c>
      <c r="Q573" s="35">
        <f t="shared" si="17"/>
        <v>5.75</v>
      </c>
      <c r="R573" s="35"/>
      <c r="S573" s="35"/>
      <c r="T573" s="35"/>
      <c r="U573" s="82" t="e">
        <f>AVERAGE(Tableau1[[#This Row],[1ère composition]:[3è Composition]])</f>
        <v>#DIV/0!</v>
      </c>
    </row>
    <row r="574" spans="1:21" hidden="1" x14ac:dyDescent="0.2">
      <c r="A574" s="1" t="s">
        <v>3239</v>
      </c>
      <c r="B574" s="1" t="s">
        <v>3247</v>
      </c>
      <c r="C574" s="1" t="s">
        <v>3652</v>
      </c>
      <c r="D574" s="1">
        <v>85888420</v>
      </c>
      <c r="E574" s="1">
        <v>2021</v>
      </c>
      <c r="F574" s="1">
        <v>73</v>
      </c>
      <c r="G574" s="1">
        <v>9</v>
      </c>
      <c r="H574" s="76" t="str">
        <f>Tableau1[[#This Row],[Annee d''inscription au programme]]&amp;"-"&amp;Tableau1[[#This Row],[Code d''ecole]]&amp;"-"&amp;Tableau1[[#This Row],[Numero HM de la fille]]</f>
        <v>2021-73-9</v>
      </c>
      <c r="I574" s="1"/>
      <c r="J574" s="35"/>
      <c r="K574" s="35"/>
      <c r="L574" s="35">
        <v>5</v>
      </c>
      <c r="M574" s="35">
        <v>5</v>
      </c>
      <c r="N574" s="35">
        <f t="shared" si="16"/>
        <v>5</v>
      </c>
      <c r="O574" s="35"/>
      <c r="P574" s="35"/>
      <c r="Q574" s="35">
        <f t="shared" si="17"/>
        <v>0</v>
      </c>
      <c r="R574" s="35"/>
      <c r="S574" s="35"/>
      <c r="T574" s="35"/>
      <c r="U574" s="82" t="e">
        <f>AVERAGE(Tableau1[[#This Row],[1ère composition]:[3è Composition]])</f>
        <v>#DIV/0!</v>
      </c>
    </row>
    <row r="575" spans="1:21" hidden="1" x14ac:dyDescent="0.2">
      <c r="A575" s="1" t="s">
        <v>3239</v>
      </c>
      <c r="B575" s="1" t="s">
        <v>3248</v>
      </c>
      <c r="C575" s="1" t="s">
        <v>3653</v>
      </c>
      <c r="D575" s="1"/>
      <c r="E575" s="1">
        <v>2021</v>
      </c>
      <c r="F575" s="1">
        <v>73</v>
      </c>
      <c r="G575" s="1">
        <v>10</v>
      </c>
      <c r="H575" s="76" t="str">
        <f>Tableau1[[#This Row],[Annee d''inscription au programme]]&amp;"-"&amp;Tableau1[[#This Row],[Code d''ecole]]&amp;"-"&amp;Tableau1[[#This Row],[Numero HM de la fille]]</f>
        <v>2021-73-10</v>
      </c>
      <c r="I575" s="1"/>
      <c r="J575" s="35"/>
      <c r="K575" s="35"/>
      <c r="L575" s="35">
        <v>8</v>
      </c>
      <c r="M575" s="35">
        <v>4</v>
      </c>
      <c r="N575" s="35">
        <f t="shared" si="16"/>
        <v>6</v>
      </c>
      <c r="O575" s="35">
        <v>4</v>
      </c>
      <c r="P575" s="35">
        <v>2</v>
      </c>
      <c r="Q575" s="35">
        <f t="shared" si="17"/>
        <v>3</v>
      </c>
      <c r="R575" s="35"/>
      <c r="S575" s="35"/>
      <c r="T575" s="35"/>
      <c r="U575" s="82" t="e">
        <f>AVERAGE(Tableau1[[#This Row],[1ère composition]:[3è Composition]])</f>
        <v>#DIV/0!</v>
      </c>
    </row>
    <row r="576" spans="1:21" hidden="1" x14ac:dyDescent="0.2">
      <c r="A576" s="1" t="s">
        <v>3239</v>
      </c>
      <c r="B576" s="1" t="s">
        <v>3249</v>
      </c>
      <c r="C576" s="1" t="s">
        <v>3655</v>
      </c>
      <c r="D576" s="1"/>
      <c r="E576" s="1">
        <v>2021</v>
      </c>
      <c r="F576" s="1">
        <v>73</v>
      </c>
      <c r="G576" s="1">
        <v>11</v>
      </c>
      <c r="H576" s="76" t="str">
        <f>Tableau1[[#This Row],[Annee d''inscription au programme]]&amp;"-"&amp;Tableau1[[#This Row],[Code d''ecole]]&amp;"-"&amp;Tableau1[[#This Row],[Numero HM de la fille]]</f>
        <v>2021-73-11</v>
      </c>
      <c r="I576" s="1"/>
      <c r="J576" s="35"/>
      <c r="K576" s="35"/>
      <c r="L576" s="35">
        <v>13</v>
      </c>
      <c r="M576" s="35">
        <v>11</v>
      </c>
      <c r="N576" s="35">
        <f t="shared" si="16"/>
        <v>12</v>
      </c>
      <c r="O576" s="35">
        <v>3</v>
      </c>
      <c r="P576" s="35">
        <v>18.5</v>
      </c>
      <c r="Q576" s="35">
        <f t="shared" si="17"/>
        <v>10.75</v>
      </c>
      <c r="R576" s="35"/>
      <c r="S576" s="35"/>
      <c r="T576" s="35"/>
      <c r="U576" s="82" t="e">
        <f>AVERAGE(Tableau1[[#This Row],[1ère composition]:[3è Composition]])</f>
        <v>#DIV/0!</v>
      </c>
    </row>
    <row r="577" spans="1:21" hidden="1" x14ac:dyDescent="0.2">
      <c r="A577" s="1" t="s">
        <v>3239</v>
      </c>
      <c r="B577" s="1" t="s">
        <v>228</v>
      </c>
      <c r="C577" s="1" t="s">
        <v>3648</v>
      </c>
      <c r="D577" s="1">
        <v>85646432</v>
      </c>
      <c r="E577" s="1">
        <v>2021</v>
      </c>
      <c r="F577" s="1">
        <v>73</v>
      </c>
      <c r="G577" s="1">
        <v>12</v>
      </c>
      <c r="H577" s="76" t="str">
        <f>Tableau1[[#This Row],[Annee d''inscription au programme]]&amp;"-"&amp;Tableau1[[#This Row],[Code d''ecole]]&amp;"-"&amp;Tableau1[[#This Row],[Numero HM de la fille]]</f>
        <v>2021-73-12</v>
      </c>
      <c r="I577" s="1"/>
      <c r="J577" s="35"/>
      <c r="K577" s="35"/>
      <c r="L577" s="35">
        <v>17</v>
      </c>
      <c r="M577" s="35">
        <v>9</v>
      </c>
      <c r="N577" s="35">
        <f t="shared" si="16"/>
        <v>13</v>
      </c>
      <c r="O577" s="35">
        <v>10.5</v>
      </c>
      <c r="P577" s="35">
        <v>12.5</v>
      </c>
      <c r="Q577" s="35">
        <f t="shared" si="17"/>
        <v>11.5</v>
      </c>
      <c r="R577" s="35"/>
      <c r="S577" s="35"/>
      <c r="T577" s="35"/>
      <c r="U577" s="82" t="e">
        <f>AVERAGE(Tableau1[[#This Row],[1ère composition]:[3è Composition]])</f>
        <v>#DIV/0!</v>
      </c>
    </row>
    <row r="578" spans="1:21" hidden="1" x14ac:dyDescent="0.2">
      <c r="A578" s="1" t="s">
        <v>3239</v>
      </c>
      <c r="B578" s="1" t="s">
        <v>3250</v>
      </c>
      <c r="C578" s="1" t="s">
        <v>3656</v>
      </c>
      <c r="D578" s="1">
        <v>96088970</v>
      </c>
      <c r="E578" s="1">
        <v>2021</v>
      </c>
      <c r="F578" s="1">
        <v>73</v>
      </c>
      <c r="G578" s="1">
        <v>13</v>
      </c>
      <c r="H578" s="76" t="str">
        <f>Tableau1[[#This Row],[Annee d''inscription au programme]]&amp;"-"&amp;Tableau1[[#This Row],[Code d''ecole]]&amp;"-"&amp;Tableau1[[#This Row],[Numero HM de la fille]]</f>
        <v>2021-73-13</v>
      </c>
      <c r="I578" s="1"/>
      <c r="J578" s="35"/>
      <c r="K578" s="35"/>
      <c r="L578" s="35">
        <v>4.5</v>
      </c>
      <c r="M578" s="35">
        <v>6</v>
      </c>
      <c r="N578" s="35">
        <f t="shared" si="16"/>
        <v>5.25</v>
      </c>
      <c r="O578" s="35">
        <v>5</v>
      </c>
      <c r="P578" s="35">
        <v>3</v>
      </c>
      <c r="Q578" s="35">
        <f t="shared" si="17"/>
        <v>4</v>
      </c>
      <c r="R578" s="35"/>
      <c r="S578" s="35"/>
      <c r="T578" s="35"/>
      <c r="U578" s="82" t="e">
        <f>AVERAGE(Tableau1[[#This Row],[1ère composition]:[3è Composition]])</f>
        <v>#DIV/0!</v>
      </c>
    </row>
    <row r="579" spans="1:21" hidden="1" x14ac:dyDescent="0.2">
      <c r="A579" s="1" t="s">
        <v>3239</v>
      </c>
      <c r="B579" s="1" t="s">
        <v>3251</v>
      </c>
      <c r="C579" s="1" t="s">
        <v>3648</v>
      </c>
      <c r="D579" s="1"/>
      <c r="E579" s="1">
        <v>2021</v>
      </c>
      <c r="F579" s="1">
        <v>73</v>
      </c>
      <c r="G579" s="1">
        <v>14</v>
      </c>
      <c r="H579" s="76" t="str">
        <f>Tableau1[[#This Row],[Annee d''inscription au programme]]&amp;"-"&amp;Tableau1[[#This Row],[Code d''ecole]]&amp;"-"&amp;Tableau1[[#This Row],[Numero HM de la fille]]</f>
        <v>2021-73-14</v>
      </c>
      <c r="I579" s="1"/>
      <c r="J579" s="35"/>
      <c r="K579" s="35"/>
      <c r="L579" s="35">
        <v>15.5</v>
      </c>
      <c r="M579" s="35">
        <v>10</v>
      </c>
      <c r="N579" s="35">
        <f t="shared" si="16"/>
        <v>12.75</v>
      </c>
      <c r="O579" s="35">
        <v>19.5</v>
      </c>
      <c r="P579" s="35">
        <v>15.5</v>
      </c>
      <c r="Q579" s="35">
        <f t="shared" si="17"/>
        <v>17.5</v>
      </c>
      <c r="R579" s="35"/>
      <c r="S579" s="35"/>
      <c r="T579" s="35"/>
      <c r="U579" s="82" t="e">
        <f>AVERAGE(Tableau1[[#This Row],[1ère composition]:[3è Composition]])</f>
        <v>#DIV/0!</v>
      </c>
    </row>
    <row r="580" spans="1:21" hidden="1" x14ac:dyDescent="0.2">
      <c r="A580" s="1" t="s">
        <v>3239</v>
      </c>
      <c r="B580" s="1" t="s">
        <v>3252</v>
      </c>
      <c r="C580" s="1" t="s">
        <v>3623</v>
      </c>
      <c r="D580" s="1">
        <v>95262883</v>
      </c>
      <c r="E580" s="1">
        <v>2021</v>
      </c>
      <c r="F580" s="1">
        <v>73</v>
      </c>
      <c r="G580" s="1">
        <v>15</v>
      </c>
      <c r="H580" s="76" t="str">
        <f>Tableau1[[#This Row],[Annee d''inscription au programme]]&amp;"-"&amp;Tableau1[[#This Row],[Code d''ecole]]&amp;"-"&amp;Tableau1[[#This Row],[Numero HM de la fille]]</f>
        <v>2021-73-15</v>
      </c>
      <c r="I580" s="1"/>
      <c r="J580" s="35"/>
      <c r="K580" s="35"/>
      <c r="L580" s="35">
        <v>14.5</v>
      </c>
      <c r="M580" s="35">
        <v>20</v>
      </c>
      <c r="N580" s="35">
        <f t="shared" si="16"/>
        <v>17.25</v>
      </c>
      <c r="O580" s="35">
        <v>11.5</v>
      </c>
      <c r="P580" s="35">
        <v>18</v>
      </c>
      <c r="Q580" s="35">
        <f t="shared" si="17"/>
        <v>14.75</v>
      </c>
      <c r="R580" s="35"/>
      <c r="S580" s="35"/>
      <c r="T580" s="35"/>
      <c r="U580" s="82" t="e">
        <f>AVERAGE(Tableau1[[#This Row],[1ère composition]:[3è Composition]])</f>
        <v>#DIV/0!</v>
      </c>
    </row>
    <row r="581" spans="1:21" hidden="1" x14ac:dyDescent="0.2">
      <c r="A581" s="1" t="s">
        <v>3239</v>
      </c>
      <c r="B581" s="1" t="s">
        <v>3253</v>
      </c>
      <c r="C581" s="1" t="s">
        <v>3648</v>
      </c>
      <c r="D581" s="1">
        <v>85161054</v>
      </c>
      <c r="E581" s="1">
        <v>2021</v>
      </c>
      <c r="F581" s="1">
        <v>73</v>
      </c>
      <c r="G581" s="1">
        <v>16</v>
      </c>
      <c r="H581" s="76" t="str">
        <f>Tableau1[[#This Row],[Annee d''inscription au programme]]&amp;"-"&amp;Tableau1[[#This Row],[Code d''ecole]]&amp;"-"&amp;Tableau1[[#This Row],[Numero HM de la fille]]</f>
        <v>2021-73-16</v>
      </c>
      <c r="I581" s="1"/>
      <c r="J581" s="35"/>
      <c r="K581" s="35"/>
      <c r="L581" s="35">
        <v>13.5</v>
      </c>
      <c r="M581" s="35">
        <v>4.5</v>
      </c>
      <c r="N581" s="35">
        <f t="shared" ref="N581:N644" si="18" xml:space="preserve"> AVERAGE(L581+M581)/2</f>
        <v>9</v>
      </c>
      <c r="O581" s="35">
        <v>10</v>
      </c>
      <c r="P581" s="35">
        <v>8</v>
      </c>
      <c r="Q581" s="35">
        <f t="shared" ref="Q581:Q644" si="19">AVERAGE(O581+P581)/2</f>
        <v>9</v>
      </c>
      <c r="R581" s="35"/>
      <c r="S581" s="35"/>
      <c r="T581" s="35"/>
      <c r="U581" s="82" t="e">
        <f>AVERAGE(Tableau1[[#This Row],[1ère composition]:[3è Composition]])</f>
        <v>#DIV/0!</v>
      </c>
    </row>
    <row r="582" spans="1:21" hidden="1" x14ac:dyDescent="0.2">
      <c r="A582" s="1" t="s">
        <v>3239</v>
      </c>
      <c r="B582" s="1" t="s">
        <v>3254</v>
      </c>
      <c r="C582" s="1" t="s">
        <v>3657</v>
      </c>
      <c r="D582" s="1"/>
      <c r="E582" s="1">
        <v>2021</v>
      </c>
      <c r="F582" s="1">
        <v>73</v>
      </c>
      <c r="G582" s="1">
        <v>17</v>
      </c>
      <c r="H582" s="76" t="str">
        <f>Tableau1[[#This Row],[Annee d''inscription au programme]]&amp;"-"&amp;Tableau1[[#This Row],[Code d''ecole]]&amp;"-"&amp;Tableau1[[#This Row],[Numero HM de la fille]]</f>
        <v>2021-73-17</v>
      </c>
      <c r="I582" s="1"/>
      <c r="J582" s="35"/>
      <c r="K582" s="35"/>
      <c r="L582" s="35">
        <v>16</v>
      </c>
      <c r="M582" s="35">
        <v>20</v>
      </c>
      <c r="N582" s="35">
        <f t="shared" si="18"/>
        <v>18</v>
      </c>
      <c r="O582" s="35">
        <v>5.5</v>
      </c>
      <c r="P582" s="35">
        <v>20</v>
      </c>
      <c r="Q582" s="35">
        <f t="shared" si="19"/>
        <v>12.75</v>
      </c>
      <c r="R582" s="35"/>
      <c r="S582" s="35"/>
      <c r="T582" s="35"/>
      <c r="U582" s="82" t="e">
        <f>AVERAGE(Tableau1[[#This Row],[1ère composition]:[3è Composition]])</f>
        <v>#DIV/0!</v>
      </c>
    </row>
    <row r="583" spans="1:21" hidden="1" x14ac:dyDescent="0.2">
      <c r="A583" s="1" t="s">
        <v>3239</v>
      </c>
      <c r="B583" s="1" t="s">
        <v>3255</v>
      </c>
      <c r="C583" s="1" t="s">
        <v>3648</v>
      </c>
      <c r="D583" s="1">
        <v>94237060</v>
      </c>
      <c r="E583" s="1">
        <v>2021</v>
      </c>
      <c r="F583" s="1">
        <v>73</v>
      </c>
      <c r="G583" s="1">
        <v>18</v>
      </c>
      <c r="H583" s="76" t="str">
        <f>Tableau1[[#This Row],[Annee d''inscription au programme]]&amp;"-"&amp;Tableau1[[#This Row],[Code d''ecole]]&amp;"-"&amp;Tableau1[[#This Row],[Numero HM de la fille]]</f>
        <v>2021-73-18</v>
      </c>
      <c r="I583" s="1"/>
      <c r="J583" s="35"/>
      <c r="K583" s="35"/>
      <c r="L583" s="35">
        <v>9.5</v>
      </c>
      <c r="M583" s="35">
        <v>3</v>
      </c>
      <c r="N583" s="35">
        <f t="shared" si="18"/>
        <v>6.25</v>
      </c>
      <c r="O583" s="35">
        <v>9.5</v>
      </c>
      <c r="P583" s="35">
        <v>6.5</v>
      </c>
      <c r="Q583" s="35">
        <f t="shared" si="19"/>
        <v>8</v>
      </c>
      <c r="R583" s="35"/>
      <c r="S583" s="35"/>
      <c r="T583" s="35"/>
      <c r="U583" s="82" t="e">
        <f>AVERAGE(Tableau1[[#This Row],[1ère composition]:[3è Composition]])</f>
        <v>#DIV/0!</v>
      </c>
    </row>
    <row r="584" spans="1:21" hidden="1" x14ac:dyDescent="0.2">
      <c r="A584" s="1" t="s">
        <v>3239</v>
      </c>
      <c r="B584" s="1" t="s">
        <v>3256</v>
      </c>
      <c r="C584" s="1" t="s">
        <v>3658</v>
      </c>
      <c r="D584" s="1">
        <v>84657725</v>
      </c>
      <c r="E584" s="1">
        <v>2021</v>
      </c>
      <c r="F584" s="1">
        <v>73</v>
      </c>
      <c r="G584" s="1">
        <v>19</v>
      </c>
      <c r="H584" s="76" t="str">
        <f>Tableau1[[#This Row],[Annee d''inscription au programme]]&amp;"-"&amp;Tableau1[[#This Row],[Code d''ecole]]&amp;"-"&amp;Tableau1[[#This Row],[Numero HM de la fille]]</f>
        <v>2021-73-19</v>
      </c>
      <c r="I584" s="1"/>
      <c r="J584" s="35"/>
      <c r="K584" s="35"/>
      <c r="L584" s="35">
        <v>11</v>
      </c>
      <c r="M584" s="35">
        <v>3</v>
      </c>
      <c r="N584" s="35">
        <f t="shared" si="18"/>
        <v>7</v>
      </c>
      <c r="O584" s="35">
        <v>11.5</v>
      </c>
      <c r="P584" s="35">
        <v>9</v>
      </c>
      <c r="Q584" s="35">
        <f t="shared" si="19"/>
        <v>10.25</v>
      </c>
      <c r="R584" s="35"/>
      <c r="S584" s="35"/>
      <c r="T584" s="35"/>
      <c r="U584" s="82" t="e">
        <f>AVERAGE(Tableau1[[#This Row],[1ère composition]:[3è Composition]])</f>
        <v>#DIV/0!</v>
      </c>
    </row>
    <row r="585" spans="1:21" hidden="1" x14ac:dyDescent="0.2">
      <c r="A585" s="1" t="s">
        <v>3239</v>
      </c>
      <c r="B585" s="1" t="s">
        <v>3257</v>
      </c>
      <c r="C585" s="1" t="s">
        <v>3659</v>
      </c>
      <c r="D585" s="1"/>
      <c r="E585" s="1">
        <v>2021</v>
      </c>
      <c r="F585" s="1">
        <v>73</v>
      </c>
      <c r="G585" s="1">
        <v>20</v>
      </c>
      <c r="H585" s="76" t="str">
        <f>Tableau1[[#This Row],[Annee d''inscription au programme]]&amp;"-"&amp;Tableau1[[#This Row],[Code d''ecole]]&amp;"-"&amp;Tableau1[[#This Row],[Numero HM de la fille]]</f>
        <v>2021-73-20</v>
      </c>
      <c r="I585" s="1"/>
      <c r="J585" s="35"/>
      <c r="K585" s="35"/>
      <c r="L585" s="35">
        <v>10.5</v>
      </c>
      <c r="M585" s="35">
        <v>6</v>
      </c>
      <c r="N585" s="35">
        <f t="shared" si="18"/>
        <v>8.25</v>
      </c>
      <c r="O585" s="35">
        <v>14.5</v>
      </c>
      <c r="P585" s="35">
        <v>10.5</v>
      </c>
      <c r="Q585" s="35">
        <f t="shared" si="19"/>
        <v>12.5</v>
      </c>
      <c r="R585" s="35"/>
      <c r="S585" s="35"/>
      <c r="T585" s="35"/>
      <c r="U585" s="82" t="e">
        <f>AVERAGE(Tableau1[[#This Row],[1ère composition]:[3è Composition]])</f>
        <v>#DIV/0!</v>
      </c>
    </row>
    <row r="586" spans="1:21" hidden="1" x14ac:dyDescent="0.2">
      <c r="A586" s="1" t="s">
        <v>3239</v>
      </c>
      <c r="B586" s="1" t="s">
        <v>3258</v>
      </c>
      <c r="C586" s="1" t="s">
        <v>3660</v>
      </c>
      <c r="D586" s="1">
        <v>96237072</v>
      </c>
      <c r="E586" s="1">
        <v>2021</v>
      </c>
      <c r="F586" s="1">
        <v>73</v>
      </c>
      <c r="G586" s="1">
        <v>21</v>
      </c>
      <c r="H586" s="76" t="str">
        <f>Tableau1[[#This Row],[Annee d''inscription au programme]]&amp;"-"&amp;Tableau1[[#This Row],[Code d''ecole]]&amp;"-"&amp;Tableau1[[#This Row],[Numero HM de la fille]]</f>
        <v>2021-73-21</v>
      </c>
      <c r="I586" s="1"/>
      <c r="J586" s="35"/>
      <c r="K586" s="35"/>
      <c r="L586" s="35">
        <v>4</v>
      </c>
      <c r="M586" s="35">
        <v>3.5</v>
      </c>
      <c r="N586" s="35">
        <f t="shared" si="18"/>
        <v>3.75</v>
      </c>
      <c r="O586" s="35">
        <v>6</v>
      </c>
      <c r="P586" s="35">
        <v>14</v>
      </c>
      <c r="Q586" s="35">
        <f t="shared" si="19"/>
        <v>10</v>
      </c>
      <c r="R586" s="35"/>
      <c r="S586" s="35"/>
      <c r="T586" s="35"/>
      <c r="U586" s="82" t="e">
        <f>AVERAGE(Tableau1[[#This Row],[1ère composition]:[3è Composition]])</f>
        <v>#DIV/0!</v>
      </c>
    </row>
    <row r="587" spans="1:21" hidden="1" x14ac:dyDescent="0.2">
      <c r="A587" s="1" t="s">
        <v>3239</v>
      </c>
      <c r="B587" s="1" t="s">
        <v>3259</v>
      </c>
      <c r="C587" s="1"/>
      <c r="D587" s="1">
        <v>94240862</v>
      </c>
      <c r="E587" s="1">
        <v>2021</v>
      </c>
      <c r="F587" s="1">
        <v>73</v>
      </c>
      <c r="G587" s="1">
        <v>22</v>
      </c>
      <c r="H587" s="76" t="str">
        <f>Tableau1[[#This Row],[Annee d''inscription au programme]]&amp;"-"&amp;Tableau1[[#This Row],[Code d''ecole]]&amp;"-"&amp;Tableau1[[#This Row],[Numero HM de la fille]]</f>
        <v>2021-73-22</v>
      </c>
      <c r="I587" s="1"/>
      <c r="J587" s="35"/>
      <c r="K587" s="35"/>
      <c r="L587" s="35">
        <v>13</v>
      </c>
      <c r="M587" s="35">
        <v>6</v>
      </c>
      <c r="N587" s="35">
        <f t="shared" si="18"/>
        <v>9.5</v>
      </c>
      <c r="O587" s="35">
        <v>12.5</v>
      </c>
      <c r="P587" s="35">
        <v>10.5</v>
      </c>
      <c r="Q587" s="35">
        <f t="shared" si="19"/>
        <v>11.5</v>
      </c>
      <c r="R587" s="35"/>
      <c r="S587" s="35"/>
      <c r="T587" s="35"/>
      <c r="U587" s="82" t="e">
        <f>AVERAGE(Tableau1[[#This Row],[1ère composition]:[3è Composition]])</f>
        <v>#DIV/0!</v>
      </c>
    </row>
    <row r="588" spans="1:21" hidden="1" x14ac:dyDescent="0.2">
      <c r="A588" s="1" t="s">
        <v>3239</v>
      </c>
      <c r="B588" s="1" t="s">
        <v>3260</v>
      </c>
      <c r="C588" s="1"/>
      <c r="D588" s="1"/>
      <c r="E588" s="1">
        <v>2021</v>
      </c>
      <c r="F588" s="1">
        <v>73</v>
      </c>
      <c r="G588" s="1">
        <v>23</v>
      </c>
      <c r="H588" s="76" t="str">
        <f>Tableau1[[#This Row],[Annee d''inscription au programme]]&amp;"-"&amp;Tableau1[[#This Row],[Code d''ecole]]&amp;"-"&amp;Tableau1[[#This Row],[Numero HM de la fille]]</f>
        <v>2021-73-23</v>
      </c>
      <c r="I588" s="1"/>
      <c r="J588" s="35"/>
      <c r="K588" s="35"/>
      <c r="L588" s="35">
        <v>13</v>
      </c>
      <c r="M588" s="35">
        <v>14</v>
      </c>
      <c r="N588" s="35">
        <f t="shared" si="18"/>
        <v>13.5</v>
      </c>
      <c r="O588" s="35">
        <v>14</v>
      </c>
      <c r="P588" s="35">
        <v>16.5</v>
      </c>
      <c r="Q588" s="35">
        <f t="shared" si="19"/>
        <v>15.25</v>
      </c>
      <c r="R588" s="35"/>
      <c r="S588" s="35"/>
      <c r="T588" s="35"/>
      <c r="U588" s="82" t="e">
        <f>AVERAGE(Tableau1[[#This Row],[1ère composition]:[3è Composition]])</f>
        <v>#DIV/0!</v>
      </c>
    </row>
    <row r="589" spans="1:21" hidden="1" x14ac:dyDescent="0.2">
      <c r="A589" s="1" t="s">
        <v>3239</v>
      </c>
      <c r="B589" s="1" t="s">
        <v>3261</v>
      </c>
      <c r="C589" s="1" t="s">
        <v>3648</v>
      </c>
      <c r="D589" s="1"/>
      <c r="E589" s="1">
        <v>2021</v>
      </c>
      <c r="F589" s="1">
        <v>73</v>
      </c>
      <c r="G589" s="1">
        <v>24</v>
      </c>
      <c r="H589" s="76" t="str">
        <f>Tableau1[[#This Row],[Annee d''inscription au programme]]&amp;"-"&amp;Tableau1[[#This Row],[Code d''ecole]]&amp;"-"&amp;Tableau1[[#This Row],[Numero HM de la fille]]</f>
        <v>2021-73-24</v>
      </c>
      <c r="I589" s="1"/>
      <c r="J589" s="35"/>
      <c r="K589" s="35"/>
      <c r="L589" s="35">
        <v>9.5</v>
      </c>
      <c r="M589" s="35">
        <v>9.5</v>
      </c>
      <c r="N589" s="35">
        <f t="shared" si="18"/>
        <v>9.5</v>
      </c>
      <c r="O589" s="35">
        <v>14</v>
      </c>
      <c r="P589" s="35">
        <v>18.5</v>
      </c>
      <c r="Q589" s="35">
        <f t="shared" si="19"/>
        <v>16.25</v>
      </c>
      <c r="R589" s="35"/>
      <c r="S589" s="35"/>
      <c r="T589" s="35"/>
      <c r="U589" s="82" t="e">
        <f>AVERAGE(Tableau1[[#This Row],[1ère composition]:[3è Composition]])</f>
        <v>#DIV/0!</v>
      </c>
    </row>
    <row r="590" spans="1:21" hidden="1" x14ac:dyDescent="0.2">
      <c r="A590" s="1" t="s">
        <v>3239</v>
      </c>
      <c r="B590" s="1" t="s">
        <v>3262</v>
      </c>
      <c r="C590" s="1" t="s">
        <v>3661</v>
      </c>
      <c r="D590" s="1">
        <v>95723004</v>
      </c>
      <c r="E590" s="1">
        <v>2021</v>
      </c>
      <c r="F590" s="1">
        <v>73</v>
      </c>
      <c r="G590" s="1">
        <v>25</v>
      </c>
      <c r="H590" s="76" t="str">
        <f>Tableau1[[#This Row],[Annee d''inscription au programme]]&amp;"-"&amp;Tableau1[[#This Row],[Code d''ecole]]&amp;"-"&amp;Tableau1[[#This Row],[Numero HM de la fille]]</f>
        <v>2021-73-25</v>
      </c>
      <c r="I590" s="1"/>
      <c r="J590" s="35"/>
      <c r="K590" s="35"/>
      <c r="L590" s="35">
        <v>5.5</v>
      </c>
      <c r="M590" s="35">
        <v>0</v>
      </c>
      <c r="N590" s="35">
        <f t="shared" si="18"/>
        <v>2.75</v>
      </c>
      <c r="O590" s="35">
        <v>3.5</v>
      </c>
      <c r="P590" s="35">
        <v>3</v>
      </c>
      <c r="Q590" s="35">
        <f t="shared" si="19"/>
        <v>3.25</v>
      </c>
      <c r="R590" s="35"/>
      <c r="S590" s="35"/>
      <c r="T590" s="35"/>
      <c r="U590" s="82" t="e">
        <f>AVERAGE(Tableau1[[#This Row],[1ère composition]:[3è Composition]])</f>
        <v>#DIV/0!</v>
      </c>
    </row>
    <row r="591" spans="1:21" hidden="1" x14ac:dyDescent="0.2">
      <c r="A591" s="1" t="s">
        <v>3239</v>
      </c>
      <c r="B591" s="1" t="s">
        <v>3263</v>
      </c>
      <c r="C591" s="1" t="s">
        <v>3648</v>
      </c>
      <c r="D591" s="1">
        <v>80343183</v>
      </c>
      <c r="E591" s="1">
        <v>2021</v>
      </c>
      <c r="F591" s="1">
        <v>73</v>
      </c>
      <c r="G591" s="1">
        <v>26</v>
      </c>
      <c r="H591" s="76" t="str">
        <f>Tableau1[[#This Row],[Annee d''inscription au programme]]&amp;"-"&amp;Tableau1[[#This Row],[Code d''ecole]]&amp;"-"&amp;Tableau1[[#This Row],[Numero HM de la fille]]</f>
        <v>2021-73-26</v>
      </c>
      <c r="I591" s="1"/>
      <c r="J591" s="35"/>
      <c r="K591" s="35"/>
      <c r="L591" s="35">
        <v>6</v>
      </c>
      <c r="M591" s="35">
        <v>5.5</v>
      </c>
      <c r="N591" s="35">
        <f t="shared" si="18"/>
        <v>5.75</v>
      </c>
      <c r="O591" s="35">
        <v>5</v>
      </c>
      <c r="P591" s="35">
        <v>4.5</v>
      </c>
      <c r="Q591" s="35">
        <f t="shared" si="19"/>
        <v>4.75</v>
      </c>
      <c r="R591" s="35"/>
      <c r="S591" s="35"/>
      <c r="T591" s="35"/>
      <c r="U591" s="82" t="e">
        <f>AVERAGE(Tableau1[[#This Row],[1ère composition]:[3è Composition]])</f>
        <v>#DIV/0!</v>
      </c>
    </row>
    <row r="592" spans="1:21" hidden="1" x14ac:dyDescent="0.2">
      <c r="A592" s="1" t="s">
        <v>3239</v>
      </c>
      <c r="B592" s="1" t="s">
        <v>3264</v>
      </c>
      <c r="C592" s="1" t="s">
        <v>3648</v>
      </c>
      <c r="D592" s="1">
        <v>84446416</v>
      </c>
      <c r="E592" s="1">
        <v>2021</v>
      </c>
      <c r="F592" s="1">
        <v>73</v>
      </c>
      <c r="G592" s="1">
        <v>27</v>
      </c>
      <c r="H592" s="76" t="str">
        <f>Tableau1[[#This Row],[Annee d''inscription au programme]]&amp;"-"&amp;Tableau1[[#This Row],[Code d''ecole]]&amp;"-"&amp;Tableau1[[#This Row],[Numero HM de la fille]]</f>
        <v>2021-73-27</v>
      </c>
      <c r="I592" s="1"/>
      <c r="J592" s="35"/>
      <c r="K592" s="35"/>
      <c r="L592" s="35">
        <v>0</v>
      </c>
      <c r="M592" s="35">
        <v>0</v>
      </c>
      <c r="N592" s="35">
        <f t="shared" si="18"/>
        <v>0</v>
      </c>
      <c r="O592" s="35">
        <v>6</v>
      </c>
      <c r="P592" s="35">
        <v>8.5</v>
      </c>
      <c r="Q592" s="35">
        <f t="shared" si="19"/>
        <v>7.25</v>
      </c>
      <c r="R592" s="35"/>
      <c r="S592" s="35"/>
      <c r="T592" s="35"/>
      <c r="U592" s="82" t="e">
        <f>AVERAGE(Tableau1[[#This Row],[1ère composition]:[3è Composition]])</f>
        <v>#DIV/0!</v>
      </c>
    </row>
    <row r="593" spans="1:21" hidden="1" x14ac:dyDescent="0.2">
      <c r="A593" s="1" t="s">
        <v>3239</v>
      </c>
      <c r="B593" s="1" t="s">
        <v>3265</v>
      </c>
      <c r="C593" s="1" t="s">
        <v>3648</v>
      </c>
      <c r="D593" s="1">
        <v>74534988</v>
      </c>
      <c r="E593" s="1">
        <v>2021</v>
      </c>
      <c r="F593" s="1">
        <v>73</v>
      </c>
      <c r="G593" s="1">
        <v>28</v>
      </c>
      <c r="H593" s="76" t="str">
        <f>Tableau1[[#This Row],[Annee d''inscription au programme]]&amp;"-"&amp;Tableau1[[#This Row],[Code d''ecole]]&amp;"-"&amp;Tableau1[[#This Row],[Numero HM de la fille]]</f>
        <v>2021-73-28</v>
      </c>
      <c r="I593" s="1"/>
      <c r="J593" s="35"/>
      <c r="K593" s="35"/>
      <c r="L593" s="35">
        <v>13.5</v>
      </c>
      <c r="M593" s="35">
        <v>19</v>
      </c>
      <c r="N593" s="35">
        <f t="shared" si="18"/>
        <v>16.25</v>
      </c>
      <c r="O593" s="35">
        <v>17</v>
      </c>
      <c r="P593" s="35">
        <v>20</v>
      </c>
      <c r="Q593" s="35">
        <f t="shared" si="19"/>
        <v>18.5</v>
      </c>
      <c r="R593" s="35"/>
      <c r="S593" s="35"/>
      <c r="T593" s="35"/>
      <c r="U593" s="82" t="e">
        <f>AVERAGE(Tableau1[[#This Row],[1ère composition]:[3è Composition]])</f>
        <v>#DIV/0!</v>
      </c>
    </row>
    <row r="594" spans="1:21" hidden="1" x14ac:dyDescent="0.2">
      <c r="A594" s="1" t="s">
        <v>3239</v>
      </c>
      <c r="B594" s="1" t="s">
        <v>435</v>
      </c>
      <c r="C594" s="1" t="s">
        <v>3652</v>
      </c>
      <c r="D594" s="1">
        <v>94830142</v>
      </c>
      <c r="E594" s="1">
        <v>2021</v>
      </c>
      <c r="F594" s="1">
        <v>73</v>
      </c>
      <c r="G594" s="1">
        <v>29</v>
      </c>
      <c r="H594" s="76" t="str">
        <f>Tableau1[[#This Row],[Annee d''inscription au programme]]&amp;"-"&amp;Tableau1[[#This Row],[Code d''ecole]]&amp;"-"&amp;Tableau1[[#This Row],[Numero HM de la fille]]</f>
        <v>2021-73-29</v>
      </c>
      <c r="I594" s="1"/>
      <c r="J594" s="35"/>
      <c r="K594" s="35"/>
      <c r="L594" s="35">
        <v>11</v>
      </c>
      <c r="M594" s="35">
        <v>3</v>
      </c>
      <c r="N594" s="35">
        <f t="shared" si="18"/>
        <v>7</v>
      </c>
      <c r="O594" s="35">
        <v>10</v>
      </c>
      <c r="P594" s="35">
        <v>7.5</v>
      </c>
      <c r="Q594" s="35">
        <f t="shared" si="19"/>
        <v>8.75</v>
      </c>
      <c r="R594" s="35"/>
      <c r="S594" s="35"/>
      <c r="T594" s="35"/>
      <c r="U594" s="82" t="e">
        <f>AVERAGE(Tableau1[[#This Row],[1ère composition]:[3è Composition]])</f>
        <v>#DIV/0!</v>
      </c>
    </row>
    <row r="595" spans="1:21" hidden="1" x14ac:dyDescent="0.2">
      <c r="A595" s="1" t="s">
        <v>3266</v>
      </c>
      <c r="B595" s="1" t="s">
        <v>3267</v>
      </c>
      <c r="C595" s="1" t="s">
        <v>3662</v>
      </c>
      <c r="D595" s="1"/>
      <c r="E595" s="1">
        <v>2021</v>
      </c>
      <c r="F595" s="1">
        <v>75</v>
      </c>
      <c r="G595" s="1">
        <v>1</v>
      </c>
      <c r="H595" s="76" t="str">
        <f>Tableau1[[#This Row],[Annee d''inscription au programme]]&amp;"-"&amp;Tableau1[[#This Row],[Code d''ecole]]&amp;"-"&amp;Tableau1[[#This Row],[Numero HM de la fille]]</f>
        <v>2021-75-1</v>
      </c>
      <c r="I595" s="1"/>
      <c r="J595" s="1"/>
      <c r="K595" s="35"/>
      <c r="L595" s="35">
        <v>3</v>
      </c>
      <c r="M595" s="35">
        <v>2</v>
      </c>
      <c r="N595" s="35">
        <f t="shared" si="18"/>
        <v>2.5</v>
      </c>
      <c r="O595" s="35"/>
      <c r="P595" s="35"/>
      <c r="Q595" s="35">
        <f t="shared" si="19"/>
        <v>0</v>
      </c>
      <c r="R595" s="35"/>
      <c r="S595" s="35"/>
      <c r="T595" s="35"/>
      <c r="U595" s="82" t="e">
        <f>AVERAGE(Tableau1[[#This Row],[1ère composition]:[3è Composition]])</f>
        <v>#DIV/0!</v>
      </c>
    </row>
    <row r="596" spans="1:21" hidden="1" x14ac:dyDescent="0.2">
      <c r="A596" s="1" t="s">
        <v>3266</v>
      </c>
      <c r="B596" s="1" t="s">
        <v>3268</v>
      </c>
      <c r="C596" s="1" t="s">
        <v>3662</v>
      </c>
      <c r="D596" s="1"/>
      <c r="E596" s="1">
        <v>2021</v>
      </c>
      <c r="F596" s="1">
        <v>75</v>
      </c>
      <c r="G596" s="1">
        <v>2</v>
      </c>
      <c r="H596" s="76" t="str">
        <f>Tableau1[[#This Row],[Annee d''inscription au programme]]&amp;"-"&amp;Tableau1[[#This Row],[Code d''ecole]]&amp;"-"&amp;Tableau1[[#This Row],[Numero HM de la fille]]</f>
        <v>2021-75-2</v>
      </c>
      <c r="I596" s="1"/>
      <c r="J596" s="1"/>
      <c r="K596" s="35"/>
      <c r="L596" s="35">
        <v>4</v>
      </c>
      <c r="M596" s="35">
        <v>7</v>
      </c>
      <c r="N596" s="35">
        <f t="shared" si="18"/>
        <v>5.5</v>
      </c>
      <c r="O596" s="35"/>
      <c r="P596" s="35"/>
      <c r="Q596" s="35">
        <f t="shared" si="19"/>
        <v>0</v>
      </c>
      <c r="R596" s="35"/>
      <c r="S596" s="35"/>
      <c r="T596" s="35"/>
      <c r="U596" s="82" t="e">
        <f>AVERAGE(Tableau1[[#This Row],[1ère composition]:[3è Composition]])</f>
        <v>#DIV/0!</v>
      </c>
    </row>
    <row r="597" spans="1:21" hidden="1" x14ac:dyDescent="0.2">
      <c r="A597" s="1" t="s">
        <v>3266</v>
      </c>
      <c r="B597" s="1" t="s">
        <v>3269</v>
      </c>
      <c r="C597" s="1" t="s">
        <v>3662</v>
      </c>
      <c r="D597" s="1">
        <v>96117305</v>
      </c>
      <c r="E597" s="1">
        <v>2021</v>
      </c>
      <c r="F597" s="1">
        <v>75</v>
      </c>
      <c r="G597" s="1">
        <v>3</v>
      </c>
      <c r="H597" s="76" t="str">
        <f>Tableau1[[#This Row],[Annee d''inscription au programme]]&amp;"-"&amp;Tableau1[[#This Row],[Code d''ecole]]&amp;"-"&amp;Tableau1[[#This Row],[Numero HM de la fille]]</f>
        <v>2021-75-3</v>
      </c>
      <c r="I597" s="1"/>
      <c r="J597" s="1"/>
      <c r="K597" s="35"/>
      <c r="L597" s="35">
        <v>8</v>
      </c>
      <c r="M597" s="35">
        <v>1</v>
      </c>
      <c r="N597" s="35">
        <f t="shared" si="18"/>
        <v>4.5</v>
      </c>
      <c r="O597" s="35"/>
      <c r="P597" s="35"/>
      <c r="Q597" s="35">
        <f t="shared" si="19"/>
        <v>0</v>
      </c>
      <c r="R597" s="35"/>
      <c r="S597" s="35"/>
      <c r="T597" s="35"/>
      <c r="U597" s="82" t="e">
        <f>AVERAGE(Tableau1[[#This Row],[1ère composition]:[3è Composition]])</f>
        <v>#DIV/0!</v>
      </c>
    </row>
    <row r="598" spans="1:21" hidden="1" x14ac:dyDescent="0.2">
      <c r="A598" s="1" t="s">
        <v>3266</v>
      </c>
      <c r="B598" s="1" t="s">
        <v>3270</v>
      </c>
      <c r="C598" s="1" t="s">
        <v>3663</v>
      </c>
      <c r="D598" s="1"/>
      <c r="E598" s="1">
        <v>2021</v>
      </c>
      <c r="F598" s="1">
        <v>75</v>
      </c>
      <c r="G598" s="1">
        <v>4</v>
      </c>
      <c r="H598" s="76" t="str">
        <f>Tableau1[[#This Row],[Annee d''inscription au programme]]&amp;"-"&amp;Tableau1[[#This Row],[Code d''ecole]]&amp;"-"&amp;Tableau1[[#This Row],[Numero HM de la fille]]</f>
        <v>2021-75-4</v>
      </c>
      <c r="I598" s="1"/>
      <c r="J598" s="1"/>
      <c r="K598" s="35"/>
      <c r="L598" s="35">
        <v>8</v>
      </c>
      <c r="M598" s="35">
        <v>1</v>
      </c>
      <c r="N598" s="35">
        <f t="shared" si="18"/>
        <v>4.5</v>
      </c>
      <c r="O598" s="35"/>
      <c r="P598" s="35"/>
      <c r="Q598" s="35">
        <f t="shared" si="19"/>
        <v>0</v>
      </c>
      <c r="R598" s="35"/>
      <c r="S598" s="35"/>
      <c r="T598" s="35"/>
      <c r="U598" s="82" t="e">
        <f>AVERAGE(Tableau1[[#This Row],[1ère composition]:[3è Composition]])</f>
        <v>#DIV/0!</v>
      </c>
    </row>
    <row r="599" spans="1:21" hidden="1" x14ac:dyDescent="0.2">
      <c r="A599" s="1" t="s">
        <v>3266</v>
      </c>
      <c r="B599" s="1" t="s">
        <v>3271</v>
      </c>
      <c r="C599" s="1"/>
      <c r="D599" s="1"/>
      <c r="E599" s="1">
        <v>2021</v>
      </c>
      <c r="F599" s="1">
        <v>75</v>
      </c>
      <c r="G599" s="1">
        <v>5</v>
      </c>
      <c r="H599" s="76" t="str">
        <f>Tableau1[[#This Row],[Annee d''inscription au programme]]&amp;"-"&amp;Tableau1[[#This Row],[Code d''ecole]]&amp;"-"&amp;Tableau1[[#This Row],[Numero HM de la fille]]</f>
        <v>2021-75-5</v>
      </c>
      <c r="I599" s="1"/>
      <c r="J599" s="1"/>
      <c r="K599" s="35"/>
      <c r="L599" s="35">
        <v>5</v>
      </c>
      <c r="M599" s="35">
        <v>0</v>
      </c>
      <c r="N599" s="35">
        <f t="shared" si="18"/>
        <v>2.5</v>
      </c>
      <c r="O599" s="35"/>
      <c r="P599" s="35"/>
      <c r="Q599" s="35">
        <f t="shared" si="19"/>
        <v>0</v>
      </c>
      <c r="R599" s="35"/>
      <c r="S599" s="35"/>
      <c r="T599" s="35"/>
      <c r="U599" s="82" t="e">
        <f>AVERAGE(Tableau1[[#This Row],[1ère composition]:[3è Composition]])</f>
        <v>#DIV/0!</v>
      </c>
    </row>
    <row r="600" spans="1:21" hidden="1" x14ac:dyDescent="0.2">
      <c r="A600" s="1" t="s">
        <v>3266</v>
      </c>
      <c r="B600" s="1" t="s">
        <v>3272</v>
      </c>
      <c r="C600" s="1" t="s">
        <v>3663</v>
      </c>
      <c r="D600" s="1">
        <v>84322173</v>
      </c>
      <c r="E600" s="1">
        <v>2021</v>
      </c>
      <c r="F600" s="1">
        <v>75</v>
      </c>
      <c r="G600" s="1">
        <v>6</v>
      </c>
      <c r="H600" s="76" t="str">
        <f>Tableau1[[#This Row],[Annee d''inscription au programme]]&amp;"-"&amp;Tableau1[[#This Row],[Code d''ecole]]&amp;"-"&amp;Tableau1[[#This Row],[Numero HM de la fille]]</f>
        <v>2021-75-6</v>
      </c>
      <c r="I600" s="1"/>
      <c r="J600" s="1"/>
      <c r="K600" s="35"/>
      <c r="L600" s="35">
        <v>9</v>
      </c>
      <c r="M600" s="35">
        <v>11</v>
      </c>
      <c r="N600" s="35">
        <f t="shared" si="18"/>
        <v>10</v>
      </c>
      <c r="O600" s="35"/>
      <c r="P600" s="35"/>
      <c r="Q600" s="35">
        <f t="shared" si="19"/>
        <v>0</v>
      </c>
      <c r="R600" s="35"/>
      <c r="S600" s="35"/>
      <c r="T600" s="35"/>
      <c r="U600" s="82" t="e">
        <f>AVERAGE(Tableau1[[#This Row],[1ère composition]:[3è Composition]])</f>
        <v>#DIV/0!</v>
      </c>
    </row>
    <row r="601" spans="1:21" hidden="1" x14ac:dyDescent="0.2">
      <c r="A601" s="1" t="s">
        <v>3266</v>
      </c>
      <c r="B601" s="1" t="s">
        <v>3273</v>
      </c>
      <c r="C601" s="1" t="s">
        <v>3662</v>
      </c>
      <c r="D601" s="1"/>
      <c r="E601" s="1">
        <v>2021</v>
      </c>
      <c r="F601" s="1">
        <v>75</v>
      </c>
      <c r="G601" s="1">
        <v>7</v>
      </c>
      <c r="H601" s="76" t="str">
        <f>Tableau1[[#This Row],[Annee d''inscription au programme]]&amp;"-"&amp;Tableau1[[#This Row],[Code d''ecole]]&amp;"-"&amp;Tableau1[[#This Row],[Numero HM de la fille]]</f>
        <v>2021-75-7</v>
      </c>
      <c r="I601" s="1"/>
      <c r="J601" s="1"/>
      <c r="K601" s="35"/>
      <c r="L601" s="35">
        <v>2</v>
      </c>
      <c r="M601" s="35">
        <v>0</v>
      </c>
      <c r="N601" s="35">
        <f t="shared" si="18"/>
        <v>1</v>
      </c>
      <c r="O601" s="35"/>
      <c r="P601" s="35"/>
      <c r="Q601" s="35">
        <f t="shared" si="19"/>
        <v>0</v>
      </c>
      <c r="R601" s="35"/>
      <c r="S601" s="35"/>
      <c r="T601" s="35"/>
      <c r="U601" s="82" t="e">
        <f>AVERAGE(Tableau1[[#This Row],[1ère composition]:[3è Composition]])</f>
        <v>#DIV/0!</v>
      </c>
    </row>
    <row r="602" spans="1:21" hidden="1" x14ac:dyDescent="0.2">
      <c r="A602" s="1" t="s">
        <v>3266</v>
      </c>
      <c r="B602" s="1" t="s">
        <v>2752</v>
      </c>
      <c r="C602" s="1" t="s">
        <v>3662</v>
      </c>
      <c r="D602" s="1"/>
      <c r="E602" s="1">
        <v>2021</v>
      </c>
      <c r="F602" s="1">
        <v>75</v>
      </c>
      <c r="G602" s="1">
        <v>8</v>
      </c>
      <c r="H602" s="76" t="str">
        <f>Tableau1[[#This Row],[Annee d''inscription au programme]]&amp;"-"&amp;Tableau1[[#This Row],[Code d''ecole]]&amp;"-"&amp;Tableau1[[#This Row],[Numero HM de la fille]]</f>
        <v>2021-75-8</v>
      </c>
      <c r="I602" s="1"/>
      <c r="J602" s="35"/>
      <c r="K602" s="35"/>
      <c r="L602" s="35">
        <v>0</v>
      </c>
      <c r="M602" s="35">
        <v>0</v>
      </c>
      <c r="N602" s="35">
        <f t="shared" si="18"/>
        <v>0</v>
      </c>
      <c r="O602" s="35"/>
      <c r="P602" s="35"/>
      <c r="Q602" s="35">
        <f t="shared" si="19"/>
        <v>0</v>
      </c>
      <c r="R602" s="35"/>
      <c r="S602" s="35"/>
      <c r="T602" s="35"/>
      <c r="U602" s="82" t="e">
        <f>AVERAGE(Tableau1[[#This Row],[1ère composition]:[3è Composition]])</f>
        <v>#DIV/0!</v>
      </c>
    </row>
    <row r="603" spans="1:21" hidden="1" x14ac:dyDescent="0.2">
      <c r="A603" s="1" t="s">
        <v>3266</v>
      </c>
      <c r="B603" s="1" t="s">
        <v>843</v>
      </c>
      <c r="C603" s="1" t="s">
        <v>3662</v>
      </c>
      <c r="D603" s="1">
        <v>94460679</v>
      </c>
      <c r="E603" s="1">
        <v>2021</v>
      </c>
      <c r="F603" s="1">
        <v>75</v>
      </c>
      <c r="G603" s="1">
        <v>9</v>
      </c>
      <c r="H603" s="76" t="str">
        <f>Tableau1[[#This Row],[Annee d''inscription au programme]]&amp;"-"&amp;Tableau1[[#This Row],[Code d''ecole]]&amp;"-"&amp;Tableau1[[#This Row],[Numero HM de la fille]]</f>
        <v>2021-75-9</v>
      </c>
      <c r="I603" s="1"/>
      <c r="J603" s="1"/>
      <c r="K603" s="35"/>
      <c r="L603" s="35">
        <v>8.5</v>
      </c>
      <c r="M603" s="35">
        <v>2</v>
      </c>
      <c r="N603" s="35">
        <f t="shared" si="18"/>
        <v>5.25</v>
      </c>
      <c r="O603" s="35"/>
      <c r="P603" s="35"/>
      <c r="Q603" s="35">
        <f t="shared" si="19"/>
        <v>0</v>
      </c>
      <c r="R603" s="35"/>
      <c r="S603" s="35"/>
      <c r="T603" s="35"/>
      <c r="U603" s="82" t="e">
        <f>AVERAGE(Tableau1[[#This Row],[1ère composition]:[3è Composition]])</f>
        <v>#DIV/0!</v>
      </c>
    </row>
    <row r="604" spans="1:21" hidden="1" x14ac:dyDescent="0.2">
      <c r="A604" s="1" t="s">
        <v>3266</v>
      </c>
      <c r="B604" s="1" t="s">
        <v>3274</v>
      </c>
      <c r="C604" s="1" t="s">
        <v>3662</v>
      </c>
      <c r="D604" s="1"/>
      <c r="E604" s="1">
        <v>2021</v>
      </c>
      <c r="F604" s="1">
        <v>75</v>
      </c>
      <c r="G604" s="1">
        <v>10</v>
      </c>
      <c r="H604" s="76" t="str">
        <f>Tableau1[[#This Row],[Annee d''inscription au programme]]&amp;"-"&amp;Tableau1[[#This Row],[Code d''ecole]]&amp;"-"&amp;Tableau1[[#This Row],[Numero HM de la fille]]</f>
        <v>2021-75-10</v>
      </c>
      <c r="I604" s="1"/>
      <c r="J604" s="1"/>
      <c r="K604" s="35"/>
      <c r="L604" s="35">
        <v>5</v>
      </c>
      <c r="M604" s="35">
        <v>0</v>
      </c>
      <c r="N604" s="35">
        <f t="shared" si="18"/>
        <v>2.5</v>
      </c>
      <c r="O604" s="35"/>
      <c r="P604" s="35"/>
      <c r="Q604" s="35">
        <f t="shared" si="19"/>
        <v>0</v>
      </c>
      <c r="R604" s="35"/>
      <c r="S604" s="35"/>
      <c r="T604" s="35"/>
      <c r="U604" s="82" t="e">
        <f>AVERAGE(Tableau1[[#This Row],[1ère composition]:[3è Composition]])</f>
        <v>#DIV/0!</v>
      </c>
    </row>
    <row r="605" spans="1:21" hidden="1" x14ac:dyDescent="0.2">
      <c r="A605" s="1" t="s">
        <v>3266</v>
      </c>
      <c r="B605" s="1" t="s">
        <v>3275</v>
      </c>
      <c r="C605" s="1" t="s">
        <v>3663</v>
      </c>
      <c r="D605" s="1"/>
      <c r="E605" s="1">
        <v>2021</v>
      </c>
      <c r="F605" s="1">
        <v>75</v>
      </c>
      <c r="G605" s="1">
        <v>11</v>
      </c>
      <c r="H605" s="76" t="str">
        <f>Tableau1[[#This Row],[Annee d''inscription au programme]]&amp;"-"&amp;Tableau1[[#This Row],[Code d''ecole]]&amp;"-"&amp;Tableau1[[#This Row],[Numero HM de la fille]]</f>
        <v>2021-75-11</v>
      </c>
      <c r="I605" s="1"/>
      <c r="J605" s="1"/>
      <c r="K605" s="35"/>
      <c r="L605" s="35">
        <v>6.5</v>
      </c>
      <c r="M605" s="35">
        <v>0</v>
      </c>
      <c r="N605" s="35">
        <f t="shared" si="18"/>
        <v>3.25</v>
      </c>
      <c r="O605" s="35"/>
      <c r="P605" s="35"/>
      <c r="Q605" s="35">
        <f t="shared" si="19"/>
        <v>0</v>
      </c>
      <c r="R605" s="35"/>
      <c r="S605" s="35"/>
      <c r="T605" s="35"/>
      <c r="U605" s="82" t="e">
        <f>AVERAGE(Tableau1[[#This Row],[1ère composition]:[3è Composition]])</f>
        <v>#DIV/0!</v>
      </c>
    </row>
    <row r="606" spans="1:21" hidden="1" x14ac:dyDescent="0.2">
      <c r="A606" s="1" t="s">
        <v>3266</v>
      </c>
      <c r="B606" s="1" t="s">
        <v>3664</v>
      </c>
      <c r="C606" s="1" t="s">
        <v>3662</v>
      </c>
      <c r="D606" s="1"/>
      <c r="E606" s="1">
        <v>2021</v>
      </c>
      <c r="F606" s="1">
        <v>75</v>
      </c>
      <c r="G606" s="1">
        <v>12</v>
      </c>
      <c r="H606" s="76" t="str">
        <f>Tableau1[[#This Row],[Annee d''inscription au programme]]&amp;"-"&amp;Tableau1[[#This Row],[Code d''ecole]]&amp;"-"&amp;Tableau1[[#This Row],[Numero HM de la fille]]</f>
        <v>2021-75-12</v>
      </c>
      <c r="I606" s="1"/>
      <c r="J606" s="1"/>
      <c r="K606" s="35"/>
      <c r="L606" s="35">
        <v>1</v>
      </c>
      <c r="M606" s="35">
        <v>1</v>
      </c>
      <c r="N606" s="35">
        <f t="shared" si="18"/>
        <v>1</v>
      </c>
      <c r="O606" s="35"/>
      <c r="P606" s="35"/>
      <c r="Q606" s="35">
        <f t="shared" si="19"/>
        <v>0</v>
      </c>
      <c r="R606" s="35"/>
      <c r="S606" s="35"/>
      <c r="T606" s="35"/>
      <c r="U606" s="82" t="e">
        <f>AVERAGE(Tableau1[[#This Row],[1ère composition]:[3è Composition]])</f>
        <v>#DIV/0!</v>
      </c>
    </row>
    <row r="607" spans="1:21" hidden="1" x14ac:dyDescent="0.2">
      <c r="A607" s="1" t="s">
        <v>3266</v>
      </c>
      <c r="B607" s="1" t="s">
        <v>3276</v>
      </c>
      <c r="C607" s="1" t="s">
        <v>3662</v>
      </c>
      <c r="D607" s="1"/>
      <c r="E607" s="1">
        <v>2021</v>
      </c>
      <c r="F607" s="1">
        <v>75</v>
      </c>
      <c r="G607" s="1">
        <v>13</v>
      </c>
      <c r="H607" s="76" t="str">
        <f>Tableau1[[#This Row],[Annee d''inscription au programme]]&amp;"-"&amp;Tableau1[[#This Row],[Code d''ecole]]&amp;"-"&amp;Tableau1[[#This Row],[Numero HM de la fille]]</f>
        <v>2021-75-13</v>
      </c>
      <c r="I607" s="1"/>
      <c r="J607" s="1"/>
      <c r="K607" s="35"/>
      <c r="L607" s="35">
        <v>0</v>
      </c>
      <c r="M607" s="35">
        <v>0</v>
      </c>
      <c r="N607" s="35">
        <f t="shared" si="18"/>
        <v>0</v>
      </c>
      <c r="O607" s="35"/>
      <c r="P607" s="35"/>
      <c r="Q607" s="35">
        <f t="shared" si="19"/>
        <v>0</v>
      </c>
      <c r="R607" s="35"/>
      <c r="S607" s="35"/>
      <c r="T607" s="35"/>
      <c r="U607" s="82" t="e">
        <f>AVERAGE(Tableau1[[#This Row],[1ère composition]:[3è Composition]])</f>
        <v>#DIV/0!</v>
      </c>
    </row>
    <row r="608" spans="1:21" hidden="1" x14ac:dyDescent="0.2">
      <c r="A608" s="1" t="s">
        <v>3266</v>
      </c>
      <c r="B608" s="1" t="s">
        <v>3665</v>
      </c>
      <c r="C608" s="1" t="s">
        <v>3662</v>
      </c>
      <c r="D608" s="1">
        <v>96664991</v>
      </c>
      <c r="E608" s="1">
        <v>2021</v>
      </c>
      <c r="F608" s="1">
        <v>75</v>
      </c>
      <c r="G608" s="1">
        <v>14</v>
      </c>
      <c r="H608" s="76" t="str">
        <f>Tableau1[[#This Row],[Annee d''inscription au programme]]&amp;"-"&amp;Tableau1[[#This Row],[Code d''ecole]]&amp;"-"&amp;Tableau1[[#This Row],[Numero HM de la fille]]</f>
        <v>2021-75-14</v>
      </c>
      <c r="I608" s="1"/>
      <c r="J608" s="1"/>
      <c r="K608" s="35"/>
      <c r="L608" s="35">
        <v>4</v>
      </c>
      <c r="M608" s="35">
        <v>3.5</v>
      </c>
      <c r="N608" s="35">
        <f t="shared" si="18"/>
        <v>3.75</v>
      </c>
      <c r="O608" s="35"/>
      <c r="P608" s="35"/>
      <c r="Q608" s="35">
        <f t="shared" si="19"/>
        <v>0</v>
      </c>
      <c r="R608" s="35"/>
      <c r="S608" s="35"/>
      <c r="T608" s="35"/>
      <c r="U608" s="82" t="e">
        <f>AVERAGE(Tableau1[[#This Row],[1ère composition]:[3è Composition]])</f>
        <v>#DIV/0!</v>
      </c>
    </row>
    <row r="609" spans="1:21" hidden="1" x14ac:dyDescent="0.2">
      <c r="A609" s="1" t="s">
        <v>3266</v>
      </c>
      <c r="B609" s="1" t="s">
        <v>2632</v>
      </c>
      <c r="C609" s="1" t="s">
        <v>3662</v>
      </c>
      <c r="D609" s="1"/>
      <c r="E609" s="1">
        <v>2021</v>
      </c>
      <c r="F609" s="1">
        <v>75</v>
      </c>
      <c r="G609" s="1">
        <v>15</v>
      </c>
      <c r="H609" s="76" t="str">
        <f>Tableau1[[#This Row],[Annee d''inscription au programme]]&amp;"-"&amp;Tableau1[[#This Row],[Code d''ecole]]&amp;"-"&amp;Tableau1[[#This Row],[Numero HM de la fille]]</f>
        <v>2021-75-15</v>
      </c>
      <c r="I609" s="1"/>
      <c r="J609" s="1"/>
      <c r="K609" s="35"/>
      <c r="L609" s="35">
        <v>6</v>
      </c>
      <c r="M609" s="35">
        <v>0.75</v>
      </c>
      <c r="N609" s="35">
        <f t="shared" si="18"/>
        <v>3.375</v>
      </c>
      <c r="O609" s="35"/>
      <c r="P609" s="35"/>
      <c r="Q609" s="35">
        <f t="shared" si="19"/>
        <v>0</v>
      </c>
      <c r="R609" s="35"/>
      <c r="S609" s="35"/>
      <c r="T609" s="35"/>
      <c r="U609" s="82" t="e">
        <f>AVERAGE(Tableau1[[#This Row],[1ère composition]:[3è Composition]])</f>
        <v>#DIV/0!</v>
      </c>
    </row>
    <row r="610" spans="1:21" hidden="1" x14ac:dyDescent="0.2">
      <c r="A610" s="1" t="s">
        <v>3266</v>
      </c>
      <c r="B610" s="1" t="s">
        <v>3277</v>
      </c>
      <c r="C610" s="1"/>
      <c r="D610" s="1"/>
      <c r="E610" s="1">
        <v>2021</v>
      </c>
      <c r="F610" s="1">
        <v>75</v>
      </c>
      <c r="G610" s="1">
        <v>16</v>
      </c>
      <c r="H610" s="76" t="str">
        <f>Tableau1[[#This Row],[Annee d''inscription au programme]]&amp;"-"&amp;Tableau1[[#This Row],[Code d''ecole]]&amp;"-"&amp;Tableau1[[#This Row],[Numero HM de la fille]]</f>
        <v>2021-75-16</v>
      </c>
      <c r="I610" s="1"/>
      <c r="J610" s="1"/>
      <c r="K610" s="35"/>
      <c r="L610" s="35">
        <v>0.5</v>
      </c>
      <c r="M610" s="35">
        <v>0.5</v>
      </c>
      <c r="N610" s="35">
        <f t="shared" si="18"/>
        <v>0.5</v>
      </c>
      <c r="O610" s="35"/>
      <c r="P610" s="35"/>
      <c r="Q610" s="35">
        <f t="shared" si="19"/>
        <v>0</v>
      </c>
      <c r="R610" s="35"/>
      <c r="S610" s="35"/>
      <c r="T610" s="35"/>
      <c r="U610" s="82" t="e">
        <f>AVERAGE(Tableau1[[#This Row],[1ère composition]:[3è Composition]])</f>
        <v>#DIV/0!</v>
      </c>
    </row>
    <row r="611" spans="1:21" hidden="1" x14ac:dyDescent="0.2">
      <c r="A611" s="1" t="s">
        <v>3266</v>
      </c>
      <c r="B611" s="1" t="s">
        <v>3278</v>
      </c>
      <c r="C611" s="1" t="s">
        <v>3662</v>
      </c>
      <c r="D611" s="1"/>
      <c r="E611" s="1">
        <v>2021</v>
      </c>
      <c r="F611" s="1">
        <v>75</v>
      </c>
      <c r="G611" s="1">
        <v>17</v>
      </c>
      <c r="H611" s="76" t="str">
        <f>Tableau1[[#This Row],[Annee d''inscription au programme]]&amp;"-"&amp;Tableau1[[#This Row],[Code d''ecole]]&amp;"-"&amp;Tableau1[[#This Row],[Numero HM de la fille]]</f>
        <v>2021-75-17</v>
      </c>
      <c r="I611" s="1"/>
      <c r="J611" s="1"/>
      <c r="K611" s="35"/>
      <c r="L611" s="35">
        <v>1.5</v>
      </c>
      <c r="M611" s="35">
        <v>0.25</v>
      </c>
      <c r="N611" s="35">
        <f t="shared" si="18"/>
        <v>0.875</v>
      </c>
      <c r="O611" s="35"/>
      <c r="P611" s="35"/>
      <c r="Q611" s="35">
        <f t="shared" si="19"/>
        <v>0</v>
      </c>
      <c r="R611" s="35"/>
      <c r="S611" s="35"/>
      <c r="T611" s="35"/>
      <c r="U611" s="82" t="e">
        <f>AVERAGE(Tableau1[[#This Row],[1ère composition]:[3è Composition]])</f>
        <v>#DIV/0!</v>
      </c>
    </row>
    <row r="612" spans="1:21" hidden="1" x14ac:dyDescent="0.2">
      <c r="A612" s="1" t="s">
        <v>3266</v>
      </c>
      <c r="B612" s="1" t="s">
        <v>3279</v>
      </c>
      <c r="C612" s="1" t="s">
        <v>3662</v>
      </c>
      <c r="D612" s="1"/>
      <c r="E612" s="1">
        <v>2021</v>
      </c>
      <c r="F612" s="1">
        <v>75</v>
      </c>
      <c r="G612" s="1">
        <v>18</v>
      </c>
      <c r="H612" s="76" t="str">
        <f>Tableau1[[#This Row],[Annee d''inscription au programme]]&amp;"-"&amp;Tableau1[[#This Row],[Code d''ecole]]&amp;"-"&amp;Tableau1[[#This Row],[Numero HM de la fille]]</f>
        <v>2021-75-18</v>
      </c>
      <c r="I612" s="1"/>
      <c r="J612" s="1"/>
      <c r="K612" s="35"/>
      <c r="L612" s="35">
        <v>12</v>
      </c>
      <c r="M612" s="35">
        <v>11</v>
      </c>
      <c r="N612" s="35">
        <f t="shared" si="18"/>
        <v>11.5</v>
      </c>
      <c r="O612" s="35"/>
      <c r="P612" s="35"/>
      <c r="Q612" s="35">
        <f t="shared" si="19"/>
        <v>0</v>
      </c>
      <c r="R612" s="35"/>
      <c r="S612" s="35"/>
      <c r="T612" s="35"/>
      <c r="U612" s="82" t="e">
        <f>AVERAGE(Tableau1[[#This Row],[1ère composition]:[3è Composition]])</f>
        <v>#DIV/0!</v>
      </c>
    </row>
    <row r="613" spans="1:21" hidden="1" x14ac:dyDescent="0.2">
      <c r="A613" s="1" t="s">
        <v>3266</v>
      </c>
      <c r="B613" s="1" t="s">
        <v>3280</v>
      </c>
      <c r="C613" s="1" t="s">
        <v>3663</v>
      </c>
      <c r="D613" s="1">
        <v>96053999</v>
      </c>
      <c r="E613" s="1">
        <v>2021</v>
      </c>
      <c r="F613" s="1">
        <v>75</v>
      </c>
      <c r="G613" s="1">
        <v>19</v>
      </c>
      <c r="H613" s="76" t="str">
        <f>Tableau1[[#This Row],[Annee d''inscription au programme]]&amp;"-"&amp;Tableau1[[#This Row],[Code d''ecole]]&amp;"-"&amp;Tableau1[[#This Row],[Numero HM de la fille]]</f>
        <v>2021-75-19</v>
      </c>
      <c r="I613" s="1"/>
      <c r="J613" s="1"/>
      <c r="K613" s="35"/>
      <c r="L613" s="35">
        <v>5</v>
      </c>
      <c r="M613" s="35">
        <v>2</v>
      </c>
      <c r="N613" s="35">
        <f t="shared" si="18"/>
        <v>3.5</v>
      </c>
      <c r="O613" s="35"/>
      <c r="P613" s="35"/>
      <c r="Q613" s="35">
        <f t="shared" si="19"/>
        <v>0</v>
      </c>
      <c r="R613" s="35"/>
      <c r="S613" s="35"/>
      <c r="T613" s="35"/>
      <c r="U613" s="82" t="e">
        <f>AVERAGE(Tableau1[[#This Row],[1ère composition]:[3è Composition]])</f>
        <v>#DIV/0!</v>
      </c>
    </row>
    <row r="614" spans="1:21" hidden="1" x14ac:dyDescent="0.2">
      <c r="A614" s="1" t="s">
        <v>3266</v>
      </c>
      <c r="B614" s="1" t="s">
        <v>3281</v>
      </c>
      <c r="C614" s="1" t="s">
        <v>3662</v>
      </c>
      <c r="D614" s="1">
        <v>94737920</v>
      </c>
      <c r="E614" s="1">
        <v>2021</v>
      </c>
      <c r="F614" s="1">
        <v>75</v>
      </c>
      <c r="G614" s="1">
        <v>20</v>
      </c>
      <c r="H614" s="76" t="str">
        <f>Tableau1[[#This Row],[Annee d''inscription au programme]]&amp;"-"&amp;Tableau1[[#This Row],[Code d''ecole]]&amp;"-"&amp;Tableau1[[#This Row],[Numero HM de la fille]]</f>
        <v>2021-75-20</v>
      </c>
      <c r="I614" s="1"/>
      <c r="J614" s="1"/>
      <c r="K614" s="35"/>
      <c r="L614" s="35">
        <v>0</v>
      </c>
      <c r="M614" s="35">
        <v>0</v>
      </c>
      <c r="N614" s="35">
        <f t="shared" si="18"/>
        <v>0</v>
      </c>
      <c r="O614" s="35"/>
      <c r="P614" s="35"/>
      <c r="Q614" s="35">
        <f t="shared" si="19"/>
        <v>0</v>
      </c>
      <c r="R614" s="35"/>
      <c r="S614" s="35"/>
      <c r="T614" s="35"/>
      <c r="U614" s="82" t="e">
        <f>AVERAGE(Tableau1[[#This Row],[1ère composition]:[3è Composition]])</f>
        <v>#DIV/0!</v>
      </c>
    </row>
    <row r="615" spans="1:21" hidden="1" x14ac:dyDescent="0.2">
      <c r="A615" s="1" t="s">
        <v>3266</v>
      </c>
      <c r="B615" s="1" t="s">
        <v>3282</v>
      </c>
      <c r="C615" s="1" t="s">
        <v>3662</v>
      </c>
      <c r="D615" s="1">
        <v>94438216</v>
      </c>
      <c r="E615" s="1">
        <v>2021</v>
      </c>
      <c r="F615" s="1">
        <v>75</v>
      </c>
      <c r="G615" s="1">
        <v>21</v>
      </c>
      <c r="H615" s="76" t="str">
        <f>Tableau1[[#This Row],[Annee d''inscription au programme]]&amp;"-"&amp;Tableau1[[#This Row],[Code d''ecole]]&amp;"-"&amp;Tableau1[[#This Row],[Numero HM de la fille]]</f>
        <v>2021-75-21</v>
      </c>
      <c r="I615" s="1"/>
      <c r="J615" s="1"/>
      <c r="K615" s="35"/>
      <c r="L615" s="35">
        <v>4</v>
      </c>
      <c r="M615" s="35">
        <v>1</v>
      </c>
      <c r="N615" s="35">
        <f t="shared" si="18"/>
        <v>2.5</v>
      </c>
      <c r="O615" s="35"/>
      <c r="P615" s="35"/>
      <c r="Q615" s="35">
        <f t="shared" si="19"/>
        <v>0</v>
      </c>
      <c r="R615" s="35"/>
      <c r="S615" s="35"/>
      <c r="T615" s="35"/>
      <c r="U615" s="82" t="e">
        <f>AVERAGE(Tableau1[[#This Row],[1ère composition]:[3è Composition]])</f>
        <v>#DIV/0!</v>
      </c>
    </row>
    <row r="616" spans="1:21" hidden="1" x14ac:dyDescent="0.2">
      <c r="A616" s="1" t="s">
        <v>3266</v>
      </c>
      <c r="B616" s="1" t="s">
        <v>3283</v>
      </c>
      <c r="C616" s="1" t="s">
        <v>3662</v>
      </c>
      <c r="D616" s="1">
        <v>94185856</v>
      </c>
      <c r="E616" s="1">
        <v>2021</v>
      </c>
      <c r="F616" s="1">
        <v>75</v>
      </c>
      <c r="G616" s="1">
        <v>22</v>
      </c>
      <c r="H616" s="76" t="str">
        <f>Tableau1[[#This Row],[Annee d''inscription au programme]]&amp;"-"&amp;Tableau1[[#This Row],[Code d''ecole]]&amp;"-"&amp;Tableau1[[#This Row],[Numero HM de la fille]]</f>
        <v>2021-75-22</v>
      </c>
      <c r="I616" s="1"/>
      <c r="J616" s="1"/>
      <c r="K616" s="35"/>
      <c r="L616" s="35">
        <v>0</v>
      </c>
      <c r="M616" s="35">
        <v>0</v>
      </c>
      <c r="N616" s="35">
        <f t="shared" si="18"/>
        <v>0</v>
      </c>
      <c r="O616" s="35"/>
      <c r="P616" s="35"/>
      <c r="Q616" s="35">
        <f t="shared" si="19"/>
        <v>0</v>
      </c>
      <c r="R616" s="35"/>
      <c r="S616" s="35"/>
      <c r="T616" s="35"/>
      <c r="U616" s="82" t="e">
        <f>AVERAGE(Tableau1[[#This Row],[1ère composition]:[3è Composition]])</f>
        <v>#DIV/0!</v>
      </c>
    </row>
    <row r="617" spans="1:21" hidden="1" x14ac:dyDescent="0.2">
      <c r="A617" s="1" t="s">
        <v>3266</v>
      </c>
      <c r="B617" s="1" t="s">
        <v>3284</v>
      </c>
      <c r="C617" s="1" t="s">
        <v>3662</v>
      </c>
      <c r="D617" s="1">
        <v>96319056</v>
      </c>
      <c r="E617" s="1">
        <v>2021</v>
      </c>
      <c r="F617" s="1">
        <v>75</v>
      </c>
      <c r="G617" s="1">
        <v>23</v>
      </c>
      <c r="H617" s="76" t="str">
        <f>Tableau1[[#This Row],[Annee d''inscription au programme]]&amp;"-"&amp;Tableau1[[#This Row],[Code d''ecole]]&amp;"-"&amp;Tableau1[[#This Row],[Numero HM de la fille]]</f>
        <v>2021-75-23</v>
      </c>
      <c r="I617" s="1"/>
      <c r="J617" s="1"/>
      <c r="K617" s="35"/>
      <c r="L617" s="35">
        <v>0</v>
      </c>
      <c r="M617" s="35">
        <v>0</v>
      </c>
      <c r="N617" s="35">
        <f t="shared" si="18"/>
        <v>0</v>
      </c>
      <c r="O617" s="35">
        <v>0</v>
      </c>
      <c r="P617" s="35"/>
      <c r="Q617" s="35">
        <f t="shared" si="19"/>
        <v>0</v>
      </c>
      <c r="R617" s="35"/>
      <c r="S617" s="35"/>
      <c r="T617" s="35"/>
      <c r="U617" s="82" t="e">
        <f>AVERAGE(Tableau1[[#This Row],[1ère composition]:[3è Composition]])</f>
        <v>#DIV/0!</v>
      </c>
    </row>
    <row r="618" spans="1:21" hidden="1" x14ac:dyDescent="0.2">
      <c r="A618" s="1" t="s">
        <v>3507</v>
      </c>
      <c r="B618" s="1" t="s">
        <v>3285</v>
      </c>
      <c r="C618" s="1"/>
      <c r="D618" s="1">
        <v>90576454</v>
      </c>
      <c r="E618" s="1">
        <v>2021</v>
      </c>
      <c r="F618" s="1">
        <v>39</v>
      </c>
      <c r="G618" s="1">
        <v>1</v>
      </c>
      <c r="H618" s="76" t="str">
        <f>Tableau1[[#This Row],[Annee d''inscription au programme]]&amp;"-"&amp;Tableau1[[#This Row],[Code d''ecole]]&amp;"-"&amp;Tableau1[[#This Row],[Numero HM de la fille]]</f>
        <v>2021-39-1</v>
      </c>
      <c r="I618" s="1"/>
      <c r="J618" s="1" t="s">
        <v>297</v>
      </c>
      <c r="K618" s="35" t="s">
        <v>298</v>
      </c>
      <c r="L618" s="35">
        <v>15</v>
      </c>
      <c r="M618" s="35">
        <v>15</v>
      </c>
      <c r="N618" s="35">
        <f t="shared" si="18"/>
        <v>15</v>
      </c>
      <c r="O618" s="35">
        <v>14</v>
      </c>
      <c r="P618" s="35">
        <v>15.5</v>
      </c>
      <c r="Q618" s="35">
        <f t="shared" si="19"/>
        <v>14.75</v>
      </c>
      <c r="R618" s="35"/>
      <c r="S618" s="35"/>
      <c r="T618" s="35"/>
      <c r="U618" s="82" t="e">
        <f>AVERAGE(Tableau1[[#This Row],[1ère composition]:[3è Composition]])</f>
        <v>#DIV/0!</v>
      </c>
    </row>
    <row r="619" spans="1:21" hidden="1" x14ac:dyDescent="0.2">
      <c r="A619" s="1" t="s">
        <v>3507</v>
      </c>
      <c r="B619" s="1" t="s">
        <v>3508</v>
      </c>
      <c r="C619" s="77"/>
      <c r="D619" s="78"/>
      <c r="E619" s="1">
        <v>2021</v>
      </c>
      <c r="F619" s="1">
        <v>39</v>
      </c>
      <c r="G619" s="78">
        <v>2</v>
      </c>
      <c r="H619" s="76" t="str">
        <f>Tableau1[[#This Row],[Annee d''inscription au programme]]&amp;"-"&amp;Tableau1[[#This Row],[Code d''ecole]]&amp;"-"&amp;Tableau1[[#This Row],[Numero HM de la fille]]</f>
        <v>2021-39-2</v>
      </c>
      <c r="I619" s="1"/>
      <c r="J619" s="1" t="s">
        <v>297</v>
      </c>
      <c r="K619" s="35" t="s">
        <v>298</v>
      </c>
      <c r="L619" s="35">
        <v>0</v>
      </c>
      <c r="M619" s="35">
        <v>0</v>
      </c>
      <c r="N619" s="35">
        <f t="shared" si="18"/>
        <v>0</v>
      </c>
      <c r="O619" s="35">
        <v>0</v>
      </c>
      <c r="P619" s="35"/>
      <c r="Q619" s="35">
        <f t="shared" si="19"/>
        <v>0</v>
      </c>
      <c r="R619" s="35"/>
      <c r="S619" s="35"/>
      <c r="T619" s="35"/>
      <c r="U619" s="82" t="e">
        <f>AVERAGE(Tableau1[[#This Row],[1ère composition]:[3è Composition]])</f>
        <v>#DIV/0!</v>
      </c>
    </row>
    <row r="620" spans="1:21" hidden="1" x14ac:dyDescent="0.2">
      <c r="A620" s="1" t="s">
        <v>3507</v>
      </c>
      <c r="B620" s="1" t="s">
        <v>3509</v>
      </c>
      <c r="C620" s="1"/>
      <c r="D620" s="1">
        <v>96617357</v>
      </c>
      <c r="E620" s="1">
        <v>2021</v>
      </c>
      <c r="F620" s="1">
        <v>39</v>
      </c>
      <c r="G620" s="1">
        <v>3</v>
      </c>
      <c r="H620" s="76" t="str">
        <f>Tableau1[[#This Row],[Annee d''inscription au programme]]&amp;"-"&amp;Tableau1[[#This Row],[Code d''ecole]]&amp;"-"&amp;Tableau1[[#This Row],[Numero HM de la fille]]</f>
        <v>2021-39-3</v>
      </c>
      <c r="I620" s="1"/>
      <c r="J620" s="1" t="s">
        <v>297</v>
      </c>
      <c r="K620" s="35" t="s">
        <v>298</v>
      </c>
      <c r="L620" s="35">
        <v>0</v>
      </c>
      <c r="M620" s="35">
        <v>0</v>
      </c>
      <c r="N620" s="35">
        <f t="shared" si="18"/>
        <v>0</v>
      </c>
      <c r="O620" s="35">
        <v>5.5</v>
      </c>
      <c r="P620" s="35">
        <v>4.5</v>
      </c>
      <c r="Q620" s="35">
        <f t="shared" si="19"/>
        <v>5</v>
      </c>
      <c r="R620" s="35"/>
      <c r="S620" s="35"/>
      <c r="T620" s="35"/>
      <c r="U620" s="82" t="e">
        <f>AVERAGE(Tableau1[[#This Row],[1ère composition]:[3è Composition]])</f>
        <v>#DIV/0!</v>
      </c>
    </row>
    <row r="621" spans="1:21" hidden="1" x14ac:dyDescent="0.2">
      <c r="A621" s="1" t="s">
        <v>3507</v>
      </c>
      <c r="B621" s="1" t="s">
        <v>3288</v>
      </c>
      <c r="C621" s="1"/>
      <c r="D621" s="1">
        <v>96617357</v>
      </c>
      <c r="E621" s="1">
        <v>2021</v>
      </c>
      <c r="F621" s="1">
        <v>39</v>
      </c>
      <c r="G621" s="1">
        <v>4</v>
      </c>
      <c r="H621" s="76" t="str">
        <f>Tableau1[[#This Row],[Annee d''inscription au programme]]&amp;"-"&amp;Tableau1[[#This Row],[Code d''ecole]]&amp;"-"&amp;Tableau1[[#This Row],[Numero HM de la fille]]</f>
        <v>2021-39-4</v>
      </c>
      <c r="I621" s="1"/>
      <c r="J621" s="1" t="s">
        <v>297</v>
      </c>
      <c r="K621" s="35" t="s">
        <v>298</v>
      </c>
      <c r="L621" s="35">
        <v>3</v>
      </c>
      <c r="M621" s="35">
        <v>2.5</v>
      </c>
      <c r="N621" s="35">
        <f t="shared" si="18"/>
        <v>2.75</v>
      </c>
      <c r="O621" s="35">
        <v>0</v>
      </c>
      <c r="P621" s="35"/>
      <c r="Q621" s="35">
        <f t="shared" si="19"/>
        <v>0</v>
      </c>
      <c r="R621" s="35"/>
      <c r="S621" s="35"/>
      <c r="T621" s="35"/>
      <c r="U621" s="82" t="e">
        <f>AVERAGE(Tableau1[[#This Row],[1ère composition]:[3è Composition]])</f>
        <v>#DIV/0!</v>
      </c>
    </row>
    <row r="622" spans="1:21" hidden="1" x14ac:dyDescent="0.2">
      <c r="A622" s="1" t="s">
        <v>3507</v>
      </c>
      <c r="B622" s="1" t="s">
        <v>3293</v>
      </c>
      <c r="C622" s="1"/>
      <c r="D622" s="1">
        <v>96163322</v>
      </c>
      <c r="E622" s="1">
        <v>2021</v>
      </c>
      <c r="F622" s="1">
        <v>39</v>
      </c>
      <c r="G622" s="1">
        <v>5</v>
      </c>
      <c r="H622" s="76" t="str">
        <f>Tableau1[[#This Row],[Annee d''inscription au programme]]&amp;"-"&amp;Tableau1[[#This Row],[Code d''ecole]]&amp;"-"&amp;Tableau1[[#This Row],[Numero HM de la fille]]</f>
        <v>2021-39-5</v>
      </c>
      <c r="I622" s="1"/>
      <c r="J622" s="1" t="s">
        <v>297</v>
      </c>
      <c r="K622" s="35" t="s">
        <v>298</v>
      </c>
      <c r="L622" s="35">
        <v>19.5</v>
      </c>
      <c r="M622" s="35">
        <v>17.5</v>
      </c>
      <c r="N622" s="35">
        <f t="shared" si="18"/>
        <v>18.5</v>
      </c>
      <c r="O622" s="35">
        <v>15</v>
      </c>
      <c r="P622" s="35">
        <v>19.25</v>
      </c>
      <c r="Q622" s="35">
        <f t="shared" si="19"/>
        <v>17.125</v>
      </c>
      <c r="R622" s="35"/>
      <c r="S622" s="35"/>
      <c r="T622" s="35"/>
      <c r="U622" s="82" t="e">
        <f>AVERAGE(Tableau1[[#This Row],[1ère composition]:[3è Composition]])</f>
        <v>#DIV/0!</v>
      </c>
    </row>
    <row r="623" spans="1:21" hidden="1" x14ac:dyDescent="0.2">
      <c r="A623" s="1" t="s">
        <v>3507</v>
      </c>
      <c r="B623" s="1" t="s">
        <v>3291</v>
      </c>
      <c r="C623" s="1"/>
      <c r="D623" s="1">
        <v>96786905</v>
      </c>
      <c r="E623" s="1">
        <v>2021</v>
      </c>
      <c r="F623" s="1">
        <v>39</v>
      </c>
      <c r="G623" s="1">
        <v>6</v>
      </c>
      <c r="H623" s="76" t="str">
        <f>Tableau1[[#This Row],[Annee d''inscription au programme]]&amp;"-"&amp;Tableau1[[#This Row],[Code d''ecole]]&amp;"-"&amp;Tableau1[[#This Row],[Numero HM de la fille]]</f>
        <v>2021-39-6</v>
      </c>
      <c r="I623" s="1"/>
      <c r="J623" s="1" t="s">
        <v>297</v>
      </c>
      <c r="K623" s="35" t="s">
        <v>298</v>
      </c>
      <c r="L623" s="35">
        <v>3</v>
      </c>
      <c r="M623" s="35">
        <v>2</v>
      </c>
      <c r="N623" s="35">
        <f t="shared" si="18"/>
        <v>2.5</v>
      </c>
      <c r="O623" s="35">
        <v>5.5</v>
      </c>
      <c r="P623" s="35">
        <v>8</v>
      </c>
      <c r="Q623" s="35">
        <f t="shared" si="19"/>
        <v>6.75</v>
      </c>
      <c r="R623" s="35"/>
      <c r="S623" s="35"/>
      <c r="T623" s="35"/>
      <c r="U623" s="82" t="e">
        <f>AVERAGE(Tableau1[[#This Row],[1ère composition]:[3è Composition]])</f>
        <v>#DIV/0!</v>
      </c>
    </row>
    <row r="624" spans="1:21" hidden="1" x14ac:dyDescent="0.2">
      <c r="A624" s="1" t="s">
        <v>3507</v>
      </c>
      <c r="B624" s="1" t="s">
        <v>3292</v>
      </c>
      <c r="C624" s="1"/>
      <c r="D624" s="1">
        <v>89256591</v>
      </c>
      <c r="E624" s="1">
        <v>2021</v>
      </c>
      <c r="F624" s="1">
        <v>39</v>
      </c>
      <c r="G624" s="1">
        <v>7</v>
      </c>
      <c r="H624" s="76" t="str">
        <f>Tableau1[[#This Row],[Annee d''inscription au programme]]&amp;"-"&amp;Tableau1[[#This Row],[Code d''ecole]]&amp;"-"&amp;Tableau1[[#This Row],[Numero HM de la fille]]</f>
        <v>2021-39-7</v>
      </c>
      <c r="I624" s="1"/>
      <c r="J624" s="1" t="s">
        <v>297</v>
      </c>
      <c r="K624" s="35" t="s">
        <v>298</v>
      </c>
      <c r="L624" s="35">
        <v>14</v>
      </c>
      <c r="M624" s="35">
        <v>16.25</v>
      </c>
      <c r="N624" s="35">
        <f t="shared" si="18"/>
        <v>15.125</v>
      </c>
      <c r="O624" s="35">
        <v>15</v>
      </c>
      <c r="P624" s="35">
        <v>19.5</v>
      </c>
      <c r="Q624" s="35">
        <f t="shared" si="19"/>
        <v>17.25</v>
      </c>
      <c r="R624" s="35"/>
      <c r="S624" s="35"/>
      <c r="T624" s="35"/>
      <c r="U624" s="82" t="e">
        <f>AVERAGE(Tableau1[[#This Row],[1ère composition]:[3è Composition]])</f>
        <v>#DIV/0!</v>
      </c>
    </row>
    <row r="625" spans="1:21" hidden="1" x14ac:dyDescent="0.2">
      <c r="A625" s="1" t="s">
        <v>3507</v>
      </c>
      <c r="B625" s="1" t="s">
        <v>3299</v>
      </c>
      <c r="C625" s="1"/>
      <c r="D625" s="1"/>
      <c r="E625" s="1">
        <v>2021</v>
      </c>
      <c r="F625" s="1">
        <v>39</v>
      </c>
      <c r="G625" s="1">
        <v>8</v>
      </c>
      <c r="H625" s="76" t="str">
        <f>Tableau1[[#This Row],[Annee d''inscription au programme]]&amp;"-"&amp;Tableau1[[#This Row],[Code d''ecole]]&amp;"-"&amp;Tableau1[[#This Row],[Numero HM de la fille]]</f>
        <v>2021-39-8</v>
      </c>
      <c r="I625" s="1"/>
      <c r="J625" s="1" t="s">
        <v>297</v>
      </c>
      <c r="K625" s="35" t="s">
        <v>298</v>
      </c>
      <c r="L625" s="35">
        <v>0</v>
      </c>
      <c r="M625" s="35">
        <v>0</v>
      </c>
      <c r="N625" s="35">
        <f t="shared" si="18"/>
        <v>0</v>
      </c>
      <c r="O625" s="35">
        <v>8.5</v>
      </c>
      <c r="P625" s="35">
        <v>13.5</v>
      </c>
      <c r="Q625" s="35">
        <f t="shared" si="19"/>
        <v>11</v>
      </c>
      <c r="R625" s="35"/>
      <c r="S625" s="35"/>
      <c r="T625" s="35"/>
      <c r="U625" s="82" t="e">
        <f>AVERAGE(Tableau1[[#This Row],[1ère composition]:[3è Composition]])</f>
        <v>#DIV/0!</v>
      </c>
    </row>
    <row r="626" spans="1:21" hidden="1" x14ac:dyDescent="0.2">
      <c r="A626" s="1" t="s">
        <v>3507</v>
      </c>
      <c r="B626" s="1" t="s">
        <v>3294</v>
      </c>
      <c r="C626" s="1"/>
      <c r="D626" s="1">
        <v>96595799</v>
      </c>
      <c r="E626" s="1">
        <v>2021</v>
      </c>
      <c r="F626" s="1">
        <v>39</v>
      </c>
      <c r="G626" s="1">
        <v>9</v>
      </c>
      <c r="H626" s="76" t="str">
        <f>Tableau1[[#This Row],[Annee d''inscription au programme]]&amp;"-"&amp;Tableau1[[#This Row],[Code d''ecole]]&amp;"-"&amp;Tableau1[[#This Row],[Numero HM de la fille]]</f>
        <v>2021-39-9</v>
      </c>
      <c r="I626" s="1"/>
      <c r="J626" s="1" t="s">
        <v>297</v>
      </c>
      <c r="K626" s="35" t="s">
        <v>298</v>
      </c>
      <c r="L626" s="35">
        <v>5</v>
      </c>
      <c r="M626" s="35">
        <v>2</v>
      </c>
      <c r="N626" s="35">
        <f t="shared" si="18"/>
        <v>3.5</v>
      </c>
      <c r="O626" s="35">
        <v>6.5</v>
      </c>
      <c r="P626" s="35">
        <v>8</v>
      </c>
      <c r="Q626" s="35">
        <f t="shared" si="19"/>
        <v>7.25</v>
      </c>
      <c r="R626" s="35"/>
      <c r="S626" s="35"/>
      <c r="T626" s="35"/>
      <c r="U626" s="82" t="e">
        <f>AVERAGE(Tableau1[[#This Row],[1ère composition]:[3è Composition]])</f>
        <v>#DIV/0!</v>
      </c>
    </row>
    <row r="627" spans="1:21" hidden="1" x14ac:dyDescent="0.2">
      <c r="A627" s="1" t="s">
        <v>3507</v>
      </c>
      <c r="B627" s="1" t="s">
        <v>3510</v>
      </c>
      <c r="C627" s="77"/>
      <c r="D627" s="78"/>
      <c r="E627" s="1">
        <v>2021</v>
      </c>
      <c r="F627" s="1">
        <v>39</v>
      </c>
      <c r="G627" s="78">
        <v>10</v>
      </c>
      <c r="H627" s="76" t="str">
        <f>Tableau1[[#This Row],[Annee d''inscription au programme]]&amp;"-"&amp;Tableau1[[#This Row],[Code d''ecole]]&amp;"-"&amp;Tableau1[[#This Row],[Numero HM de la fille]]</f>
        <v>2021-39-10</v>
      </c>
      <c r="I627" s="1"/>
      <c r="J627" s="1" t="s">
        <v>297</v>
      </c>
      <c r="K627" s="35" t="s">
        <v>298</v>
      </c>
      <c r="L627" s="35">
        <v>0</v>
      </c>
      <c r="M627" s="35">
        <v>0</v>
      </c>
      <c r="N627" s="35">
        <f t="shared" si="18"/>
        <v>0</v>
      </c>
      <c r="O627" s="35">
        <v>0</v>
      </c>
      <c r="P627" s="35"/>
      <c r="Q627" s="35">
        <f t="shared" si="19"/>
        <v>0</v>
      </c>
      <c r="R627" s="35"/>
      <c r="S627" s="35"/>
      <c r="T627" s="35"/>
      <c r="U627" s="82" t="e">
        <f>AVERAGE(Tableau1[[#This Row],[1ère composition]:[3è Composition]])</f>
        <v>#DIV/0!</v>
      </c>
    </row>
    <row r="628" spans="1:21" hidden="1" x14ac:dyDescent="0.2">
      <c r="A628" s="1" t="s">
        <v>3507</v>
      </c>
      <c r="B628" s="1" t="s">
        <v>3297</v>
      </c>
      <c r="C628" s="1"/>
      <c r="D628" s="1">
        <v>98218350</v>
      </c>
      <c r="E628" s="1">
        <v>2021</v>
      </c>
      <c r="F628" s="1">
        <v>39</v>
      </c>
      <c r="G628" s="1">
        <v>11</v>
      </c>
      <c r="H628" s="76" t="str">
        <f>Tableau1[[#This Row],[Annee d''inscription au programme]]&amp;"-"&amp;Tableau1[[#This Row],[Code d''ecole]]&amp;"-"&amp;Tableau1[[#This Row],[Numero HM de la fille]]</f>
        <v>2021-39-11</v>
      </c>
      <c r="I628" s="1"/>
      <c r="J628" s="1" t="s">
        <v>297</v>
      </c>
      <c r="K628" s="35" t="s">
        <v>298</v>
      </c>
      <c r="L628" s="35">
        <v>7.5</v>
      </c>
      <c r="M628" s="35">
        <v>11</v>
      </c>
      <c r="N628" s="35">
        <f t="shared" si="18"/>
        <v>9.25</v>
      </c>
      <c r="O628" s="35">
        <v>12.5</v>
      </c>
      <c r="P628" s="35">
        <v>12.75</v>
      </c>
      <c r="Q628" s="35">
        <f t="shared" si="19"/>
        <v>12.625</v>
      </c>
      <c r="R628" s="35"/>
      <c r="S628" s="35"/>
      <c r="T628" s="35"/>
      <c r="U628" s="82" t="e">
        <f>AVERAGE(Tableau1[[#This Row],[1ère composition]:[3è Composition]])</f>
        <v>#DIV/0!</v>
      </c>
    </row>
    <row r="629" spans="1:21" hidden="1" x14ac:dyDescent="0.2">
      <c r="A629" s="1" t="s">
        <v>3507</v>
      </c>
      <c r="B629" s="1" t="s">
        <v>3301</v>
      </c>
      <c r="C629" s="1"/>
      <c r="D629" s="1">
        <v>92012500</v>
      </c>
      <c r="E629" s="1">
        <v>2021</v>
      </c>
      <c r="F629" s="1">
        <v>39</v>
      </c>
      <c r="G629" s="1">
        <v>12</v>
      </c>
      <c r="H629" s="76" t="str">
        <f>Tableau1[[#This Row],[Annee d''inscription au programme]]&amp;"-"&amp;Tableau1[[#This Row],[Code d''ecole]]&amp;"-"&amp;Tableau1[[#This Row],[Numero HM de la fille]]</f>
        <v>2021-39-12</v>
      </c>
      <c r="I629" s="1"/>
      <c r="J629" s="1" t="s">
        <v>297</v>
      </c>
      <c r="K629" s="35" t="s">
        <v>298</v>
      </c>
      <c r="L629" s="35">
        <v>17</v>
      </c>
      <c r="M629" s="35">
        <v>12</v>
      </c>
      <c r="N629" s="35">
        <f t="shared" si="18"/>
        <v>14.5</v>
      </c>
      <c r="O629" s="35">
        <v>10</v>
      </c>
      <c r="P629" s="35">
        <v>18.5</v>
      </c>
      <c r="Q629" s="35">
        <f t="shared" si="19"/>
        <v>14.25</v>
      </c>
      <c r="R629" s="35"/>
      <c r="S629" s="35"/>
      <c r="T629" s="35"/>
      <c r="U629" s="82" t="e">
        <f>AVERAGE(Tableau1[[#This Row],[1ère composition]:[3è Composition]])</f>
        <v>#DIV/0!</v>
      </c>
    </row>
    <row r="630" spans="1:21" hidden="1" x14ac:dyDescent="0.2">
      <c r="A630" s="1" t="s">
        <v>3507</v>
      </c>
      <c r="B630" s="1" t="s">
        <v>3511</v>
      </c>
      <c r="C630" s="77"/>
      <c r="D630" s="78"/>
      <c r="E630" s="1">
        <v>2021</v>
      </c>
      <c r="F630" s="1">
        <v>39</v>
      </c>
      <c r="G630" s="78">
        <v>13</v>
      </c>
      <c r="H630" s="76" t="str">
        <f>Tableau1[[#This Row],[Annee d''inscription au programme]]&amp;"-"&amp;Tableau1[[#This Row],[Code d''ecole]]&amp;"-"&amp;Tableau1[[#This Row],[Numero HM de la fille]]</f>
        <v>2021-39-13</v>
      </c>
      <c r="I630" s="1"/>
      <c r="J630" s="1" t="s">
        <v>297</v>
      </c>
      <c r="K630" s="35" t="s">
        <v>298</v>
      </c>
      <c r="L630" s="35">
        <v>0</v>
      </c>
      <c r="M630" s="35">
        <v>0</v>
      </c>
      <c r="N630" s="35">
        <f t="shared" si="18"/>
        <v>0</v>
      </c>
      <c r="O630" s="35">
        <v>0</v>
      </c>
      <c r="P630" s="35"/>
      <c r="Q630" s="35">
        <f t="shared" si="19"/>
        <v>0</v>
      </c>
      <c r="R630" s="35"/>
      <c r="S630" s="35"/>
      <c r="T630" s="35"/>
      <c r="U630" s="82" t="e">
        <f>AVERAGE(Tableau1[[#This Row],[1ère composition]:[3è Composition]])</f>
        <v>#DIV/0!</v>
      </c>
    </row>
    <row r="631" spans="1:21" hidden="1" x14ac:dyDescent="0.2">
      <c r="A631" s="1" t="s">
        <v>3507</v>
      </c>
      <c r="B631" s="1" t="s">
        <v>2474</v>
      </c>
      <c r="C631" s="1"/>
      <c r="D631" s="1">
        <v>96617357</v>
      </c>
      <c r="E631" s="1">
        <v>2021</v>
      </c>
      <c r="F631" s="1">
        <v>39</v>
      </c>
      <c r="G631" s="1">
        <v>14</v>
      </c>
      <c r="H631" s="76" t="str">
        <f>Tableau1[[#This Row],[Annee d''inscription au programme]]&amp;"-"&amp;Tableau1[[#This Row],[Code d''ecole]]&amp;"-"&amp;Tableau1[[#This Row],[Numero HM de la fille]]</f>
        <v>2021-39-14</v>
      </c>
      <c r="I631" s="1"/>
      <c r="J631" s="1" t="s">
        <v>297</v>
      </c>
      <c r="K631" s="35" t="s">
        <v>298</v>
      </c>
      <c r="L631" s="35">
        <v>1.5</v>
      </c>
      <c r="M631" s="35">
        <v>1.5</v>
      </c>
      <c r="N631" s="35">
        <f t="shared" si="18"/>
        <v>1.5</v>
      </c>
      <c r="O631" s="35">
        <v>8.5</v>
      </c>
      <c r="P631" s="35">
        <v>5.75</v>
      </c>
      <c r="Q631" s="35">
        <f t="shared" si="19"/>
        <v>7.125</v>
      </c>
      <c r="R631" s="35"/>
      <c r="S631" s="35"/>
      <c r="T631" s="35"/>
      <c r="U631" s="82" t="e">
        <f>AVERAGE(Tableau1[[#This Row],[1ère composition]:[3è Composition]])</f>
        <v>#DIV/0!</v>
      </c>
    </row>
    <row r="632" spans="1:21" hidden="1" x14ac:dyDescent="0.2">
      <c r="A632" s="1" t="s">
        <v>3507</v>
      </c>
      <c r="B632" s="1" t="s">
        <v>3302</v>
      </c>
      <c r="C632" s="1"/>
      <c r="D632" s="1">
        <v>94756162</v>
      </c>
      <c r="E632" s="1">
        <v>2021</v>
      </c>
      <c r="F632" s="1">
        <v>39</v>
      </c>
      <c r="G632" s="1">
        <v>15</v>
      </c>
      <c r="H632" s="76" t="str">
        <f>Tableau1[[#This Row],[Annee d''inscription au programme]]&amp;"-"&amp;Tableau1[[#This Row],[Code d''ecole]]&amp;"-"&amp;Tableau1[[#This Row],[Numero HM de la fille]]</f>
        <v>2021-39-15</v>
      </c>
      <c r="I632" s="1"/>
      <c r="J632" s="1" t="s">
        <v>297</v>
      </c>
      <c r="K632" s="35" t="s">
        <v>298</v>
      </c>
      <c r="L632" s="35">
        <v>0</v>
      </c>
      <c r="M632" s="35">
        <v>0</v>
      </c>
      <c r="N632" s="35">
        <f t="shared" si="18"/>
        <v>0</v>
      </c>
      <c r="O632" s="35">
        <v>2.5</v>
      </c>
      <c r="P632" s="35">
        <v>4.75</v>
      </c>
      <c r="Q632" s="35">
        <f t="shared" si="19"/>
        <v>3.625</v>
      </c>
      <c r="R632" s="35"/>
      <c r="S632" s="35"/>
      <c r="T632" s="35"/>
      <c r="U632" s="82" t="e">
        <f>AVERAGE(Tableau1[[#This Row],[1ère composition]:[3è Composition]])</f>
        <v>#DIV/0!</v>
      </c>
    </row>
    <row r="633" spans="1:21" hidden="1" x14ac:dyDescent="0.2">
      <c r="A633" s="1" t="s">
        <v>3507</v>
      </c>
      <c r="B633" s="1" t="s">
        <v>3512</v>
      </c>
      <c r="C633" s="77"/>
      <c r="D633" s="78"/>
      <c r="E633" s="1">
        <v>2020</v>
      </c>
      <c r="F633" s="1">
        <v>39</v>
      </c>
      <c r="G633" s="78">
        <v>16</v>
      </c>
      <c r="H633" s="76" t="str">
        <f>Tableau1[[#This Row],[Annee d''inscription au programme]]&amp;"-"&amp;Tableau1[[#This Row],[Code d''ecole]]&amp;"-"&amp;Tableau1[[#This Row],[Numero HM de la fille]]</f>
        <v>2020-39-16</v>
      </c>
      <c r="I633" s="1"/>
      <c r="J633" s="1" t="s">
        <v>297</v>
      </c>
      <c r="K633" s="35" t="s">
        <v>298</v>
      </c>
      <c r="L633" s="35">
        <v>0</v>
      </c>
      <c r="M633" s="35">
        <v>0</v>
      </c>
      <c r="N633" s="35">
        <f t="shared" si="18"/>
        <v>0</v>
      </c>
      <c r="O633" s="35">
        <v>0</v>
      </c>
      <c r="P633" s="35"/>
      <c r="Q633" s="35">
        <f t="shared" si="19"/>
        <v>0</v>
      </c>
      <c r="R633" s="35"/>
      <c r="S633" s="35"/>
      <c r="T633" s="35"/>
      <c r="U633" s="82" t="e">
        <f>AVERAGE(Tableau1[[#This Row],[1ère composition]:[3è Composition]])</f>
        <v>#DIV/0!</v>
      </c>
    </row>
    <row r="634" spans="1:21" hidden="1" x14ac:dyDescent="0.2">
      <c r="A634" s="1" t="s">
        <v>3507</v>
      </c>
      <c r="B634" s="1" t="s">
        <v>3513</v>
      </c>
      <c r="C634" s="77"/>
      <c r="D634" s="78"/>
      <c r="E634" s="1">
        <v>2020</v>
      </c>
      <c r="F634" s="1">
        <v>39</v>
      </c>
      <c r="G634" s="78">
        <v>307</v>
      </c>
      <c r="H634" s="76" t="str">
        <f>Tableau1[[#This Row],[Annee d''inscription au programme]]&amp;"-"&amp;Tableau1[[#This Row],[Code d''ecole]]&amp;"-"&amp;Tableau1[[#This Row],[Numero HM de la fille]]</f>
        <v>2020-39-307</v>
      </c>
      <c r="I634" s="1"/>
      <c r="J634" s="1" t="s">
        <v>374</v>
      </c>
      <c r="K634" s="35" t="s">
        <v>3518</v>
      </c>
      <c r="L634" s="35">
        <v>14.5</v>
      </c>
      <c r="M634" s="35">
        <v>16.25</v>
      </c>
      <c r="N634" s="35">
        <f t="shared" si="18"/>
        <v>15.375</v>
      </c>
      <c r="O634" s="35">
        <v>14</v>
      </c>
      <c r="P634" s="35">
        <v>17.5</v>
      </c>
      <c r="Q634" s="35">
        <f t="shared" si="19"/>
        <v>15.75</v>
      </c>
      <c r="R634" s="35"/>
      <c r="S634" s="35"/>
      <c r="T634" s="35"/>
      <c r="U634" s="82" t="e">
        <f>AVERAGE(Tableau1[[#This Row],[1ère composition]:[3è Composition]])</f>
        <v>#DIV/0!</v>
      </c>
    </row>
    <row r="635" spans="1:21" hidden="1" x14ac:dyDescent="0.2">
      <c r="A635" s="1" t="s">
        <v>3507</v>
      </c>
      <c r="B635" s="1" t="s">
        <v>3287</v>
      </c>
      <c r="C635" s="1"/>
      <c r="D635" s="1">
        <v>94253091</v>
      </c>
      <c r="E635" s="1">
        <v>2020</v>
      </c>
      <c r="F635" s="1">
        <v>39</v>
      </c>
      <c r="G635" s="1">
        <v>305</v>
      </c>
      <c r="H635" s="76" t="str">
        <f>Tableau1[[#This Row],[Annee d''inscription au programme]]&amp;"-"&amp;Tableau1[[#This Row],[Code d''ecole]]&amp;"-"&amp;Tableau1[[#This Row],[Numero HM de la fille]]</f>
        <v>2020-39-305</v>
      </c>
      <c r="I635" s="1"/>
      <c r="J635" s="1" t="s">
        <v>374</v>
      </c>
      <c r="K635" s="35" t="s">
        <v>3518</v>
      </c>
      <c r="L635" s="35">
        <v>13.5</v>
      </c>
      <c r="M635" s="35">
        <v>12</v>
      </c>
      <c r="N635" s="35">
        <f t="shared" si="18"/>
        <v>12.75</v>
      </c>
      <c r="O635" s="35">
        <v>12</v>
      </c>
      <c r="P635" s="35">
        <v>12</v>
      </c>
      <c r="Q635" s="35">
        <f t="shared" si="19"/>
        <v>12</v>
      </c>
      <c r="R635" s="35"/>
      <c r="S635" s="35"/>
      <c r="T635" s="35"/>
      <c r="U635" s="82" t="e">
        <f>AVERAGE(Tableau1[[#This Row],[1ère composition]:[3è Composition]])</f>
        <v>#DIV/0!</v>
      </c>
    </row>
    <row r="636" spans="1:21" hidden="1" x14ac:dyDescent="0.2">
      <c r="A636" s="1" t="s">
        <v>3507</v>
      </c>
      <c r="B636" s="1" t="s">
        <v>3286</v>
      </c>
      <c r="C636" s="1"/>
      <c r="D636" s="1">
        <v>85013750</v>
      </c>
      <c r="E636" s="1">
        <v>2020</v>
      </c>
      <c r="F636" s="1">
        <v>39</v>
      </c>
      <c r="G636" s="1">
        <v>306</v>
      </c>
      <c r="H636" s="76" t="str">
        <f>Tableau1[[#This Row],[Annee d''inscription au programme]]&amp;"-"&amp;Tableau1[[#This Row],[Code d''ecole]]&amp;"-"&amp;Tableau1[[#This Row],[Numero HM de la fille]]</f>
        <v>2020-39-306</v>
      </c>
      <c r="I636" s="1"/>
      <c r="J636" s="1" t="s">
        <v>374</v>
      </c>
      <c r="K636" s="35" t="s">
        <v>3518</v>
      </c>
      <c r="L636" s="35">
        <v>11.5</v>
      </c>
      <c r="M636" s="35">
        <v>5</v>
      </c>
      <c r="N636" s="35">
        <f t="shared" si="18"/>
        <v>8.25</v>
      </c>
      <c r="O636" s="35">
        <v>12</v>
      </c>
      <c r="P636" s="35">
        <v>9</v>
      </c>
      <c r="Q636" s="35">
        <f t="shared" si="19"/>
        <v>10.5</v>
      </c>
      <c r="R636" s="35"/>
      <c r="S636" s="35"/>
      <c r="T636" s="35"/>
      <c r="U636" s="82" t="e">
        <f>AVERAGE(Tableau1[[#This Row],[1ère composition]:[3è Composition]])</f>
        <v>#DIV/0!</v>
      </c>
    </row>
    <row r="637" spans="1:21" hidden="1" x14ac:dyDescent="0.2">
      <c r="A637" s="1" t="s">
        <v>3507</v>
      </c>
      <c r="B637" s="1" t="s">
        <v>3289</v>
      </c>
      <c r="C637" s="1"/>
      <c r="D637" s="1">
        <v>98735499</v>
      </c>
      <c r="E637" s="1">
        <v>2020</v>
      </c>
      <c r="F637" s="1">
        <v>39</v>
      </c>
      <c r="G637" s="1">
        <v>303</v>
      </c>
      <c r="H637" s="76" t="str">
        <f>Tableau1[[#This Row],[Annee d''inscription au programme]]&amp;"-"&amp;Tableau1[[#This Row],[Code d''ecole]]&amp;"-"&amp;Tableau1[[#This Row],[Numero HM de la fille]]</f>
        <v>2020-39-303</v>
      </c>
      <c r="I637" s="1"/>
      <c r="J637" s="1" t="s">
        <v>374</v>
      </c>
      <c r="K637" s="35" t="s">
        <v>3518</v>
      </c>
      <c r="L637" s="35">
        <v>8.5</v>
      </c>
      <c r="M637" s="35">
        <v>5.5</v>
      </c>
      <c r="N637" s="35">
        <f t="shared" si="18"/>
        <v>7</v>
      </c>
      <c r="O637" s="35">
        <v>11</v>
      </c>
      <c r="P637" s="35">
        <v>12.5</v>
      </c>
      <c r="Q637" s="35">
        <f t="shared" si="19"/>
        <v>11.75</v>
      </c>
      <c r="R637" s="35"/>
      <c r="S637" s="35"/>
      <c r="T637" s="35"/>
      <c r="U637" s="82" t="e">
        <f>AVERAGE(Tableau1[[#This Row],[1ère composition]:[3è Composition]])</f>
        <v>#DIV/0!</v>
      </c>
    </row>
    <row r="638" spans="1:21" hidden="1" x14ac:dyDescent="0.2">
      <c r="A638" s="1" t="s">
        <v>3507</v>
      </c>
      <c r="B638" s="1" t="s">
        <v>3290</v>
      </c>
      <c r="C638" s="1"/>
      <c r="D638" s="1">
        <v>98063366</v>
      </c>
      <c r="E638" s="1">
        <v>2020</v>
      </c>
      <c r="F638" s="1">
        <v>39</v>
      </c>
      <c r="G638" s="1">
        <v>291</v>
      </c>
      <c r="H638" s="76" t="str">
        <f>Tableau1[[#This Row],[Annee d''inscription au programme]]&amp;"-"&amp;Tableau1[[#This Row],[Code d''ecole]]&amp;"-"&amp;Tableau1[[#This Row],[Numero HM de la fille]]</f>
        <v>2020-39-291</v>
      </c>
      <c r="I638" s="1"/>
      <c r="J638" s="1" t="s">
        <v>374</v>
      </c>
      <c r="K638" s="35" t="s">
        <v>3518</v>
      </c>
      <c r="L638" s="35">
        <v>10.5</v>
      </c>
      <c r="M638" s="35">
        <v>9.5</v>
      </c>
      <c r="N638" s="35">
        <f t="shared" si="18"/>
        <v>10</v>
      </c>
      <c r="O638" s="35">
        <v>11.5</v>
      </c>
      <c r="P638" s="35">
        <v>11</v>
      </c>
      <c r="Q638" s="35">
        <f t="shared" si="19"/>
        <v>11.25</v>
      </c>
      <c r="R638" s="35"/>
      <c r="S638" s="35"/>
      <c r="T638" s="35"/>
      <c r="U638" s="82" t="e">
        <f>AVERAGE(Tableau1[[#This Row],[1ère composition]:[3è Composition]])</f>
        <v>#DIV/0!</v>
      </c>
    </row>
    <row r="639" spans="1:21" hidden="1" x14ac:dyDescent="0.2">
      <c r="A639" s="1" t="s">
        <v>3507</v>
      </c>
      <c r="B639" s="1" t="s">
        <v>3300</v>
      </c>
      <c r="C639" s="1"/>
      <c r="D639" s="1">
        <v>74585159</v>
      </c>
      <c r="E639" s="1">
        <v>2020</v>
      </c>
      <c r="F639" s="1">
        <v>39</v>
      </c>
      <c r="G639" s="1">
        <v>318</v>
      </c>
      <c r="H639" s="76" t="str">
        <f>Tableau1[[#This Row],[Annee d''inscription au programme]]&amp;"-"&amp;Tableau1[[#This Row],[Code d''ecole]]&amp;"-"&amp;Tableau1[[#This Row],[Numero HM de la fille]]</f>
        <v>2020-39-318</v>
      </c>
      <c r="I639" s="1"/>
      <c r="J639" s="1" t="s">
        <v>374</v>
      </c>
      <c r="K639" s="35" t="s">
        <v>3518</v>
      </c>
      <c r="L639" s="35">
        <v>5.5</v>
      </c>
      <c r="M639" s="35">
        <v>2.25</v>
      </c>
      <c r="N639" s="35">
        <f t="shared" si="18"/>
        <v>3.875</v>
      </c>
      <c r="O639" s="35">
        <v>7</v>
      </c>
      <c r="P639" s="35">
        <v>3</v>
      </c>
      <c r="Q639" s="35">
        <f t="shared" si="19"/>
        <v>5</v>
      </c>
      <c r="R639" s="35"/>
      <c r="S639" s="35"/>
      <c r="T639" s="35"/>
      <c r="U639" s="82" t="e">
        <f>AVERAGE(Tableau1[[#This Row],[1ère composition]:[3è Composition]])</f>
        <v>#DIV/0!</v>
      </c>
    </row>
    <row r="640" spans="1:21" hidden="1" x14ac:dyDescent="0.2">
      <c r="A640" s="1" t="s">
        <v>3507</v>
      </c>
      <c r="B640" s="1" t="s">
        <v>3514</v>
      </c>
      <c r="C640" s="77"/>
      <c r="D640" s="78"/>
      <c r="E640" s="1">
        <v>2020</v>
      </c>
      <c r="F640" s="1">
        <v>39</v>
      </c>
      <c r="G640" s="78">
        <v>395</v>
      </c>
      <c r="H640" s="76" t="str">
        <f>Tableau1[[#This Row],[Annee d''inscription au programme]]&amp;"-"&amp;Tableau1[[#This Row],[Code d''ecole]]&amp;"-"&amp;Tableau1[[#This Row],[Numero HM de la fille]]</f>
        <v>2020-39-395</v>
      </c>
      <c r="I640" s="1"/>
      <c r="J640" s="1" t="s">
        <v>374</v>
      </c>
      <c r="K640" s="35" t="s">
        <v>3518</v>
      </c>
      <c r="L640" s="35">
        <v>9.5</v>
      </c>
      <c r="M640" s="35">
        <v>7.25</v>
      </c>
      <c r="N640" s="35">
        <f t="shared" si="18"/>
        <v>8.375</v>
      </c>
      <c r="O640" s="35">
        <v>7</v>
      </c>
      <c r="P640" s="35">
        <v>8.25</v>
      </c>
      <c r="Q640" s="35">
        <f t="shared" si="19"/>
        <v>7.625</v>
      </c>
      <c r="R640" s="35"/>
      <c r="S640" s="35"/>
      <c r="T640" s="35"/>
      <c r="U640" s="82" t="e">
        <f>AVERAGE(Tableau1[[#This Row],[1ère composition]:[3è Composition]])</f>
        <v>#DIV/0!</v>
      </c>
    </row>
    <row r="641" spans="1:21" hidden="1" x14ac:dyDescent="0.2">
      <c r="A641" s="1" t="s">
        <v>3507</v>
      </c>
      <c r="B641" s="1" t="s">
        <v>3298</v>
      </c>
      <c r="C641" s="1"/>
      <c r="D641" s="1">
        <v>94756162</v>
      </c>
      <c r="E641" s="1">
        <v>2020</v>
      </c>
      <c r="F641" s="1">
        <v>39</v>
      </c>
      <c r="G641" s="1">
        <v>309</v>
      </c>
      <c r="H641" s="76" t="str">
        <f>Tableau1[[#This Row],[Annee d''inscription au programme]]&amp;"-"&amp;Tableau1[[#This Row],[Code d''ecole]]&amp;"-"&amp;Tableau1[[#This Row],[Numero HM de la fille]]</f>
        <v>2020-39-309</v>
      </c>
      <c r="I641" s="1"/>
      <c r="J641" s="1" t="s">
        <v>374</v>
      </c>
      <c r="K641" s="35" t="s">
        <v>3518</v>
      </c>
      <c r="L641" s="35">
        <v>6.5</v>
      </c>
      <c r="M641" s="35">
        <v>6.75</v>
      </c>
      <c r="N641" s="35">
        <f t="shared" si="18"/>
        <v>6.625</v>
      </c>
      <c r="O641" s="35">
        <v>7</v>
      </c>
      <c r="P641" s="35">
        <v>4.5</v>
      </c>
      <c r="Q641" s="35">
        <f t="shared" si="19"/>
        <v>5.75</v>
      </c>
      <c r="R641" s="35"/>
      <c r="S641" s="35"/>
      <c r="T641" s="35"/>
      <c r="U641" s="82" t="e">
        <f>AVERAGE(Tableau1[[#This Row],[1ère composition]:[3è Composition]])</f>
        <v>#DIV/0!</v>
      </c>
    </row>
    <row r="642" spans="1:21" hidden="1" x14ac:dyDescent="0.2">
      <c r="A642" t="s">
        <v>3507</v>
      </c>
      <c r="B642" t="s">
        <v>3515</v>
      </c>
      <c r="E642">
        <v>2020</v>
      </c>
      <c r="F642">
        <v>39</v>
      </c>
      <c r="G642">
        <v>308</v>
      </c>
      <c r="H642" s="76" t="str">
        <f>Tableau1[[#This Row],[Annee d''inscription au programme]]&amp;"-"&amp;Tableau1[[#This Row],[Code d''ecole]]&amp;"-"&amp;Tableau1[[#This Row],[Numero HM de la fille]]</f>
        <v>2020-39-308</v>
      </c>
      <c r="J642" t="s">
        <v>374</v>
      </c>
      <c r="K642" t="s">
        <v>3518</v>
      </c>
      <c r="L642" s="2">
        <v>11</v>
      </c>
      <c r="M642" s="2">
        <v>6</v>
      </c>
      <c r="N642" s="2">
        <f t="shared" si="18"/>
        <v>8.5</v>
      </c>
      <c r="O642" s="35">
        <v>6.5</v>
      </c>
      <c r="P642" s="35">
        <v>7</v>
      </c>
      <c r="Q642" s="35">
        <f t="shared" si="19"/>
        <v>6.75</v>
      </c>
      <c r="R642" s="35"/>
      <c r="S642" s="35"/>
      <c r="T642" s="35"/>
      <c r="U642" s="82" t="e">
        <f>AVERAGE(Tableau1[[#This Row],[1ère composition]:[3è Composition]])</f>
        <v>#DIV/0!</v>
      </c>
    </row>
    <row r="643" spans="1:21" hidden="1" x14ac:dyDescent="0.2">
      <c r="A643" s="1" t="s">
        <v>3507</v>
      </c>
      <c r="B643" s="1" t="s">
        <v>3516</v>
      </c>
      <c r="C643" s="77"/>
      <c r="D643" s="78"/>
      <c r="E643" s="1">
        <v>2020</v>
      </c>
      <c r="F643" s="1">
        <v>39</v>
      </c>
      <c r="G643" s="78">
        <v>300</v>
      </c>
      <c r="H643" s="76" t="str">
        <f>Tableau1[[#This Row],[Annee d''inscription au programme]]&amp;"-"&amp;Tableau1[[#This Row],[Code d''ecole]]&amp;"-"&amp;Tableau1[[#This Row],[Numero HM de la fille]]</f>
        <v>2020-39-300</v>
      </c>
      <c r="I643" s="1"/>
      <c r="J643" s="1" t="s">
        <v>374</v>
      </c>
      <c r="K643" s="35" t="s">
        <v>3518</v>
      </c>
      <c r="L643" s="35">
        <v>0</v>
      </c>
      <c r="M643" s="35">
        <v>0</v>
      </c>
      <c r="N643" s="35">
        <f t="shared" si="18"/>
        <v>0</v>
      </c>
      <c r="O643" s="35">
        <v>5</v>
      </c>
      <c r="P643" s="35">
        <v>9.5</v>
      </c>
      <c r="Q643" s="35">
        <f t="shared" si="19"/>
        <v>7.25</v>
      </c>
      <c r="R643" s="35"/>
      <c r="S643" s="35"/>
      <c r="T643" s="35"/>
      <c r="U643" s="82" t="e">
        <f>AVERAGE(Tableau1[[#This Row],[1ère composition]:[3è Composition]])</f>
        <v>#DIV/0!</v>
      </c>
    </row>
    <row r="644" spans="1:21" hidden="1" x14ac:dyDescent="0.2">
      <c r="A644" s="1" t="s">
        <v>3507</v>
      </c>
      <c r="B644" s="1" t="s">
        <v>3517</v>
      </c>
      <c r="C644" s="77"/>
      <c r="D644" s="78"/>
      <c r="E644" s="1">
        <v>2020</v>
      </c>
      <c r="F644" s="1">
        <v>39</v>
      </c>
      <c r="G644" s="78">
        <v>17</v>
      </c>
      <c r="H644" s="76" t="str">
        <f>Tableau1[[#This Row],[Annee d''inscription au programme]]&amp;"-"&amp;Tableau1[[#This Row],[Code d''ecole]]&amp;"-"&amp;Tableau1[[#This Row],[Numero HM de la fille]]</f>
        <v>2020-39-17</v>
      </c>
      <c r="I644" s="1"/>
      <c r="J644" s="1" t="s">
        <v>297</v>
      </c>
      <c r="K644" s="35" t="s">
        <v>298</v>
      </c>
      <c r="L644" s="35">
        <v>8</v>
      </c>
      <c r="M644" s="35">
        <v>4</v>
      </c>
      <c r="N644" s="35">
        <f t="shared" si="18"/>
        <v>6</v>
      </c>
      <c r="O644" s="35">
        <v>10</v>
      </c>
      <c r="P644" s="35">
        <v>17.5</v>
      </c>
      <c r="Q644" s="35">
        <f t="shared" si="19"/>
        <v>13.75</v>
      </c>
      <c r="R644" s="35"/>
      <c r="S644" s="35"/>
      <c r="T644" s="35"/>
      <c r="U644" s="82"/>
    </row>
    <row r="645" spans="1:21" hidden="1" x14ac:dyDescent="0.2">
      <c r="A645" s="1" t="s">
        <v>3507</v>
      </c>
      <c r="B645" s="1" t="s">
        <v>2335</v>
      </c>
      <c r="C645" s="1"/>
      <c r="D645" s="1">
        <v>96617357</v>
      </c>
      <c r="E645" s="1">
        <v>2020</v>
      </c>
      <c r="F645" s="1">
        <v>39</v>
      </c>
      <c r="G645" s="1">
        <v>301</v>
      </c>
      <c r="H645" s="76" t="str">
        <f>Tableau1[[#This Row],[Annee d''inscription au programme]]&amp;"-"&amp;Tableau1[[#This Row],[Code d''ecole]]&amp;"-"&amp;Tableau1[[#This Row],[Numero HM de la fille]]</f>
        <v>2020-39-301</v>
      </c>
      <c r="I645" s="1"/>
      <c r="J645" s="1" t="s">
        <v>374</v>
      </c>
      <c r="K645" s="35" t="s">
        <v>3518</v>
      </c>
      <c r="L645" s="35">
        <v>5.5</v>
      </c>
      <c r="M645" s="35">
        <v>3</v>
      </c>
      <c r="N645" s="35">
        <f t="shared" ref="N645:N708" si="20" xml:space="preserve"> AVERAGE(L645+M645)/2</f>
        <v>4.25</v>
      </c>
      <c r="O645" s="35">
        <v>6</v>
      </c>
      <c r="P645" s="35">
        <v>6.5</v>
      </c>
      <c r="Q645" s="35">
        <f t="shared" ref="Q645:Q708" si="21">AVERAGE(O645+P645)/2</f>
        <v>6.25</v>
      </c>
      <c r="R645" s="35"/>
      <c r="S645" s="35"/>
      <c r="T645" s="35"/>
      <c r="U645" s="82" t="e">
        <f>AVERAGE(Tableau1[[#This Row],[1ère composition]:[3è Composition]])</f>
        <v>#DIV/0!</v>
      </c>
    </row>
    <row r="646" spans="1:21" hidden="1" x14ac:dyDescent="0.2">
      <c r="A646" s="1" t="s">
        <v>3507</v>
      </c>
      <c r="B646" s="1" t="s">
        <v>3295</v>
      </c>
      <c r="C646" s="1"/>
      <c r="D646" s="1">
        <v>88352315</v>
      </c>
      <c r="E646" s="1">
        <v>2020</v>
      </c>
      <c r="F646" s="1">
        <v>39</v>
      </c>
      <c r="G646" s="1">
        <v>298</v>
      </c>
      <c r="H646" s="76" t="str">
        <f>Tableau1[[#This Row],[Annee d''inscription au programme]]&amp;"-"&amp;Tableau1[[#This Row],[Code d''ecole]]&amp;"-"&amp;Tableau1[[#This Row],[Numero HM de la fille]]</f>
        <v>2020-39-298</v>
      </c>
      <c r="I646" s="1"/>
      <c r="J646" s="1" t="s">
        <v>374</v>
      </c>
      <c r="K646" s="35" t="s">
        <v>3518</v>
      </c>
      <c r="L646" s="35">
        <v>9.5</v>
      </c>
      <c r="M646" s="35">
        <v>15.25</v>
      </c>
      <c r="N646" s="35">
        <f t="shared" si="20"/>
        <v>12.375</v>
      </c>
      <c r="O646" s="35">
        <v>8</v>
      </c>
      <c r="P646" s="35">
        <v>11</v>
      </c>
      <c r="Q646" s="35">
        <f t="shared" si="21"/>
        <v>9.5</v>
      </c>
      <c r="R646" s="35"/>
      <c r="S646" s="35"/>
      <c r="T646" s="35"/>
      <c r="U646" s="82" t="e">
        <f>AVERAGE(Tableau1[[#This Row],[1ère composition]:[3è Composition]])</f>
        <v>#DIV/0!</v>
      </c>
    </row>
    <row r="647" spans="1:21" hidden="1" x14ac:dyDescent="0.2">
      <c r="A647" s="1" t="s">
        <v>3507</v>
      </c>
      <c r="B647" s="1" t="s">
        <v>3296</v>
      </c>
      <c r="C647" s="1"/>
      <c r="D647" s="1">
        <v>88352395</v>
      </c>
      <c r="E647" s="1">
        <v>2020</v>
      </c>
      <c r="F647" s="1">
        <v>39</v>
      </c>
      <c r="G647" s="1">
        <v>304</v>
      </c>
      <c r="H647" s="76" t="str">
        <f>Tableau1[[#This Row],[Annee d''inscription au programme]]&amp;"-"&amp;Tableau1[[#This Row],[Code d''ecole]]&amp;"-"&amp;Tableau1[[#This Row],[Numero HM de la fille]]</f>
        <v>2020-39-304</v>
      </c>
      <c r="I647" s="1"/>
      <c r="J647" s="1" t="s">
        <v>374</v>
      </c>
      <c r="K647" s="35" t="s">
        <v>3518</v>
      </c>
      <c r="L647" s="35">
        <v>10.5</v>
      </c>
      <c r="M647" s="35">
        <v>12.25</v>
      </c>
      <c r="N647" s="35">
        <f t="shared" si="20"/>
        <v>11.375</v>
      </c>
      <c r="O647" s="35">
        <v>6.5</v>
      </c>
      <c r="P647" s="35">
        <v>14.5</v>
      </c>
      <c r="Q647" s="35">
        <f t="shared" si="21"/>
        <v>10.5</v>
      </c>
      <c r="R647" s="35"/>
      <c r="S647" s="35"/>
      <c r="T647" s="35"/>
      <c r="U647" s="82" t="e">
        <f>AVERAGE(Tableau1[[#This Row],[1ère composition]:[3è Composition]])</f>
        <v>#DIV/0!</v>
      </c>
    </row>
    <row r="648" spans="1:21" hidden="1" x14ac:dyDescent="0.2">
      <c r="A648" s="1" t="s">
        <v>3507</v>
      </c>
      <c r="B648" s="1" t="s">
        <v>3535</v>
      </c>
      <c r="C648" s="77"/>
      <c r="D648" s="78"/>
      <c r="E648" s="1">
        <v>2020</v>
      </c>
      <c r="F648" s="1">
        <v>39</v>
      </c>
      <c r="G648" s="78">
        <v>313</v>
      </c>
      <c r="H648" s="76" t="str">
        <f>Tableau1[[#This Row],[Annee d''inscription au programme]]&amp;"-"&amp;Tableau1[[#This Row],[Code d''ecole]]&amp;"-"&amp;Tableau1[[#This Row],[Numero HM de la fille]]</f>
        <v>2020-39-313</v>
      </c>
      <c r="I648" s="1"/>
      <c r="J648" s="1" t="s">
        <v>3536</v>
      </c>
      <c r="K648" s="35" t="s">
        <v>3536</v>
      </c>
      <c r="L648" s="51">
        <v>0</v>
      </c>
      <c r="M648" s="51">
        <v>0</v>
      </c>
      <c r="N648" s="51">
        <f t="shared" si="20"/>
        <v>0</v>
      </c>
      <c r="O648" s="35">
        <v>5</v>
      </c>
      <c r="P648" s="35">
        <v>9</v>
      </c>
      <c r="Q648" s="35">
        <f t="shared" si="21"/>
        <v>7</v>
      </c>
      <c r="R648" s="35"/>
      <c r="S648" s="35"/>
      <c r="T648" s="35"/>
      <c r="U648" s="82" t="e">
        <f>AVERAGE(Tableau1[[#This Row],[1ère composition]:[3è Composition]])</f>
        <v>#DIV/0!</v>
      </c>
    </row>
    <row r="649" spans="1:21" hidden="1" x14ac:dyDescent="0.2">
      <c r="A649" s="1" t="s">
        <v>3507</v>
      </c>
      <c r="B649" s="1" t="s">
        <v>3537</v>
      </c>
      <c r="C649" s="77"/>
      <c r="D649" s="78"/>
      <c r="E649" s="1">
        <v>2020</v>
      </c>
      <c r="F649" s="1">
        <v>39</v>
      </c>
      <c r="G649" s="78">
        <v>290</v>
      </c>
      <c r="H649" s="76" t="str">
        <f>Tableau1[[#This Row],[Annee d''inscription au programme]]&amp;"-"&amp;Tableau1[[#This Row],[Code d''ecole]]&amp;"-"&amp;Tableau1[[#This Row],[Numero HM de la fille]]</f>
        <v>2020-39-290</v>
      </c>
      <c r="I649" s="1"/>
      <c r="J649" s="1" t="s">
        <v>3536</v>
      </c>
      <c r="K649" s="35" t="s">
        <v>3536</v>
      </c>
      <c r="L649" s="51">
        <v>0</v>
      </c>
      <c r="M649" s="51">
        <v>0</v>
      </c>
      <c r="N649" s="51">
        <f t="shared" si="20"/>
        <v>0</v>
      </c>
      <c r="O649" s="35">
        <v>4</v>
      </c>
      <c r="P649" s="35">
        <v>8.5</v>
      </c>
      <c r="Q649" s="35">
        <f t="shared" si="21"/>
        <v>6.25</v>
      </c>
      <c r="R649" s="35"/>
      <c r="S649" s="35"/>
      <c r="T649" s="35"/>
      <c r="U649" s="82" t="e">
        <f>AVERAGE(Tableau1[[#This Row],[1ère composition]:[3è Composition]])</f>
        <v>#DIV/0!</v>
      </c>
    </row>
    <row r="650" spans="1:21" s="36" customFormat="1" hidden="1" x14ac:dyDescent="0.2">
      <c r="A650" s="1" t="s">
        <v>3326</v>
      </c>
      <c r="B650" s="1" t="s">
        <v>3327</v>
      </c>
      <c r="C650" s="1" t="s">
        <v>3599</v>
      </c>
      <c r="D650" s="1">
        <v>88563602</v>
      </c>
      <c r="E650" s="1">
        <v>2021</v>
      </c>
      <c r="F650" s="1">
        <v>37</v>
      </c>
      <c r="G650" s="1">
        <v>1</v>
      </c>
      <c r="H650" s="76" t="str">
        <f>Tableau1[[#This Row],[Annee d''inscription au programme]]&amp;"-"&amp;Tableau1[[#This Row],[Code d''ecole]]&amp;"-"&amp;Tableau1[[#This Row],[Numero HM de la fille]]</f>
        <v>2021-37-1</v>
      </c>
      <c r="I650" s="1"/>
      <c r="J650" s="1" t="s">
        <v>3505</v>
      </c>
      <c r="K650" s="35" t="s">
        <v>298</v>
      </c>
      <c r="L650" s="90">
        <v>15</v>
      </c>
      <c r="M650" s="90">
        <v>11</v>
      </c>
      <c r="N650" s="90">
        <f t="shared" si="20"/>
        <v>13</v>
      </c>
      <c r="O650" s="90">
        <v>18</v>
      </c>
      <c r="P650" s="90">
        <v>17.5</v>
      </c>
      <c r="Q650" s="90">
        <f t="shared" si="21"/>
        <v>17.75</v>
      </c>
      <c r="R650" s="35"/>
      <c r="S650" s="35"/>
      <c r="T650" s="35"/>
      <c r="U650" s="82" t="e">
        <f>AVERAGE(Tableau1[[#This Row],[1ère composition]:[3è Composition]])</f>
        <v>#DIV/0!</v>
      </c>
    </row>
    <row r="651" spans="1:21" hidden="1" x14ac:dyDescent="0.2">
      <c r="A651" s="1" t="s">
        <v>3326</v>
      </c>
      <c r="B651" s="1" t="s">
        <v>3520</v>
      </c>
      <c r="C651" s="1" t="s">
        <v>3601</v>
      </c>
      <c r="D651" s="1">
        <v>95462867</v>
      </c>
      <c r="E651" s="1">
        <v>2020</v>
      </c>
      <c r="F651" s="1">
        <v>37</v>
      </c>
      <c r="G651" s="1">
        <v>335</v>
      </c>
      <c r="H651" s="76" t="str">
        <f>Tableau1[[#This Row],[Annee d''inscription au programme]]&amp;"-"&amp;Tableau1[[#This Row],[Code d''ecole]]&amp;"-"&amp;Tableau1[[#This Row],[Numero HM de la fille]]</f>
        <v>2020-37-335</v>
      </c>
      <c r="I651" s="1"/>
      <c r="J651" s="1" t="s">
        <v>374</v>
      </c>
      <c r="K651" s="35" t="s">
        <v>3518</v>
      </c>
      <c r="L651" s="51">
        <v>10</v>
      </c>
      <c r="M651" s="51">
        <v>3</v>
      </c>
      <c r="N651" s="51">
        <f t="shared" si="20"/>
        <v>6.5</v>
      </c>
      <c r="O651" s="35">
        <v>5</v>
      </c>
      <c r="P651" s="35">
        <v>6</v>
      </c>
      <c r="Q651" s="35">
        <f t="shared" si="21"/>
        <v>5.5</v>
      </c>
      <c r="R651" s="35"/>
      <c r="S651" s="35"/>
      <c r="T651" s="35"/>
      <c r="U651" s="82" t="e">
        <f>AVERAGE(Tableau1[[#This Row],[1ère composition]:[3è Composition]])</f>
        <v>#DIV/0!</v>
      </c>
    </row>
    <row r="652" spans="1:21" s="35" customFormat="1" hidden="1" x14ac:dyDescent="0.2">
      <c r="A652" s="1" t="s">
        <v>3326</v>
      </c>
      <c r="B652" s="1" t="s">
        <v>3328</v>
      </c>
      <c r="C652" s="1" t="s">
        <v>3599</v>
      </c>
      <c r="D652" s="1">
        <v>94240221</v>
      </c>
      <c r="E652" s="1">
        <v>2021</v>
      </c>
      <c r="F652" s="1">
        <v>37</v>
      </c>
      <c r="G652" s="1">
        <v>2</v>
      </c>
      <c r="H652" s="76" t="str">
        <f>Tableau1[[#This Row],[Annee d''inscription au programme]]&amp;"-"&amp;Tableau1[[#This Row],[Code d''ecole]]&amp;"-"&amp;Tableau1[[#This Row],[Numero HM de la fille]]</f>
        <v>2021-37-2</v>
      </c>
      <c r="I652" s="1"/>
      <c r="J652" s="1" t="s">
        <v>297</v>
      </c>
      <c r="K652" s="35" t="s">
        <v>298</v>
      </c>
      <c r="L652" s="35">
        <v>4</v>
      </c>
      <c r="M652" s="35">
        <v>2</v>
      </c>
      <c r="N652" s="35">
        <f t="shared" si="20"/>
        <v>3</v>
      </c>
      <c r="O652" s="35">
        <v>4</v>
      </c>
      <c r="P652" s="35">
        <v>7</v>
      </c>
      <c r="Q652" s="35">
        <f t="shared" si="21"/>
        <v>5.5</v>
      </c>
      <c r="U652" s="82" t="e">
        <f>AVERAGE(Tableau1[[#This Row],[1ère composition]:[3è Composition]])</f>
        <v>#DIV/0!</v>
      </c>
    </row>
    <row r="653" spans="1:21" hidden="1" x14ac:dyDescent="0.2">
      <c r="A653" s="1" t="s">
        <v>3326</v>
      </c>
      <c r="B653" s="1" t="s">
        <v>3329</v>
      </c>
      <c r="C653" s="1" t="s">
        <v>3601</v>
      </c>
      <c r="D653" s="1">
        <v>94113893</v>
      </c>
      <c r="E653" s="1">
        <v>2020</v>
      </c>
      <c r="F653" s="1">
        <v>37</v>
      </c>
      <c r="G653" s="1">
        <v>327</v>
      </c>
      <c r="H653" s="76" t="str">
        <f>Tableau1[[#This Row],[Annee d''inscription au programme]]&amp;"-"&amp;Tableau1[[#This Row],[Code d''ecole]]&amp;"-"&amp;Tableau1[[#This Row],[Numero HM de la fille]]</f>
        <v>2020-37-327</v>
      </c>
      <c r="I653" s="1"/>
      <c r="J653" s="1" t="s">
        <v>374</v>
      </c>
      <c r="K653" s="35" t="s">
        <v>3518</v>
      </c>
      <c r="L653" s="35">
        <v>6</v>
      </c>
      <c r="M653" s="35">
        <v>4</v>
      </c>
      <c r="N653" s="35">
        <f t="shared" si="20"/>
        <v>5</v>
      </c>
      <c r="O653" s="35">
        <v>8</v>
      </c>
      <c r="P653" s="35">
        <v>12</v>
      </c>
      <c r="Q653" s="35">
        <f t="shared" si="21"/>
        <v>10</v>
      </c>
      <c r="R653" s="35"/>
      <c r="S653" s="35"/>
      <c r="T653" s="35"/>
      <c r="U653" s="82" t="e">
        <f>AVERAGE(Tableau1[[#This Row],[1ère composition]:[3è Composition]])</f>
        <v>#DIV/0!</v>
      </c>
    </row>
    <row r="654" spans="1:21" hidden="1" x14ac:dyDescent="0.2">
      <c r="A654" s="1" t="s">
        <v>3326</v>
      </c>
      <c r="B654" s="1" t="s">
        <v>3330</v>
      </c>
      <c r="C654" s="1" t="s">
        <v>3601</v>
      </c>
      <c r="D654" s="1">
        <v>94420416</v>
      </c>
      <c r="E654" s="1">
        <v>2021</v>
      </c>
      <c r="F654" s="1">
        <v>37</v>
      </c>
      <c r="G654" s="1">
        <v>3</v>
      </c>
      <c r="H654" s="76" t="str">
        <f>Tableau1[[#This Row],[Annee d''inscription au programme]]&amp;"-"&amp;Tableau1[[#This Row],[Code d''ecole]]&amp;"-"&amp;Tableau1[[#This Row],[Numero HM de la fille]]</f>
        <v>2021-37-3</v>
      </c>
      <c r="I654" s="1"/>
      <c r="J654" s="1" t="s">
        <v>297</v>
      </c>
      <c r="K654" s="35" t="s">
        <v>298</v>
      </c>
      <c r="L654" s="35">
        <v>4.5</v>
      </c>
      <c r="M654" s="35">
        <v>6</v>
      </c>
      <c r="N654" s="35">
        <f t="shared" si="20"/>
        <v>5.25</v>
      </c>
      <c r="O654" s="35">
        <v>6</v>
      </c>
      <c r="P654" s="35">
        <v>10</v>
      </c>
      <c r="Q654" s="35">
        <f t="shared" si="21"/>
        <v>8</v>
      </c>
      <c r="R654" s="35"/>
      <c r="S654" s="35"/>
      <c r="T654" s="35"/>
      <c r="U654" s="82" t="e">
        <f>AVERAGE(Tableau1[[#This Row],[1ère composition]:[3è Composition]])</f>
        <v>#DIV/0!</v>
      </c>
    </row>
    <row r="655" spans="1:21" hidden="1" x14ac:dyDescent="0.2">
      <c r="A655" s="1" t="s">
        <v>3326</v>
      </c>
      <c r="B655" s="1" t="s">
        <v>3331</v>
      </c>
      <c r="C655" s="1" t="s">
        <v>3600</v>
      </c>
      <c r="D655" s="1">
        <v>94893789</v>
      </c>
      <c r="E655" s="1">
        <v>2021</v>
      </c>
      <c r="F655" s="1">
        <v>37</v>
      </c>
      <c r="G655" s="1">
        <v>4</v>
      </c>
      <c r="H655" s="76" t="str">
        <f>Tableau1[[#This Row],[Annee d''inscription au programme]]&amp;"-"&amp;Tableau1[[#This Row],[Code d''ecole]]&amp;"-"&amp;Tableau1[[#This Row],[Numero HM de la fille]]</f>
        <v>2021-37-4</v>
      </c>
      <c r="I655" s="1"/>
      <c r="J655" s="1" t="s">
        <v>297</v>
      </c>
      <c r="K655" s="35" t="s">
        <v>298</v>
      </c>
      <c r="L655" s="35">
        <v>2</v>
      </c>
      <c r="M655" s="35">
        <v>3</v>
      </c>
      <c r="N655" s="35">
        <f t="shared" si="20"/>
        <v>2.5</v>
      </c>
      <c r="O655" s="35">
        <v>0</v>
      </c>
      <c r="P655" s="35"/>
      <c r="Q655" s="35">
        <f t="shared" si="21"/>
        <v>0</v>
      </c>
      <c r="R655" s="35"/>
      <c r="S655" s="35"/>
      <c r="T655" s="35"/>
      <c r="U655" s="82" t="e">
        <f>AVERAGE(Tableau1[[#This Row],[1ère composition]:[3è Composition]])</f>
        <v>#DIV/0!</v>
      </c>
    </row>
    <row r="656" spans="1:21" hidden="1" x14ac:dyDescent="0.2">
      <c r="A656" s="1" t="s">
        <v>3326</v>
      </c>
      <c r="B656" s="1" t="s">
        <v>3332</v>
      </c>
      <c r="C656" s="1" t="s">
        <v>3599</v>
      </c>
      <c r="D656" s="1">
        <v>94116084</v>
      </c>
      <c r="E656" s="1">
        <v>2021</v>
      </c>
      <c r="F656" s="1">
        <v>37</v>
      </c>
      <c r="G656" s="1">
        <v>5</v>
      </c>
      <c r="H656" s="76" t="str">
        <f>Tableau1[[#This Row],[Annee d''inscription au programme]]&amp;"-"&amp;Tableau1[[#This Row],[Code d''ecole]]&amp;"-"&amp;Tableau1[[#This Row],[Numero HM de la fille]]</f>
        <v>2021-37-5</v>
      </c>
      <c r="I656" s="1"/>
      <c r="J656" s="1" t="s">
        <v>297</v>
      </c>
      <c r="K656" s="35" t="s">
        <v>298</v>
      </c>
      <c r="L656" s="35">
        <v>0</v>
      </c>
      <c r="M656" s="35">
        <v>0</v>
      </c>
      <c r="N656" s="35">
        <f t="shared" si="20"/>
        <v>0</v>
      </c>
      <c r="O656" s="35">
        <v>14</v>
      </c>
      <c r="P656" s="35">
        <v>15.5</v>
      </c>
      <c r="Q656" s="35">
        <f t="shared" si="21"/>
        <v>14.75</v>
      </c>
      <c r="R656" s="35"/>
      <c r="S656" s="35"/>
      <c r="T656" s="35"/>
      <c r="U656" s="82" t="e">
        <f>AVERAGE(Tableau1[[#This Row],[1ère composition]:[3è Composition]])</f>
        <v>#DIV/0!</v>
      </c>
    </row>
    <row r="657" spans="1:21" hidden="1" x14ac:dyDescent="0.2">
      <c r="A657" s="1" t="s">
        <v>3326</v>
      </c>
      <c r="B657" s="1" t="s">
        <v>3333</v>
      </c>
      <c r="C657" s="1" t="s">
        <v>3601</v>
      </c>
      <c r="D657" s="1">
        <v>94240221</v>
      </c>
      <c r="E657" s="1">
        <v>2020</v>
      </c>
      <c r="F657" s="1">
        <v>37</v>
      </c>
      <c r="G657" s="1">
        <v>323</v>
      </c>
      <c r="H657" s="76" t="str">
        <f>Tableau1[[#This Row],[Annee d''inscription au programme]]&amp;"-"&amp;Tableau1[[#This Row],[Code d''ecole]]&amp;"-"&amp;Tableau1[[#This Row],[Numero HM de la fille]]</f>
        <v>2020-37-323</v>
      </c>
      <c r="I657" s="1"/>
      <c r="J657" s="1" t="s">
        <v>374</v>
      </c>
      <c r="K657" s="35" t="s">
        <v>3518</v>
      </c>
      <c r="L657" s="35">
        <v>13.5</v>
      </c>
      <c r="M657" s="35">
        <v>12</v>
      </c>
      <c r="N657" s="35">
        <f t="shared" si="20"/>
        <v>12.75</v>
      </c>
      <c r="O657" s="35">
        <v>13</v>
      </c>
      <c r="P657" s="35">
        <v>11.25</v>
      </c>
      <c r="Q657" s="35">
        <f t="shared" si="21"/>
        <v>12.125</v>
      </c>
      <c r="R657" s="35"/>
      <c r="S657" s="35"/>
      <c r="T657" s="35"/>
      <c r="U657" s="82" t="e">
        <f>AVERAGE(Tableau1[[#This Row],[1ère composition]:[3è Composition]])</f>
        <v>#DIV/0!</v>
      </c>
    </row>
    <row r="658" spans="1:21" hidden="1" x14ac:dyDescent="0.2">
      <c r="A658" s="1" t="s">
        <v>3326</v>
      </c>
      <c r="B658" s="1" t="s">
        <v>3334</v>
      </c>
      <c r="C658" s="1" t="s">
        <v>3599</v>
      </c>
      <c r="D658" s="1">
        <v>88562602</v>
      </c>
      <c r="E658" s="1">
        <v>2021</v>
      </c>
      <c r="F658" s="1">
        <v>37</v>
      </c>
      <c r="G658" s="1">
        <v>6</v>
      </c>
      <c r="H658" s="76" t="str">
        <f>Tableau1[[#This Row],[Annee d''inscription au programme]]&amp;"-"&amp;Tableau1[[#This Row],[Code d''ecole]]&amp;"-"&amp;Tableau1[[#This Row],[Numero HM de la fille]]</f>
        <v>2021-37-6</v>
      </c>
      <c r="I658" s="1"/>
      <c r="J658" s="1" t="s">
        <v>297</v>
      </c>
      <c r="K658" s="35" t="s">
        <v>298</v>
      </c>
      <c r="L658" s="35">
        <v>12.5</v>
      </c>
      <c r="M658" s="35">
        <v>9</v>
      </c>
      <c r="N658" s="35">
        <f t="shared" si="20"/>
        <v>10.75</v>
      </c>
      <c r="O658" s="35">
        <v>9.5</v>
      </c>
      <c r="P658" s="35">
        <v>8.75</v>
      </c>
      <c r="Q658" s="35">
        <f t="shared" si="21"/>
        <v>9.125</v>
      </c>
      <c r="R658" s="35"/>
      <c r="S658" s="35"/>
      <c r="T658" s="35"/>
      <c r="U658" s="82" t="e">
        <f>AVERAGE(Tableau1[[#This Row],[1ère composition]:[3è Composition]])</f>
        <v>#DIV/0!</v>
      </c>
    </row>
    <row r="659" spans="1:21" hidden="1" x14ac:dyDescent="0.2">
      <c r="A659" s="1" t="s">
        <v>3326</v>
      </c>
      <c r="B659" s="1" t="s">
        <v>3335</v>
      </c>
      <c r="C659" s="1" t="s">
        <v>3599</v>
      </c>
      <c r="D659" s="1">
        <v>94977085</v>
      </c>
      <c r="E659" s="1">
        <v>2021</v>
      </c>
      <c r="F659" s="1">
        <v>37</v>
      </c>
      <c r="G659" s="1">
        <v>7</v>
      </c>
      <c r="H659" s="76" t="str">
        <f>Tableau1[[#This Row],[Annee d''inscription au programme]]&amp;"-"&amp;Tableau1[[#This Row],[Code d''ecole]]&amp;"-"&amp;Tableau1[[#This Row],[Numero HM de la fille]]</f>
        <v>2021-37-7</v>
      </c>
      <c r="I659" s="1"/>
      <c r="J659" s="1" t="s">
        <v>297</v>
      </c>
      <c r="K659" s="35" t="s">
        <v>298</v>
      </c>
      <c r="L659" s="35">
        <v>0</v>
      </c>
      <c r="M659" s="35">
        <v>0</v>
      </c>
      <c r="N659" s="35">
        <f t="shared" si="20"/>
        <v>0</v>
      </c>
      <c r="O659" s="35">
        <v>14</v>
      </c>
      <c r="P659" s="35">
        <v>14.5</v>
      </c>
      <c r="Q659" s="35">
        <f t="shared" si="21"/>
        <v>14.25</v>
      </c>
      <c r="R659" s="35"/>
      <c r="S659" s="35"/>
      <c r="T659" s="35"/>
      <c r="U659" s="82" t="e">
        <f>AVERAGE(Tableau1[[#This Row],[1ère composition]:[3è Composition]])</f>
        <v>#DIV/0!</v>
      </c>
    </row>
    <row r="660" spans="1:21" hidden="1" x14ac:dyDescent="0.2">
      <c r="A660" s="1" t="s">
        <v>3326</v>
      </c>
      <c r="B660" s="1" t="s">
        <v>3336</v>
      </c>
      <c r="C660" s="1" t="s">
        <v>3599</v>
      </c>
      <c r="D660" s="1">
        <v>94270634</v>
      </c>
      <c r="E660" s="1">
        <v>2021</v>
      </c>
      <c r="F660" s="1">
        <v>37</v>
      </c>
      <c r="G660" s="1">
        <v>8</v>
      </c>
      <c r="H660" s="76" t="str">
        <f>Tableau1[[#This Row],[Annee d''inscription au programme]]&amp;"-"&amp;Tableau1[[#This Row],[Code d''ecole]]&amp;"-"&amp;Tableau1[[#This Row],[Numero HM de la fille]]</f>
        <v>2021-37-8</v>
      </c>
      <c r="I660" s="1"/>
      <c r="J660" s="1" t="s">
        <v>297</v>
      </c>
      <c r="K660" s="35" t="s">
        <v>298</v>
      </c>
      <c r="L660" s="35">
        <v>10.5</v>
      </c>
      <c r="M660" s="35">
        <v>7</v>
      </c>
      <c r="N660" s="35">
        <f t="shared" si="20"/>
        <v>8.75</v>
      </c>
      <c r="O660" s="35">
        <v>10.5</v>
      </c>
      <c r="P660" s="35">
        <v>15.5</v>
      </c>
      <c r="Q660" s="35">
        <f t="shared" si="21"/>
        <v>13</v>
      </c>
      <c r="R660" s="35"/>
      <c r="S660" s="35"/>
      <c r="T660" s="35"/>
      <c r="U660" s="82" t="e">
        <f>AVERAGE(Tableau1[[#This Row],[1ère composition]:[3è Composition]])</f>
        <v>#DIV/0!</v>
      </c>
    </row>
    <row r="661" spans="1:21" hidden="1" x14ac:dyDescent="0.2">
      <c r="A661" s="1" t="s">
        <v>3326</v>
      </c>
      <c r="B661" s="1" t="s">
        <v>3337</v>
      </c>
      <c r="C661" s="1"/>
      <c r="D661" s="1">
        <v>94240221</v>
      </c>
      <c r="E661" s="1">
        <v>2021</v>
      </c>
      <c r="F661" s="1">
        <v>37</v>
      </c>
      <c r="G661" s="1">
        <v>9</v>
      </c>
      <c r="H661" s="76" t="str">
        <f>Tableau1[[#This Row],[Annee d''inscription au programme]]&amp;"-"&amp;Tableau1[[#This Row],[Code d''ecole]]&amp;"-"&amp;Tableau1[[#This Row],[Numero HM de la fille]]</f>
        <v>2021-37-9</v>
      </c>
      <c r="I661" s="1"/>
      <c r="J661" s="1" t="s">
        <v>297</v>
      </c>
      <c r="K661" s="35" t="s">
        <v>298</v>
      </c>
      <c r="L661" s="35">
        <v>0</v>
      </c>
      <c r="M661" s="35">
        <v>0</v>
      </c>
      <c r="N661" s="35">
        <f t="shared" si="20"/>
        <v>0</v>
      </c>
      <c r="O661" s="35">
        <v>8</v>
      </c>
      <c r="P661" s="35">
        <v>8</v>
      </c>
      <c r="Q661" s="35">
        <f t="shared" si="21"/>
        <v>8</v>
      </c>
      <c r="R661" s="35"/>
      <c r="S661" s="35"/>
      <c r="T661" s="35"/>
      <c r="U661" s="82" t="e">
        <f>AVERAGE(Tableau1[[#This Row],[1ère composition]:[3è Composition]])</f>
        <v>#DIV/0!</v>
      </c>
    </row>
    <row r="662" spans="1:21" hidden="1" x14ac:dyDescent="0.2">
      <c r="A662" s="1" t="s">
        <v>3326</v>
      </c>
      <c r="B662" s="1" t="s">
        <v>3338</v>
      </c>
      <c r="C662" s="1" t="s">
        <v>3599</v>
      </c>
      <c r="D662" s="1">
        <v>95642851</v>
      </c>
      <c r="E662" s="1">
        <v>2021</v>
      </c>
      <c r="F662" s="1">
        <v>37</v>
      </c>
      <c r="G662" s="1">
        <v>10</v>
      </c>
      <c r="H662" s="76" t="str">
        <f>Tableau1[[#This Row],[Annee d''inscription au programme]]&amp;"-"&amp;Tableau1[[#This Row],[Code d''ecole]]&amp;"-"&amp;Tableau1[[#This Row],[Numero HM de la fille]]</f>
        <v>2021-37-10</v>
      </c>
      <c r="I662" s="1"/>
      <c r="J662" s="1" t="s">
        <v>297</v>
      </c>
      <c r="K662" s="35" t="s">
        <v>298</v>
      </c>
      <c r="L662" s="35">
        <v>9</v>
      </c>
      <c r="M662" s="35">
        <v>2</v>
      </c>
      <c r="N662" s="35">
        <f t="shared" si="20"/>
        <v>5.5</v>
      </c>
      <c r="O662" s="35">
        <v>12</v>
      </c>
      <c r="P662" s="35">
        <v>14</v>
      </c>
      <c r="Q662" s="35">
        <f t="shared" si="21"/>
        <v>13</v>
      </c>
      <c r="R662" s="35"/>
      <c r="S662" s="35"/>
      <c r="T662" s="35"/>
      <c r="U662" s="82" t="e">
        <f>AVERAGE(Tableau1[[#This Row],[1ère composition]:[3è Composition]])</f>
        <v>#DIV/0!</v>
      </c>
    </row>
    <row r="663" spans="1:21" hidden="1" x14ac:dyDescent="0.2">
      <c r="A663" s="1" t="s">
        <v>3326</v>
      </c>
      <c r="B663" s="1" t="s">
        <v>3519</v>
      </c>
      <c r="C663" s="1" t="s">
        <v>3602</v>
      </c>
      <c r="D663" s="1">
        <v>95992258</v>
      </c>
      <c r="E663" s="1">
        <v>2020</v>
      </c>
      <c r="F663" s="1">
        <v>37</v>
      </c>
      <c r="G663" s="1">
        <v>320</v>
      </c>
      <c r="H663" s="76" t="str">
        <f>Tableau1[[#This Row],[Annee d''inscription au programme]]&amp;"-"&amp;Tableau1[[#This Row],[Code d''ecole]]&amp;"-"&amp;Tableau1[[#This Row],[Numero HM de la fille]]</f>
        <v>2020-37-320</v>
      </c>
      <c r="I663" s="1"/>
      <c r="J663" s="1" t="s">
        <v>374</v>
      </c>
      <c r="K663" s="35" t="s">
        <v>3518</v>
      </c>
      <c r="L663" s="35">
        <v>8.5</v>
      </c>
      <c r="M663" s="35">
        <v>4</v>
      </c>
      <c r="N663" s="35">
        <f t="shared" si="20"/>
        <v>6.25</v>
      </c>
      <c r="O663" s="35">
        <v>0</v>
      </c>
      <c r="P663" s="35"/>
      <c r="Q663" s="35">
        <f t="shared" si="21"/>
        <v>0</v>
      </c>
      <c r="R663" s="35"/>
      <c r="S663" s="35"/>
      <c r="T663" s="35"/>
      <c r="U663" s="82" t="e">
        <f>AVERAGE(Tableau1[[#This Row],[1ère composition]:[3è Composition]])</f>
        <v>#DIV/0!</v>
      </c>
    </row>
    <row r="664" spans="1:21" hidden="1" x14ac:dyDescent="0.2">
      <c r="A664" s="1" t="s">
        <v>3326</v>
      </c>
      <c r="B664" s="1" t="s">
        <v>3339</v>
      </c>
      <c r="C664" s="1" t="s">
        <v>3599</v>
      </c>
      <c r="D664" s="1">
        <v>94270634</v>
      </c>
      <c r="E664" s="1">
        <v>2021</v>
      </c>
      <c r="F664" s="1">
        <v>37</v>
      </c>
      <c r="G664" s="1">
        <v>11</v>
      </c>
      <c r="H664" s="76" t="str">
        <f>Tableau1[[#This Row],[Annee d''inscription au programme]]&amp;"-"&amp;Tableau1[[#This Row],[Code d''ecole]]&amp;"-"&amp;Tableau1[[#This Row],[Numero HM de la fille]]</f>
        <v>2021-37-11</v>
      </c>
      <c r="I664" s="1"/>
      <c r="J664" s="1" t="s">
        <v>297</v>
      </c>
      <c r="K664" s="35" t="s">
        <v>298</v>
      </c>
      <c r="L664" s="35">
        <v>6.5</v>
      </c>
      <c r="M664" s="35">
        <v>2</v>
      </c>
      <c r="N664" s="35">
        <f t="shared" si="20"/>
        <v>4.25</v>
      </c>
      <c r="O664" s="35">
        <v>11</v>
      </c>
      <c r="P664" s="35">
        <v>13.75</v>
      </c>
      <c r="Q664" s="35">
        <f t="shared" si="21"/>
        <v>12.375</v>
      </c>
      <c r="R664" s="35"/>
      <c r="S664" s="35"/>
      <c r="T664" s="35"/>
      <c r="U664" s="82" t="e">
        <f>AVERAGE(Tableau1[[#This Row],[1ère composition]:[3è Composition]])</f>
        <v>#DIV/0!</v>
      </c>
    </row>
    <row r="665" spans="1:21" hidden="1" x14ac:dyDescent="0.2">
      <c r="A665" s="1" t="s">
        <v>3326</v>
      </c>
      <c r="B665" s="1" t="s">
        <v>921</v>
      </c>
      <c r="C665" s="1" t="s">
        <v>3599</v>
      </c>
      <c r="D665" s="1">
        <v>94270634</v>
      </c>
      <c r="E665" s="1">
        <v>2021</v>
      </c>
      <c r="F665" s="1">
        <v>37</v>
      </c>
      <c r="G665" s="1">
        <v>12</v>
      </c>
      <c r="H665" s="76" t="str">
        <f>Tableau1[[#This Row],[Annee d''inscription au programme]]&amp;"-"&amp;Tableau1[[#This Row],[Code d''ecole]]&amp;"-"&amp;Tableau1[[#This Row],[Numero HM de la fille]]</f>
        <v>2021-37-12</v>
      </c>
      <c r="I665" s="1"/>
      <c r="J665" s="1" t="s">
        <v>297</v>
      </c>
      <c r="K665" s="35" t="s">
        <v>298</v>
      </c>
      <c r="L665" s="35">
        <v>6.5</v>
      </c>
      <c r="M665" s="35">
        <v>2</v>
      </c>
      <c r="N665" s="35">
        <f t="shared" si="20"/>
        <v>4.25</v>
      </c>
      <c r="O665" s="35">
        <v>14.5</v>
      </c>
      <c r="P665" s="35">
        <v>18</v>
      </c>
      <c r="Q665" s="35">
        <f t="shared" si="21"/>
        <v>16.25</v>
      </c>
      <c r="R665" s="35"/>
      <c r="S665" s="35"/>
      <c r="T665" s="35"/>
      <c r="U665" s="82" t="e">
        <f>AVERAGE(Tableau1[[#This Row],[1ère composition]:[3è Composition]])</f>
        <v>#DIV/0!</v>
      </c>
    </row>
    <row r="666" spans="1:21" hidden="1" x14ac:dyDescent="0.2">
      <c r="A666" s="1" t="s">
        <v>3326</v>
      </c>
      <c r="B666" s="1" t="s">
        <v>3340</v>
      </c>
      <c r="C666" s="1" t="s">
        <v>3599</v>
      </c>
      <c r="D666" s="1">
        <v>97418814</v>
      </c>
      <c r="E666" s="1">
        <v>2021</v>
      </c>
      <c r="F666" s="1">
        <v>37</v>
      </c>
      <c r="G666" s="1">
        <v>13</v>
      </c>
      <c r="H666" s="76" t="str">
        <f>Tableau1[[#This Row],[Annee d''inscription au programme]]&amp;"-"&amp;Tableau1[[#This Row],[Code d''ecole]]&amp;"-"&amp;Tableau1[[#This Row],[Numero HM de la fille]]</f>
        <v>2021-37-13</v>
      </c>
      <c r="I666" s="1"/>
      <c r="J666" s="1" t="s">
        <v>297</v>
      </c>
      <c r="K666" s="35" t="s">
        <v>298</v>
      </c>
      <c r="L666" s="35">
        <v>9.5</v>
      </c>
      <c r="M666" s="35">
        <v>16</v>
      </c>
      <c r="N666" s="35">
        <f t="shared" si="20"/>
        <v>12.75</v>
      </c>
      <c r="O666" s="35">
        <v>13.5</v>
      </c>
      <c r="P666" s="35">
        <v>16.5</v>
      </c>
      <c r="Q666" s="35">
        <f t="shared" si="21"/>
        <v>15</v>
      </c>
      <c r="R666" s="35"/>
      <c r="S666" s="35"/>
      <c r="T666" s="35"/>
      <c r="U666" s="82" t="e">
        <f>AVERAGE(Tableau1[[#This Row],[1ère composition]:[3è Composition]])</f>
        <v>#DIV/0!</v>
      </c>
    </row>
    <row r="667" spans="1:21" hidden="1" x14ac:dyDescent="0.2">
      <c r="A667" s="1" t="s">
        <v>3326</v>
      </c>
      <c r="B667" s="1" t="s">
        <v>3341</v>
      </c>
      <c r="C667" s="1" t="s">
        <v>3599</v>
      </c>
      <c r="D667" s="1">
        <v>97418814</v>
      </c>
      <c r="E667" s="1">
        <v>2021</v>
      </c>
      <c r="F667" s="1">
        <v>37</v>
      </c>
      <c r="G667" s="1">
        <v>14</v>
      </c>
      <c r="H667" s="76" t="str">
        <f>Tableau1[[#This Row],[Annee d''inscription au programme]]&amp;"-"&amp;Tableau1[[#This Row],[Code d''ecole]]&amp;"-"&amp;Tableau1[[#This Row],[Numero HM de la fille]]</f>
        <v>2021-37-14</v>
      </c>
      <c r="I667" s="1"/>
      <c r="J667" s="1" t="s">
        <v>297</v>
      </c>
      <c r="K667" s="35" t="s">
        <v>298</v>
      </c>
      <c r="L667" s="35">
        <v>9</v>
      </c>
      <c r="M667" s="35">
        <v>11</v>
      </c>
      <c r="N667" s="35">
        <f t="shared" si="20"/>
        <v>10</v>
      </c>
      <c r="O667" s="35">
        <v>16.5</v>
      </c>
      <c r="P667" s="35">
        <v>19</v>
      </c>
      <c r="Q667" s="35">
        <f t="shared" si="21"/>
        <v>17.75</v>
      </c>
      <c r="R667" s="35"/>
      <c r="S667" s="35"/>
      <c r="T667" s="35"/>
      <c r="U667" s="82" t="e">
        <f>AVERAGE(Tableau1[[#This Row],[1ère composition]:[3è Composition]])</f>
        <v>#DIV/0!</v>
      </c>
    </row>
    <row r="668" spans="1:21" hidden="1" x14ac:dyDescent="0.2">
      <c r="A668" s="1" t="s">
        <v>3326</v>
      </c>
      <c r="B668" s="1" t="s">
        <v>3342</v>
      </c>
      <c r="C668" s="1" t="s">
        <v>3599</v>
      </c>
      <c r="D668" s="1">
        <v>84728679</v>
      </c>
      <c r="E668" s="1">
        <v>2021</v>
      </c>
      <c r="F668" s="1">
        <v>37</v>
      </c>
      <c r="G668" s="1">
        <v>15</v>
      </c>
      <c r="H668" s="76" t="str">
        <f>Tableau1[[#This Row],[Annee d''inscription au programme]]&amp;"-"&amp;Tableau1[[#This Row],[Code d''ecole]]&amp;"-"&amp;Tableau1[[#This Row],[Numero HM de la fille]]</f>
        <v>2021-37-15</v>
      </c>
      <c r="I668" s="1"/>
      <c r="J668" s="1" t="s">
        <v>297</v>
      </c>
      <c r="K668" s="35" t="s">
        <v>298</v>
      </c>
      <c r="L668" s="35">
        <v>16</v>
      </c>
      <c r="M668" s="35">
        <v>17</v>
      </c>
      <c r="N668" s="35">
        <f t="shared" si="20"/>
        <v>16.5</v>
      </c>
      <c r="O668" s="35">
        <v>15</v>
      </c>
      <c r="P668" s="35">
        <v>14.75</v>
      </c>
      <c r="Q668" s="35">
        <f t="shared" si="21"/>
        <v>14.875</v>
      </c>
      <c r="R668" s="35"/>
      <c r="S668" s="35"/>
      <c r="T668" s="35"/>
      <c r="U668" s="82" t="e">
        <f>AVERAGE(Tableau1[[#This Row],[1ère composition]:[3è Composition]])</f>
        <v>#DIV/0!</v>
      </c>
    </row>
    <row r="669" spans="1:21" hidden="1" x14ac:dyDescent="0.2">
      <c r="A669" s="1" t="s">
        <v>3326</v>
      </c>
      <c r="B669" s="1" t="s">
        <v>3343</v>
      </c>
      <c r="C669" s="1" t="s">
        <v>3599</v>
      </c>
      <c r="D669" s="1">
        <v>95239376</v>
      </c>
      <c r="E669" s="1">
        <v>2021</v>
      </c>
      <c r="F669" s="1">
        <v>37</v>
      </c>
      <c r="G669" s="1">
        <v>16</v>
      </c>
      <c r="H669" s="76" t="str">
        <f>Tableau1[[#This Row],[Annee d''inscription au programme]]&amp;"-"&amp;Tableau1[[#This Row],[Code d''ecole]]&amp;"-"&amp;Tableau1[[#This Row],[Numero HM de la fille]]</f>
        <v>2021-37-16</v>
      </c>
      <c r="I669" s="1"/>
      <c r="J669" s="1" t="s">
        <v>297</v>
      </c>
      <c r="K669" s="35" t="s">
        <v>298</v>
      </c>
      <c r="L669" s="35">
        <v>11.5</v>
      </c>
      <c r="M669" s="35">
        <v>13</v>
      </c>
      <c r="N669" s="35">
        <f t="shared" si="20"/>
        <v>12.25</v>
      </c>
      <c r="O669" s="35">
        <v>7</v>
      </c>
      <c r="P669" s="35">
        <v>10</v>
      </c>
      <c r="Q669" s="35">
        <f t="shared" si="21"/>
        <v>8.5</v>
      </c>
      <c r="R669" s="35"/>
      <c r="S669" s="35"/>
      <c r="T669" s="35"/>
      <c r="U669" s="82" t="e">
        <f>AVERAGE(Tableau1[[#This Row],[1ère composition]:[3è Composition]])</f>
        <v>#DIV/0!</v>
      </c>
    </row>
    <row r="670" spans="1:21" hidden="1" x14ac:dyDescent="0.2">
      <c r="A670" s="1" t="s">
        <v>3326</v>
      </c>
      <c r="B670" s="1" t="s">
        <v>3344</v>
      </c>
      <c r="C670" s="1" t="s">
        <v>3599</v>
      </c>
      <c r="D670" s="1">
        <v>96528957</v>
      </c>
      <c r="E670" s="1">
        <v>2021</v>
      </c>
      <c r="F670" s="1">
        <v>37</v>
      </c>
      <c r="G670" s="1">
        <v>17</v>
      </c>
      <c r="H670" s="76" t="str">
        <f>Tableau1[[#This Row],[Annee d''inscription au programme]]&amp;"-"&amp;Tableau1[[#This Row],[Code d''ecole]]&amp;"-"&amp;Tableau1[[#This Row],[Numero HM de la fille]]</f>
        <v>2021-37-17</v>
      </c>
      <c r="I670" s="1"/>
      <c r="J670" s="1" t="s">
        <v>297</v>
      </c>
      <c r="K670" s="35" t="s">
        <v>298</v>
      </c>
      <c r="L670" s="35">
        <v>11</v>
      </c>
      <c r="M670" s="35">
        <v>6</v>
      </c>
      <c r="N670" s="35">
        <f t="shared" si="20"/>
        <v>8.5</v>
      </c>
      <c r="O670" s="35">
        <v>17</v>
      </c>
      <c r="P670" s="35">
        <v>18.5</v>
      </c>
      <c r="Q670" s="35">
        <f t="shared" si="21"/>
        <v>17.75</v>
      </c>
      <c r="R670" s="35"/>
      <c r="S670" s="35"/>
      <c r="T670" s="35"/>
      <c r="U670" s="82" t="e">
        <f>AVERAGE(Tableau1[[#This Row],[1ère composition]:[3è Composition]])</f>
        <v>#DIV/0!</v>
      </c>
    </row>
    <row r="671" spans="1:21" hidden="1" x14ac:dyDescent="0.2">
      <c r="A671" s="1" t="s">
        <v>3326</v>
      </c>
      <c r="B671" s="1" t="s">
        <v>3345</v>
      </c>
      <c r="C671" s="1" t="s">
        <v>3599</v>
      </c>
      <c r="D671" s="1">
        <v>94707398</v>
      </c>
      <c r="E671" s="1">
        <v>2021</v>
      </c>
      <c r="F671" s="1">
        <v>37</v>
      </c>
      <c r="G671" s="1">
        <v>18</v>
      </c>
      <c r="H671" s="76" t="str">
        <f>Tableau1[[#This Row],[Annee d''inscription au programme]]&amp;"-"&amp;Tableau1[[#This Row],[Code d''ecole]]&amp;"-"&amp;Tableau1[[#This Row],[Numero HM de la fille]]</f>
        <v>2021-37-18</v>
      </c>
      <c r="I671" s="1"/>
      <c r="J671" s="1" t="s">
        <v>297</v>
      </c>
      <c r="K671" s="35" t="s">
        <v>298</v>
      </c>
      <c r="L671" s="35">
        <v>13</v>
      </c>
      <c r="M671" s="35">
        <v>11</v>
      </c>
      <c r="N671" s="35">
        <f t="shared" si="20"/>
        <v>12</v>
      </c>
      <c r="O671" s="35">
        <v>14</v>
      </c>
      <c r="P671" s="35">
        <v>19</v>
      </c>
      <c r="Q671" s="35">
        <f t="shared" si="21"/>
        <v>16.5</v>
      </c>
      <c r="R671" s="35"/>
      <c r="S671" s="35"/>
      <c r="T671" s="35"/>
      <c r="U671" s="82" t="e">
        <f>AVERAGE(Tableau1[[#This Row],[1ère composition]:[3è Composition]])</f>
        <v>#DIV/0!</v>
      </c>
    </row>
    <row r="672" spans="1:21" hidden="1" x14ac:dyDescent="0.2">
      <c r="A672" s="1" t="s">
        <v>3326</v>
      </c>
      <c r="B672" s="1" t="s">
        <v>3346</v>
      </c>
      <c r="C672" s="1" t="s">
        <v>3599</v>
      </c>
      <c r="D672" s="1">
        <v>94420416</v>
      </c>
      <c r="E672" s="1">
        <v>2021</v>
      </c>
      <c r="F672" s="1">
        <v>37</v>
      </c>
      <c r="G672" s="1">
        <v>19</v>
      </c>
      <c r="H672" s="76" t="str">
        <f>Tableau1[[#This Row],[Annee d''inscription au programme]]&amp;"-"&amp;Tableau1[[#This Row],[Code d''ecole]]&amp;"-"&amp;Tableau1[[#This Row],[Numero HM de la fille]]</f>
        <v>2021-37-19</v>
      </c>
      <c r="I672" s="1"/>
      <c r="J672" s="1" t="s">
        <v>297</v>
      </c>
      <c r="K672" s="35" t="s">
        <v>298</v>
      </c>
      <c r="L672" s="35">
        <v>13</v>
      </c>
      <c r="M672" s="35">
        <v>9</v>
      </c>
      <c r="N672" s="35">
        <f t="shared" si="20"/>
        <v>11</v>
      </c>
      <c r="O672" s="35">
        <v>16</v>
      </c>
      <c r="P672" s="35">
        <v>20</v>
      </c>
      <c r="Q672" s="35">
        <f t="shared" si="21"/>
        <v>18</v>
      </c>
      <c r="R672" s="35"/>
      <c r="S672" s="35"/>
      <c r="T672" s="35"/>
      <c r="U672" s="82" t="e">
        <f>AVERAGE(Tableau1[[#This Row],[1ère composition]:[3è Composition]])</f>
        <v>#DIV/0!</v>
      </c>
    </row>
    <row r="673" spans="1:21" hidden="1" x14ac:dyDescent="0.2">
      <c r="A673" s="1" t="s">
        <v>3326</v>
      </c>
      <c r="B673" s="1" t="s">
        <v>3347</v>
      </c>
      <c r="C673" s="1" t="s">
        <v>3599</v>
      </c>
      <c r="D673" s="1">
        <v>94270634</v>
      </c>
      <c r="E673" s="1">
        <v>2021</v>
      </c>
      <c r="F673" s="1">
        <v>37</v>
      </c>
      <c r="G673" s="1">
        <v>20</v>
      </c>
      <c r="H673" s="76" t="str">
        <f>Tableau1[[#This Row],[Annee d''inscription au programme]]&amp;"-"&amp;Tableau1[[#This Row],[Code d''ecole]]&amp;"-"&amp;Tableau1[[#This Row],[Numero HM de la fille]]</f>
        <v>2021-37-20</v>
      </c>
      <c r="I673" s="1"/>
      <c r="J673" s="1" t="s">
        <v>297</v>
      </c>
      <c r="K673" s="35" t="s">
        <v>298</v>
      </c>
      <c r="L673" s="35">
        <v>12.5</v>
      </c>
      <c r="M673" s="35">
        <v>13</v>
      </c>
      <c r="N673" s="35">
        <f t="shared" si="20"/>
        <v>12.75</v>
      </c>
      <c r="O673" s="35">
        <v>10.5</v>
      </c>
      <c r="P673" s="35">
        <v>12.5</v>
      </c>
      <c r="Q673" s="35">
        <f t="shared" si="21"/>
        <v>11.5</v>
      </c>
      <c r="R673" s="35"/>
      <c r="S673" s="35"/>
      <c r="T673" s="35"/>
      <c r="U673" s="82" t="e">
        <f>AVERAGE(Tableau1[[#This Row],[1ère composition]:[3è Composition]])</f>
        <v>#DIV/0!</v>
      </c>
    </row>
    <row r="674" spans="1:21" hidden="1" x14ac:dyDescent="0.2">
      <c r="A674" s="1" t="s">
        <v>3326</v>
      </c>
      <c r="B674" s="1" t="s">
        <v>3348</v>
      </c>
      <c r="C674" s="1" t="s">
        <v>3599</v>
      </c>
      <c r="D674" s="1">
        <v>94757711</v>
      </c>
      <c r="E674" s="1">
        <v>2021</v>
      </c>
      <c r="F674" s="1">
        <v>37</v>
      </c>
      <c r="G674" s="1">
        <v>21</v>
      </c>
      <c r="H674" s="76" t="str">
        <f>Tableau1[[#This Row],[Annee d''inscription au programme]]&amp;"-"&amp;Tableau1[[#This Row],[Code d''ecole]]&amp;"-"&amp;Tableau1[[#This Row],[Numero HM de la fille]]</f>
        <v>2021-37-21</v>
      </c>
      <c r="I674" s="1"/>
      <c r="J674" s="1" t="s">
        <v>297</v>
      </c>
      <c r="K674" s="35" t="s">
        <v>298</v>
      </c>
      <c r="L674" s="35">
        <v>9.5</v>
      </c>
      <c r="M674" s="35">
        <v>6</v>
      </c>
      <c r="N674" s="35">
        <f t="shared" si="20"/>
        <v>7.75</v>
      </c>
      <c r="O674" s="35">
        <v>8</v>
      </c>
      <c r="P674" s="35">
        <v>2.5</v>
      </c>
      <c r="Q674" s="35">
        <f t="shared" si="21"/>
        <v>5.25</v>
      </c>
      <c r="R674" s="35"/>
      <c r="S674" s="35"/>
      <c r="T674" s="35"/>
      <c r="U674" s="82" t="e">
        <f>AVERAGE(Tableau1[[#This Row],[1ère composition]:[3è Composition]])</f>
        <v>#DIV/0!</v>
      </c>
    </row>
    <row r="675" spans="1:21" hidden="1" x14ac:dyDescent="0.2">
      <c r="A675" s="1" t="s">
        <v>3326</v>
      </c>
      <c r="B675" s="1" t="s">
        <v>3349</v>
      </c>
      <c r="C675" s="1" t="s">
        <v>3601</v>
      </c>
      <c r="D675" s="1">
        <v>95925582</v>
      </c>
      <c r="E675" s="1">
        <v>2020</v>
      </c>
      <c r="F675" s="1">
        <v>37</v>
      </c>
      <c r="G675" s="1">
        <v>324</v>
      </c>
      <c r="H675" s="76" t="str">
        <f>Tableau1[[#This Row],[Annee d''inscription au programme]]&amp;"-"&amp;Tableau1[[#This Row],[Code d''ecole]]&amp;"-"&amp;Tableau1[[#This Row],[Numero HM de la fille]]</f>
        <v>2020-37-324</v>
      </c>
      <c r="I675" s="1"/>
      <c r="J675" s="1" t="s">
        <v>374</v>
      </c>
      <c r="K675" s="35" t="s">
        <v>3518</v>
      </c>
      <c r="L675" s="35">
        <v>6.5</v>
      </c>
      <c r="M675" s="35">
        <v>1</v>
      </c>
      <c r="N675" s="35">
        <f t="shared" si="20"/>
        <v>3.75</v>
      </c>
      <c r="O675" s="35">
        <v>7</v>
      </c>
      <c r="P675" s="35">
        <v>10</v>
      </c>
      <c r="Q675" s="35">
        <f t="shared" si="21"/>
        <v>8.5</v>
      </c>
      <c r="R675" s="35"/>
      <c r="S675" s="35"/>
      <c r="T675" s="35"/>
      <c r="U675" s="82" t="e">
        <f>AVERAGE(Tableau1[[#This Row],[1ère composition]:[3è Composition]])</f>
        <v>#DIV/0!</v>
      </c>
    </row>
    <row r="676" spans="1:21" hidden="1" x14ac:dyDescent="0.2">
      <c r="A676" s="1" t="s">
        <v>3350</v>
      </c>
      <c r="B676" s="1" t="s">
        <v>3351</v>
      </c>
      <c r="C676" s="1" t="s">
        <v>3611</v>
      </c>
      <c r="D676" s="1"/>
      <c r="E676" s="1">
        <v>2021</v>
      </c>
      <c r="F676" s="1">
        <v>6</v>
      </c>
      <c r="G676" s="1">
        <v>1</v>
      </c>
      <c r="H676" s="76" t="str">
        <f>Tableau1[[#This Row],[Annee d''inscription au programme]]&amp;"-"&amp;Tableau1[[#This Row],[Code d''ecole]]&amp;"-"&amp;Tableau1[[#This Row],[Numero HM de la fille]]</f>
        <v>2021-6-1</v>
      </c>
      <c r="I676" s="76"/>
      <c r="J676" s="1" t="s">
        <v>297</v>
      </c>
      <c r="K676" s="35" t="s">
        <v>298</v>
      </c>
      <c r="L676" s="35">
        <v>14.5</v>
      </c>
      <c r="M676" s="35">
        <v>14</v>
      </c>
      <c r="N676" s="35">
        <f t="shared" si="20"/>
        <v>14.25</v>
      </c>
      <c r="O676" s="35">
        <v>16</v>
      </c>
      <c r="P676" s="35">
        <v>17.75</v>
      </c>
      <c r="Q676" s="35">
        <f t="shared" si="21"/>
        <v>16.875</v>
      </c>
      <c r="R676" s="35"/>
      <c r="S676" s="35"/>
      <c r="T676" s="35"/>
      <c r="U676" s="82" t="e">
        <f>AVERAGE(Tableau1[[#This Row],[1ère composition]:[3è Composition]])</f>
        <v>#DIV/0!</v>
      </c>
    </row>
    <row r="677" spans="1:21" hidden="1" x14ac:dyDescent="0.2">
      <c r="A677" s="1" t="s">
        <v>3350</v>
      </c>
      <c r="B677" s="1" t="s">
        <v>3352</v>
      </c>
      <c r="C677" s="1" t="s">
        <v>3745</v>
      </c>
      <c r="D677" s="1">
        <v>96616728</v>
      </c>
      <c r="E677" s="1">
        <v>2021</v>
      </c>
      <c r="F677" s="1">
        <v>6</v>
      </c>
      <c r="G677" s="1">
        <v>2</v>
      </c>
      <c r="H677" s="76" t="str">
        <f>Tableau1[[#This Row],[Annee d''inscription au programme]]&amp;"-"&amp;Tableau1[[#This Row],[Code d''ecole]]&amp;"-"&amp;Tableau1[[#This Row],[Numero HM de la fille]]</f>
        <v>2021-6-2</v>
      </c>
      <c r="I677" s="76"/>
      <c r="J677" s="1" t="s">
        <v>297</v>
      </c>
      <c r="K677" s="35" t="s">
        <v>298</v>
      </c>
      <c r="L677" s="35">
        <v>16.5</v>
      </c>
      <c r="M677" s="35">
        <v>19</v>
      </c>
      <c r="N677" s="35">
        <f t="shared" si="20"/>
        <v>17.75</v>
      </c>
      <c r="O677" s="35">
        <v>11</v>
      </c>
      <c r="P677" s="35">
        <v>15</v>
      </c>
      <c r="Q677" s="35">
        <f t="shared" si="21"/>
        <v>13</v>
      </c>
      <c r="R677" s="35"/>
      <c r="S677" s="35"/>
      <c r="T677" s="35"/>
      <c r="U677" s="82" t="e">
        <f>AVERAGE(Tableau1[[#This Row],[1ère composition]:[3è Composition]])</f>
        <v>#DIV/0!</v>
      </c>
    </row>
    <row r="678" spans="1:21" hidden="1" x14ac:dyDescent="0.2">
      <c r="A678" s="1" t="s">
        <v>3350</v>
      </c>
      <c r="B678" s="1" t="s">
        <v>3353</v>
      </c>
      <c r="C678" s="1" t="s">
        <v>3614</v>
      </c>
      <c r="D678" s="1">
        <v>89347453</v>
      </c>
      <c r="E678" s="1">
        <v>2021</v>
      </c>
      <c r="F678" s="1">
        <v>6</v>
      </c>
      <c r="G678" s="1">
        <v>3</v>
      </c>
      <c r="H678" s="76" t="str">
        <f>Tableau1[[#This Row],[Annee d''inscription au programme]]&amp;"-"&amp;Tableau1[[#This Row],[Code d''ecole]]&amp;"-"&amp;Tableau1[[#This Row],[Numero HM de la fille]]</f>
        <v>2021-6-3</v>
      </c>
      <c r="I678" s="76"/>
      <c r="J678" s="1" t="s">
        <v>297</v>
      </c>
      <c r="K678" s="35" t="s">
        <v>298</v>
      </c>
      <c r="L678" s="35">
        <v>16</v>
      </c>
      <c r="M678" s="35">
        <v>15.5</v>
      </c>
      <c r="N678" s="35">
        <f t="shared" si="20"/>
        <v>15.75</v>
      </c>
      <c r="O678" s="35">
        <v>16.5</v>
      </c>
      <c r="P678" s="35">
        <v>14.25</v>
      </c>
      <c r="Q678" s="35">
        <f t="shared" si="21"/>
        <v>15.375</v>
      </c>
      <c r="R678" s="35"/>
      <c r="S678" s="35"/>
      <c r="T678" s="35"/>
      <c r="U678" s="82" t="e">
        <f>AVERAGE(Tableau1[[#This Row],[1ère composition]:[3è Composition]])</f>
        <v>#DIV/0!</v>
      </c>
    </row>
    <row r="679" spans="1:21" hidden="1" x14ac:dyDescent="0.2">
      <c r="A679" s="1" t="s">
        <v>3350</v>
      </c>
      <c r="B679" s="1" t="s">
        <v>3354</v>
      </c>
      <c r="C679" s="1" t="s">
        <v>3611</v>
      </c>
      <c r="D679" s="1"/>
      <c r="E679" s="1">
        <v>2021</v>
      </c>
      <c r="F679" s="1">
        <v>6</v>
      </c>
      <c r="G679" s="1">
        <v>4</v>
      </c>
      <c r="H679" s="76" t="str">
        <f>Tableau1[[#This Row],[Annee d''inscription au programme]]&amp;"-"&amp;Tableau1[[#This Row],[Code d''ecole]]&amp;"-"&amp;Tableau1[[#This Row],[Numero HM de la fille]]</f>
        <v>2021-6-4</v>
      </c>
      <c r="I679" s="76"/>
      <c r="J679" s="1" t="s">
        <v>297</v>
      </c>
      <c r="K679" s="35" t="s">
        <v>298</v>
      </c>
      <c r="L679" s="35">
        <v>10.5</v>
      </c>
      <c r="M679" s="35">
        <v>7</v>
      </c>
      <c r="N679" s="35">
        <f t="shared" si="20"/>
        <v>8.75</v>
      </c>
      <c r="O679" s="35">
        <v>9.5</v>
      </c>
      <c r="P679" s="35">
        <v>15.25</v>
      </c>
      <c r="Q679" s="35">
        <f t="shared" si="21"/>
        <v>12.375</v>
      </c>
      <c r="R679" s="35"/>
      <c r="S679" s="35"/>
      <c r="T679" s="35"/>
      <c r="U679" s="82" t="e">
        <f>AVERAGE(Tableau1[[#This Row],[1ère composition]:[3è Composition]])</f>
        <v>#DIV/0!</v>
      </c>
    </row>
    <row r="680" spans="1:21" hidden="1" x14ac:dyDescent="0.2">
      <c r="A680" s="1" t="s">
        <v>3350</v>
      </c>
      <c r="B680" s="1" t="s">
        <v>3355</v>
      </c>
      <c r="C680" s="1" t="s">
        <v>3749</v>
      </c>
      <c r="D680" s="1"/>
      <c r="E680" s="1">
        <v>2021</v>
      </c>
      <c r="F680" s="1">
        <v>6</v>
      </c>
      <c r="G680" s="1">
        <v>5</v>
      </c>
      <c r="H680" s="76" t="str">
        <f>Tableau1[[#This Row],[Annee d''inscription au programme]]&amp;"-"&amp;Tableau1[[#This Row],[Code d''ecole]]&amp;"-"&amp;Tableau1[[#This Row],[Numero HM de la fille]]</f>
        <v>2021-6-5</v>
      </c>
      <c r="I680" s="76"/>
      <c r="J680" s="1" t="s">
        <v>297</v>
      </c>
      <c r="K680" s="35" t="s">
        <v>298</v>
      </c>
      <c r="L680" s="35">
        <v>11</v>
      </c>
      <c r="M680" s="35">
        <v>17</v>
      </c>
      <c r="N680" s="35">
        <f t="shared" si="20"/>
        <v>14</v>
      </c>
      <c r="O680" s="35">
        <v>16.5</v>
      </c>
      <c r="P680" s="35">
        <v>18.25</v>
      </c>
      <c r="Q680" s="35">
        <f t="shared" si="21"/>
        <v>17.375</v>
      </c>
      <c r="R680" s="35"/>
      <c r="S680" s="35"/>
      <c r="T680" s="35"/>
      <c r="U680" s="82" t="e">
        <f>AVERAGE(Tableau1[[#This Row],[1ère composition]:[3è Composition]])</f>
        <v>#DIV/0!</v>
      </c>
    </row>
    <row r="681" spans="1:21" hidden="1" x14ac:dyDescent="0.2">
      <c r="A681" s="1" t="s">
        <v>3350</v>
      </c>
      <c r="B681" s="1" t="s">
        <v>3356</v>
      </c>
      <c r="C681" s="1" t="s">
        <v>3748</v>
      </c>
      <c r="D681" s="1">
        <v>95108462</v>
      </c>
      <c r="E681" s="1">
        <v>2021</v>
      </c>
      <c r="F681" s="1">
        <v>6</v>
      </c>
      <c r="G681" s="1">
        <v>6</v>
      </c>
      <c r="H681" s="76" t="str">
        <f>Tableau1[[#This Row],[Annee d''inscription au programme]]&amp;"-"&amp;Tableau1[[#This Row],[Code d''ecole]]&amp;"-"&amp;Tableau1[[#This Row],[Numero HM de la fille]]</f>
        <v>2021-6-6</v>
      </c>
      <c r="I681" s="76"/>
      <c r="J681" s="1" t="s">
        <v>297</v>
      </c>
      <c r="K681" s="35" t="s">
        <v>298</v>
      </c>
      <c r="L681" s="35">
        <v>12</v>
      </c>
      <c r="M681" s="35">
        <v>19</v>
      </c>
      <c r="N681" s="35">
        <f t="shared" si="20"/>
        <v>15.5</v>
      </c>
      <c r="O681" s="35">
        <v>15.5</v>
      </c>
      <c r="P681" s="35">
        <v>16</v>
      </c>
      <c r="Q681" s="35">
        <f t="shared" si="21"/>
        <v>15.75</v>
      </c>
      <c r="R681" s="35"/>
      <c r="S681" s="35"/>
      <c r="T681" s="35"/>
      <c r="U681" s="82" t="e">
        <f>AVERAGE(Tableau1[[#This Row],[1ère composition]:[3è Composition]])</f>
        <v>#DIV/0!</v>
      </c>
    </row>
    <row r="682" spans="1:21" hidden="1" x14ac:dyDescent="0.2">
      <c r="A682" s="1" t="s">
        <v>3350</v>
      </c>
      <c r="B682" s="1" t="s">
        <v>427</v>
      </c>
      <c r="C682" s="1" t="s">
        <v>3747</v>
      </c>
      <c r="D682" s="1">
        <v>89347453</v>
      </c>
      <c r="E682" s="1">
        <v>2021</v>
      </c>
      <c r="F682" s="1">
        <v>6</v>
      </c>
      <c r="G682" s="1">
        <v>7</v>
      </c>
      <c r="H682" s="76" t="str">
        <f>Tableau1[[#This Row],[Annee d''inscription au programme]]&amp;"-"&amp;Tableau1[[#This Row],[Code d''ecole]]&amp;"-"&amp;Tableau1[[#This Row],[Numero HM de la fille]]</f>
        <v>2021-6-7</v>
      </c>
      <c r="I682" s="76"/>
      <c r="J682" s="1" t="s">
        <v>297</v>
      </c>
      <c r="K682" s="35" t="s">
        <v>298</v>
      </c>
      <c r="L682" s="35">
        <v>17</v>
      </c>
      <c r="M682" s="35">
        <v>16</v>
      </c>
      <c r="N682" s="35">
        <f t="shared" si="20"/>
        <v>16.5</v>
      </c>
      <c r="O682" s="35">
        <v>15</v>
      </c>
      <c r="P682" s="35">
        <v>17.5</v>
      </c>
      <c r="Q682" s="35">
        <f t="shared" si="21"/>
        <v>16.25</v>
      </c>
      <c r="R682" s="35"/>
      <c r="S682" s="35"/>
      <c r="T682" s="35"/>
      <c r="U682" s="82" t="e">
        <f>AVERAGE(Tableau1[[#This Row],[1ère composition]:[3è Composition]])</f>
        <v>#DIV/0!</v>
      </c>
    </row>
    <row r="683" spans="1:21" hidden="1" x14ac:dyDescent="0.2">
      <c r="A683" s="1" t="s">
        <v>3350</v>
      </c>
      <c r="B683" s="1" t="s">
        <v>3357</v>
      </c>
      <c r="C683" s="1" t="s">
        <v>3746</v>
      </c>
      <c r="D683" s="1">
        <v>85460717</v>
      </c>
      <c r="E683" s="1">
        <v>2021</v>
      </c>
      <c r="F683" s="1">
        <v>6</v>
      </c>
      <c r="G683" s="1">
        <v>8</v>
      </c>
      <c r="H683" s="76" t="str">
        <f>Tableau1[[#This Row],[Annee d''inscription au programme]]&amp;"-"&amp;Tableau1[[#This Row],[Code d''ecole]]&amp;"-"&amp;Tableau1[[#This Row],[Numero HM de la fille]]</f>
        <v>2021-6-8</v>
      </c>
      <c r="I683" s="76"/>
      <c r="J683" s="1" t="s">
        <v>297</v>
      </c>
      <c r="K683" s="35" t="s">
        <v>298</v>
      </c>
      <c r="L683" s="35">
        <v>17</v>
      </c>
      <c r="M683" s="35">
        <v>14</v>
      </c>
      <c r="N683" s="35">
        <f t="shared" si="20"/>
        <v>15.5</v>
      </c>
      <c r="O683" s="35">
        <v>17.5</v>
      </c>
      <c r="P683" s="35">
        <v>14.5</v>
      </c>
      <c r="Q683" s="35">
        <f t="shared" si="21"/>
        <v>16</v>
      </c>
      <c r="R683" s="35"/>
      <c r="S683" s="35"/>
      <c r="T683" s="35"/>
      <c r="U683" s="82" t="e">
        <f>AVERAGE(Tableau1[[#This Row],[1ère composition]:[3è Composition]])</f>
        <v>#DIV/0!</v>
      </c>
    </row>
    <row r="684" spans="1:21" hidden="1" x14ac:dyDescent="0.2">
      <c r="A684" s="1" t="s">
        <v>3350</v>
      </c>
      <c r="B684" s="1" t="s">
        <v>3358</v>
      </c>
      <c r="C684" s="1" t="s">
        <v>3614</v>
      </c>
      <c r="D684" s="1"/>
      <c r="E684" s="1">
        <v>2021</v>
      </c>
      <c r="F684" s="1">
        <v>6</v>
      </c>
      <c r="G684" s="1">
        <v>9</v>
      </c>
      <c r="H684" s="76" t="str">
        <f>Tableau1[[#This Row],[Annee d''inscription au programme]]&amp;"-"&amp;Tableau1[[#This Row],[Code d''ecole]]&amp;"-"&amp;Tableau1[[#This Row],[Numero HM de la fille]]</f>
        <v>2021-6-9</v>
      </c>
      <c r="I684" s="76"/>
      <c r="J684" s="1" t="s">
        <v>297</v>
      </c>
      <c r="K684" s="35" t="s">
        <v>298</v>
      </c>
      <c r="L684" s="35">
        <v>11.5</v>
      </c>
      <c r="M684" s="35">
        <v>11</v>
      </c>
      <c r="N684" s="35">
        <f t="shared" si="20"/>
        <v>11.25</v>
      </c>
      <c r="O684" s="35">
        <v>15</v>
      </c>
      <c r="P684" s="35">
        <v>17</v>
      </c>
      <c r="Q684" s="35">
        <f t="shared" si="21"/>
        <v>16</v>
      </c>
      <c r="R684" s="35"/>
      <c r="S684" s="35"/>
      <c r="T684" s="35"/>
      <c r="U684" s="82" t="e">
        <f>AVERAGE(Tableau1[[#This Row],[1ère composition]:[3è Composition]])</f>
        <v>#DIV/0!</v>
      </c>
    </row>
    <row r="685" spans="1:21" hidden="1" x14ac:dyDescent="0.2">
      <c r="A685" s="1" t="s">
        <v>65</v>
      </c>
      <c r="B685" s="1" t="s">
        <v>3750</v>
      </c>
      <c r="C685" s="77" t="s">
        <v>3751</v>
      </c>
      <c r="D685" s="78"/>
      <c r="E685" s="1">
        <v>2021</v>
      </c>
      <c r="F685" s="1">
        <v>6</v>
      </c>
      <c r="G685" s="78">
        <v>10</v>
      </c>
      <c r="H685" s="79" t="str">
        <f>Tableau1[[#This Row],[Annee d''inscription au programme]]&amp;"-"&amp;Tableau1[[#This Row],[Code d''ecole]]&amp;"-"&amp;Tableau1[[#This Row],[Numero HM de la fille]]</f>
        <v>2021-6-10</v>
      </c>
      <c r="I685" s="79"/>
      <c r="J685" s="1" t="s">
        <v>297</v>
      </c>
      <c r="K685" s="35" t="s">
        <v>298</v>
      </c>
      <c r="L685" s="51">
        <v>14.5</v>
      </c>
      <c r="M685" s="51">
        <v>19.5</v>
      </c>
      <c r="N685" s="51">
        <f t="shared" si="20"/>
        <v>17</v>
      </c>
      <c r="O685" s="35">
        <v>13.5</v>
      </c>
      <c r="P685" s="35">
        <v>12</v>
      </c>
      <c r="Q685" s="35">
        <f t="shared" si="21"/>
        <v>12.75</v>
      </c>
      <c r="R685" s="35"/>
      <c r="S685" s="35"/>
      <c r="T685" s="35"/>
      <c r="U685" s="82" t="e">
        <f>AVERAGE(Tableau1[[#This Row],[1ère composition]:[3è Composition]])</f>
        <v>#DIV/0!</v>
      </c>
    </row>
    <row r="686" spans="1:21" hidden="1" x14ac:dyDescent="0.2">
      <c r="A686" s="1" t="s">
        <v>65</v>
      </c>
      <c r="B686" s="1" t="s">
        <v>3405</v>
      </c>
      <c r="C686" s="1" t="s">
        <v>3747</v>
      </c>
      <c r="D686" s="78"/>
      <c r="E686" s="1">
        <v>2021</v>
      </c>
      <c r="F686" s="1">
        <v>6</v>
      </c>
      <c r="G686" s="78">
        <v>11</v>
      </c>
      <c r="H686" s="79" t="str">
        <f>Tableau1[[#This Row],[Annee d''inscription au programme]]&amp;"-"&amp;Tableau1[[#This Row],[Code d''ecole]]&amp;"-"&amp;Tableau1[[#This Row],[Numero HM de la fille]]</f>
        <v>2021-6-11</v>
      </c>
      <c r="I686" s="79"/>
      <c r="J686" s="1" t="s">
        <v>297</v>
      </c>
      <c r="K686" s="35" t="s">
        <v>298</v>
      </c>
      <c r="L686" s="51">
        <v>14.5</v>
      </c>
      <c r="M686" s="51">
        <v>11.5</v>
      </c>
      <c r="N686" s="51">
        <f t="shared" si="20"/>
        <v>13</v>
      </c>
      <c r="O686" s="35">
        <v>16</v>
      </c>
      <c r="P686" s="35">
        <v>14</v>
      </c>
      <c r="Q686" s="35">
        <f t="shared" si="21"/>
        <v>15</v>
      </c>
      <c r="R686" s="35"/>
      <c r="S686" s="35"/>
      <c r="T686" s="35"/>
      <c r="U686" s="82" t="e">
        <f>AVERAGE(Tableau1[[#This Row],[1ère composition]:[3è Composition]])</f>
        <v>#DIV/0!</v>
      </c>
    </row>
    <row r="687" spans="1:21" hidden="1" x14ac:dyDescent="0.2">
      <c r="A687" s="1" t="s">
        <v>65</v>
      </c>
      <c r="B687" s="1" t="s">
        <v>3547</v>
      </c>
      <c r="C687" s="1" t="s">
        <v>3611</v>
      </c>
      <c r="D687" s="78"/>
      <c r="E687" s="1">
        <v>2021</v>
      </c>
      <c r="F687" s="1">
        <v>6</v>
      </c>
      <c r="G687" s="78">
        <v>12</v>
      </c>
      <c r="H687" s="79" t="str">
        <f>Tableau1[[#This Row],[Annee d''inscription au programme]]&amp;"-"&amp;Tableau1[[#This Row],[Code d''ecole]]&amp;"-"&amp;Tableau1[[#This Row],[Numero HM de la fille]]</f>
        <v>2021-6-12</v>
      </c>
      <c r="I687" s="79"/>
      <c r="J687" s="1" t="s">
        <v>297</v>
      </c>
      <c r="K687" s="35" t="s">
        <v>298</v>
      </c>
      <c r="L687" s="51">
        <v>16.5</v>
      </c>
      <c r="M687" s="51">
        <v>18</v>
      </c>
      <c r="N687" s="51">
        <f t="shared" si="20"/>
        <v>17.25</v>
      </c>
      <c r="O687" s="35">
        <v>11</v>
      </c>
      <c r="P687" s="35">
        <v>7.5</v>
      </c>
      <c r="Q687" s="35">
        <f t="shared" si="21"/>
        <v>9.25</v>
      </c>
      <c r="R687" s="35"/>
      <c r="S687" s="35"/>
      <c r="T687" s="35"/>
      <c r="U687" s="82" t="e">
        <f>AVERAGE(Tableau1[[#This Row],[1ère composition]:[3è Composition]])</f>
        <v>#DIV/0!</v>
      </c>
    </row>
    <row r="688" spans="1:21" hidden="1" x14ac:dyDescent="0.2">
      <c r="A688" s="1" t="s">
        <v>3359</v>
      </c>
      <c r="B688" s="1" t="s">
        <v>3360</v>
      </c>
      <c r="C688" s="75" t="s">
        <v>3758</v>
      </c>
      <c r="D688" s="1">
        <v>98054025</v>
      </c>
      <c r="E688" s="1">
        <v>2021</v>
      </c>
      <c r="F688" s="1">
        <v>63</v>
      </c>
      <c r="G688" s="1">
        <v>1</v>
      </c>
      <c r="H688" s="79" t="str">
        <f>Tableau1[[#This Row],[Annee d''inscription au programme]]&amp;"-"&amp;Tableau1[[#This Row],[Code d''ecole]]&amp;"-"&amp;Tableau1[[#This Row],[Numero HM de la fille]]</f>
        <v>2021-63-1</v>
      </c>
      <c r="I688" s="1"/>
      <c r="J688" s="44" t="s">
        <v>593</v>
      </c>
      <c r="K688" s="35" t="s">
        <v>698</v>
      </c>
      <c r="L688" s="35">
        <v>5.5</v>
      </c>
      <c r="M688" s="35">
        <v>2.5</v>
      </c>
      <c r="N688" s="35">
        <f t="shared" si="20"/>
        <v>4</v>
      </c>
      <c r="O688" s="35">
        <v>4.5</v>
      </c>
      <c r="P688" s="35">
        <v>5.5</v>
      </c>
      <c r="Q688" s="35">
        <f t="shared" si="21"/>
        <v>5</v>
      </c>
      <c r="R688" s="35"/>
      <c r="S688" s="35"/>
      <c r="T688" s="35"/>
      <c r="U688" s="82" t="e">
        <f>AVERAGE(Tableau1[[#This Row],[1ère composition]:[3è Composition]])</f>
        <v>#DIV/0!</v>
      </c>
    </row>
    <row r="689" spans="1:21" hidden="1" x14ac:dyDescent="0.2">
      <c r="A689" s="1" t="s">
        <v>3359</v>
      </c>
      <c r="B689" s="1" t="s">
        <v>3361</v>
      </c>
      <c r="C689" s="1" t="s">
        <v>3761</v>
      </c>
      <c r="D689" s="1"/>
      <c r="E689" s="1">
        <v>2021</v>
      </c>
      <c r="F689" s="1">
        <v>63</v>
      </c>
      <c r="G689" s="1">
        <v>2</v>
      </c>
      <c r="H689" s="79" t="str">
        <f>Tableau1[[#This Row],[Annee d''inscription au programme]]&amp;"-"&amp;Tableau1[[#This Row],[Code d''ecole]]&amp;"-"&amp;Tableau1[[#This Row],[Numero HM de la fille]]</f>
        <v>2021-63-2</v>
      </c>
      <c r="I689" s="1"/>
      <c r="J689" s="44" t="s">
        <v>593</v>
      </c>
      <c r="K689" s="35" t="s">
        <v>698</v>
      </c>
      <c r="L689" s="35">
        <v>10.5</v>
      </c>
      <c r="M689" s="35">
        <v>9</v>
      </c>
      <c r="N689" s="35">
        <f t="shared" si="20"/>
        <v>9.75</v>
      </c>
      <c r="O689" s="35">
        <v>17</v>
      </c>
      <c r="P689" s="35">
        <v>7.5</v>
      </c>
      <c r="Q689" s="35">
        <f t="shared" si="21"/>
        <v>12.25</v>
      </c>
      <c r="R689" s="35"/>
      <c r="S689" s="35"/>
      <c r="T689" s="35"/>
      <c r="U689" s="82" t="e">
        <f>AVERAGE(Tableau1[[#This Row],[1ère composition]:[3è Composition]])</f>
        <v>#DIV/0!</v>
      </c>
    </row>
    <row r="690" spans="1:21" hidden="1" x14ac:dyDescent="0.2">
      <c r="A690" s="1" t="s">
        <v>3359</v>
      </c>
      <c r="B690" s="1" t="s">
        <v>3362</v>
      </c>
      <c r="C690" s="1" t="s">
        <v>3757</v>
      </c>
      <c r="D690" s="1"/>
      <c r="E690" s="1">
        <v>2021</v>
      </c>
      <c r="F690" s="1">
        <v>63</v>
      </c>
      <c r="G690" s="1">
        <v>3</v>
      </c>
      <c r="H690" s="79" t="str">
        <f>Tableau1[[#This Row],[Annee d''inscription au programme]]&amp;"-"&amp;Tableau1[[#This Row],[Code d''ecole]]&amp;"-"&amp;Tableau1[[#This Row],[Numero HM de la fille]]</f>
        <v>2021-63-3</v>
      </c>
      <c r="I690" s="1"/>
      <c r="J690" s="44" t="s">
        <v>593</v>
      </c>
      <c r="K690" s="35" t="s">
        <v>698</v>
      </c>
      <c r="L690" s="35">
        <v>8.5</v>
      </c>
      <c r="M690" s="35">
        <v>1.5</v>
      </c>
      <c r="N690" s="35">
        <f t="shared" si="20"/>
        <v>5</v>
      </c>
      <c r="O690" s="35">
        <v>19.5</v>
      </c>
      <c r="P690" s="35">
        <v>10</v>
      </c>
      <c r="Q690" s="35">
        <f t="shared" si="21"/>
        <v>14.75</v>
      </c>
      <c r="R690" s="35"/>
      <c r="S690" s="35"/>
      <c r="T690" s="35"/>
      <c r="U690" s="82" t="e">
        <f>AVERAGE(Tableau1[[#This Row],[1ère composition]:[3è Composition]])</f>
        <v>#DIV/0!</v>
      </c>
    </row>
    <row r="691" spans="1:21" hidden="1" x14ac:dyDescent="0.2">
      <c r="A691" s="1" t="s">
        <v>3359</v>
      </c>
      <c r="B691" s="1" t="s">
        <v>3363</v>
      </c>
      <c r="C691" s="1" t="s">
        <v>3763</v>
      </c>
      <c r="D691" s="1"/>
      <c r="E691" s="1">
        <v>2021</v>
      </c>
      <c r="F691" s="1">
        <v>63</v>
      </c>
      <c r="G691" s="1">
        <v>4</v>
      </c>
      <c r="H691" s="79" t="str">
        <f>Tableau1[[#This Row],[Annee d''inscription au programme]]&amp;"-"&amp;Tableau1[[#This Row],[Code d''ecole]]&amp;"-"&amp;Tableau1[[#This Row],[Numero HM de la fille]]</f>
        <v>2021-63-4</v>
      </c>
      <c r="I691" s="1"/>
      <c r="J691" s="44" t="s">
        <v>593</v>
      </c>
      <c r="K691" s="35" t="s">
        <v>698</v>
      </c>
      <c r="L691" s="35">
        <v>5</v>
      </c>
      <c r="M691" s="35">
        <v>3.5</v>
      </c>
      <c r="N691" s="35">
        <f t="shared" si="20"/>
        <v>4.25</v>
      </c>
      <c r="O691" s="35">
        <v>12</v>
      </c>
      <c r="P691" s="35">
        <v>5.5</v>
      </c>
      <c r="Q691" s="35">
        <f t="shared" si="21"/>
        <v>8.75</v>
      </c>
      <c r="R691" s="35"/>
      <c r="S691" s="35"/>
      <c r="T691" s="35"/>
      <c r="U691" s="82" t="e">
        <f>AVERAGE(Tableau1[[#This Row],[1ère composition]:[3è Composition]])</f>
        <v>#DIV/0!</v>
      </c>
    </row>
    <row r="692" spans="1:21" hidden="1" x14ac:dyDescent="0.2">
      <c r="A692" s="1" t="s">
        <v>3359</v>
      </c>
      <c r="B692" s="1" t="s">
        <v>3364</v>
      </c>
      <c r="C692" s="1" t="s">
        <v>3756</v>
      </c>
      <c r="D692" s="1">
        <v>97165606</v>
      </c>
      <c r="E692" s="1">
        <v>2021</v>
      </c>
      <c r="F692" s="1">
        <v>63</v>
      </c>
      <c r="G692" s="1">
        <v>5</v>
      </c>
      <c r="H692" s="79" t="str">
        <f>Tableau1[[#This Row],[Annee d''inscription au programme]]&amp;"-"&amp;Tableau1[[#This Row],[Code d''ecole]]&amp;"-"&amp;Tableau1[[#This Row],[Numero HM de la fille]]</f>
        <v>2021-63-5</v>
      </c>
      <c r="I692" s="1"/>
      <c r="J692" s="44" t="s">
        <v>593</v>
      </c>
      <c r="K692" s="35" t="s">
        <v>698</v>
      </c>
      <c r="L692" s="35">
        <v>4</v>
      </c>
      <c r="M692" s="35">
        <v>1</v>
      </c>
      <c r="N692" s="35">
        <f t="shared" si="20"/>
        <v>2.5</v>
      </c>
      <c r="O692" s="35">
        <v>16</v>
      </c>
      <c r="P692" s="35">
        <v>11</v>
      </c>
      <c r="Q692" s="35">
        <f t="shared" si="21"/>
        <v>13.5</v>
      </c>
      <c r="R692" s="35"/>
      <c r="S692" s="35"/>
      <c r="T692" s="35"/>
      <c r="U692" s="82" t="e">
        <f>AVERAGE(Tableau1[[#This Row],[1ère composition]:[3è Composition]])</f>
        <v>#DIV/0!</v>
      </c>
    </row>
    <row r="693" spans="1:21" hidden="1" x14ac:dyDescent="0.2">
      <c r="A693" s="1" t="s">
        <v>3359</v>
      </c>
      <c r="B693" s="1" t="s">
        <v>3365</v>
      </c>
      <c r="C693" s="1" t="s">
        <v>3765</v>
      </c>
      <c r="D693" s="1"/>
      <c r="E693" s="1">
        <v>2021</v>
      </c>
      <c r="F693" s="1">
        <v>63</v>
      </c>
      <c r="G693" s="1">
        <v>6</v>
      </c>
      <c r="H693" s="79" t="str">
        <f>Tableau1[[#This Row],[Annee d''inscription au programme]]&amp;"-"&amp;Tableau1[[#This Row],[Code d''ecole]]&amp;"-"&amp;Tableau1[[#This Row],[Numero HM de la fille]]</f>
        <v>2021-63-6</v>
      </c>
      <c r="I693" s="1"/>
      <c r="J693" s="44" t="s">
        <v>593</v>
      </c>
      <c r="K693" s="35" t="s">
        <v>698</v>
      </c>
      <c r="L693" s="35">
        <v>8.5</v>
      </c>
      <c r="M693" s="35">
        <v>3.5</v>
      </c>
      <c r="N693" s="35">
        <f t="shared" si="20"/>
        <v>6</v>
      </c>
      <c r="O693" s="35">
        <v>14</v>
      </c>
      <c r="P693" s="35">
        <v>1.5</v>
      </c>
      <c r="Q693" s="35">
        <f t="shared" si="21"/>
        <v>7.75</v>
      </c>
      <c r="R693" s="35"/>
      <c r="S693" s="35"/>
      <c r="T693" s="35"/>
      <c r="U693" s="82" t="e">
        <f>AVERAGE(Tableau1[[#This Row],[1ère composition]:[3è Composition]])</f>
        <v>#DIV/0!</v>
      </c>
    </row>
    <row r="694" spans="1:21" hidden="1" x14ac:dyDescent="0.2">
      <c r="A694" s="1" t="s">
        <v>3359</v>
      </c>
      <c r="B694" s="1" t="s">
        <v>3366</v>
      </c>
      <c r="C694" s="1" t="s">
        <v>3759</v>
      </c>
      <c r="D694" s="1"/>
      <c r="E694" s="1">
        <v>2021</v>
      </c>
      <c r="F694" s="1">
        <v>63</v>
      </c>
      <c r="G694" s="1">
        <v>7</v>
      </c>
      <c r="H694" s="79" t="str">
        <f>Tableau1[[#This Row],[Annee d''inscription au programme]]&amp;"-"&amp;Tableau1[[#This Row],[Code d''ecole]]&amp;"-"&amp;Tableau1[[#This Row],[Numero HM de la fille]]</f>
        <v>2021-63-7</v>
      </c>
      <c r="I694" s="1"/>
      <c r="J694" s="44" t="s">
        <v>593</v>
      </c>
      <c r="K694" s="35" t="s">
        <v>698</v>
      </c>
      <c r="L694" s="35">
        <v>0</v>
      </c>
      <c r="M694" s="35">
        <v>0</v>
      </c>
      <c r="N694" s="35">
        <f t="shared" si="20"/>
        <v>0</v>
      </c>
      <c r="O694" s="35">
        <v>11</v>
      </c>
      <c r="P694" s="35">
        <v>12.5</v>
      </c>
      <c r="Q694" s="35">
        <f t="shared" si="21"/>
        <v>11.75</v>
      </c>
      <c r="R694" s="35"/>
      <c r="S694" s="35"/>
      <c r="T694" s="35"/>
      <c r="U694" s="82" t="e">
        <f>AVERAGE(Tableau1[[#This Row],[1ère composition]:[3è Composition]])</f>
        <v>#DIV/0!</v>
      </c>
    </row>
    <row r="695" spans="1:21" hidden="1" x14ac:dyDescent="0.2">
      <c r="A695" s="1" t="s">
        <v>3359</v>
      </c>
      <c r="B695" s="1" t="s">
        <v>3770</v>
      </c>
      <c r="C695" s="1"/>
      <c r="D695" s="1"/>
      <c r="E695" s="1">
        <v>2021</v>
      </c>
      <c r="F695" s="1">
        <v>63</v>
      </c>
      <c r="G695" s="1">
        <v>8</v>
      </c>
      <c r="H695" s="79" t="str">
        <f>Tableau1[[#This Row],[Annee d''inscription au programme]]&amp;"-"&amp;Tableau1[[#This Row],[Code d''ecole]]&amp;"-"&amp;Tableau1[[#This Row],[Numero HM de la fille]]</f>
        <v>2021-63-8</v>
      </c>
      <c r="I695" s="1"/>
      <c r="J695" s="44" t="s">
        <v>593</v>
      </c>
      <c r="K695" s="35" t="s">
        <v>698</v>
      </c>
      <c r="L695" s="35">
        <v>10.5</v>
      </c>
      <c r="M695" s="35">
        <v>5.5</v>
      </c>
      <c r="N695" s="35">
        <f t="shared" si="20"/>
        <v>8</v>
      </c>
      <c r="O695" s="35">
        <v>0.5</v>
      </c>
      <c r="P695" s="35">
        <v>0</v>
      </c>
      <c r="Q695" s="35">
        <f t="shared" si="21"/>
        <v>0.25</v>
      </c>
      <c r="R695" s="35"/>
      <c r="S695" s="35"/>
      <c r="T695" s="35"/>
      <c r="U695" s="82" t="e">
        <f>AVERAGE(Tableau1[[#This Row],[1ère composition]:[3è Composition]])</f>
        <v>#DIV/0!</v>
      </c>
    </row>
    <row r="696" spans="1:21" hidden="1" x14ac:dyDescent="0.2">
      <c r="A696" s="1" t="s">
        <v>3359</v>
      </c>
      <c r="B696" s="1" t="s">
        <v>3367</v>
      </c>
      <c r="C696" s="1" t="s">
        <v>3760</v>
      </c>
      <c r="D696" s="1"/>
      <c r="E696" s="1">
        <v>2021</v>
      </c>
      <c r="F696" s="1">
        <v>63</v>
      </c>
      <c r="G696" s="1">
        <v>9</v>
      </c>
      <c r="H696" s="79" t="str">
        <f>Tableau1[[#This Row],[Annee d''inscription au programme]]&amp;"-"&amp;Tableau1[[#This Row],[Code d''ecole]]&amp;"-"&amp;Tableau1[[#This Row],[Numero HM de la fille]]</f>
        <v>2021-63-9</v>
      </c>
      <c r="I696" s="1"/>
      <c r="J696" s="44" t="s">
        <v>593</v>
      </c>
      <c r="K696" s="35" t="s">
        <v>698</v>
      </c>
      <c r="L696" s="35">
        <v>11</v>
      </c>
      <c r="M696" s="35">
        <v>4.25</v>
      </c>
      <c r="N696" s="35">
        <f t="shared" si="20"/>
        <v>7.625</v>
      </c>
      <c r="O696" s="35">
        <v>2.5</v>
      </c>
      <c r="P696" s="35">
        <v>1</v>
      </c>
      <c r="Q696" s="35">
        <f t="shared" si="21"/>
        <v>1.75</v>
      </c>
      <c r="R696" s="35"/>
      <c r="S696" s="35"/>
      <c r="T696" s="35"/>
      <c r="U696" s="82" t="e">
        <f>AVERAGE(Tableau1[[#This Row],[1ère composition]:[3è Composition]])</f>
        <v>#DIV/0!</v>
      </c>
    </row>
    <row r="697" spans="1:21" hidden="1" x14ac:dyDescent="0.2">
      <c r="A697" s="1" t="s">
        <v>3359</v>
      </c>
      <c r="B697" s="1" t="s">
        <v>3368</v>
      </c>
      <c r="C697" s="1" t="s">
        <v>3764</v>
      </c>
      <c r="D697" s="1"/>
      <c r="E697" s="1">
        <v>2021</v>
      </c>
      <c r="F697" s="1">
        <v>63</v>
      </c>
      <c r="G697" s="1">
        <v>10</v>
      </c>
      <c r="H697" s="79" t="str">
        <f>Tableau1[[#This Row],[Annee d''inscription au programme]]&amp;"-"&amp;Tableau1[[#This Row],[Code d''ecole]]&amp;"-"&amp;Tableau1[[#This Row],[Numero HM de la fille]]</f>
        <v>2021-63-10</v>
      </c>
      <c r="I697" s="1"/>
      <c r="J697" s="44" t="s">
        <v>593</v>
      </c>
      <c r="K697" s="35" t="s">
        <v>698</v>
      </c>
      <c r="L697" s="35">
        <v>3.5</v>
      </c>
      <c r="M697" s="35">
        <v>1.5</v>
      </c>
      <c r="N697" s="35">
        <f t="shared" si="20"/>
        <v>2.5</v>
      </c>
      <c r="O697" s="35">
        <v>10</v>
      </c>
      <c r="P697" s="35">
        <v>3.25</v>
      </c>
      <c r="Q697" s="35">
        <f t="shared" si="21"/>
        <v>6.625</v>
      </c>
      <c r="R697" s="35"/>
      <c r="S697" s="35"/>
      <c r="T697" s="35"/>
      <c r="U697" s="82" t="e">
        <f>AVERAGE(Tableau1[[#This Row],[1ère composition]:[3è Composition]])</f>
        <v>#DIV/0!</v>
      </c>
    </row>
    <row r="698" spans="1:21" hidden="1" x14ac:dyDescent="0.2">
      <c r="A698" s="1" t="s">
        <v>3359</v>
      </c>
      <c r="B698" s="1" t="s">
        <v>3369</v>
      </c>
      <c r="C698" s="1" t="s">
        <v>3762</v>
      </c>
      <c r="D698" s="1"/>
      <c r="E698" s="1">
        <v>2021</v>
      </c>
      <c r="F698" s="1">
        <v>63</v>
      </c>
      <c r="G698" s="1">
        <v>11</v>
      </c>
      <c r="H698" s="79" t="str">
        <f>Tableau1[[#This Row],[Annee d''inscription au programme]]&amp;"-"&amp;Tableau1[[#This Row],[Code d''ecole]]&amp;"-"&amp;Tableau1[[#This Row],[Numero HM de la fille]]</f>
        <v>2021-63-11</v>
      </c>
      <c r="I698" s="1"/>
      <c r="J698" s="44" t="s">
        <v>593</v>
      </c>
      <c r="K698" s="35" t="s">
        <v>698</v>
      </c>
      <c r="L698" s="35">
        <v>12</v>
      </c>
      <c r="M698" s="35">
        <v>8</v>
      </c>
      <c r="N698" s="35">
        <f t="shared" si="20"/>
        <v>10</v>
      </c>
      <c r="O698" s="35">
        <v>17</v>
      </c>
      <c r="P698" s="35">
        <v>14</v>
      </c>
      <c r="Q698" s="35">
        <f t="shared" si="21"/>
        <v>15.5</v>
      </c>
      <c r="R698" s="35"/>
      <c r="S698" s="35"/>
      <c r="T698" s="35"/>
      <c r="U698" s="82" t="e">
        <f>AVERAGE(Tableau1[[#This Row],[1ère composition]:[3è Composition]])</f>
        <v>#DIV/0!</v>
      </c>
    </row>
    <row r="699" spans="1:21" hidden="1" x14ac:dyDescent="0.2">
      <c r="A699" s="1" t="s">
        <v>3359</v>
      </c>
      <c r="B699" s="1" t="s">
        <v>3370</v>
      </c>
      <c r="C699" s="1" t="s">
        <v>3755</v>
      </c>
      <c r="D699" s="1"/>
      <c r="E699" s="1">
        <v>2021</v>
      </c>
      <c r="F699" s="1">
        <v>63</v>
      </c>
      <c r="G699" s="1">
        <v>12</v>
      </c>
      <c r="H699" s="79" t="str">
        <f>Tableau1[[#This Row],[Annee d''inscription au programme]]&amp;"-"&amp;Tableau1[[#This Row],[Code d''ecole]]&amp;"-"&amp;Tableau1[[#This Row],[Numero HM de la fille]]</f>
        <v>2021-63-12</v>
      </c>
      <c r="I699" s="1"/>
      <c r="J699" s="44" t="s">
        <v>593</v>
      </c>
      <c r="K699" s="35" t="s">
        <v>698</v>
      </c>
      <c r="L699" s="35">
        <v>5</v>
      </c>
      <c r="M699" s="35">
        <v>2</v>
      </c>
      <c r="N699" s="35">
        <f t="shared" si="20"/>
        <v>3.5</v>
      </c>
      <c r="O699" s="35">
        <v>17.5</v>
      </c>
      <c r="P699" s="35">
        <v>12.25</v>
      </c>
      <c r="Q699" s="35">
        <f t="shared" si="21"/>
        <v>14.875</v>
      </c>
      <c r="R699" s="35"/>
      <c r="S699" s="35"/>
      <c r="T699" s="35"/>
      <c r="U699" s="82" t="e">
        <f>AVERAGE(Tableau1[[#This Row],[1ère composition]:[3è Composition]])</f>
        <v>#DIV/0!</v>
      </c>
    </row>
    <row r="700" spans="1:21" hidden="1" x14ac:dyDescent="0.2">
      <c r="A700" s="1" t="s">
        <v>3359</v>
      </c>
      <c r="B700" s="1" t="s">
        <v>3371</v>
      </c>
      <c r="C700" s="1" t="s">
        <v>3759</v>
      </c>
      <c r="D700" s="1"/>
      <c r="E700" s="1">
        <v>2021</v>
      </c>
      <c r="F700" s="1">
        <v>63</v>
      </c>
      <c r="G700" s="1">
        <v>13</v>
      </c>
      <c r="H700" s="79" t="str">
        <f>Tableau1[[#This Row],[Annee d''inscription au programme]]&amp;"-"&amp;Tableau1[[#This Row],[Code d''ecole]]&amp;"-"&amp;Tableau1[[#This Row],[Numero HM de la fille]]</f>
        <v>2021-63-13</v>
      </c>
      <c r="I700" s="1"/>
      <c r="J700" s="44" t="s">
        <v>593</v>
      </c>
      <c r="K700" s="35" t="s">
        <v>698</v>
      </c>
      <c r="L700" s="35">
        <v>5</v>
      </c>
      <c r="M700" s="35">
        <v>2</v>
      </c>
      <c r="N700" s="35">
        <f t="shared" si="20"/>
        <v>3.5</v>
      </c>
      <c r="O700" s="35">
        <v>18.5</v>
      </c>
      <c r="P700" s="35">
        <v>12.5</v>
      </c>
      <c r="Q700" s="35">
        <f t="shared" si="21"/>
        <v>15.5</v>
      </c>
      <c r="R700" s="35"/>
      <c r="S700" s="35"/>
      <c r="T700" s="35"/>
      <c r="U700" s="82" t="e">
        <f>AVERAGE(Tableau1[[#This Row],[1ère composition]:[3è Composition]])</f>
        <v>#DIV/0!</v>
      </c>
    </row>
    <row r="701" spans="1:21" hidden="1" x14ac:dyDescent="0.2">
      <c r="A701" s="1" t="s">
        <v>3359</v>
      </c>
      <c r="B701" s="1" t="s">
        <v>3372</v>
      </c>
      <c r="C701" s="1" t="s">
        <v>3752</v>
      </c>
      <c r="D701" s="1">
        <v>97261740</v>
      </c>
      <c r="E701" s="1">
        <v>2021</v>
      </c>
      <c r="F701" s="1">
        <v>63</v>
      </c>
      <c r="G701" s="1">
        <v>14</v>
      </c>
      <c r="H701" s="79" t="str">
        <f>Tableau1[[#This Row],[Annee d''inscription au programme]]&amp;"-"&amp;Tableau1[[#This Row],[Code d''ecole]]&amp;"-"&amp;Tableau1[[#This Row],[Numero HM de la fille]]</f>
        <v>2021-63-14</v>
      </c>
      <c r="I701" s="1"/>
      <c r="J701" s="44" t="s">
        <v>593</v>
      </c>
      <c r="K701" s="35" t="s">
        <v>698</v>
      </c>
      <c r="L701" s="35">
        <v>5</v>
      </c>
      <c r="M701" s="35">
        <v>2</v>
      </c>
      <c r="N701" s="35">
        <f t="shared" si="20"/>
        <v>3.5</v>
      </c>
      <c r="O701" s="35">
        <v>16.5</v>
      </c>
      <c r="P701" s="35">
        <v>8.5</v>
      </c>
      <c r="Q701" s="35">
        <f t="shared" si="21"/>
        <v>12.5</v>
      </c>
      <c r="R701" s="35"/>
      <c r="S701" s="35"/>
      <c r="T701" s="35"/>
      <c r="U701" s="82" t="e">
        <f>AVERAGE(Tableau1[[#This Row],[1ère composition]:[3è Composition]])</f>
        <v>#DIV/0!</v>
      </c>
    </row>
    <row r="702" spans="1:21" hidden="1" x14ac:dyDescent="0.2">
      <c r="A702" s="1" t="s">
        <v>3359</v>
      </c>
      <c r="B702" s="1" t="s">
        <v>3373</v>
      </c>
      <c r="C702" s="1" t="s">
        <v>3753</v>
      </c>
      <c r="D702" s="1"/>
      <c r="E702" s="1">
        <v>2021</v>
      </c>
      <c r="F702" s="1">
        <v>63</v>
      </c>
      <c r="G702" s="1">
        <v>15</v>
      </c>
      <c r="H702" s="79" t="str">
        <f>Tableau1[[#This Row],[Annee d''inscription au programme]]&amp;"-"&amp;Tableau1[[#This Row],[Code d''ecole]]&amp;"-"&amp;Tableau1[[#This Row],[Numero HM de la fille]]</f>
        <v>2021-63-15</v>
      </c>
      <c r="I702" s="1"/>
      <c r="J702" s="44" t="s">
        <v>593</v>
      </c>
      <c r="K702" s="35" t="s">
        <v>698</v>
      </c>
      <c r="L702" s="35">
        <v>12</v>
      </c>
      <c r="M702" s="35">
        <v>4.5</v>
      </c>
      <c r="N702" s="35">
        <f t="shared" si="20"/>
        <v>8.25</v>
      </c>
      <c r="O702" s="35">
        <v>6.5</v>
      </c>
      <c r="P702" s="35">
        <v>6</v>
      </c>
      <c r="Q702" s="35">
        <f t="shared" si="21"/>
        <v>6.25</v>
      </c>
      <c r="R702" s="35"/>
      <c r="S702" s="35"/>
      <c r="T702" s="35"/>
      <c r="U702" s="82" t="e">
        <f>AVERAGE(Tableau1[[#This Row],[1ère composition]:[3è Composition]])</f>
        <v>#DIV/0!</v>
      </c>
    </row>
    <row r="703" spans="1:21" hidden="1" x14ac:dyDescent="0.2">
      <c r="A703" s="1" t="s">
        <v>3359</v>
      </c>
      <c r="B703" s="1" t="s">
        <v>3374</v>
      </c>
      <c r="C703" s="1" t="s">
        <v>3760</v>
      </c>
      <c r="D703" s="1"/>
      <c r="E703" s="1">
        <v>2021</v>
      </c>
      <c r="F703" s="1">
        <v>63</v>
      </c>
      <c r="G703" s="1">
        <v>16</v>
      </c>
      <c r="H703" s="79" t="str">
        <f>Tableau1[[#This Row],[Annee d''inscription au programme]]&amp;"-"&amp;Tableau1[[#This Row],[Code d''ecole]]&amp;"-"&amp;Tableau1[[#This Row],[Numero HM de la fille]]</f>
        <v>2021-63-16</v>
      </c>
      <c r="I703" s="1"/>
      <c r="J703" s="44" t="s">
        <v>593</v>
      </c>
      <c r="K703" s="35" t="s">
        <v>698</v>
      </c>
      <c r="L703" s="35">
        <v>7.5</v>
      </c>
      <c r="M703" s="35">
        <v>2</v>
      </c>
      <c r="N703" s="35">
        <f t="shared" si="20"/>
        <v>4.75</v>
      </c>
      <c r="O703" s="35">
        <v>8</v>
      </c>
      <c r="P703" s="35">
        <v>5</v>
      </c>
      <c r="Q703" s="35">
        <f t="shared" si="21"/>
        <v>6.5</v>
      </c>
      <c r="R703" s="35"/>
      <c r="S703" s="35"/>
      <c r="T703" s="35"/>
      <c r="U703" s="82" t="e">
        <f>AVERAGE(Tableau1[[#This Row],[1ère composition]:[3è Composition]])</f>
        <v>#DIV/0!</v>
      </c>
    </row>
    <row r="704" spans="1:21" hidden="1" x14ac:dyDescent="0.2">
      <c r="A704" s="1" t="s">
        <v>3359</v>
      </c>
      <c r="B704" s="1" t="s">
        <v>3375</v>
      </c>
      <c r="C704" s="1" t="s">
        <v>3754</v>
      </c>
      <c r="D704" s="1">
        <v>98054025</v>
      </c>
      <c r="E704" s="1">
        <v>2021</v>
      </c>
      <c r="F704" s="1">
        <v>63</v>
      </c>
      <c r="G704" s="1">
        <v>17</v>
      </c>
      <c r="H704" s="79" t="str">
        <f>Tableau1[[#This Row],[Annee d''inscription au programme]]&amp;"-"&amp;Tableau1[[#This Row],[Code d''ecole]]&amp;"-"&amp;Tableau1[[#This Row],[Numero HM de la fille]]</f>
        <v>2021-63-17</v>
      </c>
      <c r="I704" s="1"/>
      <c r="J704" s="44" t="s">
        <v>593</v>
      </c>
      <c r="K704" s="35" t="s">
        <v>698</v>
      </c>
      <c r="L704" s="35">
        <v>3.5</v>
      </c>
      <c r="M704" s="35">
        <v>0</v>
      </c>
      <c r="N704" s="35">
        <f t="shared" si="20"/>
        <v>1.75</v>
      </c>
      <c r="O704" s="35">
        <v>17</v>
      </c>
      <c r="P704" s="35">
        <v>9</v>
      </c>
      <c r="Q704" s="35">
        <f t="shared" si="21"/>
        <v>13</v>
      </c>
      <c r="R704" s="35"/>
      <c r="S704" s="35"/>
      <c r="T704" s="35"/>
      <c r="U704" s="82" t="e">
        <f>AVERAGE(Tableau1[[#This Row],[1ère composition]:[3è Composition]])</f>
        <v>#DIV/0!</v>
      </c>
    </row>
    <row r="705" spans="1:21" hidden="1" x14ac:dyDescent="0.2">
      <c r="A705" s="1" t="s">
        <v>3359</v>
      </c>
      <c r="B705" s="1" t="s">
        <v>498</v>
      </c>
      <c r="C705" s="75" t="s">
        <v>3768</v>
      </c>
      <c r="D705" s="1"/>
      <c r="E705" s="1">
        <v>2021</v>
      </c>
      <c r="F705" s="1">
        <v>63</v>
      </c>
      <c r="G705" s="1">
        <v>18</v>
      </c>
      <c r="H705" s="79" t="str">
        <f>Tableau1[[#This Row],[Annee d''inscription au programme]]&amp;"-"&amp;Tableau1[[#This Row],[Code d''ecole]]&amp;"-"&amp;Tableau1[[#This Row],[Numero HM de la fille]]</f>
        <v>2021-63-18</v>
      </c>
      <c r="I705" s="1"/>
      <c r="J705" s="44" t="s">
        <v>593</v>
      </c>
      <c r="K705" s="35" t="s">
        <v>698</v>
      </c>
      <c r="L705" s="35">
        <v>9</v>
      </c>
      <c r="M705" s="35">
        <v>3.5</v>
      </c>
      <c r="N705" s="35">
        <f t="shared" si="20"/>
        <v>6.25</v>
      </c>
      <c r="O705" s="35">
        <v>4</v>
      </c>
      <c r="P705" s="35">
        <v>0.25</v>
      </c>
      <c r="Q705" s="35">
        <f t="shared" si="21"/>
        <v>2.125</v>
      </c>
      <c r="R705" s="35"/>
      <c r="S705" s="35"/>
      <c r="T705" s="35"/>
      <c r="U705" s="82" t="e">
        <f>AVERAGE(Tableau1[[#This Row],[1ère composition]:[3è Composition]])</f>
        <v>#DIV/0!</v>
      </c>
    </row>
    <row r="706" spans="1:21" hidden="1" x14ac:dyDescent="0.2">
      <c r="A706" s="1" t="s">
        <v>3359</v>
      </c>
      <c r="B706" s="1" t="s">
        <v>3376</v>
      </c>
      <c r="C706" s="1" t="s">
        <v>3761</v>
      </c>
      <c r="D706" s="1">
        <v>84458126</v>
      </c>
      <c r="E706" s="1">
        <v>2021</v>
      </c>
      <c r="F706" s="1">
        <v>63</v>
      </c>
      <c r="G706" s="1">
        <v>19</v>
      </c>
      <c r="H706" s="79" t="str">
        <f>Tableau1[[#This Row],[Annee d''inscription au programme]]&amp;"-"&amp;Tableau1[[#This Row],[Code d''ecole]]&amp;"-"&amp;Tableau1[[#This Row],[Numero HM de la fille]]</f>
        <v>2021-63-19</v>
      </c>
      <c r="I706" s="1"/>
      <c r="J706" s="44" t="s">
        <v>593</v>
      </c>
      <c r="K706" s="35" t="s">
        <v>698</v>
      </c>
      <c r="L706" s="35">
        <v>5.5</v>
      </c>
      <c r="M706" s="35">
        <v>2.5</v>
      </c>
      <c r="N706" s="35">
        <f t="shared" si="20"/>
        <v>4</v>
      </c>
      <c r="O706" s="35">
        <v>12</v>
      </c>
      <c r="P706" s="35">
        <v>7.5</v>
      </c>
      <c r="Q706" s="35">
        <f t="shared" si="21"/>
        <v>9.75</v>
      </c>
      <c r="R706" s="35"/>
      <c r="S706" s="35"/>
      <c r="T706" s="35"/>
      <c r="U706" s="82" t="e">
        <f>AVERAGE(Tableau1[[#This Row],[1ère composition]:[3è Composition]])</f>
        <v>#DIV/0!</v>
      </c>
    </row>
    <row r="707" spans="1:21" hidden="1" x14ac:dyDescent="0.2">
      <c r="A707" s="1" t="s">
        <v>3359</v>
      </c>
      <c r="B707" s="1" t="s">
        <v>3377</v>
      </c>
      <c r="C707" s="1" t="s">
        <v>3760</v>
      </c>
      <c r="D707" s="1"/>
      <c r="E707" s="1">
        <v>2021</v>
      </c>
      <c r="F707" s="1">
        <v>63</v>
      </c>
      <c r="G707" s="1">
        <v>20</v>
      </c>
      <c r="H707" s="79" t="str">
        <f>Tableau1[[#This Row],[Annee d''inscription au programme]]&amp;"-"&amp;Tableau1[[#This Row],[Code d''ecole]]&amp;"-"&amp;Tableau1[[#This Row],[Numero HM de la fille]]</f>
        <v>2021-63-20</v>
      </c>
      <c r="I707" s="1"/>
      <c r="J707" s="44" t="s">
        <v>593</v>
      </c>
      <c r="K707" s="35" t="s">
        <v>698</v>
      </c>
      <c r="L707" s="35">
        <v>5</v>
      </c>
      <c r="M707" s="35">
        <v>3</v>
      </c>
      <c r="N707" s="35">
        <f t="shared" si="20"/>
        <v>4</v>
      </c>
      <c r="O707" s="35">
        <v>5.5</v>
      </c>
      <c r="P707" s="35">
        <v>2.5</v>
      </c>
      <c r="Q707" s="35">
        <f t="shared" si="21"/>
        <v>4</v>
      </c>
      <c r="R707" s="35"/>
      <c r="S707" s="35"/>
      <c r="T707" s="35"/>
      <c r="U707" s="82" t="e">
        <f>AVERAGE(Tableau1[[#This Row],[1ère composition]:[3è Composition]])</f>
        <v>#DIV/0!</v>
      </c>
    </row>
    <row r="708" spans="1:21" hidden="1" x14ac:dyDescent="0.2">
      <c r="A708" s="1" t="s">
        <v>3359</v>
      </c>
      <c r="B708" s="1" t="s">
        <v>3378</v>
      </c>
      <c r="C708" s="1" t="s">
        <v>3760</v>
      </c>
      <c r="D708" s="1">
        <v>94817895</v>
      </c>
      <c r="E708" s="1">
        <v>2021</v>
      </c>
      <c r="F708" s="1">
        <v>63</v>
      </c>
      <c r="G708" s="1">
        <v>21</v>
      </c>
      <c r="H708" s="79" t="str">
        <f>Tableau1[[#This Row],[Annee d''inscription au programme]]&amp;"-"&amp;Tableau1[[#This Row],[Code d''ecole]]&amp;"-"&amp;Tableau1[[#This Row],[Numero HM de la fille]]</f>
        <v>2021-63-21</v>
      </c>
      <c r="I708" s="1"/>
      <c r="J708" s="44" t="s">
        <v>593</v>
      </c>
      <c r="K708" s="35" t="s">
        <v>698</v>
      </c>
      <c r="L708" s="35">
        <v>8</v>
      </c>
      <c r="M708" s="35">
        <v>2.75</v>
      </c>
      <c r="N708" s="35">
        <f t="shared" si="20"/>
        <v>5.375</v>
      </c>
      <c r="O708" s="35">
        <v>12.5</v>
      </c>
      <c r="P708" s="35">
        <v>3</v>
      </c>
      <c r="Q708" s="35">
        <f t="shared" si="21"/>
        <v>7.75</v>
      </c>
      <c r="R708" s="35"/>
      <c r="S708" s="35"/>
      <c r="T708" s="35"/>
      <c r="U708" s="82" t="e">
        <f>AVERAGE(Tableau1[[#This Row],[1ère composition]:[3è Composition]])</f>
        <v>#DIV/0!</v>
      </c>
    </row>
    <row r="709" spans="1:21" hidden="1" x14ac:dyDescent="0.2">
      <c r="A709" s="1" t="s">
        <v>3359</v>
      </c>
      <c r="B709" s="1" t="s">
        <v>879</v>
      </c>
      <c r="C709" s="1" t="s">
        <v>3761</v>
      </c>
      <c r="D709" s="1"/>
      <c r="E709" s="1">
        <v>2021</v>
      </c>
      <c r="F709" s="1">
        <v>63</v>
      </c>
      <c r="G709" s="1">
        <v>22</v>
      </c>
      <c r="H709" s="79" t="str">
        <f>Tableau1[[#This Row],[Annee d''inscription au programme]]&amp;"-"&amp;Tableau1[[#This Row],[Code d''ecole]]&amp;"-"&amp;Tableau1[[#This Row],[Numero HM de la fille]]</f>
        <v>2021-63-22</v>
      </c>
      <c r="I709" s="1"/>
      <c r="J709" s="44" t="s">
        <v>593</v>
      </c>
      <c r="K709" s="35" t="s">
        <v>698</v>
      </c>
      <c r="L709" s="35">
        <v>11.5</v>
      </c>
      <c r="M709" s="35">
        <v>9</v>
      </c>
      <c r="N709" s="35">
        <f t="shared" ref="N709:N772" si="22" xml:space="preserve"> AVERAGE(L709+M709)/2</f>
        <v>10.25</v>
      </c>
      <c r="O709" s="35">
        <v>7</v>
      </c>
      <c r="P709" s="35">
        <v>1.5</v>
      </c>
      <c r="Q709" s="35">
        <f t="shared" ref="Q709:Q772" si="23">AVERAGE(O709+P709)/2</f>
        <v>4.25</v>
      </c>
      <c r="R709" s="35"/>
      <c r="S709" s="35"/>
      <c r="T709" s="35"/>
      <c r="U709" s="82" t="e">
        <f>AVERAGE(Tableau1[[#This Row],[1ère composition]:[3è Composition]])</f>
        <v>#DIV/0!</v>
      </c>
    </row>
    <row r="710" spans="1:21" hidden="1" x14ac:dyDescent="0.2">
      <c r="A710" s="1" t="s">
        <v>3359</v>
      </c>
      <c r="B710" s="1" t="s">
        <v>3379</v>
      </c>
      <c r="C710" s="1" t="s">
        <v>3760</v>
      </c>
      <c r="D710" s="1">
        <v>97165606</v>
      </c>
      <c r="E710" s="1">
        <v>2021</v>
      </c>
      <c r="F710" s="1">
        <v>63</v>
      </c>
      <c r="G710" s="1">
        <v>23</v>
      </c>
      <c r="H710" s="79" t="str">
        <f>Tableau1[[#This Row],[Annee d''inscription au programme]]&amp;"-"&amp;Tableau1[[#This Row],[Code d''ecole]]&amp;"-"&amp;Tableau1[[#This Row],[Numero HM de la fille]]</f>
        <v>2021-63-23</v>
      </c>
      <c r="I710" s="1"/>
      <c r="J710" s="44" t="s">
        <v>593</v>
      </c>
      <c r="K710" s="35" t="s">
        <v>698</v>
      </c>
      <c r="L710" s="35">
        <v>0</v>
      </c>
      <c r="M710" s="35">
        <v>0</v>
      </c>
      <c r="N710" s="35">
        <f t="shared" si="22"/>
        <v>0</v>
      </c>
      <c r="O710" s="35">
        <v>13</v>
      </c>
      <c r="P710" s="35">
        <v>5.5</v>
      </c>
      <c r="Q710" s="35">
        <f t="shared" si="23"/>
        <v>9.25</v>
      </c>
      <c r="R710" s="35"/>
      <c r="S710" s="35"/>
      <c r="T710" s="35"/>
      <c r="U710" s="82" t="e">
        <f>AVERAGE(Tableau1[[#This Row],[1ère composition]:[3è Composition]])</f>
        <v>#DIV/0!</v>
      </c>
    </row>
    <row r="711" spans="1:21" hidden="1" x14ac:dyDescent="0.2">
      <c r="A711" s="1" t="s">
        <v>3359</v>
      </c>
      <c r="B711" s="1" t="s">
        <v>3172</v>
      </c>
      <c r="C711" s="77"/>
      <c r="D711" s="78"/>
      <c r="E711" s="1">
        <v>2020</v>
      </c>
      <c r="F711" s="1">
        <v>63</v>
      </c>
      <c r="G711" s="78">
        <v>140</v>
      </c>
      <c r="H711" s="79" t="str">
        <f>Tableau1[[#This Row],[Annee d''inscription au programme]]&amp;"-"&amp;Tableau1[[#This Row],[Code d''ecole]]&amp;"-"&amp;Tableau1[[#This Row],[Numero HM de la fille]]</f>
        <v>2020-63-140</v>
      </c>
      <c r="I711" s="1"/>
      <c r="J711" s="35" t="s">
        <v>3495</v>
      </c>
      <c r="K711" s="35" t="s">
        <v>3495</v>
      </c>
      <c r="L711" s="51">
        <v>0</v>
      </c>
      <c r="M711" s="51">
        <v>0</v>
      </c>
      <c r="N711" s="51">
        <f t="shared" si="22"/>
        <v>0</v>
      </c>
      <c r="O711" s="35"/>
      <c r="P711" s="35"/>
      <c r="Q711" s="35">
        <f t="shared" si="23"/>
        <v>0</v>
      </c>
      <c r="R711" s="35"/>
      <c r="S711" s="35"/>
      <c r="T711" s="35"/>
      <c r="U711" s="82" t="e">
        <f>AVERAGE(Tableau1[[#This Row],[1ère composition]:[3è Composition]])</f>
        <v>#DIV/0!</v>
      </c>
    </row>
    <row r="712" spans="1:21" hidden="1" x14ac:dyDescent="0.2">
      <c r="A712" s="1" t="s">
        <v>3380</v>
      </c>
      <c r="B712" s="1" t="s">
        <v>3381</v>
      </c>
      <c r="C712" s="1" t="s">
        <v>3628</v>
      </c>
      <c r="D712" s="1">
        <v>95456942</v>
      </c>
      <c r="E712" s="1">
        <v>2021</v>
      </c>
      <c r="F712" s="1">
        <v>68</v>
      </c>
      <c r="G712" s="1">
        <v>1</v>
      </c>
      <c r="H712" s="79" t="str">
        <f>Tableau1[[#This Row],[Annee d''inscription au programme]]&amp;"-"&amp;Tableau1[[#This Row],[Code d''ecole]]&amp;"-"&amp;Tableau1[[#This Row],[Numero HM de la fille]]</f>
        <v>2021-68-1</v>
      </c>
      <c r="I712" s="1"/>
      <c r="J712" s="79" t="s">
        <v>593</v>
      </c>
      <c r="K712" s="35" t="s">
        <v>698</v>
      </c>
      <c r="L712" s="35">
        <v>4.75</v>
      </c>
      <c r="M712" s="35">
        <v>5</v>
      </c>
      <c r="N712" s="35">
        <f t="shared" si="22"/>
        <v>4.875</v>
      </c>
      <c r="O712" s="35">
        <v>4.5</v>
      </c>
      <c r="P712" s="35">
        <v>8</v>
      </c>
      <c r="Q712" s="35">
        <f t="shared" si="23"/>
        <v>6.25</v>
      </c>
      <c r="R712" s="35"/>
      <c r="S712" s="35"/>
      <c r="T712" s="35"/>
      <c r="U712" s="82" t="e">
        <f>AVERAGE(Tableau1[[#This Row],[1ère composition]:[3è Composition]])</f>
        <v>#DIV/0!</v>
      </c>
    </row>
    <row r="713" spans="1:21" hidden="1" x14ac:dyDescent="0.2">
      <c r="A713" s="1" t="s">
        <v>3380</v>
      </c>
      <c r="B713" s="1" t="s">
        <v>3382</v>
      </c>
      <c r="C713" s="1" t="s">
        <v>3627</v>
      </c>
      <c r="D713" s="1">
        <v>85956540</v>
      </c>
      <c r="E713" s="1">
        <v>2021</v>
      </c>
      <c r="F713" s="1">
        <v>68</v>
      </c>
      <c r="G713" s="1">
        <v>2</v>
      </c>
      <c r="H713" s="79" t="str">
        <f>Tableau1[[#This Row],[Annee d''inscription au programme]]&amp;"-"&amp;Tableau1[[#This Row],[Code d''ecole]]&amp;"-"&amp;Tableau1[[#This Row],[Numero HM de la fille]]</f>
        <v>2021-68-2</v>
      </c>
      <c r="I713" s="1"/>
      <c r="J713" s="79" t="s">
        <v>593</v>
      </c>
      <c r="K713" s="35" t="s">
        <v>698</v>
      </c>
      <c r="L713" s="35">
        <v>3.5</v>
      </c>
      <c r="M713" s="35">
        <v>3.5</v>
      </c>
      <c r="N713" s="35">
        <f t="shared" si="22"/>
        <v>3.5</v>
      </c>
      <c r="O713" s="35">
        <v>3</v>
      </c>
      <c r="P713" s="35">
        <v>10</v>
      </c>
      <c r="Q713" s="35">
        <f t="shared" si="23"/>
        <v>6.5</v>
      </c>
      <c r="R713" s="35"/>
      <c r="S713" s="35"/>
      <c r="T713" s="35"/>
      <c r="U713" s="82" t="e">
        <f>AVERAGE(Tableau1[[#This Row],[1ère composition]:[3è Composition]])</f>
        <v>#DIV/0!</v>
      </c>
    </row>
    <row r="714" spans="1:21" hidden="1" x14ac:dyDescent="0.2">
      <c r="A714" s="1" t="s">
        <v>3380</v>
      </c>
      <c r="B714" s="1" t="s">
        <v>3383</v>
      </c>
      <c r="C714" s="1" t="s">
        <v>3628</v>
      </c>
      <c r="D714" s="1">
        <v>95382773</v>
      </c>
      <c r="E714" s="1">
        <v>2021</v>
      </c>
      <c r="F714" s="1">
        <v>68</v>
      </c>
      <c r="G714" s="1">
        <v>3</v>
      </c>
      <c r="H714" s="79" t="str">
        <f>Tableau1[[#This Row],[Annee d''inscription au programme]]&amp;"-"&amp;Tableau1[[#This Row],[Code d''ecole]]&amp;"-"&amp;Tableau1[[#This Row],[Numero HM de la fille]]</f>
        <v>2021-68-3</v>
      </c>
      <c r="I714" s="1"/>
      <c r="J714" s="79" t="s">
        <v>593</v>
      </c>
      <c r="K714" s="35" t="s">
        <v>698</v>
      </c>
      <c r="L714" s="35">
        <v>3</v>
      </c>
      <c r="M714" s="35">
        <v>4</v>
      </c>
      <c r="N714" s="35">
        <f t="shared" si="22"/>
        <v>3.5</v>
      </c>
      <c r="O714" s="35">
        <v>4</v>
      </c>
      <c r="P714" s="35">
        <v>3</v>
      </c>
      <c r="Q714" s="35">
        <f t="shared" si="23"/>
        <v>3.5</v>
      </c>
      <c r="R714" s="35"/>
      <c r="S714" s="35"/>
      <c r="T714" s="35"/>
      <c r="U714" s="82" t="e">
        <f>AVERAGE(Tableau1[[#This Row],[1ère composition]:[3è Composition]])</f>
        <v>#DIV/0!</v>
      </c>
    </row>
    <row r="715" spans="1:21" hidden="1" x14ac:dyDescent="0.2">
      <c r="A715" s="1" t="s">
        <v>3380</v>
      </c>
      <c r="B715" s="1" t="s">
        <v>3384</v>
      </c>
      <c r="C715" s="1" t="s">
        <v>3629</v>
      </c>
      <c r="D715" s="1">
        <v>97074224</v>
      </c>
      <c r="E715" s="1">
        <v>2021</v>
      </c>
      <c r="F715" s="1">
        <v>68</v>
      </c>
      <c r="G715" s="1">
        <v>4</v>
      </c>
      <c r="H715" s="79" t="str">
        <f>Tableau1[[#This Row],[Annee d''inscription au programme]]&amp;"-"&amp;Tableau1[[#This Row],[Code d''ecole]]&amp;"-"&amp;Tableau1[[#This Row],[Numero HM de la fille]]</f>
        <v>2021-68-4</v>
      </c>
      <c r="I715" s="1"/>
      <c r="J715" s="79" t="s">
        <v>593</v>
      </c>
      <c r="K715" s="35" t="s">
        <v>698</v>
      </c>
      <c r="L715" s="35">
        <v>2.5</v>
      </c>
      <c r="M715" s="35">
        <v>4</v>
      </c>
      <c r="N715" s="35">
        <f t="shared" si="22"/>
        <v>3.25</v>
      </c>
      <c r="O715" s="35">
        <v>7.5</v>
      </c>
      <c r="P715" s="35">
        <v>5.5</v>
      </c>
      <c r="Q715" s="35">
        <f t="shared" si="23"/>
        <v>6.5</v>
      </c>
      <c r="R715" s="35"/>
      <c r="S715" s="35"/>
      <c r="T715" s="35"/>
      <c r="U715" s="82" t="e">
        <f>AVERAGE(Tableau1[[#This Row],[1ère composition]:[3è Composition]])</f>
        <v>#DIV/0!</v>
      </c>
    </row>
    <row r="716" spans="1:21" hidden="1" x14ac:dyDescent="0.2">
      <c r="A716" s="1" t="s">
        <v>3380</v>
      </c>
      <c r="B716" s="1" t="s">
        <v>3385</v>
      </c>
      <c r="C716" s="1" t="s">
        <v>3628</v>
      </c>
      <c r="D716" s="1">
        <v>96958057</v>
      </c>
      <c r="E716" s="1">
        <v>2021</v>
      </c>
      <c r="F716" s="1">
        <v>68</v>
      </c>
      <c r="G716" s="1">
        <v>5</v>
      </c>
      <c r="H716" s="79" t="str">
        <f>Tableau1[[#This Row],[Annee d''inscription au programme]]&amp;"-"&amp;Tableau1[[#This Row],[Code d''ecole]]&amp;"-"&amp;Tableau1[[#This Row],[Numero HM de la fille]]</f>
        <v>2021-68-5</v>
      </c>
      <c r="I716" s="1"/>
      <c r="J716" s="79" t="s">
        <v>593</v>
      </c>
      <c r="K716" s="35" t="s">
        <v>698</v>
      </c>
      <c r="L716" s="35">
        <v>11</v>
      </c>
      <c r="M716" s="35">
        <v>7</v>
      </c>
      <c r="N716" s="35">
        <f t="shared" si="22"/>
        <v>9</v>
      </c>
      <c r="O716" s="35">
        <v>15.5</v>
      </c>
      <c r="P716" s="35">
        <v>11</v>
      </c>
      <c r="Q716" s="35">
        <f t="shared" si="23"/>
        <v>13.25</v>
      </c>
      <c r="R716" s="35"/>
      <c r="S716" s="35"/>
      <c r="T716" s="35"/>
      <c r="U716" s="82" t="e">
        <f>AVERAGE(Tableau1[[#This Row],[1ère composition]:[3è Composition]])</f>
        <v>#DIV/0!</v>
      </c>
    </row>
    <row r="717" spans="1:21" hidden="1" x14ac:dyDescent="0.2">
      <c r="A717" s="1" t="s">
        <v>3380</v>
      </c>
      <c r="B717" s="1" t="s">
        <v>3386</v>
      </c>
      <c r="C717" s="1" t="s">
        <v>3630</v>
      </c>
      <c r="D717" s="1">
        <v>84555779</v>
      </c>
      <c r="E717" s="1">
        <v>2021</v>
      </c>
      <c r="F717" s="1">
        <v>68</v>
      </c>
      <c r="G717" s="1">
        <v>6</v>
      </c>
      <c r="H717" s="79" t="str">
        <f>Tableau1[[#This Row],[Annee d''inscription au programme]]&amp;"-"&amp;Tableau1[[#This Row],[Code d''ecole]]&amp;"-"&amp;Tableau1[[#This Row],[Numero HM de la fille]]</f>
        <v>2021-68-6</v>
      </c>
      <c r="I717" s="1"/>
      <c r="J717" s="79" t="s">
        <v>593</v>
      </c>
      <c r="K717" s="35" t="s">
        <v>698</v>
      </c>
      <c r="L717" s="35">
        <v>9</v>
      </c>
      <c r="M717" s="35">
        <v>10</v>
      </c>
      <c r="N717" s="35">
        <f t="shared" si="22"/>
        <v>9.5</v>
      </c>
      <c r="O717" s="35">
        <v>10.5</v>
      </c>
      <c r="P717" s="35">
        <v>15</v>
      </c>
      <c r="Q717" s="35">
        <f t="shared" si="23"/>
        <v>12.75</v>
      </c>
      <c r="R717" s="35"/>
      <c r="S717" s="35"/>
      <c r="T717" s="35"/>
      <c r="U717" s="82" t="e">
        <f>AVERAGE(Tableau1[[#This Row],[1ère composition]:[3è Composition]])</f>
        <v>#DIV/0!</v>
      </c>
    </row>
    <row r="718" spans="1:21" hidden="1" x14ac:dyDescent="0.2">
      <c r="A718" s="1" t="s">
        <v>3380</v>
      </c>
      <c r="B718" s="1" t="s">
        <v>3387</v>
      </c>
      <c r="C718" s="1" t="s">
        <v>3631</v>
      </c>
      <c r="D718" s="1">
        <v>94561206</v>
      </c>
      <c r="E718" s="1">
        <v>2021</v>
      </c>
      <c r="F718" s="1">
        <v>68</v>
      </c>
      <c r="G718" s="1">
        <v>7</v>
      </c>
      <c r="H718" s="79" t="str">
        <f>Tableau1[[#This Row],[Annee d''inscription au programme]]&amp;"-"&amp;Tableau1[[#This Row],[Code d''ecole]]&amp;"-"&amp;Tableau1[[#This Row],[Numero HM de la fille]]</f>
        <v>2021-68-7</v>
      </c>
      <c r="I718" s="1"/>
      <c r="J718" s="79" t="s">
        <v>593</v>
      </c>
      <c r="K718" s="35" t="s">
        <v>698</v>
      </c>
      <c r="L718" s="35">
        <v>1.5</v>
      </c>
      <c r="M718" s="35">
        <v>3.5</v>
      </c>
      <c r="N718" s="35">
        <f t="shared" si="22"/>
        <v>2.5</v>
      </c>
      <c r="O718" s="35">
        <v>0.5</v>
      </c>
      <c r="P718" s="35">
        <v>1.5</v>
      </c>
      <c r="Q718" s="35">
        <f t="shared" si="23"/>
        <v>1</v>
      </c>
      <c r="R718" s="35"/>
      <c r="S718" s="35"/>
      <c r="T718" s="35"/>
      <c r="U718" s="82" t="e">
        <f>AVERAGE(Tableau1[[#This Row],[1ère composition]:[3è Composition]])</f>
        <v>#DIV/0!</v>
      </c>
    </row>
    <row r="719" spans="1:21" hidden="1" x14ac:dyDescent="0.2">
      <c r="A719" s="1" t="s">
        <v>3380</v>
      </c>
      <c r="B719" s="1" t="s">
        <v>3388</v>
      </c>
      <c r="C719" s="1" t="s">
        <v>3637</v>
      </c>
      <c r="D719" s="1">
        <v>95456942</v>
      </c>
      <c r="E719" s="1">
        <v>2021</v>
      </c>
      <c r="F719" s="1">
        <v>68</v>
      </c>
      <c r="G719" s="1">
        <v>8</v>
      </c>
      <c r="H719" s="79" t="str">
        <f>Tableau1[[#This Row],[Annee d''inscription au programme]]&amp;"-"&amp;Tableau1[[#This Row],[Code d''ecole]]&amp;"-"&amp;Tableau1[[#This Row],[Numero HM de la fille]]</f>
        <v>2021-68-8</v>
      </c>
      <c r="I719" s="1"/>
      <c r="J719" s="79" t="s">
        <v>593</v>
      </c>
      <c r="K719" s="35" t="s">
        <v>698</v>
      </c>
      <c r="L719" s="35">
        <v>8.5</v>
      </c>
      <c r="M719" s="35">
        <v>6.5</v>
      </c>
      <c r="N719" s="35">
        <f t="shared" si="22"/>
        <v>7.5</v>
      </c>
      <c r="O719" s="35"/>
      <c r="P719" s="35"/>
      <c r="Q719" s="35">
        <f t="shared" si="23"/>
        <v>0</v>
      </c>
      <c r="R719" s="35"/>
      <c r="S719" s="35"/>
      <c r="T719" s="35"/>
      <c r="U719" s="82" t="e">
        <f>AVERAGE(Tableau1[[#This Row],[1ère composition]:[3è Composition]])</f>
        <v>#DIV/0!</v>
      </c>
    </row>
    <row r="720" spans="1:21" hidden="1" x14ac:dyDescent="0.2">
      <c r="A720" s="1" t="s">
        <v>3380</v>
      </c>
      <c r="B720" s="1" t="s">
        <v>3389</v>
      </c>
      <c r="C720" s="1" t="s">
        <v>3628</v>
      </c>
      <c r="D720" s="1">
        <v>95382773</v>
      </c>
      <c r="E720" s="1">
        <v>2021</v>
      </c>
      <c r="F720" s="1">
        <v>68</v>
      </c>
      <c r="G720" s="1">
        <v>9</v>
      </c>
      <c r="H720" s="79" t="str">
        <f>Tableau1[[#This Row],[Annee d''inscription au programme]]&amp;"-"&amp;Tableau1[[#This Row],[Code d''ecole]]&amp;"-"&amp;Tableau1[[#This Row],[Numero HM de la fille]]</f>
        <v>2021-68-9</v>
      </c>
      <c r="I720" s="1"/>
      <c r="J720" s="79" t="s">
        <v>593</v>
      </c>
      <c r="K720" s="35" t="s">
        <v>698</v>
      </c>
      <c r="L720" s="35">
        <v>5.5</v>
      </c>
      <c r="M720" s="35">
        <v>8</v>
      </c>
      <c r="N720" s="35">
        <f t="shared" si="22"/>
        <v>6.75</v>
      </c>
      <c r="O720" s="35">
        <v>9</v>
      </c>
      <c r="P720" s="35">
        <v>7</v>
      </c>
      <c r="Q720" s="35">
        <f t="shared" si="23"/>
        <v>8</v>
      </c>
      <c r="R720" s="35"/>
      <c r="S720" s="35"/>
      <c r="T720" s="35"/>
      <c r="U720" s="82" t="e">
        <f>AVERAGE(Tableau1[[#This Row],[1ère composition]:[3è Composition]])</f>
        <v>#DIV/0!</v>
      </c>
    </row>
    <row r="721" spans="1:21" hidden="1" x14ac:dyDescent="0.2">
      <c r="A721" s="1" t="s">
        <v>3380</v>
      </c>
      <c r="B721" s="1" t="s">
        <v>3390</v>
      </c>
      <c r="C721" s="1" t="s">
        <v>3633</v>
      </c>
      <c r="D721" s="1">
        <v>85336169</v>
      </c>
      <c r="E721" s="1">
        <v>2021</v>
      </c>
      <c r="F721" s="1">
        <v>68</v>
      </c>
      <c r="G721" s="1">
        <v>10</v>
      </c>
      <c r="H721" s="79" t="str">
        <f>Tableau1[[#This Row],[Annee d''inscription au programme]]&amp;"-"&amp;Tableau1[[#This Row],[Code d''ecole]]&amp;"-"&amp;Tableau1[[#This Row],[Numero HM de la fille]]</f>
        <v>2021-68-10</v>
      </c>
      <c r="I721" s="1"/>
      <c r="J721" s="79" t="s">
        <v>593</v>
      </c>
      <c r="K721" s="35" t="s">
        <v>698</v>
      </c>
      <c r="L721" s="35">
        <v>6</v>
      </c>
      <c r="M721" s="35">
        <v>6</v>
      </c>
      <c r="N721" s="35">
        <f t="shared" si="22"/>
        <v>6</v>
      </c>
      <c r="O721" s="35">
        <v>16</v>
      </c>
      <c r="P721" s="35">
        <v>13</v>
      </c>
      <c r="Q721" s="35">
        <f t="shared" si="23"/>
        <v>14.5</v>
      </c>
      <c r="R721" s="35"/>
      <c r="S721" s="35"/>
      <c r="T721" s="35"/>
      <c r="U721" s="82" t="e">
        <f>AVERAGE(Tableau1[[#This Row],[1ère composition]:[3è Composition]])</f>
        <v>#DIV/0!</v>
      </c>
    </row>
    <row r="722" spans="1:21" hidden="1" x14ac:dyDescent="0.2">
      <c r="A722" s="1" t="s">
        <v>3380</v>
      </c>
      <c r="B722" s="1" t="s">
        <v>3391</v>
      </c>
      <c r="C722" s="1" t="s">
        <v>3632</v>
      </c>
      <c r="D722" s="1">
        <v>94407042</v>
      </c>
      <c r="E722" s="1">
        <v>2021</v>
      </c>
      <c r="F722" s="1">
        <v>68</v>
      </c>
      <c r="G722" s="1">
        <v>11</v>
      </c>
      <c r="H722" s="79" t="str">
        <f>Tableau1[[#This Row],[Annee d''inscription au programme]]&amp;"-"&amp;Tableau1[[#This Row],[Code d''ecole]]&amp;"-"&amp;Tableau1[[#This Row],[Numero HM de la fille]]</f>
        <v>2021-68-11</v>
      </c>
      <c r="I722" s="1"/>
      <c r="J722" s="79" t="s">
        <v>593</v>
      </c>
      <c r="K722" s="35" t="s">
        <v>698</v>
      </c>
      <c r="L722" s="35">
        <v>11.5</v>
      </c>
      <c r="M722" s="35">
        <v>8.5</v>
      </c>
      <c r="N722" s="35">
        <f t="shared" si="22"/>
        <v>10</v>
      </c>
      <c r="O722" s="35">
        <v>11.5</v>
      </c>
      <c r="P722" s="35">
        <v>12.5</v>
      </c>
      <c r="Q722" s="35">
        <f t="shared" si="23"/>
        <v>12</v>
      </c>
      <c r="R722" s="35"/>
      <c r="S722" s="35"/>
      <c r="T722" s="35"/>
      <c r="U722" s="82" t="e">
        <f>AVERAGE(Tableau1[[#This Row],[1ère composition]:[3è Composition]])</f>
        <v>#DIV/0!</v>
      </c>
    </row>
    <row r="723" spans="1:21" hidden="1" x14ac:dyDescent="0.2">
      <c r="A723" s="1" t="s">
        <v>3380</v>
      </c>
      <c r="B723" s="1" t="s">
        <v>3392</v>
      </c>
      <c r="C723" s="1" t="s">
        <v>3634</v>
      </c>
      <c r="D723" s="1"/>
      <c r="E723" s="1">
        <v>2021</v>
      </c>
      <c r="F723" s="1">
        <v>68</v>
      </c>
      <c r="G723" s="1">
        <v>12</v>
      </c>
      <c r="H723" s="79" t="str">
        <f>Tableau1[[#This Row],[Annee d''inscription au programme]]&amp;"-"&amp;Tableau1[[#This Row],[Code d''ecole]]&amp;"-"&amp;Tableau1[[#This Row],[Numero HM de la fille]]</f>
        <v>2021-68-12</v>
      </c>
      <c r="I723" s="1"/>
      <c r="J723" s="79" t="s">
        <v>593</v>
      </c>
      <c r="K723" s="35" t="s">
        <v>698</v>
      </c>
      <c r="L723" s="35">
        <v>3</v>
      </c>
      <c r="M723" s="35">
        <v>4</v>
      </c>
      <c r="N723" s="35">
        <f t="shared" si="22"/>
        <v>3.5</v>
      </c>
      <c r="O723" s="35">
        <v>1</v>
      </c>
      <c r="P723" s="35">
        <v>2</v>
      </c>
      <c r="Q723" s="35">
        <f t="shared" si="23"/>
        <v>1.5</v>
      </c>
      <c r="R723" s="35"/>
      <c r="S723" s="35"/>
      <c r="T723" s="35"/>
      <c r="U723" s="82" t="e">
        <f>AVERAGE(Tableau1[[#This Row],[1ère composition]:[3è Composition]])</f>
        <v>#DIV/0!</v>
      </c>
    </row>
    <row r="724" spans="1:21" hidden="1" x14ac:dyDescent="0.2">
      <c r="A724" s="1" t="s">
        <v>3380</v>
      </c>
      <c r="B724" s="1" t="s">
        <v>3393</v>
      </c>
      <c r="C724" s="1" t="s">
        <v>3636</v>
      </c>
      <c r="D724" s="1">
        <v>94281531</v>
      </c>
      <c r="E724" s="1">
        <v>2021</v>
      </c>
      <c r="F724" s="1">
        <v>68</v>
      </c>
      <c r="G724" s="1">
        <v>13</v>
      </c>
      <c r="H724" s="79" t="str">
        <f>Tableau1[[#This Row],[Annee d''inscription au programme]]&amp;"-"&amp;Tableau1[[#This Row],[Code d''ecole]]&amp;"-"&amp;Tableau1[[#This Row],[Numero HM de la fille]]</f>
        <v>2021-68-13</v>
      </c>
      <c r="I724" s="1"/>
      <c r="J724" s="79" t="s">
        <v>593</v>
      </c>
      <c r="K724" s="35" t="s">
        <v>698</v>
      </c>
      <c r="L724" s="35">
        <v>8.5</v>
      </c>
      <c r="M724" s="35">
        <v>6</v>
      </c>
      <c r="N724" s="35">
        <f t="shared" si="22"/>
        <v>7.25</v>
      </c>
      <c r="O724" s="35">
        <v>14</v>
      </c>
      <c r="P724" s="35">
        <v>15</v>
      </c>
      <c r="Q724" s="35">
        <f t="shared" si="23"/>
        <v>14.5</v>
      </c>
      <c r="R724" s="35"/>
      <c r="S724" s="35"/>
      <c r="T724" s="35"/>
      <c r="U724" s="82" t="e">
        <f>AVERAGE(Tableau1[[#This Row],[1ère composition]:[3è Composition]])</f>
        <v>#DIV/0!</v>
      </c>
    </row>
    <row r="725" spans="1:21" hidden="1" x14ac:dyDescent="0.2">
      <c r="A725" s="1" t="s">
        <v>3380</v>
      </c>
      <c r="B725" s="1" t="s">
        <v>2843</v>
      </c>
      <c r="C725" s="1" t="s">
        <v>3635</v>
      </c>
      <c r="D725" s="1">
        <v>94329209</v>
      </c>
      <c r="E725" s="1">
        <v>2021</v>
      </c>
      <c r="F725" s="1">
        <v>68</v>
      </c>
      <c r="G725" s="1">
        <v>14</v>
      </c>
      <c r="H725" s="79" t="str">
        <f>Tableau1[[#This Row],[Annee d''inscription au programme]]&amp;"-"&amp;Tableau1[[#This Row],[Code d''ecole]]&amp;"-"&amp;Tableau1[[#This Row],[Numero HM de la fille]]</f>
        <v>2021-68-14</v>
      </c>
      <c r="I725" s="1"/>
      <c r="J725" s="79" t="s">
        <v>593</v>
      </c>
      <c r="K725" s="35" t="s">
        <v>698</v>
      </c>
      <c r="L725" s="35">
        <v>9.5</v>
      </c>
      <c r="M725" s="35">
        <v>18</v>
      </c>
      <c r="N725" s="35">
        <f t="shared" si="22"/>
        <v>13.75</v>
      </c>
      <c r="O725" s="35">
        <v>15</v>
      </c>
      <c r="P725" s="35">
        <v>17</v>
      </c>
      <c r="Q725" s="35">
        <f t="shared" si="23"/>
        <v>16</v>
      </c>
      <c r="R725" s="35"/>
      <c r="S725" s="35"/>
      <c r="T725" s="35"/>
      <c r="U725" s="82" t="e">
        <f>AVERAGE(Tableau1[[#This Row],[1ère composition]:[3è Composition]])</f>
        <v>#DIV/0!</v>
      </c>
    </row>
    <row r="726" spans="1:21" hidden="1" x14ac:dyDescent="0.2">
      <c r="A726" s="1" t="s">
        <v>3380</v>
      </c>
      <c r="B726" s="1" t="s">
        <v>3394</v>
      </c>
      <c r="C726" s="1" t="s">
        <v>3638</v>
      </c>
      <c r="D726" s="1">
        <v>94281531</v>
      </c>
      <c r="E726" s="1">
        <v>2021</v>
      </c>
      <c r="F726" s="1">
        <v>68</v>
      </c>
      <c r="G726" s="1">
        <v>15</v>
      </c>
      <c r="H726" s="79" t="str">
        <f>Tableau1[[#This Row],[Annee d''inscription au programme]]&amp;"-"&amp;Tableau1[[#This Row],[Code d''ecole]]&amp;"-"&amp;Tableau1[[#This Row],[Numero HM de la fille]]</f>
        <v>2021-68-15</v>
      </c>
      <c r="I726" s="1"/>
      <c r="J726" s="79" t="s">
        <v>593</v>
      </c>
      <c r="K726" s="35" t="s">
        <v>698</v>
      </c>
      <c r="L726" s="35">
        <v>7</v>
      </c>
      <c r="M726" s="35">
        <v>5</v>
      </c>
      <c r="N726" s="35">
        <f t="shared" si="22"/>
        <v>6</v>
      </c>
      <c r="O726" s="35">
        <v>5.5</v>
      </c>
      <c r="P726" s="35">
        <v>4.5</v>
      </c>
      <c r="Q726" s="35">
        <f t="shared" si="23"/>
        <v>5</v>
      </c>
      <c r="R726" s="35"/>
      <c r="S726" s="35"/>
      <c r="T726" s="35"/>
      <c r="U726" s="82" t="e">
        <f>AVERAGE(Tableau1[[#This Row],[1ère composition]:[3è Composition]])</f>
        <v>#DIV/0!</v>
      </c>
    </row>
    <row r="727" spans="1:21" hidden="1" x14ac:dyDescent="0.2">
      <c r="A727" s="1" t="s">
        <v>3380</v>
      </c>
      <c r="B727" s="1" t="s">
        <v>3395</v>
      </c>
      <c r="C727" s="1" t="s">
        <v>3639</v>
      </c>
      <c r="D727" s="1">
        <v>94242648</v>
      </c>
      <c r="E727" s="1">
        <v>2021</v>
      </c>
      <c r="F727" s="1">
        <v>68</v>
      </c>
      <c r="G727" s="1">
        <v>16</v>
      </c>
      <c r="H727" s="79" t="str">
        <f>Tableau1[[#This Row],[Annee d''inscription au programme]]&amp;"-"&amp;Tableau1[[#This Row],[Code d''ecole]]&amp;"-"&amp;Tableau1[[#This Row],[Numero HM de la fille]]</f>
        <v>2021-68-16</v>
      </c>
      <c r="I727" s="1"/>
      <c r="J727" s="79" t="s">
        <v>593</v>
      </c>
      <c r="K727" s="35" t="s">
        <v>698</v>
      </c>
      <c r="L727" s="35">
        <v>4.5</v>
      </c>
      <c r="M727" s="35">
        <v>4</v>
      </c>
      <c r="N727" s="35">
        <f t="shared" si="22"/>
        <v>4.25</v>
      </c>
      <c r="O727" s="35">
        <v>10</v>
      </c>
      <c r="P727" s="35">
        <v>3</v>
      </c>
      <c r="Q727" s="35">
        <f t="shared" si="23"/>
        <v>6.5</v>
      </c>
      <c r="R727" s="35"/>
      <c r="S727" s="35"/>
      <c r="T727" s="35"/>
      <c r="U727" s="82" t="e">
        <f>AVERAGE(Tableau1[[#This Row],[1ère composition]:[3è Composition]])</f>
        <v>#DIV/0!</v>
      </c>
    </row>
    <row r="728" spans="1:21" hidden="1" x14ac:dyDescent="0.2">
      <c r="A728" s="1" t="s">
        <v>3380</v>
      </c>
      <c r="B728" s="1" t="s">
        <v>3396</v>
      </c>
      <c r="C728" s="1" t="s">
        <v>3641</v>
      </c>
      <c r="D728" s="1">
        <v>94281531</v>
      </c>
      <c r="E728" s="1">
        <v>2021</v>
      </c>
      <c r="F728" s="1">
        <v>68</v>
      </c>
      <c r="G728" s="1">
        <v>17</v>
      </c>
      <c r="H728" s="79" t="str">
        <f>Tableau1[[#This Row],[Annee d''inscription au programme]]&amp;"-"&amp;Tableau1[[#This Row],[Code d''ecole]]&amp;"-"&amp;Tableau1[[#This Row],[Numero HM de la fille]]</f>
        <v>2021-68-17</v>
      </c>
      <c r="I728" s="1"/>
      <c r="J728" s="79" t="s">
        <v>593</v>
      </c>
      <c r="K728" s="35" t="s">
        <v>698</v>
      </c>
      <c r="L728" s="35">
        <v>4.5</v>
      </c>
      <c r="M728" s="35">
        <v>3.5</v>
      </c>
      <c r="N728" s="35">
        <f t="shared" si="22"/>
        <v>4</v>
      </c>
      <c r="O728" s="35">
        <v>6</v>
      </c>
      <c r="P728" s="35">
        <v>7</v>
      </c>
      <c r="Q728" s="35">
        <f t="shared" si="23"/>
        <v>6.5</v>
      </c>
      <c r="R728" s="35"/>
      <c r="S728" s="35"/>
      <c r="T728" s="35"/>
      <c r="U728" s="82" t="e">
        <f>AVERAGE(Tableau1[[#This Row],[1ère composition]:[3è Composition]])</f>
        <v>#DIV/0!</v>
      </c>
    </row>
    <row r="729" spans="1:21" hidden="1" x14ac:dyDescent="0.2">
      <c r="A729" s="1" t="s">
        <v>3380</v>
      </c>
      <c r="B729" s="1" t="s">
        <v>3397</v>
      </c>
      <c r="C729" s="1" t="s">
        <v>3640</v>
      </c>
      <c r="D729" s="1">
        <v>95501874</v>
      </c>
      <c r="E729" s="1">
        <v>2021</v>
      </c>
      <c r="F729" s="1">
        <v>68</v>
      </c>
      <c r="G729" s="1">
        <v>18</v>
      </c>
      <c r="H729" s="79" t="str">
        <f>Tableau1[[#This Row],[Annee d''inscription au programme]]&amp;"-"&amp;Tableau1[[#This Row],[Code d''ecole]]&amp;"-"&amp;Tableau1[[#This Row],[Numero HM de la fille]]</f>
        <v>2021-68-18</v>
      </c>
      <c r="I729" s="1"/>
      <c r="J729" s="79" t="s">
        <v>593</v>
      </c>
      <c r="K729" s="35" t="s">
        <v>698</v>
      </c>
      <c r="L729" s="35">
        <v>6.5</v>
      </c>
      <c r="M729" s="35">
        <v>7</v>
      </c>
      <c r="N729" s="35">
        <f t="shared" si="22"/>
        <v>6.75</v>
      </c>
      <c r="O729" s="35">
        <v>9</v>
      </c>
      <c r="P729" s="35">
        <v>12.5</v>
      </c>
      <c r="Q729" s="35">
        <f t="shared" si="23"/>
        <v>10.75</v>
      </c>
      <c r="R729" s="35"/>
      <c r="S729" s="35"/>
      <c r="T729" s="35"/>
      <c r="U729" s="82" t="e">
        <f>AVERAGE(Tableau1[[#This Row],[1ère composition]:[3è Composition]])</f>
        <v>#DIV/0!</v>
      </c>
    </row>
    <row r="730" spans="1:21" hidden="1" x14ac:dyDescent="0.2">
      <c r="A730" s="1" t="s">
        <v>3380</v>
      </c>
      <c r="B730" s="1" t="s">
        <v>3398</v>
      </c>
      <c r="C730" s="1" t="s">
        <v>3642</v>
      </c>
      <c r="D730" s="1">
        <v>94514961</v>
      </c>
      <c r="E730" s="1">
        <v>2021</v>
      </c>
      <c r="F730" s="1">
        <v>68</v>
      </c>
      <c r="G730" s="1">
        <v>19</v>
      </c>
      <c r="H730" s="79" t="str">
        <f>Tableau1[[#This Row],[Annee d''inscription au programme]]&amp;"-"&amp;Tableau1[[#This Row],[Code d''ecole]]&amp;"-"&amp;Tableau1[[#This Row],[Numero HM de la fille]]</f>
        <v>2021-68-19</v>
      </c>
      <c r="I730" s="1"/>
      <c r="J730" s="79" t="s">
        <v>593</v>
      </c>
      <c r="K730" s="35" t="s">
        <v>698</v>
      </c>
      <c r="L730" s="35">
        <v>11</v>
      </c>
      <c r="M730" s="35">
        <v>7.5</v>
      </c>
      <c r="N730" s="35">
        <f t="shared" si="22"/>
        <v>9.25</v>
      </c>
      <c r="O730" s="35">
        <v>11</v>
      </c>
      <c r="P730" s="35">
        <v>11</v>
      </c>
      <c r="Q730" s="35">
        <f t="shared" si="23"/>
        <v>11</v>
      </c>
      <c r="R730" s="35"/>
      <c r="S730" s="35"/>
      <c r="T730" s="35"/>
      <c r="U730" s="82" t="e">
        <f>AVERAGE(Tableau1[[#This Row],[1ère composition]:[3è Composition]])</f>
        <v>#DIV/0!</v>
      </c>
    </row>
    <row r="731" spans="1:21" hidden="1" x14ac:dyDescent="0.2">
      <c r="A731" s="1" t="s">
        <v>3380</v>
      </c>
      <c r="B731" s="1" t="s">
        <v>3399</v>
      </c>
      <c r="C731" s="1" t="s">
        <v>3644</v>
      </c>
      <c r="D731" s="1">
        <v>95501874</v>
      </c>
      <c r="E731" s="1">
        <v>2021</v>
      </c>
      <c r="F731" s="1">
        <v>68</v>
      </c>
      <c r="G731" s="1">
        <v>20</v>
      </c>
      <c r="H731" s="79" t="str">
        <f>Tableau1[[#This Row],[Annee d''inscription au programme]]&amp;"-"&amp;Tableau1[[#This Row],[Code d''ecole]]&amp;"-"&amp;Tableau1[[#This Row],[Numero HM de la fille]]</f>
        <v>2021-68-20</v>
      </c>
      <c r="I731" s="1"/>
      <c r="J731" s="79" t="s">
        <v>593</v>
      </c>
      <c r="K731" s="35" t="s">
        <v>698</v>
      </c>
      <c r="L731" s="35">
        <v>7</v>
      </c>
      <c r="M731" s="35">
        <v>7</v>
      </c>
      <c r="N731" s="35">
        <f t="shared" si="22"/>
        <v>7</v>
      </c>
      <c r="O731" s="35">
        <v>6.5</v>
      </c>
      <c r="P731" s="35">
        <v>5</v>
      </c>
      <c r="Q731" s="35">
        <f t="shared" si="23"/>
        <v>5.75</v>
      </c>
      <c r="R731" s="35"/>
      <c r="S731" s="35"/>
      <c r="T731" s="35"/>
      <c r="U731" s="82" t="e">
        <f>AVERAGE(Tableau1[[#This Row],[1ère composition]:[3è Composition]])</f>
        <v>#DIV/0!</v>
      </c>
    </row>
    <row r="732" spans="1:21" hidden="1" x14ac:dyDescent="0.2">
      <c r="A732" s="1" t="s">
        <v>3380</v>
      </c>
      <c r="B732" s="1" t="s">
        <v>3400</v>
      </c>
      <c r="C732" s="1" t="s">
        <v>3643</v>
      </c>
      <c r="D732" s="1">
        <v>94281531</v>
      </c>
      <c r="E732" s="1">
        <v>2021</v>
      </c>
      <c r="F732" s="1">
        <v>68</v>
      </c>
      <c r="G732" s="1">
        <v>21</v>
      </c>
      <c r="H732" s="79" t="str">
        <f>Tableau1[[#This Row],[Annee d''inscription au programme]]&amp;"-"&amp;Tableau1[[#This Row],[Code d''ecole]]&amp;"-"&amp;Tableau1[[#This Row],[Numero HM de la fille]]</f>
        <v>2021-68-21</v>
      </c>
      <c r="I732" s="1"/>
      <c r="J732" s="79" t="s">
        <v>593</v>
      </c>
      <c r="K732" s="35" t="s">
        <v>698</v>
      </c>
      <c r="L732" s="35">
        <v>3</v>
      </c>
      <c r="M732" s="35">
        <v>3</v>
      </c>
      <c r="N732" s="35">
        <f t="shared" si="22"/>
        <v>3</v>
      </c>
      <c r="O732" s="35">
        <v>9</v>
      </c>
      <c r="P732" s="35">
        <v>1</v>
      </c>
      <c r="Q732" s="35">
        <f t="shared" si="23"/>
        <v>5</v>
      </c>
      <c r="R732" s="35"/>
      <c r="S732" s="35"/>
      <c r="T732" s="35"/>
      <c r="U732" s="82" t="e">
        <f>AVERAGE(Tableau1[[#This Row],[1ère composition]:[3è Composition]])</f>
        <v>#DIV/0!</v>
      </c>
    </row>
    <row r="733" spans="1:21" hidden="1" x14ac:dyDescent="0.2">
      <c r="A733" s="1" t="s">
        <v>3401</v>
      </c>
      <c r="B733" s="1" t="s">
        <v>3402</v>
      </c>
      <c r="C733" s="1" t="s">
        <v>3907</v>
      </c>
      <c r="D733" s="1"/>
      <c r="E733" s="1">
        <v>2021</v>
      </c>
      <c r="F733" s="1">
        <v>65</v>
      </c>
      <c r="G733" s="1">
        <v>1</v>
      </c>
      <c r="H733" s="79" t="str">
        <f>Tableau1[[#This Row],[Annee d''inscription au programme]]&amp;"-"&amp;Tableau1[[#This Row],[Code d''ecole]]&amp;"-"&amp;Tableau1[[#This Row],[Numero HM de la fille]]</f>
        <v>2021-65-1</v>
      </c>
      <c r="I733" s="1"/>
      <c r="J733" s="79" t="s">
        <v>593</v>
      </c>
      <c r="K733" s="35" t="s">
        <v>698</v>
      </c>
      <c r="L733" s="35">
        <v>5</v>
      </c>
      <c r="M733" s="35">
        <v>1</v>
      </c>
      <c r="N733" s="35">
        <f t="shared" si="22"/>
        <v>3</v>
      </c>
      <c r="O733" s="35">
        <v>3</v>
      </c>
      <c r="P733" s="35">
        <v>7.75</v>
      </c>
      <c r="Q733" s="35">
        <f t="shared" si="23"/>
        <v>5.375</v>
      </c>
      <c r="R733" s="35"/>
      <c r="S733" s="35"/>
      <c r="T733" s="35"/>
      <c r="U733" s="82" t="e">
        <f>AVERAGE(Tableau1[[#This Row],[1ère composition]:[3è Composition]])</f>
        <v>#DIV/0!</v>
      </c>
    </row>
    <row r="734" spans="1:21" hidden="1" x14ac:dyDescent="0.2">
      <c r="A734" s="1" t="s">
        <v>3401</v>
      </c>
      <c r="B734" s="1" t="s">
        <v>3403</v>
      </c>
      <c r="C734" s="1" t="s">
        <v>3908</v>
      </c>
      <c r="D734" s="1">
        <v>95246068</v>
      </c>
      <c r="E734" s="1">
        <v>2021</v>
      </c>
      <c r="F734" s="1">
        <v>65</v>
      </c>
      <c r="G734" s="1">
        <v>2</v>
      </c>
      <c r="H734" s="79" t="str">
        <f>Tableau1[[#This Row],[Annee d''inscription au programme]]&amp;"-"&amp;Tableau1[[#This Row],[Code d''ecole]]&amp;"-"&amp;Tableau1[[#This Row],[Numero HM de la fille]]</f>
        <v>2021-65-2</v>
      </c>
      <c r="I734" s="1"/>
      <c r="J734" s="79" t="s">
        <v>593</v>
      </c>
      <c r="K734" s="35" t="s">
        <v>698</v>
      </c>
      <c r="L734" s="35">
        <v>2.5</v>
      </c>
      <c r="M734" s="35">
        <v>1</v>
      </c>
      <c r="N734" s="35">
        <f t="shared" si="22"/>
        <v>1.75</v>
      </c>
      <c r="O734" s="35">
        <v>2.5</v>
      </c>
      <c r="P734" s="35">
        <v>5</v>
      </c>
      <c r="Q734" s="35">
        <f t="shared" si="23"/>
        <v>3.75</v>
      </c>
      <c r="R734" s="35"/>
      <c r="S734" s="35"/>
      <c r="T734" s="35"/>
      <c r="U734" s="82" t="e">
        <f>AVERAGE(Tableau1[[#This Row],[1ère composition]:[3è Composition]])</f>
        <v>#DIV/0!</v>
      </c>
    </row>
    <row r="735" spans="1:21" hidden="1" x14ac:dyDescent="0.2">
      <c r="A735" s="1" t="s">
        <v>3401</v>
      </c>
      <c r="B735" s="1" t="s">
        <v>3404</v>
      </c>
      <c r="C735" s="1" t="s">
        <v>3907</v>
      </c>
      <c r="D735" s="1">
        <v>95966778</v>
      </c>
      <c r="E735" s="1">
        <v>2021</v>
      </c>
      <c r="F735" s="1">
        <v>65</v>
      </c>
      <c r="G735" s="1">
        <v>3</v>
      </c>
      <c r="H735" s="79" t="str">
        <f>Tableau1[[#This Row],[Annee d''inscription au programme]]&amp;"-"&amp;Tableau1[[#This Row],[Code d''ecole]]&amp;"-"&amp;Tableau1[[#This Row],[Numero HM de la fille]]</f>
        <v>2021-65-3</v>
      </c>
      <c r="I735" s="1"/>
      <c r="J735" s="79" t="s">
        <v>593</v>
      </c>
      <c r="K735" s="35" t="s">
        <v>698</v>
      </c>
      <c r="L735" s="35">
        <v>11</v>
      </c>
      <c r="M735" s="35">
        <v>3</v>
      </c>
      <c r="N735" s="35">
        <f t="shared" si="22"/>
        <v>7</v>
      </c>
      <c r="O735" s="35">
        <v>10.5</v>
      </c>
      <c r="P735" s="35">
        <v>13.5</v>
      </c>
      <c r="Q735" s="35">
        <f t="shared" si="23"/>
        <v>12</v>
      </c>
      <c r="R735" s="35"/>
      <c r="S735" s="35"/>
      <c r="T735" s="35"/>
      <c r="U735" s="82" t="e">
        <f>AVERAGE(Tableau1[[#This Row],[1ère composition]:[3è Composition]])</f>
        <v>#DIV/0!</v>
      </c>
    </row>
    <row r="736" spans="1:21" hidden="1" x14ac:dyDescent="0.2">
      <c r="A736" s="1" t="s">
        <v>3401</v>
      </c>
      <c r="B736" s="1" t="s">
        <v>3405</v>
      </c>
      <c r="C736" s="1" t="s">
        <v>3907</v>
      </c>
      <c r="D736" s="1">
        <v>95657551</v>
      </c>
      <c r="E736" s="1">
        <v>2021</v>
      </c>
      <c r="F736" s="1">
        <v>65</v>
      </c>
      <c r="G736" s="1">
        <v>4</v>
      </c>
      <c r="H736" s="79" t="str">
        <f>Tableau1[[#This Row],[Annee d''inscription au programme]]&amp;"-"&amp;Tableau1[[#This Row],[Code d''ecole]]&amp;"-"&amp;Tableau1[[#This Row],[Numero HM de la fille]]</f>
        <v>2021-65-4</v>
      </c>
      <c r="I736" s="1"/>
      <c r="J736" s="79" t="s">
        <v>593</v>
      </c>
      <c r="K736" s="35" t="s">
        <v>698</v>
      </c>
      <c r="L736" s="35">
        <v>0</v>
      </c>
      <c r="M736" s="35">
        <v>0</v>
      </c>
      <c r="N736" s="35">
        <f t="shared" si="22"/>
        <v>0</v>
      </c>
      <c r="O736" s="35">
        <v>2</v>
      </c>
      <c r="P736" s="35">
        <v>4</v>
      </c>
      <c r="Q736" s="35">
        <f t="shared" si="23"/>
        <v>3</v>
      </c>
      <c r="R736" s="35"/>
      <c r="S736" s="35"/>
      <c r="T736" s="35"/>
      <c r="U736" s="82" t="e">
        <f>AVERAGE(Tableau1[[#This Row],[1ère composition]:[3è Composition]])</f>
        <v>#DIV/0!</v>
      </c>
    </row>
    <row r="737" spans="1:21" hidden="1" x14ac:dyDescent="0.2">
      <c r="A737" s="1" t="s">
        <v>3401</v>
      </c>
      <c r="B737" s="1" t="s">
        <v>3406</v>
      </c>
      <c r="C737" s="1" t="s">
        <v>3907</v>
      </c>
      <c r="D737" s="1">
        <v>95456697</v>
      </c>
      <c r="E737" s="1">
        <v>2021</v>
      </c>
      <c r="F737" s="1">
        <v>65</v>
      </c>
      <c r="G737" s="1">
        <v>5</v>
      </c>
      <c r="H737" s="79" t="str">
        <f>Tableau1[[#This Row],[Annee d''inscription au programme]]&amp;"-"&amp;Tableau1[[#This Row],[Code d''ecole]]&amp;"-"&amp;Tableau1[[#This Row],[Numero HM de la fille]]</f>
        <v>2021-65-5</v>
      </c>
      <c r="I737" s="1"/>
      <c r="J737" s="79" t="s">
        <v>593</v>
      </c>
      <c r="K737" s="35" t="s">
        <v>698</v>
      </c>
      <c r="L737" s="35">
        <v>0</v>
      </c>
      <c r="M737" s="35">
        <v>0</v>
      </c>
      <c r="N737" s="35">
        <f t="shared" si="22"/>
        <v>0</v>
      </c>
      <c r="O737" s="35">
        <v>5</v>
      </c>
      <c r="P737" s="35">
        <v>6</v>
      </c>
      <c r="Q737" s="35">
        <f t="shared" si="23"/>
        <v>5.5</v>
      </c>
      <c r="R737" s="35"/>
      <c r="S737" s="35"/>
      <c r="T737" s="35"/>
      <c r="U737" s="82" t="e">
        <f>AVERAGE(Tableau1[[#This Row],[1ère composition]:[3è Composition]])</f>
        <v>#DIV/0!</v>
      </c>
    </row>
    <row r="738" spans="1:21" hidden="1" x14ac:dyDescent="0.2">
      <c r="A738" s="1" t="s">
        <v>3401</v>
      </c>
      <c r="B738" s="1" t="s">
        <v>3407</v>
      </c>
      <c r="C738" s="1" t="s">
        <v>3908</v>
      </c>
      <c r="D738" s="1">
        <v>94878992</v>
      </c>
      <c r="E738" s="1">
        <v>2021</v>
      </c>
      <c r="F738" s="1">
        <v>65</v>
      </c>
      <c r="G738" s="1">
        <v>6</v>
      </c>
      <c r="H738" s="79" t="str">
        <f>Tableau1[[#This Row],[Annee d''inscription au programme]]&amp;"-"&amp;Tableau1[[#This Row],[Code d''ecole]]&amp;"-"&amp;Tableau1[[#This Row],[Numero HM de la fille]]</f>
        <v>2021-65-6</v>
      </c>
      <c r="I738" s="1"/>
      <c r="J738" s="79" t="s">
        <v>593</v>
      </c>
      <c r="K738" s="35" t="s">
        <v>698</v>
      </c>
      <c r="L738" s="35">
        <v>5</v>
      </c>
      <c r="M738" s="35">
        <v>3</v>
      </c>
      <c r="N738" s="35">
        <f t="shared" si="22"/>
        <v>4</v>
      </c>
      <c r="O738" s="35">
        <v>5</v>
      </c>
      <c r="P738" s="35">
        <v>4.5</v>
      </c>
      <c r="Q738" s="35">
        <f t="shared" si="23"/>
        <v>4.75</v>
      </c>
      <c r="R738" s="35"/>
      <c r="S738" s="35"/>
      <c r="T738" s="35"/>
      <c r="U738" s="82" t="e">
        <f>AVERAGE(Tableau1[[#This Row],[1ère composition]:[3è Composition]])</f>
        <v>#DIV/0!</v>
      </c>
    </row>
    <row r="739" spans="1:21" hidden="1" x14ac:dyDescent="0.2">
      <c r="A739" s="1" t="s">
        <v>3401</v>
      </c>
      <c r="B739" s="1" t="s">
        <v>3408</v>
      </c>
      <c r="C739" s="1" t="s">
        <v>3908</v>
      </c>
      <c r="D739" s="1">
        <v>95966772</v>
      </c>
      <c r="E739" s="1">
        <v>2021</v>
      </c>
      <c r="F739" s="1">
        <v>65</v>
      </c>
      <c r="G739" s="1">
        <v>7</v>
      </c>
      <c r="H739" s="79" t="str">
        <f>Tableau1[[#This Row],[Annee d''inscription au programme]]&amp;"-"&amp;Tableau1[[#This Row],[Code d''ecole]]&amp;"-"&amp;Tableau1[[#This Row],[Numero HM de la fille]]</f>
        <v>2021-65-7</v>
      </c>
      <c r="I739" s="1"/>
      <c r="J739" s="79" t="s">
        <v>593</v>
      </c>
      <c r="K739" s="35" t="s">
        <v>698</v>
      </c>
      <c r="L739" s="35">
        <v>9.5</v>
      </c>
      <c r="M739" s="35">
        <v>1</v>
      </c>
      <c r="N739" s="35">
        <f t="shared" si="22"/>
        <v>5.25</v>
      </c>
      <c r="O739" s="35">
        <v>2.75</v>
      </c>
      <c r="P739" s="35">
        <v>5</v>
      </c>
      <c r="Q739" s="35">
        <f t="shared" si="23"/>
        <v>3.875</v>
      </c>
      <c r="R739" s="35"/>
      <c r="S739" s="35"/>
      <c r="T739" s="35"/>
      <c r="U739" s="82" t="e">
        <f>AVERAGE(Tableau1[[#This Row],[1ère composition]:[3è Composition]])</f>
        <v>#DIV/0!</v>
      </c>
    </row>
    <row r="740" spans="1:21" hidden="1" x14ac:dyDescent="0.2">
      <c r="A740" s="1" t="s">
        <v>3401</v>
      </c>
      <c r="B740" s="1" t="s">
        <v>3409</v>
      </c>
      <c r="C740" s="1" t="s">
        <v>3907</v>
      </c>
      <c r="D740" s="1">
        <v>94351114</v>
      </c>
      <c r="E740" s="1">
        <v>2021</v>
      </c>
      <c r="F740" s="1">
        <v>65</v>
      </c>
      <c r="G740" s="1">
        <v>8</v>
      </c>
      <c r="H740" s="79" t="str">
        <f>Tableau1[[#This Row],[Annee d''inscription au programme]]&amp;"-"&amp;Tableau1[[#This Row],[Code d''ecole]]&amp;"-"&amp;Tableau1[[#This Row],[Numero HM de la fille]]</f>
        <v>2021-65-8</v>
      </c>
      <c r="I740" s="1"/>
      <c r="J740" s="79" t="s">
        <v>593</v>
      </c>
      <c r="K740" s="35" t="s">
        <v>698</v>
      </c>
      <c r="L740" s="35">
        <v>7</v>
      </c>
      <c r="M740" s="35">
        <v>1</v>
      </c>
      <c r="N740" s="35">
        <f t="shared" si="22"/>
        <v>4</v>
      </c>
      <c r="O740" s="35">
        <v>8.5</v>
      </c>
      <c r="P740" s="35">
        <v>7.5</v>
      </c>
      <c r="Q740" s="35">
        <f t="shared" si="23"/>
        <v>8</v>
      </c>
      <c r="R740" s="35"/>
      <c r="S740" s="35"/>
      <c r="T740" s="35"/>
      <c r="U740" s="82" t="e">
        <f>AVERAGE(Tableau1[[#This Row],[1ère composition]:[3è Composition]])</f>
        <v>#DIV/0!</v>
      </c>
    </row>
    <row r="741" spans="1:21" hidden="1" x14ac:dyDescent="0.2">
      <c r="A741" s="1" t="s">
        <v>3401</v>
      </c>
      <c r="B741" s="1" t="s">
        <v>3410</v>
      </c>
      <c r="C741" s="1" t="s">
        <v>3907</v>
      </c>
      <c r="D741" s="1">
        <v>74805135</v>
      </c>
      <c r="E741" s="1">
        <v>2021</v>
      </c>
      <c r="F741" s="1">
        <v>65</v>
      </c>
      <c r="G741" s="1">
        <v>9</v>
      </c>
      <c r="H741" s="79" t="str">
        <f>Tableau1[[#This Row],[Annee d''inscription au programme]]&amp;"-"&amp;Tableau1[[#This Row],[Code d''ecole]]&amp;"-"&amp;Tableau1[[#This Row],[Numero HM de la fille]]</f>
        <v>2021-65-9</v>
      </c>
      <c r="I741" s="1"/>
      <c r="J741" s="79" t="s">
        <v>593</v>
      </c>
      <c r="K741" s="35" t="s">
        <v>698</v>
      </c>
      <c r="L741" s="35">
        <v>14</v>
      </c>
      <c r="M741" s="35">
        <v>12</v>
      </c>
      <c r="N741" s="35">
        <f t="shared" si="22"/>
        <v>13</v>
      </c>
      <c r="O741" s="35">
        <v>20</v>
      </c>
      <c r="P741" s="35">
        <v>18</v>
      </c>
      <c r="Q741" s="35">
        <f t="shared" si="23"/>
        <v>19</v>
      </c>
      <c r="R741" s="35"/>
      <c r="S741" s="35"/>
      <c r="T741" s="35"/>
      <c r="U741" s="82" t="e">
        <f>AVERAGE(Tableau1[[#This Row],[1ère composition]:[3è Composition]])</f>
        <v>#DIV/0!</v>
      </c>
    </row>
    <row r="742" spans="1:21" hidden="1" x14ac:dyDescent="0.2">
      <c r="A742" s="1" t="s">
        <v>3401</v>
      </c>
      <c r="B742" s="1" t="s">
        <v>3411</v>
      </c>
      <c r="C742" s="1" t="s">
        <v>3907</v>
      </c>
      <c r="D742" s="1">
        <v>94763909</v>
      </c>
      <c r="E742" s="1">
        <v>2021</v>
      </c>
      <c r="F742" s="1">
        <v>65</v>
      </c>
      <c r="G742" s="1">
        <v>10</v>
      </c>
      <c r="H742" s="79" t="str">
        <f>Tableau1[[#This Row],[Annee d''inscription au programme]]&amp;"-"&amp;Tableau1[[#This Row],[Code d''ecole]]&amp;"-"&amp;Tableau1[[#This Row],[Numero HM de la fille]]</f>
        <v>2021-65-10</v>
      </c>
      <c r="I742" s="1"/>
      <c r="J742" s="79" t="s">
        <v>593</v>
      </c>
      <c r="K742" s="35" t="s">
        <v>698</v>
      </c>
      <c r="L742" s="35">
        <v>6</v>
      </c>
      <c r="M742" s="35">
        <v>2</v>
      </c>
      <c r="N742" s="35">
        <f t="shared" si="22"/>
        <v>4</v>
      </c>
      <c r="O742" s="35">
        <v>6</v>
      </c>
      <c r="P742" s="35">
        <v>5</v>
      </c>
      <c r="Q742" s="35">
        <f t="shared" si="23"/>
        <v>5.5</v>
      </c>
      <c r="R742" s="35"/>
      <c r="S742" s="35"/>
      <c r="T742" s="35"/>
      <c r="U742" s="82" t="e">
        <f>AVERAGE(Tableau1[[#This Row],[1ère composition]:[3è Composition]])</f>
        <v>#DIV/0!</v>
      </c>
    </row>
    <row r="743" spans="1:21" hidden="1" x14ac:dyDescent="0.2">
      <c r="A743" s="1" t="s">
        <v>3401</v>
      </c>
      <c r="B743" s="1" t="s">
        <v>3412</v>
      </c>
      <c r="C743" s="1" t="s">
        <v>3908</v>
      </c>
      <c r="D743" s="1">
        <v>94878992</v>
      </c>
      <c r="E743" s="1">
        <v>2021</v>
      </c>
      <c r="F743" s="1">
        <v>65</v>
      </c>
      <c r="G743" s="1">
        <v>11</v>
      </c>
      <c r="H743" s="79" t="str">
        <f>Tableau1[[#This Row],[Annee d''inscription au programme]]&amp;"-"&amp;Tableau1[[#This Row],[Code d''ecole]]&amp;"-"&amp;Tableau1[[#This Row],[Numero HM de la fille]]</f>
        <v>2021-65-11</v>
      </c>
      <c r="I743" s="1"/>
      <c r="J743" s="79" t="s">
        <v>593</v>
      </c>
      <c r="K743" s="35" t="s">
        <v>698</v>
      </c>
      <c r="L743" s="35">
        <v>2</v>
      </c>
      <c r="M743" s="35">
        <v>1</v>
      </c>
      <c r="N743" s="35">
        <f t="shared" si="22"/>
        <v>1.5</v>
      </c>
      <c r="O743" s="35">
        <v>4</v>
      </c>
      <c r="P743" s="35">
        <v>2</v>
      </c>
      <c r="Q743" s="35">
        <f t="shared" si="23"/>
        <v>3</v>
      </c>
      <c r="R743" s="35"/>
      <c r="S743" s="35"/>
      <c r="T743" s="35"/>
      <c r="U743" s="82" t="e">
        <f>AVERAGE(Tableau1[[#This Row],[1ère composition]:[3è Composition]])</f>
        <v>#DIV/0!</v>
      </c>
    </row>
    <row r="744" spans="1:21" hidden="1" x14ac:dyDescent="0.2">
      <c r="A744" s="1" t="s">
        <v>3401</v>
      </c>
      <c r="B744" s="1" t="s">
        <v>2286</v>
      </c>
      <c r="C744" s="1" t="s">
        <v>3907</v>
      </c>
      <c r="D744" s="1">
        <v>88207898</v>
      </c>
      <c r="E744" s="1">
        <v>2021</v>
      </c>
      <c r="F744" s="1">
        <v>65</v>
      </c>
      <c r="G744" s="1">
        <v>12</v>
      </c>
      <c r="H744" s="79" t="str">
        <f>Tableau1[[#This Row],[Annee d''inscription au programme]]&amp;"-"&amp;Tableau1[[#This Row],[Code d''ecole]]&amp;"-"&amp;Tableau1[[#This Row],[Numero HM de la fille]]</f>
        <v>2021-65-12</v>
      </c>
      <c r="I744" s="1"/>
      <c r="J744" s="79" t="s">
        <v>593</v>
      </c>
      <c r="K744" s="35" t="s">
        <v>698</v>
      </c>
      <c r="L744" s="35">
        <v>2</v>
      </c>
      <c r="M744" s="35">
        <v>1</v>
      </c>
      <c r="N744" s="35">
        <f t="shared" si="22"/>
        <v>1.5</v>
      </c>
      <c r="O744" s="35">
        <v>0.5</v>
      </c>
      <c r="P744" s="35">
        <v>5.5</v>
      </c>
      <c r="Q744" s="35">
        <f t="shared" si="23"/>
        <v>3</v>
      </c>
      <c r="R744" s="35"/>
      <c r="S744" s="35"/>
      <c r="T744" s="35"/>
      <c r="U744" s="82" t="e">
        <f>AVERAGE(Tableau1[[#This Row],[1ère composition]:[3è Composition]])</f>
        <v>#DIV/0!</v>
      </c>
    </row>
    <row r="745" spans="1:21" hidden="1" x14ac:dyDescent="0.2">
      <c r="A745" s="1" t="s">
        <v>3401</v>
      </c>
      <c r="B745" s="1" t="s">
        <v>3413</v>
      </c>
      <c r="C745" s="1" t="s">
        <v>3908</v>
      </c>
      <c r="D745" s="1">
        <v>84207898</v>
      </c>
      <c r="E745" s="1">
        <v>2021</v>
      </c>
      <c r="F745" s="1">
        <v>65</v>
      </c>
      <c r="G745" s="1">
        <v>13</v>
      </c>
      <c r="H745" s="79" t="str">
        <f>Tableau1[[#This Row],[Annee d''inscription au programme]]&amp;"-"&amp;Tableau1[[#This Row],[Code d''ecole]]&amp;"-"&amp;Tableau1[[#This Row],[Numero HM de la fille]]</f>
        <v>2021-65-13</v>
      </c>
      <c r="I745" s="1"/>
      <c r="J745" s="79" t="s">
        <v>593</v>
      </c>
      <c r="K745" s="35" t="s">
        <v>698</v>
      </c>
      <c r="L745" s="35">
        <v>7</v>
      </c>
      <c r="M745" s="35">
        <v>3</v>
      </c>
      <c r="N745" s="35">
        <f t="shared" si="22"/>
        <v>5</v>
      </c>
      <c r="O745" s="35">
        <v>5</v>
      </c>
      <c r="P745" s="35">
        <v>7.5</v>
      </c>
      <c r="Q745" s="35">
        <f t="shared" si="23"/>
        <v>6.25</v>
      </c>
      <c r="R745" s="35"/>
      <c r="S745" s="35"/>
      <c r="T745" s="35"/>
      <c r="U745" s="82" t="e">
        <f>AVERAGE(Tableau1[[#This Row],[1ère composition]:[3è Composition]])</f>
        <v>#DIV/0!</v>
      </c>
    </row>
    <row r="746" spans="1:21" hidden="1" x14ac:dyDescent="0.2">
      <c r="A746" s="1" t="s">
        <v>3401</v>
      </c>
      <c r="B746" s="1" t="s">
        <v>3414</v>
      </c>
      <c r="C746" s="1" t="s">
        <v>3907</v>
      </c>
      <c r="D746" s="1">
        <v>94077371</v>
      </c>
      <c r="E746" s="1">
        <v>2021</v>
      </c>
      <c r="F746" s="1">
        <v>65</v>
      </c>
      <c r="G746" s="1">
        <v>14</v>
      </c>
      <c r="H746" s="79" t="str">
        <f>Tableau1[[#This Row],[Annee d''inscription au programme]]&amp;"-"&amp;Tableau1[[#This Row],[Code d''ecole]]&amp;"-"&amp;Tableau1[[#This Row],[Numero HM de la fille]]</f>
        <v>2021-65-14</v>
      </c>
      <c r="I746" s="1"/>
      <c r="J746" s="79" t="s">
        <v>593</v>
      </c>
      <c r="K746" s="35" t="s">
        <v>698</v>
      </c>
      <c r="L746" s="35">
        <v>14.5</v>
      </c>
      <c r="M746" s="35">
        <v>9</v>
      </c>
      <c r="N746" s="35">
        <f t="shared" si="22"/>
        <v>11.75</v>
      </c>
      <c r="O746" s="35">
        <v>14.75</v>
      </c>
      <c r="P746" s="35">
        <v>10.5</v>
      </c>
      <c r="Q746" s="35">
        <f t="shared" si="23"/>
        <v>12.625</v>
      </c>
      <c r="R746" s="35"/>
      <c r="S746" s="35"/>
      <c r="T746" s="35"/>
      <c r="U746" s="82" t="e">
        <f>AVERAGE(Tableau1[[#This Row],[1ère composition]:[3è Composition]])</f>
        <v>#DIV/0!</v>
      </c>
    </row>
    <row r="747" spans="1:21" hidden="1" x14ac:dyDescent="0.2">
      <c r="A747" s="1" t="s">
        <v>3401</v>
      </c>
      <c r="B747" s="1" t="s">
        <v>3415</v>
      </c>
      <c r="C747" s="1" t="s">
        <v>3908</v>
      </c>
      <c r="D747" s="1">
        <v>94764088</v>
      </c>
      <c r="E747" s="1">
        <v>2021</v>
      </c>
      <c r="F747" s="1">
        <v>65</v>
      </c>
      <c r="G747" s="1">
        <v>15</v>
      </c>
      <c r="H747" s="79" t="str">
        <f>Tableau1[[#This Row],[Annee d''inscription au programme]]&amp;"-"&amp;Tableau1[[#This Row],[Code d''ecole]]&amp;"-"&amp;Tableau1[[#This Row],[Numero HM de la fille]]</f>
        <v>2021-65-15</v>
      </c>
      <c r="I747" s="1"/>
      <c r="J747" s="79" t="s">
        <v>593</v>
      </c>
      <c r="K747" s="35" t="s">
        <v>698</v>
      </c>
      <c r="L747" s="35">
        <v>12.5</v>
      </c>
      <c r="M747" s="35">
        <v>8</v>
      </c>
      <c r="N747" s="35">
        <f t="shared" si="22"/>
        <v>10.25</v>
      </c>
      <c r="O747" s="35">
        <v>0</v>
      </c>
      <c r="P747" s="35"/>
      <c r="Q747" s="35">
        <f t="shared" si="23"/>
        <v>0</v>
      </c>
      <c r="R747" s="35"/>
      <c r="S747" s="35"/>
      <c r="T747" s="35"/>
      <c r="U747" s="82" t="e">
        <f>AVERAGE(Tableau1[[#This Row],[1ère composition]:[3è Composition]])</f>
        <v>#DIV/0!</v>
      </c>
    </row>
    <row r="748" spans="1:21" hidden="1" x14ac:dyDescent="0.2">
      <c r="A748" s="1" t="s">
        <v>3401</v>
      </c>
      <c r="B748" s="1" t="s">
        <v>3416</v>
      </c>
      <c r="C748" s="1" t="s">
        <v>3907</v>
      </c>
      <c r="D748" s="1">
        <v>84207898</v>
      </c>
      <c r="E748" s="1">
        <v>2021</v>
      </c>
      <c r="F748" s="1">
        <v>65</v>
      </c>
      <c r="G748" s="1">
        <v>16</v>
      </c>
      <c r="H748" s="79" t="str">
        <f>Tableau1[[#This Row],[Annee d''inscription au programme]]&amp;"-"&amp;Tableau1[[#This Row],[Code d''ecole]]&amp;"-"&amp;Tableau1[[#This Row],[Numero HM de la fille]]</f>
        <v>2021-65-16</v>
      </c>
      <c r="I748" s="1"/>
      <c r="J748" s="79" t="s">
        <v>593</v>
      </c>
      <c r="K748" s="35" t="s">
        <v>698</v>
      </c>
      <c r="L748" s="35">
        <v>5.5</v>
      </c>
      <c r="M748" s="35">
        <v>2</v>
      </c>
      <c r="N748" s="35">
        <f t="shared" si="22"/>
        <v>3.75</v>
      </c>
      <c r="O748" s="35">
        <v>9.5</v>
      </c>
      <c r="P748" s="35">
        <v>6.5</v>
      </c>
      <c r="Q748" s="35">
        <f t="shared" si="23"/>
        <v>8</v>
      </c>
      <c r="R748" s="35"/>
      <c r="S748" s="35"/>
      <c r="T748" s="35"/>
      <c r="U748" s="82" t="e">
        <f>AVERAGE(Tableau1[[#This Row],[1ère composition]:[3è Composition]])</f>
        <v>#DIV/0!</v>
      </c>
    </row>
    <row r="749" spans="1:21" hidden="1" x14ac:dyDescent="0.2">
      <c r="A749" s="1" t="s">
        <v>3401</v>
      </c>
      <c r="B749" s="1" t="s">
        <v>3417</v>
      </c>
      <c r="C749" s="1" t="s">
        <v>3908</v>
      </c>
      <c r="D749" s="1">
        <v>84207898</v>
      </c>
      <c r="E749" s="1">
        <v>2021</v>
      </c>
      <c r="F749" s="1">
        <v>65</v>
      </c>
      <c r="G749" s="1">
        <v>17</v>
      </c>
      <c r="H749" s="79" t="str">
        <f>Tableau1[[#This Row],[Annee d''inscription au programme]]&amp;"-"&amp;Tableau1[[#This Row],[Code d''ecole]]&amp;"-"&amp;Tableau1[[#This Row],[Numero HM de la fille]]</f>
        <v>2021-65-17</v>
      </c>
      <c r="I749" s="1"/>
      <c r="J749" s="79" t="s">
        <v>593</v>
      </c>
      <c r="K749" s="35" t="s">
        <v>698</v>
      </c>
      <c r="L749" s="35">
        <v>3</v>
      </c>
      <c r="M749" s="35">
        <v>3</v>
      </c>
      <c r="N749" s="35">
        <f t="shared" si="22"/>
        <v>3</v>
      </c>
      <c r="O749" s="35">
        <v>1.25</v>
      </c>
      <c r="P749" s="35">
        <v>8.5</v>
      </c>
      <c r="Q749" s="35">
        <f t="shared" si="23"/>
        <v>4.875</v>
      </c>
      <c r="R749" s="35"/>
      <c r="S749" s="35"/>
      <c r="T749" s="35"/>
      <c r="U749" s="82" t="e">
        <f>AVERAGE(Tableau1[[#This Row],[1ère composition]:[3è Composition]])</f>
        <v>#DIV/0!</v>
      </c>
    </row>
    <row r="750" spans="1:21" hidden="1" x14ac:dyDescent="0.2">
      <c r="A750" s="1" t="s">
        <v>3401</v>
      </c>
      <c r="B750" s="1" t="s">
        <v>3418</v>
      </c>
      <c r="C750" s="1" t="s">
        <v>3908</v>
      </c>
      <c r="D750" s="1">
        <v>95966772</v>
      </c>
      <c r="E750" s="1">
        <v>2021</v>
      </c>
      <c r="F750" s="1">
        <v>65</v>
      </c>
      <c r="G750" s="1">
        <v>18</v>
      </c>
      <c r="H750" s="79" t="str">
        <f>Tableau1[[#This Row],[Annee d''inscription au programme]]&amp;"-"&amp;Tableau1[[#This Row],[Code d''ecole]]&amp;"-"&amp;Tableau1[[#This Row],[Numero HM de la fille]]</f>
        <v>2021-65-18</v>
      </c>
      <c r="I750" s="1"/>
      <c r="J750" s="79" t="s">
        <v>593</v>
      </c>
      <c r="K750" s="35" t="s">
        <v>698</v>
      </c>
      <c r="L750" s="35">
        <v>7</v>
      </c>
      <c r="M750" s="35">
        <v>1</v>
      </c>
      <c r="N750" s="35">
        <f t="shared" si="22"/>
        <v>4</v>
      </c>
      <c r="O750" s="35">
        <v>8</v>
      </c>
      <c r="P750" s="35">
        <v>4.5</v>
      </c>
      <c r="Q750" s="35">
        <f t="shared" si="23"/>
        <v>6.25</v>
      </c>
      <c r="R750" s="35"/>
      <c r="S750" s="35"/>
      <c r="T750" s="35"/>
      <c r="U750" s="82" t="e">
        <f>AVERAGE(Tableau1[[#This Row],[1ère composition]:[3è Composition]])</f>
        <v>#DIV/0!</v>
      </c>
    </row>
    <row r="751" spans="1:21" hidden="1" x14ac:dyDescent="0.2">
      <c r="A751" s="1" t="s">
        <v>3401</v>
      </c>
      <c r="B751" s="1" t="s">
        <v>3419</v>
      </c>
      <c r="C751" s="1" t="s">
        <v>3907</v>
      </c>
      <c r="D751" s="1">
        <v>95966772</v>
      </c>
      <c r="E751" s="1">
        <v>2021</v>
      </c>
      <c r="F751" s="1">
        <v>65</v>
      </c>
      <c r="G751" s="1">
        <v>19</v>
      </c>
      <c r="H751" s="79" t="str">
        <f>Tableau1[[#This Row],[Annee d''inscription au programme]]&amp;"-"&amp;Tableau1[[#This Row],[Code d''ecole]]&amp;"-"&amp;Tableau1[[#This Row],[Numero HM de la fille]]</f>
        <v>2021-65-19</v>
      </c>
      <c r="I751" s="1"/>
      <c r="J751" s="79" t="s">
        <v>593</v>
      </c>
      <c r="K751" s="35" t="s">
        <v>698</v>
      </c>
      <c r="L751" s="35">
        <v>4</v>
      </c>
      <c r="M751" s="35">
        <v>1</v>
      </c>
      <c r="N751" s="35">
        <f t="shared" si="22"/>
        <v>2.5</v>
      </c>
      <c r="O751" s="35">
        <v>8</v>
      </c>
      <c r="P751" s="35">
        <v>4.5</v>
      </c>
      <c r="Q751" s="35">
        <f t="shared" si="23"/>
        <v>6.25</v>
      </c>
      <c r="R751" s="35"/>
      <c r="S751" s="35"/>
      <c r="T751" s="35"/>
      <c r="U751" s="82" t="e">
        <f>AVERAGE(Tableau1[[#This Row],[1ère composition]:[3è Composition]])</f>
        <v>#DIV/0!</v>
      </c>
    </row>
    <row r="752" spans="1:21" hidden="1" x14ac:dyDescent="0.2">
      <c r="A752" s="1" t="s">
        <v>3401</v>
      </c>
      <c r="B752" s="1" t="s">
        <v>3420</v>
      </c>
      <c r="C752" s="1" t="s">
        <v>3908</v>
      </c>
      <c r="D752" s="1">
        <v>94977864</v>
      </c>
      <c r="E752" s="1">
        <v>2021</v>
      </c>
      <c r="F752" s="1">
        <v>65</v>
      </c>
      <c r="G752" s="1">
        <v>20</v>
      </c>
      <c r="H752" s="79" t="str">
        <f>Tableau1[[#This Row],[Annee d''inscription au programme]]&amp;"-"&amp;Tableau1[[#This Row],[Code d''ecole]]&amp;"-"&amp;Tableau1[[#This Row],[Numero HM de la fille]]</f>
        <v>2021-65-20</v>
      </c>
      <c r="I752" s="1"/>
      <c r="J752" s="79" t="s">
        <v>593</v>
      </c>
      <c r="K752" s="35" t="s">
        <v>698</v>
      </c>
      <c r="L752" s="35">
        <v>3</v>
      </c>
      <c r="M752" s="35">
        <v>2</v>
      </c>
      <c r="N752" s="35">
        <f t="shared" si="22"/>
        <v>2.5</v>
      </c>
      <c r="O752" s="35">
        <v>7</v>
      </c>
      <c r="P752" s="35">
        <v>6</v>
      </c>
      <c r="Q752" s="35">
        <f t="shared" si="23"/>
        <v>6.5</v>
      </c>
      <c r="R752" s="35"/>
      <c r="S752" s="35"/>
      <c r="T752" s="35"/>
      <c r="U752" s="82" t="e">
        <f>AVERAGE(Tableau1[[#This Row],[1ère composition]:[3è Composition]])</f>
        <v>#DIV/0!</v>
      </c>
    </row>
    <row r="753" spans="1:21" hidden="1" x14ac:dyDescent="0.2">
      <c r="A753" s="1" t="s">
        <v>3401</v>
      </c>
      <c r="B753" s="1" t="s">
        <v>3421</v>
      </c>
      <c r="C753" s="1" t="s">
        <v>3907</v>
      </c>
      <c r="D753" s="1">
        <v>94028526</v>
      </c>
      <c r="E753" s="1">
        <v>2021</v>
      </c>
      <c r="F753" s="1">
        <v>65</v>
      </c>
      <c r="G753" s="1">
        <v>21</v>
      </c>
      <c r="H753" s="79" t="str">
        <f>Tableau1[[#This Row],[Annee d''inscription au programme]]&amp;"-"&amp;Tableau1[[#This Row],[Code d''ecole]]&amp;"-"&amp;Tableau1[[#This Row],[Numero HM de la fille]]</f>
        <v>2021-65-21</v>
      </c>
      <c r="I753" s="1"/>
      <c r="J753" s="79" t="s">
        <v>593</v>
      </c>
      <c r="K753" s="35" t="s">
        <v>698</v>
      </c>
      <c r="L753" s="35">
        <v>5.5</v>
      </c>
      <c r="M753" s="35">
        <v>8</v>
      </c>
      <c r="N753" s="35">
        <f t="shared" si="22"/>
        <v>6.75</v>
      </c>
      <c r="O753" s="35">
        <v>16.5</v>
      </c>
      <c r="P753" s="35">
        <v>11</v>
      </c>
      <c r="Q753" s="35">
        <f t="shared" si="23"/>
        <v>13.75</v>
      </c>
      <c r="R753" s="35"/>
      <c r="S753" s="35"/>
      <c r="T753" s="35"/>
      <c r="U753" s="82" t="e">
        <f>AVERAGE(Tableau1[[#This Row],[1ère composition]:[3è Composition]])</f>
        <v>#DIV/0!</v>
      </c>
    </row>
    <row r="754" spans="1:21" hidden="1" x14ac:dyDescent="0.2">
      <c r="A754" s="1" t="s">
        <v>3401</v>
      </c>
      <c r="B754" s="1" t="s">
        <v>3422</v>
      </c>
      <c r="C754" s="1" t="s">
        <v>3907</v>
      </c>
      <c r="D754" s="1">
        <v>94443447</v>
      </c>
      <c r="E754" s="1">
        <v>2021</v>
      </c>
      <c r="F754" s="1">
        <v>65</v>
      </c>
      <c r="G754" s="1">
        <v>22</v>
      </c>
      <c r="H754" s="79" t="str">
        <f>Tableau1[[#This Row],[Annee d''inscription au programme]]&amp;"-"&amp;Tableau1[[#This Row],[Code d''ecole]]&amp;"-"&amp;Tableau1[[#This Row],[Numero HM de la fille]]</f>
        <v>2021-65-22</v>
      </c>
      <c r="I754" s="1"/>
      <c r="J754" s="79" t="s">
        <v>593</v>
      </c>
      <c r="K754" s="35" t="s">
        <v>698</v>
      </c>
      <c r="L754" s="35">
        <v>5</v>
      </c>
      <c r="M754" s="35">
        <v>2</v>
      </c>
      <c r="N754" s="35">
        <f t="shared" si="22"/>
        <v>3.5</v>
      </c>
      <c r="O754" s="35">
        <v>8</v>
      </c>
      <c r="P754" s="35">
        <v>6.5</v>
      </c>
      <c r="Q754" s="35">
        <f t="shared" si="23"/>
        <v>7.25</v>
      </c>
      <c r="R754" s="35"/>
      <c r="S754" s="35"/>
      <c r="T754" s="35"/>
      <c r="U754" s="82" t="e">
        <f>AVERAGE(Tableau1[[#This Row],[1ère composition]:[3è Composition]])</f>
        <v>#DIV/0!</v>
      </c>
    </row>
    <row r="755" spans="1:21" hidden="1" x14ac:dyDescent="0.2">
      <c r="A755" s="1" t="s">
        <v>3401</v>
      </c>
      <c r="B755" s="1" t="s">
        <v>3423</v>
      </c>
      <c r="C755" s="1" t="s">
        <v>3907</v>
      </c>
      <c r="D755" s="1">
        <v>94763909</v>
      </c>
      <c r="E755" s="1">
        <v>2021</v>
      </c>
      <c r="F755" s="1">
        <v>65</v>
      </c>
      <c r="G755" s="1">
        <v>23</v>
      </c>
      <c r="H755" s="79" t="str">
        <f>Tableau1[[#This Row],[Annee d''inscription au programme]]&amp;"-"&amp;Tableau1[[#This Row],[Code d''ecole]]&amp;"-"&amp;Tableau1[[#This Row],[Numero HM de la fille]]</f>
        <v>2021-65-23</v>
      </c>
      <c r="I755" s="1"/>
      <c r="J755" s="79" t="s">
        <v>593</v>
      </c>
      <c r="K755" s="35" t="s">
        <v>698</v>
      </c>
      <c r="L755" s="35">
        <v>7</v>
      </c>
      <c r="M755" s="35">
        <v>8</v>
      </c>
      <c r="N755" s="35">
        <f t="shared" si="22"/>
        <v>7.5</v>
      </c>
      <c r="O755" s="35">
        <v>14</v>
      </c>
      <c r="P755" s="35">
        <v>7.5</v>
      </c>
      <c r="Q755" s="35">
        <f t="shared" si="23"/>
        <v>10.75</v>
      </c>
      <c r="R755" s="35"/>
      <c r="S755" s="35"/>
      <c r="T755" s="35"/>
      <c r="U755" s="82" t="e">
        <f>AVERAGE(Tableau1[[#This Row],[1ère composition]:[3è Composition]])</f>
        <v>#DIV/0!</v>
      </c>
    </row>
    <row r="756" spans="1:21" hidden="1" x14ac:dyDescent="0.2">
      <c r="A756" s="1" t="s">
        <v>3401</v>
      </c>
      <c r="B756" s="1" t="s">
        <v>3424</v>
      </c>
      <c r="C756" s="1" t="s">
        <v>3907</v>
      </c>
      <c r="D756" s="1">
        <v>94764055</v>
      </c>
      <c r="E756" s="1">
        <v>2021</v>
      </c>
      <c r="F756" s="1">
        <v>65</v>
      </c>
      <c r="G756" s="1">
        <v>24</v>
      </c>
      <c r="H756" s="79" t="str">
        <f>Tableau1[[#This Row],[Annee d''inscription au programme]]&amp;"-"&amp;Tableau1[[#This Row],[Code d''ecole]]&amp;"-"&amp;Tableau1[[#This Row],[Numero HM de la fille]]</f>
        <v>2021-65-24</v>
      </c>
      <c r="I756" s="1"/>
      <c r="J756" s="79" t="s">
        <v>593</v>
      </c>
      <c r="K756" s="35" t="s">
        <v>698</v>
      </c>
      <c r="L756" s="35">
        <v>6</v>
      </c>
      <c r="M756" s="35">
        <v>5</v>
      </c>
      <c r="N756" s="35">
        <f t="shared" si="22"/>
        <v>5.5</v>
      </c>
      <c r="O756" s="35">
        <v>14.25</v>
      </c>
      <c r="P756" s="35">
        <v>10.5</v>
      </c>
      <c r="Q756" s="35">
        <f t="shared" si="23"/>
        <v>12.375</v>
      </c>
      <c r="R756" s="35"/>
      <c r="S756" s="35"/>
      <c r="T756" s="35"/>
      <c r="U756" s="82" t="e">
        <f>AVERAGE(Tableau1[[#This Row],[1ère composition]:[3è Composition]])</f>
        <v>#DIV/0!</v>
      </c>
    </row>
    <row r="757" spans="1:21" hidden="1" x14ac:dyDescent="0.2">
      <c r="A757" s="1" t="s">
        <v>3401</v>
      </c>
      <c r="B757" s="1" t="s">
        <v>3425</v>
      </c>
      <c r="C757" s="1" t="s">
        <v>3907</v>
      </c>
      <c r="D757" s="1">
        <v>97956914</v>
      </c>
      <c r="E757" s="1">
        <v>2021</v>
      </c>
      <c r="F757" s="1">
        <v>65</v>
      </c>
      <c r="G757" s="1">
        <v>25</v>
      </c>
      <c r="H757" s="79" t="str">
        <f>Tableau1[[#This Row],[Annee d''inscription au programme]]&amp;"-"&amp;Tableau1[[#This Row],[Code d''ecole]]&amp;"-"&amp;Tableau1[[#This Row],[Numero HM de la fille]]</f>
        <v>2021-65-25</v>
      </c>
      <c r="I757" s="1"/>
      <c r="J757" s="79" t="s">
        <v>593</v>
      </c>
      <c r="K757" s="35" t="s">
        <v>698</v>
      </c>
      <c r="L757" s="35">
        <v>5</v>
      </c>
      <c r="M757" s="35">
        <v>3</v>
      </c>
      <c r="N757" s="35">
        <f t="shared" si="22"/>
        <v>4</v>
      </c>
      <c r="O757" s="35">
        <v>10.5</v>
      </c>
      <c r="P757" s="35">
        <v>5</v>
      </c>
      <c r="Q757" s="35">
        <f t="shared" si="23"/>
        <v>7.75</v>
      </c>
      <c r="R757" s="35"/>
      <c r="S757" s="35"/>
      <c r="T757" s="35"/>
      <c r="U757" s="82" t="e">
        <f>AVERAGE(Tableau1[[#This Row],[1ère composition]:[3è Composition]])</f>
        <v>#DIV/0!</v>
      </c>
    </row>
    <row r="758" spans="1:21" hidden="1" x14ac:dyDescent="0.2">
      <c r="A758" s="1" t="s">
        <v>3401</v>
      </c>
      <c r="B758" s="1" t="s">
        <v>3426</v>
      </c>
      <c r="C758" s="1" t="s">
        <v>3908</v>
      </c>
      <c r="D758" s="1">
        <v>94977864</v>
      </c>
      <c r="E758" s="1">
        <v>2021</v>
      </c>
      <c r="F758" s="1">
        <v>65</v>
      </c>
      <c r="G758" s="1">
        <v>26</v>
      </c>
      <c r="H758" s="79" t="str">
        <f>Tableau1[[#This Row],[Annee d''inscription au programme]]&amp;"-"&amp;Tableau1[[#This Row],[Code d''ecole]]&amp;"-"&amp;Tableau1[[#This Row],[Numero HM de la fille]]</f>
        <v>2021-65-26</v>
      </c>
      <c r="I758" s="1"/>
      <c r="J758" s="79" t="s">
        <v>593</v>
      </c>
      <c r="K758" s="35" t="s">
        <v>698</v>
      </c>
      <c r="L758" s="35">
        <v>5</v>
      </c>
      <c r="M758" s="35">
        <v>3</v>
      </c>
      <c r="N758" s="35">
        <f t="shared" si="22"/>
        <v>4</v>
      </c>
      <c r="O758" s="35">
        <v>5.25</v>
      </c>
      <c r="P758" s="35">
        <v>6</v>
      </c>
      <c r="Q758" s="35">
        <f t="shared" si="23"/>
        <v>5.625</v>
      </c>
      <c r="R758" s="35"/>
      <c r="S758" s="35"/>
      <c r="T758" s="35"/>
      <c r="U758" s="82" t="e">
        <f>AVERAGE(Tableau1[[#This Row],[1ère composition]:[3è Composition]])</f>
        <v>#DIV/0!</v>
      </c>
    </row>
    <row r="759" spans="1:21" hidden="1" x14ac:dyDescent="0.2">
      <c r="A759" s="1" t="s">
        <v>3401</v>
      </c>
      <c r="B759" s="1" t="s">
        <v>3427</v>
      </c>
      <c r="C759" s="1" t="s">
        <v>3907</v>
      </c>
      <c r="D759" s="1">
        <v>94764461</v>
      </c>
      <c r="E759" s="1">
        <v>2021</v>
      </c>
      <c r="F759" s="1">
        <v>65</v>
      </c>
      <c r="G759" s="1">
        <v>27</v>
      </c>
      <c r="H759" s="79" t="str">
        <f>Tableau1[[#This Row],[Annee d''inscription au programme]]&amp;"-"&amp;Tableau1[[#This Row],[Code d''ecole]]&amp;"-"&amp;Tableau1[[#This Row],[Numero HM de la fille]]</f>
        <v>2021-65-27</v>
      </c>
      <c r="I759" s="1"/>
      <c r="J759" s="79" t="s">
        <v>593</v>
      </c>
      <c r="K759" s="35" t="s">
        <v>698</v>
      </c>
      <c r="L759" s="35">
        <v>0</v>
      </c>
      <c r="M759" s="35">
        <v>0</v>
      </c>
      <c r="N759" s="35">
        <f t="shared" si="22"/>
        <v>0</v>
      </c>
      <c r="O759" s="35">
        <v>9.5</v>
      </c>
      <c r="P759" s="35">
        <v>8</v>
      </c>
      <c r="Q759" s="35">
        <f t="shared" si="23"/>
        <v>8.75</v>
      </c>
      <c r="R759" s="35"/>
      <c r="S759" s="35"/>
      <c r="T759" s="35"/>
      <c r="U759" s="82" t="e">
        <f>AVERAGE(Tableau1[[#This Row],[1ère composition]:[3è Composition]])</f>
        <v>#DIV/0!</v>
      </c>
    </row>
    <row r="760" spans="1:21" hidden="1" x14ac:dyDescent="0.2">
      <c r="A760" s="1" t="s">
        <v>3401</v>
      </c>
      <c r="B760" s="1" t="s">
        <v>3428</v>
      </c>
      <c r="C760" s="1" t="s">
        <v>3907</v>
      </c>
      <c r="D760" s="1">
        <v>94763909</v>
      </c>
      <c r="E760" s="1">
        <v>2021</v>
      </c>
      <c r="F760" s="1">
        <v>65</v>
      </c>
      <c r="G760" s="1">
        <v>28</v>
      </c>
      <c r="H760" s="79" t="str">
        <f>Tableau1[[#This Row],[Annee d''inscription au programme]]&amp;"-"&amp;Tableau1[[#This Row],[Code d''ecole]]&amp;"-"&amp;Tableau1[[#This Row],[Numero HM de la fille]]</f>
        <v>2021-65-28</v>
      </c>
      <c r="I760" s="1"/>
      <c r="J760" s="79" t="s">
        <v>593</v>
      </c>
      <c r="K760" s="35" t="s">
        <v>698</v>
      </c>
      <c r="L760" s="35">
        <v>4.5</v>
      </c>
      <c r="M760" s="35">
        <v>1</v>
      </c>
      <c r="N760" s="35">
        <f t="shared" si="22"/>
        <v>2.75</v>
      </c>
      <c r="O760" s="35">
        <v>5</v>
      </c>
      <c r="P760" s="35">
        <v>5</v>
      </c>
      <c r="Q760" s="35">
        <f t="shared" si="23"/>
        <v>5</v>
      </c>
      <c r="R760" s="35"/>
      <c r="S760" s="35"/>
      <c r="T760" s="35"/>
      <c r="U760" s="82" t="e">
        <f>AVERAGE(Tableau1[[#This Row],[1ère composition]:[3è Composition]])</f>
        <v>#DIV/0!</v>
      </c>
    </row>
    <row r="761" spans="1:21" hidden="1" x14ac:dyDescent="0.2">
      <c r="A761" s="1" t="s">
        <v>3401</v>
      </c>
      <c r="B761" s="1" t="s">
        <v>3429</v>
      </c>
      <c r="C761" s="1" t="s">
        <v>3908</v>
      </c>
      <c r="D761" s="1">
        <v>95966772</v>
      </c>
      <c r="E761" s="1">
        <v>2021</v>
      </c>
      <c r="F761" s="1">
        <v>65</v>
      </c>
      <c r="G761" s="1">
        <v>29</v>
      </c>
      <c r="H761" s="79" t="str">
        <f>Tableau1[[#This Row],[Annee d''inscription au programme]]&amp;"-"&amp;Tableau1[[#This Row],[Code d''ecole]]&amp;"-"&amp;Tableau1[[#This Row],[Numero HM de la fille]]</f>
        <v>2021-65-29</v>
      </c>
      <c r="I761" s="1"/>
      <c r="J761" s="79" t="s">
        <v>593</v>
      </c>
      <c r="K761" s="35" t="s">
        <v>698</v>
      </c>
      <c r="L761" s="35">
        <v>10</v>
      </c>
      <c r="M761" s="35">
        <v>3</v>
      </c>
      <c r="N761" s="35">
        <f t="shared" si="22"/>
        <v>6.5</v>
      </c>
      <c r="O761" s="35">
        <v>4</v>
      </c>
      <c r="P761" s="35">
        <v>8.5</v>
      </c>
      <c r="Q761" s="35">
        <f t="shared" si="23"/>
        <v>6.25</v>
      </c>
      <c r="R761" s="35"/>
      <c r="S761" s="35"/>
      <c r="T761" s="35"/>
      <c r="U761" s="82" t="e">
        <f>AVERAGE(Tableau1[[#This Row],[1ère composition]:[3è Composition]])</f>
        <v>#DIV/0!</v>
      </c>
    </row>
    <row r="762" spans="1:21" hidden="1" x14ac:dyDescent="0.2">
      <c r="A762" s="1" t="s">
        <v>3401</v>
      </c>
      <c r="B762" s="1" t="s">
        <v>3430</v>
      </c>
      <c r="C762" s="1" t="s">
        <v>3907</v>
      </c>
      <c r="D762" s="1">
        <v>74377771</v>
      </c>
      <c r="E762" s="1">
        <v>2021</v>
      </c>
      <c r="F762" s="1">
        <v>65</v>
      </c>
      <c r="G762" s="1">
        <v>30</v>
      </c>
      <c r="H762" s="79" t="str">
        <f>Tableau1[[#This Row],[Annee d''inscription au programme]]&amp;"-"&amp;Tableau1[[#This Row],[Code d''ecole]]&amp;"-"&amp;Tableau1[[#This Row],[Numero HM de la fille]]</f>
        <v>2021-65-30</v>
      </c>
      <c r="I762" s="1"/>
      <c r="J762" s="79" t="s">
        <v>593</v>
      </c>
      <c r="K762" s="35" t="s">
        <v>698</v>
      </c>
      <c r="L762" s="35">
        <v>9</v>
      </c>
      <c r="M762" s="35">
        <v>1</v>
      </c>
      <c r="N762" s="35">
        <f t="shared" si="22"/>
        <v>5</v>
      </c>
      <c r="O762" s="35">
        <v>8.75</v>
      </c>
      <c r="P762" s="35">
        <v>9</v>
      </c>
      <c r="Q762" s="35">
        <f t="shared" si="23"/>
        <v>8.875</v>
      </c>
      <c r="R762" s="35"/>
      <c r="S762" s="35"/>
      <c r="T762" s="35"/>
      <c r="U762" s="82" t="e">
        <f>AVERAGE(Tableau1[[#This Row],[1ère composition]:[3è Composition]])</f>
        <v>#DIV/0!</v>
      </c>
    </row>
    <row r="763" spans="1:21" hidden="1" x14ac:dyDescent="0.2">
      <c r="A763" s="1" t="s">
        <v>3401</v>
      </c>
      <c r="B763" s="1" t="s">
        <v>3431</v>
      </c>
      <c r="C763" s="1" t="s">
        <v>3907</v>
      </c>
      <c r="D763" s="1">
        <v>94443447</v>
      </c>
      <c r="E763" s="1">
        <v>2021</v>
      </c>
      <c r="F763" s="1">
        <v>65</v>
      </c>
      <c r="G763" s="1">
        <v>31</v>
      </c>
      <c r="H763" s="79" t="str">
        <f>Tableau1[[#This Row],[Annee d''inscription au programme]]&amp;"-"&amp;Tableau1[[#This Row],[Code d''ecole]]&amp;"-"&amp;Tableau1[[#This Row],[Numero HM de la fille]]</f>
        <v>2021-65-31</v>
      </c>
      <c r="I763" s="1"/>
      <c r="J763" s="79" t="s">
        <v>593</v>
      </c>
      <c r="K763" s="35" t="s">
        <v>698</v>
      </c>
      <c r="L763" s="35">
        <v>1</v>
      </c>
      <c r="M763" s="35">
        <v>1</v>
      </c>
      <c r="N763" s="35">
        <f t="shared" si="22"/>
        <v>1</v>
      </c>
      <c r="O763" s="35">
        <v>7</v>
      </c>
      <c r="P763" s="35">
        <v>6</v>
      </c>
      <c r="Q763" s="35">
        <f t="shared" si="23"/>
        <v>6.5</v>
      </c>
      <c r="R763" s="35"/>
      <c r="S763" s="35"/>
      <c r="T763" s="35"/>
      <c r="U763" s="82" t="e">
        <f>AVERAGE(Tableau1[[#This Row],[1ère composition]:[3è Composition]])</f>
        <v>#DIV/0!</v>
      </c>
    </row>
    <row r="764" spans="1:21" hidden="1" x14ac:dyDescent="0.2">
      <c r="A764" s="1" t="s">
        <v>3401</v>
      </c>
      <c r="B764" s="1" t="s">
        <v>3432</v>
      </c>
      <c r="C764" s="1" t="s">
        <v>3907</v>
      </c>
      <c r="D764" s="1">
        <v>94435929</v>
      </c>
      <c r="E764" s="1">
        <v>2021</v>
      </c>
      <c r="F764" s="1">
        <v>65</v>
      </c>
      <c r="G764" s="1">
        <v>32</v>
      </c>
      <c r="H764" s="79" t="str">
        <f>Tableau1[[#This Row],[Annee d''inscription au programme]]&amp;"-"&amp;Tableau1[[#This Row],[Code d''ecole]]&amp;"-"&amp;Tableau1[[#This Row],[Numero HM de la fille]]</f>
        <v>2021-65-32</v>
      </c>
      <c r="I764" s="1"/>
      <c r="J764" s="79" t="s">
        <v>593</v>
      </c>
      <c r="K764" s="35" t="s">
        <v>698</v>
      </c>
      <c r="L764" s="35">
        <v>12</v>
      </c>
      <c r="M764" s="35">
        <v>16.5</v>
      </c>
      <c r="N764" s="35">
        <f t="shared" si="22"/>
        <v>14.25</v>
      </c>
      <c r="O764" s="35">
        <v>19.25</v>
      </c>
      <c r="P764" s="35">
        <v>14.5</v>
      </c>
      <c r="Q764" s="35">
        <f t="shared" si="23"/>
        <v>16.875</v>
      </c>
      <c r="R764" s="35"/>
      <c r="S764" s="35"/>
      <c r="T764" s="35"/>
      <c r="U764" s="82" t="e">
        <f>AVERAGE(Tableau1[[#This Row],[1ère composition]:[3è Composition]])</f>
        <v>#DIV/0!</v>
      </c>
    </row>
    <row r="765" spans="1:21" hidden="1" x14ac:dyDescent="0.2">
      <c r="A765" s="1" t="s">
        <v>3401</v>
      </c>
      <c r="B765" s="1" t="s">
        <v>3433</v>
      </c>
      <c r="C765" s="1" t="s">
        <v>3908</v>
      </c>
      <c r="D765" s="1">
        <v>80472320</v>
      </c>
      <c r="E765" s="1">
        <v>2021</v>
      </c>
      <c r="F765" s="1">
        <v>65</v>
      </c>
      <c r="G765" s="1">
        <v>33</v>
      </c>
      <c r="H765" s="79" t="str">
        <f>Tableau1[[#This Row],[Annee d''inscription au programme]]&amp;"-"&amp;Tableau1[[#This Row],[Code d''ecole]]&amp;"-"&amp;Tableau1[[#This Row],[Numero HM de la fille]]</f>
        <v>2021-65-33</v>
      </c>
      <c r="I765" s="1"/>
      <c r="J765" s="79" t="s">
        <v>593</v>
      </c>
      <c r="K765" s="35" t="s">
        <v>698</v>
      </c>
      <c r="L765" s="35">
        <v>4</v>
      </c>
      <c r="M765" s="35">
        <v>3</v>
      </c>
      <c r="N765" s="35">
        <f t="shared" si="22"/>
        <v>3.5</v>
      </c>
      <c r="O765" s="35">
        <v>4.25</v>
      </c>
      <c r="P765" s="35">
        <v>4.5</v>
      </c>
      <c r="Q765" s="35">
        <f t="shared" si="23"/>
        <v>4.375</v>
      </c>
      <c r="R765" s="35"/>
      <c r="S765" s="35"/>
      <c r="T765" s="35"/>
      <c r="U765" s="82" t="e">
        <f>AVERAGE(Tableau1[[#This Row],[1ère composition]:[3è Composition]])</f>
        <v>#DIV/0!</v>
      </c>
    </row>
    <row r="766" spans="1:21" hidden="1" x14ac:dyDescent="0.2">
      <c r="A766" s="1" t="s">
        <v>3401</v>
      </c>
      <c r="B766" s="1" t="s">
        <v>3434</v>
      </c>
      <c r="C766" s="1" t="s">
        <v>3908</v>
      </c>
      <c r="D766" s="1">
        <v>74659329</v>
      </c>
      <c r="E766" s="1">
        <v>2021</v>
      </c>
      <c r="F766" s="1">
        <v>65</v>
      </c>
      <c r="G766" s="1">
        <v>34</v>
      </c>
      <c r="H766" s="79" t="str">
        <f>Tableau1[[#This Row],[Annee d''inscription au programme]]&amp;"-"&amp;Tableau1[[#This Row],[Code d''ecole]]&amp;"-"&amp;Tableau1[[#This Row],[Numero HM de la fille]]</f>
        <v>2021-65-34</v>
      </c>
      <c r="I766" s="1"/>
      <c r="J766" s="79" t="s">
        <v>593</v>
      </c>
      <c r="K766" s="35" t="s">
        <v>698</v>
      </c>
      <c r="L766" s="35">
        <v>3</v>
      </c>
      <c r="M766" s="35">
        <v>2</v>
      </c>
      <c r="N766" s="35">
        <f t="shared" si="22"/>
        <v>2.5</v>
      </c>
      <c r="O766" s="35">
        <v>5</v>
      </c>
      <c r="P766" s="35">
        <v>7</v>
      </c>
      <c r="Q766" s="35">
        <f t="shared" si="23"/>
        <v>6</v>
      </c>
      <c r="R766" s="35"/>
      <c r="S766" s="35"/>
      <c r="T766" s="35"/>
      <c r="U766" s="82" t="e">
        <f>AVERAGE(Tableau1[[#This Row],[1ère composition]:[3è Composition]])</f>
        <v>#DIV/0!</v>
      </c>
    </row>
    <row r="767" spans="1:21" hidden="1" x14ac:dyDescent="0.2">
      <c r="A767" s="1" t="s">
        <v>3401</v>
      </c>
      <c r="B767" s="1" t="s">
        <v>3435</v>
      </c>
      <c r="C767" s="1"/>
      <c r="D767" s="1">
        <v>85622929</v>
      </c>
      <c r="E767" s="1">
        <v>2021</v>
      </c>
      <c r="F767" s="1">
        <v>65</v>
      </c>
      <c r="G767" s="1">
        <v>35</v>
      </c>
      <c r="H767" s="79" t="str">
        <f>Tableau1[[#This Row],[Annee d''inscription au programme]]&amp;"-"&amp;Tableau1[[#This Row],[Code d''ecole]]&amp;"-"&amp;Tableau1[[#This Row],[Numero HM de la fille]]</f>
        <v>2021-65-35</v>
      </c>
      <c r="I767" s="1"/>
      <c r="J767" s="79" t="s">
        <v>593</v>
      </c>
      <c r="K767" s="35" t="s">
        <v>698</v>
      </c>
      <c r="L767" s="35">
        <v>4</v>
      </c>
      <c r="M767" s="35">
        <v>7</v>
      </c>
      <c r="N767" s="35">
        <f t="shared" si="22"/>
        <v>5.5</v>
      </c>
      <c r="O767" s="35">
        <v>4</v>
      </c>
      <c r="P767" s="35">
        <v>7</v>
      </c>
      <c r="Q767" s="35">
        <f t="shared" si="23"/>
        <v>5.5</v>
      </c>
      <c r="R767" s="35"/>
      <c r="S767" s="35"/>
      <c r="T767" s="35"/>
      <c r="U767" s="82" t="e">
        <f>AVERAGE(Tableau1[[#This Row],[1ère composition]:[3è Composition]])</f>
        <v>#DIV/0!</v>
      </c>
    </row>
    <row r="768" spans="1:21" hidden="1" x14ac:dyDescent="0.2">
      <c r="A768" s="1" t="s">
        <v>3401</v>
      </c>
      <c r="B768" s="1" t="s">
        <v>3436</v>
      </c>
      <c r="C768" s="1" t="s">
        <v>3907</v>
      </c>
      <c r="D768" s="1">
        <v>95966772</v>
      </c>
      <c r="E768" s="1">
        <v>2021</v>
      </c>
      <c r="F768" s="1">
        <v>65</v>
      </c>
      <c r="G768" s="1">
        <v>36</v>
      </c>
      <c r="H768" s="79" t="str">
        <f>Tableau1[[#This Row],[Annee d''inscription au programme]]&amp;"-"&amp;Tableau1[[#This Row],[Code d''ecole]]&amp;"-"&amp;Tableau1[[#This Row],[Numero HM de la fille]]</f>
        <v>2021-65-36</v>
      </c>
      <c r="I768" s="1"/>
      <c r="J768" s="79" t="s">
        <v>593</v>
      </c>
      <c r="K768" s="35" t="s">
        <v>698</v>
      </c>
      <c r="L768" s="35">
        <v>17</v>
      </c>
      <c r="M768" s="35">
        <v>15</v>
      </c>
      <c r="N768" s="35">
        <f t="shared" si="22"/>
        <v>16</v>
      </c>
      <c r="O768" s="35">
        <v>15.5</v>
      </c>
      <c r="P768" s="35">
        <v>13.5</v>
      </c>
      <c r="Q768" s="35">
        <f t="shared" si="23"/>
        <v>14.5</v>
      </c>
      <c r="R768" s="35"/>
      <c r="S768" s="35"/>
      <c r="T768" s="35"/>
      <c r="U768" s="82" t="e">
        <f>AVERAGE(Tableau1[[#This Row],[1ère composition]:[3è Composition]])</f>
        <v>#DIV/0!</v>
      </c>
    </row>
    <row r="769" spans="1:21" hidden="1" x14ac:dyDescent="0.2">
      <c r="A769" s="1" t="s">
        <v>3401</v>
      </c>
      <c r="B769" s="1" t="s">
        <v>3437</v>
      </c>
      <c r="C769" s="1" t="s">
        <v>3907</v>
      </c>
      <c r="D769" s="1">
        <v>94077371</v>
      </c>
      <c r="E769" s="1">
        <v>2021</v>
      </c>
      <c r="F769" s="1">
        <v>65</v>
      </c>
      <c r="G769" s="1">
        <v>37</v>
      </c>
      <c r="H769" s="79" t="str">
        <f>Tableau1[[#This Row],[Annee d''inscription au programme]]&amp;"-"&amp;Tableau1[[#This Row],[Code d''ecole]]&amp;"-"&amp;Tableau1[[#This Row],[Numero HM de la fille]]</f>
        <v>2021-65-37</v>
      </c>
      <c r="I769" s="1"/>
      <c r="J769" s="79" t="s">
        <v>593</v>
      </c>
      <c r="K769" s="35" t="s">
        <v>698</v>
      </c>
      <c r="L769" s="35">
        <v>2</v>
      </c>
      <c r="M769" s="35">
        <v>8</v>
      </c>
      <c r="N769" s="35">
        <f t="shared" si="22"/>
        <v>5</v>
      </c>
      <c r="O769" s="35">
        <v>11.5</v>
      </c>
      <c r="P769" s="35">
        <v>12</v>
      </c>
      <c r="Q769" s="35">
        <f t="shared" si="23"/>
        <v>11.75</v>
      </c>
      <c r="R769" s="35"/>
      <c r="S769" s="35"/>
      <c r="T769" s="35"/>
      <c r="U769" s="82" t="e">
        <f>AVERAGE(Tableau1[[#This Row],[1ère composition]:[3è Composition]])</f>
        <v>#DIV/0!</v>
      </c>
    </row>
    <row r="770" spans="1:21" hidden="1" x14ac:dyDescent="0.2">
      <c r="A770" s="1" t="s">
        <v>3401</v>
      </c>
      <c r="B770" s="1" t="s">
        <v>3438</v>
      </c>
      <c r="C770" s="1" t="s">
        <v>3907</v>
      </c>
      <c r="D770" s="1">
        <v>84113698</v>
      </c>
      <c r="E770" s="1">
        <v>2021</v>
      </c>
      <c r="F770" s="1">
        <v>65</v>
      </c>
      <c r="G770" s="1">
        <v>38</v>
      </c>
      <c r="H770" s="79" t="str">
        <f>Tableau1[[#This Row],[Annee d''inscription au programme]]&amp;"-"&amp;Tableau1[[#This Row],[Code d''ecole]]&amp;"-"&amp;Tableau1[[#This Row],[Numero HM de la fille]]</f>
        <v>2021-65-38</v>
      </c>
      <c r="I770" s="1"/>
      <c r="J770" s="79" t="s">
        <v>593</v>
      </c>
      <c r="K770" s="35" t="s">
        <v>698</v>
      </c>
      <c r="L770" s="35">
        <v>1</v>
      </c>
      <c r="M770" s="35">
        <v>2</v>
      </c>
      <c r="N770" s="35">
        <f t="shared" si="22"/>
        <v>1.5</v>
      </c>
      <c r="O770" s="35">
        <v>2.5</v>
      </c>
      <c r="P770" s="35">
        <v>4.5</v>
      </c>
      <c r="Q770" s="35">
        <f t="shared" si="23"/>
        <v>3.5</v>
      </c>
      <c r="R770" s="35"/>
      <c r="S770" s="35"/>
      <c r="T770" s="35"/>
      <c r="U770" s="82" t="e">
        <f>AVERAGE(Tableau1[[#This Row],[1ère composition]:[3è Composition]])</f>
        <v>#DIV/0!</v>
      </c>
    </row>
    <row r="771" spans="1:21" hidden="1" x14ac:dyDescent="0.2">
      <c r="A771" s="1" t="s">
        <v>3401</v>
      </c>
      <c r="B771" s="1" t="s">
        <v>3439</v>
      </c>
      <c r="C771" s="1" t="s">
        <v>3907</v>
      </c>
      <c r="D771" s="1">
        <v>94977864</v>
      </c>
      <c r="E771" s="1">
        <v>2021</v>
      </c>
      <c r="F771" s="1">
        <v>65</v>
      </c>
      <c r="G771" s="1">
        <v>39</v>
      </c>
      <c r="H771" s="79" t="str">
        <f>Tableau1[[#This Row],[Annee d''inscription au programme]]&amp;"-"&amp;Tableau1[[#This Row],[Code d''ecole]]&amp;"-"&amp;Tableau1[[#This Row],[Numero HM de la fille]]</f>
        <v>2021-65-39</v>
      </c>
      <c r="I771" s="1"/>
      <c r="J771" s="79" t="s">
        <v>593</v>
      </c>
      <c r="K771" s="35" t="s">
        <v>698</v>
      </c>
      <c r="L771" s="35">
        <v>0</v>
      </c>
      <c r="M771" s="35">
        <v>0</v>
      </c>
      <c r="N771" s="35">
        <f t="shared" si="22"/>
        <v>0</v>
      </c>
      <c r="O771" s="35">
        <v>1.75</v>
      </c>
      <c r="P771" s="35">
        <v>1.5</v>
      </c>
      <c r="Q771" s="35">
        <f t="shared" si="23"/>
        <v>1.625</v>
      </c>
      <c r="R771" s="35"/>
      <c r="S771" s="35"/>
      <c r="T771" s="35"/>
      <c r="U771" s="82" t="e">
        <f>AVERAGE(Tableau1[[#This Row],[1ère composition]:[3è Composition]])</f>
        <v>#DIV/0!</v>
      </c>
    </row>
    <row r="772" spans="1:21" hidden="1" x14ac:dyDescent="0.2">
      <c r="A772" s="1" t="s">
        <v>3401</v>
      </c>
      <c r="B772" s="1" t="s">
        <v>3440</v>
      </c>
      <c r="C772" s="1" t="s">
        <v>3907</v>
      </c>
      <c r="D772" s="1">
        <v>94351191</v>
      </c>
      <c r="E772" s="1">
        <v>2021</v>
      </c>
      <c r="F772" s="1">
        <v>65</v>
      </c>
      <c r="G772" s="1">
        <v>40</v>
      </c>
      <c r="H772" s="79" t="str">
        <f>Tableau1[[#This Row],[Annee d''inscription au programme]]&amp;"-"&amp;Tableau1[[#This Row],[Code d''ecole]]&amp;"-"&amp;Tableau1[[#This Row],[Numero HM de la fille]]</f>
        <v>2021-65-40</v>
      </c>
      <c r="I772" s="1"/>
      <c r="J772" s="79" t="s">
        <v>593</v>
      </c>
      <c r="K772" s="35" t="s">
        <v>698</v>
      </c>
      <c r="L772" s="35">
        <v>4.5</v>
      </c>
      <c r="M772" s="35">
        <v>1</v>
      </c>
      <c r="N772" s="35">
        <f t="shared" si="22"/>
        <v>2.75</v>
      </c>
      <c r="O772" s="35">
        <v>2.5</v>
      </c>
      <c r="P772" s="35">
        <v>5.5</v>
      </c>
      <c r="Q772" s="35">
        <f t="shared" si="23"/>
        <v>4</v>
      </c>
      <c r="R772" s="35"/>
      <c r="S772" s="35"/>
      <c r="T772" s="35"/>
      <c r="U772" s="82" t="e">
        <f>AVERAGE(Tableau1[[#This Row],[1ère composition]:[3è Composition]])</f>
        <v>#DIV/0!</v>
      </c>
    </row>
    <row r="773" spans="1:21" hidden="1" x14ac:dyDescent="0.2">
      <c r="A773" s="1" t="s">
        <v>3441</v>
      </c>
      <c r="B773" s="1" t="s">
        <v>2282</v>
      </c>
      <c r="C773" s="77" t="s">
        <v>3611</v>
      </c>
      <c r="D773" s="1">
        <v>85451434</v>
      </c>
      <c r="E773" s="1">
        <v>2021</v>
      </c>
      <c r="F773" s="1">
        <v>69</v>
      </c>
      <c r="G773" s="1">
        <v>1</v>
      </c>
      <c r="H773" s="79" t="str">
        <f>Tableau1[[#This Row],[Annee d''inscription au programme]]&amp;"-"&amp;Tableau1[[#This Row],[Code d''ecole]]&amp;"-"&amp;Tableau1[[#This Row],[Numero HM de la fille]]</f>
        <v>2021-69-1</v>
      </c>
      <c r="I773" s="1"/>
      <c r="J773" s="79" t="s">
        <v>593</v>
      </c>
      <c r="K773" s="35" t="s">
        <v>698</v>
      </c>
      <c r="L773" s="35">
        <v>0</v>
      </c>
      <c r="M773" s="35">
        <v>0</v>
      </c>
      <c r="N773" s="35">
        <f t="shared" ref="N773:N836" si="24" xml:space="preserve"> AVERAGE(L773+M773)/2</f>
        <v>0</v>
      </c>
      <c r="O773" s="35">
        <v>14.5</v>
      </c>
      <c r="P773" s="35">
        <v>13</v>
      </c>
      <c r="Q773" s="35">
        <f t="shared" ref="Q773:Q836" si="25">AVERAGE(O773+P773)/2</f>
        <v>13.75</v>
      </c>
      <c r="R773" s="35"/>
      <c r="S773" s="35"/>
      <c r="T773" s="35"/>
      <c r="U773" s="82" t="e">
        <f>AVERAGE(Tableau1[[#This Row],[1ère composition]:[3è Composition]])</f>
        <v>#DIV/0!</v>
      </c>
    </row>
    <row r="774" spans="1:21" hidden="1" x14ac:dyDescent="0.2">
      <c r="A774" s="1" t="s">
        <v>3442</v>
      </c>
      <c r="B774" s="1" t="s">
        <v>3443</v>
      </c>
      <c r="C774" s="1" t="s">
        <v>3614</v>
      </c>
      <c r="D774" s="1">
        <v>96813319</v>
      </c>
      <c r="E774" s="1">
        <v>2021</v>
      </c>
      <c r="F774" s="1">
        <v>69</v>
      </c>
      <c r="G774" s="1">
        <v>2</v>
      </c>
      <c r="H774" s="79" t="str">
        <f>Tableau1[[#This Row],[Annee d''inscription au programme]]&amp;"-"&amp;Tableau1[[#This Row],[Code d''ecole]]&amp;"-"&amp;Tableau1[[#This Row],[Numero HM de la fille]]</f>
        <v>2021-69-2</v>
      </c>
      <c r="I774" s="1"/>
      <c r="J774" s="79" t="s">
        <v>593</v>
      </c>
      <c r="K774" s="35" t="s">
        <v>698</v>
      </c>
      <c r="L774" s="35">
        <v>12</v>
      </c>
      <c r="M774" s="35">
        <v>14.5</v>
      </c>
      <c r="N774" s="35">
        <f t="shared" si="24"/>
        <v>13.25</v>
      </c>
      <c r="O774" s="35">
        <v>13</v>
      </c>
      <c r="P774" s="35">
        <v>11.5</v>
      </c>
      <c r="Q774" s="35">
        <f t="shared" si="25"/>
        <v>12.25</v>
      </c>
      <c r="R774" s="35"/>
      <c r="S774" s="35"/>
      <c r="T774" s="35"/>
      <c r="U774" s="82" t="e">
        <f>AVERAGE(Tableau1[[#This Row],[1ère composition]:[3è Composition]])</f>
        <v>#DIV/0!</v>
      </c>
    </row>
    <row r="775" spans="1:21" hidden="1" x14ac:dyDescent="0.2">
      <c r="A775" s="1" t="s">
        <v>3442</v>
      </c>
      <c r="B775" s="1" t="s">
        <v>3444</v>
      </c>
      <c r="C775" s="1" t="s">
        <v>3615</v>
      </c>
      <c r="D775" s="1">
        <v>85451434</v>
      </c>
      <c r="E775" s="1">
        <v>2021</v>
      </c>
      <c r="F775" s="1">
        <v>69</v>
      </c>
      <c r="G775" s="1">
        <v>3</v>
      </c>
      <c r="H775" s="79" t="str">
        <f>Tableau1[[#This Row],[Annee d''inscription au programme]]&amp;"-"&amp;Tableau1[[#This Row],[Code d''ecole]]&amp;"-"&amp;Tableau1[[#This Row],[Numero HM de la fille]]</f>
        <v>2021-69-3</v>
      </c>
      <c r="I775" s="1"/>
      <c r="J775" s="79" t="s">
        <v>593</v>
      </c>
      <c r="K775" s="35" t="s">
        <v>698</v>
      </c>
      <c r="L775" s="35">
        <v>16.5</v>
      </c>
      <c r="M775" s="35">
        <v>11.5</v>
      </c>
      <c r="N775" s="35">
        <f t="shared" si="24"/>
        <v>14</v>
      </c>
      <c r="O775" s="35">
        <v>11.5</v>
      </c>
      <c r="P775" s="35">
        <v>14</v>
      </c>
      <c r="Q775" s="35">
        <f t="shared" si="25"/>
        <v>12.75</v>
      </c>
      <c r="R775" s="35"/>
      <c r="S775" s="35"/>
      <c r="T775" s="35"/>
      <c r="U775" s="82" t="e">
        <f>AVERAGE(Tableau1[[#This Row],[1ère composition]:[3è Composition]])</f>
        <v>#DIV/0!</v>
      </c>
    </row>
    <row r="776" spans="1:21" hidden="1" x14ac:dyDescent="0.2">
      <c r="A776" s="1" t="s">
        <v>3442</v>
      </c>
      <c r="B776" s="1" t="s">
        <v>3445</v>
      </c>
      <c r="C776" s="1" t="s">
        <v>3614</v>
      </c>
      <c r="D776" s="1">
        <v>85451434</v>
      </c>
      <c r="E776" s="1">
        <v>2021</v>
      </c>
      <c r="F776" s="1">
        <v>69</v>
      </c>
      <c r="G776" s="1">
        <v>4</v>
      </c>
      <c r="H776" s="79" t="str">
        <f>Tableau1[[#This Row],[Annee d''inscription au programme]]&amp;"-"&amp;Tableau1[[#This Row],[Code d''ecole]]&amp;"-"&amp;Tableau1[[#This Row],[Numero HM de la fille]]</f>
        <v>2021-69-4</v>
      </c>
      <c r="I776" s="1"/>
      <c r="J776" s="79" t="s">
        <v>593</v>
      </c>
      <c r="K776" s="35" t="s">
        <v>698</v>
      </c>
      <c r="L776" s="35">
        <v>12.5</v>
      </c>
      <c r="M776" s="35">
        <v>15.5</v>
      </c>
      <c r="N776" s="35">
        <f t="shared" si="24"/>
        <v>14</v>
      </c>
      <c r="O776" s="35">
        <v>15</v>
      </c>
      <c r="P776" s="35">
        <v>16.5</v>
      </c>
      <c r="Q776" s="35">
        <f t="shared" si="25"/>
        <v>15.75</v>
      </c>
      <c r="R776" s="35"/>
      <c r="S776" s="35"/>
      <c r="T776" s="35"/>
      <c r="U776" s="82" t="e">
        <f>AVERAGE(Tableau1[[#This Row],[1ère composition]:[3è Composition]])</f>
        <v>#DIV/0!</v>
      </c>
    </row>
    <row r="777" spans="1:21" hidden="1" x14ac:dyDescent="0.2">
      <c r="A777" s="1" t="s">
        <v>3442</v>
      </c>
      <c r="B777" s="1" t="s">
        <v>3446</v>
      </c>
      <c r="C777" s="77" t="s">
        <v>3611</v>
      </c>
      <c r="D777" s="1">
        <v>98503494</v>
      </c>
      <c r="E777" s="1">
        <v>2021</v>
      </c>
      <c r="F777" s="1">
        <v>69</v>
      </c>
      <c r="G777" s="1">
        <v>5</v>
      </c>
      <c r="H777" s="79" t="str">
        <f>Tableau1[[#This Row],[Annee d''inscription au programme]]&amp;"-"&amp;Tableau1[[#This Row],[Code d''ecole]]&amp;"-"&amp;Tableau1[[#This Row],[Numero HM de la fille]]</f>
        <v>2021-69-5</v>
      </c>
      <c r="I777" s="1"/>
      <c r="J777" s="79" t="s">
        <v>593</v>
      </c>
      <c r="K777" s="35" t="s">
        <v>698</v>
      </c>
      <c r="L777" s="35">
        <v>17</v>
      </c>
      <c r="M777" s="35">
        <v>20</v>
      </c>
      <c r="N777" s="35">
        <f t="shared" si="24"/>
        <v>18.5</v>
      </c>
      <c r="O777" s="35">
        <v>15</v>
      </c>
      <c r="P777" s="35">
        <v>17.5</v>
      </c>
      <c r="Q777" s="35">
        <f t="shared" si="25"/>
        <v>16.25</v>
      </c>
      <c r="R777" s="35"/>
      <c r="S777" s="35"/>
      <c r="T777" s="35"/>
      <c r="U777" s="82" t="e">
        <f>AVERAGE(Tableau1[[#This Row],[1ère composition]:[3è Composition]])</f>
        <v>#DIV/0!</v>
      </c>
    </row>
    <row r="778" spans="1:21" hidden="1" x14ac:dyDescent="0.2">
      <c r="A778" s="1" t="s">
        <v>3442</v>
      </c>
      <c r="B778" s="1" t="s">
        <v>3616</v>
      </c>
      <c r="C778" s="77" t="s">
        <v>3611</v>
      </c>
      <c r="D778" s="1"/>
      <c r="E778" s="1">
        <v>2021</v>
      </c>
      <c r="F778" s="1">
        <v>69</v>
      </c>
      <c r="G778" s="1">
        <v>6</v>
      </c>
      <c r="H778" s="79" t="str">
        <f>Tableau1[[#This Row],[Annee d''inscription au programme]]&amp;"-"&amp;Tableau1[[#This Row],[Code d''ecole]]&amp;"-"&amp;Tableau1[[#This Row],[Numero HM de la fille]]</f>
        <v>2021-69-6</v>
      </c>
      <c r="I778" s="1"/>
      <c r="J778" s="79" t="s">
        <v>593</v>
      </c>
      <c r="K778" s="35" t="s">
        <v>698</v>
      </c>
      <c r="L778" s="35">
        <v>15</v>
      </c>
      <c r="M778" s="35">
        <v>14.5</v>
      </c>
      <c r="N778" s="35">
        <f t="shared" si="24"/>
        <v>14.75</v>
      </c>
      <c r="O778" s="35">
        <v>9.5</v>
      </c>
      <c r="P778" s="35">
        <v>7.5</v>
      </c>
      <c r="Q778" s="35">
        <f t="shared" si="25"/>
        <v>8.5</v>
      </c>
      <c r="R778" s="35"/>
      <c r="S778" s="35"/>
      <c r="T778" s="35"/>
      <c r="U778" s="82" t="e">
        <f>AVERAGE(Tableau1[[#This Row],[1ère composition]:[3è Composition]])</f>
        <v>#DIV/0!</v>
      </c>
    </row>
    <row r="779" spans="1:21" hidden="1" x14ac:dyDescent="0.2">
      <c r="A779" s="1" t="s">
        <v>3442</v>
      </c>
      <c r="B779" s="1" t="s">
        <v>3447</v>
      </c>
      <c r="C779" s="77" t="s">
        <v>3611</v>
      </c>
      <c r="D779" s="1">
        <v>95379902</v>
      </c>
      <c r="E779" s="1">
        <v>2021</v>
      </c>
      <c r="F779" s="1">
        <v>69</v>
      </c>
      <c r="G779" s="1">
        <v>7</v>
      </c>
      <c r="H779" s="79" t="str">
        <f>Tableau1[[#This Row],[Annee d''inscription au programme]]&amp;"-"&amp;Tableau1[[#This Row],[Code d''ecole]]&amp;"-"&amp;Tableau1[[#This Row],[Numero HM de la fille]]</f>
        <v>2021-69-7</v>
      </c>
      <c r="I779" s="1"/>
      <c r="J779" s="79" t="s">
        <v>593</v>
      </c>
      <c r="K779" s="35" t="s">
        <v>698</v>
      </c>
      <c r="L779" s="35">
        <v>14</v>
      </c>
      <c r="M779" s="35">
        <v>14</v>
      </c>
      <c r="N779" s="35">
        <f t="shared" si="24"/>
        <v>14</v>
      </c>
      <c r="O779" s="35">
        <v>19</v>
      </c>
      <c r="P779" s="35">
        <v>18</v>
      </c>
      <c r="Q779" s="35">
        <f t="shared" si="25"/>
        <v>18.5</v>
      </c>
      <c r="R779" s="35"/>
      <c r="S779" s="35"/>
      <c r="T779" s="35"/>
      <c r="U779" s="82" t="e">
        <f>AVERAGE(Tableau1[[#This Row],[1ère composition]:[3è Composition]])</f>
        <v>#DIV/0!</v>
      </c>
    </row>
    <row r="780" spans="1:21" hidden="1" x14ac:dyDescent="0.2">
      <c r="A780" s="1" t="s">
        <v>3442</v>
      </c>
      <c r="B780" s="1" t="s">
        <v>3448</v>
      </c>
      <c r="C780" s="1" t="s">
        <v>3617</v>
      </c>
      <c r="D780" s="1">
        <v>74057812</v>
      </c>
      <c r="E780" s="1">
        <v>2021</v>
      </c>
      <c r="F780" s="1">
        <v>69</v>
      </c>
      <c r="G780" s="1">
        <v>8</v>
      </c>
      <c r="H780" s="79" t="str">
        <f>Tableau1[[#This Row],[Annee d''inscription au programme]]&amp;"-"&amp;Tableau1[[#This Row],[Code d''ecole]]&amp;"-"&amp;Tableau1[[#This Row],[Numero HM de la fille]]</f>
        <v>2021-69-8</v>
      </c>
      <c r="I780" s="1"/>
      <c r="J780" s="79" t="s">
        <v>593</v>
      </c>
      <c r="K780" s="35" t="s">
        <v>698</v>
      </c>
      <c r="L780" s="35">
        <v>16.5</v>
      </c>
      <c r="M780" s="35">
        <v>13.5</v>
      </c>
      <c r="N780" s="35">
        <f t="shared" si="24"/>
        <v>15</v>
      </c>
      <c r="O780" s="35">
        <v>13</v>
      </c>
      <c r="P780" s="35">
        <v>11.5</v>
      </c>
      <c r="Q780" s="35">
        <f t="shared" si="25"/>
        <v>12.25</v>
      </c>
      <c r="R780" s="35"/>
      <c r="S780" s="35"/>
      <c r="T780" s="35"/>
      <c r="U780" s="82" t="e">
        <f>AVERAGE(Tableau1[[#This Row],[1ère composition]:[3è Composition]])</f>
        <v>#DIV/0!</v>
      </c>
    </row>
    <row r="781" spans="1:21" hidden="1" x14ac:dyDescent="0.2">
      <c r="A781" s="1" t="s">
        <v>3504</v>
      </c>
      <c r="B781" s="1" t="s">
        <v>3548</v>
      </c>
      <c r="C781" s="77" t="s">
        <v>3613</v>
      </c>
      <c r="D781" s="78"/>
      <c r="E781" s="1">
        <v>2021</v>
      </c>
      <c r="F781" s="1">
        <v>69</v>
      </c>
      <c r="G781" s="78">
        <v>9</v>
      </c>
      <c r="H781" s="79" t="str">
        <f>Tableau1[[#This Row],[Annee d''inscription au programme]]&amp;"-"&amp;Tableau1[[#This Row],[Code d''ecole]]&amp;"-"&amp;Tableau1[[#This Row],[Numero HM de la fille]]</f>
        <v>2021-69-9</v>
      </c>
      <c r="I781" s="1"/>
      <c r="J781" s="79" t="s">
        <v>593</v>
      </c>
      <c r="K781" s="35" t="s">
        <v>698</v>
      </c>
      <c r="L781" s="51">
        <v>20</v>
      </c>
      <c r="M781" s="51">
        <v>19.75</v>
      </c>
      <c r="N781" s="51">
        <f t="shared" si="24"/>
        <v>19.875</v>
      </c>
      <c r="O781" s="35">
        <v>18</v>
      </c>
      <c r="P781" s="35">
        <v>16.5</v>
      </c>
      <c r="Q781" s="35">
        <f t="shared" si="25"/>
        <v>17.25</v>
      </c>
      <c r="R781" s="35"/>
      <c r="S781" s="35"/>
      <c r="T781" s="35"/>
      <c r="U781" s="82" t="e">
        <f>AVERAGE(Tableau1[[#This Row],[1ère composition]:[3è Composition]])</f>
        <v>#DIV/0!</v>
      </c>
    </row>
    <row r="782" spans="1:21" hidden="1" x14ac:dyDescent="0.2">
      <c r="A782" s="1" t="s">
        <v>3504</v>
      </c>
      <c r="B782" s="1" t="s">
        <v>3549</v>
      </c>
      <c r="C782" s="77" t="s">
        <v>3612</v>
      </c>
      <c r="D782" s="78"/>
      <c r="E782" s="1">
        <v>2021</v>
      </c>
      <c r="F782" s="1">
        <v>69</v>
      </c>
      <c r="G782" s="78">
        <v>10</v>
      </c>
      <c r="H782" s="79" t="str">
        <f>Tableau1[[#This Row],[Annee d''inscription au programme]]&amp;"-"&amp;Tableau1[[#This Row],[Code d''ecole]]&amp;"-"&amp;Tableau1[[#This Row],[Numero HM de la fille]]</f>
        <v>2021-69-10</v>
      </c>
      <c r="I782" s="1"/>
      <c r="J782" s="79" t="s">
        <v>593</v>
      </c>
      <c r="K782" s="35" t="s">
        <v>698</v>
      </c>
      <c r="L782" s="51">
        <v>8.5</v>
      </c>
      <c r="M782" s="51">
        <v>10.5</v>
      </c>
      <c r="N782" s="51">
        <f t="shared" si="24"/>
        <v>9.5</v>
      </c>
      <c r="O782" s="35">
        <v>10</v>
      </c>
      <c r="P782" s="35">
        <v>11.5</v>
      </c>
      <c r="Q782" s="35">
        <f t="shared" si="25"/>
        <v>10.75</v>
      </c>
      <c r="R782" s="35"/>
      <c r="S782" s="35"/>
      <c r="T782" s="35"/>
      <c r="U782" s="82" t="e">
        <f>AVERAGE(Tableau1[[#This Row],[1ère composition]:[3è Composition]])</f>
        <v>#DIV/0!</v>
      </c>
    </row>
    <row r="783" spans="1:21" hidden="1" x14ac:dyDescent="0.2">
      <c r="A783" s="1" t="s">
        <v>3504</v>
      </c>
      <c r="B783" s="1" t="s">
        <v>3610</v>
      </c>
      <c r="C783" s="77" t="s">
        <v>3611</v>
      </c>
      <c r="D783" s="78"/>
      <c r="E783" s="1">
        <v>2021</v>
      </c>
      <c r="F783" s="1">
        <v>69</v>
      </c>
      <c r="G783" s="78">
        <v>11</v>
      </c>
      <c r="H783" s="79" t="str">
        <f>Tableau1[[#This Row],[Annee d''inscription au programme]]&amp;"-"&amp;Tableau1[[#This Row],[Code d''ecole]]&amp;"-"&amp;Tableau1[[#This Row],[Numero HM de la fille]]</f>
        <v>2021-69-11</v>
      </c>
      <c r="I783" s="1"/>
      <c r="J783" s="79" t="s">
        <v>593</v>
      </c>
      <c r="K783" s="35" t="s">
        <v>698</v>
      </c>
      <c r="L783" s="51">
        <v>12.5</v>
      </c>
      <c r="M783" s="51">
        <v>7.5</v>
      </c>
      <c r="N783" s="51">
        <f t="shared" si="24"/>
        <v>10</v>
      </c>
      <c r="O783" s="35">
        <v>0</v>
      </c>
      <c r="P783" s="35"/>
      <c r="Q783" s="35">
        <f t="shared" si="25"/>
        <v>0</v>
      </c>
      <c r="R783" s="35"/>
      <c r="S783" s="35"/>
      <c r="T783" s="35"/>
      <c r="U783" s="82" t="e">
        <f>AVERAGE(Tableau1[[#This Row],[1ère composition]:[3è Composition]])</f>
        <v>#DIV/0!</v>
      </c>
    </row>
    <row r="784" spans="1:21" hidden="1" x14ac:dyDescent="0.2">
      <c r="A784" s="1" t="s">
        <v>3101</v>
      </c>
      <c r="B784" s="1" t="s">
        <v>3449</v>
      </c>
      <c r="C784" s="1" t="s">
        <v>3588</v>
      </c>
      <c r="D784" s="1"/>
      <c r="E784" s="1">
        <v>2021</v>
      </c>
      <c r="F784" s="1">
        <v>77</v>
      </c>
      <c r="G784" s="1">
        <v>1</v>
      </c>
      <c r="H784" s="79" t="str">
        <f>Tableau1[[#This Row],[Annee d''inscription au programme]]&amp;"-"&amp;Tableau1[[#This Row],[Code d''ecole]]&amp;"-"&amp;Tableau1[[#This Row],[Numero HM de la fille]]</f>
        <v>2021-77-1</v>
      </c>
      <c r="I784" s="1"/>
      <c r="J784" s="79" t="s">
        <v>593</v>
      </c>
      <c r="K784" s="35" t="s">
        <v>698</v>
      </c>
      <c r="L784" s="35">
        <v>15</v>
      </c>
      <c r="M784" s="35">
        <v>12.5</v>
      </c>
      <c r="N784" s="35">
        <f t="shared" si="24"/>
        <v>13.75</v>
      </c>
      <c r="O784" s="35">
        <v>18</v>
      </c>
      <c r="P784" s="35">
        <v>20</v>
      </c>
      <c r="Q784" s="35">
        <f t="shared" si="25"/>
        <v>19</v>
      </c>
      <c r="R784" s="35"/>
      <c r="S784" s="35"/>
      <c r="T784" s="35"/>
      <c r="U784" s="10" t="e">
        <f>AVERAGE(Tableau1[[#This Row],[1ère composition]:[3è Composition]])</f>
        <v>#DIV/0!</v>
      </c>
    </row>
    <row r="785" spans="1:21" hidden="1" x14ac:dyDescent="0.2">
      <c r="A785" s="1" t="s">
        <v>3101</v>
      </c>
      <c r="B785" s="1" t="s">
        <v>3102</v>
      </c>
      <c r="C785" s="1" t="s">
        <v>3589</v>
      </c>
      <c r="D785" s="1"/>
      <c r="E785" s="1">
        <v>2021</v>
      </c>
      <c r="F785" s="1">
        <v>77</v>
      </c>
      <c r="G785" s="1">
        <v>2</v>
      </c>
      <c r="H785" s="79" t="str">
        <f>Tableau1[[#This Row],[Annee d''inscription au programme]]&amp;"-"&amp;Tableau1[[#This Row],[Code d''ecole]]&amp;"-"&amp;Tableau1[[#This Row],[Numero HM de la fille]]</f>
        <v>2021-77-2</v>
      </c>
      <c r="I785" s="1"/>
      <c r="J785" s="79" t="s">
        <v>593</v>
      </c>
      <c r="K785" s="35" t="s">
        <v>698</v>
      </c>
      <c r="L785" s="35">
        <v>13</v>
      </c>
      <c r="M785" s="35">
        <v>11.5</v>
      </c>
      <c r="N785" s="35">
        <f t="shared" si="24"/>
        <v>12.25</v>
      </c>
      <c r="O785" s="35">
        <v>16</v>
      </c>
      <c r="P785" s="35">
        <v>19.5</v>
      </c>
      <c r="Q785" s="35">
        <f t="shared" si="25"/>
        <v>17.75</v>
      </c>
      <c r="R785" s="35"/>
      <c r="S785" s="35"/>
      <c r="T785" s="35"/>
      <c r="U785" s="82" t="e">
        <f>AVERAGE(Tableau1[[#This Row],[1ère composition]:[3è Composition]])</f>
        <v>#DIV/0!</v>
      </c>
    </row>
    <row r="786" spans="1:21" hidden="1" x14ac:dyDescent="0.2">
      <c r="A786" s="1" t="s">
        <v>3101</v>
      </c>
      <c r="B786" s="1" t="s">
        <v>2962</v>
      </c>
      <c r="C786" s="1" t="s">
        <v>3590</v>
      </c>
      <c r="D786" s="1"/>
      <c r="E786" s="1">
        <v>2021</v>
      </c>
      <c r="F786" s="1">
        <v>77</v>
      </c>
      <c r="G786" s="1">
        <v>3</v>
      </c>
      <c r="H786" s="79" t="str">
        <f>Tableau1[[#This Row],[Annee d''inscription au programme]]&amp;"-"&amp;Tableau1[[#This Row],[Code d''ecole]]&amp;"-"&amp;Tableau1[[#This Row],[Numero HM de la fille]]</f>
        <v>2021-77-3</v>
      </c>
      <c r="I786" s="1"/>
      <c r="J786" s="79" t="s">
        <v>593</v>
      </c>
      <c r="K786" s="35" t="s">
        <v>698</v>
      </c>
      <c r="L786" s="35">
        <v>11</v>
      </c>
      <c r="M786" s="35">
        <v>5</v>
      </c>
      <c r="N786" s="35">
        <f t="shared" si="24"/>
        <v>8</v>
      </c>
      <c r="O786" s="35">
        <v>17</v>
      </c>
      <c r="P786" s="35">
        <v>16</v>
      </c>
      <c r="Q786" s="35">
        <f t="shared" si="25"/>
        <v>16.5</v>
      </c>
      <c r="R786" s="35"/>
      <c r="S786" s="35"/>
      <c r="T786" s="35"/>
      <c r="U786" s="82" t="e">
        <f>AVERAGE(Tableau1[[#This Row],[1ère composition]:[3è Composition]])</f>
        <v>#DIV/0!</v>
      </c>
    </row>
    <row r="787" spans="1:21" hidden="1" x14ac:dyDescent="0.2">
      <c r="A787" s="1" t="s">
        <v>3101</v>
      </c>
      <c r="B787" s="1" t="s">
        <v>3450</v>
      </c>
      <c r="C787" s="1" t="s">
        <v>3591</v>
      </c>
      <c r="D787" s="1"/>
      <c r="E787" s="1">
        <v>2021</v>
      </c>
      <c r="F787" s="1">
        <v>77</v>
      </c>
      <c r="G787" s="1">
        <v>4</v>
      </c>
      <c r="H787" s="79" t="str">
        <f>Tableau1[[#This Row],[Annee d''inscription au programme]]&amp;"-"&amp;Tableau1[[#This Row],[Code d''ecole]]&amp;"-"&amp;Tableau1[[#This Row],[Numero HM de la fille]]</f>
        <v>2021-77-4</v>
      </c>
      <c r="I787" s="1"/>
      <c r="J787" s="79" t="s">
        <v>593</v>
      </c>
      <c r="K787" s="35" t="s">
        <v>698</v>
      </c>
      <c r="L787" s="35">
        <v>1.5</v>
      </c>
      <c r="M787" s="35">
        <v>1.5</v>
      </c>
      <c r="N787" s="35">
        <f t="shared" si="24"/>
        <v>1.5</v>
      </c>
      <c r="O787" s="35">
        <v>5</v>
      </c>
      <c r="P787" s="35">
        <v>2.5</v>
      </c>
      <c r="Q787" s="35">
        <f t="shared" si="25"/>
        <v>3.75</v>
      </c>
      <c r="R787" s="35"/>
      <c r="S787" s="35"/>
      <c r="T787" s="35"/>
      <c r="U787" s="82" t="e">
        <f>AVERAGE(Tableau1[[#This Row],[1ère composition]:[3è Composition]])</f>
        <v>#DIV/0!</v>
      </c>
    </row>
    <row r="788" spans="1:21" hidden="1" x14ac:dyDescent="0.2">
      <c r="A788" s="1" t="s">
        <v>3101</v>
      </c>
      <c r="B788" s="1" t="s">
        <v>3451</v>
      </c>
      <c r="C788" s="1" t="s">
        <v>3591</v>
      </c>
      <c r="D788" s="1"/>
      <c r="E788" s="1">
        <v>2021</v>
      </c>
      <c r="F788" s="1">
        <v>77</v>
      </c>
      <c r="G788" s="1">
        <v>5</v>
      </c>
      <c r="H788" s="79" t="str">
        <f>Tableau1[[#This Row],[Annee d''inscription au programme]]&amp;"-"&amp;Tableau1[[#This Row],[Code d''ecole]]&amp;"-"&amp;Tableau1[[#This Row],[Numero HM de la fille]]</f>
        <v>2021-77-5</v>
      </c>
      <c r="I788" s="1"/>
      <c r="J788" s="79" t="s">
        <v>593</v>
      </c>
      <c r="K788" s="35" t="s">
        <v>698</v>
      </c>
      <c r="L788" s="35">
        <v>0</v>
      </c>
      <c r="M788" s="35">
        <v>1.5</v>
      </c>
      <c r="N788" s="35">
        <f t="shared" si="24"/>
        <v>0.75</v>
      </c>
      <c r="O788" s="35">
        <v>6.5</v>
      </c>
      <c r="P788" s="35">
        <v>5</v>
      </c>
      <c r="Q788" s="35">
        <f t="shared" si="25"/>
        <v>5.75</v>
      </c>
      <c r="R788" s="35"/>
      <c r="S788" s="35"/>
      <c r="T788" s="35"/>
      <c r="U788" s="82" t="e">
        <f>AVERAGE(Tableau1[[#This Row],[1ère composition]:[3è Composition]])</f>
        <v>#DIV/0!</v>
      </c>
    </row>
    <row r="789" spans="1:21" hidden="1" x14ac:dyDescent="0.2">
      <c r="A789" s="1" t="s">
        <v>3101</v>
      </c>
      <c r="B789" s="1" t="s">
        <v>3452</v>
      </c>
      <c r="C789" s="1" t="s">
        <v>3592</v>
      </c>
      <c r="D789" s="1"/>
      <c r="E789" s="1">
        <v>2021</v>
      </c>
      <c r="F789" s="1">
        <v>77</v>
      </c>
      <c r="G789" s="1">
        <v>6</v>
      </c>
      <c r="H789" s="79" t="str">
        <f>Tableau1[[#This Row],[Annee d''inscription au programme]]&amp;"-"&amp;Tableau1[[#This Row],[Code d''ecole]]&amp;"-"&amp;Tableau1[[#This Row],[Numero HM de la fille]]</f>
        <v>2021-77-6</v>
      </c>
      <c r="I789" s="1"/>
      <c r="J789" s="79" t="s">
        <v>593</v>
      </c>
      <c r="K789" s="35" t="s">
        <v>698</v>
      </c>
      <c r="L789" s="35">
        <v>6</v>
      </c>
      <c r="M789" s="35">
        <v>3.5</v>
      </c>
      <c r="N789" s="35">
        <f t="shared" si="24"/>
        <v>4.75</v>
      </c>
      <c r="O789" s="35">
        <v>7</v>
      </c>
      <c r="P789" s="35">
        <v>7</v>
      </c>
      <c r="Q789" s="35">
        <f t="shared" si="25"/>
        <v>7</v>
      </c>
      <c r="R789" s="35"/>
      <c r="S789" s="35"/>
      <c r="T789" s="35"/>
      <c r="U789" s="82" t="e">
        <f>AVERAGE(Tableau1[[#This Row],[1ère composition]:[3è Composition]])</f>
        <v>#DIV/0!</v>
      </c>
    </row>
    <row r="790" spans="1:21" hidden="1" x14ac:dyDescent="0.2">
      <c r="A790" s="1" t="s">
        <v>3101</v>
      </c>
      <c r="B790" s="1" t="s">
        <v>3453</v>
      </c>
      <c r="C790" s="1" t="s">
        <v>3588</v>
      </c>
      <c r="D790" s="1"/>
      <c r="E790" s="1">
        <v>2021</v>
      </c>
      <c r="F790" s="1">
        <v>77</v>
      </c>
      <c r="G790" s="1">
        <v>7</v>
      </c>
      <c r="H790" s="79" t="str">
        <f>Tableau1[[#This Row],[Annee d''inscription au programme]]&amp;"-"&amp;Tableau1[[#This Row],[Code d''ecole]]&amp;"-"&amp;Tableau1[[#This Row],[Numero HM de la fille]]</f>
        <v>2021-77-7</v>
      </c>
      <c r="I790" s="1"/>
      <c r="J790" s="79" t="s">
        <v>593</v>
      </c>
      <c r="K790" s="35" t="s">
        <v>698</v>
      </c>
      <c r="L790" s="35">
        <v>10.5</v>
      </c>
      <c r="M790" s="35">
        <v>11.5</v>
      </c>
      <c r="N790" s="35">
        <f t="shared" si="24"/>
        <v>11</v>
      </c>
      <c r="O790" s="35">
        <v>17.5</v>
      </c>
      <c r="P790" s="35">
        <v>20</v>
      </c>
      <c r="Q790" s="35">
        <f t="shared" si="25"/>
        <v>18.75</v>
      </c>
      <c r="R790" s="35"/>
      <c r="S790" s="35"/>
      <c r="T790" s="35"/>
      <c r="U790" s="82" t="e">
        <f>AVERAGE(Tableau1[[#This Row],[1ère composition]:[3è Composition]])</f>
        <v>#DIV/0!</v>
      </c>
    </row>
    <row r="791" spans="1:21" hidden="1" x14ac:dyDescent="0.2">
      <c r="A791" s="1" t="s">
        <v>3101</v>
      </c>
      <c r="B791" s="1" t="s">
        <v>3103</v>
      </c>
      <c r="C791" s="1" t="s">
        <v>3591</v>
      </c>
      <c r="D791" s="1"/>
      <c r="E791" s="1">
        <v>2021</v>
      </c>
      <c r="F791" s="1">
        <v>77</v>
      </c>
      <c r="G791" s="1">
        <v>8</v>
      </c>
      <c r="H791" s="79" t="str">
        <f>Tableau1[[#This Row],[Annee d''inscription au programme]]&amp;"-"&amp;Tableau1[[#This Row],[Code d''ecole]]&amp;"-"&amp;Tableau1[[#This Row],[Numero HM de la fille]]</f>
        <v>2021-77-8</v>
      </c>
      <c r="I791" s="1"/>
      <c r="J791" s="79" t="s">
        <v>593</v>
      </c>
      <c r="K791" s="35" t="s">
        <v>698</v>
      </c>
      <c r="L791" s="35">
        <v>8</v>
      </c>
      <c r="M791" s="35">
        <v>4</v>
      </c>
      <c r="N791" s="35">
        <f t="shared" si="24"/>
        <v>6</v>
      </c>
      <c r="O791" s="35">
        <v>14</v>
      </c>
      <c r="P791" s="35">
        <v>13</v>
      </c>
      <c r="Q791" s="35">
        <f t="shared" si="25"/>
        <v>13.5</v>
      </c>
      <c r="R791" s="35"/>
      <c r="S791" s="35"/>
      <c r="T791" s="35"/>
      <c r="U791" s="82" t="e">
        <f>AVERAGE(Tableau1[[#This Row],[1ère composition]:[3è Composition]])</f>
        <v>#DIV/0!</v>
      </c>
    </row>
    <row r="792" spans="1:21" hidden="1" x14ac:dyDescent="0.2">
      <c r="A792" s="1" t="s">
        <v>3101</v>
      </c>
      <c r="B792" s="1" t="s">
        <v>3454</v>
      </c>
      <c r="C792" s="1" t="s">
        <v>3588</v>
      </c>
      <c r="D792" s="1"/>
      <c r="E792" s="1">
        <v>2021</v>
      </c>
      <c r="F792" s="1">
        <v>77</v>
      </c>
      <c r="G792" s="1">
        <v>9</v>
      </c>
      <c r="H792" s="79" t="str">
        <f>Tableau1[[#This Row],[Annee d''inscription au programme]]&amp;"-"&amp;Tableau1[[#This Row],[Code d''ecole]]&amp;"-"&amp;Tableau1[[#This Row],[Numero HM de la fille]]</f>
        <v>2021-77-9</v>
      </c>
      <c r="I792" s="1"/>
      <c r="J792" s="79" t="s">
        <v>593</v>
      </c>
      <c r="K792" s="35" t="s">
        <v>698</v>
      </c>
      <c r="L792" s="35">
        <v>8.5</v>
      </c>
      <c r="M792" s="35">
        <v>7</v>
      </c>
      <c r="N792" s="35">
        <f t="shared" si="24"/>
        <v>7.75</v>
      </c>
      <c r="O792" s="35">
        <v>18</v>
      </c>
      <c r="P792" s="35">
        <v>18.5</v>
      </c>
      <c r="Q792" s="35">
        <f t="shared" si="25"/>
        <v>18.25</v>
      </c>
      <c r="R792" s="35"/>
      <c r="S792" s="35"/>
      <c r="T792" s="35"/>
      <c r="U792" s="82" t="e">
        <f>AVERAGE(Tableau1[[#This Row],[1ère composition]:[3è Composition]])</f>
        <v>#DIV/0!</v>
      </c>
    </row>
    <row r="793" spans="1:21" hidden="1" x14ac:dyDescent="0.2">
      <c r="A793" s="1" t="s">
        <v>3101</v>
      </c>
      <c r="B793" s="1" t="s">
        <v>3455</v>
      </c>
      <c r="C793" s="1" t="s">
        <v>3593</v>
      </c>
      <c r="D793" s="1"/>
      <c r="E793" s="1">
        <v>2021</v>
      </c>
      <c r="F793" s="1">
        <v>77</v>
      </c>
      <c r="G793" s="1">
        <v>10</v>
      </c>
      <c r="H793" s="79" t="str">
        <f>Tableau1[[#This Row],[Annee d''inscription au programme]]&amp;"-"&amp;Tableau1[[#This Row],[Code d''ecole]]&amp;"-"&amp;Tableau1[[#This Row],[Numero HM de la fille]]</f>
        <v>2021-77-10</v>
      </c>
      <c r="I793" s="1"/>
      <c r="J793" s="79" t="s">
        <v>593</v>
      </c>
      <c r="K793" s="35" t="s">
        <v>698</v>
      </c>
      <c r="L793" s="35">
        <v>12.5</v>
      </c>
      <c r="M793" s="35">
        <v>6.5</v>
      </c>
      <c r="N793" s="35">
        <f t="shared" si="24"/>
        <v>9.5</v>
      </c>
      <c r="O793" s="35">
        <v>20</v>
      </c>
      <c r="P793" s="35">
        <v>15.5</v>
      </c>
      <c r="Q793" s="35">
        <f t="shared" si="25"/>
        <v>17.75</v>
      </c>
      <c r="R793" s="35"/>
      <c r="S793" s="35"/>
      <c r="T793" s="35"/>
      <c r="U793" s="82" t="e">
        <f>AVERAGE(Tableau1[[#This Row],[1ère composition]:[3è Composition]])</f>
        <v>#DIV/0!</v>
      </c>
    </row>
    <row r="794" spans="1:21" hidden="1" x14ac:dyDescent="0.2">
      <c r="A794" s="1" t="s">
        <v>3101</v>
      </c>
      <c r="B794" s="1" t="s">
        <v>3104</v>
      </c>
      <c r="C794" s="1" t="s">
        <v>3588</v>
      </c>
      <c r="D794" s="1"/>
      <c r="E794" s="1">
        <v>2021</v>
      </c>
      <c r="F794" s="1">
        <v>77</v>
      </c>
      <c r="G794" s="1">
        <v>11</v>
      </c>
      <c r="H794" s="79" t="str">
        <f>Tableau1[[#This Row],[Annee d''inscription au programme]]&amp;"-"&amp;Tableau1[[#This Row],[Code d''ecole]]&amp;"-"&amp;Tableau1[[#This Row],[Numero HM de la fille]]</f>
        <v>2021-77-11</v>
      </c>
      <c r="I794" s="1"/>
      <c r="J794" s="79" t="s">
        <v>593</v>
      </c>
      <c r="K794" s="35" t="s">
        <v>698</v>
      </c>
      <c r="L794" s="35">
        <v>10.5</v>
      </c>
      <c r="M794" s="35">
        <v>5.5</v>
      </c>
      <c r="N794" s="35">
        <f t="shared" si="24"/>
        <v>8</v>
      </c>
      <c r="O794" s="35">
        <v>12</v>
      </c>
      <c r="P794" s="35">
        <v>11.5</v>
      </c>
      <c r="Q794" s="35">
        <f t="shared" si="25"/>
        <v>11.75</v>
      </c>
      <c r="R794" s="35"/>
      <c r="S794" s="35"/>
      <c r="T794" s="35"/>
      <c r="U794" s="82" t="e">
        <f>AVERAGE(Tableau1[[#This Row],[1ère composition]:[3è Composition]])</f>
        <v>#DIV/0!</v>
      </c>
    </row>
    <row r="795" spans="1:21" hidden="1" x14ac:dyDescent="0.2">
      <c r="A795" s="1" t="s">
        <v>3101</v>
      </c>
      <c r="B795" s="1" t="s">
        <v>3456</v>
      </c>
      <c r="C795" s="1" t="s">
        <v>3588</v>
      </c>
      <c r="D795" s="1"/>
      <c r="E795" s="1">
        <v>2021</v>
      </c>
      <c r="F795" s="1">
        <v>77</v>
      </c>
      <c r="G795" s="1">
        <v>12</v>
      </c>
      <c r="H795" s="79" t="str">
        <f>Tableau1[[#This Row],[Annee d''inscription au programme]]&amp;"-"&amp;Tableau1[[#This Row],[Code d''ecole]]&amp;"-"&amp;Tableau1[[#This Row],[Numero HM de la fille]]</f>
        <v>2021-77-12</v>
      </c>
      <c r="I795" s="1"/>
      <c r="J795" s="79" t="s">
        <v>593</v>
      </c>
      <c r="K795" s="35" t="s">
        <v>698</v>
      </c>
      <c r="L795" s="35">
        <v>12</v>
      </c>
      <c r="M795" s="35">
        <v>6</v>
      </c>
      <c r="N795" s="35">
        <f t="shared" si="24"/>
        <v>9</v>
      </c>
      <c r="O795" s="35">
        <v>18.5</v>
      </c>
      <c r="P795" s="35">
        <v>20</v>
      </c>
      <c r="Q795" s="35">
        <f t="shared" si="25"/>
        <v>19.25</v>
      </c>
      <c r="R795" s="35"/>
      <c r="S795" s="35"/>
      <c r="T795" s="35"/>
      <c r="U795" s="82" t="e">
        <f>AVERAGE(Tableau1[[#This Row],[1ère composition]:[3è Composition]])</f>
        <v>#DIV/0!</v>
      </c>
    </row>
    <row r="796" spans="1:21" hidden="1" x14ac:dyDescent="0.2">
      <c r="A796" s="1" t="s">
        <v>3101</v>
      </c>
      <c r="B796" s="1" t="s">
        <v>3105</v>
      </c>
      <c r="C796" s="1" t="s">
        <v>3592</v>
      </c>
      <c r="D796" s="1"/>
      <c r="E796" s="1">
        <v>2021</v>
      </c>
      <c r="F796" s="1">
        <v>77</v>
      </c>
      <c r="G796" s="1">
        <v>13</v>
      </c>
      <c r="H796" s="79" t="str">
        <f>Tableau1[[#This Row],[Annee d''inscription au programme]]&amp;"-"&amp;Tableau1[[#This Row],[Code d''ecole]]&amp;"-"&amp;Tableau1[[#This Row],[Numero HM de la fille]]</f>
        <v>2021-77-13</v>
      </c>
      <c r="I796" s="1"/>
      <c r="J796" s="79" t="s">
        <v>593</v>
      </c>
      <c r="K796" s="35" t="s">
        <v>698</v>
      </c>
      <c r="L796" s="35">
        <v>9</v>
      </c>
      <c r="M796" s="35">
        <v>6</v>
      </c>
      <c r="N796" s="35">
        <f t="shared" si="24"/>
        <v>7.5</v>
      </c>
      <c r="O796" s="35">
        <v>13.5</v>
      </c>
      <c r="P796" s="35">
        <v>13.25</v>
      </c>
      <c r="Q796" s="35">
        <f t="shared" si="25"/>
        <v>13.375</v>
      </c>
      <c r="R796" s="35"/>
      <c r="S796" s="35"/>
      <c r="T796" s="35"/>
      <c r="U796" s="82" t="e">
        <f>AVERAGE(Tableau1[[#This Row],[1ère composition]:[3è Composition]])</f>
        <v>#DIV/0!</v>
      </c>
    </row>
    <row r="797" spans="1:21" hidden="1" x14ac:dyDescent="0.2">
      <c r="A797" s="1" t="s">
        <v>3101</v>
      </c>
      <c r="B797" s="1" t="s">
        <v>3106</v>
      </c>
      <c r="C797" s="1" t="s">
        <v>3588</v>
      </c>
      <c r="D797" s="1"/>
      <c r="E797" s="1">
        <v>2021</v>
      </c>
      <c r="F797" s="1">
        <v>77</v>
      </c>
      <c r="G797" s="1">
        <v>14</v>
      </c>
      <c r="H797" s="79" t="str">
        <f>Tableau1[[#This Row],[Annee d''inscription au programme]]&amp;"-"&amp;Tableau1[[#This Row],[Code d''ecole]]&amp;"-"&amp;Tableau1[[#This Row],[Numero HM de la fille]]</f>
        <v>2021-77-14</v>
      </c>
      <c r="I797" s="1"/>
      <c r="J797" s="79" t="s">
        <v>593</v>
      </c>
      <c r="K797" s="35" t="s">
        <v>698</v>
      </c>
      <c r="L797" s="35">
        <v>13</v>
      </c>
      <c r="M797" s="35">
        <v>9</v>
      </c>
      <c r="N797" s="35">
        <f t="shared" si="24"/>
        <v>11</v>
      </c>
      <c r="O797" s="35">
        <v>18</v>
      </c>
      <c r="P797" s="35">
        <v>20</v>
      </c>
      <c r="Q797" s="35">
        <f t="shared" si="25"/>
        <v>19</v>
      </c>
      <c r="R797" s="35"/>
      <c r="S797" s="35"/>
      <c r="T797" s="35"/>
      <c r="U797" s="82" t="e">
        <f>AVERAGE(Tableau1[[#This Row],[1ère composition]:[3è Composition]])</f>
        <v>#DIV/0!</v>
      </c>
    </row>
    <row r="798" spans="1:21" hidden="1" x14ac:dyDescent="0.2">
      <c r="A798" s="1" t="s">
        <v>3101</v>
      </c>
      <c r="B798" s="1" t="s">
        <v>3457</v>
      </c>
      <c r="C798" s="1" t="s">
        <v>3591</v>
      </c>
      <c r="D798" s="1"/>
      <c r="E798" s="1">
        <v>2021</v>
      </c>
      <c r="F798" s="1">
        <v>77</v>
      </c>
      <c r="G798" s="1">
        <v>15</v>
      </c>
      <c r="H798" s="79" t="str">
        <f>Tableau1[[#This Row],[Annee d''inscription au programme]]&amp;"-"&amp;Tableau1[[#This Row],[Code d''ecole]]&amp;"-"&amp;Tableau1[[#This Row],[Numero HM de la fille]]</f>
        <v>2021-77-15</v>
      </c>
      <c r="I798" s="1"/>
      <c r="J798" s="79" t="s">
        <v>593</v>
      </c>
      <c r="K798" s="35" t="s">
        <v>698</v>
      </c>
      <c r="L798" s="35">
        <v>11</v>
      </c>
      <c r="M798" s="35">
        <v>6</v>
      </c>
      <c r="N798" s="35">
        <f t="shared" si="24"/>
        <v>8.5</v>
      </c>
      <c r="O798" s="35">
        <v>17</v>
      </c>
      <c r="P798" s="35">
        <v>18.5</v>
      </c>
      <c r="Q798" s="35">
        <f t="shared" si="25"/>
        <v>17.75</v>
      </c>
      <c r="R798" s="35"/>
      <c r="S798" s="35"/>
      <c r="T798" s="35"/>
      <c r="U798" s="82" t="e">
        <f>AVERAGE(Tableau1[[#This Row],[1ère composition]:[3è Composition]])</f>
        <v>#DIV/0!</v>
      </c>
    </row>
    <row r="799" spans="1:21" hidden="1" x14ac:dyDescent="0.2">
      <c r="A799" s="1" t="s">
        <v>3101</v>
      </c>
      <c r="B799" s="1" t="s">
        <v>3108</v>
      </c>
      <c r="C799" s="1" t="s">
        <v>3594</v>
      </c>
      <c r="D799" s="1"/>
      <c r="E799" s="1">
        <v>2021</v>
      </c>
      <c r="F799" s="1">
        <v>77</v>
      </c>
      <c r="G799" s="1">
        <v>16</v>
      </c>
      <c r="H799" s="79" t="str">
        <f>Tableau1[[#This Row],[Annee d''inscription au programme]]&amp;"-"&amp;Tableau1[[#This Row],[Code d''ecole]]&amp;"-"&amp;Tableau1[[#This Row],[Numero HM de la fille]]</f>
        <v>2021-77-16</v>
      </c>
      <c r="I799" s="1"/>
      <c r="J799" s="79" t="s">
        <v>593</v>
      </c>
      <c r="K799" s="35" t="s">
        <v>698</v>
      </c>
      <c r="L799" s="35">
        <v>3</v>
      </c>
      <c r="M799" s="35">
        <v>6.5</v>
      </c>
      <c r="N799" s="35">
        <f t="shared" si="24"/>
        <v>4.75</v>
      </c>
      <c r="O799" s="35">
        <v>14</v>
      </c>
      <c r="P799" s="35">
        <v>7.5</v>
      </c>
      <c r="Q799" s="35">
        <f t="shared" si="25"/>
        <v>10.75</v>
      </c>
      <c r="R799" s="35"/>
      <c r="S799" s="35"/>
      <c r="T799" s="35"/>
      <c r="U799" s="82" t="e">
        <f>AVERAGE(Tableau1[[#This Row],[1ère composition]:[3è Composition]])</f>
        <v>#DIV/0!</v>
      </c>
    </row>
    <row r="800" spans="1:21" hidden="1" x14ac:dyDescent="0.2">
      <c r="A800" s="1" t="s">
        <v>3101</v>
      </c>
      <c r="B800" s="1" t="s">
        <v>3458</v>
      </c>
      <c r="C800" s="1" t="s">
        <v>3595</v>
      </c>
      <c r="D800" s="1"/>
      <c r="E800" s="1">
        <v>2021</v>
      </c>
      <c r="F800" s="1">
        <v>77</v>
      </c>
      <c r="G800" s="1">
        <v>17</v>
      </c>
      <c r="H800" s="79" t="str">
        <f>Tableau1[[#This Row],[Annee d''inscription au programme]]&amp;"-"&amp;Tableau1[[#This Row],[Code d''ecole]]&amp;"-"&amp;Tableau1[[#This Row],[Numero HM de la fille]]</f>
        <v>2021-77-17</v>
      </c>
      <c r="I800" s="1"/>
      <c r="J800" s="79" t="s">
        <v>593</v>
      </c>
      <c r="K800" s="35" t="s">
        <v>698</v>
      </c>
      <c r="L800" s="35">
        <v>3.5</v>
      </c>
      <c r="M800" s="35">
        <v>5</v>
      </c>
      <c r="N800" s="35">
        <f t="shared" si="24"/>
        <v>4.25</v>
      </c>
      <c r="O800" s="35">
        <v>14</v>
      </c>
      <c r="P800" s="35">
        <v>11</v>
      </c>
      <c r="Q800" s="35">
        <f t="shared" si="25"/>
        <v>12.5</v>
      </c>
      <c r="R800" s="35"/>
      <c r="S800" s="35"/>
      <c r="T800" s="35"/>
      <c r="U800" s="82" t="e">
        <f>AVERAGE(Tableau1[[#This Row],[1ère composition]:[3è Composition]])</f>
        <v>#DIV/0!</v>
      </c>
    </row>
    <row r="801" spans="1:21" hidden="1" x14ac:dyDescent="0.2">
      <c r="A801" s="1" t="s">
        <v>3101</v>
      </c>
      <c r="B801" s="1" t="s">
        <v>3459</v>
      </c>
      <c r="C801" s="1" t="s">
        <v>3588</v>
      </c>
      <c r="D801" s="1"/>
      <c r="E801" s="1">
        <v>2021</v>
      </c>
      <c r="F801" s="1">
        <v>77</v>
      </c>
      <c r="G801" s="1">
        <v>18</v>
      </c>
      <c r="H801" s="79" t="str">
        <f>Tableau1[[#This Row],[Annee d''inscription au programme]]&amp;"-"&amp;Tableau1[[#This Row],[Code d''ecole]]&amp;"-"&amp;Tableau1[[#This Row],[Numero HM de la fille]]</f>
        <v>2021-77-18</v>
      </c>
      <c r="I801" s="1"/>
      <c r="J801" s="79" t="s">
        <v>593</v>
      </c>
      <c r="K801" s="35" t="s">
        <v>698</v>
      </c>
      <c r="L801" s="35">
        <v>13.5</v>
      </c>
      <c r="M801" s="35">
        <v>9</v>
      </c>
      <c r="N801" s="35">
        <f t="shared" si="24"/>
        <v>11.25</v>
      </c>
      <c r="O801" s="35">
        <v>19</v>
      </c>
      <c r="P801" s="35">
        <v>20</v>
      </c>
      <c r="Q801" s="35">
        <f t="shared" si="25"/>
        <v>19.5</v>
      </c>
      <c r="R801" s="35"/>
      <c r="S801" s="35"/>
      <c r="T801" s="35"/>
      <c r="U801" s="82" t="e">
        <f>AVERAGE(Tableau1[[#This Row],[1ère composition]:[3è Composition]])</f>
        <v>#DIV/0!</v>
      </c>
    </row>
    <row r="802" spans="1:21" hidden="1" x14ac:dyDescent="0.2">
      <c r="A802" s="1" t="s">
        <v>3101</v>
      </c>
      <c r="B802" s="1" t="s">
        <v>3460</v>
      </c>
      <c r="C802" s="1" t="s">
        <v>3593</v>
      </c>
      <c r="D802" s="1"/>
      <c r="E802" s="1">
        <v>2021</v>
      </c>
      <c r="F802" s="1">
        <v>77</v>
      </c>
      <c r="G802" s="1">
        <v>19</v>
      </c>
      <c r="H802" s="79" t="str">
        <f>Tableau1[[#This Row],[Annee d''inscription au programme]]&amp;"-"&amp;Tableau1[[#This Row],[Code d''ecole]]&amp;"-"&amp;Tableau1[[#This Row],[Numero HM de la fille]]</f>
        <v>2021-77-19</v>
      </c>
      <c r="I802" s="1"/>
      <c r="J802" s="79" t="s">
        <v>593</v>
      </c>
      <c r="K802" s="35" t="s">
        <v>698</v>
      </c>
      <c r="L802" s="35">
        <v>5.5</v>
      </c>
      <c r="M802" s="35">
        <v>0</v>
      </c>
      <c r="N802" s="35">
        <f t="shared" si="24"/>
        <v>2.75</v>
      </c>
      <c r="O802" s="35">
        <v>12</v>
      </c>
      <c r="P802" s="35">
        <v>0</v>
      </c>
      <c r="Q802" s="35">
        <f t="shared" si="25"/>
        <v>6</v>
      </c>
      <c r="R802" s="35"/>
      <c r="S802" s="35"/>
      <c r="T802" s="35"/>
      <c r="U802" s="82" t="e">
        <f>AVERAGE(Tableau1[[#This Row],[1ère composition]:[3è Composition]])</f>
        <v>#DIV/0!</v>
      </c>
    </row>
    <row r="803" spans="1:21" hidden="1" x14ac:dyDescent="0.2">
      <c r="A803" s="1" t="s">
        <v>3101</v>
      </c>
      <c r="B803" s="1" t="s">
        <v>347</v>
      </c>
      <c r="C803" s="1" t="s">
        <v>3593</v>
      </c>
      <c r="D803" s="1"/>
      <c r="E803" s="1">
        <v>2021</v>
      </c>
      <c r="F803" s="1">
        <v>77</v>
      </c>
      <c r="G803" s="1">
        <v>20</v>
      </c>
      <c r="H803" s="79" t="str">
        <f>Tableau1[[#This Row],[Annee d''inscription au programme]]&amp;"-"&amp;Tableau1[[#This Row],[Code d''ecole]]&amp;"-"&amp;Tableau1[[#This Row],[Numero HM de la fille]]</f>
        <v>2021-77-20</v>
      </c>
      <c r="I803" s="1"/>
      <c r="J803" s="79" t="s">
        <v>593</v>
      </c>
      <c r="K803" s="35" t="s">
        <v>698</v>
      </c>
      <c r="L803" s="35">
        <v>1</v>
      </c>
      <c r="M803" s="35">
        <v>1</v>
      </c>
      <c r="N803" s="35">
        <f t="shared" si="24"/>
        <v>1</v>
      </c>
      <c r="O803" s="35">
        <v>3.5</v>
      </c>
      <c r="P803" s="35">
        <v>2.5</v>
      </c>
      <c r="Q803" s="35">
        <f t="shared" si="25"/>
        <v>3</v>
      </c>
      <c r="R803" s="35"/>
      <c r="S803" s="35"/>
      <c r="T803" s="35"/>
      <c r="U803" s="82" t="e">
        <f>AVERAGE(Tableau1[[#This Row],[1ère composition]:[3è Composition]])</f>
        <v>#DIV/0!</v>
      </c>
    </row>
    <row r="804" spans="1:21" hidden="1" x14ac:dyDescent="0.2">
      <c r="A804" s="1" t="s">
        <v>3101</v>
      </c>
      <c r="B804" s="1" t="s">
        <v>3461</v>
      </c>
      <c r="C804" s="1" t="s">
        <v>3588</v>
      </c>
      <c r="D804" s="1"/>
      <c r="E804" s="1">
        <v>2021</v>
      </c>
      <c r="F804" s="1">
        <v>77</v>
      </c>
      <c r="G804" s="1">
        <v>21</v>
      </c>
      <c r="H804" s="79" t="str">
        <f>Tableau1[[#This Row],[Annee d''inscription au programme]]&amp;"-"&amp;Tableau1[[#This Row],[Code d''ecole]]&amp;"-"&amp;Tableau1[[#This Row],[Numero HM de la fille]]</f>
        <v>2021-77-21</v>
      </c>
      <c r="I804" s="1"/>
      <c r="J804" s="79" t="s">
        <v>593</v>
      </c>
      <c r="K804" s="35" t="s">
        <v>698</v>
      </c>
      <c r="L804" s="35">
        <v>9.5</v>
      </c>
      <c r="M804" s="35">
        <v>8</v>
      </c>
      <c r="N804" s="35">
        <f t="shared" si="24"/>
        <v>8.75</v>
      </c>
      <c r="O804" s="35">
        <v>16</v>
      </c>
      <c r="P804" s="35">
        <v>18</v>
      </c>
      <c r="Q804" s="35">
        <f t="shared" si="25"/>
        <v>17</v>
      </c>
      <c r="R804" s="35"/>
      <c r="S804" s="35"/>
      <c r="T804" s="35"/>
      <c r="U804" s="82" t="e">
        <f>AVERAGE(Tableau1[[#This Row],[1ère composition]:[3è Composition]])</f>
        <v>#DIV/0!</v>
      </c>
    </row>
    <row r="805" spans="1:21" hidden="1" x14ac:dyDescent="0.2">
      <c r="A805" s="1" t="s">
        <v>3101</v>
      </c>
      <c r="B805" s="1" t="s">
        <v>3109</v>
      </c>
      <c r="C805" s="1" t="s">
        <v>3596</v>
      </c>
      <c r="D805" s="1"/>
      <c r="E805" s="1">
        <v>2021</v>
      </c>
      <c r="F805" s="1">
        <v>77</v>
      </c>
      <c r="G805" s="1">
        <v>22</v>
      </c>
      <c r="H805" s="79" t="str">
        <f>Tableau1[[#This Row],[Annee d''inscription au programme]]&amp;"-"&amp;Tableau1[[#This Row],[Code d''ecole]]&amp;"-"&amp;Tableau1[[#This Row],[Numero HM de la fille]]</f>
        <v>2021-77-22</v>
      </c>
      <c r="I805" s="1"/>
      <c r="J805" s="79" t="s">
        <v>593</v>
      </c>
      <c r="K805" s="35" t="s">
        <v>698</v>
      </c>
      <c r="L805" s="35">
        <v>7.5</v>
      </c>
      <c r="M805" s="35">
        <v>7</v>
      </c>
      <c r="N805" s="35">
        <f t="shared" si="24"/>
        <v>7.25</v>
      </c>
      <c r="O805" s="35">
        <v>13.5</v>
      </c>
      <c r="P805" s="35">
        <v>16.5</v>
      </c>
      <c r="Q805" s="35">
        <f t="shared" si="25"/>
        <v>15</v>
      </c>
      <c r="R805" s="35"/>
      <c r="S805" s="35"/>
      <c r="T805" s="35"/>
      <c r="U805" s="82" t="e">
        <f>AVERAGE(Tableau1[[#This Row],[1ère composition]:[3è Composition]])</f>
        <v>#DIV/0!</v>
      </c>
    </row>
    <row r="806" spans="1:21" hidden="1" x14ac:dyDescent="0.2">
      <c r="A806" s="1" t="s">
        <v>3101</v>
      </c>
      <c r="B806" s="1" t="s">
        <v>806</v>
      </c>
      <c r="C806" s="1" t="s">
        <v>3597</v>
      </c>
      <c r="D806" s="1">
        <v>97846949</v>
      </c>
      <c r="E806" s="1">
        <v>2021</v>
      </c>
      <c r="F806" s="1">
        <v>77</v>
      </c>
      <c r="G806" s="1">
        <v>23</v>
      </c>
      <c r="H806" s="79" t="str">
        <f>Tableau1[[#This Row],[Annee d''inscription au programme]]&amp;"-"&amp;Tableau1[[#This Row],[Code d''ecole]]&amp;"-"&amp;Tableau1[[#This Row],[Numero HM de la fille]]</f>
        <v>2021-77-23</v>
      </c>
      <c r="I806" s="1"/>
      <c r="J806" s="79" t="s">
        <v>593</v>
      </c>
      <c r="K806" s="35" t="s">
        <v>698</v>
      </c>
      <c r="L806" s="35">
        <v>8</v>
      </c>
      <c r="M806" s="35">
        <v>8</v>
      </c>
      <c r="N806" s="35">
        <f t="shared" si="24"/>
        <v>8</v>
      </c>
      <c r="O806" s="35">
        <v>15.5</v>
      </c>
      <c r="P806" s="35">
        <v>18.5</v>
      </c>
      <c r="Q806" s="35">
        <f t="shared" si="25"/>
        <v>17</v>
      </c>
      <c r="R806" s="35"/>
      <c r="S806" s="35"/>
      <c r="T806" s="35"/>
      <c r="U806" s="82" t="e">
        <f>AVERAGE(Tableau1[[#This Row],[1ère composition]:[3è Composition]])</f>
        <v>#DIV/0!</v>
      </c>
    </row>
    <row r="807" spans="1:21" hidden="1" x14ac:dyDescent="0.2">
      <c r="A807" s="1" t="s">
        <v>3101</v>
      </c>
      <c r="B807" s="1" t="s">
        <v>3462</v>
      </c>
      <c r="C807" s="1" t="s">
        <v>3593</v>
      </c>
      <c r="D807" s="1"/>
      <c r="E807" s="1">
        <v>2021</v>
      </c>
      <c r="F807" s="1">
        <v>77</v>
      </c>
      <c r="G807" s="1">
        <v>24</v>
      </c>
      <c r="H807" s="79" t="str">
        <f>Tableau1[[#This Row],[Annee d''inscription au programme]]&amp;"-"&amp;Tableau1[[#This Row],[Code d''ecole]]&amp;"-"&amp;Tableau1[[#This Row],[Numero HM de la fille]]</f>
        <v>2021-77-24</v>
      </c>
      <c r="I807" s="1"/>
      <c r="J807" s="79" t="s">
        <v>593</v>
      </c>
      <c r="K807" s="35" t="s">
        <v>698</v>
      </c>
      <c r="L807" s="35">
        <v>7</v>
      </c>
      <c r="M807" s="35">
        <v>4.5</v>
      </c>
      <c r="N807" s="35">
        <f t="shared" si="24"/>
        <v>5.75</v>
      </c>
      <c r="O807" s="35">
        <v>7.5</v>
      </c>
      <c r="P807" s="35">
        <v>8.5</v>
      </c>
      <c r="Q807" s="35">
        <f t="shared" si="25"/>
        <v>8</v>
      </c>
      <c r="R807" s="35"/>
      <c r="S807" s="35"/>
      <c r="T807" s="35"/>
      <c r="U807" s="82" t="e">
        <f>AVERAGE(Tableau1[[#This Row],[1ère composition]:[3è Composition]])</f>
        <v>#DIV/0!</v>
      </c>
    </row>
    <row r="808" spans="1:21" hidden="1" x14ac:dyDescent="0.2">
      <c r="A808" s="1" t="s">
        <v>3101</v>
      </c>
      <c r="B808" s="1" t="s">
        <v>3463</v>
      </c>
      <c r="C808" s="1" t="s">
        <v>3592</v>
      </c>
      <c r="D808" s="1"/>
      <c r="E808" s="1">
        <v>2021</v>
      </c>
      <c r="F808" s="1">
        <v>77</v>
      </c>
      <c r="G808" s="1">
        <v>25</v>
      </c>
      <c r="H808" s="79" t="str">
        <f>Tableau1[[#This Row],[Annee d''inscription au programme]]&amp;"-"&amp;Tableau1[[#This Row],[Code d''ecole]]&amp;"-"&amp;Tableau1[[#This Row],[Numero HM de la fille]]</f>
        <v>2021-77-25</v>
      </c>
      <c r="I808" s="1"/>
      <c r="J808" s="79" t="s">
        <v>593</v>
      </c>
      <c r="K808" s="35" t="s">
        <v>698</v>
      </c>
      <c r="L808" s="35">
        <v>14.5</v>
      </c>
      <c r="M808" s="35">
        <v>11</v>
      </c>
      <c r="N808" s="35">
        <f t="shared" si="24"/>
        <v>12.75</v>
      </c>
      <c r="O808" s="35">
        <v>20</v>
      </c>
      <c r="P808" s="35">
        <v>20</v>
      </c>
      <c r="Q808" s="35">
        <f t="shared" si="25"/>
        <v>20</v>
      </c>
      <c r="R808" s="35"/>
      <c r="S808" s="35"/>
      <c r="T808" s="35"/>
      <c r="U808" s="82" t="e">
        <f>AVERAGE(Tableau1[[#This Row],[1ère composition]:[3è Composition]])</f>
        <v>#DIV/0!</v>
      </c>
    </row>
    <row r="809" spans="1:21" hidden="1" x14ac:dyDescent="0.2">
      <c r="A809" s="1" t="s">
        <v>3101</v>
      </c>
      <c r="B809" s="1" t="s">
        <v>3110</v>
      </c>
      <c r="C809" s="1" t="s">
        <v>3591</v>
      </c>
      <c r="D809" s="1"/>
      <c r="E809" s="1">
        <v>2021</v>
      </c>
      <c r="F809" s="1">
        <v>77</v>
      </c>
      <c r="G809" s="1">
        <v>26</v>
      </c>
      <c r="H809" s="79" t="str">
        <f>Tableau1[[#This Row],[Annee d''inscription au programme]]&amp;"-"&amp;Tableau1[[#This Row],[Code d''ecole]]&amp;"-"&amp;Tableau1[[#This Row],[Numero HM de la fille]]</f>
        <v>2021-77-26</v>
      </c>
      <c r="I809" s="1"/>
      <c r="J809" s="79" t="s">
        <v>593</v>
      </c>
      <c r="K809" s="35" t="s">
        <v>698</v>
      </c>
      <c r="L809" s="35">
        <v>12.5</v>
      </c>
      <c r="M809" s="35">
        <v>11</v>
      </c>
      <c r="N809" s="35">
        <f t="shared" si="24"/>
        <v>11.75</v>
      </c>
      <c r="O809" s="35">
        <v>19</v>
      </c>
      <c r="P809" s="35">
        <v>19</v>
      </c>
      <c r="Q809" s="35">
        <f t="shared" si="25"/>
        <v>19</v>
      </c>
      <c r="R809" s="35"/>
      <c r="S809" s="35"/>
      <c r="T809" s="35"/>
      <c r="U809" s="82" t="e">
        <f>AVERAGE(Tableau1[[#This Row],[1ère composition]:[3è Composition]])</f>
        <v>#DIV/0!</v>
      </c>
    </row>
    <row r="810" spans="1:21" hidden="1" x14ac:dyDescent="0.2">
      <c r="A810" s="1" t="s">
        <v>3490</v>
      </c>
      <c r="B810" s="1" t="s">
        <v>3464</v>
      </c>
      <c r="C810" s="1" t="s">
        <v>3607</v>
      </c>
      <c r="D810" s="1"/>
      <c r="E810" s="1">
        <v>2021</v>
      </c>
      <c r="F810" s="1">
        <v>70</v>
      </c>
      <c r="G810" s="1">
        <v>1</v>
      </c>
      <c r="H810" s="79" t="str">
        <f>Tableau1[[#This Row],[Annee d''inscription au programme]]&amp;"-"&amp;Tableau1[[#This Row],[Code d''ecole]]&amp;"-"&amp;Tableau1[[#This Row],[Numero HM de la fille]]</f>
        <v>2021-70-1</v>
      </c>
      <c r="I810" s="1"/>
      <c r="J810" s="1" t="s">
        <v>297</v>
      </c>
      <c r="K810" s="35" t="s">
        <v>298</v>
      </c>
      <c r="L810" s="35">
        <v>4</v>
      </c>
      <c r="M810" s="35">
        <v>6</v>
      </c>
      <c r="N810" s="35">
        <f t="shared" si="24"/>
        <v>5</v>
      </c>
      <c r="O810" s="35">
        <v>6</v>
      </c>
      <c r="P810" s="35">
        <v>4.5</v>
      </c>
      <c r="Q810" s="35">
        <f t="shared" si="25"/>
        <v>5.25</v>
      </c>
      <c r="R810" s="35"/>
      <c r="S810" s="35"/>
      <c r="T810" s="35"/>
      <c r="U810" s="82" t="e">
        <f>AVERAGE(Tableau1[[#This Row],[1ère composition]:[3è Composition]])</f>
        <v>#DIV/0!</v>
      </c>
    </row>
    <row r="811" spans="1:21" hidden="1" x14ac:dyDescent="0.2">
      <c r="A811" s="1" t="s">
        <v>3490</v>
      </c>
      <c r="B811" s="1" t="s">
        <v>3102</v>
      </c>
      <c r="C811" s="1" t="s">
        <v>3603</v>
      </c>
      <c r="D811" s="1"/>
      <c r="E811" s="1">
        <v>2021</v>
      </c>
      <c r="F811" s="1">
        <v>70</v>
      </c>
      <c r="G811" s="1">
        <v>2</v>
      </c>
      <c r="H811" s="79" t="str">
        <f>Tableau1[[#This Row],[Annee d''inscription au programme]]&amp;"-"&amp;Tableau1[[#This Row],[Code d''ecole]]&amp;"-"&amp;Tableau1[[#This Row],[Numero HM de la fille]]</f>
        <v>2021-70-2</v>
      </c>
      <c r="I811" s="1"/>
      <c r="J811" s="1" t="s">
        <v>297</v>
      </c>
      <c r="K811" s="35" t="s">
        <v>298</v>
      </c>
      <c r="L811" s="35">
        <v>12.5</v>
      </c>
      <c r="M811" s="35">
        <v>5.5</v>
      </c>
      <c r="N811" s="35">
        <f t="shared" si="24"/>
        <v>9</v>
      </c>
      <c r="O811" s="35">
        <v>4</v>
      </c>
      <c r="P811" s="35">
        <v>1.5</v>
      </c>
      <c r="Q811" s="35">
        <f t="shared" si="25"/>
        <v>2.75</v>
      </c>
      <c r="R811" s="35"/>
      <c r="S811" s="35"/>
      <c r="T811" s="35"/>
      <c r="U811" s="82" t="e">
        <f>AVERAGE(Tableau1[[#This Row],[1ère composition]:[3è Composition]])</f>
        <v>#DIV/0!</v>
      </c>
    </row>
    <row r="812" spans="1:21" hidden="1" x14ac:dyDescent="0.2">
      <c r="A812" s="1" t="s">
        <v>3490</v>
      </c>
      <c r="B812" s="1" t="s">
        <v>3465</v>
      </c>
      <c r="C812" s="1" t="s">
        <v>3603</v>
      </c>
      <c r="D812" s="1"/>
      <c r="E812" s="1">
        <v>2021</v>
      </c>
      <c r="F812" s="1">
        <v>70</v>
      </c>
      <c r="G812" s="1">
        <v>3</v>
      </c>
      <c r="H812" s="79" t="str">
        <f>Tableau1[[#This Row],[Annee d''inscription au programme]]&amp;"-"&amp;Tableau1[[#This Row],[Code d''ecole]]&amp;"-"&amp;Tableau1[[#This Row],[Numero HM de la fille]]</f>
        <v>2021-70-3</v>
      </c>
      <c r="I812" s="1"/>
      <c r="J812" s="1" t="s">
        <v>297</v>
      </c>
      <c r="K812" s="35" t="s">
        <v>298</v>
      </c>
      <c r="L812" s="35">
        <v>10</v>
      </c>
      <c r="M812" s="35">
        <v>20</v>
      </c>
      <c r="N812" s="35">
        <f t="shared" si="24"/>
        <v>15</v>
      </c>
      <c r="O812" s="35">
        <v>15</v>
      </c>
      <c r="P812" s="35">
        <v>18.5</v>
      </c>
      <c r="Q812" s="35">
        <f t="shared" si="25"/>
        <v>16.75</v>
      </c>
      <c r="R812" s="35"/>
      <c r="S812" s="35"/>
      <c r="T812" s="35"/>
      <c r="U812" s="82" t="e">
        <f>AVERAGE(Tableau1[[#This Row],[1ère composition]:[3è Composition]])</f>
        <v>#DIV/0!</v>
      </c>
    </row>
    <row r="813" spans="1:21" hidden="1" x14ac:dyDescent="0.2">
      <c r="A813" s="1" t="s">
        <v>3490</v>
      </c>
      <c r="B813" s="1" t="s">
        <v>3466</v>
      </c>
      <c r="C813" s="1" t="s">
        <v>3603</v>
      </c>
      <c r="D813" s="1"/>
      <c r="E813" s="1">
        <v>2021</v>
      </c>
      <c r="F813" s="1">
        <v>70</v>
      </c>
      <c r="G813" s="1">
        <v>4</v>
      </c>
      <c r="H813" s="79" t="str">
        <f>Tableau1[[#This Row],[Annee d''inscription au programme]]&amp;"-"&amp;Tableau1[[#This Row],[Code d''ecole]]&amp;"-"&amp;Tableau1[[#This Row],[Numero HM de la fille]]</f>
        <v>2021-70-4</v>
      </c>
      <c r="I813" s="1"/>
      <c r="J813" s="1" t="s">
        <v>297</v>
      </c>
      <c r="K813" s="35" t="s">
        <v>298</v>
      </c>
      <c r="L813" s="35">
        <v>14.5</v>
      </c>
      <c r="M813" s="35">
        <v>11</v>
      </c>
      <c r="N813" s="35">
        <f t="shared" si="24"/>
        <v>12.75</v>
      </c>
      <c r="O813" s="35">
        <v>15</v>
      </c>
      <c r="P813" s="35">
        <v>18.5</v>
      </c>
      <c r="Q813" s="35">
        <f t="shared" si="25"/>
        <v>16.75</v>
      </c>
      <c r="R813" s="35"/>
      <c r="S813" s="35"/>
      <c r="T813" s="35"/>
      <c r="U813" s="82" t="e">
        <f>AVERAGE(Tableau1[[#This Row],[1ère composition]:[3è Composition]])</f>
        <v>#DIV/0!</v>
      </c>
    </row>
    <row r="814" spans="1:21" hidden="1" x14ac:dyDescent="0.2">
      <c r="A814" s="1" t="s">
        <v>3490</v>
      </c>
      <c r="B814" s="1" t="s">
        <v>3467</v>
      </c>
      <c r="C814" s="1" t="s">
        <v>3603</v>
      </c>
      <c r="D814" s="1"/>
      <c r="E814" s="1">
        <v>2021</v>
      </c>
      <c r="F814" s="1">
        <v>70</v>
      </c>
      <c r="G814" s="1">
        <v>5</v>
      </c>
      <c r="H814" s="79" t="str">
        <f>Tableau1[[#This Row],[Annee d''inscription au programme]]&amp;"-"&amp;Tableau1[[#This Row],[Code d''ecole]]&amp;"-"&amp;Tableau1[[#This Row],[Numero HM de la fille]]</f>
        <v>2021-70-5</v>
      </c>
      <c r="I814" s="1"/>
      <c r="J814" s="1" t="s">
        <v>297</v>
      </c>
      <c r="K814" s="35" t="s">
        <v>298</v>
      </c>
      <c r="L814" s="35">
        <v>9.5</v>
      </c>
      <c r="M814" s="35">
        <v>11.5</v>
      </c>
      <c r="N814" s="35">
        <f t="shared" si="24"/>
        <v>10.5</v>
      </c>
      <c r="O814" s="35">
        <v>14</v>
      </c>
      <c r="P814" s="35">
        <v>14</v>
      </c>
      <c r="Q814" s="35">
        <f t="shared" si="25"/>
        <v>14</v>
      </c>
      <c r="R814" s="35"/>
      <c r="S814" s="35"/>
      <c r="T814" s="35"/>
      <c r="U814" s="82" t="e">
        <f>AVERAGE(Tableau1[[#This Row],[1ère composition]:[3è Composition]])</f>
        <v>#DIV/0!</v>
      </c>
    </row>
    <row r="815" spans="1:21" hidden="1" x14ac:dyDescent="0.2">
      <c r="A815" s="1" t="s">
        <v>3490</v>
      </c>
      <c r="B815" s="1" t="s">
        <v>3468</v>
      </c>
      <c r="C815" s="1" t="s">
        <v>3603</v>
      </c>
      <c r="D815" s="1"/>
      <c r="E815" s="1">
        <v>2021</v>
      </c>
      <c r="F815" s="1">
        <v>70</v>
      </c>
      <c r="G815" s="1">
        <v>6</v>
      </c>
      <c r="H815" s="79" t="str">
        <f>Tableau1[[#This Row],[Annee d''inscription au programme]]&amp;"-"&amp;Tableau1[[#This Row],[Code d''ecole]]&amp;"-"&amp;Tableau1[[#This Row],[Numero HM de la fille]]</f>
        <v>2021-70-6</v>
      </c>
      <c r="I815" s="1"/>
      <c r="J815" s="1" t="s">
        <v>297</v>
      </c>
      <c r="K815" s="35" t="s">
        <v>298</v>
      </c>
      <c r="L815" s="35">
        <v>9.5</v>
      </c>
      <c r="M815" s="35">
        <v>10.5</v>
      </c>
      <c r="N815" s="35">
        <f t="shared" si="24"/>
        <v>10</v>
      </c>
      <c r="O815" s="35">
        <v>12</v>
      </c>
      <c r="P815" s="35">
        <v>16</v>
      </c>
      <c r="Q815" s="35">
        <f t="shared" si="25"/>
        <v>14</v>
      </c>
      <c r="R815" s="35"/>
      <c r="S815" s="35"/>
      <c r="T815" s="35"/>
      <c r="U815" s="82" t="e">
        <f>AVERAGE(Tableau1[[#This Row],[1ère composition]:[3è Composition]])</f>
        <v>#DIV/0!</v>
      </c>
    </row>
    <row r="816" spans="1:21" hidden="1" x14ac:dyDescent="0.2">
      <c r="A816" s="1" t="s">
        <v>3490</v>
      </c>
      <c r="B816" s="1" t="s">
        <v>3469</v>
      </c>
      <c r="C816" s="1" t="s">
        <v>3603</v>
      </c>
      <c r="D816" s="1"/>
      <c r="E816" s="1">
        <v>2021</v>
      </c>
      <c r="F816" s="1">
        <v>70</v>
      </c>
      <c r="G816" s="1">
        <v>7</v>
      </c>
      <c r="H816" s="79" t="str">
        <f>Tableau1[[#This Row],[Annee d''inscription au programme]]&amp;"-"&amp;Tableau1[[#This Row],[Code d''ecole]]&amp;"-"&amp;Tableau1[[#This Row],[Numero HM de la fille]]</f>
        <v>2021-70-7</v>
      </c>
      <c r="I816" s="1"/>
      <c r="J816" s="1" t="s">
        <v>297</v>
      </c>
      <c r="K816" s="35" t="s">
        <v>298</v>
      </c>
      <c r="L816" s="35">
        <v>11</v>
      </c>
      <c r="M816" s="35">
        <v>7.5</v>
      </c>
      <c r="N816" s="35">
        <f t="shared" si="24"/>
        <v>9.25</v>
      </c>
      <c r="O816" s="35">
        <v>10.5</v>
      </c>
      <c r="P816" s="35">
        <v>7.5</v>
      </c>
      <c r="Q816" s="35">
        <f t="shared" si="25"/>
        <v>9</v>
      </c>
      <c r="R816" s="35"/>
      <c r="S816" s="35"/>
      <c r="T816" s="35"/>
      <c r="U816" s="82" t="e">
        <f>AVERAGE(Tableau1[[#This Row],[1ère composition]:[3è Composition]])</f>
        <v>#DIV/0!</v>
      </c>
    </row>
    <row r="817" spans="1:21" hidden="1" x14ac:dyDescent="0.2">
      <c r="A817" s="1" t="s">
        <v>3490</v>
      </c>
      <c r="B817" s="1" t="s">
        <v>2986</v>
      </c>
      <c r="C817" s="1" t="s">
        <v>3603</v>
      </c>
      <c r="D817" s="1"/>
      <c r="E817" s="1">
        <v>2021</v>
      </c>
      <c r="F817" s="1">
        <v>70</v>
      </c>
      <c r="G817" s="1">
        <v>8</v>
      </c>
      <c r="H817" s="79" t="str">
        <f>Tableau1[[#This Row],[Annee d''inscription au programme]]&amp;"-"&amp;Tableau1[[#This Row],[Code d''ecole]]&amp;"-"&amp;Tableau1[[#This Row],[Numero HM de la fille]]</f>
        <v>2021-70-8</v>
      </c>
      <c r="I817" s="1"/>
      <c r="J817" s="1" t="s">
        <v>297</v>
      </c>
      <c r="K817" s="35" t="s">
        <v>298</v>
      </c>
      <c r="L817" s="35">
        <v>3.5</v>
      </c>
      <c r="M817" s="35">
        <v>0.5</v>
      </c>
      <c r="N817" s="35">
        <f t="shared" si="24"/>
        <v>2</v>
      </c>
      <c r="O817" s="35">
        <v>3.5</v>
      </c>
      <c r="P817" s="35">
        <v>2</v>
      </c>
      <c r="Q817" s="35">
        <f t="shared" si="25"/>
        <v>2.75</v>
      </c>
      <c r="R817" s="35"/>
      <c r="S817" s="35"/>
      <c r="T817" s="35"/>
      <c r="U817" s="82" t="e">
        <f>AVERAGE(Tableau1[[#This Row],[1ère composition]:[3è Composition]])</f>
        <v>#DIV/0!</v>
      </c>
    </row>
    <row r="818" spans="1:21" hidden="1" x14ac:dyDescent="0.2">
      <c r="A818" s="1" t="s">
        <v>3490</v>
      </c>
      <c r="B818" s="1" t="s">
        <v>3470</v>
      </c>
      <c r="C818" s="1" t="s">
        <v>3603</v>
      </c>
      <c r="D818" s="1"/>
      <c r="E818" s="1">
        <v>2021</v>
      </c>
      <c r="F818" s="1">
        <v>70</v>
      </c>
      <c r="G818" s="1">
        <v>9</v>
      </c>
      <c r="H818" s="79" t="str">
        <f>Tableau1[[#This Row],[Annee d''inscription au programme]]&amp;"-"&amp;Tableau1[[#This Row],[Code d''ecole]]&amp;"-"&amp;Tableau1[[#This Row],[Numero HM de la fille]]</f>
        <v>2021-70-9</v>
      </c>
      <c r="I818" s="1"/>
      <c r="J818" s="1" t="s">
        <v>297</v>
      </c>
      <c r="K818" s="35" t="s">
        <v>298</v>
      </c>
      <c r="L818" s="35">
        <v>17.5</v>
      </c>
      <c r="M818" s="35">
        <v>15</v>
      </c>
      <c r="N818" s="35">
        <f t="shared" si="24"/>
        <v>16.25</v>
      </c>
      <c r="O818" s="35">
        <v>15</v>
      </c>
      <c r="P818" s="35">
        <v>19.5</v>
      </c>
      <c r="Q818" s="35">
        <f t="shared" si="25"/>
        <v>17.25</v>
      </c>
      <c r="R818" s="35"/>
      <c r="S818" s="35"/>
      <c r="T818" s="35"/>
      <c r="U818" s="82" t="e">
        <f>AVERAGE(Tableau1[[#This Row],[1ère composition]:[3è Composition]])</f>
        <v>#DIV/0!</v>
      </c>
    </row>
    <row r="819" spans="1:21" hidden="1" x14ac:dyDescent="0.2">
      <c r="A819" s="1" t="s">
        <v>3490</v>
      </c>
      <c r="B819" s="1" t="s">
        <v>3471</v>
      </c>
      <c r="C819" s="1" t="s">
        <v>3604</v>
      </c>
      <c r="D819" s="1"/>
      <c r="E819" s="1">
        <v>2021</v>
      </c>
      <c r="F819" s="1">
        <v>70</v>
      </c>
      <c r="G819" s="1">
        <v>10</v>
      </c>
      <c r="H819" s="79" t="str">
        <f>Tableau1[[#This Row],[Annee d''inscription au programme]]&amp;"-"&amp;Tableau1[[#This Row],[Code d''ecole]]&amp;"-"&amp;Tableau1[[#This Row],[Numero HM de la fille]]</f>
        <v>2021-70-10</v>
      </c>
      <c r="I819" s="1"/>
      <c r="J819" s="1" t="s">
        <v>297</v>
      </c>
      <c r="K819" s="35" t="s">
        <v>298</v>
      </c>
      <c r="L819" s="35">
        <v>17.5</v>
      </c>
      <c r="M819" s="35">
        <v>10</v>
      </c>
      <c r="N819" s="35">
        <f t="shared" si="24"/>
        <v>13.75</v>
      </c>
      <c r="O819" s="35">
        <v>14</v>
      </c>
      <c r="P819" s="35">
        <v>10</v>
      </c>
      <c r="Q819" s="35">
        <f t="shared" si="25"/>
        <v>12</v>
      </c>
      <c r="R819" s="35"/>
      <c r="S819" s="35"/>
      <c r="T819" s="35"/>
      <c r="U819" s="82" t="e">
        <f>AVERAGE(Tableau1[[#This Row],[1ère composition]:[3è Composition]])</f>
        <v>#DIV/0!</v>
      </c>
    </row>
    <row r="820" spans="1:21" hidden="1" x14ac:dyDescent="0.2">
      <c r="A820" s="1" t="s">
        <v>3490</v>
      </c>
      <c r="B820" s="1" t="s">
        <v>401</v>
      </c>
      <c r="C820" s="1" t="s">
        <v>3603</v>
      </c>
      <c r="D820" s="1"/>
      <c r="E820" s="1">
        <v>2021</v>
      </c>
      <c r="F820" s="1">
        <v>70</v>
      </c>
      <c r="G820" s="1">
        <v>11</v>
      </c>
      <c r="H820" s="79" t="str">
        <f>Tableau1[[#This Row],[Annee d''inscription au programme]]&amp;"-"&amp;Tableau1[[#This Row],[Code d''ecole]]&amp;"-"&amp;Tableau1[[#This Row],[Numero HM de la fille]]</f>
        <v>2021-70-11</v>
      </c>
      <c r="I820" s="1"/>
      <c r="J820" s="1" t="s">
        <v>297</v>
      </c>
      <c r="K820" s="35" t="s">
        <v>298</v>
      </c>
      <c r="L820" s="35">
        <v>11</v>
      </c>
      <c r="M820" s="35">
        <v>8.5</v>
      </c>
      <c r="N820" s="35">
        <f t="shared" si="24"/>
        <v>9.75</v>
      </c>
      <c r="O820" s="35">
        <v>15.5</v>
      </c>
      <c r="P820" s="35">
        <v>14</v>
      </c>
      <c r="Q820" s="35">
        <f t="shared" si="25"/>
        <v>14.75</v>
      </c>
      <c r="R820" s="35"/>
      <c r="S820" s="35"/>
      <c r="T820" s="35"/>
      <c r="U820" s="82" t="e">
        <f>AVERAGE(Tableau1[[#This Row],[1ère composition]:[3è Composition]])</f>
        <v>#DIV/0!</v>
      </c>
    </row>
    <row r="821" spans="1:21" hidden="1" x14ac:dyDescent="0.2">
      <c r="A821" s="1" t="s">
        <v>3490</v>
      </c>
      <c r="B821" s="1" t="s">
        <v>3472</v>
      </c>
      <c r="C821" s="1" t="s">
        <v>3605</v>
      </c>
      <c r="D821" s="1"/>
      <c r="E821" s="1">
        <v>2021</v>
      </c>
      <c r="F821" s="1">
        <v>70</v>
      </c>
      <c r="G821" s="1">
        <v>12</v>
      </c>
      <c r="H821" s="79" t="str">
        <f>Tableau1[[#This Row],[Annee d''inscription au programme]]&amp;"-"&amp;Tableau1[[#This Row],[Code d''ecole]]&amp;"-"&amp;Tableau1[[#This Row],[Numero HM de la fille]]</f>
        <v>2021-70-12</v>
      </c>
      <c r="I821" s="1"/>
      <c r="J821" s="79" t="s">
        <v>297</v>
      </c>
      <c r="K821" s="35" t="s">
        <v>298</v>
      </c>
      <c r="L821" s="35">
        <v>14</v>
      </c>
      <c r="M821" s="35">
        <v>13.5</v>
      </c>
      <c r="N821" s="35">
        <f t="shared" si="24"/>
        <v>13.75</v>
      </c>
      <c r="O821" s="35">
        <v>7</v>
      </c>
      <c r="P821" s="35">
        <v>16.5</v>
      </c>
      <c r="Q821" s="35">
        <f t="shared" si="25"/>
        <v>11.75</v>
      </c>
      <c r="R821" s="35"/>
      <c r="S821" s="35"/>
      <c r="T821" s="35"/>
      <c r="U821" s="82" t="e">
        <f>AVERAGE(Tableau1[[#This Row],[1ère composition]:[3è Composition]])</f>
        <v>#DIV/0!</v>
      </c>
    </row>
    <row r="822" spans="1:21" hidden="1" x14ac:dyDescent="0.2">
      <c r="A822" s="1" t="s">
        <v>3490</v>
      </c>
      <c r="B822" s="1" t="s">
        <v>3473</v>
      </c>
      <c r="C822" s="1" t="s">
        <v>3603</v>
      </c>
      <c r="D822" s="1"/>
      <c r="E822" s="1">
        <v>2021</v>
      </c>
      <c r="F822" s="1">
        <v>70</v>
      </c>
      <c r="G822" s="1">
        <v>13</v>
      </c>
      <c r="H822" s="79" t="str">
        <f>Tableau1[[#This Row],[Annee d''inscription au programme]]&amp;"-"&amp;Tableau1[[#This Row],[Code d''ecole]]&amp;"-"&amp;Tableau1[[#This Row],[Numero HM de la fille]]</f>
        <v>2021-70-13</v>
      </c>
      <c r="I822" s="1"/>
      <c r="J822" s="1" t="s">
        <v>297</v>
      </c>
      <c r="K822" s="35" t="s">
        <v>298</v>
      </c>
      <c r="L822" s="35">
        <v>9</v>
      </c>
      <c r="M822" s="35">
        <v>11.5</v>
      </c>
      <c r="N822" s="35">
        <f t="shared" si="24"/>
        <v>10.25</v>
      </c>
      <c r="O822" s="35">
        <v>8.5</v>
      </c>
      <c r="P822" s="35">
        <v>2.5</v>
      </c>
      <c r="Q822" s="35">
        <f t="shared" si="25"/>
        <v>5.5</v>
      </c>
      <c r="R822" s="35"/>
      <c r="S822" s="35"/>
      <c r="T822" s="35"/>
      <c r="U822" s="82" t="e">
        <f>AVERAGE(Tableau1[[#This Row],[1ère composition]:[3è Composition]])</f>
        <v>#DIV/0!</v>
      </c>
    </row>
    <row r="823" spans="1:21" hidden="1" x14ac:dyDescent="0.2">
      <c r="A823" s="1" t="s">
        <v>3490</v>
      </c>
      <c r="B823" s="1" t="s">
        <v>3474</v>
      </c>
      <c r="C823" s="1" t="s">
        <v>3603</v>
      </c>
      <c r="D823" s="1"/>
      <c r="E823" s="1">
        <v>2021</v>
      </c>
      <c r="F823" s="1">
        <v>70</v>
      </c>
      <c r="G823" s="1">
        <v>14</v>
      </c>
      <c r="H823" s="79" t="str">
        <f>Tableau1[[#This Row],[Annee d''inscription au programme]]&amp;"-"&amp;Tableau1[[#This Row],[Code d''ecole]]&amp;"-"&amp;Tableau1[[#This Row],[Numero HM de la fille]]</f>
        <v>2021-70-14</v>
      </c>
      <c r="I823" s="1"/>
      <c r="J823" s="1" t="s">
        <v>297</v>
      </c>
      <c r="K823" s="35" t="s">
        <v>298</v>
      </c>
      <c r="L823" s="35">
        <v>8.5</v>
      </c>
      <c r="M823" s="35">
        <v>2</v>
      </c>
      <c r="N823" s="35">
        <f t="shared" si="24"/>
        <v>5.25</v>
      </c>
      <c r="O823" s="35">
        <v>16.5</v>
      </c>
      <c r="P823" s="35">
        <v>16</v>
      </c>
      <c r="Q823" s="35">
        <f t="shared" si="25"/>
        <v>16.25</v>
      </c>
      <c r="R823" s="35"/>
      <c r="S823" s="35"/>
      <c r="T823" s="35"/>
      <c r="U823" s="82" t="e">
        <f>AVERAGE(Tableau1[[#This Row],[1ère composition]:[3è Composition]])</f>
        <v>#DIV/0!</v>
      </c>
    </row>
    <row r="824" spans="1:21" hidden="1" x14ac:dyDescent="0.2">
      <c r="A824" s="1" t="s">
        <v>3490</v>
      </c>
      <c r="B824" s="1" t="s">
        <v>3475</v>
      </c>
      <c r="C824" s="1" t="s">
        <v>3603</v>
      </c>
      <c r="D824" s="1"/>
      <c r="E824" s="1">
        <v>2021</v>
      </c>
      <c r="F824" s="1">
        <v>70</v>
      </c>
      <c r="G824" s="1">
        <v>15</v>
      </c>
      <c r="H824" s="79" t="str">
        <f>Tableau1[[#This Row],[Annee d''inscription au programme]]&amp;"-"&amp;Tableau1[[#This Row],[Code d''ecole]]&amp;"-"&amp;Tableau1[[#This Row],[Numero HM de la fille]]</f>
        <v>2021-70-15</v>
      </c>
      <c r="I824" s="1"/>
      <c r="J824" s="1" t="s">
        <v>297</v>
      </c>
      <c r="K824" s="35" t="s">
        <v>298</v>
      </c>
      <c r="L824" s="35">
        <v>17</v>
      </c>
      <c r="M824" s="35">
        <v>11</v>
      </c>
      <c r="N824" s="35">
        <f t="shared" si="24"/>
        <v>14</v>
      </c>
      <c r="O824" s="35">
        <v>7</v>
      </c>
      <c r="P824" s="35">
        <v>4</v>
      </c>
      <c r="Q824" s="35">
        <f t="shared" si="25"/>
        <v>5.5</v>
      </c>
      <c r="R824" s="35"/>
      <c r="S824" s="35"/>
      <c r="T824" s="35"/>
      <c r="U824" s="82" t="e">
        <f>AVERAGE(Tableau1[[#This Row],[1ère composition]:[3è Composition]])</f>
        <v>#DIV/0!</v>
      </c>
    </row>
    <row r="825" spans="1:21" hidden="1" x14ac:dyDescent="0.2">
      <c r="A825" s="1" t="s">
        <v>3490</v>
      </c>
      <c r="B825" s="1" t="s">
        <v>997</v>
      </c>
      <c r="C825" s="1" t="s">
        <v>3603</v>
      </c>
      <c r="D825" s="1"/>
      <c r="E825" s="1">
        <v>2021</v>
      </c>
      <c r="F825" s="1">
        <v>70</v>
      </c>
      <c r="G825" s="1">
        <v>16</v>
      </c>
      <c r="H825" s="79" t="str">
        <f>Tableau1[[#This Row],[Annee d''inscription au programme]]&amp;"-"&amp;Tableau1[[#This Row],[Code d''ecole]]&amp;"-"&amp;Tableau1[[#This Row],[Numero HM de la fille]]</f>
        <v>2021-70-16</v>
      </c>
      <c r="I825" s="1"/>
      <c r="J825" s="1" t="s">
        <v>297</v>
      </c>
      <c r="K825" s="35" t="s">
        <v>298</v>
      </c>
      <c r="L825" s="35">
        <v>3</v>
      </c>
      <c r="M825" s="35">
        <v>8.5</v>
      </c>
      <c r="N825" s="35">
        <f t="shared" si="24"/>
        <v>5.75</v>
      </c>
      <c r="O825" s="35">
        <v>0</v>
      </c>
      <c r="P825" s="35"/>
      <c r="Q825" s="35">
        <f t="shared" si="25"/>
        <v>0</v>
      </c>
      <c r="R825" s="35"/>
      <c r="S825" s="35"/>
      <c r="T825" s="35"/>
      <c r="U825" s="82" t="e">
        <f>AVERAGE(Tableau1[[#This Row],[1ère composition]:[3è Composition]])</f>
        <v>#DIV/0!</v>
      </c>
    </row>
    <row r="826" spans="1:21" hidden="1" x14ac:dyDescent="0.2">
      <c r="A826" s="1" t="s">
        <v>3490</v>
      </c>
      <c r="B826" s="1" t="s">
        <v>3476</v>
      </c>
      <c r="C826" s="1" t="s">
        <v>3603</v>
      </c>
      <c r="D826" s="1"/>
      <c r="E826" s="1">
        <v>2021</v>
      </c>
      <c r="F826" s="1">
        <v>70</v>
      </c>
      <c r="G826" s="1">
        <v>17</v>
      </c>
      <c r="H826" s="79" t="str">
        <f>Tableau1[[#This Row],[Annee d''inscription au programme]]&amp;"-"&amp;Tableau1[[#This Row],[Code d''ecole]]&amp;"-"&amp;Tableau1[[#This Row],[Numero HM de la fille]]</f>
        <v>2021-70-17</v>
      </c>
      <c r="I826" s="1"/>
      <c r="J826" s="1" t="s">
        <v>297</v>
      </c>
      <c r="K826" s="35" t="s">
        <v>298</v>
      </c>
      <c r="L826" s="35">
        <v>1</v>
      </c>
      <c r="M826" s="35">
        <v>2</v>
      </c>
      <c r="N826" s="35">
        <f t="shared" si="24"/>
        <v>1.5</v>
      </c>
      <c r="O826" s="35">
        <v>9.5</v>
      </c>
      <c r="P826" s="35">
        <v>4.5</v>
      </c>
      <c r="Q826" s="35">
        <f t="shared" si="25"/>
        <v>7</v>
      </c>
      <c r="R826" s="35"/>
      <c r="S826" s="35"/>
      <c r="T826" s="35"/>
      <c r="U826" s="82" t="e">
        <f>AVERAGE(Tableau1[[#This Row],[1ère composition]:[3è Composition]])</f>
        <v>#DIV/0!</v>
      </c>
    </row>
    <row r="827" spans="1:21" hidden="1" x14ac:dyDescent="0.2">
      <c r="A827" s="1" t="s">
        <v>3490</v>
      </c>
      <c r="B827" s="1" t="s">
        <v>3477</v>
      </c>
      <c r="C827" s="1" t="s">
        <v>3603</v>
      </c>
      <c r="D827" s="1"/>
      <c r="E827" s="1">
        <v>2021</v>
      </c>
      <c r="F827" s="1">
        <v>70</v>
      </c>
      <c r="G827" s="1">
        <v>18</v>
      </c>
      <c r="H827" s="79" t="str">
        <f>Tableau1[[#This Row],[Annee d''inscription au programme]]&amp;"-"&amp;Tableau1[[#This Row],[Code d''ecole]]&amp;"-"&amp;Tableau1[[#This Row],[Numero HM de la fille]]</f>
        <v>2021-70-18</v>
      </c>
      <c r="I827" s="1"/>
      <c r="J827" s="1" t="s">
        <v>297</v>
      </c>
      <c r="K827" s="35" t="s">
        <v>298</v>
      </c>
      <c r="L827" s="35">
        <v>12.5</v>
      </c>
      <c r="M827" s="35">
        <v>3.25</v>
      </c>
      <c r="N827" s="35">
        <f t="shared" si="24"/>
        <v>7.875</v>
      </c>
      <c r="O827" s="35">
        <v>2</v>
      </c>
      <c r="P827" s="35">
        <v>0</v>
      </c>
      <c r="Q827" s="35">
        <f t="shared" si="25"/>
        <v>1</v>
      </c>
      <c r="R827" s="35"/>
      <c r="S827" s="35"/>
      <c r="T827" s="35"/>
      <c r="U827" s="82" t="e">
        <f>AVERAGE(Tableau1[[#This Row],[1ère composition]:[3è Composition]])</f>
        <v>#DIV/0!</v>
      </c>
    </row>
    <row r="828" spans="1:21" hidden="1" x14ac:dyDescent="0.2">
      <c r="A828" s="1" t="s">
        <v>3490</v>
      </c>
      <c r="B828" s="1" t="s">
        <v>3478</v>
      </c>
      <c r="C828" s="1" t="s">
        <v>3603</v>
      </c>
      <c r="D828" s="1"/>
      <c r="E828" s="1">
        <v>2021</v>
      </c>
      <c r="F828" s="1">
        <v>70</v>
      </c>
      <c r="G828" s="1">
        <v>19</v>
      </c>
      <c r="H828" s="79" t="str">
        <f>Tableau1[[#This Row],[Annee d''inscription au programme]]&amp;"-"&amp;Tableau1[[#This Row],[Code d''ecole]]&amp;"-"&amp;Tableau1[[#This Row],[Numero HM de la fille]]</f>
        <v>2021-70-19</v>
      </c>
      <c r="I828" s="1"/>
      <c r="J828" s="1" t="s">
        <v>297</v>
      </c>
      <c r="K828" s="35" t="s">
        <v>298</v>
      </c>
      <c r="L828" s="35">
        <v>11</v>
      </c>
      <c r="M828" s="35">
        <v>3</v>
      </c>
      <c r="N828" s="35">
        <f t="shared" si="24"/>
        <v>7</v>
      </c>
      <c r="O828" s="35">
        <v>14</v>
      </c>
      <c r="P828" s="35">
        <v>15.5</v>
      </c>
      <c r="Q828" s="35">
        <f t="shared" si="25"/>
        <v>14.75</v>
      </c>
      <c r="R828" s="35"/>
      <c r="S828" s="35"/>
      <c r="T828" s="35"/>
      <c r="U828" s="82" t="e">
        <f>AVERAGE(Tableau1[[#This Row],[1ère composition]:[3è Composition]])</f>
        <v>#DIV/0!</v>
      </c>
    </row>
    <row r="829" spans="1:21" hidden="1" x14ac:dyDescent="0.2">
      <c r="A829" s="1" t="s">
        <v>3490</v>
      </c>
      <c r="B829" s="1" t="s">
        <v>2867</v>
      </c>
      <c r="C829" s="1" t="s">
        <v>3603</v>
      </c>
      <c r="D829" s="1"/>
      <c r="E829" s="1">
        <v>2021</v>
      </c>
      <c r="F829" s="1">
        <v>70</v>
      </c>
      <c r="G829" s="1">
        <v>20</v>
      </c>
      <c r="H829" s="79" t="str">
        <f>Tableau1[[#This Row],[Annee d''inscription au programme]]&amp;"-"&amp;Tableau1[[#This Row],[Code d''ecole]]&amp;"-"&amp;Tableau1[[#This Row],[Numero HM de la fille]]</f>
        <v>2021-70-20</v>
      </c>
      <c r="I829" s="1"/>
      <c r="J829" s="1" t="s">
        <v>297</v>
      </c>
      <c r="K829" s="35" t="s">
        <v>298</v>
      </c>
      <c r="L829" s="35">
        <v>14</v>
      </c>
      <c r="M829" s="35">
        <v>5</v>
      </c>
      <c r="N829" s="35">
        <f t="shared" si="24"/>
        <v>9.5</v>
      </c>
      <c r="O829" s="35">
        <v>10</v>
      </c>
      <c r="P829" s="35">
        <v>4.5</v>
      </c>
      <c r="Q829" s="35">
        <f t="shared" si="25"/>
        <v>7.25</v>
      </c>
      <c r="R829" s="35"/>
      <c r="S829" s="35"/>
      <c r="T829" s="35"/>
      <c r="U829" s="82" t="e">
        <f>AVERAGE(Tableau1[[#This Row],[1ère composition]:[3è Composition]])</f>
        <v>#DIV/0!</v>
      </c>
    </row>
    <row r="830" spans="1:21" hidden="1" x14ac:dyDescent="0.2">
      <c r="A830" s="1" t="s">
        <v>3490</v>
      </c>
      <c r="B830" s="1" t="s">
        <v>3479</v>
      </c>
      <c r="C830" s="1" t="s">
        <v>3606</v>
      </c>
      <c r="D830" s="1"/>
      <c r="E830" s="1">
        <v>2021</v>
      </c>
      <c r="F830" s="1">
        <v>70</v>
      </c>
      <c r="G830" s="1">
        <v>21</v>
      </c>
      <c r="H830" s="79" t="str">
        <f>Tableau1[[#This Row],[Annee d''inscription au programme]]&amp;"-"&amp;Tableau1[[#This Row],[Code d''ecole]]&amp;"-"&amp;Tableau1[[#This Row],[Numero HM de la fille]]</f>
        <v>2021-70-21</v>
      </c>
      <c r="I830" s="1"/>
      <c r="J830" s="1" t="s">
        <v>297</v>
      </c>
      <c r="K830" s="35" t="s">
        <v>298</v>
      </c>
      <c r="L830" s="35">
        <v>18</v>
      </c>
      <c r="M830" s="35">
        <v>15.5</v>
      </c>
      <c r="N830" s="35">
        <f t="shared" si="24"/>
        <v>16.75</v>
      </c>
      <c r="O830" s="35">
        <v>6.5</v>
      </c>
      <c r="P830" s="35">
        <v>0.5</v>
      </c>
      <c r="Q830" s="35">
        <f t="shared" si="25"/>
        <v>3.5</v>
      </c>
      <c r="R830" s="35"/>
      <c r="S830" s="35"/>
      <c r="T830" s="35"/>
      <c r="U830" s="82" t="e">
        <f>AVERAGE(Tableau1[[#This Row],[1ère composition]:[3è Composition]])</f>
        <v>#DIV/0!</v>
      </c>
    </row>
    <row r="831" spans="1:21" hidden="1" x14ac:dyDescent="0.2">
      <c r="A831" s="1" t="s">
        <v>3490</v>
      </c>
      <c r="B831" s="1" t="s">
        <v>3480</v>
      </c>
      <c r="C831" s="1" t="s">
        <v>3603</v>
      </c>
      <c r="D831" s="1"/>
      <c r="E831" s="1">
        <v>2021</v>
      </c>
      <c r="F831" s="1">
        <v>70</v>
      </c>
      <c r="G831" s="1">
        <v>22</v>
      </c>
      <c r="H831" s="79" t="str">
        <f>Tableau1[[#This Row],[Annee d''inscription au programme]]&amp;"-"&amp;Tableau1[[#This Row],[Code d''ecole]]&amp;"-"&amp;Tableau1[[#This Row],[Numero HM de la fille]]</f>
        <v>2021-70-22</v>
      </c>
      <c r="I831" s="1"/>
      <c r="J831" s="1" t="s">
        <v>297</v>
      </c>
      <c r="K831" s="35" t="s">
        <v>298</v>
      </c>
      <c r="L831" s="35">
        <v>14</v>
      </c>
      <c r="M831" s="35">
        <v>8.5</v>
      </c>
      <c r="N831" s="35">
        <f t="shared" si="24"/>
        <v>11.25</v>
      </c>
      <c r="O831" s="35">
        <v>12.5</v>
      </c>
      <c r="P831" s="35">
        <v>13</v>
      </c>
      <c r="Q831" s="35">
        <f t="shared" si="25"/>
        <v>12.75</v>
      </c>
      <c r="R831" s="35"/>
      <c r="S831" s="35"/>
      <c r="T831" s="35"/>
      <c r="U831" s="82" t="e">
        <f>AVERAGE(Tableau1[[#This Row],[1ère composition]:[3è Composition]])</f>
        <v>#DIV/0!</v>
      </c>
    </row>
    <row r="832" spans="1:21" hidden="1" x14ac:dyDescent="0.2">
      <c r="A832" s="1" t="s">
        <v>3490</v>
      </c>
      <c r="B832" s="1" t="s">
        <v>3481</v>
      </c>
      <c r="C832" s="1" t="s">
        <v>3603</v>
      </c>
      <c r="D832" s="1"/>
      <c r="E832" s="1">
        <v>2021</v>
      </c>
      <c r="F832" s="1">
        <v>70</v>
      </c>
      <c r="G832" s="1">
        <v>23</v>
      </c>
      <c r="H832" s="79" t="str">
        <f>Tableau1[[#This Row],[Annee d''inscription au programme]]&amp;"-"&amp;Tableau1[[#This Row],[Code d''ecole]]&amp;"-"&amp;Tableau1[[#This Row],[Numero HM de la fille]]</f>
        <v>2021-70-23</v>
      </c>
      <c r="I832" s="1"/>
      <c r="J832" s="1" t="s">
        <v>297</v>
      </c>
      <c r="K832" s="35" t="s">
        <v>298</v>
      </c>
      <c r="L832" s="35">
        <v>8.5</v>
      </c>
      <c r="M832" s="35">
        <v>5</v>
      </c>
      <c r="N832" s="35">
        <f t="shared" si="24"/>
        <v>6.75</v>
      </c>
      <c r="O832" s="35">
        <v>0</v>
      </c>
      <c r="P832" s="35"/>
      <c r="Q832" s="35">
        <f t="shared" si="25"/>
        <v>0</v>
      </c>
      <c r="R832" s="35"/>
      <c r="S832" s="35"/>
      <c r="T832" s="35"/>
      <c r="U832" s="82" t="e">
        <f>AVERAGE(Tableau1[[#This Row],[1ère composition]:[3è Composition]])</f>
        <v>#DIV/0!</v>
      </c>
    </row>
    <row r="833" spans="1:21" hidden="1" x14ac:dyDescent="0.2">
      <c r="A833" s="1" t="s">
        <v>67</v>
      </c>
      <c r="B833" s="1" t="s">
        <v>2276</v>
      </c>
      <c r="C833" s="1" t="s">
        <v>3608</v>
      </c>
      <c r="D833" s="1"/>
      <c r="E833" s="1">
        <v>2021</v>
      </c>
      <c r="F833" s="1">
        <v>28</v>
      </c>
      <c r="G833" s="1">
        <v>1</v>
      </c>
      <c r="H833" s="79" t="str">
        <f>Tableau1[[#This Row],[Annee d''inscription au programme]]&amp;"-"&amp;Tableau1[[#This Row],[Code d''ecole]]&amp;"-"&amp;Tableau1[[#This Row],[Numero HM de la fille]]</f>
        <v>2021-28-1</v>
      </c>
      <c r="I833" s="1"/>
      <c r="J833" s="1" t="s">
        <v>297</v>
      </c>
      <c r="K833" s="35" t="s">
        <v>298</v>
      </c>
      <c r="L833" s="35">
        <v>0</v>
      </c>
      <c r="M833" s="35">
        <v>0</v>
      </c>
      <c r="N833" s="35">
        <f t="shared" si="24"/>
        <v>0</v>
      </c>
      <c r="O833" s="35">
        <v>14</v>
      </c>
      <c r="P833" s="35">
        <v>13.5</v>
      </c>
      <c r="Q833" s="35">
        <f t="shared" si="25"/>
        <v>13.75</v>
      </c>
      <c r="R833" s="35"/>
      <c r="S833" s="35"/>
      <c r="T833" s="35"/>
      <c r="U833" s="82" t="e">
        <f>AVERAGE(Tableau1[[#This Row],[1ère composition]:[3è Composition]])</f>
        <v>#DIV/0!</v>
      </c>
    </row>
    <row r="834" spans="1:21" hidden="1" x14ac:dyDescent="0.2">
      <c r="A834" s="1" t="s">
        <v>67</v>
      </c>
      <c r="B834" s="1" t="s">
        <v>2898</v>
      </c>
      <c r="C834" s="1" t="s">
        <v>3608</v>
      </c>
      <c r="D834" s="1"/>
      <c r="E834" s="1">
        <v>2021</v>
      </c>
      <c r="F834" s="1">
        <v>28</v>
      </c>
      <c r="G834" s="1">
        <v>2</v>
      </c>
      <c r="H834" s="79" t="str">
        <f>Tableau1[[#This Row],[Annee d''inscription au programme]]&amp;"-"&amp;Tableau1[[#This Row],[Code d''ecole]]&amp;"-"&amp;Tableau1[[#This Row],[Numero HM de la fille]]</f>
        <v>2021-28-2</v>
      </c>
      <c r="I834" s="1"/>
      <c r="J834" s="1" t="s">
        <v>297</v>
      </c>
      <c r="K834" s="35" t="s">
        <v>298</v>
      </c>
      <c r="L834" s="35">
        <v>16.5</v>
      </c>
      <c r="M834" s="35">
        <v>17</v>
      </c>
      <c r="N834" s="35">
        <f t="shared" si="24"/>
        <v>16.75</v>
      </c>
      <c r="O834" s="35">
        <v>17</v>
      </c>
      <c r="P834" s="35">
        <v>19</v>
      </c>
      <c r="Q834" s="35">
        <f t="shared" si="25"/>
        <v>18</v>
      </c>
      <c r="R834" s="35"/>
      <c r="S834" s="35"/>
      <c r="T834" s="35"/>
      <c r="U834" s="82" t="e">
        <f>AVERAGE(Tableau1[[#This Row],[1ère composition]:[3è Composition]])</f>
        <v>#DIV/0!</v>
      </c>
    </row>
    <row r="835" spans="1:21" hidden="1" x14ac:dyDescent="0.2">
      <c r="A835" s="1" t="s">
        <v>67</v>
      </c>
      <c r="B835" s="1" t="s">
        <v>3482</v>
      </c>
      <c r="C835" s="1" t="s">
        <v>3608</v>
      </c>
      <c r="D835" s="1"/>
      <c r="E835" s="1">
        <v>2021</v>
      </c>
      <c r="F835" s="1">
        <v>28</v>
      </c>
      <c r="G835" s="1">
        <v>3</v>
      </c>
      <c r="H835" s="79" t="str">
        <f>Tableau1[[#This Row],[Annee d''inscription au programme]]&amp;"-"&amp;Tableau1[[#This Row],[Code d''ecole]]&amp;"-"&amp;Tableau1[[#This Row],[Numero HM de la fille]]</f>
        <v>2021-28-3</v>
      </c>
      <c r="I835" s="1"/>
      <c r="J835" s="1" t="s">
        <v>297</v>
      </c>
      <c r="K835" s="35" t="s">
        <v>298</v>
      </c>
      <c r="L835" s="35">
        <v>2.5</v>
      </c>
      <c r="M835" s="35">
        <v>5.5</v>
      </c>
      <c r="N835" s="35">
        <f t="shared" si="24"/>
        <v>4</v>
      </c>
      <c r="O835" s="35">
        <v>4</v>
      </c>
      <c r="P835" s="35">
        <v>7.75</v>
      </c>
      <c r="Q835" s="35">
        <f t="shared" si="25"/>
        <v>5.875</v>
      </c>
      <c r="R835" s="35"/>
      <c r="S835" s="35"/>
      <c r="T835" s="35"/>
      <c r="U835" s="82" t="e">
        <f>AVERAGE(Tableau1[[#This Row],[1ère composition]:[3è Composition]])</f>
        <v>#DIV/0!</v>
      </c>
    </row>
    <row r="836" spans="1:21" hidden="1" x14ac:dyDescent="0.2">
      <c r="A836" s="1" t="s">
        <v>67</v>
      </c>
      <c r="B836" s="1" t="s">
        <v>3483</v>
      </c>
      <c r="C836" s="1" t="s">
        <v>3608</v>
      </c>
      <c r="D836" s="1"/>
      <c r="E836" s="1">
        <v>2021</v>
      </c>
      <c r="F836" s="1">
        <v>28</v>
      </c>
      <c r="G836" s="1">
        <v>4</v>
      </c>
      <c r="H836" s="79" t="str">
        <f>Tableau1[[#This Row],[Annee d''inscription au programme]]&amp;"-"&amp;Tableau1[[#This Row],[Code d''ecole]]&amp;"-"&amp;Tableau1[[#This Row],[Numero HM de la fille]]</f>
        <v>2021-28-4</v>
      </c>
      <c r="I836" s="1"/>
      <c r="J836" s="1" t="s">
        <v>297</v>
      </c>
      <c r="K836" s="35" t="s">
        <v>298</v>
      </c>
      <c r="L836" s="35">
        <v>4.5</v>
      </c>
      <c r="M836" s="35">
        <v>3.5</v>
      </c>
      <c r="N836" s="35">
        <f t="shared" si="24"/>
        <v>4</v>
      </c>
      <c r="O836" s="35">
        <v>4</v>
      </c>
      <c r="P836" s="35">
        <v>7</v>
      </c>
      <c r="Q836" s="35">
        <f t="shared" si="25"/>
        <v>5.5</v>
      </c>
      <c r="R836" s="35"/>
      <c r="S836" s="35"/>
      <c r="T836" s="35"/>
      <c r="U836" s="82" t="e">
        <f>AVERAGE(Tableau1[[#This Row],[1ère composition]:[3è Composition]])</f>
        <v>#DIV/0!</v>
      </c>
    </row>
    <row r="837" spans="1:21" hidden="1" x14ac:dyDescent="0.2">
      <c r="A837" s="1" t="s">
        <v>67</v>
      </c>
      <c r="B837" s="1" t="s">
        <v>3484</v>
      </c>
      <c r="C837" s="1" t="s">
        <v>3608</v>
      </c>
      <c r="D837" s="1"/>
      <c r="E837" s="1">
        <v>2021</v>
      </c>
      <c r="F837" s="1">
        <v>28</v>
      </c>
      <c r="G837" s="1">
        <v>5</v>
      </c>
      <c r="H837" s="79" t="str">
        <f>Tableau1[[#This Row],[Annee d''inscription au programme]]&amp;"-"&amp;Tableau1[[#This Row],[Code d''ecole]]&amp;"-"&amp;Tableau1[[#This Row],[Numero HM de la fille]]</f>
        <v>2021-28-5</v>
      </c>
      <c r="I837" s="1"/>
      <c r="J837" s="1" t="s">
        <v>297</v>
      </c>
      <c r="K837" s="35" t="s">
        <v>298</v>
      </c>
      <c r="L837" s="35">
        <v>2</v>
      </c>
      <c r="M837" s="35">
        <v>2.5</v>
      </c>
      <c r="N837" s="35">
        <f t="shared" ref="N837:N850" si="26" xml:space="preserve"> AVERAGE(L837+M837)/2</f>
        <v>2.25</v>
      </c>
      <c r="O837" s="35">
        <v>7</v>
      </c>
      <c r="P837" s="35">
        <v>0.5</v>
      </c>
      <c r="Q837" s="35">
        <f t="shared" ref="Q837:Q850" si="27">AVERAGE(O837+P837)/2</f>
        <v>3.75</v>
      </c>
      <c r="R837" s="35"/>
      <c r="S837" s="35"/>
      <c r="T837" s="35"/>
      <c r="U837" s="82" t="e">
        <f>AVERAGE(Tableau1[[#This Row],[1ère composition]:[3è Composition]])</f>
        <v>#DIV/0!</v>
      </c>
    </row>
    <row r="838" spans="1:21" hidden="1" x14ac:dyDescent="0.2">
      <c r="A838" s="1" t="s">
        <v>67</v>
      </c>
      <c r="B838" s="1" t="s">
        <v>3485</v>
      </c>
      <c r="C838" s="1" t="s">
        <v>3608</v>
      </c>
      <c r="D838" s="1"/>
      <c r="E838" s="1">
        <v>2021</v>
      </c>
      <c r="F838" s="1">
        <v>28</v>
      </c>
      <c r="G838" s="1">
        <v>6</v>
      </c>
      <c r="H838" s="79" t="str">
        <f>Tableau1[[#This Row],[Annee d''inscription au programme]]&amp;"-"&amp;Tableau1[[#This Row],[Code d''ecole]]&amp;"-"&amp;Tableau1[[#This Row],[Numero HM de la fille]]</f>
        <v>2021-28-6</v>
      </c>
      <c r="I838" s="1"/>
      <c r="J838" s="1" t="s">
        <v>297</v>
      </c>
      <c r="K838" s="35" t="s">
        <v>298</v>
      </c>
      <c r="L838" s="35">
        <v>10</v>
      </c>
      <c r="M838" s="35">
        <v>7.75</v>
      </c>
      <c r="N838" s="35">
        <f t="shared" si="26"/>
        <v>8.875</v>
      </c>
      <c r="O838" s="35">
        <v>10</v>
      </c>
      <c r="P838" s="35">
        <v>9.5</v>
      </c>
      <c r="Q838" s="35">
        <f t="shared" si="27"/>
        <v>9.75</v>
      </c>
      <c r="R838" s="35"/>
      <c r="S838" s="35"/>
      <c r="T838" s="35"/>
      <c r="U838" s="82" t="e">
        <f>AVERAGE(Tableau1[[#This Row],[1ère composition]:[3è Composition]])</f>
        <v>#DIV/0!</v>
      </c>
    </row>
    <row r="839" spans="1:21" hidden="1" x14ac:dyDescent="0.2">
      <c r="A839" s="1" t="s">
        <v>67</v>
      </c>
      <c r="B839" s="1" t="s">
        <v>3486</v>
      </c>
      <c r="C839" s="1" t="s">
        <v>3608</v>
      </c>
      <c r="D839" s="1"/>
      <c r="E839" s="1">
        <v>2021</v>
      </c>
      <c r="F839" s="1">
        <v>28</v>
      </c>
      <c r="G839" s="1">
        <v>7</v>
      </c>
      <c r="H839" s="79" t="str">
        <f>Tableau1[[#This Row],[Annee d''inscription au programme]]&amp;"-"&amp;Tableau1[[#This Row],[Code d''ecole]]&amp;"-"&amp;Tableau1[[#This Row],[Numero HM de la fille]]</f>
        <v>2021-28-7</v>
      </c>
      <c r="I839" s="1"/>
      <c r="J839" s="1" t="s">
        <v>297</v>
      </c>
      <c r="K839" s="35" t="s">
        <v>298</v>
      </c>
      <c r="L839" s="35">
        <v>3.25</v>
      </c>
      <c r="M839" s="35">
        <v>0.75</v>
      </c>
      <c r="N839" s="35">
        <f t="shared" si="26"/>
        <v>2</v>
      </c>
      <c r="O839" s="35">
        <v>2</v>
      </c>
      <c r="P839" s="35">
        <v>1</v>
      </c>
      <c r="Q839" s="35">
        <f t="shared" si="27"/>
        <v>1.5</v>
      </c>
      <c r="R839" s="35"/>
      <c r="S839" s="35"/>
      <c r="T839" s="35"/>
      <c r="U839" s="82" t="e">
        <f>AVERAGE(Tableau1[[#This Row],[1ère composition]:[3è Composition]])</f>
        <v>#DIV/0!</v>
      </c>
    </row>
    <row r="840" spans="1:21" hidden="1" x14ac:dyDescent="0.2">
      <c r="A840" s="1" t="s">
        <v>67</v>
      </c>
      <c r="B840" s="1" t="s">
        <v>2902</v>
      </c>
      <c r="C840" s="1" t="s">
        <v>3608</v>
      </c>
      <c r="D840" s="1"/>
      <c r="E840" s="1">
        <v>2021</v>
      </c>
      <c r="F840" s="1">
        <v>28</v>
      </c>
      <c r="G840" s="1">
        <v>8</v>
      </c>
      <c r="H840" s="79" t="str">
        <f>Tableau1[[#This Row],[Annee d''inscription au programme]]&amp;"-"&amp;Tableau1[[#This Row],[Code d''ecole]]&amp;"-"&amp;Tableau1[[#This Row],[Numero HM de la fille]]</f>
        <v>2021-28-8</v>
      </c>
      <c r="I840" s="1"/>
      <c r="J840" s="1" t="s">
        <v>297</v>
      </c>
      <c r="K840" s="35" t="s">
        <v>298</v>
      </c>
      <c r="L840" s="35">
        <v>11</v>
      </c>
      <c r="M840" s="35">
        <v>6.5</v>
      </c>
      <c r="N840" s="35">
        <f t="shared" si="26"/>
        <v>8.75</v>
      </c>
      <c r="O840" s="35">
        <v>9.5</v>
      </c>
      <c r="P840" s="35">
        <v>4.5</v>
      </c>
      <c r="Q840" s="35">
        <f t="shared" si="27"/>
        <v>7</v>
      </c>
      <c r="R840" s="35"/>
      <c r="S840" s="35"/>
      <c r="T840" s="35"/>
      <c r="U840" s="82" t="e">
        <f>AVERAGE(Tableau1[[#This Row],[1ère composition]:[3è Composition]])</f>
        <v>#DIV/0!</v>
      </c>
    </row>
    <row r="841" spans="1:21" hidden="1" x14ac:dyDescent="0.2">
      <c r="A841" s="1" t="s">
        <v>67</v>
      </c>
      <c r="B841" s="1" t="s">
        <v>3487</v>
      </c>
      <c r="C841" s="1" t="s">
        <v>3608</v>
      </c>
      <c r="D841" s="1"/>
      <c r="E841" s="1">
        <v>2021</v>
      </c>
      <c r="F841" s="1">
        <v>28</v>
      </c>
      <c r="G841" s="1">
        <v>9</v>
      </c>
      <c r="H841" s="79" t="str">
        <f>Tableau1[[#This Row],[Annee d''inscription au programme]]&amp;"-"&amp;Tableau1[[#This Row],[Code d''ecole]]&amp;"-"&amp;Tableau1[[#This Row],[Numero HM de la fille]]</f>
        <v>2021-28-9</v>
      </c>
      <c r="I841" s="1"/>
      <c r="J841" s="1" t="s">
        <v>297</v>
      </c>
      <c r="K841" s="35" t="s">
        <v>298</v>
      </c>
      <c r="L841" s="35">
        <v>5.5</v>
      </c>
      <c r="M841" s="35">
        <v>3.25</v>
      </c>
      <c r="N841" s="35">
        <f t="shared" si="26"/>
        <v>4.375</v>
      </c>
      <c r="O841" s="35">
        <v>6</v>
      </c>
      <c r="P841" s="35">
        <v>1</v>
      </c>
      <c r="Q841" s="35">
        <f t="shared" si="27"/>
        <v>3.5</v>
      </c>
      <c r="R841" s="35"/>
      <c r="S841" s="35"/>
      <c r="T841" s="35"/>
      <c r="U841" s="82" t="e">
        <f>AVERAGE(Tableau1[[#This Row],[1ère composition]:[3è Composition]])</f>
        <v>#DIV/0!</v>
      </c>
    </row>
    <row r="842" spans="1:21" hidden="1" x14ac:dyDescent="0.2">
      <c r="A842" s="1" t="s">
        <v>67</v>
      </c>
      <c r="B842" s="1" t="s">
        <v>2903</v>
      </c>
      <c r="C842" s="1" t="s">
        <v>3608</v>
      </c>
      <c r="D842" s="1"/>
      <c r="E842" s="1">
        <v>2021</v>
      </c>
      <c r="F842" s="1">
        <v>28</v>
      </c>
      <c r="G842" s="1">
        <v>10</v>
      </c>
      <c r="H842" s="79" t="str">
        <f>Tableau1[[#This Row],[Annee d''inscription au programme]]&amp;"-"&amp;Tableau1[[#This Row],[Code d''ecole]]&amp;"-"&amp;Tableau1[[#This Row],[Numero HM de la fille]]</f>
        <v>2021-28-10</v>
      </c>
      <c r="I842" s="1"/>
      <c r="J842" s="1" t="s">
        <v>297</v>
      </c>
      <c r="K842" s="35" t="s">
        <v>298</v>
      </c>
      <c r="L842" s="35">
        <v>2</v>
      </c>
      <c r="M842" s="35">
        <v>3.25</v>
      </c>
      <c r="N842" s="35">
        <f t="shared" si="26"/>
        <v>2.625</v>
      </c>
      <c r="O842" s="35">
        <v>8</v>
      </c>
      <c r="P842" s="35">
        <v>5.5</v>
      </c>
      <c r="Q842" s="35">
        <f t="shared" si="27"/>
        <v>6.75</v>
      </c>
      <c r="R842" s="35"/>
      <c r="S842" s="35"/>
      <c r="T842" s="35"/>
      <c r="U842" s="82" t="e">
        <f>AVERAGE(Tableau1[[#This Row],[1ère composition]:[3è Composition]])</f>
        <v>#DIV/0!</v>
      </c>
    </row>
    <row r="843" spans="1:21" hidden="1" x14ac:dyDescent="0.2">
      <c r="A843" s="1" t="s">
        <v>67</v>
      </c>
      <c r="B843" s="1" t="s">
        <v>2904</v>
      </c>
      <c r="C843" s="1" t="s">
        <v>3608</v>
      </c>
      <c r="D843" s="1"/>
      <c r="E843" s="1">
        <v>2021</v>
      </c>
      <c r="F843" s="1">
        <v>28</v>
      </c>
      <c r="G843" s="1">
        <v>11</v>
      </c>
      <c r="H843" s="79" t="str">
        <f>Tableau1[[#This Row],[Annee d''inscription au programme]]&amp;"-"&amp;Tableau1[[#This Row],[Code d''ecole]]&amp;"-"&amp;Tableau1[[#This Row],[Numero HM de la fille]]</f>
        <v>2021-28-11</v>
      </c>
      <c r="I843" s="1"/>
      <c r="J843" s="1" t="s">
        <v>297</v>
      </c>
      <c r="K843" s="35" t="s">
        <v>298</v>
      </c>
      <c r="L843" s="35">
        <v>3</v>
      </c>
      <c r="M843" s="35">
        <v>2</v>
      </c>
      <c r="N843" s="35">
        <f t="shared" si="26"/>
        <v>2.5</v>
      </c>
      <c r="O843" s="35">
        <v>5</v>
      </c>
      <c r="P843" s="35">
        <v>1</v>
      </c>
      <c r="Q843" s="35">
        <f t="shared" si="27"/>
        <v>3</v>
      </c>
      <c r="R843" s="35"/>
      <c r="S843" s="35"/>
      <c r="T843" s="35"/>
      <c r="U843" s="82" t="e">
        <f>AVERAGE(Tableau1[[#This Row],[1ère composition]:[3è Composition]])</f>
        <v>#DIV/0!</v>
      </c>
    </row>
    <row r="844" spans="1:21" hidden="1" x14ac:dyDescent="0.2">
      <c r="A844" s="1" t="s">
        <v>67</v>
      </c>
      <c r="B844" s="1" t="s">
        <v>3488</v>
      </c>
      <c r="C844" s="1" t="s">
        <v>3608</v>
      </c>
      <c r="D844" s="1"/>
      <c r="E844" s="1">
        <v>2021</v>
      </c>
      <c r="F844" s="1">
        <v>28</v>
      </c>
      <c r="G844" s="1">
        <v>12</v>
      </c>
      <c r="H844" s="79" t="str">
        <f>Tableau1[[#This Row],[Annee d''inscription au programme]]&amp;"-"&amp;Tableau1[[#This Row],[Code d''ecole]]&amp;"-"&amp;Tableau1[[#This Row],[Numero HM de la fille]]</f>
        <v>2021-28-12</v>
      </c>
      <c r="I844" s="1"/>
      <c r="J844" s="79" t="s">
        <v>297</v>
      </c>
      <c r="K844" s="35" t="s">
        <v>298</v>
      </c>
      <c r="L844" s="35">
        <v>4.5</v>
      </c>
      <c r="M844" s="35">
        <v>2.75</v>
      </c>
      <c r="N844" s="35">
        <f t="shared" si="26"/>
        <v>3.625</v>
      </c>
      <c r="O844" s="35">
        <v>7.5</v>
      </c>
      <c r="P844" s="35">
        <v>4</v>
      </c>
      <c r="Q844" s="35">
        <f t="shared" si="27"/>
        <v>5.75</v>
      </c>
      <c r="R844" s="35"/>
      <c r="S844" s="35"/>
      <c r="T844" s="35"/>
      <c r="U844" s="82" t="e">
        <f>AVERAGE(Tableau1[[#This Row],[1ère composition]:[3è Composition]])</f>
        <v>#DIV/0!</v>
      </c>
    </row>
    <row r="845" spans="1:21" hidden="1" x14ac:dyDescent="0.2">
      <c r="A845" s="1" t="s">
        <v>67</v>
      </c>
      <c r="B845" s="1" t="s">
        <v>529</v>
      </c>
      <c r="C845" s="1" t="s">
        <v>3608</v>
      </c>
      <c r="D845" s="1"/>
      <c r="E845" s="1">
        <v>2021</v>
      </c>
      <c r="F845" s="1">
        <v>28</v>
      </c>
      <c r="G845" s="1">
        <v>13</v>
      </c>
      <c r="H845" s="79" t="str">
        <f>Tableau1[[#This Row],[Annee d''inscription au programme]]&amp;"-"&amp;Tableau1[[#This Row],[Code d''ecole]]&amp;"-"&amp;Tableau1[[#This Row],[Numero HM de la fille]]</f>
        <v>2021-28-13</v>
      </c>
      <c r="I845" s="1"/>
      <c r="J845" s="1" t="s">
        <v>297</v>
      </c>
      <c r="K845" s="35" t="s">
        <v>298</v>
      </c>
      <c r="L845" s="35">
        <v>10.5</v>
      </c>
      <c r="M845" s="35">
        <v>4</v>
      </c>
      <c r="N845" s="35">
        <f t="shared" si="26"/>
        <v>7.25</v>
      </c>
      <c r="O845" s="35">
        <v>11.5</v>
      </c>
      <c r="P845" s="35">
        <v>9</v>
      </c>
      <c r="Q845" s="35">
        <f t="shared" si="27"/>
        <v>10.25</v>
      </c>
      <c r="R845" s="35"/>
      <c r="S845" s="35"/>
      <c r="T845" s="35"/>
      <c r="U845" s="82" t="e">
        <f>AVERAGE(Tableau1[[#This Row],[1ère composition]:[3è Composition]])</f>
        <v>#DIV/0!</v>
      </c>
    </row>
    <row r="846" spans="1:21" hidden="1" x14ac:dyDescent="0.2">
      <c r="A846" s="1" t="s">
        <v>67</v>
      </c>
      <c r="B846" s="1" t="s">
        <v>2907</v>
      </c>
      <c r="C846" s="1" t="s">
        <v>3608</v>
      </c>
      <c r="D846" s="1"/>
      <c r="E846" s="1">
        <v>2021</v>
      </c>
      <c r="F846" s="1">
        <v>28</v>
      </c>
      <c r="G846" s="1">
        <v>14</v>
      </c>
      <c r="H846" s="79" t="str">
        <f>Tableau1[[#This Row],[Annee d''inscription au programme]]&amp;"-"&amp;Tableau1[[#This Row],[Code d''ecole]]&amp;"-"&amp;Tableau1[[#This Row],[Numero HM de la fille]]</f>
        <v>2021-28-14</v>
      </c>
      <c r="I846" s="1"/>
      <c r="J846" s="1" t="s">
        <v>297</v>
      </c>
      <c r="K846" s="35" t="s">
        <v>298</v>
      </c>
      <c r="L846" s="35">
        <v>3</v>
      </c>
      <c r="M846" s="35">
        <v>0</v>
      </c>
      <c r="N846" s="35">
        <f t="shared" si="26"/>
        <v>1.5</v>
      </c>
      <c r="O846" s="35">
        <v>6</v>
      </c>
      <c r="P846" s="35">
        <v>1.5</v>
      </c>
      <c r="Q846" s="35">
        <f t="shared" si="27"/>
        <v>3.75</v>
      </c>
      <c r="R846" s="35"/>
      <c r="S846" s="35"/>
      <c r="T846" s="35"/>
      <c r="U846" s="82" t="e">
        <f>AVERAGE(Tableau1[[#This Row],[1ère composition]:[3è Composition]])</f>
        <v>#DIV/0!</v>
      </c>
    </row>
    <row r="847" spans="1:21" hidden="1" x14ac:dyDescent="0.2">
      <c r="A847" s="1" t="s">
        <v>67</v>
      </c>
      <c r="B847" s="1" t="s">
        <v>2906</v>
      </c>
      <c r="C847" s="1" t="s">
        <v>3608</v>
      </c>
      <c r="D847" s="1"/>
      <c r="E847" s="1">
        <v>2021</v>
      </c>
      <c r="F847" s="1">
        <v>28</v>
      </c>
      <c r="G847" s="1">
        <v>15</v>
      </c>
      <c r="H847" s="79" t="str">
        <f>Tableau1[[#This Row],[Annee d''inscription au programme]]&amp;"-"&amp;Tableau1[[#This Row],[Code d''ecole]]&amp;"-"&amp;Tableau1[[#This Row],[Numero HM de la fille]]</f>
        <v>2021-28-15</v>
      </c>
      <c r="I847" s="1"/>
      <c r="J847" s="1" t="s">
        <v>297</v>
      </c>
      <c r="K847" s="35" t="s">
        <v>298</v>
      </c>
      <c r="L847" s="35">
        <v>6.5</v>
      </c>
      <c r="M847" s="35">
        <v>6.25</v>
      </c>
      <c r="N847" s="35">
        <f t="shared" si="26"/>
        <v>6.375</v>
      </c>
      <c r="O847" s="35">
        <v>11.5</v>
      </c>
      <c r="P847" s="35">
        <v>12</v>
      </c>
      <c r="Q847" s="35">
        <f t="shared" si="27"/>
        <v>11.75</v>
      </c>
      <c r="R847" s="35"/>
      <c r="S847" s="35"/>
      <c r="T847" s="35"/>
      <c r="U847" s="82" t="e">
        <f>AVERAGE(Tableau1[[#This Row],[1ère composition]:[3è Composition]])</f>
        <v>#DIV/0!</v>
      </c>
    </row>
    <row r="848" spans="1:21" hidden="1" x14ac:dyDescent="0.2">
      <c r="A848" s="1" t="s">
        <v>67</v>
      </c>
      <c r="B848" s="1" t="s">
        <v>2908</v>
      </c>
      <c r="C848" s="1" t="s">
        <v>3608</v>
      </c>
      <c r="D848" s="1"/>
      <c r="E848" s="1">
        <v>2021</v>
      </c>
      <c r="F848" s="1">
        <v>28</v>
      </c>
      <c r="G848" s="1">
        <v>16</v>
      </c>
      <c r="H848" s="79" t="str">
        <f>Tableau1[[#This Row],[Annee d''inscription au programme]]&amp;"-"&amp;Tableau1[[#This Row],[Code d''ecole]]&amp;"-"&amp;Tableau1[[#This Row],[Numero HM de la fille]]</f>
        <v>2021-28-16</v>
      </c>
      <c r="I848" s="1"/>
      <c r="J848" s="1" t="s">
        <v>297</v>
      </c>
      <c r="K848" s="35" t="s">
        <v>298</v>
      </c>
      <c r="L848" s="35">
        <v>4</v>
      </c>
      <c r="M848" s="35">
        <v>4</v>
      </c>
      <c r="N848" s="35">
        <f t="shared" si="26"/>
        <v>4</v>
      </c>
      <c r="O848" s="35">
        <v>8</v>
      </c>
      <c r="P848" s="35">
        <v>8</v>
      </c>
      <c r="Q848" s="35">
        <f t="shared" si="27"/>
        <v>8</v>
      </c>
      <c r="R848" s="35"/>
      <c r="S848" s="35"/>
      <c r="T848" s="35"/>
      <c r="U848" s="82" t="e">
        <f>AVERAGE(Tableau1[[#This Row],[1ère composition]:[3è Composition]])</f>
        <v>#DIV/0!</v>
      </c>
    </row>
    <row r="849" spans="1:21" hidden="1" x14ac:dyDescent="0.2">
      <c r="A849" s="1" t="s">
        <v>67</v>
      </c>
      <c r="B849" s="1" t="s">
        <v>3609</v>
      </c>
      <c r="C849" s="1" t="s">
        <v>3608</v>
      </c>
      <c r="D849" s="1"/>
      <c r="E849" s="1">
        <v>2021</v>
      </c>
      <c r="F849" s="1">
        <v>28</v>
      </c>
      <c r="G849" s="1">
        <v>17</v>
      </c>
      <c r="H849" s="79" t="str">
        <f>Tableau1[[#This Row],[Annee d''inscription au programme]]&amp;"-"&amp;Tableau1[[#This Row],[Code d''ecole]]&amp;"-"&amp;Tableau1[[#This Row],[Numero HM de la fille]]</f>
        <v>2021-28-17</v>
      </c>
      <c r="I849" s="1"/>
      <c r="J849" s="1" t="s">
        <v>297</v>
      </c>
      <c r="K849" s="35" t="s">
        <v>298</v>
      </c>
      <c r="L849" s="35">
        <v>5</v>
      </c>
      <c r="M849" s="35">
        <v>1.25</v>
      </c>
      <c r="N849" s="35">
        <f t="shared" si="26"/>
        <v>3.125</v>
      </c>
      <c r="O849" s="35">
        <v>6.5</v>
      </c>
      <c r="P849" s="35">
        <v>2</v>
      </c>
      <c r="Q849" s="35">
        <f t="shared" si="27"/>
        <v>4.25</v>
      </c>
      <c r="R849" s="35"/>
      <c r="S849" s="35"/>
      <c r="T849" s="35"/>
      <c r="U849" s="82" t="e">
        <f>AVERAGE(Tableau1[[#This Row],[1ère composition]:[3è Composition]])</f>
        <v>#DIV/0!</v>
      </c>
    </row>
    <row r="850" spans="1:21" hidden="1" x14ac:dyDescent="0.2">
      <c r="A850" s="1" t="s">
        <v>67</v>
      </c>
      <c r="B850" s="1" t="s">
        <v>3489</v>
      </c>
      <c r="C850" s="1" t="s">
        <v>3608</v>
      </c>
      <c r="D850" s="1"/>
      <c r="E850" s="1">
        <v>2021</v>
      </c>
      <c r="F850" s="1">
        <v>28</v>
      </c>
      <c r="G850" s="1">
        <v>18</v>
      </c>
      <c r="H850" s="79" t="str">
        <f>Tableau1[[#This Row],[Annee d''inscription au programme]]&amp;"-"&amp;Tableau1[[#This Row],[Code d''ecole]]&amp;"-"&amp;Tableau1[[#This Row],[Numero HM de la fille]]</f>
        <v>2021-28-18</v>
      </c>
      <c r="I850" s="1"/>
      <c r="J850" s="1" t="s">
        <v>297</v>
      </c>
      <c r="K850" s="35" t="s">
        <v>298</v>
      </c>
      <c r="L850" s="35">
        <v>3</v>
      </c>
      <c r="M850" s="35">
        <v>1.5</v>
      </c>
      <c r="N850" s="35">
        <f t="shared" si="26"/>
        <v>2.25</v>
      </c>
      <c r="O850" s="35">
        <v>5</v>
      </c>
      <c r="P850" s="35">
        <v>1</v>
      </c>
      <c r="Q850" s="35">
        <f t="shared" si="27"/>
        <v>3</v>
      </c>
      <c r="R850" s="35"/>
      <c r="S850" s="35"/>
      <c r="T850" s="35"/>
      <c r="U850" s="82" t="e">
        <f>AVERAGE(Tableau1[[#This Row],[1ère composition]:[3è Composition]])</f>
        <v>#DIV/0!</v>
      </c>
    </row>
    <row r="851" spans="1:21" x14ac:dyDescent="0.2">
      <c r="A851" s="17"/>
      <c r="B851" s="23" t="s">
        <v>58</v>
      </c>
      <c r="C851" s="23"/>
      <c r="D851" s="23" t="s">
        <v>58</v>
      </c>
      <c r="E851" s="23"/>
      <c r="F851" s="23"/>
      <c r="G851" s="23"/>
      <c r="H851" s="37"/>
      <c r="I851" s="37"/>
      <c r="J851" s="2"/>
      <c r="K851" s="2"/>
      <c r="L851" s="115">
        <f>SUBTOTAL(101,Tableau1[Mathématique/20])</f>
        <v>7.1124999999999998</v>
      </c>
      <c r="M851" s="115">
        <f>SUBTOTAL(101,Tableau1[Français/20])</f>
        <v>4.71875</v>
      </c>
      <c r="N851" s="115">
        <f>SUBTOTAL(101,Tableau1[Moyenne /20])</f>
        <v>5.9156250000000004</v>
      </c>
      <c r="O851" s="116">
        <f>SUBTOTAL(101,Tableau1[Mathématique/202])</f>
        <v>7.2986111111111107</v>
      </c>
      <c r="P851" s="116">
        <f>SUBTOTAL(101,Tableau1[Français/202])</f>
        <v>6.5972222222222223</v>
      </c>
      <c r="Q851" s="116">
        <f>SUBTOTAL(101,Tableau1[Moyenne /202])</f>
        <v>6.2531249999999998</v>
      </c>
      <c r="R851" s="2" t="e">
        <f>AVERAGE(Tableau1[1ère composition])</f>
        <v>#DIV/0!</v>
      </c>
      <c r="S851" s="2" t="e">
        <f>AVERAGE(Tableau1[2em composition])</f>
        <v>#DIV/0!</v>
      </c>
      <c r="T851" s="2" t="e">
        <f>AVERAGE(Tableau1[3è Composition])</f>
        <v>#DIV/0!</v>
      </c>
      <c r="U851" s="38" t="e">
        <f>SUBTOTAL(101,Tableau1[Moyenne générale])</f>
        <v>#DIV/0!</v>
      </c>
    </row>
    <row r="852" spans="1:21" x14ac:dyDescent="0.2">
      <c r="D852" t="s">
        <v>99</v>
      </c>
      <c r="U852" s="10"/>
    </row>
    <row r="853" spans="1:21" x14ac:dyDescent="0.2">
      <c r="R853" s="104" t="s">
        <v>100</v>
      </c>
      <c r="S853" s="104"/>
      <c r="T853" s="104"/>
      <c r="U853" s="24">
        <f>COUNTIF(Tableau1[Moyenne générale],"&gt;=5")</f>
        <v>0</v>
      </c>
    </row>
    <row r="854" spans="1:21" x14ac:dyDescent="0.2">
      <c r="L854" s="2" t="s">
        <v>3951</v>
      </c>
      <c r="M854" s="114">
        <f>Tableau1[[#Totals],[Mathématique/202]]-Tableau1[[#Totals],[Mathématique/20]]</f>
        <v>0.18611111111111089</v>
      </c>
      <c r="N854" s="114"/>
      <c r="U854" s="9">
        <f>U853/395</f>
        <v>0</v>
      </c>
    </row>
    <row r="855" spans="1:21" x14ac:dyDescent="0.2">
      <c r="L855" s="2" t="s">
        <v>3953</v>
      </c>
      <c r="M855" s="114">
        <f>Tableau1[[#Totals],[Français/202]]-Tableau1[[#Totals],[Français/20]]</f>
        <v>1.8784722222222223</v>
      </c>
      <c r="N855" s="114"/>
    </row>
    <row r="856" spans="1:21" x14ac:dyDescent="0.2">
      <c r="L856" s="2" t="s">
        <v>3954</v>
      </c>
      <c r="M856" s="114">
        <f>Tableau1[[#Totals],[Moyenne /202]]-Tableau1[[#Totals],[Moyenne /20]]</f>
        <v>0.33749999999999947</v>
      </c>
    </row>
  </sheetData>
  <mergeCells count="6">
    <mergeCell ref="L3:M3"/>
    <mergeCell ref="R853:T853"/>
    <mergeCell ref="E3:H3"/>
    <mergeCell ref="O3:P3"/>
    <mergeCell ref="R3:U3"/>
    <mergeCell ref="J3:K3"/>
  </mergeCells>
  <conditionalFormatting sqref="G3:G4">
    <cfRule type="duplicateValues" dxfId="15" priority="2"/>
    <cfRule type="duplicateValues" dxfId="14" priority="3"/>
    <cfRule type="duplicateValues" dxfId="13" priority="4"/>
  </conditionalFormatting>
  <conditionalFormatting sqref="H1:H1048576">
    <cfRule type="duplicateValues" dxfId="12" priority="1"/>
  </conditionalFormatting>
  <pageMargins left="0.25" right="0.25" top="0.25" bottom="0.25" header="0.3" footer="0.3"/>
  <pageSetup scale="42" fitToHeight="0"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24"/>
  <sheetViews>
    <sheetView zoomScale="70" zoomScaleNormal="70" workbookViewId="0"/>
  </sheetViews>
  <sheetFormatPr baseColWidth="10" defaultColWidth="11.5" defaultRowHeight="15" x14ac:dyDescent="0.2"/>
  <cols>
    <col min="1" max="1" width="17.33203125" customWidth="1"/>
    <col min="2" max="2" width="18.6640625" customWidth="1"/>
  </cols>
  <sheetData>
    <row r="2" spans="1:2" x14ac:dyDescent="0.2">
      <c r="A2" s="19" t="s">
        <v>114</v>
      </c>
    </row>
    <row r="4" spans="1:2" x14ac:dyDescent="0.2">
      <c r="A4" s="26" t="s">
        <v>68</v>
      </c>
      <c r="B4" s="27" t="s">
        <v>69</v>
      </c>
    </row>
    <row r="5" spans="1:2" x14ac:dyDescent="0.2">
      <c r="A5" s="12" t="s">
        <v>5</v>
      </c>
      <c r="B5" s="12" t="s">
        <v>5</v>
      </c>
    </row>
    <row r="6" spans="1:2" x14ac:dyDescent="0.2">
      <c r="A6" s="12" t="s">
        <v>75</v>
      </c>
      <c r="B6" s="1" t="s">
        <v>91</v>
      </c>
    </row>
    <row r="7" spans="1:2" x14ac:dyDescent="0.2">
      <c r="A7" s="12" t="s">
        <v>52</v>
      </c>
      <c r="B7" s="12" t="s">
        <v>60</v>
      </c>
    </row>
    <row r="8" spans="1:2" x14ac:dyDescent="0.2">
      <c r="A8" s="12" t="s">
        <v>51</v>
      </c>
      <c r="B8" s="12" t="s">
        <v>61</v>
      </c>
    </row>
    <row r="9" spans="1:2" x14ac:dyDescent="0.2">
      <c r="A9" s="12" t="s">
        <v>53</v>
      </c>
      <c r="B9" s="12" t="s">
        <v>62</v>
      </c>
    </row>
    <row r="10" spans="1:2" x14ac:dyDescent="0.2">
      <c r="A10" s="12" t="s">
        <v>54</v>
      </c>
      <c r="B10" s="12" t="s">
        <v>63</v>
      </c>
    </row>
    <row r="11" spans="1:2" x14ac:dyDescent="0.2">
      <c r="A11" s="12" t="s">
        <v>2</v>
      </c>
      <c r="B11" s="12" t="s">
        <v>67</v>
      </c>
    </row>
    <row r="12" spans="1:2" x14ac:dyDescent="0.2">
      <c r="A12" s="12" t="s">
        <v>55</v>
      </c>
      <c r="B12" s="12" t="s">
        <v>64</v>
      </c>
    </row>
    <row r="13" spans="1:2" x14ac:dyDescent="0.2">
      <c r="A13" s="12" t="s">
        <v>3</v>
      </c>
      <c r="B13" s="12" t="s">
        <v>66</v>
      </c>
    </row>
    <row r="14" spans="1:2" x14ac:dyDescent="0.2">
      <c r="A14" s="12" t="s">
        <v>56</v>
      </c>
      <c r="B14" s="12" t="s">
        <v>65</v>
      </c>
    </row>
    <row r="15" spans="1:2" x14ac:dyDescent="0.2">
      <c r="A15" s="12" t="s">
        <v>57</v>
      </c>
      <c r="B15" s="12" t="s">
        <v>83</v>
      </c>
    </row>
    <row r="16" spans="1:2" x14ac:dyDescent="0.2">
      <c r="A16" s="12" t="s">
        <v>76</v>
      </c>
      <c r="B16" s="12" t="s">
        <v>90</v>
      </c>
    </row>
    <row r="17" spans="1:2" x14ac:dyDescent="0.2">
      <c r="A17" s="12" t="s">
        <v>77</v>
      </c>
      <c r="B17" s="12" t="s">
        <v>84</v>
      </c>
    </row>
    <row r="18" spans="1:2" x14ac:dyDescent="0.2">
      <c r="A18" s="12" t="s">
        <v>78</v>
      </c>
      <c r="B18" s="15" t="s">
        <v>85</v>
      </c>
    </row>
    <row r="19" spans="1:2" x14ac:dyDescent="0.2">
      <c r="A19" s="12" t="s">
        <v>79</v>
      </c>
      <c r="B19" s="12" t="s">
        <v>86</v>
      </c>
    </row>
    <row r="20" spans="1:2" x14ac:dyDescent="0.2">
      <c r="A20" s="12" t="s">
        <v>81</v>
      </c>
      <c r="B20" s="12" t="s">
        <v>89</v>
      </c>
    </row>
    <row r="21" spans="1:2" x14ac:dyDescent="0.2">
      <c r="A21" s="12" t="s">
        <v>82</v>
      </c>
      <c r="B21" s="12" t="s">
        <v>88</v>
      </c>
    </row>
    <row r="22" spans="1:2" x14ac:dyDescent="0.2">
      <c r="A22" s="12" t="s">
        <v>80</v>
      </c>
      <c r="B22" s="12" t="s">
        <v>87</v>
      </c>
    </row>
    <row r="24" spans="1:2" x14ac:dyDescent="0.2">
      <c r="A24" s="1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Explication des identifiants</vt:lpstr>
      <vt:lpstr>1. Base de donnée Intervention</vt:lpstr>
      <vt:lpstr>2. Base de données Control</vt:lpstr>
      <vt:lpstr>3. Matching du primaire</vt:lpstr>
      <vt:lpstr>'2. Base de données Control'!Print_Titles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Windows</dc:creator>
  <cp:lastModifiedBy>Marcus Daniels</cp:lastModifiedBy>
  <cp:lastPrinted>2022-01-19T08:15:00Z</cp:lastPrinted>
  <dcterms:created xsi:type="dcterms:W3CDTF">2019-11-19T10:35:22Z</dcterms:created>
  <dcterms:modified xsi:type="dcterms:W3CDTF">2024-08-05T19:58:16Z</dcterms:modified>
</cp:coreProperties>
</file>