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LES INTERVENTION" sheetId="1" r:id="rId4"/>
    <sheet state="visible" name="ECOLES CONTROLES" sheetId="2" r:id="rId5"/>
    <sheet state="visible" name="Liste classement écoles interve" sheetId="3" r:id="rId6"/>
    <sheet state="visible" name="Analyse Tchadoua CM1 " sheetId="4" r:id="rId7"/>
    <sheet state="visible" name="Graphique des resultats" sheetId="5" r:id="rId8"/>
  </sheets>
  <definedNames>
    <definedName name="_xlchart.v1.2">'Graphique des resultats'!$C$25:$C$36</definedName>
    <definedName name="_xlchart.v1.3">'Graphique des resultats'!$D$24</definedName>
    <definedName name="_xlchart.v1.0">'Graphique des resultats'!$B$25:$B$36</definedName>
    <definedName name="_xlchart.v1.7">'Graphique des resultats'!$F$24</definedName>
    <definedName name="_xlchart.v1.6">'Graphique des resultats'!$E$25:$E$36</definedName>
    <definedName name="_xlchart.v1.5">'Graphique des resultats'!$E$24</definedName>
    <definedName name="_xlchart.v1.4">'Graphique des resultats'!$D$25:$D$36</definedName>
    <definedName name="_xlchart.v1.1">'Graphique des resultats'!$C$24</definedName>
    <definedName name="_xlchart.v1.8">'Graphique des resultats'!$F$25:$F$36</definedName>
  </definedNames>
  <calcPr/>
  <extLst>
    <ext uri="GoogleSheetsCustomDataVersion2">
      <go:sheetsCustomData xmlns:go="http://customooxmlschemas.google.com/" r:id="rId9" roundtripDataChecksum="Lb0UAZjVst25HH2r7xNVu7Cwfk8sHn211vSfnBfL2Gs="/>
    </ext>
  </extLst>
</workbook>
</file>

<file path=xl/sharedStrings.xml><?xml version="1.0" encoding="utf-8"?>
<sst xmlns="http://schemas.openxmlformats.org/spreadsheetml/2006/main" count="1278" uniqueCount="619">
  <si>
    <t>REPUBLIQUE DU NIGER</t>
  </si>
  <si>
    <t>FRATERNITÉ - TRAVAIL - PROGRÈS</t>
  </si>
  <si>
    <t>REGION DE MARADI</t>
  </si>
  <si>
    <t xml:space="preserve">DIRECTION REGIONALE DE L'EDUCATION NATIONALE, </t>
  </si>
  <si>
    <t>DE L'ALPHABETISATION ET DE LA PROMOTION DES LANGUES</t>
  </si>
  <si>
    <t>IEP DE TCHADOUA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</si>
  <si>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</si>
  <si>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</si>
  <si>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</si>
  <si>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</si>
  <si>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</si>
  <si>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</si>
  <si>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</si>
  <si>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</si>
  <si>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</si>
  <si>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</si>
  <si>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</si>
  <si>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</si>
  <si>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</si>
  <si>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ECOLE ZANGON NA RUWA</t>
  </si>
  <si>
    <t>N°</t>
  </si>
  <si>
    <t>Noms et prénoms</t>
  </si>
  <si>
    <t>Moyenne  1er semestre</t>
  </si>
  <si>
    <t>Moyenne 2 ème semestre</t>
  </si>
  <si>
    <t xml:space="preserve">   3ème semestre</t>
  </si>
  <si>
    <t>Moyenne Générale</t>
  </si>
  <si>
    <t>Situation finale</t>
  </si>
  <si>
    <t>Passe en CM2</t>
  </si>
  <si>
    <t>Redouble</t>
  </si>
  <si>
    <t>Abandon</t>
  </si>
  <si>
    <t>Décès et transfère</t>
  </si>
  <si>
    <t>Safia Tsahirou</t>
  </si>
  <si>
    <t>Passe</t>
  </si>
  <si>
    <t>Charifa Maazou</t>
  </si>
  <si>
    <t>Oumeira Hamissou</t>
  </si>
  <si>
    <t>Majida Harouna</t>
  </si>
  <si>
    <t>Manira Ali</t>
  </si>
  <si>
    <t>Pass</t>
  </si>
  <si>
    <t>Badaria Mani</t>
  </si>
  <si>
    <t>Mariama Souley</t>
  </si>
  <si>
    <t>Amira Illa</t>
  </si>
  <si>
    <t>Naima Boukari</t>
  </si>
  <si>
    <t>Badaria Souley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</si>
  <si>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</si>
  <si>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</si>
  <si>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</si>
  <si>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</si>
  <si>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</si>
  <si>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</si>
  <si>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</si>
  <si>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</si>
  <si>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 xml:space="preserve">Passe </t>
  </si>
  <si>
    <t>Charifa Abou</t>
  </si>
  <si>
    <t>Massaouda Sabiou</t>
  </si>
  <si>
    <t>ECOLE DE DAN GAMJI</t>
  </si>
  <si>
    <t>Hadiza Elhadji Issaka</t>
  </si>
  <si>
    <t>Firdaoussi Sanoussi</t>
  </si>
  <si>
    <t>Roufaida Rabé</t>
  </si>
  <si>
    <t>Pase</t>
  </si>
  <si>
    <t>Badiya Sani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</si>
  <si>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</si>
  <si>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</si>
  <si>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</si>
  <si>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</si>
  <si>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</si>
  <si>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</si>
  <si>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</si>
  <si>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Naima Issoufou</t>
  </si>
  <si>
    <t>Kadidja Mountari</t>
  </si>
  <si>
    <t>Zaharia Laminou</t>
  </si>
  <si>
    <t>Marfoua Salissou</t>
  </si>
  <si>
    <t>Aicha Ousman</t>
  </si>
  <si>
    <t>Aminatou Sabiou</t>
  </si>
  <si>
    <t>Yasmina Saminou</t>
  </si>
  <si>
    <t>Fatiya Yahaya</t>
  </si>
  <si>
    <t>Maimouna Mountari</t>
  </si>
  <si>
    <t>Malika Sani</t>
  </si>
  <si>
    <t>Hadiza Moussa</t>
  </si>
  <si>
    <t>Halima Salao</t>
  </si>
  <si>
    <t>Amina Issoufou</t>
  </si>
  <si>
    <t>Firdaoussi Sani</t>
  </si>
  <si>
    <t>Souéba Chaibou</t>
  </si>
  <si>
    <t>Amira Kabirou</t>
  </si>
  <si>
    <t>Faiza Laminou</t>
  </si>
  <si>
    <t>Aicha Laouali</t>
  </si>
  <si>
    <t>Mariam Sani</t>
  </si>
  <si>
    <t>Farida Sanoussi</t>
  </si>
  <si>
    <t>Malika Saadou</t>
  </si>
  <si>
    <t>Halima Bassirou</t>
  </si>
  <si>
    <t>Ramlatou Harou</t>
  </si>
  <si>
    <t>Sahoura Sani</t>
  </si>
  <si>
    <t>ECOLE KURAN MOTA</t>
  </si>
  <si>
    <t>Zoubeida Oumarou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</si>
  <si>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</si>
  <si>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</si>
  <si>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</si>
  <si>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</si>
  <si>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</si>
  <si>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</si>
  <si>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</si>
  <si>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</si>
  <si>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</si>
  <si>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Ramatou Maliki</t>
  </si>
  <si>
    <t>Karima Maazou</t>
  </si>
  <si>
    <t>Amina Hamza</t>
  </si>
  <si>
    <t>Zaharia Rabé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</si>
  <si>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</si>
  <si>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</si>
  <si>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</si>
  <si>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</si>
  <si>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</si>
  <si>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</si>
  <si>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</si>
  <si>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</si>
  <si>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ECOLE GUIDAN KARMA</t>
  </si>
  <si>
    <t>FaridaAbdou kané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</si>
  <si>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</si>
  <si>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</si>
  <si>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</si>
  <si>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</si>
  <si>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</si>
  <si>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</si>
  <si>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</si>
  <si>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</si>
  <si>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</si>
  <si>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Ramatou Ali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</si>
  <si>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</si>
  <si>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</si>
  <si>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</si>
  <si>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</si>
  <si>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</si>
  <si>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</si>
  <si>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ECOLE  DAN AICHA</t>
  </si>
  <si>
    <t xml:space="preserve">Harira Oumarou </t>
  </si>
  <si>
    <t xml:space="preserve">Nazifa Saradji </t>
  </si>
  <si>
    <t xml:space="preserve">Roukaya Souley </t>
  </si>
  <si>
    <t xml:space="preserve">Nadia Issaka </t>
  </si>
  <si>
    <t xml:space="preserve">Fourera Harouna </t>
  </si>
  <si>
    <t xml:space="preserve">Sabila Saidou </t>
  </si>
  <si>
    <t xml:space="preserve">Nafissa Ali </t>
  </si>
  <si>
    <t xml:space="preserve">Faiza Hamza </t>
  </si>
  <si>
    <t xml:space="preserve">Hadiza Kalla </t>
  </si>
  <si>
    <t xml:space="preserve">Zeitouna Saidou </t>
  </si>
  <si>
    <t xml:space="preserve">Badaria Abdou </t>
  </si>
  <si>
    <t xml:space="preserve">Farida Illa </t>
  </si>
  <si>
    <t xml:space="preserve">Zeinab Moussa </t>
  </si>
  <si>
    <t xml:space="preserve">Aicha Saidou </t>
  </si>
  <si>
    <t>Karima Harouna</t>
  </si>
  <si>
    <t xml:space="preserve">Naima Oumarou </t>
  </si>
  <si>
    <t xml:space="preserve">Zaharaou Gambo </t>
  </si>
  <si>
    <t>Zoubeida Ousmane</t>
  </si>
  <si>
    <t>Chamsia Aminou</t>
  </si>
  <si>
    <t>Badia Abdou</t>
  </si>
  <si>
    <t>Bahira Abdou</t>
  </si>
  <si>
    <t>Nana Fatima Hambali</t>
  </si>
  <si>
    <t>Passa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</si>
  <si>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</si>
  <si>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</si>
  <si>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</si>
  <si>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</si>
  <si>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</si>
  <si>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</si>
  <si>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</si>
  <si>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</si>
  <si>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ECOLE DE GUIDAN MAGAGI</t>
  </si>
  <si>
    <t>Nazira Moussa</t>
  </si>
  <si>
    <t>Roukaya Laminou</t>
  </si>
  <si>
    <t>Ousseina Maazou</t>
  </si>
  <si>
    <t>passe</t>
  </si>
  <si>
    <t>Nazifa Ado</t>
  </si>
  <si>
    <t>Rabiya Maazou</t>
  </si>
  <si>
    <t>Hajara Mamane</t>
  </si>
  <si>
    <t>Haoua Souley</t>
  </si>
  <si>
    <t>Farida ado</t>
  </si>
  <si>
    <t xml:space="preserve">Maimouna </t>
  </si>
  <si>
    <t>Raya Ousmane</t>
  </si>
  <si>
    <t>Balki Laouali</t>
  </si>
  <si>
    <t>Azima Illa</t>
  </si>
  <si>
    <t>Charifa Illa</t>
  </si>
  <si>
    <t>Mariama Illa</t>
  </si>
  <si>
    <t>Chawa Kassou</t>
  </si>
  <si>
    <t>Haoua Chaibou</t>
  </si>
  <si>
    <t>Roufeida Illia</t>
  </si>
  <si>
    <t>Hassia Illia</t>
  </si>
  <si>
    <t>ECOLE DE GAWARO MADATTAI</t>
  </si>
  <si>
    <t>Hawaou Sanoussi</t>
  </si>
  <si>
    <t>Roufaida Mamoudou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</si>
  <si>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</si>
  <si>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</si>
  <si>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</si>
  <si>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</si>
  <si>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</si>
  <si>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</si>
  <si>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</si>
  <si>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</si>
  <si>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Kadidja Ibrahim</t>
  </si>
  <si>
    <t>Badariya Yahaya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</si>
  <si>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</si>
  <si>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</si>
  <si>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</si>
  <si>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</si>
  <si>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</si>
  <si>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</si>
  <si>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</si>
  <si>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</si>
  <si>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</si>
  <si>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</si>
  <si>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</si>
  <si>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</si>
  <si>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</si>
  <si>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ECOLE DE MAI JANGUERO</t>
  </si>
  <si>
    <t>Aminatou Achirou</t>
  </si>
  <si>
    <t>//</t>
  </si>
  <si>
    <t>Fadila Daouda</t>
  </si>
  <si>
    <t>Roukaya Yacouba</t>
  </si>
  <si>
    <t>Kadidja Mamane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</si>
  <si>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</si>
  <si>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</si>
  <si>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</si>
  <si>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</si>
  <si>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</si>
  <si>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</si>
  <si>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</si>
  <si>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</si>
  <si>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Farida Nassirou</t>
  </si>
  <si>
    <t>Baraka Illia</t>
  </si>
  <si>
    <t>Aicha Samaila</t>
  </si>
  <si>
    <t>Bassira Elh Mani</t>
  </si>
  <si>
    <t>Fatima Nouhou</t>
  </si>
  <si>
    <t>Nisseiba Moussa</t>
  </si>
  <si>
    <t>Azima Mani</t>
  </si>
  <si>
    <t>Amatoulaye oumarou</t>
  </si>
  <si>
    <t>Aicha Issaka</t>
  </si>
  <si>
    <t>Mariama Daouda</t>
  </si>
  <si>
    <t>Ouzeifa Issa</t>
  </si>
  <si>
    <t>Lariya Illia</t>
  </si>
  <si>
    <t>Nafissa Inoussa</t>
  </si>
  <si>
    <t>ECOLE JAN RUWA SEDENTAIRE</t>
  </si>
  <si>
    <t>Ouma Souley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</si>
  <si>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</si>
  <si>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</si>
  <si>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</si>
  <si>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</si>
  <si>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</si>
  <si>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</si>
  <si>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</si>
  <si>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</si>
  <si>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</si>
  <si>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</si>
  <si>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</si>
  <si>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</si>
  <si>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</si>
  <si>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</si>
  <si>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Habsatou Abdou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</si>
  <si>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</si>
  <si>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</si>
  <si>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</si>
  <si>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</si>
  <si>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</si>
  <si>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</si>
  <si>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</si>
  <si>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</si>
  <si>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ECOLE TAWALALA</t>
  </si>
  <si>
    <t>Halimatou Daouda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</si>
  <si>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</si>
  <si>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</si>
  <si>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</si>
  <si>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</si>
  <si>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</si>
  <si>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</si>
  <si>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</si>
  <si>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</si>
  <si>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</si>
  <si>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</si>
  <si>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</si>
  <si>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</si>
  <si>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</si>
  <si>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</si>
  <si>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 xml:space="preserve">Bassira Daouda </t>
  </si>
  <si>
    <t xml:space="preserve">Zouéra Tsahirou </t>
  </si>
  <si>
    <t>Bouchira Laminou</t>
  </si>
  <si>
    <t>Habiba Ada</t>
  </si>
  <si>
    <t>Souraya Aminou</t>
  </si>
  <si>
    <t>Karima Salissou</t>
  </si>
  <si>
    <t>Fatima Ousseini</t>
  </si>
  <si>
    <t>Awa Amadou</t>
  </si>
  <si>
    <t>ECOLE GUIDAN MOUSSA</t>
  </si>
  <si>
    <t>Massaouda Issoufou</t>
  </si>
  <si>
    <t>Yasmina Inoussa</t>
  </si>
  <si>
    <t>Hafiza Daouda</t>
  </si>
  <si>
    <t>Naima Moumouni</t>
  </si>
  <si>
    <t>Mariama Iliou</t>
  </si>
  <si>
    <t>Ousseina Dahirou</t>
  </si>
  <si>
    <t>Firdaoussi Laouali</t>
  </si>
  <si>
    <t>Firdaoussi Saadou</t>
  </si>
  <si>
    <t>Hassana Dahirou</t>
  </si>
  <si>
    <t>Azima Inoussa</t>
  </si>
  <si>
    <t>Harira Sani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</si>
  <si>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</si>
  <si>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</si>
  <si>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</si>
  <si>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</si>
  <si>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</si>
  <si>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</si>
  <si>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</si>
  <si>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</si>
  <si>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</si>
  <si>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</si>
  <si>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</si>
  <si>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</si>
  <si>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</si>
  <si>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</si>
  <si>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 xml:space="preserve"> </t>
  </si>
  <si>
    <t>Oubeida Ousmane</t>
  </si>
  <si>
    <t>Habsou Ado</t>
  </si>
  <si>
    <t>Sahiba Ousmane</t>
  </si>
  <si>
    <t>Zahara Daouda</t>
  </si>
  <si>
    <t>ECOLE DOUMA 1</t>
  </si>
  <si>
    <t>Oumma Sanoussi</t>
  </si>
  <si>
    <t>Amatou Ibrahim</t>
  </si>
  <si>
    <t>Oumaira Abdou</t>
  </si>
  <si>
    <t>Mouhissina Abdoul Salam</t>
  </si>
  <si>
    <t>Ismina Djibo</t>
  </si>
  <si>
    <t>Massila Issaka</t>
  </si>
  <si>
    <t>Nouratou Harou</t>
  </si>
  <si>
    <t>Sahiba Idi</t>
  </si>
  <si>
    <t>Moumouna Harou</t>
  </si>
  <si>
    <t>Koubouwa Yaou</t>
  </si>
  <si>
    <t xml:space="preserve">Nana Fatouma Sani </t>
  </si>
  <si>
    <t>Siyama Tassiou</t>
  </si>
  <si>
    <t>Fadila Mourtala</t>
  </si>
  <si>
    <t>Batoula Yaou</t>
  </si>
  <si>
    <t>Oumaira Boukari</t>
  </si>
  <si>
    <t>Malika Souley</t>
  </si>
  <si>
    <t>Safina Idi</t>
  </si>
  <si>
    <t>Nazifa Hakibou</t>
  </si>
  <si>
    <t>Zeinab Ibrahim</t>
  </si>
  <si>
    <t>Hanifa Idi</t>
  </si>
  <si>
    <t>Badia Djibo</t>
  </si>
  <si>
    <t>Habsatou Abdoul Karimou</t>
  </si>
  <si>
    <t>Nisseiba Sani</t>
  </si>
  <si>
    <t>Latifa Harou</t>
  </si>
  <si>
    <t>Sahiba Issoufou</t>
  </si>
  <si>
    <t>Tchadoua CM1 Intervention</t>
  </si>
  <si>
    <t>Total inscrit CM1</t>
  </si>
  <si>
    <t>Passe CM2</t>
  </si>
  <si>
    <t>Redouble CM1</t>
  </si>
  <si>
    <t>Nombre abandon</t>
  </si>
  <si>
    <t>Taux de passage</t>
  </si>
  <si>
    <t>Taux d'abandon</t>
  </si>
  <si>
    <t>Taux de rédoublement</t>
  </si>
  <si>
    <t>Ecole  Guidan Tambari</t>
  </si>
  <si>
    <t>Redoublement</t>
  </si>
  <si>
    <t>Moyenne générale</t>
  </si>
  <si>
    <t>Mansoura Ibrahim</t>
  </si>
  <si>
    <t>Houela Chaibou</t>
  </si>
  <si>
    <t>Chamsiya Issa</t>
  </si>
  <si>
    <t>Oubeida Adamou</t>
  </si>
  <si>
    <t>Badaria Issoufou</t>
  </si>
  <si>
    <t>Rafia Ibrahim</t>
  </si>
  <si>
    <t>Naima Harouna</t>
  </si>
  <si>
    <t>Dinaou Ali</t>
  </si>
  <si>
    <t>Rakia Abou</t>
  </si>
  <si>
    <t xml:space="preserve">Bassira Illia </t>
  </si>
  <si>
    <t>Makkale Ali</t>
  </si>
  <si>
    <t>Nafissa Soumeila</t>
  </si>
  <si>
    <t>Ecole Dan Bouzou</t>
  </si>
  <si>
    <t>Rouzeina Inoussa</t>
  </si>
  <si>
    <t>Aichatou Abdou</t>
  </si>
  <si>
    <t>Fatima Binia</t>
  </si>
  <si>
    <t>Chamsia Ousseini</t>
  </si>
  <si>
    <t>Abondon</t>
  </si>
  <si>
    <t xml:space="preserve">Charifa Ali </t>
  </si>
  <si>
    <t>Yassira Issa</t>
  </si>
  <si>
    <t xml:space="preserve">Aichatou Mounkaila </t>
  </si>
  <si>
    <t>Azima Larwana</t>
  </si>
  <si>
    <t>Zeinabou Maazou</t>
  </si>
  <si>
    <t>Aichatou Maman</t>
  </si>
  <si>
    <t>Absente</t>
  </si>
  <si>
    <t>Nafissa Haladou</t>
  </si>
  <si>
    <t xml:space="preserve">Hannatou Tassiou </t>
  </si>
  <si>
    <t>Hakima Ibrahim</t>
  </si>
  <si>
    <t>Nafiza Abdoul Aziz</t>
  </si>
  <si>
    <t>Mouniba Moutari</t>
  </si>
  <si>
    <t>Latifa Abdou</t>
  </si>
  <si>
    <t>Hanifa Sani</t>
  </si>
  <si>
    <t xml:space="preserve">Sahouna Ali </t>
  </si>
  <si>
    <t>Badia Hassan</t>
  </si>
  <si>
    <t xml:space="preserve"> Zeinabou inoussa</t>
  </si>
  <si>
    <t>Ecole Wakasso</t>
  </si>
  <si>
    <t>Fadila Oumarou</t>
  </si>
  <si>
    <t>Zakiya Oumarou</t>
  </si>
  <si>
    <t>Firdaoussi Alio</t>
  </si>
  <si>
    <t>Rafia Boukari</t>
  </si>
  <si>
    <t xml:space="preserve">Mariama Abdoul 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</si>
  <si>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</si>
  <si>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</si>
  <si>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</si>
  <si>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</si>
  <si>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</si>
  <si>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</si>
  <si>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</si>
  <si>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</si>
  <si>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Anissa Rabiou</t>
  </si>
  <si>
    <t>Amassia Saadou</t>
  </si>
  <si>
    <t>Fadila Noura</t>
  </si>
  <si>
    <t>Mariama Amadou</t>
  </si>
  <si>
    <t>Kamila Bassirou</t>
  </si>
  <si>
    <t>Sadika Maman</t>
  </si>
  <si>
    <t>Guidan Dan Galadima</t>
  </si>
  <si>
    <t>Firdaoussi Mahamadou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</si>
  <si>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</si>
  <si>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</si>
  <si>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</si>
  <si>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</si>
  <si>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</si>
  <si>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</si>
  <si>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</si>
  <si>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</si>
  <si>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Faouzia Bassirou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</si>
  <si>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</si>
  <si>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</si>
  <si>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</si>
  <si>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</si>
  <si>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</si>
  <si>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</si>
  <si>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</si>
  <si>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</si>
  <si>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</si>
  <si>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</si>
  <si>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</si>
  <si>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Kadidja Halilou</t>
  </si>
  <si>
    <t>Firdaoussi Mamane</t>
  </si>
  <si>
    <t>Zabon Mousso</t>
  </si>
  <si>
    <t>Lazaatou Achirou</t>
  </si>
  <si>
    <t xml:space="preserve">Chamsia Abdou 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</si>
  <si>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</si>
  <si>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</si>
  <si>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</si>
  <si>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</si>
  <si>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</si>
  <si>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</si>
  <si>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</si>
  <si>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</si>
  <si>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</si>
  <si>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</si>
  <si>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</si>
  <si>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Ousseina Sabiou</t>
  </si>
  <si>
    <t>Rachida Nassirou</t>
  </si>
  <si>
    <t>Hassana Inoussa</t>
  </si>
  <si>
    <t>Azima ousmane</t>
  </si>
  <si>
    <t>Wassila Illiya</t>
  </si>
  <si>
    <t>Ousseina Inoussa</t>
  </si>
  <si>
    <t>Haoua Sani</t>
  </si>
  <si>
    <t>Laouissa Sabiou</t>
  </si>
  <si>
    <t>Mahadiya Laouali</t>
  </si>
  <si>
    <t>Fatima Sani</t>
  </si>
  <si>
    <t>Chamsia Moussa</t>
  </si>
  <si>
    <t>Hassia Inoussa</t>
  </si>
  <si>
    <t>Salima Issaka</t>
  </si>
  <si>
    <t>Roukaya Salissou</t>
  </si>
  <si>
    <t>Magami</t>
  </si>
  <si>
    <t>Mansoura Kalla</t>
  </si>
  <si>
    <t>Mariama Moussa</t>
  </si>
  <si>
    <t>Safina Moussa</t>
  </si>
  <si>
    <t>Rabila Abdou</t>
  </si>
  <si>
    <t>Naima Issa</t>
  </si>
  <si>
    <t>Oumranatou Laouali</t>
  </si>
  <si>
    <t>Rabissa Saley</t>
  </si>
  <si>
    <t>Mouchtahida Chaibou</t>
  </si>
  <si>
    <t>Mariama Ibrahim</t>
  </si>
  <si>
    <t xml:space="preserve">Djamila Abdoul </t>
  </si>
  <si>
    <t>Rafia Maman</t>
  </si>
  <si>
    <t>Mansoura Moutari</t>
  </si>
  <si>
    <t>Guidan Zoudi</t>
  </si>
  <si>
    <t>Zoulfaou Yacouba</t>
  </si>
  <si>
    <t>Rachida Hamidou</t>
  </si>
  <si>
    <t xml:space="preserve">Haouaou Sabiou </t>
  </si>
  <si>
    <t>Salima Mamouda</t>
  </si>
  <si>
    <t>Mariama Saadou</t>
  </si>
  <si>
    <t>Rachida Ali</t>
  </si>
  <si>
    <t xml:space="preserve">Zeinabou Ousman </t>
  </si>
  <si>
    <t>Faouzia Maazou</t>
  </si>
  <si>
    <t>Malika Maazou</t>
  </si>
  <si>
    <t>Chaouna Adamou</t>
  </si>
  <si>
    <t>Saadia Hamidou</t>
  </si>
  <si>
    <t>Mahadia Illa</t>
  </si>
  <si>
    <t>Marsila Abdou</t>
  </si>
  <si>
    <t>Dan Tumbi</t>
  </si>
  <si>
    <t>Sahama Hamza</t>
  </si>
  <si>
    <t>Chafaatou Chaibou</t>
  </si>
  <si>
    <t>Faiza Inoussa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</si>
  <si>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</si>
  <si>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</si>
  <si>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</si>
  <si>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</si>
  <si>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</si>
  <si>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</si>
  <si>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</si>
  <si>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Djamila Amadou</t>
  </si>
  <si>
    <t>Aicha Souley</t>
  </si>
  <si>
    <t>Badaria Harouna</t>
  </si>
  <si>
    <t>Aicha Ali</t>
  </si>
  <si>
    <t>Malika Abou</t>
  </si>
  <si>
    <t>Badariya Mamane</t>
  </si>
  <si>
    <t>Zaharia Illa</t>
  </si>
  <si>
    <t>Faiza Ibrahim</t>
  </si>
  <si>
    <t>Nazifa Issa</t>
  </si>
  <si>
    <t>Farida Mountari</t>
  </si>
  <si>
    <t>Rahamou Maazou</t>
  </si>
  <si>
    <t>Nafissa Oumarou</t>
  </si>
  <si>
    <t>Nabila Mahamadou</t>
  </si>
  <si>
    <t>Bassira Ibrahim</t>
  </si>
  <si>
    <t>Houaou Amadou</t>
  </si>
  <si>
    <t>MariamaTassiou</t>
  </si>
  <si>
    <t>Naima Arji</t>
  </si>
  <si>
    <t>Malika Rabiou</t>
  </si>
  <si>
    <t>Kotsi (Algafia)</t>
  </si>
  <si>
    <t>Machakoura Bassirou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</si>
  <si>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</si>
  <si>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</si>
  <si>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</si>
  <si>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</si>
  <si>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</si>
  <si>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</si>
  <si>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</si>
  <si>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</si>
  <si>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</si>
  <si>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</si>
  <si>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 xml:space="preserve"> Bahira Nassirou</t>
  </si>
  <si>
    <t>Hassana Malam Amadou</t>
  </si>
  <si>
    <t>Marlira Rabé</t>
  </si>
  <si>
    <t>Karima Ousmane</t>
  </si>
  <si>
    <t>Raya Laouali</t>
  </si>
  <si>
    <t>Chappa Seidou</t>
  </si>
  <si>
    <t>Chapké</t>
  </si>
  <si>
    <t>Saadiya Salissou</t>
  </si>
  <si>
    <t>Mansoura Yacouba</t>
  </si>
  <si>
    <t>Na'ma Issaka</t>
  </si>
  <si>
    <t>Mariam Badamassi</t>
  </si>
  <si>
    <t>Selouba Chaibou</t>
  </si>
  <si>
    <t>Nisseiba Abdou</t>
  </si>
  <si>
    <t>Kadidja Issa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</si>
  <si>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</si>
  <si>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</si>
  <si>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</si>
  <si>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</si>
  <si>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</si>
  <si>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</si>
  <si>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</si>
  <si>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Guidan Koubé</t>
  </si>
  <si>
    <t>Kadidja Souley</t>
  </si>
  <si>
    <t>Zaharia Yacouba</t>
  </si>
  <si>
    <t>Firdaoussi Ibrahim</t>
  </si>
  <si>
    <t>Kadidja Abdou</t>
  </si>
  <si>
    <t>Souraya Mamane</t>
  </si>
  <si>
    <t>Lariya Haladou</t>
  </si>
  <si>
    <t>Faiza Ali</t>
  </si>
  <si>
    <t>Zeinabou Nouhou</t>
  </si>
  <si>
    <t>Firdaoussi Zaneidou</t>
  </si>
  <si>
    <t>Adiya Yacouba</t>
  </si>
  <si>
    <t>Tchadoua CM1 contrôle</t>
  </si>
  <si>
    <t>Tchadoua liste des écoles interventions CM1</t>
  </si>
  <si>
    <t>Taux de réssite</t>
  </si>
  <si>
    <t>Classement des écoles interventions selon leurs taux de réussite</t>
  </si>
  <si>
    <t>ZANGON NA RUWA</t>
  </si>
  <si>
    <t>10ème</t>
  </si>
  <si>
    <t>GUIDAN MAGAGI</t>
  </si>
  <si>
    <t>DAN GAMJI</t>
  </si>
  <si>
    <t>8ème</t>
  </si>
  <si>
    <t>DOUMA 1</t>
  </si>
  <si>
    <t>KURAN MOTA</t>
  </si>
  <si>
    <t>9ème</t>
  </si>
  <si>
    <t>TAWALALA</t>
  </si>
  <si>
    <t>GUIDAN KARMA</t>
  </si>
  <si>
    <t>4ème</t>
  </si>
  <si>
    <t>DAN AICHA</t>
  </si>
  <si>
    <t>10ème execo</t>
  </si>
  <si>
    <t>GUIDAN MOUSSA</t>
  </si>
  <si>
    <t>1ère</t>
  </si>
  <si>
    <t>MAI JANGUERO</t>
  </si>
  <si>
    <t>GAWARO MADATTAI</t>
  </si>
  <si>
    <t xml:space="preserve">6ème </t>
  </si>
  <si>
    <t>6ème execo</t>
  </si>
  <si>
    <t>JAN RUWA SEDENTAIRE</t>
  </si>
  <si>
    <t xml:space="preserve">7ème </t>
  </si>
  <si>
    <t>3ème</t>
  </si>
  <si>
    <t>5ème</t>
  </si>
  <si>
    <t>2ème</t>
  </si>
  <si>
    <t>Tchadoua</t>
  </si>
  <si>
    <t>Total inscrites CM1</t>
  </si>
  <si>
    <t>Nombre passe CM2</t>
  </si>
  <si>
    <t>Nombre abadon CM1</t>
  </si>
  <si>
    <t>Taux de passage CM2</t>
  </si>
  <si>
    <t>Taux d'abandon CM1</t>
  </si>
  <si>
    <t>Intervention</t>
  </si>
  <si>
    <t>Controle</t>
  </si>
  <si>
    <t xml:space="preserve">Les écoles d'intervention </t>
  </si>
  <si>
    <t>N°d'ordre</t>
  </si>
  <si>
    <t>Ecole</t>
  </si>
  <si>
    <t>Effectifs</t>
  </si>
  <si>
    <t>Pourcentage</t>
  </si>
  <si>
    <t>Zangon Na Ruwa</t>
  </si>
  <si>
    <t>Dan Gamji</t>
  </si>
  <si>
    <t>Kuran Mota</t>
  </si>
  <si>
    <t>Guidan Karma</t>
  </si>
  <si>
    <t>Dan Aicha</t>
  </si>
  <si>
    <t>Guidan Magagi</t>
  </si>
  <si>
    <t>Gawaro Madattai</t>
  </si>
  <si>
    <t>Mai Janguero</t>
  </si>
  <si>
    <t>Jan Ruwa Sedentaire</t>
  </si>
  <si>
    <t>Tawalala</t>
  </si>
  <si>
    <t>Guidan Moussa</t>
  </si>
  <si>
    <t>Douma 1</t>
  </si>
  <si>
    <t xml:space="preserve">Les écoles de contrôle </t>
  </si>
  <si>
    <t>Guidan Tambari</t>
  </si>
  <si>
    <t>Dan Bouzou</t>
  </si>
  <si>
    <t xml:space="preserve">Wakasso </t>
  </si>
  <si>
    <t>Kotsi(Algafia)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</si>
</sst>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FF0000"/>
      <name val="Calibri"/>
    </font>
    <font>
      <sz val="11.0"/>
      <color rgb="FF00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3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3" numFmtId="0" xfId="0" applyFont="1"/>
    <xf borderId="5" fillId="0" fontId="4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5" numFmtId="0" xfId="0" applyFont="1"/>
    <xf borderId="6" fillId="0" fontId="1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6" fillId="0" fontId="4" numFmtId="0" xfId="0" applyBorder="1" applyFont="1"/>
    <xf borderId="7" fillId="2" fontId="6" numFmtId="0" xfId="0" applyAlignment="1" applyBorder="1" applyFill="1" applyFont="1">
      <alignment horizontal="left"/>
    </xf>
    <xf borderId="7" fillId="2" fontId="6" numFmtId="0" xfId="0" applyBorder="1" applyFont="1"/>
    <xf borderId="8" fillId="0" fontId="3" numFmtId="2" xfId="0" applyBorder="1" applyFont="1" applyNumberFormat="1"/>
    <xf borderId="6" fillId="0" fontId="3" numFmtId="2" xfId="0" applyBorder="1" applyFont="1" applyNumberFormat="1"/>
    <xf borderId="6" fillId="0" fontId="3" numFmtId="0" xfId="0" applyBorder="1" applyFont="1"/>
    <xf borderId="8" fillId="0" fontId="3" numFmtId="0" xfId="0" applyBorder="1" applyFont="1"/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0" fontId="3" numFmtId="2" xfId="0" applyBorder="1" applyFont="1" applyNumberFormat="1"/>
    <xf borderId="7" fillId="0" fontId="3" numFmtId="0" xfId="0" applyBorder="1" applyFont="1"/>
    <xf borderId="0" fillId="0" fontId="3" numFmtId="0" xfId="0" applyAlignment="1" applyFont="1">
      <alignment readingOrder="0"/>
    </xf>
    <xf borderId="8" fillId="0" fontId="3" numFmtId="0" xfId="0" applyAlignment="1" applyBorder="1" applyFont="1">
      <alignment readingOrder="0"/>
    </xf>
    <xf borderId="9" fillId="2" fontId="6" numFmtId="0" xfId="0" applyBorder="1" applyFont="1"/>
    <xf borderId="10" fillId="2" fontId="6" numFmtId="0" xfId="0" applyBorder="1" applyFont="1"/>
    <xf borderId="9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5" fillId="2" fontId="6" numFmtId="0" xfId="0" applyBorder="1" applyFont="1"/>
    <xf borderId="5" fillId="0" fontId="3" numFmtId="2" xfId="0" applyBorder="1" applyFont="1" applyNumberFormat="1"/>
    <xf borderId="5" fillId="0" fontId="3" numFmtId="0" xfId="0" applyBorder="1" applyFont="1"/>
    <xf borderId="5" fillId="0" fontId="4" numFmtId="0" xfId="0" applyAlignment="1" applyBorder="1" applyFont="1">
      <alignment horizontal="right"/>
    </xf>
    <xf borderId="5" fillId="2" fontId="4" numFmtId="0" xfId="0" applyAlignment="1" applyBorder="1" applyFont="1">
      <alignment horizontal="right"/>
    </xf>
    <xf borderId="5" fillId="0" fontId="5" numFmtId="0" xfId="0" applyAlignment="1" applyBorder="1" applyFont="1">
      <alignment horizontal="right"/>
    </xf>
    <xf borderId="5" fillId="0" fontId="5" numFmtId="10" xfId="0" applyAlignment="1" applyBorder="1" applyFont="1" applyNumberFormat="1">
      <alignment horizontal="right"/>
    </xf>
    <xf borderId="0" fillId="0" fontId="5" numFmtId="10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11" fillId="2" fontId="4" numFmtId="0" xfId="0" applyAlignment="1" applyBorder="1" applyFont="1">
      <alignment horizontal="right"/>
    </xf>
    <xf borderId="8" fillId="2" fontId="6" numFmtId="0" xfId="0" applyAlignment="1" applyBorder="1" applyFont="1">
      <alignment horizontal="left"/>
    </xf>
    <xf borderId="6" fillId="2" fontId="6" numFmtId="0" xfId="0" applyBorder="1" applyFont="1"/>
    <xf borderId="8" fillId="0" fontId="3" numFmtId="10" xfId="0" applyBorder="1" applyFont="1" applyNumberFormat="1"/>
    <xf borderId="0" fillId="0" fontId="3" numFmtId="10" xfId="0" applyFont="1" applyNumberFormat="1"/>
    <xf borderId="12" fillId="2" fontId="6" numFmtId="0" xfId="0" applyBorder="1" applyFont="1"/>
    <xf borderId="5" fillId="0" fontId="4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12" fillId="2" fontId="6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3" numFmtId="10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7" fillId="2" fontId="6" numFmtId="0" xfId="0" applyAlignment="1" applyBorder="1" applyFont="1">
      <alignment horizontal="center"/>
    </xf>
    <xf borderId="11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left"/>
    </xf>
    <xf borderId="6" fillId="2" fontId="6" numFmtId="0" xfId="0" applyAlignment="1" applyBorder="1" applyFont="1">
      <alignment horizontal="center"/>
    </xf>
    <xf borderId="5" fillId="2" fontId="6" numFmtId="0" xfId="0" applyAlignment="1" applyBorder="1" applyFont="1">
      <alignment horizontal="center"/>
    </xf>
    <xf borderId="10" fillId="2" fontId="6" numFmtId="0" xfId="0" applyAlignment="1" applyBorder="1" applyFont="1">
      <alignment horizontal="center"/>
    </xf>
    <xf borderId="13" fillId="2" fontId="6" numFmtId="0" xfId="0" applyAlignment="1" applyBorder="1" applyFont="1">
      <alignment horizontal="left"/>
    </xf>
    <xf borderId="13" fillId="2" fontId="6" numFmtId="0" xfId="0" applyAlignment="1" applyBorder="1" applyFont="1">
      <alignment horizontal="center"/>
    </xf>
    <xf borderId="5" fillId="0" fontId="3" numFmtId="10" xfId="0" applyAlignment="1" applyBorder="1" applyFont="1" applyNumberFormat="1">
      <alignment horizontal="center" readingOrder="0"/>
    </xf>
    <xf borderId="8" fillId="2" fontId="6" numFmtId="0" xfId="0" applyBorder="1" applyFont="1"/>
    <xf borderId="14" fillId="2" fontId="6" numFmtId="0" xfId="0" applyAlignment="1" applyBorder="1" applyFont="1">
      <alignment horizontal="left"/>
    </xf>
    <xf borderId="15" fillId="2" fontId="6" numFmtId="0" xfId="0" applyAlignment="1" applyBorder="1" applyFont="1">
      <alignment horizontal="left"/>
    </xf>
    <xf borderId="15" fillId="2" fontId="6" numFmtId="0" xfId="0" applyAlignment="1" applyBorder="1" applyFont="1">
      <alignment horizontal="center"/>
    </xf>
    <xf borderId="16" fillId="0" fontId="4" numFmtId="0" xfId="0" applyBorder="1" applyFont="1"/>
    <xf borderId="17" fillId="2" fontId="6" numFmtId="0" xfId="0" applyAlignment="1" applyBorder="1" applyFont="1">
      <alignment horizontal="left"/>
    </xf>
    <xf borderId="17" fillId="2" fontId="6" numFmtId="0" xfId="0" applyBorder="1" applyFont="1"/>
    <xf borderId="18" fillId="0" fontId="3" numFmtId="2" xfId="0" applyBorder="1" applyFont="1" applyNumberFormat="1"/>
    <xf borderId="18" fillId="0" fontId="3" numFmtId="0" xfId="0" applyBorder="1" applyFont="1"/>
    <xf borderId="19" fillId="0" fontId="3" numFmtId="0" xfId="0" applyAlignment="1" applyBorder="1" applyFont="1">
      <alignment readingOrder="0"/>
    </xf>
    <xf borderId="0" fillId="0" fontId="4" numFmtId="0" xfId="0" applyFont="1"/>
    <xf borderId="0" fillId="2" fontId="6" numFmtId="0" xfId="0" applyAlignment="1" applyFont="1">
      <alignment horizontal="left"/>
    </xf>
    <xf borderId="0" fillId="2" fontId="6" numFmtId="0" xfId="0" applyFont="1"/>
    <xf borderId="0" fillId="0" fontId="3" numFmtId="2" xfId="0" applyFont="1" applyNumberFormat="1"/>
    <xf borderId="0" fillId="0" fontId="3" numFmtId="0" xfId="0" applyFont="1"/>
    <xf borderId="0" fillId="0" fontId="4" numFmtId="0" xfId="0" applyFont="1"/>
    <xf borderId="0" fillId="2" fontId="6" numFmtId="0" xfId="0" applyAlignment="1" applyFont="1">
      <alignment horizontal="left"/>
    </xf>
    <xf borderId="0" fillId="2" fontId="6" numFmtId="0" xfId="0" applyFont="1"/>
    <xf borderId="0" fillId="0" fontId="3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0" xfId="0" applyAlignment="1" applyFont="1" applyNumberFormat="1">
      <alignment readingOrder="0"/>
    </xf>
    <xf borderId="0" fillId="0" fontId="8" numFmtId="10" xfId="0" applyFont="1" applyNumberFormat="1"/>
    <xf borderId="0" fillId="0" fontId="8" numFmtId="0" xfId="0" applyFont="1"/>
    <xf borderId="2" fillId="0" fontId="1" numFmtId="0" xfId="0" applyBorder="1" applyFont="1"/>
    <xf borderId="7" fillId="2" fontId="3" numFmtId="0" xfId="0" applyBorder="1" applyFont="1"/>
    <xf borderId="10" fillId="2" fontId="3" numFmtId="0" xfId="0" applyBorder="1" applyFont="1"/>
    <xf borderId="20" fillId="2" fontId="3" numFmtId="0" xfId="0" applyBorder="1" applyFont="1"/>
    <xf borderId="21" fillId="2" fontId="3" numFmtId="0" xfId="0" applyBorder="1" applyFont="1"/>
    <xf borderId="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22" fillId="2" fontId="3" numFmtId="0" xfId="0" applyBorder="1" applyFont="1"/>
    <xf borderId="23" fillId="2" fontId="3" numFmtId="0" xfId="0" applyBorder="1" applyFont="1"/>
    <xf borderId="0" fillId="2" fontId="3" numFmtId="0" xfId="0" applyFont="1"/>
    <xf borderId="9" fillId="2" fontId="3" numFmtId="0" xfId="0" applyBorder="1" applyFont="1"/>
    <xf borderId="2" fillId="0" fontId="4" numFmtId="0" xfId="0" applyBorder="1" applyFont="1"/>
    <xf borderId="20" fillId="2" fontId="6" numFmtId="0" xfId="0" applyAlignment="1" applyBorder="1" applyFont="1">
      <alignment horizontal="left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10" xfId="0" applyFont="1" applyNumberFormat="1"/>
    <xf borderId="0" fillId="0" fontId="10" numFmtId="10" xfId="0" applyAlignment="1" applyFont="1" applyNumberFormat="1">
      <alignment readingOrder="0"/>
    </xf>
    <xf borderId="9" fillId="2" fontId="3" numFmtId="0" xfId="0" applyAlignment="1" applyBorder="1" applyFont="1">
      <alignment horizontal="left"/>
    </xf>
    <xf borderId="18" fillId="2" fontId="6" numFmtId="0" xfId="0" applyAlignment="1" applyBorder="1" applyFont="1">
      <alignment horizontal="left"/>
    </xf>
    <xf borderId="0" fillId="0" fontId="5" numFmtId="0" xfId="0" applyFont="1"/>
    <xf borderId="16" fillId="0" fontId="5" numFmtId="0" xfId="0" applyBorder="1" applyFont="1"/>
    <xf borderId="24" fillId="0" fontId="5" numFmtId="0" xfId="0" applyBorder="1" applyFont="1"/>
    <xf borderId="25" fillId="2" fontId="3" numFmtId="0" xfId="0" applyBorder="1" applyFont="1"/>
    <xf borderId="26" fillId="2" fontId="3" numFmtId="0" xfId="0" applyBorder="1" applyFont="1"/>
    <xf borderId="27" fillId="2" fontId="3" numFmtId="0" xfId="0" applyBorder="1" applyFont="1"/>
    <xf borderId="7" fillId="0" fontId="9" numFmtId="2" xfId="0" applyBorder="1" applyFont="1" applyNumberFormat="1"/>
    <xf borderId="2" fillId="0" fontId="5" numFmtId="0" xfId="0" applyAlignment="1" applyBorder="1" applyFont="1">
      <alignment readingOrder="0"/>
    </xf>
    <xf borderId="17" fillId="2" fontId="3" numFmtId="0" xfId="0" applyBorder="1" applyFont="1"/>
    <xf borderId="16" fillId="0" fontId="3" numFmtId="0" xfId="0" applyBorder="1" applyFont="1"/>
    <xf borderId="0" fillId="0" fontId="7" numFmtId="0" xfId="0" applyAlignment="1" applyFont="1">
      <alignment readingOrder="0" shrinkToFit="0" wrapText="0"/>
    </xf>
    <xf borderId="0" fillId="3" fontId="8" numFmtId="0" xfId="0" applyAlignment="1" applyFill="1" applyFont="1">
      <alignment readingOrder="0"/>
    </xf>
    <xf borderId="0" fillId="3" fontId="8" numFmtId="9" xfId="0" applyFont="1" applyNumberFormat="1"/>
    <xf borderId="0" fillId="4" fontId="8" numFmtId="0" xfId="0" applyAlignment="1" applyFill="1" applyFont="1">
      <alignment readingOrder="0"/>
    </xf>
    <xf borderId="0" fillId="4" fontId="8" numFmtId="9" xfId="0" applyFont="1" applyNumberFormat="1"/>
    <xf borderId="0" fillId="0" fontId="8" numFmtId="9" xfId="0" applyFont="1" applyNumberFormat="1"/>
    <xf borderId="0" fillId="4" fontId="8" numFmtId="9" xfId="0" applyAlignment="1" applyFont="1" applyNumberFormat="1">
      <alignment readingOrder="0"/>
    </xf>
    <xf borderId="0" fillId="5" fontId="8" numFmtId="0" xfId="0" applyAlignment="1" applyFill="1" applyFont="1">
      <alignment readingOrder="0"/>
    </xf>
    <xf borderId="0" fillId="5" fontId="8" numFmtId="9" xfId="0" applyFont="1" applyNumberFormat="1"/>
    <xf borderId="28" fillId="6" fontId="3" numFmtId="0" xfId="0" applyBorder="1" applyFill="1" applyFont="1"/>
    <xf borderId="29" fillId="0" fontId="11" numFmtId="0" xfId="0" applyBorder="1" applyFont="1"/>
    <xf borderId="30" fillId="0" fontId="11" numFmtId="0" xfId="0" applyBorder="1" applyFont="1"/>
    <xf borderId="31" fillId="7" fontId="3" numFmtId="0" xfId="0" applyBorder="1" applyFill="1" applyFont="1"/>
    <xf borderId="32" fillId="0" fontId="11" numFmtId="0" xfId="0" applyBorder="1" applyFont="1"/>
    <xf borderId="23" fillId="7" fontId="3" numFmtId="0" xfId="0" applyBorder="1" applyFont="1"/>
    <xf borderId="0" fillId="0" fontId="3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ECOLES INTERVENTION-style">
      <tableStyleElement dxfId="1" type="headerRow"/>
      <tableStyleElement dxfId="2" type="firstRowStripe"/>
      <tableStyleElement dxfId="3" type="secondRowStripe"/>
    </tableStyle>
    <tableStyle count="3" pivot="0" name="ECOLES CONTRO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Ecoles d'intervention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resultats'!$B$8:$B$19</c:f>
            </c:strRef>
          </c:cat>
          <c:val>
            <c:numRef>
              <c:f>'Graphique des resultats'!$C$8:$C$19</c:f>
              <c:numCache/>
            </c:numRef>
          </c:val>
        </c:ser>
        <c:ser>
          <c:idx val="1"/>
          <c:order val="1"/>
          <c:tx>
            <c:v>Passe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resultats'!$B$8:$B$19</c:f>
            </c:strRef>
          </c:cat>
          <c:val>
            <c:numRef>
              <c:f>'Graphique des resultats'!$E$8:$E$20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resultats'!$B$8:$B$19</c:f>
            </c:strRef>
          </c:cat>
          <c:val>
            <c:numRef>
              <c:f>'Graphique des resultats'!$F$8:$F$19</c:f>
              <c:numCache/>
            </c:numRef>
          </c:val>
        </c:ser>
        <c:axId val="2036223238"/>
        <c:axId val="906766657"/>
      </c:barChart>
      <c:catAx>
        <c:axId val="203622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6766657"/>
      </c:catAx>
      <c:valAx>
        <c:axId val="906766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622323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Ecoles de contrôle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resultats'!$B$25:$B$36</c:f>
            </c:strRef>
          </c:cat>
          <c:val>
            <c:numRef>
              <c:f>'Graphique des resultats'!$C$25:$C$36</c:f>
              <c:numCache/>
            </c:numRef>
          </c:val>
        </c:ser>
        <c:ser>
          <c:idx val="1"/>
          <c:order val="1"/>
          <c:tx>
            <c:v>Passe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resultats'!$B$25:$B$36</c:f>
            </c:strRef>
          </c:cat>
          <c:val>
            <c:numRef>
              <c:f>'Graphique des resultats'!$E$25:$E$37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'Graphique des resultats'!$B$25:$B$36</c:f>
            </c:strRef>
          </c:cat>
          <c:val>
            <c:numRef>
              <c:f>'Graphique des resultats'!$F$25:$F$36</c:f>
              <c:numCache/>
            </c:numRef>
          </c:val>
        </c:ser>
        <c:axId val="2022348475"/>
        <c:axId val="751912589"/>
      </c:barChart>
      <c:catAx>
        <c:axId val="2022348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1912589"/>
      </c:catAx>
      <c:valAx>
        <c:axId val="751912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23484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4</xdr:row>
      <xdr:rowOff>76200</xdr:rowOff>
    </xdr:from>
    <xdr:ext cx="4381500" cy="2695575"/>
    <xdr:graphicFrame>
      <xdr:nvGraphicFramePr>
        <xdr:cNvPr id="76257468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190500</xdr:colOff>
      <xdr:row>20</xdr:row>
      <xdr:rowOff>114300</xdr:rowOff>
    </xdr:from>
    <xdr:ext cx="4381500" cy="2695575"/>
    <xdr:graphicFrame>
      <xdr:nvGraphicFramePr>
        <xdr:cNvPr id="71883005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7:P346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ECOLES INTERVEN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L2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COLES CONTRO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9" width="11.43"/>
    <col customWidth="1" min="10" max="13" width="11.71"/>
    <col customWidth="1" min="14" max="26" width="11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4" t="s">
        <v>16</v>
      </c>
      <c r="L7" s="5" t="s">
        <v>17</v>
      </c>
      <c r="M7" s="6" t="s">
        <v>18</v>
      </c>
      <c r="N7" s="7"/>
      <c r="O7" s="7"/>
      <c r="P7" s="7"/>
    </row>
    <row r="8" ht="14.25" customHeight="1">
      <c r="A8" s="8" t="s">
        <v>19</v>
      </c>
      <c r="B8" s="8"/>
      <c r="C8" s="8"/>
      <c r="D8" s="9"/>
      <c r="E8" s="9"/>
      <c r="F8" s="9"/>
      <c r="G8" s="9"/>
      <c r="H8" s="9"/>
      <c r="I8" s="9"/>
      <c r="J8" s="9"/>
      <c r="K8" s="10"/>
      <c r="L8" s="11"/>
      <c r="M8" s="12"/>
      <c r="N8" s="13"/>
      <c r="O8" s="13"/>
      <c r="P8" s="13"/>
    </row>
    <row r="9" ht="14.25" customHeight="1">
      <c r="A9" s="14" t="s">
        <v>20</v>
      </c>
      <c r="B9" s="15" t="s">
        <v>21</v>
      </c>
      <c r="C9" s="15"/>
      <c r="D9" s="11" t="s">
        <v>22</v>
      </c>
      <c r="E9" s="11"/>
      <c r="F9" s="11" t="s">
        <v>23</v>
      </c>
      <c r="G9" s="11"/>
      <c r="H9" s="11" t="s">
        <v>24</v>
      </c>
      <c r="I9" s="11"/>
      <c r="J9" s="11" t="s">
        <v>25</v>
      </c>
      <c r="K9" s="11"/>
      <c r="L9" s="11" t="s">
        <v>26</v>
      </c>
      <c r="M9" s="16" t="s">
        <v>27</v>
      </c>
      <c r="N9" s="17" t="s">
        <v>28</v>
      </c>
      <c r="O9" s="17" t="s">
        <v>29</v>
      </c>
      <c r="P9" s="17" t="s">
        <v>30</v>
      </c>
    </row>
    <row r="10" ht="14.25" customHeight="1">
      <c r="A10" s="18">
        <v>1.0</v>
      </c>
      <c r="B10" s="19" t="s">
        <v>31</v>
      </c>
      <c r="C10" s="20"/>
      <c r="D10" s="21">
        <v>5.25</v>
      </c>
      <c r="E10" s="22"/>
      <c r="F10" s="21">
        <v>5.8</v>
      </c>
      <c r="G10" s="22"/>
      <c r="H10" s="21">
        <v>6.0</v>
      </c>
      <c r="I10" s="22"/>
      <c r="J10" s="21">
        <f>(('ECOLES INTERVENTION'!$D10+'ECOLES INTERVENTION'!$F10+'ECOLES INTERVENTION'!$H10)/3)</f>
        <v>5.683333333</v>
      </c>
      <c r="K10" s="23"/>
      <c r="L10" s="24" t="s">
        <v>32</v>
      </c>
      <c r="M10" s="25">
        <v>1.0</v>
      </c>
      <c r="N10" s="26"/>
      <c r="O10" s="26"/>
      <c r="P10" s="26"/>
    </row>
    <row r="11" ht="14.25" customHeight="1">
      <c r="A11" s="18">
        <v>2.0</v>
      </c>
      <c r="B11" s="19" t="s">
        <v>33</v>
      </c>
      <c r="C11" s="20"/>
      <c r="D11" s="27">
        <v>2.75</v>
      </c>
      <c r="E11" s="27"/>
      <c r="F11" s="27">
        <v>3.0</v>
      </c>
      <c r="G11" s="27"/>
      <c r="H11" s="27">
        <v>3.15</v>
      </c>
      <c r="I11" s="27"/>
      <c r="J11" s="21">
        <f>(('ECOLES INTERVENTION'!$D11+'ECOLES INTERVENTION'!$F11+'ECOLES INTERVENTION'!$H11)/3)</f>
        <v>2.966666667</v>
      </c>
      <c r="K11" s="28"/>
      <c r="L11" s="28" t="s">
        <v>28</v>
      </c>
      <c r="M11" s="24"/>
      <c r="N11" s="29">
        <v>1.0</v>
      </c>
      <c r="O11" s="7"/>
      <c r="P11" s="7"/>
    </row>
    <row r="12" ht="14.25" customHeight="1">
      <c r="A12" s="18">
        <v>3.0</v>
      </c>
      <c r="B12" s="19" t="s">
        <v>34</v>
      </c>
      <c r="C12" s="20"/>
      <c r="D12" s="27">
        <v>4.9</v>
      </c>
      <c r="E12" s="27"/>
      <c r="F12" s="27">
        <v>5.15</v>
      </c>
      <c r="G12" s="27"/>
      <c r="H12" s="27">
        <v>4.25</v>
      </c>
      <c r="I12" s="27"/>
      <c r="J12" s="21">
        <f>(('ECOLES INTERVENTION'!$D12+'ECOLES INTERVENTION'!$F12+'ECOLES INTERVENTION'!$H12)/3)</f>
        <v>4.766666667</v>
      </c>
      <c r="K12" s="28"/>
      <c r="L12" s="28" t="s">
        <v>32</v>
      </c>
      <c r="M12" s="30">
        <v>1.0</v>
      </c>
      <c r="N12" s="26"/>
      <c r="O12" s="26"/>
      <c r="P12" s="26"/>
    </row>
    <row r="13" ht="14.25" customHeight="1">
      <c r="A13" s="18">
        <v>4.0</v>
      </c>
      <c r="B13" s="19" t="s">
        <v>35</v>
      </c>
      <c r="C13" s="20"/>
      <c r="D13" s="27">
        <v>3.99</v>
      </c>
      <c r="E13" s="27"/>
      <c r="F13" s="27">
        <v>4.45</v>
      </c>
      <c r="G13" s="27"/>
      <c r="H13" s="27">
        <v>4.95</v>
      </c>
      <c r="I13" s="27"/>
      <c r="J13" s="21">
        <f>(('ECOLES INTERVENTION'!$D13+'ECOLES INTERVENTION'!$F13+'ECOLES INTERVENTION'!$H13)/3)</f>
        <v>4.463333333</v>
      </c>
      <c r="K13" s="28"/>
      <c r="L13" s="28" t="s">
        <v>32</v>
      </c>
      <c r="M13" s="30">
        <v>1.0</v>
      </c>
      <c r="N13" s="26"/>
      <c r="O13" s="26"/>
      <c r="P13" s="26"/>
    </row>
    <row r="14" ht="14.25" customHeight="1">
      <c r="A14" s="18">
        <v>5.0</v>
      </c>
      <c r="B14" s="31" t="s">
        <v>36</v>
      </c>
      <c r="C14" s="32"/>
      <c r="D14" s="27">
        <v>4.0</v>
      </c>
      <c r="E14" s="27"/>
      <c r="F14" s="27">
        <v>5.25</v>
      </c>
      <c r="G14" s="27"/>
      <c r="H14" s="27">
        <v>5.95</v>
      </c>
      <c r="I14" s="27"/>
      <c r="J14" s="21">
        <f>(('ECOLES INTERVENTION'!$D14+'ECOLES INTERVENTION'!$F14+'ECOLES INTERVENTION'!$H14)/3)</f>
        <v>5.066666667</v>
      </c>
      <c r="K14" s="28"/>
      <c r="L14" s="28" t="s">
        <v>37</v>
      </c>
      <c r="M14" s="30">
        <v>1.0</v>
      </c>
      <c r="N14" s="26"/>
      <c r="O14" s="26"/>
      <c r="P14" s="26"/>
    </row>
    <row r="15" ht="14.25" customHeight="1">
      <c r="A15" s="18">
        <v>6.0</v>
      </c>
      <c r="B15" s="19" t="s">
        <v>38</v>
      </c>
      <c r="C15" s="20"/>
      <c r="D15" s="27">
        <v>5.4</v>
      </c>
      <c r="E15" s="27"/>
      <c r="F15" s="27">
        <v>4.62</v>
      </c>
      <c r="G15" s="27"/>
      <c r="H15" s="27">
        <v>4.95</v>
      </c>
      <c r="I15" s="27"/>
      <c r="J15" s="21">
        <f>(('ECOLES INTERVENTION'!$D15+'ECOLES INTERVENTION'!$F15+'ECOLES INTERVENTION'!$H15)/3)</f>
        <v>4.99</v>
      </c>
      <c r="K15" s="28"/>
      <c r="L15" s="28" t="s">
        <v>32</v>
      </c>
      <c r="M15" s="30">
        <v>1.0</v>
      </c>
      <c r="N15" s="26"/>
      <c r="O15" s="26"/>
      <c r="P15" s="26"/>
    </row>
    <row r="16" ht="14.25" customHeight="1">
      <c r="A16" s="18">
        <v>7.0</v>
      </c>
      <c r="B16" s="19" t="s">
        <v>39</v>
      </c>
      <c r="C16" s="20"/>
      <c r="D16" s="27">
        <v>4.25</v>
      </c>
      <c r="E16" s="27"/>
      <c r="F16" s="27">
        <v>5.15</v>
      </c>
      <c r="G16" s="27"/>
      <c r="H16" s="27">
        <v>6.0</v>
      </c>
      <c r="I16" s="27"/>
      <c r="J16" s="21">
        <f>(('ECOLES INTERVENTION'!$D16+'ECOLES INTERVENTION'!$F16+'ECOLES INTERVENTION'!$H16)/3)</f>
        <v>5.133333333</v>
      </c>
      <c r="K16" s="28"/>
      <c r="L16" s="28" t="s">
        <v>32</v>
      </c>
      <c r="M16" s="30">
        <v>1.0</v>
      </c>
      <c r="N16" s="26"/>
      <c r="O16" s="26"/>
      <c r="P16" s="26"/>
    </row>
    <row r="17" ht="14.25" customHeight="1">
      <c r="A17" s="18">
        <v>8.0</v>
      </c>
      <c r="B17" s="33" t="s">
        <v>40</v>
      </c>
      <c r="C17" s="32"/>
      <c r="D17" s="27">
        <v>3.88</v>
      </c>
      <c r="E17" s="27"/>
      <c r="F17" s="27">
        <v>4.79</v>
      </c>
      <c r="G17" s="27"/>
      <c r="H17" s="27">
        <v>5.0</v>
      </c>
      <c r="I17" s="27"/>
      <c r="J17" s="21">
        <f>(('ECOLES INTERVENTION'!$D17+'ECOLES INTERVENTION'!$F17+'ECOLES INTERVENTION'!$H17)/3)</f>
        <v>4.556666667</v>
      </c>
      <c r="K17" s="28"/>
      <c r="L17" s="28" t="s">
        <v>32</v>
      </c>
      <c r="M17" s="30">
        <v>1.0</v>
      </c>
      <c r="N17" s="26"/>
      <c r="O17" s="26"/>
      <c r="P17" s="26"/>
    </row>
    <row r="18" ht="14.25" customHeight="1">
      <c r="A18" s="18">
        <v>9.0</v>
      </c>
      <c r="B18" s="19" t="s">
        <v>41</v>
      </c>
      <c r="C18" s="20"/>
      <c r="D18" s="27">
        <v>4.5</v>
      </c>
      <c r="E18" s="27"/>
      <c r="F18" s="27">
        <v>5.0</v>
      </c>
      <c r="G18" s="27"/>
      <c r="H18" s="27">
        <v>4.65</v>
      </c>
      <c r="I18" s="27"/>
      <c r="J18" s="21">
        <f>(('ECOLES INTERVENTION'!$D18+'ECOLES INTERVENTION'!$F18+'ECOLES INTERVENTION'!$H18)/3)</f>
        <v>4.716666667</v>
      </c>
      <c r="K18" s="28"/>
      <c r="L18" s="28" t="s">
        <v>32</v>
      </c>
      <c r="M18" s="30">
        <v>1.0</v>
      </c>
      <c r="N18" s="26"/>
      <c r="O18" s="26"/>
      <c r="P18" s="26"/>
    </row>
    <row r="19" ht="14.25" customHeight="1">
      <c r="A19" s="18">
        <v>10.0</v>
      </c>
      <c r="B19" s="19" t="s">
        <v>42</v>
      </c>
      <c r="C19" s="20"/>
      <c r="D19" s="27">
        <v>2.95</v>
      </c>
      <c r="E19" s="27"/>
      <c r="F19" s="27">
        <v>2.75</v>
      </c>
      <c r="G19" s="27"/>
      <c r="H19" s="27">
        <v>3.65</v>
      </c>
      <c r="I19" s="27"/>
      <c r="J19" s="21">
        <f>(('ECOLES INTERVENTION'!$D19+'ECOLES INTERVENTION'!$F19+'ECOLES INTERVENTION'!$H19)/3)</f>
        <v>3.116666667</v>
      </c>
      <c r="K19" s="28"/>
      <c r="L19" s="28" t="s">
        <v>28</v>
      </c>
      <c r="M19" s="24"/>
      <c r="N19" s="29">
        <v>1.0</v>
      </c>
      <c r="O19" s="7"/>
      <c r="P19" s="7"/>
    </row>
    <row r="20" ht="14.25" customHeight="1">
      <c r="A20" s="18">
        <v>11.0</v>
      </c>
      <c r="B20" s="19" t="s">
        <v>43</v>
      </c>
      <c r="C20" s="20"/>
      <c r="D20" s="27">
        <v>3.6</v>
      </c>
      <c r="E20" s="27"/>
      <c r="F20" s="27">
        <v>4.25</v>
      </c>
      <c r="G20" s="27"/>
      <c r="H20" s="27">
        <v>6.0</v>
      </c>
      <c r="I20" s="27"/>
      <c r="J20" s="21">
        <f>(('ECOLES INTERVENTION'!$D20+'ECOLES INTERVENTION'!$F20+'ECOLES INTERVENTION'!$H20)/3)</f>
        <v>4.616666667</v>
      </c>
      <c r="K20" s="28"/>
      <c r="L20" s="28" t="s">
        <v>32</v>
      </c>
      <c r="M20" s="30">
        <v>1.0</v>
      </c>
      <c r="N20" s="26"/>
      <c r="O20" s="26"/>
      <c r="P20" s="26"/>
    </row>
    <row r="21" ht="14.25" customHeight="1">
      <c r="A21" s="18">
        <v>12.0</v>
      </c>
      <c r="B21" s="19" t="s">
        <v>44</v>
      </c>
      <c r="C21" s="20"/>
      <c r="D21" s="27">
        <v>6.5</v>
      </c>
      <c r="E21" s="27"/>
      <c r="F21" s="27">
        <v>6.9</v>
      </c>
      <c r="G21" s="27"/>
      <c r="H21" s="27">
        <v>7.15</v>
      </c>
      <c r="I21" s="27"/>
      <c r="J21" s="21">
        <f>(('ECOLES INTERVENTION'!$D21+'ECOLES INTERVENTION'!$F21+'ECOLES INTERVENTION'!$H21)/3)</f>
        <v>6.85</v>
      </c>
      <c r="K21" s="28"/>
      <c r="L21" s="28" t="s">
        <v>32</v>
      </c>
      <c r="M21" s="30">
        <v>1.0</v>
      </c>
      <c r="N21" s="26"/>
      <c r="O21" s="26"/>
      <c r="P21" s="26"/>
    </row>
    <row r="22" ht="14.25" customHeight="1">
      <c r="A22" s="18">
        <v>13.0</v>
      </c>
      <c r="B22" s="33" t="s">
        <v>45</v>
      </c>
      <c r="C22" s="32"/>
      <c r="D22" s="27">
        <v>4.75</v>
      </c>
      <c r="E22" s="27"/>
      <c r="F22" s="27">
        <v>5.0</v>
      </c>
      <c r="G22" s="27"/>
      <c r="H22" s="27">
        <v>5.69</v>
      </c>
      <c r="I22" s="27"/>
      <c r="J22" s="21">
        <f>(('ECOLES INTERVENTION'!$D22+'ECOLES INTERVENTION'!$F22+'ECOLES INTERVENTION'!$H22)/3)</f>
        <v>5.146666667</v>
      </c>
      <c r="K22" s="28"/>
      <c r="L22" s="28" t="s">
        <v>32</v>
      </c>
      <c r="M22" s="30">
        <v>1.0</v>
      </c>
      <c r="N22" s="26"/>
      <c r="O22" s="26"/>
      <c r="P22" s="26"/>
    </row>
    <row r="23" ht="14.25" customHeight="1">
      <c r="A23" s="18">
        <v>14.0</v>
      </c>
      <c r="B23" s="19" t="s">
        <v>46</v>
      </c>
      <c r="C23" s="20"/>
      <c r="D23" s="27">
        <v>3.9</v>
      </c>
      <c r="E23" s="27"/>
      <c r="F23" s="27">
        <v>4.65</v>
      </c>
      <c r="G23" s="27"/>
      <c r="H23" s="27">
        <v>4.95</v>
      </c>
      <c r="I23" s="27"/>
      <c r="J23" s="21">
        <f>(('ECOLES INTERVENTION'!$D23+'ECOLES INTERVENTION'!$F23+'ECOLES INTERVENTION'!$H23)/3)</f>
        <v>4.5</v>
      </c>
      <c r="K23" s="28"/>
      <c r="L23" s="28" t="s">
        <v>32</v>
      </c>
      <c r="M23" s="30">
        <v>1.0</v>
      </c>
      <c r="N23" s="26"/>
      <c r="O23" s="26"/>
      <c r="P23" s="26"/>
    </row>
    <row r="24" ht="14.25" customHeight="1">
      <c r="A24" s="18">
        <v>15.0</v>
      </c>
      <c r="B24" s="19" t="s">
        <v>47</v>
      </c>
      <c r="C24" s="20"/>
      <c r="D24" s="27">
        <v>4.6</v>
      </c>
      <c r="E24" s="27"/>
      <c r="F24" s="27">
        <v>3.95</v>
      </c>
      <c r="G24" s="27"/>
      <c r="H24" s="27">
        <v>5.25</v>
      </c>
      <c r="I24" s="27"/>
      <c r="J24" s="21">
        <f>(('ECOLES INTERVENTION'!$D24+'ECOLES INTERVENTION'!$F24+'ECOLES INTERVENTION'!$H24)/3)</f>
        <v>4.6</v>
      </c>
      <c r="K24" s="28"/>
      <c r="L24" s="28" t="s">
        <v>32</v>
      </c>
      <c r="M24" s="30">
        <v>1.0</v>
      </c>
      <c r="N24" s="26"/>
      <c r="O24" s="26"/>
      <c r="P24" s="26"/>
    </row>
    <row r="25" ht="14.25" customHeight="1">
      <c r="A25" s="18">
        <v>16.0</v>
      </c>
      <c r="B25" s="19" t="s">
        <v>48</v>
      </c>
      <c r="C25" s="20"/>
      <c r="D25" s="27">
        <v>5.0</v>
      </c>
      <c r="E25" s="27"/>
      <c r="F25" s="27">
        <v>6.0</v>
      </c>
      <c r="G25" s="27"/>
      <c r="H25" s="27">
        <v>6.45</v>
      </c>
      <c r="I25" s="27"/>
      <c r="J25" s="21">
        <f>(('ECOLES INTERVENTION'!$D25+'ECOLES INTERVENTION'!$F25+'ECOLES INTERVENTION'!$H25)/3)</f>
        <v>5.816666667</v>
      </c>
      <c r="K25" s="28"/>
      <c r="L25" s="28" t="s">
        <v>32</v>
      </c>
      <c r="M25" s="30">
        <v>1.0</v>
      </c>
      <c r="N25" s="26"/>
      <c r="O25" s="26"/>
      <c r="P25" s="26"/>
    </row>
    <row r="26" ht="14.25" customHeight="1">
      <c r="A26" s="18">
        <v>17.0</v>
      </c>
      <c r="B26" s="19" t="s">
        <v>49</v>
      </c>
      <c r="C26" s="20"/>
      <c r="D26" s="27">
        <v>3.88</v>
      </c>
      <c r="E26" s="27"/>
      <c r="F26" s="27">
        <v>4.69</v>
      </c>
      <c r="G26" s="27"/>
      <c r="H26" s="27">
        <v>4.97</v>
      </c>
      <c r="I26" s="27"/>
      <c r="J26" s="21">
        <f>(('ECOLES INTERVENTION'!$D26+'ECOLES INTERVENTION'!$F26+'ECOLES INTERVENTION'!$H26)/3)</f>
        <v>4.513333333</v>
      </c>
      <c r="K26" s="28"/>
      <c r="L26" s="28" t="s">
        <v>32</v>
      </c>
      <c r="M26" s="30">
        <v>1.0</v>
      </c>
      <c r="N26" s="26"/>
      <c r="O26" s="26"/>
      <c r="P26" s="26"/>
    </row>
    <row r="27" ht="14.25" customHeight="1">
      <c r="A27" s="18">
        <v>18.0</v>
      </c>
      <c r="B27" s="33" t="s">
        <v>50</v>
      </c>
      <c r="C27" s="32"/>
      <c r="D27" s="27">
        <v>4.35</v>
      </c>
      <c r="E27" s="27"/>
      <c r="F27" s="27">
        <v>3.97</v>
      </c>
      <c r="G27" s="27"/>
      <c r="H27" s="27">
        <v>5.25</v>
      </c>
      <c r="I27" s="27"/>
      <c r="J27" s="21">
        <f>(('ECOLES INTERVENTION'!$D27+'ECOLES INTERVENTION'!$F27+'ECOLES INTERVENTION'!$H27)/3)</f>
        <v>4.523333333</v>
      </c>
      <c r="K27" s="28"/>
      <c r="L27" s="28" t="s">
        <v>51</v>
      </c>
      <c r="M27" s="30">
        <v>1.0</v>
      </c>
      <c r="N27" s="26"/>
      <c r="O27" s="26"/>
      <c r="P27" s="26"/>
    </row>
    <row r="28" ht="14.25" customHeight="1">
      <c r="A28" s="18">
        <v>19.0</v>
      </c>
      <c r="B28" s="33" t="s">
        <v>52</v>
      </c>
      <c r="C28" s="32"/>
      <c r="D28" s="27">
        <v>3.0</v>
      </c>
      <c r="E28" s="27"/>
      <c r="F28" s="27">
        <v>5.0</v>
      </c>
      <c r="G28" s="27"/>
      <c r="H28" s="27">
        <v>6.15</v>
      </c>
      <c r="I28" s="27"/>
      <c r="J28" s="21">
        <f>(('ECOLES INTERVENTION'!$D28+'ECOLES INTERVENTION'!$F28+'ECOLES INTERVENTION'!$H28)/3)</f>
        <v>4.716666667</v>
      </c>
      <c r="K28" s="28"/>
      <c r="L28" s="28" t="s">
        <v>32</v>
      </c>
      <c r="M28" s="30">
        <v>1.0</v>
      </c>
      <c r="N28" s="26"/>
      <c r="O28" s="26"/>
      <c r="P28" s="26"/>
    </row>
    <row r="29" ht="14.25" customHeight="1">
      <c r="A29" s="18">
        <v>20.0</v>
      </c>
      <c r="B29" s="19" t="s">
        <v>53</v>
      </c>
      <c r="C29" s="20"/>
      <c r="D29" s="27">
        <v>4.74</v>
      </c>
      <c r="E29" s="27"/>
      <c r="F29" s="27">
        <v>6.0</v>
      </c>
      <c r="G29" s="27"/>
      <c r="H29" s="27">
        <v>7.0</v>
      </c>
      <c r="I29" s="27"/>
      <c r="J29" s="21">
        <f>(('ECOLES INTERVENTION'!$D29+'ECOLES INTERVENTION'!$F29+'ECOLES INTERVENTION'!$H29)/3)</f>
        <v>5.913333333</v>
      </c>
      <c r="K29" s="28"/>
      <c r="L29" s="28" t="s">
        <v>32</v>
      </c>
      <c r="M29" s="30">
        <v>1.0</v>
      </c>
      <c r="N29" s="26"/>
      <c r="O29" s="26"/>
      <c r="P29" s="26"/>
    </row>
    <row r="30" ht="14.25" customHeight="1">
      <c r="A30" s="8"/>
      <c r="B30" s="34"/>
      <c r="C30" s="35"/>
      <c r="D30" s="36"/>
      <c r="E30" s="36"/>
      <c r="F30" s="36"/>
      <c r="G30" s="36"/>
      <c r="H30" s="36"/>
      <c r="I30" s="36"/>
      <c r="J30" s="36"/>
      <c r="K30" s="37"/>
      <c r="L30" s="37"/>
      <c r="M30" s="25">
        <f t="shared" ref="M30:N30" si="1">SUM(M10:M29)</f>
        <v>18</v>
      </c>
      <c r="N30" s="26">
        <f t="shared" si="1"/>
        <v>2</v>
      </c>
      <c r="O30" s="26"/>
      <c r="P30" s="26"/>
    </row>
    <row r="31" ht="14.25" customHeight="1">
      <c r="A31" s="38"/>
      <c r="B31" s="39"/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1">
        <f>M30/A29</f>
        <v>0.9</v>
      </c>
      <c r="N31" s="42">
        <f>N30/A29</f>
        <v>0.1</v>
      </c>
      <c r="O31" s="43"/>
      <c r="P31" s="43"/>
    </row>
    <row r="32" ht="14.25" customHeight="1">
      <c r="A32" s="38" t="s">
        <v>54</v>
      </c>
      <c r="B32" s="44"/>
      <c r="C32" s="44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3"/>
      <c r="O32" s="43"/>
      <c r="P32" s="43"/>
    </row>
    <row r="33" ht="14.25" customHeight="1">
      <c r="A33" s="18">
        <v>1.0</v>
      </c>
      <c r="B33" s="19" t="s">
        <v>55</v>
      </c>
      <c r="C33" s="20"/>
      <c r="D33" s="27">
        <v>3.2</v>
      </c>
      <c r="E33" s="27"/>
      <c r="F33" s="27">
        <v>4.15</v>
      </c>
      <c r="G33" s="27"/>
      <c r="H33" s="27">
        <v>5.89</v>
      </c>
      <c r="I33" s="27"/>
      <c r="J33" s="27">
        <f>(('ECOLES INTERVENTION'!$D33+'ECOLES INTERVENTION'!$F33+'ECOLES INTERVENTION'!$H33)/3)</f>
        <v>4.413333333</v>
      </c>
      <c r="K33" s="28"/>
      <c r="L33" s="28" t="s">
        <v>32</v>
      </c>
      <c r="M33" s="30">
        <v>1.0</v>
      </c>
      <c r="N33" s="26"/>
      <c r="O33" s="26"/>
      <c r="P33" s="26"/>
    </row>
    <row r="34" ht="14.25" customHeight="1">
      <c r="A34" s="18">
        <v>2.0</v>
      </c>
      <c r="B34" s="19" t="s">
        <v>56</v>
      </c>
      <c r="C34" s="20"/>
      <c r="D34" s="27">
        <v>4.4</v>
      </c>
      <c r="E34" s="27"/>
      <c r="F34" s="27">
        <v>4.87</v>
      </c>
      <c r="G34" s="27"/>
      <c r="H34" s="27">
        <v>4.99</v>
      </c>
      <c r="I34" s="27"/>
      <c r="J34" s="27">
        <f>(('ECOLES INTERVENTION'!$D34+'ECOLES INTERVENTION'!$F34+'ECOLES INTERVENTION'!$H34)/3)</f>
        <v>4.753333333</v>
      </c>
      <c r="K34" s="28"/>
      <c r="L34" s="28" t="s">
        <v>32</v>
      </c>
      <c r="M34" s="30">
        <v>1.0</v>
      </c>
      <c r="N34" s="26"/>
      <c r="O34" s="26"/>
      <c r="P34" s="26"/>
    </row>
    <row r="35" ht="14.25" customHeight="1">
      <c r="A35" s="18">
        <v>3.0</v>
      </c>
      <c r="B35" s="19" t="s">
        <v>57</v>
      </c>
      <c r="C35" s="20"/>
      <c r="D35" s="27">
        <v>4.0</v>
      </c>
      <c r="E35" s="27"/>
      <c r="F35" s="27">
        <v>5.0</v>
      </c>
      <c r="G35" s="27"/>
      <c r="H35" s="27">
        <v>6.0</v>
      </c>
      <c r="I35" s="27"/>
      <c r="J35" s="27">
        <f>(('ECOLES INTERVENTION'!$D35+'ECOLES INTERVENTION'!$F35+'ECOLES INTERVENTION'!$H35)/3)</f>
        <v>5</v>
      </c>
      <c r="K35" s="28"/>
      <c r="L35" s="28" t="s">
        <v>58</v>
      </c>
      <c r="M35" s="30">
        <v>1.0</v>
      </c>
      <c r="N35" s="26"/>
      <c r="O35" s="26"/>
      <c r="P35" s="26"/>
    </row>
    <row r="36" ht="14.25" customHeight="1">
      <c r="A36" s="18">
        <v>4.0</v>
      </c>
      <c r="B36" s="33" t="s">
        <v>59</v>
      </c>
      <c r="C36" s="32"/>
      <c r="D36" s="27">
        <v>5.25</v>
      </c>
      <c r="E36" s="27"/>
      <c r="F36" s="27">
        <v>6.0</v>
      </c>
      <c r="G36" s="27"/>
      <c r="H36" s="27">
        <v>5.59</v>
      </c>
      <c r="I36" s="27"/>
      <c r="J36" s="27">
        <f>(('ECOLES INTERVENTION'!$D36+'ECOLES INTERVENTION'!$F36+'ECOLES INTERVENTION'!$H36)/3)</f>
        <v>5.613333333</v>
      </c>
      <c r="K36" s="28"/>
      <c r="L36" s="28" t="s">
        <v>32</v>
      </c>
      <c r="M36" s="30">
        <v>1.0</v>
      </c>
      <c r="N36" s="26"/>
      <c r="O36" s="26"/>
      <c r="P36" s="26"/>
    </row>
    <row r="37" ht="14.25" customHeight="1">
      <c r="A37" s="18">
        <v>5.0</v>
      </c>
      <c r="B37" s="19" t="s">
        <v>60</v>
      </c>
      <c r="C37" s="20"/>
      <c r="D37" s="27">
        <v>3.98</v>
      </c>
      <c r="E37" s="27"/>
      <c r="F37" s="27">
        <v>4.57</v>
      </c>
      <c r="G37" s="27"/>
      <c r="H37" s="27">
        <v>4.99</v>
      </c>
      <c r="I37" s="27"/>
      <c r="J37" s="27">
        <f>(('ECOLES INTERVENTION'!$D37+'ECOLES INTERVENTION'!$F37+'ECOLES INTERVENTION'!$H37)/3)</f>
        <v>4.513333333</v>
      </c>
      <c r="K37" s="28"/>
      <c r="L37" s="28" t="s">
        <v>32</v>
      </c>
      <c r="M37" s="30">
        <v>1.0</v>
      </c>
      <c r="N37" s="26"/>
      <c r="O37" s="26"/>
      <c r="P37" s="26"/>
    </row>
    <row r="38" ht="14.25" customHeight="1">
      <c r="A38" s="18">
        <v>6.0</v>
      </c>
      <c r="B38" s="19" t="s">
        <v>61</v>
      </c>
      <c r="C38" s="20"/>
      <c r="D38" s="27">
        <v>5.3</v>
      </c>
      <c r="E38" s="27"/>
      <c r="F38" s="27">
        <v>5.5</v>
      </c>
      <c r="G38" s="27"/>
      <c r="H38" s="27">
        <v>6.13</v>
      </c>
      <c r="I38" s="27"/>
      <c r="J38" s="27">
        <f>(('ECOLES INTERVENTION'!$D38+'ECOLES INTERVENTION'!$F38+'ECOLES INTERVENTION'!$H38)/3)</f>
        <v>5.643333333</v>
      </c>
      <c r="K38" s="28"/>
      <c r="L38" s="28" t="s">
        <v>32</v>
      </c>
      <c r="M38" s="30">
        <v>1.0</v>
      </c>
      <c r="N38" s="26"/>
      <c r="O38" s="26"/>
      <c r="P38" s="26"/>
    </row>
    <row r="39" ht="14.25" customHeight="1">
      <c r="A39" s="18">
        <v>7.0</v>
      </c>
      <c r="B39" s="19" t="s">
        <v>62</v>
      </c>
      <c r="C39" s="20"/>
      <c r="D39" s="27">
        <v>3.86</v>
      </c>
      <c r="E39" s="27"/>
      <c r="F39" s="27">
        <v>4.85</v>
      </c>
      <c r="G39" s="27"/>
      <c r="H39" s="27">
        <v>5.02</v>
      </c>
      <c r="I39" s="27"/>
      <c r="J39" s="27">
        <f>(('ECOLES INTERVENTION'!$D39+'ECOLES INTERVENTION'!$F39+'ECOLES INTERVENTION'!$H39)/3)</f>
        <v>4.576666667</v>
      </c>
      <c r="K39" s="28"/>
      <c r="L39" s="28" t="s">
        <v>32</v>
      </c>
      <c r="M39" s="30">
        <v>1.0</v>
      </c>
      <c r="N39" s="26"/>
      <c r="O39" s="26"/>
      <c r="P39" s="26"/>
    </row>
    <row r="40" ht="14.25" customHeight="1">
      <c r="A40" s="18">
        <v>8.0</v>
      </c>
      <c r="B40" s="19" t="s">
        <v>63</v>
      </c>
      <c r="C40" s="20"/>
      <c r="D40" s="27">
        <v>4.73</v>
      </c>
      <c r="E40" s="27"/>
      <c r="F40" s="27">
        <v>5.07</v>
      </c>
      <c r="G40" s="27"/>
      <c r="H40" s="27">
        <v>5.59</v>
      </c>
      <c r="I40" s="27"/>
      <c r="J40" s="27">
        <f>(('ECOLES INTERVENTION'!$D40+'ECOLES INTERVENTION'!$F40+'ECOLES INTERVENTION'!$H40)/3)</f>
        <v>5.13</v>
      </c>
      <c r="K40" s="28"/>
      <c r="L40" s="28" t="s">
        <v>32</v>
      </c>
      <c r="M40" s="30">
        <v>1.0</v>
      </c>
      <c r="N40" s="26"/>
      <c r="O40" s="26"/>
      <c r="P40" s="26"/>
    </row>
    <row r="41" ht="14.25" customHeight="1">
      <c r="A41" s="18">
        <v>9.0</v>
      </c>
      <c r="B41" s="19" t="s">
        <v>64</v>
      </c>
      <c r="C41" s="20"/>
      <c r="D41" s="27">
        <v>5.25</v>
      </c>
      <c r="E41" s="27"/>
      <c r="F41" s="27">
        <v>4.79</v>
      </c>
      <c r="G41" s="27"/>
      <c r="H41" s="27">
        <v>4.81</v>
      </c>
      <c r="I41" s="27"/>
      <c r="J41" s="27">
        <f>(('ECOLES INTERVENTION'!$D41+'ECOLES INTERVENTION'!$F41+'ECOLES INTERVENTION'!$H41)/3)</f>
        <v>4.95</v>
      </c>
      <c r="K41" s="28"/>
      <c r="L41" s="28" t="s">
        <v>32</v>
      </c>
      <c r="M41" s="30">
        <v>1.0</v>
      </c>
      <c r="N41" s="26"/>
      <c r="O41" s="26"/>
      <c r="P41" s="26"/>
    </row>
    <row r="42" ht="14.25" customHeight="1">
      <c r="A42" s="18">
        <v>10.0</v>
      </c>
      <c r="B42" s="19" t="s">
        <v>65</v>
      </c>
      <c r="C42" s="20"/>
      <c r="D42" s="27">
        <v>4.65</v>
      </c>
      <c r="E42" s="27"/>
      <c r="F42" s="27">
        <v>5.02</v>
      </c>
      <c r="G42" s="27"/>
      <c r="H42" s="27">
        <v>5.33</v>
      </c>
      <c r="I42" s="27"/>
      <c r="J42" s="27">
        <f>(('ECOLES INTERVENTION'!$D42+'ECOLES INTERVENTION'!$F42+'ECOLES INTERVENTION'!$H42)/3)</f>
        <v>5</v>
      </c>
      <c r="K42" s="28"/>
      <c r="L42" s="28" t="s">
        <v>32</v>
      </c>
      <c r="M42" s="30">
        <v>1.0</v>
      </c>
      <c r="N42" s="26"/>
      <c r="O42" s="26"/>
      <c r="P42" s="26"/>
    </row>
    <row r="43" ht="14.25" customHeight="1">
      <c r="A43" s="18">
        <v>11.0</v>
      </c>
      <c r="B43" s="19" t="s">
        <v>66</v>
      </c>
      <c r="C43" s="20"/>
      <c r="D43" s="27">
        <v>3.75</v>
      </c>
      <c r="E43" s="27"/>
      <c r="F43" s="27">
        <v>3.59</v>
      </c>
      <c r="G43" s="27"/>
      <c r="H43" s="27">
        <v>3.66</v>
      </c>
      <c r="I43" s="27"/>
      <c r="J43" s="27">
        <f>(('ECOLES INTERVENTION'!$D43+'ECOLES INTERVENTION'!$F43+'ECOLES INTERVENTION'!$H43)/3)</f>
        <v>3.666666667</v>
      </c>
      <c r="K43" s="28"/>
      <c r="L43" s="28" t="s">
        <v>28</v>
      </c>
      <c r="M43" s="24"/>
      <c r="N43" s="29">
        <v>1.0</v>
      </c>
      <c r="O43" s="7"/>
      <c r="P43" s="7"/>
    </row>
    <row r="44" ht="14.25" customHeight="1">
      <c r="A44" s="18">
        <v>12.0</v>
      </c>
      <c r="B44" s="19" t="s">
        <v>67</v>
      </c>
      <c r="C44" s="20"/>
      <c r="D44" s="27">
        <v>6.85</v>
      </c>
      <c r="E44" s="27"/>
      <c r="F44" s="27">
        <v>5.7</v>
      </c>
      <c r="G44" s="27"/>
      <c r="H44" s="27">
        <v>5.49</v>
      </c>
      <c r="I44" s="27"/>
      <c r="J44" s="27">
        <f>(('ECOLES INTERVENTION'!$D44+'ECOLES INTERVENTION'!$F44+'ECOLES INTERVENTION'!$H44)/3)</f>
        <v>6.013333333</v>
      </c>
      <c r="K44" s="28"/>
      <c r="L44" s="28" t="s">
        <v>51</v>
      </c>
      <c r="M44" s="30">
        <v>1.0</v>
      </c>
      <c r="N44" s="26"/>
      <c r="O44" s="26"/>
      <c r="P44" s="26"/>
    </row>
    <row r="45" ht="14.25" customHeight="1">
      <c r="A45" s="18">
        <v>13.0</v>
      </c>
      <c r="B45" s="19" t="s">
        <v>68</v>
      </c>
      <c r="C45" s="20"/>
      <c r="D45" s="27">
        <v>5.69</v>
      </c>
      <c r="E45" s="27"/>
      <c r="F45" s="27">
        <v>4.75</v>
      </c>
      <c r="G45" s="27"/>
      <c r="H45" s="27">
        <v>5.7</v>
      </c>
      <c r="I45" s="27"/>
      <c r="J45" s="27">
        <f>(('ECOLES INTERVENTION'!$D45+'ECOLES INTERVENTION'!$F45+'ECOLES INTERVENTION'!$H45)/3)</f>
        <v>5.38</v>
      </c>
      <c r="K45" s="28"/>
      <c r="L45" s="28" t="s">
        <v>51</v>
      </c>
      <c r="M45" s="30">
        <v>1.0</v>
      </c>
      <c r="N45" s="26"/>
      <c r="O45" s="26"/>
      <c r="P45" s="26"/>
    </row>
    <row r="46" ht="14.25" customHeight="1">
      <c r="A46" s="18">
        <v>14.0</v>
      </c>
      <c r="B46" s="19" t="s">
        <v>69</v>
      </c>
      <c r="C46" s="20"/>
      <c r="D46" s="27">
        <v>4.12</v>
      </c>
      <c r="E46" s="27"/>
      <c r="F46" s="27">
        <v>6.0</v>
      </c>
      <c r="G46" s="27"/>
      <c r="H46" s="27">
        <v>6.22</v>
      </c>
      <c r="I46" s="27"/>
      <c r="J46" s="27">
        <f>(('ECOLES INTERVENTION'!$D46+'ECOLES INTERVENTION'!$F46+'ECOLES INTERVENTION'!$H46)/3)</f>
        <v>5.446666667</v>
      </c>
      <c r="K46" s="28"/>
      <c r="L46" s="28" t="s">
        <v>32</v>
      </c>
      <c r="M46" s="30">
        <v>1.0</v>
      </c>
      <c r="N46" s="26"/>
      <c r="O46" s="26"/>
      <c r="P46" s="26"/>
    </row>
    <row r="47" ht="14.25" customHeight="1">
      <c r="A47" s="18">
        <v>15.0</v>
      </c>
      <c r="B47" s="19" t="s">
        <v>70</v>
      </c>
      <c r="C47" s="20"/>
      <c r="D47" s="27">
        <v>4.56</v>
      </c>
      <c r="E47" s="27"/>
      <c r="F47" s="27">
        <v>5.9</v>
      </c>
      <c r="G47" s="27"/>
      <c r="H47" s="27">
        <v>5.92</v>
      </c>
      <c r="I47" s="27"/>
      <c r="J47" s="27">
        <f>(('ECOLES INTERVENTION'!$D47+'ECOLES INTERVENTION'!$F47+'ECOLES INTERVENTION'!$H47)/3)</f>
        <v>5.46</v>
      </c>
      <c r="K47" s="28"/>
      <c r="L47" s="28" t="s">
        <v>32</v>
      </c>
      <c r="M47" s="30">
        <v>1.0</v>
      </c>
      <c r="N47" s="26"/>
      <c r="O47" s="26"/>
      <c r="P47" s="26"/>
    </row>
    <row r="48" ht="14.25" customHeight="1">
      <c r="A48" s="18">
        <v>16.0</v>
      </c>
      <c r="B48" s="19" t="s">
        <v>71</v>
      </c>
      <c r="C48" s="20"/>
      <c r="D48" s="27">
        <v>3.9</v>
      </c>
      <c r="E48" s="27"/>
      <c r="F48" s="27">
        <v>4.79</v>
      </c>
      <c r="G48" s="27"/>
      <c r="H48" s="27">
        <v>4.97</v>
      </c>
      <c r="I48" s="27"/>
      <c r="J48" s="27">
        <f>(('ECOLES INTERVENTION'!$D48+'ECOLES INTERVENTION'!$F48+'ECOLES INTERVENTION'!$H48)/3)</f>
        <v>4.553333333</v>
      </c>
      <c r="K48" s="28"/>
      <c r="L48" s="28" t="s">
        <v>32</v>
      </c>
      <c r="M48" s="30">
        <v>1.0</v>
      </c>
      <c r="N48" s="26"/>
      <c r="O48" s="26"/>
      <c r="P48" s="26"/>
    </row>
    <row r="49" ht="14.25" customHeight="1">
      <c r="A49" s="18">
        <v>17.0</v>
      </c>
      <c r="B49" s="19" t="s">
        <v>72</v>
      </c>
      <c r="C49" s="20"/>
      <c r="D49" s="27">
        <v>5.06</v>
      </c>
      <c r="E49" s="27"/>
      <c r="F49" s="27">
        <v>5.85</v>
      </c>
      <c r="G49" s="27"/>
      <c r="H49" s="27">
        <v>6.02</v>
      </c>
      <c r="I49" s="27"/>
      <c r="J49" s="27">
        <f>(('ECOLES INTERVENTION'!$D49+'ECOLES INTERVENTION'!$F49+'ECOLES INTERVENTION'!$H49)/3)</f>
        <v>5.643333333</v>
      </c>
      <c r="K49" s="28"/>
      <c r="L49" s="28" t="s">
        <v>32</v>
      </c>
      <c r="M49" s="30">
        <v>1.0</v>
      </c>
      <c r="N49" s="26"/>
      <c r="O49" s="26"/>
      <c r="P49" s="26"/>
    </row>
    <row r="50" ht="14.25" customHeight="1">
      <c r="A50" s="18">
        <v>18.0</v>
      </c>
      <c r="B50" s="19" t="s">
        <v>73</v>
      </c>
      <c r="C50" s="20"/>
      <c r="D50" s="27">
        <v>6.0</v>
      </c>
      <c r="E50" s="27"/>
      <c r="F50" s="27">
        <v>6.72</v>
      </c>
      <c r="G50" s="27"/>
      <c r="H50" s="27">
        <v>7.0</v>
      </c>
      <c r="I50" s="27"/>
      <c r="J50" s="27">
        <f>(('ECOLES INTERVENTION'!$D50+'ECOLES INTERVENTION'!$F50+'ECOLES INTERVENTION'!$H50)/3)</f>
        <v>6.573333333</v>
      </c>
      <c r="K50" s="28"/>
      <c r="L50" s="28" t="s">
        <v>32</v>
      </c>
      <c r="M50" s="30">
        <v>1.0</v>
      </c>
      <c r="N50" s="26"/>
      <c r="O50" s="26"/>
      <c r="P50" s="26"/>
    </row>
    <row r="51" ht="14.25" customHeight="1">
      <c r="A51" s="18">
        <v>19.0</v>
      </c>
      <c r="B51" s="19" t="s">
        <v>74</v>
      </c>
      <c r="C51" s="20"/>
      <c r="D51" s="27">
        <v>5.6</v>
      </c>
      <c r="E51" s="27"/>
      <c r="F51" s="27">
        <v>4.56</v>
      </c>
      <c r="G51" s="27"/>
      <c r="H51" s="27">
        <v>6.34</v>
      </c>
      <c r="I51" s="27"/>
      <c r="J51" s="27">
        <f>(('ECOLES INTERVENTION'!$D51+'ECOLES INTERVENTION'!$F51+'ECOLES INTERVENTION'!$H51)/3)</f>
        <v>5.5</v>
      </c>
      <c r="K51" s="28"/>
      <c r="L51" s="28" t="s">
        <v>32</v>
      </c>
      <c r="M51" s="30">
        <v>1.0</v>
      </c>
      <c r="N51" s="26"/>
      <c r="O51" s="26"/>
      <c r="P51" s="26"/>
    </row>
    <row r="52" ht="14.25" customHeight="1">
      <c r="A52" s="18">
        <v>20.0</v>
      </c>
      <c r="B52" s="19" t="s">
        <v>75</v>
      </c>
      <c r="C52" s="20"/>
      <c r="D52" s="27">
        <v>4.38</v>
      </c>
      <c r="E52" s="27"/>
      <c r="F52" s="27">
        <v>3.9</v>
      </c>
      <c r="G52" s="27"/>
      <c r="H52" s="27">
        <v>4.95</v>
      </c>
      <c r="I52" s="27"/>
      <c r="J52" s="27">
        <f>(('ECOLES INTERVENTION'!$D52+'ECOLES INTERVENTION'!$F52+'ECOLES INTERVENTION'!$H52)/3)</f>
        <v>4.41</v>
      </c>
      <c r="K52" s="28"/>
      <c r="L52" s="28" t="s">
        <v>28</v>
      </c>
      <c r="M52" s="24"/>
      <c r="N52" s="29">
        <v>1.0</v>
      </c>
      <c r="O52" s="7"/>
      <c r="P52" s="7"/>
    </row>
    <row r="53" ht="14.25" customHeight="1">
      <c r="A53" s="18">
        <v>21.0</v>
      </c>
      <c r="B53" s="33" t="s">
        <v>76</v>
      </c>
      <c r="C53" s="32"/>
      <c r="D53" s="27">
        <v>5.25</v>
      </c>
      <c r="E53" s="27"/>
      <c r="F53" s="27">
        <v>5.75</v>
      </c>
      <c r="G53" s="27"/>
      <c r="H53" s="27">
        <v>6.5</v>
      </c>
      <c r="I53" s="27"/>
      <c r="J53" s="27">
        <f>(('ECOLES INTERVENTION'!$D53+'ECOLES INTERVENTION'!$F53+'ECOLES INTERVENTION'!$H53)/3)</f>
        <v>5.833333333</v>
      </c>
      <c r="K53" s="28"/>
      <c r="L53" s="28" t="s">
        <v>32</v>
      </c>
      <c r="M53" s="30">
        <v>1.0</v>
      </c>
      <c r="N53" s="26"/>
      <c r="O53" s="26"/>
      <c r="P53" s="26"/>
    </row>
    <row r="54" ht="14.25" customHeight="1">
      <c r="A54" s="18">
        <v>22.0</v>
      </c>
      <c r="B54" s="19" t="s">
        <v>77</v>
      </c>
      <c r="C54" s="20"/>
      <c r="D54" s="27">
        <v>3.95</v>
      </c>
      <c r="E54" s="27"/>
      <c r="F54" s="27">
        <v>4.79</v>
      </c>
      <c r="G54" s="27"/>
      <c r="H54" s="27">
        <v>5.0</v>
      </c>
      <c r="I54" s="27"/>
      <c r="J54" s="27">
        <f>(('ECOLES INTERVENTION'!$D54+'ECOLES INTERVENTION'!$F54+'ECOLES INTERVENTION'!$H54)/3)</f>
        <v>4.58</v>
      </c>
      <c r="K54" s="28"/>
      <c r="L54" s="28" t="s">
        <v>32</v>
      </c>
      <c r="M54" s="30">
        <v>1.0</v>
      </c>
      <c r="N54" s="26"/>
      <c r="O54" s="26"/>
      <c r="P54" s="26"/>
    </row>
    <row r="55" ht="14.25" customHeight="1">
      <c r="A55" s="18">
        <v>23.0</v>
      </c>
      <c r="B55" s="33" t="s">
        <v>78</v>
      </c>
      <c r="C55" s="32"/>
      <c r="D55" s="27">
        <v>4.0</v>
      </c>
      <c r="E55" s="27"/>
      <c r="F55" s="27">
        <v>5.5</v>
      </c>
      <c r="G55" s="27"/>
      <c r="H55" s="27">
        <v>6.33</v>
      </c>
      <c r="I55" s="27"/>
      <c r="J55" s="27">
        <f>(('ECOLES INTERVENTION'!$D55+'ECOLES INTERVENTION'!$F55+'ECOLES INTERVENTION'!$H55)/3)</f>
        <v>5.276666667</v>
      </c>
      <c r="K55" s="28"/>
      <c r="L55" s="28" t="s">
        <v>32</v>
      </c>
      <c r="M55" s="30">
        <v>1.0</v>
      </c>
      <c r="N55" s="26"/>
      <c r="O55" s="26"/>
      <c r="P55" s="26"/>
    </row>
    <row r="56" ht="14.25" customHeight="1">
      <c r="A56" s="18">
        <v>24.0</v>
      </c>
      <c r="B56" s="19" t="s">
        <v>79</v>
      </c>
      <c r="C56" s="20"/>
      <c r="D56" s="27">
        <v>6.75</v>
      </c>
      <c r="E56" s="27"/>
      <c r="F56" s="27">
        <v>6.99</v>
      </c>
      <c r="G56" s="27"/>
      <c r="H56" s="27">
        <v>7.0</v>
      </c>
      <c r="I56" s="27"/>
      <c r="J56" s="27">
        <f>(('ECOLES INTERVENTION'!$D56+'ECOLES INTERVENTION'!$F56+'ECOLES INTERVENTION'!$H56)/3)</f>
        <v>6.913333333</v>
      </c>
      <c r="K56" s="28"/>
      <c r="L56" s="28" t="s">
        <v>32</v>
      </c>
      <c r="M56" s="30">
        <v>1.0</v>
      </c>
      <c r="N56" s="26"/>
      <c r="O56" s="26"/>
      <c r="P56" s="26"/>
    </row>
    <row r="57" ht="14.25" customHeight="1">
      <c r="A57" s="18">
        <v>25.0</v>
      </c>
      <c r="B57" s="19" t="s">
        <v>80</v>
      </c>
      <c r="C57" s="20"/>
      <c r="D57" s="27">
        <v>5.65</v>
      </c>
      <c r="E57" s="27"/>
      <c r="F57" s="27">
        <v>4.21</v>
      </c>
      <c r="G57" s="27"/>
      <c r="H57" s="27">
        <v>5.4</v>
      </c>
      <c r="I57" s="27"/>
      <c r="J57" s="27">
        <f>(('ECOLES INTERVENTION'!$D57+'ECOLES INTERVENTION'!$F57+'ECOLES INTERVENTION'!$H57)/3)</f>
        <v>5.086666667</v>
      </c>
      <c r="K57" s="28"/>
      <c r="L57" s="28" t="s">
        <v>32</v>
      </c>
      <c r="M57" s="30">
        <v>1.0</v>
      </c>
      <c r="N57" s="26"/>
      <c r="O57" s="26"/>
      <c r="P57" s="26"/>
    </row>
    <row r="58" ht="14.25" customHeight="1">
      <c r="A58" s="18">
        <v>26.0</v>
      </c>
      <c r="B58" s="19" t="s">
        <v>81</v>
      </c>
      <c r="C58" s="20"/>
      <c r="D58" s="27">
        <v>3.89</v>
      </c>
      <c r="E58" s="27"/>
      <c r="F58" s="27">
        <v>5.92</v>
      </c>
      <c r="G58" s="27"/>
      <c r="H58" s="27">
        <v>6.0</v>
      </c>
      <c r="I58" s="27"/>
      <c r="J58" s="27">
        <f>(('ECOLES INTERVENTION'!$D58+'ECOLES INTERVENTION'!$F58+'ECOLES INTERVENTION'!$H58)/3)</f>
        <v>5.27</v>
      </c>
      <c r="K58" s="28"/>
      <c r="L58" s="28" t="s">
        <v>32</v>
      </c>
      <c r="M58" s="30">
        <v>1.0</v>
      </c>
      <c r="N58" s="26"/>
      <c r="O58" s="26"/>
      <c r="P58" s="26"/>
    </row>
    <row r="59" ht="14.25" customHeight="1">
      <c r="A59" s="18">
        <v>27.0</v>
      </c>
      <c r="B59" s="19" t="s">
        <v>82</v>
      </c>
      <c r="C59" s="20"/>
      <c r="D59" s="27">
        <v>4.27</v>
      </c>
      <c r="E59" s="27"/>
      <c r="F59" s="27">
        <v>4.56</v>
      </c>
      <c r="G59" s="27"/>
      <c r="H59" s="27">
        <v>5.47</v>
      </c>
      <c r="I59" s="27"/>
      <c r="J59" s="27">
        <f>(('ECOLES INTERVENTION'!$D59+'ECOLES INTERVENTION'!$F59+'ECOLES INTERVENTION'!$H59)/3)</f>
        <v>4.766666667</v>
      </c>
      <c r="K59" s="28"/>
      <c r="L59" s="28" t="s">
        <v>32</v>
      </c>
      <c r="M59" s="30">
        <v>1.0</v>
      </c>
      <c r="N59" s="26"/>
      <c r="O59" s="26"/>
      <c r="P59" s="26"/>
    </row>
    <row r="60" ht="14.25" customHeight="1">
      <c r="A60" s="18">
        <v>28.0</v>
      </c>
      <c r="B60" s="19" t="s">
        <v>83</v>
      </c>
      <c r="C60" s="20"/>
      <c r="D60" s="27">
        <v>3.75</v>
      </c>
      <c r="E60" s="27"/>
      <c r="F60" s="27">
        <v>4.02</v>
      </c>
      <c r="G60" s="27"/>
      <c r="H60" s="27">
        <v>4.29</v>
      </c>
      <c r="I60" s="27"/>
      <c r="J60" s="27">
        <f>(('ECOLES INTERVENTION'!$D60+'ECOLES INTERVENTION'!$F60+'ECOLES INTERVENTION'!$H60)/3)</f>
        <v>4.02</v>
      </c>
      <c r="K60" s="28"/>
      <c r="L60" s="28" t="s">
        <v>28</v>
      </c>
      <c r="M60" s="24"/>
      <c r="N60" s="29">
        <v>1.0</v>
      </c>
      <c r="O60" s="7"/>
      <c r="P60" s="7"/>
    </row>
    <row r="61" ht="14.25" customHeight="1">
      <c r="A61" s="18">
        <v>29.0</v>
      </c>
      <c r="B61" s="19" t="s">
        <v>84</v>
      </c>
      <c r="C61" s="20"/>
      <c r="D61" s="27">
        <v>5.59</v>
      </c>
      <c r="E61" s="27"/>
      <c r="F61" s="27">
        <v>7.55</v>
      </c>
      <c r="G61" s="27"/>
      <c r="H61" s="27">
        <v>6.75</v>
      </c>
      <c r="I61" s="27"/>
      <c r="J61" s="27">
        <f>(('ECOLES INTERVENTION'!$D61+'ECOLES INTERVENTION'!$F61+'ECOLES INTERVENTION'!$H61)/3)</f>
        <v>6.63</v>
      </c>
      <c r="K61" s="28"/>
      <c r="L61" s="28" t="s">
        <v>32</v>
      </c>
      <c r="M61" s="30">
        <v>1.0</v>
      </c>
      <c r="N61" s="26"/>
      <c r="O61" s="26"/>
      <c r="P61" s="26"/>
    </row>
    <row r="62" ht="14.25" customHeight="1">
      <c r="A62" s="18">
        <v>30.0</v>
      </c>
      <c r="B62" s="33" t="s">
        <v>85</v>
      </c>
      <c r="C62" s="32"/>
      <c r="D62" s="27">
        <v>3.62</v>
      </c>
      <c r="E62" s="27"/>
      <c r="F62" s="27">
        <v>4.89</v>
      </c>
      <c r="G62" s="27"/>
      <c r="H62" s="27">
        <v>5.0</v>
      </c>
      <c r="I62" s="27"/>
      <c r="J62" s="27">
        <f>(('ECOLES INTERVENTION'!$D62+'ECOLES INTERVENTION'!$F62+'ECOLES INTERVENTION'!$H62)/3)</f>
        <v>4.503333333</v>
      </c>
      <c r="K62" s="28"/>
      <c r="L62" s="28" t="s">
        <v>32</v>
      </c>
      <c r="M62" s="30">
        <v>1.0</v>
      </c>
      <c r="N62" s="26"/>
      <c r="O62" s="26"/>
      <c r="P62" s="26"/>
    </row>
    <row r="63" ht="14.25" customHeight="1">
      <c r="A63" s="18">
        <v>31.0</v>
      </c>
      <c r="B63" s="19" t="s">
        <v>86</v>
      </c>
      <c r="C63" s="20"/>
      <c r="D63" s="27">
        <v>5.6</v>
      </c>
      <c r="E63" s="27"/>
      <c r="F63" s="27">
        <v>7.34</v>
      </c>
      <c r="G63" s="27"/>
      <c r="H63" s="27">
        <v>6.38</v>
      </c>
      <c r="I63" s="27"/>
      <c r="J63" s="27">
        <f>(('ECOLES INTERVENTION'!$D63+'ECOLES INTERVENTION'!$F63+'ECOLES INTERVENTION'!$H63)/3)</f>
        <v>6.44</v>
      </c>
      <c r="K63" s="28"/>
      <c r="L63" s="28" t="s">
        <v>32</v>
      </c>
      <c r="M63" s="30">
        <v>1.0</v>
      </c>
      <c r="N63" s="26"/>
      <c r="O63" s="26"/>
      <c r="P63" s="26"/>
    </row>
    <row r="64" ht="14.25" customHeight="1">
      <c r="A64" s="18">
        <v>32.0</v>
      </c>
      <c r="B64" s="19" t="s">
        <v>87</v>
      </c>
      <c r="C64" s="20"/>
      <c r="D64" s="27">
        <v>6.45</v>
      </c>
      <c r="E64" s="27"/>
      <c r="F64" s="27">
        <v>6.95</v>
      </c>
      <c r="G64" s="27"/>
      <c r="H64" s="27">
        <v>7.0</v>
      </c>
      <c r="I64" s="27"/>
      <c r="J64" s="27">
        <f>(('ECOLES INTERVENTION'!$D64+'ECOLES INTERVENTION'!$F64+'ECOLES INTERVENTION'!$H64)/3)</f>
        <v>6.8</v>
      </c>
      <c r="K64" s="28"/>
      <c r="L64" s="28" t="s">
        <v>32</v>
      </c>
      <c r="M64" s="30">
        <v>1.0</v>
      </c>
      <c r="N64" s="26"/>
      <c r="O64" s="26"/>
      <c r="P64" s="26"/>
    </row>
    <row r="65" ht="14.25" customHeight="1">
      <c r="A65" s="18">
        <v>33.0</v>
      </c>
      <c r="B65" s="19" t="s">
        <v>88</v>
      </c>
      <c r="C65" s="20"/>
      <c r="D65" s="27">
        <v>4.75</v>
      </c>
      <c r="E65" s="27"/>
      <c r="F65" s="27">
        <v>4.86</v>
      </c>
      <c r="G65" s="27"/>
      <c r="H65" s="27">
        <v>5.43</v>
      </c>
      <c r="I65" s="27"/>
      <c r="J65" s="27">
        <f>(('ECOLES INTERVENTION'!$D65+'ECOLES INTERVENTION'!$F65+'ECOLES INTERVENTION'!$H65)/3)</f>
        <v>5.013333333</v>
      </c>
      <c r="K65" s="28"/>
      <c r="L65" s="28" t="s">
        <v>32</v>
      </c>
      <c r="M65" s="30">
        <v>1.0</v>
      </c>
      <c r="N65" s="26"/>
      <c r="O65" s="26"/>
      <c r="P65" s="26"/>
    </row>
    <row r="66" ht="14.25" customHeight="1">
      <c r="A66" s="18">
        <v>34.0</v>
      </c>
      <c r="B66" s="19" t="s">
        <v>89</v>
      </c>
      <c r="C66" s="20"/>
      <c r="D66" s="27">
        <v>6.2</v>
      </c>
      <c r="E66" s="27"/>
      <c r="F66" s="27">
        <v>5.85</v>
      </c>
      <c r="G66" s="27"/>
      <c r="H66" s="27">
        <v>6.57</v>
      </c>
      <c r="I66" s="27"/>
      <c r="J66" s="27">
        <f>(('ECOLES INTERVENTION'!$D66+'ECOLES INTERVENTION'!$F66+'ECOLES INTERVENTION'!$H66)/3)</f>
        <v>6.206666667</v>
      </c>
      <c r="K66" s="28"/>
      <c r="L66" s="28" t="s">
        <v>32</v>
      </c>
      <c r="M66" s="30">
        <v>1.0</v>
      </c>
      <c r="N66" s="26"/>
      <c r="O66" s="26"/>
      <c r="P66" s="26"/>
    </row>
    <row r="67" ht="14.25" customHeight="1">
      <c r="A67" s="18">
        <v>35.0</v>
      </c>
      <c r="B67" s="33" t="s">
        <v>90</v>
      </c>
      <c r="C67" s="32"/>
      <c r="D67" s="27">
        <v>5.55</v>
      </c>
      <c r="E67" s="27"/>
      <c r="F67" s="27">
        <v>6.85</v>
      </c>
      <c r="G67" s="27"/>
      <c r="H67" s="27">
        <v>7.44</v>
      </c>
      <c r="I67" s="27"/>
      <c r="J67" s="27">
        <f>(('ECOLES INTERVENTION'!$D67+'ECOLES INTERVENTION'!$F67+'ECOLES INTERVENTION'!$H67)/3)</f>
        <v>6.613333333</v>
      </c>
      <c r="K67" s="28"/>
      <c r="L67" s="28" t="s">
        <v>32</v>
      </c>
      <c r="M67" s="30">
        <v>1.0</v>
      </c>
      <c r="N67" s="26"/>
      <c r="O67" s="26"/>
      <c r="P67" s="26"/>
    </row>
    <row r="68" ht="14.25" customHeight="1">
      <c r="A68" s="18"/>
      <c r="B68" s="45"/>
      <c r="C68" s="46"/>
      <c r="D68" s="27"/>
      <c r="E68" s="27"/>
      <c r="F68" s="27"/>
      <c r="G68" s="27"/>
      <c r="H68" s="27"/>
      <c r="I68" s="27"/>
      <c r="J68" s="27"/>
      <c r="K68" s="28"/>
      <c r="L68" s="28"/>
      <c r="M68" s="30">
        <f t="shared" ref="M68:N68" si="2">SUM(M33:M67)</f>
        <v>32</v>
      </c>
      <c r="N68" s="26">
        <f t="shared" si="2"/>
        <v>3</v>
      </c>
      <c r="O68" s="26"/>
      <c r="P68" s="26"/>
    </row>
    <row r="69" ht="14.25" customHeight="1">
      <c r="A69" s="18"/>
      <c r="B69" s="45"/>
      <c r="C69" s="46"/>
      <c r="D69" s="28"/>
      <c r="E69" s="28"/>
      <c r="F69" s="28"/>
      <c r="G69" s="28"/>
      <c r="H69" s="28"/>
      <c r="I69" s="28"/>
      <c r="J69" s="27"/>
      <c r="K69" s="28"/>
      <c r="L69" s="28"/>
      <c r="M69" s="47">
        <f>M68/A67</f>
        <v>0.9142857143</v>
      </c>
      <c r="N69" s="48">
        <f>N68/A67</f>
        <v>0.08571428571</v>
      </c>
      <c r="O69" s="7"/>
      <c r="P69" s="7"/>
    </row>
    <row r="70" ht="14.25" customHeight="1">
      <c r="A70" s="18" t="s">
        <v>91</v>
      </c>
      <c r="B70" s="19"/>
      <c r="C70" s="20"/>
      <c r="D70" s="28"/>
      <c r="E70" s="28"/>
      <c r="F70" s="28"/>
      <c r="G70" s="28"/>
      <c r="H70" s="28"/>
      <c r="I70" s="28"/>
      <c r="J70" s="27"/>
      <c r="K70" s="28"/>
      <c r="L70" s="28"/>
      <c r="M70" s="24"/>
      <c r="N70" s="7"/>
      <c r="O70" s="7"/>
      <c r="P70" s="7"/>
    </row>
    <row r="71" ht="14.25" customHeight="1">
      <c r="A71" s="18">
        <v>1.0</v>
      </c>
      <c r="B71" s="19" t="s">
        <v>92</v>
      </c>
      <c r="C71" s="20"/>
      <c r="D71" s="27">
        <v>4.54</v>
      </c>
      <c r="E71" s="27"/>
      <c r="F71" s="27">
        <v>5.4</v>
      </c>
      <c r="G71" s="27"/>
      <c r="H71" s="27">
        <v>5.16</v>
      </c>
      <c r="I71" s="27"/>
      <c r="J71" s="27">
        <f>(('ECOLES INTERVENTION'!$D71+'ECOLES INTERVENTION'!$F71+'ECOLES INTERVENTION'!$H71)/3)</f>
        <v>5.033333333</v>
      </c>
      <c r="K71" s="28"/>
      <c r="L71" s="28" t="s">
        <v>32</v>
      </c>
      <c r="M71" s="30">
        <v>1.0</v>
      </c>
      <c r="N71" s="26"/>
      <c r="O71" s="26"/>
      <c r="P71" s="26"/>
    </row>
    <row r="72" ht="14.25" customHeight="1">
      <c r="A72" s="18">
        <v>2.0</v>
      </c>
      <c r="B72" s="19" t="s">
        <v>93</v>
      </c>
      <c r="C72" s="20"/>
      <c r="D72" s="27">
        <v>7.5</v>
      </c>
      <c r="E72" s="27"/>
      <c r="F72" s="27">
        <v>5.86</v>
      </c>
      <c r="G72" s="27"/>
      <c r="H72" s="27">
        <v>6.72</v>
      </c>
      <c r="I72" s="27"/>
      <c r="J72" s="27">
        <f>(('ECOLES INTERVENTION'!$D72+'ECOLES INTERVENTION'!$F72+'ECOLES INTERVENTION'!$H72)/3)</f>
        <v>6.693333333</v>
      </c>
      <c r="K72" s="28"/>
      <c r="L72" s="28" t="s">
        <v>32</v>
      </c>
      <c r="M72" s="30">
        <v>1.0</v>
      </c>
      <c r="N72" s="26"/>
      <c r="O72" s="26"/>
      <c r="P72" s="26"/>
    </row>
    <row r="73" ht="14.25" customHeight="1">
      <c r="A73" s="18">
        <v>3.0</v>
      </c>
      <c r="B73" s="19" t="s">
        <v>94</v>
      </c>
      <c r="C73" s="20"/>
      <c r="D73" s="27">
        <v>4.54</v>
      </c>
      <c r="E73" s="27"/>
      <c r="F73" s="27">
        <v>4.96</v>
      </c>
      <c r="G73" s="27"/>
      <c r="H73" s="27">
        <v>5.12</v>
      </c>
      <c r="I73" s="27"/>
      <c r="J73" s="27">
        <f>(('ECOLES INTERVENTION'!$D73+'ECOLES INTERVENTION'!$F73+'ECOLES INTERVENTION'!$H73)/3)</f>
        <v>4.873333333</v>
      </c>
      <c r="K73" s="28"/>
      <c r="L73" s="28" t="s">
        <v>32</v>
      </c>
      <c r="M73" s="30">
        <v>1.0</v>
      </c>
      <c r="N73" s="26"/>
      <c r="O73" s="26"/>
      <c r="P73" s="26"/>
    </row>
    <row r="74" ht="14.25" customHeight="1">
      <c r="A74" s="18">
        <v>4.0</v>
      </c>
      <c r="B74" s="33" t="s">
        <v>95</v>
      </c>
      <c r="C74" s="32"/>
      <c r="D74" s="27">
        <v>5.63</v>
      </c>
      <c r="E74" s="27"/>
      <c r="F74" s="27">
        <v>6.33</v>
      </c>
      <c r="G74" s="27"/>
      <c r="H74" s="27">
        <v>7.92</v>
      </c>
      <c r="I74" s="27"/>
      <c r="J74" s="27">
        <f>(('ECOLES INTERVENTION'!$D74+'ECOLES INTERVENTION'!$F74+'ECOLES INTERVENTION'!$H74)/3)</f>
        <v>6.626666667</v>
      </c>
      <c r="K74" s="28"/>
      <c r="L74" s="28" t="s">
        <v>32</v>
      </c>
      <c r="M74" s="30">
        <v>1.0</v>
      </c>
      <c r="N74" s="26"/>
      <c r="O74" s="26"/>
      <c r="P74" s="26"/>
    </row>
    <row r="75" ht="14.25" customHeight="1">
      <c r="A75" s="18">
        <v>5.0</v>
      </c>
      <c r="B75" s="19" t="s">
        <v>96</v>
      </c>
      <c r="C75" s="20"/>
      <c r="D75" s="27">
        <v>4.22</v>
      </c>
      <c r="E75" s="27"/>
      <c r="F75" s="27">
        <v>5.33</v>
      </c>
      <c r="G75" s="27"/>
      <c r="H75" s="27">
        <v>6.78</v>
      </c>
      <c r="I75" s="27"/>
      <c r="J75" s="27">
        <f>(('ECOLES INTERVENTION'!$D75+'ECOLES INTERVENTION'!$F75+'ECOLES INTERVENTION'!$H75)/3)</f>
        <v>5.443333333</v>
      </c>
      <c r="K75" s="28"/>
      <c r="L75" s="28" t="s">
        <v>32</v>
      </c>
      <c r="M75" s="30">
        <v>1.0</v>
      </c>
      <c r="N75" s="26"/>
      <c r="O75" s="26"/>
      <c r="P75" s="26"/>
    </row>
    <row r="76" ht="14.25" customHeight="1">
      <c r="A76" s="18">
        <v>6.0</v>
      </c>
      <c r="B76" s="19" t="s">
        <v>97</v>
      </c>
      <c r="C76" s="20"/>
      <c r="D76" s="27">
        <v>3.9</v>
      </c>
      <c r="E76" s="27"/>
      <c r="F76" s="27">
        <v>4.8</v>
      </c>
      <c r="G76" s="27"/>
      <c r="H76" s="27">
        <v>5.05</v>
      </c>
      <c r="I76" s="27"/>
      <c r="J76" s="27">
        <f>(('ECOLES INTERVENTION'!$D76+'ECOLES INTERVENTION'!$F76+'ECOLES INTERVENTION'!$H76)/3)</f>
        <v>4.583333333</v>
      </c>
      <c r="K76" s="28"/>
      <c r="L76" s="28" t="s">
        <v>32</v>
      </c>
      <c r="M76" s="30">
        <v>1.0</v>
      </c>
      <c r="N76" s="26"/>
      <c r="O76" s="26"/>
      <c r="P76" s="26"/>
    </row>
    <row r="77" ht="14.25" customHeight="1">
      <c r="A77" s="18">
        <v>7.0</v>
      </c>
      <c r="B77" s="19" t="s">
        <v>98</v>
      </c>
      <c r="C77" s="20"/>
      <c r="D77" s="27">
        <v>5.72</v>
      </c>
      <c r="E77" s="27"/>
      <c r="F77" s="27">
        <v>6.0</v>
      </c>
      <c r="G77" s="27"/>
      <c r="H77" s="27">
        <v>7.52</v>
      </c>
      <c r="I77" s="27"/>
      <c r="J77" s="27">
        <f>(('ECOLES INTERVENTION'!$D77+'ECOLES INTERVENTION'!$F77+'ECOLES INTERVENTION'!$H77)/3)</f>
        <v>6.413333333</v>
      </c>
      <c r="K77" s="28"/>
      <c r="L77" s="28" t="s">
        <v>32</v>
      </c>
      <c r="M77" s="30">
        <v>1.0</v>
      </c>
      <c r="N77" s="26"/>
      <c r="O77" s="26"/>
      <c r="P77" s="26"/>
    </row>
    <row r="78" ht="14.25" customHeight="1">
      <c r="A78" s="18">
        <v>8.0</v>
      </c>
      <c r="B78" s="19" t="s">
        <v>99</v>
      </c>
      <c r="C78" s="20"/>
      <c r="D78" s="27">
        <v>5.45</v>
      </c>
      <c r="E78" s="27"/>
      <c r="F78" s="27">
        <v>5.66</v>
      </c>
      <c r="G78" s="27"/>
      <c r="H78" s="27">
        <v>5.12</v>
      </c>
      <c r="I78" s="27"/>
      <c r="J78" s="27">
        <f>(('ECOLES INTERVENTION'!$D78+'ECOLES INTERVENTION'!$F78+'ECOLES INTERVENTION'!$H78)/3)</f>
        <v>5.41</v>
      </c>
      <c r="K78" s="28"/>
      <c r="L78" s="28" t="s">
        <v>32</v>
      </c>
      <c r="M78" s="30">
        <v>1.0</v>
      </c>
      <c r="N78" s="26"/>
      <c r="O78" s="26"/>
      <c r="P78" s="26"/>
    </row>
    <row r="79" ht="14.25" customHeight="1">
      <c r="A79" s="18">
        <v>9.0</v>
      </c>
      <c r="B79" s="33" t="s">
        <v>100</v>
      </c>
      <c r="C79" s="32"/>
      <c r="D79" s="27">
        <v>4.04</v>
      </c>
      <c r="E79" s="27"/>
      <c r="F79" s="27">
        <v>4.83</v>
      </c>
      <c r="G79" s="27"/>
      <c r="H79" s="27">
        <v>4.98</v>
      </c>
      <c r="I79" s="27"/>
      <c r="J79" s="27">
        <f>(('ECOLES INTERVENTION'!$D79+'ECOLES INTERVENTION'!$F79+'ECOLES INTERVENTION'!$H79)/3)</f>
        <v>4.616666667</v>
      </c>
      <c r="K79" s="28"/>
      <c r="L79" s="28" t="s">
        <v>32</v>
      </c>
      <c r="M79" s="30">
        <v>1.0</v>
      </c>
      <c r="N79" s="26"/>
      <c r="O79" s="26"/>
      <c r="P79" s="26"/>
    </row>
    <row r="80" ht="14.25" customHeight="1">
      <c r="A80" s="18">
        <v>10.0</v>
      </c>
      <c r="B80" s="19" t="s">
        <v>101</v>
      </c>
      <c r="C80" s="20"/>
      <c r="D80" s="27">
        <v>3.81</v>
      </c>
      <c r="E80" s="27"/>
      <c r="F80" s="27">
        <v>5.0</v>
      </c>
      <c r="G80" s="27"/>
      <c r="H80" s="27">
        <v>5.75</v>
      </c>
      <c r="I80" s="27"/>
      <c r="J80" s="27">
        <f>(('ECOLES INTERVENTION'!$D80+'ECOLES INTERVENTION'!$F80+'ECOLES INTERVENTION'!$H80)/3)</f>
        <v>4.853333333</v>
      </c>
      <c r="K80" s="28"/>
      <c r="L80" s="28" t="s">
        <v>32</v>
      </c>
      <c r="M80" s="30">
        <v>1.0</v>
      </c>
      <c r="N80" s="26"/>
      <c r="O80" s="26"/>
      <c r="P80" s="26"/>
    </row>
    <row r="81" ht="14.25" customHeight="1">
      <c r="A81" s="18">
        <v>11.0</v>
      </c>
      <c r="B81" s="19" t="s">
        <v>102</v>
      </c>
      <c r="C81" s="20"/>
      <c r="D81" s="27">
        <v>1.68</v>
      </c>
      <c r="E81" s="27"/>
      <c r="F81" s="27">
        <v>1.86</v>
      </c>
      <c r="G81" s="27"/>
      <c r="H81" s="27">
        <v>2.16</v>
      </c>
      <c r="I81" s="27"/>
      <c r="J81" s="27">
        <f>(('ECOLES INTERVENTION'!$D81+'ECOLES INTERVENTION'!$F81+'ECOLES INTERVENTION'!$H81)/3)</f>
        <v>1.9</v>
      </c>
      <c r="K81" s="28"/>
      <c r="L81" s="28" t="s">
        <v>28</v>
      </c>
      <c r="M81" s="30"/>
      <c r="N81" s="29">
        <v>1.0</v>
      </c>
      <c r="O81" s="7"/>
      <c r="P81" s="7"/>
    </row>
    <row r="82" ht="14.25" customHeight="1">
      <c r="A82" s="18">
        <v>12.0</v>
      </c>
      <c r="B82" s="19" t="s">
        <v>103</v>
      </c>
      <c r="C82" s="20"/>
      <c r="D82" s="27">
        <v>4.04</v>
      </c>
      <c r="E82" s="27"/>
      <c r="F82" s="27">
        <v>5.4</v>
      </c>
      <c r="G82" s="27"/>
      <c r="H82" s="27">
        <v>4.28</v>
      </c>
      <c r="I82" s="27"/>
      <c r="J82" s="27">
        <f>(('ECOLES INTERVENTION'!$D82+'ECOLES INTERVENTION'!$F82+'ECOLES INTERVENTION'!$H82)/3)</f>
        <v>4.573333333</v>
      </c>
      <c r="K82" s="28"/>
      <c r="L82" s="28" t="s">
        <v>32</v>
      </c>
      <c r="M82" s="30">
        <v>1.0</v>
      </c>
      <c r="N82" s="26"/>
      <c r="O82" s="26"/>
      <c r="P82" s="26"/>
    </row>
    <row r="83" ht="14.25" customHeight="1">
      <c r="A83" s="18">
        <v>13.0</v>
      </c>
      <c r="B83" s="19" t="s">
        <v>104</v>
      </c>
      <c r="C83" s="20"/>
      <c r="D83" s="27">
        <v>3.54</v>
      </c>
      <c r="E83" s="27"/>
      <c r="F83" s="27">
        <v>4.83</v>
      </c>
      <c r="G83" s="27"/>
      <c r="H83" s="27">
        <v>5.43</v>
      </c>
      <c r="I83" s="27"/>
      <c r="J83" s="27">
        <f>(('ECOLES INTERVENTION'!$D83+'ECOLES INTERVENTION'!$F83+'ECOLES INTERVENTION'!$H83)/3)</f>
        <v>4.6</v>
      </c>
      <c r="K83" s="28"/>
      <c r="L83" s="28" t="s">
        <v>32</v>
      </c>
      <c r="M83" s="30">
        <v>1.0</v>
      </c>
      <c r="N83" s="26"/>
      <c r="O83" s="26"/>
      <c r="P83" s="26"/>
    </row>
    <row r="84" ht="14.25" customHeight="1">
      <c r="A84" s="18">
        <v>14.0</v>
      </c>
      <c r="B84" s="19" t="s">
        <v>105</v>
      </c>
      <c r="C84" s="20"/>
      <c r="D84" s="27">
        <v>3.35</v>
      </c>
      <c r="E84" s="27"/>
      <c r="F84" s="27">
        <v>5.56</v>
      </c>
      <c r="G84" s="27"/>
      <c r="H84" s="27">
        <v>6.0</v>
      </c>
      <c r="I84" s="27"/>
      <c r="J84" s="27">
        <f>(('ECOLES INTERVENTION'!$D84+'ECOLES INTERVENTION'!$F84+'ECOLES INTERVENTION'!$H84)/3)</f>
        <v>4.97</v>
      </c>
      <c r="K84" s="28"/>
      <c r="L84" s="28" t="s">
        <v>32</v>
      </c>
      <c r="M84" s="30">
        <v>1.0</v>
      </c>
      <c r="N84" s="26"/>
      <c r="O84" s="26"/>
      <c r="P84" s="26"/>
    </row>
    <row r="85" ht="14.25" customHeight="1">
      <c r="A85" s="18">
        <v>15.0</v>
      </c>
      <c r="B85" s="19" t="s">
        <v>106</v>
      </c>
      <c r="C85" s="20"/>
      <c r="D85" s="27">
        <v>2.0</v>
      </c>
      <c r="E85" s="27"/>
      <c r="F85" s="27">
        <v>2.06</v>
      </c>
      <c r="G85" s="27"/>
      <c r="H85" s="27">
        <v>3.34</v>
      </c>
      <c r="I85" s="27"/>
      <c r="J85" s="27">
        <f>(('ECOLES INTERVENTION'!$D85+'ECOLES INTERVENTION'!$F85+'ECOLES INTERVENTION'!$H85)/3)</f>
        <v>2.466666667</v>
      </c>
      <c r="K85" s="28"/>
      <c r="L85" s="28" t="s">
        <v>28</v>
      </c>
      <c r="M85" s="24"/>
      <c r="N85" s="29">
        <v>1.0</v>
      </c>
      <c r="O85" s="7"/>
      <c r="P85" s="7"/>
    </row>
    <row r="86" ht="14.25" customHeight="1">
      <c r="A86" s="18">
        <v>16.0</v>
      </c>
      <c r="B86" s="19" t="s">
        <v>107</v>
      </c>
      <c r="C86" s="20"/>
      <c r="D86" s="27">
        <v>5.0</v>
      </c>
      <c r="E86" s="27"/>
      <c r="F86" s="27">
        <v>6.2</v>
      </c>
      <c r="G86" s="27"/>
      <c r="H86" s="27">
        <v>6.82</v>
      </c>
      <c r="I86" s="27"/>
      <c r="J86" s="27">
        <f>(('ECOLES INTERVENTION'!$D86+'ECOLES INTERVENTION'!$F86+'ECOLES INTERVENTION'!$H86)/3)</f>
        <v>6.006666667</v>
      </c>
      <c r="K86" s="28"/>
      <c r="L86" s="28" t="s">
        <v>32</v>
      </c>
      <c r="M86" s="30">
        <v>1.0</v>
      </c>
      <c r="N86" s="26"/>
      <c r="O86" s="26"/>
      <c r="P86" s="26"/>
    </row>
    <row r="87" ht="14.25" customHeight="1">
      <c r="A87" s="18">
        <v>17.0</v>
      </c>
      <c r="B87" s="33" t="s">
        <v>108</v>
      </c>
      <c r="C87" s="32"/>
      <c r="D87" s="27">
        <v>6.1</v>
      </c>
      <c r="E87" s="27"/>
      <c r="F87" s="27">
        <v>7.0</v>
      </c>
      <c r="G87" s="27"/>
      <c r="H87" s="27">
        <v>7.82</v>
      </c>
      <c r="I87" s="27"/>
      <c r="J87" s="27">
        <f>(('ECOLES INTERVENTION'!$D87+'ECOLES INTERVENTION'!$F87+'ECOLES INTERVENTION'!$H87)/3)</f>
        <v>6.973333333</v>
      </c>
      <c r="K87" s="28"/>
      <c r="L87" s="28" t="s">
        <v>32</v>
      </c>
      <c r="M87" s="30">
        <v>1.0</v>
      </c>
      <c r="N87" s="26"/>
      <c r="O87" s="26"/>
      <c r="P87" s="26"/>
    </row>
    <row r="88" ht="14.25" customHeight="1">
      <c r="A88" s="18">
        <v>18.0</v>
      </c>
      <c r="B88" s="19" t="s">
        <v>109</v>
      </c>
      <c r="C88" s="20"/>
      <c r="D88" s="27">
        <v>4.27</v>
      </c>
      <c r="E88" s="27"/>
      <c r="F88" s="27">
        <v>5.4</v>
      </c>
      <c r="G88" s="27"/>
      <c r="H88" s="27">
        <v>6.0</v>
      </c>
      <c r="I88" s="27"/>
      <c r="J88" s="27">
        <f>(('ECOLES INTERVENTION'!$D88+'ECOLES INTERVENTION'!$F88+'ECOLES INTERVENTION'!$H88)/3)</f>
        <v>5.223333333</v>
      </c>
      <c r="K88" s="28"/>
      <c r="L88" s="28" t="s">
        <v>32</v>
      </c>
      <c r="M88" s="30">
        <v>1.0</v>
      </c>
      <c r="N88" s="26"/>
      <c r="O88" s="26"/>
      <c r="P88" s="26"/>
    </row>
    <row r="89" ht="14.25" customHeight="1">
      <c r="A89" s="18">
        <v>19.0</v>
      </c>
      <c r="B89" s="19" t="s">
        <v>110</v>
      </c>
      <c r="C89" s="20"/>
      <c r="D89" s="27">
        <v>3.79</v>
      </c>
      <c r="E89" s="27"/>
      <c r="F89" s="27">
        <v>4.83</v>
      </c>
      <c r="G89" s="27"/>
      <c r="H89" s="27">
        <v>4.92</v>
      </c>
      <c r="I89" s="27"/>
      <c r="J89" s="27">
        <f>(('ECOLES INTERVENTION'!$D89+'ECOLES INTERVENTION'!$F89+'ECOLES INTERVENTION'!$H89)/3)</f>
        <v>4.513333333</v>
      </c>
      <c r="K89" s="28"/>
      <c r="L89" s="28" t="s">
        <v>32</v>
      </c>
      <c r="M89" s="30">
        <v>1.0</v>
      </c>
      <c r="N89" s="26"/>
      <c r="O89" s="26"/>
      <c r="P89" s="26"/>
    </row>
    <row r="90" ht="14.25" customHeight="1">
      <c r="A90" s="18">
        <v>20.0</v>
      </c>
      <c r="B90" s="33" t="s">
        <v>111</v>
      </c>
      <c r="C90" s="32"/>
      <c r="D90" s="27">
        <v>5.09</v>
      </c>
      <c r="E90" s="27"/>
      <c r="F90" s="27">
        <v>5.34</v>
      </c>
      <c r="G90" s="27"/>
      <c r="H90" s="27">
        <v>5.5</v>
      </c>
      <c r="I90" s="27"/>
      <c r="J90" s="27">
        <f>(('ECOLES INTERVENTION'!$D90+'ECOLES INTERVENTION'!$F90+'ECOLES INTERVENTION'!$H90)/3)</f>
        <v>5.31</v>
      </c>
      <c r="K90" s="28"/>
      <c r="L90" s="28" t="s">
        <v>32</v>
      </c>
      <c r="M90" s="30">
        <v>1.0</v>
      </c>
      <c r="N90" s="26"/>
      <c r="O90" s="26"/>
      <c r="P90" s="26"/>
    </row>
    <row r="91" ht="14.25" customHeight="1">
      <c r="A91" s="18">
        <v>21.0</v>
      </c>
      <c r="B91" s="33" t="s">
        <v>112</v>
      </c>
      <c r="C91" s="32"/>
      <c r="D91" s="27">
        <v>4.16</v>
      </c>
      <c r="E91" s="27"/>
      <c r="F91" s="27">
        <v>4.95</v>
      </c>
      <c r="G91" s="27"/>
      <c r="H91" s="27">
        <v>6.0</v>
      </c>
      <c r="I91" s="27"/>
      <c r="J91" s="27">
        <f>(('ECOLES INTERVENTION'!$D91+'ECOLES INTERVENTION'!$F91+'ECOLES INTERVENTION'!$H91)/3)</f>
        <v>5.036666667</v>
      </c>
      <c r="K91" s="28"/>
      <c r="L91" s="28" t="s">
        <v>32</v>
      </c>
      <c r="M91" s="30">
        <v>1.0</v>
      </c>
      <c r="N91" s="26"/>
      <c r="O91" s="26"/>
      <c r="P91" s="26"/>
    </row>
    <row r="92" ht="14.25" customHeight="1">
      <c r="A92" s="18">
        <v>22.0</v>
      </c>
      <c r="B92" s="33" t="s">
        <v>113</v>
      </c>
      <c r="C92" s="32"/>
      <c r="D92" s="27">
        <v>5.18</v>
      </c>
      <c r="E92" s="27"/>
      <c r="F92" s="27">
        <v>4.73</v>
      </c>
      <c r="G92" s="27"/>
      <c r="H92" s="27">
        <v>4.96</v>
      </c>
      <c r="I92" s="27"/>
      <c r="J92" s="27">
        <f>(('ECOLES INTERVENTION'!$D92+'ECOLES INTERVENTION'!$F92+'ECOLES INTERVENTION'!$H92)/3)</f>
        <v>4.956666667</v>
      </c>
      <c r="K92" s="28"/>
      <c r="L92" s="28" t="s">
        <v>32</v>
      </c>
      <c r="M92" s="30">
        <v>1.0</v>
      </c>
      <c r="N92" s="26"/>
      <c r="O92" s="26"/>
      <c r="P92" s="26"/>
    </row>
    <row r="93" ht="14.25" customHeight="1">
      <c r="A93" s="8"/>
      <c r="B93" s="45"/>
      <c r="C93" s="49"/>
      <c r="D93" s="36"/>
      <c r="E93" s="36"/>
      <c r="F93" s="36"/>
      <c r="G93" s="36"/>
      <c r="H93" s="36"/>
      <c r="I93" s="36"/>
      <c r="J93" s="36"/>
      <c r="K93" s="37"/>
      <c r="L93" s="37"/>
      <c r="M93" s="25">
        <f t="shared" ref="M93:N93" si="3">SUM(M71:M92)</f>
        <v>20</v>
      </c>
      <c r="N93" s="26">
        <f t="shared" si="3"/>
        <v>2</v>
      </c>
      <c r="O93" s="26"/>
      <c r="P93" s="26"/>
    </row>
    <row r="94" ht="14.25" customHeight="1">
      <c r="A94" s="50"/>
      <c r="B94" s="51"/>
      <c r="C94" s="52"/>
      <c r="D94" s="53"/>
      <c r="E94" s="53"/>
      <c r="F94" s="53"/>
      <c r="G94" s="53"/>
      <c r="H94" s="53"/>
      <c r="I94" s="53"/>
      <c r="J94" s="53"/>
      <c r="K94" s="53"/>
      <c r="L94" s="53"/>
      <c r="M94" s="54">
        <f>M93/A92</f>
        <v>0.9090909091</v>
      </c>
      <c r="N94" s="55">
        <f>N93/A92</f>
        <v>0.09090909091</v>
      </c>
      <c r="O94" s="56"/>
      <c r="P94" s="56"/>
    </row>
    <row r="95" ht="14.25" customHeight="1">
      <c r="A95" s="50" t="s">
        <v>114</v>
      </c>
      <c r="B95" s="57"/>
      <c r="C95" s="58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6"/>
      <c r="O95" s="56"/>
      <c r="P95" s="56"/>
    </row>
    <row r="96" ht="14.25" customHeight="1">
      <c r="A96" s="8">
        <v>1.0</v>
      </c>
      <c r="B96" s="19" t="s">
        <v>115</v>
      </c>
      <c r="C96" s="32"/>
      <c r="D96" s="27">
        <v>3.5</v>
      </c>
      <c r="E96" s="27"/>
      <c r="F96" s="27">
        <v>4.74</v>
      </c>
      <c r="G96" s="27"/>
      <c r="H96" s="27">
        <v>5.25</v>
      </c>
      <c r="I96" s="27"/>
      <c r="J96" s="27">
        <f>(('ECOLES INTERVENTION'!$D96+'ECOLES INTERVENTION'!$F96+'ECOLES INTERVENTION'!$H96)/3)</f>
        <v>4.496666667</v>
      </c>
      <c r="K96" s="28"/>
      <c r="L96" s="28" t="s">
        <v>32</v>
      </c>
      <c r="M96" s="30">
        <v>1.0</v>
      </c>
      <c r="N96" s="26"/>
      <c r="O96" s="26"/>
      <c r="P96" s="26"/>
    </row>
    <row r="97" ht="14.25" customHeight="1">
      <c r="A97" s="18">
        <v>2.0</v>
      </c>
      <c r="B97" s="19" t="s">
        <v>116</v>
      </c>
      <c r="C97" s="20"/>
      <c r="D97" s="27">
        <v>4.0</v>
      </c>
      <c r="E97" s="27"/>
      <c r="F97" s="27">
        <v>5.33</v>
      </c>
      <c r="G97" s="27"/>
      <c r="H97" s="27">
        <v>6.2</v>
      </c>
      <c r="I97" s="27"/>
      <c r="J97" s="27">
        <f>(('ECOLES INTERVENTION'!$D97+'ECOLES INTERVENTION'!$F97+'ECOLES INTERVENTION'!$H97)/3)</f>
        <v>5.176666667</v>
      </c>
      <c r="K97" s="28"/>
      <c r="L97" s="28" t="s">
        <v>32</v>
      </c>
      <c r="M97" s="30">
        <v>1.0</v>
      </c>
      <c r="N97" s="26"/>
      <c r="O97" s="26"/>
      <c r="P97" s="26"/>
    </row>
    <row r="98" ht="14.25" customHeight="1">
      <c r="A98" s="18">
        <v>3.0</v>
      </c>
      <c r="B98" s="19" t="s">
        <v>117</v>
      </c>
      <c r="C98" s="20"/>
      <c r="D98" s="27">
        <v>5.75</v>
      </c>
      <c r="E98" s="27"/>
      <c r="F98" s="27">
        <v>6.0</v>
      </c>
      <c r="G98" s="27"/>
      <c r="H98" s="27">
        <v>7.0</v>
      </c>
      <c r="I98" s="27"/>
      <c r="J98" s="27">
        <f>(('ECOLES INTERVENTION'!$D98+'ECOLES INTERVENTION'!$F98+'ECOLES INTERVENTION'!$H98)/3)</f>
        <v>6.25</v>
      </c>
      <c r="K98" s="28"/>
      <c r="L98" s="28" t="s">
        <v>32</v>
      </c>
      <c r="M98" s="30">
        <v>1.0</v>
      </c>
      <c r="N98" s="26"/>
      <c r="O98" s="26"/>
      <c r="P98" s="26"/>
    </row>
    <row r="99" ht="14.25" customHeight="1">
      <c r="A99" s="18">
        <v>4.0</v>
      </c>
      <c r="B99" s="19" t="s">
        <v>118</v>
      </c>
      <c r="C99" s="20"/>
      <c r="D99" s="27">
        <v>4.0</v>
      </c>
      <c r="E99" s="27"/>
      <c r="F99" s="27">
        <v>4.66</v>
      </c>
      <c r="G99" s="27"/>
      <c r="H99" s="27">
        <v>4.89</v>
      </c>
      <c r="I99" s="27"/>
      <c r="J99" s="27">
        <f>(('ECOLES INTERVENTION'!$D99+'ECOLES INTERVENTION'!$F99+'ECOLES INTERVENTION'!$H99)/3)</f>
        <v>4.516666667</v>
      </c>
      <c r="K99" s="28"/>
      <c r="L99" s="28" t="s">
        <v>32</v>
      </c>
      <c r="M99" s="30">
        <v>1.0</v>
      </c>
      <c r="N99" s="26"/>
      <c r="O99" s="26"/>
      <c r="P99" s="26"/>
    </row>
    <row r="100" ht="14.25" customHeight="1">
      <c r="A100" s="18">
        <v>5.0</v>
      </c>
      <c r="B100" s="19" t="s">
        <v>119</v>
      </c>
      <c r="C100" s="20"/>
      <c r="D100" s="27">
        <v>5.4</v>
      </c>
      <c r="E100" s="27"/>
      <c r="F100" s="27">
        <v>5.65</v>
      </c>
      <c r="G100" s="27"/>
      <c r="H100" s="27">
        <v>6.0</v>
      </c>
      <c r="I100" s="27"/>
      <c r="J100" s="27">
        <f>(('ECOLES INTERVENTION'!$D100+'ECOLES INTERVENTION'!$F100+'ECOLES INTERVENTION'!$H100)/3)</f>
        <v>5.683333333</v>
      </c>
      <c r="K100" s="28"/>
      <c r="L100" s="28" t="s">
        <v>32</v>
      </c>
      <c r="M100" s="30">
        <v>1.0</v>
      </c>
      <c r="N100" s="26"/>
      <c r="O100" s="26"/>
      <c r="P100" s="26"/>
    </row>
    <row r="101" ht="14.25" customHeight="1">
      <c r="A101" s="18">
        <v>6.0</v>
      </c>
      <c r="B101" s="19" t="s">
        <v>120</v>
      </c>
      <c r="C101" s="20"/>
      <c r="D101" s="27">
        <v>3.25</v>
      </c>
      <c r="E101" s="27"/>
      <c r="F101" s="27">
        <v>4.9</v>
      </c>
      <c r="G101" s="27"/>
      <c r="H101" s="27">
        <v>5.9</v>
      </c>
      <c r="I101" s="27"/>
      <c r="J101" s="27">
        <f>(('ECOLES INTERVENTION'!$D101+'ECOLES INTERVENTION'!$F101+'ECOLES INTERVENTION'!$H101)/3)</f>
        <v>4.683333333</v>
      </c>
      <c r="K101" s="28"/>
      <c r="L101" s="28" t="s">
        <v>32</v>
      </c>
      <c r="M101" s="30">
        <v>1.0</v>
      </c>
      <c r="N101" s="26"/>
      <c r="O101" s="26"/>
      <c r="P101" s="26"/>
    </row>
    <row r="102" ht="14.25" customHeight="1">
      <c r="A102" s="18">
        <v>7.0</v>
      </c>
      <c r="B102" s="19" t="s">
        <v>121</v>
      </c>
      <c r="C102" s="20"/>
      <c r="D102" s="27">
        <v>4.4</v>
      </c>
      <c r="E102" s="27"/>
      <c r="F102" s="27">
        <v>4.65</v>
      </c>
      <c r="G102" s="27"/>
      <c r="H102" s="27">
        <v>4.75</v>
      </c>
      <c r="I102" s="27"/>
      <c r="J102" s="27">
        <f>(('ECOLES INTERVENTION'!$D102+'ECOLES INTERVENTION'!$F102+'ECOLES INTERVENTION'!$H102)/3)</f>
        <v>4.6</v>
      </c>
      <c r="K102" s="28"/>
      <c r="L102" s="28" t="s">
        <v>32</v>
      </c>
      <c r="M102" s="30">
        <v>1.0</v>
      </c>
      <c r="N102" s="26"/>
      <c r="O102" s="26"/>
      <c r="P102" s="26"/>
    </row>
    <row r="103" ht="14.25" customHeight="1">
      <c r="A103" s="18">
        <v>8.0</v>
      </c>
      <c r="B103" s="19" t="s">
        <v>122</v>
      </c>
      <c r="C103" s="20"/>
      <c r="D103" s="27">
        <v>5.1</v>
      </c>
      <c r="E103" s="27"/>
      <c r="F103" s="27">
        <v>5.4</v>
      </c>
      <c r="G103" s="27"/>
      <c r="H103" s="27">
        <v>6.0</v>
      </c>
      <c r="I103" s="27"/>
      <c r="J103" s="27">
        <f>(('ECOLES INTERVENTION'!$D103+'ECOLES INTERVENTION'!$F103+'ECOLES INTERVENTION'!$H103)/3)</f>
        <v>5.5</v>
      </c>
      <c r="K103" s="28"/>
      <c r="L103" s="28" t="s">
        <v>32</v>
      </c>
      <c r="M103" s="30">
        <v>1.0</v>
      </c>
      <c r="N103" s="26"/>
      <c r="O103" s="26"/>
      <c r="P103" s="26"/>
    </row>
    <row r="104" ht="14.25" customHeight="1">
      <c r="A104" s="18">
        <v>9.0</v>
      </c>
      <c r="B104" s="19" t="s">
        <v>123</v>
      </c>
      <c r="C104" s="20"/>
      <c r="D104" s="27">
        <v>2.5</v>
      </c>
      <c r="E104" s="27"/>
      <c r="F104" s="27">
        <v>1.95</v>
      </c>
      <c r="G104" s="27"/>
      <c r="H104" s="27">
        <v>4.0</v>
      </c>
      <c r="I104" s="27"/>
      <c r="J104" s="27">
        <f>(('ECOLES INTERVENTION'!$D104+'ECOLES INTERVENTION'!$F104+'ECOLES INTERVENTION'!$H104)/3)</f>
        <v>2.816666667</v>
      </c>
      <c r="K104" s="28"/>
      <c r="L104" s="28" t="s">
        <v>28</v>
      </c>
      <c r="M104" s="24"/>
      <c r="N104" s="29">
        <v>1.0</v>
      </c>
      <c r="O104" s="7"/>
      <c r="P104" s="7"/>
    </row>
    <row r="105" ht="14.25" customHeight="1">
      <c r="A105" s="18">
        <v>10.0</v>
      </c>
      <c r="B105" s="19" t="s">
        <v>124</v>
      </c>
      <c r="C105" s="20"/>
      <c r="D105" s="27">
        <v>5.3</v>
      </c>
      <c r="E105" s="27"/>
      <c r="F105" s="27">
        <v>6.2</v>
      </c>
      <c r="G105" s="27"/>
      <c r="H105" s="27">
        <v>5.4</v>
      </c>
      <c r="I105" s="27"/>
      <c r="J105" s="27">
        <f>(('ECOLES INTERVENTION'!$D105+'ECOLES INTERVENTION'!$F105+'ECOLES INTERVENTION'!$H105)/3)</f>
        <v>5.633333333</v>
      </c>
      <c r="K105" s="28"/>
      <c r="L105" s="28" t="s">
        <v>32</v>
      </c>
      <c r="M105" s="30">
        <v>1.0</v>
      </c>
      <c r="N105" s="26"/>
      <c r="O105" s="26"/>
      <c r="P105" s="26"/>
    </row>
    <row r="106" ht="14.25" customHeight="1">
      <c r="A106" s="18">
        <v>11.0</v>
      </c>
      <c r="B106" s="33" t="s">
        <v>125</v>
      </c>
      <c r="C106" s="32"/>
      <c r="D106" s="27">
        <v>5.8</v>
      </c>
      <c r="E106" s="27"/>
      <c r="F106" s="27">
        <v>5.6</v>
      </c>
      <c r="G106" s="27"/>
      <c r="H106" s="27">
        <v>6.21</v>
      </c>
      <c r="I106" s="27"/>
      <c r="J106" s="27">
        <f>(('ECOLES INTERVENTION'!$D106+'ECOLES INTERVENTION'!$F106+'ECOLES INTERVENTION'!$H106)/3)</f>
        <v>5.87</v>
      </c>
      <c r="K106" s="28"/>
      <c r="L106" s="28" t="s">
        <v>32</v>
      </c>
      <c r="M106" s="30">
        <v>1.0</v>
      </c>
      <c r="N106" s="26"/>
      <c r="O106" s="26"/>
      <c r="P106" s="26"/>
    </row>
    <row r="107" ht="14.25" customHeight="1">
      <c r="A107" s="18">
        <v>12.0</v>
      </c>
      <c r="B107" s="19" t="s">
        <v>126</v>
      </c>
      <c r="C107" s="20"/>
      <c r="D107" s="27">
        <v>4.0</v>
      </c>
      <c r="E107" s="27"/>
      <c r="F107" s="27">
        <v>4.65</v>
      </c>
      <c r="G107" s="27"/>
      <c r="H107" s="27">
        <v>5.0</v>
      </c>
      <c r="I107" s="27"/>
      <c r="J107" s="27">
        <f>(('ECOLES INTERVENTION'!$D107+'ECOLES INTERVENTION'!$F107+'ECOLES INTERVENTION'!$H107)/3)</f>
        <v>4.55</v>
      </c>
      <c r="K107" s="28"/>
      <c r="L107" s="28" t="s">
        <v>32</v>
      </c>
      <c r="M107" s="30">
        <v>1.0</v>
      </c>
      <c r="N107" s="26"/>
      <c r="O107" s="26"/>
      <c r="P107" s="26"/>
    </row>
    <row r="108" ht="14.25" customHeight="1">
      <c r="A108" s="18">
        <v>13.0</v>
      </c>
      <c r="B108" s="19" t="s">
        <v>98</v>
      </c>
      <c r="C108" s="20"/>
      <c r="D108" s="27">
        <v>5.35</v>
      </c>
      <c r="E108" s="27"/>
      <c r="F108" s="27">
        <v>5.75</v>
      </c>
      <c r="G108" s="27"/>
      <c r="H108" s="27">
        <v>6.0</v>
      </c>
      <c r="I108" s="27"/>
      <c r="J108" s="27">
        <f>(('ECOLES INTERVENTION'!$D108+'ECOLES INTERVENTION'!$F108+'ECOLES INTERVENTION'!$H108)/3)</f>
        <v>5.7</v>
      </c>
      <c r="K108" s="28"/>
      <c r="L108" s="28" t="s">
        <v>32</v>
      </c>
      <c r="M108" s="30">
        <v>1.0</v>
      </c>
      <c r="N108" s="26"/>
      <c r="O108" s="26"/>
      <c r="P108" s="26"/>
    </row>
    <row r="109" ht="14.25" customHeight="1">
      <c r="A109" s="18">
        <v>14.0</v>
      </c>
      <c r="B109" s="19" t="s">
        <v>127</v>
      </c>
      <c r="C109" s="20"/>
      <c r="D109" s="27">
        <v>3.2</v>
      </c>
      <c r="E109" s="27"/>
      <c r="F109" s="27">
        <v>4.99</v>
      </c>
      <c r="G109" s="27"/>
      <c r="H109" s="27">
        <v>5.35</v>
      </c>
      <c r="I109" s="27"/>
      <c r="J109" s="27">
        <f>(('ECOLES INTERVENTION'!$D109+'ECOLES INTERVENTION'!$F109+'ECOLES INTERVENTION'!$H109)/3)</f>
        <v>4.513333333</v>
      </c>
      <c r="K109" s="28"/>
      <c r="L109" s="28" t="s">
        <v>32</v>
      </c>
      <c r="M109" s="30">
        <v>1.0</v>
      </c>
      <c r="N109" s="26"/>
      <c r="O109" s="26"/>
      <c r="P109" s="26"/>
    </row>
    <row r="110" ht="14.25" customHeight="1">
      <c r="A110" s="18">
        <v>15.0</v>
      </c>
      <c r="B110" s="19" t="s">
        <v>128</v>
      </c>
      <c r="C110" s="20"/>
      <c r="D110" s="27">
        <v>5.6</v>
      </c>
      <c r="E110" s="27"/>
      <c r="F110" s="27">
        <v>5.75</v>
      </c>
      <c r="G110" s="27"/>
      <c r="H110" s="27">
        <v>8.0</v>
      </c>
      <c r="I110" s="27"/>
      <c r="J110" s="27">
        <f>(('ECOLES INTERVENTION'!$D110+'ECOLES INTERVENTION'!$F110+'ECOLES INTERVENTION'!$H110)/3)</f>
        <v>6.45</v>
      </c>
      <c r="K110" s="28"/>
      <c r="L110" s="28" t="s">
        <v>32</v>
      </c>
      <c r="M110" s="30">
        <v>1.0</v>
      </c>
      <c r="N110" s="26"/>
      <c r="O110" s="26"/>
      <c r="P110" s="26"/>
    </row>
    <row r="111" ht="14.25" customHeight="1">
      <c r="A111" s="18">
        <v>16.0</v>
      </c>
      <c r="B111" s="19" t="s">
        <v>129</v>
      </c>
      <c r="C111" s="20"/>
      <c r="D111" s="27">
        <v>7.1</v>
      </c>
      <c r="E111" s="27"/>
      <c r="F111" s="27">
        <v>7.25</v>
      </c>
      <c r="G111" s="27"/>
      <c r="H111" s="27">
        <v>8.39</v>
      </c>
      <c r="I111" s="27"/>
      <c r="J111" s="27">
        <f>(('ECOLES INTERVENTION'!$D111+'ECOLES INTERVENTION'!$F111+'ECOLES INTERVENTION'!$H111)/3)</f>
        <v>7.58</v>
      </c>
      <c r="K111" s="28"/>
      <c r="L111" s="28" t="s">
        <v>32</v>
      </c>
      <c r="M111" s="30">
        <v>1.0</v>
      </c>
      <c r="N111" s="26"/>
      <c r="O111" s="26"/>
      <c r="P111" s="26"/>
    </row>
    <row r="112" ht="14.25" customHeight="1">
      <c r="A112" s="18">
        <v>17.0</v>
      </c>
      <c r="B112" s="19" t="s">
        <v>130</v>
      </c>
      <c r="C112" s="20"/>
      <c r="D112" s="27">
        <v>5.65</v>
      </c>
      <c r="E112" s="27"/>
      <c r="F112" s="27">
        <v>7.8</v>
      </c>
      <c r="G112" s="27"/>
      <c r="H112" s="27">
        <v>6.29</v>
      </c>
      <c r="I112" s="27"/>
      <c r="J112" s="27">
        <f>(('ECOLES INTERVENTION'!$D112+'ECOLES INTERVENTION'!$F112+'ECOLES INTERVENTION'!$H112)/3)</f>
        <v>6.58</v>
      </c>
      <c r="K112" s="28"/>
      <c r="L112" s="28" t="s">
        <v>32</v>
      </c>
      <c r="M112" s="30">
        <v>1.0</v>
      </c>
      <c r="N112" s="26"/>
      <c r="O112" s="26"/>
      <c r="P112" s="26"/>
    </row>
    <row r="113" ht="14.25" customHeight="1">
      <c r="A113" s="18">
        <v>18.0</v>
      </c>
      <c r="B113" s="19" t="s">
        <v>131</v>
      </c>
      <c r="C113" s="20"/>
      <c r="D113" s="27">
        <v>4.0</v>
      </c>
      <c r="E113" s="27"/>
      <c r="F113" s="27">
        <v>5.0</v>
      </c>
      <c r="G113" s="27"/>
      <c r="H113" s="27">
        <v>6.0</v>
      </c>
      <c r="I113" s="27"/>
      <c r="J113" s="27">
        <f>(('ECOLES INTERVENTION'!$D113+'ECOLES INTERVENTION'!$F113+'ECOLES INTERVENTION'!$H113)/3)</f>
        <v>5</v>
      </c>
      <c r="K113" s="28"/>
      <c r="L113" s="28" t="s">
        <v>32</v>
      </c>
      <c r="M113" s="30">
        <v>1.0</v>
      </c>
      <c r="N113" s="26"/>
      <c r="O113" s="26"/>
      <c r="P113" s="26"/>
    </row>
    <row r="114" ht="14.25" customHeight="1">
      <c r="A114" s="8"/>
      <c r="B114" s="59"/>
      <c r="C114" s="35"/>
      <c r="D114" s="36"/>
      <c r="E114" s="36"/>
      <c r="F114" s="36"/>
      <c r="G114" s="36"/>
      <c r="H114" s="36"/>
      <c r="I114" s="36"/>
      <c r="J114" s="36"/>
      <c r="K114" s="37"/>
      <c r="L114" s="37"/>
      <c r="M114" s="25">
        <f t="shared" ref="M114:N114" si="4">SUM(M96:M113)</f>
        <v>17</v>
      </c>
      <c r="N114" s="26">
        <f t="shared" si="4"/>
        <v>1</v>
      </c>
      <c r="O114" s="26"/>
      <c r="P114" s="26"/>
    </row>
    <row r="115" ht="14.25" customHeight="1">
      <c r="A115" s="50"/>
      <c r="B115" s="60"/>
      <c r="C115" s="61"/>
      <c r="D115" s="53"/>
      <c r="E115" s="53"/>
      <c r="F115" s="53"/>
      <c r="G115" s="53"/>
      <c r="H115" s="53"/>
      <c r="I115" s="53"/>
      <c r="J115" s="53"/>
      <c r="K115" s="53"/>
      <c r="L115" s="53"/>
      <c r="M115" s="54">
        <f>M114/A113</f>
        <v>0.9444444444</v>
      </c>
      <c r="N115" s="55">
        <f>N114/A113</f>
        <v>0.05555555556</v>
      </c>
      <c r="O115" s="56"/>
      <c r="P115" s="56"/>
    </row>
    <row r="116" ht="14.25" customHeight="1">
      <c r="A116" s="50" t="s">
        <v>132</v>
      </c>
      <c r="B116" s="62"/>
      <c r="C116" s="58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6"/>
      <c r="O116" s="56"/>
      <c r="P116" s="56"/>
    </row>
    <row r="117" ht="14.25" customHeight="1">
      <c r="A117" s="18">
        <v>1.0</v>
      </c>
      <c r="B117" s="20" t="s">
        <v>133</v>
      </c>
      <c r="C117" s="32"/>
      <c r="D117" s="27">
        <v>3.75</v>
      </c>
      <c r="E117" s="27"/>
      <c r="F117" s="27">
        <v>5.0</v>
      </c>
      <c r="G117" s="27"/>
      <c r="H117" s="27">
        <v>5.25</v>
      </c>
      <c r="I117" s="27"/>
      <c r="J117" s="27">
        <f>(('ECOLES INTERVENTION'!$D117+'ECOLES INTERVENTION'!$F117+'ECOLES INTERVENTION'!$H117)/3)</f>
        <v>4.666666667</v>
      </c>
      <c r="K117" s="28"/>
      <c r="L117" s="28" t="s">
        <v>51</v>
      </c>
      <c r="M117" s="30">
        <v>1.0</v>
      </c>
      <c r="N117" s="26"/>
      <c r="O117" s="26"/>
      <c r="P117" s="26"/>
    </row>
    <row r="118" ht="14.25" customHeight="1">
      <c r="A118" s="18">
        <v>2.0</v>
      </c>
      <c r="B118" s="20" t="s">
        <v>134</v>
      </c>
      <c r="C118" s="20"/>
      <c r="D118" s="27">
        <v>4.0</v>
      </c>
      <c r="E118" s="27"/>
      <c r="F118" s="27">
        <v>4.95</v>
      </c>
      <c r="G118" s="27"/>
      <c r="H118" s="27">
        <v>6.0</v>
      </c>
      <c r="I118" s="27"/>
      <c r="J118" s="27">
        <f>(('ECOLES INTERVENTION'!$D118+'ECOLES INTERVENTION'!$F118+'ECOLES INTERVENTION'!$H118)/3)</f>
        <v>4.983333333</v>
      </c>
      <c r="K118" s="28"/>
      <c r="L118" s="28" t="s">
        <v>51</v>
      </c>
      <c r="M118" s="30">
        <v>1.0</v>
      </c>
      <c r="N118" s="26"/>
      <c r="O118" s="26"/>
      <c r="P118" s="26"/>
    </row>
    <row r="119" ht="14.25" customHeight="1">
      <c r="A119" s="18">
        <v>3.0</v>
      </c>
      <c r="B119" s="20" t="s">
        <v>135</v>
      </c>
      <c r="C119" s="20"/>
      <c r="D119" s="27">
        <v>2.85</v>
      </c>
      <c r="E119" s="27"/>
      <c r="F119" s="27">
        <v>3.95</v>
      </c>
      <c r="G119" s="27"/>
      <c r="H119" s="27">
        <v>3.45</v>
      </c>
      <c r="I119" s="27"/>
      <c r="J119" s="27">
        <f>(('ECOLES INTERVENTION'!$D119+'ECOLES INTERVENTION'!$F119+'ECOLES INTERVENTION'!$H119)/3)</f>
        <v>3.416666667</v>
      </c>
      <c r="K119" s="28"/>
      <c r="L119" s="28" t="s">
        <v>28</v>
      </c>
      <c r="M119" s="30"/>
      <c r="N119" s="29">
        <v>1.0</v>
      </c>
      <c r="O119" s="7"/>
      <c r="P119" s="7"/>
    </row>
    <row r="120" ht="14.25" customHeight="1">
      <c r="A120" s="18">
        <v>4.0</v>
      </c>
      <c r="B120" s="31" t="s">
        <v>136</v>
      </c>
      <c r="C120" s="32"/>
      <c r="D120" s="27">
        <v>5.0</v>
      </c>
      <c r="E120" s="27"/>
      <c r="F120" s="27">
        <v>6.0</v>
      </c>
      <c r="G120" s="27"/>
      <c r="H120" s="27">
        <v>6.25</v>
      </c>
      <c r="I120" s="27"/>
      <c r="J120" s="27">
        <f>(('ECOLES INTERVENTION'!$D120+'ECOLES INTERVENTION'!$F120+'ECOLES INTERVENTION'!$H120)/3)</f>
        <v>5.75</v>
      </c>
      <c r="K120" s="28"/>
      <c r="L120" s="28" t="s">
        <v>32</v>
      </c>
      <c r="M120" s="30">
        <v>1.0</v>
      </c>
      <c r="N120" s="26"/>
      <c r="O120" s="26"/>
      <c r="P120" s="26"/>
    </row>
    <row r="121" ht="14.25" customHeight="1">
      <c r="A121" s="18">
        <v>5.0</v>
      </c>
      <c r="B121" s="20" t="s">
        <v>137</v>
      </c>
      <c r="C121" s="20"/>
      <c r="D121" s="27">
        <v>3.0</v>
      </c>
      <c r="E121" s="27"/>
      <c r="F121" s="27">
        <v>5.0</v>
      </c>
      <c r="G121" s="27"/>
      <c r="H121" s="27">
        <v>5.79</v>
      </c>
      <c r="I121" s="27"/>
      <c r="J121" s="27">
        <f>(('ECOLES INTERVENTION'!$D121+'ECOLES INTERVENTION'!$F121+'ECOLES INTERVENTION'!$H121)/3)</f>
        <v>4.596666667</v>
      </c>
      <c r="K121" s="28"/>
      <c r="L121" s="28" t="s">
        <v>32</v>
      </c>
      <c r="M121" s="30">
        <v>1.0</v>
      </c>
      <c r="N121" s="26"/>
      <c r="O121" s="26"/>
      <c r="P121" s="26"/>
    </row>
    <row r="122" ht="14.25" customHeight="1">
      <c r="A122" s="18">
        <v>6.0</v>
      </c>
      <c r="B122" s="20" t="s">
        <v>138</v>
      </c>
      <c r="C122" s="20"/>
      <c r="D122" s="27">
        <v>6.25</v>
      </c>
      <c r="E122" s="27"/>
      <c r="F122" s="27">
        <v>6.75</v>
      </c>
      <c r="G122" s="27"/>
      <c r="H122" s="27">
        <v>7.0</v>
      </c>
      <c r="I122" s="27"/>
      <c r="J122" s="27">
        <f>(('ECOLES INTERVENTION'!$D122+'ECOLES INTERVENTION'!$F122+'ECOLES INTERVENTION'!$H122)/3)</f>
        <v>6.666666667</v>
      </c>
      <c r="K122" s="28"/>
      <c r="L122" s="28" t="s">
        <v>32</v>
      </c>
      <c r="M122" s="30">
        <v>1.0</v>
      </c>
      <c r="N122" s="26"/>
      <c r="O122" s="26"/>
      <c r="P122" s="26"/>
    </row>
    <row r="123" ht="14.25" customHeight="1">
      <c r="A123" s="18">
        <v>7.0</v>
      </c>
      <c r="B123" s="31" t="s">
        <v>139</v>
      </c>
      <c r="C123" s="32"/>
      <c r="D123" s="27">
        <v>4.7</v>
      </c>
      <c r="E123" s="27"/>
      <c r="F123" s="27">
        <v>4.95</v>
      </c>
      <c r="G123" s="27"/>
      <c r="H123" s="27">
        <v>4.25</v>
      </c>
      <c r="I123" s="27"/>
      <c r="J123" s="27">
        <f>(('ECOLES INTERVENTION'!$D123+'ECOLES INTERVENTION'!$F123+'ECOLES INTERVENTION'!$H123)/3)</f>
        <v>4.633333333</v>
      </c>
      <c r="K123" s="28"/>
      <c r="L123" s="28" t="s">
        <v>32</v>
      </c>
      <c r="M123" s="30">
        <v>1.0</v>
      </c>
      <c r="N123" s="26"/>
      <c r="O123" s="26"/>
      <c r="P123" s="26"/>
    </row>
    <row r="124" ht="14.25" customHeight="1">
      <c r="A124" s="18">
        <v>8.0</v>
      </c>
      <c r="B124" s="20" t="s">
        <v>140</v>
      </c>
      <c r="C124" s="20"/>
      <c r="D124" s="27">
        <v>3.96</v>
      </c>
      <c r="E124" s="27"/>
      <c r="F124" s="27">
        <v>5.0</v>
      </c>
      <c r="G124" s="27"/>
      <c r="H124" s="27">
        <v>6.0</v>
      </c>
      <c r="I124" s="27"/>
      <c r="J124" s="27">
        <f>(('ECOLES INTERVENTION'!$D124+'ECOLES INTERVENTION'!$F124+'ECOLES INTERVENTION'!$H124)/3)</f>
        <v>4.986666667</v>
      </c>
      <c r="K124" s="28"/>
      <c r="L124" s="28" t="s">
        <v>32</v>
      </c>
      <c r="M124" s="30">
        <v>1.0</v>
      </c>
      <c r="N124" s="26"/>
      <c r="O124" s="26"/>
      <c r="P124" s="26"/>
    </row>
    <row r="125" ht="14.25" customHeight="1">
      <c r="A125" s="18">
        <v>9.0</v>
      </c>
      <c r="B125" s="31" t="s">
        <v>141</v>
      </c>
      <c r="C125" s="32"/>
      <c r="D125" s="27">
        <v>4.0</v>
      </c>
      <c r="E125" s="27"/>
      <c r="F125" s="27">
        <v>4.57</v>
      </c>
      <c r="G125" s="27"/>
      <c r="H125" s="27">
        <v>5.85</v>
      </c>
      <c r="I125" s="27"/>
      <c r="J125" s="27">
        <f>(('ECOLES INTERVENTION'!$D125+'ECOLES INTERVENTION'!$F125+'ECOLES INTERVENTION'!$H125)/3)</f>
        <v>4.806666667</v>
      </c>
      <c r="K125" s="28"/>
      <c r="L125" s="28" t="s">
        <v>32</v>
      </c>
      <c r="M125" s="30">
        <v>1.0</v>
      </c>
      <c r="N125" s="26"/>
      <c r="O125" s="26"/>
      <c r="P125" s="26"/>
    </row>
    <row r="126" ht="14.25" customHeight="1">
      <c r="A126" s="18">
        <v>10.0</v>
      </c>
      <c r="B126" s="20" t="s">
        <v>142</v>
      </c>
      <c r="C126" s="20"/>
      <c r="D126" s="27">
        <v>6.0</v>
      </c>
      <c r="E126" s="27"/>
      <c r="F126" s="27">
        <v>6.25</v>
      </c>
      <c r="G126" s="27"/>
      <c r="H126" s="27">
        <v>7.75</v>
      </c>
      <c r="I126" s="27"/>
      <c r="J126" s="27">
        <f>(('ECOLES INTERVENTION'!$D126+'ECOLES INTERVENTION'!$F126+'ECOLES INTERVENTION'!$H126)/3)</f>
        <v>6.666666667</v>
      </c>
      <c r="K126" s="28"/>
      <c r="L126" s="28" t="s">
        <v>32</v>
      </c>
      <c r="M126" s="30">
        <v>1.0</v>
      </c>
      <c r="N126" s="26"/>
      <c r="O126" s="26"/>
      <c r="P126" s="26"/>
    </row>
    <row r="127" ht="14.25" customHeight="1">
      <c r="A127" s="18">
        <v>11.0</v>
      </c>
      <c r="B127" s="20" t="s">
        <v>143</v>
      </c>
      <c r="C127" s="20"/>
      <c r="D127" s="27">
        <v>4.75</v>
      </c>
      <c r="E127" s="27"/>
      <c r="F127" s="27">
        <v>5.25</v>
      </c>
      <c r="G127" s="27"/>
      <c r="H127" s="27">
        <v>5.0</v>
      </c>
      <c r="I127" s="27"/>
      <c r="J127" s="27">
        <f>(('ECOLES INTERVENTION'!$D127+'ECOLES INTERVENTION'!$F127+'ECOLES INTERVENTION'!$H127)/3)</f>
        <v>5</v>
      </c>
      <c r="K127" s="28"/>
      <c r="L127" s="28" t="s">
        <v>32</v>
      </c>
      <c r="M127" s="30">
        <v>1.0</v>
      </c>
      <c r="N127" s="26"/>
      <c r="O127" s="26"/>
      <c r="P127" s="26"/>
    </row>
    <row r="128" ht="14.25" customHeight="1">
      <c r="A128" s="18">
        <v>12.0</v>
      </c>
      <c r="B128" s="31" t="s">
        <v>144</v>
      </c>
      <c r="C128" s="32"/>
      <c r="D128" s="27">
        <v>3.98</v>
      </c>
      <c r="E128" s="27"/>
      <c r="F128" s="27">
        <v>4.0</v>
      </c>
      <c r="G128" s="27"/>
      <c r="H128" s="27">
        <v>6.0</v>
      </c>
      <c r="I128" s="27"/>
      <c r="J128" s="27">
        <f>(('ECOLES INTERVENTION'!$D128+'ECOLES INTERVENTION'!$F128+'ECOLES INTERVENTION'!$H128)/3)</f>
        <v>4.66</v>
      </c>
      <c r="K128" s="28"/>
      <c r="L128" s="28" t="s">
        <v>32</v>
      </c>
      <c r="M128" s="30">
        <v>1.0</v>
      </c>
      <c r="N128" s="26"/>
      <c r="O128" s="26"/>
      <c r="P128" s="26"/>
    </row>
    <row r="129" ht="14.25" customHeight="1">
      <c r="A129" s="18">
        <v>13.0</v>
      </c>
      <c r="B129" s="20" t="s">
        <v>145</v>
      </c>
      <c r="C129" s="20"/>
      <c r="D129" s="27">
        <v>4.05</v>
      </c>
      <c r="E129" s="27"/>
      <c r="F129" s="27">
        <v>5.25</v>
      </c>
      <c r="G129" s="27"/>
      <c r="H129" s="27">
        <v>5.0</v>
      </c>
      <c r="I129" s="27"/>
      <c r="J129" s="27">
        <f>(('ECOLES INTERVENTION'!$D129+'ECOLES INTERVENTION'!$F129+'ECOLES INTERVENTION'!$H129)/3)</f>
        <v>4.766666667</v>
      </c>
      <c r="K129" s="28"/>
      <c r="L129" s="28" t="s">
        <v>32</v>
      </c>
      <c r="M129" s="30">
        <v>1.0</v>
      </c>
      <c r="N129" s="26"/>
      <c r="O129" s="26"/>
      <c r="P129" s="26"/>
    </row>
    <row r="130" ht="14.25" customHeight="1">
      <c r="A130" s="18">
        <v>14.0</v>
      </c>
      <c r="B130" s="20" t="s">
        <v>146</v>
      </c>
      <c r="C130" s="20"/>
      <c r="D130" s="27">
        <v>5.0</v>
      </c>
      <c r="E130" s="27"/>
      <c r="F130" s="27">
        <v>6.0</v>
      </c>
      <c r="G130" s="27"/>
      <c r="H130" s="27">
        <v>6.4</v>
      </c>
      <c r="I130" s="27"/>
      <c r="J130" s="27">
        <f>(('ECOLES INTERVENTION'!$D130+'ECOLES INTERVENTION'!$F130+'ECOLES INTERVENTION'!$H130)/3)</f>
        <v>5.8</v>
      </c>
      <c r="K130" s="28"/>
      <c r="L130" s="28" t="s">
        <v>32</v>
      </c>
      <c r="M130" s="30">
        <v>1.0</v>
      </c>
      <c r="N130" s="26"/>
      <c r="O130" s="26"/>
      <c r="P130" s="26"/>
    </row>
    <row r="131" ht="14.25" customHeight="1">
      <c r="A131" s="18">
        <v>15.0</v>
      </c>
      <c r="B131" s="20" t="s">
        <v>147</v>
      </c>
      <c r="C131" s="20"/>
      <c r="D131" s="27">
        <v>4.95</v>
      </c>
      <c r="E131" s="27"/>
      <c r="F131" s="27">
        <v>4.95</v>
      </c>
      <c r="G131" s="27"/>
      <c r="H131" s="27">
        <v>4.91</v>
      </c>
      <c r="I131" s="27"/>
      <c r="J131" s="27">
        <f>(('ECOLES INTERVENTION'!$D131+'ECOLES INTERVENTION'!$F131+'ECOLES INTERVENTION'!$H131)/3)</f>
        <v>4.936666667</v>
      </c>
      <c r="K131" s="28"/>
      <c r="L131" s="28" t="s">
        <v>32</v>
      </c>
      <c r="M131" s="30">
        <v>1.0</v>
      </c>
      <c r="N131" s="26"/>
      <c r="O131" s="26"/>
      <c r="P131" s="26"/>
    </row>
    <row r="132" ht="14.25" customHeight="1">
      <c r="A132" s="18">
        <v>16.0</v>
      </c>
      <c r="B132" s="20" t="s">
        <v>148</v>
      </c>
      <c r="C132" s="20"/>
      <c r="D132" s="27">
        <v>3.99</v>
      </c>
      <c r="E132" s="27"/>
      <c r="F132" s="27">
        <v>5.57</v>
      </c>
      <c r="G132" s="27"/>
      <c r="H132" s="27">
        <v>5.0</v>
      </c>
      <c r="I132" s="27"/>
      <c r="J132" s="27">
        <f>(('ECOLES INTERVENTION'!$D132+'ECOLES INTERVENTION'!$F132+'ECOLES INTERVENTION'!$H132)/3)</f>
        <v>4.853333333</v>
      </c>
      <c r="K132" s="28"/>
      <c r="L132" s="28" t="s">
        <v>32</v>
      </c>
      <c r="M132" s="30">
        <v>1.0</v>
      </c>
      <c r="N132" s="26"/>
      <c r="O132" s="26"/>
      <c r="P132" s="26"/>
    </row>
    <row r="133" ht="14.25" customHeight="1">
      <c r="A133" s="18">
        <v>17.0</v>
      </c>
      <c r="B133" s="20" t="s">
        <v>149</v>
      </c>
      <c r="C133" s="20"/>
      <c r="D133" s="27">
        <v>2.0</v>
      </c>
      <c r="E133" s="27"/>
      <c r="F133" s="27">
        <v>2.73</v>
      </c>
      <c r="G133" s="27"/>
      <c r="H133" s="27">
        <v>3.01</v>
      </c>
      <c r="I133" s="27"/>
      <c r="J133" s="27">
        <f>(('ECOLES INTERVENTION'!$D133+'ECOLES INTERVENTION'!$F133+'ECOLES INTERVENTION'!$H133)/3)</f>
        <v>2.58</v>
      </c>
      <c r="K133" s="28"/>
      <c r="L133" s="28" t="s">
        <v>28</v>
      </c>
      <c r="M133" s="24"/>
      <c r="N133" s="29">
        <v>1.0</v>
      </c>
      <c r="O133" s="7"/>
      <c r="P133" s="7"/>
    </row>
    <row r="134" ht="14.25" customHeight="1">
      <c r="A134" s="18">
        <v>18.0</v>
      </c>
      <c r="B134" s="20" t="s">
        <v>150</v>
      </c>
      <c r="C134" s="20"/>
      <c r="D134" s="27">
        <v>4.5</v>
      </c>
      <c r="E134" s="27"/>
      <c r="F134" s="27">
        <v>5.0</v>
      </c>
      <c r="G134" s="27"/>
      <c r="H134" s="27">
        <v>6.0</v>
      </c>
      <c r="I134" s="27"/>
      <c r="J134" s="27">
        <f>(('ECOLES INTERVENTION'!$D134+'ECOLES INTERVENTION'!$F134+'ECOLES INTERVENTION'!$H134)/3)</f>
        <v>5.166666667</v>
      </c>
      <c r="K134" s="28"/>
      <c r="L134" s="28" t="s">
        <v>32</v>
      </c>
      <c r="M134" s="30">
        <v>1.0</v>
      </c>
      <c r="N134" s="26"/>
      <c r="O134" s="26"/>
      <c r="P134" s="26"/>
    </row>
    <row r="135" ht="14.25" customHeight="1">
      <c r="A135" s="18">
        <v>19.0</v>
      </c>
      <c r="B135" s="20" t="s">
        <v>151</v>
      </c>
      <c r="C135" s="20"/>
      <c r="D135" s="27">
        <v>2.75</v>
      </c>
      <c r="E135" s="27"/>
      <c r="F135" s="27">
        <v>4.78</v>
      </c>
      <c r="G135" s="27"/>
      <c r="H135" s="27">
        <v>5.98</v>
      </c>
      <c r="I135" s="27"/>
      <c r="J135" s="27">
        <f>(('ECOLES INTERVENTION'!$D135+'ECOLES INTERVENTION'!$F135+'ECOLES INTERVENTION'!$H135)/3)</f>
        <v>4.503333333</v>
      </c>
      <c r="K135" s="28"/>
      <c r="L135" s="28" t="s">
        <v>32</v>
      </c>
      <c r="M135" s="30">
        <v>1.0</v>
      </c>
      <c r="N135" s="26"/>
      <c r="O135" s="26"/>
      <c r="P135" s="26"/>
    </row>
    <row r="136" ht="14.25" customHeight="1">
      <c r="A136" s="18">
        <v>20.0</v>
      </c>
      <c r="B136" s="31" t="s">
        <v>152</v>
      </c>
      <c r="C136" s="32"/>
      <c r="D136" s="27">
        <v>5.0</v>
      </c>
      <c r="E136" s="27"/>
      <c r="F136" s="27">
        <v>6.0</v>
      </c>
      <c r="G136" s="27"/>
      <c r="H136" s="27">
        <v>7.0</v>
      </c>
      <c r="I136" s="27"/>
      <c r="J136" s="27">
        <f>(('ECOLES INTERVENTION'!$D136+'ECOLES INTERVENTION'!$F136+'ECOLES INTERVENTION'!$H136)/3)</f>
        <v>6</v>
      </c>
      <c r="K136" s="28"/>
      <c r="L136" s="28" t="s">
        <v>32</v>
      </c>
      <c r="M136" s="30">
        <v>1.0</v>
      </c>
      <c r="N136" s="26"/>
      <c r="O136" s="26"/>
      <c r="P136" s="26"/>
    </row>
    <row r="137" ht="14.25" customHeight="1">
      <c r="A137" s="18">
        <v>21.0</v>
      </c>
      <c r="B137" s="20" t="s">
        <v>153</v>
      </c>
      <c r="C137" s="20"/>
      <c r="D137" s="27">
        <v>3.0</v>
      </c>
      <c r="E137" s="27"/>
      <c r="F137" s="27">
        <v>5.69</v>
      </c>
      <c r="G137" s="27"/>
      <c r="H137" s="27">
        <v>5.85</v>
      </c>
      <c r="I137" s="27"/>
      <c r="J137" s="27">
        <f>(('ECOLES INTERVENTION'!$D137+'ECOLES INTERVENTION'!$F137+'ECOLES INTERVENTION'!$H137)/3)</f>
        <v>4.846666667</v>
      </c>
      <c r="K137" s="28"/>
      <c r="L137" s="28" t="s">
        <v>32</v>
      </c>
      <c r="M137" s="30">
        <v>1.0</v>
      </c>
      <c r="N137" s="26"/>
      <c r="O137" s="26"/>
      <c r="P137" s="26"/>
    </row>
    <row r="138" ht="14.25" customHeight="1">
      <c r="A138" s="18">
        <v>22.0</v>
      </c>
      <c r="B138" s="20" t="s">
        <v>154</v>
      </c>
      <c r="C138" s="20"/>
      <c r="D138" s="27">
        <v>4.4</v>
      </c>
      <c r="E138" s="27"/>
      <c r="F138" s="27">
        <v>4.7</v>
      </c>
      <c r="G138" s="27"/>
      <c r="H138" s="27">
        <v>6.0</v>
      </c>
      <c r="I138" s="27"/>
      <c r="J138" s="27">
        <f>(('ECOLES INTERVENTION'!$D138+'ECOLES INTERVENTION'!$F138+'ECOLES INTERVENTION'!$H138)/3)</f>
        <v>5.033333333</v>
      </c>
      <c r="K138" s="28"/>
      <c r="L138" s="28" t="s">
        <v>155</v>
      </c>
      <c r="M138" s="30">
        <v>1.0</v>
      </c>
      <c r="N138" s="26"/>
      <c r="O138" s="26"/>
      <c r="P138" s="26"/>
    </row>
    <row r="139" ht="14.25" customHeight="1">
      <c r="A139" s="18">
        <v>23.0</v>
      </c>
      <c r="B139" s="20" t="s">
        <v>156</v>
      </c>
      <c r="C139" s="20"/>
      <c r="D139" s="27">
        <v>5.0</v>
      </c>
      <c r="E139" s="27"/>
      <c r="F139" s="27">
        <v>5.44</v>
      </c>
      <c r="G139" s="27"/>
      <c r="H139" s="27">
        <v>5.79</v>
      </c>
      <c r="I139" s="27"/>
      <c r="J139" s="27">
        <f>(('ECOLES INTERVENTION'!$D139+'ECOLES INTERVENTION'!$F139+'ECOLES INTERVENTION'!$H139)/3)</f>
        <v>5.41</v>
      </c>
      <c r="K139" s="28"/>
      <c r="L139" s="28" t="s">
        <v>32</v>
      </c>
      <c r="M139" s="30">
        <v>1.0</v>
      </c>
      <c r="N139" s="26"/>
      <c r="O139" s="26"/>
      <c r="P139" s="26"/>
    </row>
    <row r="140" ht="14.25" customHeight="1">
      <c r="A140" s="18">
        <v>24.0</v>
      </c>
      <c r="B140" s="20" t="s">
        <v>157</v>
      </c>
      <c r="C140" s="20"/>
      <c r="D140" s="27">
        <v>3.5</v>
      </c>
      <c r="E140" s="27"/>
      <c r="F140" s="27">
        <v>4.74</v>
      </c>
      <c r="G140" s="27"/>
      <c r="H140" s="27">
        <v>6.0</v>
      </c>
      <c r="I140" s="27"/>
      <c r="J140" s="27">
        <f>(('ECOLES INTERVENTION'!$D140+'ECOLES INTERVENTION'!$F140+'ECOLES INTERVENTION'!$H140)/3)</f>
        <v>4.746666667</v>
      </c>
      <c r="K140" s="28"/>
      <c r="L140" s="28" t="s">
        <v>32</v>
      </c>
      <c r="M140" s="30">
        <v>1.0</v>
      </c>
      <c r="N140" s="26"/>
      <c r="O140" s="26"/>
      <c r="P140" s="26"/>
    </row>
    <row r="141" ht="14.25" customHeight="1">
      <c r="A141" s="18">
        <v>25.0</v>
      </c>
      <c r="B141" s="20" t="s">
        <v>158</v>
      </c>
      <c r="C141" s="20"/>
      <c r="D141" s="27">
        <v>5.89</v>
      </c>
      <c r="E141" s="27"/>
      <c r="F141" s="27">
        <v>5.5</v>
      </c>
      <c r="G141" s="27"/>
      <c r="H141" s="27">
        <v>5.95</v>
      </c>
      <c r="I141" s="27"/>
      <c r="J141" s="27">
        <f>(('ECOLES INTERVENTION'!$D141+'ECOLES INTERVENTION'!$F141+'ECOLES INTERVENTION'!$H141)/3)</f>
        <v>5.78</v>
      </c>
      <c r="K141" s="28"/>
      <c r="L141" s="28" t="s">
        <v>32</v>
      </c>
      <c r="M141" s="30">
        <v>1.0</v>
      </c>
      <c r="N141" s="26"/>
      <c r="O141" s="26"/>
      <c r="P141" s="26"/>
    </row>
    <row r="142" ht="14.25" customHeight="1">
      <c r="A142" s="18">
        <v>26.0</v>
      </c>
      <c r="B142" s="20" t="s">
        <v>159</v>
      </c>
      <c r="C142" s="20"/>
      <c r="D142" s="27">
        <v>1.25</v>
      </c>
      <c r="E142" s="27"/>
      <c r="F142" s="27">
        <v>1.75</v>
      </c>
      <c r="G142" s="27"/>
      <c r="H142" s="27">
        <v>1.55</v>
      </c>
      <c r="I142" s="27"/>
      <c r="J142" s="27">
        <f>(('ECOLES INTERVENTION'!$D142+'ECOLES INTERVENTION'!$F142+'ECOLES INTERVENTION'!$H142)/3)</f>
        <v>1.516666667</v>
      </c>
      <c r="K142" s="28"/>
      <c r="L142" s="28" t="s">
        <v>28</v>
      </c>
      <c r="M142" s="24"/>
      <c r="N142" s="29">
        <v>1.0</v>
      </c>
      <c r="O142" s="7"/>
      <c r="P142" s="7"/>
    </row>
    <row r="143" ht="14.25" customHeight="1">
      <c r="A143" s="18">
        <v>27.0</v>
      </c>
      <c r="B143" s="20" t="s">
        <v>160</v>
      </c>
      <c r="C143" s="20"/>
      <c r="D143" s="27">
        <v>4.75</v>
      </c>
      <c r="E143" s="27"/>
      <c r="F143" s="27">
        <v>5.25</v>
      </c>
      <c r="G143" s="27"/>
      <c r="H143" s="27">
        <v>5.76</v>
      </c>
      <c r="I143" s="27"/>
      <c r="J143" s="27">
        <f>(('ECOLES INTERVENTION'!$D143+'ECOLES INTERVENTION'!$F143+'ECOLES INTERVENTION'!$H143)/3)</f>
        <v>5.253333333</v>
      </c>
      <c r="K143" s="28"/>
      <c r="L143" s="28" t="s">
        <v>32</v>
      </c>
      <c r="M143" s="30">
        <v>1.0</v>
      </c>
      <c r="N143" s="26"/>
      <c r="O143" s="26"/>
      <c r="P143" s="26"/>
    </row>
    <row r="144" ht="14.25" customHeight="1">
      <c r="A144" s="18">
        <v>28.0</v>
      </c>
      <c r="B144" s="20" t="s">
        <v>161</v>
      </c>
      <c r="C144" s="20"/>
      <c r="D144" s="27">
        <v>3.85</v>
      </c>
      <c r="E144" s="27"/>
      <c r="F144" s="27">
        <v>4.74</v>
      </c>
      <c r="G144" s="27"/>
      <c r="H144" s="27">
        <v>4.96</v>
      </c>
      <c r="I144" s="27"/>
      <c r="J144" s="27">
        <f>(('ECOLES INTERVENTION'!$D144+'ECOLES INTERVENTION'!$F144+'ECOLES INTERVENTION'!$H144)/3)</f>
        <v>4.516666667</v>
      </c>
      <c r="K144" s="28"/>
      <c r="L144" s="28" t="s">
        <v>32</v>
      </c>
      <c r="M144" s="30">
        <v>1.0</v>
      </c>
      <c r="N144" s="26"/>
      <c r="O144" s="26"/>
      <c r="P144" s="26"/>
    </row>
    <row r="145" ht="14.25" customHeight="1">
      <c r="A145" s="18">
        <v>29.0</v>
      </c>
      <c r="B145" s="31" t="s">
        <v>162</v>
      </c>
      <c r="C145" s="32"/>
      <c r="D145" s="27">
        <v>5.0</v>
      </c>
      <c r="E145" s="27"/>
      <c r="F145" s="27">
        <v>5.75</v>
      </c>
      <c r="G145" s="27"/>
      <c r="H145" s="27">
        <v>6.0</v>
      </c>
      <c r="I145" s="27"/>
      <c r="J145" s="27">
        <f>(('ECOLES INTERVENTION'!$D145+'ECOLES INTERVENTION'!$F145+'ECOLES INTERVENTION'!$H145)/3)</f>
        <v>5.583333333</v>
      </c>
      <c r="K145" s="28"/>
      <c r="L145" s="28" t="s">
        <v>32</v>
      </c>
      <c r="M145" s="30">
        <v>1.0</v>
      </c>
      <c r="N145" s="26"/>
      <c r="O145" s="26"/>
      <c r="P145" s="26"/>
    </row>
    <row r="146" ht="14.25" customHeight="1">
      <c r="A146" s="18">
        <v>30.0</v>
      </c>
      <c r="B146" s="20" t="s">
        <v>163</v>
      </c>
      <c r="C146" s="20"/>
      <c r="D146" s="27">
        <v>3.73</v>
      </c>
      <c r="E146" s="27"/>
      <c r="F146" s="27">
        <v>4.95</v>
      </c>
      <c r="G146" s="27"/>
      <c r="H146" s="27">
        <v>5.25</v>
      </c>
      <c r="I146" s="27"/>
      <c r="J146" s="27">
        <f>(('ECOLES INTERVENTION'!$D146+'ECOLES INTERVENTION'!$F146+'ECOLES INTERVENTION'!$H146)/3)</f>
        <v>4.643333333</v>
      </c>
      <c r="K146" s="28"/>
      <c r="L146" s="28" t="s">
        <v>32</v>
      </c>
      <c r="M146" s="30">
        <v>1.0</v>
      </c>
      <c r="N146" s="26"/>
      <c r="O146" s="26"/>
      <c r="P146" s="26"/>
    </row>
    <row r="147" ht="14.25" customHeight="1">
      <c r="A147" s="8"/>
      <c r="B147" s="35"/>
      <c r="C147" s="35"/>
      <c r="D147" s="36"/>
      <c r="E147" s="36"/>
      <c r="F147" s="36"/>
      <c r="G147" s="36"/>
      <c r="H147" s="36"/>
      <c r="I147" s="36"/>
      <c r="J147" s="36"/>
      <c r="K147" s="37"/>
      <c r="L147" s="37"/>
      <c r="M147" s="25">
        <f t="shared" ref="M147:N147" si="5">SUM(M117:M146)</f>
        <v>27</v>
      </c>
      <c r="N147" s="26">
        <f t="shared" si="5"/>
        <v>3</v>
      </c>
      <c r="O147" s="26"/>
      <c r="P147" s="26"/>
    </row>
    <row r="148" ht="14.25" customHeight="1">
      <c r="A148" s="50"/>
      <c r="B148" s="61"/>
      <c r="C148" s="61"/>
      <c r="D148" s="53"/>
      <c r="E148" s="53"/>
      <c r="F148" s="53"/>
      <c r="G148" s="53"/>
      <c r="H148" s="53"/>
      <c r="I148" s="53"/>
      <c r="J148" s="53"/>
      <c r="K148" s="53"/>
      <c r="L148" s="53"/>
      <c r="M148" s="54">
        <f>M147/A146</f>
        <v>0.9</v>
      </c>
      <c r="N148" s="55">
        <f>N147/A146</f>
        <v>0.1</v>
      </c>
      <c r="O148" s="56"/>
      <c r="P148" s="56"/>
    </row>
    <row r="149" ht="14.25" customHeight="1">
      <c r="A149" s="50" t="s">
        <v>164</v>
      </c>
      <c r="B149" s="58"/>
      <c r="C149" s="58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6"/>
      <c r="O149" s="56"/>
      <c r="P149" s="56"/>
    </row>
    <row r="150" ht="14.25" customHeight="1">
      <c r="A150" s="18">
        <v>1.0</v>
      </c>
      <c r="B150" s="19" t="s">
        <v>165</v>
      </c>
      <c r="C150" s="20"/>
      <c r="D150" s="27">
        <v>4.0</v>
      </c>
      <c r="E150" s="27"/>
      <c r="F150" s="27">
        <v>4.75</v>
      </c>
      <c r="G150" s="27"/>
      <c r="H150" s="27">
        <v>5.92</v>
      </c>
      <c r="I150" s="27"/>
      <c r="J150" s="27">
        <f>(('ECOLES INTERVENTION'!$D150+'ECOLES INTERVENTION'!$F150+'ECOLES INTERVENTION'!$H150)/3)</f>
        <v>4.89</v>
      </c>
      <c r="K150" s="28"/>
      <c r="L150" s="28" t="s">
        <v>32</v>
      </c>
      <c r="M150" s="30">
        <v>1.0</v>
      </c>
      <c r="N150" s="26"/>
      <c r="O150" s="26"/>
      <c r="P150" s="26"/>
    </row>
    <row r="151" ht="14.25" customHeight="1">
      <c r="A151" s="18">
        <v>2.0</v>
      </c>
      <c r="B151" s="19" t="s">
        <v>166</v>
      </c>
      <c r="C151" s="20"/>
      <c r="D151" s="27">
        <v>3.96</v>
      </c>
      <c r="E151" s="27"/>
      <c r="F151" s="27">
        <v>4.58</v>
      </c>
      <c r="G151" s="27"/>
      <c r="H151" s="27">
        <v>4.99</v>
      </c>
      <c r="I151" s="27"/>
      <c r="J151" s="27">
        <f>(('ECOLES INTERVENTION'!$D151+'ECOLES INTERVENTION'!$F151+'ECOLES INTERVENTION'!$H151)/3)</f>
        <v>4.51</v>
      </c>
      <c r="K151" s="28"/>
      <c r="L151" s="28" t="s">
        <v>32</v>
      </c>
      <c r="M151" s="30">
        <v>1.0</v>
      </c>
      <c r="N151" s="26"/>
      <c r="O151" s="26"/>
      <c r="P151" s="26"/>
    </row>
    <row r="152" ht="14.25" customHeight="1">
      <c r="A152" s="18">
        <v>3.0</v>
      </c>
      <c r="B152" s="19" t="s">
        <v>167</v>
      </c>
      <c r="C152" s="20"/>
      <c r="D152" s="27">
        <v>5.2</v>
      </c>
      <c r="E152" s="27"/>
      <c r="F152" s="27">
        <v>5.14</v>
      </c>
      <c r="G152" s="27"/>
      <c r="H152" s="27">
        <v>5.25</v>
      </c>
      <c r="I152" s="27"/>
      <c r="J152" s="27">
        <f>(('ECOLES INTERVENTION'!$D152+'ECOLES INTERVENTION'!$F152+'ECOLES INTERVENTION'!$H152)/3)</f>
        <v>5.196666667</v>
      </c>
      <c r="K152" s="28"/>
      <c r="L152" s="28" t="s">
        <v>168</v>
      </c>
      <c r="M152" s="30">
        <v>1.0</v>
      </c>
      <c r="N152" s="26"/>
      <c r="O152" s="26"/>
      <c r="P152" s="26"/>
    </row>
    <row r="153" ht="14.25" customHeight="1">
      <c r="A153" s="18">
        <v>4.0</v>
      </c>
      <c r="B153" s="33" t="s">
        <v>169</v>
      </c>
      <c r="C153" s="32"/>
      <c r="D153" s="27">
        <v>4.68</v>
      </c>
      <c r="E153" s="27"/>
      <c r="F153" s="27">
        <v>4.46</v>
      </c>
      <c r="G153" s="27"/>
      <c r="H153" s="27">
        <v>4.91</v>
      </c>
      <c r="I153" s="27"/>
      <c r="J153" s="27">
        <f>(('ECOLES INTERVENTION'!$D153+'ECOLES INTERVENTION'!$F153+'ECOLES INTERVENTION'!$H153)/3)</f>
        <v>4.683333333</v>
      </c>
      <c r="K153" s="28"/>
      <c r="L153" s="28" t="s">
        <v>32</v>
      </c>
      <c r="M153" s="30">
        <v>1.0</v>
      </c>
      <c r="N153" s="26"/>
      <c r="O153" s="26"/>
      <c r="P153" s="26"/>
    </row>
    <row r="154" ht="14.25" customHeight="1">
      <c r="A154" s="18">
        <v>5.0</v>
      </c>
      <c r="B154" s="19" t="s">
        <v>170</v>
      </c>
      <c r="C154" s="20"/>
      <c r="D154" s="27">
        <v>6.65</v>
      </c>
      <c r="E154" s="27"/>
      <c r="F154" s="27">
        <v>7.0</v>
      </c>
      <c r="G154" s="27"/>
      <c r="H154" s="27">
        <v>7.32</v>
      </c>
      <c r="I154" s="27"/>
      <c r="J154" s="27">
        <f>(('ECOLES INTERVENTION'!$D154+'ECOLES INTERVENTION'!$F154+'ECOLES INTERVENTION'!$H154)/3)</f>
        <v>6.99</v>
      </c>
      <c r="K154" s="28"/>
      <c r="L154" s="28" t="s">
        <v>168</v>
      </c>
      <c r="M154" s="30">
        <v>1.0</v>
      </c>
      <c r="N154" s="26"/>
      <c r="O154" s="26"/>
      <c r="P154" s="26"/>
    </row>
    <row r="155" ht="14.25" customHeight="1">
      <c r="A155" s="18">
        <v>6.0</v>
      </c>
      <c r="B155" s="19" t="s">
        <v>171</v>
      </c>
      <c r="C155" s="20"/>
      <c r="D155" s="27">
        <v>5.81</v>
      </c>
      <c r="E155" s="27"/>
      <c r="F155" s="27">
        <v>5.85</v>
      </c>
      <c r="G155" s="27"/>
      <c r="H155" s="27">
        <v>6.0</v>
      </c>
      <c r="I155" s="27"/>
      <c r="J155" s="27">
        <f>(('ECOLES INTERVENTION'!$D155+'ECOLES INTERVENTION'!$F155+'ECOLES INTERVENTION'!$H155)/3)</f>
        <v>5.886666667</v>
      </c>
      <c r="K155" s="28"/>
      <c r="L155" s="28" t="s">
        <v>32</v>
      </c>
      <c r="M155" s="30">
        <v>1.0</v>
      </c>
      <c r="N155" s="26"/>
      <c r="O155" s="26"/>
      <c r="P155" s="26"/>
    </row>
    <row r="156" ht="14.25" customHeight="1">
      <c r="A156" s="18">
        <v>7.0</v>
      </c>
      <c r="B156" s="19" t="s">
        <v>172</v>
      </c>
      <c r="C156" s="20"/>
      <c r="D156" s="27">
        <v>4.67</v>
      </c>
      <c r="E156" s="27"/>
      <c r="F156" s="27">
        <v>4.6</v>
      </c>
      <c r="G156" s="27"/>
      <c r="H156" s="27">
        <v>4.75</v>
      </c>
      <c r="I156" s="27"/>
      <c r="J156" s="27">
        <f>(('ECOLES INTERVENTION'!$D156+'ECOLES INTERVENTION'!$F156+'ECOLES INTERVENTION'!$H156)/3)</f>
        <v>4.673333333</v>
      </c>
      <c r="K156" s="28"/>
      <c r="L156" s="28" t="s">
        <v>168</v>
      </c>
      <c r="M156" s="30">
        <v>1.0</v>
      </c>
      <c r="N156" s="26"/>
      <c r="O156" s="26"/>
      <c r="P156" s="26"/>
    </row>
    <row r="157" ht="14.25" customHeight="1">
      <c r="A157" s="18">
        <v>8.0</v>
      </c>
      <c r="B157" s="33" t="s">
        <v>173</v>
      </c>
      <c r="C157" s="32"/>
      <c r="D157" s="27">
        <v>3.58</v>
      </c>
      <c r="E157" s="27"/>
      <c r="F157" s="27">
        <v>5.05</v>
      </c>
      <c r="G157" s="27"/>
      <c r="H157" s="27">
        <v>5.97</v>
      </c>
      <c r="I157" s="27"/>
      <c r="J157" s="27">
        <f>(('ECOLES INTERVENTION'!$D157+'ECOLES INTERVENTION'!$F157+'ECOLES INTERVENTION'!$H157)/3)</f>
        <v>4.866666667</v>
      </c>
      <c r="K157" s="28"/>
      <c r="L157" s="28" t="s">
        <v>32</v>
      </c>
      <c r="M157" s="30">
        <v>1.0</v>
      </c>
      <c r="N157" s="26"/>
      <c r="O157" s="26"/>
      <c r="P157" s="26"/>
    </row>
    <row r="158" ht="14.25" customHeight="1">
      <c r="A158" s="18">
        <v>9.0</v>
      </c>
      <c r="B158" s="33" t="s">
        <v>174</v>
      </c>
      <c r="C158" s="32"/>
      <c r="D158" s="27">
        <v>7.7</v>
      </c>
      <c r="E158" s="27"/>
      <c r="F158" s="27">
        <v>7.78</v>
      </c>
      <c r="G158" s="27"/>
      <c r="H158" s="27">
        <v>7.64</v>
      </c>
      <c r="I158" s="27"/>
      <c r="J158" s="27">
        <f>(('ECOLES INTERVENTION'!$D158+'ECOLES INTERVENTION'!$F158+'ECOLES INTERVENTION'!$H158)/3)</f>
        <v>7.706666667</v>
      </c>
      <c r="K158" s="28"/>
      <c r="L158" s="28" t="s">
        <v>32</v>
      </c>
      <c r="M158" s="30">
        <v>1.0</v>
      </c>
      <c r="N158" s="26"/>
      <c r="O158" s="26"/>
      <c r="P158" s="26"/>
    </row>
    <row r="159" ht="14.25" customHeight="1">
      <c r="A159" s="18">
        <v>10.0</v>
      </c>
      <c r="B159" s="19" t="s">
        <v>175</v>
      </c>
      <c r="C159" s="20"/>
      <c r="D159" s="27">
        <v>6.9</v>
      </c>
      <c r="E159" s="27"/>
      <c r="F159" s="27">
        <v>6.89</v>
      </c>
      <c r="G159" s="27"/>
      <c r="H159" s="27">
        <v>6.89</v>
      </c>
      <c r="I159" s="27"/>
      <c r="J159" s="27">
        <f>(('ECOLES INTERVENTION'!$D159+'ECOLES INTERVENTION'!$F159+'ECOLES INTERVENTION'!$H159)/3)</f>
        <v>6.893333333</v>
      </c>
      <c r="K159" s="28"/>
      <c r="L159" s="28" t="s">
        <v>32</v>
      </c>
      <c r="M159" s="30">
        <v>1.0</v>
      </c>
      <c r="N159" s="26"/>
      <c r="O159" s="26"/>
      <c r="P159" s="26"/>
    </row>
    <row r="160" ht="14.25" customHeight="1">
      <c r="A160" s="18">
        <v>11.0</v>
      </c>
      <c r="B160" s="33" t="s">
        <v>176</v>
      </c>
      <c r="C160" s="32"/>
      <c r="D160" s="27">
        <v>3.99</v>
      </c>
      <c r="E160" s="27"/>
      <c r="F160" s="27">
        <v>5.0</v>
      </c>
      <c r="G160" s="27"/>
      <c r="H160" s="27">
        <v>5.28</v>
      </c>
      <c r="I160" s="27"/>
      <c r="J160" s="27">
        <f>(('ECOLES INTERVENTION'!$D160+'ECOLES INTERVENTION'!$F160+'ECOLES INTERVENTION'!$H160)/3)</f>
        <v>4.756666667</v>
      </c>
      <c r="K160" s="28"/>
      <c r="L160" s="28" t="s">
        <v>32</v>
      </c>
      <c r="M160" s="30">
        <v>1.0</v>
      </c>
      <c r="N160" s="26"/>
      <c r="O160" s="26"/>
      <c r="P160" s="26"/>
    </row>
    <row r="161" ht="14.25" customHeight="1">
      <c r="A161" s="18">
        <v>12.0</v>
      </c>
      <c r="B161" s="33" t="s">
        <v>177</v>
      </c>
      <c r="C161" s="32"/>
      <c r="D161" s="27">
        <v>4.69</v>
      </c>
      <c r="E161" s="27"/>
      <c r="F161" s="27">
        <v>4.46</v>
      </c>
      <c r="G161" s="27"/>
      <c r="H161" s="27">
        <v>4.92</v>
      </c>
      <c r="I161" s="27"/>
      <c r="J161" s="27">
        <f>(('ECOLES INTERVENTION'!$D161+'ECOLES INTERVENTION'!$F161+'ECOLES INTERVENTION'!$H161)/3)</f>
        <v>4.69</v>
      </c>
      <c r="K161" s="28"/>
      <c r="L161" s="28" t="s">
        <v>32</v>
      </c>
      <c r="M161" s="30">
        <v>1.0</v>
      </c>
      <c r="N161" s="26"/>
      <c r="O161" s="26"/>
      <c r="P161" s="26"/>
    </row>
    <row r="162" ht="14.25" customHeight="1">
      <c r="A162" s="18">
        <v>13.0</v>
      </c>
      <c r="B162" s="33" t="s">
        <v>178</v>
      </c>
      <c r="C162" s="32"/>
      <c r="D162" s="27">
        <v>5.35</v>
      </c>
      <c r="E162" s="27"/>
      <c r="F162" s="27">
        <v>4.17</v>
      </c>
      <c r="G162" s="27"/>
      <c r="H162" s="27">
        <v>4.82</v>
      </c>
      <c r="I162" s="27"/>
      <c r="J162" s="27">
        <f>(('ECOLES INTERVENTION'!$D162+'ECOLES INTERVENTION'!$F162+'ECOLES INTERVENTION'!$H162)/3)</f>
        <v>4.78</v>
      </c>
      <c r="K162" s="28"/>
      <c r="L162" s="28" t="s">
        <v>32</v>
      </c>
      <c r="M162" s="30">
        <v>1.0</v>
      </c>
      <c r="N162" s="26"/>
      <c r="O162" s="26"/>
      <c r="P162" s="26"/>
    </row>
    <row r="163" ht="14.25" customHeight="1">
      <c r="A163" s="18">
        <v>14.0</v>
      </c>
      <c r="B163" s="33" t="s">
        <v>179</v>
      </c>
      <c r="C163" s="32"/>
      <c r="D163" s="27">
        <v>3.15</v>
      </c>
      <c r="E163" s="27"/>
      <c r="F163" s="27">
        <v>5.18</v>
      </c>
      <c r="G163" s="27"/>
      <c r="H163" s="27">
        <v>5.54</v>
      </c>
      <c r="I163" s="27"/>
      <c r="J163" s="27">
        <f>(('ECOLES INTERVENTION'!$D163+'ECOLES INTERVENTION'!$F163+'ECOLES INTERVENTION'!$H163)/3)</f>
        <v>4.623333333</v>
      </c>
      <c r="K163" s="28"/>
      <c r="L163" s="28" t="s">
        <v>32</v>
      </c>
      <c r="M163" s="30">
        <v>1.0</v>
      </c>
      <c r="N163" s="26"/>
      <c r="O163" s="26"/>
      <c r="P163" s="26"/>
    </row>
    <row r="164" ht="14.25" customHeight="1">
      <c r="A164" s="18">
        <v>15.0</v>
      </c>
      <c r="B164" s="19" t="s">
        <v>180</v>
      </c>
      <c r="C164" s="20"/>
      <c r="D164" s="27">
        <v>5.33</v>
      </c>
      <c r="E164" s="27"/>
      <c r="F164" s="27">
        <v>6.0</v>
      </c>
      <c r="G164" s="27"/>
      <c r="H164" s="27">
        <v>6.28</v>
      </c>
      <c r="I164" s="27"/>
      <c r="J164" s="27">
        <f>(('ECOLES INTERVENTION'!$D164+'ECOLES INTERVENTION'!$F164+'ECOLES INTERVENTION'!$H164)/3)</f>
        <v>5.87</v>
      </c>
      <c r="K164" s="28"/>
      <c r="L164" s="28" t="s">
        <v>32</v>
      </c>
      <c r="M164" s="30">
        <v>1.0</v>
      </c>
      <c r="N164" s="26"/>
      <c r="O164" s="26"/>
      <c r="P164" s="26"/>
    </row>
    <row r="165" ht="14.25" customHeight="1">
      <c r="A165" s="18">
        <v>16.0</v>
      </c>
      <c r="B165" s="19" t="s">
        <v>181</v>
      </c>
      <c r="C165" s="20"/>
      <c r="D165" s="27">
        <v>4.66</v>
      </c>
      <c r="E165" s="27"/>
      <c r="F165" s="27">
        <v>4.25</v>
      </c>
      <c r="G165" s="27"/>
      <c r="H165" s="27">
        <v>5.07</v>
      </c>
      <c r="I165" s="27"/>
      <c r="J165" s="27">
        <f>(('ECOLES INTERVENTION'!$D165+'ECOLES INTERVENTION'!$F165+'ECOLES INTERVENTION'!$H165)/3)</f>
        <v>4.66</v>
      </c>
      <c r="K165" s="28"/>
      <c r="L165" s="28" t="s">
        <v>32</v>
      </c>
      <c r="M165" s="30">
        <v>1.0</v>
      </c>
      <c r="N165" s="26"/>
      <c r="O165" s="26"/>
      <c r="P165" s="26"/>
    </row>
    <row r="166" ht="14.25" customHeight="1">
      <c r="A166" s="18">
        <v>17.0</v>
      </c>
      <c r="B166" s="33" t="s">
        <v>182</v>
      </c>
      <c r="C166" s="32"/>
      <c r="D166" s="27">
        <v>6.02</v>
      </c>
      <c r="E166" s="27"/>
      <c r="F166" s="27">
        <v>6.17</v>
      </c>
      <c r="G166" s="27"/>
      <c r="H166" s="27">
        <v>7.0</v>
      </c>
      <c r="I166" s="27"/>
      <c r="J166" s="27">
        <f>(('ECOLES INTERVENTION'!$D166+'ECOLES INTERVENTION'!$F166+'ECOLES INTERVENTION'!$H166)/3)</f>
        <v>6.396666667</v>
      </c>
      <c r="K166" s="28"/>
      <c r="L166" s="28" t="s">
        <v>32</v>
      </c>
      <c r="M166" s="30">
        <v>1.0</v>
      </c>
      <c r="N166" s="26"/>
      <c r="O166" s="26"/>
      <c r="P166" s="26"/>
    </row>
    <row r="167" ht="14.25" customHeight="1">
      <c r="A167" s="18">
        <v>18.0</v>
      </c>
      <c r="B167" s="33" t="s">
        <v>183</v>
      </c>
      <c r="C167" s="32"/>
      <c r="D167" s="27">
        <v>4.78</v>
      </c>
      <c r="E167" s="27"/>
      <c r="F167" s="27">
        <v>5.39</v>
      </c>
      <c r="G167" s="27"/>
      <c r="H167" s="27">
        <v>6.0</v>
      </c>
      <c r="I167" s="27"/>
      <c r="J167" s="27">
        <f>(('ECOLES INTERVENTION'!$D167+'ECOLES INTERVENTION'!$F167+'ECOLES INTERVENTION'!$H167)/3)</f>
        <v>5.39</v>
      </c>
      <c r="K167" s="28"/>
      <c r="L167" s="28" t="s">
        <v>32</v>
      </c>
      <c r="M167" s="30">
        <v>1.0</v>
      </c>
      <c r="N167" s="26"/>
      <c r="O167" s="26"/>
      <c r="P167" s="26"/>
    </row>
    <row r="168" ht="14.25" customHeight="1">
      <c r="A168" s="8"/>
      <c r="B168" s="63"/>
      <c r="C168" s="46"/>
      <c r="D168" s="36"/>
      <c r="E168" s="36"/>
      <c r="F168" s="36"/>
      <c r="G168" s="36"/>
      <c r="H168" s="36"/>
      <c r="I168" s="36"/>
      <c r="J168" s="36"/>
      <c r="K168" s="37"/>
      <c r="L168" s="37"/>
      <c r="M168" s="25">
        <f t="shared" ref="M168:N168" si="6">SUM(M150:M167)</f>
        <v>18</v>
      </c>
      <c r="N168" s="26">
        <f t="shared" si="6"/>
        <v>0</v>
      </c>
      <c r="O168" s="26"/>
      <c r="P168" s="26"/>
    </row>
    <row r="169" ht="14.25" customHeight="1">
      <c r="A169" s="50"/>
      <c r="B169" s="64"/>
      <c r="C169" s="60"/>
      <c r="D169" s="53"/>
      <c r="E169" s="53"/>
      <c r="F169" s="53"/>
      <c r="G169" s="53"/>
      <c r="H169" s="53"/>
      <c r="I169" s="53"/>
      <c r="J169" s="53"/>
      <c r="K169" s="53"/>
      <c r="L169" s="53"/>
      <c r="M169" s="65">
        <f>M168/A167</f>
        <v>1</v>
      </c>
      <c r="N169" s="56"/>
      <c r="O169" s="56"/>
      <c r="P169" s="56"/>
    </row>
    <row r="170" ht="14.25" customHeight="1">
      <c r="A170" s="50" t="s">
        <v>184</v>
      </c>
      <c r="B170" s="58"/>
      <c r="C170" s="57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6"/>
      <c r="O170" s="56"/>
      <c r="P170" s="56"/>
    </row>
    <row r="171" ht="14.25" customHeight="1">
      <c r="A171" s="18">
        <v>1.0</v>
      </c>
      <c r="B171" s="33" t="s">
        <v>185</v>
      </c>
      <c r="C171" s="20"/>
      <c r="D171" s="22">
        <v>3.33</v>
      </c>
      <c r="E171" s="27"/>
      <c r="F171" s="27">
        <v>4.93</v>
      </c>
      <c r="G171" s="27"/>
      <c r="H171" s="27">
        <v>5.52</v>
      </c>
      <c r="I171" s="27"/>
      <c r="J171" s="27">
        <f>(('ECOLES INTERVENTION'!$D171+'ECOLES INTERVENTION'!$F171+'ECOLES INTERVENTION'!$H171)/3)</f>
        <v>4.593333333</v>
      </c>
      <c r="K171" s="28"/>
      <c r="L171" s="28" t="s">
        <v>32</v>
      </c>
      <c r="M171" s="30">
        <v>1.0</v>
      </c>
      <c r="N171" s="26"/>
      <c r="O171" s="26"/>
      <c r="P171" s="26"/>
    </row>
    <row r="172" ht="14.25" customHeight="1">
      <c r="A172" s="18">
        <v>2.0</v>
      </c>
      <c r="B172" s="19" t="s">
        <v>186</v>
      </c>
      <c r="C172" s="20"/>
      <c r="D172" s="27">
        <v>6.51</v>
      </c>
      <c r="E172" s="27"/>
      <c r="F172" s="27">
        <v>7.0</v>
      </c>
      <c r="G172" s="27"/>
      <c r="H172" s="27">
        <v>7.25</v>
      </c>
      <c r="I172" s="27"/>
      <c r="J172" s="27">
        <f>(('ECOLES INTERVENTION'!$D172+'ECOLES INTERVENTION'!$F172+'ECOLES INTERVENTION'!$H172)/3)</f>
        <v>6.92</v>
      </c>
      <c r="K172" s="28"/>
      <c r="L172" s="28" t="s">
        <v>32</v>
      </c>
      <c r="M172" s="30">
        <v>1.0</v>
      </c>
      <c r="N172" s="26"/>
      <c r="O172" s="26"/>
      <c r="P172" s="26"/>
    </row>
    <row r="173" ht="14.25" customHeight="1">
      <c r="A173" s="18">
        <v>3.0</v>
      </c>
      <c r="B173" s="19" t="s">
        <v>87</v>
      </c>
      <c r="C173" s="20"/>
      <c r="D173" s="27">
        <v>2.58</v>
      </c>
      <c r="E173" s="27"/>
      <c r="F173" s="27">
        <v>6.03</v>
      </c>
      <c r="G173" s="27"/>
      <c r="H173" s="27">
        <v>6.33</v>
      </c>
      <c r="I173" s="27"/>
      <c r="J173" s="27">
        <f>(('ECOLES INTERVENTION'!$D173+'ECOLES INTERVENTION'!$F173+'ECOLES INTERVENTION'!$H173)/3)</f>
        <v>4.98</v>
      </c>
      <c r="K173" s="28"/>
      <c r="L173" s="28" t="s">
        <v>32</v>
      </c>
      <c r="M173" s="30">
        <v>1.0</v>
      </c>
      <c r="N173" s="26"/>
      <c r="O173" s="26"/>
      <c r="P173" s="26"/>
    </row>
    <row r="174" ht="14.25" customHeight="1">
      <c r="A174" s="18">
        <v>4.0</v>
      </c>
      <c r="B174" s="19" t="s">
        <v>187</v>
      </c>
      <c r="C174" s="20"/>
      <c r="D174" s="27">
        <v>2.41</v>
      </c>
      <c r="E174" s="27"/>
      <c r="F174" s="27">
        <v>5.89</v>
      </c>
      <c r="G174" s="27"/>
      <c r="H174" s="27">
        <v>6.61</v>
      </c>
      <c r="I174" s="27"/>
      <c r="J174" s="27">
        <f>(('ECOLES INTERVENTION'!$D174+'ECOLES INTERVENTION'!$F174+'ECOLES INTERVENTION'!$H174)/3)</f>
        <v>4.97</v>
      </c>
      <c r="K174" s="28"/>
      <c r="L174" s="28" t="s">
        <v>32</v>
      </c>
      <c r="M174" s="30">
        <v>1.0</v>
      </c>
      <c r="N174" s="26"/>
      <c r="O174" s="26"/>
      <c r="P174" s="26"/>
    </row>
    <row r="175" ht="14.25" customHeight="1">
      <c r="A175" s="18">
        <v>5.0</v>
      </c>
      <c r="B175" s="19" t="s">
        <v>188</v>
      </c>
      <c r="C175" s="20"/>
      <c r="D175" s="27">
        <v>4.2</v>
      </c>
      <c r="E175" s="27"/>
      <c r="F175" s="27">
        <v>6.5</v>
      </c>
      <c r="G175" s="27"/>
      <c r="H175" s="27">
        <v>6.96</v>
      </c>
      <c r="I175" s="27"/>
      <c r="J175" s="27">
        <f>(('ECOLES INTERVENTION'!$D175+'ECOLES INTERVENTION'!$F175+'ECOLES INTERVENTION'!$H175)/3)</f>
        <v>5.886666667</v>
      </c>
      <c r="K175" s="28"/>
      <c r="L175" s="28" t="s">
        <v>32</v>
      </c>
      <c r="M175" s="30">
        <v>1.0</v>
      </c>
      <c r="N175" s="26"/>
      <c r="O175" s="26"/>
      <c r="P175" s="26"/>
    </row>
    <row r="176" ht="14.25" customHeight="1">
      <c r="A176" s="18">
        <v>6.0</v>
      </c>
      <c r="B176" s="19" t="s">
        <v>189</v>
      </c>
      <c r="C176" s="20"/>
      <c r="D176" s="27">
        <v>5.87</v>
      </c>
      <c r="E176" s="27"/>
      <c r="F176" s="27">
        <v>7.25</v>
      </c>
      <c r="G176" s="27"/>
      <c r="H176" s="27">
        <v>8.5</v>
      </c>
      <c r="I176" s="27"/>
      <c r="J176" s="27">
        <f>(('ECOLES INTERVENTION'!$D176+'ECOLES INTERVENTION'!$F176+'ECOLES INTERVENTION'!$H176)/3)</f>
        <v>7.206666667</v>
      </c>
      <c r="K176" s="28"/>
      <c r="L176" s="28" t="s">
        <v>32</v>
      </c>
      <c r="M176" s="30">
        <v>1.0</v>
      </c>
      <c r="N176" s="26"/>
      <c r="O176" s="26"/>
      <c r="P176" s="26"/>
    </row>
    <row r="177" ht="14.25" customHeight="1">
      <c r="A177" s="18">
        <v>7.0</v>
      </c>
      <c r="B177" s="33" t="s">
        <v>190</v>
      </c>
      <c r="C177" s="32"/>
      <c r="D177" s="27">
        <v>7.79</v>
      </c>
      <c r="E177" s="27"/>
      <c r="F177" s="27">
        <v>6.21</v>
      </c>
      <c r="G177" s="27"/>
      <c r="H177" s="27">
        <v>6.34</v>
      </c>
      <c r="I177" s="27"/>
      <c r="J177" s="27">
        <f>(('ECOLES INTERVENTION'!$D177+'ECOLES INTERVENTION'!$F177+'ECOLES INTERVENTION'!$H177)/3)</f>
        <v>6.78</v>
      </c>
      <c r="K177" s="28"/>
      <c r="L177" s="28" t="s">
        <v>32</v>
      </c>
      <c r="M177" s="30">
        <v>1.0</v>
      </c>
      <c r="N177" s="26"/>
      <c r="O177" s="26"/>
      <c r="P177" s="26"/>
    </row>
    <row r="178" ht="14.25" customHeight="1">
      <c r="A178" s="18">
        <v>8.0</v>
      </c>
      <c r="B178" s="33" t="s">
        <v>191</v>
      </c>
      <c r="C178" s="32"/>
      <c r="D178" s="27">
        <v>3.45</v>
      </c>
      <c r="E178" s="27"/>
      <c r="F178" s="27">
        <v>5.42</v>
      </c>
      <c r="G178" s="27"/>
      <c r="H178" s="27">
        <v>5.61</v>
      </c>
      <c r="I178" s="27"/>
      <c r="J178" s="27">
        <f>(('ECOLES INTERVENTION'!$D178+'ECOLES INTERVENTION'!$F178+'ECOLES INTERVENTION'!$H178)/3)</f>
        <v>4.826666667</v>
      </c>
      <c r="K178" s="28"/>
      <c r="L178" s="28" t="s">
        <v>32</v>
      </c>
      <c r="M178" s="30">
        <v>1.0</v>
      </c>
      <c r="N178" s="26"/>
      <c r="O178" s="26"/>
      <c r="P178" s="26"/>
    </row>
    <row r="179" ht="14.25" customHeight="1">
      <c r="A179" s="18">
        <v>9.0</v>
      </c>
      <c r="B179" s="19" t="s">
        <v>192</v>
      </c>
      <c r="C179" s="20"/>
      <c r="D179" s="27">
        <v>3.83</v>
      </c>
      <c r="E179" s="27"/>
      <c r="F179" s="27">
        <v>6.89</v>
      </c>
      <c r="G179" s="27"/>
      <c r="H179" s="27">
        <v>7.0</v>
      </c>
      <c r="I179" s="27"/>
      <c r="J179" s="27">
        <f>(('ECOLES INTERVENTION'!$D179+'ECOLES INTERVENTION'!$F179+'ECOLES INTERVENTION'!$H179)/3)</f>
        <v>5.906666667</v>
      </c>
      <c r="K179" s="28"/>
      <c r="L179" s="28" t="s">
        <v>32</v>
      </c>
      <c r="M179" s="30">
        <v>1.0</v>
      </c>
      <c r="N179" s="26"/>
      <c r="O179" s="26"/>
      <c r="P179" s="26"/>
    </row>
    <row r="180" ht="14.25" customHeight="1">
      <c r="A180" s="18">
        <v>10.0</v>
      </c>
      <c r="B180" s="19" t="s">
        <v>193</v>
      </c>
      <c r="C180" s="20"/>
      <c r="D180" s="27">
        <v>3.66</v>
      </c>
      <c r="E180" s="27"/>
      <c r="F180" s="27">
        <v>6.25</v>
      </c>
      <c r="G180" s="27"/>
      <c r="H180" s="27">
        <v>6.5</v>
      </c>
      <c r="I180" s="27"/>
      <c r="J180" s="27">
        <f>(('ECOLES INTERVENTION'!$D180+'ECOLES INTERVENTION'!$F180+'ECOLES INTERVENTION'!$H180)/3)</f>
        <v>5.47</v>
      </c>
      <c r="K180" s="28"/>
      <c r="L180" s="28" t="s">
        <v>32</v>
      </c>
      <c r="M180" s="30">
        <v>1.0</v>
      </c>
      <c r="N180" s="26"/>
      <c r="O180" s="26"/>
      <c r="P180" s="26"/>
    </row>
    <row r="181" ht="14.25" customHeight="1">
      <c r="A181" s="18">
        <v>11.0</v>
      </c>
      <c r="B181" s="19" t="s">
        <v>194</v>
      </c>
      <c r="C181" s="20"/>
      <c r="D181" s="27">
        <v>2.77</v>
      </c>
      <c r="E181" s="27"/>
      <c r="F181" s="27">
        <v>5.14</v>
      </c>
      <c r="G181" s="27"/>
      <c r="H181" s="27">
        <v>5.63</v>
      </c>
      <c r="I181" s="27"/>
      <c r="J181" s="27">
        <f>(('ECOLES INTERVENTION'!$D181+'ECOLES INTERVENTION'!$F181+'ECOLES INTERVENTION'!$H181)/3)</f>
        <v>4.513333333</v>
      </c>
      <c r="K181" s="28"/>
      <c r="L181" s="28" t="s">
        <v>32</v>
      </c>
      <c r="M181" s="30">
        <v>1.0</v>
      </c>
      <c r="N181" s="26"/>
      <c r="O181" s="26"/>
      <c r="P181" s="26"/>
    </row>
    <row r="182" ht="14.25" customHeight="1">
      <c r="A182" s="18">
        <v>12.0</v>
      </c>
      <c r="B182" s="19" t="s">
        <v>195</v>
      </c>
      <c r="C182" s="20"/>
      <c r="D182" s="27">
        <v>4.41</v>
      </c>
      <c r="E182" s="27"/>
      <c r="F182" s="27">
        <v>4.75</v>
      </c>
      <c r="G182" s="27"/>
      <c r="H182" s="27">
        <v>5.79</v>
      </c>
      <c r="I182" s="27"/>
      <c r="J182" s="27">
        <f>(('ECOLES INTERVENTION'!$D182+'ECOLES INTERVENTION'!$F182+'ECOLES INTERVENTION'!$H182)/3)</f>
        <v>4.983333333</v>
      </c>
      <c r="K182" s="28"/>
      <c r="L182" s="28" t="s">
        <v>32</v>
      </c>
      <c r="M182" s="30">
        <v>1.0</v>
      </c>
      <c r="N182" s="26"/>
      <c r="O182" s="26"/>
      <c r="P182" s="26"/>
    </row>
    <row r="183" ht="14.25" customHeight="1">
      <c r="A183" s="18">
        <v>13.0</v>
      </c>
      <c r="B183" s="19" t="s">
        <v>196</v>
      </c>
      <c r="C183" s="20"/>
      <c r="D183" s="27">
        <v>3.95</v>
      </c>
      <c r="E183" s="27"/>
      <c r="F183" s="27">
        <v>5.21</v>
      </c>
      <c r="G183" s="27"/>
      <c r="H183" s="27">
        <v>5.66</v>
      </c>
      <c r="I183" s="27"/>
      <c r="J183" s="27">
        <f>(('ECOLES INTERVENTION'!$D183+'ECOLES INTERVENTION'!$F183+'ECOLES INTERVENTION'!$H183)/3)</f>
        <v>4.94</v>
      </c>
      <c r="K183" s="28"/>
      <c r="L183" s="28" t="s">
        <v>32</v>
      </c>
      <c r="M183" s="30">
        <v>1.0</v>
      </c>
      <c r="N183" s="26"/>
      <c r="O183" s="26"/>
      <c r="P183" s="26"/>
    </row>
    <row r="184" ht="14.25" customHeight="1">
      <c r="A184" s="18">
        <v>14.0</v>
      </c>
      <c r="B184" s="19" t="s">
        <v>197</v>
      </c>
      <c r="C184" s="20"/>
      <c r="D184" s="27">
        <v>1.47</v>
      </c>
      <c r="E184" s="27"/>
      <c r="F184" s="27">
        <v>4.35</v>
      </c>
      <c r="G184" s="27"/>
      <c r="H184" s="27">
        <v>4.5</v>
      </c>
      <c r="I184" s="27"/>
      <c r="J184" s="27">
        <f>(('ECOLES INTERVENTION'!$D184+'ECOLES INTERVENTION'!$F184+'ECOLES INTERVENTION'!$H184)/3)</f>
        <v>3.44</v>
      </c>
      <c r="K184" s="28"/>
      <c r="L184" s="28" t="s">
        <v>28</v>
      </c>
      <c r="M184" s="24"/>
      <c r="N184" s="29">
        <v>1.0</v>
      </c>
      <c r="O184" s="7"/>
      <c r="P184" s="7"/>
    </row>
    <row r="185" ht="14.25" customHeight="1">
      <c r="A185" s="18">
        <v>15.0</v>
      </c>
      <c r="B185" s="19" t="s">
        <v>198</v>
      </c>
      <c r="C185" s="20"/>
      <c r="D185" s="27">
        <v>4.08</v>
      </c>
      <c r="E185" s="27"/>
      <c r="F185" s="27">
        <v>6.0</v>
      </c>
      <c r="G185" s="27"/>
      <c r="H185" s="27">
        <v>5.86</v>
      </c>
      <c r="I185" s="27"/>
      <c r="J185" s="27">
        <f>(('ECOLES INTERVENTION'!$D185+'ECOLES INTERVENTION'!$F185+'ECOLES INTERVENTION'!$H185)/3)</f>
        <v>5.313333333</v>
      </c>
      <c r="K185" s="28"/>
      <c r="L185" s="28" t="s">
        <v>32</v>
      </c>
      <c r="M185" s="30">
        <v>1.0</v>
      </c>
      <c r="N185" s="26"/>
      <c r="O185" s="26"/>
      <c r="P185" s="26"/>
    </row>
    <row r="186" ht="14.25" customHeight="1">
      <c r="A186" s="18">
        <v>16.0</v>
      </c>
      <c r="B186" s="19" t="s">
        <v>199</v>
      </c>
      <c r="C186" s="20"/>
      <c r="D186" s="27">
        <v>5.0</v>
      </c>
      <c r="E186" s="27"/>
      <c r="F186" s="27">
        <v>4.21</v>
      </c>
      <c r="G186" s="27"/>
      <c r="H186" s="27">
        <v>4.47</v>
      </c>
      <c r="I186" s="27"/>
      <c r="J186" s="27">
        <f>(('ECOLES INTERVENTION'!$D186+'ECOLES INTERVENTION'!$F186+'ECOLES INTERVENTION'!$H186)/3)</f>
        <v>4.56</v>
      </c>
      <c r="K186" s="28"/>
      <c r="L186" s="28" t="s">
        <v>32</v>
      </c>
      <c r="M186" s="30">
        <v>1.0</v>
      </c>
      <c r="N186" s="26"/>
      <c r="O186" s="26"/>
      <c r="P186" s="26"/>
    </row>
    <row r="187" ht="14.25" customHeight="1">
      <c r="A187" s="18">
        <v>17.0</v>
      </c>
      <c r="B187" s="19" t="s">
        <v>200</v>
      </c>
      <c r="C187" s="20"/>
      <c r="D187" s="27">
        <v>3.5</v>
      </c>
      <c r="E187" s="27"/>
      <c r="F187" s="27">
        <v>5.89</v>
      </c>
      <c r="G187" s="27"/>
      <c r="H187" s="27">
        <v>6.91</v>
      </c>
      <c r="I187" s="27"/>
      <c r="J187" s="27">
        <f>(('ECOLES INTERVENTION'!$D187+'ECOLES INTERVENTION'!$F187+'ECOLES INTERVENTION'!$H187)/3)</f>
        <v>5.433333333</v>
      </c>
      <c r="K187" s="28"/>
      <c r="L187" s="28" t="s">
        <v>32</v>
      </c>
      <c r="M187" s="30">
        <v>1.0</v>
      </c>
      <c r="N187" s="26"/>
      <c r="O187" s="26"/>
      <c r="P187" s="26"/>
    </row>
    <row r="188" ht="14.25" customHeight="1">
      <c r="A188" s="18">
        <v>18.0</v>
      </c>
      <c r="B188" s="33" t="s">
        <v>201</v>
      </c>
      <c r="C188" s="32"/>
      <c r="D188" s="27">
        <v>4.25</v>
      </c>
      <c r="E188" s="27"/>
      <c r="F188" s="27">
        <v>5.64</v>
      </c>
      <c r="G188" s="27"/>
      <c r="H188" s="27">
        <v>5.72</v>
      </c>
      <c r="I188" s="27"/>
      <c r="J188" s="27">
        <f>(('ECOLES INTERVENTION'!$D188+'ECOLES INTERVENTION'!$F188+'ECOLES INTERVENTION'!$H188)/3)</f>
        <v>5.203333333</v>
      </c>
      <c r="K188" s="28"/>
      <c r="L188" s="28" t="s">
        <v>32</v>
      </c>
      <c r="M188" s="30">
        <v>1.0</v>
      </c>
      <c r="N188" s="26"/>
      <c r="O188" s="26"/>
      <c r="P188" s="26"/>
    </row>
    <row r="189" ht="14.25" customHeight="1">
      <c r="A189" s="18">
        <v>19.0</v>
      </c>
      <c r="B189" s="19" t="s">
        <v>202</v>
      </c>
      <c r="C189" s="20"/>
      <c r="D189" s="27">
        <v>2.91</v>
      </c>
      <c r="E189" s="27"/>
      <c r="F189" s="27">
        <v>5.25</v>
      </c>
      <c r="G189" s="27"/>
      <c r="H189" s="27">
        <v>5.51</v>
      </c>
      <c r="I189" s="27"/>
      <c r="J189" s="27">
        <f>(('ECOLES INTERVENTION'!$D189+'ECOLES INTERVENTION'!$F189+'ECOLES INTERVENTION'!$H189)/3)</f>
        <v>4.556666667</v>
      </c>
      <c r="K189" s="28"/>
      <c r="L189" s="28" t="s">
        <v>32</v>
      </c>
      <c r="M189" s="30">
        <v>1.0</v>
      </c>
      <c r="N189" s="26"/>
      <c r="O189" s="26"/>
      <c r="P189" s="26"/>
    </row>
    <row r="190" ht="14.25" customHeight="1">
      <c r="A190" s="18">
        <v>20.0</v>
      </c>
      <c r="B190" s="19" t="s">
        <v>203</v>
      </c>
      <c r="C190" s="20"/>
      <c r="D190" s="27">
        <v>4.5</v>
      </c>
      <c r="E190" s="27"/>
      <c r="F190" s="27">
        <v>6.0</v>
      </c>
      <c r="G190" s="27"/>
      <c r="H190" s="27">
        <v>6.0</v>
      </c>
      <c r="I190" s="27"/>
      <c r="J190" s="27">
        <f>(('ECOLES INTERVENTION'!$D190+'ECOLES INTERVENTION'!$F190+'ECOLES INTERVENTION'!$H190)/3)</f>
        <v>5.5</v>
      </c>
      <c r="K190" s="28"/>
      <c r="L190" s="28" t="s">
        <v>32</v>
      </c>
      <c r="M190" s="30">
        <v>1.0</v>
      </c>
      <c r="N190" s="26"/>
      <c r="O190" s="26"/>
      <c r="P190" s="26"/>
    </row>
    <row r="191" ht="14.25" customHeight="1">
      <c r="A191" s="18">
        <v>21.0</v>
      </c>
      <c r="B191" s="19" t="s">
        <v>204</v>
      </c>
      <c r="C191" s="20"/>
      <c r="D191" s="27">
        <v>3.01</v>
      </c>
      <c r="E191" s="27"/>
      <c r="F191" s="27">
        <v>5.03</v>
      </c>
      <c r="G191" s="27"/>
      <c r="H191" s="27">
        <v>5.52</v>
      </c>
      <c r="I191" s="27"/>
      <c r="J191" s="27">
        <f>(('ECOLES INTERVENTION'!$D191+'ECOLES INTERVENTION'!$F191+'ECOLES INTERVENTION'!$H191)/3)</f>
        <v>4.52</v>
      </c>
      <c r="K191" s="28"/>
      <c r="L191" s="28" t="s">
        <v>32</v>
      </c>
      <c r="M191" s="30">
        <v>1.0</v>
      </c>
      <c r="N191" s="26"/>
      <c r="O191" s="26"/>
      <c r="P191" s="26"/>
    </row>
    <row r="192" ht="14.25" customHeight="1">
      <c r="A192" s="18">
        <v>22.0</v>
      </c>
      <c r="B192" s="19" t="s">
        <v>205</v>
      </c>
      <c r="C192" s="20"/>
      <c r="D192" s="27">
        <v>1.42</v>
      </c>
      <c r="E192" s="27"/>
      <c r="F192" s="27">
        <v>1.73</v>
      </c>
      <c r="G192" s="27"/>
      <c r="H192" s="27">
        <v>2.82</v>
      </c>
      <c r="I192" s="27"/>
      <c r="J192" s="27">
        <f>(('ECOLES INTERVENTION'!$D192+'ECOLES INTERVENTION'!$F192+'ECOLES INTERVENTION'!$H192)/3)</f>
        <v>1.99</v>
      </c>
      <c r="K192" s="28"/>
      <c r="L192" s="28" t="s">
        <v>28</v>
      </c>
      <c r="M192" s="30"/>
      <c r="N192" s="29">
        <v>1.0</v>
      </c>
      <c r="O192" s="7"/>
      <c r="P192" s="7"/>
    </row>
    <row r="193" ht="14.25" customHeight="1">
      <c r="A193" s="18">
        <v>23.0</v>
      </c>
      <c r="B193" s="19" t="s">
        <v>206</v>
      </c>
      <c r="C193" s="20"/>
      <c r="D193" s="27">
        <v>5.41</v>
      </c>
      <c r="E193" s="27"/>
      <c r="F193" s="27">
        <v>5.46</v>
      </c>
      <c r="G193" s="27"/>
      <c r="H193" s="27">
        <v>5.96</v>
      </c>
      <c r="I193" s="27"/>
      <c r="J193" s="27">
        <f>(('ECOLES INTERVENTION'!$D193+'ECOLES INTERVENTION'!$F193+'ECOLES INTERVENTION'!$H193)/3)</f>
        <v>5.61</v>
      </c>
      <c r="K193" s="28"/>
      <c r="L193" s="28" t="s">
        <v>32</v>
      </c>
      <c r="M193" s="30">
        <v>1.0</v>
      </c>
      <c r="N193" s="26"/>
      <c r="O193" s="26"/>
      <c r="P193" s="26"/>
    </row>
    <row r="194" ht="14.25" customHeight="1">
      <c r="A194" s="18">
        <v>24.0</v>
      </c>
      <c r="B194" s="19" t="s">
        <v>207</v>
      </c>
      <c r="C194" s="20"/>
      <c r="D194" s="27">
        <v>4.0</v>
      </c>
      <c r="E194" s="27"/>
      <c r="F194" s="27">
        <v>4.88</v>
      </c>
      <c r="G194" s="27"/>
      <c r="H194" s="27">
        <v>6.07</v>
      </c>
      <c r="I194" s="27"/>
      <c r="J194" s="27">
        <f>(('ECOLES INTERVENTION'!$D194+'ECOLES INTERVENTION'!$F194+'ECOLES INTERVENTION'!$H194)/3)</f>
        <v>4.983333333</v>
      </c>
      <c r="K194" s="28"/>
      <c r="L194" s="28" t="s">
        <v>32</v>
      </c>
      <c r="M194" s="30">
        <v>1.0</v>
      </c>
      <c r="N194" s="26"/>
      <c r="O194" s="26"/>
      <c r="P194" s="26"/>
    </row>
    <row r="195" ht="14.25" customHeight="1">
      <c r="A195" s="18">
        <v>25.0</v>
      </c>
      <c r="B195" s="19" t="s">
        <v>208</v>
      </c>
      <c r="C195" s="20"/>
      <c r="D195" s="27">
        <v>6.1</v>
      </c>
      <c r="E195" s="27"/>
      <c r="F195" s="27">
        <v>5.21</v>
      </c>
      <c r="G195" s="27"/>
      <c r="H195" s="27">
        <v>5.97</v>
      </c>
      <c r="I195" s="27"/>
      <c r="J195" s="27">
        <f>(('ECOLES INTERVENTION'!$D195+'ECOLES INTERVENTION'!$F195+'ECOLES INTERVENTION'!$H195)/3)</f>
        <v>5.76</v>
      </c>
      <c r="K195" s="28"/>
      <c r="L195" s="28" t="s">
        <v>32</v>
      </c>
      <c r="M195" s="30">
        <v>1.0</v>
      </c>
      <c r="N195" s="26"/>
      <c r="O195" s="26"/>
      <c r="P195" s="26"/>
    </row>
    <row r="196" ht="14.25" customHeight="1">
      <c r="A196" s="18">
        <v>26.0</v>
      </c>
      <c r="B196" s="19" t="s">
        <v>209</v>
      </c>
      <c r="C196" s="20"/>
      <c r="D196" s="27">
        <v>3.75</v>
      </c>
      <c r="E196" s="27"/>
      <c r="F196" s="27">
        <v>6.32</v>
      </c>
      <c r="G196" s="27"/>
      <c r="H196" s="27">
        <v>7.01</v>
      </c>
      <c r="I196" s="27"/>
      <c r="J196" s="27">
        <f>(('ECOLES INTERVENTION'!$D196+'ECOLES INTERVENTION'!$F196+'ECOLES INTERVENTION'!$H196)/3)</f>
        <v>5.693333333</v>
      </c>
      <c r="K196" s="28"/>
      <c r="L196" s="28" t="s">
        <v>32</v>
      </c>
      <c r="M196" s="30">
        <v>1.0</v>
      </c>
      <c r="N196" s="26"/>
      <c r="O196" s="26"/>
      <c r="P196" s="26"/>
    </row>
    <row r="197" ht="14.25" customHeight="1">
      <c r="A197" s="8"/>
      <c r="B197" s="34"/>
      <c r="C197" s="35"/>
      <c r="D197" s="36"/>
      <c r="E197" s="36"/>
      <c r="F197" s="36"/>
      <c r="G197" s="36"/>
      <c r="H197" s="36"/>
      <c r="I197" s="36"/>
      <c r="J197" s="36"/>
      <c r="K197" s="37"/>
      <c r="L197" s="37"/>
      <c r="M197" s="25">
        <f t="shared" ref="M197:N197" si="7">SUM(M171:M196)</f>
        <v>24</v>
      </c>
      <c r="N197" s="26">
        <f t="shared" si="7"/>
        <v>2</v>
      </c>
      <c r="O197" s="26"/>
      <c r="P197" s="26"/>
    </row>
    <row r="198" ht="14.25" customHeight="1">
      <c r="A198" s="50"/>
      <c r="B198" s="61"/>
      <c r="C198" s="61"/>
      <c r="D198" s="53"/>
      <c r="E198" s="53"/>
      <c r="F198" s="53"/>
      <c r="G198" s="53"/>
      <c r="H198" s="53"/>
      <c r="I198" s="53"/>
      <c r="J198" s="53"/>
      <c r="K198" s="53"/>
      <c r="L198" s="53"/>
      <c r="M198" s="54">
        <f>M197/A196</f>
        <v>0.9230769231</v>
      </c>
      <c r="N198" s="55">
        <f>N197/A196</f>
        <v>0.07692307692</v>
      </c>
      <c r="O198" s="56"/>
      <c r="P198" s="56"/>
    </row>
    <row r="199" ht="14.25" customHeight="1">
      <c r="A199" s="50" t="s">
        <v>210</v>
      </c>
      <c r="B199" s="58"/>
      <c r="C199" s="58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6"/>
      <c r="O199" s="56"/>
      <c r="P199" s="56"/>
    </row>
    <row r="200" ht="14.25" customHeight="1">
      <c r="A200" s="18">
        <v>1.0</v>
      </c>
      <c r="B200" s="19" t="s">
        <v>211</v>
      </c>
      <c r="C200" s="20"/>
      <c r="D200" s="27">
        <v>5.14</v>
      </c>
      <c r="E200" s="27"/>
      <c r="F200" s="27">
        <v>6.77</v>
      </c>
      <c r="G200" s="27"/>
      <c r="H200" s="27" t="s">
        <v>212</v>
      </c>
      <c r="I200" s="27"/>
      <c r="J200" s="27">
        <f>(('ECOLES INTERVENTION'!$D200+'ECOLES INTERVENTION'!$F200)/2)</f>
        <v>5.955</v>
      </c>
      <c r="K200" s="28"/>
      <c r="L200" s="28" t="s">
        <v>32</v>
      </c>
      <c r="M200" s="30">
        <v>1.0</v>
      </c>
      <c r="N200" s="26"/>
      <c r="O200" s="26"/>
      <c r="P200" s="26"/>
    </row>
    <row r="201" ht="14.25" customHeight="1">
      <c r="A201" s="18">
        <v>2.0</v>
      </c>
      <c r="B201" s="19" t="s">
        <v>213</v>
      </c>
      <c r="C201" s="20"/>
      <c r="D201" s="27">
        <v>4.28</v>
      </c>
      <c r="E201" s="27"/>
      <c r="F201" s="27">
        <v>5.55</v>
      </c>
      <c r="G201" s="27"/>
      <c r="H201" s="27" t="s">
        <v>212</v>
      </c>
      <c r="I201" s="27"/>
      <c r="J201" s="27">
        <f>(('ECOLES INTERVENTION'!$D201+'ECOLES INTERVENTION'!$F201)/2)</f>
        <v>4.915</v>
      </c>
      <c r="K201" s="28"/>
      <c r="L201" s="28" t="s">
        <v>32</v>
      </c>
      <c r="M201" s="30">
        <v>1.0</v>
      </c>
      <c r="N201" s="26"/>
      <c r="O201" s="26"/>
      <c r="P201" s="26"/>
    </row>
    <row r="202" ht="14.25" customHeight="1">
      <c r="A202" s="18">
        <v>3.0</v>
      </c>
      <c r="B202" s="19" t="s">
        <v>214</v>
      </c>
      <c r="C202" s="20"/>
      <c r="D202" s="27">
        <v>3.99</v>
      </c>
      <c r="E202" s="27"/>
      <c r="F202" s="27">
        <v>6.0</v>
      </c>
      <c r="G202" s="27"/>
      <c r="H202" s="27" t="s">
        <v>212</v>
      </c>
      <c r="I202" s="27"/>
      <c r="J202" s="27">
        <f>(('ECOLES INTERVENTION'!$D202+'ECOLES INTERVENTION'!$F202)/2)</f>
        <v>4.995</v>
      </c>
      <c r="K202" s="28"/>
      <c r="L202" s="28" t="s">
        <v>32</v>
      </c>
      <c r="M202" s="30">
        <v>1.0</v>
      </c>
      <c r="N202" s="26"/>
      <c r="O202" s="26"/>
      <c r="P202" s="26"/>
    </row>
    <row r="203" ht="14.25" customHeight="1">
      <c r="A203" s="18">
        <v>4.0</v>
      </c>
      <c r="B203" s="19" t="s">
        <v>195</v>
      </c>
      <c r="C203" s="20"/>
      <c r="D203" s="27">
        <v>4.71</v>
      </c>
      <c r="E203" s="27"/>
      <c r="F203" s="27">
        <v>5.0</v>
      </c>
      <c r="G203" s="27"/>
      <c r="H203" s="27" t="s">
        <v>212</v>
      </c>
      <c r="I203" s="27"/>
      <c r="J203" s="27">
        <f>(('ECOLES INTERVENTION'!$D203+'ECOLES INTERVENTION'!$F203)/2)</f>
        <v>4.855</v>
      </c>
      <c r="K203" s="28"/>
      <c r="L203" s="28" t="s">
        <v>32</v>
      </c>
      <c r="M203" s="30">
        <v>1.0</v>
      </c>
      <c r="N203" s="26"/>
      <c r="O203" s="26"/>
      <c r="P203" s="26"/>
    </row>
    <row r="204" ht="14.25" customHeight="1">
      <c r="A204" s="18">
        <v>5.0</v>
      </c>
      <c r="B204" s="19" t="s">
        <v>215</v>
      </c>
      <c r="C204" s="20"/>
      <c r="D204" s="27">
        <v>5.28</v>
      </c>
      <c r="E204" s="27"/>
      <c r="F204" s="27">
        <v>6.88</v>
      </c>
      <c r="G204" s="27"/>
      <c r="H204" s="27" t="s">
        <v>212</v>
      </c>
      <c r="I204" s="27"/>
      <c r="J204" s="27">
        <f>(('ECOLES INTERVENTION'!$D204+'ECOLES INTERVENTION'!$F204)/2)</f>
        <v>6.08</v>
      </c>
      <c r="K204" s="28"/>
      <c r="L204" s="28" t="s">
        <v>32</v>
      </c>
      <c r="M204" s="30">
        <v>1.0</v>
      </c>
      <c r="N204" s="26"/>
      <c r="O204" s="26"/>
      <c r="P204" s="26"/>
    </row>
    <row r="205" ht="14.25" customHeight="1">
      <c r="A205" s="18">
        <v>6.0</v>
      </c>
      <c r="B205" s="33" t="s">
        <v>216</v>
      </c>
      <c r="C205" s="32"/>
      <c r="D205" s="27">
        <v>6.85</v>
      </c>
      <c r="E205" s="27"/>
      <c r="F205" s="27">
        <v>5.88</v>
      </c>
      <c r="G205" s="27"/>
      <c r="H205" s="27" t="s">
        <v>212</v>
      </c>
      <c r="I205" s="27"/>
      <c r="J205" s="27">
        <f>(('ECOLES INTERVENTION'!$D205+'ECOLES INTERVENTION'!$F205)/2)</f>
        <v>6.365</v>
      </c>
      <c r="K205" s="28"/>
      <c r="L205" s="28" t="s">
        <v>32</v>
      </c>
      <c r="M205" s="30">
        <v>1.0</v>
      </c>
      <c r="N205" s="26"/>
      <c r="O205" s="26"/>
      <c r="P205" s="26"/>
    </row>
    <row r="206" ht="14.25" customHeight="1">
      <c r="A206" s="18">
        <v>7.0</v>
      </c>
      <c r="B206" s="19" t="s">
        <v>217</v>
      </c>
      <c r="C206" s="20"/>
      <c r="D206" s="27">
        <v>6.85</v>
      </c>
      <c r="E206" s="27"/>
      <c r="F206" s="27">
        <v>6.0</v>
      </c>
      <c r="G206" s="27"/>
      <c r="H206" s="27" t="s">
        <v>212</v>
      </c>
      <c r="I206" s="27"/>
      <c r="J206" s="27">
        <f>(('ECOLES INTERVENTION'!$D206+'ECOLES INTERVENTION'!$F206)/2)</f>
        <v>6.425</v>
      </c>
      <c r="K206" s="28"/>
      <c r="L206" s="28" t="s">
        <v>32</v>
      </c>
      <c r="M206" s="30">
        <v>1.0</v>
      </c>
      <c r="N206" s="26"/>
      <c r="O206" s="26"/>
      <c r="P206" s="26"/>
    </row>
    <row r="207" ht="14.25" customHeight="1">
      <c r="A207" s="18">
        <v>8.0</v>
      </c>
      <c r="B207" s="19" t="s">
        <v>218</v>
      </c>
      <c r="C207" s="20"/>
      <c r="D207" s="27">
        <v>7.28</v>
      </c>
      <c r="E207" s="27"/>
      <c r="F207" s="27">
        <v>8.11</v>
      </c>
      <c r="G207" s="27"/>
      <c r="H207" s="27" t="s">
        <v>212</v>
      </c>
      <c r="I207" s="27"/>
      <c r="J207" s="27">
        <f>(('ECOLES INTERVENTION'!$D207+'ECOLES INTERVENTION'!$F207)/2)</f>
        <v>7.695</v>
      </c>
      <c r="K207" s="28"/>
      <c r="L207" s="28" t="s">
        <v>32</v>
      </c>
      <c r="M207" s="30">
        <v>1.0</v>
      </c>
      <c r="N207" s="26"/>
      <c r="O207" s="26"/>
      <c r="P207" s="26"/>
    </row>
    <row r="208" ht="14.25" customHeight="1">
      <c r="A208" s="18">
        <v>9.0</v>
      </c>
      <c r="B208" s="19" t="s">
        <v>219</v>
      </c>
      <c r="C208" s="20"/>
      <c r="D208" s="27">
        <v>8.57</v>
      </c>
      <c r="E208" s="27"/>
      <c r="F208" s="27">
        <v>7.88</v>
      </c>
      <c r="G208" s="27"/>
      <c r="H208" s="27" t="s">
        <v>212</v>
      </c>
      <c r="I208" s="27"/>
      <c r="J208" s="27">
        <f>(('ECOLES INTERVENTION'!$D208+'ECOLES INTERVENTION'!$F208)/2)</f>
        <v>8.225</v>
      </c>
      <c r="K208" s="28"/>
      <c r="L208" s="28" t="s">
        <v>32</v>
      </c>
      <c r="M208" s="30">
        <v>1.0</v>
      </c>
      <c r="N208" s="26"/>
      <c r="O208" s="26"/>
      <c r="P208" s="26"/>
    </row>
    <row r="209" ht="14.25" customHeight="1">
      <c r="A209" s="18">
        <v>10.0</v>
      </c>
      <c r="B209" s="19" t="s">
        <v>220</v>
      </c>
      <c r="C209" s="20"/>
      <c r="D209" s="27">
        <v>5.28</v>
      </c>
      <c r="E209" s="27"/>
      <c r="F209" s="27">
        <v>8.22</v>
      </c>
      <c r="G209" s="27"/>
      <c r="H209" s="27" t="s">
        <v>212</v>
      </c>
      <c r="I209" s="27"/>
      <c r="J209" s="27">
        <f>(('ECOLES INTERVENTION'!$D209+'ECOLES INTERVENTION'!$F209)/2)</f>
        <v>6.75</v>
      </c>
      <c r="K209" s="28"/>
      <c r="L209" s="28" t="s">
        <v>32</v>
      </c>
      <c r="M209" s="30">
        <v>1.0</v>
      </c>
      <c r="N209" s="26"/>
      <c r="O209" s="26"/>
      <c r="P209" s="26"/>
    </row>
    <row r="210" ht="14.25" customHeight="1">
      <c r="A210" s="18">
        <v>11.0</v>
      </c>
      <c r="B210" s="19" t="s">
        <v>221</v>
      </c>
      <c r="C210" s="20"/>
      <c r="D210" s="27">
        <v>5.28</v>
      </c>
      <c r="E210" s="27"/>
      <c r="F210" s="27">
        <v>6.0</v>
      </c>
      <c r="G210" s="27"/>
      <c r="H210" s="27" t="s">
        <v>212</v>
      </c>
      <c r="I210" s="27"/>
      <c r="J210" s="27">
        <f>(('ECOLES INTERVENTION'!$D210+'ECOLES INTERVENTION'!$F210)/2)</f>
        <v>5.64</v>
      </c>
      <c r="K210" s="28"/>
      <c r="L210" s="28" t="s">
        <v>32</v>
      </c>
      <c r="M210" s="30">
        <v>1.0</v>
      </c>
      <c r="N210" s="26"/>
      <c r="O210" s="26"/>
      <c r="P210" s="26"/>
    </row>
    <row r="211" ht="14.25" customHeight="1">
      <c r="A211" s="18">
        <v>12.0</v>
      </c>
      <c r="B211" s="19" t="s">
        <v>222</v>
      </c>
      <c r="C211" s="20"/>
      <c r="D211" s="27">
        <v>5.42</v>
      </c>
      <c r="E211" s="27"/>
      <c r="F211" s="27">
        <v>4.46</v>
      </c>
      <c r="G211" s="27"/>
      <c r="H211" s="27" t="s">
        <v>212</v>
      </c>
      <c r="I211" s="27"/>
      <c r="J211" s="27">
        <f>(('ECOLES INTERVENTION'!$D211+'ECOLES INTERVENTION'!$F211)/2)</f>
        <v>4.94</v>
      </c>
      <c r="K211" s="28"/>
      <c r="L211" s="28" t="s">
        <v>32</v>
      </c>
      <c r="M211" s="30">
        <v>1.0</v>
      </c>
      <c r="N211" s="26"/>
      <c r="O211" s="26"/>
      <c r="P211" s="26"/>
    </row>
    <row r="212" ht="14.25" customHeight="1">
      <c r="A212" s="18">
        <v>13.0</v>
      </c>
      <c r="B212" s="19" t="s">
        <v>223</v>
      </c>
      <c r="C212" s="20"/>
      <c r="D212" s="27">
        <v>3.3</v>
      </c>
      <c r="E212" s="27"/>
      <c r="F212" s="27">
        <v>4.22</v>
      </c>
      <c r="G212" s="27"/>
      <c r="H212" s="27" t="s">
        <v>212</v>
      </c>
      <c r="I212" s="27"/>
      <c r="J212" s="27">
        <f>(('ECOLES INTERVENTION'!$D212+'ECOLES INTERVENTION'!$F212)/2)</f>
        <v>3.76</v>
      </c>
      <c r="K212" s="28"/>
      <c r="L212" s="28" t="s">
        <v>28</v>
      </c>
      <c r="M212" s="24"/>
      <c r="N212" s="29">
        <v>1.0</v>
      </c>
      <c r="O212" s="7"/>
      <c r="P212" s="7"/>
    </row>
    <row r="213" ht="14.25" customHeight="1">
      <c r="A213" s="18">
        <v>14.0</v>
      </c>
      <c r="B213" s="19" t="s">
        <v>224</v>
      </c>
      <c r="C213" s="20"/>
      <c r="D213" s="27">
        <v>5.71</v>
      </c>
      <c r="E213" s="27"/>
      <c r="F213" s="27">
        <v>6.77</v>
      </c>
      <c r="G213" s="27"/>
      <c r="H213" s="27" t="s">
        <v>212</v>
      </c>
      <c r="I213" s="27"/>
      <c r="J213" s="27">
        <f>(('ECOLES INTERVENTION'!$D213+'ECOLES INTERVENTION'!$F213)/2)</f>
        <v>6.24</v>
      </c>
      <c r="K213" s="28"/>
      <c r="L213" s="28" t="s">
        <v>32</v>
      </c>
      <c r="M213" s="30">
        <v>1.0</v>
      </c>
      <c r="N213" s="26"/>
      <c r="O213" s="26"/>
      <c r="P213" s="26"/>
    </row>
    <row r="214" ht="14.25" customHeight="1">
      <c r="A214" s="18">
        <v>15.0</v>
      </c>
      <c r="B214" s="33" t="s">
        <v>225</v>
      </c>
      <c r="C214" s="32"/>
      <c r="D214" s="27">
        <v>7.71</v>
      </c>
      <c r="E214" s="27"/>
      <c r="F214" s="27">
        <v>8.88</v>
      </c>
      <c r="G214" s="27"/>
      <c r="H214" s="27" t="s">
        <v>212</v>
      </c>
      <c r="I214" s="27"/>
      <c r="J214" s="27">
        <f>(('ECOLES INTERVENTION'!$D214+'ECOLES INTERVENTION'!$F214)/2)</f>
        <v>8.295</v>
      </c>
      <c r="K214" s="28"/>
      <c r="L214" s="28" t="s">
        <v>32</v>
      </c>
      <c r="M214" s="30">
        <v>1.0</v>
      </c>
      <c r="N214" s="26"/>
      <c r="O214" s="26"/>
      <c r="P214" s="26"/>
    </row>
    <row r="215" ht="14.25" customHeight="1">
      <c r="A215" s="18">
        <v>16.0</v>
      </c>
      <c r="B215" s="19" t="s">
        <v>226</v>
      </c>
      <c r="C215" s="20"/>
      <c r="D215" s="27">
        <v>5.71</v>
      </c>
      <c r="E215" s="27"/>
      <c r="F215" s="27">
        <v>5.77</v>
      </c>
      <c r="G215" s="27"/>
      <c r="H215" s="27" t="s">
        <v>212</v>
      </c>
      <c r="I215" s="27"/>
      <c r="J215" s="27">
        <f>(('ECOLES INTERVENTION'!$D215+'ECOLES INTERVENTION'!$F215)/2)</f>
        <v>5.74</v>
      </c>
      <c r="K215" s="28"/>
      <c r="L215" s="28" t="s">
        <v>32</v>
      </c>
      <c r="M215" s="30">
        <v>1.0</v>
      </c>
      <c r="N215" s="26"/>
      <c r="O215" s="26"/>
      <c r="P215" s="26"/>
    </row>
    <row r="216" ht="14.25" customHeight="1">
      <c r="A216" s="18">
        <v>17.0</v>
      </c>
      <c r="B216" s="19" t="s">
        <v>227</v>
      </c>
      <c r="C216" s="20"/>
      <c r="D216" s="27">
        <v>5.28</v>
      </c>
      <c r="E216" s="27"/>
      <c r="F216" s="27">
        <v>6.33</v>
      </c>
      <c r="G216" s="27"/>
      <c r="H216" s="27" t="s">
        <v>212</v>
      </c>
      <c r="I216" s="27"/>
      <c r="J216" s="27">
        <f>(('ECOLES INTERVENTION'!$D216+'ECOLES INTERVENTION'!$F216)/2)</f>
        <v>5.805</v>
      </c>
      <c r="K216" s="28"/>
      <c r="L216" s="28" t="s">
        <v>32</v>
      </c>
      <c r="M216" s="30">
        <v>1.0</v>
      </c>
      <c r="N216" s="26"/>
      <c r="O216" s="26"/>
      <c r="P216" s="26"/>
    </row>
    <row r="217" ht="14.25" customHeight="1">
      <c r="A217" s="18">
        <v>18.0</v>
      </c>
      <c r="B217" s="19" t="s">
        <v>228</v>
      </c>
      <c r="C217" s="20"/>
      <c r="D217" s="27">
        <v>2.0</v>
      </c>
      <c r="E217" s="27"/>
      <c r="F217" s="27">
        <v>4.11</v>
      </c>
      <c r="G217" s="27"/>
      <c r="H217" s="27" t="s">
        <v>212</v>
      </c>
      <c r="I217" s="27"/>
      <c r="J217" s="27">
        <f>(('ECOLES INTERVENTION'!$D217+'ECOLES INTERVENTION'!$F217)/2)</f>
        <v>3.055</v>
      </c>
      <c r="K217" s="28"/>
      <c r="L217" s="28" t="s">
        <v>28</v>
      </c>
      <c r="M217" s="24"/>
      <c r="N217" s="29">
        <v>1.0</v>
      </c>
      <c r="O217" s="7"/>
      <c r="P217" s="7"/>
    </row>
    <row r="218" ht="14.25" customHeight="1">
      <c r="A218" s="18">
        <v>19.0</v>
      </c>
      <c r="B218" s="19" t="s">
        <v>229</v>
      </c>
      <c r="C218" s="20"/>
      <c r="D218" s="27">
        <v>6.14</v>
      </c>
      <c r="E218" s="27"/>
      <c r="F218" s="27">
        <v>4.11</v>
      </c>
      <c r="G218" s="27"/>
      <c r="H218" s="27" t="s">
        <v>212</v>
      </c>
      <c r="I218" s="27"/>
      <c r="J218" s="27">
        <f>(('ECOLES INTERVENTION'!$D218+'ECOLES INTERVENTION'!$F218)/2)</f>
        <v>5.125</v>
      </c>
      <c r="K218" s="28"/>
      <c r="L218" s="28" t="s">
        <v>32</v>
      </c>
      <c r="M218" s="30">
        <v>1.0</v>
      </c>
      <c r="N218" s="26"/>
      <c r="O218" s="26"/>
      <c r="P218" s="26"/>
    </row>
    <row r="219" ht="14.25" customHeight="1">
      <c r="A219" s="18">
        <v>20.0</v>
      </c>
      <c r="B219" s="33" t="s">
        <v>230</v>
      </c>
      <c r="C219" s="32"/>
      <c r="D219" s="27">
        <v>7.42</v>
      </c>
      <c r="E219" s="27"/>
      <c r="F219" s="27">
        <v>7.66</v>
      </c>
      <c r="G219" s="27"/>
      <c r="H219" s="27" t="s">
        <v>212</v>
      </c>
      <c r="I219" s="27"/>
      <c r="J219" s="27">
        <f>(('ECOLES INTERVENTION'!$D219+'ECOLES INTERVENTION'!$F219)/2)</f>
        <v>7.54</v>
      </c>
      <c r="K219" s="28"/>
      <c r="L219" s="28" t="s">
        <v>32</v>
      </c>
      <c r="M219" s="30">
        <v>1.0</v>
      </c>
      <c r="N219" s="26"/>
      <c r="O219" s="26"/>
      <c r="P219" s="26"/>
    </row>
    <row r="220" ht="14.25" customHeight="1">
      <c r="A220" s="18">
        <v>21.0</v>
      </c>
      <c r="B220" s="19" t="s">
        <v>231</v>
      </c>
      <c r="C220" s="20"/>
      <c r="D220" s="27">
        <v>6.42</v>
      </c>
      <c r="E220" s="27"/>
      <c r="F220" s="27">
        <v>6.55</v>
      </c>
      <c r="G220" s="27"/>
      <c r="H220" s="27" t="s">
        <v>212</v>
      </c>
      <c r="I220" s="27"/>
      <c r="J220" s="27">
        <f>(('ECOLES INTERVENTION'!$D220+'ECOLES INTERVENTION'!$F220)/2)</f>
        <v>6.485</v>
      </c>
      <c r="K220" s="28"/>
      <c r="L220" s="28" t="s">
        <v>32</v>
      </c>
      <c r="M220" s="30">
        <v>1.0</v>
      </c>
      <c r="N220" s="26"/>
      <c r="O220" s="26"/>
      <c r="P220" s="26"/>
    </row>
    <row r="221" ht="14.25" customHeight="1">
      <c r="A221" s="18">
        <v>22.0</v>
      </c>
      <c r="B221" s="33" t="s">
        <v>232</v>
      </c>
      <c r="C221" s="32"/>
      <c r="D221" s="27">
        <v>5.14</v>
      </c>
      <c r="E221" s="27"/>
      <c r="F221" s="27">
        <v>4.55</v>
      </c>
      <c r="G221" s="27"/>
      <c r="H221" s="27" t="s">
        <v>212</v>
      </c>
      <c r="I221" s="27"/>
      <c r="J221" s="27">
        <f>(('ECOLES INTERVENTION'!$D221+'ECOLES INTERVENTION'!$F221)/2)</f>
        <v>4.845</v>
      </c>
      <c r="K221" s="28"/>
      <c r="L221" s="28" t="s">
        <v>32</v>
      </c>
      <c r="M221" s="30">
        <v>1.0</v>
      </c>
      <c r="N221" s="26"/>
      <c r="O221" s="26"/>
      <c r="P221" s="26"/>
    </row>
    <row r="222" ht="14.25" customHeight="1">
      <c r="A222" s="18">
        <v>23.0</v>
      </c>
      <c r="B222" s="19" t="s">
        <v>233</v>
      </c>
      <c r="C222" s="20"/>
      <c r="D222" s="27">
        <v>6.58</v>
      </c>
      <c r="E222" s="27"/>
      <c r="F222" s="27">
        <v>7.0</v>
      </c>
      <c r="G222" s="27"/>
      <c r="H222" s="27" t="s">
        <v>212</v>
      </c>
      <c r="I222" s="27"/>
      <c r="J222" s="27">
        <f>(('ECOLES INTERVENTION'!$D222+'ECOLES INTERVENTION'!$F222)/2)</f>
        <v>6.79</v>
      </c>
      <c r="K222" s="28"/>
      <c r="L222" s="28" t="s">
        <v>32</v>
      </c>
      <c r="M222" s="30">
        <v>1.0</v>
      </c>
      <c r="N222" s="26"/>
      <c r="O222" s="26"/>
      <c r="P222" s="26"/>
    </row>
    <row r="223" ht="14.25" customHeight="1">
      <c r="A223" s="18">
        <v>24.0</v>
      </c>
      <c r="B223" s="33" t="s">
        <v>234</v>
      </c>
      <c r="C223" s="32"/>
      <c r="D223" s="27">
        <v>6.71</v>
      </c>
      <c r="E223" s="27"/>
      <c r="F223" s="27">
        <v>6.44</v>
      </c>
      <c r="G223" s="27"/>
      <c r="H223" s="27" t="s">
        <v>212</v>
      </c>
      <c r="I223" s="27"/>
      <c r="J223" s="27">
        <f>(('ECOLES INTERVENTION'!$D223+'ECOLES INTERVENTION'!$F223)/2)</f>
        <v>6.575</v>
      </c>
      <c r="K223" s="28"/>
      <c r="L223" s="28" t="s">
        <v>32</v>
      </c>
      <c r="M223" s="30">
        <v>1.0</v>
      </c>
      <c r="N223" s="26"/>
      <c r="O223" s="26"/>
      <c r="P223" s="26"/>
    </row>
    <row r="224" ht="14.25" customHeight="1">
      <c r="A224" s="18">
        <v>25.0</v>
      </c>
      <c r="B224" s="33" t="s">
        <v>235</v>
      </c>
      <c r="C224" s="32"/>
      <c r="D224" s="27">
        <v>8.0</v>
      </c>
      <c r="E224" s="27"/>
      <c r="F224" s="27">
        <v>5.55</v>
      </c>
      <c r="G224" s="27"/>
      <c r="H224" s="27" t="s">
        <v>212</v>
      </c>
      <c r="I224" s="27"/>
      <c r="J224" s="27">
        <f>(('ECOLES INTERVENTION'!$D224+'ECOLES INTERVENTION'!$F224)/2)</f>
        <v>6.775</v>
      </c>
      <c r="K224" s="28"/>
      <c r="L224" s="28" t="s">
        <v>32</v>
      </c>
      <c r="M224" s="30">
        <v>1.0</v>
      </c>
      <c r="N224" s="26"/>
      <c r="O224" s="26"/>
      <c r="P224" s="26"/>
    </row>
    <row r="225" ht="14.25" customHeight="1">
      <c r="A225" s="18">
        <v>26.0</v>
      </c>
      <c r="B225" s="19" t="s">
        <v>236</v>
      </c>
      <c r="C225" s="20"/>
      <c r="D225" s="27">
        <v>6.14</v>
      </c>
      <c r="E225" s="27"/>
      <c r="F225" s="27">
        <v>7.66</v>
      </c>
      <c r="G225" s="27"/>
      <c r="H225" s="27" t="s">
        <v>212</v>
      </c>
      <c r="I225" s="27"/>
      <c r="J225" s="27">
        <f>(('ECOLES INTERVENTION'!$D225+'ECOLES INTERVENTION'!$F225)/2)</f>
        <v>6.9</v>
      </c>
      <c r="K225" s="28"/>
      <c r="L225" s="28" t="s">
        <v>32</v>
      </c>
      <c r="M225" s="30">
        <v>1.0</v>
      </c>
      <c r="N225" s="26"/>
      <c r="O225" s="26"/>
      <c r="P225" s="26"/>
    </row>
    <row r="226" ht="14.25" customHeight="1">
      <c r="A226" s="18"/>
      <c r="B226" s="45"/>
      <c r="C226" s="46"/>
      <c r="D226" s="27"/>
      <c r="E226" s="27"/>
      <c r="F226" s="27"/>
      <c r="G226" s="27"/>
      <c r="H226" s="27"/>
      <c r="I226" s="27"/>
      <c r="J226" s="27"/>
      <c r="K226" s="28"/>
      <c r="L226" s="28"/>
      <c r="M226" s="30">
        <f t="shared" ref="M226:N226" si="8">SUM(M200:M225)</f>
        <v>24</v>
      </c>
      <c r="N226" s="26">
        <f t="shared" si="8"/>
        <v>2</v>
      </c>
      <c r="O226" s="26"/>
      <c r="P226" s="26"/>
    </row>
    <row r="227" ht="14.25" customHeight="1">
      <c r="A227" s="18"/>
      <c r="B227" s="66"/>
      <c r="C227" s="46"/>
      <c r="D227" s="28"/>
      <c r="E227" s="28"/>
      <c r="F227" s="28"/>
      <c r="G227" s="28"/>
      <c r="H227" s="28"/>
      <c r="I227" s="28"/>
      <c r="J227" s="27"/>
      <c r="K227" s="28"/>
      <c r="L227" s="28"/>
      <c r="M227" s="47">
        <f>M226/A225</f>
        <v>0.9230769231</v>
      </c>
      <c r="N227" s="48">
        <f>SUM(N226/A225)</f>
        <v>0.07692307692</v>
      </c>
      <c r="O227" s="7"/>
      <c r="P227" s="7"/>
    </row>
    <row r="228" ht="14.25" customHeight="1">
      <c r="A228" s="18" t="s">
        <v>237</v>
      </c>
      <c r="B228" s="31"/>
      <c r="C228" s="32"/>
      <c r="D228" s="28"/>
      <c r="E228" s="28"/>
      <c r="F228" s="28"/>
      <c r="G228" s="28"/>
      <c r="H228" s="28"/>
      <c r="I228" s="28"/>
      <c r="J228" s="27"/>
      <c r="K228" s="28"/>
      <c r="L228" s="28"/>
      <c r="M228" s="24"/>
      <c r="N228" s="7"/>
      <c r="O228" s="7"/>
      <c r="P228" s="7"/>
    </row>
    <row r="229" ht="14.25" customHeight="1">
      <c r="A229" s="18">
        <v>1.0</v>
      </c>
      <c r="B229" s="67" t="s">
        <v>238</v>
      </c>
      <c r="C229" s="32"/>
      <c r="D229" s="27">
        <v>4.0</v>
      </c>
      <c r="E229" s="27"/>
      <c r="F229" s="27">
        <v>6.5</v>
      </c>
      <c r="G229" s="27"/>
      <c r="H229" s="27" t="s">
        <v>212</v>
      </c>
      <c r="I229" s="27"/>
      <c r="J229" s="27">
        <f>(('ECOLES INTERVENTION'!$D229+'ECOLES INTERVENTION'!$F229)/2)</f>
        <v>5.25</v>
      </c>
      <c r="K229" s="28"/>
      <c r="L229" s="28" t="s">
        <v>32</v>
      </c>
      <c r="M229" s="30">
        <v>1.0</v>
      </c>
      <c r="N229" s="26"/>
      <c r="O229" s="26"/>
      <c r="P229" s="26"/>
    </row>
    <row r="230" ht="14.25" customHeight="1">
      <c r="A230" s="18">
        <v>2.0</v>
      </c>
      <c r="B230" s="33" t="s">
        <v>239</v>
      </c>
      <c r="C230" s="32"/>
      <c r="D230" s="27">
        <v>5.0</v>
      </c>
      <c r="E230" s="27"/>
      <c r="F230" s="27">
        <v>6.7</v>
      </c>
      <c r="G230" s="27"/>
      <c r="H230" s="27" t="s">
        <v>212</v>
      </c>
      <c r="I230" s="27"/>
      <c r="J230" s="27">
        <f>(('ECOLES INTERVENTION'!$D230+'ECOLES INTERVENTION'!$F230)/2)</f>
        <v>5.85</v>
      </c>
      <c r="K230" s="28"/>
      <c r="L230" s="28" t="s">
        <v>32</v>
      </c>
      <c r="M230" s="30">
        <v>1.0</v>
      </c>
      <c r="N230" s="26"/>
      <c r="O230" s="26"/>
      <c r="P230" s="26"/>
    </row>
    <row r="231" ht="14.25" customHeight="1">
      <c r="A231" s="18">
        <v>3.0</v>
      </c>
      <c r="B231" s="33" t="s">
        <v>240</v>
      </c>
      <c r="C231" s="32"/>
      <c r="D231" s="27">
        <v>4.75</v>
      </c>
      <c r="E231" s="27"/>
      <c r="F231" s="27">
        <v>6.0</v>
      </c>
      <c r="G231" s="27"/>
      <c r="H231" s="27" t="s">
        <v>212</v>
      </c>
      <c r="I231" s="27"/>
      <c r="J231" s="27">
        <f>(('ECOLES INTERVENTION'!$D231+'ECOLES INTERVENTION'!$F231)/2)</f>
        <v>5.375</v>
      </c>
      <c r="K231" s="28"/>
      <c r="L231" s="28" t="s">
        <v>32</v>
      </c>
      <c r="M231" s="30">
        <v>1.0</v>
      </c>
      <c r="N231" s="26"/>
      <c r="O231" s="26"/>
      <c r="P231" s="26"/>
    </row>
    <row r="232" ht="14.25" customHeight="1">
      <c r="A232" s="18">
        <v>4.0</v>
      </c>
      <c r="B232" s="33" t="s">
        <v>241</v>
      </c>
      <c r="C232" s="32"/>
      <c r="D232" s="27">
        <v>4.25</v>
      </c>
      <c r="E232" s="27"/>
      <c r="F232" s="27">
        <v>6.5</v>
      </c>
      <c r="G232" s="27"/>
      <c r="H232" s="27" t="s">
        <v>212</v>
      </c>
      <c r="I232" s="27"/>
      <c r="J232" s="27">
        <f>(('ECOLES INTERVENTION'!$D232+'ECOLES INTERVENTION'!$F232)/2)</f>
        <v>5.375</v>
      </c>
      <c r="K232" s="28"/>
      <c r="L232" s="28" t="s">
        <v>32</v>
      </c>
      <c r="M232" s="30">
        <v>1.0</v>
      </c>
      <c r="N232" s="26"/>
      <c r="O232" s="26"/>
      <c r="P232" s="26"/>
    </row>
    <row r="233" ht="14.25" customHeight="1">
      <c r="A233" s="18">
        <v>5.0</v>
      </c>
      <c r="B233" s="33" t="s">
        <v>242</v>
      </c>
      <c r="C233" s="32"/>
      <c r="D233" s="27">
        <v>4.66</v>
      </c>
      <c r="E233" s="27"/>
      <c r="F233" s="27">
        <v>5.78</v>
      </c>
      <c r="G233" s="27"/>
      <c r="H233" s="27" t="s">
        <v>212</v>
      </c>
      <c r="I233" s="27"/>
      <c r="J233" s="27">
        <f>(('ECOLES INTERVENTION'!$D233+'ECOLES INTERVENTION'!$F233)/2)</f>
        <v>5.22</v>
      </c>
      <c r="K233" s="28"/>
      <c r="L233" s="28" t="s">
        <v>32</v>
      </c>
      <c r="M233" s="30">
        <v>1.0</v>
      </c>
      <c r="N233" s="26"/>
      <c r="O233" s="26"/>
      <c r="P233" s="26"/>
    </row>
    <row r="234" ht="14.25" customHeight="1">
      <c r="A234" s="18">
        <v>6.0</v>
      </c>
      <c r="B234" s="33" t="s">
        <v>243</v>
      </c>
      <c r="C234" s="32"/>
      <c r="D234" s="27">
        <v>3.75</v>
      </c>
      <c r="E234" s="27"/>
      <c r="F234" s="27">
        <v>4.79</v>
      </c>
      <c r="G234" s="27"/>
      <c r="H234" s="27" t="s">
        <v>212</v>
      </c>
      <c r="I234" s="27"/>
      <c r="J234" s="27">
        <f>(('ECOLES INTERVENTION'!$D234+'ECOLES INTERVENTION'!$F234)/2)</f>
        <v>4.27</v>
      </c>
      <c r="K234" s="28"/>
      <c r="L234" s="28" t="s">
        <v>28</v>
      </c>
      <c r="M234" s="24"/>
      <c r="N234" s="29">
        <v>1.0</v>
      </c>
      <c r="O234" s="7"/>
      <c r="P234" s="7"/>
    </row>
    <row r="235" ht="14.25" customHeight="1">
      <c r="A235" s="18">
        <v>7.0</v>
      </c>
      <c r="B235" s="33" t="s">
        <v>244</v>
      </c>
      <c r="C235" s="32"/>
      <c r="D235" s="27">
        <v>4.25</v>
      </c>
      <c r="E235" s="27"/>
      <c r="F235" s="27">
        <v>5.75</v>
      </c>
      <c r="G235" s="27"/>
      <c r="H235" s="27" t="s">
        <v>212</v>
      </c>
      <c r="I235" s="27"/>
      <c r="J235" s="27">
        <f>(('ECOLES INTERVENTION'!$D235+'ECOLES INTERVENTION'!$F235)/2)</f>
        <v>5</v>
      </c>
      <c r="K235" s="28"/>
      <c r="L235" s="28" t="s">
        <v>32</v>
      </c>
      <c r="M235" s="30">
        <v>1.0</v>
      </c>
      <c r="N235" s="26"/>
      <c r="O235" s="26"/>
      <c r="P235" s="26"/>
    </row>
    <row r="236" ht="14.25" customHeight="1">
      <c r="A236" s="18">
        <v>8.0</v>
      </c>
      <c r="B236" s="33" t="s">
        <v>245</v>
      </c>
      <c r="C236" s="32"/>
      <c r="D236" s="27">
        <v>5.0</v>
      </c>
      <c r="E236" s="27"/>
      <c r="F236" s="27">
        <v>5.75</v>
      </c>
      <c r="G236" s="27"/>
      <c r="H236" s="27" t="s">
        <v>212</v>
      </c>
      <c r="I236" s="27"/>
      <c r="J236" s="27">
        <f>(('ECOLES INTERVENTION'!$D236+'ECOLES INTERVENTION'!$F236)/2)</f>
        <v>5.375</v>
      </c>
      <c r="K236" s="28"/>
      <c r="L236" s="28" t="s">
        <v>32</v>
      </c>
      <c r="M236" s="30">
        <v>1.0</v>
      </c>
      <c r="N236" s="26"/>
      <c r="O236" s="26"/>
      <c r="P236" s="26"/>
    </row>
    <row r="237" ht="14.25" customHeight="1">
      <c r="A237" s="18">
        <v>9.0</v>
      </c>
      <c r="B237" s="33" t="s">
        <v>246</v>
      </c>
      <c r="C237" s="32"/>
      <c r="D237" s="27">
        <v>6.5</v>
      </c>
      <c r="E237" s="27"/>
      <c r="F237" s="27">
        <v>7.75</v>
      </c>
      <c r="G237" s="27"/>
      <c r="H237" s="27" t="s">
        <v>212</v>
      </c>
      <c r="I237" s="27"/>
      <c r="J237" s="27">
        <f>(('ECOLES INTERVENTION'!$D237+'ECOLES INTERVENTION'!$F237)/2)</f>
        <v>7.125</v>
      </c>
      <c r="K237" s="28"/>
      <c r="L237" s="28" t="s">
        <v>32</v>
      </c>
      <c r="M237" s="30">
        <v>1.0</v>
      </c>
      <c r="N237" s="26"/>
      <c r="O237" s="26"/>
      <c r="P237" s="26"/>
    </row>
    <row r="238" ht="14.25" customHeight="1">
      <c r="A238" s="18">
        <v>10.0</v>
      </c>
      <c r="B238" s="33" t="s">
        <v>247</v>
      </c>
      <c r="C238" s="32"/>
      <c r="D238" s="27">
        <v>4.0</v>
      </c>
      <c r="E238" s="27"/>
      <c r="F238" s="27">
        <v>5.75</v>
      </c>
      <c r="G238" s="27"/>
      <c r="H238" s="27" t="s">
        <v>212</v>
      </c>
      <c r="I238" s="27"/>
      <c r="J238" s="27">
        <f>(('ECOLES INTERVENTION'!$D238+'ECOLES INTERVENTION'!$F238)/2)</f>
        <v>4.875</v>
      </c>
      <c r="K238" s="28"/>
      <c r="L238" s="28" t="s">
        <v>32</v>
      </c>
      <c r="M238" s="30">
        <v>1.0</v>
      </c>
      <c r="N238" s="26"/>
      <c r="O238" s="26"/>
      <c r="P238" s="26"/>
    </row>
    <row r="239" ht="14.25" customHeight="1">
      <c r="A239" s="18">
        <v>11.0</v>
      </c>
      <c r="B239" s="33" t="s">
        <v>248</v>
      </c>
      <c r="C239" s="32"/>
      <c r="D239" s="27">
        <v>3.75</v>
      </c>
      <c r="E239" s="27"/>
      <c r="F239" s="27">
        <v>4.0</v>
      </c>
      <c r="G239" s="27"/>
      <c r="H239" s="27" t="s">
        <v>212</v>
      </c>
      <c r="I239" s="27"/>
      <c r="J239" s="27">
        <f>(('ECOLES INTERVENTION'!$D239+'ECOLES INTERVENTION'!$F239)/2)</f>
        <v>3.875</v>
      </c>
      <c r="K239" s="28"/>
      <c r="L239" s="28" t="s">
        <v>28</v>
      </c>
      <c r="M239" s="24"/>
      <c r="N239" s="29">
        <v>1.0</v>
      </c>
      <c r="O239" s="7"/>
      <c r="P239" s="7"/>
    </row>
    <row r="240" ht="14.25" customHeight="1">
      <c r="A240" s="18">
        <v>12.0</v>
      </c>
      <c r="B240" s="33" t="s">
        <v>249</v>
      </c>
      <c r="C240" s="32"/>
      <c r="D240" s="27">
        <v>4.25</v>
      </c>
      <c r="E240" s="27"/>
      <c r="F240" s="27">
        <v>4.98</v>
      </c>
      <c r="G240" s="27"/>
      <c r="H240" s="27" t="s">
        <v>212</v>
      </c>
      <c r="I240" s="27"/>
      <c r="J240" s="27">
        <f>(('ECOLES INTERVENTION'!$D240+'ECOLES INTERVENTION'!$F240)/2)</f>
        <v>4.615</v>
      </c>
      <c r="K240" s="28"/>
      <c r="L240" s="28" t="s">
        <v>32</v>
      </c>
      <c r="M240" s="30">
        <v>1.0</v>
      </c>
      <c r="N240" s="26"/>
      <c r="O240" s="26"/>
      <c r="P240" s="26"/>
    </row>
    <row r="241" ht="14.25" customHeight="1">
      <c r="A241" s="18">
        <v>13.0</v>
      </c>
      <c r="B241" s="33" t="s">
        <v>250</v>
      </c>
      <c r="C241" s="32"/>
      <c r="D241" s="27">
        <v>4.25</v>
      </c>
      <c r="E241" s="27"/>
      <c r="F241" s="27">
        <v>5.0</v>
      </c>
      <c r="G241" s="27"/>
      <c r="H241" s="27" t="s">
        <v>212</v>
      </c>
      <c r="I241" s="27"/>
      <c r="J241" s="27">
        <f>(('ECOLES INTERVENTION'!$D241+'ECOLES INTERVENTION'!$F241)/2)</f>
        <v>4.625</v>
      </c>
      <c r="K241" s="28"/>
      <c r="L241" s="28" t="s">
        <v>32</v>
      </c>
      <c r="M241" s="30">
        <v>1.0</v>
      </c>
      <c r="N241" s="26"/>
      <c r="O241" s="26"/>
      <c r="P241" s="26"/>
    </row>
    <row r="242" ht="14.25" customHeight="1">
      <c r="A242" s="18">
        <v>14.0</v>
      </c>
      <c r="B242" s="33" t="s">
        <v>251</v>
      </c>
      <c r="C242" s="32"/>
      <c r="D242" s="27">
        <v>4.66</v>
      </c>
      <c r="E242" s="27"/>
      <c r="F242" s="27">
        <v>5.15</v>
      </c>
      <c r="G242" s="27"/>
      <c r="H242" s="27" t="s">
        <v>212</v>
      </c>
      <c r="I242" s="27"/>
      <c r="J242" s="27">
        <f>(('ECOLES INTERVENTION'!$D242+'ECOLES INTERVENTION'!$F242)/2)</f>
        <v>4.905</v>
      </c>
      <c r="K242" s="28"/>
      <c r="L242" s="28" t="s">
        <v>32</v>
      </c>
      <c r="M242" s="30">
        <v>1.0</v>
      </c>
      <c r="N242" s="26"/>
      <c r="O242" s="26"/>
      <c r="P242" s="26"/>
    </row>
    <row r="243" ht="14.25" customHeight="1">
      <c r="A243" s="18">
        <v>15.0</v>
      </c>
      <c r="B243" s="33" t="s">
        <v>252</v>
      </c>
      <c r="C243" s="32"/>
      <c r="D243" s="27">
        <v>4.5</v>
      </c>
      <c r="E243" s="27"/>
      <c r="F243" s="27">
        <v>5.25</v>
      </c>
      <c r="G243" s="27"/>
      <c r="H243" s="27" t="s">
        <v>212</v>
      </c>
      <c r="I243" s="27"/>
      <c r="J243" s="27">
        <f>(('ECOLES INTERVENTION'!$D243+'ECOLES INTERVENTION'!$F243)/2)</f>
        <v>4.875</v>
      </c>
      <c r="K243" s="28"/>
      <c r="L243" s="28" t="s">
        <v>32</v>
      </c>
      <c r="M243" s="30">
        <v>1.0</v>
      </c>
      <c r="N243" s="26"/>
      <c r="O243" s="26"/>
      <c r="P243" s="26"/>
    </row>
    <row r="244" ht="14.25" customHeight="1">
      <c r="A244" s="18">
        <v>16.0</v>
      </c>
      <c r="B244" s="33" t="s">
        <v>253</v>
      </c>
      <c r="C244" s="32"/>
      <c r="D244" s="27">
        <v>5.0</v>
      </c>
      <c r="E244" s="27"/>
      <c r="F244" s="27">
        <v>6.25</v>
      </c>
      <c r="G244" s="27"/>
      <c r="H244" s="27" t="s">
        <v>212</v>
      </c>
      <c r="I244" s="27"/>
      <c r="J244" s="27">
        <f>(('ECOLES INTERVENTION'!$D244+'ECOLES INTERVENTION'!$F244)/2)</f>
        <v>5.625</v>
      </c>
      <c r="K244" s="28"/>
      <c r="L244" s="28" t="s">
        <v>32</v>
      </c>
      <c r="M244" s="30">
        <v>1.0</v>
      </c>
      <c r="N244" s="26"/>
      <c r="O244" s="26"/>
      <c r="P244" s="26"/>
    </row>
    <row r="245" ht="14.25" customHeight="1">
      <c r="A245" s="18">
        <v>17.0</v>
      </c>
      <c r="B245" s="33" t="s">
        <v>254</v>
      </c>
      <c r="C245" s="32"/>
      <c r="D245" s="27">
        <v>6.0</v>
      </c>
      <c r="E245" s="27"/>
      <c r="F245" s="27">
        <v>7.69</v>
      </c>
      <c r="G245" s="27"/>
      <c r="H245" s="27" t="s">
        <v>212</v>
      </c>
      <c r="I245" s="27"/>
      <c r="J245" s="27">
        <f>(('ECOLES INTERVENTION'!$D245+'ECOLES INTERVENTION'!$F245)/2)</f>
        <v>6.845</v>
      </c>
      <c r="K245" s="28"/>
      <c r="L245" s="28" t="s">
        <v>32</v>
      </c>
      <c r="M245" s="30">
        <v>1.0</v>
      </c>
      <c r="N245" s="26"/>
      <c r="O245" s="26"/>
      <c r="P245" s="26"/>
    </row>
    <row r="246" ht="14.25" customHeight="1">
      <c r="A246" s="18">
        <v>18.0</v>
      </c>
      <c r="B246" s="33" t="s">
        <v>255</v>
      </c>
      <c r="C246" s="32"/>
      <c r="D246" s="27">
        <v>4.0</v>
      </c>
      <c r="E246" s="27"/>
      <c r="F246" s="27">
        <v>6.0</v>
      </c>
      <c r="G246" s="27"/>
      <c r="H246" s="27" t="s">
        <v>212</v>
      </c>
      <c r="I246" s="27"/>
      <c r="J246" s="27">
        <f>(('ECOLES INTERVENTION'!$D246+'ECOLES INTERVENTION'!$F246)/2)</f>
        <v>5</v>
      </c>
      <c r="K246" s="28"/>
      <c r="L246" s="28" t="s">
        <v>32</v>
      </c>
      <c r="M246" s="30">
        <v>1.0</v>
      </c>
      <c r="N246" s="26"/>
      <c r="O246" s="26"/>
      <c r="P246" s="26"/>
    </row>
    <row r="247" ht="14.25" customHeight="1">
      <c r="A247" s="18">
        <v>19.0</v>
      </c>
      <c r="B247" s="33" t="s">
        <v>256</v>
      </c>
      <c r="C247" s="32"/>
      <c r="D247" s="27">
        <v>4.5</v>
      </c>
      <c r="E247" s="27"/>
      <c r="F247" s="27">
        <v>5.05</v>
      </c>
      <c r="G247" s="27"/>
      <c r="H247" s="27" t="s">
        <v>212</v>
      </c>
      <c r="I247" s="27"/>
      <c r="J247" s="27">
        <f>(('ECOLES INTERVENTION'!$D247+'ECOLES INTERVENTION'!$F247)/2)</f>
        <v>4.775</v>
      </c>
      <c r="K247" s="28"/>
      <c r="L247" s="28" t="s">
        <v>32</v>
      </c>
      <c r="M247" s="30">
        <v>1.0</v>
      </c>
      <c r="N247" s="26"/>
      <c r="O247" s="26"/>
      <c r="P247" s="26"/>
    </row>
    <row r="248" ht="14.25" customHeight="1">
      <c r="A248" s="18">
        <v>20.0</v>
      </c>
      <c r="B248" s="33" t="s">
        <v>257</v>
      </c>
      <c r="C248" s="32"/>
      <c r="D248" s="27">
        <v>5.23</v>
      </c>
      <c r="E248" s="27"/>
      <c r="F248" s="27">
        <v>7.0</v>
      </c>
      <c r="G248" s="27"/>
      <c r="H248" s="27" t="s">
        <v>212</v>
      </c>
      <c r="I248" s="27"/>
      <c r="J248" s="27">
        <f>(('ECOLES INTERVENTION'!$D248+'ECOLES INTERVENTION'!$F248)/2)</f>
        <v>6.115</v>
      </c>
      <c r="K248" s="28"/>
      <c r="L248" s="28" t="s">
        <v>32</v>
      </c>
      <c r="M248" s="30">
        <v>1.0</v>
      </c>
      <c r="N248" s="26"/>
      <c r="O248" s="26"/>
      <c r="P248" s="26"/>
    </row>
    <row r="249" ht="14.25" customHeight="1">
      <c r="A249" s="18">
        <v>21.0</v>
      </c>
      <c r="B249" s="33" t="s">
        <v>258</v>
      </c>
      <c r="C249" s="32"/>
      <c r="D249" s="27">
        <v>3.5</v>
      </c>
      <c r="E249" s="27"/>
      <c r="F249" s="27">
        <v>5.67</v>
      </c>
      <c r="G249" s="27"/>
      <c r="H249" s="27" t="s">
        <v>212</v>
      </c>
      <c r="I249" s="27"/>
      <c r="J249" s="27">
        <f>(('ECOLES INTERVENTION'!$D249+'ECOLES INTERVENTION'!$F249)/2)</f>
        <v>4.585</v>
      </c>
      <c r="K249" s="28"/>
      <c r="L249" s="28" t="s">
        <v>32</v>
      </c>
      <c r="M249" s="30">
        <v>1.0</v>
      </c>
      <c r="N249" s="26"/>
      <c r="O249" s="26"/>
      <c r="P249" s="26"/>
    </row>
    <row r="250" ht="14.25" customHeight="1">
      <c r="A250" s="18">
        <v>22.0</v>
      </c>
      <c r="B250" s="33" t="s">
        <v>259</v>
      </c>
      <c r="C250" s="32"/>
      <c r="D250" s="27">
        <v>4.68</v>
      </c>
      <c r="E250" s="27"/>
      <c r="F250" s="27">
        <v>4.75</v>
      </c>
      <c r="G250" s="27"/>
      <c r="H250" s="27" t="s">
        <v>212</v>
      </c>
      <c r="I250" s="27"/>
      <c r="J250" s="27">
        <f>(('ECOLES INTERVENTION'!$D250+'ECOLES INTERVENTION'!$F250)/2)</f>
        <v>4.715</v>
      </c>
      <c r="K250" s="28"/>
      <c r="L250" s="28" t="s">
        <v>32</v>
      </c>
      <c r="M250" s="30">
        <v>1.0</v>
      </c>
      <c r="N250" s="26"/>
      <c r="O250" s="26"/>
      <c r="P250" s="26"/>
    </row>
    <row r="251" ht="14.25" customHeight="1">
      <c r="A251" s="18">
        <v>23.0</v>
      </c>
      <c r="B251" s="33" t="s">
        <v>260</v>
      </c>
      <c r="C251" s="32"/>
      <c r="D251" s="27">
        <v>4.35</v>
      </c>
      <c r="E251" s="27"/>
      <c r="F251" s="27">
        <v>5.25</v>
      </c>
      <c r="G251" s="27"/>
      <c r="H251" s="27" t="s">
        <v>212</v>
      </c>
      <c r="I251" s="27"/>
      <c r="J251" s="27">
        <f>(('ECOLES INTERVENTION'!$D251+'ECOLES INTERVENTION'!$F251)/2)</f>
        <v>4.8</v>
      </c>
      <c r="K251" s="28"/>
      <c r="L251" s="28" t="s">
        <v>32</v>
      </c>
      <c r="M251" s="30">
        <v>1.0</v>
      </c>
      <c r="N251" s="26"/>
      <c r="O251" s="26"/>
      <c r="P251" s="26"/>
    </row>
    <row r="252" ht="14.25" customHeight="1">
      <c r="A252" s="18">
        <v>24.0</v>
      </c>
      <c r="B252" s="67" t="s">
        <v>261</v>
      </c>
      <c r="C252" s="32"/>
      <c r="D252" s="27">
        <v>5.75</v>
      </c>
      <c r="E252" s="27"/>
      <c r="F252" s="27">
        <v>6.0</v>
      </c>
      <c r="G252" s="27"/>
      <c r="H252" s="27" t="s">
        <v>212</v>
      </c>
      <c r="I252" s="27"/>
      <c r="J252" s="27">
        <f>(('ECOLES INTERVENTION'!$D252+'ECOLES INTERVENTION'!$F252)/2)</f>
        <v>5.875</v>
      </c>
      <c r="K252" s="28"/>
      <c r="L252" s="28" t="s">
        <v>32</v>
      </c>
      <c r="M252" s="30">
        <v>1.0</v>
      </c>
      <c r="N252" s="26"/>
      <c r="O252" s="26"/>
      <c r="P252" s="26"/>
    </row>
    <row r="253" ht="14.25" customHeight="1">
      <c r="A253" s="8"/>
      <c r="B253" s="68"/>
      <c r="C253" s="49"/>
      <c r="D253" s="36"/>
      <c r="E253" s="36"/>
      <c r="F253" s="36"/>
      <c r="G253" s="36"/>
      <c r="H253" s="36"/>
      <c r="I253" s="36"/>
      <c r="J253" s="36"/>
      <c r="K253" s="37"/>
      <c r="L253" s="37"/>
      <c r="M253" s="25">
        <f t="shared" ref="M253:N253" si="9">SUM(M229:M252)</f>
        <v>22</v>
      </c>
      <c r="N253" s="26">
        <f t="shared" si="9"/>
        <v>2</v>
      </c>
      <c r="O253" s="26"/>
      <c r="P253" s="26"/>
    </row>
    <row r="254" ht="14.25" customHeight="1">
      <c r="A254" s="50"/>
      <c r="B254" s="69"/>
      <c r="C254" s="52"/>
      <c r="D254" s="53"/>
      <c r="E254" s="53"/>
      <c r="F254" s="53"/>
      <c r="G254" s="53"/>
      <c r="H254" s="53"/>
      <c r="I254" s="53"/>
      <c r="J254" s="53"/>
      <c r="K254" s="53"/>
      <c r="L254" s="53"/>
      <c r="M254" s="54">
        <f>M253/A252</f>
        <v>0.9166666667</v>
      </c>
      <c r="N254" s="55">
        <f>N253/A252</f>
        <v>0.08333333333</v>
      </c>
      <c r="O254" s="56"/>
      <c r="P254" s="56"/>
    </row>
    <row r="255" ht="14.25" customHeight="1">
      <c r="A255" s="50" t="s">
        <v>262</v>
      </c>
      <c r="B255" s="58"/>
      <c r="C255" s="58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6"/>
      <c r="O255" s="56"/>
      <c r="P255" s="56"/>
    </row>
    <row r="256" ht="14.25" customHeight="1">
      <c r="A256" s="18">
        <v>1.0</v>
      </c>
      <c r="B256" s="33" t="s">
        <v>263</v>
      </c>
      <c r="C256" s="32"/>
      <c r="D256" s="27">
        <v>5.75</v>
      </c>
      <c r="E256" s="27"/>
      <c r="F256" s="27">
        <v>6.5</v>
      </c>
      <c r="G256" s="27"/>
      <c r="H256" s="27">
        <v>7.65</v>
      </c>
      <c r="I256" s="28"/>
      <c r="J256" s="27">
        <f>(('ECOLES INTERVENTION'!$D256+'ECOLES INTERVENTION'!$F256+'ECOLES INTERVENTION'!$H256)/3)</f>
        <v>6.633333333</v>
      </c>
      <c r="K256" s="28"/>
      <c r="L256" s="28" t="s">
        <v>32</v>
      </c>
      <c r="M256" s="30">
        <v>1.0</v>
      </c>
      <c r="N256" s="26"/>
      <c r="O256" s="26"/>
      <c r="P256" s="26"/>
    </row>
    <row r="257" ht="14.25" customHeight="1">
      <c r="A257" s="18">
        <v>2.0</v>
      </c>
      <c r="B257" s="33" t="s">
        <v>264</v>
      </c>
      <c r="C257" s="32"/>
      <c r="D257" s="27">
        <v>4.25</v>
      </c>
      <c r="E257" s="27"/>
      <c r="F257" s="27">
        <v>5.1</v>
      </c>
      <c r="G257" s="27"/>
      <c r="H257" s="27">
        <v>6.4</v>
      </c>
      <c r="I257" s="28"/>
      <c r="J257" s="27">
        <f>(('ECOLES INTERVENTION'!$D257+'ECOLES INTERVENTION'!$F257+'ECOLES INTERVENTION'!$H257)/3)</f>
        <v>5.25</v>
      </c>
      <c r="K257" s="28"/>
      <c r="L257" s="28" t="s">
        <v>32</v>
      </c>
      <c r="M257" s="30">
        <v>1.0</v>
      </c>
      <c r="N257" s="26"/>
      <c r="O257" s="26"/>
      <c r="P257" s="26"/>
    </row>
    <row r="258" ht="14.25" customHeight="1">
      <c r="A258" s="18">
        <v>3.0</v>
      </c>
      <c r="B258" s="33" t="s">
        <v>265</v>
      </c>
      <c r="C258" s="32"/>
      <c r="D258" s="27">
        <v>6.58</v>
      </c>
      <c r="E258" s="27"/>
      <c r="F258" s="27">
        <v>7.65</v>
      </c>
      <c r="G258" s="27"/>
      <c r="H258" s="27">
        <v>7.55</v>
      </c>
      <c r="I258" s="28"/>
      <c r="J258" s="27">
        <f>(('ECOLES INTERVENTION'!$D258+'ECOLES INTERVENTION'!$F258+'ECOLES INTERVENTION'!$H258)/3)</f>
        <v>7.26</v>
      </c>
      <c r="K258" s="28"/>
      <c r="L258" s="28" t="s">
        <v>32</v>
      </c>
      <c r="M258" s="30">
        <v>1.0</v>
      </c>
      <c r="N258" s="26"/>
      <c r="O258" s="26"/>
      <c r="P258" s="26"/>
    </row>
    <row r="259" ht="14.25" customHeight="1">
      <c r="A259" s="18">
        <v>4.0</v>
      </c>
      <c r="B259" s="33" t="s">
        <v>266</v>
      </c>
      <c r="C259" s="32"/>
      <c r="D259" s="27">
        <v>4.5</v>
      </c>
      <c r="E259" s="27"/>
      <c r="F259" s="27">
        <v>5.55</v>
      </c>
      <c r="G259" s="27"/>
      <c r="H259" s="27">
        <v>6.6</v>
      </c>
      <c r="I259" s="28"/>
      <c r="J259" s="27">
        <f>(('ECOLES INTERVENTION'!$D259+'ECOLES INTERVENTION'!$F259+'ECOLES INTERVENTION'!$H259)/3)</f>
        <v>5.55</v>
      </c>
      <c r="K259" s="28"/>
      <c r="L259" s="28" t="s">
        <v>32</v>
      </c>
      <c r="M259" s="30">
        <v>1.0</v>
      </c>
      <c r="N259" s="26"/>
      <c r="O259" s="26"/>
      <c r="P259" s="26"/>
    </row>
    <row r="260" ht="14.25" customHeight="1">
      <c r="A260" s="18">
        <v>5.0</v>
      </c>
      <c r="B260" s="33" t="s">
        <v>267</v>
      </c>
      <c r="C260" s="32"/>
      <c r="D260" s="27">
        <v>6.75</v>
      </c>
      <c r="E260" s="27"/>
      <c r="F260" s="27">
        <v>7.5</v>
      </c>
      <c r="G260" s="27"/>
      <c r="H260" s="27">
        <v>8.0</v>
      </c>
      <c r="I260" s="28"/>
      <c r="J260" s="27">
        <f>(('ECOLES INTERVENTION'!$D260+'ECOLES INTERVENTION'!$F260+'ECOLES INTERVENTION'!$H260)/3)</f>
        <v>7.416666667</v>
      </c>
      <c r="K260" s="28"/>
      <c r="L260" s="28" t="s">
        <v>32</v>
      </c>
      <c r="M260" s="30">
        <v>1.0</v>
      </c>
      <c r="N260" s="26"/>
      <c r="O260" s="26"/>
      <c r="P260" s="26"/>
    </row>
    <row r="261" ht="14.25" customHeight="1">
      <c r="A261" s="18">
        <v>6.0</v>
      </c>
      <c r="B261" s="19" t="s">
        <v>268</v>
      </c>
      <c r="C261" s="20"/>
      <c r="D261" s="27">
        <v>4.0</v>
      </c>
      <c r="E261" s="27"/>
      <c r="F261" s="27">
        <v>5.53</v>
      </c>
      <c r="G261" s="27"/>
      <c r="H261" s="27">
        <v>6.0</v>
      </c>
      <c r="I261" s="28"/>
      <c r="J261" s="27">
        <f>(('ECOLES INTERVENTION'!$D261+'ECOLES INTERVENTION'!$F261+'ECOLES INTERVENTION'!$H261)/3)</f>
        <v>5.176666667</v>
      </c>
      <c r="K261" s="28"/>
      <c r="L261" s="28" t="s">
        <v>32</v>
      </c>
      <c r="M261" s="30">
        <v>1.0</v>
      </c>
      <c r="N261" s="26"/>
      <c r="O261" s="26"/>
      <c r="P261" s="26"/>
    </row>
    <row r="262" ht="14.25" customHeight="1">
      <c r="A262" s="18">
        <v>7.0</v>
      </c>
      <c r="B262" s="19" t="s">
        <v>269</v>
      </c>
      <c r="C262" s="20"/>
      <c r="D262" s="27">
        <v>5.66</v>
      </c>
      <c r="E262" s="27"/>
      <c r="F262" s="27">
        <v>6.75</v>
      </c>
      <c r="G262" s="27"/>
      <c r="H262" s="27">
        <v>6.8</v>
      </c>
      <c r="I262" s="28"/>
      <c r="J262" s="27">
        <f>(('ECOLES INTERVENTION'!$D262+'ECOLES INTERVENTION'!$F262+'ECOLES INTERVENTION'!$H262)/3)</f>
        <v>6.403333333</v>
      </c>
      <c r="K262" s="28"/>
      <c r="L262" s="28" t="s">
        <v>32</v>
      </c>
      <c r="M262" s="30">
        <v>1.0</v>
      </c>
      <c r="N262" s="26"/>
      <c r="O262" s="26"/>
      <c r="P262" s="26"/>
    </row>
    <row r="263" ht="14.25" customHeight="1">
      <c r="A263" s="18">
        <v>8.0</v>
      </c>
      <c r="B263" s="19" t="s">
        <v>270</v>
      </c>
      <c r="C263" s="20"/>
      <c r="D263" s="27">
        <v>4.5</v>
      </c>
      <c r="E263" s="27"/>
      <c r="F263" s="27">
        <v>5.55</v>
      </c>
      <c r="G263" s="27"/>
      <c r="H263" s="27">
        <v>7.45</v>
      </c>
      <c r="I263" s="28"/>
      <c r="J263" s="27">
        <f>(('ECOLES INTERVENTION'!$D263+'ECOLES INTERVENTION'!$F263+'ECOLES INTERVENTION'!$H263)/3)</f>
        <v>5.833333333</v>
      </c>
      <c r="K263" s="28"/>
      <c r="L263" s="28" t="s">
        <v>32</v>
      </c>
      <c r="M263" s="30">
        <v>1.0</v>
      </c>
      <c r="N263" s="26"/>
      <c r="O263" s="26"/>
      <c r="P263" s="26"/>
    </row>
    <row r="264" ht="14.25" customHeight="1">
      <c r="A264" s="18">
        <v>9.0</v>
      </c>
      <c r="B264" s="19" t="s">
        <v>271</v>
      </c>
      <c r="C264" s="20"/>
      <c r="D264" s="27">
        <v>5.75</v>
      </c>
      <c r="E264" s="27"/>
      <c r="F264" s="27">
        <v>4.75</v>
      </c>
      <c r="G264" s="27"/>
      <c r="H264" s="27">
        <v>5.8</v>
      </c>
      <c r="I264" s="28"/>
      <c r="J264" s="27">
        <f>(('ECOLES INTERVENTION'!$D264+'ECOLES INTERVENTION'!$F264+'ECOLES INTERVENTION'!$H264)/3)</f>
        <v>5.433333333</v>
      </c>
      <c r="K264" s="28"/>
      <c r="L264" s="28" t="s">
        <v>32</v>
      </c>
      <c r="M264" s="30">
        <v>1.0</v>
      </c>
      <c r="N264" s="26"/>
      <c r="O264" s="26"/>
      <c r="P264" s="26"/>
    </row>
    <row r="265" ht="14.25" customHeight="1">
      <c r="A265" s="18">
        <v>10.0</v>
      </c>
      <c r="B265" s="19" t="s">
        <v>272</v>
      </c>
      <c r="C265" s="20"/>
      <c r="D265" s="27">
        <v>7.25</v>
      </c>
      <c r="E265" s="27"/>
      <c r="F265" s="27">
        <v>7.3</v>
      </c>
      <c r="G265" s="27"/>
      <c r="H265" s="27">
        <v>7.4</v>
      </c>
      <c r="I265" s="28"/>
      <c r="J265" s="27">
        <f>(('ECOLES INTERVENTION'!$D265+'ECOLES INTERVENTION'!$F265+'ECOLES INTERVENTION'!$H265)/3)</f>
        <v>7.316666667</v>
      </c>
      <c r="K265" s="28"/>
      <c r="L265" s="28" t="s">
        <v>32</v>
      </c>
      <c r="M265" s="30">
        <v>1.0</v>
      </c>
      <c r="N265" s="26"/>
      <c r="O265" s="26"/>
      <c r="P265" s="26"/>
    </row>
    <row r="266" ht="14.25" customHeight="1">
      <c r="A266" s="18">
        <v>11.0</v>
      </c>
      <c r="B266" s="19" t="s">
        <v>273</v>
      </c>
      <c r="C266" s="20"/>
      <c r="D266" s="27">
        <v>3.83</v>
      </c>
      <c r="E266" s="27"/>
      <c r="F266" s="27">
        <v>6.5</v>
      </c>
      <c r="G266" s="27"/>
      <c r="H266" s="27">
        <v>6.6</v>
      </c>
      <c r="I266" s="28"/>
      <c r="J266" s="27">
        <f>(('ECOLES INTERVENTION'!$D266+'ECOLES INTERVENTION'!$F266+'ECOLES INTERVENTION'!$H266)/3)</f>
        <v>5.643333333</v>
      </c>
      <c r="K266" s="28"/>
      <c r="L266" s="28" t="s">
        <v>32</v>
      </c>
      <c r="M266" s="30">
        <v>1.0</v>
      </c>
      <c r="N266" s="26"/>
      <c r="O266" s="26"/>
      <c r="P266" s="26"/>
    </row>
    <row r="267" ht="14.25" customHeight="1">
      <c r="A267" s="18">
        <v>12.0</v>
      </c>
      <c r="B267" s="19" t="s">
        <v>274</v>
      </c>
      <c r="C267" s="20"/>
      <c r="D267" s="27">
        <v>7.0</v>
      </c>
      <c r="E267" s="27"/>
      <c r="F267" s="27">
        <v>7.05</v>
      </c>
      <c r="G267" s="27"/>
      <c r="H267" s="27">
        <v>6.15</v>
      </c>
      <c r="I267" s="28"/>
      <c r="J267" s="27">
        <f>(('ECOLES INTERVENTION'!$D267+'ECOLES INTERVENTION'!$F267+'ECOLES INTERVENTION'!$H267)/3)</f>
        <v>6.733333333</v>
      </c>
      <c r="K267" s="28"/>
      <c r="L267" s="28" t="s">
        <v>32</v>
      </c>
      <c r="M267" s="30">
        <v>1.0</v>
      </c>
      <c r="N267" s="26"/>
      <c r="O267" s="26"/>
      <c r="P267" s="26"/>
    </row>
    <row r="268" ht="14.25" customHeight="1">
      <c r="A268" s="18">
        <v>13.0</v>
      </c>
      <c r="B268" s="19" t="s">
        <v>275</v>
      </c>
      <c r="C268" s="20"/>
      <c r="D268" s="27">
        <v>6.5</v>
      </c>
      <c r="E268" s="27"/>
      <c r="F268" s="27">
        <v>5.55</v>
      </c>
      <c r="G268" s="27"/>
      <c r="H268" s="27">
        <v>6.4</v>
      </c>
      <c r="I268" s="28"/>
      <c r="J268" s="27">
        <f>(('ECOLES INTERVENTION'!$D268+'ECOLES INTERVENTION'!$F268+'ECOLES INTERVENTION'!$H268)/3)</f>
        <v>6.15</v>
      </c>
      <c r="K268" s="28"/>
      <c r="L268" s="28" t="s">
        <v>32</v>
      </c>
      <c r="M268" s="30">
        <v>1.0</v>
      </c>
      <c r="N268" s="26"/>
      <c r="O268" s="26"/>
      <c r="P268" s="26"/>
    </row>
    <row r="269" ht="14.25" customHeight="1">
      <c r="A269" s="18">
        <v>14.0</v>
      </c>
      <c r="B269" s="19" t="s">
        <v>276</v>
      </c>
      <c r="C269" s="20"/>
      <c r="D269" s="27">
        <v>4.5</v>
      </c>
      <c r="E269" s="27"/>
      <c r="F269" s="27">
        <v>4.3</v>
      </c>
      <c r="G269" s="27"/>
      <c r="H269" s="27">
        <v>4.45</v>
      </c>
      <c r="I269" s="28"/>
      <c r="J269" s="27">
        <f>(('ECOLES INTERVENTION'!$D269+'ECOLES INTERVENTION'!$F269+'ECOLES INTERVENTION'!$H269)/3)</f>
        <v>4.416666667</v>
      </c>
      <c r="K269" s="28"/>
      <c r="L269" s="28" t="s">
        <v>32</v>
      </c>
      <c r="M269" s="30">
        <v>1.0</v>
      </c>
      <c r="N269" s="26"/>
      <c r="O269" s="26"/>
      <c r="P269" s="26"/>
    </row>
    <row r="270" ht="14.25" customHeight="1">
      <c r="A270" s="18">
        <v>15.0</v>
      </c>
      <c r="B270" s="19" t="s">
        <v>277</v>
      </c>
      <c r="C270" s="20"/>
      <c r="D270" s="27">
        <v>4.75</v>
      </c>
      <c r="E270" s="27"/>
      <c r="F270" s="27">
        <v>4.85</v>
      </c>
      <c r="G270" s="27"/>
      <c r="H270" s="27">
        <v>5.01</v>
      </c>
      <c r="I270" s="28"/>
      <c r="J270" s="27">
        <f>(('ECOLES INTERVENTION'!$D270+'ECOLES INTERVENTION'!$F270+'ECOLES INTERVENTION'!$H270)/3)</f>
        <v>4.87</v>
      </c>
      <c r="K270" s="28"/>
      <c r="L270" s="28" t="s">
        <v>32</v>
      </c>
      <c r="M270" s="30">
        <v>1.0</v>
      </c>
      <c r="N270" s="26"/>
      <c r="O270" s="26"/>
      <c r="P270" s="26"/>
    </row>
    <row r="271" ht="14.25" customHeight="1">
      <c r="A271" s="18">
        <v>16.0</v>
      </c>
      <c r="B271" s="19" t="s">
        <v>278</v>
      </c>
      <c r="C271" s="20"/>
      <c r="D271" s="27">
        <v>7.25</v>
      </c>
      <c r="E271" s="27"/>
      <c r="F271" s="27">
        <v>7.05</v>
      </c>
      <c r="G271" s="27"/>
      <c r="H271" s="27">
        <v>7.11</v>
      </c>
      <c r="I271" s="28"/>
      <c r="J271" s="27">
        <f>(('ECOLES INTERVENTION'!$D271+'ECOLES INTERVENTION'!$F271+'ECOLES INTERVENTION'!$H271)/3)</f>
        <v>7.136666667</v>
      </c>
      <c r="K271" s="28"/>
      <c r="L271" s="28" t="s">
        <v>32</v>
      </c>
      <c r="M271" s="30">
        <v>1.0</v>
      </c>
      <c r="N271" s="26"/>
      <c r="O271" s="26"/>
      <c r="P271" s="26"/>
    </row>
    <row r="272" ht="14.25" customHeight="1">
      <c r="A272" s="18">
        <v>17.0</v>
      </c>
      <c r="B272" s="19" t="s">
        <v>279</v>
      </c>
      <c r="C272" s="20"/>
      <c r="D272" s="27">
        <v>2.16</v>
      </c>
      <c r="E272" s="27"/>
      <c r="F272" s="27">
        <v>3.6</v>
      </c>
      <c r="G272" s="27"/>
      <c r="H272" s="27">
        <v>3.75</v>
      </c>
      <c r="I272" s="28"/>
      <c r="J272" s="27">
        <f>(('ECOLES INTERVENTION'!$D272+'ECOLES INTERVENTION'!$F272+'ECOLES INTERVENTION'!$H272)/3)</f>
        <v>3.17</v>
      </c>
      <c r="K272" s="28"/>
      <c r="L272" s="28" t="s">
        <v>32</v>
      </c>
      <c r="M272" s="30">
        <v>1.0</v>
      </c>
      <c r="N272" s="26"/>
      <c r="O272" s="26"/>
      <c r="P272" s="26"/>
    </row>
    <row r="273" ht="14.25" customHeight="1">
      <c r="A273" s="18">
        <v>18.0</v>
      </c>
      <c r="B273" s="19" t="s">
        <v>280</v>
      </c>
      <c r="C273" s="20"/>
      <c r="D273" s="27">
        <v>1.5</v>
      </c>
      <c r="E273" s="27"/>
      <c r="F273" s="27">
        <v>1.75</v>
      </c>
      <c r="G273" s="27"/>
      <c r="H273" s="27">
        <v>2.05</v>
      </c>
      <c r="I273" s="28"/>
      <c r="J273" s="27">
        <f>(('ECOLES INTERVENTION'!$D273+'ECOLES INTERVENTION'!$F273+'ECOLES INTERVENTION'!$H273)/3)</f>
        <v>1.766666667</v>
      </c>
      <c r="K273" s="28"/>
      <c r="L273" s="28" t="s">
        <v>28</v>
      </c>
      <c r="M273" s="24"/>
      <c r="N273" s="29">
        <v>1.0</v>
      </c>
      <c r="O273" s="7"/>
      <c r="P273" s="7"/>
    </row>
    <row r="274" ht="14.25" customHeight="1">
      <c r="A274" s="18">
        <v>19.0</v>
      </c>
      <c r="B274" s="19" t="s">
        <v>281</v>
      </c>
      <c r="C274" s="20"/>
      <c r="D274" s="27">
        <v>4.75</v>
      </c>
      <c r="E274" s="27"/>
      <c r="F274" s="27">
        <v>4.75</v>
      </c>
      <c r="G274" s="27"/>
      <c r="H274" s="27">
        <v>4.6</v>
      </c>
      <c r="I274" s="28"/>
      <c r="J274" s="27">
        <f>(('ECOLES INTERVENTION'!$D274+'ECOLES INTERVENTION'!$F274+'ECOLES INTERVENTION'!$H274)/3)</f>
        <v>4.7</v>
      </c>
      <c r="K274" s="28"/>
      <c r="L274" s="28" t="s">
        <v>32</v>
      </c>
      <c r="M274" s="30">
        <v>1.0</v>
      </c>
      <c r="N274" s="26"/>
      <c r="O274" s="26"/>
      <c r="P274" s="26"/>
    </row>
    <row r="275" ht="14.25" customHeight="1">
      <c r="A275" s="18">
        <v>20.0</v>
      </c>
      <c r="B275" s="19" t="s">
        <v>282</v>
      </c>
      <c r="C275" s="20"/>
      <c r="D275" s="27">
        <v>4.25</v>
      </c>
      <c r="E275" s="27"/>
      <c r="F275" s="27">
        <v>5.35</v>
      </c>
      <c r="G275" s="27"/>
      <c r="H275" s="27">
        <v>6.36</v>
      </c>
      <c r="I275" s="28"/>
      <c r="J275" s="27">
        <f>(('ECOLES INTERVENTION'!$D275+'ECOLES INTERVENTION'!$F275+'ECOLES INTERVENTION'!$H275)/3)</f>
        <v>5.32</v>
      </c>
      <c r="K275" s="28"/>
      <c r="L275" s="28" t="s">
        <v>32</v>
      </c>
      <c r="M275" s="30">
        <v>1.0</v>
      </c>
      <c r="N275" s="26"/>
      <c r="O275" s="26"/>
      <c r="P275" s="26"/>
    </row>
    <row r="276" ht="14.25" customHeight="1">
      <c r="A276" s="18">
        <v>21.0</v>
      </c>
      <c r="B276" s="19" t="s">
        <v>283</v>
      </c>
      <c r="C276" s="20"/>
      <c r="D276" s="27">
        <v>6.25</v>
      </c>
      <c r="E276" s="27"/>
      <c r="F276" s="27">
        <v>7.2</v>
      </c>
      <c r="G276" s="27"/>
      <c r="H276" s="27">
        <v>7.25</v>
      </c>
      <c r="I276" s="28"/>
      <c r="J276" s="27">
        <f>(('ECOLES INTERVENTION'!$D276+'ECOLES INTERVENTION'!$F276+'ECOLES INTERVENTION'!$H276)/3)</f>
        <v>6.9</v>
      </c>
      <c r="K276" s="28"/>
      <c r="L276" s="28" t="s">
        <v>32</v>
      </c>
      <c r="M276" s="30">
        <v>1.0</v>
      </c>
      <c r="N276" s="26"/>
      <c r="O276" s="26"/>
      <c r="P276" s="26"/>
    </row>
    <row r="277" ht="14.25" customHeight="1">
      <c r="A277" s="18">
        <v>22.0</v>
      </c>
      <c r="B277" s="19" t="s">
        <v>284</v>
      </c>
      <c r="C277" s="20"/>
      <c r="D277" s="27">
        <v>4.5</v>
      </c>
      <c r="E277" s="27"/>
      <c r="F277" s="27">
        <v>4.65</v>
      </c>
      <c r="G277" s="27"/>
      <c r="H277" s="27">
        <v>4.11</v>
      </c>
      <c r="I277" s="28"/>
      <c r="J277" s="27">
        <f>(('ECOLES INTERVENTION'!$D277+'ECOLES INTERVENTION'!$F277+'ECOLES INTERVENTION'!$H277)/3)</f>
        <v>4.42</v>
      </c>
      <c r="K277" s="28"/>
      <c r="L277" s="28" t="s">
        <v>32</v>
      </c>
      <c r="M277" s="30">
        <v>1.0</v>
      </c>
      <c r="N277" s="26"/>
      <c r="O277" s="26"/>
      <c r="P277" s="26"/>
    </row>
    <row r="278" ht="14.25" customHeight="1">
      <c r="A278" s="18">
        <v>23.0</v>
      </c>
      <c r="B278" s="19" t="s">
        <v>285</v>
      </c>
      <c r="C278" s="20"/>
      <c r="D278" s="27">
        <v>6.33</v>
      </c>
      <c r="E278" s="27"/>
      <c r="F278" s="27">
        <v>7.5</v>
      </c>
      <c r="G278" s="27"/>
      <c r="H278" s="27">
        <v>8.0</v>
      </c>
      <c r="I278" s="28"/>
      <c r="J278" s="27">
        <f>(('ECOLES INTERVENTION'!$D278+'ECOLES INTERVENTION'!$F278+'ECOLES INTERVENTION'!$H278)/3)</f>
        <v>7.276666667</v>
      </c>
      <c r="K278" s="28"/>
      <c r="L278" s="28" t="s">
        <v>32</v>
      </c>
      <c r="M278" s="30">
        <v>1.0</v>
      </c>
      <c r="N278" s="26"/>
      <c r="O278" s="26"/>
      <c r="P278" s="26"/>
    </row>
    <row r="279" ht="14.25" customHeight="1">
      <c r="A279" s="18">
        <v>24.0</v>
      </c>
      <c r="B279" s="19" t="s">
        <v>284</v>
      </c>
      <c r="C279" s="20"/>
      <c r="D279" s="27">
        <v>4.36</v>
      </c>
      <c r="E279" s="27"/>
      <c r="F279" s="27">
        <v>5.0</v>
      </c>
      <c r="G279" s="27"/>
      <c r="H279" s="27">
        <v>5.02</v>
      </c>
      <c r="I279" s="28"/>
      <c r="J279" s="27">
        <f>(('ECOLES INTERVENTION'!$D279+'ECOLES INTERVENTION'!$F279+'ECOLES INTERVENTION'!$H279)/3)</f>
        <v>4.793333333</v>
      </c>
      <c r="K279" s="28"/>
      <c r="L279" s="28" t="s">
        <v>32</v>
      </c>
      <c r="M279" s="30">
        <v>1.0</v>
      </c>
      <c r="N279" s="26"/>
      <c r="O279" s="26"/>
      <c r="P279" s="26"/>
    </row>
    <row r="280" ht="14.25" customHeight="1">
      <c r="A280" s="8"/>
      <c r="B280" s="34"/>
      <c r="C280" s="35"/>
      <c r="D280" s="36"/>
      <c r="E280" s="36"/>
      <c r="F280" s="36"/>
      <c r="G280" s="36"/>
      <c r="H280" s="36"/>
      <c r="I280" s="37"/>
      <c r="J280" s="27"/>
      <c r="K280" s="37"/>
      <c r="L280" s="37"/>
      <c r="M280" s="25">
        <f t="shared" ref="M280:N280" si="10">SUM(M256:M279)</f>
        <v>23</v>
      </c>
      <c r="N280" s="26">
        <f t="shared" si="10"/>
        <v>1</v>
      </c>
      <c r="O280" s="26"/>
      <c r="P280" s="26"/>
    </row>
    <row r="281" ht="14.25" customHeight="1">
      <c r="A281" s="50"/>
      <c r="B281" s="61"/>
      <c r="C281" s="61"/>
      <c r="D281" s="53"/>
      <c r="E281" s="53"/>
      <c r="F281" s="53"/>
      <c r="G281" s="53"/>
      <c r="H281" s="53"/>
      <c r="I281" s="53"/>
      <c r="J281" s="27"/>
      <c r="K281" s="53"/>
      <c r="L281" s="53"/>
      <c r="M281" s="54">
        <f>M280/A279</f>
        <v>0.9583333333</v>
      </c>
      <c r="N281" s="55">
        <f>N280/A279</f>
        <v>0.04166666667</v>
      </c>
      <c r="O281" s="56"/>
      <c r="P281" s="56"/>
    </row>
    <row r="282" ht="14.25" customHeight="1">
      <c r="A282" s="50" t="s">
        <v>286</v>
      </c>
      <c r="B282" s="58"/>
      <c r="C282" s="58"/>
      <c r="D282" s="53"/>
      <c r="E282" s="53"/>
      <c r="F282" s="53"/>
      <c r="G282" s="53"/>
      <c r="H282" s="53"/>
      <c r="I282" s="53"/>
      <c r="J282" s="27">
        <f>(('ECOLES INTERVENTION'!$D282+'ECOLES INTERVENTION'!$F282+'ECOLES INTERVENTION'!$H282)/3)</f>
        <v>0</v>
      </c>
      <c r="K282" s="53"/>
      <c r="L282" s="53"/>
      <c r="M282" s="53"/>
      <c r="N282" s="56"/>
      <c r="O282" s="56"/>
      <c r="P282" s="56"/>
    </row>
    <row r="283" ht="14.25" customHeight="1">
      <c r="A283" s="18">
        <v>1.0</v>
      </c>
      <c r="B283" s="19" t="s">
        <v>287</v>
      </c>
      <c r="C283" s="20"/>
      <c r="D283" s="28">
        <v>4.33</v>
      </c>
      <c r="E283" s="28"/>
      <c r="F283" s="28">
        <v>5.52</v>
      </c>
      <c r="G283" s="28"/>
      <c r="H283" s="28">
        <v>6.24</v>
      </c>
      <c r="I283" s="28"/>
      <c r="J283" s="27">
        <f>(('ECOLES INTERVENTION'!$D283+'ECOLES INTERVENTION'!$F283+'ECOLES INTERVENTION'!$H283)/3)</f>
        <v>5.363333333</v>
      </c>
      <c r="K283" s="28"/>
      <c r="L283" s="28" t="s">
        <v>32</v>
      </c>
      <c r="M283" s="30">
        <v>1.0</v>
      </c>
      <c r="N283" s="26"/>
      <c r="O283" s="26"/>
      <c r="P283" s="26"/>
    </row>
    <row r="284" ht="14.25" customHeight="1">
      <c r="A284" s="18">
        <v>2.0</v>
      </c>
      <c r="B284" s="19" t="s">
        <v>288</v>
      </c>
      <c r="C284" s="20"/>
      <c r="D284" s="28">
        <v>6.33</v>
      </c>
      <c r="E284" s="28"/>
      <c r="F284" s="28">
        <v>7.5</v>
      </c>
      <c r="G284" s="28"/>
      <c r="H284" s="28">
        <v>7.8</v>
      </c>
      <c r="I284" s="28"/>
      <c r="J284" s="27">
        <f>(('ECOLES INTERVENTION'!$D284+'ECOLES INTERVENTION'!$F284+'ECOLES INTERVENTION'!$H284)/3)</f>
        <v>7.21</v>
      </c>
      <c r="K284" s="28"/>
      <c r="L284" s="28" t="s">
        <v>32</v>
      </c>
      <c r="M284" s="30">
        <v>1.0</v>
      </c>
      <c r="N284" s="26"/>
      <c r="O284" s="26"/>
      <c r="P284" s="26"/>
    </row>
    <row r="285" ht="14.25" customHeight="1">
      <c r="A285" s="18">
        <v>3.0</v>
      </c>
      <c r="B285" s="19" t="s">
        <v>289</v>
      </c>
      <c r="C285" s="20"/>
      <c r="D285" s="28">
        <v>5.5</v>
      </c>
      <c r="E285" s="28"/>
      <c r="F285" s="28">
        <v>6.25</v>
      </c>
      <c r="G285" s="28"/>
      <c r="H285" s="28">
        <v>6.23</v>
      </c>
      <c r="I285" s="28"/>
      <c r="J285" s="27">
        <f>(('ECOLES INTERVENTION'!$D285+'ECOLES INTERVENTION'!$F285+'ECOLES INTERVENTION'!$H285)/3)</f>
        <v>5.993333333</v>
      </c>
      <c r="K285" s="28"/>
      <c r="L285" s="28" t="s">
        <v>32</v>
      </c>
      <c r="M285" s="30">
        <v>1.0</v>
      </c>
      <c r="N285" s="26"/>
      <c r="O285" s="26"/>
      <c r="P285" s="26"/>
    </row>
    <row r="286" ht="14.25" customHeight="1">
      <c r="A286" s="18">
        <v>4.0</v>
      </c>
      <c r="B286" s="19" t="s">
        <v>290</v>
      </c>
      <c r="C286" s="20"/>
      <c r="D286" s="28">
        <v>5.26</v>
      </c>
      <c r="E286" s="28"/>
      <c r="F286" s="28">
        <v>7.45</v>
      </c>
      <c r="G286" s="28"/>
      <c r="H286" s="28">
        <v>7.2</v>
      </c>
      <c r="I286" s="28"/>
      <c r="J286" s="27">
        <f>(('ECOLES INTERVENTION'!$D286+'ECOLES INTERVENTION'!$F286+'ECOLES INTERVENTION'!$H286)/3)</f>
        <v>6.636666667</v>
      </c>
      <c r="K286" s="28"/>
      <c r="L286" s="28" t="s">
        <v>32</v>
      </c>
      <c r="M286" s="30">
        <v>1.0</v>
      </c>
      <c r="N286" s="26"/>
      <c r="O286" s="26"/>
      <c r="P286" s="26"/>
    </row>
    <row r="287" ht="14.25" customHeight="1">
      <c r="A287" s="18">
        <v>5.0</v>
      </c>
      <c r="B287" s="19" t="s">
        <v>291</v>
      </c>
      <c r="C287" s="20"/>
      <c r="D287" s="28">
        <v>2.04</v>
      </c>
      <c r="E287" s="28"/>
      <c r="F287" s="28">
        <v>3.55</v>
      </c>
      <c r="G287" s="28"/>
      <c r="H287" s="28">
        <v>3.23</v>
      </c>
      <c r="I287" s="28"/>
      <c r="J287" s="27">
        <f>(('ECOLES INTERVENTION'!$D287+'ECOLES INTERVENTION'!$F287+'ECOLES INTERVENTION'!$H287)/3)</f>
        <v>2.94</v>
      </c>
      <c r="K287" s="28"/>
      <c r="L287" s="28" t="s">
        <v>28</v>
      </c>
      <c r="M287" s="30"/>
      <c r="N287" s="29">
        <v>1.0</v>
      </c>
      <c r="O287" s="7"/>
      <c r="P287" s="7"/>
    </row>
    <row r="288" ht="14.25" customHeight="1">
      <c r="A288" s="18">
        <v>6.0</v>
      </c>
      <c r="B288" s="19" t="s">
        <v>292</v>
      </c>
      <c r="C288" s="20"/>
      <c r="D288" s="28">
        <v>4.33</v>
      </c>
      <c r="E288" s="28"/>
      <c r="F288" s="28">
        <v>6.63</v>
      </c>
      <c r="G288" s="28"/>
      <c r="H288" s="28">
        <v>6.23</v>
      </c>
      <c r="I288" s="28"/>
      <c r="J288" s="27">
        <f>(('ECOLES INTERVENTION'!$D288+'ECOLES INTERVENTION'!$F288+'ECOLES INTERVENTION'!$H288)/3)</f>
        <v>5.73</v>
      </c>
      <c r="K288" s="28"/>
      <c r="L288" s="28" t="s">
        <v>32</v>
      </c>
      <c r="M288" s="30">
        <v>1.0</v>
      </c>
      <c r="N288" s="26"/>
      <c r="O288" s="26"/>
      <c r="P288" s="26"/>
    </row>
    <row r="289" ht="14.25" customHeight="1">
      <c r="A289" s="18">
        <v>7.0</v>
      </c>
      <c r="B289" s="19" t="s">
        <v>293</v>
      </c>
      <c r="C289" s="20"/>
      <c r="D289" s="28">
        <v>6.33</v>
      </c>
      <c r="E289" s="28"/>
      <c r="F289" s="28">
        <v>5.62</v>
      </c>
      <c r="G289" s="28"/>
      <c r="H289" s="28">
        <v>7.12</v>
      </c>
      <c r="I289" s="28"/>
      <c r="J289" s="27">
        <f>(('ECOLES INTERVENTION'!$D289+'ECOLES INTERVENTION'!$F289+'ECOLES INTERVENTION'!$H289)/3)</f>
        <v>6.356666667</v>
      </c>
      <c r="K289" s="28"/>
      <c r="L289" s="28" t="s">
        <v>32</v>
      </c>
      <c r="M289" s="30">
        <v>1.0</v>
      </c>
      <c r="N289" s="26"/>
      <c r="O289" s="26"/>
      <c r="P289" s="26"/>
    </row>
    <row r="290" ht="14.25" customHeight="1">
      <c r="A290" s="18">
        <v>8.0</v>
      </c>
      <c r="B290" s="19" t="s">
        <v>294</v>
      </c>
      <c r="C290" s="20"/>
      <c r="D290" s="28">
        <v>5.2</v>
      </c>
      <c r="E290" s="28"/>
      <c r="F290" s="28">
        <v>6.09</v>
      </c>
      <c r="G290" s="28"/>
      <c r="H290" s="28">
        <v>6.85</v>
      </c>
      <c r="I290" s="28"/>
      <c r="J290" s="27">
        <f>(('ECOLES INTERVENTION'!$D290+'ECOLES INTERVENTION'!$F290+'ECOLES INTERVENTION'!$H290)/3)</f>
        <v>6.046666667</v>
      </c>
      <c r="K290" s="28"/>
      <c r="L290" s="28" t="s">
        <v>32</v>
      </c>
      <c r="M290" s="30">
        <v>1.0</v>
      </c>
      <c r="N290" s="26"/>
      <c r="O290" s="26"/>
      <c r="P290" s="26"/>
    </row>
    <row r="291" ht="14.25" customHeight="1">
      <c r="A291" s="18">
        <v>9.0</v>
      </c>
      <c r="B291" s="19" t="s">
        <v>295</v>
      </c>
      <c r="C291" s="20"/>
      <c r="D291" s="28">
        <v>4.33</v>
      </c>
      <c r="E291" s="28"/>
      <c r="F291" s="28">
        <v>5.25</v>
      </c>
      <c r="G291" s="28"/>
      <c r="H291" s="28">
        <v>7.12</v>
      </c>
      <c r="I291" s="28"/>
      <c r="J291" s="27">
        <f>(('ECOLES INTERVENTION'!$D291+'ECOLES INTERVENTION'!$F291+'ECOLES INTERVENTION'!$H291)/3)</f>
        <v>5.566666667</v>
      </c>
      <c r="K291" s="28"/>
      <c r="L291" s="28" t="s">
        <v>32</v>
      </c>
      <c r="M291" s="30">
        <v>1.0</v>
      </c>
      <c r="N291" s="26"/>
      <c r="O291" s="26"/>
      <c r="P291" s="26"/>
    </row>
    <row r="292" ht="14.25" customHeight="1">
      <c r="A292" s="18">
        <v>10.0</v>
      </c>
      <c r="B292" s="19" t="s">
        <v>296</v>
      </c>
      <c r="C292" s="20"/>
      <c r="D292" s="28">
        <v>7.33</v>
      </c>
      <c r="E292" s="28"/>
      <c r="F292" s="28">
        <v>8.5</v>
      </c>
      <c r="G292" s="28"/>
      <c r="H292" s="28">
        <v>8.7</v>
      </c>
      <c r="I292" s="28"/>
      <c r="J292" s="27">
        <f>(('ECOLES INTERVENTION'!$D292+'ECOLES INTERVENTION'!$F292+'ECOLES INTERVENTION'!$H292)/3)</f>
        <v>8.176666667</v>
      </c>
      <c r="K292" s="28"/>
      <c r="L292" s="28" t="s">
        <v>32</v>
      </c>
      <c r="M292" s="30">
        <v>1.0</v>
      </c>
      <c r="N292" s="26"/>
      <c r="O292" s="26"/>
      <c r="P292" s="26"/>
    </row>
    <row r="293" ht="14.25" customHeight="1">
      <c r="A293" s="18">
        <v>11.0</v>
      </c>
      <c r="B293" s="33" t="s">
        <v>297</v>
      </c>
      <c r="C293" s="32"/>
      <c r="D293" s="28">
        <v>6.33</v>
      </c>
      <c r="E293" s="28"/>
      <c r="F293" s="28">
        <v>6.52</v>
      </c>
      <c r="G293" s="28"/>
      <c r="H293" s="28">
        <v>7.25</v>
      </c>
      <c r="I293" s="28"/>
      <c r="J293" s="27">
        <f>(('ECOLES INTERVENTION'!$D293+'ECOLES INTERVENTION'!$F293+'ECOLES INTERVENTION'!$H293)/3)</f>
        <v>6.7</v>
      </c>
      <c r="K293" s="28"/>
      <c r="L293" s="28" t="s">
        <v>32</v>
      </c>
      <c r="M293" s="30">
        <v>1.0</v>
      </c>
      <c r="N293" s="26"/>
      <c r="O293" s="26"/>
      <c r="P293" s="26"/>
    </row>
    <row r="294" ht="14.25" customHeight="1">
      <c r="A294" s="18">
        <v>12.0</v>
      </c>
      <c r="B294" s="19" t="s">
        <v>298</v>
      </c>
      <c r="C294" s="20"/>
      <c r="D294" s="28">
        <v>7.37</v>
      </c>
      <c r="E294" s="28"/>
      <c r="F294" s="28">
        <v>7.13</v>
      </c>
      <c r="G294" s="28"/>
      <c r="H294" s="28">
        <v>8.2</v>
      </c>
      <c r="I294" s="28"/>
      <c r="J294" s="27">
        <f>(('ECOLES INTERVENTION'!$D294+'ECOLES INTERVENTION'!$F294+'ECOLES INTERVENTION'!$H294)/3)</f>
        <v>7.566666667</v>
      </c>
      <c r="K294" s="28"/>
      <c r="L294" s="28" t="s">
        <v>32</v>
      </c>
      <c r="M294" s="30">
        <v>1.0</v>
      </c>
      <c r="N294" s="26"/>
      <c r="O294" s="26"/>
      <c r="P294" s="26"/>
    </row>
    <row r="295" ht="14.25" customHeight="1">
      <c r="A295" s="18">
        <v>13.0</v>
      </c>
      <c r="B295" s="19" t="s">
        <v>299</v>
      </c>
      <c r="C295" s="20"/>
      <c r="D295" s="28">
        <v>3.85</v>
      </c>
      <c r="E295" s="28"/>
      <c r="F295" s="28">
        <v>5.5</v>
      </c>
      <c r="G295" s="28"/>
      <c r="H295" s="28">
        <v>5.65</v>
      </c>
      <c r="I295" s="28"/>
      <c r="J295" s="27">
        <f>(('ECOLES INTERVENTION'!$D295+'ECOLES INTERVENTION'!$F295+'ECOLES INTERVENTION'!$H295)/3)</f>
        <v>5</v>
      </c>
      <c r="K295" s="28"/>
      <c r="L295" s="28" t="s">
        <v>32</v>
      </c>
      <c r="M295" s="30">
        <v>1.0</v>
      </c>
      <c r="N295" s="26"/>
      <c r="O295" s="26"/>
      <c r="P295" s="26"/>
    </row>
    <row r="296" ht="14.25" customHeight="1">
      <c r="A296" s="18">
        <v>14.0</v>
      </c>
      <c r="B296" s="33" t="s">
        <v>300</v>
      </c>
      <c r="C296" s="32"/>
      <c r="D296" s="28">
        <v>6.13</v>
      </c>
      <c r="E296" s="28"/>
      <c r="F296" s="28">
        <v>5.45</v>
      </c>
      <c r="G296" s="28"/>
      <c r="H296" s="28">
        <v>6.9</v>
      </c>
      <c r="I296" s="28"/>
      <c r="J296" s="27">
        <f>(('ECOLES INTERVENTION'!$D296+'ECOLES INTERVENTION'!$F296+'ECOLES INTERVENTION'!$H296)/3)</f>
        <v>6.16</v>
      </c>
      <c r="K296" s="28"/>
      <c r="L296" s="28" t="s">
        <v>32</v>
      </c>
      <c r="M296" s="30">
        <v>1.0</v>
      </c>
      <c r="N296" s="26"/>
      <c r="O296" s="26"/>
      <c r="P296" s="26"/>
    </row>
    <row r="297" ht="14.25" customHeight="1">
      <c r="A297" s="18">
        <v>15.0</v>
      </c>
      <c r="B297" s="19" t="s">
        <v>301</v>
      </c>
      <c r="C297" s="20"/>
      <c r="D297" s="28">
        <v>5.36</v>
      </c>
      <c r="E297" s="28"/>
      <c r="F297" s="28">
        <v>6.26</v>
      </c>
      <c r="G297" s="28"/>
      <c r="H297" s="28">
        <v>6.36</v>
      </c>
      <c r="I297" s="28"/>
      <c r="J297" s="27">
        <f>(('ECOLES INTERVENTION'!$D297+'ECOLES INTERVENTION'!$F297+'ECOLES INTERVENTION'!$H297)/3)</f>
        <v>5.993333333</v>
      </c>
      <c r="K297" s="28"/>
      <c r="L297" s="28" t="s">
        <v>32</v>
      </c>
      <c r="M297" s="30">
        <v>1.0</v>
      </c>
      <c r="N297" s="26"/>
      <c r="O297" s="26"/>
      <c r="P297" s="26"/>
    </row>
    <row r="298" ht="14.25" customHeight="1">
      <c r="A298" s="18">
        <v>16.0</v>
      </c>
      <c r="B298" s="19" t="s">
        <v>302</v>
      </c>
      <c r="C298" s="20"/>
      <c r="D298" s="28">
        <v>4.16</v>
      </c>
      <c r="E298" s="28"/>
      <c r="F298" s="28">
        <v>4.18</v>
      </c>
      <c r="G298" s="28"/>
      <c r="H298" s="28">
        <v>4.7</v>
      </c>
      <c r="I298" s="28"/>
      <c r="J298" s="27">
        <f>(('ECOLES INTERVENTION'!$D298+'ECOLES INTERVENTION'!$F298+'ECOLES INTERVENTION'!$H298)/3)</f>
        <v>4.346666667</v>
      </c>
      <c r="K298" s="28"/>
      <c r="L298" s="28" t="s">
        <v>28</v>
      </c>
      <c r="M298" s="30"/>
      <c r="N298" s="29">
        <v>1.0</v>
      </c>
      <c r="O298" s="26"/>
      <c r="P298" s="26"/>
    </row>
    <row r="299" ht="14.25" customHeight="1">
      <c r="A299" s="18">
        <v>17.0</v>
      </c>
      <c r="B299" s="19" t="s">
        <v>303</v>
      </c>
      <c r="C299" s="20"/>
      <c r="D299" s="28">
        <v>6.33</v>
      </c>
      <c r="E299" s="28"/>
      <c r="F299" s="28">
        <v>7.52</v>
      </c>
      <c r="G299" s="28"/>
      <c r="H299" s="28">
        <v>7.21</v>
      </c>
      <c r="I299" s="28"/>
      <c r="J299" s="27">
        <f>(('ECOLES INTERVENTION'!$D299+'ECOLES INTERVENTION'!$F299+'ECOLES INTERVENTION'!$H299)/3)</f>
        <v>7.02</v>
      </c>
      <c r="K299" s="28"/>
      <c r="L299" s="28" t="s">
        <v>32</v>
      </c>
      <c r="M299" s="30">
        <v>1.0</v>
      </c>
      <c r="N299" s="26"/>
      <c r="O299" s="26"/>
      <c r="P299" s="26"/>
    </row>
    <row r="300" ht="14.25" customHeight="1">
      <c r="A300" s="18">
        <v>18.0</v>
      </c>
      <c r="B300" s="19" t="s">
        <v>304</v>
      </c>
      <c r="C300" s="20"/>
      <c r="D300" s="28">
        <v>5.33</v>
      </c>
      <c r="E300" s="28"/>
      <c r="F300" s="28">
        <v>5.31</v>
      </c>
      <c r="G300" s="28"/>
      <c r="H300" s="28">
        <v>5.71</v>
      </c>
      <c r="I300" s="28"/>
      <c r="J300" s="27">
        <f>(('ECOLES INTERVENTION'!$D300+'ECOLES INTERVENTION'!$F300+'ECOLES INTERVENTION'!$H300)/3)</f>
        <v>5.45</v>
      </c>
      <c r="K300" s="28"/>
      <c r="L300" s="28" t="s">
        <v>32</v>
      </c>
      <c r="M300" s="30">
        <v>1.0</v>
      </c>
      <c r="N300" s="26"/>
      <c r="O300" s="26"/>
      <c r="P300" s="26"/>
    </row>
    <row r="301" ht="14.25" customHeight="1">
      <c r="A301" s="18">
        <v>19.0</v>
      </c>
      <c r="B301" s="19" t="s">
        <v>305</v>
      </c>
      <c r="C301" s="20"/>
      <c r="D301" s="28">
        <v>4.66</v>
      </c>
      <c r="E301" s="28"/>
      <c r="F301" s="28">
        <v>4.54</v>
      </c>
      <c r="G301" s="28"/>
      <c r="H301" s="28">
        <v>4.75</v>
      </c>
      <c r="I301" s="28"/>
      <c r="J301" s="27">
        <f>(('ECOLES INTERVENTION'!$D301+'ECOLES INTERVENTION'!$F301+'ECOLES INTERVENTION'!$H301)/3)</f>
        <v>4.65</v>
      </c>
      <c r="K301" s="28"/>
      <c r="L301" s="28" t="s">
        <v>32</v>
      </c>
      <c r="M301" s="30">
        <v>1.0</v>
      </c>
      <c r="N301" s="26"/>
      <c r="O301" s="26"/>
      <c r="P301" s="26"/>
    </row>
    <row r="302" ht="14.25" customHeight="1">
      <c r="A302" s="18">
        <v>20.0</v>
      </c>
      <c r="B302" s="33" t="s">
        <v>306</v>
      </c>
      <c r="C302" s="32"/>
      <c r="D302" s="28">
        <v>5.36</v>
      </c>
      <c r="E302" s="28"/>
      <c r="F302" s="28">
        <v>7.36</v>
      </c>
      <c r="G302" s="28"/>
      <c r="H302" s="28">
        <v>6.6</v>
      </c>
      <c r="I302" s="28"/>
      <c r="J302" s="27">
        <f>(('ECOLES INTERVENTION'!$D302+'ECOLES INTERVENTION'!$F302+'ECOLES INTERVENTION'!$H302)/3)</f>
        <v>6.44</v>
      </c>
      <c r="K302" s="28"/>
      <c r="L302" s="28" t="s">
        <v>32</v>
      </c>
      <c r="M302" s="30">
        <v>1.0</v>
      </c>
      <c r="N302" s="26"/>
      <c r="O302" s="26"/>
      <c r="P302" s="26"/>
    </row>
    <row r="303" ht="14.25" customHeight="1">
      <c r="A303" s="18">
        <v>21.0</v>
      </c>
      <c r="B303" s="19" t="s">
        <v>218</v>
      </c>
      <c r="C303" s="20"/>
      <c r="D303" s="28">
        <v>6.66</v>
      </c>
      <c r="E303" s="28"/>
      <c r="F303" s="28">
        <v>6.54</v>
      </c>
      <c r="G303" s="28"/>
      <c r="H303" s="28">
        <v>7.75</v>
      </c>
      <c r="I303" s="28"/>
      <c r="J303" s="27">
        <f>(('ECOLES INTERVENTION'!$D303+'ECOLES INTERVENTION'!$F303+'ECOLES INTERVENTION'!$H303)/3)</f>
        <v>6.983333333</v>
      </c>
      <c r="K303" s="28"/>
      <c r="L303" s="28" t="s">
        <v>32</v>
      </c>
      <c r="M303" s="30">
        <v>1.0</v>
      </c>
      <c r="N303" s="26"/>
      <c r="O303" s="26"/>
      <c r="P303" s="26"/>
    </row>
    <row r="304" ht="14.25" customHeight="1">
      <c r="A304" s="18">
        <v>22.0</v>
      </c>
      <c r="B304" s="19" t="s">
        <v>307</v>
      </c>
      <c r="C304" s="20"/>
      <c r="D304" s="28">
        <v>7.33</v>
      </c>
      <c r="E304" s="28"/>
      <c r="F304" s="28">
        <v>7.56</v>
      </c>
      <c r="G304" s="28"/>
      <c r="H304" s="28">
        <v>8.0</v>
      </c>
      <c r="I304" s="28"/>
      <c r="J304" s="27">
        <f>(('ECOLES INTERVENTION'!$D304+'ECOLES INTERVENTION'!$F304+'ECOLES INTERVENTION'!$H304)/3)</f>
        <v>7.63</v>
      </c>
      <c r="K304" s="28"/>
      <c r="L304" s="28" t="s">
        <v>32</v>
      </c>
      <c r="M304" s="30">
        <v>1.0</v>
      </c>
      <c r="N304" s="26"/>
      <c r="O304" s="26"/>
      <c r="P304" s="26"/>
    </row>
    <row r="305" ht="14.25" customHeight="1">
      <c r="A305" s="18">
        <v>23.0</v>
      </c>
      <c r="B305" s="33" t="s">
        <v>308</v>
      </c>
      <c r="C305" s="32"/>
      <c r="D305" s="28">
        <v>5.36</v>
      </c>
      <c r="E305" s="28"/>
      <c r="F305" s="28">
        <v>6.25</v>
      </c>
      <c r="G305" s="28"/>
      <c r="H305" s="28">
        <v>6.89</v>
      </c>
      <c r="I305" s="28"/>
      <c r="J305" s="27">
        <f>(('ECOLES INTERVENTION'!$D305+'ECOLES INTERVENTION'!$F305+'ECOLES INTERVENTION'!$H305)/3)</f>
        <v>6.166666667</v>
      </c>
      <c r="K305" s="28"/>
      <c r="L305" s="28" t="s">
        <v>32</v>
      </c>
      <c r="M305" s="30">
        <v>1.0</v>
      </c>
      <c r="N305" s="26"/>
      <c r="O305" s="26"/>
      <c r="P305" s="26"/>
    </row>
    <row r="306" ht="14.25" customHeight="1">
      <c r="A306" s="18">
        <v>24.0</v>
      </c>
      <c r="B306" s="19" t="s">
        <v>309</v>
      </c>
      <c r="C306" s="20"/>
      <c r="D306" s="28">
        <v>4.33</v>
      </c>
      <c r="E306" s="28"/>
      <c r="F306" s="28">
        <v>5.26</v>
      </c>
      <c r="G306" s="28"/>
      <c r="H306" s="28">
        <v>5.5</v>
      </c>
      <c r="I306" s="28"/>
      <c r="J306" s="27">
        <f>(('ECOLES INTERVENTION'!$D306+'ECOLES INTERVENTION'!$F306+'ECOLES INTERVENTION'!$H306)/3)</f>
        <v>5.03</v>
      </c>
      <c r="K306" s="28"/>
      <c r="L306" s="28" t="s">
        <v>32</v>
      </c>
      <c r="M306" s="30">
        <v>1.0</v>
      </c>
      <c r="N306" s="26"/>
      <c r="O306" s="26"/>
      <c r="P306" s="26"/>
    </row>
    <row r="307" ht="14.25" customHeight="1">
      <c r="A307" s="18">
        <v>25.0</v>
      </c>
      <c r="B307" s="19" t="s">
        <v>310</v>
      </c>
      <c r="C307" s="20"/>
      <c r="D307" s="28">
        <v>7.35</v>
      </c>
      <c r="E307" s="28"/>
      <c r="F307" s="28">
        <v>8.0</v>
      </c>
      <c r="G307" s="28"/>
      <c r="H307" s="28">
        <v>8.12</v>
      </c>
      <c r="I307" s="28"/>
      <c r="J307" s="27">
        <f>(('ECOLES INTERVENTION'!$D307+'ECOLES INTERVENTION'!$F307+'ECOLES INTERVENTION'!$H307)/3)</f>
        <v>7.823333333</v>
      </c>
      <c r="K307" s="28"/>
      <c r="L307" s="28" t="s">
        <v>32</v>
      </c>
      <c r="M307" s="30">
        <v>1.0</v>
      </c>
      <c r="N307" s="26"/>
      <c r="O307" s="26"/>
      <c r="P307" s="26"/>
    </row>
    <row r="308" ht="14.25" customHeight="1">
      <c r="A308" s="18">
        <v>26.0</v>
      </c>
      <c r="B308" s="19" t="s">
        <v>311</v>
      </c>
      <c r="C308" s="20"/>
      <c r="D308" s="28">
        <v>6.5</v>
      </c>
      <c r="E308" s="28"/>
      <c r="F308" s="28">
        <v>5.66</v>
      </c>
      <c r="G308" s="28"/>
      <c r="H308" s="28">
        <v>6.67</v>
      </c>
      <c r="I308" s="28"/>
      <c r="J308" s="27">
        <f>(('ECOLES INTERVENTION'!$D308+'ECOLES INTERVENTION'!$F308+'ECOLES INTERVENTION'!$H308)/3)</f>
        <v>6.276666667</v>
      </c>
      <c r="K308" s="28"/>
      <c r="L308" s="28" t="s">
        <v>32</v>
      </c>
      <c r="M308" s="30">
        <v>1.0</v>
      </c>
      <c r="N308" s="26"/>
      <c r="O308" s="26"/>
      <c r="P308" s="26"/>
    </row>
    <row r="309" ht="14.25" customHeight="1">
      <c r="A309" s="18">
        <v>27.0</v>
      </c>
      <c r="B309" s="33" t="s">
        <v>312</v>
      </c>
      <c r="C309" s="32"/>
      <c r="D309" s="28">
        <v>7.25</v>
      </c>
      <c r="E309" s="28"/>
      <c r="F309" s="28">
        <v>8.33</v>
      </c>
      <c r="G309" s="28"/>
      <c r="H309" s="28">
        <v>8.85</v>
      </c>
      <c r="I309" s="28"/>
      <c r="J309" s="27">
        <f>(('ECOLES INTERVENTION'!$D309+'ECOLES INTERVENTION'!$F309+'ECOLES INTERVENTION'!$H309)/3)</f>
        <v>8.143333333</v>
      </c>
      <c r="K309" s="28"/>
      <c r="L309" s="28" t="s">
        <v>32</v>
      </c>
      <c r="M309" s="30">
        <v>1.0</v>
      </c>
      <c r="N309" s="26"/>
      <c r="O309" s="26"/>
      <c r="P309" s="26"/>
    </row>
    <row r="310" ht="14.25" customHeight="1">
      <c r="A310" s="18">
        <v>28.0</v>
      </c>
      <c r="B310" s="19" t="s">
        <v>283</v>
      </c>
      <c r="C310" s="20"/>
      <c r="D310" s="28">
        <v>6.53</v>
      </c>
      <c r="E310" s="28"/>
      <c r="F310" s="28">
        <v>5.3</v>
      </c>
      <c r="G310" s="28"/>
      <c r="H310" s="28">
        <v>7.5</v>
      </c>
      <c r="I310" s="28"/>
      <c r="J310" s="27">
        <f>(('ECOLES INTERVENTION'!$D310+'ECOLES INTERVENTION'!$F310+'ECOLES INTERVENTION'!$H310)/3)</f>
        <v>6.443333333</v>
      </c>
      <c r="K310" s="28"/>
      <c r="L310" s="28" t="s">
        <v>32</v>
      </c>
      <c r="M310" s="30">
        <v>1.0</v>
      </c>
      <c r="N310" s="26"/>
      <c r="O310" s="26"/>
      <c r="P310" s="26"/>
    </row>
    <row r="311" ht="14.25" customHeight="1">
      <c r="A311" s="18">
        <v>29.0</v>
      </c>
      <c r="B311" s="19" t="s">
        <v>313</v>
      </c>
      <c r="C311" s="20"/>
      <c r="D311" s="28">
        <v>5.66</v>
      </c>
      <c r="E311" s="28"/>
      <c r="F311" s="28">
        <v>6.65</v>
      </c>
      <c r="G311" s="28"/>
      <c r="H311" s="28">
        <v>6.85</v>
      </c>
      <c r="I311" s="28"/>
      <c r="J311" s="27">
        <f>(('ECOLES INTERVENTION'!$D311+'ECOLES INTERVENTION'!$F311+'ECOLES INTERVENTION'!$H311)/3)</f>
        <v>6.386666667</v>
      </c>
      <c r="K311" s="28"/>
      <c r="L311" s="28" t="s">
        <v>32</v>
      </c>
      <c r="M311" s="30">
        <v>1.0</v>
      </c>
      <c r="N311" s="26"/>
      <c r="O311" s="26"/>
      <c r="P311" s="26"/>
    </row>
    <row r="312" ht="14.25" customHeight="1">
      <c r="A312" s="18">
        <v>30.0</v>
      </c>
      <c r="B312" s="33" t="s">
        <v>314</v>
      </c>
      <c r="C312" s="32"/>
      <c r="D312" s="28">
        <v>4.35</v>
      </c>
      <c r="E312" s="28"/>
      <c r="F312" s="28">
        <v>5.56</v>
      </c>
      <c r="G312" s="28"/>
      <c r="H312" s="28">
        <v>5.85</v>
      </c>
      <c r="I312" s="28"/>
      <c r="J312" s="27">
        <f>(('ECOLES INTERVENTION'!$D312+'ECOLES INTERVENTION'!$F312+'ECOLES INTERVENTION'!$H312)/3)</f>
        <v>5.253333333</v>
      </c>
      <c r="K312" s="28"/>
      <c r="L312" s="28" t="s">
        <v>32</v>
      </c>
      <c r="M312" s="30">
        <v>1.0</v>
      </c>
      <c r="N312" s="26"/>
      <c r="O312" s="26"/>
      <c r="P312" s="26"/>
    </row>
    <row r="313" ht="14.25" customHeight="1">
      <c r="A313" s="18">
        <v>31.0</v>
      </c>
      <c r="B313" s="19" t="s">
        <v>315</v>
      </c>
      <c r="C313" s="20"/>
      <c r="D313" s="28">
        <v>5.37</v>
      </c>
      <c r="E313" s="28"/>
      <c r="F313" s="28">
        <v>6.18</v>
      </c>
      <c r="G313" s="28"/>
      <c r="H313" s="28">
        <v>7.27</v>
      </c>
      <c r="I313" s="28"/>
      <c r="J313" s="27">
        <f>(('ECOLES INTERVENTION'!$D313+'ECOLES INTERVENTION'!$F313+'ECOLES INTERVENTION'!$H313)/3)</f>
        <v>6.273333333</v>
      </c>
      <c r="K313" s="28"/>
      <c r="L313" s="28" t="s">
        <v>32</v>
      </c>
      <c r="M313" s="30">
        <v>1.0</v>
      </c>
      <c r="N313" s="26"/>
      <c r="O313" s="26"/>
      <c r="P313" s="26"/>
    </row>
    <row r="314" ht="14.25" customHeight="1">
      <c r="A314" s="18">
        <v>32.0</v>
      </c>
      <c r="B314" s="19" t="s">
        <v>316</v>
      </c>
      <c r="C314" s="20"/>
      <c r="D314" s="28">
        <v>4.33</v>
      </c>
      <c r="E314" s="28"/>
      <c r="F314" s="28">
        <v>5.26</v>
      </c>
      <c r="G314" s="28"/>
      <c r="H314" s="28">
        <v>6.23</v>
      </c>
      <c r="I314" s="28"/>
      <c r="J314" s="27">
        <f>(('ECOLES INTERVENTION'!$D314+'ECOLES INTERVENTION'!$F314+'ECOLES INTERVENTION'!$H314)/3)</f>
        <v>5.273333333</v>
      </c>
      <c r="K314" s="28"/>
      <c r="L314" s="28" t="s">
        <v>32</v>
      </c>
      <c r="M314" s="30">
        <v>1.0</v>
      </c>
      <c r="N314" s="26"/>
      <c r="O314" s="26"/>
      <c r="P314" s="26"/>
    </row>
    <row r="315" ht="14.25" customHeight="1">
      <c r="A315" s="8"/>
      <c r="B315" s="34"/>
      <c r="C315" s="35"/>
      <c r="D315" s="37"/>
      <c r="E315" s="37"/>
      <c r="F315" s="37"/>
      <c r="G315" s="37"/>
      <c r="H315" s="28"/>
      <c r="I315" s="37"/>
      <c r="J315" s="36"/>
      <c r="K315" s="37"/>
      <c r="L315" s="37"/>
      <c r="M315" s="25">
        <f t="shared" ref="M315:N315" si="11">SUM(M283:M314)</f>
        <v>30</v>
      </c>
      <c r="N315" s="26">
        <f t="shared" si="11"/>
        <v>2</v>
      </c>
      <c r="O315" s="26"/>
      <c r="P315" s="26"/>
    </row>
    <row r="316" ht="14.25" customHeight="1">
      <c r="A316" s="50"/>
      <c r="B316" s="61"/>
      <c r="C316" s="61"/>
      <c r="D316" s="53"/>
      <c r="E316" s="53"/>
      <c r="F316" s="53"/>
      <c r="G316" s="53"/>
      <c r="H316" s="28"/>
      <c r="I316" s="53"/>
      <c r="J316" s="53"/>
      <c r="K316" s="53"/>
      <c r="L316" s="53"/>
      <c r="M316" s="54">
        <f>M315/A314</f>
        <v>0.9375</v>
      </c>
      <c r="N316" s="55">
        <f>N315/A314</f>
        <v>0.0625</v>
      </c>
      <c r="O316" s="56"/>
      <c r="P316" s="56"/>
    </row>
    <row r="317" ht="14.25" customHeight="1">
      <c r="A317" s="50" t="s">
        <v>317</v>
      </c>
      <c r="B317" s="58"/>
      <c r="C317" s="58"/>
      <c r="D317" s="53"/>
      <c r="E317" s="53"/>
      <c r="F317" s="53"/>
      <c r="G317" s="53"/>
      <c r="H317" s="28"/>
      <c r="I317" s="53"/>
      <c r="J317" s="53"/>
      <c r="K317" s="53"/>
      <c r="L317" s="53"/>
      <c r="M317" s="53"/>
      <c r="N317" s="56"/>
      <c r="O317" s="56"/>
      <c r="P317" s="56"/>
    </row>
    <row r="318" ht="14.25" customHeight="1">
      <c r="A318" s="18">
        <v>1.0</v>
      </c>
      <c r="B318" s="19" t="s">
        <v>318</v>
      </c>
      <c r="C318" s="20"/>
      <c r="D318" s="27">
        <v>6.6</v>
      </c>
      <c r="E318" s="27"/>
      <c r="F318" s="27">
        <v>5.9</v>
      </c>
      <c r="G318" s="27"/>
      <c r="H318" s="27"/>
      <c r="I318" s="27"/>
      <c r="J318" s="27">
        <f>(('ECOLES INTERVENTION'!$D318+'ECOLES INTERVENTION'!$F318)/2)</f>
        <v>6.25</v>
      </c>
      <c r="K318" s="28"/>
      <c r="L318" s="28" t="s">
        <v>32</v>
      </c>
      <c r="M318" s="30">
        <v>1.0</v>
      </c>
      <c r="N318" s="26"/>
      <c r="O318" s="26"/>
      <c r="P318" s="26"/>
    </row>
    <row r="319" ht="14.25" customHeight="1">
      <c r="A319" s="18">
        <v>2.0</v>
      </c>
      <c r="B319" s="19" t="s">
        <v>319</v>
      </c>
      <c r="C319" s="20"/>
      <c r="D319" s="27">
        <v>6.65</v>
      </c>
      <c r="E319" s="27"/>
      <c r="F319" s="27">
        <v>6.7</v>
      </c>
      <c r="G319" s="27"/>
      <c r="H319" s="27"/>
      <c r="I319" s="27"/>
      <c r="J319" s="27">
        <f>(('ECOLES INTERVENTION'!$D319+'ECOLES INTERVENTION'!$F319)/2)</f>
        <v>6.675</v>
      </c>
      <c r="K319" s="28"/>
      <c r="L319" s="28" t="s">
        <v>32</v>
      </c>
      <c r="M319" s="30">
        <v>1.0</v>
      </c>
      <c r="N319" s="26"/>
      <c r="O319" s="26"/>
      <c r="P319" s="26"/>
    </row>
    <row r="320" ht="14.25" customHeight="1">
      <c r="A320" s="18">
        <v>3.0</v>
      </c>
      <c r="B320" s="19" t="s">
        <v>320</v>
      </c>
      <c r="C320" s="20"/>
      <c r="D320" s="27">
        <v>2.8</v>
      </c>
      <c r="E320" s="27"/>
      <c r="F320" s="27">
        <v>4.18</v>
      </c>
      <c r="G320" s="27"/>
      <c r="H320" s="27"/>
      <c r="I320" s="27"/>
      <c r="J320" s="27">
        <f>(('ECOLES INTERVENTION'!$D320+'ECOLES INTERVENTION'!$F320)/2)</f>
        <v>3.49</v>
      </c>
      <c r="K320" s="28"/>
      <c r="L320" s="28" t="s">
        <v>32</v>
      </c>
      <c r="M320" s="30">
        <v>1.0</v>
      </c>
      <c r="N320" s="26"/>
      <c r="O320" s="26"/>
      <c r="P320" s="26"/>
    </row>
    <row r="321" ht="14.25" customHeight="1">
      <c r="A321" s="18">
        <v>4.0</v>
      </c>
      <c r="B321" s="19" t="s">
        <v>321</v>
      </c>
      <c r="C321" s="20"/>
      <c r="D321" s="27">
        <v>5.65</v>
      </c>
      <c r="E321" s="27"/>
      <c r="F321" s="27">
        <v>8.27</v>
      </c>
      <c r="G321" s="27"/>
      <c r="H321" s="27"/>
      <c r="I321" s="27"/>
      <c r="J321" s="27">
        <f>(('ECOLES INTERVENTION'!$D321+'ECOLES INTERVENTION'!$F321)/2)</f>
        <v>6.96</v>
      </c>
      <c r="K321" s="28"/>
      <c r="L321" s="28" t="s">
        <v>32</v>
      </c>
      <c r="M321" s="30">
        <v>1.0</v>
      </c>
      <c r="N321" s="26"/>
      <c r="O321" s="26"/>
      <c r="P321" s="26"/>
    </row>
    <row r="322" ht="14.25" customHeight="1">
      <c r="A322" s="18">
        <v>5.0</v>
      </c>
      <c r="B322" s="33" t="s">
        <v>322</v>
      </c>
      <c r="C322" s="32"/>
      <c r="D322" s="27">
        <v>3.5</v>
      </c>
      <c r="E322" s="27"/>
      <c r="F322" s="27">
        <v>5.09</v>
      </c>
      <c r="G322" s="27"/>
      <c r="H322" s="27"/>
      <c r="I322" s="27"/>
      <c r="J322" s="27">
        <f>(('ECOLES INTERVENTION'!$D322+'ECOLES INTERVENTION'!$F322)/2)</f>
        <v>4.295</v>
      </c>
      <c r="K322" s="28"/>
      <c r="L322" s="28" t="s">
        <v>32</v>
      </c>
      <c r="M322" s="30">
        <v>1.0</v>
      </c>
      <c r="N322" s="26"/>
      <c r="O322" s="26"/>
      <c r="P322" s="26"/>
    </row>
    <row r="323" ht="14.25" customHeight="1">
      <c r="A323" s="18">
        <v>6.0</v>
      </c>
      <c r="B323" s="19" t="s">
        <v>323</v>
      </c>
      <c r="C323" s="20"/>
      <c r="D323" s="27">
        <v>4.0</v>
      </c>
      <c r="E323" s="27"/>
      <c r="F323" s="27">
        <v>3.9</v>
      </c>
      <c r="G323" s="27"/>
      <c r="H323" s="27"/>
      <c r="I323" s="27"/>
      <c r="J323" s="27">
        <f>(('ECOLES INTERVENTION'!$D323+'ECOLES INTERVENTION'!$F323)/2)</f>
        <v>3.95</v>
      </c>
      <c r="K323" s="28"/>
      <c r="L323" s="28" t="s">
        <v>28</v>
      </c>
      <c r="M323" s="30"/>
      <c r="N323" s="29">
        <v>1.0</v>
      </c>
      <c r="O323" s="7"/>
      <c r="P323" s="7"/>
    </row>
    <row r="324" ht="14.25" customHeight="1">
      <c r="A324" s="18">
        <v>7.0</v>
      </c>
      <c r="B324" s="19" t="s">
        <v>324</v>
      </c>
      <c r="C324" s="20"/>
      <c r="D324" s="27">
        <v>2.5</v>
      </c>
      <c r="E324" s="27"/>
      <c r="F324" s="27">
        <v>4.18</v>
      </c>
      <c r="G324" s="27"/>
      <c r="H324" s="27"/>
      <c r="I324" s="27"/>
      <c r="J324" s="27">
        <f>(('ECOLES INTERVENTION'!$D324+'ECOLES INTERVENTION'!$F324)/2)</f>
        <v>3.34</v>
      </c>
      <c r="K324" s="28"/>
      <c r="L324" s="28" t="s">
        <v>32</v>
      </c>
      <c r="M324" s="30">
        <v>1.0</v>
      </c>
      <c r="N324" s="26"/>
      <c r="O324" s="26"/>
      <c r="P324" s="26"/>
    </row>
    <row r="325" ht="14.25" customHeight="1">
      <c r="A325" s="18">
        <v>8.0</v>
      </c>
      <c r="B325" s="33" t="s">
        <v>325</v>
      </c>
      <c r="C325" s="32"/>
      <c r="D325" s="27">
        <v>5.5</v>
      </c>
      <c r="E325" s="27"/>
      <c r="F325" s="27">
        <v>4.94</v>
      </c>
      <c r="G325" s="27"/>
      <c r="H325" s="27"/>
      <c r="I325" s="27"/>
      <c r="J325" s="27">
        <f>(('ECOLES INTERVENTION'!$D325+'ECOLES INTERVENTION'!$F325)/2)</f>
        <v>5.22</v>
      </c>
      <c r="K325" s="28"/>
      <c r="L325" s="28" t="s">
        <v>32</v>
      </c>
      <c r="M325" s="30">
        <v>1.0</v>
      </c>
      <c r="N325" s="26"/>
      <c r="O325" s="26"/>
      <c r="P325" s="26"/>
    </row>
    <row r="326" ht="14.25" customHeight="1">
      <c r="A326" s="18">
        <v>9.0</v>
      </c>
      <c r="B326" s="19" t="s">
        <v>326</v>
      </c>
      <c r="C326" s="20"/>
      <c r="D326" s="27">
        <v>4.7</v>
      </c>
      <c r="E326" s="27"/>
      <c r="F326" s="27">
        <v>5.36</v>
      </c>
      <c r="G326" s="27"/>
      <c r="H326" s="27"/>
      <c r="I326" s="27"/>
      <c r="J326" s="27">
        <f>(('ECOLES INTERVENTION'!$D326+'ECOLES INTERVENTION'!$F326)/2)</f>
        <v>5.03</v>
      </c>
      <c r="K326" s="28"/>
      <c r="L326" s="28" t="s">
        <v>32</v>
      </c>
      <c r="M326" s="30">
        <v>1.0</v>
      </c>
      <c r="N326" s="26"/>
      <c r="O326" s="26"/>
      <c r="P326" s="26"/>
    </row>
    <row r="327" ht="14.25" customHeight="1">
      <c r="A327" s="18">
        <v>10.0</v>
      </c>
      <c r="B327" s="19" t="s">
        <v>327</v>
      </c>
      <c r="C327" s="20"/>
      <c r="D327" s="27">
        <v>5.3</v>
      </c>
      <c r="E327" s="27"/>
      <c r="F327" s="27">
        <v>5.45</v>
      </c>
      <c r="G327" s="27"/>
      <c r="H327" s="27"/>
      <c r="I327" s="27"/>
      <c r="J327" s="27">
        <f>(('ECOLES INTERVENTION'!$D327+'ECOLES INTERVENTION'!$F327)/2)</f>
        <v>5.375</v>
      </c>
      <c r="K327" s="28"/>
      <c r="L327" s="28" t="s">
        <v>32</v>
      </c>
      <c r="M327" s="30">
        <v>1.0</v>
      </c>
      <c r="N327" s="26"/>
      <c r="O327" s="26"/>
      <c r="P327" s="26"/>
    </row>
    <row r="328" ht="14.25" customHeight="1">
      <c r="A328" s="18">
        <v>11.0</v>
      </c>
      <c r="B328" s="19" t="s">
        <v>328</v>
      </c>
      <c r="C328" s="20"/>
      <c r="D328" s="27">
        <v>6.9</v>
      </c>
      <c r="E328" s="27"/>
      <c r="F328" s="27">
        <v>7.18</v>
      </c>
      <c r="G328" s="27"/>
      <c r="H328" s="27"/>
      <c r="I328" s="27"/>
      <c r="J328" s="27">
        <f>(('ECOLES INTERVENTION'!$D328+'ECOLES INTERVENTION'!$F328)/2)</f>
        <v>7.04</v>
      </c>
      <c r="K328" s="28"/>
      <c r="L328" s="28" t="s">
        <v>32</v>
      </c>
      <c r="M328" s="30">
        <v>1.0</v>
      </c>
      <c r="N328" s="26"/>
      <c r="O328" s="26"/>
      <c r="P328" s="26"/>
    </row>
    <row r="329" ht="14.25" customHeight="1">
      <c r="A329" s="18">
        <v>12.0</v>
      </c>
      <c r="B329" s="19" t="s">
        <v>329</v>
      </c>
      <c r="C329" s="20"/>
      <c r="D329" s="27">
        <v>1.9</v>
      </c>
      <c r="E329" s="27"/>
      <c r="F329" s="27">
        <v>2.0</v>
      </c>
      <c r="G329" s="27"/>
      <c r="H329" s="27"/>
      <c r="I329" s="27"/>
      <c r="J329" s="27">
        <f>(('ECOLES INTERVENTION'!$D329+'ECOLES INTERVENTION'!$F329)/2)</f>
        <v>1.95</v>
      </c>
      <c r="K329" s="28"/>
      <c r="L329" s="28" t="s">
        <v>28</v>
      </c>
      <c r="M329" s="24"/>
      <c r="N329" s="29">
        <v>1.0</v>
      </c>
      <c r="O329" s="7"/>
      <c r="P329" s="7"/>
    </row>
    <row r="330" ht="14.25" customHeight="1">
      <c r="A330" s="18">
        <v>13.0</v>
      </c>
      <c r="B330" s="19" t="s">
        <v>330</v>
      </c>
      <c r="C330" s="20"/>
      <c r="D330" s="27">
        <v>5.29</v>
      </c>
      <c r="E330" s="27"/>
      <c r="F330" s="27">
        <v>5.59</v>
      </c>
      <c r="G330" s="27"/>
      <c r="H330" s="27"/>
      <c r="I330" s="27"/>
      <c r="J330" s="27">
        <f>(('ECOLES INTERVENTION'!$D330+'ECOLES INTERVENTION'!$F330)/2)</f>
        <v>5.44</v>
      </c>
      <c r="K330" s="28"/>
      <c r="L330" s="28" t="s">
        <v>32</v>
      </c>
      <c r="M330" s="30">
        <v>1.0</v>
      </c>
      <c r="N330" s="26"/>
      <c r="O330" s="26"/>
      <c r="P330" s="26"/>
    </row>
    <row r="331" ht="14.25" customHeight="1">
      <c r="A331" s="18">
        <v>14.0</v>
      </c>
      <c r="B331" s="19" t="s">
        <v>331</v>
      </c>
      <c r="C331" s="20"/>
      <c r="D331" s="27">
        <v>3.3</v>
      </c>
      <c r="E331" s="27"/>
      <c r="F331" s="27">
        <v>5.79</v>
      </c>
      <c r="G331" s="27"/>
      <c r="H331" s="27"/>
      <c r="I331" s="27"/>
      <c r="J331" s="27">
        <f>(('ECOLES INTERVENTION'!$D331+'ECOLES INTERVENTION'!$F331)/2)</f>
        <v>4.545</v>
      </c>
      <c r="K331" s="28"/>
      <c r="L331" s="28" t="s">
        <v>32</v>
      </c>
      <c r="M331" s="30">
        <v>1.0</v>
      </c>
      <c r="N331" s="26"/>
      <c r="O331" s="26"/>
      <c r="P331" s="26"/>
    </row>
    <row r="332" ht="14.25" customHeight="1">
      <c r="A332" s="18">
        <v>15.0</v>
      </c>
      <c r="B332" s="19" t="s">
        <v>332</v>
      </c>
      <c r="C332" s="20"/>
      <c r="D332" s="27">
        <v>4.8</v>
      </c>
      <c r="E332" s="27"/>
      <c r="F332" s="27">
        <v>6.08</v>
      </c>
      <c r="G332" s="27"/>
      <c r="H332" s="27"/>
      <c r="I332" s="27"/>
      <c r="J332" s="27">
        <f>(('ECOLES INTERVENTION'!$D332+'ECOLES INTERVENTION'!$F332)/2)</f>
        <v>5.44</v>
      </c>
      <c r="K332" s="28"/>
      <c r="L332" s="28" t="s">
        <v>32</v>
      </c>
      <c r="M332" s="30">
        <v>1.0</v>
      </c>
      <c r="N332" s="26"/>
      <c r="O332" s="26"/>
      <c r="P332" s="26"/>
    </row>
    <row r="333" ht="14.25" customHeight="1">
      <c r="A333" s="18">
        <v>16.0</v>
      </c>
      <c r="B333" s="19" t="s">
        <v>333</v>
      </c>
      <c r="C333" s="20"/>
      <c r="D333" s="27">
        <v>6.0</v>
      </c>
      <c r="E333" s="27"/>
      <c r="F333" s="27">
        <v>7.72</v>
      </c>
      <c r="G333" s="27"/>
      <c r="H333" s="27"/>
      <c r="I333" s="27"/>
      <c r="J333" s="27">
        <f>(('ECOLES INTERVENTION'!$D333+'ECOLES INTERVENTION'!$F333)/2)</f>
        <v>6.86</v>
      </c>
      <c r="K333" s="28"/>
      <c r="L333" s="28" t="s">
        <v>32</v>
      </c>
      <c r="M333" s="30">
        <v>1.0</v>
      </c>
      <c r="N333" s="26"/>
      <c r="O333" s="26"/>
      <c r="P333" s="26"/>
    </row>
    <row r="334" ht="14.25" customHeight="1">
      <c r="A334" s="18">
        <v>17.0</v>
      </c>
      <c r="B334" s="33" t="s">
        <v>334</v>
      </c>
      <c r="C334" s="32"/>
      <c r="D334" s="27">
        <v>8.4</v>
      </c>
      <c r="E334" s="27"/>
      <c r="F334" s="27">
        <v>8.54</v>
      </c>
      <c r="G334" s="27"/>
      <c r="H334" s="27"/>
      <c r="I334" s="27"/>
      <c r="J334" s="27">
        <f>(('ECOLES INTERVENTION'!$D334+'ECOLES INTERVENTION'!$F334)/2)</f>
        <v>8.47</v>
      </c>
      <c r="K334" s="28"/>
      <c r="L334" s="28" t="s">
        <v>32</v>
      </c>
      <c r="M334" s="30">
        <v>1.0</v>
      </c>
      <c r="N334" s="26"/>
      <c r="O334" s="26"/>
      <c r="P334" s="26"/>
    </row>
    <row r="335" ht="14.25" customHeight="1">
      <c r="A335" s="18">
        <v>18.0</v>
      </c>
      <c r="B335" s="33" t="s">
        <v>52</v>
      </c>
      <c r="C335" s="32"/>
      <c r="D335" s="27">
        <v>5.0</v>
      </c>
      <c r="E335" s="27"/>
      <c r="F335" s="27">
        <v>6.0</v>
      </c>
      <c r="G335" s="27"/>
      <c r="H335" s="27"/>
      <c r="I335" s="27"/>
      <c r="J335" s="27">
        <f>(('ECOLES INTERVENTION'!$D335+'ECOLES INTERVENTION'!$F335)/2)</f>
        <v>5.5</v>
      </c>
      <c r="K335" s="28"/>
      <c r="L335" s="28" t="s">
        <v>32</v>
      </c>
      <c r="M335" s="30">
        <v>1.0</v>
      </c>
      <c r="N335" s="26"/>
      <c r="O335" s="26"/>
      <c r="P335" s="26"/>
    </row>
    <row r="336" ht="14.25" customHeight="1">
      <c r="A336" s="18">
        <v>19.0</v>
      </c>
      <c r="B336" s="33" t="s">
        <v>335</v>
      </c>
      <c r="C336" s="32"/>
      <c r="D336" s="27">
        <v>6.8</v>
      </c>
      <c r="E336" s="27"/>
      <c r="F336" s="27">
        <v>7.45</v>
      </c>
      <c r="G336" s="27"/>
      <c r="H336" s="27"/>
      <c r="I336" s="27"/>
      <c r="J336" s="27">
        <f>(('ECOLES INTERVENTION'!$D336+'ECOLES INTERVENTION'!$F336)/2)</f>
        <v>7.125</v>
      </c>
      <c r="K336" s="28"/>
      <c r="L336" s="28" t="s">
        <v>32</v>
      </c>
      <c r="M336" s="30">
        <v>1.0</v>
      </c>
      <c r="N336" s="26"/>
      <c r="O336" s="26"/>
      <c r="P336" s="26"/>
    </row>
    <row r="337" ht="14.25" customHeight="1">
      <c r="A337" s="18">
        <v>20.0</v>
      </c>
      <c r="B337" s="33" t="s">
        <v>336</v>
      </c>
      <c r="C337" s="32"/>
      <c r="D337" s="27">
        <v>4.7</v>
      </c>
      <c r="E337" s="27"/>
      <c r="F337" s="27">
        <v>5.54</v>
      </c>
      <c r="G337" s="27"/>
      <c r="H337" s="27"/>
      <c r="I337" s="27"/>
      <c r="J337" s="27">
        <f>(('ECOLES INTERVENTION'!$D337+'ECOLES INTERVENTION'!$F337)/2)</f>
        <v>5.12</v>
      </c>
      <c r="K337" s="28"/>
      <c r="L337" s="28" t="s">
        <v>32</v>
      </c>
      <c r="M337" s="30">
        <v>1.0</v>
      </c>
      <c r="N337" s="26"/>
      <c r="O337" s="26"/>
      <c r="P337" s="26"/>
    </row>
    <row r="338" ht="14.25" customHeight="1">
      <c r="A338" s="18">
        <v>21.0</v>
      </c>
      <c r="B338" s="33" t="s">
        <v>215</v>
      </c>
      <c r="C338" s="32"/>
      <c r="D338" s="27">
        <v>5.5</v>
      </c>
      <c r="E338" s="27"/>
      <c r="F338" s="27">
        <v>6.72</v>
      </c>
      <c r="G338" s="27"/>
      <c r="H338" s="27"/>
      <c r="I338" s="27"/>
      <c r="J338" s="27">
        <f>(('ECOLES INTERVENTION'!$D338+'ECOLES INTERVENTION'!$F338)/2)</f>
        <v>6.11</v>
      </c>
      <c r="K338" s="28"/>
      <c r="L338" s="28" t="s">
        <v>32</v>
      </c>
      <c r="M338" s="30">
        <v>1.0</v>
      </c>
      <c r="N338" s="26"/>
      <c r="O338" s="26"/>
      <c r="P338" s="26"/>
    </row>
    <row r="339" ht="14.25" customHeight="1">
      <c r="A339" s="18">
        <v>22.0</v>
      </c>
      <c r="B339" s="33" t="s">
        <v>337</v>
      </c>
      <c r="C339" s="32"/>
      <c r="D339" s="27">
        <v>7.5</v>
      </c>
      <c r="E339" s="27"/>
      <c r="F339" s="27">
        <v>8.0</v>
      </c>
      <c r="G339" s="27"/>
      <c r="H339" s="27"/>
      <c r="I339" s="27"/>
      <c r="J339" s="27">
        <f>(('ECOLES INTERVENTION'!$D339+'ECOLES INTERVENTION'!$F339)/2)</f>
        <v>7.75</v>
      </c>
      <c r="K339" s="28"/>
      <c r="L339" s="28" t="s">
        <v>32</v>
      </c>
      <c r="M339" s="30">
        <v>1.0</v>
      </c>
      <c r="N339" s="26"/>
      <c r="O339" s="26"/>
      <c r="P339" s="26"/>
    </row>
    <row r="340" ht="14.25" customHeight="1">
      <c r="A340" s="18">
        <v>23.0</v>
      </c>
      <c r="B340" s="33" t="s">
        <v>338</v>
      </c>
      <c r="C340" s="32"/>
      <c r="D340" s="27">
        <v>6.5</v>
      </c>
      <c r="E340" s="27"/>
      <c r="F340" s="27">
        <v>7.0</v>
      </c>
      <c r="G340" s="27"/>
      <c r="H340" s="27"/>
      <c r="I340" s="27"/>
      <c r="J340" s="27">
        <f>(('ECOLES INTERVENTION'!$D340+'ECOLES INTERVENTION'!$F340)/2)</f>
        <v>6.75</v>
      </c>
      <c r="K340" s="28"/>
      <c r="L340" s="28" t="s">
        <v>32</v>
      </c>
      <c r="M340" s="30">
        <v>1.0</v>
      </c>
      <c r="N340" s="26"/>
      <c r="O340" s="26"/>
      <c r="P340" s="26"/>
    </row>
    <row r="341" ht="14.25" customHeight="1">
      <c r="A341" s="18">
        <v>24.0</v>
      </c>
      <c r="B341" s="33" t="s">
        <v>339</v>
      </c>
      <c r="C341" s="32"/>
      <c r="D341" s="27">
        <v>4.9</v>
      </c>
      <c r="E341" s="27"/>
      <c r="F341" s="27">
        <v>4.72</v>
      </c>
      <c r="G341" s="27"/>
      <c r="H341" s="27"/>
      <c r="I341" s="27"/>
      <c r="J341" s="27">
        <f>(('ECOLES INTERVENTION'!$D341+'ECOLES INTERVENTION'!$F341)/2)</f>
        <v>4.81</v>
      </c>
      <c r="K341" s="28"/>
      <c r="L341" s="28" t="s">
        <v>32</v>
      </c>
      <c r="M341" s="30">
        <v>1.0</v>
      </c>
      <c r="N341" s="26"/>
      <c r="O341" s="26"/>
      <c r="P341" s="26"/>
    </row>
    <row r="342" ht="14.25" customHeight="1">
      <c r="A342" s="18">
        <v>25.0</v>
      </c>
      <c r="B342" s="33" t="s">
        <v>340</v>
      </c>
      <c r="C342" s="32"/>
      <c r="D342" s="27">
        <v>5.4</v>
      </c>
      <c r="E342" s="27"/>
      <c r="F342" s="27">
        <v>6.45</v>
      </c>
      <c r="G342" s="27"/>
      <c r="H342" s="27"/>
      <c r="I342" s="27"/>
      <c r="J342" s="27">
        <f>(('ECOLES INTERVENTION'!$D342+'ECOLES INTERVENTION'!$F342)/2)</f>
        <v>5.925</v>
      </c>
      <c r="K342" s="28"/>
      <c r="L342" s="28" t="s">
        <v>32</v>
      </c>
      <c r="M342" s="30">
        <v>1.0</v>
      </c>
      <c r="N342" s="26"/>
      <c r="O342" s="26"/>
      <c r="P342" s="26"/>
    </row>
    <row r="343" ht="14.25" customHeight="1">
      <c r="A343" s="18">
        <v>26.0</v>
      </c>
      <c r="B343" s="33" t="s">
        <v>341</v>
      </c>
      <c r="C343" s="32"/>
      <c r="D343" s="27">
        <v>4.5</v>
      </c>
      <c r="E343" s="27"/>
      <c r="F343" s="27">
        <v>4.9</v>
      </c>
      <c r="G343" s="27"/>
      <c r="H343" s="27"/>
      <c r="I343" s="27"/>
      <c r="J343" s="27">
        <f>(('ECOLES INTERVENTION'!$D343+'ECOLES INTERVENTION'!$F343)/2)</f>
        <v>4.7</v>
      </c>
      <c r="K343" s="28"/>
      <c r="L343" s="28" t="s">
        <v>32</v>
      </c>
      <c r="M343" s="30">
        <v>1.0</v>
      </c>
      <c r="N343" s="26"/>
      <c r="O343" s="26"/>
      <c r="P343" s="26"/>
    </row>
    <row r="344" ht="14.25" customHeight="1">
      <c r="A344" s="70">
        <v>27.0</v>
      </c>
      <c r="B344" s="71" t="s">
        <v>342</v>
      </c>
      <c r="C344" s="72"/>
      <c r="D344" s="73">
        <v>3.5</v>
      </c>
      <c r="E344" s="73"/>
      <c r="F344" s="73">
        <v>5.67</v>
      </c>
      <c r="G344" s="73"/>
      <c r="H344" s="27"/>
      <c r="I344" s="73"/>
      <c r="J344" s="27">
        <f>(('ECOLES INTERVENTION'!$D344+'ECOLES INTERVENTION'!$F344)/2)</f>
        <v>4.585</v>
      </c>
      <c r="K344" s="74"/>
      <c r="L344" s="74" t="s">
        <v>32</v>
      </c>
      <c r="M344" s="75">
        <v>1.0</v>
      </c>
      <c r="N344" s="26"/>
      <c r="O344" s="26"/>
      <c r="P344" s="26"/>
    </row>
    <row r="345" ht="14.25" customHeight="1">
      <c r="A345" s="76"/>
      <c r="B345" s="77"/>
      <c r="C345" s="78"/>
      <c r="D345" s="79"/>
      <c r="E345" s="79"/>
      <c r="F345" s="79"/>
      <c r="G345" s="79"/>
      <c r="H345" s="79"/>
      <c r="I345" s="79"/>
      <c r="J345" s="79"/>
      <c r="K345" s="80"/>
      <c r="L345" s="80"/>
      <c r="M345" s="29">
        <f t="shared" ref="M345:N345" si="12">SUM(M318:M344)</f>
        <v>25</v>
      </c>
      <c r="N345" s="26">
        <f t="shared" si="12"/>
        <v>2</v>
      </c>
      <c r="O345" s="26"/>
      <c r="P345" s="26"/>
    </row>
    <row r="346" ht="14.25" customHeight="1">
      <c r="A346" s="81"/>
      <c r="B346" s="82"/>
      <c r="C346" s="83"/>
      <c r="D346" s="7"/>
      <c r="E346" s="7"/>
      <c r="F346" s="7"/>
      <c r="G346" s="7"/>
      <c r="H346" s="7"/>
      <c r="I346" s="7"/>
      <c r="J346" s="7"/>
      <c r="K346" s="7"/>
      <c r="L346" s="7"/>
      <c r="M346" s="84">
        <f>M345/A344</f>
        <v>0.9259259259</v>
      </c>
      <c r="N346" s="84">
        <f>N345/A344</f>
        <v>0.07407407407</v>
      </c>
      <c r="O346" s="26"/>
      <c r="P346" s="26"/>
    </row>
    <row r="347" ht="14.25" customHeight="1"/>
    <row r="348" ht="14.25" customHeight="1"/>
    <row r="349" ht="14.25" customHeight="1">
      <c r="Q349" s="85" t="s">
        <v>343</v>
      </c>
      <c r="R349" s="86" t="s">
        <v>344</v>
      </c>
      <c r="S349" s="86" t="s">
        <v>345</v>
      </c>
      <c r="T349" s="86" t="s">
        <v>346</v>
      </c>
      <c r="U349" s="86" t="s">
        <v>347</v>
      </c>
      <c r="V349" s="86" t="s">
        <v>348</v>
      </c>
      <c r="W349" s="86" t="s">
        <v>349</v>
      </c>
      <c r="X349" s="86" t="s">
        <v>350</v>
      </c>
    </row>
    <row r="350" ht="14.25" customHeight="1">
      <c r="R350" s="86">
        <f>A344+A314+A279+A252+A225+A196+A167+A146+A113+A92+A67+A29</f>
        <v>302</v>
      </c>
      <c r="S350" s="86">
        <f t="shared" ref="S350:T350" si="13">M345+M315+M280+M253+M226+M197+M168+M147+M114+M93+M68+M30</f>
        <v>280</v>
      </c>
      <c r="T350" s="86">
        <f t="shared" si="13"/>
        <v>22</v>
      </c>
      <c r="U350" s="86">
        <v>0.0</v>
      </c>
      <c r="V350" s="87">
        <f>S350/R350</f>
        <v>0.9271523179</v>
      </c>
      <c r="W350" s="87">
        <f>U350/R350</f>
        <v>0</v>
      </c>
      <c r="X350" s="88">
        <f>T350/R350</f>
        <v>0.07284768212</v>
      </c>
    </row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1.43"/>
    <col customWidth="1" min="3" max="3" width="16.86"/>
    <col customWidth="1" min="4" max="6" width="11.43"/>
    <col customWidth="1" min="7" max="8" width="11.71"/>
    <col customWidth="1" min="9" max="26" width="11.43"/>
  </cols>
  <sheetData>
    <row r="1" ht="14.25" customHeight="1">
      <c r="A1" s="1" t="s">
        <v>0</v>
      </c>
      <c r="K1" s="89">
        <v>7.21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90" t="s">
        <v>6</v>
      </c>
      <c r="B7" s="5" t="s">
        <v>7</v>
      </c>
      <c r="C7" s="5" t="s">
        <v>8</v>
      </c>
      <c r="D7" s="5" t="s">
        <v>9</v>
      </c>
      <c r="E7" s="5" t="s">
        <v>11</v>
      </c>
      <c r="F7" s="5" t="s">
        <v>13</v>
      </c>
      <c r="G7" s="5" t="s">
        <v>15</v>
      </c>
      <c r="H7" s="5" t="s">
        <v>17</v>
      </c>
      <c r="I7" s="7"/>
      <c r="J7" s="7"/>
      <c r="K7" s="7"/>
      <c r="L7" s="7"/>
    </row>
    <row r="8" ht="14.25" customHeight="1">
      <c r="A8" s="14" t="s">
        <v>351</v>
      </c>
      <c r="B8" s="5"/>
      <c r="C8" s="28"/>
      <c r="D8" s="5"/>
      <c r="E8" s="5"/>
      <c r="F8" s="5"/>
      <c r="G8" s="5"/>
      <c r="H8" s="5"/>
      <c r="I8" s="29" t="s">
        <v>27</v>
      </c>
      <c r="J8" s="29" t="s">
        <v>352</v>
      </c>
      <c r="K8" s="29" t="s">
        <v>29</v>
      </c>
      <c r="L8" s="17" t="s">
        <v>30</v>
      </c>
    </row>
    <row r="9" ht="14.25" customHeight="1">
      <c r="A9" s="14" t="s">
        <v>20</v>
      </c>
      <c r="B9" s="11" t="s">
        <v>21</v>
      </c>
      <c r="C9" s="11"/>
      <c r="D9" s="11" t="s">
        <v>22</v>
      </c>
      <c r="E9" s="11" t="s">
        <v>23</v>
      </c>
      <c r="F9" s="11" t="s">
        <v>24</v>
      </c>
      <c r="G9" s="11" t="s">
        <v>353</v>
      </c>
      <c r="H9" s="11" t="s">
        <v>26</v>
      </c>
      <c r="I9" s="13"/>
      <c r="J9" s="13"/>
      <c r="K9" s="13"/>
      <c r="L9" s="13"/>
    </row>
    <row r="10" ht="14.25" customHeight="1">
      <c r="A10" s="18">
        <v>1.0</v>
      </c>
      <c r="B10" s="19" t="s">
        <v>354</v>
      </c>
      <c r="C10" s="91"/>
      <c r="D10" s="27">
        <v>4.84</v>
      </c>
      <c r="E10" s="27">
        <v>4.96</v>
      </c>
      <c r="F10" s="27">
        <v>5.2</v>
      </c>
      <c r="G10" s="27">
        <f>(('ECOLES CONTROLES'!$D10+'ECOLES CONTROLES'!$E10+'ECOLES CONTROLES'!$F10)/3)</f>
        <v>5</v>
      </c>
      <c r="H10" s="28" t="s">
        <v>32</v>
      </c>
      <c r="I10" s="29">
        <v>1.0</v>
      </c>
      <c r="J10" s="7"/>
      <c r="K10" s="7"/>
      <c r="L10" s="7"/>
    </row>
    <row r="11" ht="14.25" customHeight="1">
      <c r="A11" s="18">
        <v>2.0</v>
      </c>
      <c r="B11" s="19" t="s">
        <v>355</v>
      </c>
      <c r="C11" s="91"/>
      <c r="D11" s="27">
        <v>3.34</v>
      </c>
      <c r="E11" s="27">
        <v>5.54</v>
      </c>
      <c r="F11" s="27">
        <v>6.12</v>
      </c>
      <c r="G11" s="27">
        <f>(('ECOLES CONTROLES'!$D11+'ECOLES CONTROLES'!$E11+'ECOLES CONTROLES'!$F11)/3)</f>
        <v>5</v>
      </c>
      <c r="H11" s="28" t="s">
        <v>32</v>
      </c>
      <c r="I11" s="29">
        <v>1.0</v>
      </c>
      <c r="J11" s="7"/>
      <c r="K11" s="7"/>
      <c r="L11" s="7"/>
    </row>
    <row r="12" ht="14.25" customHeight="1">
      <c r="A12" s="18">
        <v>3.0</v>
      </c>
      <c r="B12" s="19" t="s">
        <v>356</v>
      </c>
      <c r="C12" s="91"/>
      <c r="D12" s="27">
        <v>4.47</v>
      </c>
      <c r="E12" s="27">
        <v>6.58</v>
      </c>
      <c r="F12" s="27">
        <v>7.38</v>
      </c>
      <c r="G12" s="27">
        <f>(('ECOLES CONTROLES'!$D12+'ECOLES CONTROLES'!$E12+'ECOLES CONTROLES'!$F12)/3)</f>
        <v>6.143333333</v>
      </c>
      <c r="H12" s="28" t="s">
        <v>32</v>
      </c>
      <c r="I12" s="29">
        <v>1.0</v>
      </c>
      <c r="J12" s="7"/>
      <c r="K12" s="7"/>
      <c r="L12" s="7"/>
    </row>
    <row r="13" ht="14.25" customHeight="1">
      <c r="A13" s="18">
        <v>4.0</v>
      </c>
      <c r="B13" s="19" t="s">
        <v>357</v>
      </c>
      <c r="C13" s="91"/>
      <c r="D13" s="27">
        <v>3.88</v>
      </c>
      <c r="E13" s="27">
        <v>4.64</v>
      </c>
      <c r="F13" s="27">
        <v>5.0</v>
      </c>
      <c r="G13" s="27">
        <f>(('ECOLES CONTROLES'!$D13+'ECOLES CONTROLES'!$E13+'ECOLES CONTROLES'!$F13)/3)</f>
        <v>4.506666667</v>
      </c>
      <c r="H13" s="28" t="s">
        <v>32</v>
      </c>
      <c r="I13" s="29">
        <v>1.0</v>
      </c>
      <c r="J13" s="7"/>
      <c r="K13" s="7"/>
      <c r="L13" s="7"/>
    </row>
    <row r="14" ht="14.25" customHeight="1">
      <c r="A14" s="18">
        <v>5.0</v>
      </c>
      <c r="B14" s="19" t="s">
        <v>358</v>
      </c>
      <c r="C14" s="91"/>
      <c r="D14" s="27">
        <v>1.78</v>
      </c>
      <c r="E14" s="27">
        <v>1.96</v>
      </c>
      <c r="F14" s="27">
        <v>2.07</v>
      </c>
      <c r="G14" s="27">
        <f>(('ECOLES CONTROLES'!$D14+'ECOLES CONTROLES'!$E14+'ECOLES CONTROLES'!$F14)/3)</f>
        <v>1.936666667</v>
      </c>
      <c r="H14" s="28" t="s">
        <v>28</v>
      </c>
      <c r="I14" s="7"/>
      <c r="J14" s="29">
        <v>1.0</v>
      </c>
      <c r="K14" s="7"/>
      <c r="L14" s="7"/>
    </row>
    <row r="15" ht="14.25" customHeight="1">
      <c r="A15" s="18">
        <v>6.0</v>
      </c>
      <c r="B15" s="19" t="s">
        <v>359</v>
      </c>
      <c r="C15" s="91"/>
      <c r="D15" s="27">
        <v>4.21</v>
      </c>
      <c r="E15" s="27">
        <v>4.5</v>
      </c>
      <c r="F15" s="27">
        <v>5.08</v>
      </c>
      <c r="G15" s="27">
        <f>(('ECOLES CONTROLES'!$D15+'ECOLES CONTROLES'!$E15+'ECOLES CONTROLES'!$F15)/3)</f>
        <v>4.596666667</v>
      </c>
      <c r="H15" s="28" t="s">
        <v>32</v>
      </c>
      <c r="I15" s="29">
        <v>1.0</v>
      </c>
      <c r="J15" s="7"/>
      <c r="K15" s="7"/>
      <c r="L15" s="7"/>
    </row>
    <row r="16" ht="14.25" customHeight="1">
      <c r="A16" s="18">
        <v>7.0</v>
      </c>
      <c r="B16" s="19" t="s">
        <v>360</v>
      </c>
      <c r="C16" s="91"/>
      <c r="D16" s="27">
        <v>4.69</v>
      </c>
      <c r="E16" s="27">
        <v>5.78</v>
      </c>
      <c r="F16" s="27">
        <v>4.0</v>
      </c>
      <c r="G16" s="27">
        <f>(('ECOLES CONTROLES'!$D16+'ECOLES CONTROLES'!$E16+'ECOLES CONTROLES'!$F16)/3)</f>
        <v>4.823333333</v>
      </c>
      <c r="H16" s="28" t="s">
        <v>32</v>
      </c>
      <c r="I16" s="29">
        <v>1.0</v>
      </c>
      <c r="J16" s="7"/>
      <c r="K16" s="7"/>
      <c r="L16" s="7"/>
    </row>
    <row r="17" ht="14.25" customHeight="1">
      <c r="A17" s="18">
        <v>8.0</v>
      </c>
      <c r="B17" s="33" t="s">
        <v>361</v>
      </c>
      <c r="C17" s="92"/>
      <c r="D17" s="27">
        <v>1.39</v>
      </c>
      <c r="E17" s="27">
        <v>1.46</v>
      </c>
      <c r="F17" s="27">
        <v>1.5</v>
      </c>
      <c r="G17" s="27">
        <f>(('ECOLES CONTROLES'!$D17+'ECOLES CONTROLES'!$E17+'ECOLES CONTROLES'!$F17)/3)</f>
        <v>1.45</v>
      </c>
      <c r="H17" s="28" t="s">
        <v>28</v>
      </c>
      <c r="I17" s="7"/>
      <c r="J17" s="29">
        <v>1.0</v>
      </c>
      <c r="K17" s="7"/>
      <c r="L17" s="7"/>
    </row>
    <row r="18" ht="14.25" customHeight="1">
      <c r="A18" s="18">
        <v>9.0</v>
      </c>
      <c r="B18" s="33" t="s">
        <v>362</v>
      </c>
      <c r="C18" s="92"/>
      <c r="D18" s="27">
        <v>0.47</v>
      </c>
      <c r="E18" s="27">
        <v>1.12</v>
      </c>
      <c r="F18" s="27">
        <v>0.96</v>
      </c>
      <c r="G18" s="27">
        <f>(('ECOLES CONTROLES'!$D18+'ECOLES CONTROLES'!$E18+'ECOLES CONTROLES'!$F18)/3)</f>
        <v>0.85</v>
      </c>
      <c r="H18" s="28" t="s">
        <v>28</v>
      </c>
      <c r="I18" s="7"/>
      <c r="J18" s="29">
        <v>1.0</v>
      </c>
      <c r="K18" s="7"/>
      <c r="L18" s="7"/>
    </row>
    <row r="19" ht="14.25" customHeight="1">
      <c r="A19" s="18">
        <v>10.0</v>
      </c>
      <c r="B19" s="33" t="s">
        <v>363</v>
      </c>
      <c r="C19" s="92"/>
      <c r="D19" s="27">
        <v>3.43</v>
      </c>
      <c r="E19" s="27">
        <v>3.18</v>
      </c>
      <c r="F19" s="27">
        <v>3.5</v>
      </c>
      <c r="G19" s="27">
        <f>(('ECOLES CONTROLES'!$D19+'ECOLES CONTROLES'!$E19+'ECOLES CONTROLES'!$F19)/3)</f>
        <v>3.37</v>
      </c>
      <c r="H19" s="28" t="s">
        <v>28</v>
      </c>
      <c r="I19" s="7"/>
      <c r="J19" s="29">
        <v>1.0</v>
      </c>
      <c r="K19" s="7"/>
      <c r="L19" s="7"/>
    </row>
    <row r="20" ht="14.25" customHeight="1">
      <c r="A20" s="18">
        <v>11.0</v>
      </c>
      <c r="B20" s="33" t="s">
        <v>364</v>
      </c>
      <c r="C20" s="92"/>
      <c r="D20" s="27">
        <v>5.65</v>
      </c>
      <c r="E20" s="27">
        <v>5.28</v>
      </c>
      <c r="F20" s="27">
        <v>5.08</v>
      </c>
      <c r="G20" s="27">
        <f>(('ECOLES CONTROLES'!$D20+'ECOLES CONTROLES'!$E20+'ECOLES CONTROLES'!$F20)/3)</f>
        <v>5.336666667</v>
      </c>
      <c r="H20" s="28" t="s">
        <v>32</v>
      </c>
      <c r="I20" s="29">
        <v>1.0</v>
      </c>
      <c r="J20" s="7"/>
      <c r="K20" s="7"/>
      <c r="L20" s="7"/>
    </row>
    <row r="21" ht="14.25" customHeight="1">
      <c r="A21" s="18">
        <v>12.0</v>
      </c>
      <c r="B21" s="19" t="s">
        <v>365</v>
      </c>
      <c r="C21" s="91"/>
      <c r="D21" s="27">
        <v>2.17</v>
      </c>
      <c r="E21" s="27">
        <v>2.0</v>
      </c>
      <c r="F21" s="27">
        <v>3.15</v>
      </c>
      <c r="G21" s="27">
        <f>(('ECOLES CONTROLES'!$D21+'ECOLES CONTROLES'!$E21+'ECOLES CONTROLES'!$F21)/3)</f>
        <v>2.44</v>
      </c>
      <c r="H21" s="28" t="s">
        <v>28</v>
      </c>
      <c r="I21" s="7"/>
      <c r="J21" s="29">
        <v>1.0</v>
      </c>
      <c r="K21" s="7"/>
      <c r="L21" s="7"/>
    </row>
    <row r="22" ht="14.25" customHeight="1">
      <c r="A22" s="18"/>
      <c r="B22" s="19"/>
      <c r="C22" s="91"/>
      <c r="D22" s="27"/>
      <c r="E22" s="27"/>
      <c r="F22" s="27"/>
      <c r="G22" s="27"/>
      <c r="H22" s="28"/>
      <c r="I22" s="7">
        <f t="shared" ref="I22:J22" si="1">SUM(I10:I21)</f>
        <v>7</v>
      </c>
      <c r="J22" s="29">
        <f t="shared" si="1"/>
        <v>5</v>
      </c>
      <c r="K22" s="7"/>
      <c r="L22" s="7"/>
    </row>
    <row r="23" ht="14.25" customHeight="1">
      <c r="A23" s="18"/>
      <c r="B23" s="19"/>
      <c r="C23" s="91"/>
      <c r="D23" s="27"/>
      <c r="E23" s="27"/>
      <c r="F23" s="27"/>
      <c r="G23" s="27"/>
      <c r="H23" s="28"/>
      <c r="I23" s="48">
        <f>I22/A21</f>
        <v>0.5833333333</v>
      </c>
      <c r="J23" s="84">
        <f>J22/A21</f>
        <v>0.4166666667</v>
      </c>
      <c r="K23" s="7"/>
      <c r="L23" s="7"/>
    </row>
    <row r="24" ht="14.25" customHeight="1">
      <c r="A24" s="18" t="s">
        <v>366</v>
      </c>
      <c r="B24" s="91"/>
      <c r="C24" s="91"/>
      <c r="D24" s="28"/>
      <c r="E24" s="28"/>
      <c r="F24" s="28"/>
      <c r="G24" s="27"/>
      <c r="H24" s="28"/>
      <c r="I24" s="7"/>
      <c r="J24" s="7"/>
      <c r="K24" s="7"/>
      <c r="L24" s="7"/>
    </row>
    <row r="25" ht="14.25" customHeight="1">
      <c r="A25" s="18">
        <v>1.0</v>
      </c>
      <c r="B25" s="91" t="s">
        <v>367</v>
      </c>
      <c r="C25" s="91"/>
      <c r="D25" s="27">
        <v>4.25</v>
      </c>
      <c r="E25" s="27">
        <v>5.31</v>
      </c>
      <c r="F25" s="27">
        <v>5.8</v>
      </c>
      <c r="G25" s="27">
        <f>(('ECOLES CONTROLES'!$D25+'ECOLES CONTROLES'!$E25+'ECOLES CONTROLES'!$F25)/3)</f>
        <v>5.12</v>
      </c>
      <c r="H25" s="28" t="s">
        <v>32</v>
      </c>
      <c r="I25" s="29">
        <v>1.0</v>
      </c>
      <c r="J25" s="7"/>
      <c r="K25" s="7"/>
      <c r="L25" s="7"/>
    </row>
    <row r="26" ht="14.25" customHeight="1">
      <c r="A26" s="18">
        <v>2.0</v>
      </c>
      <c r="B26" s="93" t="s">
        <v>368</v>
      </c>
      <c r="C26" s="91"/>
      <c r="D26" s="27">
        <v>5.75</v>
      </c>
      <c r="E26" s="27">
        <v>4.62</v>
      </c>
      <c r="F26" s="27">
        <v>4.89</v>
      </c>
      <c r="G26" s="27">
        <f>(('ECOLES CONTROLES'!$D26+'ECOLES CONTROLES'!$E26+'ECOLES CONTROLES'!$F26)/3)</f>
        <v>5.086666667</v>
      </c>
      <c r="H26" s="28" t="s">
        <v>32</v>
      </c>
      <c r="I26" s="29">
        <v>1.0</v>
      </c>
      <c r="J26" s="7"/>
      <c r="K26" s="7"/>
      <c r="L26" s="7"/>
    </row>
    <row r="27" ht="14.25" customHeight="1">
      <c r="A27" s="18">
        <v>3.0</v>
      </c>
      <c r="B27" s="94" t="s">
        <v>369</v>
      </c>
      <c r="C27" s="92"/>
      <c r="D27" s="27">
        <v>3.85</v>
      </c>
      <c r="E27" s="27">
        <v>3.98</v>
      </c>
      <c r="F27" s="27">
        <v>5.71</v>
      </c>
      <c r="G27" s="27">
        <f>(('ECOLES CONTROLES'!$D27+'ECOLES CONTROLES'!$E27+'ECOLES CONTROLES'!$F27)/3)</f>
        <v>4.513333333</v>
      </c>
      <c r="H27" s="28" t="s">
        <v>32</v>
      </c>
      <c r="I27" s="29">
        <v>1.0</v>
      </c>
      <c r="J27" s="7"/>
      <c r="K27" s="7"/>
      <c r="L27" s="7"/>
    </row>
    <row r="28" ht="14.25" customHeight="1">
      <c r="A28" s="18">
        <v>4.0</v>
      </c>
      <c r="B28" s="93" t="s">
        <v>370</v>
      </c>
      <c r="C28" s="91"/>
      <c r="D28" s="27" t="s">
        <v>212</v>
      </c>
      <c r="E28" s="27">
        <v>2.09</v>
      </c>
      <c r="F28" s="27">
        <v>2.14</v>
      </c>
      <c r="G28" s="27">
        <f>(('ECOLES CONTROLES'!$E28+'ECOLES CONTROLES'!$F28)/3)</f>
        <v>1.41</v>
      </c>
      <c r="H28" s="95" t="s">
        <v>371</v>
      </c>
      <c r="I28" s="96"/>
      <c r="J28" s="97"/>
      <c r="K28" s="97">
        <v>1.0</v>
      </c>
      <c r="L28" s="98"/>
    </row>
    <row r="29" ht="14.25" customHeight="1">
      <c r="A29" s="18">
        <v>5.0</v>
      </c>
      <c r="B29" s="99" t="s">
        <v>372</v>
      </c>
      <c r="C29" s="92"/>
      <c r="D29" s="27">
        <v>1.81</v>
      </c>
      <c r="E29" s="27">
        <v>2.07</v>
      </c>
      <c r="F29" s="27">
        <v>2.37</v>
      </c>
      <c r="G29" s="27">
        <f>(('ECOLES CONTROLES'!$D29+'ECOLES CONTROLES'!$E29+'ECOLES CONTROLES'!$F29)/3)</f>
        <v>2.083333333</v>
      </c>
      <c r="H29" s="28" t="s">
        <v>28</v>
      </c>
      <c r="I29" s="7"/>
      <c r="J29" s="29">
        <v>1.0</v>
      </c>
      <c r="K29" s="7"/>
      <c r="L29" s="7"/>
    </row>
    <row r="30" ht="14.25" customHeight="1">
      <c r="A30" s="18">
        <v>6.0</v>
      </c>
      <c r="B30" s="99" t="s">
        <v>373</v>
      </c>
      <c r="C30" s="92"/>
      <c r="D30" s="27">
        <v>5.0</v>
      </c>
      <c r="E30" s="27">
        <v>5.12</v>
      </c>
      <c r="F30" s="27">
        <v>5.69</v>
      </c>
      <c r="G30" s="27">
        <f>(('ECOLES CONTROLES'!$D30+'ECOLES CONTROLES'!$E30+'ECOLES CONTROLES'!$F30)/3)</f>
        <v>5.27</v>
      </c>
      <c r="H30" s="28" t="s">
        <v>32</v>
      </c>
      <c r="I30" s="29">
        <v>1.0</v>
      </c>
      <c r="J30" s="7"/>
      <c r="K30" s="7"/>
      <c r="L30" s="7"/>
    </row>
    <row r="31" ht="14.25" customHeight="1">
      <c r="A31" s="18">
        <v>7.0</v>
      </c>
      <c r="B31" s="93" t="s">
        <v>374</v>
      </c>
      <c r="C31" s="91"/>
      <c r="D31" s="27">
        <v>4.75</v>
      </c>
      <c r="E31" s="27">
        <v>3.85</v>
      </c>
      <c r="F31" s="27">
        <v>4.95</v>
      </c>
      <c r="G31" s="27">
        <f>(('ECOLES CONTROLES'!$D31+'ECOLES CONTROLES'!$E31+'ECOLES CONTROLES'!$F31)/3)</f>
        <v>4.516666667</v>
      </c>
      <c r="H31" s="28" t="s">
        <v>32</v>
      </c>
      <c r="I31" s="29">
        <v>1.0</v>
      </c>
      <c r="J31" s="7"/>
      <c r="K31" s="7"/>
      <c r="L31" s="7"/>
    </row>
    <row r="32" ht="14.25" customHeight="1">
      <c r="A32" s="18">
        <v>8.0</v>
      </c>
      <c r="B32" s="93" t="s">
        <v>375</v>
      </c>
      <c r="C32" s="91"/>
      <c r="D32" s="27">
        <v>3.4</v>
      </c>
      <c r="E32" s="27">
        <v>4.62</v>
      </c>
      <c r="F32" s="27">
        <v>3.87</v>
      </c>
      <c r="G32" s="27">
        <f>(('ECOLES CONTROLES'!$D32+'ECOLES CONTROLES'!$E32+'ECOLES CONTROLES'!$F32)/3)</f>
        <v>3.963333333</v>
      </c>
      <c r="H32" s="28" t="s">
        <v>28</v>
      </c>
      <c r="I32" s="7"/>
      <c r="J32" s="29">
        <v>1.0</v>
      </c>
      <c r="K32" s="7"/>
      <c r="L32" s="7"/>
    </row>
    <row r="33" ht="14.25" customHeight="1">
      <c r="A33" s="18">
        <v>9.0</v>
      </c>
      <c r="B33" s="93" t="s">
        <v>376</v>
      </c>
      <c r="C33" s="91"/>
      <c r="D33" s="27">
        <v>4.62</v>
      </c>
      <c r="E33" s="27">
        <v>4.12</v>
      </c>
      <c r="F33" s="27">
        <v>5.26</v>
      </c>
      <c r="G33" s="27">
        <f>(('ECOLES CONTROLES'!$D33+'ECOLES CONTROLES'!$E33+'ECOLES CONTROLES'!$F33)/3)</f>
        <v>4.666666667</v>
      </c>
      <c r="H33" s="28" t="s">
        <v>32</v>
      </c>
      <c r="I33" s="29">
        <v>1.0</v>
      </c>
      <c r="J33" s="7"/>
      <c r="K33" s="7"/>
      <c r="L33" s="7"/>
    </row>
    <row r="34" ht="14.25" customHeight="1">
      <c r="A34" s="18">
        <v>10.0</v>
      </c>
      <c r="B34" s="93" t="s">
        <v>377</v>
      </c>
      <c r="C34" s="91"/>
      <c r="D34" s="27">
        <v>3.5</v>
      </c>
      <c r="E34" s="27">
        <v>2.5</v>
      </c>
      <c r="F34" s="27" t="s">
        <v>378</v>
      </c>
      <c r="G34" s="27">
        <f>(('ECOLES CONTROLES'!$D34+'ECOLES CONTROLES'!$E34)/3)</f>
        <v>2</v>
      </c>
      <c r="H34" s="28" t="s">
        <v>28</v>
      </c>
      <c r="I34" s="29"/>
      <c r="J34" s="29">
        <v>1.0</v>
      </c>
      <c r="K34" s="7"/>
      <c r="L34" s="7"/>
    </row>
    <row r="35" ht="14.25" customHeight="1">
      <c r="A35" s="18">
        <v>11.0</v>
      </c>
      <c r="B35" s="93" t="s">
        <v>379</v>
      </c>
      <c r="C35" s="91"/>
      <c r="D35" s="27">
        <v>4.87</v>
      </c>
      <c r="E35" s="27">
        <v>5.07</v>
      </c>
      <c r="F35" s="27">
        <v>6.0</v>
      </c>
      <c r="G35" s="27">
        <f>(('ECOLES CONTROLES'!$D35+'ECOLES CONTROLES'!$E35+'ECOLES CONTROLES'!$F35)/3)</f>
        <v>5.313333333</v>
      </c>
      <c r="H35" s="28" t="s">
        <v>32</v>
      </c>
      <c r="I35" s="29">
        <v>1.0</v>
      </c>
      <c r="J35" s="7"/>
      <c r="K35" s="7"/>
      <c r="L35" s="7"/>
    </row>
    <row r="36" ht="14.25" customHeight="1">
      <c r="A36" s="18">
        <v>12.0</v>
      </c>
      <c r="B36" s="93" t="s">
        <v>380</v>
      </c>
      <c r="C36" s="91"/>
      <c r="D36" s="27">
        <v>1.5</v>
      </c>
      <c r="E36" s="27">
        <v>2.85</v>
      </c>
      <c r="F36" s="27">
        <v>2.87</v>
      </c>
      <c r="G36" s="27">
        <f>(('ECOLES CONTROLES'!$D36+'ECOLES CONTROLES'!$E36+'ECOLES CONTROLES'!$F36)/3)</f>
        <v>2.406666667</v>
      </c>
      <c r="H36" s="28" t="s">
        <v>28</v>
      </c>
      <c r="I36" s="7"/>
      <c r="J36" s="29">
        <v>1.0</v>
      </c>
      <c r="K36" s="7"/>
      <c r="L36" s="7"/>
    </row>
    <row r="37" ht="14.25" customHeight="1">
      <c r="A37" s="18">
        <v>13.0</v>
      </c>
      <c r="B37" s="93" t="s">
        <v>381</v>
      </c>
      <c r="C37" s="91"/>
      <c r="D37" s="27">
        <v>3.59</v>
      </c>
      <c r="E37" s="27">
        <v>4.8</v>
      </c>
      <c r="F37" s="27">
        <v>5.4</v>
      </c>
      <c r="G37" s="27">
        <f>(('ECOLES CONTROLES'!$D37+'ECOLES CONTROLES'!$E37+'ECOLES CONTROLES'!$F37)/3)</f>
        <v>4.596666667</v>
      </c>
      <c r="H37" s="28" t="s">
        <v>32</v>
      </c>
      <c r="I37" s="29">
        <v>1.0</v>
      </c>
      <c r="J37" s="7"/>
      <c r="K37" s="7"/>
      <c r="L37" s="7"/>
    </row>
    <row r="38" ht="14.25" customHeight="1">
      <c r="A38" s="18">
        <v>14.0</v>
      </c>
      <c r="B38" s="93" t="s">
        <v>382</v>
      </c>
      <c r="C38" s="91"/>
      <c r="D38" s="27">
        <v>4.72</v>
      </c>
      <c r="E38" s="27">
        <v>5.0</v>
      </c>
      <c r="F38" s="27">
        <v>4.91</v>
      </c>
      <c r="G38" s="27">
        <f>(('ECOLES CONTROLES'!$D38+'ECOLES CONTROLES'!$E38+'ECOLES CONTROLES'!$F38)/3)</f>
        <v>4.876666667</v>
      </c>
      <c r="H38" s="28" t="s">
        <v>32</v>
      </c>
      <c r="I38" s="29">
        <v>1.0</v>
      </c>
      <c r="J38" s="7"/>
      <c r="K38" s="7"/>
      <c r="L38" s="7"/>
    </row>
    <row r="39" ht="14.25" customHeight="1">
      <c r="A39" s="18">
        <v>15.0</v>
      </c>
      <c r="B39" s="93" t="s">
        <v>383</v>
      </c>
      <c r="C39" s="91"/>
      <c r="D39" s="27">
        <v>1.5</v>
      </c>
      <c r="E39" s="27">
        <v>2.12</v>
      </c>
      <c r="F39" s="27">
        <v>2.7</v>
      </c>
      <c r="G39" s="27">
        <f>(('ECOLES CONTROLES'!$D39+'ECOLES CONTROLES'!$E39+'ECOLES CONTROLES'!$F39)/3)</f>
        <v>2.106666667</v>
      </c>
      <c r="H39" s="28" t="s">
        <v>28</v>
      </c>
      <c r="I39" s="7"/>
      <c r="J39" s="29">
        <v>1.0</v>
      </c>
      <c r="K39" s="7"/>
      <c r="L39" s="7"/>
    </row>
    <row r="40" ht="14.25" customHeight="1">
      <c r="A40" s="18">
        <v>16.0</v>
      </c>
      <c r="B40" s="99" t="s">
        <v>384</v>
      </c>
      <c r="C40" s="92"/>
      <c r="D40" s="27">
        <v>4.0</v>
      </c>
      <c r="E40" s="27">
        <v>4.81</v>
      </c>
      <c r="F40" s="27">
        <v>4.99</v>
      </c>
      <c r="G40" s="27">
        <f>(('ECOLES CONTROLES'!$D40+'ECOLES CONTROLES'!$E40+'ECOLES CONTROLES'!$F40)/3)</f>
        <v>4.6</v>
      </c>
      <c r="H40" s="28" t="s">
        <v>32</v>
      </c>
      <c r="I40" s="29">
        <v>1.0</v>
      </c>
      <c r="J40" s="7"/>
      <c r="K40" s="7"/>
      <c r="L40" s="7"/>
    </row>
    <row r="41" ht="14.25" customHeight="1">
      <c r="A41" s="18">
        <v>17.0</v>
      </c>
      <c r="B41" s="99" t="s">
        <v>385</v>
      </c>
      <c r="C41" s="92"/>
      <c r="D41" s="27">
        <v>5.36</v>
      </c>
      <c r="E41" s="27">
        <v>5.65</v>
      </c>
      <c r="F41" s="27">
        <v>6.0</v>
      </c>
      <c r="G41" s="27">
        <f>(('ECOLES CONTROLES'!$D41+'ECOLES CONTROLES'!$E41+'ECOLES CONTROLES'!$F41)/3)</f>
        <v>5.67</v>
      </c>
      <c r="H41" s="28" t="s">
        <v>32</v>
      </c>
      <c r="I41" s="29">
        <v>1.0</v>
      </c>
      <c r="J41" s="7"/>
      <c r="K41" s="7"/>
      <c r="L41" s="7"/>
    </row>
    <row r="42" ht="14.25" customHeight="1">
      <c r="A42" s="18">
        <v>18.0</v>
      </c>
      <c r="B42" s="99" t="s">
        <v>386</v>
      </c>
      <c r="C42" s="92"/>
      <c r="D42" s="27">
        <v>1.5</v>
      </c>
      <c r="E42" s="27">
        <v>1.81</v>
      </c>
      <c r="F42" s="27">
        <v>2.37</v>
      </c>
      <c r="G42" s="27">
        <f>(('ECOLES CONTROLES'!$D42+'ECOLES CONTROLES'!$E42+'ECOLES CONTROLES'!$F42)/3)</f>
        <v>1.893333333</v>
      </c>
      <c r="H42" s="28" t="s">
        <v>28</v>
      </c>
      <c r="I42" s="7"/>
      <c r="J42" s="29">
        <v>1.0</v>
      </c>
      <c r="K42" s="7"/>
      <c r="L42" s="7"/>
    </row>
    <row r="43" ht="14.25" customHeight="1">
      <c r="A43" s="18">
        <v>19.0</v>
      </c>
      <c r="B43" s="99" t="s">
        <v>387</v>
      </c>
      <c r="C43" s="92"/>
      <c r="D43" s="27">
        <v>4.1</v>
      </c>
      <c r="E43" s="27">
        <v>4.87</v>
      </c>
      <c r="F43" s="27" t="s">
        <v>212</v>
      </c>
      <c r="G43" s="27">
        <f>(('ECOLES CONTROLES'!$D43+'ECOLES CONTROLES'!$E43)/3)</f>
        <v>2.99</v>
      </c>
      <c r="H43" s="95" t="s">
        <v>371</v>
      </c>
      <c r="I43" s="96"/>
      <c r="J43" s="96"/>
      <c r="K43" s="97">
        <v>1.0</v>
      </c>
      <c r="L43" s="98"/>
    </row>
    <row r="44" ht="14.25" customHeight="1">
      <c r="A44" s="18">
        <v>20.0</v>
      </c>
      <c r="B44" s="100" t="s">
        <v>388</v>
      </c>
      <c r="C44" s="91"/>
      <c r="D44" s="27">
        <v>4.25</v>
      </c>
      <c r="E44" s="27">
        <v>4.85</v>
      </c>
      <c r="F44" s="27">
        <v>6.73</v>
      </c>
      <c r="G44" s="27">
        <f>(('ECOLES CONTROLES'!$D44+'ECOLES CONTROLES'!$E44+'ECOLES CONTROLES'!$F44)/3)</f>
        <v>5.276666667</v>
      </c>
      <c r="H44" s="28" t="s">
        <v>32</v>
      </c>
      <c r="I44" s="29">
        <v>1.0</v>
      </c>
      <c r="J44" s="7"/>
      <c r="K44" s="7"/>
      <c r="L44" s="7"/>
    </row>
    <row r="45" ht="14.25" customHeight="1">
      <c r="A45" s="18"/>
      <c r="B45" s="101"/>
      <c r="C45" s="91"/>
      <c r="D45" s="27"/>
      <c r="E45" s="27"/>
      <c r="F45" s="27"/>
      <c r="G45" s="27"/>
      <c r="H45" s="28"/>
      <c r="I45" s="29">
        <f t="shared" ref="I45:K45" si="2">SUM(I25:I44)</f>
        <v>12</v>
      </c>
      <c r="J45" s="7">
        <f t="shared" si="2"/>
        <v>6</v>
      </c>
      <c r="K45" s="7">
        <f t="shared" si="2"/>
        <v>2</v>
      </c>
      <c r="L45" s="7"/>
    </row>
    <row r="46" ht="14.25" customHeight="1">
      <c r="A46" s="18"/>
      <c r="B46" s="101"/>
      <c r="C46" s="91"/>
      <c r="D46" s="27"/>
      <c r="E46" s="27"/>
      <c r="F46" s="27"/>
      <c r="G46" s="27"/>
      <c r="H46" s="28"/>
      <c r="I46" s="84">
        <f>I45/A44</f>
        <v>0.6</v>
      </c>
      <c r="J46" s="48">
        <f>J45/A44</f>
        <v>0.3</v>
      </c>
      <c r="K46" s="48">
        <f>K45/A44</f>
        <v>0.1</v>
      </c>
      <c r="L46" s="7"/>
    </row>
    <row r="47" ht="14.25" customHeight="1">
      <c r="A47" s="18" t="s">
        <v>389</v>
      </c>
      <c r="B47" s="91"/>
      <c r="C47" s="91"/>
      <c r="D47" s="28"/>
      <c r="E47" s="28"/>
      <c r="F47" s="28"/>
      <c r="G47" s="27"/>
      <c r="H47" s="28"/>
      <c r="I47" s="7"/>
      <c r="J47" s="7"/>
      <c r="K47" s="7"/>
      <c r="L47" s="7"/>
    </row>
    <row r="48" ht="14.25" customHeight="1">
      <c r="A48" s="18">
        <v>1.0</v>
      </c>
      <c r="B48" s="19" t="s">
        <v>67</v>
      </c>
      <c r="C48" s="91"/>
      <c r="D48" s="27">
        <v>3.75</v>
      </c>
      <c r="E48" s="27">
        <v>3.5</v>
      </c>
      <c r="F48" s="27">
        <v>1.75</v>
      </c>
      <c r="G48" s="27">
        <f>(('ECOLES CONTROLES'!$D48+'ECOLES CONTROLES'!$E48+'ECOLES CONTROLES'!$F48)/3)</f>
        <v>3</v>
      </c>
      <c r="H48" s="28" t="s">
        <v>28</v>
      </c>
      <c r="I48" s="7"/>
      <c r="J48" s="29">
        <v>1.0</v>
      </c>
      <c r="K48" s="7"/>
      <c r="L48" s="7"/>
    </row>
    <row r="49" ht="14.25" customHeight="1">
      <c r="A49" s="15">
        <v>2.0</v>
      </c>
      <c r="B49" s="19" t="s">
        <v>390</v>
      </c>
      <c r="C49" s="91"/>
      <c r="D49" s="27">
        <v>3.5</v>
      </c>
      <c r="E49" s="27">
        <v>5.75</v>
      </c>
      <c r="F49" s="27">
        <v>4.4</v>
      </c>
      <c r="G49" s="27">
        <f>(('ECOLES CONTROLES'!$D49+'ECOLES CONTROLES'!$E49+'ECOLES CONTROLES'!$F49)/3)</f>
        <v>4.55</v>
      </c>
      <c r="H49" s="28" t="s">
        <v>32</v>
      </c>
      <c r="I49" s="29">
        <v>1.0</v>
      </c>
      <c r="J49" s="7"/>
      <c r="K49" s="7"/>
      <c r="L49" s="7"/>
    </row>
    <row r="50" ht="14.25" customHeight="1">
      <c r="A50" s="15">
        <v>3.0</v>
      </c>
      <c r="B50" s="19" t="s">
        <v>391</v>
      </c>
      <c r="C50" s="91"/>
      <c r="D50" s="27">
        <v>4.46</v>
      </c>
      <c r="E50" s="27">
        <v>4.0</v>
      </c>
      <c r="F50" s="27">
        <v>5.93</v>
      </c>
      <c r="G50" s="27">
        <f>(('ECOLES CONTROLES'!$D50+'ECOLES CONTROLES'!$E50+'ECOLES CONTROLES'!$F50)/3)</f>
        <v>4.796666667</v>
      </c>
      <c r="H50" s="28" t="s">
        <v>32</v>
      </c>
      <c r="I50" s="29">
        <v>1.0</v>
      </c>
      <c r="J50" s="7"/>
      <c r="K50" s="7"/>
      <c r="L50" s="7"/>
    </row>
    <row r="51" ht="14.25" customHeight="1">
      <c r="A51" s="18">
        <v>4.0</v>
      </c>
      <c r="B51" s="19" t="s">
        <v>392</v>
      </c>
      <c r="C51" s="91"/>
      <c r="D51" s="27">
        <v>5.8</v>
      </c>
      <c r="E51" s="27">
        <v>5.0</v>
      </c>
      <c r="F51" s="27">
        <v>4.05</v>
      </c>
      <c r="G51" s="27">
        <f>(('ECOLES CONTROLES'!$D51+'ECOLES CONTROLES'!$E51+'ECOLES CONTROLES'!$F51)/3)</f>
        <v>4.95</v>
      </c>
      <c r="H51" s="28" t="s">
        <v>32</v>
      </c>
      <c r="I51" s="29">
        <v>1.0</v>
      </c>
      <c r="J51" s="7"/>
      <c r="K51" s="7"/>
      <c r="L51" s="7"/>
    </row>
    <row r="52" ht="14.25" customHeight="1">
      <c r="A52" s="15">
        <v>5.0</v>
      </c>
      <c r="B52" s="19" t="s">
        <v>393</v>
      </c>
      <c r="C52" s="91"/>
      <c r="D52" s="27">
        <v>4.5</v>
      </c>
      <c r="E52" s="27">
        <v>6.0</v>
      </c>
      <c r="F52" s="27">
        <v>3.7</v>
      </c>
      <c r="G52" s="27">
        <f>(('ECOLES CONTROLES'!$D52+'ECOLES CONTROLES'!$E52+'ECOLES CONTROLES'!$F52)/3)</f>
        <v>4.733333333</v>
      </c>
      <c r="H52" s="28" t="s">
        <v>32</v>
      </c>
      <c r="I52" s="29">
        <v>1.0</v>
      </c>
      <c r="J52" s="7"/>
      <c r="K52" s="7"/>
      <c r="L52" s="7"/>
    </row>
    <row r="53" ht="14.25" customHeight="1">
      <c r="A53" s="15">
        <v>6.0</v>
      </c>
      <c r="B53" s="19" t="s">
        <v>394</v>
      </c>
      <c r="C53" s="91"/>
      <c r="D53" s="27">
        <v>5.5</v>
      </c>
      <c r="E53" s="27">
        <v>4.7</v>
      </c>
      <c r="F53" s="27">
        <v>3.3</v>
      </c>
      <c r="G53" s="27">
        <f>(('ECOLES CONTROLES'!$D53+'ECOLES CONTROLES'!$E53+'ECOLES CONTROLES'!$F53)/3)</f>
        <v>4.5</v>
      </c>
      <c r="H53" s="28" t="s">
        <v>32</v>
      </c>
      <c r="I53" s="29">
        <v>1.0</v>
      </c>
      <c r="J53" s="7"/>
      <c r="K53" s="7"/>
      <c r="L53" s="7"/>
    </row>
    <row r="54" ht="14.25" customHeight="1">
      <c r="A54" s="18">
        <v>7.0</v>
      </c>
      <c r="B54" s="19" t="s">
        <v>395</v>
      </c>
      <c r="C54" s="91"/>
      <c r="D54" s="27">
        <v>1.25</v>
      </c>
      <c r="E54" s="27">
        <v>2.13</v>
      </c>
      <c r="F54" s="27">
        <v>1.25</v>
      </c>
      <c r="G54" s="27">
        <f>(('ECOLES CONTROLES'!$D54+'ECOLES CONTROLES'!$E54+'ECOLES CONTROLES'!$F54)/3)</f>
        <v>1.543333333</v>
      </c>
      <c r="H54" s="28" t="s">
        <v>28</v>
      </c>
      <c r="I54" s="7"/>
      <c r="J54" s="29">
        <v>1.0</v>
      </c>
      <c r="K54" s="7"/>
      <c r="L54" s="7"/>
    </row>
    <row r="55" ht="14.25" customHeight="1">
      <c r="A55" s="15">
        <v>8.0</v>
      </c>
      <c r="B55" s="19" t="s">
        <v>396</v>
      </c>
      <c r="C55" s="91"/>
      <c r="D55" s="27">
        <v>4.5</v>
      </c>
      <c r="E55" s="27">
        <v>5.13</v>
      </c>
      <c r="F55" s="27">
        <v>3.5</v>
      </c>
      <c r="G55" s="27">
        <f>(('ECOLES CONTROLES'!$D55+'ECOLES CONTROLES'!$E55+'ECOLES CONTROLES'!$F55)/3)</f>
        <v>4.376666667</v>
      </c>
      <c r="H55" s="28" t="s">
        <v>28</v>
      </c>
      <c r="I55" s="7"/>
      <c r="J55" s="29">
        <v>1.0</v>
      </c>
      <c r="K55" s="7"/>
      <c r="L55" s="7"/>
    </row>
    <row r="56" ht="14.25" customHeight="1">
      <c r="A56" s="15">
        <v>9.0</v>
      </c>
      <c r="B56" s="33" t="s">
        <v>397</v>
      </c>
      <c r="C56" s="92"/>
      <c r="D56" s="27">
        <v>4.98</v>
      </c>
      <c r="E56" s="27">
        <v>3.9</v>
      </c>
      <c r="F56" s="27">
        <v>4.95</v>
      </c>
      <c r="G56" s="27">
        <f>(('ECOLES CONTROLES'!$D56+'ECOLES CONTROLES'!$E56+'ECOLES CONTROLES'!$F56)/3)</f>
        <v>4.61</v>
      </c>
      <c r="H56" s="28" t="s">
        <v>32</v>
      </c>
      <c r="I56" s="29">
        <v>1.0</v>
      </c>
      <c r="J56" s="7"/>
      <c r="K56" s="7"/>
      <c r="L56" s="7"/>
    </row>
    <row r="57" ht="14.25" customHeight="1">
      <c r="A57" s="18">
        <v>10.0</v>
      </c>
      <c r="B57" s="19" t="s">
        <v>398</v>
      </c>
      <c r="C57" s="91"/>
      <c r="D57" s="27">
        <v>3.75</v>
      </c>
      <c r="E57" s="27">
        <v>4.75</v>
      </c>
      <c r="F57" s="27">
        <v>4.99</v>
      </c>
      <c r="G57" s="27">
        <f>(('ECOLES CONTROLES'!$D57+'ECOLES CONTROLES'!$E57+'ECOLES CONTROLES'!$F57)/3)</f>
        <v>4.496666667</v>
      </c>
      <c r="H57" s="28" t="s">
        <v>32</v>
      </c>
      <c r="I57" s="29">
        <v>1.0</v>
      </c>
      <c r="J57" s="7"/>
      <c r="K57" s="7"/>
      <c r="L57" s="7"/>
    </row>
    <row r="58" ht="14.25" customHeight="1">
      <c r="A58" s="15">
        <v>11.0</v>
      </c>
      <c r="B58" s="19" t="s">
        <v>399</v>
      </c>
      <c r="C58" s="91"/>
      <c r="D58" s="27">
        <v>2.4</v>
      </c>
      <c r="E58" s="27">
        <v>1.0</v>
      </c>
      <c r="F58" s="27">
        <v>0.6</v>
      </c>
      <c r="G58" s="27">
        <f>(('ECOLES CONTROLES'!$D58+'ECOLES CONTROLES'!$E58+'ECOLES CONTROLES'!$F58)/3)</f>
        <v>1.333333333</v>
      </c>
      <c r="H58" s="28" t="s">
        <v>28</v>
      </c>
      <c r="I58" s="7"/>
      <c r="J58" s="29">
        <v>1.0</v>
      </c>
      <c r="K58" s="7"/>
      <c r="L58" s="7"/>
    </row>
    <row r="59" ht="14.25" customHeight="1">
      <c r="A59" s="15">
        <v>12.0</v>
      </c>
      <c r="B59" s="19" t="s">
        <v>400</v>
      </c>
      <c r="C59" s="91"/>
      <c r="D59" s="27">
        <v>4.0</v>
      </c>
      <c r="E59" s="27">
        <v>5.75</v>
      </c>
      <c r="F59" s="27">
        <v>6.0</v>
      </c>
      <c r="G59" s="27">
        <f>(('ECOLES CONTROLES'!$D59+'ECOLES CONTROLES'!$E59+'ECOLES CONTROLES'!$F59)/3)</f>
        <v>5.25</v>
      </c>
      <c r="H59" s="28" t="s">
        <v>32</v>
      </c>
      <c r="I59" s="29">
        <v>1.0</v>
      </c>
      <c r="J59" s="7"/>
      <c r="K59" s="7"/>
      <c r="L59" s="7"/>
    </row>
    <row r="60" ht="14.25" customHeight="1">
      <c r="A60" s="18">
        <v>13.0</v>
      </c>
      <c r="B60" s="19" t="s">
        <v>401</v>
      </c>
      <c r="C60" s="91"/>
      <c r="D60" s="27">
        <v>4.55</v>
      </c>
      <c r="E60" s="27">
        <v>4.97</v>
      </c>
      <c r="F60" s="27">
        <v>3.99</v>
      </c>
      <c r="G60" s="27">
        <f>(('ECOLES CONTROLES'!$D60+'ECOLES CONTROLES'!$E60+'ECOLES CONTROLES'!$F60)/3)</f>
        <v>4.503333333</v>
      </c>
      <c r="H60" s="28" t="s">
        <v>32</v>
      </c>
      <c r="I60" s="29">
        <v>1.0</v>
      </c>
      <c r="J60" s="7"/>
      <c r="K60" s="7"/>
      <c r="L60" s="7"/>
    </row>
    <row r="61" ht="14.25" customHeight="1">
      <c r="A61" s="15">
        <v>14.0</v>
      </c>
      <c r="B61" s="33" t="s">
        <v>402</v>
      </c>
      <c r="C61" s="92"/>
      <c r="D61" s="27">
        <v>6.5</v>
      </c>
      <c r="E61" s="27">
        <v>5.75</v>
      </c>
      <c r="F61" s="27">
        <v>5.05</v>
      </c>
      <c r="G61" s="27">
        <f>(('ECOLES CONTROLES'!$D61+'ECOLES CONTROLES'!$E61+'ECOLES CONTROLES'!$F61)/3)</f>
        <v>5.766666667</v>
      </c>
      <c r="H61" s="28" t="s">
        <v>32</v>
      </c>
      <c r="I61" s="29">
        <v>1.0</v>
      </c>
      <c r="J61" s="7"/>
      <c r="K61" s="7"/>
      <c r="L61" s="7"/>
    </row>
    <row r="62" ht="14.25" customHeight="1">
      <c r="A62" s="15">
        <v>15.0</v>
      </c>
      <c r="B62" s="19" t="s">
        <v>403</v>
      </c>
      <c r="C62" s="91"/>
      <c r="D62" s="27">
        <v>1.53</v>
      </c>
      <c r="E62" s="27">
        <v>0.75</v>
      </c>
      <c r="F62" s="27">
        <v>2.15</v>
      </c>
      <c r="G62" s="27">
        <f>(('ECOLES CONTROLES'!$D62+'ECOLES CONTROLES'!$E62+'ECOLES CONTROLES'!$F62)/3)</f>
        <v>1.476666667</v>
      </c>
      <c r="H62" s="28" t="s">
        <v>28</v>
      </c>
      <c r="I62" s="7"/>
      <c r="J62" s="29">
        <v>1.0</v>
      </c>
      <c r="K62" s="7"/>
      <c r="L62" s="7"/>
    </row>
    <row r="63" ht="14.25" customHeight="1">
      <c r="A63" s="18">
        <v>16.0</v>
      </c>
      <c r="B63" s="19" t="s">
        <v>404</v>
      </c>
      <c r="C63" s="91"/>
      <c r="D63" s="27">
        <v>2.75</v>
      </c>
      <c r="E63" s="27">
        <v>3.23</v>
      </c>
      <c r="F63" s="27">
        <v>2.0</v>
      </c>
      <c r="G63" s="27">
        <f>(('ECOLES CONTROLES'!$D63+'ECOLES CONTROLES'!$E63+'ECOLES CONTROLES'!$F63)/3)</f>
        <v>2.66</v>
      </c>
      <c r="H63" s="28" t="s">
        <v>28</v>
      </c>
      <c r="I63" s="7"/>
      <c r="J63" s="29">
        <v>1.0</v>
      </c>
      <c r="K63" s="7"/>
      <c r="L63" s="7"/>
    </row>
    <row r="64" ht="14.25" customHeight="1">
      <c r="A64" s="15">
        <v>17.0</v>
      </c>
      <c r="B64" s="19" t="s">
        <v>405</v>
      </c>
      <c r="C64" s="91"/>
      <c r="D64" s="27">
        <v>4.75</v>
      </c>
      <c r="E64" s="27">
        <v>4.95</v>
      </c>
      <c r="F64" s="27">
        <v>5.132</v>
      </c>
      <c r="G64" s="27">
        <f>(('ECOLES CONTROLES'!$D64+'ECOLES CONTROLES'!$E64+'ECOLES CONTROLES'!$F64)/3)</f>
        <v>4.944</v>
      </c>
      <c r="H64" s="28" t="s">
        <v>32</v>
      </c>
      <c r="I64" s="29">
        <v>1.0</v>
      </c>
      <c r="J64" s="7"/>
      <c r="K64" s="7"/>
      <c r="L64" s="7"/>
    </row>
    <row r="65" ht="14.25" customHeight="1">
      <c r="A65" s="15">
        <v>18.0</v>
      </c>
      <c r="B65" s="19" t="s">
        <v>406</v>
      </c>
      <c r="C65" s="91"/>
      <c r="D65" s="27">
        <v>6.5</v>
      </c>
      <c r="E65" s="27">
        <v>5.75</v>
      </c>
      <c r="F65" s="27">
        <v>5.0</v>
      </c>
      <c r="G65" s="27">
        <f>(('ECOLES CONTROLES'!$D65+'ECOLES CONTROLES'!$E65+'ECOLES CONTROLES'!$F65)/3)</f>
        <v>5.75</v>
      </c>
      <c r="H65" s="28" t="s">
        <v>32</v>
      </c>
      <c r="I65" s="29">
        <v>1.0</v>
      </c>
      <c r="J65" s="7"/>
      <c r="K65" s="7"/>
      <c r="L65" s="7"/>
    </row>
    <row r="66" ht="14.25" customHeight="1">
      <c r="A66" s="18">
        <v>19.0</v>
      </c>
      <c r="B66" s="19" t="s">
        <v>407</v>
      </c>
      <c r="C66" s="91"/>
      <c r="D66" s="27">
        <v>5.75</v>
      </c>
      <c r="E66" s="27">
        <v>5.366</v>
      </c>
      <c r="F66" s="27">
        <v>4.1</v>
      </c>
      <c r="G66" s="27">
        <f>(('ECOLES CONTROLES'!$D66+'ECOLES CONTROLES'!$E66+'ECOLES CONTROLES'!$F66)/3)</f>
        <v>5.072</v>
      </c>
      <c r="H66" s="28" t="s">
        <v>32</v>
      </c>
      <c r="I66" s="29">
        <v>1.0</v>
      </c>
      <c r="J66" s="7"/>
      <c r="K66" s="7"/>
      <c r="L66" s="7"/>
    </row>
    <row r="67" ht="14.25" customHeight="1">
      <c r="A67" s="15">
        <v>20.0</v>
      </c>
      <c r="B67" s="19" t="s">
        <v>408</v>
      </c>
      <c r="C67" s="91"/>
      <c r="D67" s="27">
        <v>3.15</v>
      </c>
      <c r="E67" s="27">
        <v>3.0</v>
      </c>
      <c r="F67" s="27">
        <v>2.95</v>
      </c>
      <c r="G67" s="27">
        <f>(('ECOLES CONTROLES'!$D67+'ECOLES CONTROLES'!$E67+'ECOLES CONTROLES'!$F67)/3)</f>
        <v>3.033333333</v>
      </c>
      <c r="H67" s="28" t="s">
        <v>28</v>
      </c>
      <c r="I67" s="7"/>
      <c r="J67" s="29">
        <v>1.0</v>
      </c>
      <c r="K67" s="7"/>
      <c r="L67" s="7"/>
    </row>
    <row r="68" ht="14.25" customHeight="1">
      <c r="A68" s="15"/>
      <c r="B68" s="19"/>
      <c r="C68" s="91"/>
      <c r="D68" s="27"/>
      <c r="E68" s="27"/>
      <c r="F68" s="27"/>
      <c r="G68" s="27"/>
      <c r="H68" s="28"/>
      <c r="I68" s="7">
        <f t="shared" ref="I68:J68" si="3">SUM(I48:I67)</f>
        <v>13</v>
      </c>
      <c r="J68" s="29">
        <f t="shared" si="3"/>
        <v>7</v>
      </c>
      <c r="K68" s="7"/>
      <c r="L68" s="7"/>
    </row>
    <row r="69" ht="14.25" customHeight="1">
      <c r="A69" s="15"/>
      <c r="B69" s="19"/>
      <c r="C69" s="91"/>
      <c r="D69" s="27"/>
      <c r="E69" s="27"/>
      <c r="F69" s="27"/>
      <c r="G69" s="27"/>
      <c r="H69" s="28"/>
      <c r="I69" s="48">
        <f>I68/A67</f>
        <v>0.65</v>
      </c>
      <c r="J69" s="84">
        <f>J68/A67</f>
        <v>0.35</v>
      </c>
      <c r="K69" s="7"/>
      <c r="L69" s="7"/>
    </row>
    <row r="70" ht="14.25" customHeight="1">
      <c r="A70" s="15" t="s">
        <v>409</v>
      </c>
      <c r="B70" s="91"/>
      <c r="C70" s="91"/>
      <c r="D70" s="28"/>
      <c r="E70" s="28"/>
      <c r="F70" s="28"/>
      <c r="G70" s="27"/>
      <c r="H70" s="28"/>
      <c r="I70" s="7"/>
      <c r="J70" s="7"/>
      <c r="K70" s="7"/>
      <c r="L70" s="7"/>
    </row>
    <row r="71" ht="14.25" customHeight="1">
      <c r="A71" s="18">
        <v>1.0</v>
      </c>
      <c r="B71" s="91" t="s">
        <v>410</v>
      </c>
      <c r="C71" s="91"/>
      <c r="D71" s="27">
        <v>2.12</v>
      </c>
      <c r="E71" s="27">
        <v>2.01</v>
      </c>
      <c r="F71" s="27">
        <v>2.98</v>
      </c>
      <c r="G71" s="27">
        <f>(('ECOLES CONTROLES'!$D71+'ECOLES CONTROLES'!$E71+'ECOLES CONTROLES'!$F71)/3)</f>
        <v>2.37</v>
      </c>
      <c r="H71" s="28" t="s">
        <v>28</v>
      </c>
      <c r="I71" s="7"/>
      <c r="J71" s="29">
        <v>1.0</v>
      </c>
      <c r="K71" s="7"/>
      <c r="L71" s="7"/>
    </row>
    <row r="72" ht="14.25" customHeight="1">
      <c r="A72" s="15">
        <v>2.0</v>
      </c>
      <c r="B72" s="91" t="s">
        <v>411</v>
      </c>
      <c r="C72" s="91"/>
      <c r="D72" s="27">
        <v>4.1</v>
      </c>
      <c r="E72" s="27">
        <v>6.0</v>
      </c>
      <c r="F72" s="27">
        <v>5.12</v>
      </c>
      <c r="G72" s="27">
        <f>(('ECOLES CONTROLES'!$D72+'ECOLES CONTROLES'!$E72+'ECOLES CONTROLES'!$F72)/3)</f>
        <v>5.073333333</v>
      </c>
      <c r="H72" s="28" t="s">
        <v>32</v>
      </c>
      <c r="I72" s="29">
        <v>1.0</v>
      </c>
      <c r="J72" s="7"/>
      <c r="K72" s="7"/>
      <c r="L72" s="7"/>
    </row>
    <row r="73" ht="14.25" customHeight="1">
      <c r="A73" s="15">
        <v>3.0</v>
      </c>
      <c r="B73" s="102" t="s">
        <v>412</v>
      </c>
      <c r="C73" s="92"/>
      <c r="D73" s="27">
        <v>3.91</v>
      </c>
      <c r="E73" s="27">
        <v>4.82</v>
      </c>
      <c r="F73" s="27">
        <v>4.89</v>
      </c>
      <c r="G73" s="27">
        <f>(('ECOLES CONTROLES'!$D73+'ECOLES CONTROLES'!$E73+'ECOLES CONTROLES'!$F73)/3)</f>
        <v>4.54</v>
      </c>
      <c r="H73" s="28" t="s">
        <v>32</v>
      </c>
      <c r="I73" s="29">
        <v>1.0</v>
      </c>
      <c r="J73" s="7"/>
      <c r="K73" s="7"/>
      <c r="L73" s="7"/>
    </row>
    <row r="74" ht="14.25" customHeight="1">
      <c r="A74" s="15">
        <v>4.0</v>
      </c>
      <c r="B74" s="91" t="s">
        <v>413</v>
      </c>
      <c r="C74" s="91"/>
      <c r="D74" s="27">
        <v>3.3</v>
      </c>
      <c r="E74" s="27">
        <v>3.4</v>
      </c>
      <c r="F74" s="27">
        <v>3.67</v>
      </c>
      <c r="G74" s="27">
        <f>(('ECOLES CONTROLES'!$D74+'ECOLES CONTROLES'!$E74+'ECOLES CONTROLES'!$F74)/3)</f>
        <v>3.456666667</v>
      </c>
      <c r="H74" s="28" t="s">
        <v>28</v>
      </c>
      <c r="I74" s="7"/>
      <c r="J74" s="29">
        <v>1.0</v>
      </c>
      <c r="K74" s="7"/>
      <c r="L74" s="7"/>
    </row>
    <row r="75" ht="14.25" customHeight="1">
      <c r="A75" s="15">
        <v>5.0</v>
      </c>
      <c r="B75" s="91" t="s">
        <v>414</v>
      </c>
      <c r="C75" s="91"/>
      <c r="D75" s="27">
        <v>5.0</v>
      </c>
      <c r="E75" s="27">
        <v>4.38</v>
      </c>
      <c r="F75" s="27">
        <v>4.15</v>
      </c>
      <c r="G75" s="27">
        <f>(('ECOLES CONTROLES'!$D75+'ECOLES CONTROLES'!$E75+'ECOLES CONTROLES'!$F75)/3)</f>
        <v>4.51</v>
      </c>
      <c r="H75" s="28" t="s">
        <v>32</v>
      </c>
      <c r="I75" s="29">
        <v>1.0</v>
      </c>
      <c r="J75" s="7"/>
      <c r="K75" s="7"/>
      <c r="L75" s="7"/>
    </row>
    <row r="76" ht="14.25" customHeight="1">
      <c r="A76" s="15">
        <v>6.0</v>
      </c>
      <c r="B76" s="91" t="s">
        <v>415</v>
      </c>
      <c r="C76" s="91"/>
      <c r="D76" s="27">
        <v>4.91</v>
      </c>
      <c r="E76" s="27">
        <v>5.0</v>
      </c>
      <c r="F76" s="27">
        <v>5.1</v>
      </c>
      <c r="G76" s="27">
        <f>(('ECOLES CONTROLES'!$D76+'ECOLES CONTROLES'!$E76+'ECOLES CONTROLES'!$F76)/3)</f>
        <v>5.003333333</v>
      </c>
      <c r="H76" s="28" t="s">
        <v>32</v>
      </c>
      <c r="I76" s="29">
        <v>1.0</v>
      </c>
      <c r="J76" s="7"/>
      <c r="K76" s="7"/>
      <c r="L76" s="7"/>
    </row>
    <row r="77" ht="14.25" customHeight="1">
      <c r="A77" s="15">
        <v>7.0</v>
      </c>
      <c r="B77" s="91" t="s">
        <v>416</v>
      </c>
      <c r="C77" s="91"/>
      <c r="D77" s="27">
        <v>3.88</v>
      </c>
      <c r="E77" s="27">
        <v>4.75</v>
      </c>
      <c r="F77" s="27">
        <v>4.99</v>
      </c>
      <c r="G77" s="27">
        <f>(('ECOLES CONTROLES'!$D77+'ECOLES CONTROLES'!$E77+'ECOLES CONTROLES'!$F77)/3)</f>
        <v>4.54</v>
      </c>
      <c r="H77" s="28" t="s">
        <v>32</v>
      </c>
      <c r="I77" s="29">
        <v>1.0</v>
      </c>
      <c r="J77" s="7"/>
      <c r="K77" s="7"/>
      <c r="L77" s="7"/>
    </row>
    <row r="78" ht="14.25" customHeight="1">
      <c r="A78" s="15">
        <v>8.0</v>
      </c>
      <c r="B78" s="91" t="s">
        <v>417</v>
      </c>
      <c r="C78" s="91"/>
      <c r="D78" s="27">
        <v>4.46</v>
      </c>
      <c r="E78" s="27">
        <v>3.55</v>
      </c>
      <c r="F78" s="27">
        <v>5.75</v>
      </c>
      <c r="G78" s="27">
        <f>(('ECOLES CONTROLES'!$D78+'ECOLES CONTROLES'!$E78+'ECOLES CONTROLES'!$F78)/3)</f>
        <v>4.586666667</v>
      </c>
      <c r="H78" s="28" t="s">
        <v>32</v>
      </c>
      <c r="I78" s="29">
        <v>1.0</v>
      </c>
      <c r="J78" s="7"/>
      <c r="K78" s="7"/>
      <c r="L78" s="7"/>
    </row>
    <row r="79" ht="14.25" customHeight="1">
      <c r="A79" s="15">
        <v>9.0</v>
      </c>
      <c r="B79" s="91" t="s">
        <v>418</v>
      </c>
      <c r="C79" s="91"/>
      <c r="D79" s="27">
        <v>3.25</v>
      </c>
      <c r="E79" s="27">
        <v>4.12</v>
      </c>
      <c r="F79" s="27">
        <v>4.78</v>
      </c>
      <c r="G79" s="27">
        <f>(('ECOLES CONTROLES'!$D79+'ECOLES CONTROLES'!$E79+'ECOLES CONTROLES'!$F79)/3)</f>
        <v>4.05</v>
      </c>
      <c r="H79" s="28" t="s">
        <v>28</v>
      </c>
      <c r="I79" s="7"/>
      <c r="J79" s="29">
        <v>1.0</v>
      </c>
      <c r="K79" s="7"/>
      <c r="L79" s="7"/>
    </row>
    <row r="80" ht="14.25" customHeight="1">
      <c r="A80" s="15">
        <v>10.0</v>
      </c>
      <c r="B80" s="91" t="s">
        <v>419</v>
      </c>
      <c r="C80" s="91"/>
      <c r="D80" s="27">
        <v>4.14</v>
      </c>
      <c r="E80" s="27">
        <v>3.47</v>
      </c>
      <c r="F80" s="27">
        <v>3.87</v>
      </c>
      <c r="G80" s="27">
        <f>(('ECOLES CONTROLES'!$D80+'ECOLES CONTROLES'!$E80+'ECOLES CONTROLES'!$F80)/3)</f>
        <v>3.826666667</v>
      </c>
      <c r="H80" s="28" t="s">
        <v>28</v>
      </c>
      <c r="I80" s="7"/>
      <c r="J80" s="29">
        <v>1.0</v>
      </c>
      <c r="K80" s="7"/>
      <c r="L80" s="7"/>
    </row>
    <row r="81" ht="14.25" customHeight="1">
      <c r="A81" s="15">
        <v>11.0</v>
      </c>
      <c r="B81" s="91" t="s">
        <v>420</v>
      </c>
      <c r="C81" s="91"/>
      <c r="D81" s="27">
        <v>5.0</v>
      </c>
      <c r="E81" s="27">
        <v>4.86</v>
      </c>
      <c r="F81" s="27">
        <v>4.5</v>
      </c>
      <c r="G81" s="27">
        <f>(('ECOLES CONTROLES'!$D81+'ECOLES CONTROLES'!$E81+'ECOLES CONTROLES'!$F81)/3)</f>
        <v>4.786666667</v>
      </c>
      <c r="H81" s="28" t="s">
        <v>32</v>
      </c>
      <c r="I81" s="29">
        <v>1.0</v>
      </c>
      <c r="J81" s="7"/>
      <c r="K81" s="7"/>
      <c r="L81" s="7"/>
    </row>
    <row r="82" ht="14.25" customHeight="1">
      <c r="A82" s="15">
        <v>12.0</v>
      </c>
      <c r="B82" s="91" t="s">
        <v>421</v>
      </c>
      <c r="C82" s="91"/>
      <c r="D82" s="27">
        <v>4.65</v>
      </c>
      <c r="E82" s="27">
        <v>5.12</v>
      </c>
      <c r="F82" s="27">
        <v>3.95</v>
      </c>
      <c r="G82" s="27">
        <f>(('ECOLES CONTROLES'!$D82+'ECOLES CONTROLES'!$E82+'ECOLES CONTROLES'!$F82)/3)</f>
        <v>4.573333333</v>
      </c>
      <c r="H82" s="28" t="s">
        <v>32</v>
      </c>
      <c r="I82" s="29">
        <v>1.0</v>
      </c>
      <c r="J82" s="7"/>
      <c r="K82" s="7"/>
      <c r="L82" s="7"/>
    </row>
    <row r="83" ht="14.25" customHeight="1">
      <c r="A83" s="15">
        <v>13.0</v>
      </c>
      <c r="B83" s="91" t="s">
        <v>422</v>
      </c>
      <c r="C83" s="91"/>
      <c r="D83" s="27">
        <v>5.44</v>
      </c>
      <c r="E83" s="27">
        <v>3.75</v>
      </c>
      <c r="F83" s="27">
        <v>4.925</v>
      </c>
      <c r="G83" s="27">
        <f>(('ECOLES CONTROLES'!$D83+'ECOLES CONTROLES'!$E83+'ECOLES CONTROLES'!$F83)/3)</f>
        <v>4.705</v>
      </c>
      <c r="H83" s="28" t="s">
        <v>32</v>
      </c>
      <c r="I83" s="29">
        <v>1.0</v>
      </c>
      <c r="J83" s="7"/>
      <c r="K83" s="7"/>
      <c r="L83" s="7"/>
    </row>
    <row r="84" ht="14.25" customHeight="1">
      <c r="A84" s="15">
        <v>14.0</v>
      </c>
      <c r="B84" s="91" t="s">
        <v>423</v>
      </c>
      <c r="C84" s="91"/>
      <c r="D84" s="27">
        <v>4.97</v>
      </c>
      <c r="E84" s="27">
        <v>4.79</v>
      </c>
      <c r="F84" s="27">
        <v>3.96</v>
      </c>
      <c r="G84" s="27">
        <f>(('ECOLES CONTROLES'!$D84+'ECOLES CONTROLES'!$E84+'ECOLES CONTROLES'!$F84)/3)</f>
        <v>4.573333333</v>
      </c>
      <c r="H84" s="28" t="s">
        <v>32</v>
      </c>
      <c r="I84" s="29">
        <v>1.0</v>
      </c>
      <c r="J84" s="7"/>
      <c r="K84" s="7"/>
      <c r="L84" s="7"/>
    </row>
    <row r="85" ht="14.25" customHeight="1">
      <c r="A85" s="15">
        <v>15.0</v>
      </c>
      <c r="B85" s="91" t="s">
        <v>424</v>
      </c>
      <c r="C85" s="91"/>
      <c r="D85" s="27">
        <v>3.1</v>
      </c>
      <c r="E85" s="27">
        <v>3.25</v>
      </c>
      <c r="F85" s="27">
        <v>5.37</v>
      </c>
      <c r="G85" s="27">
        <f>(('ECOLES CONTROLES'!$D85+'ECOLES CONTROLES'!$E85+'ECOLES CONTROLES'!$F85)/3)</f>
        <v>3.906666667</v>
      </c>
      <c r="H85" s="28" t="s">
        <v>28</v>
      </c>
      <c r="I85" s="7"/>
      <c r="J85" s="29">
        <v>1.0</v>
      </c>
      <c r="K85" s="7"/>
      <c r="L85" s="7"/>
    </row>
    <row r="86" ht="14.25" customHeight="1">
      <c r="A86" s="15">
        <v>16.0</v>
      </c>
      <c r="B86" s="91" t="s">
        <v>425</v>
      </c>
      <c r="C86" s="91"/>
      <c r="D86" s="27">
        <v>4.14</v>
      </c>
      <c r="E86" s="27">
        <v>4.56</v>
      </c>
      <c r="F86" s="27">
        <v>6.12</v>
      </c>
      <c r="G86" s="27">
        <f>(('ECOLES CONTROLES'!$D86+'ECOLES CONTROLES'!$E86+'ECOLES CONTROLES'!$F86)/3)</f>
        <v>4.94</v>
      </c>
      <c r="H86" s="28" t="s">
        <v>32</v>
      </c>
      <c r="I86" s="29">
        <v>1.0</v>
      </c>
      <c r="J86" s="7"/>
      <c r="K86" s="7"/>
      <c r="L86" s="7"/>
    </row>
    <row r="87" ht="14.25" customHeight="1">
      <c r="A87" s="15">
        <v>17.0</v>
      </c>
      <c r="B87" s="91" t="s">
        <v>426</v>
      </c>
      <c r="C87" s="91"/>
      <c r="D87" s="27">
        <v>5.35</v>
      </c>
      <c r="E87" s="27">
        <v>5.28</v>
      </c>
      <c r="F87" s="27">
        <v>4.94</v>
      </c>
      <c r="G87" s="27">
        <f>(('ECOLES CONTROLES'!$D87+'ECOLES CONTROLES'!$E87+'ECOLES CONTROLES'!$F87)/3)</f>
        <v>5.19</v>
      </c>
      <c r="H87" s="28" t="s">
        <v>32</v>
      </c>
      <c r="I87" s="29">
        <v>1.0</v>
      </c>
      <c r="J87" s="7"/>
      <c r="K87" s="7"/>
      <c r="L87" s="7"/>
    </row>
    <row r="88" ht="14.25" customHeight="1">
      <c r="A88" s="15">
        <v>18.0</v>
      </c>
      <c r="B88" s="102" t="s">
        <v>427</v>
      </c>
      <c r="C88" s="92"/>
      <c r="D88" s="27">
        <v>4.5</v>
      </c>
      <c r="E88" s="27">
        <v>4.87</v>
      </c>
      <c r="F88" s="27">
        <v>5.44</v>
      </c>
      <c r="G88" s="27">
        <f>(('ECOLES CONTROLES'!$D88+'ECOLES CONTROLES'!$E88+'ECOLES CONTROLES'!$F88)/3)</f>
        <v>4.936666667</v>
      </c>
      <c r="H88" s="28" t="s">
        <v>32</v>
      </c>
      <c r="I88" s="29">
        <v>1.0</v>
      </c>
      <c r="J88" s="7"/>
      <c r="K88" s="7"/>
      <c r="L88" s="7"/>
    </row>
    <row r="89" ht="14.25" customHeight="1">
      <c r="A89" s="15">
        <v>19.0</v>
      </c>
      <c r="B89" s="91" t="s">
        <v>428</v>
      </c>
      <c r="C89" s="91"/>
      <c r="D89" s="27">
        <v>3.89</v>
      </c>
      <c r="E89" s="27">
        <v>5.1</v>
      </c>
      <c r="F89" s="27">
        <v>4.56</v>
      </c>
      <c r="G89" s="27">
        <f>(('ECOLES CONTROLES'!$D89+'ECOLES CONTROLES'!$E89+'ECOLES CONTROLES'!$F89)/3)</f>
        <v>4.516666667</v>
      </c>
      <c r="H89" s="28" t="s">
        <v>32</v>
      </c>
      <c r="I89" s="29">
        <v>1.0</v>
      </c>
      <c r="J89" s="7"/>
      <c r="K89" s="7"/>
      <c r="L89" s="7"/>
    </row>
    <row r="90" ht="14.25" customHeight="1">
      <c r="A90" s="15">
        <v>20.0</v>
      </c>
      <c r="B90" s="91" t="s">
        <v>429</v>
      </c>
      <c r="C90" s="91"/>
      <c r="D90" s="27">
        <v>2.08</v>
      </c>
      <c r="E90" s="27">
        <v>2.1</v>
      </c>
      <c r="F90" s="27">
        <v>3.02</v>
      </c>
      <c r="G90" s="27">
        <f>(('ECOLES CONTROLES'!$D90+'ECOLES CONTROLES'!$E90+'ECOLES CONTROLES'!$F90)/3)</f>
        <v>2.4</v>
      </c>
      <c r="H90" s="28" t="s">
        <v>28</v>
      </c>
      <c r="I90" s="7"/>
      <c r="J90" s="29">
        <v>1.0</v>
      </c>
      <c r="K90" s="7"/>
      <c r="L90" s="7"/>
    </row>
    <row r="91" ht="14.25" customHeight="1">
      <c r="A91" s="15">
        <v>21.0</v>
      </c>
      <c r="B91" s="91" t="s">
        <v>430</v>
      </c>
      <c r="C91" s="91"/>
      <c r="D91" s="27">
        <v>4.25</v>
      </c>
      <c r="E91" s="27">
        <v>3.94</v>
      </c>
      <c r="F91" s="27">
        <v>5.4</v>
      </c>
      <c r="G91" s="27">
        <f>(('ECOLES CONTROLES'!$D91+'ECOLES CONTROLES'!$E91+'ECOLES CONTROLES'!$F91)/3)</f>
        <v>4.53</v>
      </c>
      <c r="H91" s="28" t="s">
        <v>32</v>
      </c>
      <c r="I91" s="29">
        <v>1.0</v>
      </c>
      <c r="J91" s="7"/>
      <c r="K91" s="7"/>
      <c r="L91" s="7"/>
    </row>
    <row r="92" ht="14.25" customHeight="1">
      <c r="A92" s="15">
        <v>22.0</v>
      </c>
      <c r="B92" s="91" t="s">
        <v>431</v>
      </c>
      <c r="C92" s="91"/>
      <c r="D92" s="27">
        <v>5.0</v>
      </c>
      <c r="E92" s="27">
        <v>5.14</v>
      </c>
      <c r="F92" s="27">
        <v>3.51</v>
      </c>
      <c r="G92" s="27">
        <f>(('ECOLES CONTROLES'!$D92+'ECOLES CONTROLES'!$E92+'ECOLES CONTROLES'!$F92)/3)</f>
        <v>4.55</v>
      </c>
      <c r="H92" s="28" t="s">
        <v>32</v>
      </c>
      <c r="I92" s="29">
        <v>1.0</v>
      </c>
      <c r="J92" s="7"/>
      <c r="K92" s="7"/>
      <c r="L92" s="7"/>
    </row>
    <row r="93" ht="14.25" customHeight="1">
      <c r="A93" s="15">
        <v>23.0</v>
      </c>
      <c r="B93" s="91" t="s">
        <v>432</v>
      </c>
      <c r="C93" s="91"/>
      <c r="D93" s="27">
        <v>2.04</v>
      </c>
      <c r="E93" s="27">
        <v>2.5</v>
      </c>
      <c r="F93" s="27">
        <v>2.33</v>
      </c>
      <c r="G93" s="27">
        <f>(('ECOLES CONTROLES'!$D93+'ECOLES CONTROLES'!$E93+'ECOLES CONTROLES'!$F93)/3)</f>
        <v>2.29</v>
      </c>
      <c r="H93" s="28" t="s">
        <v>28</v>
      </c>
      <c r="I93" s="7"/>
      <c r="J93" s="29">
        <v>1.0</v>
      </c>
      <c r="K93" s="7"/>
      <c r="L93" s="7"/>
    </row>
    <row r="94" ht="14.25" customHeight="1">
      <c r="A94" s="15"/>
      <c r="B94" s="91"/>
      <c r="C94" s="91"/>
      <c r="D94" s="27"/>
      <c r="E94" s="27"/>
      <c r="F94" s="27"/>
      <c r="G94" s="27"/>
      <c r="H94" s="28"/>
      <c r="I94" s="7">
        <f t="shared" ref="I94:J94" si="4">SUM(I71:I93)</f>
        <v>16</v>
      </c>
      <c r="J94" s="29">
        <f t="shared" si="4"/>
        <v>7</v>
      </c>
      <c r="K94" s="7"/>
      <c r="L94" s="7"/>
    </row>
    <row r="95" ht="14.25" customHeight="1">
      <c r="A95" s="15"/>
      <c r="B95" s="91"/>
      <c r="C95" s="91"/>
      <c r="D95" s="27"/>
      <c r="E95" s="27"/>
      <c r="F95" s="27"/>
      <c r="G95" s="27"/>
      <c r="H95" s="28"/>
      <c r="I95" s="48">
        <f>I94/A93</f>
        <v>0.6956521739</v>
      </c>
      <c r="J95" s="84">
        <f>J94/A93</f>
        <v>0.3043478261</v>
      </c>
      <c r="K95" s="7"/>
      <c r="L95" s="7"/>
    </row>
    <row r="96" ht="14.25" customHeight="1">
      <c r="A96" s="15" t="s">
        <v>433</v>
      </c>
      <c r="B96" s="91"/>
      <c r="C96" s="91"/>
      <c r="D96" s="28"/>
      <c r="E96" s="28"/>
      <c r="F96" s="28"/>
      <c r="G96" s="27"/>
      <c r="H96" s="28"/>
      <c r="I96" s="7"/>
      <c r="J96" s="7"/>
      <c r="K96" s="7"/>
      <c r="L96" s="7"/>
    </row>
    <row r="97" ht="14.25" customHeight="1">
      <c r="A97" s="18">
        <v>1.0</v>
      </c>
      <c r="B97" s="91" t="s">
        <v>434</v>
      </c>
      <c r="C97" s="91"/>
      <c r="D97" s="28">
        <v>4.9</v>
      </c>
      <c r="E97" s="28">
        <v>4.1</v>
      </c>
      <c r="F97" s="28">
        <v>6.0</v>
      </c>
      <c r="G97" s="27">
        <f>(('ECOLES CONTROLES'!$D97+'ECOLES CONTROLES'!$E97+'ECOLES CONTROLES'!$F97)/3)</f>
        <v>5</v>
      </c>
      <c r="H97" s="28" t="s">
        <v>32</v>
      </c>
      <c r="I97" s="29">
        <v>1.0</v>
      </c>
      <c r="J97" s="7"/>
      <c r="K97" s="7"/>
      <c r="L97" s="7"/>
    </row>
    <row r="98" ht="14.25" customHeight="1">
      <c r="A98" s="15">
        <v>2.0</v>
      </c>
      <c r="B98" s="91" t="s">
        <v>435</v>
      </c>
      <c r="C98" s="91"/>
      <c r="D98" s="28">
        <v>3.12</v>
      </c>
      <c r="E98" s="28">
        <v>5.78</v>
      </c>
      <c r="F98" s="28">
        <v>5.85</v>
      </c>
      <c r="G98" s="27">
        <f>(('ECOLES CONTROLES'!$D98+'ECOLES CONTROLES'!$E98+'ECOLES CONTROLES'!$F98)/3)</f>
        <v>4.916666667</v>
      </c>
      <c r="H98" s="28" t="s">
        <v>32</v>
      </c>
      <c r="I98" s="29">
        <v>1.0</v>
      </c>
      <c r="J98" s="7"/>
      <c r="K98" s="7"/>
      <c r="L98" s="7"/>
    </row>
    <row r="99" ht="14.25" customHeight="1">
      <c r="A99" s="15">
        <v>3.0</v>
      </c>
      <c r="B99" s="102" t="s">
        <v>436</v>
      </c>
      <c r="C99" s="92"/>
      <c r="D99" s="28">
        <v>2.0</v>
      </c>
      <c r="E99" s="28">
        <v>3.25</v>
      </c>
      <c r="F99" s="28">
        <v>3.0</v>
      </c>
      <c r="G99" s="27">
        <f>(('ECOLES CONTROLES'!$D99+'ECOLES CONTROLES'!$E99+'ECOLES CONTROLES'!$F99)/3)</f>
        <v>2.75</v>
      </c>
      <c r="H99" s="28" t="s">
        <v>28</v>
      </c>
      <c r="I99" s="7"/>
      <c r="J99" s="29">
        <v>1.0</v>
      </c>
      <c r="K99" s="7"/>
      <c r="L99" s="7"/>
    </row>
    <row r="100" ht="14.25" customHeight="1">
      <c r="A100" s="15">
        <v>4.0</v>
      </c>
      <c r="B100" s="102" t="s">
        <v>437</v>
      </c>
      <c r="C100" s="92"/>
      <c r="D100" s="28">
        <v>4.51</v>
      </c>
      <c r="E100" s="28">
        <v>4.49</v>
      </c>
      <c r="F100" s="28">
        <v>4.6</v>
      </c>
      <c r="G100" s="27">
        <f>(('ECOLES CONTROLES'!$D100+'ECOLES CONTROLES'!$E100+'ECOLES CONTROLES'!$F100)/3)</f>
        <v>4.533333333</v>
      </c>
      <c r="H100" s="28" t="s">
        <v>32</v>
      </c>
      <c r="I100" s="29">
        <v>1.0</v>
      </c>
      <c r="J100" s="7"/>
      <c r="K100" s="7"/>
      <c r="L100" s="7"/>
    </row>
    <row r="101" ht="14.25" customHeight="1">
      <c r="A101" s="15">
        <v>5.0</v>
      </c>
      <c r="B101" s="102" t="s">
        <v>438</v>
      </c>
      <c r="C101" s="92"/>
      <c r="D101" s="28" t="s">
        <v>212</v>
      </c>
      <c r="E101" s="28" t="s">
        <v>212</v>
      </c>
      <c r="F101" s="28" t="s">
        <v>212</v>
      </c>
      <c r="G101" s="27" t="s">
        <v>212</v>
      </c>
      <c r="H101" s="28" t="s">
        <v>28</v>
      </c>
      <c r="I101" s="7"/>
      <c r="J101" s="29">
        <v>1.0</v>
      </c>
      <c r="K101" s="7"/>
      <c r="L101" s="7"/>
    </row>
    <row r="102" ht="14.25" customHeight="1">
      <c r="A102" s="15">
        <v>6.0</v>
      </c>
      <c r="B102" s="91" t="s">
        <v>439</v>
      </c>
      <c r="C102" s="91"/>
      <c r="D102" s="28">
        <v>5.0</v>
      </c>
      <c r="E102" s="28">
        <v>3.2</v>
      </c>
      <c r="F102" s="28">
        <v>6.0</v>
      </c>
      <c r="G102" s="27">
        <f>(('ECOLES CONTROLES'!$D102+'ECOLES CONTROLES'!$E102+'ECOLES CONTROLES'!$F102)/3)</f>
        <v>4.733333333</v>
      </c>
      <c r="H102" s="28" t="s">
        <v>32</v>
      </c>
      <c r="I102" s="29">
        <v>1.0</v>
      </c>
      <c r="J102" s="7"/>
      <c r="K102" s="7"/>
      <c r="L102" s="7"/>
    </row>
    <row r="103" ht="14.25" customHeight="1">
      <c r="A103" s="15">
        <v>7.0</v>
      </c>
      <c r="B103" s="91" t="s">
        <v>440</v>
      </c>
      <c r="C103" s="91"/>
      <c r="D103" s="28">
        <v>2.01</v>
      </c>
      <c r="E103" s="28">
        <v>1.9</v>
      </c>
      <c r="F103" s="28">
        <v>2.4</v>
      </c>
      <c r="G103" s="27">
        <f>(('ECOLES CONTROLES'!$D103+'ECOLES CONTROLES'!$E103+'ECOLES CONTROLES'!$F103)/3)</f>
        <v>2.103333333</v>
      </c>
      <c r="H103" s="28" t="s">
        <v>28</v>
      </c>
      <c r="I103" s="7"/>
      <c r="J103" s="29">
        <v>1.0</v>
      </c>
      <c r="K103" s="7"/>
      <c r="L103" s="7"/>
    </row>
    <row r="104" ht="14.25" customHeight="1">
      <c r="A104" s="15">
        <v>8.0</v>
      </c>
      <c r="B104" s="102" t="s">
        <v>441</v>
      </c>
      <c r="C104" s="92"/>
      <c r="D104" s="28">
        <v>5.0</v>
      </c>
      <c r="E104" s="28">
        <v>4.9</v>
      </c>
      <c r="F104" s="28">
        <v>3.9</v>
      </c>
      <c r="G104" s="27">
        <f>(('ECOLES CONTROLES'!$D104+'ECOLES CONTROLES'!$E104+'ECOLES CONTROLES'!$F104)/3)</f>
        <v>4.6</v>
      </c>
      <c r="H104" s="28" t="s">
        <v>32</v>
      </c>
      <c r="I104" s="29">
        <v>1.0</v>
      </c>
      <c r="J104" s="7"/>
      <c r="K104" s="7"/>
      <c r="L104" s="7"/>
    </row>
    <row r="105" ht="14.25" customHeight="1">
      <c r="A105" s="15">
        <v>9.0</v>
      </c>
      <c r="B105" s="91" t="s">
        <v>442</v>
      </c>
      <c r="C105" s="91"/>
      <c r="D105" s="28">
        <v>5.1</v>
      </c>
      <c r="E105" s="28">
        <v>6.0</v>
      </c>
      <c r="F105" s="28">
        <v>5.12</v>
      </c>
      <c r="G105" s="27">
        <f>(('ECOLES CONTROLES'!$D105+'ECOLES CONTROLES'!$E105+'ECOLES CONTROLES'!$F105)/3)</f>
        <v>5.406666667</v>
      </c>
      <c r="H105" s="28" t="s">
        <v>32</v>
      </c>
      <c r="I105" s="29">
        <v>1.0</v>
      </c>
      <c r="J105" s="7"/>
      <c r="K105" s="7"/>
      <c r="L105" s="7"/>
    </row>
    <row r="106" ht="14.25" customHeight="1">
      <c r="A106" s="15">
        <v>10.0</v>
      </c>
      <c r="B106" s="91" t="s">
        <v>443</v>
      </c>
      <c r="C106" s="91"/>
      <c r="D106" s="28">
        <v>5.0</v>
      </c>
      <c r="E106" s="28">
        <v>4.0</v>
      </c>
      <c r="F106" s="28">
        <v>4.0</v>
      </c>
      <c r="G106" s="27">
        <f>(('ECOLES CONTROLES'!$D106+'ECOLES CONTROLES'!$E106+'ECOLES CONTROLES'!$F106)/3)</f>
        <v>4.333333333</v>
      </c>
      <c r="H106" s="28" t="s">
        <v>28</v>
      </c>
      <c r="I106" s="7"/>
      <c r="J106" s="29">
        <v>1.0</v>
      </c>
      <c r="K106" s="7"/>
      <c r="L106" s="7"/>
    </row>
    <row r="107" ht="14.25" customHeight="1">
      <c r="A107" s="15">
        <v>11.0</v>
      </c>
      <c r="B107" s="91" t="s">
        <v>444</v>
      </c>
      <c r="C107" s="91"/>
      <c r="D107" s="28">
        <v>5.0</v>
      </c>
      <c r="E107" s="28">
        <v>6.0</v>
      </c>
      <c r="F107" s="28">
        <v>4.02</v>
      </c>
      <c r="G107" s="27">
        <f>(('ECOLES CONTROLES'!$D107+'ECOLES CONTROLES'!$E107+'ECOLES CONTROLES'!$F107)/3)</f>
        <v>5.006666667</v>
      </c>
      <c r="H107" s="28" t="s">
        <v>32</v>
      </c>
      <c r="I107" s="29">
        <v>1.0</v>
      </c>
      <c r="J107" s="7"/>
      <c r="K107" s="7"/>
      <c r="L107" s="7"/>
    </row>
    <row r="108" ht="14.25" customHeight="1">
      <c r="A108" s="15">
        <v>12.0</v>
      </c>
      <c r="B108" s="91" t="s">
        <v>445</v>
      </c>
      <c r="C108" s="91"/>
      <c r="D108" s="28">
        <v>3.13</v>
      </c>
      <c r="E108" s="28">
        <v>3.67</v>
      </c>
      <c r="F108" s="28">
        <v>3.4</v>
      </c>
      <c r="G108" s="27">
        <f>(('ECOLES CONTROLES'!$D108+'ECOLES CONTROLES'!$E108+'ECOLES CONTROLES'!$F108)/3)</f>
        <v>3.4</v>
      </c>
      <c r="H108" s="28" t="s">
        <v>28</v>
      </c>
      <c r="I108" s="7"/>
      <c r="J108" s="29">
        <v>1.0</v>
      </c>
      <c r="K108" s="7"/>
      <c r="L108" s="7"/>
    </row>
    <row r="109" ht="14.25" customHeight="1">
      <c r="A109" s="103"/>
      <c r="B109" s="91"/>
      <c r="C109" s="91"/>
      <c r="D109" s="28"/>
      <c r="E109" s="28"/>
      <c r="F109" s="28"/>
      <c r="G109" s="27"/>
      <c r="H109" s="28"/>
      <c r="I109" s="7">
        <f t="shared" ref="I109:J109" si="5">SUM(I97:I108)</f>
        <v>7</v>
      </c>
      <c r="J109" s="29">
        <f t="shared" si="5"/>
        <v>5</v>
      </c>
      <c r="K109" s="7"/>
      <c r="L109" s="7"/>
    </row>
    <row r="110" ht="14.25" customHeight="1">
      <c r="A110" s="103"/>
      <c r="B110" s="91"/>
      <c r="C110" s="91"/>
      <c r="D110" s="28"/>
      <c r="E110" s="28"/>
      <c r="F110" s="28"/>
      <c r="G110" s="27"/>
      <c r="H110" s="28"/>
      <c r="I110" s="48">
        <f>I109/A108</f>
        <v>0.5833333333</v>
      </c>
      <c r="J110" s="84">
        <f>J109/A108</f>
        <v>0.4166666667</v>
      </c>
      <c r="K110" s="7"/>
      <c r="L110" s="7"/>
    </row>
    <row r="111" ht="14.25" customHeight="1">
      <c r="A111" s="103" t="s">
        <v>446</v>
      </c>
      <c r="B111" s="91"/>
      <c r="C111" s="91"/>
      <c r="D111" s="28"/>
      <c r="E111" s="28"/>
      <c r="F111" s="28"/>
      <c r="G111" s="28"/>
      <c r="H111" s="28"/>
      <c r="I111" s="7"/>
      <c r="J111" s="7"/>
      <c r="K111" s="7"/>
      <c r="L111" s="7"/>
    </row>
    <row r="112" ht="14.25" customHeight="1">
      <c r="A112" s="18">
        <v>1.0</v>
      </c>
      <c r="B112" s="104" t="s">
        <v>447</v>
      </c>
      <c r="C112" s="91"/>
      <c r="D112" s="28">
        <v>4.9</v>
      </c>
      <c r="E112" s="28">
        <v>6.52</v>
      </c>
      <c r="F112" s="28"/>
      <c r="G112" s="27">
        <f>(('ECOLES CONTROLES'!$D112+'ECOLES CONTROLES'!$E112)/2)</f>
        <v>5.71</v>
      </c>
      <c r="H112" s="28" t="s">
        <v>32</v>
      </c>
      <c r="I112" s="29">
        <v>1.0</v>
      </c>
      <c r="J112" s="7"/>
      <c r="K112" s="7"/>
      <c r="L112" s="7"/>
    </row>
    <row r="113" ht="14.25" customHeight="1">
      <c r="A113" s="103">
        <v>2.0</v>
      </c>
      <c r="B113" s="19" t="s">
        <v>448</v>
      </c>
      <c r="C113" s="91"/>
      <c r="D113" s="28">
        <v>5.79</v>
      </c>
      <c r="E113" s="28">
        <v>5.03</v>
      </c>
      <c r="F113" s="28"/>
      <c r="G113" s="27">
        <f>(('ECOLES CONTROLES'!$D113+'ECOLES CONTROLES'!$E113)/2)</f>
        <v>5.41</v>
      </c>
      <c r="H113" s="28" t="s">
        <v>32</v>
      </c>
      <c r="I113" s="29">
        <v>1.0</v>
      </c>
      <c r="J113" s="7"/>
      <c r="K113" s="7"/>
      <c r="L113" s="7"/>
    </row>
    <row r="114" ht="14.25" customHeight="1">
      <c r="A114" s="103">
        <v>3.0</v>
      </c>
      <c r="B114" s="20" t="s">
        <v>449</v>
      </c>
      <c r="C114" s="91"/>
      <c r="D114" s="28">
        <v>2.3</v>
      </c>
      <c r="E114" s="28">
        <v>3.0</v>
      </c>
      <c r="F114" s="28"/>
      <c r="G114" s="27">
        <f>(('ECOLES CONTROLES'!$D114+'ECOLES CONTROLES'!$E114)/2)</f>
        <v>2.65</v>
      </c>
      <c r="H114" s="28" t="s">
        <v>28</v>
      </c>
      <c r="I114" s="7"/>
      <c r="J114" s="29">
        <v>1.0</v>
      </c>
      <c r="K114" s="7"/>
      <c r="L114" s="7"/>
    </row>
    <row r="115" ht="14.25" customHeight="1">
      <c r="A115" s="103">
        <v>4.0</v>
      </c>
      <c r="B115" s="19" t="s">
        <v>450</v>
      </c>
      <c r="C115" s="91"/>
      <c r="D115" s="28">
        <v>4.17</v>
      </c>
      <c r="E115" s="28">
        <v>5.39</v>
      </c>
      <c r="F115" s="28"/>
      <c r="G115" s="27">
        <f>(('ECOLES CONTROLES'!$D115+'ECOLES CONTROLES'!$E115)/2)</f>
        <v>4.78</v>
      </c>
      <c r="H115" s="28" t="s">
        <v>32</v>
      </c>
      <c r="I115" s="29">
        <v>1.0</v>
      </c>
      <c r="J115" s="7"/>
      <c r="K115" s="7"/>
      <c r="L115" s="7"/>
    </row>
    <row r="116" ht="14.25" customHeight="1">
      <c r="A116" s="103">
        <v>5.0</v>
      </c>
      <c r="B116" s="19" t="s">
        <v>451</v>
      </c>
      <c r="C116" s="91"/>
      <c r="D116" s="28">
        <v>3.95</v>
      </c>
      <c r="E116" s="28">
        <v>2.93</v>
      </c>
      <c r="F116" s="28"/>
      <c r="G116" s="27">
        <f>(('ECOLES CONTROLES'!$D116+'ECOLES CONTROLES'!$E116)/2)</f>
        <v>3.44</v>
      </c>
      <c r="H116" s="28" t="s">
        <v>28</v>
      </c>
      <c r="I116" s="7"/>
      <c r="J116" s="29">
        <v>1.0</v>
      </c>
      <c r="K116" s="7"/>
      <c r="L116" s="7"/>
    </row>
    <row r="117" ht="14.25" customHeight="1">
      <c r="A117" s="103">
        <v>6.0</v>
      </c>
      <c r="B117" s="20" t="s">
        <v>452</v>
      </c>
      <c r="C117" s="91"/>
      <c r="D117" s="28">
        <v>5.56</v>
      </c>
      <c r="E117" s="28">
        <v>4.72</v>
      </c>
      <c r="F117" s="28"/>
      <c r="G117" s="27">
        <f>(('ECOLES CONTROLES'!$D117+'ECOLES CONTROLES'!$E117)/2)</f>
        <v>5.14</v>
      </c>
      <c r="H117" s="28" t="s">
        <v>32</v>
      </c>
      <c r="I117" s="29">
        <v>1.0</v>
      </c>
      <c r="J117" s="7"/>
      <c r="K117" s="7"/>
      <c r="L117" s="7"/>
    </row>
    <row r="118" ht="14.25" customHeight="1">
      <c r="A118" s="103">
        <v>7.0</v>
      </c>
      <c r="B118" s="31" t="s">
        <v>453</v>
      </c>
      <c r="C118" s="92"/>
      <c r="D118" s="28">
        <v>3.5</v>
      </c>
      <c r="E118" s="28">
        <v>4.2</v>
      </c>
      <c r="F118" s="28"/>
      <c r="G118" s="27">
        <f>(('ECOLES CONTROLES'!$D118+'ECOLES CONTROLES'!$E118)/2)</f>
        <v>3.85</v>
      </c>
      <c r="H118" s="28" t="s">
        <v>28</v>
      </c>
      <c r="I118" s="7"/>
      <c r="J118" s="29">
        <v>1.0</v>
      </c>
      <c r="K118" s="7"/>
      <c r="L118" s="7"/>
    </row>
    <row r="119" ht="14.25" customHeight="1">
      <c r="A119" s="103">
        <v>8.0</v>
      </c>
      <c r="B119" s="20" t="s">
        <v>454</v>
      </c>
      <c r="C119" s="91"/>
      <c r="D119" s="28">
        <v>6.05</v>
      </c>
      <c r="E119" s="28">
        <v>5.17</v>
      </c>
      <c r="F119" s="28"/>
      <c r="G119" s="27">
        <f>(('ECOLES CONTROLES'!$D119+'ECOLES CONTROLES'!$E119)/2)</f>
        <v>5.61</v>
      </c>
      <c r="H119" s="28" t="s">
        <v>32</v>
      </c>
      <c r="I119" s="29">
        <v>1.0</v>
      </c>
      <c r="J119" s="7"/>
      <c r="K119" s="7"/>
      <c r="L119" s="7"/>
    </row>
    <row r="120" ht="14.25" customHeight="1">
      <c r="A120" s="103">
        <v>9.0</v>
      </c>
      <c r="B120" s="20" t="s">
        <v>455</v>
      </c>
      <c r="C120" s="91"/>
      <c r="D120" s="28">
        <v>3.85</v>
      </c>
      <c r="E120" s="28">
        <v>2.43</v>
      </c>
      <c r="F120" s="28"/>
      <c r="G120" s="27">
        <f>(('ECOLES CONTROLES'!$D120+'ECOLES CONTROLES'!$E120)/2)</f>
        <v>3.14</v>
      </c>
      <c r="H120" s="28" t="s">
        <v>28</v>
      </c>
      <c r="I120" s="7"/>
      <c r="J120" s="29">
        <v>1.0</v>
      </c>
      <c r="K120" s="7"/>
      <c r="L120" s="7"/>
    </row>
    <row r="121" ht="14.25" customHeight="1">
      <c r="A121" s="103">
        <v>10.0</v>
      </c>
      <c r="B121" s="31" t="s">
        <v>456</v>
      </c>
      <c r="C121" s="92"/>
      <c r="D121" s="28">
        <v>4.85</v>
      </c>
      <c r="E121" s="28">
        <v>4.2</v>
      </c>
      <c r="F121" s="28"/>
      <c r="G121" s="27">
        <f>(('ECOLES CONTROLES'!$D121+'ECOLES CONTROLES'!$E121)/2)</f>
        <v>4.525</v>
      </c>
      <c r="H121" s="28" t="s">
        <v>32</v>
      </c>
      <c r="I121" s="29">
        <v>1.0</v>
      </c>
      <c r="J121" s="7"/>
      <c r="K121" s="7"/>
      <c r="L121" s="7"/>
    </row>
    <row r="122" ht="14.25" customHeight="1">
      <c r="A122" s="103">
        <v>11.0</v>
      </c>
      <c r="B122" s="20" t="s">
        <v>457</v>
      </c>
      <c r="C122" s="91"/>
      <c r="D122" s="28">
        <v>3.5</v>
      </c>
      <c r="E122" s="28">
        <v>1.2</v>
      </c>
      <c r="F122" s="28"/>
      <c r="G122" s="27">
        <f>(('ECOLES CONTROLES'!$D122+'ECOLES CONTROLES'!$E122)/2)</f>
        <v>2.35</v>
      </c>
      <c r="H122" s="28" t="s">
        <v>28</v>
      </c>
      <c r="I122" s="7"/>
      <c r="J122" s="29">
        <v>1.0</v>
      </c>
      <c r="K122" s="7"/>
      <c r="L122" s="7"/>
    </row>
    <row r="123" ht="14.25" customHeight="1">
      <c r="A123" s="103">
        <v>12.0</v>
      </c>
      <c r="B123" s="20" t="s">
        <v>458</v>
      </c>
      <c r="C123" s="91"/>
      <c r="D123" s="28">
        <v>4.58</v>
      </c>
      <c r="E123" s="28">
        <v>6.42</v>
      </c>
      <c r="F123" s="28"/>
      <c r="G123" s="27">
        <f>(('ECOLES CONTROLES'!$D123+'ECOLES CONTROLES'!$E123)/2)</f>
        <v>5.5</v>
      </c>
      <c r="H123" s="28" t="s">
        <v>32</v>
      </c>
      <c r="I123" s="29">
        <v>1.0</v>
      </c>
      <c r="J123" s="7"/>
      <c r="K123" s="7"/>
      <c r="L123" s="7"/>
    </row>
    <row r="124" ht="14.25" customHeight="1">
      <c r="A124" s="103">
        <v>13.0</v>
      </c>
      <c r="B124" s="20" t="s">
        <v>459</v>
      </c>
      <c r="C124" s="91"/>
      <c r="D124" s="28">
        <v>1.11</v>
      </c>
      <c r="E124" s="28">
        <v>3.38</v>
      </c>
      <c r="F124" s="28"/>
      <c r="G124" s="27">
        <f>(('ECOLES CONTROLES'!$D124+'ECOLES CONTROLES'!$E124)/2)</f>
        <v>2.245</v>
      </c>
      <c r="H124" s="28" t="s">
        <v>28</v>
      </c>
      <c r="I124" s="7"/>
      <c r="J124" s="29">
        <v>1.0</v>
      </c>
      <c r="K124" s="7"/>
      <c r="L124" s="7"/>
    </row>
    <row r="125" ht="14.25" customHeight="1">
      <c r="A125" s="103">
        <v>14.0</v>
      </c>
      <c r="B125" s="19" t="s">
        <v>460</v>
      </c>
      <c r="C125" s="91"/>
      <c r="D125" s="28">
        <v>5.85</v>
      </c>
      <c r="E125" s="28">
        <v>5.89</v>
      </c>
      <c r="F125" s="28"/>
      <c r="G125" s="27">
        <f>(('ECOLES CONTROLES'!$D125+'ECOLES CONTROLES'!$E125)/2)</f>
        <v>5.87</v>
      </c>
      <c r="H125" s="28" t="s">
        <v>32</v>
      </c>
      <c r="I125" s="29">
        <v>1.0</v>
      </c>
      <c r="J125" s="7"/>
      <c r="K125" s="7"/>
      <c r="L125" s="7"/>
    </row>
    <row r="126" ht="14.25" customHeight="1">
      <c r="A126" s="103"/>
      <c r="B126" s="19"/>
      <c r="C126" s="91"/>
      <c r="D126" s="28"/>
      <c r="E126" s="28"/>
      <c r="F126" s="28"/>
      <c r="G126" s="27"/>
      <c r="H126" s="28"/>
      <c r="I126" s="29">
        <f t="shared" ref="I126:J126" si="6">SUM(I112:I125)</f>
        <v>8</v>
      </c>
      <c r="J126" s="7">
        <f t="shared" si="6"/>
        <v>6</v>
      </c>
      <c r="K126" s="7"/>
      <c r="L126" s="7"/>
    </row>
    <row r="127" ht="14.25" customHeight="1">
      <c r="A127" s="103"/>
      <c r="B127" s="19"/>
      <c r="C127" s="91"/>
      <c r="D127" s="28"/>
      <c r="E127" s="28"/>
      <c r="F127" s="28"/>
      <c r="G127" s="27"/>
      <c r="H127" s="28"/>
      <c r="I127" s="84">
        <f>I126/A125</f>
        <v>0.5714285714</v>
      </c>
      <c r="J127" s="48">
        <f>J126/A125</f>
        <v>0.4285714286</v>
      </c>
      <c r="K127" s="7"/>
      <c r="L127" s="7"/>
    </row>
    <row r="128" ht="14.25" customHeight="1">
      <c r="A128" s="11" t="s">
        <v>461</v>
      </c>
      <c r="B128" s="91"/>
      <c r="C128" s="91"/>
      <c r="D128" s="28"/>
      <c r="E128" s="28"/>
      <c r="F128" s="28"/>
      <c r="G128" s="28"/>
      <c r="H128" s="28"/>
      <c r="I128" s="7"/>
      <c r="J128" s="7"/>
      <c r="K128" s="7"/>
      <c r="L128" s="7"/>
    </row>
    <row r="129" ht="14.25" customHeight="1">
      <c r="A129" s="10">
        <v>1.0</v>
      </c>
      <c r="B129" s="19" t="s">
        <v>462</v>
      </c>
      <c r="C129" s="91"/>
      <c r="D129" s="27" t="s">
        <v>212</v>
      </c>
      <c r="E129" s="27">
        <v>3.0</v>
      </c>
      <c r="F129" s="27" t="s">
        <v>212</v>
      </c>
      <c r="G129" s="28">
        <f>'ECOLES CONTROLES'!$E129/3</f>
        <v>1</v>
      </c>
      <c r="H129" s="28" t="s">
        <v>28</v>
      </c>
      <c r="I129" s="7"/>
      <c r="J129" s="29">
        <v>1.0</v>
      </c>
      <c r="K129" s="7"/>
      <c r="L129" s="7"/>
    </row>
    <row r="130" ht="14.25" customHeight="1">
      <c r="A130" s="11">
        <v>2.0</v>
      </c>
      <c r="B130" s="19" t="s">
        <v>82</v>
      </c>
      <c r="C130" s="91"/>
      <c r="D130" s="27" t="s">
        <v>212</v>
      </c>
      <c r="E130" s="27" t="s">
        <v>212</v>
      </c>
      <c r="F130" s="27" t="s">
        <v>212</v>
      </c>
      <c r="G130" s="28" t="s">
        <v>212</v>
      </c>
      <c r="H130" s="95" t="s">
        <v>371</v>
      </c>
      <c r="I130" s="96"/>
      <c r="J130" s="96"/>
      <c r="K130" s="97">
        <v>1.0</v>
      </c>
      <c r="L130" s="98"/>
    </row>
    <row r="131" ht="14.25" customHeight="1">
      <c r="A131" s="11">
        <v>3.0</v>
      </c>
      <c r="B131" s="19" t="s">
        <v>463</v>
      </c>
      <c r="C131" s="91"/>
      <c r="D131" s="27">
        <v>4.21</v>
      </c>
      <c r="E131" s="27">
        <v>5.95</v>
      </c>
      <c r="F131" s="27">
        <v>4.37</v>
      </c>
      <c r="G131" s="27">
        <f>(('ECOLES CONTROLES'!$D131+'ECOLES CONTROLES'!$E131+'ECOLES CONTROLES'!$F131)/3)</f>
        <v>4.843333333</v>
      </c>
      <c r="H131" s="28" t="s">
        <v>32</v>
      </c>
      <c r="I131" s="29">
        <v>1.0</v>
      </c>
      <c r="J131" s="7"/>
      <c r="K131" s="7"/>
      <c r="L131" s="7"/>
    </row>
    <row r="132" ht="14.25" customHeight="1">
      <c r="A132" s="11">
        <v>4.0</v>
      </c>
      <c r="B132" s="19" t="s">
        <v>464</v>
      </c>
      <c r="C132" s="91"/>
      <c r="D132" s="27">
        <v>2.57</v>
      </c>
      <c r="E132" s="27">
        <v>3.86</v>
      </c>
      <c r="F132" s="27">
        <v>1.95</v>
      </c>
      <c r="G132" s="27">
        <f>(('ECOLES CONTROLES'!$D132+'ECOLES CONTROLES'!$E132+'ECOLES CONTROLES'!$F132)/3)</f>
        <v>2.793333333</v>
      </c>
      <c r="H132" s="28" t="s">
        <v>28</v>
      </c>
      <c r="I132" s="7"/>
      <c r="J132" s="29">
        <v>1.0</v>
      </c>
      <c r="K132" s="7"/>
      <c r="L132" s="7"/>
    </row>
    <row r="133" ht="14.25" customHeight="1">
      <c r="A133" s="11">
        <v>5.0</v>
      </c>
      <c r="B133" s="19" t="s">
        <v>465</v>
      </c>
      <c r="C133" s="91"/>
      <c r="D133" s="27">
        <v>3.91</v>
      </c>
      <c r="E133" s="27">
        <v>4.38</v>
      </c>
      <c r="F133" s="27">
        <v>5.63</v>
      </c>
      <c r="G133" s="27">
        <f>(('ECOLES CONTROLES'!$D133+'ECOLES CONTROLES'!$E133+'ECOLES CONTROLES'!$F133)/3)</f>
        <v>4.64</v>
      </c>
      <c r="H133" s="28" t="s">
        <v>32</v>
      </c>
      <c r="I133" s="29">
        <v>1.0</v>
      </c>
      <c r="J133" s="7"/>
      <c r="K133" s="7"/>
      <c r="L133" s="7"/>
    </row>
    <row r="134" ht="14.25" customHeight="1">
      <c r="A134" s="11">
        <v>6.0</v>
      </c>
      <c r="B134" s="33" t="s">
        <v>466</v>
      </c>
      <c r="C134" s="92"/>
      <c r="D134" s="27">
        <v>1.35</v>
      </c>
      <c r="E134" s="27">
        <v>4.42</v>
      </c>
      <c r="F134" s="27">
        <v>2.43</v>
      </c>
      <c r="G134" s="27">
        <f>(('ECOLES CONTROLES'!$D134+'ECOLES CONTROLES'!$E134+'ECOLES CONTROLES'!$F134)/3)</f>
        <v>2.733333333</v>
      </c>
      <c r="H134" s="28" t="s">
        <v>28</v>
      </c>
      <c r="I134" s="7"/>
      <c r="J134" s="29">
        <v>1.0</v>
      </c>
      <c r="K134" s="7"/>
      <c r="L134" s="7"/>
    </row>
    <row r="135" ht="14.25" customHeight="1">
      <c r="A135" s="11">
        <v>7.0</v>
      </c>
      <c r="B135" s="19" t="s">
        <v>467</v>
      </c>
      <c r="C135" s="91"/>
      <c r="D135" s="27">
        <v>4.57</v>
      </c>
      <c r="E135" s="27">
        <v>3.87</v>
      </c>
      <c r="F135" s="27">
        <v>5.06</v>
      </c>
      <c r="G135" s="27">
        <f>(('ECOLES CONTROLES'!$D135+'ECOLES CONTROLES'!$E135+'ECOLES CONTROLES'!$F135)/3)</f>
        <v>4.5</v>
      </c>
      <c r="H135" s="28" t="s">
        <v>32</v>
      </c>
      <c r="I135" s="29">
        <v>1.0</v>
      </c>
      <c r="J135" s="7"/>
      <c r="K135" s="7"/>
      <c r="L135" s="7"/>
    </row>
    <row r="136" ht="14.25" customHeight="1">
      <c r="A136" s="11">
        <v>8.0</v>
      </c>
      <c r="B136" s="19" t="s">
        <v>468</v>
      </c>
      <c r="C136" s="91"/>
      <c r="D136" s="27">
        <v>3.96</v>
      </c>
      <c r="E136" s="27">
        <v>4.6</v>
      </c>
      <c r="F136" s="27">
        <v>3.98</v>
      </c>
      <c r="G136" s="27">
        <f>(('ECOLES CONTROLES'!$D136+'ECOLES CONTROLES'!$E136+'ECOLES CONTROLES'!$F136)/3)</f>
        <v>4.18</v>
      </c>
      <c r="H136" s="28" t="s">
        <v>28</v>
      </c>
      <c r="I136" s="7"/>
      <c r="J136" s="29">
        <v>1.0</v>
      </c>
      <c r="K136" s="7"/>
      <c r="L136" s="7"/>
    </row>
    <row r="137" ht="14.25" customHeight="1">
      <c r="A137" s="11">
        <v>9.0</v>
      </c>
      <c r="B137" s="19" t="s">
        <v>87</v>
      </c>
      <c r="C137" s="91"/>
      <c r="D137" s="27">
        <v>0.0</v>
      </c>
      <c r="E137" s="27">
        <v>1.26</v>
      </c>
      <c r="F137" s="27">
        <v>1.87</v>
      </c>
      <c r="G137" s="27">
        <f>(('ECOLES CONTROLES'!$D137+'ECOLES CONTROLES'!$E137+'ECOLES CONTROLES'!$F137)/3)</f>
        <v>1.043333333</v>
      </c>
      <c r="H137" s="28" t="s">
        <v>28</v>
      </c>
      <c r="I137" s="7"/>
      <c r="J137" s="29">
        <v>1.0</v>
      </c>
      <c r="K137" s="7"/>
      <c r="L137" s="7"/>
    </row>
    <row r="138" ht="14.25" customHeight="1">
      <c r="A138" s="11">
        <v>10.0</v>
      </c>
      <c r="B138" s="19" t="s">
        <v>469</v>
      </c>
      <c r="C138" s="91"/>
      <c r="D138" s="27">
        <v>5.3</v>
      </c>
      <c r="E138" s="27">
        <v>4.67</v>
      </c>
      <c r="F138" s="27">
        <v>5.25</v>
      </c>
      <c r="G138" s="27">
        <f>(('ECOLES CONTROLES'!$D138+'ECOLES CONTROLES'!$E138+'ECOLES CONTROLES'!$F138)/3)</f>
        <v>5.073333333</v>
      </c>
      <c r="H138" s="28" t="s">
        <v>32</v>
      </c>
      <c r="I138" s="29">
        <v>1.0</v>
      </c>
      <c r="J138" s="7"/>
      <c r="K138" s="7"/>
      <c r="L138" s="7"/>
    </row>
    <row r="139" ht="14.25" customHeight="1">
      <c r="A139" s="11">
        <v>11.0</v>
      </c>
      <c r="B139" s="19" t="s">
        <v>470</v>
      </c>
      <c r="C139" s="91"/>
      <c r="D139" s="27">
        <v>3.9</v>
      </c>
      <c r="E139" s="27">
        <v>2.77</v>
      </c>
      <c r="F139" s="27">
        <v>4.86</v>
      </c>
      <c r="G139" s="27">
        <f>(('ECOLES CONTROLES'!$D139+'ECOLES CONTROLES'!$E139+'ECOLES CONTROLES'!$F139)/3)</f>
        <v>3.843333333</v>
      </c>
      <c r="H139" s="28" t="s">
        <v>28</v>
      </c>
      <c r="I139" s="7"/>
      <c r="J139" s="29">
        <v>1.0</v>
      </c>
      <c r="K139" s="7"/>
      <c r="L139" s="7"/>
    </row>
    <row r="140" ht="14.25" customHeight="1">
      <c r="A140" s="11">
        <v>12.0</v>
      </c>
      <c r="B140" s="19" t="s">
        <v>471</v>
      </c>
      <c r="C140" s="91"/>
      <c r="D140" s="27">
        <v>5.0</v>
      </c>
      <c r="E140" s="27">
        <v>4.64</v>
      </c>
      <c r="F140" s="27">
        <v>5.5</v>
      </c>
      <c r="G140" s="27">
        <f>(('ECOLES CONTROLES'!$D140+'ECOLES CONTROLES'!$E140+'ECOLES CONTROLES'!$F140)/3)</f>
        <v>5.046666667</v>
      </c>
      <c r="H140" s="28" t="s">
        <v>32</v>
      </c>
      <c r="I140" s="29">
        <v>1.0</v>
      </c>
      <c r="J140" s="7"/>
      <c r="K140" s="7"/>
      <c r="L140" s="7"/>
    </row>
    <row r="141" ht="14.25" customHeight="1">
      <c r="A141" s="11">
        <v>13.0</v>
      </c>
      <c r="B141" s="19" t="s">
        <v>472</v>
      </c>
      <c r="C141" s="91"/>
      <c r="D141" s="27">
        <v>4.87</v>
      </c>
      <c r="E141" s="27">
        <v>3.96</v>
      </c>
      <c r="F141" s="27">
        <v>4.9</v>
      </c>
      <c r="G141" s="27">
        <f>(('ECOLES CONTROLES'!$D141+'ECOLES CONTROLES'!$E141+'ECOLES CONTROLES'!$F141)/3)</f>
        <v>4.576666667</v>
      </c>
      <c r="H141" s="28" t="s">
        <v>32</v>
      </c>
      <c r="I141" s="29">
        <v>1.0</v>
      </c>
      <c r="J141" s="7"/>
      <c r="K141" s="7"/>
      <c r="L141" s="7"/>
    </row>
    <row r="142" ht="14.25" customHeight="1">
      <c r="A142" s="11">
        <v>14.0</v>
      </c>
      <c r="B142" s="19" t="s">
        <v>473</v>
      </c>
      <c r="C142" s="91"/>
      <c r="D142" s="27" t="s">
        <v>212</v>
      </c>
      <c r="E142" s="27" t="s">
        <v>212</v>
      </c>
      <c r="F142" s="27" t="s">
        <v>212</v>
      </c>
      <c r="G142" s="27" t="s">
        <v>212</v>
      </c>
      <c r="H142" s="95" t="s">
        <v>371</v>
      </c>
      <c r="I142" s="96"/>
      <c r="J142" s="96"/>
      <c r="K142" s="97">
        <v>1.0</v>
      </c>
      <c r="L142" s="98"/>
    </row>
    <row r="143" ht="14.25" customHeight="1">
      <c r="A143" s="10"/>
      <c r="B143" s="19"/>
      <c r="C143" s="91"/>
      <c r="D143" s="27"/>
      <c r="E143" s="27"/>
      <c r="F143" s="27"/>
      <c r="G143" s="27"/>
      <c r="H143" s="95"/>
      <c r="I143" s="105">
        <f t="shared" ref="I143:K143" si="7">SUM(I129:I142)</f>
        <v>6</v>
      </c>
      <c r="J143" s="105">
        <f t="shared" si="7"/>
        <v>6</v>
      </c>
      <c r="K143" s="106">
        <f t="shared" si="7"/>
        <v>2</v>
      </c>
      <c r="L143" s="107"/>
    </row>
    <row r="144" ht="14.25" customHeight="1">
      <c r="A144" s="10"/>
      <c r="B144" s="19"/>
      <c r="C144" s="91"/>
      <c r="D144" s="27"/>
      <c r="E144" s="27"/>
      <c r="F144" s="27"/>
      <c r="G144" s="27"/>
      <c r="H144" s="95"/>
      <c r="I144" s="108">
        <f>I143/A142</f>
        <v>0.4285714286</v>
      </c>
      <c r="J144" s="108">
        <f>J143/A142</f>
        <v>0.4285714286</v>
      </c>
      <c r="K144" s="109">
        <f>K143/A142</f>
        <v>0.1428571429</v>
      </c>
      <c r="L144" s="107"/>
    </row>
    <row r="145" ht="14.25" customHeight="1">
      <c r="A145" s="18" t="s">
        <v>474</v>
      </c>
      <c r="B145" s="91"/>
      <c r="C145" s="91"/>
      <c r="D145" s="27"/>
      <c r="E145" s="27"/>
      <c r="F145" s="27"/>
      <c r="G145" s="27"/>
      <c r="H145" s="28"/>
      <c r="I145" s="7"/>
      <c r="J145" s="7"/>
      <c r="K145" s="7"/>
      <c r="L145" s="7"/>
    </row>
    <row r="146" ht="14.25" customHeight="1">
      <c r="A146" s="18">
        <v>1.0</v>
      </c>
      <c r="B146" s="19" t="s">
        <v>475</v>
      </c>
      <c r="C146" s="91"/>
      <c r="D146" s="27">
        <v>2.08</v>
      </c>
      <c r="E146" s="27">
        <v>0.59</v>
      </c>
      <c r="F146" s="27">
        <v>0.54</v>
      </c>
      <c r="G146" s="27">
        <f>(('ECOLES CONTROLES'!$D146+'ECOLES CONTROLES'!$E146+'ECOLES CONTROLES'!$F146)/3)</f>
        <v>1.07</v>
      </c>
      <c r="H146" s="28" t="s">
        <v>28</v>
      </c>
      <c r="I146" s="7"/>
      <c r="J146" s="29">
        <v>1.0</v>
      </c>
      <c r="K146" s="7"/>
      <c r="L146" s="7"/>
    </row>
    <row r="147" ht="14.25" customHeight="1">
      <c r="A147" s="18">
        <v>2.0</v>
      </c>
      <c r="B147" s="19" t="s">
        <v>449</v>
      </c>
      <c r="C147" s="91"/>
      <c r="D147" s="27">
        <v>1.66</v>
      </c>
      <c r="E147" s="27">
        <v>0.53</v>
      </c>
      <c r="F147" s="27">
        <v>0.77</v>
      </c>
      <c r="G147" s="27">
        <f>(('ECOLES CONTROLES'!$D147+'ECOLES CONTROLES'!$E147+'ECOLES CONTROLES'!$F147)/3)</f>
        <v>0.9866666667</v>
      </c>
      <c r="H147" s="28" t="s">
        <v>28</v>
      </c>
      <c r="I147" s="7"/>
      <c r="J147" s="29">
        <v>1.0</v>
      </c>
      <c r="K147" s="7"/>
      <c r="L147" s="7"/>
    </row>
    <row r="148" ht="14.25" customHeight="1">
      <c r="A148" s="18">
        <v>3.0</v>
      </c>
      <c r="B148" s="19" t="s">
        <v>476</v>
      </c>
      <c r="C148" s="91"/>
      <c r="D148" s="27">
        <v>4.62</v>
      </c>
      <c r="E148" s="27">
        <v>4.0</v>
      </c>
      <c r="F148" s="27">
        <v>4.98</v>
      </c>
      <c r="G148" s="27">
        <f>(('ECOLES CONTROLES'!$D148+'ECOLES CONTROLES'!$E148+'ECOLES CONTROLES'!$F148)/3)</f>
        <v>4.533333333</v>
      </c>
      <c r="H148" s="28" t="s">
        <v>32</v>
      </c>
      <c r="I148" s="29">
        <v>1.0</v>
      </c>
      <c r="J148" s="7"/>
      <c r="K148" s="7"/>
      <c r="L148" s="7"/>
    </row>
    <row r="149" ht="14.25" customHeight="1">
      <c r="A149" s="18">
        <v>4.0</v>
      </c>
      <c r="B149" s="19" t="s">
        <v>477</v>
      </c>
      <c r="C149" s="91"/>
      <c r="D149" s="27">
        <v>3.73</v>
      </c>
      <c r="E149" s="27">
        <v>5.94</v>
      </c>
      <c r="F149" s="27">
        <v>3.82</v>
      </c>
      <c r="G149" s="27">
        <f>(('ECOLES CONTROLES'!$D149+'ECOLES CONTROLES'!$E149+'ECOLES CONTROLES'!$F149)/3)</f>
        <v>4.496666667</v>
      </c>
      <c r="H149" s="28" t="s">
        <v>32</v>
      </c>
      <c r="I149" s="29">
        <v>1.0</v>
      </c>
      <c r="J149" s="7"/>
      <c r="K149" s="7"/>
      <c r="L149" s="7"/>
    </row>
    <row r="150" ht="14.25" customHeight="1">
      <c r="A150" s="18">
        <v>5.0</v>
      </c>
      <c r="B150" s="19" t="s">
        <v>452</v>
      </c>
      <c r="C150" s="91"/>
      <c r="D150" s="27">
        <v>5.72</v>
      </c>
      <c r="E150" s="27">
        <v>4.54</v>
      </c>
      <c r="F150" s="27">
        <v>4.0</v>
      </c>
      <c r="G150" s="27">
        <f>(('ECOLES CONTROLES'!$D150+'ECOLES CONTROLES'!$E150+'ECOLES CONTROLES'!$F150)/3)</f>
        <v>4.753333333</v>
      </c>
      <c r="H150" s="28" t="s">
        <v>32</v>
      </c>
      <c r="I150" s="29">
        <v>1.0</v>
      </c>
      <c r="J150" s="7"/>
      <c r="K150" s="7"/>
      <c r="L150" s="7"/>
    </row>
    <row r="151" ht="14.25" customHeight="1">
      <c r="A151" s="18">
        <v>6.0</v>
      </c>
      <c r="B151" s="19" t="s">
        <v>478</v>
      </c>
      <c r="C151" s="91"/>
      <c r="D151" s="27">
        <v>4.62</v>
      </c>
      <c r="E151" s="27">
        <v>3.25</v>
      </c>
      <c r="F151" s="27">
        <v>5.66</v>
      </c>
      <c r="G151" s="27">
        <f>(('ECOLES CONTROLES'!$D151+'ECOLES CONTROLES'!$E151+'ECOLES CONTROLES'!$F151)/3)</f>
        <v>4.51</v>
      </c>
      <c r="H151" s="28" t="s">
        <v>32</v>
      </c>
      <c r="I151" s="29">
        <v>1.0</v>
      </c>
      <c r="J151" s="7"/>
      <c r="K151" s="7"/>
      <c r="L151" s="7"/>
    </row>
    <row r="152" ht="14.25" customHeight="1">
      <c r="A152" s="18">
        <v>7.0</v>
      </c>
      <c r="B152" s="19" t="s">
        <v>479</v>
      </c>
      <c r="C152" s="91"/>
      <c r="D152" s="27">
        <v>1.16</v>
      </c>
      <c r="E152" s="27">
        <v>1.5</v>
      </c>
      <c r="F152" s="27">
        <v>0.63</v>
      </c>
      <c r="G152" s="27">
        <f>(('ECOLES CONTROLES'!$D152+'ECOLES CONTROLES'!$E152+'ECOLES CONTROLES'!$F152)/3)</f>
        <v>1.096666667</v>
      </c>
      <c r="H152" s="28" t="s">
        <v>28</v>
      </c>
      <c r="I152" s="7"/>
      <c r="J152" s="29">
        <v>1.0</v>
      </c>
      <c r="K152" s="7"/>
      <c r="L152" s="7"/>
    </row>
    <row r="153" ht="14.25" customHeight="1">
      <c r="A153" s="18">
        <v>8.0</v>
      </c>
      <c r="B153" s="33" t="s">
        <v>480</v>
      </c>
      <c r="C153" s="92"/>
      <c r="D153" s="27">
        <v>3.66</v>
      </c>
      <c r="E153" s="27">
        <v>5.97</v>
      </c>
      <c r="F153" s="27">
        <v>4.79</v>
      </c>
      <c r="G153" s="27">
        <f>(('ECOLES CONTROLES'!$D153+'ECOLES CONTROLES'!$E153+'ECOLES CONTROLES'!$F153)/3)</f>
        <v>4.806666667</v>
      </c>
      <c r="H153" s="28" t="s">
        <v>32</v>
      </c>
      <c r="I153" s="29">
        <v>1.0</v>
      </c>
      <c r="J153" s="7"/>
      <c r="K153" s="7"/>
      <c r="L153" s="7"/>
    </row>
    <row r="154" ht="14.25" customHeight="1">
      <c r="A154" s="18">
        <v>9.0</v>
      </c>
      <c r="B154" s="19" t="s">
        <v>481</v>
      </c>
      <c r="C154" s="91"/>
      <c r="D154" s="27">
        <v>4.88</v>
      </c>
      <c r="E154" s="27">
        <v>4.7</v>
      </c>
      <c r="F154" s="27">
        <v>4.28</v>
      </c>
      <c r="G154" s="27">
        <f>(('ECOLES CONTROLES'!$D154+'ECOLES CONTROLES'!$E154+'ECOLES CONTROLES'!$F154)/3)</f>
        <v>4.62</v>
      </c>
      <c r="H154" s="28" t="s">
        <v>32</v>
      </c>
      <c r="I154" s="29">
        <v>1.0</v>
      </c>
      <c r="J154" s="7"/>
      <c r="K154" s="7"/>
      <c r="L154" s="7"/>
    </row>
    <row r="155" ht="14.25" customHeight="1">
      <c r="A155" s="18">
        <v>10.0</v>
      </c>
      <c r="B155" s="19" t="s">
        <v>482</v>
      </c>
      <c r="C155" s="91"/>
      <c r="D155" s="27">
        <v>4.4</v>
      </c>
      <c r="E155" s="27">
        <v>5.23</v>
      </c>
      <c r="F155" s="27">
        <v>3.88</v>
      </c>
      <c r="G155" s="27">
        <f>(('ECOLES CONTROLES'!$D155+'ECOLES CONTROLES'!$E155+'ECOLES CONTROLES'!$F155)/3)</f>
        <v>4.503333333</v>
      </c>
      <c r="H155" s="28" t="s">
        <v>32</v>
      </c>
      <c r="I155" s="29">
        <v>1.0</v>
      </c>
      <c r="J155" s="7"/>
      <c r="K155" s="7"/>
      <c r="L155" s="7"/>
    </row>
    <row r="156" ht="14.25" customHeight="1">
      <c r="A156" s="18">
        <v>11.0</v>
      </c>
      <c r="B156" s="19" t="s">
        <v>483</v>
      </c>
      <c r="C156" s="91"/>
      <c r="D156" s="27">
        <v>1.54</v>
      </c>
      <c r="E156" s="27">
        <v>0.27</v>
      </c>
      <c r="F156" s="27">
        <v>0.81</v>
      </c>
      <c r="G156" s="27">
        <f>(('ECOLES CONTROLES'!$D156+'ECOLES CONTROLES'!$E156+'ECOLES CONTROLES'!$F156)/3)</f>
        <v>0.8733333333</v>
      </c>
      <c r="H156" s="28" t="s">
        <v>28</v>
      </c>
      <c r="I156" s="7"/>
      <c r="J156" s="29">
        <v>1.0</v>
      </c>
      <c r="K156" s="7"/>
      <c r="L156" s="7"/>
    </row>
    <row r="157" ht="14.25" customHeight="1">
      <c r="A157" s="18">
        <v>12.0</v>
      </c>
      <c r="B157" s="19" t="s">
        <v>484</v>
      </c>
      <c r="C157" s="91"/>
      <c r="D157" s="27">
        <v>3.0</v>
      </c>
      <c r="E157" s="27">
        <v>2.95</v>
      </c>
      <c r="F157" s="27">
        <v>1.27</v>
      </c>
      <c r="G157" s="27">
        <f>(('ECOLES CONTROLES'!$D157+'ECOLES CONTROLES'!$E157+'ECOLES CONTROLES'!$F157)/3)</f>
        <v>2.406666667</v>
      </c>
      <c r="H157" s="28" t="s">
        <v>32</v>
      </c>
      <c r="I157" s="29">
        <v>1.0</v>
      </c>
      <c r="J157" s="7"/>
      <c r="K157" s="7"/>
      <c r="L157" s="7"/>
    </row>
    <row r="158" ht="14.25" customHeight="1">
      <c r="A158" s="18">
        <v>13.0</v>
      </c>
      <c r="B158" s="19" t="s">
        <v>485</v>
      </c>
      <c r="C158" s="91"/>
      <c r="D158" s="27">
        <v>5.26</v>
      </c>
      <c r="E158" s="27">
        <v>4.54</v>
      </c>
      <c r="F158" s="27">
        <v>3.72</v>
      </c>
      <c r="G158" s="27">
        <f>(('ECOLES CONTROLES'!$D158+'ECOLES CONTROLES'!$E158+'ECOLES CONTROLES'!$F158)/3)</f>
        <v>4.506666667</v>
      </c>
      <c r="H158" s="28" t="s">
        <v>32</v>
      </c>
      <c r="I158" s="29">
        <v>1.0</v>
      </c>
      <c r="J158" s="7"/>
      <c r="K158" s="7"/>
      <c r="L158" s="7"/>
    </row>
    <row r="159" ht="14.25" customHeight="1">
      <c r="A159" s="18">
        <v>14.0</v>
      </c>
      <c r="B159" s="19" t="s">
        <v>486</v>
      </c>
      <c r="C159" s="91"/>
      <c r="D159" s="27">
        <v>4.64</v>
      </c>
      <c r="E159" s="27">
        <v>3.88</v>
      </c>
      <c r="F159" s="27">
        <v>4.97</v>
      </c>
      <c r="G159" s="27">
        <f>(('ECOLES CONTROLES'!$D159+'ECOLES CONTROLES'!$E159+'ECOLES CONTROLES'!$F159)/3)</f>
        <v>4.496666667</v>
      </c>
      <c r="H159" s="28" t="s">
        <v>32</v>
      </c>
      <c r="I159" s="29">
        <v>1.0</v>
      </c>
      <c r="J159" s="7"/>
      <c r="K159" s="7"/>
      <c r="L159" s="7"/>
    </row>
    <row r="160" ht="14.25" customHeight="1">
      <c r="A160" s="18">
        <v>15.0</v>
      </c>
      <c r="B160" s="19" t="s">
        <v>487</v>
      </c>
      <c r="C160" s="91"/>
      <c r="D160" s="27">
        <v>1.41</v>
      </c>
      <c r="E160" s="27">
        <v>1.09</v>
      </c>
      <c r="F160" s="27">
        <v>0.9</v>
      </c>
      <c r="G160" s="27">
        <f>(('ECOLES CONTROLES'!$D160+'ECOLES CONTROLES'!$E160+'ECOLES CONTROLES'!$F160)/3)</f>
        <v>1.133333333</v>
      </c>
      <c r="H160" s="28" t="s">
        <v>28</v>
      </c>
      <c r="I160" s="7"/>
      <c r="J160" s="29">
        <v>1.0</v>
      </c>
      <c r="K160" s="7"/>
      <c r="L160" s="7"/>
    </row>
    <row r="161" ht="14.25" customHeight="1">
      <c r="A161" s="18"/>
      <c r="B161" s="19"/>
      <c r="C161" s="91"/>
      <c r="D161" s="27"/>
      <c r="E161" s="27"/>
      <c r="F161" s="27"/>
      <c r="G161" s="27"/>
      <c r="H161" s="28"/>
      <c r="I161" s="7">
        <f t="shared" ref="I161:J161" si="8">SUM(I146:I160)</f>
        <v>10</v>
      </c>
      <c r="J161" s="29">
        <f t="shared" si="8"/>
        <v>5</v>
      </c>
      <c r="K161" s="7"/>
      <c r="L161" s="7"/>
    </row>
    <row r="162" ht="14.25" customHeight="1">
      <c r="A162" s="18"/>
      <c r="B162" s="19"/>
      <c r="C162" s="91"/>
      <c r="D162" s="27"/>
      <c r="E162" s="27"/>
      <c r="F162" s="27"/>
      <c r="G162" s="27"/>
      <c r="H162" s="28"/>
      <c r="I162" s="48">
        <f>I161/A160</f>
        <v>0.6666666667</v>
      </c>
      <c r="J162" s="84">
        <f>J161/A160</f>
        <v>0.3333333333</v>
      </c>
      <c r="K162" s="7"/>
      <c r="L162" s="7"/>
    </row>
    <row r="163" ht="14.25" customHeight="1">
      <c r="A163" s="18" t="s">
        <v>488</v>
      </c>
      <c r="B163" s="91"/>
      <c r="C163" s="91"/>
      <c r="D163" s="27"/>
      <c r="E163" s="27"/>
      <c r="F163" s="27"/>
      <c r="G163" s="27"/>
      <c r="H163" s="28"/>
      <c r="I163" s="7"/>
      <c r="J163" s="7"/>
      <c r="K163" s="7"/>
      <c r="L163" s="7"/>
    </row>
    <row r="164" ht="14.25" customHeight="1">
      <c r="A164" s="18">
        <v>1.0</v>
      </c>
      <c r="B164" s="19" t="s">
        <v>489</v>
      </c>
      <c r="C164" s="91"/>
      <c r="D164" s="27" t="s">
        <v>212</v>
      </c>
      <c r="E164" s="27">
        <v>2.0</v>
      </c>
      <c r="F164" s="27" t="s">
        <v>212</v>
      </c>
      <c r="G164" s="27">
        <f>('ECOLES CONTROLES'!$E164/3)</f>
        <v>0.6666666667</v>
      </c>
      <c r="H164" s="28" t="s">
        <v>28</v>
      </c>
      <c r="I164" s="7"/>
      <c r="J164" s="29">
        <v>1.0</v>
      </c>
      <c r="K164" s="7"/>
      <c r="L164" s="7"/>
    </row>
    <row r="165" ht="14.25" customHeight="1">
      <c r="A165" s="18">
        <v>2.0</v>
      </c>
      <c r="B165" s="19" t="s">
        <v>490</v>
      </c>
      <c r="C165" s="91"/>
      <c r="D165" s="27">
        <v>3.78</v>
      </c>
      <c r="E165" s="27">
        <v>4.89</v>
      </c>
      <c r="F165" s="27">
        <v>4.9</v>
      </c>
      <c r="G165" s="27">
        <f>(('ECOLES CONTROLES'!$D165+'ECOLES CONTROLES'!$E165+'ECOLES CONTROLES'!$F165)/3)</f>
        <v>4.523333333</v>
      </c>
      <c r="H165" s="28" t="s">
        <v>32</v>
      </c>
      <c r="I165" s="29">
        <v>1.0</v>
      </c>
      <c r="J165" s="7"/>
      <c r="K165" s="7"/>
      <c r="L165" s="7"/>
    </row>
    <row r="166" ht="14.25" customHeight="1">
      <c r="A166" s="18">
        <v>3.0</v>
      </c>
      <c r="B166" s="19" t="s">
        <v>491</v>
      </c>
      <c r="C166" s="91"/>
      <c r="D166" s="27">
        <v>4.0</v>
      </c>
      <c r="E166" s="27">
        <v>5.68</v>
      </c>
      <c r="F166" s="27">
        <v>5.0</v>
      </c>
      <c r="G166" s="27">
        <f>(('ECOLES CONTROLES'!$D166+'ECOLES CONTROLES'!$E166+'ECOLES CONTROLES'!$F166)/3)</f>
        <v>4.893333333</v>
      </c>
      <c r="H166" s="28" t="s">
        <v>32</v>
      </c>
      <c r="I166" s="29">
        <v>1.0</v>
      </c>
      <c r="J166" s="7"/>
      <c r="K166" s="7"/>
      <c r="L166" s="7"/>
    </row>
    <row r="167" ht="14.25" customHeight="1">
      <c r="A167" s="18">
        <v>4.0</v>
      </c>
      <c r="B167" s="19" t="s">
        <v>492</v>
      </c>
      <c r="C167" s="91"/>
      <c r="D167" s="27">
        <v>5.0</v>
      </c>
      <c r="E167" s="27">
        <v>4.9</v>
      </c>
      <c r="F167" s="27" t="s">
        <v>212</v>
      </c>
      <c r="G167" s="27">
        <f>(('ECOLES CONTROLES'!$D167+'ECOLES CONTROLES'!$E167)/3)</f>
        <v>3.3</v>
      </c>
      <c r="H167" s="95" t="s">
        <v>371</v>
      </c>
      <c r="I167" s="96"/>
      <c r="J167" s="96"/>
      <c r="K167" s="97">
        <v>1.0</v>
      </c>
      <c r="L167" s="98"/>
    </row>
    <row r="168" ht="14.25" customHeight="1">
      <c r="A168" s="18">
        <v>5.0</v>
      </c>
      <c r="B168" s="19" t="s">
        <v>493</v>
      </c>
      <c r="C168" s="91"/>
      <c r="D168" s="27">
        <v>4.69</v>
      </c>
      <c r="E168" s="27">
        <v>5.0</v>
      </c>
      <c r="F168" s="27">
        <v>5.2</v>
      </c>
      <c r="G168" s="27">
        <f>(('ECOLES CONTROLES'!$D168+'ECOLES CONTROLES'!$E168+'ECOLES CONTROLES'!$F168)/3)</f>
        <v>4.963333333</v>
      </c>
      <c r="H168" s="28" t="s">
        <v>32</v>
      </c>
      <c r="I168" s="29">
        <v>1.0</v>
      </c>
      <c r="J168" s="7"/>
      <c r="K168" s="7"/>
      <c r="L168" s="7"/>
    </row>
    <row r="169" ht="14.25" customHeight="1">
      <c r="A169" s="18">
        <v>6.0</v>
      </c>
      <c r="B169" s="19" t="s">
        <v>494</v>
      </c>
      <c r="C169" s="91"/>
      <c r="D169" s="27">
        <v>3.97</v>
      </c>
      <c r="E169" s="27">
        <v>6.0</v>
      </c>
      <c r="F169" s="27">
        <v>3.8</v>
      </c>
      <c r="G169" s="27">
        <f>(('ECOLES CONTROLES'!$D169+'ECOLES CONTROLES'!$E169+'ECOLES CONTROLES'!$F169)/3)</f>
        <v>4.59</v>
      </c>
      <c r="H169" s="28" t="s">
        <v>32</v>
      </c>
      <c r="I169" s="29">
        <v>1.0</v>
      </c>
      <c r="J169" s="7"/>
      <c r="K169" s="7"/>
      <c r="L169" s="7"/>
    </row>
    <row r="170" ht="14.25" customHeight="1">
      <c r="A170" s="18">
        <v>7.0</v>
      </c>
      <c r="B170" s="19" t="s">
        <v>495</v>
      </c>
      <c r="C170" s="91"/>
      <c r="D170" s="27">
        <v>1.27</v>
      </c>
      <c r="E170" s="27" t="s">
        <v>212</v>
      </c>
      <c r="F170" s="27" t="s">
        <v>212</v>
      </c>
      <c r="G170" s="27">
        <f>'ECOLES CONTROLES'!$D170/3</f>
        <v>0.4233333333</v>
      </c>
      <c r="H170" s="28" t="s">
        <v>28</v>
      </c>
      <c r="I170" s="7"/>
      <c r="J170" s="29">
        <v>1.0</v>
      </c>
      <c r="K170" s="7"/>
      <c r="L170" s="7"/>
    </row>
    <row r="171" ht="14.25" customHeight="1">
      <c r="A171" s="18">
        <v>8.0</v>
      </c>
      <c r="B171" s="33" t="s">
        <v>496</v>
      </c>
      <c r="C171" s="92"/>
      <c r="D171" s="27">
        <v>2.0</v>
      </c>
      <c r="E171" s="27">
        <v>3.0</v>
      </c>
      <c r="F171" s="27" t="s">
        <v>212</v>
      </c>
      <c r="G171" s="27">
        <f>(('ECOLES CONTROLES'!$D171+'ECOLES CONTROLES'!$E171)/3)</f>
        <v>1.666666667</v>
      </c>
      <c r="H171" s="28" t="s">
        <v>28</v>
      </c>
      <c r="I171" s="7"/>
      <c r="J171" s="29">
        <v>1.0</v>
      </c>
      <c r="K171" s="7"/>
      <c r="L171" s="7"/>
    </row>
    <row r="172" ht="14.25" customHeight="1">
      <c r="A172" s="18">
        <v>9.0</v>
      </c>
      <c r="B172" s="19" t="s">
        <v>497</v>
      </c>
      <c r="C172" s="91"/>
      <c r="D172" s="27">
        <v>5.0</v>
      </c>
      <c r="E172" s="27">
        <v>5.4</v>
      </c>
      <c r="F172" s="27">
        <v>3.6</v>
      </c>
      <c r="G172" s="27">
        <f>(('ECOLES CONTROLES'!$D172+'ECOLES CONTROLES'!$E172+'ECOLES CONTROLES'!$F172)/3)</f>
        <v>4.666666667</v>
      </c>
      <c r="H172" s="28" t="s">
        <v>32</v>
      </c>
      <c r="I172" s="29">
        <v>1.0</v>
      </c>
      <c r="J172" s="7"/>
      <c r="K172" s="7"/>
      <c r="L172" s="7"/>
    </row>
    <row r="173" ht="14.25" customHeight="1">
      <c r="A173" s="18">
        <v>10.0</v>
      </c>
      <c r="B173" s="19" t="s">
        <v>498</v>
      </c>
      <c r="C173" s="91"/>
      <c r="D173" s="27" t="s">
        <v>212</v>
      </c>
      <c r="E173" s="27">
        <v>1.44</v>
      </c>
      <c r="F173" s="27" t="s">
        <v>212</v>
      </c>
      <c r="G173" s="28">
        <f>'ECOLES CONTROLES'!$E173/3</f>
        <v>0.48</v>
      </c>
      <c r="H173" s="28" t="s">
        <v>28</v>
      </c>
      <c r="I173" s="7"/>
      <c r="J173" s="29">
        <v>1.0</v>
      </c>
      <c r="K173" s="7"/>
      <c r="L173" s="7"/>
    </row>
    <row r="174" ht="14.25" customHeight="1">
      <c r="A174" s="18">
        <v>11.0</v>
      </c>
      <c r="B174" s="19" t="s">
        <v>499</v>
      </c>
      <c r="C174" s="91"/>
      <c r="D174" s="27">
        <v>4.0</v>
      </c>
      <c r="E174" s="27">
        <v>5.5</v>
      </c>
      <c r="F174" s="27">
        <v>5.0</v>
      </c>
      <c r="G174" s="27">
        <f>(('ECOLES CONTROLES'!$D174+'ECOLES CONTROLES'!$E174+'ECOLES CONTROLES'!$F174)/3)</f>
        <v>4.833333333</v>
      </c>
      <c r="H174" s="28" t="s">
        <v>32</v>
      </c>
      <c r="I174" s="29">
        <v>1.0</v>
      </c>
      <c r="J174" s="7"/>
      <c r="K174" s="7"/>
      <c r="L174" s="7"/>
    </row>
    <row r="175" ht="14.25" customHeight="1">
      <c r="A175" s="18">
        <v>12.0</v>
      </c>
      <c r="B175" s="19" t="s">
        <v>500</v>
      </c>
      <c r="C175" s="91"/>
      <c r="D175" s="27">
        <v>5.5</v>
      </c>
      <c r="E175" s="27">
        <v>4.0</v>
      </c>
      <c r="F175" s="27">
        <v>4.65</v>
      </c>
      <c r="G175" s="27">
        <f>(('ECOLES CONTROLES'!$D175+'ECOLES CONTROLES'!$E175+'ECOLES CONTROLES'!$F175)/3)</f>
        <v>4.716666667</v>
      </c>
      <c r="H175" s="28" t="s">
        <v>32</v>
      </c>
      <c r="I175" s="29">
        <v>1.0</v>
      </c>
      <c r="J175" s="7"/>
      <c r="K175" s="7"/>
      <c r="L175" s="7"/>
    </row>
    <row r="176" ht="14.25" customHeight="1">
      <c r="A176" s="18">
        <v>13.0</v>
      </c>
      <c r="B176" s="19" t="s">
        <v>501</v>
      </c>
      <c r="C176" s="91"/>
      <c r="D176" s="27">
        <v>0.88</v>
      </c>
      <c r="E176" s="27" t="s">
        <v>212</v>
      </c>
      <c r="F176" s="27" t="s">
        <v>212</v>
      </c>
      <c r="G176" s="27">
        <f>'ECOLES CONTROLES'!$D176/3</f>
        <v>0.2933333333</v>
      </c>
      <c r="H176" s="28" t="s">
        <v>28</v>
      </c>
      <c r="I176" s="7"/>
      <c r="J176" s="29">
        <v>1.0</v>
      </c>
      <c r="K176" s="7"/>
      <c r="L176" s="7"/>
    </row>
    <row r="177" ht="14.25" customHeight="1">
      <c r="A177" s="18">
        <v>14.0</v>
      </c>
      <c r="B177" s="33" t="s">
        <v>502</v>
      </c>
      <c r="C177" s="92"/>
      <c r="D177" s="27">
        <v>4.6</v>
      </c>
      <c r="E177" s="27">
        <v>5.9</v>
      </c>
      <c r="F177" s="27">
        <v>5.08</v>
      </c>
      <c r="G177" s="27">
        <f>(('ECOLES CONTROLES'!$D177+'ECOLES CONTROLES'!$E177+'ECOLES CONTROLES'!$F177)/3)</f>
        <v>5.193333333</v>
      </c>
      <c r="H177" s="28" t="s">
        <v>32</v>
      </c>
      <c r="I177" s="29">
        <v>1.0</v>
      </c>
      <c r="J177" s="7"/>
      <c r="K177" s="7"/>
      <c r="L177" s="7"/>
    </row>
    <row r="178" ht="14.25" customHeight="1">
      <c r="A178" s="18">
        <v>15.0</v>
      </c>
      <c r="B178" s="19" t="s">
        <v>493</v>
      </c>
      <c r="C178" s="91"/>
      <c r="D178" s="27">
        <v>2.5</v>
      </c>
      <c r="E178" s="27">
        <v>3.0</v>
      </c>
      <c r="F178" s="27" t="s">
        <v>212</v>
      </c>
      <c r="G178" s="27">
        <f>(('ECOLES CONTROLES'!$D178+'ECOLES CONTROLES'!$E178)/3)</f>
        <v>1.833333333</v>
      </c>
      <c r="H178" s="28" t="s">
        <v>28</v>
      </c>
      <c r="I178" s="7"/>
      <c r="J178" s="29">
        <v>1.0</v>
      </c>
      <c r="K178" s="7"/>
      <c r="L178" s="7"/>
    </row>
    <row r="179" ht="14.25" customHeight="1">
      <c r="A179" s="18">
        <v>16.0</v>
      </c>
      <c r="B179" s="19" t="s">
        <v>503</v>
      </c>
      <c r="C179" s="91"/>
      <c r="D179" s="27">
        <v>5.32</v>
      </c>
      <c r="E179" s="27">
        <v>4.6</v>
      </c>
      <c r="F179" s="27">
        <v>4.0</v>
      </c>
      <c r="G179" s="28">
        <f>(('ECOLES CONTROLES'!$D179+'ECOLES CONTROLES'!$E179+'ECOLES CONTROLES'!$F179)/3)</f>
        <v>4.64</v>
      </c>
      <c r="H179" s="28" t="s">
        <v>32</v>
      </c>
      <c r="I179" s="29">
        <v>1.0</v>
      </c>
      <c r="J179" s="7"/>
      <c r="K179" s="7"/>
      <c r="L179" s="7"/>
    </row>
    <row r="180" ht="14.25" customHeight="1">
      <c r="A180" s="18">
        <v>17.0</v>
      </c>
      <c r="B180" s="19" t="s">
        <v>504</v>
      </c>
      <c r="C180" s="91"/>
      <c r="D180" s="27">
        <v>4.25</v>
      </c>
      <c r="E180" s="27">
        <v>5.66</v>
      </c>
      <c r="F180" s="27">
        <v>3.95</v>
      </c>
      <c r="G180" s="27">
        <f>(('ECOLES CONTROLES'!$D180+'ECOLES CONTROLES'!$E180+'ECOLES CONTROLES'!$F180)/3)</f>
        <v>4.62</v>
      </c>
      <c r="H180" s="28" t="s">
        <v>32</v>
      </c>
      <c r="I180" s="29">
        <v>1.0</v>
      </c>
      <c r="J180" s="7"/>
      <c r="K180" s="7"/>
      <c r="L180" s="7"/>
    </row>
    <row r="181" ht="14.25" customHeight="1">
      <c r="A181" s="18">
        <v>18.0</v>
      </c>
      <c r="B181" s="33" t="s">
        <v>505</v>
      </c>
      <c r="C181" s="92"/>
      <c r="D181" s="27">
        <v>6.06</v>
      </c>
      <c r="E181" s="27">
        <v>4.55</v>
      </c>
      <c r="F181" s="27">
        <v>4.88</v>
      </c>
      <c r="G181" s="27">
        <f>(('ECOLES CONTROLES'!$D181+'ECOLES CONTROLES'!$E181+'ECOLES CONTROLES'!$F181)/3)</f>
        <v>5.163333333</v>
      </c>
      <c r="H181" s="28" t="s">
        <v>32</v>
      </c>
      <c r="I181" s="29">
        <v>1.0</v>
      </c>
      <c r="J181" s="7"/>
      <c r="K181" s="7"/>
      <c r="L181" s="7"/>
    </row>
    <row r="182" ht="14.25" customHeight="1">
      <c r="A182" s="18">
        <v>19.0</v>
      </c>
      <c r="B182" s="110" t="s">
        <v>506</v>
      </c>
      <c r="C182" s="92"/>
      <c r="D182" s="27">
        <v>0.67</v>
      </c>
      <c r="E182" s="27">
        <v>1.0</v>
      </c>
      <c r="F182" s="27">
        <v>2.03</v>
      </c>
      <c r="G182" s="27">
        <f>(('ECOLES CONTROLES'!$D182+'ECOLES CONTROLES'!$E182+'ECOLES CONTROLES'!$F182)/3)</f>
        <v>1.233333333</v>
      </c>
      <c r="H182" s="28" t="s">
        <v>28</v>
      </c>
      <c r="I182" s="7"/>
      <c r="J182" s="29">
        <v>1.0</v>
      </c>
      <c r="K182" s="7"/>
      <c r="L182" s="7"/>
    </row>
    <row r="183" ht="14.25" customHeight="1">
      <c r="A183" s="18">
        <v>20.0</v>
      </c>
      <c r="B183" s="33" t="s">
        <v>507</v>
      </c>
      <c r="C183" s="92"/>
      <c r="D183" s="27">
        <v>4.5</v>
      </c>
      <c r="E183" s="27">
        <v>3.99</v>
      </c>
      <c r="F183" s="27">
        <v>5.76</v>
      </c>
      <c r="G183" s="27">
        <f>(('ECOLES CONTROLES'!$D183+'ECOLES CONTROLES'!$E183+'ECOLES CONTROLES'!$F183)/3)</f>
        <v>4.75</v>
      </c>
      <c r="H183" s="28" t="s">
        <v>32</v>
      </c>
      <c r="I183" s="29">
        <v>1.0</v>
      </c>
      <c r="J183" s="7"/>
      <c r="K183" s="7"/>
      <c r="L183" s="7"/>
    </row>
    <row r="184" ht="14.25" customHeight="1">
      <c r="A184" s="18">
        <v>21.0</v>
      </c>
      <c r="B184" s="19" t="s">
        <v>508</v>
      </c>
      <c r="C184" s="91"/>
      <c r="D184" s="27">
        <v>5.48</v>
      </c>
      <c r="E184" s="27">
        <v>5.0</v>
      </c>
      <c r="F184" s="27">
        <v>3.84</v>
      </c>
      <c r="G184" s="27">
        <f>(('ECOLES CONTROLES'!$D184+'ECOLES CONTROLES'!$E184+'ECOLES CONTROLES'!$F184)/3)</f>
        <v>4.773333333</v>
      </c>
      <c r="H184" s="28" t="s">
        <v>32</v>
      </c>
      <c r="I184" s="29">
        <v>1.0</v>
      </c>
      <c r="J184" s="7"/>
      <c r="K184" s="7"/>
      <c r="L184" s="7"/>
    </row>
    <row r="185" ht="14.25" customHeight="1">
      <c r="A185" s="18">
        <v>22.0</v>
      </c>
      <c r="B185" s="19" t="s">
        <v>509</v>
      </c>
      <c r="C185" s="91"/>
      <c r="D185" s="27">
        <v>3.0</v>
      </c>
      <c r="E185" s="27">
        <v>2.5</v>
      </c>
      <c r="F185" s="27" t="s">
        <v>212</v>
      </c>
      <c r="G185" s="27">
        <f>(('ECOLES CONTROLES'!$D185+'ECOLES CONTROLES'!$E185)/3)</f>
        <v>1.833333333</v>
      </c>
      <c r="H185" s="28" t="s">
        <v>28</v>
      </c>
      <c r="I185" s="7"/>
      <c r="J185" s="29">
        <v>1.0</v>
      </c>
      <c r="K185" s="7"/>
      <c r="L185" s="7"/>
    </row>
    <row r="186" ht="14.25" customHeight="1">
      <c r="A186" s="18">
        <v>23.0</v>
      </c>
      <c r="B186" s="19" t="s">
        <v>510</v>
      </c>
      <c r="C186" s="91"/>
      <c r="D186" s="27">
        <v>4.6</v>
      </c>
      <c r="E186" s="27">
        <v>4.0</v>
      </c>
      <c r="F186" s="27">
        <v>4.93</v>
      </c>
      <c r="G186" s="27">
        <f>(('ECOLES CONTROLES'!$D186+'ECOLES CONTROLES'!$E186+'ECOLES CONTROLES'!$F186)/3)</f>
        <v>4.51</v>
      </c>
      <c r="H186" s="28" t="s">
        <v>32</v>
      </c>
      <c r="I186" s="29">
        <v>1.0</v>
      </c>
      <c r="J186" s="7"/>
      <c r="K186" s="7"/>
      <c r="L186" s="7"/>
    </row>
    <row r="187" ht="14.25" customHeight="1">
      <c r="A187" s="18">
        <v>24.0</v>
      </c>
      <c r="B187" s="19" t="s">
        <v>511</v>
      </c>
      <c r="C187" s="91"/>
      <c r="D187" s="27">
        <v>4.84</v>
      </c>
      <c r="E187" s="27">
        <v>3.9</v>
      </c>
      <c r="F187" s="27">
        <v>5.0</v>
      </c>
      <c r="G187" s="27">
        <f>(('ECOLES CONTROLES'!$D187+'ECOLES CONTROLES'!$E187+'ECOLES CONTROLES'!$F187)/3)</f>
        <v>4.58</v>
      </c>
      <c r="H187" s="28" t="s">
        <v>32</v>
      </c>
      <c r="I187" s="29">
        <v>1.0</v>
      </c>
      <c r="J187" s="7"/>
      <c r="K187" s="7"/>
      <c r="L187" s="7"/>
    </row>
    <row r="188" ht="14.25" customHeight="1">
      <c r="A188" s="18">
        <v>25.0</v>
      </c>
      <c r="B188" s="19" t="s">
        <v>512</v>
      </c>
      <c r="C188" s="91"/>
      <c r="D188" s="27">
        <v>5.0</v>
      </c>
      <c r="E188" s="27">
        <v>4.53</v>
      </c>
      <c r="F188" s="27">
        <v>3.99</v>
      </c>
      <c r="G188" s="27">
        <f>(('ECOLES CONTROLES'!$D188+'ECOLES CONTROLES'!$E188+'ECOLES CONTROLES'!$F188)/3)</f>
        <v>4.506666667</v>
      </c>
      <c r="H188" s="28" t="s">
        <v>32</v>
      </c>
      <c r="I188" s="29">
        <v>1.0</v>
      </c>
      <c r="J188" s="7"/>
      <c r="K188" s="7"/>
      <c r="L188" s="7"/>
    </row>
    <row r="189" ht="14.25" customHeight="1">
      <c r="A189" s="18">
        <v>26.0</v>
      </c>
      <c r="B189" s="19" t="s">
        <v>513</v>
      </c>
      <c r="C189" s="91"/>
      <c r="D189" s="27">
        <v>5.6</v>
      </c>
      <c r="E189" s="27">
        <v>6.18</v>
      </c>
      <c r="F189" s="27">
        <v>4.0</v>
      </c>
      <c r="G189" s="27">
        <f>(('ECOLES CONTROLES'!$D189+'ECOLES CONTROLES'!$E189+'ECOLES CONTROLES'!$F189)/3)</f>
        <v>5.26</v>
      </c>
      <c r="H189" s="28" t="s">
        <v>32</v>
      </c>
      <c r="I189" s="29">
        <v>1.0</v>
      </c>
      <c r="J189" s="7"/>
      <c r="K189" s="7"/>
      <c r="L189" s="7"/>
    </row>
    <row r="190" ht="14.25" customHeight="1">
      <c r="A190" s="18">
        <v>27.0</v>
      </c>
      <c r="B190" s="19" t="s">
        <v>514</v>
      </c>
      <c r="C190" s="91"/>
      <c r="D190" s="27">
        <v>4.17</v>
      </c>
      <c r="E190" s="27">
        <v>5.0</v>
      </c>
      <c r="F190" s="27">
        <v>6.0</v>
      </c>
      <c r="G190" s="27">
        <f>(('ECOLES CONTROLES'!$D190+'ECOLES CONTROLES'!$E190+'ECOLES CONTROLES'!$F190)/3)</f>
        <v>5.056666667</v>
      </c>
      <c r="H190" s="28" t="s">
        <v>32</v>
      </c>
      <c r="I190" s="29">
        <v>1.0</v>
      </c>
      <c r="J190" s="7"/>
      <c r="K190" s="7"/>
      <c r="L190" s="7"/>
    </row>
    <row r="191" ht="14.25" customHeight="1">
      <c r="A191" s="18">
        <v>28.0</v>
      </c>
      <c r="B191" s="33" t="s">
        <v>515</v>
      </c>
      <c r="C191" s="92"/>
      <c r="D191" s="27">
        <v>6.0</v>
      </c>
      <c r="E191" s="27">
        <v>4.0</v>
      </c>
      <c r="F191" s="27">
        <v>3.98</v>
      </c>
      <c r="G191" s="27">
        <f>(('ECOLES CONTROLES'!$D191+'ECOLES CONTROLES'!$E191+'ECOLES CONTROLES'!$F191)/3)</f>
        <v>4.66</v>
      </c>
      <c r="H191" s="28" t="s">
        <v>32</v>
      </c>
      <c r="I191" s="29">
        <v>1.0</v>
      </c>
      <c r="J191" s="7"/>
      <c r="K191" s="7"/>
      <c r="L191" s="7"/>
    </row>
    <row r="192" ht="14.25" customHeight="1">
      <c r="A192" s="18">
        <v>29.0</v>
      </c>
      <c r="B192" s="71" t="s">
        <v>516</v>
      </c>
      <c r="C192" s="91"/>
      <c r="D192" s="27">
        <v>3.68</v>
      </c>
      <c r="E192" s="27">
        <v>4.89</v>
      </c>
      <c r="F192" s="27" t="s">
        <v>212</v>
      </c>
      <c r="G192" s="27">
        <f>(('ECOLES CONTROLES'!$D192+'ECOLES CONTROLES'!$E192)/3)</f>
        <v>2.856666667</v>
      </c>
      <c r="H192" s="95" t="s">
        <v>371</v>
      </c>
      <c r="I192" s="7"/>
      <c r="J192" s="7"/>
      <c r="K192" s="29">
        <v>1.0</v>
      </c>
      <c r="L192" s="26"/>
    </row>
    <row r="193" ht="14.25" customHeight="1">
      <c r="A193" s="76"/>
      <c r="B193" s="111"/>
      <c r="C193" s="91"/>
      <c r="D193" s="27"/>
      <c r="E193" s="27"/>
      <c r="F193" s="27"/>
      <c r="G193" s="27"/>
      <c r="H193" s="95"/>
      <c r="I193" s="7">
        <f t="shared" ref="I193:K193" si="9">SUM(I164:I192)</f>
        <v>19</v>
      </c>
      <c r="J193" s="7">
        <f t="shared" si="9"/>
        <v>8</v>
      </c>
      <c r="K193" s="29">
        <f t="shared" si="9"/>
        <v>2</v>
      </c>
      <c r="L193" s="26"/>
    </row>
    <row r="194" ht="14.25" customHeight="1">
      <c r="A194" s="76"/>
      <c r="B194" s="111"/>
      <c r="C194" s="91"/>
      <c r="D194" s="27"/>
      <c r="E194" s="27"/>
      <c r="F194" s="27"/>
      <c r="G194" s="27"/>
      <c r="H194" s="95"/>
      <c r="I194" s="48">
        <f>I193/A192</f>
        <v>0.6551724138</v>
      </c>
      <c r="J194" s="48">
        <f>J193/A192</f>
        <v>0.275862069</v>
      </c>
      <c r="K194" s="84">
        <f>K193/A192</f>
        <v>0.06896551724</v>
      </c>
      <c r="L194" s="26"/>
    </row>
    <row r="195" ht="14.25" customHeight="1">
      <c r="A195" s="112" t="s">
        <v>517</v>
      </c>
      <c r="B195" s="91"/>
      <c r="C195" s="91"/>
      <c r="D195" s="28"/>
      <c r="E195" s="28"/>
      <c r="F195" s="28"/>
      <c r="G195" s="27"/>
      <c r="H195" s="28"/>
      <c r="I195" s="7"/>
      <c r="J195" s="7"/>
      <c r="K195" s="7"/>
      <c r="L195" s="7"/>
    </row>
    <row r="196" ht="14.25" customHeight="1">
      <c r="A196" s="10">
        <v>1.0</v>
      </c>
      <c r="B196" s="91" t="s">
        <v>518</v>
      </c>
      <c r="C196" s="91"/>
      <c r="D196" s="27">
        <v>5.73</v>
      </c>
      <c r="E196" s="27">
        <v>4.6</v>
      </c>
      <c r="F196" s="27">
        <v>4.83</v>
      </c>
      <c r="G196" s="27">
        <f>(('ECOLES CONTROLES'!$D196+'ECOLES CONTROLES'!$E196+'ECOLES CONTROLES'!$F196)/3)</f>
        <v>5.053333333</v>
      </c>
      <c r="H196" s="28" t="s">
        <v>32</v>
      </c>
      <c r="I196" s="29">
        <v>1.0</v>
      </c>
      <c r="J196" s="7"/>
      <c r="K196" s="7"/>
      <c r="L196" s="7"/>
    </row>
    <row r="197" ht="14.25" customHeight="1">
      <c r="A197" s="113">
        <v>2.0</v>
      </c>
      <c r="B197" s="91" t="s">
        <v>519</v>
      </c>
      <c r="C197" s="91"/>
      <c r="D197" s="27">
        <v>2.68</v>
      </c>
      <c r="E197" s="27">
        <v>3.46</v>
      </c>
      <c r="F197" s="27">
        <v>1.5</v>
      </c>
      <c r="G197" s="27">
        <f>(('ECOLES CONTROLES'!$D197+'ECOLES CONTROLES'!$E197+'ECOLES CONTROLES'!$F197)/3)</f>
        <v>2.546666667</v>
      </c>
      <c r="H197" s="28" t="s">
        <v>28</v>
      </c>
      <c r="I197" s="7"/>
      <c r="J197" s="29">
        <v>1.0</v>
      </c>
      <c r="K197" s="7"/>
      <c r="L197" s="7"/>
    </row>
    <row r="198" ht="14.25" customHeight="1">
      <c r="A198" s="114">
        <v>3.0</v>
      </c>
      <c r="B198" s="91" t="s">
        <v>520</v>
      </c>
      <c r="C198" s="91"/>
      <c r="D198" s="27">
        <v>3.18</v>
      </c>
      <c r="E198" s="27">
        <v>2.34</v>
      </c>
      <c r="F198" s="27">
        <v>3.04</v>
      </c>
      <c r="G198" s="27">
        <f>(('ECOLES CONTROLES'!$D198+'ECOLES CONTROLES'!$E198+'ECOLES CONTROLES'!$F198)/3)</f>
        <v>2.853333333</v>
      </c>
      <c r="H198" s="28" t="s">
        <v>28</v>
      </c>
      <c r="I198" s="7"/>
      <c r="J198" s="29">
        <v>1.0</v>
      </c>
      <c r="K198" s="7"/>
      <c r="L198" s="7"/>
    </row>
    <row r="199" ht="14.25" customHeight="1">
      <c r="A199" s="114">
        <v>4.0</v>
      </c>
      <c r="B199" s="91" t="s">
        <v>521</v>
      </c>
      <c r="C199" s="91"/>
      <c r="D199" s="27">
        <v>4.65</v>
      </c>
      <c r="E199" s="27">
        <v>5.64</v>
      </c>
      <c r="F199" s="27">
        <v>3.77</v>
      </c>
      <c r="G199" s="27">
        <f>(('ECOLES CONTROLES'!$D199+'ECOLES CONTROLES'!$E199+'ECOLES CONTROLES'!$F199)/3)</f>
        <v>4.686666667</v>
      </c>
      <c r="H199" s="28" t="s">
        <v>32</v>
      </c>
      <c r="I199" s="29">
        <v>1.0</v>
      </c>
      <c r="J199" s="7"/>
      <c r="K199" s="7"/>
      <c r="L199" s="7"/>
    </row>
    <row r="200" ht="14.25" customHeight="1">
      <c r="A200" s="114">
        <v>5.0</v>
      </c>
      <c r="B200" s="91" t="s">
        <v>522</v>
      </c>
      <c r="C200" s="91"/>
      <c r="D200" s="27">
        <v>2.27</v>
      </c>
      <c r="E200" s="27">
        <v>3.24</v>
      </c>
      <c r="F200" s="27">
        <v>4.3</v>
      </c>
      <c r="G200" s="27">
        <f>(('ECOLES CONTROLES'!$D200+'ECOLES CONTROLES'!$E200+'ECOLES CONTROLES'!$F200)/3)</f>
        <v>3.27</v>
      </c>
      <c r="H200" s="28" t="s">
        <v>28</v>
      </c>
      <c r="I200" s="7"/>
      <c r="J200" s="29">
        <v>1.0</v>
      </c>
      <c r="K200" s="7"/>
      <c r="L200" s="7"/>
    </row>
    <row r="201" ht="14.25" customHeight="1">
      <c r="A201" s="114">
        <v>6.0</v>
      </c>
      <c r="B201" s="91" t="s">
        <v>523</v>
      </c>
      <c r="C201" s="91"/>
      <c r="D201" s="27">
        <v>5.35</v>
      </c>
      <c r="E201" s="27">
        <v>4.8</v>
      </c>
      <c r="F201" s="27">
        <v>3.79</v>
      </c>
      <c r="G201" s="27">
        <f>(('ECOLES CONTROLES'!$D201+'ECOLES CONTROLES'!$E201+'ECOLES CONTROLES'!$F201)/3)</f>
        <v>4.646666667</v>
      </c>
      <c r="H201" s="28" t="s">
        <v>32</v>
      </c>
      <c r="I201" s="29">
        <v>1.0</v>
      </c>
      <c r="J201" s="7"/>
      <c r="K201" s="7"/>
      <c r="L201" s="7"/>
    </row>
    <row r="202" ht="14.25" customHeight="1">
      <c r="A202" s="114">
        <v>7.0</v>
      </c>
      <c r="B202" s="91" t="s">
        <v>524</v>
      </c>
      <c r="C202" s="91"/>
      <c r="D202" s="27">
        <v>3.19</v>
      </c>
      <c r="E202" s="27">
        <v>2.5</v>
      </c>
      <c r="F202" s="27">
        <v>2.87</v>
      </c>
      <c r="G202" s="27">
        <f>(('ECOLES CONTROLES'!$D202+'ECOLES CONTROLES'!$E202+'ECOLES CONTROLES'!$F202)/3)</f>
        <v>2.853333333</v>
      </c>
      <c r="H202" s="28" t="s">
        <v>28</v>
      </c>
      <c r="I202" s="7"/>
      <c r="J202" s="29">
        <v>1.0</v>
      </c>
      <c r="K202" s="7"/>
      <c r="L202" s="7"/>
    </row>
    <row r="203" ht="14.25" customHeight="1">
      <c r="A203" s="114">
        <v>8.0</v>
      </c>
      <c r="B203" s="91" t="s">
        <v>525</v>
      </c>
      <c r="C203" s="91"/>
      <c r="D203" s="27">
        <v>4.21</v>
      </c>
      <c r="E203" s="27">
        <v>4.79</v>
      </c>
      <c r="F203" s="27">
        <v>4.53</v>
      </c>
      <c r="G203" s="27">
        <f>(('ECOLES CONTROLES'!$D203+'ECOLES CONTROLES'!$E203+'ECOLES CONTROLES'!$F203)/3)</f>
        <v>4.51</v>
      </c>
      <c r="H203" s="28" t="s">
        <v>32</v>
      </c>
      <c r="I203" s="29">
        <v>1.0</v>
      </c>
      <c r="J203" s="7"/>
      <c r="K203" s="7"/>
      <c r="L203" s="7"/>
    </row>
    <row r="204" ht="14.25" customHeight="1">
      <c r="A204" s="114">
        <v>9.0</v>
      </c>
      <c r="B204" s="115" t="s">
        <v>526</v>
      </c>
      <c r="C204" s="91"/>
      <c r="D204" s="27">
        <v>4.68</v>
      </c>
      <c r="E204" s="27">
        <v>1.0</v>
      </c>
      <c r="F204" s="27">
        <v>2.87</v>
      </c>
      <c r="G204" s="27">
        <f>(('ECOLES CONTROLES'!$D204+'ECOLES CONTROLES'!$E204+'ECOLES CONTROLES'!$F204)/3)</f>
        <v>2.85</v>
      </c>
      <c r="H204" s="28" t="s">
        <v>28</v>
      </c>
      <c r="I204" s="7"/>
      <c r="J204" s="29">
        <v>1.0</v>
      </c>
      <c r="K204" s="7"/>
      <c r="L204" s="7"/>
    </row>
    <row r="205" ht="14.25" customHeight="1">
      <c r="A205" s="114">
        <v>10.0</v>
      </c>
      <c r="B205" s="92" t="s">
        <v>527</v>
      </c>
      <c r="C205" s="91"/>
      <c r="D205" s="27">
        <v>3.81</v>
      </c>
      <c r="E205" s="27">
        <v>4.84</v>
      </c>
      <c r="F205" s="27">
        <v>4.98</v>
      </c>
      <c r="G205" s="27">
        <f>(('ECOLES CONTROLES'!$D205+'ECOLES CONTROLES'!$E205+'ECOLES CONTROLES'!$F205)/3)</f>
        <v>4.543333333</v>
      </c>
      <c r="H205" s="28" t="s">
        <v>32</v>
      </c>
      <c r="I205" s="29">
        <v>1.0</v>
      </c>
      <c r="J205" s="7"/>
      <c r="K205" s="7"/>
      <c r="L205" s="7"/>
    </row>
    <row r="206" ht="14.25" customHeight="1">
      <c r="A206" s="114">
        <v>11.0</v>
      </c>
      <c r="B206" s="91" t="s">
        <v>528</v>
      </c>
      <c r="C206" s="91"/>
      <c r="D206" s="27">
        <v>4.9</v>
      </c>
      <c r="E206" s="27">
        <v>5.93</v>
      </c>
      <c r="F206" s="27">
        <v>4.877</v>
      </c>
      <c r="G206" s="27">
        <f>(('ECOLES CONTROLES'!$D206+'ECOLES CONTROLES'!$E206+'ECOLES CONTROLES'!$F206)/3)</f>
        <v>5.235666667</v>
      </c>
      <c r="H206" s="28" t="s">
        <v>32</v>
      </c>
      <c r="I206" s="29">
        <v>1.0</v>
      </c>
      <c r="J206" s="7"/>
      <c r="K206" s="7"/>
      <c r="L206" s="7"/>
    </row>
    <row r="207" ht="14.25" customHeight="1">
      <c r="A207" s="114">
        <v>12.0</v>
      </c>
      <c r="B207" s="93" t="s">
        <v>529</v>
      </c>
      <c r="C207" s="91"/>
      <c r="D207" s="27">
        <v>5.22</v>
      </c>
      <c r="E207" s="27">
        <v>4.34</v>
      </c>
      <c r="F207" s="27">
        <v>4.92</v>
      </c>
      <c r="G207" s="27">
        <f>(('ECOLES CONTROLES'!$D207+'ECOLES CONTROLES'!$E207+'ECOLES CONTROLES'!$F207)/3)</f>
        <v>4.826666667</v>
      </c>
      <c r="H207" s="28" t="s">
        <v>32</v>
      </c>
      <c r="I207" s="29">
        <v>1.0</v>
      </c>
      <c r="J207" s="7"/>
      <c r="K207" s="7"/>
      <c r="L207" s="7"/>
    </row>
    <row r="208" ht="14.25" customHeight="1">
      <c r="A208" s="114">
        <v>13.0</v>
      </c>
      <c r="B208" s="115" t="s">
        <v>530</v>
      </c>
      <c r="C208" s="91"/>
      <c r="D208" s="27">
        <v>1.97</v>
      </c>
      <c r="E208" s="27">
        <v>2.78</v>
      </c>
      <c r="F208" s="27">
        <v>2.81</v>
      </c>
      <c r="G208" s="27">
        <f>(('ECOLES CONTROLES'!$D208+'ECOLES CONTROLES'!$E208+'ECOLES CONTROLES'!$F208)/3)</f>
        <v>2.52</v>
      </c>
      <c r="H208" s="28" t="s">
        <v>28</v>
      </c>
      <c r="I208" s="7"/>
      <c r="J208" s="29">
        <v>1.0</v>
      </c>
      <c r="K208" s="7"/>
      <c r="L208" s="7"/>
    </row>
    <row r="209" ht="14.25" customHeight="1">
      <c r="A209" s="114">
        <v>14.0</v>
      </c>
      <c r="B209" s="102" t="s">
        <v>531</v>
      </c>
      <c r="C209" s="92"/>
      <c r="D209" s="27">
        <v>5.2</v>
      </c>
      <c r="E209" s="27">
        <v>4.28</v>
      </c>
      <c r="F209" s="27">
        <v>5.0</v>
      </c>
      <c r="G209" s="27">
        <f>(('ECOLES CONTROLES'!$D209+'ECOLES CONTROLES'!$E209+'ECOLES CONTROLES'!$F209)/3)</f>
        <v>4.826666667</v>
      </c>
      <c r="H209" s="28" t="s">
        <v>32</v>
      </c>
      <c r="I209" s="29">
        <v>1.0</v>
      </c>
      <c r="J209" s="7"/>
      <c r="K209" s="7"/>
      <c r="L209" s="7"/>
    </row>
    <row r="210" ht="14.25" customHeight="1">
      <c r="A210" s="114">
        <v>15.0</v>
      </c>
      <c r="B210" s="91" t="s">
        <v>532</v>
      </c>
      <c r="C210" s="93"/>
      <c r="D210" s="27">
        <v>3.9</v>
      </c>
      <c r="E210" s="27">
        <v>5.95</v>
      </c>
      <c r="F210" s="27">
        <v>4.86</v>
      </c>
      <c r="G210" s="27">
        <f>(('ECOLES CONTROLES'!$D210+'ECOLES CONTROLES'!$E210+'ECOLES CONTROLES'!$F210)/3)</f>
        <v>4.903333333</v>
      </c>
      <c r="H210" s="28" t="s">
        <v>32</v>
      </c>
      <c r="I210" s="29">
        <v>1.0</v>
      </c>
      <c r="J210" s="7"/>
      <c r="K210" s="7"/>
      <c r="L210" s="7"/>
    </row>
    <row r="211" ht="14.25" customHeight="1">
      <c r="A211" s="114">
        <v>16.0</v>
      </c>
      <c r="B211" s="99" t="s">
        <v>533</v>
      </c>
      <c r="C211" s="92"/>
      <c r="D211" s="27">
        <v>4.95</v>
      </c>
      <c r="E211" s="27">
        <v>5.87</v>
      </c>
      <c r="F211" s="27">
        <v>4.0</v>
      </c>
      <c r="G211" s="27">
        <f>(('ECOLES CONTROLES'!$D211+'ECOLES CONTROLES'!$E211+'ECOLES CONTROLES'!$F211)/3)</f>
        <v>4.94</v>
      </c>
      <c r="H211" s="28" t="s">
        <v>32</v>
      </c>
      <c r="I211" s="29">
        <v>1.0</v>
      </c>
      <c r="J211" s="7"/>
      <c r="K211" s="7"/>
      <c r="L211" s="7"/>
    </row>
    <row r="212" ht="14.25" customHeight="1">
      <c r="A212" s="114">
        <v>17.0</v>
      </c>
      <c r="B212" s="100" t="s">
        <v>534</v>
      </c>
      <c r="C212" s="91"/>
      <c r="D212" s="27">
        <v>5.66</v>
      </c>
      <c r="E212" s="27">
        <v>3.99</v>
      </c>
      <c r="F212" s="27">
        <v>3.87</v>
      </c>
      <c r="G212" s="27">
        <f>(('ECOLES CONTROLES'!$D212+'ECOLES CONTROLES'!$E212+'ECOLES CONTROLES'!$F212)/3)</f>
        <v>4.506666667</v>
      </c>
      <c r="H212" s="28" t="s">
        <v>32</v>
      </c>
      <c r="I212" s="29">
        <v>1.0</v>
      </c>
      <c r="J212" s="7"/>
      <c r="K212" s="7"/>
      <c r="L212" s="7"/>
    </row>
    <row r="213" ht="14.25" customHeight="1">
      <c r="A213" s="114"/>
      <c r="B213" s="116"/>
      <c r="C213" s="91"/>
      <c r="D213" s="27"/>
      <c r="E213" s="27"/>
      <c r="F213" s="27"/>
      <c r="G213" s="27"/>
      <c r="H213" s="28"/>
      <c r="I213" s="29">
        <f t="shared" ref="I213:J213" si="10">SUM(I196:I212)</f>
        <v>11</v>
      </c>
      <c r="J213" s="7">
        <f t="shared" si="10"/>
        <v>6</v>
      </c>
      <c r="K213" s="7"/>
      <c r="L213" s="7"/>
    </row>
    <row r="214" ht="14.25" customHeight="1">
      <c r="A214" s="114"/>
      <c r="B214" s="116"/>
      <c r="C214" s="91"/>
      <c r="D214" s="27"/>
      <c r="E214" s="27"/>
      <c r="F214" s="27"/>
      <c r="G214" s="27"/>
      <c r="H214" s="28"/>
      <c r="I214" s="84">
        <f>I213/A212</f>
        <v>0.6470588235</v>
      </c>
      <c r="J214" s="48">
        <f>J213/A212</f>
        <v>0.3529411765</v>
      </c>
      <c r="K214" s="7"/>
      <c r="L214" s="7"/>
    </row>
    <row r="215" ht="14.25" customHeight="1">
      <c r="A215" s="114" t="s">
        <v>535</v>
      </c>
      <c r="B215" s="92"/>
      <c r="C215" s="91"/>
      <c r="D215" s="28"/>
      <c r="E215" s="28"/>
      <c r="F215" s="28"/>
      <c r="G215" s="27"/>
      <c r="H215" s="28"/>
      <c r="I215" s="7"/>
      <c r="J215" s="7"/>
      <c r="K215" s="7"/>
      <c r="L215" s="7"/>
    </row>
    <row r="216" ht="14.25" customHeight="1">
      <c r="A216" s="10">
        <v>1.0</v>
      </c>
      <c r="B216" s="92" t="s">
        <v>536</v>
      </c>
      <c r="C216" s="91"/>
      <c r="D216" s="27">
        <v>4.25</v>
      </c>
      <c r="E216" s="27">
        <v>5.4</v>
      </c>
      <c r="F216" s="27">
        <v>3.98</v>
      </c>
      <c r="G216" s="27">
        <f>(('ECOLES CONTROLES'!$D216+'ECOLES CONTROLES'!$E216+'ECOLES CONTROLES'!$F216)/3)</f>
        <v>4.543333333</v>
      </c>
      <c r="H216" s="27" t="s">
        <v>32</v>
      </c>
      <c r="I216" s="29">
        <v>1.0</v>
      </c>
      <c r="J216" s="7"/>
      <c r="K216" s="7"/>
      <c r="L216" s="7"/>
    </row>
    <row r="217" ht="14.25" customHeight="1">
      <c r="A217" s="114">
        <v>2.0</v>
      </c>
      <c r="B217" s="115" t="s">
        <v>537</v>
      </c>
      <c r="C217" s="91"/>
      <c r="D217" s="27" t="s">
        <v>212</v>
      </c>
      <c r="E217" s="27" t="s">
        <v>212</v>
      </c>
      <c r="F217" s="27">
        <v>3.15</v>
      </c>
      <c r="G217" s="27">
        <f>(('ECOLES CONTROLES'!$F217/3))</f>
        <v>1.05</v>
      </c>
      <c r="H217" s="27" t="s">
        <v>28</v>
      </c>
      <c r="I217" s="7"/>
      <c r="J217" s="29">
        <v>1.0</v>
      </c>
      <c r="K217" s="7"/>
      <c r="L217" s="7"/>
    </row>
    <row r="218" ht="14.25" customHeight="1">
      <c r="A218" s="114">
        <v>3.0</v>
      </c>
      <c r="B218" s="117" t="s">
        <v>538</v>
      </c>
      <c r="C218" s="92"/>
      <c r="D218" s="27">
        <v>3.94</v>
      </c>
      <c r="E218" s="27">
        <v>4.7</v>
      </c>
      <c r="F218" s="27">
        <v>4.88</v>
      </c>
      <c r="G218" s="27">
        <f>(('ECOLES CONTROLES'!$D218+'ECOLES CONTROLES'!$E218+'ECOLES CONTROLES'!$F218)/3)</f>
        <v>4.506666667</v>
      </c>
      <c r="H218" s="27" t="s">
        <v>32</v>
      </c>
      <c r="I218" s="29">
        <v>1.0</v>
      </c>
      <c r="J218" s="7"/>
      <c r="K218" s="7"/>
      <c r="L218" s="7"/>
    </row>
    <row r="219" ht="14.25" customHeight="1">
      <c r="A219" s="114">
        <v>4.0</v>
      </c>
      <c r="B219" s="115" t="s">
        <v>539</v>
      </c>
      <c r="C219" s="91"/>
      <c r="D219" s="27">
        <v>5.6</v>
      </c>
      <c r="E219" s="27">
        <v>4.45</v>
      </c>
      <c r="F219" s="27">
        <v>3.45</v>
      </c>
      <c r="G219" s="27">
        <f>(('ECOLES CONTROLES'!$D219+'ECOLES CONTROLES'!$E219+'ECOLES CONTROLES'!$F219)/3)</f>
        <v>4.5</v>
      </c>
      <c r="H219" s="27" t="s">
        <v>32</v>
      </c>
      <c r="I219" s="29">
        <v>1.0</v>
      </c>
      <c r="J219" s="7"/>
      <c r="K219" s="7"/>
      <c r="L219" s="7"/>
    </row>
    <row r="220" ht="14.25" customHeight="1">
      <c r="A220" s="114">
        <v>5.0</v>
      </c>
      <c r="B220" s="115" t="s">
        <v>540</v>
      </c>
      <c r="C220" s="91"/>
      <c r="D220" s="27">
        <v>3.95</v>
      </c>
      <c r="E220" s="27">
        <v>5.0</v>
      </c>
      <c r="F220" s="27">
        <v>4.84</v>
      </c>
      <c r="G220" s="27">
        <f>(('ECOLES CONTROLES'!$D220+'ECOLES CONTROLES'!$E220+'ECOLES CONTROLES'!$F220)/3)</f>
        <v>4.596666667</v>
      </c>
      <c r="H220" s="27" t="s">
        <v>32</v>
      </c>
      <c r="I220" s="29">
        <v>1.0</v>
      </c>
      <c r="J220" s="7"/>
      <c r="K220" s="7"/>
      <c r="L220" s="7"/>
    </row>
    <row r="221" ht="14.25" customHeight="1">
      <c r="A221" s="114">
        <v>6.0</v>
      </c>
      <c r="B221" s="115" t="s">
        <v>541</v>
      </c>
      <c r="C221" s="91"/>
      <c r="D221" s="27">
        <v>1.0</v>
      </c>
      <c r="E221" s="27">
        <v>2.5</v>
      </c>
      <c r="F221" s="27">
        <v>2.67</v>
      </c>
      <c r="G221" s="27">
        <f>(('ECOLES CONTROLES'!$D221+'ECOLES CONTROLES'!$E221+'ECOLES CONTROLES'!$F221)/3)</f>
        <v>2.056666667</v>
      </c>
      <c r="H221" s="27" t="s">
        <v>28</v>
      </c>
      <c r="I221" s="7"/>
      <c r="J221" s="29">
        <v>1.0</v>
      </c>
      <c r="K221" s="7"/>
      <c r="L221" s="7"/>
    </row>
    <row r="222" ht="14.25" customHeight="1">
      <c r="A222" s="114">
        <v>7.0</v>
      </c>
      <c r="B222" s="117" t="s">
        <v>542</v>
      </c>
      <c r="C222" s="92"/>
      <c r="D222" s="27">
        <v>3.8</v>
      </c>
      <c r="E222" s="27">
        <v>4.99</v>
      </c>
      <c r="F222" s="27" t="s">
        <v>212</v>
      </c>
      <c r="G222" s="27">
        <f>(('ECOLES CONTROLES'!$D222+'ECOLES CONTROLES'!$E222)/3)</f>
        <v>2.93</v>
      </c>
      <c r="H222" s="118" t="s">
        <v>371</v>
      </c>
      <c r="I222" s="96"/>
      <c r="J222" s="96"/>
      <c r="K222" s="97">
        <v>1.0</v>
      </c>
      <c r="L222" s="98"/>
    </row>
    <row r="223" ht="14.25" customHeight="1">
      <c r="A223" s="114">
        <v>8.0</v>
      </c>
      <c r="B223" s="115" t="s">
        <v>543</v>
      </c>
      <c r="C223" s="91"/>
      <c r="D223" s="27">
        <v>4.0</v>
      </c>
      <c r="E223" s="27">
        <v>5.68</v>
      </c>
      <c r="F223" s="27">
        <v>3.88</v>
      </c>
      <c r="G223" s="27">
        <f>(('ECOLES CONTROLES'!$D223+'ECOLES CONTROLES'!$E223+'ECOLES CONTROLES'!$F223)/3)</f>
        <v>4.52</v>
      </c>
      <c r="H223" s="27" t="s">
        <v>32</v>
      </c>
      <c r="I223" s="29">
        <v>1.0</v>
      </c>
      <c r="J223" s="7"/>
      <c r="K223" s="7"/>
      <c r="L223" s="7"/>
    </row>
    <row r="224" ht="14.25" customHeight="1">
      <c r="A224" s="114">
        <v>9.0</v>
      </c>
      <c r="B224" s="117" t="s">
        <v>544</v>
      </c>
      <c r="C224" s="92"/>
      <c r="D224" s="27">
        <v>5.0</v>
      </c>
      <c r="E224" s="27">
        <v>4.68</v>
      </c>
      <c r="F224" s="27">
        <v>5.92</v>
      </c>
      <c r="G224" s="27">
        <f>(('ECOLES CONTROLES'!$D224+'ECOLES CONTROLES'!$E224+'ECOLES CONTROLES'!$F224)/3)</f>
        <v>5.2</v>
      </c>
      <c r="H224" s="27" t="s">
        <v>32</v>
      </c>
      <c r="I224" s="29">
        <v>1.0</v>
      </c>
      <c r="J224" s="7"/>
      <c r="K224" s="7"/>
      <c r="L224" s="7"/>
    </row>
    <row r="225" ht="14.25" customHeight="1">
      <c r="A225" s="114">
        <v>10.0</v>
      </c>
      <c r="B225" s="117" t="s">
        <v>545</v>
      </c>
      <c r="C225" s="92"/>
      <c r="D225" s="27">
        <v>4.65</v>
      </c>
      <c r="E225" s="27">
        <v>2.4</v>
      </c>
      <c r="F225" s="27">
        <v>2.3</v>
      </c>
      <c r="G225" s="27">
        <f>(('ECOLES CONTROLES'!$D225+'ECOLES CONTROLES'!$E225+'ECOLES CONTROLES'!$F225)/3)</f>
        <v>3.116666667</v>
      </c>
      <c r="H225" s="27" t="s">
        <v>28</v>
      </c>
      <c r="I225" s="7"/>
      <c r="J225" s="29">
        <v>1.0</v>
      </c>
      <c r="K225" s="7"/>
      <c r="L225" s="7"/>
    </row>
    <row r="226" ht="14.25" customHeight="1">
      <c r="A226" s="112">
        <v>11.0</v>
      </c>
      <c r="B226" s="115" t="s">
        <v>546</v>
      </c>
      <c r="C226" s="91"/>
      <c r="D226" s="27">
        <v>3.34</v>
      </c>
      <c r="E226" s="27">
        <v>4.3</v>
      </c>
      <c r="F226" s="27">
        <v>4.26</v>
      </c>
      <c r="G226" s="27">
        <f>(('ECOLES CONTROLES'!$D226+'ECOLES CONTROLES'!$E226+'ECOLES CONTROLES'!$F226)/3)</f>
        <v>3.966666667</v>
      </c>
      <c r="H226" s="27" t="s">
        <v>28</v>
      </c>
      <c r="I226" s="7"/>
      <c r="J226" s="29">
        <v>1.0</v>
      </c>
      <c r="K226" s="7"/>
      <c r="L226" s="7"/>
    </row>
    <row r="227" ht="14.25" customHeight="1">
      <c r="A227" s="114">
        <v>12.0</v>
      </c>
      <c r="B227" s="115" t="s">
        <v>547</v>
      </c>
      <c r="C227" s="91"/>
      <c r="D227" s="27">
        <v>6.3</v>
      </c>
      <c r="E227" s="27">
        <v>4.4</v>
      </c>
      <c r="F227" s="27">
        <v>4.8</v>
      </c>
      <c r="G227" s="27">
        <f>(('ECOLES CONTROLES'!$D227+'ECOLES CONTROLES'!$E227+'ECOLES CONTROLES'!$F227)/3)</f>
        <v>5.166666667</v>
      </c>
      <c r="H227" s="27" t="s">
        <v>32</v>
      </c>
      <c r="I227" s="29">
        <v>1.0</v>
      </c>
      <c r="J227" s="7"/>
      <c r="K227" s="7"/>
      <c r="L227" s="7"/>
    </row>
    <row r="228" ht="14.25" customHeight="1">
      <c r="A228" s="114">
        <v>13.0</v>
      </c>
      <c r="B228" s="115" t="s">
        <v>548</v>
      </c>
      <c r="C228" s="91"/>
      <c r="D228" s="27" t="s">
        <v>212</v>
      </c>
      <c r="E228" s="27">
        <v>3.54</v>
      </c>
      <c r="F228" s="27" t="s">
        <v>212</v>
      </c>
      <c r="G228" s="27">
        <f>'ECOLES CONTROLES'!$E228/3</f>
        <v>1.18</v>
      </c>
      <c r="H228" s="27" t="s">
        <v>28</v>
      </c>
      <c r="I228" s="7"/>
      <c r="J228" s="29">
        <v>1.0</v>
      </c>
      <c r="K228" s="7"/>
      <c r="L228" s="7"/>
    </row>
    <row r="229" ht="14.25" customHeight="1">
      <c r="A229" s="114">
        <v>14.0</v>
      </c>
      <c r="B229" s="115" t="s">
        <v>175</v>
      </c>
      <c r="C229" s="91"/>
      <c r="D229" s="27">
        <v>5.0</v>
      </c>
      <c r="E229" s="27">
        <v>3.65</v>
      </c>
      <c r="F229" s="27">
        <v>4.87</v>
      </c>
      <c r="G229" s="27">
        <f>(('ECOLES CONTROLES'!$D229+'ECOLES CONTROLES'!$E229+'ECOLES CONTROLES'!$F229)/3)</f>
        <v>4.506666667</v>
      </c>
      <c r="H229" s="27" t="s">
        <v>32</v>
      </c>
      <c r="I229" s="29">
        <v>1.0</v>
      </c>
      <c r="J229" s="7"/>
      <c r="K229" s="7"/>
      <c r="L229" s="7"/>
    </row>
    <row r="230" ht="14.25" customHeight="1">
      <c r="A230" s="114">
        <v>15.0</v>
      </c>
      <c r="B230" s="100" t="s">
        <v>549</v>
      </c>
      <c r="C230" s="91"/>
      <c r="D230" s="27">
        <v>4.79</v>
      </c>
      <c r="E230" s="27">
        <v>4.88</v>
      </c>
      <c r="F230" s="27">
        <v>3.95</v>
      </c>
      <c r="G230" s="27">
        <f>(('ECOLES CONTROLES'!$D230+'ECOLES CONTROLES'!$E230+'ECOLES CONTROLES'!$F230)/3)</f>
        <v>4.54</v>
      </c>
      <c r="H230" s="27" t="s">
        <v>32</v>
      </c>
      <c r="I230" s="29">
        <v>1.0</v>
      </c>
      <c r="J230" s="7"/>
      <c r="K230" s="7"/>
      <c r="L230" s="7"/>
    </row>
    <row r="231" ht="14.25" customHeight="1">
      <c r="A231" s="112"/>
      <c r="B231" s="101"/>
      <c r="C231" s="91"/>
      <c r="D231" s="27"/>
      <c r="E231" s="27"/>
      <c r="F231" s="27"/>
      <c r="G231" s="27"/>
      <c r="H231" s="27"/>
      <c r="I231" s="29">
        <f t="shared" ref="I231:K231" si="11">SUM(I216:I230)</f>
        <v>9</v>
      </c>
      <c r="J231" s="7">
        <f t="shared" si="11"/>
        <v>5</v>
      </c>
      <c r="K231" s="7">
        <f t="shared" si="11"/>
        <v>1</v>
      </c>
      <c r="L231" s="7"/>
    </row>
    <row r="232" ht="14.25" customHeight="1">
      <c r="A232" s="112"/>
      <c r="B232" s="101"/>
      <c r="C232" s="91"/>
      <c r="D232" s="27"/>
      <c r="E232" s="27"/>
      <c r="F232" s="27"/>
      <c r="G232" s="27"/>
      <c r="H232" s="27"/>
      <c r="I232" s="84">
        <f>I231/A230</f>
        <v>0.6</v>
      </c>
      <c r="J232" s="48">
        <f>J231/A230</f>
        <v>0.3333333333</v>
      </c>
      <c r="K232" s="48">
        <f>K231/A230</f>
        <v>0.06666666667</v>
      </c>
      <c r="L232" s="7"/>
    </row>
    <row r="233" ht="14.25" customHeight="1">
      <c r="A233" s="112" t="s">
        <v>550</v>
      </c>
      <c r="B233" s="91"/>
      <c r="C233" s="91"/>
      <c r="D233" s="28"/>
      <c r="E233" s="28"/>
      <c r="F233" s="28"/>
      <c r="G233" s="27"/>
      <c r="H233" s="28"/>
      <c r="I233" s="7"/>
      <c r="J233" s="7"/>
      <c r="K233" s="7"/>
      <c r="L233" s="7"/>
    </row>
    <row r="234" ht="14.25" customHeight="1">
      <c r="A234" s="10">
        <v>1.0</v>
      </c>
      <c r="B234" s="91" t="s">
        <v>551</v>
      </c>
      <c r="C234" s="91"/>
      <c r="D234" s="27">
        <v>0.6</v>
      </c>
      <c r="E234" s="27">
        <v>1.28</v>
      </c>
      <c r="F234" s="27">
        <v>0.87</v>
      </c>
      <c r="G234" s="27">
        <f>(('ECOLES CONTROLES'!$D234+'ECOLES CONTROLES'!$E234+'ECOLES CONTROLES'!$F234)/3)</f>
        <v>0.9166666667</v>
      </c>
      <c r="H234" s="28" t="s">
        <v>28</v>
      </c>
      <c r="I234" s="7"/>
      <c r="J234" s="29">
        <v>1.0</v>
      </c>
      <c r="K234" s="7"/>
      <c r="L234" s="7"/>
    </row>
    <row r="235" ht="14.25" customHeight="1">
      <c r="A235" s="113">
        <v>2.0</v>
      </c>
      <c r="B235" s="115" t="s">
        <v>552</v>
      </c>
      <c r="C235" s="91"/>
      <c r="D235" s="27">
        <v>4.6</v>
      </c>
      <c r="E235" s="27">
        <v>5.46</v>
      </c>
      <c r="F235" s="27">
        <v>3.71</v>
      </c>
      <c r="G235" s="27">
        <f>(('ECOLES CONTROLES'!$D235+'ECOLES CONTROLES'!$E235+'ECOLES CONTROLES'!$F235)/3)</f>
        <v>4.59</v>
      </c>
      <c r="H235" s="28" t="s">
        <v>32</v>
      </c>
      <c r="I235" s="29">
        <v>1.0</v>
      </c>
      <c r="J235" s="7"/>
      <c r="K235" s="7"/>
      <c r="L235" s="7"/>
    </row>
    <row r="236" ht="14.25" customHeight="1">
      <c r="A236" s="114">
        <v>3.0</v>
      </c>
      <c r="B236" s="115" t="s">
        <v>553</v>
      </c>
      <c r="C236" s="91"/>
      <c r="D236" s="27">
        <v>5.57</v>
      </c>
      <c r="E236" s="27">
        <v>4.17</v>
      </c>
      <c r="F236" s="27">
        <v>4.05</v>
      </c>
      <c r="G236" s="27">
        <f>(('ECOLES CONTROLES'!$D236+'ECOLES CONTROLES'!$E236+'ECOLES CONTROLES'!$F236)/3)</f>
        <v>4.596666667</v>
      </c>
      <c r="H236" s="28" t="s">
        <v>32</v>
      </c>
      <c r="I236" s="29">
        <v>1.0</v>
      </c>
      <c r="J236" s="7"/>
      <c r="K236" s="7"/>
      <c r="L236" s="7"/>
    </row>
    <row r="237" ht="14.25" customHeight="1">
      <c r="A237" s="114">
        <v>4.0</v>
      </c>
      <c r="B237" s="115" t="s">
        <v>554</v>
      </c>
      <c r="C237" s="91"/>
      <c r="D237" s="27">
        <v>3.0</v>
      </c>
      <c r="E237" s="27">
        <v>1.42</v>
      </c>
      <c r="F237" s="27">
        <v>1.89</v>
      </c>
      <c r="G237" s="27">
        <f>(('ECOLES CONTROLES'!$D237+'ECOLES CONTROLES'!$E237+'ECOLES CONTROLES'!$F237)/3)</f>
        <v>2.103333333</v>
      </c>
      <c r="H237" s="28" t="s">
        <v>28</v>
      </c>
      <c r="I237" s="7"/>
      <c r="J237" s="29">
        <v>1.0</v>
      </c>
      <c r="K237" s="7"/>
      <c r="L237" s="7"/>
    </row>
    <row r="238" ht="14.25" customHeight="1">
      <c r="A238" s="114">
        <v>5.0</v>
      </c>
      <c r="B238" s="92" t="s">
        <v>555</v>
      </c>
      <c r="C238" s="91"/>
      <c r="D238" s="27">
        <v>3.98</v>
      </c>
      <c r="E238" s="27">
        <v>4.91</v>
      </c>
      <c r="F238" s="27">
        <v>4.67</v>
      </c>
      <c r="G238" s="27">
        <f>(('ECOLES CONTROLES'!$D238+'ECOLES CONTROLES'!$E238+'ECOLES CONTROLES'!$F238)/3)</f>
        <v>4.52</v>
      </c>
      <c r="H238" s="28" t="s">
        <v>32</v>
      </c>
      <c r="I238" s="29">
        <v>1.0</v>
      </c>
      <c r="J238" s="7"/>
      <c r="K238" s="7"/>
      <c r="L238" s="7"/>
    </row>
    <row r="239" ht="14.25" customHeight="1">
      <c r="A239" s="114">
        <v>6.0</v>
      </c>
      <c r="B239" s="92" t="s">
        <v>556</v>
      </c>
      <c r="C239" s="91"/>
      <c r="D239" s="27">
        <v>1.56</v>
      </c>
      <c r="E239" s="27" t="s">
        <v>212</v>
      </c>
      <c r="F239" s="27" t="s">
        <v>212</v>
      </c>
      <c r="G239" s="27">
        <f>'ECOLES CONTROLES'!$D239/3</f>
        <v>0.52</v>
      </c>
      <c r="H239" s="28" t="s">
        <v>28</v>
      </c>
      <c r="I239" s="7"/>
      <c r="J239" s="29">
        <v>1.0</v>
      </c>
      <c r="K239" s="7"/>
      <c r="L239" s="7"/>
    </row>
    <row r="240" ht="14.25" customHeight="1">
      <c r="A240" s="114">
        <v>7.0</v>
      </c>
      <c r="B240" s="117" t="s">
        <v>557</v>
      </c>
      <c r="C240" s="92"/>
      <c r="D240" s="27">
        <v>5.79</v>
      </c>
      <c r="E240" s="27">
        <v>3.95</v>
      </c>
      <c r="F240" s="27">
        <v>3.78</v>
      </c>
      <c r="G240" s="27">
        <f>(('ECOLES CONTROLES'!$D240+'ECOLES CONTROLES'!$E240+'ECOLES CONTROLES'!$F240)/3)</f>
        <v>4.506666667</v>
      </c>
      <c r="H240" s="28" t="s">
        <v>32</v>
      </c>
      <c r="I240" s="29">
        <v>1.0</v>
      </c>
      <c r="J240" s="7"/>
      <c r="K240" s="7"/>
      <c r="L240" s="7"/>
    </row>
    <row r="241" ht="14.25" customHeight="1">
      <c r="A241" s="114">
        <v>8.0</v>
      </c>
      <c r="B241" s="115" t="s">
        <v>558</v>
      </c>
      <c r="C241" s="91"/>
      <c r="D241" s="27">
        <v>2.5</v>
      </c>
      <c r="E241" s="27">
        <v>2.35</v>
      </c>
      <c r="F241" s="27">
        <v>1.0</v>
      </c>
      <c r="G241" s="27">
        <f>(('ECOLES CONTROLES'!$D241+'ECOLES CONTROLES'!$E241+'ECOLES CONTROLES'!$F241)/3)</f>
        <v>1.95</v>
      </c>
      <c r="H241" s="28" t="s">
        <v>28</v>
      </c>
      <c r="I241" s="7"/>
      <c r="J241" s="29">
        <v>1.0</v>
      </c>
      <c r="K241" s="7"/>
      <c r="L241" s="7"/>
    </row>
    <row r="242" ht="14.25" customHeight="1">
      <c r="A242" s="114">
        <v>9.0</v>
      </c>
      <c r="B242" s="92" t="s">
        <v>559</v>
      </c>
      <c r="C242" s="91"/>
      <c r="D242" s="27">
        <v>0.78</v>
      </c>
      <c r="E242" s="27">
        <v>1.0</v>
      </c>
      <c r="F242" s="27">
        <v>0.32</v>
      </c>
      <c r="G242" s="27">
        <f>(('ECOLES CONTROLES'!$D242+'ECOLES CONTROLES'!$E242+'ECOLES CONTROLES'!$F242)/3)</f>
        <v>0.7</v>
      </c>
      <c r="H242" s="28" t="s">
        <v>28</v>
      </c>
      <c r="I242" s="7"/>
      <c r="J242" s="29">
        <v>1.0</v>
      </c>
      <c r="K242" s="7"/>
      <c r="L242" s="7"/>
    </row>
    <row r="243" ht="14.25" customHeight="1">
      <c r="A243" s="114">
        <v>10.0</v>
      </c>
      <c r="B243" s="115" t="s">
        <v>560</v>
      </c>
      <c r="C243" s="91"/>
      <c r="D243" s="27">
        <v>3.89</v>
      </c>
      <c r="E243" s="27">
        <v>4.83</v>
      </c>
      <c r="F243" s="27">
        <v>4.78</v>
      </c>
      <c r="G243" s="27">
        <f>(('ECOLES CONTROLES'!$D243+'ECOLES CONTROLES'!$E243+'ECOLES CONTROLES'!$F243)/3)</f>
        <v>4.5</v>
      </c>
      <c r="H243" s="28" t="s">
        <v>32</v>
      </c>
      <c r="I243" s="29">
        <v>1.0</v>
      </c>
      <c r="J243" s="7"/>
      <c r="K243" s="7"/>
      <c r="L243" s="7"/>
    </row>
    <row r="244" ht="14.25" customHeight="1">
      <c r="A244" s="119">
        <v>11.0</v>
      </c>
      <c r="B244" s="100" t="s">
        <v>226</v>
      </c>
      <c r="C244" s="120"/>
      <c r="D244" s="73">
        <v>4.87</v>
      </c>
      <c r="E244" s="73">
        <v>5.51</v>
      </c>
      <c r="F244" s="73">
        <v>3.99</v>
      </c>
      <c r="G244" s="27">
        <f>(('ECOLES CONTROLES'!$D244+'ECOLES CONTROLES'!$E244+'ECOLES CONTROLES'!$F244)/3)</f>
        <v>4.79</v>
      </c>
      <c r="H244" s="74" t="s">
        <v>32</v>
      </c>
      <c r="I244" s="29">
        <v>1.0</v>
      </c>
      <c r="J244" s="7"/>
      <c r="K244" s="7"/>
      <c r="L244" s="7"/>
    </row>
    <row r="245" ht="14.25" customHeight="1">
      <c r="A245" s="121"/>
      <c r="B245" s="74"/>
      <c r="C245" s="74"/>
      <c r="D245" s="74"/>
      <c r="E245" s="74"/>
      <c r="F245" s="74"/>
      <c r="G245" s="74" t="s">
        <v>312</v>
      </c>
      <c r="H245" s="74"/>
      <c r="I245" s="7"/>
      <c r="J245" s="7"/>
      <c r="K245" s="7"/>
      <c r="L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>
        <f t="shared" ref="I246:J246" si="12">SUM(I234:I244)</f>
        <v>6</v>
      </c>
      <c r="J246" s="7">
        <f t="shared" si="12"/>
        <v>5</v>
      </c>
      <c r="K246" s="7"/>
      <c r="L246" s="7"/>
    </row>
    <row r="247" ht="14.25" customHeight="1">
      <c r="I247" s="88">
        <f>I246/A244</f>
        <v>0.5454545455</v>
      </c>
      <c r="J247" s="88">
        <f>J246/A244</f>
        <v>0.4545454545</v>
      </c>
      <c r="K247" s="85" t="s">
        <v>561</v>
      </c>
      <c r="L247" s="86" t="s">
        <v>344</v>
      </c>
      <c r="M247" s="86" t="s">
        <v>345</v>
      </c>
      <c r="N247" s="86" t="s">
        <v>346</v>
      </c>
      <c r="O247" s="86" t="s">
        <v>347</v>
      </c>
      <c r="P247" s="86" t="s">
        <v>348</v>
      </c>
      <c r="Q247" s="86" t="s">
        <v>349</v>
      </c>
      <c r="R247" s="86" t="s">
        <v>350</v>
      </c>
    </row>
    <row r="248" ht="14.25" customHeight="1">
      <c r="L248" s="86">
        <f>SUM(A244+A230+A212+A192+A160+A142+A125+A108+A93+A67+A44+A21)</f>
        <v>202</v>
      </c>
      <c r="M248" s="86">
        <f t="shared" ref="M248:N248" si="13">SUM(I246+I231+I213+I193+I161+I143+I126+I109+I94+I68+I45+I22)</f>
        <v>124</v>
      </c>
      <c r="N248" s="86">
        <f t="shared" si="13"/>
        <v>71</v>
      </c>
      <c r="O248" s="86">
        <f>K246+K231+K213+K193+K161+K143+K126+K109+K94+K68+K45+K22</f>
        <v>7</v>
      </c>
      <c r="P248" s="88">
        <f>M248/L248</f>
        <v>0.6138613861</v>
      </c>
      <c r="Q248" s="88">
        <f>O248/L248</f>
        <v>0.03465346535</v>
      </c>
      <c r="R248" s="88">
        <f>N248/L248</f>
        <v>0.3514851485</v>
      </c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0.0"/>
  </cols>
  <sheetData>
    <row r="1">
      <c r="A1" s="122" t="s">
        <v>562</v>
      </c>
      <c r="B1" s="85" t="s">
        <v>563</v>
      </c>
      <c r="C1" s="85" t="s">
        <v>564</v>
      </c>
      <c r="G1" s="122" t="s">
        <v>562</v>
      </c>
      <c r="H1" s="85" t="s">
        <v>563</v>
      </c>
    </row>
    <row r="2">
      <c r="A2" s="123" t="s">
        <v>565</v>
      </c>
      <c r="B2" s="124">
        <v>0.9</v>
      </c>
      <c r="C2" s="123" t="s">
        <v>566</v>
      </c>
      <c r="G2" s="125" t="s">
        <v>567</v>
      </c>
      <c r="H2" s="126">
        <v>1.0</v>
      </c>
    </row>
    <row r="3">
      <c r="A3" s="86" t="s">
        <v>568</v>
      </c>
      <c r="B3" s="127">
        <v>0.9142857142857143</v>
      </c>
      <c r="C3" s="86" t="s">
        <v>569</v>
      </c>
      <c r="G3" s="125" t="s">
        <v>570</v>
      </c>
      <c r="H3" s="128">
        <v>0.9629629629629629</v>
      </c>
    </row>
    <row r="4">
      <c r="A4" s="123" t="s">
        <v>571</v>
      </c>
      <c r="B4" s="124">
        <v>0.9090909090909091</v>
      </c>
      <c r="C4" s="123" t="s">
        <v>572</v>
      </c>
      <c r="G4" s="125" t="s">
        <v>573</v>
      </c>
      <c r="H4" s="126">
        <v>0.9583333333333334</v>
      </c>
    </row>
    <row r="5">
      <c r="A5" s="86" t="s">
        <v>574</v>
      </c>
      <c r="B5" s="127">
        <v>0.9444444444444444</v>
      </c>
      <c r="C5" s="86" t="s">
        <v>575</v>
      </c>
      <c r="G5" s="86" t="s">
        <v>574</v>
      </c>
      <c r="H5" s="127">
        <v>0.9444444444444444</v>
      </c>
    </row>
    <row r="6">
      <c r="A6" s="123" t="s">
        <v>576</v>
      </c>
      <c r="B6" s="124">
        <v>0.9</v>
      </c>
      <c r="C6" s="123" t="s">
        <v>577</v>
      </c>
      <c r="G6" s="86" t="s">
        <v>578</v>
      </c>
      <c r="H6" s="127">
        <v>0.9375</v>
      </c>
    </row>
    <row r="7">
      <c r="A7" s="125" t="s">
        <v>567</v>
      </c>
      <c r="B7" s="126">
        <v>1.0</v>
      </c>
      <c r="C7" s="125" t="s">
        <v>579</v>
      </c>
      <c r="G7" s="86" t="s">
        <v>580</v>
      </c>
      <c r="H7" s="127">
        <v>0.9230769230769231</v>
      </c>
    </row>
    <row r="8">
      <c r="A8" s="86" t="s">
        <v>581</v>
      </c>
      <c r="B8" s="127">
        <v>0.9230769230769231</v>
      </c>
      <c r="C8" s="86" t="s">
        <v>582</v>
      </c>
      <c r="G8" s="86" t="s">
        <v>581</v>
      </c>
      <c r="H8" s="127">
        <v>0.9230769230769231</v>
      </c>
    </row>
    <row r="9">
      <c r="A9" s="86" t="s">
        <v>580</v>
      </c>
      <c r="B9" s="127">
        <v>0.9230769230769231</v>
      </c>
      <c r="C9" s="86" t="s">
        <v>583</v>
      </c>
      <c r="G9" s="86" t="s">
        <v>584</v>
      </c>
      <c r="H9" s="127">
        <v>0.9166666666666666</v>
      </c>
    </row>
    <row r="10">
      <c r="A10" s="86" t="s">
        <v>584</v>
      </c>
      <c r="B10" s="127">
        <v>0.9166666666666666</v>
      </c>
      <c r="C10" s="86" t="s">
        <v>585</v>
      </c>
      <c r="G10" s="86" t="s">
        <v>568</v>
      </c>
      <c r="H10" s="127">
        <v>0.9142857142857143</v>
      </c>
    </row>
    <row r="11">
      <c r="A11" s="125" t="s">
        <v>573</v>
      </c>
      <c r="B11" s="126">
        <v>0.9583333333333334</v>
      </c>
      <c r="C11" s="125" t="s">
        <v>586</v>
      </c>
      <c r="G11" s="129" t="s">
        <v>571</v>
      </c>
      <c r="H11" s="130">
        <v>0.9090909090909091</v>
      </c>
    </row>
    <row r="12">
      <c r="A12" s="86" t="s">
        <v>578</v>
      </c>
      <c r="B12" s="127">
        <v>0.9375</v>
      </c>
      <c r="C12" s="86" t="s">
        <v>587</v>
      </c>
      <c r="G12" s="129" t="s">
        <v>565</v>
      </c>
      <c r="H12" s="130">
        <v>0.9</v>
      </c>
    </row>
    <row r="13">
      <c r="A13" s="125" t="s">
        <v>570</v>
      </c>
      <c r="B13" s="128">
        <v>0.9629629629629629</v>
      </c>
      <c r="C13" s="125" t="s">
        <v>588</v>
      </c>
      <c r="G13" s="129" t="s">
        <v>576</v>
      </c>
      <c r="H13" s="130">
        <v>0.9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6" t="s">
        <v>589</v>
      </c>
      <c r="B1" s="86" t="s">
        <v>590</v>
      </c>
      <c r="C1" s="86" t="s">
        <v>591</v>
      </c>
      <c r="D1" s="86" t="s">
        <v>592</v>
      </c>
      <c r="E1" s="86" t="s">
        <v>593</v>
      </c>
      <c r="F1" s="86" t="s">
        <v>594</v>
      </c>
    </row>
    <row r="2">
      <c r="A2" s="86" t="s">
        <v>595</v>
      </c>
      <c r="B2" s="86">
        <v>302.0</v>
      </c>
      <c r="C2" s="86">
        <v>280.0</v>
      </c>
      <c r="D2" s="86">
        <v>0.0</v>
      </c>
      <c r="E2" s="87">
        <f t="shared" ref="E2:E3" si="1">C2/B2</f>
        <v>0.9271523179</v>
      </c>
      <c r="F2" s="87">
        <f t="shared" ref="F2:F3" si="2">D2/B2</f>
        <v>0</v>
      </c>
    </row>
    <row r="3">
      <c r="A3" s="86" t="s">
        <v>596</v>
      </c>
      <c r="B3" s="86">
        <v>202.0</v>
      </c>
      <c r="C3" s="86">
        <v>124.0</v>
      </c>
      <c r="D3" s="86">
        <v>7.0</v>
      </c>
      <c r="E3" s="88">
        <f t="shared" si="1"/>
        <v>0.6138613861</v>
      </c>
      <c r="F3" s="88">
        <f t="shared" si="2"/>
        <v>0.03465346535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86"/>
    <col customWidth="1" min="3" max="26" width="11.43"/>
  </cols>
  <sheetData>
    <row r="1" ht="14.25" customHeight="1"/>
    <row r="2" ht="14.25" customHeight="1"/>
    <row r="3" ht="14.25" customHeight="1"/>
    <row r="4" ht="14.25" customHeight="1"/>
    <row r="5" ht="14.25" customHeight="1">
      <c r="B5" s="131" t="s">
        <v>597</v>
      </c>
      <c r="C5" s="132"/>
      <c r="D5" s="132"/>
      <c r="E5" s="133"/>
    </row>
    <row r="6" ht="14.25" customHeight="1">
      <c r="A6" s="134" t="s">
        <v>598</v>
      </c>
    </row>
    <row r="7" ht="14.25" customHeight="1">
      <c r="A7" s="135"/>
      <c r="B7" s="136" t="s">
        <v>599</v>
      </c>
      <c r="C7" s="136" t="s">
        <v>600</v>
      </c>
      <c r="D7" s="136" t="s">
        <v>28</v>
      </c>
      <c r="E7" s="136" t="s">
        <v>32</v>
      </c>
      <c r="F7" s="136" t="s">
        <v>601</v>
      </c>
    </row>
    <row r="8" ht="14.25" customHeight="1">
      <c r="A8" s="89">
        <v>1.0</v>
      </c>
      <c r="B8" s="89" t="s">
        <v>602</v>
      </c>
      <c r="C8" s="89">
        <v>20.0</v>
      </c>
      <c r="D8" s="89">
        <v>2.0</v>
      </c>
      <c r="E8" s="89">
        <v>18.0</v>
      </c>
      <c r="F8" s="137">
        <v>0.9</v>
      </c>
    </row>
    <row r="9" ht="14.25" customHeight="1">
      <c r="A9" s="89">
        <v>2.0</v>
      </c>
      <c r="B9" s="89" t="s">
        <v>603</v>
      </c>
      <c r="C9" s="89">
        <v>35.0</v>
      </c>
      <c r="D9" s="89">
        <v>3.0</v>
      </c>
      <c r="E9" s="89">
        <v>32.0</v>
      </c>
      <c r="F9" s="137">
        <v>0.9142</v>
      </c>
    </row>
    <row r="10" ht="14.25" customHeight="1">
      <c r="A10" s="89">
        <v>3.0</v>
      </c>
      <c r="B10" s="89" t="s">
        <v>604</v>
      </c>
      <c r="C10" s="89">
        <v>22.0</v>
      </c>
      <c r="D10" s="89">
        <v>2.0</v>
      </c>
      <c r="E10" s="89">
        <v>20.0</v>
      </c>
      <c r="F10" s="137">
        <v>0.909</v>
      </c>
    </row>
    <row r="11" ht="14.25" customHeight="1">
      <c r="A11" s="89">
        <v>4.0</v>
      </c>
      <c r="B11" s="89" t="s">
        <v>605</v>
      </c>
      <c r="C11" s="89">
        <v>18.0</v>
      </c>
      <c r="D11" s="89">
        <v>1.0</v>
      </c>
      <c r="E11" s="89">
        <v>17.0</v>
      </c>
      <c r="F11" s="137">
        <v>0.9444</v>
      </c>
    </row>
    <row r="12" ht="14.25" customHeight="1">
      <c r="A12" s="89">
        <v>5.0</v>
      </c>
      <c r="B12" s="89" t="s">
        <v>606</v>
      </c>
      <c r="C12" s="89">
        <v>30.0</v>
      </c>
      <c r="D12" s="89">
        <v>3.0</v>
      </c>
      <c r="E12" s="89">
        <v>27.0</v>
      </c>
      <c r="F12" s="137">
        <v>0.9</v>
      </c>
    </row>
    <row r="13" ht="14.25" customHeight="1">
      <c r="A13" s="89">
        <v>6.0</v>
      </c>
      <c r="B13" s="89" t="s">
        <v>607</v>
      </c>
      <c r="C13" s="89">
        <v>18.0</v>
      </c>
      <c r="D13" s="89">
        <v>0.0</v>
      </c>
      <c r="E13" s="89">
        <v>100.0</v>
      </c>
      <c r="F13" s="137">
        <v>1.0</v>
      </c>
    </row>
    <row r="14" ht="14.25" customHeight="1">
      <c r="A14" s="89">
        <v>7.0</v>
      </c>
      <c r="B14" s="89" t="s">
        <v>608</v>
      </c>
      <c r="C14" s="89">
        <v>26.0</v>
      </c>
      <c r="D14" s="89">
        <v>2.0</v>
      </c>
      <c r="E14" s="89">
        <v>24.0</v>
      </c>
      <c r="F14" s="137">
        <v>0.923</v>
      </c>
    </row>
    <row r="15" ht="14.25" customHeight="1">
      <c r="A15" s="89">
        <v>8.0</v>
      </c>
      <c r="B15" s="89" t="s">
        <v>609</v>
      </c>
      <c r="C15" s="89">
        <v>26.0</v>
      </c>
      <c r="D15" s="89">
        <v>2.0</v>
      </c>
      <c r="E15" s="89">
        <v>24.0</v>
      </c>
      <c r="F15" s="137">
        <v>0.923</v>
      </c>
    </row>
    <row r="16" ht="14.25" customHeight="1">
      <c r="A16" s="89">
        <v>9.0</v>
      </c>
      <c r="B16" s="89" t="s">
        <v>610</v>
      </c>
      <c r="C16" s="89">
        <v>24.0</v>
      </c>
      <c r="D16" s="89">
        <v>2.0</v>
      </c>
      <c r="E16" s="89">
        <v>22.0</v>
      </c>
      <c r="F16" s="137">
        <v>0.9166</v>
      </c>
    </row>
    <row r="17" ht="14.25" customHeight="1">
      <c r="A17" s="89">
        <v>10.0</v>
      </c>
      <c r="B17" s="89" t="s">
        <v>611</v>
      </c>
      <c r="C17" s="89">
        <v>24.0</v>
      </c>
      <c r="D17" s="89">
        <v>1.0</v>
      </c>
      <c r="E17" s="89">
        <v>23.0</v>
      </c>
      <c r="F17" s="137">
        <v>0.9583</v>
      </c>
    </row>
    <row r="18" ht="14.25" customHeight="1">
      <c r="A18" s="89">
        <v>11.0</v>
      </c>
      <c r="B18" s="89" t="s">
        <v>612</v>
      </c>
      <c r="C18" s="89">
        <v>32.0</v>
      </c>
      <c r="D18" s="89">
        <v>2.0</v>
      </c>
      <c r="E18" s="89">
        <v>30.0</v>
      </c>
      <c r="F18" s="137">
        <v>0.9375</v>
      </c>
    </row>
    <row r="19" ht="14.25" customHeight="1">
      <c r="A19" s="89">
        <v>12.0</v>
      </c>
      <c r="B19" s="89" t="s">
        <v>613</v>
      </c>
      <c r="C19" s="89">
        <v>27.0</v>
      </c>
      <c r="D19" s="89">
        <v>2.0</v>
      </c>
      <c r="E19" s="89">
        <v>25.0</v>
      </c>
      <c r="F19" s="137">
        <v>0.9259</v>
      </c>
    </row>
    <row r="20" ht="14.25" customHeight="1">
      <c r="E20" s="89">
        <f>SUM(E8:E19)</f>
        <v>362</v>
      </c>
    </row>
    <row r="21" ht="14.25" customHeight="1"/>
    <row r="22" ht="14.25" customHeight="1">
      <c r="B22" s="131" t="s">
        <v>614</v>
      </c>
      <c r="C22" s="132"/>
      <c r="D22" s="132"/>
      <c r="E22" s="133"/>
    </row>
    <row r="23" ht="14.25" customHeight="1">
      <c r="A23" s="134" t="s">
        <v>598</v>
      </c>
    </row>
    <row r="24" ht="14.25" customHeight="1">
      <c r="A24" s="135"/>
      <c r="B24" s="136" t="s">
        <v>599</v>
      </c>
      <c r="C24" s="136" t="s">
        <v>600</v>
      </c>
      <c r="D24" s="136" t="s">
        <v>28</v>
      </c>
      <c r="E24" s="136" t="s">
        <v>32</v>
      </c>
      <c r="F24" s="136" t="s">
        <v>601</v>
      </c>
    </row>
    <row r="25" ht="14.25" customHeight="1">
      <c r="A25" s="89">
        <v>1.0</v>
      </c>
      <c r="B25" s="89" t="s">
        <v>615</v>
      </c>
      <c r="C25" s="89">
        <v>12.0</v>
      </c>
      <c r="D25" s="89">
        <v>5.0</v>
      </c>
      <c r="E25" s="89">
        <v>7.0</v>
      </c>
      <c r="F25" s="137">
        <v>0.5833</v>
      </c>
    </row>
    <row r="26" ht="14.25" customHeight="1">
      <c r="A26" s="89">
        <v>2.0</v>
      </c>
      <c r="B26" s="89" t="s">
        <v>616</v>
      </c>
      <c r="C26" s="89">
        <v>20.0</v>
      </c>
      <c r="D26" s="89">
        <v>6.0</v>
      </c>
      <c r="E26" s="89">
        <v>12.0</v>
      </c>
      <c r="F26" s="137">
        <v>0.6666</v>
      </c>
    </row>
    <row r="27" ht="14.25" customHeight="1">
      <c r="A27" s="89">
        <v>3.0</v>
      </c>
      <c r="B27" s="89" t="s">
        <v>617</v>
      </c>
      <c r="C27" s="89">
        <v>20.0</v>
      </c>
      <c r="D27" s="89">
        <v>7.0</v>
      </c>
      <c r="E27" s="89">
        <v>13.0</v>
      </c>
      <c r="F27" s="137">
        <v>0.65</v>
      </c>
    </row>
    <row r="28" ht="14.25" customHeight="1">
      <c r="A28" s="89">
        <v>4.0</v>
      </c>
      <c r="B28" s="89" t="s">
        <v>409</v>
      </c>
      <c r="C28" s="89">
        <v>23.0</v>
      </c>
      <c r="D28" s="89">
        <v>7.0</v>
      </c>
      <c r="E28" s="89">
        <v>16.0</v>
      </c>
      <c r="F28" s="137">
        <v>0.6956</v>
      </c>
    </row>
    <row r="29" ht="14.25" customHeight="1">
      <c r="A29" s="89">
        <v>5.0</v>
      </c>
      <c r="B29" s="89" t="s">
        <v>433</v>
      </c>
      <c r="C29" s="89">
        <v>12.0</v>
      </c>
      <c r="D29" s="89">
        <v>5.0</v>
      </c>
      <c r="E29" s="89">
        <v>7.0</v>
      </c>
      <c r="F29" s="137">
        <v>0.5833</v>
      </c>
    </row>
    <row r="30" ht="14.25" customHeight="1">
      <c r="A30" s="89">
        <v>6.0</v>
      </c>
      <c r="B30" s="89" t="s">
        <v>446</v>
      </c>
      <c r="C30" s="89">
        <v>14.0</v>
      </c>
      <c r="D30" s="89">
        <v>6.0</v>
      </c>
      <c r="E30" s="89">
        <v>8.0</v>
      </c>
      <c r="F30" s="137">
        <v>0.5714</v>
      </c>
    </row>
    <row r="31" ht="14.25" customHeight="1">
      <c r="A31" s="89">
        <v>7.0</v>
      </c>
      <c r="B31" s="89" t="s">
        <v>461</v>
      </c>
      <c r="C31" s="89">
        <v>14.0</v>
      </c>
      <c r="D31" s="89">
        <v>6.0</v>
      </c>
      <c r="E31" s="89">
        <v>8.0</v>
      </c>
      <c r="F31" s="137">
        <v>0.5714</v>
      </c>
    </row>
    <row r="32" ht="14.25" customHeight="1">
      <c r="A32" s="89">
        <v>8.0</v>
      </c>
      <c r="B32" s="89" t="s">
        <v>474</v>
      </c>
      <c r="C32" s="89">
        <v>15.0</v>
      </c>
      <c r="D32" s="89">
        <v>6.0</v>
      </c>
      <c r="E32" s="89">
        <v>6.0</v>
      </c>
      <c r="F32" s="137">
        <v>0.5</v>
      </c>
    </row>
    <row r="33" ht="14.25" customHeight="1">
      <c r="A33" s="89">
        <v>9.0</v>
      </c>
      <c r="B33" s="89" t="s">
        <v>488</v>
      </c>
      <c r="C33" s="89">
        <v>29.0</v>
      </c>
      <c r="D33" s="89">
        <v>8.0</v>
      </c>
      <c r="E33" s="89">
        <v>19.0</v>
      </c>
      <c r="F33" s="137">
        <v>0.7037</v>
      </c>
    </row>
    <row r="34" ht="14.25" customHeight="1">
      <c r="A34" s="89">
        <v>10.0</v>
      </c>
      <c r="B34" s="89" t="s">
        <v>618</v>
      </c>
      <c r="C34" s="89">
        <v>17.0</v>
      </c>
      <c r="D34" s="89">
        <v>6.0</v>
      </c>
      <c r="E34" s="89">
        <v>11.0</v>
      </c>
      <c r="F34" s="137">
        <v>0.647</v>
      </c>
    </row>
    <row r="35" ht="14.25" customHeight="1">
      <c r="A35" s="89">
        <v>11.0</v>
      </c>
      <c r="B35" s="89" t="s">
        <v>535</v>
      </c>
      <c r="C35" s="89">
        <v>15.0</v>
      </c>
      <c r="D35" s="89">
        <v>5.0</v>
      </c>
      <c r="E35" s="89">
        <v>9.0</v>
      </c>
      <c r="F35" s="137">
        <v>0.6428</v>
      </c>
    </row>
    <row r="36" ht="14.25" customHeight="1">
      <c r="A36" s="89">
        <v>12.0</v>
      </c>
      <c r="B36" s="89" t="s">
        <v>550</v>
      </c>
      <c r="C36" s="89">
        <v>11.0</v>
      </c>
      <c r="D36" s="89">
        <v>5.0</v>
      </c>
      <c r="E36" s="89">
        <v>6.0</v>
      </c>
      <c r="F36" s="137">
        <v>0.5454</v>
      </c>
    </row>
    <row r="37" ht="14.25" customHeight="1">
      <c r="E37" s="89">
        <f>SUM(E25:E36)</f>
        <v>122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5:E5"/>
    <mergeCell ref="A6:A7"/>
    <mergeCell ref="B22:E22"/>
    <mergeCell ref="A23:A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2025-08-13T07:59:26Z</dcterms:created>
  <dc:creator>LFF</dc:creator>
</cp:coreProperties>
</file>