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Base de donnée HILIN MU CM2 " sheetId="1" r:id="rId4"/>
  </sheets>
  <definedNames>
    <definedName hidden="1" localSheetId="0" name="_xlnm._FilterDatabase">'1. Base de donnée HILIN MU CM2 '!$A$1:$AO$827</definedName>
  </definedNames>
  <calcPr/>
  <extLst>
    <ext uri="GoogleSheetsCustomDataVersion2">
      <go:sheetsCustomData xmlns:go="http://customooxmlschemas.google.com/" r:id="rId5" roundtripDataChecksum="+ruIUs25a6sCmPLh7dYeIfbgLzRaZi05fwtBRFexaEA="/>
    </ext>
  </extLst>
</workbook>
</file>

<file path=xl/sharedStrings.xml><?xml version="1.0" encoding="utf-8"?>
<sst xmlns="http://schemas.openxmlformats.org/spreadsheetml/2006/main" count="5742" uniqueCount="1565">
  <si>
    <t>BASE DE DONNEE HILIN MU ( COHORTE 6 )</t>
  </si>
  <si>
    <t xml:space="preserve">ANNEE ACADEMIQUE 2023-2024 </t>
  </si>
  <si>
    <t>NIEVAU CM2</t>
  </si>
  <si>
    <t>ENDLINE</t>
  </si>
  <si>
    <t xml:space="preserve">Ecole </t>
  </si>
  <si>
    <t xml:space="preserve"> Commune</t>
  </si>
  <si>
    <t>Nom et prénom de la fille</t>
  </si>
  <si>
    <t xml:space="preserve">Nom de Titulaire de la fille au club  </t>
  </si>
  <si>
    <t>Date et lieu de Naissance</t>
  </si>
  <si>
    <t xml:space="preserve">Nom de Titulaire de la Fille  au club </t>
  </si>
  <si>
    <t>Annee d'inscription au programme2</t>
  </si>
  <si>
    <t>Code de l'école</t>
  </si>
  <si>
    <t>Numéro HM de la fille</t>
  </si>
  <si>
    <t>Identifiant Unique</t>
  </si>
  <si>
    <t xml:space="preserve">Total des filles </t>
  </si>
  <si>
    <t>Situation des Filles Fin d'année 2022-2023</t>
  </si>
  <si>
    <t xml:space="preserve">Commetaire sur la situation des Filles 2023-2024  </t>
  </si>
  <si>
    <t xml:space="preserve">Commentaire </t>
  </si>
  <si>
    <t>Mathématique/20</t>
  </si>
  <si>
    <t>Français /20</t>
  </si>
  <si>
    <t>Moyenne générale/20</t>
  </si>
  <si>
    <t>Mathématique /20</t>
  </si>
  <si>
    <t>Français /202</t>
  </si>
  <si>
    <t>Moyenne générale2</t>
  </si>
  <si>
    <t>Moyenne générale3</t>
  </si>
  <si>
    <t>Katare 2</t>
  </si>
  <si>
    <t>Tibiri/Gobir</t>
  </si>
  <si>
    <t xml:space="preserve">Nana Aicha Tsalha </t>
  </si>
  <si>
    <t>Tsalha Issoufou</t>
  </si>
  <si>
    <t>31/12/2011 à Katare</t>
  </si>
  <si>
    <t xml:space="preserve">Mme Moussa Mariama </t>
  </si>
  <si>
    <t xml:space="preserve">Passe au CM2 </t>
  </si>
  <si>
    <t>Zainab Hakilou</t>
  </si>
  <si>
    <t>Hakilou</t>
  </si>
  <si>
    <t>31/12/2011 à  katare</t>
  </si>
  <si>
    <t xml:space="preserve">Mme Ibrahim Nana </t>
  </si>
  <si>
    <t>Mariam Chaibou</t>
  </si>
  <si>
    <t>Chaibou</t>
  </si>
  <si>
    <t>31/12/2011 à katare</t>
  </si>
  <si>
    <t>Samira Elhadji tsalha</t>
  </si>
  <si>
    <t>Elhadji Tsalha Issoufou</t>
  </si>
  <si>
    <t xml:space="preserve">Aliya Roufai </t>
  </si>
  <si>
    <t>Roufai</t>
  </si>
  <si>
    <t xml:space="preserve">Azima Harouna </t>
  </si>
  <si>
    <t xml:space="preserve">Harouna Ousseini </t>
  </si>
  <si>
    <t>Fatiha Amadou</t>
  </si>
  <si>
    <t>Amadou Laouali</t>
  </si>
  <si>
    <t>Nana Nahaitou Hamissou</t>
  </si>
  <si>
    <t>Hamissou abdou</t>
  </si>
  <si>
    <t>Nana Kaoussar Sahailou</t>
  </si>
  <si>
    <t>Sahailou tsalha</t>
  </si>
  <si>
    <t>Sabila Hamza Issa</t>
  </si>
  <si>
    <t>Hamza Issa</t>
  </si>
  <si>
    <t>Amina Ousmane</t>
  </si>
  <si>
    <t>Ousmane</t>
  </si>
  <si>
    <t xml:space="preserve">Katare 2 </t>
  </si>
  <si>
    <t>Amatoulaye Ibrahim</t>
  </si>
  <si>
    <t>Ibrahim</t>
  </si>
  <si>
    <t>Fati Issia</t>
  </si>
  <si>
    <t>Issia</t>
  </si>
  <si>
    <t>Fati Badamassi</t>
  </si>
  <si>
    <t>Badamassi</t>
  </si>
  <si>
    <t>Fadila Halilou</t>
  </si>
  <si>
    <t>Halilou</t>
  </si>
  <si>
    <t>Halimatou Abdou</t>
  </si>
  <si>
    <t>Abdou</t>
  </si>
  <si>
    <t>Mafida Hassan</t>
  </si>
  <si>
    <t>Hassan</t>
  </si>
  <si>
    <t>Nana Aichatou Anass</t>
  </si>
  <si>
    <t>Anass</t>
  </si>
  <si>
    <t>Naima hassan Sani</t>
  </si>
  <si>
    <t xml:space="preserve">Hassan </t>
  </si>
  <si>
    <t>Roumaissaou inoussa</t>
  </si>
  <si>
    <t>Inoussa</t>
  </si>
  <si>
    <t>Zainab Amadou</t>
  </si>
  <si>
    <t>Amadou</t>
  </si>
  <si>
    <t>Kataré 2</t>
  </si>
  <si>
    <t xml:space="preserve">Mouhousina Ilia </t>
  </si>
  <si>
    <t>Salissou</t>
  </si>
  <si>
    <t>Nazifa Abdoul Kader</t>
  </si>
  <si>
    <t>Kader</t>
  </si>
  <si>
    <t>Bouchara Abou</t>
  </si>
  <si>
    <t>Abou</t>
  </si>
  <si>
    <t>Mourjanatou Abdou</t>
  </si>
  <si>
    <t>Nana Aicha Abdoul Nasser</t>
  </si>
  <si>
    <t>Nasser</t>
  </si>
  <si>
    <t>Zalifa Halarou</t>
  </si>
  <si>
    <t>Halarou</t>
  </si>
  <si>
    <t>Kalgon Waraou</t>
  </si>
  <si>
    <t>Raya issoufou</t>
  </si>
  <si>
    <t>Issoufou dan Haoua</t>
  </si>
  <si>
    <t>01/01/2011 à kalgon warou</t>
  </si>
  <si>
    <t>Mme Achirou Hadizatou</t>
  </si>
  <si>
    <t>Aichatou zabeirou</t>
  </si>
  <si>
    <t>Zabeirou kane</t>
  </si>
  <si>
    <t>Fati Maaroufi</t>
  </si>
  <si>
    <t>Maarouffi harouna</t>
  </si>
  <si>
    <t>Naima souley</t>
  </si>
  <si>
    <t>Souley bacharou</t>
  </si>
  <si>
    <t>Ousseina souley</t>
  </si>
  <si>
    <t>Souley moussa</t>
  </si>
  <si>
    <t>Nana Balkissa ousmane</t>
  </si>
  <si>
    <t>Ousmane massoyi</t>
  </si>
  <si>
    <t>Chappa ibrahim(Illa)</t>
  </si>
  <si>
    <t>Ibrahim Harouna</t>
  </si>
  <si>
    <t>Nazifa salifou</t>
  </si>
  <si>
    <t>Salifou jaddi</t>
  </si>
  <si>
    <t>Ramatou saidou</t>
  </si>
  <si>
    <t>Saidou jaddi</t>
  </si>
  <si>
    <t>Rafia jaddi</t>
  </si>
  <si>
    <t>Jaddi</t>
  </si>
  <si>
    <t>Rahila oumarou</t>
  </si>
  <si>
    <t>Oumarou bakwai</t>
  </si>
  <si>
    <t>Souraya boukari</t>
  </si>
  <si>
    <t>Boukari</t>
  </si>
  <si>
    <t>Mansoura illa</t>
  </si>
  <si>
    <t>Illa</t>
  </si>
  <si>
    <t>Maria Ibrahim</t>
  </si>
  <si>
    <t>Zina Issa</t>
  </si>
  <si>
    <t>Issa</t>
  </si>
  <si>
    <t>Louloubi</t>
  </si>
  <si>
    <t xml:space="preserve">Sae Saboua </t>
  </si>
  <si>
    <t>Isra Sanoussi</t>
  </si>
  <si>
    <t xml:space="preserve">Sanoussi Salifou              </t>
  </si>
  <si>
    <t>01/01/2010 à louloubi</t>
  </si>
  <si>
    <t>Mme Ramatou Ibrahim Bawa</t>
  </si>
  <si>
    <t>Bassira Yaou</t>
  </si>
  <si>
    <t>Yaou Laouali</t>
  </si>
  <si>
    <t>Mme Hamisou Saybatou</t>
  </si>
  <si>
    <t>Hadiza oumarou</t>
  </si>
  <si>
    <t>Oumarou Chaibou</t>
  </si>
  <si>
    <t>Ousseina Maazou</t>
  </si>
  <si>
    <t>Maazou Moumouni</t>
  </si>
  <si>
    <t>Souweiba Moussa</t>
  </si>
  <si>
    <t>Moussa Mantaou</t>
  </si>
  <si>
    <t>Yousra Abdou</t>
  </si>
  <si>
    <t>Abdou Salifou</t>
  </si>
  <si>
    <t>Aicha Sanoussi</t>
  </si>
  <si>
    <t>Sanoussi Abdou Salau</t>
  </si>
  <si>
    <t>Manira Saadou</t>
  </si>
  <si>
    <t>Saadou Ibrahim</t>
  </si>
  <si>
    <t>Soumayya Habou</t>
  </si>
  <si>
    <t>Habou Bakoye</t>
  </si>
  <si>
    <t>Rafia Oumarou</t>
  </si>
  <si>
    <t>Oumarou Harouna</t>
  </si>
  <si>
    <t>Razina Sani</t>
  </si>
  <si>
    <t>Sani Elh Aboubacar</t>
  </si>
  <si>
    <t>Chaawanatou Aboubacar</t>
  </si>
  <si>
    <t>Aboubacar Salifou</t>
  </si>
  <si>
    <t>Mariama Ibrahim</t>
  </si>
  <si>
    <t>Ibrahim Oumarou</t>
  </si>
  <si>
    <t>Choukouriya Sanoussi</t>
  </si>
  <si>
    <t>Sanoussi salifou</t>
  </si>
  <si>
    <t xml:space="preserve">Halima Harouna </t>
  </si>
  <si>
    <t>Harouna Yacouba</t>
  </si>
  <si>
    <t>Fatiha Abdou Salam</t>
  </si>
  <si>
    <t>Abdou Salam Ousmane</t>
  </si>
  <si>
    <t>Naima Haladou</t>
  </si>
  <si>
    <t>Haladou Ousmane</t>
  </si>
  <si>
    <t>Raya Oumarou</t>
  </si>
  <si>
    <t>Nafissa Adamou</t>
  </si>
  <si>
    <t>Adamou Abdou</t>
  </si>
  <si>
    <t>Nousseiba Sadou</t>
  </si>
  <si>
    <t>Saadou Bala</t>
  </si>
  <si>
    <t>transferée</t>
  </si>
  <si>
    <t>Loubabatou Yacouba</t>
  </si>
  <si>
    <t>Yacouba</t>
  </si>
  <si>
    <t>Azima Alassan</t>
  </si>
  <si>
    <t>Alassan Ibrahim</t>
  </si>
  <si>
    <t>Nassaiba Yacoubou</t>
  </si>
  <si>
    <t>Yacoubou Ousmane</t>
  </si>
  <si>
    <t>Napissa Oumarou</t>
  </si>
  <si>
    <t>Oumarou Yacouba</t>
  </si>
  <si>
    <t>Habiba Aliou</t>
  </si>
  <si>
    <t>Aliou Yahaya</t>
  </si>
  <si>
    <t>Azima Idi</t>
  </si>
  <si>
    <t>Idi</t>
  </si>
  <si>
    <t>Aicha Laouali</t>
  </si>
  <si>
    <t xml:space="preserve">Laouali </t>
  </si>
  <si>
    <t>Farida Saadou</t>
  </si>
  <si>
    <t>Saadou</t>
  </si>
  <si>
    <t>Fatchima Ibrahim</t>
  </si>
  <si>
    <t>Ramatou Abdoul Karim</t>
  </si>
  <si>
    <t>Abdoul Karim</t>
  </si>
  <si>
    <t>Ramatou Oumarou</t>
  </si>
  <si>
    <t>Oumarou</t>
  </si>
  <si>
    <t>Ramatou Yahaya</t>
  </si>
  <si>
    <t>Yahaya</t>
  </si>
  <si>
    <t>Soura 3</t>
  </si>
  <si>
    <t>Shamsia Laouali</t>
  </si>
  <si>
    <t>01/01/2012 à Soura</t>
  </si>
  <si>
    <t xml:space="preserve">Mme Boubacar  Fatchouma </t>
  </si>
  <si>
    <t>Firdaoussi Sanoussi</t>
  </si>
  <si>
    <t>Sanoussi</t>
  </si>
  <si>
    <t>Zainab Sani</t>
  </si>
  <si>
    <t>Sani Chaibou</t>
  </si>
  <si>
    <t>Fatiha Rabiou</t>
  </si>
  <si>
    <t>Rabiou</t>
  </si>
  <si>
    <t>Fatsima Ibrahim</t>
  </si>
  <si>
    <t>Firdaoussi Hamissou</t>
  </si>
  <si>
    <t>Hamissou Ibrahim</t>
  </si>
  <si>
    <t>01/01/2011 à Soura</t>
  </si>
  <si>
    <t>Maniba Moustapha</t>
  </si>
  <si>
    <t>Moustapha Amani</t>
  </si>
  <si>
    <t>Rakiya Abdoulrazak</t>
  </si>
  <si>
    <t>Abdoulrazak</t>
  </si>
  <si>
    <t>Hanifa Tassiou</t>
  </si>
  <si>
    <t>Tassiou</t>
  </si>
  <si>
    <t>Azima Djibrila</t>
  </si>
  <si>
    <t>Djibrila</t>
  </si>
  <si>
    <t>Halissa Sani</t>
  </si>
  <si>
    <t>Sani Salissou</t>
  </si>
  <si>
    <t>Souraya Salissou</t>
  </si>
  <si>
    <t>Salissou Amani</t>
  </si>
  <si>
    <t>Chamsiya Boureima</t>
  </si>
  <si>
    <t>Boureima</t>
  </si>
  <si>
    <t>Abandon</t>
  </si>
  <si>
    <t>Rissala Salissou</t>
  </si>
  <si>
    <t>Soumaya Nassirou</t>
  </si>
  <si>
    <t>Nassirou</t>
  </si>
  <si>
    <t>Soumaya Issoufou</t>
  </si>
  <si>
    <t>Issoufou</t>
  </si>
  <si>
    <t>Takalmaoua 1</t>
  </si>
  <si>
    <t xml:space="preserve">Djiratawa </t>
  </si>
  <si>
    <t>Karima Baraou</t>
  </si>
  <si>
    <t>Baraou</t>
  </si>
  <si>
    <t>01/01/2012 àTakalmaoua</t>
  </si>
  <si>
    <t>Mme Amadou Aminatou</t>
  </si>
  <si>
    <t>Rachida Maazou</t>
  </si>
  <si>
    <t>Alassan Almou</t>
  </si>
  <si>
    <t>01/01/2012 à Takalmaoua</t>
  </si>
  <si>
    <t>Aicha Samaila</t>
  </si>
  <si>
    <t>Samaila</t>
  </si>
  <si>
    <t>Hafiza Sani</t>
  </si>
  <si>
    <t>Sani Yahaya</t>
  </si>
  <si>
    <t>Yasmina Salissou</t>
  </si>
  <si>
    <t xml:space="preserve">Salissou </t>
  </si>
  <si>
    <t>Nazifa Illa</t>
  </si>
  <si>
    <t>Illa Issoufou</t>
  </si>
  <si>
    <t>Aicha Yahaya</t>
  </si>
  <si>
    <t>Sourrayya Sahabi</t>
  </si>
  <si>
    <t>Sahabi Moussa</t>
  </si>
  <si>
    <t>Salamatou Tsayabou</t>
  </si>
  <si>
    <t xml:space="preserve">Tsayabou </t>
  </si>
  <si>
    <t>Kadija Hamissou</t>
  </si>
  <si>
    <t>Hamissou</t>
  </si>
  <si>
    <t xml:space="preserve">Rachida Alassan </t>
  </si>
  <si>
    <t xml:space="preserve">Alassan </t>
  </si>
  <si>
    <t>Salima Noura</t>
  </si>
  <si>
    <t>Noura</t>
  </si>
  <si>
    <t>Mariama Souley</t>
  </si>
  <si>
    <t>Souley Maazou</t>
  </si>
  <si>
    <t>Balkissa Illa</t>
  </si>
  <si>
    <t>Zainab Kassoum</t>
  </si>
  <si>
    <t>Kassoum Almou</t>
  </si>
  <si>
    <t xml:space="preserve">Charifa  Abdoul Razak </t>
  </si>
  <si>
    <t>Razak</t>
  </si>
  <si>
    <t>Katare 1</t>
  </si>
  <si>
    <t>Razika Tsahirou</t>
  </si>
  <si>
    <t>Tsahirou</t>
  </si>
  <si>
    <t xml:space="preserve">Mme Kallamou Mariama </t>
  </si>
  <si>
    <t>Zaharaou Idi</t>
  </si>
  <si>
    <t>Zaharaou Anass</t>
  </si>
  <si>
    <t>31/10/2011 à katare</t>
  </si>
  <si>
    <t>Soumayya Idi</t>
  </si>
  <si>
    <t>Balkissa Sanoussi</t>
  </si>
  <si>
    <t>Mme Yahaya Kadijatou</t>
  </si>
  <si>
    <t>Farida Hamidou</t>
  </si>
  <si>
    <t>Hamidou</t>
  </si>
  <si>
    <t>Kamila Souley</t>
  </si>
  <si>
    <t>Souley</t>
  </si>
  <si>
    <t>kairiya Issa</t>
  </si>
  <si>
    <t>Roumaissaou laouali</t>
  </si>
  <si>
    <t>Soumayya Abdou</t>
  </si>
  <si>
    <t>Sourayya Ousmane</t>
  </si>
  <si>
    <t>Chappia Habibou</t>
  </si>
  <si>
    <t>Habibou</t>
  </si>
  <si>
    <t xml:space="preserve">Habsatou Manman </t>
  </si>
  <si>
    <t>Manman</t>
  </si>
  <si>
    <t>Hawlatou Mamoudou</t>
  </si>
  <si>
    <t>Mamoudou</t>
  </si>
  <si>
    <t>Kadija Falalou</t>
  </si>
  <si>
    <t>Falalou</t>
  </si>
  <si>
    <t>Mabarouka Saadou</t>
  </si>
  <si>
    <t>Naima Adamou</t>
  </si>
  <si>
    <t>Adamou</t>
  </si>
  <si>
    <t>Naamaou Laouali</t>
  </si>
  <si>
    <t>Rabila Illa</t>
  </si>
  <si>
    <t>Salbia Aboubacar</t>
  </si>
  <si>
    <t>Aboubacar</t>
  </si>
  <si>
    <t>Mariam Nafiou</t>
  </si>
  <si>
    <t>Nafiou</t>
  </si>
  <si>
    <t>Soumaya Maharazou</t>
  </si>
  <si>
    <t>Maharazou</t>
  </si>
  <si>
    <t>Houzeifa Maman Zaya</t>
  </si>
  <si>
    <t>Maman Zaya</t>
  </si>
  <si>
    <t>Sadjida Amadou</t>
  </si>
  <si>
    <t>Kassira Rabé</t>
  </si>
  <si>
    <t>Rabé</t>
  </si>
  <si>
    <t>Maralia Illa</t>
  </si>
  <si>
    <t>Nazifa Chiitou</t>
  </si>
  <si>
    <t>Chiitou</t>
  </si>
  <si>
    <t>Kadidja Abass</t>
  </si>
  <si>
    <t>Abass</t>
  </si>
  <si>
    <t>Firdaoussi Kabirou</t>
  </si>
  <si>
    <t>Kabirou</t>
  </si>
  <si>
    <t>Ousseina Abaché</t>
  </si>
  <si>
    <t>Abaché</t>
  </si>
  <si>
    <t>Firdaoussi Abaché</t>
  </si>
  <si>
    <t>Balkissa Elh Issaka</t>
  </si>
  <si>
    <t>Elh Issaka</t>
  </si>
  <si>
    <t>Salima Ichaou</t>
  </si>
  <si>
    <t>Ichaou</t>
  </si>
  <si>
    <t>Mouhoussina Souleymane</t>
  </si>
  <si>
    <t>Souleymane</t>
  </si>
  <si>
    <t>Tagaza</t>
  </si>
  <si>
    <t>Yassira Adamou</t>
  </si>
  <si>
    <t>01/01/2012 à tagaza</t>
  </si>
  <si>
    <t xml:space="preserve">Safia Nouhou Hamidou </t>
  </si>
  <si>
    <t>Nadia Abdoul Karim</t>
  </si>
  <si>
    <t>Wassila Mamane</t>
  </si>
  <si>
    <t>Mamane</t>
  </si>
  <si>
    <t>Fati Harouna</t>
  </si>
  <si>
    <t>Harouna</t>
  </si>
  <si>
    <t>Safaraou Harouna</t>
  </si>
  <si>
    <t>Nafissa Mamane</t>
  </si>
  <si>
    <t>Kadidja Halilou</t>
  </si>
  <si>
    <t>Moubachara Almoustapha</t>
  </si>
  <si>
    <t>Almoustapha</t>
  </si>
  <si>
    <t>Mastoura Mamane</t>
  </si>
  <si>
    <t>Amira Kabirou</t>
  </si>
  <si>
    <t>Wassila Saidou</t>
  </si>
  <si>
    <t>Saidou</t>
  </si>
  <si>
    <t>Fati Mamane</t>
  </si>
  <si>
    <t>Kadidja Zabeirou</t>
  </si>
  <si>
    <t>Zabeirou</t>
  </si>
  <si>
    <t>Naima Salissou Saley</t>
  </si>
  <si>
    <t xml:space="preserve">Farida Issoufou </t>
  </si>
  <si>
    <t>Oumalkhair Rabiou</t>
  </si>
  <si>
    <t>Sahana Haladou</t>
  </si>
  <si>
    <t>Haladou</t>
  </si>
  <si>
    <t>Souweiba Sabiou</t>
  </si>
  <si>
    <t xml:space="preserve">Sabiou </t>
  </si>
  <si>
    <t>Souraya Nouhou</t>
  </si>
  <si>
    <t xml:space="preserve">Noiuhou </t>
  </si>
  <si>
    <t>Hafiza Moussa</t>
  </si>
  <si>
    <t>Moussa</t>
  </si>
  <si>
    <t>Wassila Ayouba</t>
  </si>
  <si>
    <t>Ayouba</t>
  </si>
  <si>
    <t>Lamsiya Mamane</t>
  </si>
  <si>
    <t>Amira sani</t>
  </si>
  <si>
    <t>Sani</t>
  </si>
  <si>
    <t>Faiza Abdousalam</t>
  </si>
  <si>
    <t>Abdousalam</t>
  </si>
  <si>
    <t xml:space="preserve">Tagaza </t>
  </si>
  <si>
    <t>Na'ima Abdou</t>
  </si>
  <si>
    <t>Roukaya Hamidou</t>
  </si>
  <si>
    <t xml:space="preserve">Na'ima Ousmane </t>
  </si>
  <si>
    <t>Sapia Abdoulahi</t>
  </si>
  <si>
    <t>Abdoulahi</t>
  </si>
  <si>
    <t>Bassira Sani</t>
  </si>
  <si>
    <t>chappa Hachimou</t>
  </si>
  <si>
    <t>Hachimou</t>
  </si>
  <si>
    <t>Waraou</t>
  </si>
  <si>
    <t>Oubeida Sani</t>
  </si>
  <si>
    <t>Sani Adamou</t>
  </si>
  <si>
    <t>01/01/2012 à Waraou</t>
  </si>
  <si>
    <t>Mme Zeinabou Miko</t>
  </si>
  <si>
    <t>Rachida Issoufou</t>
  </si>
  <si>
    <t>Issoufou Adaré</t>
  </si>
  <si>
    <t xml:space="preserve">Mme Mama Alio </t>
  </si>
  <si>
    <t>Roufaida Hamissou</t>
  </si>
  <si>
    <t>Hamissou Moussa</t>
  </si>
  <si>
    <t>Sakina Abdou</t>
  </si>
  <si>
    <t>Abdou Harouna</t>
  </si>
  <si>
    <t>Sadika Chaibou</t>
  </si>
  <si>
    <t>Chaibou Dan Hadjo</t>
  </si>
  <si>
    <t>Rabia Aboubacar</t>
  </si>
  <si>
    <t>Aboubacar Yahaya</t>
  </si>
  <si>
    <t>Oumou Salma Mamane</t>
  </si>
  <si>
    <t>Mamane Dan Baki</t>
  </si>
  <si>
    <t>Wassila Ibrahim</t>
  </si>
  <si>
    <t>Ibrahim Adamou</t>
  </si>
  <si>
    <t>Yasmina Issoufou</t>
  </si>
  <si>
    <t>Issoufou Idi</t>
  </si>
  <si>
    <t xml:space="preserve">Souraya Issoufou </t>
  </si>
  <si>
    <t>Issoufou Harouna</t>
  </si>
  <si>
    <t>Chaawa Chaibou</t>
  </si>
  <si>
    <t>Farida Harouna</t>
  </si>
  <si>
    <t>Harouna Amadou</t>
  </si>
  <si>
    <t>Fatchima Oumarou</t>
  </si>
  <si>
    <t>Oumarou Nomaou</t>
  </si>
  <si>
    <t>Halimatou Mamane</t>
  </si>
  <si>
    <t>Mamane Alhadji</t>
  </si>
  <si>
    <t xml:space="preserve">Halissa Mani </t>
  </si>
  <si>
    <t>Mani Abdou</t>
  </si>
  <si>
    <t>01/01/2011 à waraou</t>
  </si>
  <si>
    <t>Firdaoussi Illa</t>
  </si>
  <si>
    <t>Illa Harouna</t>
  </si>
  <si>
    <t>Madina Nouhou</t>
  </si>
  <si>
    <t>Nouhou Mahamane</t>
  </si>
  <si>
    <t>Manira Issaka</t>
  </si>
  <si>
    <t>Issaka Habou</t>
  </si>
  <si>
    <t xml:space="preserve">Nana Sabia Sabiou </t>
  </si>
  <si>
    <t>Sabiou Moussa</t>
  </si>
  <si>
    <t xml:space="preserve">Nafissa Issoufou </t>
  </si>
  <si>
    <t>Issoufou Adamou</t>
  </si>
  <si>
    <t>Amira Assoumane</t>
  </si>
  <si>
    <t>Assoumane</t>
  </si>
  <si>
    <t>Badaria Salifou</t>
  </si>
  <si>
    <t>Salifou</t>
  </si>
  <si>
    <t xml:space="preserve">Habiba Mani </t>
  </si>
  <si>
    <t>Mani</t>
  </si>
  <si>
    <t>Chamsiya Hamissou</t>
  </si>
  <si>
    <t>Hamida Mani</t>
  </si>
  <si>
    <t xml:space="preserve">Tibiri Gobir </t>
  </si>
  <si>
    <t xml:space="preserve">Wassila Ousmane </t>
  </si>
  <si>
    <t xml:space="preserve">Ousmane </t>
  </si>
  <si>
    <t xml:space="preserve">Massa'ouda Illa </t>
  </si>
  <si>
    <t xml:space="preserve">Bassira Salaye </t>
  </si>
  <si>
    <t xml:space="preserve">Salaye </t>
  </si>
  <si>
    <t>Dan Gamji</t>
  </si>
  <si>
    <t>Aicha Bahari</t>
  </si>
  <si>
    <t>Bahari Mamane</t>
  </si>
  <si>
    <t>01/01/2012 à Dan Gamji</t>
  </si>
  <si>
    <t>Mme Saminou Nana Haouaou</t>
  </si>
  <si>
    <t>Mme Moustapha Nana Barira</t>
  </si>
  <si>
    <t>Badia Nassirou</t>
  </si>
  <si>
    <t>Nassirou Salissou</t>
  </si>
  <si>
    <t>Mme Abdoulaye Fanata</t>
  </si>
  <si>
    <t>Bassira Kassoum</t>
  </si>
  <si>
    <t>Kasoum</t>
  </si>
  <si>
    <t>Bacharia Laouali H</t>
  </si>
  <si>
    <t>Laouali Hassan</t>
  </si>
  <si>
    <t>Choukouria Abdou</t>
  </si>
  <si>
    <t>Charifa Illa</t>
  </si>
  <si>
    <t>Illa Saidou</t>
  </si>
  <si>
    <t>Chaawa Illa</t>
  </si>
  <si>
    <t>Illa Issaka</t>
  </si>
  <si>
    <t>Chaawa Mamane Sani</t>
  </si>
  <si>
    <t>Maman Sani</t>
  </si>
  <si>
    <t>Farida Halilou</t>
  </si>
  <si>
    <t>Haliou Malan Sanoussi</t>
  </si>
  <si>
    <t>Firdaoussi Haladou</t>
  </si>
  <si>
    <t xml:space="preserve">Haladou </t>
  </si>
  <si>
    <t>Fatimatou Maman Sani</t>
  </si>
  <si>
    <t>Maman Sani Garba</t>
  </si>
  <si>
    <t>Faiza Zabeirou</t>
  </si>
  <si>
    <t>Fadimatou Sani</t>
  </si>
  <si>
    <t>Faouziya Bahari</t>
  </si>
  <si>
    <t>Bahari Maazou</t>
  </si>
  <si>
    <t>Fadimatou Sadikou</t>
  </si>
  <si>
    <t>Sadikou Saidou</t>
  </si>
  <si>
    <t>Haouaou Habibou</t>
  </si>
  <si>
    <t>Habib ou</t>
  </si>
  <si>
    <t>Haouaou Illa</t>
  </si>
  <si>
    <t>Karima Abdou</t>
  </si>
  <si>
    <t>Abdou Batouré</t>
  </si>
  <si>
    <t>Mariam Moussa</t>
  </si>
  <si>
    <t>Moussa Tsahirou</t>
  </si>
  <si>
    <t>Mariam Bahari</t>
  </si>
  <si>
    <t xml:space="preserve">Mouhoussina Bahari </t>
  </si>
  <si>
    <t xml:space="preserve">Malika Idi </t>
  </si>
  <si>
    <t>Idi Chaibou</t>
  </si>
  <si>
    <t>Massaouda Issoufou</t>
  </si>
  <si>
    <t>Issoufou Hassan</t>
  </si>
  <si>
    <t>Nana Abida Hamidou</t>
  </si>
  <si>
    <t>Hamidou Kalla</t>
  </si>
  <si>
    <t>Nana Amira Ousmane</t>
  </si>
  <si>
    <t>Ousmane tsayabou</t>
  </si>
  <si>
    <t>Nana Chémaou Issoufou</t>
  </si>
  <si>
    <t>Issoufou Hassane</t>
  </si>
  <si>
    <t>Nana Fatchima Idi</t>
  </si>
  <si>
    <t>Nana Haouaou Sadikou</t>
  </si>
  <si>
    <t>Sadikou Salissoiu</t>
  </si>
  <si>
    <t>Nana Masoura Laouali</t>
  </si>
  <si>
    <t>Laouali</t>
  </si>
  <si>
    <t>Rafia Abdoul wahab</t>
  </si>
  <si>
    <t>Adoul Wahab Moussa</t>
  </si>
  <si>
    <t>Nana Roufaida Amadou</t>
  </si>
  <si>
    <t>Amadou Inoussa</t>
  </si>
  <si>
    <t>Nazifa Habibou</t>
  </si>
  <si>
    <t>Habibou Moussa</t>
  </si>
  <si>
    <t>Nana Zaitouna Zabeirou</t>
  </si>
  <si>
    <t>Zabeirou Saidou</t>
  </si>
  <si>
    <t>Nousseiba Laouali</t>
  </si>
  <si>
    <t>Laouali Zabeirou</t>
  </si>
  <si>
    <t>Ouma Haladou</t>
  </si>
  <si>
    <t>Oubeida Ousmane</t>
  </si>
  <si>
    <t>Ousmane Chaibou</t>
  </si>
  <si>
    <t>Rafia Yahouza</t>
  </si>
  <si>
    <t>Yahouza Harou</t>
  </si>
  <si>
    <t>Rachida Aboubacar</t>
  </si>
  <si>
    <t>Safaraou Sani</t>
  </si>
  <si>
    <t>Sani Saadou</t>
  </si>
  <si>
    <t>Safara Yaou</t>
  </si>
  <si>
    <t>Yaou</t>
  </si>
  <si>
    <t>Silbiya Ibrahim</t>
  </si>
  <si>
    <t>Ibrahim Idi</t>
  </si>
  <si>
    <t>Saadia Sani</t>
  </si>
  <si>
    <t>Samira Samaila</t>
  </si>
  <si>
    <t>Samaila Yaou</t>
  </si>
  <si>
    <t>Soumaya Zabeirou</t>
  </si>
  <si>
    <t>Zaraou Tsahirou</t>
  </si>
  <si>
    <t>Tsahirou Mamane</t>
  </si>
  <si>
    <t>Zeinab Daouda</t>
  </si>
  <si>
    <t xml:space="preserve">Daouda </t>
  </si>
  <si>
    <t xml:space="preserve">Zeinab Mahamane </t>
  </si>
  <si>
    <t>Mahamane Idi</t>
  </si>
  <si>
    <t xml:space="preserve">Manira Ibrahim </t>
  </si>
  <si>
    <t>Ibrahim Ousseini</t>
  </si>
  <si>
    <t>Nana Rahila Aboubacar</t>
  </si>
  <si>
    <t>Aboubacar Saadou</t>
  </si>
  <si>
    <t>Nana Zalika souley</t>
  </si>
  <si>
    <t>Souley Moussa</t>
  </si>
  <si>
    <t>Sabon Gari Kolta</t>
  </si>
  <si>
    <t>Habsat Sani</t>
  </si>
  <si>
    <t>Sani Boukari</t>
  </si>
  <si>
    <t>01/01/2012 à sabàn garin kolta</t>
  </si>
  <si>
    <t>Mme Yacouba Salamatou</t>
  </si>
  <si>
    <t>Binta Abdoulaye</t>
  </si>
  <si>
    <t>Abdoulaye Mamane</t>
  </si>
  <si>
    <t>01/08/2011 à sabon garin kolta</t>
  </si>
  <si>
    <t>Mme Moussa Fati Chaibou</t>
  </si>
  <si>
    <t>Youssira Issaka</t>
  </si>
  <si>
    <t>Issaka Abdou</t>
  </si>
  <si>
    <t>01/01/2012 à Sabon garin kolta</t>
  </si>
  <si>
    <t xml:space="preserve">Rachida Garba </t>
  </si>
  <si>
    <t>Garba sani</t>
  </si>
  <si>
    <t>Kadidja Abou</t>
  </si>
  <si>
    <t>Abou Souley</t>
  </si>
  <si>
    <t>Mahafouza Nouhou</t>
  </si>
  <si>
    <t>Nouhou Garba</t>
  </si>
  <si>
    <t>Fourera Yaou (transferée</t>
  </si>
  <si>
    <t>Yaou Oumarou</t>
  </si>
  <si>
    <t>Zeinab Tassiou</t>
  </si>
  <si>
    <t>Tassiou Saidou</t>
  </si>
  <si>
    <t>Halimatou Sani</t>
  </si>
  <si>
    <t>Aminatou Adamou</t>
  </si>
  <si>
    <t>Adamou Ibrahim</t>
  </si>
  <si>
    <t>Fatchima Saidou</t>
  </si>
  <si>
    <t>Saidou Issaka</t>
  </si>
  <si>
    <t>09/08/2011 à sabon garin kolta</t>
  </si>
  <si>
    <t>Mariama Tassiou</t>
  </si>
  <si>
    <t>Moufida Sabiou</t>
  </si>
  <si>
    <t>Sabiou Garba</t>
  </si>
  <si>
    <t>27/07/2011 à sabon garin kolta</t>
  </si>
  <si>
    <t>Moubina Sabiou</t>
  </si>
  <si>
    <t>Mariam Habibou</t>
  </si>
  <si>
    <t>Habibou Saidou</t>
  </si>
  <si>
    <t>Rissala Daouda</t>
  </si>
  <si>
    <t>Daouda Garba</t>
  </si>
  <si>
    <t>Habsatou Laouali</t>
  </si>
  <si>
    <t>Laouali Issa</t>
  </si>
  <si>
    <t>Aicha Saidou</t>
  </si>
  <si>
    <t>Bacharia Sani</t>
  </si>
  <si>
    <t>Sani Moussa</t>
  </si>
  <si>
    <t>Zalika Adamou</t>
  </si>
  <si>
    <t>Adamou Nouhou</t>
  </si>
  <si>
    <t>Kadidja Mamane</t>
  </si>
  <si>
    <t>Alawiya Issaka</t>
  </si>
  <si>
    <t>Issaka Adamou</t>
  </si>
  <si>
    <t>20/01/2012 à sabon garin kolta</t>
  </si>
  <si>
    <t>Taofika Laouali</t>
  </si>
  <si>
    <t>Laouali Issaka</t>
  </si>
  <si>
    <t xml:space="preserve"> 09/10/2012 à sabon garin kolta</t>
  </si>
  <si>
    <t>Zeinab Ibrahim</t>
  </si>
  <si>
    <t xml:space="preserve">Vers 2012 à Sabon garin Kolta </t>
  </si>
  <si>
    <t xml:space="preserve">Ramatou Ousmane </t>
  </si>
  <si>
    <t xml:space="preserve">Fatouma Hassan </t>
  </si>
  <si>
    <t xml:space="preserve">Nana Firdaoussi Adamou  </t>
  </si>
  <si>
    <t xml:space="preserve">Transférée </t>
  </si>
  <si>
    <t xml:space="preserve">La fille a été transférée dans une autre école </t>
  </si>
  <si>
    <t xml:space="preserve">Chappa'atou Garba </t>
  </si>
  <si>
    <t>Garba</t>
  </si>
  <si>
    <t>Kountarou Mai Rairai</t>
  </si>
  <si>
    <t>Habsatou Garba</t>
  </si>
  <si>
    <t>Garba Abdou</t>
  </si>
  <si>
    <t>01/01/2011 à Kountarou</t>
  </si>
  <si>
    <t>Mme Laouali Rabi Laouali</t>
  </si>
  <si>
    <t>Chakouriya Yazid</t>
  </si>
  <si>
    <t>Yazid Idrissa</t>
  </si>
  <si>
    <t>Zeinab Mamane</t>
  </si>
  <si>
    <t>Mamana Ali</t>
  </si>
  <si>
    <t>Mourdja Issaka</t>
  </si>
  <si>
    <t>Issaka Sani</t>
  </si>
  <si>
    <t xml:space="preserve">Aissara Laouali </t>
  </si>
  <si>
    <t>Laouali Mamane</t>
  </si>
  <si>
    <t>Amira Aboubacar</t>
  </si>
  <si>
    <t>Aboubacar Mahamane</t>
  </si>
  <si>
    <t>Yasmina Mountari</t>
  </si>
  <si>
    <t>Mountari Harouna</t>
  </si>
  <si>
    <t>Zaharaou Abdou</t>
  </si>
  <si>
    <t>Abdou Idi</t>
  </si>
  <si>
    <t>Mariama Garba</t>
  </si>
  <si>
    <t>Saida Garba</t>
  </si>
  <si>
    <t>Souweiba Boukari</t>
  </si>
  <si>
    <t>Boukari Abdou</t>
  </si>
  <si>
    <t>Assia Oumarou</t>
  </si>
  <si>
    <t>Oumarou Aboubacar</t>
  </si>
  <si>
    <t>Mouhoussouna Hamidou</t>
  </si>
  <si>
    <t>Hamidou  Boubacar</t>
  </si>
  <si>
    <t>Kadidja Adamou</t>
  </si>
  <si>
    <t>Adamou Moussa</t>
  </si>
  <si>
    <t>Roumassaou Oumarou</t>
  </si>
  <si>
    <t>Oumarou Moussa</t>
  </si>
  <si>
    <t>Zeinab Seydou</t>
  </si>
  <si>
    <t>Seydou Adamou</t>
  </si>
  <si>
    <t>Oubeida Abdou</t>
  </si>
  <si>
    <t>Mansoura Laouali</t>
  </si>
  <si>
    <t>Kadigaoua</t>
  </si>
  <si>
    <t>Souraya Moussa</t>
  </si>
  <si>
    <t>Moussa Sani</t>
  </si>
  <si>
    <t>01/01/2009 à kadigaoua</t>
  </si>
  <si>
    <t>Mme Rabiou Sakina</t>
  </si>
  <si>
    <t>Azima Saminou</t>
  </si>
  <si>
    <t>Saminou Jadi</t>
  </si>
  <si>
    <t>01/01/2010 à kadigaoua</t>
  </si>
  <si>
    <t>Karima Adamou</t>
  </si>
  <si>
    <t>Adamou Souley</t>
  </si>
  <si>
    <t>01/01/2012 à Kadigaoua</t>
  </si>
  <si>
    <t xml:space="preserve">Mariama Mamane </t>
  </si>
  <si>
    <t>Mamane Rigo</t>
  </si>
  <si>
    <t>Nana Kadidja Moussa</t>
  </si>
  <si>
    <t>Moussa sani</t>
  </si>
  <si>
    <t>Nazifa Chaibou</t>
  </si>
  <si>
    <t>Chaibou Sani</t>
  </si>
  <si>
    <t>01/01/2011 à kadigaoua</t>
  </si>
  <si>
    <t>Abida Hamza</t>
  </si>
  <si>
    <t>Hamza Aboubacar</t>
  </si>
  <si>
    <t>Ouma Inoussa</t>
  </si>
  <si>
    <t>Inoussa Salifou</t>
  </si>
  <si>
    <t>Safaraou Moumouni(Tassiou)</t>
  </si>
  <si>
    <t>Moumouni Mamana</t>
  </si>
  <si>
    <t>Yassira Saddi</t>
  </si>
  <si>
    <t>Saddi Zabeirou</t>
  </si>
  <si>
    <t>01/01/2011 à Kadigaoua</t>
  </si>
  <si>
    <t>Samira Yaou</t>
  </si>
  <si>
    <t>Yaou Souley</t>
  </si>
  <si>
    <t>Ousseina Saidou</t>
  </si>
  <si>
    <t>Saidou Aboubacar</t>
  </si>
  <si>
    <t xml:space="preserve">Nadia djamilou </t>
  </si>
  <si>
    <t>Djamilou salaou</t>
  </si>
  <si>
    <t>Aicha Djadi</t>
  </si>
  <si>
    <t>Djadi Souley</t>
  </si>
  <si>
    <t>Charifa Almou</t>
  </si>
  <si>
    <t>Almou Hamza</t>
  </si>
  <si>
    <t>01/01/ 2011 à kadigaoua</t>
  </si>
  <si>
    <t>Mariama Kassoum</t>
  </si>
  <si>
    <t>Kassoum Boubacar</t>
  </si>
  <si>
    <t>Nazifa Kassoum</t>
  </si>
  <si>
    <t>Kassoum</t>
  </si>
  <si>
    <t>El Kokia</t>
  </si>
  <si>
    <t>Briskila Mamane</t>
  </si>
  <si>
    <t>01/01/2011 à El Kokia</t>
  </si>
  <si>
    <t>Mme Abdou Ramatou</t>
  </si>
  <si>
    <t>Rabila Tsalha</t>
  </si>
  <si>
    <t>Tsalha</t>
  </si>
  <si>
    <t>Mme Samira Mahaman</t>
  </si>
  <si>
    <t>Sanaitou Tsahirou</t>
  </si>
  <si>
    <t>Salima Abdoulahi</t>
  </si>
  <si>
    <t>Souraya Maazou</t>
  </si>
  <si>
    <t>Maazou</t>
  </si>
  <si>
    <t>Soumaya Maazou</t>
  </si>
  <si>
    <t>Wassila Abdou</t>
  </si>
  <si>
    <t>Habsa Oumarou</t>
  </si>
  <si>
    <t>Hannatou Hamissou</t>
  </si>
  <si>
    <t>Oumma Abdou</t>
  </si>
  <si>
    <t>Zakiya Siradji</t>
  </si>
  <si>
    <t>Siradji</t>
  </si>
  <si>
    <t>Nasseifa Mamane</t>
  </si>
  <si>
    <t>Kadidja Hamza</t>
  </si>
  <si>
    <t>Hamza Mamane</t>
  </si>
  <si>
    <t>Maya Oumarou</t>
  </si>
  <si>
    <t>Oumarou Sani</t>
  </si>
  <si>
    <t>Ramma Inoussa</t>
  </si>
  <si>
    <t>Inoussa Sani</t>
  </si>
  <si>
    <t>Oubeida Mamouda</t>
  </si>
  <si>
    <t>Mamouda</t>
  </si>
  <si>
    <t>Farida Nouhou</t>
  </si>
  <si>
    <t>Nouhou</t>
  </si>
  <si>
    <t>Rouwaida Abou</t>
  </si>
  <si>
    <t xml:space="preserve">Abou Garba </t>
  </si>
  <si>
    <t xml:space="preserve">Koubra Laouali </t>
  </si>
  <si>
    <t xml:space="preserve">Laouali Tanko </t>
  </si>
  <si>
    <t>Nana Balkissa Chaibou</t>
  </si>
  <si>
    <t>Kamilatou Sani</t>
  </si>
  <si>
    <t xml:space="preserve">Kadija Abdoul Aziz </t>
  </si>
  <si>
    <t>Abdoul Aziz Djidji</t>
  </si>
  <si>
    <t xml:space="preserve">Marliya Mourtala </t>
  </si>
  <si>
    <t>Mourtala Mati</t>
  </si>
  <si>
    <t>Nana Yassira Amadou</t>
  </si>
  <si>
    <t>Noura Ado</t>
  </si>
  <si>
    <t>01/01/2012 à El Kokia</t>
  </si>
  <si>
    <t>Fatima Ado</t>
  </si>
  <si>
    <t>Laouali Sani</t>
  </si>
  <si>
    <t>Dan Fillo 3</t>
  </si>
  <si>
    <t>Ramatou Bassirou</t>
  </si>
  <si>
    <t>01/01/2012 à Tibiri</t>
  </si>
  <si>
    <t xml:space="preserve">Mme Laouali Halimatou </t>
  </si>
  <si>
    <t>Farida Yacouba</t>
  </si>
  <si>
    <t>Mariam Laminou</t>
  </si>
  <si>
    <t>Laminou</t>
  </si>
  <si>
    <t xml:space="preserve">Mme Ali Kaka Sa'adiya </t>
  </si>
  <si>
    <t>Ramatou Louali</t>
  </si>
  <si>
    <t>Laouli</t>
  </si>
  <si>
    <t>Safaraou Salissou</t>
  </si>
  <si>
    <t>Farida Aboubacar</t>
  </si>
  <si>
    <t>Aminatou Hamidou</t>
  </si>
  <si>
    <t>Kadidja Sani</t>
  </si>
  <si>
    <t>Nadia Sani</t>
  </si>
  <si>
    <t>Moufida Tidjani</t>
  </si>
  <si>
    <t>Tidjani</t>
  </si>
  <si>
    <t>Zalika Moutari</t>
  </si>
  <si>
    <t>Moutari</t>
  </si>
  <si>
    <t>Zeinab Bassirou</t>
  </si>
  <si>
    <t>Bassirou</t>
  </si>
  <si>
    <t>Nafissa Sani</t>
  </si>
  <si>
    <t>Nousseiba Salissou</t>
  </si>
  <si>
    <t>Ouma Salma Hamissou</t>
  </si>
  <si>
    <t>Farida Sabiou</t>
  </si>
  <si>
    <t>Sabiou</t>
  </si>
  <si>
    <t>Zouera Souley</t>
  </si>
  <si>
    <t>Nafissatou Moussa</t>
  </si>
  <si>
    <t>Kadidja Souradji</t>
  </si>
  <si>
    <t>Souradji</t>
  </si>
  <si>
    <t>Safia Mahamane</t>
  </si>
  <si>
    <t>Mahamane</t>
  </si>
  <si>
    <t>Hadjara Ibrahim</t>
  </si>
  <si>
    <t>Naima Rabiou</t>
  </si>
  <si>
    <t>Aichatou Aboubacar</t>
  </si>
  <si>
    <t>Hassana Souley</t>
  </si>
  <si>
    <t>Zaharaou Illia</t>
  </si>
  <si>
    <t>Illia</t>
  </si>
  <si>
    <t>Bassira Saminou</t>
  </si>
  <si>
    <t>Saminou</t>
  </si>
  <si>
    <t>Hadjara Souleymane</t>
  </si>
  <si>
    <t xml:space="preserve">Massaouda Yahaya </t>
  </si>
  <si>
    <t>Balkissa Hamissou</t>
  </si>
  <si>
    <t>Nana Firdaoussi Siradji</t>
  </si>
  <si>
    <t>Mariam Sani</t>
  </si>
  <si>
    <t>Souraya Sani</t>
  </si>
  <si>
    <t>Soura Sarkin Galma 2</t>
  </si>
  <si>
    <t xml:space="preserve">Rakia Mamane </t>
  </si>
  <si>
    <t>31/12/2012 à Soura Sarkin Galma</t>
  </si>
  <si>
    <t>Mme Bizo Aichatou Mahamadou</t>
  </si>
  <si>
    <t>Mariama  Moussa</t>
  </si>
  <si>
    <t>Firdaoussi  Nouhou</t>
  </si>
  <si>
    <t>Hanifa  Sadissou</t>
  </si>
  <si>
    <t>Sadissou</t>
  </si>
  <si>
    <t>Azima  Ichaou</t>
  </si>
  <si>
    <t>Rouwaida Tsahirou</t>
  </si>
  <si>
    <t>Bassira  Djadi</t>
  </si>
  <si>
    <t>Djadi</t>
  </si>
  <si>
    <t>Absente</t>
  </si>
  <si>
    <t>Charifa Aboubacar</t>
  </si>
  <si>
    <t>Nabiyatou Yacouba</t>
  </si>
  <si>
    <t xml:space="preserve">Nana Souraya  Rabiou </t>
  </si>
  <si>
    <t xml:space="preserve">Roufaida Hannafi </t>
  </si>
  <si>
    <t>Nana Naima Ousmane</t>
  </si>
  <si>
    <t>16/06/2009 à Maradi</t>
  </si>
  <si>
    <t>Rachida Amadou Bako</t>
  </si>
  <si>
    <t>Bako</t>
  </si>
  <si>
    <t>Rafia Adamou</t>
  </si>
  <si>
    <t>Hanifa Laouali</t>
  </si>
  <si>
    <t xml:space="preserve">Nabila Tassiou </t>
  </si>
  <si>
    <t xml:space="preserve">Tassiou </t>
  </si>
  <si>
    <t>Soura Sarkin Galma 1</t>
  </si>
  <si>
    <t>Aicha  Aliou</t>
  </si>
  <si>
    <t>Aliou</t>
  </si>
  <si>
    <t>31/12/2010 à Soura Sarkin Galma</t>
  </si>
  <si>
    <t>Mme Abdoulaye Rabi</t>
  </si>
  <si>
    <t xml:space="preserve">Koursiya  Ousmane </t>
  </si>
  <si>
    <t>Mme Hannatou Hamza Ganda</t>
  </si>
  <si>
    <t>Yasmina Daouda</t>
  </si>
  <si>
    <t>Daouda</t>
  </si>
  <si>
    <t>Baraatou Daouda</t>
  </si>
  <si>
    <t>Nassousa Issa</t>
  </si>
  <si>
    <t>Najaatou Rachid</t>
  </si>
  <si>
    <t>Rachid</t>
  </si>
  <si>
    <t>Zeinabou  Hassan</t>
  </si>
  <si>
    <t>Kadija  Salissou</t>
  </si>
  <si>
    <t>Soumaya Laouali</t>
  </si>
  <si>
    <t>Zaharia  Abdou</t>
  </si>
  <si>
    <t>Ouma Djamila Moussa</t>
  </si>
  <si>
    <t>Mahafouza Idi</t>
  </si>
  <si>
    <t>Firdaoussi  Ousmane</t>
  </si>
  <si>
    <t>Firdaoussi  Abdou</t>
  </si>
  <si>
    <t xml:space="preserve">Abdou </t>
  </si>
  <si>
    <t>Rachida Mahamadou</t>
  </si>
  <si>
    <t>Mahamadou</t>
  </si>
  <si>
    <t>Mariama  Tanimoune</t>
  </si>
  <si>
    <t>Tanimoune</t>
  </si>
  <si>
    <t>Faika Ibrahim</t>
  </si>
  <si>
    <t>Charifa  Illia</t>
  </si>
  <si>
    <t>Illia Abdou</t>
  </si>
  <si>
    <t>Safia Mahamane Laouali</t>
  </si>
  <si>
    <t>Mahamane Laouali</t>
  </si>
  <si>
    <t>Aminatou Abdou</t>
  </si>
  <si>
    <t xml:space="preserve">Amira  Sadissou </t>
  </si>
  <si>
    <t>Yousra Laouali</t>
  </si>
  <si>
    <t>Rafia  Sabiou</t>
  </si>
  <si>
    <t>Fadila  Oumarou</t>
  </si>
  <si>
    <t xml:space="preserve">Kodéraoua </t>
  </si>
  <si>
    <t>Chamaya  Issia</t>
  </si>
  <si>
    <t>01/01/2012 à Kodéraoua</t>
  </si>
  <si>
    <t>Mme Laouali Hassiatou</t>
  </si>
  <si>
    <t>Aicha  Sadi</t>
  </si>
  <si>
    <t>Sadi</t>
  </si>
  <si>
    <t>Halimatou  Moumouni</t>
  </si>
  <si>
    <t xml:space="preserve">Moumouni </t>
  </si>
  <si>
    <t>Sayara Mamouda</t>
  </si>
  <si>
    <t xml:space="preserve">Mamouda </t>
  </si>
  <si>
    <t>Nana  Hamissou</t>
  </si>
  <si>
    <t xml:space="preserve">Oumeira Yaou </t>
  </si>
  <si>
    <t>Yaou Amadou</t>
  </si>
  <si>
    <t>Habsatou  Issa</t>
  </si>
  <si>
    <t>Issa Idrissa</t>
  </si>
  <si>
    <t>Faouaziya Moutari</t>
  </si>
  <si>
    <t>Souraya  Abdou</t>
  </si>
  <si>
    <t>Kadija  Hamissou</t>
  </si>
  <si>
    <t>Hamissou Dan Boye</t>
  </si>
  <si>
    <t>Oumoulher  Ousmane</t>
  </si>
  <si>
    <t>Ousmane  Chekaraou</t>
  </si>
  <si>
    <t>Rabi  Ado</t>
  </si>
  <si>
    <t>Ado</t>
  </si>
  <si>
    <t>Sabaa  Sani</t>
  </si>
  <si>
    <t>Kadidja Abdoul Moumouni</t>
  </si>
  <si>
    <t>Abdoul Moumouni</t>
  </si>
  <si>
    <t>Kadidja Laouali</t>
  </si>
  <si>
    <t>Roufaida Sani</t>
  </si>
  <si>
    <t>Ali</t>
  </si>
  <si>
    <t>Fati Saidou</t>
  </si>
  <si>
    <t>Malika Issa</t>
  </si>
  <si>
    <t>Oubandawaki Alfacha</t>
  </si>
  <si>
    <t>Ikilima Ali</t>
  </si>
  <si>
    <t>Ali Adamou</t>
  </si>
  <si>
    <t>01/01/2011 à Oubandawaki Alfacha</t>
  </si>
  <si>
    <t>Mme Rabiou Haoua Abdou</t>
  </si>
  <si>
    <t>Fati Ali</t>
  </si>
  <si>
    <t>Ali dan Haoua</t>
  </si>
  <si>
    <t>Bassira Idi</t>
  </si>
  <si>
    <t>Idi Daouada</t>
  </si>
  <si>
    <t>Nisseiba Maazou</t>
  </si>
  <si>
    <t>Maazou Ichaou</t>
  </si>
  <si>
    <t>Roukaiya Moumouni</t>
  </si>
  <si>
    <t>Moumouni Souley</t>
  </si>
  <si>
    <t>Samira Abdourahame</t>
  </si>
  <si>
    <t>Abdourahame Harouna</t>
  </si>
  <si>
    <t>Choukouriya Laouali</t>
  </si>
  <si>
    <t>Laouali Salissou</t>
  </si>
  <si>
    <t>Zainab Abdou</t>
  </si>
  <si>
    <t>Abdou Oumarou</t>
  </si>
  <si>
    <t>Manira Abdou</t>
  </si>
  <si>
    <t>Abdou Ichaou</t>
  </si>
  <si>
    <t>Kadija Ali</t>
  </si>
  <si>
    <t>Ali Illia</t>
  </si>
  <si>
    <t>Aboubacar Sani</t>
  </si>
  <si>
    <t>Farida Souley</t>
  </si>
  <si>
    <t>Souley Issaka</t>
  </si>
  <si>
    <t>Yasmina Ayouba</t>
  </si>
  <si>
    <t>Ayouba Labo</t>
  </si>
  <si>
    <t>Aicha Abdou Salam</t>
  </si>
  <si>
    <t>Abdou Salam Issa</t>
  </si>
  <si>
    <t>Faiza Haladou</t>
  </si>
  <si>
    <t>Haladou Ichaou</t>
  </si>
  <si>
    <t>Nijaatou Issoufou</t>
  </si>
  <si>
    <t>Issoufou Oumarou</t>
  </si>
  <si>
    <t>Bassira Abdourahamane</t>
  </si>
  <si>
    <t>Abdourahamane</t>
  </si>
  <si>
    <t>Danja 2</t>
  </si>
  <si>
    <t>Yousra Illa</t>
  </si>
  <si>
    <t>Illa Ali</t>
  </si>
  <si>
    <t>01/01/2011 à Danja</t>
  </si>
  <si>
    <t>Mme Habibou Halima</t>
  </si>
  <si>
    <t>Nana Mouwaatou Moussa</t>
  </si>
  <si>
    <t>Moussa Haladou</t>
  </si>
  <si>
    <t>Bassira Laouali</t>
  </si>
  <si>
    <t>Laouali Abou</t>
  </si>
  <si>
    <t>Malika Laouali</t>
  </si>
  <si>
    <t>Laouali Garba</t>
  </si>
  <si>
    <t xml:space="preserve">Nadia Harouna </t>
  </si>
  <si>
    <t>Harouna Dan Zama</t>
  </si>
  <si>
    <t>Salima Yacoubou</t>
  </si>
  <si>
    <t>Yacoubou</t>
  </si>
  <si>
    <t>Mansoura Issoufou</t>
  </si>
  <si>
    <t>Oummi Laouali (Baba)</t>
  </si>
  <si>
    <t>Laouali Souley</t>
  </si>
  <si>
    <t>Marsila Halilou</t>
  </si>
  <si>
    <t>Halilou Maman</t>
  </si>
  <si>
    <t>Safina Laouali</t>
  </si>
  <si>
    <t>Rayanatou Saadou</t>
  </si>
  <si>
    <t>Saadou Maman</t>
  </si>
  <si>
    <t xml:space="preserve">Farida Harouna </t>
  </si>
  <si>
    <t>Harouna Abou</t>
  </si>
  <si>
    <t>Saadiya Hamidou</t>
  </si>
  <si>
    <t>Hamidou Moussa</t>
  </si>
  <si>
    <t>Faouziya Abdou</t>
  </si>
  <si>
    <t>Abdou Magagi</t>
  </si>
  <si>
    <t>Kalifa Moussa</t>
  </si>
  <si>
    <t>Moussa Harouna</t>
  </si>
  <si>
    <t>Marfoua Halilou</t>
  </si>
  <si>
    <t>Soura Magagin Rogo</t>
  </si>
  <si>
    <t>Nadia Kabirou</t>
  </si>
  <si>
    <t>Kabirou Sani</t>
  </si>
  <si>
    <t>01/01/2011 à Soura Magagin Rogo</t>
  </si>
  <si>
    <t>Mme Aboubacar Zeinabou</t>
  </si>
  <si>
    <t xml:space="preserve">Roufaida Salissou </t>
  </si>
  <si>
    <t>absente</t>
  </si>
  <si>
    <t>Houmaira Yacouba</t>
  </si>
  <si>
    <t>Yacouba Garba</t>
  </si>
  <si>
    <t>Bassira Salissou</t>
  </si>
  <si>
    <t xml:space="preserve">Majida Rabiou </t>
  </si>
  <si>
    <t>Rabiou Maman</t>
  </si>
  <si>
    <t>Samira Habou</t>
  </si>
  <si>
    <t>Habou Dadi</t>
  </si>
  <si>
    <t>Fassouma Sabiou</t>
  </si>
  <si>
    <t>Sabiou Ibrahim</t>
  </si>
  <si>
    <t>Farida Ibrahim</t>
  </si>
  <si>
    <t xml:space="preserve">Ibrahim </t>
  </si>
  <si>
    <t>Faouziya Salissou</t>
  </si>
  <si>
    <t>Salissou Ousmane</t>
  </si>
  <si>
    <t>Majida Rabiou</t>
  </si>
  <si>
    <t>Rabiou Miji Yawa</t>
  </si>
  <si>
    <t>Houssina Salissou</t>
  </si>
  <si>
    <t>Habsiya Laouali</t>
  </si>
  <si>
    <t>Laouali Kwani</t>
  </si>
  <si>
    <t xml:space="preserve">Abandon </t>
  </si>
  <si>
    <t>Hanatou Hakilou</t>
  </si>
  <si>
    <t>Hakilou Ousmane</t>
  </si>
  <si>
    <t>Chamsiya Rabiou</t>
  </si>
  <si>
    <t>Rabiou  Maman</t>
  </si>
  <si>
    <t>Fadila Mani</t>
  </si>
  <si>
    <t>Mani Inoussa</t>
  </si>
  <si>
    <t>Redouble CM1</t>
  </si>
  <si>
    <t>La fille a été retrogradé par la demende de ces parents</t>
  </si>
  <si>
    <t xml:space="preserve">Sakina Ibrahim </t>
  </si>
  <si>
    <t>Safo Dan Ali</t>
  </si>
  <si>
    <t>Safo</t>
  </si>
  <si>
    <t xml:space="preserve">Firdaoussi Malam Yaou </t>
  </si>
  <si>
    <t>Malam Yaou</t>
  </si>
  <si>
    <t>01/01/2013 à Safo dan Ali</t>
  </si>
  <si>
    <t>Mme Ousseini Mariama</t>
  </si>
  <si>
    <t>Mounawara Larwana</t>
  </si>
  <si>
    <t>Larwana</t>
  </si>
  <si>
    <t>Rahila Saidou</t>
  </si>
  <si>
    <t>Mouhssina Rabe</t>
  </si>
  <si>
    <t>Rabe</t>
  </si>
  <si>
    <t>Mariama Laouali</t>
  </si>
  <si>
    <t>Zainab Issa</t>
  </si>
  <si>
    <t>Harissa Moussa</t>
  </si>
  <si>
    <t xml:space="preserve">Aicha Issa </t>
  </si>
  <si>
    <t>Mariama Salissou</t>
  </si>
  <si>
    <t>Sadika Ousmane</t>
  </si>
  <si>
    <t>Lamratou Saidou</t>
  </si>
  <si>
    <t>Chaawanaatou Ichaou</t>
  </si>
  <si>
    <t>Mountarou Bermo</t>
  </si>
  <si>
    <t>Laouali Adamou</t>
  </si>
  <si>
    <t>01/01/2011 à Mountarou Barmo</t>
  </si>
  <si>
    <t>Mme Amadou Hadizatou</t>
  </si>
  <si>
    <t>Amira Mani</t>
  </si>
  <si>
    <t>Shaffa Tsayabou</t>
  </si>
  <si>
    <t>Tsayabou Tallé</t>
  </si>
  <si>
    <t>Kadija Abdou</t>
  </si>
  <si>
    <t>Abdou Sani</t>
  </si>
  <si>
    <t>Kadija Achirou</t>
  </si>
  <si>
    <t>Achirou Malam Adamou</t>
  </si>
  <si>
    <t>Haouaou Moussa</t>
  </si>
  <si>
    <t>Moussa Tallé</t>
  </si>
  <si>
    <t>Haouaou Saidou</t>
  </si>
  <si>
    <t>Saidou Abdou</t>
  </si>
  <si>
    <t>Hassana Moussa</t>
  </si>
  <si>
    <t>Massaouda Nouhou</t>
  </si>
  <si>
    <t>Nouhou Moussa</t>
  </si>
  <si>
    <t>Nana Bassira Souley</t>
  </si>
  <si>
    <t>Nazifa Souley  Rabila Salisou</t>
  </si>
  <si>
    <t>Sabiou Djadi</t>
  </si>
  <si>
    <t>Rapia Abdoul Malik</t>
  </si>
  <si>
    <t>Abdoul Malik Garba</t>
  </si>
  <si>
    <t>Rapia Sabaraou</t>
  </si>
  <si>
    <t>Sabaraou Elhadji Abdou</t>
  </si>
  <si>
    <t>Rayanatou Moussa</t>
  </si>
  <si>
    <t>Moussa Nompao</t>
  </si>
  <si>
    <t>Samira Salissou</t>
  </si>
  <si>
    <t>Salissou Moussa</t>
  </si>
  <si>
    <t xml:space="preserve">Bassira Samaila </t>
  </si>
  <si>
    <t>Badaria Abdoul Hamid</t>
  </si>
  <si>
    <t>Hamid</t>
  </si>
  <si>
    <t>Safo Nassaraoua</t>
  </si>
  <si>
    <t>Amina Ali</t>
  </si>
  <si>
    <t>01/01/2012 à Safo Nassaraoua</t>
  </si>
  <si>
    <t>Mme Kabirou Fadjimata</t>
  </si>
  <si>
    <t>Moushtaihida Idi</t>
  </si>
  <si>
    <t>Idi Makaou</t>
  </si>
  <si>
    <t>Hassia Ali</t>
  </si>
  <si>
    <t>Ali Oumarou</t>
  </si>
  <si>
    <t xml:space="preserve">Bassira Chitou </t>
  </si>
  <si>
    <t>Chitou Alassane</t>
  </si>
  <si>
    <t>Zaharaou Souley</t>
  </si>
  <si>
    <t>Souley Abdou</t>
  </si>
  <si>
    <t>Samira Abdoulaye</t>
  </si>
  <si>
    <t>Abdoulaye Ibrahim</t>
  </si>
  <si>
    <t>Nana Kawsar Tassiou</t>
  </si>
  <si>
    <t>Tassiou Adamou</t>
  </si>
  <si>
    <t>Farida Mahamane</t>
  </si>
  <si>
    <t>Mahamane Iro</t>
  </si>
  <si>
    <t>01/01/ 2011 à Safo Nassaraoua</t>
  </si>
  <si>
    <t>Lawratou Manirou</t>
  </si>
  <si>
    <t>Manirou Adamou</t>
  </si>
  <si>
    <t>Soumayya Ichaou</t>
  </si>
  <si>
    <t>Ichaou Idi</t>
  </si>
  <si>
    <t>Mouhoussina Issoufou</t>
  </si>
  <si>
    <t>Issopufou Harouna</t>
  </si>
  <si>
    <t>Balkissa Daouda</t>
  </si>
  <si>
    <t>Kadata</t>
  </si>
  <si>
    <t>Nana Charifa Sabiou</t>
  </si>
  <si>
    <t>Sabiou Abdou</t>
  </si>
  <si>
    <t>01/01/2012 à Kadata</t>
  </si>
  <si>
    <t>Mme Moussa Zeinabou</t>
  </si>
  <si>
    <t>Massaouda Mahamadou</t>
  </si>
  <si>
    <t>Mahamadou Mahamane</t>
  </si>
  <si>
    <t xml:space="preserve">Mme Bachir Rachida </t>
  </si>
  <si>
    <t>Ikilima Sani</t>
  </si>
  <si>
    <t>Sani Aboubacar</t>
  </si>
  <si>
    <t>Mariama Sani</t>
  </si>
  <si>
    <t>Firdaoussi Chaibou</t>
  </si>
  <si>
    <t>Chaibou Hachimou</t>
  </si>
  <si>
    <t>Charifa Tsahirou</t>
  </si>
  <si>
    <t>Tsahirou Hassan</t>
  </si>
  <si>
    <t>Fati Sani</t>
  </si>
  <si>
    <t>Sani Idi</t>
  </si>
  <si>
    <t>Rabila Saadou</t>
  </si>
  <si>
    <t>Saadou Issoufou</t>
  </si>
  <si>
    <t>Yasmina Maman</t>
  </si>
  <si>
    <t>Maman Labo</t>
  </si>
  <si>
    <t xml:space="preserve">Roufaida Sani  </t>
  </si>
  <si>
    <t>Ramatou Tassiou</t>
  </si>
  <si>
    <t>Tassiou Yacouba</t>
  </si>
  <si>
    <t xml:space="preserve">Ousseina Abdoul Moumouni </t>
  </si>
  <si>
    <t>Abdoul Moumouni Abdou</t>
  </si>
  <si>
    <t>Rabi Amadou</t>
  </si>
  <si>
    <t>Amadou Issa</t>
  </si>
  <si>
    <t>Naima Sabiou</t>
  </si>
  <si>
    <t>Sabiou Alassan</t>
  </si>
  <si>
    <t xml:space="preserve">Aichatou Zabeirou </t>
  </si>
  <si>
    <t>Zabeirou Amadou</t>
  </si>
  <si>
    <t>Bassira Garba</t>
  </si>
  <si>
    <t>Garba Mahamane</t>
  </si>
  <si>
    <t>Halimatou Saadiya Amadou</t>
  </si>
  <si>
    <t>Amadou Yacouba</t>
  </si>
  <si>
    <t>Hakama Mahamadou</t>
  </si>
  <si>
    <t>Mahamadou Ali</t>
  </si>
  <si>
    <t>Mabarouka Garba</t>
  </si>
  <si>
    <t>Garba Tsalfa</t>
  </si>
  <si>
    <t>Kadija Laouali</t>
  </si>
  <si>
    <t>Laouali Aboubacar</t>
  </si>
  <si>
    <t xml:space="preserve">Fassouma Aboubacar </t>
  </si>
  <si>
    <t>Aboubacar Ibrahim</t>
  </si>
  <si>
    <t>Safina Kabirou</t>
  </si>
  <si>
    <t>Laria Habibou</t>
  </si>
  <si>
    <t>Chamsiya Saadou</t>
  </si>
  <si>
    <t>Badaria Hachimou</t>
  </si>
  <si>
    <t xml:space="preserve">Hachimou </t>
  </si>
  <si>
    <t xml:space="preserve">01/01/2012 à Kadata </t>
  </si>
  <si>
    <t>Tibiri Nord 3</t>
  </si>
  <si>
    <t xml:space="preserve">Faiza Zabeirou </t>
  </si>
  <si>
    <t>Zabeirou Mai Tabaya</t>
  </si>
  <si>
    <t xml:space="preserve">01/01/2011 à Tibiri </t>
  </si>
  <si>
    <t>Mme Assamaou Balkissa</t>
  </si>
  <si>
    <t>Aichatou Bachar</t>
  </si>
  <si>
    <t>Bachar</t>
  </si>
  <si>
    <t>Mme Ali Haoua</t>
  </si>
  <si>
    <t>Zainab Maman Salihou</t>
  </si>
  <si>
    <t>Maman Salihou</t>
  </si>
  <si>
    <t>Zalika Illa</t>
  </si>
  <si>
    <t>Kadijatou Ali</t>
  </si>
  <si>
    <t>Ali Garba</t>
  </si>
  <si>
    <t>Samira Saadou</t>
  </si>
  <si>
    <t>Saadou mai Wake</t>
  </si>
  <si>
    <t>Mariam Sadissou</t>
  </si>
  <si>
    <t>Sadissou Dan Na Gambo</t>
  </si>
  <si>
    <t>Rouweida Aminou</t>
  </si>
  <si>
    <t>Aminou</t>
  </si>
  <si>
    <t xml:space="preserve">Rachida Harouna </t>
  </si>
  <si>
    <t>Roukaya Halilou</t>
  </si>
  <si>
    <t>Oumma Djamila Laouali</t>
  </si>
  <si>
    <t>Mansoura Rabiou</t>
  </si>
  <si>
    <t>Nana Firdaoussi Saidou</t>
  </si>
  <si>
    <t>Kadija Salissou</t>
  </si>
  <si>
    <t>Nana Kadija Mamane</t>
  </si>
  <si>
    <t>Zainab Salissou</t>
  </si>
  <si>
    <t>Charifa Hadi</t>
  </si>
  <si>
    <t>Hadi</t>
  </si>
  <si>
    <t>Salamatou Rabiou</t>
  </si>
  <si>
    <t>Mouniba Laminou</t>
  </si>
  <si>
    <t>Mariama Oumarou</t>
  </si>
  <si>
    <t>Nana Fadila Moustapha</t>
  </si>
  <si>
    <t>Moustapha</t>
  </si>
  <si>
    <t>Danja 1</t>
  </si>
  <si>
    <t>Sani Yazi</t>
  </si>
  <si>
    <t>Mme Harouna Aichatou</t>
  </si>
  <si>
    <t>Zakia Mamane</t>
  </si>
  <si>
    <t>Mamane Mamane</t>
  </si>
  <si>
    <t>Mme Souleymane Mamata</t>
  </si>
  <si>
    <t>Izatou Abdou</t>
  </si>
  <si>
    <t>Haoulé Yahouza</t>
  </si>
  <si>
    <t>Yahouza Issoufou</t>
  </si>
  <si>
    <t>Rakia Issoufou</t>
  </si>
  <si>
    <t>Issoufou Moussa</t>
  </si>
  <si>
    <t>Malika Kabirou</t>
  </si>
  <si>
    <t>Kabirou Chaibou</t>
  </si>
  <si>
    <t>Majida Aboubacar</t>
  </si>
  <si>
    <t>Aboubacar Abdou</t>
  </si>
  <si>
    <t>Mabarouka Aboubacar</t>
  </si>
  <si>
    <t>Aboubacar Idi</t>
  </si>
  <si>
    <t>Chapia Harouna</t>
  </si>
  <si>
    <t>Harouna Garba</t>
  </si>
  <si>
    <t>Safia Abdou</t>
  </si>
  <si>
    <t>Abdou Soumaila</t>
  </si>
  <si>
    <t xml:space="preserve">Naomi Garba </t>
  </si>
  <si>
    <t>Garba Maidah</t>
  </si>
  <si>
    <t>Fatiya Nouhou</t>
  </si>
  <si>
    <t>Nouhou Ali</t>
  </si>
  <si>
    <t>Bernadette Yacouba</t>
  </si>
  <si>
    <t>Magazi</t>
  </si>
  <si>
    <t>Alheri Abdou</t>
  </si>
  <si>
    <t>Abdou Balla</t>
  </si>
  <si>
    <t xml:space="preserve">Ataliya Aboubacar </t>
  </si>
  <si>
    <t>Aboubacar Mountao</t>
  </si>
  <si>
    <t>Adamou Mamane</t>
  </si>
  <si>
    <t>Fati saadou</t>
  </si>
  <si>
    <t>Saadou dan Zabai</t>
  </si>
  <si>
    <t>Aicha Salissou</t>
  </si>
  <si>
    <t>Salissou Abdou</t>
  </si>
  <si>
    <t>Amira Laouali</t>
  </si>
  <si>
    <t>Laouali Moussa</t>
  </si>
  <si>
    <t>Nana Firdaoussi Laouali</t>
  </si>
  <si>
    <t>Laouali Abdou</t>
  </si>
  <si>
    <t>Fati Hamza</t>
  </si>
  <si>
    <t>Hamza Mati</t>
  </si>
  <si>
    <t>Moushtahida Tassiou</t>
  </si>
  <si>
    <t>Tassiou Oumarou</t>
  </si>
  <si>
    <t>Harissa Souradji</t>
  </si>
  <si>
    <t>Souradji Oumarou</t>
  </si>
  <si>
    <t>Nana Sahiba Aboubacar</t>
  </si>
  <si>
    <t>Aboubacar Moussa</t>
  </si>
  <si>
    <t>Laayatou Laouali</t>
  </si>
  <si>
    <t>Laouali Maman</t>
  </si>
  <si>
    <t>Nafissa Moussa</t>
  </si>
  <si>
    <t>Nafsiya Laouali Salissou</t>
  </si>
  <si>
    <t>Zeinab Garba</t>
  </si>
  <si>
    <t>Halilou Garba</t>
  </si>
  <si>
    <t>Soura 2</t>
  </si>
  <si>
    <t>Adama Abdou</t>
  </si>
  <si>
    <t>01/01/2010 à Soura</t>
  </si>
  <si>
    <t xml:space="preserve">Mme Ibrahim Amina </t>
  </si>
  <si>
    <t>Mariama Hamidou</t>
  </si>
  <si>
    <t>Hamidou Rabiou</t>
  </si>
  <si>
    <t>Firdaoussi Hassan</t>
  </si>
  <si>
    <t>Hassan Amadou</t>
  </si>
  <si>
    <t>Fatouma Moustapha</t>
  </si>
  <si>
    <t>Moustapha Salissou</t>
  </si>
  <si>
    <t>Oumairatou Aminou</t>
  </si>
  <si>
    <t>Aminou Yahaya</t>
  </si>
  <si>
    <t xml:space="preserve">Mme Abdou Rahamane Sappa </t>
  </si>
  <si>
    <t>Nana Faika Anass</t>
  </si>
  <si>
    <t>Anass Maman Sani</t>
  </si>
  <si>
    <t>Malika Chaibou</t>
  </si>
  <si>
    <t>Chaibou Malam Idi</t>
  </si>
  <si>
    <t>Farida Mamoudou</t>
  </si>
  <si>
    <t>Zeinab Rabé</t>
  </si>
  <si>
    <t>Rabé Mani</t>
  </si>
  <si>
    <t>Hadjara Salissou</t>
  </si>
  <si>
    <t>Salissou Maman</t>
  </si>
  <si>
    <t>Roufaida Saadou</t>
  </si>
  <si>
    <t>Saadou Tsahirou</t>
  </si>
  <si>
    <t>Nana Firdaoussi Noura</t>
  </si>
  <si>
    <t>Nana Soumaya Aweissou</t>
  </si>
  <si>
    <t>Aweissou Saadou</t>
  </si>
  <si>
    <t>Hassana Rabiou</t>
  </si>
  <si>
    <t>Rabiou Amadou</t>
  </si>
  <si>
    <t>Ousseina Rabiou</t>
  </si>
  <si>
    <t>Fatouma Zara Adamou</t>
  </si>
  <si>
    <t>Adamou Bakoye</t>
  </si>
  <si>
    <t>Wassila Noura</t>
  </si>
  <si>
    <t>Noura Falalou</t>
  </si>
  <si>
    <t>Rabila kané</t>
  </si>
  <si>
    <t>Kané Barmo</t>
  </si>
  <si>
    <t xml:space="preserve">Kadija Sani </t>
  </si>
  <si>
    <t>Baraatou Sabiou</t>
  </si>
  <si>
    <t>Sabiou Laouali</t>
  </si>
  <si>
    <t>Sabila Salissou</t>
  </si>
  <si>
    <t>Salissou Kané</t>
  </si>
  <si>
    <t xml:space="preserve">Najaatou Aboubacar </t>
  </si>
  <si>
    <t>Aboubacar Harouna</t>
  </si>
  <si>
    <t>Yassira Abou Soufowane</t>
  </si>
  <si>
    <t>Abou Soufowane Rabiou</t>
  </si>
  <si>
    <t>Choukouriya Tassiou</t>
  </si>
  <si>
    <t>Tassiou Maman</t>
  </si>
  <si>
    <t>Baraatou Harouna</t>
  </si>
  <si>
    <t>Kadija Sabiou</t>
  </si>
  <si>
    <t>Sabiou Maman</t>
  </si>
  <si>
    <t>Faiza  Abass</t>
  </si>
  <si>
    <t>Nafissa Laouali</t>
  </si>
  <si>
    <t xml:space="preserve">Elle a été transféré dans une autre école </t>
  </si>
  <si>
    <t>Saé Saboua</t>
  </si>
  <si>
    <t>Oumou Kaltoum  Ibrahim</t>
  </si>
  <si>
    <t>Garba Ibrahim</t>
  </si>
  <si>
    <t>31/12/2010 à Saé Saboua</t>
  </si>
  <si>
    <t>Mme Yarima Rabiou</t>
  </si>
  <si>
    <t xml:space="preserve">Na ima Garba </t>
  </si>
  <si>
    <t>Garba  Mani</t>
  </si>
  <si>
    <t>Na ima Baraou</t>
  </si>
  <si>
    <t>Baraou Malam Sani</t>
  </si>
  <si>
    <t>31/12/2009 à Saé Saboua</t>
  </si>
  <si>
    <t>Mme Harouna Fourera</t>
  </si>
  <si>
    <t xml:space="preserve">Oumaimatou Hassan </t>
  </si>
  <si>
    <t xml:space="preserve">Hassan  Souley </t>
  </si>
  <si>
    <t>31/12/2011 à Saé Saboua</t>
  </si>
  <si>
    <t xml:space="preserve">Mahafouza Moussa </t>
  </si>
  <si>
    <t>01/01/2010 à Saé Saboua</t>
  </si>
  <si>
    <t xml:space="preserve">Ramatou Hamza </t>
  </si>
  <si>
    <t>Hamza Boukari</t>
  </si>
  <si>
    <t xml:space="preserve">Malika  Daouada </t>
  </si>
  <si>
    <t>Daouda Arzika</t>
  </si>
  <si>
    <t>18/02/2012 à Saé Saboua</t>
  </si>
  <si>
    <t>Rouweida  Hamissou</t>
  </si>
  <si>
    <t>Hamissou  Issaka</t>
  </si>
  <si>
    <t>01/01/2011 à Saé Saboua</t>
  </si>
  <si>
    <t>Housseina  Saadou</t>
  </si>
  <si>
    <t>Saadou Chékaraou</t>
  </si>
  <si>
    <t>Hassana  Saadou</t>
  </si>
  <si>
    <t>Yassira  Zabeirou</t>
  </si>
  <si>
    <t>Zabeirou  Dan  Mairie</t>
  </si>
  <si>
    <t>25/05/2010 à Saé Saboua</t>
  </si>
  <si>
    <t>Mouhoussina  Tsayabou</t>
  </si>
  <si>
    <t>Tsayabou  Laouali</t>
  </si>
  <si>
    <t>Luyaatou  Tsayabou</t>
  </si>
  <si>
    <t xml:space="preserve">Tsayabou  Issaka </t>
  </si>
  <si>
    <t>Rissala  Ibrahim</t>
  </si>
  <si>
    <t>Ibrahim  Labo</t>
  </si>
  <si>
    <t>Yassimina  Boukari</t>
  </si>
  <si>
    <t>Boukari  Mani</t>
  </si>
  <si>
    <t>Roumassaou  Inoussa</t>
  </si>
  <si>
    <t xml:space="preserve">Inoussa Issa </t>
  </si>
  <si>
    <t>Nana  Saminou</t>
  </si>
  <si>
    <t>Saminou  Labo</t>
  </si>
  <si>
    <t>Nouriya  Moutari</t>
  </si>
  <si>
    <t>Moutari  Labo</t>
  </si>
  <si>
    <t>Firdaoussi  Hassan</t>
  </si>
  <si>
    <t xml:space="preserve">Hassan  Inoussa </t>
  </si>
  <si>
    <t>20/10/2010 à Saé Saboua</t>
  </si>
  <si>
    <t xml:space="preserve">Darayatou  Hamza </t>
  </si>
  <si>
    <t xml:space="preserve">Hamza </t>
  </si>
  <si>
    <t xml:space="preserve">Madjida  Issaka </t>
  </si>
  <si>
    <t>Issaka  Koini</t>
  </si>
  <si>
    <t>10/04/2011 à Saé Saboua</t>
  </si>
  <si>
    <t xml:space="preserve">Habsatou  Hamza </t>
  </si>
  <si>
    <t>Hamza  Boukari</t>
  </si>
  <si>
    <t>Halimatou  Moussa</t>
  </si>
  <si>
    <t>Moussa Labo</t>
  </si>
  <si>
    <t xml:space="preserve">Alawiya  Alka </t>
  </si>
  <si>
    <t xml:space="preserve">Alka  </t>
  </si>
  <si>
    <t xml:space="preserve">Salima  Aboubacar </t>
  </si>
  <si>
    <t>Aboubacar Arzika</t>
  </si>
  <si>
    <t>Naima  Illia</t>
  </si>
  <si>
    <t>Illia  Oumarou</t>
  </si>
  <si>
    <t>01/01/2009 à Saé Saboua</t>
  </si>
  <si>
    <t xml:space="preserve">Aminatou Moussa </t>
  </si>
  <si>
    <t xml:space="preserve">Nissaiba  Kabirou </t>
  </si>
  <si>
    <t>Kabirou  Sani</t>
  </si>
  <si>
    <t>13/04/2012 à Saé Saboua</t>
  </si>
  <si>
    <t>Batoula  Souley</t>
  </si>
  <si>
    <t>Souley Sani</t>
  </si>
  <si>
    <t>Samira  Boukari</t>
  </si>
  <si>
    <t>Boukari Labo</t>
  </si>
  <si>
    <t>Charifa Kabirou</t>
  </si>
  <si>
    <t>Kabirou Maman</t>
  </si>
  <si>
    <t>Najaatou  Souley</t>
  </si>
  <si>
    <t>Souley Oumarou</t>
  </si>
  <si>
    <t xml:space="preserve">Nana Mariama Oumarou </t>
  </si>
  <si>
    <t>Oumarou  Djadi</t>
  </si>
  <si>
    <t>06/01/2012 à Saé saboua</t>
  </si>
  <si>
    <t>Safiya  Ibrahim</t>
  </si>
  <si>
    <t>Ibrahim  Gambo</t>
  </si>
  <si>
    <t>Mafida Rabiou</t>
  </si>
  <si>
    <t xml:space="preserve">vers 2011 à Sae Saboua  </t>
  </si>
  <si>
    <t>Rachida Zabeirou</t>
  </si>
  <si>
    <t>Halima Inoussa</t>
  </si>
  <si>
    <t>Ouma Koulsoum Sabiou</t>
  </si>
  <si>
    <t>Soura 1</t>
  </si>
  <si>
    <t>Kadidja  Maman</t>
  </si>
  <si>
    <t>Maman Abdou</t>
  </si>
  <si>
    <t>Mme Hamma Zaratou</t>
  </si>
  <si>
    <t>Houmaira  Hachimou</t>
  </si>
  <si>
    <t>Hachimou  Hamissou</t>
  </si>
  <si>
    <t xml:space="preserve">Hadiza  Mourtala </t>
  </si>
  <si>
    <t>Mourtala Salifou</t>
  </si>
  <si>
    <t>Mme Rabiou Mabarouka</t>
  </si>
  <si>
    <t xml:space="preserve">Abida  Yacouba </t>
  </si>
  <si>
    <t>Yacouba  Inoussa</t>
  </si>
  <si>
    <t xml:space="preserve">Hanatou  Sani </t>
  </si>
  <si>
    <t>Sani  Moussa</t>
  </si>
  <si>
    <t xml:space="preserve">Nazira Sabiou </t>
  </si>
  <si>
    <t>Sabiou  Illa</t>
  </si>
  <si>
    <t>Zaaraou  Salissou</t>
  </si>
  <si>
    <t>Salissou Sani</t>
  </si>
  <si>
    <t xml:space="preserve"> </t>
  </si>
  <si>
    <t>Fatima Zara Tassiou</t>
  </si>
  <si>
    <t>Fatima  Hamissou</t>
  </si>
  <si>
    <t>Hamissou  Ousman</t>
  </si>
  <si>
    <t>Zeinab Ousseini</t>
  </si>
  <si>
    <t>Ousseini</t>
  </si>
  <si>
    <t>Naamaou Moustapha</t>
  </si>
  <si>
    <t>Moustapha Inoussa</t>
  </si>
  <si>
    <t xml:space="preserve">Hanifa Salifou </t>
  </si>
  <si>
    <t>Salifou  Maman</t>
  </si>
  <si>
    <t>Hanifa  Tassiou</t>
  </si>
  <si>
    <t>Tasiou Illa</t>
  </si>
  <si>
    <t>Halimatou Saadia  Abdou</t>
  </si>
  <si>
    <t>Abdou Issoufou</t>
  </si>
  <si>
    <t>Nasseiba Salissou</t>
  </si>
  <si>
    <t xml:space="preserve">Fati  Abdou  </t>
  </si>
  <si>
    <t xml:space="preserve">Djamila Sabiou </t>
  </si>
  <si>
    <t xml:space="preserve">Sabiou  Rabiou </t>
  </si>
  <si>
    <t>Aminatou Souley</t>
  </si>
  <si>
    <t>Souley  Laouali</t>
  </si>
  <si>
    <t>Ousseina Moutari</t>
  </si>
  <si>
    <t>Moutari Ibrahim</t>
  </si>
  <si>
    <t>Iziya Abou</t>
  </si>
  <si>
    <t>Abdou  Issoufou</t>
  </si>
  <si>
    <t>Chapia  Hamissou</t>
  </si>
  <si>
    <t>Habsatou Maman</t>
  </si>
  <si>
    <t>Maman</t>
  </si>
  <si>
    <t>Charifa Idi</t>
  </si>
  <si>
    <t>Mouniba  Hassan</t>
  </si>
  <si>
    <t>Chapia  Aboubacar</t>
  </si>
  <si>
    <t>Zeinab  Kané</t>
  </si>
  <si>
    <t>Kané</t>
  </si>
  <si>
    <t>Dayaba Abdoulahi</t>
  </si>
  <si>
    <t>Fatima Sabiou</t>
  </si>
  <si>
    <t>Rahila Sade</t>
  </si>
  <si>
    <t>Sade</t>
  </si>
  <si>
    <t>Mallamai Saboua</t>
  </si>
  <si>
    <t>Sourayya Halilou</t>
  </si>
  <si>
    <t>01/01/2012 à Zakin Koima</t>
  </si>
  <si>
    <t>Mme Iro Fati</t>
  </si>
  <si>
    <t>Sariha Souley</t>
  </si>
  <si>
    <t>01/01/2012 à Mallamai</t>
  </si>
  <si>
    <t>Bacharia Saidou(Issa)</t>
  </si>
  <si>
    <t>Firdaoussi Ousmane</t>
  </si>
  <si>
    <t>Marfoua Saminou</t>
  </si>
  <si>
    <t>Saminou Mossa</t>
  </si>
  <si>
    <t>Moufida Oumarou</t>
  </si>
  <si>
    <t>Massaouda Inoussa</t>
  </si>
  <si>
    <t>Inoussa Ibrahim</t>
  </si>
  <si>
    <t>Nafissa Ali</t>
  </si>
  <si>
    <t>Kadidja Aboubacar</t>
  </si>
  <si>
    <t>Kouboura Yahaya</t>
  </si>
  <si>
    <t>Kadidja Salissou</t>
  </si>
  <si>
    <t>Fatima  Zara Maman</t>
  </si>
  <si>
    <t>Machaouna Sani</t>
  </si>
  <si>
    <t>Hanifa Souley</t>
  </si>
  <si>
    <t>Souley Mamouda</t>
  </si>
  <si>
    <t>Kadidja Maman</t>
  </si>
  <si>
    <t>Maman Harouna</t>
  </si>
  <si>
    <t>Chapia Ali</t>
  </si>
  <si>
    <t>Mourjanatou Mahamane</t>
  </si>
  <si>
    <t>Nafsia Salissou</t>
  </si>
  <si>
    <t>Badaria Yahaya</t>
  </si>
  <si>
    <t xml:space="preserve">Yahaya </t>
  </si>
  <si>
    <t>Balkissa Salissou</t>
  </si>
  <si>
    <t>Bassira Chaibou</t>
  </si>
  <si>
    <t>Chaibou Laouali</t>
  </si>
  <si>
    <t>Barouana</t>
  </si>
  <si>
    <t>Lawissa Harouna</t>
  </si>
  <si>
    <t>01/01/2011 à Barouana</t>
  </si>
  <si>
    <t>Mme AbdoulKader Saadatou</t>
  </si>
  <si>
    <t>Hassana  Harouna</t>
  </si>
  <si>
    <t>Harouna Ousmane</t>
  </si>
  <si>
    <t>Zaharaou  Abdoul Karimou</t>
  </si>
  <si>
    <t>Abdoul Karimou Moussa</t>
  </si>
  <si>
    <t>Mme Abdousalam Ramatou</t>
  </si>
  <si>
    <t>Nafissa Salissou</t>
  </si>
  <si>
    <t>Salissou Alhassan</t>
  </si>
  <si>
    <t>Raya Abdou</t>
  </si>
  <si>
    <t>Abdou Adamou</t>
  </si>
  <si>
    <t>01/01/2011 à Hilin Kai</t>
  </si>
  <si>
    <t>Bassira  Issa</t>
  </si>
  <si>
    <t>Issa Salihou</t>
  </si>
  <si>
    <t>Maraliya Ousmane</t>
  </si>
  <si>
    <t>Ousmane Dan Ali</t>
  </si>
  <si>
    <t>Aicha  Issaka</t>
  </si>
  <si>
    <t>Chamsiya Sanoussi</t>
  </si>
  <si>
    <t>Sanoussi  Ali</t>
  </si>
  <si>
    <t>Soumaya  Aboubacar</t>
  </si>
  <si>
    <t>Aboubacar Maman</t>
  </si>
  <si>
    <t>Karima  Maman</t>
  </si>
  <si>
    <t>Maman  Abdou</t>
  </si>
  <si>
    <t>Firdaoussi  Harouna</t>
  </si>
  <si>
    <t xml:space="preserve">Zahariya  Abdoul Aziz </t>
  </si>
  <si>
    <t>Abdoul Aziz Hamidou</t>
  </si>
  <si>
    <t>Souéba  Almou</t>
  </si>
  <si>
    <t>Almou Mahamane</t>
  </si>
  <si>
    <t xml:space="preserve">Souweiba Illa </t>
  </si>
  <si>
    <t>Illa  Ibrahim</t>
  </si>
  <si>
    <t>Zaharaou  Maman</t>
  </si>
  <si>
    <t>Maman Hamidou</t>
  </si>
  <si>
    <t>Barira  Abdou</t>
  </si>
  <si>
    <t>Abdou Salihou</t>
  </si>
  <si>
    <t>Ousseina Harouna</t>
  </si>
  <si>
    <t>Zeinab Almou</t>
  </si>
  <si>
    <t xml:space="preserve">Almou </t>
  </si>
  <si>
    <t>Firdaoussi Halilou</t>
  </si>
  <si>
    <t>Fatiha Illiassou</t>
  </si>
  <si>
    <t>Illiassou</t>
  </si>
  <si>
    <t>Rafia Illa</t>
  </si>
  <si>
    <t>Assamaou Hassan</t>
  </si>
  <si>
    <t>Hassan Halilou</t>
  </si>
  <si>
    <t xml:space="preserve">Laritou Abdou  </t>
  </si>
  <si>
    <t>Abdou Issa</t>
  </si>
  <si>
    <t>Nana Aicha Issaka</t>
  </si>
  <si>
    <t>Charifa Ibrahim</t>
  </si>
  <si>
    <t>Laritou Abdou</t>
  </si>
  <si>
    <t xml:space="preserve">Elle a quitté completement l'école </t>
  </si>
  <si>
    <t>Tchikadji  Centre</t>
  </si>
  <si>
    <t>Habsatou Moussa</t>
  </si>
  <si>
    <t>Moussa Issaka</t>
  </si>
  <si>
    <t>01/01/2011 à Tchikadji</t>
  </si>
  <si>
    <t>Mme Chamaouna Nana Hadiza</t>
  </si>
  <si>
    <t>Iklima  Abdou</t>
  </si>
  <si>
    <t>Abdou Illa</t>
  </si>
  <si>
    <t>Rakia Achirou</t>
  </si>
  <si>
    <t>Achirou  Moussa</t>
  </si>
  <si>
    <t>Laouali Illa</t>
  </si>
  <si>
    <t>Fatchima  Garba</t>
  </si>
  <si>
    <t>Garba Miko</t>
  </si>
  <si>
    <t>Balkissa  Laouali</t>
  </si>
  <si>
    <t>Laouali Rabé</t>
  </si>
  <si>
    <t>Mariam  Abdou</t>
  </si>
  <si>
    <t>Abdou  Maman</t>
  </si>
  <si>
    <t>Zeinab Aboubacar</t>
  </si>
  <si>
    <t>Aboubacar Saidou</t>
  </si>
  <si>
    <t xml:space="preserve">Amira Abdou </t>
  </si>
  <si>
    <t>Ouma Maimounatou Laouali</t>
  </si>
  <si>
    <t xml:space="preserve">Zeinab Sabiou </t>
  </si>
  <si>
    <t xml:space="preserve">Kadidja Hassan </t>
  </si>
  <si>
    <t>Maradou  Centre</t>
  </si>
  <si>
    <t xml:space="preserve">Nouria Chitou </t>
  </si>
  <si>
    <t>Chitou Na Haro</t>
  </si>
  <si>
    <t>01/01/2011 à Bakaoua</t>
  </si>
  <si>
    <t>Mme Rabiou Ramatou Mamane</t>
  </si>
  <si>
    <t>Yassira Sani</t>
  </si>
  <si>
    <t>Sani  Laouali</t>
  </si>
  <si>
    <t>01/01/2011 à Maradou/Keguel</t>
  </si>
  <si>
    <t>Latifa  Illa</t>
  </si>
  <si>
    <t>Illa  Labo</t>
  </si>
  <si>
    <t>Mme Dan Goté Ramatou Hamidou</t>
  </si>
  <si>
    <t>Chaffa Laouali</t>
  </si>
  <si>
    <t>Laouali Soulé</t>
  </si>
  <si>
    <t>01/01/2011 à Madarounfa</t>
  </si>
  <si>
    <t>Zeinabou  Rabé</t>
  </si>
  <si>
    <t>Rabé  Laouali</t>
  </si>
  <si>
    <t>Zaraou  Souley</t>
  </si>
  <si>
    <t>Souley Salihou</t>
  </si>
  <si>
    <t>Halima Sani</t>
  </si>
  <si>
    <t>Sani Na Danko</t>
  </si>
  <si>
    <t>Alheri Nouhou</t>
  </si>
  <si>
    <t>Nouhou Kakale</t>
  </si>
  <si>
    <t xml:space="preserve">Najiba Haladou </t>
  </si>
  <si>
    <t>Haladou Maman Sani</t>
  </si>
  <si>
    <t>Nouyeira Abdoulahi</t>
  </si>
  <si>
    <t>Abdoulahi Hassan</t>
  </si>
  <si>
    <t>Sapwila Tsahirou</t>
  </si>
  <si>
    <t>Tsahirou Souley</t>
  </si>
  <si>
    <t>Rafia Mountaka</t>
  </si>
  <si>
    <t>Mountaka Mani</t>
  </si>
  <si>
    <t>Kara'a  Abdou</t>
  </si>
  <si>
    <t>Abdou Karim Ousman</t>
  </si>
  <si>
    <t>Nana Fadila Kader</t>
  </si>
  <si>
    <t>Kader  Sani</t>
  </si>
  <si>
    <t>Nazira Daouda</t>
  </si>
  <si>
    <t>Daouda Ali</t>
  </si>
  <si>
    <t>Habsa  Soufia</t>
  </si>
  <si>
    <t>Soufia Ousman</t>
  </si>
  <si>
    <t xml:space="preserve">Zaharia  Daouda </t>
  </si>
  <si>
    <t>Amira Hamissou</t>
  </si>
  <si>
    <t>Hamissou  Souleymane</t>
  </si>
  <si>
    <t>Silvia  Sani</t>
  </si>
  <si>
    <t>Kadidja Hachimou</t>
  </si>
  <si>
    <t>Hachimou Moussa</t>
  </si>
  <si>
    <t>Balkissa  Badamassi</t>
  </si>
  <si>
    <t>Aichatou  Sani</t>
  </si>
  <si>
    <t>Sani  Abdou</t>
  </si>
  <si>
    <t>Ibrahim Moussa</t>
  </si>
  <si>
    <t>Zeinab Ado</t>
  </si>
  <si>
    <t>Fadila Issaka</t>
  </si>
  <si>
    <t>Issaka</t>
  </si>
  <si>
    <t>Manira Issoufou</t>
  </si>
  <si>
    <t>Nazifa Mourtala</t>
  </si>
  <si>
    <t>Mourtala</t>
  </si>
  <si>
    <t>Fati Aboubacar</t>
  </si>
  <si>
    <t>Garin Yari Idi</t>
  </si>
  <si>
    <t>Malika  Halilou</t>
  </si>
  <si>
    <t>Halilou Illa</t>
  </si>
  <si>
    <t>01/01/2011 à El Kouka</t>
  </si>
  <si>
    <t>Mme Mahamadou Hadizatou Nouhou</t>
  </si>
  <si>
    <t>Nana Fadila Abara</t>
  </si>
  <si>
    <t>Abara Sallaou</t>
  </si>
  <si>
    <t>Mme Hadiza Issaka</t>
  </si>
  <si>
    <t>Nana Fadila Halilou</t>
  </si>
  <si>
    <t>Halilou Laouali</t>
  </si>
  <si>
    <t>Rahina Mamane</t>
  </si>
  <si>
    <t>Mamane Issaka</t>
  </si>
  <si>
    <t>Rapia Halilou</t>
  </si>
  <si>
    <t>Salamatou Abdoulaye</t>
  </si>
  <si>
    <t>Abdoulaye</t>
  </si>
  <si>
    <t>01/01/2011 à Garin Yari Idi</t>
  </si>
  <si>
    <t>Aicha  Mamane</t>
  </si>
  <si>
    <t>Mamane Kané</t>
  </si>
  <si>
    <t>Rouweida Mamane</t>
  </si>
  <si>
    <t>Mamane Souley</t>
  </si>
  <si>
    <t>Amira  Illa</t>
  </si>
  <si>
    <t>Moufida Ibrahim</t>
  </si>
  <si>
    <t>Ibrahim Abdou</t>
  </si>
  <si>
    <t>Yassimina Ousseini</t>
  </si>
  <si>
    <t>Ousseini Yari Idi</t>
  </si>
  <si>
    <t>Mamane Yari Idi</t>
  </si>
  <si>
    <t>Nadia Bouhari</t>
  </si>
  <si>
    <t>Bouhari Ousmane</t>
  </si>
  <si>
    <t>Nisseiba Abdou</t>
  </si>
  <si>
    <t>Abdou  Idi</t>
  </si>
  <si>
    <t xml:space="preserve">Nana Firdaoussi Illa </t>
  </si>
  <si>
    <t>Illa Moussa</t>
  </si>
  <si>
    <t xml:space="preserve">Lamratou Inoussa </t>
  </si>
  <si>
    <t>Inoussa Nomao</t>
  </si>
  <si>
    <t>Habsatou  Issaka</t>
  </si>
  <si>
    <t>Issaka  Idi</t>
  </si>
  <si>
    <t>Kadidja Samaila</t>
  </si>
  <si>
    <t>Samaila Idi</t>
  </si>
  <si>
    <t>Haouaou Moustapha</t>
  </si>
  <si>
    <t>Moustapha Illa</t>
  </si>
  <si>
    <t>Fati Souley</t>
  </si>
  <si>
    <t>Souley Harouna</t>
  </si>
  <si>
    <t>Ousseina Aweissou</t>
  </si>
  <si>
    <t>Aweissou Rabiou</t>
  </si>
  <si>
    <t>Chafaatou Moustapha</t>
  </si>
  <si>
    <t>Moustapha Oumarou</t>
  </si>
  <si>
    <t xml:space="preserve">Aicha Aboubacar </t>
  </si>
  <si>
    <t>Aboubacar Souley</t>
  </si>
  <si>
    <t>Charifa  Sani</t>
  </si>
  <si>
    <t xml:space="preserve">Aicha  Yacouba </t>
  </si>
  <si>
    <t>Yacouba Abou</t>
  </si>
  <si>
    <t xml:space="preserve">Laouré Daouda </t>
  </si>
  <si>
    <t xml:space="preserve">Daouda Moussa </t>
  </si>
  <si>
    <t>Fadila Soufianou</t>
  </si>
  <si>
    <t>Soufianou Yacouba</t>
  </si>
  <si>
    <t>Faiza Harouna</t>
  </si>
  <si>
    <t>Najaatou Laouali</t>
  </si>
  <si>
    <t>Roufaida Aboubacar</t>
  </si>
  <si>
    <t>Djamila Saidou</t>
  </si>
  <si>
    <t xml:space="preserve">MOYENNE/20 </t>
  </si>
  <si>
    <t>NB:</t>
  </si>
  <si>
    <t>0 C'est-à-dire la fille a composé, elle a eu 0</t>
  </si>
  <si>
    <t>Case vide la fille n'a pas composé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</si>
</sst>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i/>
      <sz val="12.0"/>
      <color theme="1"/>
      <name val="Calibri"/>
    </font>
    <font>
      <sz val="11.0"/>
      <color theme="1"/>
      <name val="Calibri"/>
    </font>
    <font>
      <sz val="11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sz val="11.0"/>
      <color theme="1"/>
      <name val="Arial Black"/>
    </font>
    <font>
      <b/>
      <sz val="11.0"/>
      <color theme="1"/>
      <name val="Arial Black"/>
    </font>
    <font>
      <b/>
      <sz val="14.0"/>
      <color theme="1"/>
      <name val="Cambria"/>
    </font>
    <font>
      <b/>
      <sz val="12.0"/>
      <color theme="1"/>
      <name val="Cambria"/>
    </font>
    <font/>
    <font>
      <b/>
      <sz val="11.0"/>
      <color theme="1"/>
      <name val="Calibri"/>
    </font>
    <font>
      <sz val="14.0"/>
      <color theme="1"/>
      <name val="Times New Roman"/>
    </font>
    <font>
      <sz val="12.0"/>
      <color theme="1"/>
      <name val="Times New Roman"/>
    </font>
    <font>
      <sz val="11.0"/>
      <color theme="1"/>
      <name val="Cambria"/>
    </font>
    <font>
      <b/>
      <sz val="14.0"/>
      <color theme="1"/>
      <name val="Calibri"/>
    </font>
    <font>
      <b/>
      <sz val="14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DE9D1"/>
        <bgColor rgb="FFFDE9D1"/>
      </patternFill>
    </fill>
    <fill>
      <patternFill patternType="solid">
        <fgColor rgb="FFFFE99C"/>
        <bgColor rgb="FFFFE99C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horizontal="center"/>
    </xf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1" fillId="2" fontId="9" numFmtId="0" xfId="0" applyAlignment="1" applyBorder="1" applyFill="1" applyFont="1">
      <alignment horizontal="center"/>
    </xf>
    <xf borderId="2" fillId="0" fontId="10" numFmtId="0" xfId="0" applyBorder="1" applyFont="1"/>
    <xf borderId="3" fillId="0" fontId="10" numFmtId="0" xfId="0" applyBorder="1" applyFont="1"/>
    <xf borderId="1" fillId="2" fontId="11" numFmtId="0" xfId="0" applyAlignment="1" applyBorder="1" applyFont="1">
      <alignment horizontal="center"/>
    </xf>
    <xf borderId="0" fillId="0" fontId="11" numFmtId="0" xfId="0" applyAlignment="1" applyFont="1">
      <alignment horizontal="left"/>
    </xf>
    <xf borderId="4" fillId="2" fontId="12" numFmtId="0" xfId="0" applyAlignment="1" applyBorder="1" applyFont="1">
      <alignment shrinkToFit="0" wrapText="1"/>
    </xf>
    <xf borderId="4" fillId="2" fontId="13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wrapText="1"/>
    </xf>
    <xf borderId="5" fillId="2" fontId="13" numFmtId="0" xfId="0" applyAlignment="1" applyBorder="1" applyFont="1">
      <alignment shrinkToFit="0" wrapText="1"/>
    </xf>
    <xf borderId="6" fillId="2" fontId="14" numFmtId="0" xfId="0" applyAlignment="1" applyBorder="1" applyFont="1">
      <alignment shrinkToFit="0" wrapText="1"/>
    </xf>
    <xf borderId="4" fillId="3" fontId="13" numFmtId="0" xfId="0" applyBorder="1" applyFill="1" applyFont="1"/>
    <xf borderId="4" fillId="3" fontId="13" numFmtId="0" xfId="0" applyAlignment="1" applyBorder="1" applyFont="1">
      <alignment horizontal="center"/>
    </xf>
    <xf borderId="4" fillId="3" fontId="13" numFmtId="0" xfId="0" applyAlignment="1" applyBorder="1" applyFont="1">
      <alignment horizontal="left"/>
    </xf>
    <xf borderId="6" fillId="3" fontId="13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4" fillId="4" fontId="13" numFmtId="0" xfId="0" applyBorder="1" applyFill="1" applyFont="1"/>
    <xf borderId="4" fillId="4" fontId="13" numFmtId="0" xfId="0" applyAlignment="1" applyBorder="1" applyFont="1">
      <alignment horizontal="center"/>
    </xf>
    <xf borderId="4" fillId="4" fontId="13" numFmtId="0" xfId="0" applyAlignment="1" applyBorder="1" applyFont="1">
      <alignment horizontal="left"/>
    </xf>
    <xf borderId="6" fillId="4" fontId="13" numFmtId="0" xfId="0" applyAlignment="1" applyBorder="1" applyFont="1">
      <alignment horizontal="center"/>
    </xf>
    <xf borderId="7" fillId="4" fontId="13" numFmtId="0" xfId="0" applyBorder="1" applyFont="1"/>
    <xf borderId="7" fillId="3" fontId="13" numFmtId="0" xfId="0" applyBorder="1" applyFont="1"/>
    <xf borderId="4" fillId="3" fontId="13" numFmtId="0" xfId="0" applyAlignment="1" applyBorder="1" applyFont="1">
      <alignment horizontal="right"/>
    </xf>
    <xf borderId="4" fillId="4" fontId="13" numFmtId="0" xfId="0" applyAlignment="1" applyBorder="1" applyFont="1">
      <alignment horizontal="right"/>
    </xf>
    <xf borderId="8" fillId="3" fontId="13" numFmtId="0" xfId="0" applyBorder="1" applyFont="1"/>
    <xf borderId="8" fillId="4" fontId="13" numFmtId="0" xfId="0" applyBorder="1" applyFont="1"/>
    <xf borderId="4" fillId="4" fontId="13" numFmtId="0" xfId="0" applyAlignment="1" applyBorder="1" applyFont="1">
      <alignment horizontal="right" vertical="center"/>
    </xf>
    <xf borderId="0" fillId="3" fontId="13" numFmtId="0" xfId="0" applyAlignment="1" applyFont="1">
      <alignment horizontal="center"/>
    </xf>
    <xf borderId="0" fillId="4" fontId="13" numFmtId="0" xfId="0" applyAlignment="1" applyFont="1">
      <alignment horizontal="center"/>
    </xf>
    <xf borderId="7" fillId="4" fontId="13" numFmtId="0" xfId="0" applyAlignment="1" applyBorder="1" applyFont="1">
      <alignment horizontal="right"/>
    </xf>
    <xf borderId="8" fillId="3" fontId="13" numFmtId="0" xfId="0" applyAlignment="1" applyBorder="1" applyFont="1">
      <alignment horizontal="left"/>
    </xf>
    <xf borderId="9" fillId="3" fontId="13" numFmtId="0" xfId="0" applyAlignment="1" applyBorder="1" applyFont="1">
      <alignment horizontal="left"/>
    </xf>
    <xf borderId="9" fillId="3" fontId="13" numFmtId="0" xfId="0" applyBorder="1" applyFont="1"/>
    <xf borderId="4" fillId="3" fontId="5" numFmtId="0" xfId="0" applyAlignment="1" applyBorder="1" applyFont="1">
      <alignment horizontal="left"/>
    </xf>
    <xf borderId="4" fillId="3" fontId="5" numFmtId="0" xfId="0" applyBorder="1" applyFont="1"/>
    <xf borderId="0" fillId="4" fontId="5" numFmtId="0" xfId="0" applyFont="1"/>
    <xf borderId="0" fillId="4" fontId="13" numFmtId="0" xfId="0" applyFont="1"/>
    <xf borderId="0" fillId="0" fontId="2" numFmtId="0" xfId="0" applyAlignment="1" applyFont="1">
      <alignment horizontal="center" shrinkToFit="0" wrapText="1"/>
    </xf>
    <xf borderId="0" fillId="0" fontId="15" numFmtId="0" xfId="0" applyFont="1"/>
    <xf borderId="0" fillId="0" fontId="16" numFmtId="0" xfId="0" applyFont="1"/>
    <xf borderId="0" fillId="0" fontId="16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142875</xdr:rowOff>
    </xdr:from>
    <xdr:ext cx="11906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2998E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2.43"/>
    <col customWidth="1" min="2" max="2" width="22.86"/>
    <col customWidth="1" min="3" max="3" width="22.43"/>
    <col customWidth="1" hidden="1" min="4" max="4" width="19.43"/>
    <col customWidth="1" hidden="1" min="5" max="5" width="31.43"/>
    <col customWidth="1" min="6" max="6" width="21.43"/>
    <col customWidth="1" min="7" max="7" width="9.43"/>
    <col customWidth="1" min="8" max="8" width="8.14"/>
    <col customWidth="1" min="9" max="9" width="6.86"/>
    <col customWidth="1" min="10" max="10" width="12.0"/>
    <col customWidth="1" min="11" max="11" width="10.0"/>
    <col customWidth="1" min="12" max="12" width="17.57"/>
    <col customWidth="1" min="13" max="13" width="11.57"/>
    <col customWidth="1" min="14" max="14" width="8.14"/>
    <col customWidth="1" min="15" max="15" width="14.14"/>
    <col customWidth="1" min="16" max="18" width="14.43"/>
    <col customWidth="1" min="19" max="19" width="14.86"/>
    <col customWidth="1" min="20" max="20" width="13.43"/>
    <col customWidth="1" min="21" max="21" width="14.0"/>
    <col customWidth="1" min="22" max="22" width="12.43"/>
    <col customWidth="1" min="23" max="23" width="14.43"/>
    <col customWidth="1" min="24" max="24" width="13.0"/>
    <col customWidth="1" min="25" max="28" width="11.43"/>
    <col customWidth="1" min="29" max="29" width="13.14"/>
    <col customWidth="1" min="30" max="30" width="11.43"/>
    <col customWidth="1" min="31" max="31" width="14.43"/>
    <col customWidth="1" min="32" max="35" width="11.43"/>
    <col customWidth="1" min="36" max="36" width="12.43"/>
    <col customWidth="1" min="37" max="41" width="11.43"/>
  </cols>
  <sheetData>
    <row r="1" ht="14.25" customHeight="1">
      <c r="A1" s="1"/>
      <c r="C1" s="1"/>
      <c r="D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hidden="1" customHeight="1">
      <c r="A2" s="3"/>
      <c r="B2" s="3"/>
      <c r="C2" s="4"/>
      <c r="D2" s="4"/>
      <c r="E2" s="5"/>
      <c r="F2" s="5"/>
      <c r="G2" s="3"/>
      <c r="H2" s="3"/>
      <c r="I2" s="3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ht="14.25" hidden="1" customHeight="1">
      <c r="A3" s="7"/>
      <c r="B3" s="7"/>
      <c r="C3" s="8"/>
      <c r="D3" s="8"/>
      <c r="E3" s="7"/>
      <c r="F3" s="7"/>
      <c r="G3" s="7"/>
      <c r="H3" s="7"/>
      <c r="I3" s="7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14.25" hidden="1" customHeight="1">
      <c r="A4" s="7"/>
      <c r="B4" s="10" t="s">
        <v>0</v>
      </c>
      <c r="C4" s="10"/>
      <c r="D4" s="10"/>
      <c r="E4" s="7"/>
      <c r="F4" s="7"/>
      <c r="G4" s="7"/>
      <c r="H4" s="7"/>
      <c r="I4" s="7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ht="14.25" hidden="1" customHeight="1">
      <c r="A5" s="7"/>
      <c r="B5" s="10" t="s">
        <v>1</v>
      </c>
      <c r="C5" s="10"/>
      <c r="D5" s="10"/>
      <c r="E5" s="7"/>
      <c r="F5" s="7"/>
      <c r="G5" s="7"/>
      <c r="H5" s="7"/>
      <c r="I5" s="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14.25" hidden="1" customHeight="1">
      <c r="B6" s="10" t="s">
        <v>2</v>
      </c>
      <c r="C6" s="10"/>
      <c r="D6" s="10"/>
      <c r="E6" s="11"/>
      <c r="F6" s="11"/>
      <c r="H6" s="11"/>
      <c r="I6" s="11"/>
      <c r="J6" s="12"/>
      <c r="K6" s="13"/>
      <c r="L6" s="13"/>
      <c r="M6" s="13"/>
      <c r="N6" s="13"/>
      <c r="O6" s="13"/>
      <c r="P6" s="14"/>
      <c r="Q6" s="15" t="s">
        <v>3</v>
      </c>
      <c r="R6" s="13"/>
      <c r="S6" s="14"/>
      <c r="T6" s="16"/>
    </row>
    <row r="7" ht="92.25" hidden="1" customHeight="1">
      <c r="A7" s="17" t="s">
        <v>4</v>
      </c>
      <c r="B7" s="17" t="s">
        <v>5</v>
      </c>
      <c r="C7" s="17" t="s">
        <v>6</v>
      </c>
      <c r="D7" s="17" t="s">
        <v>7</v>
      </c>
      <c r="E7" s="17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14</v>
      </c>
      <c r="L7" s="18" t="s">
        <v>15</v>
      </c>
      <c r="M7" s="18" t="s">
        <v>16</v>
      </c>
      <c r="N7" s="18" t="s">
        <v>17</v>
      </c>
      <c r="O7" s="19" t="s">
        <v>18</v>
      </c>
      <c r="P7" s="19" t="s">
        <v>19</v>
      </c>
      <c r="Q7" s="19" t="s">
        <v>20</v>
      </c>
      <c r="R7" s="19" t="s">
        <v>21</v>
      </c>
      <c r="S7" s="19" t="s">
        <v>22</v>
      </c>
      <c r="T7" s="19" t="s">
        <v>23</v>
      </c>
      <c r="U7" s="20" t="s">
        <v>24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</row>
    <row r="8" ht="14.25" hidden="1" customHeight="1">
      <c r="A8" s="22" t="s">
        <v>25</v>
      </c>
      <c r="B8" s="22" t="s">
        <v>26</v>
      </c>
      <c r="C8" s="22" t="s">
        <v>27</v>
      </c>
      <c r="D8" s="22" t="s">
        <v>28</v>
      </c>
      <c r="E8" s="22" t="s">
        <v>29</v>
      </c>
      <c r="F8" s="22" t="s">
        <v>30</v>
      </c>
      <c r="G8" s="23">
        <v>2023.0</v>
      </c>
      <c r="H8" s="23">
        <v>3.0</v>
      </c>
      <c r="I8" s="23">
        <v>2.0</v>
      </c>
      <c r="J8" s="24" t="str">
        <f>'1. Base de donnée HILIN MU CM2 '!$G8&amp;"-"&amp;'1. Base de donnée HILIN MU CM2 '!$H8&amp;"-"&amp;'1. Base de donnée HILIN MU CM2 '!$I8</f>
        <v>2023-3-2</v>
      </c>
      <c r="K8" s="23">
        <v>1.0</v>
      </c>
      <c r="L8" s="24" t="s">
        <v>31</v>
      </c>
      <c r="M8" s="24"/>
      <c r="N8" s="24"/>
      <c r="O8" s="22">
        <v>3.5</v>
      </c>
      <c r="P8" s="22">
        <v>6.0</v>
      </c>
      <c r="Q8" s="22">
        <f>SUM('1. Base de donnée HILIN MU CM2 '!$O8+'1. Base de donnée HILIN MU CM2 '!$P8)/2</f>
        <v>4.75</v>
      </c>
      <c r="R8" s="22">
        <v>15.0</v>
      </c>
      <c r="S8" s="22">
        <v>19.0</v>
      </c>
      <c r="T8" s="22">
        <f>('1. Base de donnée HILIN MU CM2 '!$R8+'1. Base de donnée HILIN MU CM2 '!$S8)/2</f>
        <v>17</v>
      </c>
      <c r="U8" s="25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</row>
    <row r="9" ht="14.25" hidden="1" customHeight="1">
      <c r="A9" s="27" t="s">
        <v>25</v>
      </c>
      <c r="B9" s="27" t="s">
        <v>26</v>
      </c>
      <c r="C9" s="27" t="s">
        <v>32</v>
      </c>
      <c r="D9" s="27" t="s">
        <v>33</v>
      </c>
      <c r="E9" s="27" t="s">
        <v>34</v>
      </c>
      <c r="F9" s="27" t="s">
        <v>35</v>
      </c>
      <c r="G9" s="28">
        <v>2023.0</v>
      </c>
      <c r="H9" s="28">
        <v>3.0</v>
      </c>
      <c r="I9" s="28">
        <v>3.0</v>
      </c>
      <c r="J9" s="29" t="str">
        <f>'1. Base de donnée HILIN MU CM2 '!$G9&amp;"-"&amp;'1. Base de donnée HILIN MU CM2 '!$H9&amp;"-"&amp;'1. Base de donnée HILIN MU CM2 '!$I9</f>
        <v>2023-3-3</v>
      </c>
      <c r="K9" s="28">
        <f t="shared" ref="K9:K821" si="1">SUM(K8+1)</f>
        <v>2</v>
      </c>
      <c r="L9" s="29" t="s">
        <v>31</v>
      </c>
      <c r="M9" s="29"/>
      <c r="N9" s="29"/>
      <c r="O9" s="27">
        <v>6.0</v>
      </c>
      <c r="P9" s="27">
        <v>6.5</v>
      </c>
      <c r="Q9" s="27">
        <f>SUM('1. Base de donnée HILIN MU CM2 '!$O9+'1. Base de donnée HILIN MU CM2 '!$P9)/2</f>
        <v>6.25</v>
      </c>
      <c r="R9" s="27">
        <v>19.0</v>
      </c>
      <c r="S9" s="27">
        <v>18.25</v>
      </c>
      <c r="T9" s="27">
        <f>('1. Base de donnée HILIN MU CM2 '!$R9+'1. Base de donnée HILIN MU CM2 '!$S9)/2</f>
        <v>18.625</v>
      </c>
      <c r="U9" s="30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</row>
    <row r="10" ht="14.25" hidden="1" customHeight="1">
      <c r="A10" s="22" t="s">
        <v>25</v>
      </c>
      <c r="B10" s="22" t="s">
        <v>26</v>
      </c>
      <c r="C10" s="22" t="s">
        <v>36</v>
      </c>
      <c r="D10" s="22" t="s">
        <v>37</v>
      </c>
      <c r="E10" s="22" t="s">
        <v>38</v>
      </c>
      <c r="F10" s="22" t="s">
        <v>35</v>
      </c>
      <c r="G10" s="23">
        <v>2023.0</v>
      </c>
      <c r="H10" s="23">
        <v>3.0</v>
      </c>
      <c r="I10" s="23">
        <v>4.0</v>
      </c>
      <c r="J10" s="24" t="str">
        <f>'1. Base de donnée HILIN MU CM2 '!$G10&amp;"-"&amp;'1. Base de donnée HILIN MU CM2 '!$H10&amp;"-"&amp;'1. Base de donnée HILIN MU CM2 '!$I10</f>
        <v>2023-3-4</v>
      </c>
      <c r="K10" s="23">
        <f t="shared" si="1"/>
        <v>3</v>
      </c>
      <c r="L10" s="24" t="s">
        <v>31</v>
      </c>
      <c r="M10" s="24"/>
      <c r="N10" s="24"/>
      <c r="O10" s="22">
        <v>3.0</v>
      </c>
      <c r="P10" s="22">
        <v>3.5</v>
      </c>
      <c r="Q10" s="22">
        <f>SUM('1. Base de donnée HILIN MU CM2 '!$O10+'1. Base de donnée HILIN MU CM2 '!$P10)/2</f>
        <v>3.25</v>
      </c>
      <c r="R10" s="22">
        <v>18.0</v>
      </c>
      <c r="S10" s="22">
        <v>15.0</v>
      </c>
      <c r="T10" s="22">
        <f>('1. Base de donnée HILIN MU CM2 '!$R10+'1. Base de donnée HILIN MU CM2 '!$S10)/2</f>
        <v>16.5</v>
      </c>
      <c r="U10" s="25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</row>
    <row r="11" ht="14.25" hidden="1" customHeight="1">
      <c r="A11" s="27" t="s">
        <v>25</v>
      </c>
      <c r="B11" s="27" t="s">
        <v>26</v>
      </c>
      <c r="C11" s="27" t="s">
        <v>39</v>
      </c>
      <c r="D11" s="27" t="s">
        <v>40</v>
      </c>
      <c r="E11" s="27" t="s">
        <v>38</v>
      </c>
      <c r="F11" s="27" t="s">
        <v>35</v>
      </c>
      <c r="G11" s="28">
        <v>2023.0</v>
      </c>
      <c r="H11" s="28">
        <v>3.0</v>
      </c>
      <c r="I11" s="28">
        <v>5.0</v>
      </c>
      <c r="J11" s="29" t="str">
        <f>'1. Base de donnée HILIN MU CM2 '!$G11&amp;"-"&amp;'1. Base de donnée HILIN MU CM2 '!$H11&amp;"-"&amp;'1. Base de donnée HILIN MU CM2 '!$I11</f>
        <v>2023-3-5</v>
      </c>
      <c r="K11" s="28">
        <f t="shared" si="1"/>
        <v>4</v>
      </c>
      <c r="L11" s="29" t="s">
        <v>31</v>
      </c>
      <c r="M11" s="29"/>
      <c r="N11" s="29"/>
      <c r="O11" s="27">
        <v>2.5</v>
      </c>
      <c r="P11" s="27">
        <v>1.25</v>
      </c>
      <c r="Q11" s="27">
        <f>SUM('1. Base de donnée HILIN MU CM2 '!$O11+'1. Base de donnée HILIN MU CM2 '!$P11)/2</f>
        <v>1.875</v>
      </c>
      <c r="R11" s="27">
        <v>14.5</v>
      </c>
      <c r="S11" s="27">
        <v>17.5</v>
      </c>
      <c r="T11" s="27">
        <f>('1. Base de donnée HILIN MU CM2 '!$R11+'1. Base de donnée HILIN MU CM2 '!$S11)/2</f>
        <v>16</v>
      </c>
      <c r="U11" s="30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</row>
    <row r="12" ht="14.25" hidden="1" customHeight="1">
      <c r="A12" s="22" t="s">
        <v>25</v>
      </c>
      <c r="B12" s="22" t="s">
        <v>26</v>
      </c>
      <c r="C12" s="22" t="s">
        <v>41</v>
      </c>
      <c r="D12" s="22" t="s">
        <v>42</v>
      </c>
      <c r="E12" s="22" t="s">
        <v>38</v>
      </c>
      <c r="F12" s="22" t="s">
        <v>35</v>
      </c>
      <c r="G12" s="23">
        <v>2023.0</v>
      </c>
      <c r="H12" s="23">
        <v>3.0</v>
      </c>
      <c r="I12" s="23">
        <v>6.0</v>
      </c>
      <c r="J12" s="24" t="str">
        <f>'1. Base de donnée HILIN MU CM2 '!$G12&amp;"-"&amp;'1. Base de donnée HILIN MU CM2 '!$H12&amp;"-"&amp;'1. Base de donnée HILIN MU CM2 '!$I12</f>
        <v>2023-3-6</v>
      </c>
      <c r="K12" s="23">
        <f t="shared" si="1"/>
        <v>5</v>
      </c>
      <c r="L12" s="24" t="s">
        <v>31</v>
      </c>
      <c r="M12" s="24"/>
      <c r="N12" s="24"/>
      <c r="O12" s="22">
        <v>6.25</v>
      </c>
      <c r="P12" s="22">
        <v>1.0</v>
      </c>
      <c r="Q12" s="22">
        <f>SUM('1. Base de donnée HILIN MU CM2 '!$O12+'1. Base de donnée HILIN MU CM2 '!$P12)/2</f>
        <v>3.625</v>
      </c>
      <c r="R12" s="22">
        <v>16.0</v>
      </c>
      <c r="S12" s="22">
        <v>14.5</v>
      </c>
      <c r="T12" s="22">
        <f>('1. Base de donnée HILIN MU CM2 '!$R12+'1. Base de donnée HILIN MU CM2 '!$S12)/2</f>
        <v>15.25</v>
      </c>
      <c r="U12" s="25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</row>
    <row r="13" ht="14.25" hidden="1" customHeight="1">
      <c r="A13" s="27" t="s">
        <v>25</v>
      </c>
      <c r="B13" s="27" t="s">
        <v>26</v>
      </c>
      <c r="C13" s="27" t="s">
        <v>43</v>
      </c>
      <c r="D13" s="27" t="s">
        <v>44</v>
      </c>
      <c r="E13" s="27" t="s">
        <v>38</v>
      </c>
      <c r="F13" s="27" t="s">
        <v>30</v>
      </c>
      <c r="G13" s="28">
        <v>2023.0</v>
      </c>
      <c r="H13" s="28">
        <v>3.0</v>
      </c>
      <c r="I13" s="28">
        <v>7.0</v>
      </c>
      <c r="J13" s="29" t="str">
        <f>'1. Base de donnée HILIN MU CM2 '!$G13&amp;"-"&amp;'1. Base de donnée HILIN MU CM2 '!$H13&amp;"-"&amp;'1. Base de donnée HILIN MU CM2 '!$I13</f>
        <v>2023-3-7</v>
      </c>
      <c r="K13" s="28">
        <f t="shared" si="1"/>
        <v>6</v>
      </c>
      <c r="L13" s="29" t="s">
        <v>31</v>
      </c>
      <c r="M13" s="29"/>
      <c r="N13" s="29"/>
      <c r="O13" s="27">
        <v>3.0</v>
      </c>
      <c r="P13" s="27">
        <v>4.5</v>
      </c>
      <c r="Q13" s="27">
        <f>SUM('1. Base de donnée HILIN MU CM2 '!$O13+'1. Base de donnée HILIN MU CM2 '!$P13)/2</f>
        <v>3.75</v>
      </c>
      <c r="R13" s="27">
        <v>13.0</v>
      </c>
      <c r="S13" s="27">
        <v>16.0</v>
      </c>
      <c r="T13" s="27">
        <f>('1. Base de donnée HILIN MU CM2 '!$R13+'1. Base de donnée HILIN MU CM2 '!$S13)/2</f>
        <v>14.5</v>
      </c>
      <c r="U13" s="30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</row>
    <row r="14" ht="14.25" hidden="1" customHeight="1">
      <c r="A14" s="22" t="s">
        <v>25</v>
      </c>
      <c r="B14" s="22" t="s">
        <v>26</v>
      </c>
      <c r="C14" s="22" t="s">
        <v>45</v>
      </c>
      <c r="D14" s="22" t="s">
        <v>46</v>
      </c>
      <c r="E14" s="22" t="s">
        <v>38</v>
      </c>
      <c r="F14" s="22" t="s">
        <v>35</v>
      </c>
      <c r="G14" s="23">
        <v>2023.0</v>
      </c>
      <c r="H14" s="23">
        <v>3.0</v>
      </c>
      <c r="I14" s="23">
        <v>8.0</v>
      </c>
      <c r="J14" s="24" t="str">
        <f>'1. Base de donnée HILIN MU CM2 '!$G14&amp;"-"&amp;'1. Base de donnée HILIN MU CM2 '!$H14&amp;"-"&amp;'1. Base de donnée HILIN MU CM2 '!$I14</f>
        <v>2023-3-8</v>
      </c>
      <c r="K14" s="23">
        <f t="shared" si="1"/>
        <v>7</v>
      </c>
      <c r="L14" s="24" t="s">
        <v>31</v>
      </c>
      <c r="M14" s="24"/>
      <c r="N14" s="24"/>
      <c r="O14" s="22">
        <v>6.5</v>
      </c>
      <c r="P14" s="22">
        <v>8.0</v>
      </c>
      <c r="Q14" s="22">
        <f>SUM('1. Base de donnée HILIN MU CM2 '!$O14+'1. Base de donnée HILIN MU CM2 '!$P14)/2</f>
        <v>7.25</v>
      </c>
      <c r="R14" s="22">
        <v>18.25</v>
      </c>
      <c r="S14" s="22">
        <v>15.0</v>
      </c>
      <c r="T14" s="22">
        <f>('1. Base de donnée HILIN MU CM2 '!$R14+'1. Base de donnée HILIN MU CM2 '!$S14)/2</f>
        <v>16.625</v>
      </c>
      <c r="U14" s="25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</row>
    <row r="15" ht="14.25" hidden="1" customHeight="1">
      <c r="A15" s="27" t="s">
        <v>25</v>
      </c>
      <c r="B15" s="27" t="s">
        <v>26</v>
      </c>
      <c r="C15" s="27" t="s">
        <v>47</v>
      </c>
      <c r="D15" s="27" t="s">
        <v>48</v>
      </c>
      <c r="E15" s="27" t="s">
        <v>38</v>
      </c>
      <c r="F15" s="27" t="s">
        <v>30</v>
      </c>
      <c r="G15" s="28">
        <v>2023.0</v>
      </c>
      <c r="H15" s="28">
        <v>3.0</v>
      </c>
      <c r="I15" s="28">
        <v>9.0</v>
      </c>
      <c r="J15" s="29" t="str">
        <f>'1. Base de donnée HILIN MU CM2 '!$G15&amp;"-"&amp;'1. Base de donnée HILIN MU CM2 '!$H15&amp;"-"&amp;'1. Base de donnée HILIN MU CM2 '!$I15</f>
        <v>2023-3-9</v>
      </c>
      <c r="K15" s="28">
        <f t="shared" si="1"/>
        <v>8</v>
      </c>
      <c r="L15" s="29" t="s">
        <v>31</v>
      </c>
      <c r="M15" s="29"/>
      <c r="N15" s="29"/>
      <c r="O15" s="27">
        <v>2.5</v>
      </c>
      <c r="P15" s="27">
        <v>5.0</v>
      </c>
      <c r="Q15" s="27">
        <f>SUM('1. Base de donnée HILIN MU CM2 '!$O15+'1. Base de donnée HILIN MU CM2 '!$P15)/2</f>
        <v>3.75</v>
      </c>
      <c r="R15" s="27">
        <v>17.0</v>
      </c>
      <c r="S15" s="27">
        <v>18.0</v>
      </c>
      <c r="T15" s="27">
        <f>('1. Base de donnée HILIN MU CM2 '!$R15+'1. Base de donnée HILIN MU CM2 '!$S15)/2</f>
        <v>17.5</v>
      </c>
      <c r="U15" s="30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</row>
    <row r="16" ht="14.25" hidden="1" customHeight="1">
      <c r="A16" s="22" t="s">
        <v>25</v>
      </c>
      <c r="B16" s="22" t="s">
        <v>26</v>
      </c>
      <c r="C16" s="22" t="s">
        <v>49</v>
      </c>
      <c r="D16" s="22" t="s">
        <v>50</v>
      </c>
      <c r="E16" s="22" t="s">
        <v>34</v>
      </c>
      <c r="F16" s="22" t="s">
        <v>30</v>
      </c>
      <c r="G16" s="23">
        <v>2023.0</v>
      </c>
      <c r="H16" s="23">
        <v>3.0</v>
      </c>
      <c r="I16" s="23">
        <v>10.0</v>
      </c>
      <c r="J16" s="24" t="str">
        <f>'1. Base de donnée HILIN MU CM2 '!$G16&amp;"-"&amp;'1. Base de donnée HILIN MU CM2 '!$H16&amp;"-"&amp;'1. Base de donnée HILIN MU CM2 '!$I16</f>
        <v>2023-3-10</v>
      </c>
      <c r="K16" s="23">
        <f t="shared" si="1"/>
        <v>9</v>
      </c>
      <c r="L16" s="24" t="s">
        <v>31</v>
      </c>
      <c r="M16" s="24"/>
      <c r="N16" s="24"/>
      <c r="O16" s="22">
        <v>8.5</v>
      </c>
      <c r="P16" s="22">
        <v>8.75</v>
      </c>
      <c r="Q16" s="22">
        <f>SUM('1. Base de donnée HILIN MU CM2 '!$O16+'1. Base de donnée HILIN MU CM2 '!$P16)/2</f>
        <v>8.625</v>
      </c>
      <c r="R16" s="22">
        <v>19.0</v>
      </c>
      <c r="S16" s="22">
        <v>15.75</v>
      </c>
      <c r="T16" s="22">
        <f>('1. Base de donnée HILIN MU CM2 '!$R16+'1. Base de donnée HILIN MU CM2 '!$S16)/2</f>
        <v>17.375</v>
      </c>
      <c r="U16" s="25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</row>
    <row r="17" ht="14.25" hidden="1" customHeight="1">
      <c r="A17" s="27" t="s">
        <v>25</v>
      </c>
      <c r="B17" s="27" t="s">
        <v>26</v>
      </c>
      <c r="C17" s="27" t="s">
        <v>51</v>
      </c>
      <c r="D17" s="27" t="s">
        <v>52</v>
      </c>
      <c r="E17" s="27" t="s">
        <v>38</v>
      </c>
      <c r="F17" s="27" t="s">
        <v>30</v>
      </c>
      <c r="G17" s="28">
        <v>2023.0</v>
      </c>
      <c r="H17" s="28">
        <v>3.0</v>
      </c>
      <c r="I17" s="28">
        <v>11.0</v>
      </c>
      <c r="J17" s="29" t="str">
        <f>'1. Base de donnée HILIN MU CM2 '!$G17&amp;"-"&amp;'1. Base de donnée HILIN MU CM2 '!$H17&amp;"-"&amp;'1. Base de donnée HILIN MU CM2 '!$I17</f>
        <v>2023-3-11</v>
      </c>
      <c r="K17" s="28">
        <f t="shared" si="1"/>
        <v>10</v>
      </c>
      <c r="L17" s="29" t="s">
        <v>31</v>
      </c>
      <c r="M17" s="29"/>
      <c r="N17" s="29"/>
      <c r="O17" s="27">
        <v>8.0</v>
      </c>
      <c r="P17" s="27">
        <v>9.0</v>
      </c>
      <c r="Q17" s="27">
        <f>SUM('1. Base de donnée HILIN MU CM2 '!$O17+'1. Base de donnée HILIN MU CM2 '!$P17)/2</f>
        <v>8.5</v>
      </c>
      <c r="R17" s="27">
        <v>18.0</v>
      </c>
      <c r="S17" s="27">
        <v>17.75</v>
      </c>
      <c r="T17" s="27">
        <f>('1. Base de donnée HILIN MU CM2 '!$R17+'1. Base de donnée HILIN MU CM2 '!$S17)/2</f>
        <v>17.875</v>
      </c>
      <c r="U17" s="30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</row>
    <row r="18" ht="14.25" hidden="1" customHeight="1">
      <c r="A18" s="22" t="s">
        <v>25</v>
      </c>
      <c r="B18" s="22" t="s">
        <v>26</v>
      </c>
      <c r="C18" s="22" t="s">
        <v>53</v>
      </c>
      <c r="D18" s="22" t="s">
        <v>54</v>
      </c>
      <c r="E18" s="22" t="s">
        <v>38</v>
      </c>
      <c r="F18" s="22" t="s">
        <v>35</v>
      </c>
      <c r="G18" s="23">
        <v>2023.0</v>
      </c>
      <c r="H18" s="23">
        <v>3.0</v>
      </c>
      <c r="I18" s="23">
        <v>12.0</v>
      </c>
      <c r="J18" s="24" t="str">
        <f>'1. Base de donnée HILIN MU CM2 '!$G18&amp;"-"&amp;'1. Base de donnée HILIN MU CM2 '!$H18&amp;"-"&amp;'1. Base de donnée HILIN MU CM2 '!$I18</f>
        <v>2023-3-12</v>
      </c>
      <c r="K18" s="23">
        <f t="shared" si="1"/>
        <v>11</v>
      </c>
      <c r="L18" s="24" t="s">
        <v>31</v>
      </c>
      <c r="M18" s="24"/>
      <c r="N18" s="24"/>
      <c r="O18" s="22">
        <v>2.5</v>
      </c>
      <c r="P18" s="22">
        <v>5.25</v>
      </c>
      <c r="Q18" s="22">
        <f>SUM('1. Base de donnée HILIN MU CM2 '!$O18+'1. Base de donnée HILIN MU CM2 '!$P18)/2</f>
        <v>3.875</v>
      </c>
      <c r="R18" s="22">
        <v>16.0</v>
      </c>
      <c r="S18" s="22">
        <v>15.5</v>
      </c>
      <c r="T18" s="22">
        <f>('1. Base de donnée HILIN MU CM2 '!$R18+'1. Base de donnée HILIN MU CM2 '!$S18)/2</f>
        <v>15.75</v>
      </c>
      <c r="U18" s="25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</row>
    <row r="19" ht="14.25" hidden="1" customHeight="1">
      <c r="A19" s="27" t="s">
        <v>55</v>
      </c>
      <c r="B19" s="27" t="s">
        <v>26</v>
      </c>
      <c r="C19" s="27" t="s">
        <v>56</v>
      </c>
      <c r="D19" s="27" t="s">
        <v>57</v>
      </c>
      <c r="E19" s="27" t="s">
        <v>34</v>
      </c>
      <c r="F19" s="27" t="s">
        <v>35</v>
      </c>
      <c r="G19" s="28">
        <v>2023.0</v>
      </c>
      <c r="H19" s="28">
        <v>3.0</v>
      </c>
      <c r="I19" s="28">
        <v>13.0</v>
      </c>
      <c r="J19" s="29" t="str">
        <f>'1. Base de donnée HILIN MU CM2 '!$G19&amp;"-"&amp;'1. Base de donnée HILIN MU CM2 '!$H19&amp;"-"&amp;'1. Base de donnée HILIN MU CM2 '!$I19</f>
        <v>2023-3-13</v>
      </c>
      <c r="K19" s="28">
        <f t="shared" si="1"/>
        <v>12</v>
      </c>
      <c r="L19" s="29" t="s">
        <v>31</v>
      </c>
      <c r="M19" s="29"/>
      <c r="N19" s="29"/>
      <c r="O19" s="27">
        <v>1.25</v>
      </c>
      <c r="P19" s="27">
        <v>0.5</v>
      </c>
      <c r="Q19" s="27">
        <f>SUM('1. Base de donnée HILIN MU CM2 '!$O19+'1. Base de donnée HILIN MU CM2 '!$P19)/2</f>
        <v>0.875</v>
      </c>
      <c r="R19" s="27">
        <v>16.0</v>
      </c>
      <c r="S19" s="27">
        <v>16.5</v>
      </c>
      <c r="T19" s="27">
        <f>('1. Base de donnée HILIN MU CM2 '!$R19+'1. Base de donnée HILIN MU CM2 '!$S19)/2</f>
        <v>16.25</v>
      </c>
      <c r="U19" s="30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</row>
    <row r="20" ht="14.25" hidden="1" customHeight="1">
      <c r="A20" s="22" t="s">
        <v>25</v>
      </c>
      <c r="B20" s="22" t="s">
        <v>26</v>
      </c>
      <c r="C20" s="22" t="s">
        <v>58</v>
      </c>
      <c r="D20" s="22" t="s">
        <v>59</v>
      </c>
      <c r="E20" s="22" t="s">
        <v>38</v>
      </c>
      <c r="F20" s="22" t="s">
        <v>30</v>
      </c>
      <c r="G20" s="23">
        <v>2023.0</v>
      </c>
      <c r="H20" s="23">
        <v>3.0</v>
      </c>
      <c r="I20" s="23">
        <v>14.0</v>
      </c>
      <c r="J20" s="24" t="str">
        <f>'1. Base de donnée HILIN MU CM2 '!$G20&amp;"-"&amp;'1. Base de donnée HILIN MU CM2 '!$H20&amp;"-"&amp;'1. Base de donnée HILIN MU CM2 '!$I20</f>
        <v>2023-3-14</v>
      </c>
      <c r="K20" s="23">
        <f t="shared" si="1"/>
        <v>13</v>
      </c>
      <c r="L20" s="24" t="s">
        <v>31</v>
      </c>
      <c r="M20" s="24"/>
      <c r="N20" s="24"/>
      <c r="O20" s="22">
        <v>7.0</v>
      </c>
      <c r="P20" s="22">
        <v>10.75</v>
      </c>
      <c r="Q20" s="22">
        <f>SUM('1. Base de donnée HILIN MU CM2 '!$O20+'1. Base de donnée HILIN MU CM2 '!$P20)/2</f>
        <v>8.875</v>
      </c>
      <c r="R20" s="22">
        <v>18.25</v>
      </c>
      <c r="S20" s="22">
        <v>17.0</v>
      </c>
      <c r="T20" s="22">
        <f>('1. Base de donnée HILIN MU CM2 '!$R20+'1. Base de donnée HILIN MU CM2 '!$S20)/2</f>
        <v>17.625</v>
      </c>
      <c r="U20" s="25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</row>
    <row r="21" ht="14.25" hidden="1" customHeight="1">
      <c r="A21" s="27" t="s">
        <v>25</v>
      </c>
      <c r="B21" s="27" t="s">
        <v>26</v>
      </c>
      <c r="C21" s="27" t="s">
        <v>60</v>
      </c>
      <c r="D21" s="27" t="s">
        <v>61</v>
      </c>
      <c r="E21" s="27" t="s">
        <v>38</v>
      </c>
      <c r="F21" s="27" t="s">
        <v>35</v>
      </c>
      <c r="G21" s="28">
        <v>2023.0</v>
      </c>
      <c r="H21" s="28">
        <v>3.0</v>
      </c>
      <c r="I21" s="28">
        <v>15.0</v>
      </c>
      <c r="J21" s="29" t="str">
        <f>'1. Base de donnée HILIN MU CM2 '!$G21&amp;"-"&amp;'1. Base de donnée HILIN MU CM2 '!$H21&amp;"-"&amp;'1. Base de donnée HILIN MU CM2 '!$I21</f>
        <v>2023-3-15</v>
      </c>
      <c r="K21" s="28">
        <f t="shared" si="1"/>
        <v>14</v>
      </c>
      <c r="L21" s="29" t="s">
        <v>31</v>
      </c>
      <c r="M21" s="29"/>
      <c r="N21" s="29"/>
      <c r="O21" s="27">
        <v>3.5</v>
      </c>
      <c r="P21" s="27">
        <v>1.0</v>
      </c>
      <c r="Q21" s="27">
        <f>SUM('1. Base de donnée HILIN MU CM2 '!$O21+'1. Base de donnée HILIN MU CM2 '!$P21)/2</f>
        <v>2.25</v>
      </c>
      <c r="R21" s="27">
        <v>17.0</v>
      </c>
      <c r="S21" s="27">
        <v>15.5</v>
      </c>
      <c r="T21" s="27">
        <f>('1. Base de donnée HILIN MU CM2 '!$R21+'1. Base de donnée HILIN MU CM2 '!$S21)/2</f>
        <v>16.25</v>
      </c>
      <c r="U21" s="30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</row>
    <row r="22" ht="14.25" hidden="1" customHeight="1">
      <c r="A22" s="22" t="s">
        <v>55</v>
      </c>
      <c r="B22" s="22" t="s">
        <v>26</v>
      </c>
      <c r="C22" s="22" t="s">
        <v>62</v>
      </c>
      <c r="D22" s="22" t="s">
        <v>63</v>
      </c>
      <c r="E22" s="22" t="s">
        <v>38</v>
      </c>
      <c r="F22" s="22" t="s">
        <v>35</v>
      </c>
      <c r="G22" s="23">
        <v>2023.0</v>
      </c>
      <c r="H22" s="23">
        <v>3.0</v>
      </c>
      <c r="I22" s="23">
        <v>16.0</v>
      </c>
      <c r="J22" s="24" t="str">
        <f>'1. Base de donnée HILIN MU CM2 '!$G22&amp;"-"&amp;'1. Base de donnée HILIN MU CM2 '!$H22&amp;"-"&amp;'1. Base de donnée HILIN MU CM2 '!$I22</f>
        <v>2023-3-16</v>
      </c>
      <c r="K22" s="23">
        <f t="shared" si="1"/>
        <v>15</v>
      </c>
      <c r="L22" s="24" t="s">
        <v>31</v>
      </c>
      <c r="M22" s="24"/>
      <c r="N22" s="24"/>
      <c r="O22" s="22">
        <v>7.0</v>
      </c>
      <c r="P22" s="22">
        <v>7.25</v>
      </c>
      <c r="Q22" s="22">
        <f>SUM('1. Base de donnée HILIN MU CM2 '!$O22+'1. Base de donnée HILIN MU CM2 '!$P22)/2</f>
        <v>7.125</v>
      </c>
      <c r="R22" s="22">
        <v>18.0</v>
      </c>
      <c r="S22" s="22">
        <v>17.75</v>
      </c>
      <c r="T22" s="22">
        <f>('1. Base de donnée HILIN MU CM2 '!$R22+'1. Base de donnée HILIN MU CM2 '!$S22)/2</f>
        <v>17.875</v>
      </c>
      <c r="U22" s="25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</row>
    <row r="23" ht="14.25" hidden="1" customHeight="1">
      <c r="A23" s="27" t="s">
        <v>25</v>
      </c>
      <c r="B23" s="27" t="s">
        <v>26</v>
      </c>
      <c r="C23" s="27" t="s">
        <v>64</v>
      </c>
      <c r="D23" s="27" t="s">
        <v>65</v>
      </c>
      <c r="E23" s="27" t="s">
        <v>38</v>
      </c>
      <c r="F23" s="27" t="s">
        <v>30</v>
      </c>
      <c r="G23" s="28">
        <v>2023.0</v>
      </c>
      <c r="H23" s="28">
        <v>3.0</v>
      </c>
      <c r="I23" s="28">
        <v>17.0</v>
      </c>
      <c r="J23" s="29" t="str">
        <f>'1. Base de donnée HILIN MU CM2 '!$G23&amp;"-"&amp;'1. Base de donnée HILIN MU CM2 '!$H23&amp;"-"&amp;'1. Base de donnée HILIN MU CM2 '!$I23</f>
        <v>2023-3-17</v>
      </c>
      <c r="K23" s="28">
        <f t="shared" si="1"/>
        <v>16</v>
      </c>
      <c r="L23" s="29" t="s">
        <v>31</v>
      </c>
      <c r="M23" s="29"/>
      <c r="N23" s="29"/>
      <c r="O23" s="27">
        <v>7.0</v>
      </c>
      <c r="P23" s="27">
        <v>4.5</v>
      </c>
      <c r="Q23" s="27">
        <f>SUM('1. Base de donnée HILIN MU CM2 '!$O23+'1. Base de donnée HILIN MU CM2 '!$P23)/2</f>
        <v>5.75</v>
      </c>
      <c r="R23" s="27">
        <v>13.0</v>
      </c>
      <c r="S23" s="27">
        <v>16.0</v>
      </c>
      <c r="T23" s="27">
        <f>('1. Base de donnée HILIN MU CM2 '!$R23+'1. Base de donnée HILIN MU CM2 '!$S23)/2</f>
        <v>14.5</v>
      </c>
      <c r="U23" s="30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</row>
    <row r="24" ht="14.25" hidden="1" customHeight="1">
      <c r="A24" s="22" t="s">
        <v>25</v>
      </c>
      <c r="B24" s="22" t="s">
        <v>26</v>
      </c>
      <c r="C24" s="22" t="s">
        <v>66</v>
      </c>
      <c r="D24" s="22" t="s">
        <v>67</v>
      </c>
      <c r="E24" s="22" t="s">
        <v>38</v>
      </c>
      <c r="F24" s="22" t="s">
        <v>35</v>
      </c>
      <c r="G24" s="23">
        <v>2023.0</v>
      </c>
      <c r="H24" s="23">
        <v>3.0</v>
      </c>
      <c r="I24" s="23">
        <v>18.0</v>
      </c>
      <c r="J24" s="24" t="str">
        <f>'1. Base de donnée HILIN MU CM2 '!$G24&amp;"-"&amp;'1. Base de donnée HILIN MU CM2 '!$H24&amp;"-"&amp;'1. Base de donnée HILIN MU CM2 '!$I24</f>
        <v>2023-3-18</v>
      </c>
      <c r="K24" s="23">
        <f t="shared" si="1"/>
        <v>17</v>
      </c>
      <c r="L24" s="24" t="s">
        <v>31</v>
      </c>
      <c r="M24" s="24"/>
      <c r="N24" s="24"/>
      <c r="O24" s="22">
        <v>11.5</v>
      </c>
      <c r="P24" s="22">
        <v>4.0</v>
      </c>
      <c r="Q24" s="22">
        <f>SUM('1. Base de donnée HILIN MU CM2 '!$O24+'1. Base de donnée HILIN MU CM2 '!$P24)/2</f>
        <v>7.75</v>
      </c>
      <c r="R24" s="22">
        <v>15.0</v>
      </c>
      <c r="S24" s="22">
        <v>19.0</v>
      </c>
      <c r="T24" s="22">
        <f>('1. Base de donnée HILIN MU CM2 '!$R24+'1. Base de donnée HILIN MU CM2 '!$S24)/2</f>
        <v>17</v>
      </c>
      <c r="U24" s="25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</row>
    <row r="25" ht="14.25" hidden="1" customHeight="1">
      <c r="A25" s="27" t="s">
        <v>25</v>
      </c>
      <c r="B25" s="27" t="s">
        <v>26</v>
      </c>
      <c r="C25" s="27" t="s">
        <v>68</v>
      </c>
      <c r="D25" s="27" t="s">
        <v>69</v>
      </c>
      <c r="E25" s="27" t="s">
        <v>38</v>
      </c>
      <c r="F25" s="27" t="s">
        <v>30</v>
      </c>
      <c r="G25" s="28">
        <v>2023.0</v>
      </c>
      <c r="H25" s="28">
        <v>3.0</v>
      </c>
      <c r="I25" s="28">
        <v>19.0</v>
      </c>
      <c r="J25" s="29" t="str">
        <f>'1. Base de donnée HILIN MU CM2 '!$G25&amp;"-"&amp;'1. Base de donnée HILIN MU CM2 '!$H25&amp;"-"&amp;'1. Base de donnée HILIN MU CM2 '!$I25</f>
        <v>2023-3-19</v>
      </c>
      <c r="K25" s="28">
        <f t="shared" si="1"/>
        <v>18</v>
      </c>
      <c r="L25" s="29" t="s">
        <v>31</v>
      </c>
      <c r="M25" s="29"/>
      <c r="N25" s="29"/>
      <c r="O25" s="27">
        <v>2.0</v>
      </c>
      <c r="P25" s="27">
        <v>4.75</v>
      </c>
      <c r="Q25" s="27">
        <f>SUM('1. Base de donnée HILIN MU CM2 '!$O25+'1. Base de donnée HILIN MU CM2 '!$P25)/2</f>
        <v>3.375</v>
      </c>
      <c r="R25" s="27">
        <v>13.0</v>
      </c>
      <c r="S25" s="27">
        <v>18.5</v>
      </c>
      <c r="T25" s="27">
        <f>('1. Base de donnée HILIN MU CM2 '!$R25+'1. Base de donnée HILIN MU CM2 '!$S25)/2</f>
        <v>15.75</v>
      </c>
      <c r="U25" s="30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</row>
    <row r="26" ht="14.25" hidden="1" customHeight="1">
      <c r="A26" s="22" t="s">
        <v>25</v>
      </c>
      <c r="B26" s="22" t="s">
        <v>26</v>
      </c>
      <c r="C26" s="22" t="s">
        <v>70</v>
      </c>
      <c r="D26" s="22" t="s">
        <v>71</v>
      </c>
      <c r="E26" s="22" t="s">
        <v>38</v>
      </c>
      <c r="F26" s="22" t="s">
        <v>30</v>
      </c>
      <c r="G26" s="23">
        <v>2023.0</v>
      </c>
      <c r="H26" s="23">
        <v>3.0</v>
      </c>
      <c r="I26" s="23">
        <v>20.0</v>
      </c>
      <c r="J26" s="24" t="str">
        <f>'1. Base de donnée HILIN MU CM2 '!$G26&amp;"-"&amp;'1. Base de donnée HILIN MU CM2 '!$H26&amp;"-"&amp;'1. Base de donnée HILIN MU CM2 '!$I26</f>
        <v>2023-3-20</v>
      </c>
      <c r="K26" s="23">
        <f t="shared" si="1"/>
        <v>19</v>
      </c>
      <c r="L26" s="24" t="s">
        <v>31</v>
      </c>
      <c r="M26" s="24"/>
      <c r="N26" s="24"/>
      <c r="O26" s="22">
        <v>6.0</v>
      </c>
      <c r="P26" s="22">
        <v>6.0</v>
      </c>
      <c r="Q26" s="22">
        <f>SUM('1. Base de donnée HILIN MU CM2 '!$O26+'1. Base de donnée HILIN MU CM2 '!$P26)/2</f>
        <v>6</v>
      </c>
      <c r="R26" s="22">
        <v>15.0</v>
      </c>
      <c r="S26" s="22">
        <v>18.5</v>
      </c>
      <c r="T26" s="22">
        <f>('1. Base de donnée HILIN MU CM2 '!$R26+'1. Base de donnée HILIN MU CM2 '!$S26)/2</f>
        <v>16.75</v>
      </c>
      <c r="U26" s="25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</row>
    <row r="27" ht="14.25" hidden="1" customHeight="1">
      <c r="A27" s="27" t="s">
        <v>25</v>
      </c>
      <c r="B27" s="27" t="s">
        <v>26</v>
      </c>
      <c r="C27" s="27" t="s">
        <v>72</v>
      </c>
      <c r="D27" s="27" t="s">
        <v>73</v>
      </c>
      <c r="E27" s="27" t="s">
        <v>38</v>
      </c>
      <c r="F27" s="27" t="s">
        <v>30</v>
      </c>
      <c r="G27" s="28">
        <v>2023.0</v>
      </c>
      <c r="H27" s="28">
        <v>3.0</v>
      </c>
      <c r="I27" s="28">
        <v>21.0</v>
      </c>
      <c r="J27" s="29" t="str">
        <f>'1. Base de donnée HILIN MU CM2 '!$G27&amp;"-"&amp;'1. Base de donnée HILIN MU CM2 '!$H27&amp;"-"&amp;'1. Base de donnée HILIN MU CM2 '!$I27</f>
        <v>2023-3-21</v>
      </c>
      <c r="K27" s="28">
        <f t="shared" si="1"/>
        <v>20</v>
      </c>
      <c r="L27" s="29" t="s">
        <v>31</v>
      </c>
      <c r="M27" s="29"/>
      <c r="N27" s="29"/>
      <c r="O27" s="27">
        <v>8.5</v>
      </c>
      <c r="P27" s="27">
        <v>4.75</v>
      </c>
      <c r="Q27" s="27">
        <f>SUM('1. Base de donnée HILIN MU CM2 '!$O27+'1. Base de donnée HILIN MU CM2 '!$P27)/2</f>
        <v>6.625</v>
      </c>
      <c r="R27" s="27">
        <v>19.0</v>
      </c>
      <c r="S27" s="27">
        <v>16.0</v>
      </c>
      <c r="T27" s="27">
        <f>('1. Base de donnée HILIN MU CM2 '!$R27+'1. Base de donnée HILIN MU CM2 '!$S27)/2</f>
        <v>17.5</v>
      </c>
      <c r="U27" s="30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</row>
    <row r="28" ht="14.25" hidden="1" customHeight="1">
      <c r="A28" s="22" t="s">
        <v>25</v>
      </c>
      <c r="B28" s="22" t="s">
        <v>26</v>
      </c>
      <c r="C28" s="22" t="s">
        <v>74</v>
      </c>
      <c r="D28" s="22" t="s">
        <v>75</v>
      </c>
      <c r="E28" s="22" t="s">
        <v>38</v>
      </c>
      <c r="F28" s="22" t="s">
        <v>30</v>
      </c>
      <c r="G28" s="23">
        <v>2023.0</v>
      </c>
      <c r="H28" s="23">
        <v>3.0</v>
      </c>
      <c r="I28" s="23">
        <v>22.0</v>
      </c>
      <c r="J28" s="24" t="str">
        <f>'1. Base de donnée HILIN MU CM2 '!$G28&amp;"-"&amp;'1. Base de donnée HILIN MU CM2 '!$H28&amp;"-"&amp;'1. Base de donnée HILIN MU CM2 '!$I28</f>
        <v>2023-3-22</v>
      </c>
      <c r="K28" s="23">
        <f t="shared" si="1"/>
        <v>21</v>
      </c>
      <c r="L28" s="24" t="s">
        <v>31</v>
      </c>
      <c r="M28" s="24"/>
      <c r="N28" s="24"/>
      <c r="O28" s="22">
        <v>7.0</v>
      </c>
      <c r="P28" s="22">
        <v>4.0</v>
      </c>
      <c r="Q28" s="22">
        <f>SUM('1. Base de donnée HILIN MU CM2 '!$O28+'1. Base de donnée HILIN MU CM2 '!$P28)/2</f>
        <v>5.5</v>
      </c>
      <c r="R28" s="22">
        <v>13.0</v>
      </c>
      <c r="S28" s="22">
        <v>16.0</v>
      </c>
      <c r="T28" s="22">
        <f>('1. Base de donnée HILIN MU CM2 '!$R28+'1. Base de donnée HILIN MU CM2 '!$S28)/2</f>
        <v>14.5</v>
      </c>
      <c r="U28" s="25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</row>
    <row r="29" ht="14.25" hidden="1" customHeight="1">
      <c r="A29" s="27" t="s">
        <v>76</v>
      </c>
      <c r="B29" s="27" t="s">
        <v>26</v>
      </c>
      <c r="C29" s="27" t="s">
        <v>77</v>
      </c>
      <c r="D29" s="27" t="s">
        <v>78</v>
      </c>
      <c r="E29" s="27" t="s">
        <v>34</v>
      </c>
      <c r="F29" s="27" t="s">
        <v>30</v>
      </c>
      <c r="G29" s="28">
        <v>2023.0</v>
      </c>
      <c r="H29" s="28">
        <v>3.0</v>
      </c>
      <c r="I29" s="28">
        <v>862.0</v>
      </c>
      <c r="J29" s="29" t="str">
        <f>'1. Base de donnée HILIN MU CM2 '!$G29&amp;"-"&amp;'1. Base de donnée HILIN MU CM2 '!$H29&amp;"-"&amp;'1. Base de donnée HILIN MU CM2 '!$I29</f>
        <v>2023-3-862</v>
      </c>
      <c r="K29" s="28">
        <f t="shared" si="1"/>
        <v>22</v>
      </c>
      <c r="L29" s="29" t="s">
        <v>31</v>
      </c>
      <c r="M29" s="29"/>
      <c r="N29" s="29"/>
      <c r="O29" s="27">
        <v>2.0</v>
      </c>
      <c r="P29" s="27">
        <v>4.5</v>
      </c>
      <c r="Q29" s="27">
        <f>SUM('1. Base de donnée HILIN MU CM2 '!$O29+'1. Base de donnée HILIN MU CM2 '!$P29)/2</f>
        <v>3.25</v>
      </c>
      <c r="R29" s="27">
        <v>17.0</v>
      </c>
      <c r="S29" s="27">
        <v>18.0</v>
      </c>
      <c r="T29" s="27">
        <f>('1. Base de donnée HILIN MU CM2 '!$R29+'1. Base de donnée HILIN MU CM2 '!$S29)/2</f>
        <v>17.5</v>
      </c>
      <c r="U29" s="30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</row>
    <row r="30" ht="14.25" hidden="1" customHeight="1">
      <c r="A30" s="22" t="s">
        <v>76</v>
      </c>
      <c r="B30" s="22" t="s">
        <v>26</v>
      </c>
      <c r="C30" s="22" t="s">
        <v>79</v>
      </c>
      <c r="D30" s="22" t="s">
        <v>80</v>
      </c>
      <c r="E30" s="22" t="s">
        <v>34</v>
      </c>
      <c r="F30" s="22" t="s">
        <v>35</v>
      </c>
      <c r="G30" s="23">
        <v>2023.0</v>
      </c>
      <c r="H30" s="23">
        <v>3.0</v>
      </c>
      <c r="I30" s="23">
        <v>863.0</v>
      </c>
      <c r="J30" s="24" t="str">
        <f>'1. Base de donnée HILIN MU CM2 '!$G30&amp;"-"&amp;'1. Base de donnée HILIN MU CM2 '!$H30&amp;"-"&amp;'1. Base de donnée HILIN MU CM2 '!$I30</f>
        <v>2023-3-863</v>
      </c>
      <c r="K30" s="23">
        <f t="shared" si="1"/>
        <v>23</v>
      </c>
      <c r="L30" s="24" t="s">
        <v>31</v>
      </c>
      <c r="M30" s="24"/>
      <c r="N30" s="24"/>
      <c r="O30" s="22">
        <v>9.5</v>
      </c>
      <c r="P30" s="22">
        <v>5.0</v>
      </c>
      <c r="Q30" s="22">
        <f>SUM('1. Base de donnée HILIN MU CM2 '!$O30+'1. Base de donnée HILIN MU CM2 '!$P30)/2</f>
        <v>7.25</v>
      </c>
      <c r="R30" s="22">
        <v>15.0</v>
      </c>
      <c r="S30" s="22">
        <v>16.0</v>
      </c>
      <c r="T30" s="22">
        <f>('1. Base de donnée HILIN MU CM2 '!$R30+'1. Base de donnée HILIN MU CM2 '!$S30)/2</f>
        <v>15.5</v>
      </c>
      <c r="U30" s="25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</row>
    <row r="31" ht="14.25" hidden="1" customHeight="1">
      <c r="A31" s="27" t="s">
        <v>76</v>
      </c>
      <c r="B31" s="27" t="s">
        <v>26</v>
      </c>
      <c r="C31" s="27" t="s">
        <v>81</v>
      </c>
      <c r="D31" s="27" t="s">
        <v>82</v>
      </c>
      <c r="E31" s="27" t="s">
        <v>34</v>
      </c>
      <c r="F31" s="27" t="s">
        <v>30</v>
      </c>
      <c r="G31" s="28">
        <v>2023.0</v>
      </c>
      <c r="H31" s="28">
        <v>3.0</v>
      </c>
      <c r="I31" s="28">
        <v>864.0</v>
      </c>
      <c r="J31" s="29" t="str">
        <f>'1. Base de donnée HILIN MU CM2 '!$G31&amp;"-"&amp;'1. Base de donnée HILIN MU CM2 '!$H31&amp;"-"&amp;'1. Base de donnée HILIN MU CM2 '!$I31</f>
        <v>2023-3-864</v>
      </c>
      <c r="K31" s="28">
        <f t="shared" si="1"/>
        <v>24</v>
      </c>
      <c r="L31" s="29" t="s">
        <v>31</v>
      </c>
      <c r="M31" s="29"/>
      <c r="N31" s="29"/>
      <c r="O31" s="27">
        <v>8.5</v>
      </c>
      <c r="P31" s="27">
        <v>1.75</v>
      </c>
      <c r="Q31" s="27">
        <f>SUM('1. Base de donnée HILIN MU CM2 '!$O31+'1. Base de donnée HILIN MU CM2 '!$P31)/2</f>
        <v>5.125</v>
      </c>
      <c r="R31" s="27">
        <v>15.5</v>
      </c>
      <c r="S31" s="27">
        <v>14.5</v>
      </c>
      <c r="T31" s="27">
        <f>('1. Base de donnée HILIN MU CM2 '!$R31+'1. Base de donnée HILIN MU CM2 '!$S31)/2</f>
        <v>15</v>
      </c>
      <c r="U31" s="30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</row>
    <row r="32" ht="14.25" hidden="1" customHeight="1">
      <c r="A32" s="22" t="s">
        <v>76</v>
      </c>
      <c r="B32" s="22" t="s">
        <v>26</v>
      </c>
      <c r="C32" s="22" t="s">
        <v>83</v>
      </c>
      <c r="D32" s="22" t="s">
        <v>65</v>
      </c>
      <c r="E32" s="22" t="s">
        <v>34</v>
      </c>
      <c r="F32" s="22" t="s">
        <v>35</v>
      </c>
      <c r="G32" s="23">
        <v>2023.0</v>
      </c>
      <c r="H32" s="23">
        <v>3.0</v>
      </c>
      <c r="I32" s="23">
        <v>865.0</v>
      </c>
      <c r="J32" s="24" t="str">
        <f>'1. Base de donnée HILIN MU CM2 '!$G32&amp;"-"&amp;'1. Base de donnée HILIN MU CM2 '!$H32&amp;"-"&amp;'1. Base de donnée HILIN MU CM2 '!$I32</f>
        <v>2023-3-865</v>
      </c>
      <c r="K32" s="23">
        <f t="shared" si="1"/>
        <v>25</v>
      </c>
      <c r="L32" s="24" t="s">
        <v>31</v>
      </c>
      <c r="M32" s="24"/>
      <c r="N32" s="24"/>
      <c r="O32" s="22">
        <v>2.0</v>
      </c>
      <c r="P32" s="22">
        <v>0.25</v>
      </c>
      <c r="Q32" s="22">
        <f>SUM('1. Base de donnée HILIN MU CM2 '!$O32+'1. Base de donnée HILIN MU CM2 '!$P32)/2</f>
        <v>1.125</v>
      </c>
      <c r="R32" s="22">
        <v>13.5</v>
      </c>
      <c r="S32" s="22">
        <v>10.0</v>
      </c>
      <c r="T32" s="22">
        <f>('1. Base de donnée HILIN MU CM2 '!$R32+'1. Base de donnée HILIN MU CM2 '!$S32)/2</f>
        <v>11.75</v>
      </c>
      <c r="U32" s="25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</row>
    <row r="33" ht="14.25" hidden="1" customHeight="1">
      <c r="A33" s="27" t="s">
        <v>76</v>
      </c>
      <c r="B33" s="27" t="s">
        <v>26</v>
      </c>
      <c r="C33" s="27" t="s">
        <v>84</v>
      </c>
      <c r="D33" s="27" t="s">
        <v>85</v>
      </c>
      <c r="E33" s="27" t="s">
        <v>34</v>
      </c>
      <c r="F33" s="27" t="s">
        <v>35</v>
      </c>
      <c r="G33" s="28">
        <v>2023.0</v>
      </c>
      <c r="H33" s="28">
        <v>3.0</v>
      </c>
      <c r="I33" s="28">
        <v>866.0</v>
      </c>
      <c r="J33" s="29" t="str">
        <f>'1. Base de donnée HILIN MU CM2 '!$G33&amp;"-"&amp;'1. Base de donnée HILIN MU CM2 '!$H33&amp;"-"&amp;'1. Base de donnée HILIN MU CM2 '!$I33</f>
        <v>2023-3-866</v>
      </c>
      <c r="K33" s="28">
        <f t="shared" si="1"/>
        <v>26</v>
      </c>
      <c r="L33" s="29" t="s">
        <v>31</v>
      </c>
      <c r="M33" s="29"/>
      <c r="N33" s="29"/>
      <c r="O33" s="27">
        <v>6.5</v>
      </c>
      <c r="P33" s="27">
        <v>0.25</v>
      </c>
      <c r="Q33" s="27">
        <f>SUM('1. Base de donnée HILIN MU CM2 '!$O33+'1. Base de donnée HILIN MU CM2 '!$P33)/2</f>
        <v>3.375</v>
      </c>
      <c r="R33" s="27">
        <v>12.0</v>
      </c>
      <c r="S33" s="27">
        <v>14.0</v>
      </c>
      <c r="T33" s="27">
        <f>('1. Base de donnée HILIN MU CM2 '!$R33+'1. Base de donnée HILIN MU CM2 '!$S33)/2</f>
        <v>13</v>
      </c>
      <c r="U33" s="30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</row>
    <row r="34" ht="14.25" hidden="1" customHeight="1">
      <c r="A34" s="22" t="s">
        <v>76</v>
      </c>
      <c r="B34" s="22" t="s">
        <v>26</v>
      </c>
      <c r="C34" s="22" t="s">
        <v>86</v>
      </c>
      <c r="D34" s="22" t="s">
        <v>87</v>
      </c>
      <c r="E34" s="22" t="s">
        <v>34</v>
      </c>
      <c r="F34" s="22" t="s">
        <v>35</v>
      </c>
      <c r="G34" s="23">
        <v>2023.0</v>
      </c>
      <c r="H34" s="23">
        <v>3.0</v>
      </c>
      <c r="I34" s="23">
        <v>867.0</v>
      </c>
      <c r="J34" s="24" t="str">
        <f>'1. Base de donnée HILIN MU CM2 '!$G34&amp;"-"&amp;'1. Base de donnée HILIN MU CM2 '!$H34&amp;"-"&amp;'1. Base de donnée HILIN MU CM2 '!$I34</f>
        <v>2023-3-867</v>
      </c>
      <c r="K34" s="23">
        <f t="shared" si="1"/>
        <v>27</v>
      </c>
      <c r="L34" s="24" t="s">
        <v>31</v>
      </c>
      <c r="M34" s="24"/>
      <c r="N34" s="24"/>
      <c r="O34" s="22">
        <v>6.5</v>
      </c>
      <c r="P34" s="22">
        <v>3.0</v>
      </c>
      <c r="Q34" s="22">
        <f>SUM('1. Base de donnée HILIN MU CM2 '!$O34+'1. Base de donnée HILIN MU CM2 '!$P34)/2</f>
        <v>4.75</v>
      </c>
      <c r="R34" s="22">
        <v>18.0</v>
      </c>
      <c r="S34" s="22">
        <v>17.25</v>
      </c>
      <c r="T34" s="22">
        <f>('1. Base de donnée HILIN MU CM2 '!$R34+'1. Base de donnée HILIN MU CM2 '!$S34)/2</f>
        <v>17.625</v>
      </c>
      <c r="U34" s="25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</row>
    <row r="35" ht="14.25" hidden="1" customHeight="1">
      <c r="A35" s="27" t="s">
        <v>88</v>
      </c>
      <c r="B35" s="27" t="s">
        <v>26</v>
      </c>
      <c r="C35" s="27" t="s">
        <v>89</v>
      </c>
      <c r="D35" s="27" t="s">
        <v>90</v>
      </c>
      <c r="E35" s="27" t="s">
        <v>91</v>
      </c>
      <c r="F35" s="27" t="s">
        <v>92</v>
      </c>
      <c r="G35" s="28">
        <v>2023.0</v>
      </c>
      <c r="H35" s="28">
        <v>27.0</v>
      </c>
      <c r="I35" s="28">
        <v>23.0</v>
      </c>
      <c r="J35" s="29" t="str">
        <f>'1. Base de donnée HILIN MU CM2 '!$G35&amp;"-"&amp;'1. Base de donnée HILIN MU CM2 '!$H35&amp;"-"&amp;'1. Base de donnée HILIN MU CM2 '!$I35</f>
        <v>2023-27-23</v>
      </c>
      <c r="K35" s="28">
        <f t="shared" si="1"/>
        <v>28</v>
      </c>
      <c r="L35" s="29" t="s">
        <v>31</v>
      </c>
      <c r="M35" s="29"/>
      <c r="N35" s="29"/>
      <c r="O35" s="27">
        <v>4.0</v>
      </c>
      <c r="P35" s="27">
        <v>4.0</v>
      </c>
      <c r="Q35" s="27">
        <f>SUM('1. Base de donnée HILIN MU CM2 '!$O35+'1. Base de donnée HILIN MU CM2 '!$P35)/2</f>
        <v>4</v>
      </c>
      <c r="R35" s="27">
        <v>12.0</v>
      </c>
      <c r="S35" s="27">
        <v>14.0</v>
      </c>
      <c r="T35" s="27">
        <f>('1. Base de donnée HILIN MU CM2 '!$R35+'1. Base de donnée HILIN MU CM2 '!$S35)/2</f>
        <v>13</v>
      </c>
      <c r="U35" s="30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</row>
    <row r="36" ht="14.25" hidden="1" customHeight="1">
      <c r="A36" s="22" t="s">
        <v>88</v>
      </c>
      <c r="B36" s="22" t="s">
        <v>26</v>
      </c>
      <c r="C36" s="22" t="s">
        <v>93</v>
      </c>
      <c r="D36" s="22" t="s">
        <v>94</v>
      </c>
      <c r="E36" s="22" t="s">
        <v>91</v>
      </c>
      <c r="F36" s="22" t="s">
        <v>92</v>
      </c>
      <c r="G36" s="23">
        <v>2023.0</v>
      </c>
      <c r="H36" s="23">
        <v>27.0</v>
      </c>
      <c r="I36" s="23">
        <v>24.0</v>
      </c>
      <c r="J36" s="24" t="str">
        <f>'1. Base de donnée HILIN MU CM2 '!$G36&amp;"-"&amp;'1. Base de donnée HILIN MU CM2 '!$H36&amp;"-"&amp;'1. Base de donnée HILIN MU CM2 '!$I36</f>
        <v>2023-27-24</v>
      </c>
      <c r="K36" s="23">
        <f t="shared" si="1"/>
        <v>29</v>
      </c>
      <c r="L36" s="24" t="s">
        <v>31</v>
      </c>
      <c r="M36" s="24"/>
      <c r="N36" s="24"/>
      <c r="O36" s="22">
        <v>11.0</v>
      </c>
      <c r="P36" s="22">
        <v>8.0</v>
      </c>
      <c r="Q36" s="22">
        <f>SUM('1. Base de donnée HILIN MU CM2 '!$O36+'1. Base de donnée HILIN MU CM2 '!$P36)/2</f>
        <v>9.5</v>
      </c>
      <c r="R36" s="22">
        <v>20.0</v>
      </c>
      <c r="S36" s="22">
        <v>19.5</v>
      </c>
      <c r="T36" s="22">
        <f>('1. Base de donnée HILIN MU CM2 '!$R36+'1. Base de donnée HILIN MU CM2 '!$S36)/2</f>
        <v>19.75</v>
      </c>
      <c r="U36" s="25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</row>
    <row r="37" ht="14.25" hidden="1" customHeight="1">
      <c r="A37" s="27" t="s">
        <v>88</v>
      </c>
      <c r="B37" s="27" t="s">
        <v>26</v>
      </c>
      <c r="C37" s="27" t="s">
        <v>95</v>
      </c>
      <c r="D37" s="27" t="s">
        <v>96</v>
      </c>
      <c r="E37" s="27" t="s">
        <v>91</v>
      </c>
      <c r="F37" s="27" t="s">
        <v>92</v>
      </c>
      <c r="G37" s="28">
        <v>2023.0</v>
      </c>
      <c r="H37" s="28">
        <v>27.0</v>
      </c>
      <c r="I37" s="28">
        <v>25.0</v>
      </c>
      <c r="J37" s="29" t="str">
        <f>'1. Base de donnée HILIN MU CM2 '!$G37&amp;"-"&amp;'1. Base de donnée HILIN MU CM2 '!$H37&amp;"-"&amp;'1. Base de donnée HILIN MU CM2 '!$I37</f>
        <v>2023-27-25</v>
      </c>
      <c r="K37" s="28">
        <f t="shared" si="1"/>
        <v>30</v>
      </c>
      <c r="L37" s="29" t="s">
        <v>31</v>
      </c>
      <c r="M37" s="29"/>
      <c r="N37" s="29"/>
      <c r="O37" s="27">
        <v>3.0</v>
      </c>
      <c r="P37" s="27">
        <v>5.25</v>
      </c>
      <c r="Q37" s="27">
        <f>SUM('1. Base de donnée HILIN MU CM2 '!$O37+'1. Base de donnée HILIN MU CM2 '!$P37)/2</f>
        <v>4.125</v>
      </c>
      <c r="R37" s="27">
        <v>15.0</v>
      </c>
      <c r="S37" s="27">
        <v>18.5</v>
      </c>
      <c r="T37" s="27">
        <f>('1. Base de donnée HILIN MU CM2 '!$R37+'1. Base de donnée HILIN MU CM2 '!$S37)/2</f>
        <v>16.75</v>
      </c>
      <c r="U37" s="30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</row>
    <row r="38" ht="14.25" hidden="1" customHeight="1">
      <c r="A38" s="22" t="s">
        <v>88</v>
      </c>
      <c r="B38" s="22" t="s">
        <v>26</v>
      </c>
      <c r="C38" s="22" t="s">
        <v>97</v>
      </c>
      <c r="D38" s="22" t="s">
        <v>98</v>
      </c>
      <c r="E38" s="22" t="s">
        <v>91</v>
      </c>
      <c r="F38" s="22" t="s">
        <v>92</v>
      </c>
      <c r="G38" s="23">
        <v>2023.0</v>
      </c>
      <c r="H38" s="23">
        <v>27.0</v>
      </c>
      <c r="I38" s="23">
        <v>26.0</v>
      </c>
      <c r="J38" s="24" t="str">
        <f>'1. Base de donnée HILIN MU CM2 '!$G38&amp;"-"&amp;'1. Base de donnée HILIN MU CM2 '!$H38&amp;"-"&amp;'1. Base de donnée HILIN MU CM2 '!$I38</f>
        <v>2023-27-26</v>
      </c>
      <c r="K38" s="23">
        <f t="shared" si="1"/>
        <v>31</v>
      </c>
      <c r="L38" s="24" t="s">
        <v>31</v>
      </c>
      <c r="M38" s="24"/>
      <c r="N38" s="24"/>
      <c r="O38" s="22">
        <v>7.5</v>
      </c>
      <c r="P38" s="22">
        <v>2.5</v>
      </c>
      <c r="Q38" s="22">
        <f>SUM('1. Base de donnée HILIN MU CM2 '!$O38+'1. Base de donnée HILIN MU CM2 '!$P38)/2</f>
        <v>5</v>
      </c>
      <c r="R38" s="22">
        <v>13.0</v>
      </c>
      <c r="S38" s="22">
        <v>11.0</v>
      </c>
      <c r="T38" s="22">
        <f>('1. Base de donnée HILIN MU CM2 '!$R38+'1. Base de donnée HILIN MU CM2 '!$S38)/2</f>
        <v>12</v>
      </c>
      <c r="U38" s="25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</row>
    <row r="39" ht="14.25" hidden="1" customHeight="1">
      <c r="A39" s="27" t="s">
        <v>88</v>
      </c>
      <c r="B39" s="27" t="s">
        <v>26</v>
      </c>
      <c r="C39" s="27" t="s">
        <v>99</v>
      </c>
      <c r="D39" s="27" t="s">
        <v>100</v>
      </c>
      <c r="E39" s="27" t="s">
        <v>91</v>
      </c>
      <c r="F39" s="27" t="s">
        <v>92</v>
      </c>
      <c r="G39" s="28">
        <v>2023.0</v>
      </c>
      <c r="H39" s="28">
        <v>27.0</v>
      </c>
      <c r="I39" s="28">
        <v>27.0</v>
      </c>
      <c r="J39" s="29" t="str">
        <f>'1. Base de donnée HILIN MU CM2 '!$G39&amp;"-"&amp;'1. Base de donnée HILIN MU CM2 '!$H39&amp;"-"&amp;'1. Base de donnée HILIN MU CM2 '!$I39</f>
        <v>2023-27-27</v>
      </c>
      <c r="K39" s="28">
        <f t="shared" si="1"/>
        <v>32</v>
      </c>
      <c r="L39" s="29" t="s">
        <v>31</v>
      </c>
      <c r="M39" s="29"/>
      <c r="N39" s="29"/>
      <c r="O39" s="27">
        <v>7.5</v>
      </c>
      <c r="P39" s="27">
        <v>2.25</v>
      </c>
      <c r="Q39" s="27">
        <f>SUM('1. Base de donnée HILIN MU CM2 '!$O39+'1. Base de donnée HILIN MU CM2 '!$P39)/2</f>
        <v>4.875</v>
      </c>
      <c r="R39" s="27">
        <v>16.0</v>
      </c>
      <c r="S39" s="27">
        <v>16.0</v>
      </c>
      <c r="T39" s="27">
        <f>('1. Base de donnée HILIN MU CM2 '!$R39+'1. Base de donnée HILIN MU CM2 '!$S39)/2</f>
        <v>16</v>
      </c>
      <c r="U39" s="30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</row>
    <row r="40" ht="14.25" hidden="1" customHeight="1">
      <c r="A40" s="22" t="s">
        <v>88</v>
      </c>
      <c r="B40" s="22" t="s">
        <v>26</v>
      </c>
      <c r="C40" s="22" t="s">
        <v>101</v>
      </c>
      <c r="D40" s="22" t="s">
        <v>102</v>
      </c>
      <c r="E40" s="22" t="s">
        <v>91</v>
      </c>
      <c r="F40" s="22" t="s">
        <v>92</v>
      </c>
      <c r="G40" s="23">
        <v>2023.0</v>
      </c>
      <c r="H40" s="23">
        <v>27.0</v>
      </c>
      <c r="I40" s="23">
        <v>28.0</v>
      </c>
      <c r="J40" s="24" t="str">
        <f>'1. Base de donnée HILIN MU CM2 '!$G40&amp;"-"&amp;'1. Base de donnée HILIN MU CM2 '!$H40&amp;"-"&amp;'1. Base de donnée HILIN MU CM2 '!$I40</f>
        <v>2023-27-28</v>
      </c>
      <c r="K40" s="23">
        <f t="shared" si="1"/>
        <v>33</v>
      </c>
      <c r="L40" s="24" t="s">
        <v>31</v>
      </c>
      <c r="M40" s="24"/>
      <c r="N40" s="24"/>
      <c r="O40" s="22">
        <v>12.5</v>
      </c>
      <c r="P40" s="22">
        <v>12.0</v>
      </c>
      <c r="Q40" s="22">
        <f>SUM('1. Base de donnée HILIN MU CM2 '!$O40+'1. Base de donnée HILIN MU CM2 '!$P40)/2</f>
        <v>12.25</v>
      </c>
      <c r="R40" s="22">
        <v>20.0</v>
      </c>
      <c r="S40" s="22">
        <v>15.0</v>
      </c>
      <c r="T40" s="22">
        <f>('1. Base de donnée HILIN MU CM2 '!$R40+'1. Base de donnée HILIN MU CM2 '!$S40)/2</f>
        <v>17.5</v>
      </c>
      <c r="U40" s="25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</row>
    <row r="41" ht="14.25" hidden="1" customHeight="1">
      <c r="A41" s="27" t="s">
        <v>88</v>
      </c>
      <c r="B41" s="27" t="s">
        <v>26</v>
      </c>
      <c r="C41" s="27" t="s">
        <v>103</v>
      </c>
      <c r="D41" s="27" t="s">
        <v>104</v>
      </c>
      <c r="E41" s="27" t="s">
        <v>91</v>
      </c>
      <c r="F41" s="27" t="s">
        <v>92</v>
      </c>
      <c r="G41" s="28">
        <v>2023.0</v>
      </c>
      <c r="H41" s="28">
        <v>27.0</v>
      </c>
      <c r="I41" s="28">
        <v>29.0</v>
      </c>
      <c r="J41" s="29" t="str">
        <f>'1. Base de donnée HILIN MU CM2 '!$G41&amp;"-"&amp;'1. Base de donnée HILIN MU CM2 '!$H41&amp;"-"&amp;'1. Base de donnée HILIN MU CM2 '!$I41</f>
        <v>2023-27-29</v>
      </c>
      <c r="K41" s="28">
        <f t="shared" si="1"/>
        <v>34</v>
      </c>
      <c r="L41" s="29" t="s">
        <v>31</v>
      </c>
      <c r="M41" s="29"/>
      <c r="N41" s="29"/>
      <c r="O41" s="27">
        <v>8.0</v>
      </c>
      <c r="P41" s="27">
        <v>3.25</v>
      </c>
      <c r="Q41" s="27">
        <f>SUM('1. Base de donnée HILIN MU CM2 '!$O41+'1. Base de donnée HILIN MU CM2 '!$P41)/2</f>
        <v>5.625</v>
      </c>
      <c r="R41" s="27">
        <v>17.0</v>
      </c>
      <c r="S41" s="27">
        <v>10.0</v>
      </c>
      <c r="T41" s="27">
        <f>('1. Base de donnée HILIN MU CM2 '!$R41+'1. Base de donnée HILIN MU CM2 '!$S41)/2</f>
        <v>13.5</v>
      </c>
      <c r="U41" s="30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</row>
    <row r="42" ht="14.25" hidden="1" customHeight="1">
      <c r="A42" s="22" t="s">
        <v>88</v>
      </c>
      <c r="B42" s="22" t="s">
        <v>26</v>
      </c>
      <c r="C42" s="22" t="s">
        <v>105</v>
      </c>
      <c r="D42" s="22" t="s">
        <v>106</v>
      </c>
      <c r="E42" s="22" t="s">
        <v>91</v>
      </c>
      <c r="F42" s="22" t="s">
        <v>92</v>
      </c>
      <c r="G42" s="23">
        <v>2023.0</v>
      </c>
      <c r="H42" s="23">
        <v>27.0</v>
      </c>
      <c r="I42" s="23">
        <v>30.0</v>
      </c>
      <c r="J42" s="24" t="str">
        <f>'1. Base de donnée HILIN MU CM2 '!$G42&amp;"-"&amp;'1. Base de donnée HILIN MU CM2 '!$H42&amp;"-"&amp;'1. Base de donnée HILIN MU CM2 '!$I42</f>
        <v>2023-27-30</v>
      </c>
      <c r="K42" s="23">
        <f t="shared" si="1"/>
        <v>35</v>
      </c>
      <c r="L42" s="24" t="s">
        <v>31</v>
      </c>
      <c r="M42" s="24"/>
      <c r="N42" s="24"/>
      <c r="O42" s="22">
        <v>8.0</v>
      </c>
      <c r="P42" s="22">
        <v>4.0</v>
      </c>
      <c r="Q42" s="22">
        <f>SUM('1. Base de donnée HILIN MU CM2 '!$O42+'1. Base de donnée HILIN MU CM2 '!$P42)/2</f>
        <v>6</v>
      </c>
      <c r="R42" s="22">
        <v>16.0</v>
      </c>
      <c r="S42" s="22">
        <v>13.5</v>
      </c>
      <c r="T42" s="22">
        <f>('1. Base de donnée HILIN MU CM2 '!$R42+'1. Base de donnée HILIN MU CM2 '!$S42)/2</f>
        <v>14.75</v>
      </c>
      <c r="U42" s="25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</row>
    <row r="43" ht="14.25" hidden="1" customHeight="1">
      <c r="A43" s="27" t="s">
        <v>88</v>
      </c>
      <c r="B43" s="27" t="s">
        <v>26</v>
      </c>
      <c r="C43" s="27" t="s">
        <v>107</v>
      </c>
      <c r="D43" s="27" t="s">
        <v>108</v>
      </c>
      <c r="E43" s="27" t="s">
        <v>91</v>
      </c>
      <c r="F43" s="27" t="s">
        <v>92</v>
      </c>
      <c r="G43" s="28">
        <v>2023.0</v>
      </c>
      <c r="H43" s="28">
        <v>27.0</v>
      </c>
      <c r="I43" s="28">
        <v>31.0</v>
      </c>
      <c r="J43" s="29" t="str">
        <f>'1. Base de donnée HILIN MU CM2 '!$G43&amp;"-"&amp;'1. Base de donnée HILIN MU CM2 '!$H43&amp;"-"&amp;'1. Base de donnée HILIN MU CM2 '!$I43</f>
        <v>2023-27-31</v>
      </c>
      <c r="K43" s="28">
        <f t="shared" si="1"/>
        <v>36</v>
      </c>
      <c r="L43" s="29" t="s">
        <v>31</v>
      </c>
      <c r="M43" s="29"/>
      <c r="N43" s="29"/>
      <c r="O43" s="27">
        <v>4.5</v>
      </c>
      <c r="P43" s="27">
        <v>6.5</v>
      </c>
      <c r="Q43" s="27">
        <f>SUM('1. Base de donnée HILIN MU CM2 '!$O43+'1. Base de donnée HILIN MU CM2 '!$P43)/2</f>
        <v>5.5</v>
      </c>
      <c r="R43" s="27">
        <v>16.0</v>
      </c>
      <c r="S43" s="27">
        <v>17.5</v>
      </c>
      <c r="T43" s="27">
        <f>('1. Base de donnée HILIN MU CM2 '!$R43+'1. Base de donnée HILIN MU CM2 '!$S43)/2</f>
        <v>16.75</v>
      </c>
      <c r="U43" s="30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</row>
    <row r="44" ht="14.25" hidden="1" customHeight="1">
      <c r="A44" s="22" t="s">
        <v>88</v>
      </c>
      <c r="B44" s="22" t="s">
        <v>26</v>
      </c>
      <c r="C44" s="22" t="s">
        <v>109</v>
      </c>
      <c r="D44" s="22" t="s">
        <v>110</v>
      </c>
      <c r="E44" s="22" t="s">
        <v>91</v>
      </c>
      <c r="F44" s="22" t="s">
        <v>92</v>
      </c>
      <c r="G44" s="23">
        <v>2023.0</v>
      </c>
      <c r="H44" s="23">
        <v>27.0</v>
      </c>
      <c r="I44" s="23">
        <v>32.0</v>
      </c>
      <c r="J44" s="24" t="str">
        <f>'1. Base de donnée HILIN MU CM2 '!$G44&amp;"-"&amp;'1. Base de donnée HILIN MU CM2 '!$H44&amp;"-"&amp;'1. Base de donnée HILIN MU CM2 '!$I44</f>
        <v>2023-27-32</v>
      </c>
      <c r="K44" s="23">
        <f t="shared" si="1"/>
        <v>37</v>
      </c>
      <c r="L44" s="24" t="s">
        <v>31</v>
      </c>
      <c r="M44" s="24"/>
      <c r="N44" s="24"/>
      <c r="O44" s="22">
        <v>8.0</v>
      </c>
      <c r="P44" s="22">
        <v>4.5</v>
      </c>
      <c r="Q44" s="22">
        <f>SUM('1. Base de donnée HILIN MU CM2 '!$O44+'1. Base de donnée HILIN MU CM2 '!$P44)/2</f>
        <v>6.25</v>
      </c>
      <c r="R44" s="22">
        <v>11.0</v>
      </c>
      <c r="S44" s="22">
        <v>20.0</v>
      </c>
      <c r="T44" s="22">
        <f>('1. Base de donnée HILIN MU CM2 '!$R44+'1. Base de donnée HILIN MU CM2 '!$S44)/2</f>
        <v>15.5</v>
      </c>
      <c r="U44" s="25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</row>
    <row r="45" ht="14.25" hidden="1" customHeight="1">
      <c r="A45" s="27" t="s">
        <v>88</v>
      </c>
      <c r="B45" s="27" t="s">
        <v>26</v>
      </c>
      <c r="C45" s="27" t="s">
        <v>111</v>
      </c>
      <c r="D45" s="27" t="s">
        <v>112</v>
      </c>
      <c r="E45" s="27" t="s">
        <v>91</v>
      </c>
      <c r="F45" s="27" t="s">
        <v>92</v>
      </c>
      <c r="G45" s="28">
        <v>2023.0</v>
      </c>
      <c r="H45" s="28">
        <v>27.0</v>
      </c>
      <c r="I45" s="28">
        <v>33.0</v>
      </c>
      <c r="J45" s="29" t="str">
        <f>'1. Base de donnée HILIN MU CM2 '!$G45&amp;"-"&amp;'1. Base de donnée HILIN MU CM2 '!$H45&amp;"-"&amp;'1. Base de donnée HILIN MU CM2 '!$I45</f>
        <v>2023-27-33</v>
      </c>
      <c r="K45" s="28">
        <f t="shared" si="1"/>
        <v>38</v>
      </c>
      <c r="L45" s="29" t="s">
        <v>31</v>
      </c>
      <c r="M45" s="29"/>
      <c r="N45" s="29"/>
      <c r="O45" s="27">
        <v>10.0</v>
      </c>
      <c r="P45" s="27">
        <v>11.5</v>
      </c>
      <c r="Q45" s="27">
        <f>SUM('1. Base de donnée HILIN MU CM2 '!$O45+'1. Base de donnée HILIN MU CM2 '!$P45)/2</f>
        <v>10.75</v>
      </c>
      <c r="R45" s="27">
        <v>20.0</v>
      </c>
      <c r="S45" s="27">
        <v>20.0</v>
      </c>
      <c r="T45" s="27">
        <f>('1. Base de donnée HILIN MU CM2 '!$R45+'1. Base de donnée HILIN MU CM2 '!$S45)/2</f>
        <v>20</v>
      </c>
      <c r="U45" s="30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</row>
    <row r="46" ht="14.25" hidden="1" customHeight="1">
      <c r="A46" s="22" t="s">
        <v>88</v>
      </c>
      <c r="B46" s="22" t="s">
        <v>26</v>
      </c>
      <c r="C46" s="22" t="s">
        <v>113</v>
      </c>
      <c r="D46" s="22" t="s">
        <v>114</v>
      </c>
      <c r="E46" s="22" t="s">
        <v>91</v>
      </c>
      <c r="F46" s="22" t="s">
        <v>92</v>
      </c>
      <c r="G46" s="23">
        <v>2023.0</v>
      </c>
      <c r="H46" s="23">
        <v>27.0</v>
      </c>
      <c r="I46" s="23">
        <v>34.0</v>
      </c>
      <c r="J46" s="24" t="str">
        <f>'1. Base de donnée HILIN MU CM2 '!$G46&amp;"-"&amp;'1. Base de donnée HILIN MU CM2 '!$H46&amp;"-"&amp;'1. Base de donnée HILIN MU CM2 '!$I46</f>
        <v>2023-27-34</v>
      </c>
      <c r="K46" s="23">
        <f t="shared" si="1"/>
        <v>39</v>
      </c>
      <c r="L46" s="24" t="s">
        <v>31</v>
      </c>
      <c r="M46" s="24"/>
      <c r="N46" s="24"/>
      <c r="O46" s="22">
        <v>8.5</v>
      </c>
      <c r="P46" s="22">
        <v>7.0</v>
      </c>
      <c r="Q46" s="22">
        <f>SUM('1. Base de donnée HILIN MU CM2 '!$O46+'1. Base de donnée HILIN MU CM2 '!$P46)/2</f>
        <v>7.75</v>
      </c>
      <c r="R46" s="22">
        <v>17.0</v>
      </c>
      <c r="S46" s="22">
        <v>20.0</v>
      </c>
      <c r="T46" s="22">
        <f>('1. Base de donnée HILIN MU CM2 '!$R46+'1. Base de donnée HILIN MU CM2 '!$S46)/2</f>
        <v>18.5</v>
      </c>
      <c r="U46" s="25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</row>
    <row r="47" ht="14.25" hidden="1" customHeight="1">
      <c r="A47" s="27" t="s">
        <v>88</v>
      </c>
      <c r="B47" s="27" t="s">
        <v>26</v>
      </c>
      <c r="C47" s="27" t="s">
        <v>115</v>
      </c>
      <c r="D47" s="27" t="s">
        <v>116</v>
      </c>
      <c r="E47" s="27" t="s">
        <v>91</v>
      </c>
      <c r="F47" s="27" t="s">
        <v>92</v>
      </c>
      <c r="G47" s="28">
        <v>2023.0</v>
      </c>
      <c r="H47" s="28">
        <v>27.0</v>
      </c>
      <c r="I47" s="28">
        <v>35.0</v>
      </c>
      <c r="J47" s="29" t="str">
        <f>'1. Base de donnée HILIN MU CM2 '!$G47&amp;"-"&amp;'1. Base de donnée HILIN MU CM2 '!$H47&amp;"-"&amp;'1. Base de donnée HILIN MU CM2 '!$I47</f>
        <v>2023-27-35</v>
      </c>
      <c r="K47" s="28">
        <f t="shared" si="1"/>
        <v>40</v>
      </c>
      <c r="L47" s="29" t="s">
        <v>31</v>
      </c>
      <c r="M47" s="29"/>
      <c r="N47" s="29"/>
      <c r="O47" s="27">
        <v>9.0</v>
      </c>
      <c r="P47" s="27">
        <v>5.25</v>
      </c>
      <c r="Q47" s="27">
        <f>SUM('1. Base de donnée HILIN MU CM2 '!$O47+'1. Base de donnée HILIN MU CM2 '!$P47)/2</f>
        <v>7.125</v>
      </c>
      <c r="R47" s="27">
        <v>15.5</v>
      </c>
      <c r="S47" s="27">
        <v>19.0</v>
      </c>
      <c r="T47" s="27">
        <f>('1. Base de donnée HILIN MU CM2 '!$R47+'1. Base de donnée HILIN MU CM2 '!$S47)/2</f>
        <v>17.25</v>
      </c>
      <c r="U47" s="30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</row>
    <row r="48" ht="14.25" hidden="1" customHeight="1">
      <c r="A48" s="22" t="s">
        <v>88</v>
      </c>
      <c r="B48" s="22" t="s">
        <v>26</v>
      </c>
      <c r="C48" s="22" t="s">
        <v>117</v>
      </c>
      <c r="D48" s="22" t="s">
        <v>57</v>
      </c>
      <c r="E48" s="22" t="s">
        <v>91</v>
      </c>
      <c r="F48" s="22" t="s">
        <v>92</v>
      </c>
      <c r="G48" s="23">
        <v>2023.0</v>
      </c>
      <c r="H48" s="23">
        <v>27.0</v>
      </c>
      <c r="I48" s="23">
        <v>36.0</v>
      </c>
      <c r="J48" s="24" t="str">
        <f>'1. Base de donnée HILIN MU CM2 '!$G48&amp;"-"&amp;'1. Base de donnée HILIN MU CM2 '!$H48&amp;"-"&amp;'1. Base de donnée HILIN MU CM2 '!$I48</f>
        <v>2023-27-36</v>
      </c>
      <c r="K48" s="23">
        <f t="shared" si="1"/>
        <v>41</v>
      </c>
      <c r="L48" s="24" t="s">
        <v>31</v>
      </c>
      <c r="M48" s="24"/>
      <c r="N48" s="24"/>
      <c r="O48" s="22">
        <v>6.5</v>
      </c>
      <c r="P48" s="22">
        <v>6.75</v>
      </c>
      <c r="Q48" s="22">
        <f>SUM('1. Base de donnée HILIN MU CM2 '!$O48+'1. Base de donnée HILIN MU CM2 '!$P48)/2</f>
        <v>6.625</v>
      </c>
      <c r="R48" s="22">
        <v>17.0</v>
      </c>
      <c r="S48" s="22">
        <v>17.5</v>
      </c>
      <c r="T48" s="22">
        <f>('1. Base de donnée HILIN MU CM2 '!$R48+'1. Base de donnée HILIN MU CM2 '!$S48)/2</f>
        <v>17.25</v>
      </c>
      <c r="U48" s="25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</row>
    <row r="49" ht="14.25" hidden="1" customHeight="1">
      <c r="A49" s="27" t="s">
        <v>88</v>
      </c>
      <c r="B49" s="27" t="s">
        <v>26</v>
      </c>
      <c r="C49" s="27" t="s">
        <v>118</v>
      </c>
      <c r="D49" s="27" t="s">
        <v>119</v>
      </c>
      <c r="E49" s="27" t="s">
        <v>91</v>
      </c>
      <c r="F49" s="27" t="s">
        <v>92</v>
      </c>
      <c r="G49" s="28">
        <v>2023.0</v>
      </c>
      <c r="H49" s="28">
        <v>27.0</v>
      </c>
      <c r="I49" s="28">
        <v>37.0</v>
      </c>
      <c r="J49" s="29" t="str">
        <f>'1. Base de donnée HILIN MU CM2 '!$G49&amp;"-"&amp;'1. Base de donnée HILIN MU CM2 '!$H49&amp;"-"&amp;'1. Base de donnée HILIN MU CM2 '!$I49</f>
        <v>2023-27-37</v>
      </c>
      <c r="K49" s="28">
        <f t="shared" si="1"/>
        <v>42</v>
      </c>
      <c r="L49" s="29" t="s">
        <v>31</v>
      </c>
      <c r="M49" s="29"/>
      <c r="N49" s="29"/>
      <c r="O49" s="27">
        <v>8.0</v>
      </c>
      <c r="P49" s="27">
        <v>5.0</v>
      </c>
      <c r="Q49" s="27">
        <f>SUM('1. Base de donnée HILIN MU CM2 '!$O49+'1. Base de donnée HILIN MU CM2 '!$P49)/2</f>
        <v>6.5</v>
      </c>
      <c r="R49" s="27">
        <v>20.0</v>
      </c>
      <c r="S49" s="27">
        <v>19.0</v>
      </c>
      <c r="T49" s="27">
        <f>('1. Base de donnée HILIN MU CM2 '!$R49+'1. Base de donnée HILIN MU CM2 '!$S49)/2</f>
        <v>19.5</v>
      </c>
      <c r="U49" s="30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</row>
    <row r="50" ht="14.25" customHeight="1">
      <c r="A50" s="22" t="s">
        <v>120</v>
      </c>
      <c r="B50" s="22" t="s">
        <v>121</v>
      </c>
      <c r="C50" s="22" t="s">
        <v>122</v>
      </c>
      <c r="D50" s="22" t="s">
        <v>123</v>
      </c>
      <c r="E50" s="22" t="s">
        <v>124</v>
      </c>
      <c r="F50" s="22" t="s">
        <v>125</v>
      </c>
      <c r="G50" s="23">
        <v>2023.0</v>
      </c>
      <c r="H50" s="23">
        <v>89.0</v>
      </c>
      <c r="I50" s="23">
        <v>38.0</v>
      </c>
      <c r="J50" s="24" t="str">
        <f>'1. Base de donnée HILIN MU CM2 '!$G50&amp;"-"&amp;'1. Base de donnée HILIN MU CM2 '!$H50&amp;"-"&amp;'1. Base de donnée HILIN MU CM2 '!$I50</f>
        <v>2023-89-38</v>
      </c>
      <c r="K50" s="23">
        <f t="shared" si="1"/>
        <v>43</v>
      </c>
      <c r="L50" s="24" t="s">
        <v>31</v>
      </c>
      <c r="M50" s="24"/>
      <c r="N50" s="24"/>
      <c r="O50" s="22">
        <v>6.5</v>
      </c>
      <c r="P50" s="22">
        <v>4.0</v>
      </c>
      <c r="Q50" s="22">
        <f>SUM('1. Base de donnée HILIN MU CM2 '!$O50+'1. Base de donnée HILIN MU CM2 '!$P50)/2</f>
        <v>5.25</v>
      </c>
      <c r="R50" s="22">
        <v>15.0</v>
      </c>
      <c r="S50" s="22">
        <v>12.0</v>
      </c>
      <c r="T50" s="22">
        <f>('1. Base de donnée HILIN MU CM2 '!$R50+'1. Base de donnée HILIN MU CM2 '!$S50)/2</f>
        <v>13.5</v>
      </c>
      <c r="U50" s="25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</row>
    <row r="51" ht="14.25" customHeight="1">
      <c r="A51" s="27" t="s">
        <v>120</v>
      </c>
      <c r="B51" s="27" t="s">
        <v>121</v>
      </c>
      <c r="C51" s="27" t="s">
        <v>126</v>
      </c>
      <c r="D51" s="27" t="s">
        <v>127</v>
      </c>
      <c r="E51" s="27" t="s">
        <v>124</v>
      </c>
      <c r="F51" s="27" t="s">
        <v>128</v>
      </c>
      <c r="G51" s="28">
        <v>2023.0</v>
      </c>
      <c r="H51" s="28">
        <v>89.0</v>
      </c>
      <c r="I51" s="28">
        <v>39.0</v>
      </c>
      <c r="J51" s="29" t="str">
        <f>'1. Base de donnée HILIN MU CM2 '!$G51&amp;"-"&amp;'1. Base de donnée HILIN MU CM2 '!$H51&amp;"-"&amp;'1. Base de donnée HILIN MU CM2 '!$I51</f>
        <v>2023-89-39</v>
      </c>
      <c r="K51" s="28">
        <f t="shared" si="1"/>
        <v>44</v>
      </c>
      <c r="L51" s="29" t="s">
        <v>31</v>
      </c>
      <c r="M51" s="29"/>
      <c r="N51" s="29"/>
      <c r="O51" s="27">
        <v>6.0</v>
      </c>
      <c r="P51" s="27">
        <v>2.0</v>
      </c>
      <c r="Q51" s="27">
        <f>SUM('1. Base de donnée HILIN MU CM2 '!$O51+'1. Base de donnée HILIN MU CM2 '!$P51)/2</f>
        <v>4</v>
      </c>
      <c r="R51" s="27">
        <v>17.5</v>
      </c>
      <c r="S51" s="27">
        <v>15.0</v>
      </c>
      <c r="T51" s="27">
        <f>('1. Base de donnée HILIN MU CM2 '!$R51+'1. Base de donnée HILIN MU CM2 '!$S51)/2</f>
        <v>16.25</v>
      </c>
      <c r="U51" s="30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</row>
    <row r="52" ht="14.25" customHeight="1">
      <c r="A52" s="22" t="s">
        <v>120</v>
      </c>
      <c r="B52" s="22" t="s">
        <v>121</v>
      </c>
      <c r="C52" s="22" t="s">
        <v>129</v>
      </c>
      <c r="D52" s="22" t="s">
        <v>130</v>
      </c>
      <c r="E52" s="22" t="s">
        <v>124</v>
      </c>
      <c r="F52" s="22" t="s">
        <v>125</v>
      </c>
      <c r="G52" s="23">
        <v>2023.0</v>
      </c>
      <c r="H52" s="23">
        <v>89.0</v>
      </c>
      <c r="I52" s="23">
        <v>40.0</v>
      </c>
      <c r="J52" s="24" t="str">
        <f>'1. Base de donnée HILIN MU CM2 '!$G52&amp;"-"&amp;'1. Base de donnée HILIN MU CM2 '!$H52&amp;"-"&amp;'1. Base de donnée HILIN MU CM2 '!$I52</f>
        <v>2023-89-40</v>
      </c>
      <c r="K52" s="23">
        <f t="shared" si="1"/>
        <v>45</v>
      </c>
      <c r="L52" s="24" t="s">
        <v>31</v>
      </c>
      <c r="M52" s="24"/>
      <c r="N52" s="24"/>
      <c r="O52" s="22">
        <v>1.0</v>
      </c>
      <c r="P52" s="22">
        <v>4.5</v>
      </c>
      <c r="Q52" s="22">
        <f>SUM('1. Base de donnée HILIN MU CM2 '!$O52+'1. Base de donnée HILIN MU CM2 '!$P52)/2</f>
        <v>2.75</v>
      </c>
      <c r="R52" s="22">
        <v>15.5</v>
      </c>
      <c r="S52" s="22">
        <v>10.75</v>
      </c>
      <c r="T52" s="22">
        <f>('1. Base de donnée HILIN MU CM2 '!$R52+'1. Base de donnée HILIN MU CM2 '!$S52)/2</f>
        <v>13.125</v>
      </c>
      <c r="U52" s="25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</row>
    <row r="53" ht="14.25" customHeight="1">
      <c r="A53" s="27" t="s">
        <v>120</v>
      </c>
      <c r="B53" s="27" t="s">
        <v>121</v>
      </c>
      <c r="C53" s="27" t="s">
        <v>131</v>
      </c>
      <c r="D53" s="27" t="s">
        <v>132</v>
      </c>
      <c r="E53" s="27" t="s">
        <v>124</v>
      </c>
      <c r="F53" s="27" t="s">
        <v>125</v>
      </c>
      <c r="G53" s="28">
        <v>2023.0</v>
      </c>
      <c r="H53" s="28">
        <v>89.0</v>
      </c>
      <c r="I53" s="28">
        <v>41.0</v>
      </c>
      <c r="J53" s="29" t="str">
        <f>'1. Base de donnée HILIN MU CM2 '!$G53&amp;"-"&amp;'1. Base de donnée HILIN MU CM2 '!$H53&amp;"-"&amp;'1. Base de donnée HILIN MU CM2 '!$I53</f>
        <v>2023-89-41</v>
      </c>
      <c r="K53" s="28">
        <f t="shared" si="1"/>
        <v>46</v>
      </c>
      <c r="L53" s="29" t="s">
        <v>31</v>
      </c>
      <c r="M53" s="29"/>
      <c r="N53" s="29"/>
      <c r="O53" s="27">
        <v>9.0</v>
      </c>
      <c r="P53" s="27">
        <v>4.0</v>
      </c>
      <c r="Q53" s="27">
        <f>SUM('1. Base de donnée HILIN MU CM2 '!$O53+'1. Base de donnée HILIN MU CM2 '!$P53)/2</f>
        <v>6.5</v>
      </c>
      <c r="R53" s="27">
        <v>18.5</v>
      </c>
      <c r="S53" s="27">
        <v>15.5</v>
      </c>
      <c r="T53" s="27">
        <f>('1. Base de donnée HILIN MU CM2 '!$R53+'1. Base de donnée HILIN MU CM2 '!$S53)/2</f>
        <v>17</v>
      </c>
      <c r="U53" s="30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</row>
    <row r="54" ht="14.25" customHeight="1">
      <c r="A54" s="22" t="s">
        <v>120</v>
      </c>
      <c r="B54" s="22" t="s">
        <v>121</v>
      </c>
      <c r="C54" s="22" t="s">
        <v>133</v>
      </c>
      <c r="D54" s="22" t="s">
        <v>134</v>
      </c>
      <c r="E54" s="22" t="s">
        <v>124</v>
      </c>
      <c r="F54" s="22" t="s">
        <v>125</v>
      </c>
      <c r="G54" s="23">
        <v>2023.0</v>
      </c>
      <c r="H54" s="23">
        <v>89.0</v>
      </c>
      <c r="I54" s="23">
        <v>42.0</v>
      </c>
      <c r="J54" s="24" t="str">
        <f>'1. Base de donnée HILIN MU CM2 '!$G54&amp;"-"&amp;'1. Base de donnée HILIN MU CM2 '!$H54&amp;"-"&amp;'1. Base de donnée HILIN MU CM2 '!$I54</f>
        <v>2023-89-42</v>
      </c>
      <c r="K54" s="23">
        <f t="shared" si="1"/>
        <v>47</v>
      </c>
      <c r="L54" s="24" t="s">
        <v>31</v>
      </c>
      <c r="M54" s="24"/>
      <c r="N54" s="24"/>
      <c r="O54" s="22">
        <v>4.0</v>
      </c>
      <c r="P54" s="22">
        <v>7.5</v>
      </c>
      <c r="Q54" s="22">
        <f>SUM('1. Base de donnée HILIN MU CM2 '!$O54+'1. Base de donnée HILIN MU CM2 '!$P54)/2</f>
        <v>5.75</v>
      </c>
      <c r="R54" s="22">
        <v>15.5</v>
      </c>
      <c r="S54" s="22">
        <v>17.5</v>
      </c>
      <c r="T54" s="22">
        <f>('1. Base de donnée HILIN MU CM2 '!$R54+'1. Base de donnée HILIN MU CM2 '!$S54)/2</f>
        <v>16.5</v>
      </c>
      <c r="U54" s="25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</row>
    <row r="55" ht="14.25" customHeight="1">
      <c r="A55" s="27" t="s">
        <v>120</v>
      </c>
      <c r="B55" s="27" t="s">
        <v>121</v>
      </c>
      <c r="C55" s="27" t="s">
        <v>135</v>
      </c>
      <c r="D55" s="27" t="s">
        <v>136</v>
      </c>
      <c r="E55" s="27" t="s">
        <v>124</v>
      </c>
      <c r="F55" s="27" t="s">
        <v>128</v>
      </c>
      <c r="G55" s="28">
        <v>2023.0</v>
      </c>
      <c r="H55" s="28">
        <v>89.0</v>
      </c>
      <c r="I55" s="28">
        <v>43.0</v>
      </c>
      <c r="J55" s="29" t="str">
        <f>'1. Base de donnée HILIN MU CM2 '!$G55&amp;"-"&amp;'1. Base de donnée HILIN MU CM2 '!$H55&amp;"-"&amp;'1. Base de donnée HILIN MU CM2 '!$I55</f>
        <v>2023-89-43</v>
      </c>
      <c r="K55" s="28">
        <f t="shared" si="1"/>
        <v>48</v>
      </c>
      <c r="L55" s="29" t="s">
        <v>31</v>
      </c>
      <c r="M55" s="29"/>
      <c r="N55" s="29"/>
      <c r="O55" s="27">
        <v>9.5</v>
      </c>
      <c r="P55" s="27">
        <v>5.5</v>
      </c>
      <c r="Q55" s="27">
        <f>SUM('1. Base de donnée HILIN MU CM2 '!$O55+'1. Base de donnée HILIN MU CM2 '!$P55)/2</f>
        <v>7.5</v>
      </c>
      <c r="R55" s="27">
        <v>15.5</v>
      </c>
      <c r="S55" s="27">
        <v>15.0</v>
      </c>
      <c r="T55" s="27">
        <f>('1. Base de donnée HILIN MU CM2 '!$R55+'1. Base de donnée HILIN MU CM2 '!$S55)/2</f>
        <v>15.25</v>
      </c>
      <c r="U55" s="30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</row>
    <row r="56" ht="14.25" customHeight="1">
      <c r="A56" s="22" t="s">
        <v>120</v>
      </c>
      <c r="B56" s="22" t="s">
        <v>121</v>
      </c>
      <c r="C56" s="22" t="s">
        <v>137</v>
      </c>
      <c r="D56" s="22" t="s">
        <v>138</v>
      </c>
      <c r="E56" s="22" t="s">
        <v>124</v>
      </c>
      <c r="F56" s="22" t="s">
        <v>125</v>
      </c>
      <c r="G56" s="23">
        <v>2023.0</v>
      </c>
      <c r="H56" s="23">
        <v>89.0</v>
      </c>
      <c r="I56" s="23">
        <v>44.0</v>
      </c>
      <c r="J56" s="24" t="str">
        <f>'1. Base de donnée HILIN MU CM2 '!$G56&amp;"-"&amp;'1. Base de donnée HILIN MU CM2 '!$H56&amp;"-"&amp;'1. Base de donnée HILIN MU CM2 '!$I56</f>
        <v>2023-89-44</v>
      </c>
      <c r="K56" s="23">
        <f t="shared" si="1"/>
        <v>49</v>
      </c>
      <c r="L56" s="24" t="s">
        <v>31</v>
      </c>
      <c r="M56" s="24"/>
      <c r="N56" s="24"/>
      <c r="O56" s="22">
        <v>5.5</v>
      </c>
      <c r="P56" s="22">
        <v>5.0</v>
      </c>
      <c r="Q56" s="22">
        <f>SUM('1. Base de donnée HILIN MU CM2 '!$O56+'1. Base de donnée HILIN MU CM2 '!$P56)/2</f>
        <v>5.25</v>
      </c>
      <c r="R56" s="22">
        <v>17.0</v>
      </c>
      <c r="S56" s="22">
        <v>15.5</v>
      </c>
      <c r="T56" s="22">
        <f>('1. Base de donnée HILIN MU CM2 '!$R56+'1. Base de donnée HILIN MU CM2 '!$S56)/2</f>
        <v>16.25</v>
      </c>
      <c r="U56" s="25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</row>
    <row r="57" ht="14.25" customHeight="1">
      <c r="A57" s="27" t="s">
        <v>120</v>
      </c>
      <c r="B57" s="27" t="s">
        <v>121</v>
      </c>
      <c r="C57" s="27" t="s">
        <v>139</v>
      </c>
      <c r="D57" s="27" t="s">
        <v>140</v>
      </c>
      <c r="E57" s="27" t="s">
        <v>124</v>
      </c>
      <c r="F57" s="27" t="s">
        <v>128</v>
      </c>
      <c r="G57" s="28">
        <v>2023.0</v>
      </c>
      <c r="H57" s="28">
        <v>89.0</v>
      </c>
      <c r="I57" s="28">
        <v>45.0</v>
      </c>
      <c r="J57" s="29" t="str">
        <f>'1. Base de donnée HILIN MU CM2 '!$G57&amp;"-"&amp;'1. Base de donnée HILIN MU CM2 '!$H57&amp;"-"&amp;'1. Base de donnée HILIN MU CM2 '!$I57</f>
        <v>2023-89-45</v>
      </c>
      <c r="K57" s="28">
        <f t="shared" si="1"/>
        <v>50</v>
      </c>
      <c r="L57" s="29" t="s">
        <v>31</v>
      </c>
      <c r="M57" s="29"/>
      <c r="N57" s="29"/>
      <c r="O57" s="27">
        <v>4.5</v>
      </c>
      <c r="P57" s="27">
        <v>9.5</v>
      </c>
      <c r="Q57" s="27">
        <f>SUM('1. Base de donnée HILIN MU CM2 '!$O57+'1. Base de donnée HILIN MU CM2 '!$P57)/2</f>
        <v>7</v>
      </c>
      <c r="R57" s="27">
        <v>14.5</v>
      </c>
      <c r="S57" s="27">
        <v>16.5</v>
      </c>
      <c r="T57" s="27">
        <f>('1. Base de donnée HILIN MU CM2 '!$R57+'1. Base de donnée HILIN MU CM2 '!$S57)/2</f>
        <v>15.5</v>
      </c>
      <c r="U57" s="30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</row>
    <row r="58" ht="14.25" customHeight="1">
      <c r="A58" s="22" t="s">
        <v>120</v>
      </c>
      <c r="B58" s="22" t="s">
        <v>121</v>
      </c>
      <c r="C58" s="22" t="s">
        <v>141</v>
      </c>
      <c r="D58" s="22" t="s">
        <v>142</v>
      </c>
      <c r="E58" s="22" t="s">
        <v>124</v>
      </c>
      <c r="F58" s="22" t="s">
        <v>128</v>
      </c>
      <c r="G58" s="23">
        <v>2023.0</v>
      </c>
      <c r="H58" s="23">
        <v>89.0</v>
      </c>
      <c r="I58" s="23">
        <v>46.0</v>
      </c>
      <c r="J58" s="24" t="str">
        <f>'1. Base de donnée HILIN MU CM2 '!$G58&amp;"-"&amp;'1. Base de donnée HILIN MU CM2 '!$H58&amp;"-"&amp;'1. Base de donnée HILIN MU CM2 '!$I58</f>
        <v>2023-89-46</v>
      </c>
      <c r="K58" s="23">
        <f t="shared" si="1"/>
        <v>51</v>
      </c>
      <c r="L58" s="24" t="s">
        <v>31</v>
      </c>
      <c r="M58" s="24"/>
      <c r="N58" s="24"/>
      <c r="O58" s="22">
        <v>4.0</v>
      </c>
      <c r="P58" s="22">
        <v>2.0</v>
      </c>
      <c r="Q58" s="22">
        <f>SUM('1. Base de donnée HILIN MU CM2 '!$O58+'1. Base de donnée HILIN MU CM2 '!$P58)/2</f>
        <v>3</v>
      </c>
      <c r="R58" s="22">
        <v>10.0</v>
      </c>
      <c r="S58" s="22">
        <v>12.0</v>
      </c>
      <c r="T58" s="22">
        <f>('1. Base de donnée HILIN MU CM2 '!$R58+'1. Base de donnée HILIN MU CM2 '!$S58)/2</f>
        <v>11</v>
      </c>
      <c r="U58" s="25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</row>
    <row r="59" ht="14.25" customHeight="1">
      <c r="A59" s="27" t="s">
        <v>120</v>
      </c>
      <c r="B59" s="27" t="s">
        <v>121</v>
      </c>
      <c r="C59" s="27" t="s">
        <v>143</v>
      </c>
      <c r="D59" s="27" t="s">
        <v>144</v>
      </c>
      <c r="E59" s="27" t="s">
        <v>124</v>
      </c>
      <c r="F59" s="27" t="s">
        <v>128</v>
      </c>
      <c r="G59" s="28">
        <v>2023.0</v>
      </c>
      <c r="H59" s="28">
        <v>89.0</v>
      </c>
      <c r="I59" s="28">
        <v>47.0</v>
      </c>
      <c r="J59" s="29" t="str">
        <f>'1. Base de donnée HILIN MU CM2 '!$G59&amp;"-"&amp;'1. Base de donnée HILIN MU CM2 '!$H59&amp;"-"&amp;'1. Base de donnée HILIN MU CM2 '!$I59</f>
        <v>2023-89-47</v>
      </c>
      <c r="K59" s="28">
        <f t="shared" si="1"/>
        <v>52</v>
      </c>
      <c r="L59" s="29" t="s">
        <v>31</v>
      </c>
      <c r="M59" s="29"/>
      <c r="N59" s="29"/>
      <c r="O59" s="27">
        <v>3.0</v>
      </c>
      <c r="P59" s="27">
        <v>1.0</v>
      </c>
      <c r="Q59" s="27">
        <f>SUM('1. Base de donnée HILIN MU CM2 '!$O59+'1. Base de donnée HILIN MU CM2 '!$P59)/2</f>
        <v>2</v>
      </c>
      <c r="R59" s="27">
        <v>15.5</v>
      </c>
      <c r="S59" s="27">
        <v>15.0</v>
      </c>
      <c r="T59" s="27">
        <f>('1. Base de donnée HILIN MU CM2 '!$R59+'1. Base de donnée HILIN MU CM2 '!$S59)/2</f>
        <v>15.25</v>
      </c>
      <c r="U59" s="30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</row>
    <row r="60" ht="14.25" customHeight="1">
      <c r="A60" s="22" t="s">
        <v>120</v>
      </c>
      <c r="B60" s="22" t="s">
        <v>121</v>
      </c>
      <c r="C60" s="22" t="s">
        <v>145</v>
      </c>
      <c r="D60" s="22" t="s">
        <v>146</v>
      </c>
      <c r="E60" s="22" t="s">
        <v>124</v>
      </c>
      <c r="F60" s="22" t="s">
        <v>128</v>
      </c>
      <c r="G60" s="23">
        <v>2023.0</v>
      </c>
      <c r="H60" s="23">
        <v>89.0</v>
      </c>
      <c r="I60" s="23">
        <v>48.0</v>
      </c>
      <c r="J60" s="24" t="str">
        <f>'1. Base de donnée HILIN MU CM2 '!$G60&amp;"-"&amp;'1. Base de donnée HILIN MU CM2 '!$H60&amp;"-"&amp;'1. Base de donnée HILIN MU CM2 '!$I60</f>
        <v>2023-89-48</v>
      </c>
      <c r="K60" s="23">
        <f t="shared" si="1"/>
        <v>53</v>
      </c>
      <c r="L60" s="24" t="s">
        <v>31</v>
      </c>
      <c r="M60" s="24"/>
      <c r="N60" s="24"/>
      <c r="O60" s="22">
        <v>5.0</v>
      </c>
      <c r="P60" s="22">
        <v>3.25</v>
      </c>
      <c r="Q60" s="22">
        <f>SUM('1. Base de donnée HILIN MU CM2 '!$O60+'1. Base de donnée HILIN MU CM2 '!$P60)/2</f>
        <v>4.125</v>
      </c>
      <c r="R60" s="22">
        <v>14.0</v>
      </c>
      <c r="S60" s="22">
        <v>13.0</v>
      </c>
      <c r="T60" s="22">
        <f>('1. Base de donnée HILIN MU CM2 '!$R60+'1. Base de donnée HILIN MU CM2 '!$S60)/2</f>
        <v>13.5</v>
      </c>
      <c r="U60" s="25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</row>
    <row r="61" ht="14.25" customHeight="1">
      <c r="A61" s="27" t="s">
        <v>120</v>
      </c>
      <c r="B61" s="27" t="s">
        <v>121</v>
      </c>
      <c r="C61" s="27" t="s">
        <v>147</v>
      </c>
      <c r="D61" s="27" t="s">
        <v>148</v>
      </c>
      <c r="E61" s="27" t="s">
        <v>124</v>
      </c>
      <c r="F61" s="27" t="s">
        <v>125</v>
      </c>
      <c r="G61" s="28">
        <v>2023.0</v>
      </c>
      <c r="H61" s="28">
        <v>89.0</v>
      </c>
      <c r="I61" s="28">
        <v>49.0</v>
      </c>
      <c r="J61" s="29" t="str">
        <f>'1. Base de donnée HILIN MU CM2 '!$G61&amp;"-"&amp;'1. Base de donnée HILIN MU CM2 '!$H61&amp;"-"&amp;'1. Base de donnée HILIN MU CM2 '!$I61</f>
        <v>2023-89-49</v>
      </c>
      <c r="K61" s="28">
        <f t="shared" si="1"/>
        <v>54</v>
      </c>
      <c r="L61" s="29" t="s">
        <v>31</v>
      </c>
      <c r="M61" s="29"/>
      <c r="N61" s="29"/>
      <c r="O61" s="27">
        <v>0.0</v>
      </c>
      <c r="P61" s="27">
        <v>1.0</v>
      </c>
      <c r="Q61" s="27">
        <f>SUM('1. Base de donnée HILIN MU CM2 '!$O61+'1. Base de donnée HILIN MU CM2 '!$P61)/2</f>
        <v>0.5</v>
      </c>
      <c r="R61" s="27">
        <v>12.0</v>
      </c>
      <c r="S61" s="27">
        <v>10.5</v>
      </c>
      <c r="T61" s="27">
        <f>('1. Base de donnée HILIN MU CM2 '!$R61+'1. Base de donnée HILIN MU CM2 '!$S61)/2</f>
        <v>11.25</v>
      </c>
      <c r="U61" s="30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</row>
    <row r="62" ht="14.25" customHeight="1">
      <c r="A62" s="22" t="s">
        <v>120</v>
      </c>
      <c r="B62" s="22" t="s">
        <v>121</v>
      </c>
      <c r="C62" s="22" t="s">
        <v>149</v>
      </c>
      <c r="D62" s="22" t="s">
        <v>150</v>
      </c>
      <c r="E62" s="22" t="s">
        <v>124</v>
      </c>
      <c r="F62" s="22" t="s">
        <v>128</v>
      </c>
      <c r="G62" s="23">
        <v>2023.0</v>
      </c>
      <c r="H62" s="23">
        <v>89.0</v>
      </c>
      <c r="I62" s="23">
        <v>50.0</v>
      </c>
      <c r="J62" s="24" t="str">
        <f>'1. Base de donnée HILIN MU CM2 '!$G62&amp;"-"&amp;'1. Base de donnée HILIN MU CM2 '!$H62&amp;"-"&amp;'1. Base de donnée HILIN MU CM2 '!$I62</f>
        <v>2023-89-50</v>
      </c>
      <c r="K62" s="23">
        <f t="shared" si="1"/>
        <v>55</v>
      </c>
      <c r="L62" s="24" t="s">
        <v>31</v>
      </c>
      <c r="M62" s="24"/>
      <c r="N62" s="24"/>
      <c r="O62" s="22">
        <v>5.0</v>
      </c>
      <c r="P62" s="22">
        <v>3.0</v>
      </c>
      <c r="Q62" s="22">
        <f>SUM('1. Base de donnée HILIN MU CM2 '!$O62+'1. Base de donnée HILIN MU CM2 '!$P62)/2</f>
        <v>4</v>
      </c>
      <c r="R62" s="22">
        <v>17.0</v>
      </c>
      <c r="S62" s="22">
        <v>17.0</v>
      </c>
      <c r="T62" s="22">
        <f>('1. Base de donnée HILIN MU CM2 '!$R62+'1. Base de donnée HILIN MU CM2 '!$S62)/2</f>
        <v>17</v>
      </c>
      <c r="U62" s="25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</row>
    <row r="63" ht="14.25" customHeight="1">
      <c r="A63" s="27" t="s">
        <v>120</v>
      </c>
      <c r="B63" s="27" t="s">
        <v>121</v>
      </c>
      <c r="C63" s="27" t="s">
        <v>151</v>
      </c>
      <c r="D63" s="27" t="s">
        <v>152</v>
      </c>
      <c r="E63" s="27" t="s">
        <v>124</v>
      </c>
      <c r="F63" s="27" t="s">
        <v>125</v>
      </c>
      <c r="G63" s="28">
        <v>2023.0</v>
      </c>
      <c r="H63" s="28">
        <v>89.0</v>
      </c>
      <c r="I63" s="28">
        <v>51.0</v>
      </c>
      <c r="J63" s="29" t="str">
        <f>'1. Base de donnée HILIN MU CM2 '!$G63&amp;"-"&amp;'1. Base de donnée HILIN MU CM2 '!$H63&amp;"-"&amp;'1. Base de donnée HILIN MU CM2 '!$I63</f>
        <v>2023-89-51</v>
      </c>
      <c r="K63" s="28">
        <f t="shared" si="1"/>
        <v>56</v>
      </c>
      <c r="L63" s="29" t="s">
        <v>31</v>
      </c>
      <c r="M63" s="29"/>
      <c r="N63" s="29"/>
      <c r="O63" s="27">
        <v>1.0</v>
      </c>
      <c r="P63" s="27">
        <v>0.5</v>
      </c>
      <c r="Q63" s="27">
        <f>SUM('1. Base de donnée HILIN MU CM2 '!$O63+'1. Base de donnée HILIN MU CM2 '!$P63)/2</f>
        <v>0.75</v>
      </c>
      <c r="R63" s="27">
        <v>15.0</v>
      </c>
      <c r="S63" s="27">
        <v>8.0</v>
      </c>
      <c r="T63" s="27">
        <f>('1. Base de donnée HILIN MU CM2 '!$R63+'1. Base de donnée HILIN MU CM2 '!$S63)/2</f>
        <v>11.5</v>
      </c>
      <c r="U63" s="30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</row>
    <row r="64" ht="14.25" customHeight="1">
      <c r="A64" s="22" t="s">
        <v>120</v>
      </c>
      <c r="B64" s="22" t="s">
        <v>121</v>
      </c>
      <c r="C64" s="22" t="s">
        <v>153</v>
      </c>
      <c r="D64" s="22" t="s">
        <v>154</v>
      </c>
      <c r="E64" s="22" t="s">
        <v>124</v>
      </c>
      <c r="F64" s="22" t="s">
        <v>128</v>
      </c>
      <c r="G64" s="23">
        <v>2023.0</v>
      </c>
      <c r="H64" s="23">
        <v>89.0</v>
      </c>
      <c r="I64" s="23">
        <v>52.0</v>
      </c>
      <c r="J64" s="24" t="str">
        <f>'1. Base de donnée HILIN MU CM2 '!$G64&amp;"-"&amp;'1. Base de donnée HILIN MU CM2 '!$H64&amp;"-"&amp;'1. Base de donnée HILIN MU CM2 '!$I64</f>
        <v>2023-89-52</v>
      </c>
      <c r="K64" s="23">
        <f t="shared" si="1"/>
        <v>57</v>
      </c>
      <c r="L64" s="24" t="s">
        <v>31</v>
      </c>
      <c r="M64" s="24"/>
      <c r="N64" s="24"/>
      <c r="O64" s="22">
        <v>1.5</v>
      </c>
      <c r="P64" s="22">
        <v>2.5</v>
      </c>
      <c r="Q64" s="22">
        <f>SUM('1. Base de donnée HILIN MU CM2 '!$O64+'1. Base de donnée HILIN MU CM2 '!$P64)/2</f>
        <v>2</v>
      </c>
      <c r="R64" s="22">
        <v>11.0</v>
      </c>
      <c r="S64" s="22">
        <v>14.5</v>
      </c>
      <c r="T64" s="22">
        <f>('1. Base de donnée HILIN MU CM2 '!$R64+'1. Base de donnée HILIN MU CM2 '!$S64)/2</f>
        <v>12.75</v>
      </c>
      <c r="U64" s="25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</row>
    <row r="65" ht="14.25" customHeight="1">
      <c r="A65" s="27" t="s">
        <v>120</v>
      </c>
      <c r="B65" s="27" t="s">
        <v>121</v>
      </c>
      <c r="C65" s="27" t="s">
        <v>155</v>
      </c>
      <c r="D65" s="27" t="s">
        <v>156</v>
      </c>
      <c r="E65" s="27" t="s">
        <v>124</v>
      </c>
      <c r="F65" s="27" t="s">
        <v>128</v>
      </c>
      <c r="G65" s="28">
        <v>2023.0</v>
      </c>
      <c r="H65" s="28">
        <v>89.0</v>
      </c>
      <c r="I65" s="28">
        <v>53.0</v>
      </c>
      <c r="J65" s="29" t="str">
        <f>'1. Base de donnée HILIN MU CM2 '!$G65&amp;"-"&amp;'1. Base de donnée HILIN MU CM2 '!$H65&amp;"-"&amp;'1. Base de donnée HILIN MU CM2 '!$I65</f>
        <v>2023-89-53</v>
      </c>
      <c r="K65" s="28">
        <f t="shared" si="1"/>
        <v>58</v>
      </c>
      <c r="L65" s="29" t="s">
        <v>31</v>
      </c>
      <c r="M65" s="29"/>
      <c r="N65" s="29"/>
      <c r="O65" s="27">
        <v>1.0</v>
      </c>
      <c r="P65" s="27">
        <v>3.5</v>
      </c>
      <c r="Q65" s="27">
        <f>SUM('1. Base de donnée HILIN MU CM2 '!$O65+'1. Base de donnée HILIN MU CM2 '!$P65)/2</f>
        <v>2.25</v>
      </c>
      <c r="R65" s="27">
        <v>10.5</v>
      </c>
      <c r="S65" s="27">
        <v>11.0</v>
      </c>
      <c r="T65" s="27">
        <f>('1. Base de donnée HILIN MU CM2 '!$R65+'1. Base de donnée HILIN MU CM2 '!$S65)/2</f>
        <v>10.75</v>
      </c>
      <c r="U65" s="30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</row>
    <row r="66" ht="14.25" customHeight="1">
      <c r="A66" s="22" t="s">
        <v>120</v>
      </c>
      <c r="B66" s="22" t="s">
        <v>121</v>
      </c>
      <c r="C66" s="22" t="s">
        <v>157</v>
      </c>
      <c r="D66" s="22" t="s">
        <v>158</v>
      </c>
      <c r="E66" s="22" t="s">
        <v>124</v>
      </c>
      <c r="F66" s="22" t="s">
        <v>125</v>
      </c>
      <c r="G66" s="23">
        <v>2023.0</v>
      </c>
      <c r="H66" s="23">
        <v>89.0</v>
      </c>
      <c r="I66" s="23">
        <v>54.0</v>
      </c>
      <c r="J66" s="24" t="str">
        <f>'1. Base de donnée HILIN MU CM2 '!$G66&amp;"-"&amp;'1. Base de donnée HILIN MU CM2 '!$H66&amp;"-"&amp;'1. Base de donnée HILIN MU CM2 '!$I66</f>
        <v>2023-89-54</v>
      </c>
      <c r="K66" s="23">
        <f t="shared" si="1"/>
        <v>59</v>
      </c>
      <c r="L66" s="24" t="s">
        <v>31</v>
      </c>
      <c r="M66" s="24"/>
      <c r="N66" s="24"/>
      <c r="O66" s="22">
        <v>3.0</v>
      </c>
      <c r="P66" s="22">
        <v>2.0</v>
      </c>
      <c r="Q66" s="22">
        <f>SUM('1. Base de donnée HILIN MU CM2 '!$O66+'1. Base de donnée HILIN MU CM2 '!$P66)/2</f>
        <v>2.5</v>
      </c>
      <c r="R66" s="22">
        <v>11.5</v>
      </c>
      <c r="S66" s="22">
        <v>13.0</v>
      </c>
      <c r="T66" s="22">
        <f>('1. Base de donnée HILIN MU CM2 '!$R66+'1. Base de donnée HILIN MU CM2 '!$S66)/2</f>
        <v>12.25</v>
      </c>
      <c r="U66" s="25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</row>
    <row r="67" ht="14.25" customHeight="1">
      <c r="A67" s="27" t="s">
        <v>120</v>
      </c>
      <c r="B67" s="27" t="s">
        <v>121</v>
      </c>
      <c r="C67" s="27" t="s">
        <v>159</v>
      </c>
      <c r="D67" s="27" t="s">
        <v>144</v>
      </c>
      <c r="E67" s="27" t="s">
        <v>124</v>
      </c>
      <c r="F67" s="27" t="s">
        <v>125</v>
      </c>
      <c r="G67" s="28">
        <v>2023.0</v>
      </c>
      <c r="H67" s="28">
        <v>89.0</v>
      </c>
      <c r="I67" s="28">
        <v>55.0</v>
      </c>
      <c r="J67" s="29" t="str">
        <f>'1. Base de donnée HILIN MU CM2 '!$G67&amp;"-"&amp;'1. Base de donnée HILIN MU CM2 '!$H67&amp;"-"&amp;'1. Base de donnée HILIN MU CM2 '!$I67</f>
        <v>2023-89-55</v>
      </c>
      <c r="K67" s="28">
        <f t="shared" si="1"/>
        <v>60</v>
      </c>
      <c r="L67" s="29" t="s">
        <v>31</v>
      </c>
      <c r="M67" s="29"/>
      <c r="N67" s="29"/>
      <c r="O67" s="27">
        <v>4.0</v>
      </c>
      <c r="P67" s="27">
        <v>3.0</v>
      </c>
      <c r="Q67" s="27">
        <f>SUM('1. Base de donnée HILIN MU CM2 '!$O67+'1. Base de donnée HILIN MU CM2 '!$P67)/2</f>
        <v>3.5</v>
      </c>
      <c r="R67" s="27">
        <v>14.5</v>
      </c>
      <c r="S67" s="27">
        <v>14.5</v>
      </c>
      <c r="T67" s="27">
        <f>('1. Base de donnée HILIN MU CM2 '!$R67+'1. Base de donnée HILIN MU CM2 '!$S67)/2</f>
        <v>14.5</v>
      </c>
      <c r="U67" s="30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</row>
    <row r="68" ht="14.25" customHeight="1">
      <c r="A68" s="22" t="s">
        <v>120</v>
      </c>
      <c r="B68" s="22" t="s">
        <v>121</v>
      </c>
      <c r="C68" s="22" t="s">
        <v>160</v>
      </c>
      <c r="D68" s="22" t="s">
        <v>161</v>
      </c>
      <c r="E68" s="22" t="s">
        <v>124</v>
      </c>
      <c r="F68" s="22" t="s">
        <v>125</v>
      </c>
      <c r="G68" s="23">
        <v>2023.0</v>
      </c>
      <c r="H68" s="23">
        <v>89.0</v>
      </c>
      <c r="I68" s="23">
        <v>56.0</v>
      </c>
      <c r="J68" s="24" t="str">
        <f>'1. Base de donnée HILIN MU CM2 '!$G68&amp;"-"&amp;'1. Base de donnée HILIN MU CM2 '!$H68&amp;"-"&amp;'1. Base de donnée HILIN MU CM2 '!$I68</f>
        <v>2023-89-56</v>
      </c>
      <c r="K68" s="23">
        <f t="shared" si="1"/>
        <v>61</v>
      </c>
      <c r="L68" s="24" t="s">
        <v>31</v>
      </c>
      <c r="M68" s="24"/>
      <c r="N68" s="24"/>
      <c r="O68" s="22">
        <v>6.0</v>
      </c>
      <c r="P68" s="22">
        <v>7.25</v>
      </c>
      <c r="Q68" s="22">
        <f>SUM('1. Base de donnée HILIN MU CM2 '!$O68+'1. Base de donnée HILIN MU CM2 '!$P68)/2</f>
        <v>6.625</v>
      </c>
      <c r="R68" s="22">
        <v>12.0</v>
      </c>
      <c r="S68" s="22">
        <v>11.0</v>
      </c>
      <c r="T68" s="22">
        <f>('1. Base de donnée HILIN MU CM2 '!$R68+'1. Base de donnée HILIN MU CM2 '!$S68)/2</f>
        <v>11.5</v>
      </c>
      <c r="U68" s="25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</row>
    <row r="69" ht="14.25" customHeight="1">
      <c r="A69" s="27" t="s">
        <v>120</v>
      </c>
      <c r="B69" s="27" t="s">
        <v>121</v>
      </c>
      <c r="C69" s="27" t="s">
        <v>162</v>
      </c>
      <c r="D69" s="27" t="s">
        <v>163</v>
      </c>
      <c r="E69" s="27" t="s">
        <v>124</v>
      </c>
      <c r="F69" s="27" t="s">
        <v>125</v>
      </c>
      <c r="G69" s="28">
        <v>2023.0</v>
      </c>
      <c r="H69" s="28">
        <v>89.0</v>
      </c>
      <c r="I69" s="28">
        <v>57.0</v>
      </c>
      <c r="J69" s="29" t="str">
        <f>'1. Base de donnée HILIN MU CM2 '!$G69&amp;"-"&amp;'1. Base de donnée HILIN MU CM2 '!$H69&amp;"-"&amp;'1. Base de donnée HILIN MU CM2 '!$I69</f>
        <v>2023-89-57</v>
      </c>
      <c r="K69" s="28">
        <f t="shared" si="1"/>
        <v>62</v>
      </c>
      <c r="L69" s="29" t="s">
        <v>31</v>
      </c>
      <c r="M69" s="29"/>
      <c r="N69" s="29"/>
      <c r="O69" s="27" t="s">
        <v>164</v>
      </c>
      <c r="P69" s="27">
        <v>4.5</v>
      </c>
      <c r="Q69" s="27"/>
      <c r="R69" s="27"/>
      <c r="S69" s="27"/>
      <c r="T69" s="27"/>
      <c r="U69" s="30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</row>
    <row r="70" ht="14.25" customHeight="1">
      <c r="A70" s="22" t="s">
        <v>120</v>
      </c>
      <c r="B70" s="22" t="s">
        <v>121</v>
      </c>
      <c r="C70" s="22" t="s">
        <v>165</v>
      </c>
      <c r="D70" s="22" t="s">
        <v>166</v>
      </c>
      <c r="E70" s="22" t="s">
        <v>124</v>
      </c>
      <c r="F70" s="22" t="s">
        <v>125</v>
      </c>
      <c r="G70" s="23">
        <v>2023.0</v>
      </c>
      <c r="H70" s="23">
        <v>89.0</v>
      </c>
      <c r="I70" s="23">
        <v>58.0</v>
      </c>
      <c r="J70" s="24" t="str">
        <f>'1. Base de donnée HILIN MU CM2 '!$G70&amp;"-"&amp;'1. Base de donnée HILIN MU CM2 '!$H70&amp;"-"&amp;'1. Base de donnée HILIN MU CM2 '!$I70</f>
        <v>2023-89-58</v>
      </c>
      <c r="K70" s="23">
        <f t="shared" si="1"/>
        <v>63</v>
      </c>
      <c r="L70" s="24" t="s">
        <v>31</v>
      </c>
      <c r="M70" s="24"/>
      <c r="N70" s="24"/>
      <c r="O70" s="22">
        <v>1.5</v>
      </c>
      <c r="P70" s="22">
        <v>4.75</v>
      </c>
      <c r="Q70" s="22">
        <f>SUM('1. Base de donnée HILIN MU CM2 '!$O70+'1. Base de donnée HILIN MU CM2 '!$P70)/2</f>
        <v>3.125</v>
      </c>
      <c r="R70" s="22">
        <v>8.5</v>
      </c>
      <c r="S70" s="22">
        <v>12.0</v>
      </c>
      <c r="T70" s="22">
        <f>('1. Base de donnée HILIN MU CM2 '!$R70+'1. Base de donnée HILIN MU CM2 '!$S70)/2</f>
        <v>10.25</v>
      </c>
      <c r="U70" s="25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</row>
    <row r="71" ht="14.25" customHeight="1">
      <c r="A71" s="27" t="s">
        <v>120</v>
      </c>
      <c r="B71" s="29" t="s">
        <v>121</v>
      </c>
      <c r="C71" s="29" t="s">
        <v>167</v>
      </c>
      <c r="D71" s="29" t="s">
        <v>168</v>
      </c>
      <c r="E71" s="27" t="s">
        <v>124</v>
      </c>
      <c r="F71" s="27" t="s">
        <v>128</v>
      </c>
      <c r="G71" s="28">
        <v>2022.0</v>
      </c>
      <c r="H71" s="28">
        <v>89.0</v>
      </c>
      <c r="I71" s="28">
        <v>1.0</v>
      </c>
      <c r="J71" s="29" t="str">
        <f>'1. Base de donnée HILIN MU CM2 '!$G71&amp;"-"&amp;'1. Base de donnée HILIN MU CM2 '!$H71&amp;"-"&amp;'1. Base de donnée HILIN MU CM2 '!$I71</f>
        <v>2022-89-1</v>
      </c>
      <c r="K71" s="28">
        <f t="shared" si="1"/>
        <v>64</v>
      </c>
      <c r="L71" s="29" t="s">
        <v>31</v>
      </c>
      <c r="M71" s="29"/>
      <c r="N71" s="29"/>
      <c r="O71" s="27">
        <v>1.5</v>
      </c>
      <c r="P71" s="27">
        <v>5.0</v>
      </c>
      <c r="Q71" s="27">
        <f>SUM('1. Base de donnée HILIN MU CM2 '!$O71+'1. Base de donnée HILIN MU CM2 '!$P71)/2</f>
        <v>3.25</v>
      </c>
      <c r="R71" s="27">
        <v>14.0</v>
      </c>
      <c r="S71" s="27">
        <v>11.5</v>
      </c>
      <c r="T71" s="27">
        <f>('1. Base de donnée HILIN MU CM2 '!$R71+'1. Base de donnée HILIN MU CM2 '!$S71)/2</f>
        <v>12.75</v>
      </c>
      <c r="U71" s="30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</row>
    <row r="72" ht="14.25" customHeight="1">
      <c r="A72" s="22" t="s">
        <v>120</v>
      </c>
      <c r="B72" s="24" t="s">
        <v>121</v>
      </c>
      <c r="C72" s="24" t="s">
        <v>169</v>
      </c>
      <c r="D72" s="22" t="s">
        <v>170</v>
      </c>
      <c r="E72" s="22" t="s">
        <v>124</v>
      </c>
      <c r="F72" s="22" t="s">
        <v>128</v>
      </c>
      <c r="G72" s="23">
        <v>2022.0</v>
      </c>
      <c r="H72" s="23">
        <v>89.0</v>
      </c>
      <c r="I72" s="23">
        <v>8.0</v>
      </c>
      <c r="J72" s="24" t="str">
        <f>'1. Base de donnée HILIN MU CM2 '!$G72&amp;"-"&amp;'1. Base de donnée HILIN MU CM2 '!$H72&amp;"-"&amp;'1. Base de donnée HILIN MU CM2 '!$I72</f>
        <v>2022-89-8</v>
      </c>
      <c r="K72" s="23">
        <f t="shared" si="1"/>
        <v>65</v>
      </c>
      <c r="L72" s="24" t="s">
        <v>31</v>
      </c>
      <c r="M72" s="24"/>
      <c r="N72" s="24"/>
      <c r="O72" s="22" t="s">
        <v>164</v>
      </c>
      <c r="P72" s="22"/>
      <c r="Q72" s="22"/>
      <c r="R72" s="22"/>
      <c r="S72" s="22"/>
      <c r="T72" s="22"/>
      <c r="U72" s="25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</row>
    <row r="73" ht="14.25" customHeight="1">
      <c r="A73" s="27" t="s">
        <v>120</v>
      </c>
      <c r="B73" s="29" t="s">
        <v>121</v>
      </c>
      <c r="C73" s="29" t="s">
        <v>171</v>
      </c>
      <c r="D73" s="27" t="s">
        <v>172</v>
      </c>
      <c r="E73" s="27" t="s">
        <v>124</v>
      </c>
      <c r="F73" s="27" t="s">
        <v>128</v>
      </c>
      <c r="G73" s="28">
        <v>2022.0</v>
      </c>
      <c r="H73" s="28">
        <v>89.0</v>
      </c>
      <c r="I73" s="28">
        <v>9.0</v>
      </c>
      <c r="J73" s="29" t="str">
        <f>'1. Base de donnée HILIN MU CM2 '!$G73&amp;"-"&amp;'1. Base de donnée HILIN MU CM2 '!$H73&amp;"-"&amp;'1. Base de donnée HILIN MU CM2 '!$I73</f>
        <v>2022-89-9</v>
      </c>
      <c r="K73" s="28">
        <f t="shared" si="1"/>
        <v>66</v>
      </c>
      <c r="L73" s="29" t="s">
        <v>31</v>
      </c>
      <c r="M73" s="29"/>
      <c r="N73" s="29"/>
      <c r="O73" s="27">
        <v>3.0</v>
      </c>
      <c r="P73" s="27">
        <v>3.0</v>
      </c>
      <c r="Q73" s="27">
        <f>SUM('1. Base de donnée HILIN MU CM2 '!$O73+'1. Base de donnée HILIN MU CM2 '!$P73)/2</f>
        <v>3</v>
      </c>
      <c r="R73" s="27">
        <v>11.0</v>
      </c>
      <c r="S73" s="27">
        <v>12.0</v>
      </c>
      <c r="T73" s="27">
        <f>('1. Base de donnée HILIN MU CM2 '!$R73+'1. Base de donnée HILIN MU CM2 '!$S73)/2</f>
        <v>11.5</v>
      </c>
      <c r="U73" s="30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</row>
    <row r="74" ht="14.25" customHeight="1">
      <c r="A74" s="22" t="s">
        <v>120</v>
      </c>
      <c r="B74" s="24" t="s">
        <v>121</v>
      </c>
      <c r="C74" s="24" t="s">
        <v>173</v>
      </c>
      <c r="D74" s="24" t="s">
        <v>174</v>
      </c>
      <c r="E74" s="22" t="s">
        <v>124</v>
      </c>
      <c r="F74" s="22" t="s">
        <v>128</v>
      </c>
      <c r="G74" s="23">
        <v>2022.0</v>
      </c>
      <c r="H74" s="23">
        <v>89.0</v>
      </c>
      <c r="I74" s="23">
        <v>14.0</v>
      </c>
      <c r="J74" s="24" t="str">
        <f>'1. Base de donnée HILIN MU CM2 '!$G74&amp;"-"&amp;'1. Base de donnée HILIN MU CM2 '!$H74&amp;"-"&amp;'1. Base de donnée HILIN MU CM2 '!$I74</f>
        <v>2022-89-14</v>
      </c>
      <c r="K74" s="23">
        <f t="shared" si="1"/>
        <v>67</v>
      </c>
      <c r="L74" s="24" t="s">
        <v>31</v>
      </c>
      <c r="M74" s="24"/>
      <c r="N74" s="24"/>
      <c r="O74" s="22">
        <v>3.5</v>
      </c>
      <c r="P74" s="22">
        <v>6.0</v>
      </c>
      <c r="Q74" s="22">
        <f>SUM('1. Base de donnée HILIN MU CM2 '!$O74+'1. Base de donnée HILIN MU CM2 '!$P74)/2</f>
        <v>4.75</v>
      </c>
      <c r="R74" s="22">
        <v>14.0</v>
      </c>
      <c r="S74" s="22">
        <v>16.5</v>
      </c>
      <c r="T74" s="22">
        <f>('1. Base de donnée HILIN MU CM2 '!$R74+'1. Base de donnée HILIN MU CM2 '!$S74)/2</f>
        <v>15.25</v>
      </c>
      <c r="U74" s="25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</row>
    <row r="75" ht="14.25" customHeight="1">
      <c r="A75" s="27" t="s">
        <v>120</v>
      </c>
      <c r="B75" s="29" t="s">
        <v>121</v>
      </c>
      <c r="C75" s="29" t="s">
        <v>175</v>
      </c>
      <c r="D75" s="29" t="s">
        <v>176</v>
      </c>
      <c r="E75" s="27" t="s">
        <v>124</v>
      </c>
      <c r="F75" s="27" t="s">
        <v>125</v>
      </c>
      <c r="G75" s="28">
        <v>2024.0</v>
      </c>
      <c r="H75" s="28">
        <v>89.0</v>
      </c>
      <c r="I75" s="28">
        <v>930.0</v>
      </c>
      <c r="J75" s="29" t="str">
        <f>'1. Base de donnée HILIN MU CM2 '!$G75&amp;"-"&amp;'1. Base de donnée HILIN MU CM2 '!$H75&amp;"-"&amp;'1. Base de donnée HILIN MU CM2 '!$I75</f>
        <v>2024-89-930</v>
      </c>
      <c r="K75" s="28">
        <f t="shared" si="1"/>
        <v>68</v>
      </c>
      <c r="L75" s="29" t="s">
        <v>31</v>
      </c>
      <c r="M75" s="29"/>
      <c r="N75" s="29"/>
      <c r="O75" s="27">
        <v>5.0</v>
      </c>
      <c r="P75" s="27">
        <v>4.0</v>
      </c>
      <c r="Q75" s="27">
        <f>SUM('1. Base de donnée HILIN MU CM2 '!$O75+'1. Base de donnée HILIN MU CM2 '!$P75)/2</f>
        <v>4.5</v>
      </c>
      <c r="R75" s="27">
        <v>14.0</v>
      </c>
      <c r="S75" s="27">
        <v>11.5</v>
      </c>
      <c r="T75" s="31">
        <f>('1. Base de donnée HILIN MU CM2 '!$R75+'1. Base de donnée HILIN MU CM2 '!$S75)/2</f>
        <v>12.75</v>
      </c>
      <c r="U75" s="30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</row>
    <row r="76" ht="14.25" customHeight="1">
      <c r="A76" s="22" t="s">
        <v>120</v>
      </c>
      <c r="B76" s="24" t="s">
        <v>121</v>
      </c>
      <c r="C76" s="24" t="s">
        <v>177</v>
      </c>
      <c r="D76" s="24" t="s">
        <v>178</v>
      </c>
      <c r="E76" s="22" t="s">
        <v>124</v>
      </c>
      <c r="F76" s="22" t="s">
        <v>125</v>
      </c>
      <c r="G76" s="23">
        <v>2024.0</v>
      </c>
      <c r="H76" s="23">
        <v>89.0</v>
      </c>
      <c r="I76" s="23">
        <v>931.0</v>
      </c>
      <c r="J76" s="24" t="str">
        <f>'1. Base de donnée HILIN MU CM2 '!$G76&amp;"-"&amp;'1. Base de donnée HILIN MU CM2 '!$H76&amp;"-"&amp;'1. Base de donnée HILIN MU CM2 '!$I76</f>
        <v>2024-89-931</v>
      </c>
      <c r="K76" s="23">
        <f t="shared" si="1"/>
        <v>69</v>
      </c>
      <c r="L76" s="24" t="s">
        <v>31</v>
      </c>
      <c r="M76" s="24"/>
      <c r="N76" s="24"/>
      <c r="O76" s="22">
        <v>6.5</v>
      </c>
      <c r="P76" s="22">
        <v>8.0</v>
      </c>
      <c r="Q76" s="22">
        <f>SUM('1. Base de donnée HILIN MU CM2 '!$O76+'1. Base de donnée HILIN MU CM2 '!$P76)/2</f>
        <v>7.25</v>
      </c>
      <c r="R76" s="22">
        <v>17.0</v>
      </c>
      <c r="S76" s="22">
        <v>13.5</v>
      </c>
      <c r="T76" s="32">
        <f>('1. Base de donnée HILIN MU CM2 '!$R76+'1. Base de donnée HILIN MU CM2 '!$S76)/2</f>
        <v>15.25</v>
      </c>
      <c r="U76" s="25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</row>
    <row r="77" ht="14.25" customHeight="1">
      <c r="A77" s="27" t="s">
        <v>120</v>
      </c>
      <c r="B77" s="29" t="s">
        <v>121</v>
      </c>
      <c r="C77" s="29" t="s">
        <v>179</v>
      </c>
      <c r="D77" s="29" t="s">
        <v>180</v>
      </c>
      <c r="E77" s="27" t="s">
        <v>124</v>
      </c>
      <c r="F77" s="27" t="s">
        <v>128</v>
      </c>
      <c r="G77" s="28">
        <v>2024.0</v>
      </c>
      <c r="H77" s="28">
        <v>89.0</v>
      </c>
      <c r="I77" s="28">
        <v>932.0</v>
      </c>
      <c r="J77" s="29" t="str">
        <f>'1. Base de donnée HILIN MU CM2 '!$G77&amp;"-"&amp;'1. Base de donnée HILIN MU CM2 '!$H77&amp;"-"&amp;'1. Base de donnée HILIN MU CM2 '!$I77</f>
        <v>2024-89-932</v>
      </c>
      <c r="K77" s="28">
        <f t="shared" si="1"/>
        <v>70</v>
      </c>
      <c r="L77" s="29" t="s">
        <v>31</v>
      </c>
      <c r="M77" s="29"/>
      <c r="N77" s="29"/>
      <c r="O77" s="27">
        <v>6.0</v>
      </c>
      <c r="P77" s="27">
        <v>7.0</v>
      </c>
      <c r="Q77" s="27">
        <f>SUM('1. Base de donnée HILIN MU CM2 '!$O77+'1. Base de donnée HILIN MU CM2 '!$P77)/2</f>
        <v>6.5</v>
      </c>
      <c r="R77" s="27">
        <v>18.0</v>
      </c>
      <c r="S77" s="27">
        <v>14.0</v>
      </c>
      <c r="T77" s="31">
        <f>('1. Base de donnée HILIN MU CM2 '!$R77+'1. Base de donnée HILIN MU CM2 '!$S77)/2</f>
        <v>16</v>
      </c>
      <c r="U77" s="30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</row>
    <row r="78" ht="14.25" customHeight="1">
      <c r="A78" s="22" t="s">
        <v>120</v>
      </c>
      <c r="B78" s="24" t="s">
        <v>121</v>
      </c>
      <c r="C78" s="24" t="s">
        <v>181</v>
      </c>
      <c r="D78" s="24" t="s">
        <v>57</v>
      </c>
      <c r="E78" s="22" t="s">
        <v>124</v>
      </c>
      <c r="F78" s="22" t="s">
        <v>125</v>
      </c>
      <c r="G78" s="23">
        <v>2024.0</v>
      </c>
      <c r="H78" s="23">
        <v>89.0</v>
      </c>
      <c r="I78" s="23">
        <v>933.0</v>
      </c>
      <c r="J78" s="24" t="str">
        <f>'1. Base de donnée HILIN MU CM2 '!$G78&amp;"-"&amp;'1. Base de donnée HILIN MU CM2 '!$H78&amp;"-"&amp;'1. Base de donnée HILIN MU CM2 '!$I78</f>
        <v>2024-89-933</v>
      </c>
      <c r="K78" s="23">
        <f t="shared" si="1"/>
        <v>71</v>
      </c>
      <c r="L78" s="24" t="s">
        <v>31</v>
      </c>
      <c r="M78" s="24"/>
      <c r="N78" s="24"/>
      <c r="O78" s="22">
        <v>5.0</v>
      </c>
      <c r="P78" s="22">
        <v>6.5</v>
      </c>
      <c r="Q78" s="22">
        <f>SUM('1. Base de donnée HILIN MU CM2 '!$O78+'1. Base de donnée HILIN MU CM2 '!$P78)/2</f>
        <v>5.75</v>
      </c>
      <c r="R78" s="22">
        <v>17.0</v>
      </c>
      <c r="S78" s="22">
        <v>14.0</v>
      </c>
      <c r="T78" s="32">
        <f>('1. Base de donnée HILIN MU CM2 '!$R78+'1. Base de donnée HILIN MU CM2 '!$S78)/2</f>
        <v>15.5</v>
      </c>
      <c r="U78" s="25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</row>
    <row r="79" ht="14.25" customHeight="1">
      <c r="A79" s="27" t="s">
        <v>120</v>
      </c>
      <c r="B79" s="29" t="s">
        <v>121</v>
      </c>
      <c r="C79" s="29" t="s">
        <v>182</v>
      </c>
      <c r="D79" s="29" t="s">
        <v>183</v>
      </c>
      <c r="E79" s="27" t="s">
        <v>124</v>
      </c>
      <c r="F79" s="27" t="s">
        <v>128</v>
      </c>
      <c r="G79" s="28">
        <v>2024.0</v>
      </c>
      <c r="H79" s="28">
        <v>89.0</v>
      </c>
      <c r="I79" s="28">
        <v>934.0</v>
      </c>
      <c r="J79" s="29" t="str">
        <f>'1. Base de donnée HILIN MU CM2 '!$G79&amp;"-"&amp;'1. Base de donnée HILIN MU CM2 '!$H79&amp;"-"&amp;'1. Base de donnée HILIN MU CM2 '!$I79</f>
        <v>2024-89-934</v>
      </c>
      <c r="K79" s="28">
        <f t="shared" si="1"/>
        <v>72</v>
      </c>
      <c r="L79" s="29" t="s">
        <v>31</v>
      </c>
      <c r="M79" s="29"/>
      <c r="N79" s="29"/>
      <c r="O79" s="27">
        <v>4.0</v>
      </c>
      <c r="P79" s="27">
        <v>4.25</v>
      </c>
      <c r="Q79" s="27">
        <f>SUM('1. Base de donnée HILIN MU CM2 '!$O79+'1. Base de donnée HILIN MU CM2 '!$P79)/2</f>
        <v>4.125</v>
      </c>
      <c r="R79" s="27">
        <v>19.5</v>
      </c>
      <c r="S79" s="27">
        <v>20.0</v>
      </c>
      <c r="T79" s="31">
        <f>('1. Base de donnée HILIN MU CM2 '!$R79+'1. Base de donnée HILIN MU CM2 '!$S79)/2</f>
        <v>19.75</v>
      </c>
      <c r="U79" s="30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</row>
    <row r="80" ht="14.25" customHeight="1">
      <c r="A80" s="22" t="s">
        <v>120</v>
      </c>
      <c r="B80" s="24" t="s">
        <v>121</v>
      </c>
      <c r="C80" s="24" t="s">
        <v>184</v>
      </c>
      <c r="D80" s="24" t="s">
        <v>185</v>
      </c>
      <c r="E80" s="22" t="s">
        <v>124</v>
      </c>
      <c r="F80" s="22" t="s">
        <v>125</v>
      </c>
      <c r="G80" s="23">
        <v>2024.0</v>
      </c>
      <c r="H80" s="23">
        <v>89.0</v>
      </c>
      <c r="I80" s="23">
        <v>935.0</v>
      </c>
      <c r="J80" s="24" t="str">
        <f>'1. Base de donnée HILIN MU CM2 '!$G80&amp;"-"&amp;'1. Base de donnée HILIN MU CM2 '!$H80&amp;"-"&amp;'1. Base de donnée HILIN MU CM2 '!$I80</f>
        <v>2024-89-935</v>
      </c>
      <c r="K80" s="23">
        <f t="shared" si="1"/>
        <v>73</v>
      </c>
      <c r="L80" s="24" t="s">
        <v>31</v>
      </c>
      <c r="M80" s="24"/>
      <c r="N80" s="24"/>
      <c r="O80" s="22">
        <v>4.0</v>
      </c>
      <c r="P80" s="22">
        <v>5.5</v>
      </c>
      <c r="Q80" s="22">
        <f>SUM('1. Base de donnée HILIN MU CM2 '!$O80+'1. Base de donnée HILIN MU CM2 '!$P80)/2</f>
        <v>4.75</v>
      </c>
      <c r="R80" s="22">
        <v>16.5</v>
      </c>
      <c r="S80" s="22">
        <v>16.5</v>
      </c>
      <c r="T80" s="32">
        <f>('1. Base de donnée HILIN MU CM2 '!$R80+'1. Base de donnée HILIN MU CM2 '!$S80)/2</f>
        <v>16.5</v>
      </c>
      <c r="U80" s="25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</row>
    <row r="81" ht="14.25" customHeight="1">
      <c r="A81" s="27" t="s">
        <v>120</v>
      </c>
      <c r="B81" s="29" t="s">
        <v>121</v>
      </c>
      <c r="C81" s="29" t="s">
        <v>186</v>
      </c>
      <c r="D81" s="29" t="s">
        <v>187</v>
      </c>
      <c r="E81" s="27" t="s">
        <v>124</v>
      </c>
      <c r="F81" s="27" t="s">
        <v>128</v>
      </c>
      <c r="G81" s="28">
        <v>2024.0</v>
      </c>
      <c r="H81" s="28">
        <v>89.0</v>
      </c>
      <c r="I81" s="28">
        <v>936.0</v>
      </c>
      <c r="J81" s="29" t="str">
        <f>'1. Base de donnée HILIN MU CM2 '!$G81&amp;"-"&amp;'1. Base de donnée HILIN MU CM2 '!$H81&amp;"-"&amp;'1. Base de donnée HILIN MU CM2 '!$I81</f>
        <v>2024-89-936</v>
      </c>
      <c r="K81" s="28">
        <f t="shared" si="1"/>
        <v>74</v>
      </c>
      <c r="L81" s="29" t="s">
        <v>31</v>
      </c>
      <c r="M81" s="29"/>
      <c r="N81" s="29"/>
      <c r="O81" s="27">
        <v>7.5</v>
      </c>
      <c r="P81" s="27">
        <v>7.0</v>
      </c>
      <c r="Q81" s="27">
        <f>SUM('1. Base de donnée HILIN MU CM2 '!$O81+'1. Base de donnée HILIN MU CM2 '!$P81)/2</f>
        <v>7.25</v>
      </c>
      <c r="R81" s="27">
        <v>16.5</v>
      </c>
      <c r="S81" s="27">
        <v>16.5</v>
      </c>
      <c r="T81" s="31">
        <f>('1. Base de donnée HILIN MU CM2 '!$R81+'1. Base de donnée HILIN MU CM2 '!$S81)/2</f>
        <v>16.5</v>
      </c>
      <c r="U81" s="30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</row>
    <row r="82" ht="14.25" hidden="1" customHeight="1">
      <c r="A82" s="22" t="s">
        <v>188</v>
      </c>
      <c r="B82" s="22" t="s">
        <v>26</v>
      </c>
      <c r="C82" s="22" t="s">
        <v>189</v>
      </c>
      <c r="D82" s="22" t="s">
        <v>178</v>
      </c>
      <c r="E82" s="22" t="s">
        <v>190</v>
      </c>
      <c r="F82" s="22" t="s">
        <v>191</v>
      </c>
      <c r="G82" s="23">
        <v>2023.0</v>
      </c>
      <c r="H82" s="23">
        <v>2.0</v>
      </c>
      <c r="I82" s="23">
        <v>59.0</v>
      </c>
      <c r="J82" s="24" t="str">
        <f>'1. Base de donnée HILIN MU CM2 '!$G82&amp;"-"&amp;'1. Base de donnée HILIN MU CM2 '!$H82&amp;"-"&amp;'1. Base de donnée HILIN MU CM2 '!$I82</f>
        <v>2023-2-59</v>
      </c>
      <c r="K82" s="23">
        <f t="shared" si="1"/>
        <v>75</v>
      </c>
      <c r="L82" s="24" t="s">
        <v>31</v>
      </c>
      <c r="M82" s="24"/>
      <c r="N82" s="24"/>
      <c r="O82" s="33">
        <v>12.0</v>
      </c>
      <c r="P82" s="33">
        <v>1.5</v>
      </c>
      <c r="Q82" s="22">
        <f>SUM('1. Base de donnée HILIN MU CM2 '!$O82+'1. Base de donnée HILIN MU CM2 '!$P82)/2</f>
        <v>6.75</v>
      </c>
      <c r="R82" s="22">
        <v>16.0</v>
      </c>
      <c r="S82" s="22">
        <v>17.0</v>
      </c>
      <c r="T82" s="22">
        <f>('1. Base de donnée HILIN MU CM2 '!$R82+'1. Base de donnée HILIN MU CM2 '!$S82)/2</f>
        <v>16.5</v>
      </c>
      <c r="U82" s="25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</row>
    <row r="83" ht="14.25" hidden="1" customHeight="1">
      <c r="A83" s="27" t="s">
        <v>188</v>
      </c>
      <c r="B83" s="27" t="s">
        <v>26</v>
      </c>
      <c r="C83" s="27" t="s">
        <v>192</v>
      </c>
      <c r="D83" s="27" t="s">
        <v>193</v>
      </c>
      <c r="E83" s="27" t="s">
        <v>190</v>
      </c>
      <c r="F83" s="27" t="s">
        <v>191</v>
      </c>
      <c r="G83" s="28">
        <v>2023.0</v>
      </c>
      <c r="H83" s="28">
        <v>2.0</v>
      </c>
      <c r="I83" s="28">
        <v>60.0</v>
      </c>
      <c r="J83" s="29" t="str">
        <f>'1. Base de donnée HILIN MU CM2 '!$G83&amp;"-"&amp;'1. Base de donnée HILIN MU CM2 '!$H83&amp;"-"&amp;'1. Base de donnée HILIN MU CM2 '!$I83</f>
        <v>2023-2-60</v>
      </c>
      <c r="K83" s="28">
        <f t="shared" si="1"/>
        <v>76</v>
      </c>
      <c r="L83" s="29" t="s">
        <v>31</v>
      </c>
      <c r="M83" s="29"/>
      <c r="N83" s="29"/>
      <c r="O83" s="34">
        <v>8.0</v>
      </c>
      <c r="P83" s="34">
        <v>6.0</v>
      </c>
      <c r="Q83" s="27">
        <f>SUM('1. Base de donnée HILIN MU CM2 '!$O83+'1. Base de donnée HILIN MU CM2 '!$P83)/2</f>
        <v>7</v>
      </c>
      <c r="R83" s="27">
        <v>16.0</v>
      </c>
      <c r="S83" s="27">
        <v>15.5</v>
      </c>
      <c r="T83" s="27">
        <f>('1. Base de donnée HILIN MU CM2 '!$R83+'1. Base de donnée HILIN MU CM2 '!$S83)/2</f>
        <v>15.75</v>
      </c>
      <c r="U83" s="30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</row>
    <row r="84" ht="14.25" hidden="1" customHeight="1">
      <c r="A84" s="22" t="s">
        <v>188</v>
      </c>
      <c r="B84" s="22" t="s">
        <v>26</v>
      </c>
      <c r="C84" s="22" t="s">
        <v>194</v>
      </c>
      <c r="D84" s="22" t="s">
        <v>195</v>
      </c>
      <c r="E84" s="22" t="s">
        <v>190</v>
      </c>
      <c r="F84" s="22" t="s">
        <v>191</v>
      </c>
      <c r="G84" s="23">
        <v>2023.0</v>
      </c>
      <c r="H84" s="23">
        <v>2.0</v>
      </c>
      <c r="I84" s="23">
        <v>61.0</v>
      </c>
      <c r="J84" s="24" t="str">
        <f>'1. Base de donnée HILIN MU CM2 '!$G84&amp;"-"&amp;'1. Base de donnée HILIN MU CM2 '!$H84&amp;"-"&amp;'1. Base de donnée HILIN MU CM2 '!$I84</f>
        <v>2023-2-61</v>
      </c>
      <c r="K84" s="23">
        <f t="shared" si="1"/>
        <v>77</v>
      </c>
      <c r="L84" s="24" t="s">
        <v>31</v>
      </c>
      <c r="M84" s="24"/>
      <c r="N84" s="24"/>
      <c r="O84" s="33">
        <v>4.5</v>
      </c>
      <c r="P84" s="33">
        <v>7.0</v>
      </c>
      <c r="Q84" s="22">
        <f>SUM('1. Base de donnée HILIN MU CM2 '!$O84+'1. Base de donnée HILIN MU CM2 '!$P84)/2</f>
        <v>5.75</v>
      </c>
      <c r="R84" s="22">
        <v>17.75</v>
      </c>
      <c r="S84" s="22">
        <v>18.25</v>
      </c>
      <c r="T84" s="22">
        <f>('1. Base de donnée HILIN MU CM2 '!$R84+'1. Base de donnée HILIN MU CM2 '!$S84)/2</f>
        <v>18</v>
      </c>
      <c r="U84" s="25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</row>
    <row r="85" ht="14.25" hidden="1" customHeight="1">
      <c r="A85" s="27" t="s">
        <v>188</v>
      </c>
      <c r="B85" s="27" t="s">
        <v>26</v>
      </c>
      <c r="C85" s="27" t="s">
        <v>196</v>
      </c>
      <c r="D85" s="27" t="s">
        <v>197</v>
      </c>
      <c r="E85" s="27" t="s">
        <v>190</v>
      </c>
      <c r="F85" s="27" t="s">
        <v>191</v>
      </c>
      <c r="G85" s="28">
        <v>2023.0</v>
      </c>
      <c r="H85" s="28">
        <v>2.0</v>
      </c>
      <c r="I85" s="28">
        <v>62.0</v>
      </c>
      <c r="J85" s="29" t="str">
        <f>'1. Base de donnée HILIN MU CM2 '!$G85&amp;"-"&amp;'1. Base de donnée HILIN MU CM2 '!$H85&amp;"-"&amp;'1. Base de donnée HILIN MU CM2 '!$I85</f>
        <v>2023-2-62</v>
      </c>
      <c r="K85" s="28">
        <f t="shared" si="1"/>
        <v>78</v>
      </c>
      <c r="L85" s="29" t="s">
        <v>31</v>
      </c>
      <c r="M85" s="29"/>
      <c r="N85" s="29"/>
      <c r="O85" s="34">
        <v>10.0</v>
      </c>
      <c r="P85" s="34">
        <v>4.0</v>
      </c>
      <c r="Q85" s="27">
        <f>SUM('1. Base de donnée HILIN MU CM2 '!$O85+'1. Base de donnée HILIN MU CM2 '!$P85)/2</f>
        <v>7</v>
      </c>
      <c r="R85" s="27">
        <v>13.0</v>
      </c>
      <c r="S85" s="27">
        <v>14.5</v>
      </c>
      <c r="T85" s="27">
        <f>('1. Base de donnée HILIN MU CM2 '!$R85+'1. Base de donnée HILIN MU CM2 '!$S85)/2</f>
        <v>13.75</v>
      </c>
      <c r="U85" s="30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</row>
    <row r="86" ht="14.25" hidden="1" customHeight="1">
      <c r="A86" s="22" t="s">
        <v>188</v>
      </c>
      <c r="B86" s="22" t="s">
        <v>26</v>
      </c>
      <c r="C86" s="22" t="s">
        <v>198</v>
      </c>
      <c r="D86" s="22" t="s">
        <v>57</v>
      </c>
      <c r="E86" s="22" t="s">
        <v>190</v>
      </c>
      <c r="F86" s="22" t="s">
        <v>191</v>
      </c>
      <c r="G86" s="23">
        <v>2023.0</v>
      </c>
      <c r="H86" s="23">
        <v>2.0</v>
      </c>
      <c r="I86" s="23">
        <v>63.0</v>
      </c>
      <c r="J86" s="24" t="str">
        <f>'1. Base de donnée HILIN MU CM2 '!$G86&amp;"-"&amp;'1. Base de donnée HILIN MU CM2 '!$H86&amp;"-"&amp;'1. Base de donnée HILIN MU CM2 '!$I86</f>
        <v>2023-2-63</v>
      </c>
      <c r="K86" s="23">
        <f t="shared" si="1"/>
        <v>79</v>
      </c>
      <c r="L86" s="24" t="s">
        <v>31</v>
      </c>
      <c r="M86" s="24"/>
      <c r="N86" s="24"/>
      <c r="O86" s="33">
        <v>9.0</v>
      </c>
      <c r="P86" s="33">
        <v>3.5</v>
      </c>
      <c r="Q86" s="22">
        <f>SUM('1. Base de donnée HILIN MU CM2 '!$O86+'1. Base de donnée HILIN MU CM2 '!$P86)/2</f>
        <v>6.25</v>
      </c>
      <c r="R86" s="22">
        <v>13.0</v>
      </c>
      <c r="S86" s="22">
        <v>17.5</v>
      </c>
      <c r="T86" s="22">
        <f>('1. Base de donnée HILIN MU CM2 '!$R86+'1. Base de donnée HILIN MU CM2 '!$S86)/2</f>
        <v>15.25</v>
      </c>
      <c r="U86" s="25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</row>
    <row r="87" ht="14.25" hidden="1" customHeight="1">
      <c r="A87" s="27" t="s">
        <v>188</v>
      </c>
      <c r="B87" s="27" t="s">
        <v>26</v>
      </c>
      <c r="C87" s="27" t="s">
        <v>199</v>
      </c>
      <c r="D87" s="27" t="s">
        <v>200</v>
      </c>
      <c r="E87" s="27" t="s">
        <v>201</v>
      </c>
      <c r="F87" s="27" t="s">
        <v>191</v>
      </c>
      <c r="G87" s="28">
        <v>2023.0</v>
      </c>
      <c r="H87" s="28">
        <v>2.0</v>
      </c>
      <c r="I87" s="28">
        <v>64.0</v>
      </c>
      <c r="J87" s="29" t="str">
        <f>'1. Base de donnée HILIN MU CM2 '!$G87&amp;"-"&amp;'1. Base de donnée HILIN MU CM2 '!$H87&amp;"-"&amp;'1. Base de donnée HILIN MU CM2 '!$I87</f>
        <v>2023-2-64</v>
      </c>
      <c r="K87" s="28">
        <f t="shared" si="1"/>
        <v>80</v>
      </c>
      <c r="L87" s="29" t="s">
        <v>31</v>
      </c>
      <c r="M87" s="29"/>
      <c r="N87" s="29"/>
      <c r="O87" s="34">
        <v>9.0</v>
      </c>
      <c r="P87" s="34">
        <v>1.0</v>
      </c>
      <c r="Q87" s="27">
        <f>SUM('1. Base de donnée HILIN MU CM2 '!$O87+'1. Base de donnée HILIN MU CM2 '!$P87)/2</f>
        <v>5</v>
      </c>
      <c r="R87" s="27">
        <v>13.5</v>
      </c>
      <c r="S87" s="27">
        <v>14.0</v>
      </c>
      <c r="T87" s="27">
        <f>('1. Base de donnée HILIN MU CM2 '!$R87+'1. Base de donnée HILIN MU CM2 '!$S87)/2</f>
        <v>13.75</v>
      </c>
      <c r="U87" s="30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</row>
    <row r="88" ht="14.25" hidden="1" customHeight="1">
      <c r="A88" s="22" t="s">
        <v>188</v>
      </c>
      <c r="B88" s="22" t="s">
        <v>26</v>
      </c>
      <c r="C88" s="22" t="s">
        <v>202</v>
      </c>
      <c r="D88" s="22" t="s">
        <v>203</v>
      </c>
      <c r="E88" s="22" t="s">
        <v>190</v>
      </c>
      <c r="F88" s="22" t="s">
        <v>191</v>
      </c>
      <c r="G88" s="23">
        <v>2023.0</v>
      </c>
      <c r="H88" s="23">
        <v>2.0</v>
      </c>
      <c r="I88" s="23">
        <v>65.0</v>
      </c>
      <c r="J88" s="24" t="str">
        <f>'1. Base de donnée HILIN MU CM2 '!$G88&amp;"-"&amp;'1. Base de donnée HILIN MU CM2 '!$H88&amp;"-"&amp;'1. Base de donnée HILIN MU CM2 '!$I88</f>
        <v>2023-2-65</v>
      </c>
      <c r="K88" s="23">
        <f t="shared" si="1"/>
        <v>81</v>
      </c>
      <c r="L88" s="24" t="s">
        <v>31</v>
      </c>
      <c r="M88" s="24"/>
      <c r="N88" s="24"/>
      <c r="O88" s="33">
        <v>9.5</v>
      </c>
      <c r="P88" s="33">
        <v>7.0</v>
      </c>
      <c r="Q88" s="22">
        <f>SUM('1. Base de donnée HILIN MU CM2 '!$O88+'1. Base de donnée HILIN MU CM2 '!$P88)/2</f>
        <v>8.25</v>
      </c>
      <c r="R88" s="22">
        <v>15.5</v>
      </c>
      <c r="S88" s="22">
        <v>13.5</v>
      </c>
      <c r="T88" s="22">
        <f>('1. Base de donnée HILIN MU CM2 '!$R88+'1. Base de donnée HILIN MU CM2 '!$S88)/2</f>
        <v>14.5</v>
      </c>
      <c r="U88" s="25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</row>
    <row r="89" ht="14.25" hidden="1" customHeight="1">
      <c r="A89" s="27" t="s">
        <v>188</v>
      </c>
      <c r="B89" s="27" t="s">
        <v>26</v>
      </c>
      <c r="C89" s="27" t="s">
        <v>204</v>
      </c>
      <c r="D89" s="27" t="s">
        <v>205</v>
      </c>
      <c r="E89" s="27" t="s">
        <v>190</v>
      </c>
      <c r="F89" s="27" t="s">
        <v>191</v>
      </c>
      <c r="G89" s="28">
        <v>2023.0</v>
      </c>
      <c r="H89" s="28">
        <v>2.0</v>
      </c>
      <c r="I89" s="28">
        <v>66.0</v>
      </c>
      <c r="J89" s="29" t="str">
        <f>'1. Base de donnée HILIN MU CM2 '!$G89&amp;"-"&amp;'1. Base de donnée HILIN MU CM2 '!$H89&amp;"-"&amp;'1. Base de donnée HILIN MU CM2 '!$I89</f>
        <v>2023-2-66</v>
      </c>
      <c r="K89" s="28">
        <f t="shared" si="1"/>
        <v>82</v>
      </c>
      <c r="L89" s="29" t="s">
        <v>31</v>
      </c>
      <c r="M89" s="29"/>
      <c r="N89" s="29"/>
      <c r="O89" s="34">
        <v>11.0</v>
      </c>
      <c r="P89" s="34">
        <v>3.5</v>
      </c>
      <c r="Q89" s="27">
        <f>SUM('1. Base de donnée HILIN MU CM2 '!$O89+'1. Base de donnée HILIN MU CM2 '!$P89)/2</f>
        <v>7.25</v>
      </c>
      <c r="R89" s="27">
        <v>16.5</v>
      </c>
      <c r="S89" s="27">
        <v>17.0</v>
      </c>
      <c r="T89" s="27">
        <f>('1. Base de donnée HILIN MU CM2 '!$R89+'1. Base de donnée HILIN MU CM2 '!$S89)/2</f>
        <v>16.75</v>
      </c>
      <c r="U89" s="30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</row>
    <row r="90" ht="14.25" hidden="1" customHeight="1">
      <c r="A90" s="22" t="s">
        <v>188</v>
      </c>
      <c r="B90" s="22" t="s">
        <v>26</v>
      </c>
      <c r="C90" s="22" t="s">
        <v>206</v>
      </c>
      <c r="D90" s="22" t="s">
        <v>207</v>
      </c>
      <c r="E90" s="22" t="s">
        <v>190</v>
      </c>
      <c r="F90" s="22" t="s">
        <v>191</v>
      </c>
      <c r="G90" s="23">
        <v>2023.0</v>
      </c>
      <c r="H90" s="23">
        <v>2.0</v>
      </c>
      <c r="I90" s="23">
        <v>67.0</v>
      </c>
      <c r="J90" s="24" t="str">
        <f>'1. Base de donnée HILIN MU CM2 '!$G90&amp;"-"&amp;'1. Base de donnée HILIN MU CM2 '!$H90&amp;"-"&amp;'1. Base de donnée HILIN MU CM2 '!$I90</f>
        <v>2023-2-67</v>
      </c>
      <c r="K90" s="23">
        <f t="shared" si="1"/>
        <v>83</v>
      </c>
      <c r="L90" s="24" t="s">
        <v>31</v>
      </c>
      <c r="M90" s="24"/>
      <c r="N90" s="24"/>
      <c r="O90" s="33">
        <v>9.5</v>
      </c>
      <c r="P90" s="33">
        <v>2.0</v>
      </c>
      <c r="Q90" s="22">
        <f>SUM('1. Base de donnée HILIN MU CM2 '!$O90+'1. Base de donnée HILIN MU CM2 '!$P90)/2</f>
        <v>5.75</v>
      </c>
      <c r="R90" s="22">
        <v>15.0</v>
      </c>
      <c r="S90" s="22">
        <v>15.0</v>
      </c>
      <c r="T90" s="22">
        <f>('1. Base de donnée HILIN MU CM2 '!$R90+'1. Base de donnée HILIN MU CM2 '!$S90)/2</f>
        <v>15</v>
      </c>
      <c r="U90" s="25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</row>
    <row r="91" ht="14.25" hidden="1" customHeight="1">
      <c r="A91" s="27" t="s">
        <v>188</v>
      </c>
      <c r="B91" s="27" t="s">
        <v>26</v>
      </c>
      <c r="C91" s="27" t="s">
        <v>208</v>
      </c>
      <c r="D91" s="27" t="s">
        <v>209</v>
      </c>
      <c r="E91" s="27" t="s">
        <v>190</v>
      </c>
      <c r="F91" s="27" t="s">
        <v>191</v>
      </c>
      <c r="G91" s="28">
        <v>2023.0</v>
      </c>
      <c r="H91" s="28">
        <v>2.0</v>
      </c>
      <c r="I91" s="28">
        <v>68.0</v>
      </c>
      <c r="J91" s="29" t="str">
        <f>'1. Base de donnée HILIN MU CM2 '!$G91&amp;"-"&amp;'1. Base de donnée HILIN MU CM2 '!$H91&amp;"-"&amp;'1. Base de donnée HILIN MU CM2 '!$I91</f>
        <v>2023-2-68</v>
      </c>
      <c r="K91" s="28">
        <f t="shared" si="1"/>
        <v>84</v>
      </c>
      <c r="L91" s="29" t="s">
        <v>31</v>
      </c>
      <c r="M91" s="29"/>
      <c r="N91" s="29"/>
      <c r="O91" s="34">
        <v>12.0</v>
      </c>
      <c r="P91" s="34">
        <v>6.0</v>
      </c>
      <c r="Q91" s="27">
        <f>SUM('1. Base de donnée HILIN MU CM2 '!$O91+'1. Base de donnée HILIN MU CM2 '!$P91)/2</f>
        <v>9</v>
      </c>
      <c r="R91" s="27">
        <v>17.0</v>
      </c>
      <c r="S91" s="27">
        <v>14.5</v>
      </c>
      <c r="T91" s="27">
        <f>('1. Base de donnée HILIN MU CM2 '!$R91+'1. Base de donnée HILIN MU CM2 '!$S91)/2</f>
        <v>15.75</v>
      </c>
      <c r="U91" s="30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</row>
    <row r="92" ht="14.25" hidden="1" customHeight="1">
      <c r="A92" s="22" t="s">
        <v>188</v>
      </c>
      <c r="B92" s="22" t="s">
        <v>26</v>
      </c>
      <c r="C92" s="22" t="s">
        <v>210</v>
      </c>
      <c r="D92" s="22" t="s">
        <v>211</v>
      </c>
      <c r="E92" s="22" t="s">
        <v>190</v>
      </c>
      <c r="F92" s="22" t="s">
        <v>191</v>
      </c>
      <c r="G92" s="23">
        <v>2023.0</v>
      </c>
      <c r="H92" s="23">
        <v>2.0</v>
      </c>
      <c r="I92" s="23">
        <v>69.0</v>
      </c>
      <c r="J92" s="24" t="str">
        <f>'1. Base de donnée HILIN MU CM2 '!$G92&amp;"-"&amp;'1. Base de donnée HILIN MU CM2 '!$H92&amp;"-"&amp;'1. Base de donnée HILIN MU CM2 '!$I92</f>
        <v>2023-2-69</v>
      </c>
      <c r="K92" s="23">
        <f t="shared" si="1"/>
        <v>85</v>
      </c>
      <c r="L92" s="24" t="s">
        <v>31</v>
      </c>
      <c r="M92" s="24"/>
      <c r="N92" s="24"/>
      <c r="O92" s="33">
        <v>6.5</v>
      </c>
      <c r="P92" s="33">
        <v>4.5</v>
      </c>
      <c r="Q92" s="22">
        <f>SUM('1. Base de donnée HILIN MU CM2 '!$O92+'1. Base de donnée HILIN MU CM2 '!$P92)/2</f>
        <v>5.5</v>
      </c>
      <c r="R92" s="22">
        <v>16.0</v>
      </c>
      <c r="S92" s="22">
        <v>15.0</v>
      </c>
      <c r="T92" s="22">
        <f>('1. Base de donnée HILIN MU CM2 '!$R92+'1. Base de donnée HILIN MU CM2 '!$S92)/2</f>
        <v>15.5</v>
      </c>
      <c r="U92" s="25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</row>
    <row r="93" ht="14.25" hidden="1" customHeight="1">
      <c r="A93" s="27" t="s">
        <v>188</v>
      </c>
      <c r="B93" s="27" t="s">
        <v>26</v>
      </c>
      <c r="C93" s="27" t="s">
        <v>212</v>
      </c>
      <c r="D93" s="27" t="s">
        <v>213</v>
      </c>
      <c r="E93" s="27" t="s">
        <v>190</v>
      </c>
      <c r="F93" s="27" t="s">
        <v>191</v>
      </c>
      <c r="G93" s="28">
        <v>2023.0</v>
      </c>
      <c r="H93" s="28">
        <v>2.0</v>
      </c>
      <c r="I93" s="28">
        <v>71.0</v>
      </c>
      <c r="J93" s="29" t="str">
        <f>'1. Base de donnée HILIN MU CM2 '!$G93&amp;"-"&amp;'1. Base de donnée HILIN MU CM2 '!$H93&amp;"-"&amp;'1. Base de donnée HILIN MU CM2 '!$I93</f>
        <v>2023-2-71</v>
      </c>
      <c r="K93" s="28">
        <f t="shared" si="1"/>
        <v>86</v>
      </c>
      <c r="L93" s="29" t="s">
        <v>31</v>
      </c>
      <c r="M93" s="29"/>
      <c r="N93" s="29"/>
      <c r="O93" s="34">
        <v>12.5</v>
      </c>
      <c r="P93" s="34">
        <v>6.5</v>
      </c>
      <c r="Q93" s="27">
        <f>SUM('1. Base de donnée HILIN MU CM2 '!$O93+'1. Base de donnée HILIN MU CM2 '!$P93)/2</f>
        <v>9.5</v>
      </c>
      <c r="R93" s="27">
        <v>17.0</v>
      </c>
      <c r="S93" s="27">
        <v>17.0</v>
      </c>
      <c r="T93" s="27">
        <f>('1. Base de donnée HILIN MU CM2 '!$R93+'1. Base de donnée HILIN MU CM2 '!$S93)/2</f>
        <v>17</v>
      </c>
      <c r="U93" s="30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ht="14.25" hidden="1" customHeight="1">
      <c r="A94" s="22" t="s">
        <v>188</v>
      </c>
      <c r="B94" s="22" t="s">
        <v>26</v>
      </c>
      <c r="C94" s="22" t="s">
        <v>214</v>
      </c>
      <c r="D94" s="22" t="s">
        <v>215</v>
      </c>
      <c r="E94" s="22" t="s">
        <v>201</v>
      </c>
      <c r="F94" s="22"/>
      <c r="G94" s="23">
        <v>2023.0</v>
      </c>
      <c r="H94" s="23">
        <v>2.0</v>
      </c>
      <c r="I94" s="23">
        <v>889.0</v>
      </c>
      <c r="J94" s="24" t="str">
        <f>'1. Base de donnée HILIN MU CM2 '!$G94&amp;"-"&amp;'1. Base de donnée HILIN MU CM2 '!$H94&amp;"-"&amp;'1. Base de donnée HILIN MU CM2 '!$I94</f>
        <v>2023-2-889</v>
      </c>
      <c r="K94" s="23">
        <f t="shared" si="1"/>
        <v>87</v>
      </c>
      <c r="L94" s="24" t="s">
        <v>31</v>
      </c>
      <c r="M94" s="24" t="s">
        <v>216</v>
      </c>
      <c r="N94" s="24" t="s">
        <v>216</v>
      </c>
      <c r="O94" s="33"/>
      <c r="P94" s="33"/>
      <c r="Q94" s="22">
        <f>SUM('1. Base de donnée HILIN MU CM2 '!$O94+'1. Base de donnée HILIN MU CM2 '!$P94)/2</f>
        <v>0</v>
      </c>
      <c r="R94" s="22"/>
      <c r="S94" s="22"/>
      <c r="T94" s="32">
        <f>('1. Base de donnée HILIN MU CM2 '!$R94+'1. Base de donnée HILIN MU CM2 '!$S94)/2</f>
        <v>0</v>
      </c>
      <c r="U94" s="25" t="s">
        <v>164</v>
      </c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ht="14.25" hidden="1" customHeight="1">
      <c r="A95" s="27" t="s">
        <v>188</v>
      </c>
      <c r="B95" s="27" t="s">
        <v>26</v>
      </c>
      <c r="C95" s="27" t="s">
        <v>217</v>
      </c>
      <c r="D95" s="27" t="s">
        <v>78</v>
      </c>
      <c r="E95" s="27" t="s">
        <v>201</v>
      </c>
      <c r="F95" s="27" t="s">
        <v>191</v>
      </c>
      <c r="G95" s="28">
        <v>2023.0</v>
      </c>
      <c r="H95" s="28">
        <v>2.0</v>
      </c>
      <c r="I95" s="28">
        <v>891.0</v>
      </c>
      <c r="J95" s="29" t="str">
        <f>'1. Base de donnée HILIN MU CM2 '!$G95&amp;"-"&amp;'1. Base de donnée HILIN MU CM2 '!$H95&amp;"-"&amp;'1. Base de donnée HILIN MU CM2 '!$I95</f>
        <v>2023-2-891</v>
      </c>
      <c r="K95" s="28">
        <f t="shared" si="1"/>
        <v>88</v>
      </c>
      <c r="L95" s="29" t="s">
        <v>31</v>
      </c>
      <c r="M95" s="29"/>
      <c r="N95" s="29"/>
      <c r="O95" s="34">
        <v>11.0</v>
      </c>
      <c r="P95" s="34">
        <v>3.5</v>
      </c>
      <c r="Q95" s="27">
        <f>SUM('1. Base de donnée HILIN MU CM2 '!$O95+'1. Base de donnée HILIN MU CM2 '!$P95)/2</f>
        <v>7.25</v>
      </c>
      <c r="R95" s="27">
        <v>15.0</v>
      </c>
      <c r="S95" s="27">
        <v>13.5</v>
      </c>
      <c r="T95" s="31">
        <f>('1. Base de donnée HILIN MU CM2 '!$R95+'1. Base de donnée HILIN MU CM2 '!$S95)/2</f>
        <v>14.25</v>
      </c>
      <c r="U95" s="30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ht="14.25" hidden="1" customHeight="1">
      <c r="A96" s="22" t="s">
        <v>188</v>
      </c>
      <c r="B96" s="22" t="s">
        <v>26</v>
      </c>
      <c r="C96" s="22" t="s">
        <v>218</v>
      </c>
      <c r="D96" s="22" t="s">
        <v>219</v>
      </c>
      <c r="E96" s="22" t="s">
        <v>201</v>
      </c>
      <c r="F96" s="22" t="s">
        <v>191</v>
      </c>
      <c r="G96" s="23">
        <v>2023.0</v>
      </c>
      <c r="H96" s="23">
        <v>2.0</v>
      </c>
      <c r="I96" s="23">
        <v>893.0</v>
      </c>
      <c r="J96" s="24" t="str">
        <f>'1. Base de donnée HILIN MU CM2 '!$G96&amp;"-"&amp;'1. Base de donnée HILIN MU CM2 '!$H96&amp;"-"&amp;'1. Base de donnée HILIN MU CM2 '!$I96</f>
        <v>2023-2-893</v>
      </c>
      <c r="K96" s="23">
        <f t="shared" si="1"/>
        <v>89</v>
      </c>
      <c r="L96" s="24" t="s">
        <v>31</v>
      </c>
      <c r="M96" s="24"/>
      <c r="N96" s="24"/>
      <c r="O96" s="33">
        <v>9.5</v>
      </c>
      <c r="P96" s="33">
        <v>6.0</v>
      </c>
      <c r="Q96" s="22">
        <f>SUM('1. Base de donnée HILIN MU CM2 '!$O96+'1. Base de donnée HILIN MU CM2 '!$P96)/2</f>
        <v>7.75</v>
      </c>
      <c r="R96" s="22">
        <v>15.0</v>
      </c>
      <c r="S96" s="22">
        <v>13.0</v>
      </c>
      <c r="T96" s="32">
        <f>('1. Base de donnée HILIN MU CM2 '!$R96+'1. Base de donnée HILIN MU CM2 '!$S96)/2</f>
        <v>14</v>
      </c>
      <c r="U96" s="25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ht="14.25" hidden="1" customHeight="1">
      <c r="A97" s="27" t="s">
        <v>188</v>
      </c>
      <c r="B97" s="27" t="s">
        <v>26</v>
      </c>
      <c r="C97" s="27" t="s">
        <v>220</v>
      </c>
      <c r="D97" s="27" t="s">
        <v>221</v>
      </c>
      <c r="E97" s="27" t="s">
        <v>201</v>
      </c>
      <c r="F97" s="27" t="s">
        <v>191</v>
      </c>
      <c r="G97" s="28">
        <v>2023.0</v>
      </c>
      <c r="H97" s="28">
        <v>2.0</v>
      </c>
      <c r="I97" s="28">
        <v>894.0</v>
      </c>
      <c r="J97" s="29" t="str">
        <f>'1. Base de donnée HILIN MU CM2 '!$G97&amp;"-"&amp;'1. Base de donnée HILIN MU CM2 '!$H97&amp;"-"&amp;'1. Base de donnée HILIN MU CM2 '!$I97</f>
        <v>2023-2-894</v>
      </c>
      <c r="K97" s="28">
        <f t="shared" si="1"/>
        <v>90</v>
      </c>
      <c r="L97" s="29" t="s">
        <v>31</v>
      </c>
      <c r="M97" s="29"/>
      <c r="N97" s="29"/>
      <c r="O97" s="34">
        <v>11.5</v>
      </c>
      <c r="P97" s="34">
        <v>10.5</v>
      </c>
      <c r="Q97" s="27">
        <f>SUM('1. Base de donnée HILIN MU CM2 '!$O97+'1. Base de donnée HILIN MU CM2 '!$P97)/2</f>
        <v>11</v>
      </c>
      <c r="R97" s="27">
        <v>18.0</v>
      </c>
      <c r="S97" s="27">
        <v>18.5</v>
      </c>
      <c r="T97" s="31">
        <f>('1. Base de donnée HILIN MU CM2 '!$R97+'1. Base de donnée HILIN MU CM2 '!$S97)/2</f>
        <v>18.25</v>
      </c>
      <c r="U97" s="30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</row>
    <row r="98" ht="14.25" hidden="1" customHeight="1">
      <c r="A98" s="22" t="s">
        <v>222</v>
      </c>
      <c r="B98" s="22" t="s">
        <v>223</v>
      </c>
      <c r="C98" s="22" t="s">
        <v>224</v>
      </c>
      <c r="D98" s="22" t="s">
        <v>225</v>
      </c>
      <c r="E98" s="22" t="s">
        <v>226</v>
      </c>
      <c r="F98" s="22" t="s">
        <v>227</v>
      </c>
      <c r="G98" s="23">
        <v>2023.0</v>
      </c>
      <c r="H98" s="23">
        <v>36.0</v>
      </c>
      <c r="I98" s="23">
        <v>72.0</v>
      </c>
      <c r="J98" s="24" t="str">
        <f>'1. Base de donnée HILIN MU CM2 '!$G98&amp;"-"&amp;'1. Base de donnée HILIN MU CM2 '!$H98&amp;"-"&amp;'1. Base de donnée HILIN MU CM2 '!$I98</f>
        <v>2023-36-72</v>
      </c>
      <c r="K98" s="23">
        <f t="shared" si="1"/>
        <v>91</v>
      </c>
      <c r="L98" s="24" t="s">
        <v>31</v>
      </c>
      <c r="M98" s="24"/>
      <c r="N98" s="24"/>
      <c r="O98" s="22">
        <v>0.5</v>
      </c>
      <c r="P98" s="22">
        <v>3.0</v>
      </c>
      <c r="Q98" s="22">
        <f>SUM('1. Base de donnée HILIN MU CM2 '!$O98+'1. Base de donnée HILIN MU CM2 '!$P98)/2</f>
        <v>1.75</v>
      </c>
      <c r="R98" s="22">
        <v>16.0</v>
      </c>
      <c r="S98" s="22">
        <v>12.5</v>
      </c>
      <c r="T98" s="22">
        <f>('1. Base de donnée HILIN MU CM2 '!$R98+'1. Base de donnée HILIN MU CM2 '!$S98)/2</f>
        <v>14.25</v>
      </c>
      <c r="U98" s="25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</row>
    <row r="99" ht="14.25" hidden="1" customHeight="1">
      <c r="A99" s="27" t="s">
        <v>222</v>
      </c>
      <c r="B99" s="27" t="s">
        <v>223</v>
      </c>
      <c r="C99" s="27" t="s">
        <v>228</v>
      </c>
      <c r="D99" s="27" t="s">
        <v>229</v>
      </c>
      <c r="E99" s="27" t="s">
        <v>230</v>
      </c>
      <c r="F99" s="27" t="s">
        <v>227</v>
      </c>
      <c r="G99" s="28">
        <v>2023.0</v>
      </c>
      <c r="H99" s="28">
        <v>36.0</v>
      </c>
      <c r="I99" s="28">
        <v>73.0</v>
      </c>
      <c r="J99" s="29" t="str">
        <f>'1. Base de donnée HILIN MU CM2 '!$G99&amp;"-"&amp;'1. Base de donnée HILIN MU CM2 '!$H99&amp;"-"&amp;'1. Base de donnée HILIN MU CM2 '!$I99</f>
        <v>2023-36-73</v>
      </c>
      <c r="K99" s="28">
        <f t="shared" si="1"/>
        <v>92</v>
      </c>
      <c r="L99" s="29" t="s">
        <v>31</v>
      </c>
      <c r="M99" s="29"/>
      <c r="N99" s="29"/>
      <c r="O99" s="27">
        <v>2.0</v>
      </c>
      <c r="P99" s="27">
        <v>6.5</v>
      </c>
      <c r="Q99" s="27">
        <f>SUM('1. Base de donnée HILIN MU CM2 '!$O99+'1. Base de donnée HILIN MU CM2 '!$P99)/2</f>
        <v>4.25</v>
      </c>
      <c r="R99" s="27">
        <v>16.0</v>
      </c>
      <c r="S99" s="27">
        <v>10.0</v>
      </c>
      <c r="T99" s="27">
        <f>('1. Base de donnée HILIN MU CM2 '!$R99+'1. Base de donnée HILIN MU CM2 '!$S99)/2</f>
        <v>13</v>
      </c>
      <c r="U99" s="30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</row>
    <row r="100" ht="14.25" hidden="1" customHeight="1">
      <c r="A100" s="22" t="s">
        <v>222</v>
      </c>
      <c r="B100" s="22" t="s">
        <v>223</v>
      </c>
      <c r="C100" s="22" t="s">
        <v>231</v>
      </c>
      <c r="D100" s="22" t="s">
        <v>232</v>
      </c>
      <c r="E100" s="22" t="s">
        <v>230</v>
      </c>
      <c r="F100" s="22" t="s">
        <v>227</v>
      </c>
      <c r="G100" s="23">
        <v>2023.0</v>
      </c>
      <c r="H100" s="23">
        <v>36.0</v>
      </c>
      <c r="I100" s="23">
        <v>74.0</v>
      </c>
      <c r="J100" s="24" t="str">
        <f>'1. Base de donnée HILIN MU CM2 '!$G100&amp;"-"&amp;'1. Base de donnée HILIN MU CM2 '!$H100&amp;"-"&amp;'1. Base de donnée HILIN MU CM2 '!$I100</f>
        <v>2023-36-74</v>
      </c>
      <c r="K100" s="23">
        <f t="shared" si="1"/>
        <v>93</v>
      </c>
      <c r="L100" s="24" t="s">
        <v>31</v>
      </c>
      <c r="M100" s="24"/>
      <c r="N100" s="24"/>
      <c r="O100" s="22">
        <v>0.0</v>
      </c>
      <c r="P100" s="22">
        <v>2.0</v>
      </c>
      <c r="Q100" s="22">
        <f>SUM('1. Base de donnée HILIN MU CM2 '!$O100+'1. Base de donnée HILIN MU CM2 '!$P100)/2</f>
        <v>1</v>
      </c>
      <c r="R100" s="22">
        <v>16.0</v>
      </c>
      <c r="S100" s="22">
        <v>13.0</v>
      </c>
      <c r="T100" s="22">
        <f>('1. Base de donnée HILIN MU CM2 '!$R100+'1. Base de donnée HILIN MU CM2 '!$S100)/2</f>
        <v>14.5</v>
      </c>
      <c r="U100" s="25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</row>
    <row r="101" ht="14.25" hidden="1" customHeight="1">
      <c r="A101" s="27" t="s">
        <v>222</v>
      </c>
      <c r="B101" s="27" t="s">
        <v>223</v>
      </c>
      <c r="C101" s="27" t="s">
        <v>233</v>
      </c>
      <c r="D101" s="27" t="s">
        <v>234</v>
      </c>
      <c r="E101" s="27" t="s">
        <v>230</v>
      </c>
      <c r="F101" s="27" t="s">
        <v>227</v>
      </c>
      <c r="G101" s="28">
        <v>2023.0</v>
      </c>
      <c r="H101" s="28">
        <v>36.0</v>
      </c>
      <c r="I101" s="28">
        <v>75.0</v>
      </c>
      <c r="J101" s="29" t="str">
        <f>'1. Base de donnée HILIN MU CM2 '!$G101&amp;"-"&amp;'1. Base de donnée HILIN MU CM2 '!$H101&amp;"-"&amp;'1. Base de donnée HILIN MU CM2 '!$I101</f>
        <v>2023-36-75</v>
      </c>
      <c r="K101" s="28">
        <f t="shared" si="1"/>
        <v>94</v>
      </c>
      <c r="L101" s="29" t="s">
        <v>31</v>
      </c>
      <c r="M101" s="29"/>
      <c r="N101" s="29"/>
      <c r="O101" s="27">
        <v>1.0</v>
      </c>
      <c r="P101" s="27">
        <v>7.0</v>
      </c>
      <c r="Q101" s="27">
        <f>SUM('1. Base de donnée HILIN MU CM2 '!$O101+'1. Base de donnée HILIN MU CM2 '!$P101)/2</f>
        <v>4</v>
      </c>
      <c r="R101" s="27">
        <v>16.0</v>
      </c>
      <c r="S101" s="27">
        <v>10.5</v>
      </c>
      <c r="T101" s="27">
        <f>('1. Base de donnée HILIN MU CM2 '!$R101+'1. Base de donnée HILIN MU CM2 '!$S101)/2</f>
        <v>13.25</v>
      </c>
      <c r="U101" s="30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</row>
    <row r="102" ht="14.25" hidden="1" customHeight="1">
      <c r="A102" s="22" t="s">
        <v>222</v>
      </c>
      <c r="B102" s="22" t="s">
        <v>223</v>
      </c>
      <c r="C102" s="22" t="s">
        <v>235</v>
      </c>
      <c r="D102" s="22" t="s">
        <v>236</v>
      </c>
      <c r="E102" s="22" t="s">
        <v>230</v>
      </c>
      <c r="F102" s="22" t="s">
        <v>227</v>
      </c>
      <c r="G102" s="23">
        <v>2023.0</v>
      </c>
      <c r="H102" s="23">
        <v>36.0</v>
      </c>
      <c r="I102" s="23">
        <v>77.0</v>
      </c>
      <c r="J102" s="24" t="str">
        <f>'1. Base de donnée HILIN MU CM2 '!$G102&amp;"-"&amp;'1. Base de donnée HILIN MU CM2 '!$H102&amp;"-"&amp;'1. Base de donnée HILIN MU CM2 '!$I102</f>
        <v>2023-36-77</v>
      </c>
      <c r="K102" s="23">
        <f t="shared" si="1"/>
        <v>95</v>
      </c>
      <c r="L102" s="24" t="s">
        <v>31</v>
      </c>
      <c r="M102" s="24"/>
      <c r="N102" s="24"/>
      <c r="O102" s="22">
        <v>1.5</v>
      </c>
      <c r="P102" s="22">
        <v>0.5</v>
      </c>
      <c r="Q102" s="22">
        <f>SUM('1. Base de donnée HILIN MU CM2 '!$O102+'1. Base de donnée HILIN MU CM2 '!$P102)/2</f>
        <v>1</v>
      </c>
      <c r="R102" s="22">
        <v>16.0</v>
      </c>
      <c r="S102" s="22">
        <v>11.5</v>
      </c>
      <c r="T102" s="22">
        <f>('1. Base de donnée HILIN MU CM2 '!$R102+'1. Base de donnée HILIN MU CM2 '!$S102)/2</f>
        <v>13.75</v>
      </c>
      <c r="U102" s="25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</row>
    <row r="103" ht="14.25" hidden="1" customHeight="1">
      <c r="A103" s="27" t="s">
        <v>222</v>
      </c>
      <c r="B103" s="27" t="s">
        <v>223</v>
      </c>
      <c r="C103" s="27" t="s">
        <v>237</v>
      </c>
      <c r="D103" s="27" t="s">
        <v>238</v>
      </c>
      <c r="E103" s="27" t="s">
        <v>230</v>
      </c>
      <c r="F103" s="27" t="s">
        <v>227</v>
      </c>
      <c r="G103" s="28">
        <v>2023.0</v>
      </c>
      <c r="H103" s="28">
        <v>36.0</v>
      </c>
      <c r="I103" s="28">
        <v>78.0</v>
      </c>
      <c r="J103" s="29" t="str">
        <f>'1. Base de donnée HILIN MU CM2 '!$G103&amp;"-"&amp;'1. Base de donnée HILIN MU CM2 '!$H103&amp;"-"&amp;'1. Base de donnée HILIN MU CM2 '!$I103</f>
        <v>2023-36-78</v>
      </c>
      <c r="K103" s="28">
        <f t="shared" si="1"/>
        <v>96</v>
      </c>
      <c r="L103" s="29" t="s">
        <v>31</v>
      </c>
      <c r="M103" s="29"/>
      <c r="N103" s="29"/>
      <c r="O103" s="27">
        <v>3.5</v>
      </c>
      <c r="P103" s="27">
        <v>5.0</v>
      </c>
      <c r="Q103" s="27">
        <f>SUM('1. Base de donnée HILIN MU CM2 '!$O103+'1. Base de donnée HILIN MU CM2 '!$P103)/2</f>
        <v>4.25</v>
      </c>
      <c r="R103" s="27">
        <v>16.0</v>
      </c>
      <c r="S103" s="27">
        <v>12.0</v>
      </c>
      <c r="T103" s="27">
        <f>('1. Base de donnée HILIN MU CM2 '!$R103+'1. Base de donnée HILIN MU CM2 '!$S103)/2</f>
        <v>14</v>
      </c>
      <c r="U103" s="30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</row>
    <row r="104" ht="14.25" hidden="1" customHeight="1">
      <c r="A104" s="22" t="s">
        <v>222</v>
      </c>
      <c r="B104" s="22" t="s">
        <v>223</v>
      </c>
      <c r="C104" s="22" t="s">
        <v>239</v>
      </c>
      <c r="D104" s="22" t="s">
        <v>187</v>
      </c>
      <c r="E104" s="22" t="s">
        <v>230</v>
      </c>
      <c r="F104" s="22" t="s">
        <v>227</v>
      </c>
      <c r="G104" s="23">
        <v>2023.0</v>
      </c>
      <c r="H104" s="23">
        <v>36.0</v>
      </c>
      <c r="I104" s="23">
        <v>79.0</v>
      </c>
      <c r="J104" s="24" t="str">
        <f>'1. Base de donnée HILIN MU CM2 '!$G104&amp;"-"&amp;'1. Base de donnée HILIN MU CM2 '!$H104&amp;"-"&amp;'1. Base de donnée HILIN MU CM2 '!$I104</f>
        <v>2023-36-79</v>
      </c>
      <c r="K104" s="23">
        <f t="shared" si="1"/>
        <v>97</v>
      </c>
      <c r="L104" s="24" t="s">
        <v>31</v>
      </c>
      <c r="M104" s="24"/>
      <c r="N104" s="24"/>
      <c r="O104" s="22">
        <v>2.5</v>
      </c>
      <c r="P104" s="22">
        <v>4.5</v>
      </c>
      <c r="Q104" s="22">
        <f>SUM('1. Base de donnée HILIN MU CM2 '!$O104+'1. Base de donnée HILIN MU CM2 '!$P104)/2</f>
        <v>3.5</v>
      </c>
      <c r="R104" s="22">
        <v>16.0</v>
      </c>
      <c r="S104" s="22">
        <v>13.0</v>
      </c>
      <c r="T104" s="22">
        <f>('1. Base de donnée HILIN MU CM2 '!$R104+'1. Base de donnée HILIN MU CM2 '!$S104)/2</f>
        <v>14.5</v>
      </c>
      <c r="U104" s="25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</row>
    <row r="105" ht="14.25" hidden="1" customHeight="1">
      <c r="A105" s="27" t="s">
        <v>222</v>
      </c>
      <c r="B105" s="27" t="s">
        <v>223</v>
      </c>
      <c r="C105" s="27" t="s">
        <v>240</v>
      </c>
      <c r="D105" s="27" t="s">
        <v>241</v>
      </c>
      <c r="E105" s="27" t="s">
        <v>230</v>
      </c>
      <c r="F105" s="27" t="s">
        <v>227</v>
      </c>
      <c r="G105" s="28">
        <v>2023.0</v>
      </c>
      <c r="H105" s="28">
        <v>36.0</v>
      </c>
      <c r="I105" s="28">
        <v>80.0</v>
      </c>
      <c r="J105" s="29" t="str">
        <f>'1. Base de donnée HILIN MU CM2 '!$G105&amp;"-"&amp;'1. Base de donnée HILIN MU CM2 '!$H105&amp;"-"&amp;'1. Base de donnée HILIN MU CM2 '!$I105</f>
        <v>2023-36-80</v>
      </c>
      <c r="K105" s="28">
        <f t="shared" si="1"/>
        <v>98</v>
      </c>
      <c r="L105" s="29" t="s">
        <v>31</v>
      </c>
      <c r="M105" s="29"/>
      <c r="N105" s="29"/>
      <c r="O105" s="27">
        <v>4.0</v>
      </c>
      <c r="P105" s="27">
        <v>2.0</v>
      </c>
      <c r="Q105" s="27">
        <f>SUM('1. Base de donnée HILIN MU CM2 '!$O105+'1. Base de donnée HILIN MU CM2 '!$P105)/2</f>
        <v>3</v>
      </c>
      <c r="R105" s="27">
        <v>16.0</v>
      </c>
      <c r="S105" s="27">
        <v>14.5</v>
      </c>
      <c r="T105" s="27">
        <f>('1. Base de donnée HILIN MU CM2 '!$R105+'1. Base de donnée HILIN MU CM2 '!$S105)/2</f>
        <v>15.25</v>
      </c>
      <c r="U105" s="30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</row>
    <row r="106" ht="14.25" hidden="1" customHeight="1">
      <c r="A106" s="22" t="s">
        <v>222</v>
      </c>
      <c r="B106" s="22" t="s">
        <v>223</v>
      </c>
      <c r="C106" s="22" t="s">
        <v>242</v>
      </c>
      <c r="D106" s="22" t="s">
        <v>243</v>
      </c>
      <c r="E106" s="22" t="s">
        <v>230</v>
      </c>
      <c r="F106" s="22" t="s">
        <v>227</v>
      </c>
      <c r="G106" s="23">
        <v>2023.0</v>
      </c>
      <c r="H106" s="23">
        <v>36.0</v>
      </c>
      <c r="I106" s="23">
        <v>81.0</v>
      </c>
      <c r="J106" s="24" t="str">
        <f>'1. Base de donnée HILIN MU CM2 '!$G106&amp;"-"&amp;'1. Base de donnée HILIN MU CM2 '!$H106&amp;"-"&amp;'1. Base de donnée HILIN MU CM2 '!$I106</f>
        <v>2023-36-81</v>
      </c>
      <c r="K106" s="23">
        <f t="shared" si="1"/>
        <v>99</v>
      </c>
      <c r="L106" s="24" t="s">
        <v>31</v>
      </c>
      <c r="M106" s="24"/>
      <c r="N106" s="24"/>
      <c r="O106" s="22">
        <v>5.5</v>
      </c>
      <c r="P106" s="22">
        <v>6.0</v>
      </c>
      <c r="Q106" s="22">
        <f>SUM('1. Base de donnée HILIN MU CM2 '!$O106+'1. Base de donnée HILIN MU CM2 '!$P106)/2</f>
        <v>5.75</v>
      </c>
      <c r="R106" s="22">
        <v>16.0</v>
      </c>
      <c r="S106" s="22">
        <v>14.0</v>
      </c>
      <c r="T106" s="22">
        <f>('1. Base de donnée HILIN MU CM2 '!$R106+'1. Base de donnée HILIN MU CM2 '!$S106)/2</f>
        <v>15</v>
      </c>
      <c r="U106" s="25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</row>
    <row r="107" ht="14.25" hidden="1" customHeight="1">
      <c r="A107" s="27" t="s">
        <v>222</v>
      </c>
      <c r="B107" s="27" t="s">
        <v>223</v>
      </c>
      <c r="C107" s="27" t="s">
        <v>244</v>
      </c>
      <c r="D107" s="27" t="s">
        <v>245</v>
      </c>
      <c r="E107" s="27" t="s">
        <v>230</v>
      </c>
      <c r="F107" s="27" t="s">
        <v>227</v>
      </c>
      <c r="G107" s="28">
        <v>2023.0</v>
      </c>
      <c r="H107" s="28">
        <v>36.0</v>
      </c>
      <c r="I107" s="28">
        <v>82.0</v>
      </c>
      <c r="J107" s="29" t="str">
        <f>'1. Base de donnée HILIN MU CM2 '!$G107&amp;"-"&amp;'1. Base de donnée HILIN MU CM2 '!$H107&amp;"-"&amp;'1. Base de donnée HILIN MU CM2 '!$I107</f>
        <v>2023-36-82</v>
      </c>
      <c r="K107" s="28">
        <f t="shared" si="1"/>
        <v>100</v>
      </c>
      <c r="L107" s="29" t="s">
        <v>31</v>
      </c>
      <c r="M107" s="29"/>
      <c r="N107" s="29"/>
      <c r="O107" s="27">
        <v>2.5</v>
      </c>
      <c r="P107" s="27">
        <v>4.0</v>
      </c>
      <c r="Q107" s="27">
        <f>SUM('1. Base de donnée HILIN MU CM2 '!$O107+'1. Base de donnée HILIN MU CM2 '!$P107)/2</f>
        <v>3.25</v>
      </c>
      <c r="R107" s="27">
        <v>16.0</v>
      </c>
      <c r="S107" s="27">
        <v>10.5</v>
      </c>
      <c r="T107" s="27">
        <f>('1. Base de donnée HILIN MU CM2 '!$R107+'1. Base de donnée HILIN MU CM2 '!$S107)/2</f>
        <v>13.25</v>
      </c>
      <c r="U107" s="30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</row>
    <row r="108" ht="14.25" hidden="1" customHeight="1">
      <c r="A108" s="22" t="s">
        <v>222</v>
      </c>
      <c r="B108" s="22" t="s">
        <v>223</v>
      </c>
      <c r="C108" s="22" t="s">
        <v>246</v>
      </c>
      <c r="D108" s="22" t="s">
        <v>247</v>
      </c>
      <c r="E108" s="22" t="s">
        <v>230</v>
      </c>
      <c r="F108" s="22" t="s">
        <v>227</v>
      </c>
      <c r="G108" s="23">
        <v>2023.0</v>
      </c>
      <c r="H108" s="23">
        <v>36.0</v>
      </c>
      <c r="I108" s="23">
        <v>83.0</v>
      </c>
      <c r="J108" s="24" t="str">
        <f>'1. Base de donnée HILIN MU CM2 '!$G108&amp;"-"&amp;'1. Base de donnée HILIN MU CM2 '!$H108&amp;"-"&amp;'1. Base de donnée HILIN MU CM2 '!$I108</f>
        <v>2023-36-83</v>
      </c>
      <c r="K108" s="23">
        <f t="shared" si="1"/>
        <v>101</v>
      </c>
      <c r="L108" s="24" t="s">
        <v>31</v>
      </c>
      <c r="M108" s="24"/>
      <c r="N108" s="24"/>
      <c r="O108" s="22">
        <v>3.0</v>
      </c>
      <c r="P108" s="22">
        <v>2.5</v>
      </c>
      <c r="Q108" s="22">
        <f>SUM('1. Base de donnée HILIN MU CM2 '!$O108+'1. Base de donnée HILIN MU CM2 '!$P108)/2</f>
        <v>2.75</v>
      </c>
      <c r="R108" s="22">
        <v>16.0</v>
      </c>
      <c r="S108" s="22">
        <v>11.5</v>
      </c>
      <c r="T108" s="22">
        <f>('1. Base de donnée HILIN MU CM2 '!$R108+'1. Base de donnée HILIN MU CM2 '!$S108)/2</f>
        <v>13.75</v>
      </c>
      <c r="U108" s="25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</row>
    <row r="109" ht="14.25" hidden="1" customHeight="1">
      <c r="A109" s="27" t="s">
        <v>222</v>
      </c>
      <c r="B109" s="27" t="s">
        <v>223</v>
      </c>
      <c r="C109" s="27" t="s">
        <v>248</v>
      </c>
      <c r="D109" s="27" t="s">
        <v>249</v>
      </c>
      <c r="E109" s="27" t="s">
        <v>230</v>
      </c>
      <c r="F109" s="27" t="s">
        <v>227</v>
      </c>
      <c r="G109" s="28">
        <v>2023.0</v>
      </c>
      <c r="H109" s="28">
        <v>36.0</v>
      </c>
      <c r="I109" s="28">
        <v>84.0</v>
      </c>
      <c r="J109" s="29" t="str">
        <f>'1. Base de donnée HILIN MU CM2 '!$G109&amp;"-"&amp;'1. Base de donnée HILIN MU CM2 '!$H109&amp;"-"&amp;'1. Base de donnée HILIN MU CM2 '!$I109</f>
        <v>2023-36-84</v>
      </c>
      <c r="K109" s="28">
        <f t="shared" si="1"/>
        <v>102</v>
      </c>
      <c r="L109" s="29" t="s">
        <v>31</v>
      </c>
      <c r="M109" s="29"/>
      <c r="N109" s="29"/>
      <c r="O109" s="27">
        <v>3.0</v>
      </c>
      <c r="P109" s="27">
        <v>1.0</v>
      </c>
      <c r="Q109" s="27">
        <f>SUM('1. Base de donnée HILIN MU CM2 '!$O109+'1. Base de donnée HILIN MU CM2 '!$P109)/2</f>
        <v>2</v>
      </c>
      <c r="R109" s="27">
        <v>16.0</v>
      </c>
      <c r="S109" s="27">
        <v>11.0</v>
      </c>
      <c r="T109" s="27">
        <f>('1. Base de donnée HILIN MU CM2 '!$R109+'1. Base de donnée HILIN MU CM2 '!$S109)/2</f>
        <v>13.5</v>
      </c>
      <c r="U109" s="30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ht="14.25" hidden="1" customHeight="1">
      <c r="A110" s="22" t="s">
        <v>222</v>
      </c>
      <c r="B110" s="22" t="s">
        <v>223</v>
      </c>
      <c r="C110" s="22" t="s">
        <v>250</v>
      </c>
      <c r="D110" s="22" t="s">
        <v>251</v>
      </c>
      <c r="E110" s="22" t="s">
        <v>230</v>
      </c>
      <c r="F110" s="22" t="s">
        <v>227</v>
      </c>
      <c r="G110" s="23">
        <v>2023.0</v>
      </c>
      <c r="H110" s="23">
        <v>36.0</v>
      </c>
      <c r="I110" s="23">
        <v>86.0</v>
      </c>
      <c r="J110" s="24" t="str">
        <f>'1. Base de donnée HILIN MU CM2 '!$G110&amp;"-"&amp;'1. Base de donnée HILIN MU CM2 '!$H110&amp;"-"&amp;'1. Base de donnée HILIN MU CM2 '!$I110</f>
        <v>2023-36-86</v>
      </c>
      <c r="K110" s="23">
        <f t="shared" si="1"/>
        <v>103</v>
      </c>
      <c r="L110" s="24" t="s">
        <v>31</v>
      </c>
      <c r="M110" s="24"/>
      <c r="N110" s="24"/>
      <c r="O110" s="22">
        <v>5.0</v>
      </c>
      <c r="P110" s="22">
        <v>3.25</v>
      </c>
      <c r="Q110" s="22">
        <f>SUM('1. Base de donnée HILIN MU CM2 '!$O110+'1. Base de donnée HILIN MU CM2 '!$P110)/2</f>
        <v>4.125</v>
      </c>
      <c r="R110" s="22">
        <v>16.0</v>
      </c>
      <c r="S110" s="22">
        <v>9.5</v>
      </c>
      <c r="T110" s="22">
        <f>('1. Base de donnée HILIN MU CM2 '!$R110+'1. Base de donnée HILIN MU CM2 '!$S110)/2</f>
        <v>12.75</v>
      </c>
      <c r="U110" s="25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ht="14.25" hidden="1" customHeight="1">
      <c r="A111" s="27" t="s">
        <v>222</v>
      </c>
      <c r="B111" s="27" t="s">
        <v>223</v>
      </c>
      <c r="C111" s="27" t="s">
        <v>252</v>
      </c>
      <c r="D111" s="27" t="s">
        <v>238</v>
      </c>
      <c r="E111" s="27" t="s">
        <v>230</v>
      </c>
      <c r="F111" s="27" t="s">
        <v>227</v>
      </c>
      <c r="G111" s="28">
        <v>2023.0</v>
      </c>
      <c r="H111" s="28">
        <v>36.0</v>
      </c>
      <c r="I111" s="28">
        <v>87.0</v>
      </c>
      <c r="J111" s="29" t="str">
        <f>'1. Base de donnée HILIN MU CM2 '!$G111&amp;"-"&amp;'1. Base de donnée HILIN MU CM2 '!$H111&amp;"-"&amp;'1. Base de donnée HILIN MU CM2 '!$I111</f>
        <v>2023-36-87</v>
      </c>
      <c r="K111" s="28">
        <f t="shared" si="1"/>
        <v>104</v>
      </c>
      <c r="L111" s="29" t="s">
        <v>31</v>
      </c>
      <c r="M111" s="29"/>
      <c r="N111" s="29"/>
      <c r="O111" s="27">
        <v>3.0</v>
      </c>
      <c r="P111" s="27">
        <v>3.5</v>
      </c>
      <c r="Q111" s="27">
        <f>SUM('1. Base de donnée HILIN MU CM2 '!$O111+'1. Base de donnée HILIN MU CM2 '!$P111)/2</f>
        <v>3.25</v>
      </c>
      <c r="R111" s="27">
        <v>16.0</v>
      </c>
      <c r="S111" s="27">
        <v>13.0</v>
      </c>
      <c r="T111" s="27">
        <f>('1. Base de donnée HILIN MU CM2 '!$R111+'1. Base de donnée HILIN MU CM2 '!$S111)/2</f>
        <v>14.5</v>
      </c>
      <c r="U111" s="30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</row>
    <row r="112" ht="14.25" hidden="1" customHeight="1">
      <c r="A112" s="22" t="s">
        <v>222</v>
      </c>
      <c r="B112" s="22" t="s">
        <v>223</v>
      </c>
      <c r="C112" s="22" t="s">
        <v>253</v>
      </c>
      <c r="D112" s="22" t="s">
        <v>254</v>
      </c>
      <c r="E112" s="22" t="s">
        <v>230</v>
      </c>
      <c r="F112" s="22" t="s">
        <v>227</v>
      </c>
      <c r="G112" s="23">
        <v>2023.0</v>
      </c>
      <c r="H112" s="23">
        <v>36.0</v>
      </c>
      <c r="I112" s="23">
        <v>90.0</v>
      </c>
      <c r="J112" s="24" t="str">
        <f>'1. Base de donnée HILIN MU CM2 '!$G112&amp;"-"&amp;'1. Base de donnée HILIN MU CM2 '!$H112&amp;"-"&amp;'1. Base de donnée HILIN MU CM2 '!$I112</f>
        <v>2023-36-90</v>
      </c>
      <c r="K112" s="23">
        <f t="shared" si="1"/>
        <v>105</v>
      </c>
      <c r="L112" s="24" t="s">
        <v>31</v>
      </c>
      <c r="M112" s="24"/>
      <c r="N112" s="24"/>
      <c r="O112" s="22">
        <v>2.0</v>
      </c>
      <c r="P112" s="22">
        <v>9.0</v>
      </c>
      <c r="Q112" s="22">
        <f>SUM('1. Base de donnée HILIN MU CM2 '!$O112+'1. Base de donnée HILIN MU CM2 '!$P112)/2</f>
        <v>5.5</v>
      </c>
      <c r="R112" s="22">
        <v>16.0</v>
      </c>
      <c r="S112" s="22">
        <v>12.5</v>
      </c>
      <c r="T112" s="22">
        <f>('1. Base de donnée HILIN MU CM2 '!$R112+'1. Base de donnée HILIN MU CM2 '!$S112)/2</f>
        <v>14.25</v>
      </c>
      <c r="U112" s="25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</row>
    <row r="113" ht="14.25" hidden="1" customHeight="1">
      <c r="A113" s="27" t="s">
        <v>222</v>
      </c>
      <c r="B113" s="27" t="s">
        <v>223</v>
      </c>
      <c r="C113" s="27" t="s">
        <v>255</v>
      </c>
      <c r="D113" s="27" t="s">
        <v>256</v>
      </c>
      <c r="E113" s="27" t="s">
        <v>230</v>
      </c>
      <c r="F113" s="27" t="s">
        <v>227</v>
      </c>
      <c r="G113" s="28">
        <v>2023.0</v>
      </c>
      <c r="H113" s="28">
        <v>36.0</v>
      </c>
      <c r="I113" s="28">
        <v>911.0</v>
      </c>
      <c r="J113" s="29" t="str">
        <f>'1. Base de donnée HILIN MU CM2 '!$G113&amp;"-"&amp;'1. Base de donnée HILIN MU CM2 '!$H113&amp;"-"&amp;'1. Base de donnée HILIN MU CM2 '!$I113</f>
        <v>2023-36-911</v>
      </c>
      <c r="K113" s="28">
        <f t="shared" si="1"/>
        <v>106</v>
      </c>
      <c r="L113" s="29" t="s">
        <v>31</v>
      </c>
      <c r="M113" s="29"/>
      <c r="N113" s="29"/>
      <c r="O113" s="27">
        <v>2.0</v>
      </c>
      <c r="P113" s="27">
        <v>5.0</v>
      </c>
      <c r="Q113" s="27">
        <f>SUM('1. Base de donnée HILIN MU CM2 '!$O113+'1. Base de donnée HILIN MU CM2 '!$P113)/2</f>
        <v>3.5</v>
      </c>
      <c r="R113" s="27">
        <v>16.0</v>
      </c>
      <c r="S113" s="27">
        <v>15.0</v>
      </c>
      <c r="T113" s="27">
        <f>('1. Base de donnée HILIN MU CM2 '!$R113+'1. Base de donnée HILIN MU CM2 '!$S113)/2</f>
        <v>15.5</v>
      </c>
      <c r="U113" s="30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</row>
    <row r="114" ht="14.25" hidden="1" customHeight="1">
      <c r="A114" s="22" t="s">
        <v>257</v>
      </c>
      <c r="B114" s="22" t="s">
        <v>26</v>
      </c>
      <c r="C114" s="22" t="s">
        <v>258</v>
      </c>
      <c r="D114" s="22" t="s">
        <v>259</v>
      </c>
      <c r="E114" s="22" t="s">
        <v>38</v>
      </c>
      <c r="F114" s="22" t="s">
        <v>260</v>
      </c>
      <c r="G114" s="23">
        <v>2023.0</v>
      </c>
      <c r="H114" s="23">
        <v>1.0</v>
      </c>
      <c r="I114" s="23">
        <v>91.0</v>
      </c>
      <c r="J114" s="24" t="str">
        <f>'1. Base de donnée HILIN MU CM2 '!$G114&amp;"-"&amp;'1. Base de donnée HILIN MU CM2 '!$H114&amp;"-"&amp;'1. Base de donnée HILIN MU CM2 '!$I114</f>
        <v>2023-1-91</v>
      </c>
      <c r="K114" s="23">
        <f t="shared" si="1"/>
        <v>107</v>
      </c>
      <c r="L114" s="24" t="s">
        <v>31</v>
      </c>
      <c r="M114" s="24"/>
      <c r="N114" s="24"/>
      <c r="O114" s="22">
        <v>6.5</v>
      </c>
      <c r="P114" s="22">
        <v>2.0</v>
      </c>
      <c r="Q114" s="22">
        <f>SUM('1. Base de donnée HILIN MU CM2 '!$O114+'1. Base de donnée HILIN MU CM2 '!$P114)/2</f>
        <v>4.25</v>
      </c>
      <c r="R114" s="22">
        <v>16.0</v>
      </c>
      <c r="S114" s="22">
        <v>17.0</v>
      </c>
      <c r="T114" s="22">
        <f>('1. Base de donnée HILIN MU CM2 '!$R114+'1. Base de donnée HILIN MU CM2 '!$S114)/2</f>
        <v>16.5</v>
      </c>
      <c r="U114" s="25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</row>
    <row r="115" ht="14.25" hidden="1" customHeight="1">
      <c r="A115" s="27" t="s">
        <v>257</v>
      </c>
      <c r="B115" s="27" t="s">
        <v>26</v>
      </c>
      <c r="C115" s="27" t="s">
        <v>261</v>
      </c>
      <c r="D115" s="27" t="s">
        <v>176</v>
      </c>
      <c r="E115" s="27" t="s">
        <v>38</v>
      </c>
      <c r="F115" s="27" t="s">
        <v>260</v>
      </c>
      <c r="G115" s="28">
        <v>2023.0</v>
      </c>
      <c r="H115" s="28">
        <v>1.0</v>
      </c>
      <c r="I115" s="28">
        <v>92.0</v>
      </c>
      <c r="J115" s="29" t="str">
        <f>'1. Base de donnée HILIN MU CM2 '!$G115&amp;"-"&amp;'1. Base de donnée HILIN MU CM2 '!$H115&amp;"-"&amp;'1. Base de donnée HILIN MU CM2 '!$I115</f>
        <v>2023-1-92</v>
      </c>
      <c r="K115" s="28">
        <f t="shared" si="1"/>
        <v>108</v>
      </c>
      <c r="L115" s="29" t="s">
        <v>31</v>
      </c>
      <c r="M115" s="29"/>
      <c r="N115" s="29"/>
      <c r="O115" s="27">
        <v>10.0</v>
      </c>
      <c r="P115" s="27">
        <v>3.0</v>
      </c>
      <c r="Q115" s="27">
        <f>SUM('1. Base de donnée HILIN MU CM2 '!$O115+'1. Base de donnée HILIN MU CM2 '!$P115)/2</f>
        <v>6.5</v>
      </c>
      <c r="R115" s="27">
        <v>16.0</v>
      </c>
      <c r="S115" s="27">
        <v>17.5</v>
      </c>
      <c r="T115" s="27">
        <f>('1. Base de donnée HILIN MU CM2 '!$R115+'1. Base de donnée HILIN MU CM2 '!$S115)/2</f>
        <v>16.75</v>
      </c>
      <c r="U115" s="30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</row>
    <row r="116" ht="14.25" hidden="1" customHeight="1">
      <c r="A116" s="22" t="s">
        <v>257</v>
      </c>
      <c r="B116" s="22" t="s">
        <v>26</v>
      </c>
      <c r="C116" s="22" t="s">
        <v>262</v>
      </c>
      <c r="D116" s="22" t="s">
        <v>69</v>
      </c>
      <c r="E116" s="22" t="s">
        <v>263</v>
      </c>
      <c r="F116" s="22" t="s">
        <v>260</v>
      </c>
      <c r="G116" s="23">
        <v>2023.0</v>
      </c>
      <c r="H116" s="23">
        <v>1.0</v>
      </c>
      <c r="I116" s="23">
        <v>93.0</v>
      </c>
      <c r="J116" s="24" t="str">
        <f>'1. Base de donnée HILIN MU CM2 '!$G116&amp;"-"&amp;'1. Base de donnée HILIN MU CM2 '!$H116&amp;"-"&amp;'1. Base de donnée HILIN MU CM2 '!$I116</f>
        <v>2023-1-93</v>
      </c>
      <c r="K116" s="23">
        <f t="shared" si="1"/>
        <v>109</v>
      </c>
      <c r="L116" s="24" t="s">
        <v>31</v>
      </c>
      <c r="M116" s="24"/>
      <c r="N116" s="24"/>
      <c r="O116" s="22">
        <v>7.0</v>
      </c>
      <c r="P116" s="22">
        <v>2.5</v>
      </c>
      <c r="Q116" s="22">
        <f>SUM('1. Base de donnée HILIN MU CM2 '!$O116+'1. Base de donnée HILIN MU CM2 '!$P116)/2</f>
        <v>4.75</v>
      </c>
      <c r="R116" s="22">
        <v>16.0</v>
      </c>
      <c r="S116" s="22">
        <v>19.5</v>
      </c>
      <c r="T116" s="22">
        <f>('1. Base de donnée HILIN MU CM2 '!$R116+'1. Base de donnée HILIN MU CM2 '!$S116)/2</f>
        <v>17.75</v>
      </c>
      <c r="U116" s="25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</row>
    <row r="117" ht="14.25" hidden="1" customHeight="1">
      <c r="A117" s="27" t="s">
        <v>257</v>
      </c>
      <c r="B117" s="27" t="s">
        <v>26</v>
      </c>
      <c r="C117" s="27" t="s">
        <v>264</v>
      </c>
      <c r="D117" s="27" t="s">
        <v>176</v>
      </c>
      <c r="E117" s="27" t="s">
        <v>29</v>
      </c>
      <c r="F117" s="27" t="s">
        <v>260</v>
      </c>
      <c r="G117" s="28">
        <v>2023.0</v>
      </c>
      <c r="H117" s="28">
        <v>1.0</v>
      </c>
      <c r="I117" s="28">
        <v>94.0</v>
      </c>
      <c r="J117" s="29" t="str">
        <f>'1. Base de donnée HILIN MU CM2 '!$G117&amp;"-"&amp;'1. Base de donnée HILIN MU CM2 '!$H117&amp;"-"&amp;'1. Base de donnée HILIN MU CM2 '!$I117</f>
        <v>2023-1-94</v>
      </c>
      <c r="K117" s="28">
        <f t="shared" si="1"/>
        <v>110</v>
      </c>
      <c r="L117" s="29" t="s">
        <v>31</v>
      </c>
      <c r="M117" s="29"/>
      <c r="N117" s="29"/>
      <c r="O117" s="27">
        <v>7.5</v>
      </c>
      <c r="P117" s="27">
        <v>5.0</v>
      </c>
      <c r="Q117" s="27">
        <f>SUM('1. Base de donnée HILIN MU CM2 '!$O117+'1. Base de donnée HILIN MU CM2 '!$P117)/2</f>
        <v>6.25</v>
      </c>
      <c r="R117" s="27">
        <v>16.0</v>
      </c>
      <c r="S117" s="27">
        <v>14.0</v>
      </c>
      <c r="T117" s="27">
        <f>('1. Base de donnée HILIN MU CM2 '!$R117+'1. Base de donnée HILIN MU CM2 '!$S117)/2</f>
        <v>15</v>
      </c>
      <c r="U117" s="30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</row>
    <row r="118" ht="14.25" hidden="1" customHeight="1">
      <c r="A118" s="22" t="s">
        <v>257</v>
      </c>
      <c r="B118" s="22" t="s">
        <v>26</v>
      </c>
      <c r="C118" s="22" t="s">
        <v>265</v>
      </c>
      <c r="D118" s="22" t="s">
        <v>193</v>
      </c>
      <c r="E118" s="22" t="s">
        <v>38</v>
      </c>
      <c r="F118" s="22" t="s">
        <v>266</v>
      </c>
      <c r="G118" s="23">
        <v>2023.0</v>
      </c>
      <c r="H118" s="23">
        <v>1.0</v>
      </c>
      <c r="I118" s="23">
        <v>95.0</v>
      </c>
      <c r="J118" s="24" t="str">
        <f>'1. Base de donnée HILIN MU CM2 '!$G118&amp;"-"&amp;'1. Base de donnée HILIN MU CM2 '!$H118&amp;"-"&amp;'1. Base de donnée HILIN MU CM2 '!$I118</f>
        <v>2023-1-95</v>
      </c>
      <c r="K118" s="23">
        <f t="shared" si="1"/>
        <v>111</v>
      </c>
      <c r="L118" s="24" t="s">
        <v>31</v>
      </c>
      <c r="M118" s="24"/>
      <c r="N118" s="24"/>
      <c r="O118" s="22">
        <v>6.0</v>
      </c>
      <c r="P118" s="22">
        <v>3.0</v>
      </c>
      <c r="Q118" s="22">
        <f>SUM('1. Base de donnée HILIN MU CM2 '!$O118+'1. Base de donnée HILIN MU CM2 '!$P118)/2</f>
        <v>4.5</v>
      </c>
      <c r="R118" s="22">
        <v>16.0</v>
      </c>
      <c r="S118" s="22">
        <v>19.5</v>
      </c>
      <c r="T118" s="22">
        <f>('1. Base de donnée HILIN MU CM2 '!$R118+'1. Base de donnée HILIN MU CM2 '!$S118)/2</f>
        <v>17.75</v>
      </c>
      <c r="U118" s="25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</row>
    <row r="119" ht="14.25" hidden="1" customHeight="1">
      <c r="A119" s="27" t="s">
        <v>257</v>
      </c>
      <c r="B119" s="27" t="s">
        <v>26</v>
      </c>
      <c r="C119" s="27" t="s">
        <v>267</v>
      </c>
      <c r="D119" s="27" t="s">
        <v>268</v>
      </c>
      <c r="E119" s="27" t="s">
        <v>38</v>
      </c>
      <c r="F119" s="27" t="s">
        <v>260</v>
      </c>
      <c r="G119" s="28">
        <v>2023.0</v>
      </c>
      <c r="H119" s="28">
        <v>1.0</v>
      </c>
      <c r="I119" s="28">
        <v>96.0</v>
      </c>
      <c r="J119" s="29" t="str">
        <f>'1. Base de donnée HILIN MU CM2 '!$G119&amp;"-"&amp;'1. Base de donnée HILIN MU CM2 '!$H119&amp;"-"&amp;'1. Base de donnée HILIN MU CM2 '!$I119</f>
        <v>2023-1-96</v>
      </c>
      <c r="K119" s="28">
        <f t="shared" si="1"/>
        <v>112</v>
      </c>
      <c r="L119" s="29" t="s">
        <v>31</v>
      </c>
      <c r="M119" s="29"/>
      <c r="N119" s="29"/>
      <c r="O119" s="27">
        <v>3.0</v>
      </c>
      <c r="P119" s="27">
        <v>1.0</v>
      </c>
      <c r="Q119" s="27">
        <f>SUM('1. Base de donnée HILIN MU CM2 '!$O119+'1. Base de donnée HILIN MU CM2 '!$P119)/2</f>
        <v>2</v>
      </c>
      <c r="R119" s="27">
        <v>16.0</v>
      </c>
      <c r="S119" s="27">
        <v>12.0</v>
      </c>
      <c r="T119" s="27">
        <f>('1. Base de donnée HILIN MU CM2 '!$R119+'1. Base de donnée HILIN MU CM2 '!$S119)/2</f>
        <v>14</v>
      </c>
      <c r="U119" s="30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</row>
    <row r="120" ht="14.25" hidden="1" customHeight="1">
      <c r="A120" s="22" t="s">
        <v>257</v>
      </c>
      <c r="B120" s="22" t="s">
        <v>26</v>
      </c>
      <c r="C120" s="22" t="s">
        <v>269</v>
      </c>
      <c r="D120" s="22" t="s">
        <v>270</v>
      </c>
      <c r="E120" s="22" t="s">
        <v>38</v>
      </c>
      <c r="F120" s="22" t="s">
        <v>266</v>
      </c>
      <c r="G120" s="23">
        <v>2023.0</v>
      </c>
      <c r="H120" s="23">
        <v>1.0</v>
      </c>
      <c r="I120" s="23">
        <v>97.0</v>
      </c>
      <c r="J120" s="24" t="str">
        <f>'1. Base de donnée HILIN MU CM2 '!$G120&amp;"-"&amp;'1. Base de donnée HILIN MU CM2 '!$H120&amp;"-"&amp;'1. Base de donnée HILIN MU CM2 '!$I120</f>
        <v>2023-1-97</v>
      </c>
      <c r="K120" s="23">
        <f t="shared" si="1"/>
        <v>113</v>
      </c>
      <c r="L120" s="24" t="s">
        <v>31</v>
      </c>
      <c r="M120" s="24"/>
      <c r="N120" s="24"/>
      <c r="O120" s="22">
        <v>7.5</v>
      </c>
      <c r="P120" s="22">
        <v>5.0</v>
      </c>
      <c r="Q120" s="22">
        <f>SUM('1. Base de donnée HILIN MU CM2 '!$O120+'1. Base de donnée HILIN MU CM2 '!$P120)/2</f>
        <v>6.25</v>
      </c>
      <c r="R120" s="22">
        <v>16.0</v>
      </c>
      <c r="S120" s="22">
        <v>19.0</v>
      </c>
      <c r="T120" s="22">
        <f>('1. Base de donnée HILIN MU CM2 '!$R120+'1. Base de donnée HILIN MU CM2 '!$S120)/2</f>
        <v>17.5</v>
      </c>
      <c r="U120" s="25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</row>
    <row r="121" ht="14.25" hidden="1" customHeight="1">
      <c r="A121" s="27" t="s">
        <v>257</v>
      </c>
      <c r="B121" s="27" t="s">
        <v>26</v>
      </c>
      <c r="C121" s="27" t="s">
        <v>271</v>
      </c>
      <c r="D121" s="27" t="s">
        <v>119</v>
      </c>
      <c r="E121" s="27" t="s">
        <v>38</v>
      </c>
      <c r="F121" s="27" t="s">
        <v>260</v>
      </c>
      <c r="G121" s="28">
        <v>2023.0</v>
      </c>
      <c r="H121" s="28">
        <v>1.0</v>
      </c>
      <c r="I121" s="28">
        <v>98.0</v>
      </c>
      <c r="J121" s="29" t="str">
        <f>'1. Base de donnée HILIN MU CM2 '!$G121&amp;"-"&amp;'1. Base de donnée HILIN MU CM2 '!$H121&amp;"-"&amp;'1. Base de donnée HILIN MU CM2 '!$I121</f>
        <v>2023-1-98</v>
      </c>
      <c r="K121" s="28">
        <f t="shared" si="1"/>
        <v>114</v>
      </c>
      <c r="L121" s="29" t="s">
        <v>31</v>
      </c>
      <c r="M121" s="29"/>
      <c r="N121" s="29"/>
      <c r="O121" s="27">
        <v>2.5</v>
      </c>
      <c r="P121" s="27">
        <v>6.0</v>
      </c>
      <c r="Q121" s="27">
        <f>SUM('1. Base de donnée HILIN MU CM2 '!$O121+'1. Base de donnée HILIN MU CM2 '!$P121)/2</f>
        <v>4.25</v>
      </c>
      <c r="R121" s="27">
        <v>16.0</v>
      </c>
      <c r="S121" s="27">
        <v>19.0</v>
      </c>
      <c r="T121" s="27">
        <f>('1. Base de donnée HILIN MU CM2 '!$R121+'1. Base de donnée HILIN MU CM2 '!$S121)/2</f>
        <v>17.5</v>
      </c>
      <c r="U121" s="30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</row>
    <row r="122" ht="14.25" hidden="1" customHeight="1">
      <c r="A122" s="22" t="s">
        <v>257</v>
      </c>
      <c r="B122" s="22" t="s">
        <v>26</v>
      </c>
      <c r="C122" s="22" t="s">
        <v>272</v>
      </c>
      <c r="D122" s="22" t="s">
        <v>178</v>
      </c>
      <c r="E122" s="22" t="s">
        <v>38</v>
      </c>
      <c r="F122" s="22" t="s">
        <v>266</v>
      </c>
      <c r="G122" s="23">
        <v>2023.0</v>
      </c>
      <c r="H122" s="23">
        <v>1.0</v>
      </c>
      <c r="I122" s="23">
        <v>99.0</v>
      </c>
      <c r="J122" s="24" t="str">
        <f>'1. Base de donnée HILIN MU CM2 '!$G122&amp;"-"&amp;'1. Base de donnée HILIN MU CM2 '!$H122&amp;"-"&amp;'1. Base de donnée HILIN MU CM2 '!$I122</f>
        <v>2023-1-99</v>
      </c>
      <c r="K122" s="23">
        <f t="shared" si="1"/>
        <v>115</v>
      </c>
      <c r="L122" s="24" t="s">
        <v>31</v>
      </c>
      <c r="M122" s="24"/>
      <c r="N122" s="24"/>
      <c r="O122" s="22">
        <v>6.0</v>
      </c>
      <c r="P122" s="22">
        <v>2.5</v>
      </c>
      <c r="Q122" s="22">
        <f>SUM('1. Base de donnée HILIN MU CM2 '!$O122+'1. Base de donnée HILIN MU CM2 '!$P122)/2</f>
        <v>4.25</v>
      </c>
      <c r="R122" s="22">
        <v>16.0</v>
      </c>
      <c r="S122" s="22">
        <v>19.0</v>
      </c>
      <c r="T122" s="22">
        <f>('1. Base de donnée HILIN MU CM2 '!$R122+'1. Base de donnée HILIN MU CM2 '!$S122)/2</f>
        <v>17.5</v>
      </c>
      <c r="U122" s="25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</row>
    <row r="123" ht="14.25" hidden="1" customHeight="1">
      <c r="A123" s="27" t="s">
        <v>257</v>
      </c>
      <c r="B123" s="27" t="s">
        <v>26</v>
      </c>
      <c r="C123" s="27" t="s">
        <v>273</v>
      </c>
      <c r="D123" s="27" t="s">
        <v>65</v>
      </c>
      <c r="E123" s="27" t="s">
        <v>38</v>
      </c>
      <c r="F123" s="27" t="s">
        <v>266</v>
      </c>
      <c r="G123" s="28">
        <v>2023.0</v>
      </c>
      <c r="H123" s="28">
        <v>1.0</v>
      </c>
      <c r="I123" s="28">
        <v>101.0</v>
      </c>
      <c r="J123" s="29" t="str">
        <f>'1. Base de donnée HILIN MU CM2 '!$G123&amp;"-"&amp;'1. Base de donnée HILIN MU CM2 '!$H123&amp;"-"&amp;'1. Base de donnée HILIN MU CM2 '!$I123</f>
        <v>2023-1-101</v>
      </c>
      <c r="K123" s="28">
        <f t="shared" si="1"/>
        <v>116</v>
      </c>
      <c r="L123" s="29" t="s">
        <v>31</v>
      </c>
      <c r="M123" s="29"/>
      <c r="N123" s="29"/>
      <c r="O123" s="27">
        <v>5.0</v>
      </c>
      <c r="P123" s="27">
        <v>5.0</v>
      </c>
      <c r="Q123" s="27">
        <f>SUM('1. Base de donnée HILIN MU CM2 '!$O123+'1. Base de donnée HILIN MU CM2 '!$P123)/2</f>
        <v>5</v>
      </c>
      <c r="R123" s="27">
        <v>16.0</v>
      </c>
      <c r="S123" s="27">
        <v>15.0</v>
      </c>
      <c r="T123" s="27">
        <f>('1. Base de donnée HILIN MU CM2 '!$R123+'1. Base de donnée HILIN MU CM2 '!$S123)/2</f>
        <v>15.5</v>
      </c>
      <c r="U123" s="30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</row>
    <row r="124" ht="14.25" hidden="1" customHeight="1">
      <c r="A124" s="22" t="s">
        <v>257</v>
      </c>
      <c r="B124" s="22" t="s">
        <v>26</v>
      </c>
      <c r="C124" s="22" t="s">
        <v>274</v>
      </c>
      <c r="D124" s="22" t="s">
        <v>54</v>
      </c>
      <c r="E124" s="22" t="s">
        <v>38</v>
      </c>
      <c r="F124" s="22" t="s">
        <v>266</v>
      </c>
      <c r="G124" s="23">
        <v>2023.0</v>
      </c>
      <c r="H124" s="23">
        <v>1.0</v>
      </c>
      <c r="I124" s="23">
        <v>102.0</v>
      </c>
      <c r="J124" s="24" t="str">
        <f>'1. Base de donnée HILIN MU CM2 '!$G124&amp;"-"&amp;'1. Base de donnée HILIN MU CM2 '!$H124&amp;"-"&amp;'1. Base de donnée HILIN MU CM2 '!$I124</f>
        <v>2023-1-102</v>
      </c>
      <c r="K124" s="23">
        <f t="shared" si="1"/>
        <v>117</v>
      </c>
      <c r="L124" s="24" t="s">
        <v>31</v>
      </c>
      <c r="M124" s="24"/>
      <c r="N124" s="24"/>
      <c r="O124" s="22">
        <v>5.0</v>
      </c>
      <c r="P124" s="22">
        <v>4.5</v>
      </c>
      <c r="Q124" s="22">
        <f>SUM('1. Base de donnée HILIN MU CM2 '!$O124+'1. Base de donnée HILIN MU CM2 '!$P124)/2</f>
        <v>4.75</v>
      </c>
      <c r="R124" s="22">
        <v>16.0</v>
      </c>
      <c r="S124" s="22">
        <v>16.0</v>
      </c>
      <c r="T124" s="22">
        <f>('1. Base de donnée HILIN MU CM2 '!$R124+'1. Base de donnée HILIN MU CM2 '!$S124)/2</f>
        <v>16</v>
      </c>
      <c r="U124" s="25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</row>
    <row r="125" ht="14.25" hidden="1" customHeight="1">
      <c r="A125" s="27" t="s">
        <v>257</v>
      </c>
      <c r="B125" s="27" t="s">
        <v>26</v>
      </c>
      <c r="C125" s="27" t="s">
        <v>275</v>
      </c>
      <c r="D125" s="27" t="s">
        <v>276</v>
      </c>
      <c r="E125" s="27" t="s">
        <v>38</v>
      </c>
      <c r="F125" s="27" t="s">
        <v>260</v>
      </c>
      <c r="G125" s="28">
        <v>2023.0</v>
      </c>
      <c r="H125" s="28">
        <v>1.0</v>
      </c>
      <c r="I125" s="28">
        <v>104.0</v>
      </c>
      <c r="J125" s="29" t="str">
        <f>'1. Base de donnée HILIN MU CM2 '!$G125&amp;"-"&amp;'1. Base de donnée HILIN MU CM2 '!$H125&amp;"-"&amp;'1. Base de donnée HILIN MU CM2 '!$I125</f>
        <v>2023-1-104</v>
      </c>
      <c r="K125" s="28">
        <f t="shared" si="1"/>
        <v>118</v>
      </c>
      <c r="L125" s="29" t="s">
        <v>31</v>
      </c>
      <c r="M125" s="29"/>
      <c r="N125" s="29"/>
      <c r="O125" s="27">
        <v>10.0</v>
      </c>
      <c r="P125" s="27">
        <v>4.5</v>
      </c>
      <c r="Q125" s="27">
        <f>SUM('1. Base de donnée HILIN MU CM2 '!$O125+'1. Base de donnée HILIN MU CM2 '!$P125)/2</f>
        <v>7.25</v>
      </c>
      <c r="R125" s="27">
        <v>16.0</v>
      </c>
      <c r="S125" s="27">
        <v>17.0</v>
      </c>
      <c r="T125" s="27">
        <f>('1. Base de donnée HILIN MU CM2 '!$R125+'1. Base de donnée HILIN MU CM2 '!$S125)/2</f>
        <v>16.5</v>
      </c>
      <c r="U125" s="30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</row>
    <row r="126" ht="14.25" hidden="1" customHeight="1">
      <c r="A126" s="22" t="s">
        <v>257</v>
      </c>
      <c r="B126" s="22" t="s">
        <v>26</v>
      </c>
      <c r="C126" s="22" t="s">
        <v>277</v>
      </c>
      <c r="D126" s="22" t="s">
        <v>278</v>
      </c>
      <c r="E126" s="22" t="s">
        <v>38</v>
      </c>
      <c r="F126" s="22" t="s">
        <v>260</v>
      </c>
      <c r="G126" s="23">
        <v>2023.0</v>
      </c>
      <c r="H126" s="23">
        <v>1.0</v>
      </c>
      <c r="I126" s="23">
        <v>105.0</v>
      </c>
      <c r="J126" s="24" t="str">
        <f>'1. Base de donnée HILIN MU CM2 '!$G126&amp;"-"&amp;'1. Base de donnée HILIN MU CM2 '!$H126&amp;"-"&amp;'1. Base de donnée HILIN MU CM2 '!$I126</f>
        <v>2023-1-105</v>
      </c>
      <c r="K126" s="23">
        <f t="shared" si="1"/>
        <v>119</v>
      </c>
      <c r="L126" s="24" t="s">
        <v>31</v>
      </c>
      <c r="M126" s="24"/>
      <c r="N126" s="24"/>
      <c r="O126" s="22">
        <v>6.0</v>
      </c>
      <c r="P126" s="22">
        <v>3.5</v>
      </c>
      <c r="Q126" s="22">
        <f>SUM('1. Base de donnée HILIN MU CM2 '!$O126+'1. Base de donnée HILIN MU CM2 '!$P126)/2</f>
        <v>4.75</v>
      </c>
      <c r="R126" s="22">
        <v>16.0</v>
      </c>
      <c r="S126" s="22">
        <v>17.0</v>
      </c>
      <c r="T126" s="22">
        <f>('1. Base de donnée HILIN MU CM2 '!$R126+'1. Base de donnée HILIN MU CM2 '!$S126)/2</f>
        <v>16.5</v>
      </c>
      <c r="U126" s="25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</row>
    <row r="127" ht="14.25" hidden="1" customHeight="1">
      <c r="A127" s="27" t="s">
        <v>257</v>
      </c>
      <c r="B127" s="27" t="s">
        <v>26</v>
      </c>
      <c r="C127" s="27" t="s">
        <v>279</v>
      </c>
      <c r="D127" s="27" t="s">
        <v>280</v>
      </c>
      <c r="E127" s="27" t="s">
        <v>38</v>
      </c>
      <c r="F127" s="27" t="s">
        <v>260</v>
      </c>
      <c r="G127" s="28">
        <v>2023.0</v>
      </c>
      <c r="H127" s="28">
        <v>1.0</v>
      </c>
      <c r="I127" s="28">
        <v>106.0</v>
      </c>
      <c r="J127" s="29" t="str">
        <f>'1. Base de donnée HILIN MU CM2 '!$G127&amp;"-"&amp;'1. Base de donnée HILIN MU CM2 '!$H127&amp;"-"&amp;'1. Base de donnée HILIN MU CM2 '!$I127</f>
        <v>2023-1-106</v>
      </c>
      <c r="K127" s="28">
        <f t="shared" si="1"/>
        <v>120</v>
      </c>
      <c r="L127" s="29" t="s">
        <v>31</v>
      </c>
      <c r="M127" s="29"/>
      <c r="N127" s="29"/>
      <c r="O127" s="27">
        <v>6.0</v>
      </c>
      <c r="P127" s="27">
        <v>0.25</v>
      </c>
      <c r="Q127" s="27">
        <f>SUM('1. Base de donnée HILIN MU CM2 '!$O127+'1. Base de donnée HILIN MU CM2 '!$P127)/2</f>
        <v>3.125</v>
      </c>
      <c r="R127" s="27">
        <v>16.0</v>
      </c>
      <c r="S127" s="27">
        <v>14.5</v>
      </c>
      <c r="T127" s="27">
        <f>('1. Base de donnée HILIN MU CM2 '!$R127+'1. Base de donnée HILIN MU CM2 '!$S127)/2</f>
        <v>15.25</v>
      </c>
      <c r="U127" s="30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ht="14.25" hidden="1" customHeight="1">
      <c r="A128" s="22" t="s">
        <v>257</v>
      </c>
      <c r="B128" s="22" t="s">
        <v>26</v>
      </c>
      <c r="C128" s="22" t="s">
        <v>281</v>
      </c>
      <c r="D128" s="22" t="s">
        <v>282</v>
      </c>
      <c r="E128" s="22" t="s">
        <v>38</v>
      </c>
      <c r="F128" s="22" t="s">
        <v>266</v>
      </c>
      <c r="G128" s="23">
        <v>2023.0</v>
      </c>
      <c r="H128" s="23">
        <v>1.0</v>
      </c>
      <c r="I128" s="23">
        <v>107.0</v>
      </c>
      <c r="J128" s="24" t="str">
        <f>'1. Base de donnée HILIN MU CM2 '!$G128&amp;"-"&amp;'1. Base de donnée HILIN MU CM2 '!$H128&amp;"-"&amp;'1. Base de donnée HILIN MU CM2 '!$I128</f>
        <v>2023-1-107</v>
      </c>
      <c r="K128" s="23">
        <f t="shared" si="1"/>
        <v>121</v>
      </c>
      <c r="L128" s="24" t="s">
        <v>31</v>
      </c>
      <c r="M128" s="24"/>
      <c r="N128" s="24"/>
      <c r="O128" s="22">
        <v>4.5</v>
      </c>
      <c r="P128" s="22">
        <v>2.5</v>
      </c>
      <c r="Q128" s="22">
        <f>SUM('1. Base de donnée HILIN MU CM2 '!$O128+'1. Base de donnée HILIN MU CM2 '!$P128)/2</f>
        <v>3.5</v>
      </c>
      <c r="R128" s="22">
        <v>16.0</v>
      </c>
      <c r="S128" s="22">
        <v>15.25</v>
      </c>
      <c r="T128" s="22">
        <f>('1. Base de donnée HILIN MU CM2 '!$R128+'1. Base de donnée HILIN MU CM2 '!$S128)/2</f>
        <v>15.625</v>
      </c>
      <c r="U128" s="25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ht="14.25" hidden="1" customHeight="1">
      <c r="A129" s="27" t="s">
        <v>257</v>
      </c>
      <c r="B129" s="27" t="s">
        <v>26</v>
      </c>
      <c r="C129" s="27" t="s">
        <v>283</v>
      </c>
      <c r="D129" s="27" t="s">
        <v>180</v>
      </c>
      <c r="E129" s="27" t="s">
        <v>38</v>
      </c>
      <c r="F129" s="27" t="s">
        <v>266</v>
      </c>
      <c r="G129" s="28">
        <v>2023.0</v>
      </c>
      <c r="H129" s="28">
        <v>1.0</v>
      </c>
      <c r="I129" s="28">
        <v>108.0</v>
      </c>
      <c r="J129" s="29" t="str">
        <f>'1. Base de donnée HILIN MU CM2 '!$G129&amp;"-"&amp;'1. Base de donnée HILIN MU CM2 '!$H129&amp;"-"&amp;'1. Base de donnée HILIN MU CM2 '!$I129</f>
        <v>2023-1-108</v>
      </c>
      <c r="K129" s="28">
        <f t="shared" si="1"/>
        <v>122</v>
      </c>
      <c r="L129" s="29" t="s">
        <v>31</v>
      </c>
      <c r="M129" s="29"/>
      <c r="N129" s="29"/>
      <c r="O129" s="27">
        <v>7.5</v>
      </c>
      <c r="P129" s="27">
        <v>2.0</v>
      </c>
      <c r="Q129" s="27">
        <f>SUM('1. Base de donnée HILIN MU CM2 '!$O129+'1. Base de donnée HILIN MU CM2 '!$P129)/2</f>
        <v>4.75</v>
      </c>
      <c r="R129" s="27">
        <v>16.0</v>
      </c>
      <c r="S129" s="27">
        <v>15.5</v>
      </c>
      <c r="T129" s="27">
        <f>('1. Base de donnée HILIN MU CM2 '!$R129+'1. Base de donnée HILIN MU CM2 '!$S129)/2</f>
        <v>15.75</v>
      </c>
      <c r="U129" s="30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ht="14.25" hidden="1" customHeight="1">
      <c r="A130" s="22" t="s">
        <v>257</v>
      </c>
      <c r="B130" s="22" t="s">
        <v>26</v>
      </c>
      <c r="C130" s="22" t="s">
        <v>284</v>
      </c>
      <c r="D130" s="22" t="s">
        <v>285</v>
      </c>
      <c r="E130" s="22" t="s">
        <v>38</v>
      </c>
      <c r="F130" s="22" t="s">
        <v>260</v>
      </c>
      <c r="G130" s="23">
        <v>2023.0</v>
      </c>
      <c r="H130" s="23">
        <v>1.0</v>
      </c>
      <c r="I130" s="23">
        <v>109.0</v>
      </c>
      <c r="J130" s="24" t="str">
        <f>'1. Base de donnée HILIN MU CM2 '!$G130&amp;"-"&amp;'1. Base de donnée HILIN MU CM2 '!$H130&amp;"-"&amp;'1. Base de donnée HILIN MU CM2 '!$I130</f>
        <v>2023-1-109</v>
      </c>
      <c r="K130" s="23">
        <f t="shared" si="1"/>
        <v>123</v>
      </c>
      <c r="L130" s="24" t="s">
        <v>31</v>
      </c>
      <c r="M130" s="24"/>
      <c r="N130" s="24"/>
      <c r="O130" s="22">
        <v>9.0</v>
      </c>
      <c r="P130" s="22">
        <v>8.5</v>
      </c>
      <c r="Q130" s="22">
        <f>SUM('1. Base de donnée HILIN MU CM2 '!$O130+'1. Base de donnée HILIN MU CM2 '!$P130)/2</f>
        <v>8.75</v>
      </c>
      <c r="R130" s="22">
        <v>16.0</v>
      </c>
      <c r="S130" s="22">
        <v>19.0</v>
      </c>
      <c r="T130" s="22">
        <f>('1. Base de donnée HILIN MU CM2 '!$R130+'1. Base de donnée HILIN MU CM2 '!$S130)/2</f>
        <v>17.5</v>
      </c>
      <c r="U130" s="25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ht="14.25" hidden="1" customHeight="1">
      <c r="A131" s="27" t="s">
        <v>257</v>
      </c>
      <c r="B131" s="27" t="s">
        <v>26</v>
      </c>
      <c r="C131" s="27" t="s">
        <v>286</v>
      </c>
      <c r="D131" s="27" t="s">
        <v>178</v>
      </c>
      <c r="E131" s="27" t="s">
        <v>38</v>
      </c>
      <c r="F131" s="27" t="s">
        <v>266</v>
      </c>
      <c r="G131" s="28">
        <v>2023.0</v>
      </c>
      <c r="H131" s="28">
        <v>1.0</v>
      </c>
      <c r="I131" s="28">
        <v>110.0</v>
      </c>
      <c r="J131" s="29" t="str">
        <f>'1. Base de donnée HILIN MU CM2 '!$G131&amp;"-"&amp;'1. Base de donnée HILIN MU CM2 '!$H131&amp;"-"&amp;'1. Base de donnée HILIN MU CM2 '!$I131</f>
        <v>2023-1-110</v>
      </c>
      <c r="K131" s="28">
        <f t="shared" si="1"/>
        <v>124</v>
      </c>
      <c r="L131" s="29" t="s">
        <v>31</v>
      </c>
      <c r="M131" s="29"/>
      <c r="N131" s="29"/>
      <c r="O131" s="27">
        <v>7.0</v>
      </c>
      <c r="P131" s="27">
        <v>2.5</v>
      </c>
      <c r="Q131" s="27">
        <f>SUM('1. Base de donnée HILIN MU CM2 '!$O131+'1. Base de donnée HILIN MU CM2 '!$P131)/2</f>
        <v>4.75</v>
      </c>
      <c r="R131" s="27">
        <v>16.0</v>
      </c>
      <c r="S131" s="27">
        <v>17.5</v>
      </c>
      <c r="T131" s="27">
        <f>('1. Base de donnée HILIN MU CM2 '!$R131+'1. Base de donnée HILIN MU CM2 '!$S131)/2</f>
        <v>16.75</v>
      </c>
      <c r="U131" s="30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</row>
    <row r="132" ht="14.25" hidden="1" customHeight="1">
      <c r="A132" s="22" t="s">
        <v>257</v>
      </c>
      <c r="B132" s="22" t="s">
        <v>26</v>
      </c>
      <c r="C132" s="22" t="s">
        <v>287</v>
      </c>
      <c r="D132" s="22" t="s">
        <v>116</v>
      </c>
      <c r="E132" s="22" t="s">
        <v>38</v>
      </c>
      <c r="F132" s="22" t="s">
        <v>266</v>
      </c>
      <c r="G132" s="23">
        <v>2023.0</v>
      </c>
      <c r="H132" s="23">
        <v>1.0</v>
      </c>
      <c r="I132" s="23">
        <v>111.0</v>
      </c>
      <c r="J132" s="24" t="str">
        <f>'1. Base de donnée HILIN MU CM2 '!$G132&amp;"-"&amp;'1. Base de donnée HILIN MU CM2 '!$H132&amp;"-"&amp;'1. Base de donnée HILIN MU CM2 '!$I132</f>
        <v>2023-1-111</v>
      </c>
      <c r="K132" s="23">
        <f t="shared" si="1"/>
        <v>125</v>
      </c>
      <c r="L132" s="24" t="s">
        <v>31</v>
      </c>
      <c r="M132" s="24"/>
      <c r="N132" s="24"/>
      <c r="O132" s="22">
        <v>6.5</v>
      </c>
      <c r="P132" s="22">
        <v>1.5</v>
      </c>
      <c r="Q132" s="22">
        <f>SUM('1. Base de donnée HILIN MU CM2 '!$O132+'1. Base de donnée HILIN MU CM2 '!$P132)/2</f>
        <v>4</v>
      </c>
      <c r="R132" s="22">
        <v>16.0</v>
      </c>
      <c r="S132" s="22">
        <v>16.0</v>
      </c>
      <c r="T132" s="22">
        <f>('1. Base de donnée HILIN MU CM2 '!$R132+'1. Base de donnée HILIN MU CM2 '!$S132)/2</f>
        <v>16</v>
      </c>
      <c r="U132" s="25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</row>
    <row r="133" ht="14.25" hidden="1" customHeight="1">
      <c r="A133" s="27" t="s">
        <v>257</v>
      </c>
      <c r="B133" s="27" t="s">
        <v>26</v>
      </c>
      <c r="C133" s="27" t="s">
        <v>288</v>
      </c>
      <c r="D133" s="27" t="s">
        <v>289</v>
      </c>
      <c r="E133" s="27" t="s">
        <v>38</v>
      </c>
      <c r="F133" s="27" t="s">
        <v>266</v>
      </c>
      <c r="G133" s="28">
        <v>2023.0</v>
      </c>
      <c r="H133" s="28">
        <v>1.0</v>
      </c>
      <c r="I133" s="28">
        <v>112.0</v>
      </c>
      <c r="J133" s="29" t="str">
        <f>'1. Base de donnée HILIN MU CM2 '!$G133&amp;"-"&amp;'1. Base de donnée HILIN MU CM2 '!$H133&amp;"-"&amp;'1. Base de donnée HILIN MU CM2 '!$I133</f>
        <v>2023-1-112</v>
      </c>
      <c r="K133" s="28">
        <f t="shared" si="1"/>
        <v>126</v>
      </c>
      <c r="L133" s="29" t="s">
        <v>31</v>
      </c>
      <c r="M133" s="29"/>
      <c r="N133" s="29"/>
      <c r="O133" s="27">
        <v>10.5</v>
      </c>
      <c r="P133" s="27">
        <v>4.0</v>
      </c>
      <c r="Q133" s="27">
        <f>SUM('1. Base de donnée HILIN MU CM2 '!$O133+'1. Base de donnée HILIN MU CM2 '!$P133)/2</f>
        <v>7.25</v>
      </c>
      <c r="R133" s="27">
        <v>16.0</v>
      </c>
      <c r="S133" s="27">
        <v>18.0</v>
      </c>
      <c r="T133" s="27">
        <f>('1. Base de donnée HILIN MU CM2 '!$R133+'1. Base de donnée HILIN MU CM2 '!$S133)/2</f>
        <v>17</v>
      </c>
      <c r="U133" s="30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</row>
    <row r="134" ht="14.25" hidden="1" customHeight="1">
      <c r="A134" s="22" t="s">
        <v>257</v>
      </c>
      <c r="B134" s="22" t="s">
        <v>26</v>
      </c>
      <c r="C134" s="22" t="s">
        <v>290</v>
      </c>
      <c r="D134" s="22" t="s">
        <v>291</v>
      </c>
      <c r="E134" s="22" t="s">
        <v>38</v>
      </c>
      <c r="F134" s="22" t="s">
        <v>260</v>
      </c>
      <c r="G134" s="23">
        <v>2023.0</v>
      </c>
      <c r="H134" s="23">
        <v>1.0</v>
      </c>
      <c r="I134" s="23">
        <v>114.0</v>
      </c>
      <c r="J134" s="24" t="str">
        <f>'1. Base de donnée HILIN MU CM2 '!$G134&amp;"-"&amp;'1. Base de donnée HILIN MU CM2 '!$H134&amp;"-"&amp;'1. Base de donnée HILIN MU CM2 '!$I134</f>
        <v>2023-1-114</v>
      </c>
      <c r="K134" s="23">
        <f t="shared" si="1"/>
        <v>127</v>
      </c>
      <c r="L134" s="24" t="s">
        <v>31</v>
      </c>
      <c r="M134" s="24"/>
      <c r="N134" s="24"/>
      <c r="O134" s="22">
        <v>1.5</v>
      </c>
      <c r="P134" s="22">
        <v>3.5</v>
      </c>
      <c r="Q134" s="22">
        <f>SUM('1. Base de donnée HILIN MU CM2 '!$O134+'1. Base de donnée HILIN MU CM2 '!$P134)/2</f>
        <v>2.5</v>
      </c>
      <c r="R134" s="22">
        <v>16.0</v>
      </c>
      <c r="S134" s="22">
        <v>17.0</v>
      </c>
      <c r="T134" s="22">
        <f>('1. Base de donnée HILIN MU CM2 '!$R134+'1. Base de donnée HILIN MU CM2 '!$S134)/2</f>
        <v>16.5</v>
      </c>
      <c r="U134" s="25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</row>
    <row r="135" ht="14.25" hidden="1" customHeight="1">
      <c r="A135" s="27" t="s">
        <v>257</v>
      </c>
      <c r="B135" s="27" t="s">
        <v>26</v>
      </c>
      <c r="C135" s="27" t="s">
        <v>292</v>
      </c>
      <c r="D135" s="27" t="s">
        <v>293</v>
      </c>
      <c r="E135" s="27" t="s">
        <v>38</v>
      </c>
      <c r="F135" s="27" t="s">
        <v>266</v>
      </c>
      <c r="G135" s="28">
        <v>2023.0</v>
      </c>
      <c r="H135" s="28">
        <v>1.0</v>
      </c>
      <c r="I135" s="28">
        <v>115.0</v>
      </c>
      <c r="J135" s="29" t="str">
        <f>'1. Base de donnée HILIN MU CM2 '!$G135&amp;"-"&amp;'1. Base de donnée HILIN MU CM2 '!$H135&amp;"-"&amp;'1. Base de donnée HILIN MU CM2 '!$I135</f>
        <v>2023-1-115</v>
      </c>
      <c r="K135" s="28">
        <f t="shared" si="1"/>
        <v>128</v>
      </c>
      <c r="L135" s="29" t="s">
        <v>31</v>
      </c>
      <c r="M135" s="29"/>
      <c r="N135" s="29"/>
      <c r="O135" s="27">
        <v>6.0</v>
      </c>
      <c r="P135" s="27">
        <v>9.0</v>
      </c>
      <c r="Q135" s="27">
        <f>SUM('1. Base de donnée HILIN MU CM2 '!$O135+'1. Base de donnée HILIN MU CM2 '!$P135)/2</f>
        <v>7.5</v>
      </c>
      <c r="R135" s="27">
        <v>16.0</v>
      </c>
      <c r="S135" s="27">
        <v>16.5</v>
      </c>
      <c r="T135" s="27">
        <f>('1. Base de donnée HILIN MU CM2 '!$R135+'1. Base de donnée HILIN MU CM2 '!$S135)/2</f>
        <v>16.25</v>
      </c>
      <c r="U135" s="30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</row>
    <row r="136" ht="14.25" hidden="1" customHeight="1">
      <c r="A136" s="22" t="s">
        <v>257</v>
      </c>
      <c r="B136" s="22" t="s">
        <v>26</v>
      </c>
      <c r="C136" s="22" t="s">
        <v>294</v>
      </c>
      <c r="D136" s="22" t="s">
        <v>295</v>
      </c>
      <c r="E136" s="22" t="s">
        <v>38</v>
      </c>
      <c r="F136" s="22" t="s">
        <v>260</v>
      </c>
      <c r="G136" s="23">
        <v>2023.0</v>
      </c>
      <c r="H136" s="23">
        <v>1.0</v>
      </c>
      <c r="I136" s="23">
        <v>116.0</v>
      </c>
      <c r="J136" s="24" t="str">
        <f>'1. Base de donnée HILIN MU CM2 '!$G136&amp;"-"&amp;'1. Base de donnée HILIN MU CM2 '!$H136&amp;"-"&amp;'1. Base de donnée HILIN MU CM2 '!$I136</f>
        <v>2023-1-116</v>
      </c>
      <c r="K136" s="23">
        <f t="shared" si="1"/>
        <v>129</v>
      </c>
      <c r="L136" s="24" t="s">
        <v>31</v>
      </c>
      <c r="M136" s="24"/>
      <c r="N136" s="24"/>
      <c r="O136" s="22">
        <v>7.5</v>
      </c>
      <c r="P136" s="22">
        <v>6.5</v>
      </c>
      <c r="Q136" s="22">
        <f>SUM('1. Base de donnée HILIN MU CM2 '!$O136+'1. Base de donnée HILIN MU CM2 '!$P136)/2</f>
        <v>7</v>
      </c>
      <c r="R136" s="22">
        <v>16.0</v>
      </c>
      <c r="S136" s="22">
        <v>20.0</v>
      </c>
      <c r="T136" s="22">
        <f>('1. Base de donnée HILIN MU CM2 '!$R136+'1. Base de donnée HILIN MU CM2 '!$S136)/2</f>
        <v>18</v>
      </c>
      <c r="U136" s="25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</row>
    <row r="137" ht="14.25" hidden="1" customHeight="1">
      <c r="A137" s="27" t="s">
        <v>257</v>
      </c>
      <c r="B137" s="27" t="s">
        <v>26</v>
      </c>
      <c r="C137" s="27" t="s">
        <v>296</v>
      </c>
      <c r="D137" s="27" t="s">
        <v>75</v>
      </c>
      <c r="E137" s="27" t="s">
        <v>38</v>
      </c>
      <c r="F137" s="27" t="s">
        <v>260</v>
      </c>
      <c r="G137" s="28">
        <v>2023.0</v>
      </c>
      <c r="H137" s="28">
        <v>1.0</v>
      </c>
      <c r="I137" s="28">
        <v>117.0</v>
      </c>
      <c r="J137" s="29" t="str">
        <f>'1. Base de donnée HILIN MU CM2 '!$G137&amp;"-"&amp;'1. Base de donnée HILIN MU CM2 '!$H137&amp;"-"&amp;'1. Base de donnée HILIN MU CM2 '!$I137</f>
        <v>2023-1-117</v>
      </c>
      <c r="K137" s="28">
        <f t="shared" si="1"/>
        <v>130</v>
      </c>
      <c r="L137" s="29" t="s">
        <v>31</v>
      </c>
      <c r="M137" s="29"/>
      <c r="N137" s="29"/>
      <c r="O137" s="27">
        <v>6.5</v>
      </c>
      <c r="P137" s="27">
        <v>9.0</v>
      </c>
      <c r="Q137" s="27">
        <f>SUM('1. Base de donnée HILIN MU CM2 '!$O137+'1. Base de donnée HILIN MU CM2 '!$P137)/2</f>
        <v>7.75</v>
      </c>
      <c r="R137" s="27">
        <v>16.0</v>
      </c>
      <c r="S137" s="27">
        <v>20.0</v>
      </c>
      <c r="T137" s="27">
        <f>('1. Base de donnée HILIN MU CM2 '!$R137+'1. Base de donnée HILIN MU CM2 '!$S137)/2</f>
        <v>18</v>
      </c>
      <c r="U137" s="30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</row>
    <row r="138" ht="14.25" hidden="1" customHeight="1">
      <c r="A138" s="22" t="s">
        <v>257</v>
      </c>
      <c r="B138" s="22" t="s">
        <v>26</v>
      </c>
      <c r="C138" s="22" t="s">
        <v>297</v>
      </c>
      <c r="D138" s="22" t="s">
        <v>298</v>
      </c>
      <c r="E138" s="22" t="s">
        <v>38</v>
      </c>
      <c r="F138" s="22" t="s">
        <v>260</v>
      </c>
      <c r="G138" s="23">
        <v>2023.0</v>
      </c>
      <c r="H138" s="23">
        <v>1.0</v>
      </c>
      <c r="I138" s="23">
        <v>118.0</v>
      </c>
      <c r="J138" s="24" t="str">
        <f>'1. Base de donnée HILIN MU CM2 '!$G138&amp;"-"&amp;'1. Base de donnée HILIN MU CM2 '!$H138&amp;"-"&amp;'1. Base de donnée HILIN MU CM2 '!$I138</f>
        <v>2023-1-118</v>
      </c>
      <c r="K138" s="23">
        <f t="shared" si="1"/>
        <v>131</v>
      </c>
      <c r="L138" s="24" t="s">
        <v>31</v>
      </c>
      <c r="M138" s="24"/>
      <c r="N138" s="24"/>
      <c r="O138" s="22">
        <v>0.0</v>
      </c>
      <c r="P138" s="22">
        <v>1.0</v>
      </c>
      <c r="Q138" s="22">
        <f>SUM('1. Base de donnée HILIN MU CM2 '!$O138+'1. Base de donnée HILIN MU CM2 '!$P138)/2</f>
        <v>0.5</v>
      </c>
      <c r="R138" s="22">
        <v>16.0</v>
      </c>
      <c r="S138" s="22">
        <v>19.0</v>
      </c>
      <c r="T138" s="22">
        <f>('1. Base de donnée HILIN MU CM2 '!$R138+'1. Base de donnée HILIN MU CM2 '!$S138)/2</f>
        <v>17.5</v>
      </c>
      <c r="U138" s="25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</row>
    <row r="139" ht="14.25" hidden="1" customHeight="1">
      <c r="A139" s="27" t="s">
        <v>257</v>
      </c>
      <c r="B139" s="27" t="s">
        <v>26</v>
      </c>
      <c r="C139" s="27" t="s">
        <v>299</v>
      </c>
      <c r="D139" s="27" t="s">
        <v>116</v>
      </c>
      <c r="E139" s="27" t="s">
        <v>38</v>
      </c>
      <c r="F139" s="27" t="s">
        <v>266</v>
      </c>
      <c r="G139" s="28">
        <v>2023.0</v>
      </c>
      <c r="H139" s="28">
        <v>1.0</v>
      </c>
      <c r="I139" s="28">
        <v>119.0</v>
      </c>
      <c r="J139" s="29" t="str">
        <f>'1. Base de donnée HILIN MU CM2 '!$G139&amp;"-"&amp;'1. Base de donnée HILIN MU CM2 '!$H139&amp;"-"&amp;'1. Base de donnée HILIN MU CM2 '!$I139</f>
        <v>2023-1-119</v>
      </c>
      <c r="K139" s="28">
        <f t="shared" si="1"/>
        <v>132</v>
      </c>
      <c r="L139" s="29" t="s">
        <v>31</v>
      </c>
      <c r="M139" s="29"/>
      <c r="N139" s="29"/>
      <c r="O139" s="27">
        <v>6.0</v>
      </c>
      <c r="P139" s="27">
        <v>4.0</v>
      </c>
      <c r="Q139" s="27">
        <f>SUM('1. Base de donnée HILIN MU CM2 '!$O139+'1. Base de donnée HILIN MU CM2 '!$P139)/2</f>
        <v>5</v>
      </c>
      <c r="R139" s="27">
        <v>16.0</v>
      </c>
      <c r="S139" s="27">
        <v>14.5</v>
      </c>
      <c r="T139" s="27">
        <f>('1. Base de donnée HILIN MU CM2 '!$R139+'1. Base de donnée HILIN MU CM2 '!$S139)/2</f>
        <v>15.25</v>
      </c>
      <c r="U139" s="30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</row>
    <row r="140" ht="14.25" hidden="1" customHeight="1">
      <c r="A140" s="22" t="s">
        <v>257</v>
      </c>
      <c r="B140" s="22" t="s">
        <v>26</v>
      </c>
      <c r="C140" s="22" t="s">
        <v>300</v>
      </c>
      <c r="D140" s="22" t="s">
        <v>301</v>
      </c>
      <c r="E140" s="22" t="s">
        <v>38</v>
      </c>
      <c r="F140" s="22" t="s">
        <v>260</v>
      </c>
      <c r="G140" s="23">
        <v>2023.0</v>
      </c>
      <c r="H140" s="23">
        <v>1.0</v>
      </c>
      <c r="I140" s="23">
        <v>120.0</v>
      </c>
      <c r="J140" s="24" t="str">
        <f>'1. Base de donnée HILIN MU CM2 '!$G140&amp;"-"&amp;'1. Base de donnée HILIN MU CM2 '!$H140&amp;"-"&amp;'1. Base de donnée HILIN MU CM2 '!$I140</f>
        <v>2023-1-120</v>
      </c>
      <c r="K140" s="23">
        <f t="shared" si="1"/>
        <v>133</v>
      </c>
      <c r="L140" s="24" t="s">
        <v>31</v>
      </c>
      <c r="M140" s="24"/>
      <c r="N140" s="24"/>
      <c r="O140" s="22">
        <v>3.0</v>
      </c>
      <c r="P140" s="22">
        <v>8.5</v>
      </c>
      <c r="Q140" s="22">
        <f>SUM('1. Base de donnée HILIN MU CM2 '!$O140+'1. Base de donnée HILIN MU CM2 '!$P140)/2</f>
        <v>5.75</v>
      </c>
      <c r="R140" s="22">
        <v>16.0</v>
      </c>
      <c r="S140" s="22">
        <v>14.0</v>
      </c>
      <c r="T140" s="22">
        <f>('1. Base de donnée HILIN MU CM2 '!$R140+'1. Base de donnée HILIN MU CM2 '!$S140)/2</f>
        <v>15</v>
      </c>
      <c r="U140" s="25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</row>
    <row r="141" ht="14.25" hidden="1" customHeight="1">
      <c r="A141" s="27" t="s">
        <v>257</v>
      </c>
      <c r="B141" s="27" t="s">
        <v>26</v>
      </c>
      <c r="C141" s="27" t="s">
        <v>302</v>
      </c>
      <c r="D141" s="27" t="s">
        <v>303</v>
      </c>
      <c r="E141" s="27" t="s">
        <v>38</v>
      </c>
      <c r="F141" s="27" t="s">
        <v>266</v>
      </c>
      <c r="G141" s="28">
        <v>2023.0</v>
      </c>
      <c r="H141" s="28">
        <v>1.0</v>
      </c>
      <c r="I141" s="28">
        <v>121.0</v>
      </c>
      <c r="J141" s="29" t="str">
        <f>'1. Base de donnée HILIN MU CM2 '!$G141&amp;"-"&amp;'1. Base de donnée HILIN MU CM2 '!$H141&amp;"-"&amp;'1. Base de donnée HILIN MU CM2 '!$I141</f>
        <v>2023-1-121</v>
      </c>
      <c r="K141" s="28">
        <f t="shared" si="1"/>
        <v>134</v>
      </c>
      <c r="L141" s="29" t="s">
        <v>31</v>
      </c>
      <c r="M141" s="29"/>
      <c r="N141" s="29"/>
      <c r="O141" s="27">
        <v>7.0</v>
      </c>
      <c r="P141" s="27">
        <v>7.0</v>
      </c>
      <c r="Q141" s="27">
        <f>SUM('1. Base de donnée HILIN MU CM2 '!$O141+'1. Base de donnée HILIN MU CM2 '!$P141)/2</f>
        <v>7</v>
      </c>
      <c r="R141" s="27">
        <v>16.0</v>
      </c>
      <c r="S141" s="27">
        <v>16.25</v>
      </c>
      <c r="T141" s="27">
        <f>('1. Base de donnée HILIN MU CM2 '!$R141+'1. Base de donnée HILIN MU CM2 '!$S141)/2</f>
        <v>16.125</v>
      </c>
      <c r="U141" s="30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</row>
    <row r="142" ht="14.25" hidden="1" customHeight="1">
      <c r="A142" s="22" t="s">
        <v>257</v>
      </c>
      <c r="B142" s="22" t="s">
        <v>26</v>
      </c>
      <c r="C142" s="22" t="s">
        <v>304</v>
      </c>
      <c r="D142" s="22" t="s">
        <v>305</v>
      </c>
      <c r="E142" s="22" t="s">
        <v>38</v>
      </c>
      <c r="F142" s="22" t="s">
        <v>266</v>
      </c>
      <c r="G142" s="23">
        <v>2023.0</v>
      </c>
      <c r="H142" s="23">
        <v>1.0</v>
      </c>
      <c r="I142" s="23">
        <v>122.0</v>
      </c>
      <c r="J142" s="24" t="str">
        <f>'1. Base de donnée HILIN MU CM2 '!$G142&amp;"-"&amp;'1. Base de donnée HILIN MU CM2 '!$H142&amp;"-"&amp;'1. Base de donnée HILIN MU CM2 '!$I142</f>
        <v>2023-1-122</v>
      </c>
      <c r="K142" s="23">
        <f t="shared" si="1"/>
        <v>135</v>
      </c>
      <c r="L142" s="24" t="s">
        <v>31</v>
      </c>
      <c r="M142" s="24"/>
      <c r="N142" s="24"/>
      <c r="O142" s="22">
        <v>6.5</v>
      </c>
      <c r="P142" s="22">
        <v>0.5</v>
      </c>
      <c r="Q142" s="22">
        <f>SUM('1. Base de donnée HILIN MU CM2 '!$O142+'1. Base de donnée HILIN MU CM2 '!$P142)/2</f>
        <v>3.5</v>
      </c>
      <c r="R142" s="22">
        <v>16.0</v>
      </c>
      <c r="S142" s="22">
        <v>12.5</v>
      </c>
      <c r="T142" s="22">
        <f>('1. Base de donnée HILIN MU CM2 '!$R142+'1. Base de donnée HILIN MU CM2 '!$S142)/2</f>
        <v>14.25</v>
      </c>
      <c r="U142" s="25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</row>
    <row r="143" ht="14.25" hidden="1" customHeight="1">
      <c r="A143" s="27" t="s">
        <v>257</v>
      </c>
      <c r="B143" s="27" t="s">
        <v>26</v>
      </c>
      <c r="C143" s="27" t="s">
        <v>306</v>
      </c>
      <c r="D143" s="27" t="s">
        <v>307</v>
      </c>
      <c r="E143" s="27" t="s">
        <v>38</v>
      </c>
      <c r="F143" s="27" t="s">
        <v>266</v>
      </c>
      <c r="G143" s="28">
        <v>2023.0</v>
      </c>
      <c r="H143" s="28">
        <v>1.0</v>
      </c>
      <c r="I143" s="28">
        <v>123.0</v>
      </c>
      <c r="J143" s="29" t="str">
        <f>'1. Base de donnée HILIN MU CM2 '!$G143&amp;"-"&amp;'1. Base de donnée HILIN MU CM2 '!$H143&amp;"-"&amp;'1. Base de donnée HILIN MU CM2 '!$I143</f>
        <v>2023-1-123</v>
      </c>
      <c r="K143" s="28">
        <f t="shared" si="1"/>
        <v>136</v>
      </c>
      <c r="L143" s="29" t="s">
        <v>31</v>
      </c>
      <c r="M143" s="29"/>
      <c r="N143" s="29"/>
      <c r="O143" s="27">
        <v>5.5</v>
      </c>
      <c r="P143" s="27">
        <v>0.75</v>
      </c>
      <c r="Q143" s="27">
        <f>SUM('1. Base de donnée HILIN MU CM2 '!$O143+'1. Base de donnée HILIN MU CM2 '!$P143)/2</f>
        <v>3.125</v>
      </c>
      <c r="R143" s="27">
        <v>16.0</v>
      </c>
      <c r="S143" s="27">
        <v>13.5</v>
      </c>
      <c r="T143" s="27">
        <f>('1. Base de donnée HILIN MU CM2 '!$R143+'1. Base de donnée HILIN MU CM2 '!$S143)/2</f>
        <v>14.75</v>
      </c>
      <c r="U143" s="30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</row>
    <row r="144" ht="14.25" hidden="1" customHeight="1">
      <c r="A144" s="22" t="s">
        <v>257</v>
      </c>
      <c r="B144" s="22" t="s">
        <v>26</v>
      </c>
      <c r="C144" s="22" t="s">
        <v>308</v>
      </c>
      <c r="D144" s="22" t="s">
        <v>307</v>
      </c>
      <c r="E144" s="22" t="s">
        <v>38</v>
      </c>
      <c r="F144" s="22" t="s">
        <v>266</v>
      </c>
      <c r="G144" s="23">
        <v>2023.0</v>
      </c>
      <c r="H144" s="23">
        <v>1.0</v>
      </c>
      <c r="I144" s="23">
        <v>124.0</v>
      </c>
      <c r="J144" s="24" t="str">
        <f>'1. Base de donnée HILIN MU CM2 '!$G144&amp;"-"&amp;'1. Base de donnée HILIN MU CM2 '!$H144&amp;"-"&amp;'1. Base de donnée HILIN MU CM2 '!$I144</f>
        <v>2023-1-124</v>
      </c>
      <c r="K144" s="23">
        <f t="shared" si="1"/>
        <v>137</v>
      </c>
      <c r="L144" s="24" t="s">
        <v>31</v>
      </c>
      <c r="M144" s="24"/>
      <c r="N144" s="24"/>
      <c r="O144" s="22">
        <v>2.0</v>
      </c>
      <c r="P144" s="22">
        <v>0.75</v>
      </c>
      <c r="Q144" s="22">
        <f>SUM('1. Base de donnée HILIN MU CM2 '!$O144+'1. Base de donnée HILIN MU CM2 '!$P144)/2</f>
        <v>1.375</v>
      </c>
      <c r="R144" s="22">
        <v>16.0</v>
      </c>
      <c r="S144" s="22">
        <v>17.0</v>
      </c>
      <c r="T144" s="22">
        <f>('1. Base de donnée HILIN MU CM2 '!$R144+'1. Base de donnée HILIN MU CM2 '!$S144)/2</f>
        <v>16.5</v>
      </c>
      <c r="U144" s="25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</row>
    <row r="145" ht="14.25" hidden="1" customHeight="1">
      <c r="A145" s="27" t="s">
        <v>257</v>
      </c>
      <c r="B145" s="27" t="s">
        <v>26</v>
      </c>
      <c r="C145" s="27" t="s">
        <v>309</v>
      </c>
      <c r="D145" s="27" t="s">
        <v>310</v>
      </c>
      <c r="E145" s="27" t="s">
        <v>38</v>
      </c>
      <c r="F145" s="27" t="s">
        <v>260</v>
      </c>
      <c r="G145" s="28">
        <v>2023.0</v>
      </c>
      <c r="H145" s="28">
        <v>1.0</v>
      </c>
      <c r="I145" s="28">
        <v>125.0</v>
      </c>
      <c r="J145" s="29" t="str">
        <f>'1. Base de donnée HILIN MU CM2 '!$G145&amp;"-"&amp;'1. Base de donnée HILIN MU CM2 '!$H145&amp;"-"&amp;'1. Base de donnée HILIN MU CM2 '!$I145</f>
        <v>2023-1-125</v>
      </c>
      <c r="K145" s="28">
        <f t="shared" si="1"/>
        <v>138</v>
      </c>
      <c r="L145" s="29" t="s">
        <v>31</v>
      </c>
      <c r="M145" s="29"/>
      <c r="N145" s="29"/>
      <c r="O145" s="27">
        <v>6.0</v>
      </c>
      <c r="P145" s="27">
        <v>3.5</v>
      </c>
      <c r="Q145" s="27">
        <f>SUM('1. Base de donnée HILIN MU CM2 '!$O145+'1. Base de donnée HILIN MU CM2 '!$P145)/2</f>
        <v>4.75</v>
      </c>
      <c r="R145" s="27">
        <v>16.0</v>
      </c>
      <c r="S145" s="27">
        <v>18.75</v>
      </c>
      <c r="T145" s="27">
        <f>('1. Base de donnée HILIN MU CM2 '!$R145+'1. Base de donnée HILIN MU CM2 '!$S145)/2</f>
        <v>17.375</v>
      </c>
      <c r="U145" s="30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</row>
    <row r="146" ht="14.25" hidden="1" customHeight="1">
      <c r="A146" s="22" t="s">
        <v>257</v>
      </c>
      <c r="B146" s="22" t="s">
        <v>26</v>
      </c>
      <c r="C146" s="22" t="s">
        <v>311</v>
      </c>
      <c r="D146" s="22" t="s">
        <v>312</v>
      </c>
      <c r="E146" s="22" t="s">
        <v>38</v>
      </c>
      <c r="F146" s="22" t="s">
        <v>260</v>
      </c>
      <c r="G146" s="23">
        <v>2023.0</v>
      </c>
      <c r="H146" s="23">
        <v>1.0</v>
      </c>
      <c r="I146" s="23">
        <v>126.0</v>
      </c>
      <c r="J146" s="24" t="str">
        <f>'1. Base de donnée HILIN MU CM2 '!$G146&amp;"-"&amp;'1. Base de donnée HILIN MU CM2 '!$H146&amp;"-"&amp;'1. Base de donnée HILIN MU CM2 '!$I146</f>
        <v>2023-1-126</v>
      </c>
      <c r="K146" s="23">
        <f t="shared" si="1"/>
        <v>139</v>
      </c>
      <c r="L146" s="24" t="s">
        <v>31</v>
      </c>
      <c r="M146" s="24"/>
      <c r="N146" s="24"/>
      <c r="O146" s="22">
        <v>2.5</v>
      </c>
      <c r="P146" s="22">
        <v>1.75</v>
      </c>
      <c r="Q146" s="22">
        <f>SUM('1. Base de donnée HILIN MU CM2 '!$O146+'1. Base de donnée HILIN MU CM2 '!$P146)/2</f>
        <v>2.125</v>
      </c>
      <c r="R146" s="22">
        <v>16.0</v>
      </c>
      <c r="S146" s="22">
        <v>15.5</v>
      </c>
      <c r="T146" s="22">
        <f>('1. Base de donnée HILIN MU CM2 '!$R146+'1. Base de donnée HILIN MU CM2 '!$S146)/2</f>
        <v>15.75</v>
      </c>
      <c r="U146" s="25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</row>
    <row r="147" ht="14.25" hidden="1" customHeight="1">
      <c r="A147" s="27" t="s">
        <v>257</v>
      </c>
      <c r="B147" s="27" t="s">
        <v>26</v>
      </c>
      <c r="C147" s="27" t="s">
        <v>313</v>
      </c>
      <c r="D147" s="27" t="s">
        <v>314</v>
      </c>
      <c r="E147" s="27" t="s">
        <v>38</v>
      </c>
      <c r="F147" s="27" t="s">
        <v>266</v>
      </c>
      <c r="G147" s="28">
        <v>2023.0</v>
      </c>
      <c r="H147" s="28">
        <v>1.0</v>
      </c>
      <c r="I147" s="28">
        <v>127.0</v>
      </c>
      <c r="J147" s="29" t="str">
        <f>'1. Base de donnée HILIN MU CM2 '!$G147&amp;"-"&amp;'1. Base de donnée HILIN MU CM2 '!$H147&amp;"-"&amp;'1. Base de donnée HILIN MU CM2 '!$I147</f>
        <v>2023-1-127</v>
      </c>
      <c r="K147" s="28">
        <f t="shared" si="1"/>
        <v>140</v>
      </c>
      <c r="L147" s="29" t="s">
        <v>31</v>
      </c>
      <c r="M147" s="29"/>
      <c r="N147" s="29"/>
      <c r="O147" s="27">
        <v>8.5</v>
      </c>
      <c r="P147" s="27">
        <v>7.0</v>
      </c>
      <c r="Q147" s="27">
        <f>SUM('1. Base de donnée HILIN MU CM2 '!$O147+'1. Base de donnée HILIN MU CM2 '!$P147)/2</f>
        <v>7.75</v>
      </c>
      <c r="R147" s="27">
        <v>16.0</v>
      </c>
      <c r="S147" s="27">
        <v>19.5</v>
      </c>
      <c r="T147" s="27">
        <f>('1. Base de donnée HILIN MU CM2 '!$R147+'1. Base de donnée HILIN MU CM2 '!$S147)/2</f>
        <v>17.75</v>
      </c>
      <c r="U147" s="30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</row>
    <row r="148" ht="14.25" customHeight="1">
      <c r="A148" s="22" t="s">
        <v>315</v>
      </c>
      <c r="B148" s="22" t="s">
        <v>121</v>
      </c>
      <c r="C148" s="22" t="s">
        <v>316</v>
      </c>
      <c r="D148" s="22" t="s">
        <v>285</v>
      </c>
      <c r="E148" s="22" t="s">
        <v>317</v>
      </c>
      <c r="F148" s="22" t="s">
        <v>318</v>
      </c>
      <c r="G148" s="23">
        <v>2023.0</v>
      </c>
      <c r="H148" s="23">
        <v>86.0</v>
      </c>
      <c r="I148" s="23">
        <v>128.0</v>
      </c>
      <c r="J148" s="24" t="str">
        <f>'1. Base de donnée HILIN MU CM2 '!$G148&amp;"-"&amp;'1. Base de donnée HILIN MU CM2 '!$H148&amp;"-"&amp;'1. Base de donnée HILIN MU CM2 '!$I148</f>
        <v>2023-86-128</v>
      </c>
      <c r="K148" s="23">
        <f t="shared" si="1"/>
        <v>141</v>
      </c>
      <c r="L148" s="24" t="s">
        <v>31</v>
      </c>
      <c r="M148" s="24"/>
      <c r="N148" s="24"/>
      <c r="O148" s="22">
        <v>3.5</v>
      </c>
      <c r="P148" s="22">
        <v>2.5</v>
      </c>
      <c r="Q148" s="22">
        <f>SUM('1. Base de donnée HILIN MU CM2 '!$O148+'1. Base de donnée HILIN MU CM2 '!$P148)/2</f>
        <v>3</v>
      </c>
      <c r="R148" s="22">
        <v>16.0</v>
      </c>
      <c r="S148" s="22">
        <v>14.5</v>
      </c>
      <c r="T148" s="22">
        <f>('1. Base de donnée HILIN MU CM2 '!$R148+'1. Base de donnée HILIN MU CM2 '!$S148)/2</f>
        <v>15.25</v>
      </c>
      <c r="U148" s="25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</row>
    <row r="149" ht="14.25" customHeight="1">
      <c r="A149" s="27" t="s">
        <v>315</v>
      </c>
      <c r="B149" s="27" t="s">
        <v>121</v>
      </c>
      <c r="C149" s="27" t="s">
        <v>319</v>
      </c>
      <c r="D149" s="27" t="s">
        <v>183</v>
      </c>
      <c r="E149" s="27" t="s">
        <v>317</v>
      </c>
      <c r="F149" s="27" t="s">
        <v>318</v>
      </c>
      <c r="G149" s="28">
        <v>2023.0</v>
      </c>
      <c r="H149" s="28">
        <v>86.0</v>
      </c>
      <c r="I149" s="28">
        <v>130.0</v>
      </c>
      <c r="J149" s="29" t="str">
        <f>'1. Base de donnée HILIN MU CM2 '!$G149&amp;"-"&amp;'1. Base de donnée HILIN MU CM2 '!$H149&amp;"-"&amp;'1. Base de donnée HILIN MU CM2 '!$I149</f>
        <v>2023-86-130</v>
      </c>
      <c r="K149" s="28">
        <f t="shared" si="1"/>
        <v>142</v>
      </c>
      <c r="L149" s="29" t="s">
        <v>31</v>
      </c>
      <c r="M149" s="29"/>
      <c r="N149" s="29"/>
      <c r="O149" s="27">
        <v>1.0</v>
      </c>
      <c r="P149" s="27">
        <v>1.25</v>
      </c>
      <c r="Q149" s="27">
        <f>SUM('1. Base de donnée HILIN MU CM2 '!$O149+'1. Base de donnée HILIN MU CM2 '!$P149)/2</f>
        <v>1.125</v>
      </c>
      <c r="R149" s="27">
        <v>16.0</v>
      </c>
      <c r="S149" s="27">
        <v>15.5</v>
      </c>
      <c r="T149" s="27">
        <f>('1. Base de donnée HILIN MU CM2 '!$R149+'1. Base de donnée HILIN MU CM2 '!$S149)/2</f>
        <v>15.75</v>
      </c>
      <c r="U149" s="30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</row>
    <row r="150" ht="14.25" customHeight="1">
      <c r="A150" s="22" t="s">
        <v>315</v>
      </c>
      <c r="B150" s="22" t="s">
        <v>121</v>
      </c>
      <c r="C150" s="22" t="s">
        <v>320</v>
      </c>
      <c r="D150" s="22" t="s">
        <v>321</v>
      </c>
      <c r="E150" s="22" t="s">
        <v>317</v>
      </c>
      <c r="F150" s="22" t="s">
        <v>318</v>
      </c>
      <c r="G150" s="23">
        <v>2023.0</v>
      </c>
      <c r="H150" s="23">
        <v>86.0</v>
      </c>
      <c r="I150" s="23">
        <v>131.0</v>
      </c>
      <c r="J150" s="24" t="str">
        <f>'1. Base de donnée HILIN MU CM2 '!$G150&amp;"-"&amp;'1. Base de donnée HILIN MU CM2 '!$H150&amp;"-"&amp;'1. Base de donnée HILIN MU CM2 '!$I150</f>
        <v>2023-86-131</v>
      </c>
      <c r="K150" s="23">
        <f t="shared" si="1"/>
        <v>143</v>
      </c>
      <c r="L150" s="24" t="s">
        <v>31</v>
      </c>
      <c r="M150" s="24"/>
      <c r="N150" s="24"/>
      <c r="O150" s="22">
        <v>1.0</v>
      </c>
      <c r="P150" s="22">
        <v>3.0</v>
      </c>
      <c r="Q150" s="22">
        <f>SUM('1. Base de donnée HILIN MU CM2 '!$O150+'1. Base de donnée HILIN MU CM2 '!$P150)/2</f>
        <v>2</v>
      </c>
      <c r="R150" s="22">
        <v>16.0</v>
      </c>
      <c r="S150" s="22">
        <v>12.0</v>
      </c>
      <c r="T150" s="22">
        <f>('1. Base de donnée HILIN MU CM2 '!$R150+'1. Base de donnée HILIN MU CM2 '!$S150)/2</f>
        <v>14</v>
      </c>
      <c r="U150" s="25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</row>
    <row r="151" ht="14.25" customHeight="1">
      <c r="A151" s="27" t="s">
        <v>315</v>
      </c>
      <c r="B151" s="27" t="s">
        <v>121</v>
      </c>
      <c r="C151" s="27" t="s">
        <v>322</v>
      </c>
      <c r="D151" s="27" t="s">
        <v>323</v>
      </c>
      <c r="E151" s="27" t="s">
        <v>317</v>
      </c>
      <c r="F151" s="27" t="s">
        <v>318</v>
      </c>
      <c r="G151" s="28">
        <v>2023.0</v>
      </c>
      <c r="H151" s="28">
        <v>86.0</v>
      </c>
      <c r="I151" s="28">
        <v>132.0</v>
      </c>
      <c r="J151" s="29" t="str">
        <f>'1. Base de donnée HILIN MU CM2 '!$G151&amp;"-"&amp;'1. Base de donnée HILIN MU CM2 '!$H151&amp;"-"&amp;'1. Base de donnée HILIN MU CM2 '!$I151</f>
        <v>2023-86-132</v>
      </c>
      <c r="K151" s="28">
        <f t="shared" si="1"/>
        <v>144</v>
      </c>
      <c r="L151" s="29" t="s">
        <v>31</v>
      </c>
      <c r="M151" s="29"/>
      <c r="N151" s="29"/>
      <c r="O151" s="27">
        <v>3.0</v>
      </c>
      <c r="P151" s="27">
        <v>3.0</v>
      </c>
      <c r="Q151" s="27">
        <f>SUM('1. Base de donnée HILIN MU CM2 '!$O151+'1. Base de donnée HILIN MU CM2 '!$P151)/2</f>
        <v>3</v>
      </c>
      <c r="R151" s="27">
        <v>16.0</v>
      </c>
      <c r="S151" s="27">
        <v>19.0</v>
      </c>
      <c r="T151" s="27">
        <f>('1. Base de donnée HILIN MU CM2 '!$R151+'1. Base de donnée HILIN MU CM2 '!$S151)/2</f>
        <v>17.5</v>
      </c>
      <c r="U151" s="30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</row>
    <row r="152" ht="14.25" customHeight="1">
      <c r="A152" s="22" t="s">
        <v>315</v>
      </c>
      <c r="B152" s="22" t="s">
        <v>121</v>
      </c>
      <c r="C152" s="22" t="s">
        <v>324</v>
      </c>
      <c r="D152" s="22" t="s">
        <v>323</v>
      </c>
      <c r="E152" s="22" t="s">
        <v>317</v>
      </c>
      <c r="F152" s="22" t="s">
        <v>318</v>
      </c>
      <c r="G152" s="23">
        <v>2023.0</v>
      </c>
      <c r="H152" s="23">
        <v>86.0</v>
      </c>
      <c r="I152" s="23">
        <v>133.0</v>
      </c>
      <c r="J152" s="24" t="str">
        <f>'1. Base de donnée HILIN MU CM2 '!$G152&amp;"-"&amp;'1. Base de donnée HILIN MU CM2 '!$H152&amp;"-"&amp;'1. Base de donnée HILIN MU CM2 '!$I152</f>
        <v>2023-86-133</v>
      </c>
      <c r="K152" s="23">
        <f t="shared" si="1"/>
        <v>145</v>
      </c>
      <c r="L152" s="24" t="s">
        <v>31</v>
      </c>
      <c r="M152" s="24"/>
      <c r="N152" s="24"/>
      <c r="O152" s="22">
        <v>6.5</v>
      </c>
      <c r="P152" s="22">
        <v>3.5</v>
      </c>
      <c r="Q152" s="22">
        <f>SUM('1. Base de donnée HILIN MU CM2 '!$O152+'1. Base de donnée HILIN MU CM2 '!$P152)/2</f>
        <v>5</v>
      </c>
      <c r="R152" s="22">
        <v>16.0</v>
      </c>
      <c r="S152" s="22">
        <v>15.5</v>
      </c>
      <c r="T152" s="22">
        <f>('1. Base de donnée HILIN MU CM2 '!$R152+'1. Base de donnée HILIN MU CM2 '!$S152)/2</f>
        <v>15.75</v>
      </c>
      <c r="U152" s="25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</row>
    <row r="153" ht="14.25" customHeight="1">
      <c r="A153" s="27" t="s">
        <v>315</v>
      </c>
      <c r="B153" s="27" t="s">
        <v>121</v>
      </c>
      <c r="C153" s="27" t="s">
        <v>325</v>
      </c>
      <c r="D153" s="27" t="s">
        <v>321</v>
      </c>
      <c r="E153" s="27" t="s">
        <v>317</v>
      </c>
      <c r="F153" s="27" t="s">
        <v>318</v>
      </c>
      <c r="G153" s="28">
        <v>2023.0</v>
      </c>
      <c r="H153" s="28">
        <v>86.0</v>
      </c>
      <c r="I153" s="28">
        <v>135.0</v>
      </c>
      <c r="J153" s="29" t="str">
        <f>'1. Base de donnée HILIN MU CM2 '!$G153&amp;"-"&amp;'1. Base de donnée HILIN MU CM2 '!$H153&amp;"-"&amp;'1. Base de donnée HILIN MU CM2 '!$I153</f>
        <v>2023-86-135</v>
      </c>
      <c r="K153" s="28">
        <f t="shared" si="1"/>
        <v>146</v>
      </c>
      <c r="L153" s="29" t="s">
        <v>31</v>
      </c>
      <c r="M153" s="29"/>
      <c r="N153" s="29"/>
      <c r="O153" s="27">
        <v>6.0</v>
      </c>
      <c r="P153" s="27">
        <v>2.0</v>
      </c>
      <c r="Q153" s="27">
        <f>SUM('1. Base de donnée HILIN MU CM2 '!$O153+'1. Base de donnée HILIN MU CM2 '!$P153)/2</f>
        <v>4</v>
      </c>
      <c r="R153" s="27">
        <v>16.0</v>
      </c>
      <c r="S153" s="27">
        <v>19.0</v>
      </c>
      <c r="T153" s="27">
        <f>('1. Base de donnée HILIN MU CM2 '!$R153+'1. Base de donnée HILIN MU CM2 '!$S153)/2</f>
        <v>17.5</v>
      </c>
      <c r="U153" s="30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</row>
    <row r="154" ht="14.25" customHeight="1">
      <c r="A154" s="22" t="s">
        <v>315</v>
      </c>
      <c r="B154" s="22" t="s">
        <v>121</v>
      </c>
      <c r="C154" s="22" t="s">
        <v>326</v>
      </c>
      <c r="D154" s="22" t="s">
        <v>63</v>
      </c>
      <c r="E154" s="22" t="s">
        <v>317</v>
      </c>
      <c r="F154" s="22" t="s">
        <v>318</v>
      </c>
      <c r="G154" s="23">
        <v>2023.0</v>
      </c>
      <c r="H154" s="23">
        <v>86.0</v>
      </c>
      <c r="I154" s="23">
        <v>137.0</v>
      </c>
      <c r="J154" s="24" t="str">
        <f>'1. Base de donnée HILIN MU CM2 '!$G154&amp;"-"&amp;'1. Base de donnée HILIN MU CM2 '!$H154&amp;"-"&amp;'1. Base de donnée HILIN MU CM2 '!$I154</f>
        <v>2023-86-137</v>
      </c>
      <c r="K154" s="23">
        <f t="shared" si="1"/>
        <v>147</v>
      </c>
      <c r="L154" s="24" t="s">
        <v>31</v>
      </c>
      <c r="M154" s="24"/>
      <c r="N154" s="24"/>
      <c r="O154" s="22">
        <v>5.0</v>
      </c>
      <c r="P154" s="22">
        <v>5.0</v>
      </c>
      <c r="Q154" s="22">
        <f>SUM('1. Base de donnée HILIN MU CM2 '!$O154+'1. Base de donnée HILIN MU CM2 '!$P154)/2</f>
        <v>5</v>
      </c>
      <c r="R154" s="22">
        <v>16.0</v>
      </c>
      <c r="S154" s="22">
        <v>18.0</v>
      </c>
      <c r="T154" s="22">
        <f>('1. Base de donnée HILIN MU CM2 '!$R154+'1. Base de donnée HILIN MU CM2 '!$S154)/2</f>
        <v>17</v>
      </c>
      <c r="U154" s="25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</row>
    <row r="155" ht="14.25" customHeight="1">
      <c r="A155" s="27" t="s">
        <v>315</v>
      </c>
      <c r="B155" s="27" t="s">
        <v>121</v>
      </c>
      <c r="C155" s="27" t="s">
        <v>327</v>
      </c>
      <c r="D155" s="27" t="s">
        <v>328</v>
      </c>
      <c r="E155" s="27" t="s">
        <v>317</v>
      </c>
      <c r="F155" s="27" t="s">
        <v>318</v>
      </c>
      <c r="G155" s="28">
        <v>2023.0</v>
      </c>
      <c r="H155" s="28">
        <v>86.0</v>
      </c>
      <c r="I155" s="28">
        <v>139.0</v>
      </c>
      <c r="J155" s="29" t="str">
        <f>'1. Base de donnée HILIN MU CM2 '!$G155&amp;"-"&amp;'1. Base de donnée HILIN MU CM2 '!$H155&amp;"-"&amp;'1. Base de donnée HILIN MU CM2 '!$I155</f>
        <v>2023-86-139</v>
      </c>
      <c r="K155" s="28">
        <f t="shared" si="1"/>
        <v>148</v>
      </c>
      <c r="L155" s="29" t="s">
        <v>31</v>
      </c>
      <c r="M155" s="29"/>
      <c r="N155" s="29"/>
      <c r="O155" s="27">
        <v>7.5</v>
      </c>
      <c r="P155" s="27">
        <v>2.0</v>
      </c>
      <c r="Q155" s="27">
        <f>SUM('1. Base de donnée HILIN MU CM2 '!$O155+'1. Base de donnée HILIN MU CM2 '!$P155)/2</f>
        <v>4.75</v>
      </c>
      <c r="R155" s="27">
        <v>16.0</v>
      </c>
      <c r="S155" s="27">
        <v>19.0</v>
      </c>
      <c r="T155" s="27">
        <f>('1. Base de donnée HILIN MU CM2 '!$R155+'1. Base de donnée HILIN MU CM2 '!$S155)/2</f>
        <v>17.5</v>
      </c>
      <c r="U155" s="30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</row>
    <row r="156" ht="14.25" customHeight="1">
      <c r="A156" s="22" t="s">
        <v>315</v>
      </c>
      <c r="B156" s="22" t="s">
        <v>121</v>
      </c>
      <c r="C156" s="22" t="s">
        <v>329</v>
      </c>
      <c r="D156" s="22" t="s">
        <v>321</v>
      </c>
      <c r="E156" s="22" t="s">
        <v>317</v>
      </c>
      <c r="F156" s="22" t="s">
        <v>318</v>
      </c>
      <c r="G156" s="23">
        <v>2023.0</v>
      </c>
      <c r="H156" s="23">
        <v>86.0</v>
      </c>
      <c r="I156" s="23">
        <v>140.0</v>
      </c>
      <c r="J156" s="24" t="str">
        <f>'1. Base de donnée HILIN MU CM2 '!$G156&amp;"-"&amp;'1. Base de donnée HILIN MU CM2 '!$H156&amp;"-"&amp;'1. Base de donnée HILIN MU CM2 '!$I156</f>
        <v>2023-86-140</v>
      </c>
      <c r="K156" s="23">
        <f t="shared" si="1"/>
        <v>149</v>
      </c>
      <c r="L156" s="24" t="s">
        <v>31</v>
      </c>
      <c r="M156" s="24"/>
      <c r="N156" s="24"/>
      <c r="O156" s="22">
        <v>0.0</v>
      </c>
      <c r="P156" s="22">
        <v>1.5</v>
      </c>
      <c r="Q156" s="22">
        <f>SUM('1. Base de donnée HILIN MU CM2 '!$O156+'1. Base de donnée HILIN MU CM2 '!$P156)/2</f>
        <v>0.75</v>
      </c>
      <c r="R156" s="22">
        <v>16.0</v>
      </c>
      <c r="S156" s="22">
        <v>16.0</v>
      </c>
      <c r="T156" s="22">
        <f>('1. Base de donnée HILIN MU CM2 '!$R156+'1. Base de donnée HILIN MU CM2 '!$S156)/2</f>
        <v>16</v>
      </c>
      <c r="U156" s="25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</row>
    <row r="157" ht="14.25" customHeight="1">
      <c r="A157" s="27" t="s">
        <v>315</v>
      </c>
      <c r="B157" s="27" t="s">
        <v>121</v>
      </c>
      <c r="C157" s="27" t="s">
        <v>330</v>
      </c>
      <c r="D157" s="27" t="s">
        <v>305</v>
      </c>
      <c r="E157" s="27" t="s">
        <v>317</v>
      </c>
      <c r="F157" s="27" t="s">
        <v>318</v>
      </c>
      <c r="G157" s="28">
        <v>2023.0</v>
      </c>
      <c r="H157" s="28">
        <v>86.0</v>
      </c>
      <c r="I157" s="28">
        <v>144.0</v>
      </c>
      <c r="J157" s="29" t="str">
        <f>'1. Base de donnée HILIN MU CM2 '!$G157&amp;"-"&amp;'1. Base de donnée HILIN MU CM2 '!$H157&amp;"-"&amp;'1. Base de donnée HILIN MU CM2 '!$I157</f>
        <v>2023-86-144</v>
      </c>
      <c r="K157" s="28">
        <f t="shared" si="1"/>
        <v>150</v>
      </c>
      <c r="L157" s="29" t="s">
        <v>31</v>
      </c>
      <c r="M157" s="29"/>
      <c r="N157" s="29"/>
      <c r="O157" s="27">
        <v>0.0</v>
      </c>
      <c r="P157" s="27">
        <v>1.0</v>
      </c>
      <c r="Q157" s="27">
        <f>SUM('1. Base de donnée HILIN MU CM2 '!$O157+'1. Base de donnée HILIN MU CM2 '!$P157)/2</f>
        <v>0.5</v>
      </c>
      <c r="R157" s="27">
        <v>16.0</v>
      </c>
      <c r="S157" s="27">
        <v>16.0</v>
      </c>
      <c r="T157" s="27">
        <f>('1. Base de donnée HILIN MU CM2 '!$R157+'1. Base de donnée HILIN MU CM2 '!$S157)/2</f>
        <v>16</v>
      </c>
      <c r="U157" s="30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</row>
    <row r="158" ht="14.25" customHeight="1">
      <c r="A158" s="22" t="s">
        <v>315</v>
      </c>
      <c r="B158" s="22" t="s">
        <v>121</v>
      </c>
      <c r="C158" s="22" t="s">
        <v>331</v>
      </c>
      <c r="D158" s="22" t="s">
        <v>332</v>
      </c>
      <c r="E158" s="22" t="s">
        <v>317</v>
      </c>
      <c r="F158" s="22" t="s">
        <v>318</v>
      </c>
      <c r="G158" s="23">
        <v>2023.0</v>
      </c>
      <c r="H158" s="23">
        <v>86.0</v>
      </c>
      <c r="I158" s="23">
        <v>148.0</v>
      </c>
      <c r="J158" s="24" t="str">
        <f>'1. Base de donnée HILIN MU CM2 '!$G158&amp;"-"&amp;'1. Base de donnée HILIN MU CM2 '!$H158&amp;"-"&amp;'1. Base de donnée HILIN MU CM2 '!$I158</f>
        <v>2023-86-148</v>
      </c>
      <c r="K158" s="23">
        <f t="shared" si="1"/>
        <v>151</v>
      </c>
      <c r="L158" s="24" t="s">
        <v>31</v>
      </c>
      <c r="M158" s="24"/>
      <c r="N158" s="24"/>
      <c r="O158" s="22">
        <v>5.25</v>
      </c>
      <c r="P158" s="22">
        <v>0.0</v>
      </c>
      <c r="Q158" s="22">
        <f>SUM('1. Base de donnée HILIN MU CM2 '!$O158+'1. Base de donnée HILIN MU CM2 '!$P158)/2</f>
        <v>2.625</v>
      </c>
      <c r="R158" s="22">
        <v>16.0</v>
      </c>
      <c r="S158" s="22">
        <v>18.0</v>
      </c>
      <c r="T158" s="22">
        <f>('1. Base de donnée HILIN MU CM2 '!$R158+'1. Base de donnée HILIN MU CM2 '!$S158)/2</f>
        <v>17</v>
      </c>
      <c r="U158" s="25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</row>
    <row r="159" ht="14.25" customHeight="1">
      <c r="A159" s="27" t="s">
        <v>315</v>
      </c>
      <c r="B159" s="27" t="s">
        <v>121</v>
      </c>
      <c r="C159" s="27" t="s">
        <v>333</v>
      </c>
      <c r="D159" s="27" t="s">
        <v>321</v>
      </c>
      <c r="E159" s="27" t="s">
        <v>317</v>
      </c>
      <c r="F159" s="27" t="s">
        <v>318</v>
      </c>
      <c r="G159" s="28">
        <v>2023.0</v>
      </c>
      <c r="H159" s="28">
        <v>86.0</v>
      </c>
      <c r="I159" s="28">
        <v>153.0</v>
      </c>
      <c r="J159" s="29" t="str">
        <f>'1. Base de donnée HILIN MU CM2 '!$G159&amp;"-"&amp;'1. Base de donnée HILIN MU CM2 '!$H159&amp;"-"&amp;'1. Base de donnée HILIN MU CM2 '!$I159</f>
        <v>2023-86-153</v>
      </c>
      <c r="K159" s="28">
        <f t="shared" si="1"/>
        <v>152</v>
      </c>
      <c r="L159" s="29" t="s">
        <v>31</v>
      </c>
      <c r="M159" s="29"/>
      <c r="N159" s="29"/>
      <c r="O159" s="27">
        <v>6.0</v>
      </c>
      <c r="P159" s="27">
        <v>5.5</v>
      </c>
      <c r="Q159" s="27">
        <f>SUM('1. Base de donnée HILIN MU CM2 '!$O159+'1. Base de donnée HILIN MU CM2 '!$P159)/2</f>
        <v>5.75</v>
      </c>
      <c r="R159" s="27">
        <v>16.0</v>
      </c>
      <c r="S159" s="27">
        <v>18.5</v>
      </c>
      <c r="T159" s="27">
        <f>('1. Base de donnée HILIN MU CM2 '!$R159+'1. Base de donnée HILIN MU CM2 '!$S159)/2</f>
        <v>17.25</v>
      </c>
      <c r="U159" s="30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</row>
    <row r="160" ht="14.25" customHeight="1">
      <c r="A160" s="22" t="s">
        <v>315</v>
      </c>
      <c r="B160" s="22" t="s">
        <v>121</v>
      </c>
      <c r="C160" s="22" t="s">
        <v>334</v>
      </c>
      <c r="D160" s="22" t="s">
        <v>335</v>
      </c>
      <c r="E160" s="22" t="s">
        <v>317</v>
      </c>
      <c r="F160" s="22" t="s">
        <v>318</v>
      </c>
      <c r="G160" s="23">
        <v>2023.0</v>
      </c>
      <c r="H160" s="23">
        <v>86.0</v>
      </c>
      <c r="I160" s="23">
        <v>154.0</v>
      </c>
      <c r="J160" s="24" t="str">
        <f>'1. Base de donnée HILIN MU CM2 '!$G160&amp;"-"&amp;'1. Base de donnée HILIN MU CM2 '!$H160&amp;"-"&amp;'1. Base de donnée HILIN MU CM2 '!$I160</f>
        <v>2023-86-154</v>
      </c>
      <c r="K160" s="23">
        <f t="shared" si="1"/>
        <v>153</v>
      </c>
      <c r="L160" s="24" t="s">
        <v>31</v>
      </c>
      <c r="M160" s="24"/>
      <c r="N160" s="24"/>
      <c r="O160" s="22">
        <v>6.0</v>
      </c>
      <c r="P160" s="22">
        <v>5.0</v>
      </c>
      <c r="Q160" s="22">
        <f>SUM('1. Base de donnée HILIN MU CM2 '!$O160+'1. Base de donnée HILIN MU CM2 '!$P160)/2</f>
        <v>5.5</v>
      </c>
      <c r="R160" s="22">
        <v>16.0</v>
      </c>
      <c r="S160" s="22">
        <v>18.0</v>
      </c>
      <c r="T160" s="22">
        <f>('1. Base de donnée HILIN MU CM2 '!$R160+'1. Base de donnée HILIN MU CM2 '!$S160)/2</f>
        <v>17</v>
      </c>
      <c r="U160" s="25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</row>
    <row r="161" ht="14.25" customHeight="1">
      <c r="A161" s="27" t="s">
        <v>315</v>
      </c>
      <c r="B161" s="27" t="s">
        <v>121</v>
      </c>
      <c r="C161" s="27" t="s">
        <v>336</v>
      </c>
      <c r="D161" s="27" t="s">
        <v>78</v>
      </c>
      <c r="E161" s="27" t="s">
        <v>317</v>
      </c>
      <c r="F161" s="27" t="s">
        <v>337</v>
      </c>
      <c r="G161" s="28">
        <v>2023.0</v>
      </c>
      <c r="H161" s="28">
        <v>86.0</v>
      </c>
      <c r="I161" s="28">
        <v>155.0</v>
      </c>
      <c r="J161" s="29" t="str">
        <f>'1. Base de donnée HILIN MU CM2 '!$G161&amp;"-"&amp;'1. Base de donnée HILIN MU CM2 '!$H161&amp;"-"&amp;'1. Base de donnée HILIN MU CM2 '!$I161</f>
        <v>2023-86-155</v>
      </c>
      <c r="K161" s="28">
        <f t="shared" si="1"/>
        <v>154</v>
      </c>
      <c r="L161" s="29" t="s">
        <v>31</v>
      </c>
      <c r="M161" s="29"/>
      <c r="N161" s="29"/>
      <c r="O161" s="27">
        <v>2.0</v>
      </c>
      <c r="P161" s="27">
        <v>2.0</v>
      </c>
      <c r="Q161" s="27">
        <f>SUM('1. Base de donnée HILIN MU CM2 '!$O161+'1. Base de donnée HILIN MU CM2 '!$P161)/2</f>
        <v>2</v>
      </c>
      <c r="R161" s="27">
        <v>16.0</v>
      </c>
      <c r="S161" s="27">
        <v>17.0</v>
      </c>
      <c r="T161" s="27">
        <f>('1. Base de donnée HILIN MU CM2 '!$R161+'1. Base de donnée HILIN MU CM2 '!$S161)/2</f>
        <v>16.5</v>
      </c>
      <c r="U161" s="30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</row>
    <row r="162" ht="14.25" customHeight="1">
      <c r="A162" s="22" t="s">
        <v>315</v>
      </c>
      <c r="B162" s="22" t="s">
        <v>121</v>
      </c>
      <c r="C162" s="22" t="s">
        <v>338</v>
      </c>
      <c r="D162" s="22" t="s">
        <v>197</v>
      </c>
      <c r="E162" s="22" t="s">
        <v>317</v>
      </c>
      <c r="F162" s="22" t="s">
        <v>337</v>
      </c>
      <c r="G162" s="23">
        <v>2023.0</v>
      </c>
      <c r="H162" s="23">
        <v>86.0</v>
      </c>
      <c r="I162" s="23">
        <v>156.0</v>
      </c>
      <c r="J162" s="24" t="str">
        <f>'1. Base de donnée HILIN MU CM2 '!$G162&amp;"-"&amp;'1. Base de donnée HILIN MU CM2 '!$H162&amp;"-"&amp;'1. Base de donnée HILIN MU CM2 '!$I162</f>
        <v>2023-86-156</v>
      </c>
      <c r="K162" s="23">
        <f t="shared" si="1"/>
        <v>155</v>
      </c>
      <c r="L162" s="24" t="s">
        <v>31</v>
      </c>
      <c r="M162" s="24"/>
      <c r="N162" s="24"/>
      <c r="O162" s="22">
        <v>3.75</v>
      </c>
      <c r="P162" s="22">
        <v>0.0</v>
      </c>
      <c r="Q162" s="22">
        <f>SUM('1. Base de donnée HILIN MU CM2 '!$O162+'1. Base de donnée HILIN MU CM2 '!$P162)/2</f>
        <v>1.875</v>
      </c>
      <c r="R162" s="22">
        <v>16.0</v>
      </c>
      <c r="S162" s="22">
        <v>19.0</v>
      </c>
      <c r="T162" s="22">
        <f>('1. Base de donnée HILIN MU CM2 '!$R162+'1. Base de donnée HILIN MU CM2 '!$S162)/2</f>
        <v>17.5</v>
      </c>
      <c r="U162" s="25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</row>
    <row r="163" ht="14.25" customHeight="1">
      <c r="A163" s="27" t="s">
        <v>315</v>
      </c>
      <c r="B163" s="27" t="s">
        <v>121</v>
      </c>
      <c r="C163" s="27" t="s">
        <v>339</v>
      </c>
      <c r="D163" s="27" t="s">
        <v>340</v>
      </c>
      <c r="E163" s="27" t="s">
        <v>317</v>
      </c>
      <c r="F163" s="27" t="s">
        <v>337</v>
      </c>
      <c r="G163" s="28">
        <v>2023.0</v>
      </c>
      <c r="H163" s="28">
        <v>86.0</v>
      </c>
      <c r="I163" s="28">
        <v>159.0</v>
      </c>
      <c r="J163" s="29" t="str">
        <f>'1. Base de donnée HILIN MU CM2 '!$G163&amp;"-"&amp;'1. Base de donnée HILIN MU CM2 '!$H163&amp;"-"&amp;'1. Base de donnée HILIN MU CM2 '!$I163</f>
        <v>2023-86-159</v>
      </c>
      <c r="K163" s="28">
        <f t="shared" si="1"/>
        <v>156</v>
      </c>
      <c r="L163" s="29" t="s">
        <v>31</v>
      </c>
      <c r="M163" s="29"/>
      <c r="N163" s="29"/>
      <c r="O163" s="27">
        <v>2.5</v>
      </c>
      <c r="P163" s="27">
        <v>5.0</v>
      </c>
      <c r="Q163" s="27">
        <f>SUM('1. Base de donnée HILIN MU CM2 '!$O163+'1. Base de donnée HILIN MU CM2 '!$P163)/2</f>
        <v>3.75</v>
      </c>
      <c r="R163" s="27">
        <v>16.0</v>
      </c>
      <c r="S163" s="27">
        <v>16.75</v>
      </c>
      <c r="T163" s="27">
        <f>('1. Base de donnée HILIN MU CM2 '!$R163+'1. Base de donnée HILIN MU CM2 '!$S163)/2</f>
        <v>16.375</v>
      </c>
      <c r="U163" s="30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</row>
    <row r="164" ht="14.25" customHeight="1">
      <c r="A164" s="22" t="s">
        <v>315</v>
      </c>
      <c r="B164" s="22" t="s">
        <v>121</v>
      </c>
      <c r="C164" s="22" t="s">
        <v>341</v>
      </c>
      <c r="D164" s="22" t="s">
        <v>342</v>
      </c>
      <c r="E164" s="22" t="s">
        <v>317</v>
      </c>
      <c r="F164" s="22" t="s">
        <v>337</v>
      </c>
      <c r="G164" s="23">
        <v>2023.0</v>
      </c>
      <c r="H164" s="23">
        <v>86.0</v>
      </c>
      <c r="I164" s="23">
        <v>160.0</v>
      </c>
      <c r="J164" s="24" t="str">
        <f>'1. Base de donnée HILIN MU CM2 '!$G164&amp;"-"&amp;'1. Base de donnée HILIN MU CM2 '!$H164&amp;"-"&amp;'1. Base de donnée HILIN MU CM2 '!$I164</f>
        <v>2023-86-160</v>
      </c>
      <c r="K164" s="23">
        <f t="shared" si="1"/>
        <v>157</v>
      </c>
      <c r="L164" s="24" t="s">
        <v>31</v>
      </c>
      <c r="M164" s="24"/>
      <c r="N164" s="24"/>
      <c r="O164" s="22">
        <v>4.0</v>
      </c>
      <c r="P164" s="22">
        <v>1.0</v>
      </c>
      <c r="Q164" s="22">
        <f>SUM('1. Base de donnée HILIN MU CM2 '!$O164+'1. Base de donnée HILIN MU CM2 '!$P164)/2</f>
        <v>2.5</v>
      </c>
      <c r="R164" s="22">
        <v>16.0</v>
      </c>
      <c r="S164" s="22">
        <v>15.0</v>
      </c>
      <c r="T164" s="22">
        <f>('1. Base de donnée HILIN MU CM2 '!$R164+'1. Base de donnée HILIN MU CM2 '!$S164)/2</f>
        <v>15.5</v>
      </c>
      <c r="U164" s="25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</row>
    <row r="165" ht="14.25" customHeight="1">
      <c r="A165" s="27" t="s">
        <v>315</v>
      </c>
      <c r="B165" s="27" t="s">
        <v>121</v>
      </c>
      <c r="C165" s="27" t="s">
        <v>343</v>
      </c>
      <c r="D165" s="27" t="s">
        <v>344</v>
      </c>
      <c r="E165" s="27" t="s">
        <v>317</v>
      </c>
      <c r="F165" s="27" t="s">
        <v>337</v>
      </c>
      <c r="G165" s="28">
        <v>2023.0</v>
      </c>
      <c r="H165" s="28">
        <v>86.0</v>
      </c>
      <c r="I165" s="28">
        <v>162.0</v>
      </c>
      <c r="J165" s="29" t="str">
        <f>'1. Base de donnée HILIN MU CM2 '!$G165&amp;"-"&amp;'1. Base de donnée HILIN MU CM2 '!$H165&amp;"-"&amp;'1. Base de donnée HILIN MU CM2 '!$I165</f>
        <v>2023-86-162</v>
      </c>
      <c r="K165" s="28">
        <f t="shared" si="1"/>
        <v>158</v>
      </c>
      <c r="L165" s="29" t="s">
        <v>31</v>
      </c>
      <c r="M165" s="29"/>
      <c r="N165" s="29"/>
      <c r="O165" s="27">
        <v>6.5</v>
      </c>
      <c r="P165" s="27">
        <v>3.0</v>
      </c>
      <c r="Q165" s="27">
        <f>SUM('1. Base de donnée HILIN MU CM2 '!$O165+'1. Base de donnée HILIN MU CM2 '!$P165)/2</f>
        <v>4.75</v>
      </c>
      <c r="R165" s="27">
        <v>16.0</v>
      </c>
      <c r="S165" s="27">
        <v>18.0</v>
      </c>
      <c r="T165" s="27">
        <f>('1. Base de donnée HILIN MU CM2 '!$R165+'1. Base de donnée HILIN MU CM2 '!$S165)/2</f>
        <v>17</v>
      </c>
      <c r="U165" s="30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</row>
    <row r="166" ht="14.25" customHeight="1">
      <c r="A166" s="22" t="s">
        <v>315</v>
      </c>
      <c r="B166" s="22" t="s">
        <v>121</v>
      </c>
      <c r="C166" s="22" t="s">
        <v>345</v>
      </c>
      <c r="D166" s="22" t="s">
        <v>346</v>
      </c>
      <c r="E166" s="22" t="s">
        <v>317</v>
      </c>
      <c r="F166" s="22" t="s">
        <v>337</v>
      </c>
      <c r="G166" s="23">
        <v>2023.0</v>
      </c>
      <c r="H166" s="23">
        <v>86.0</v>
      </c>
      <c r="I166" s="23">
        <v>165.0</v>
      </c>
      <c r="J166" s="24" t="str">
        <f>'1. Base de donnée HILIN MU CM2 '!$G166&amp;"-"&amp;'1. Base de donnée HILIN MU CM2 '!$H166&amp;"-"&amp;'1. Base de donnée HILIN MU CM2 '!$I166</f>
        <v>2023-86-165</v>
      </c>
      <c r="K166" s="23">
        <f t="shared" si="1"/>
        <v>159</v>
      </c>
      <c r="L166" s="24" t="s">
        <v>31</v>
      </c>
      <c r="M166" s="24"/>
      <c r="N166" s="24"/>
      <c r="O166" s="22">
        <v>5.0</v>
      </c>
      <c r="P166" s="22">
        <v>3.0</v>
      </c>
      <c r="Q166" s="22">
        <f>SUM('1. Base de donnée HILIN MU CM2 '!$O166+'1. Base de donnée HILIN MU CM2 '!$P166)/2</f>
        <v>4</v>
      </c>
      <c r="R166" s="22">
        <v>16.0</v>
      </c>
      <c r="S166" s="22">
        <v>13.5</v>
      </c>
      <c r="T166" s="22">
        <f>('1. Base de donnée HILIN MU CM2 '!$R166+'1. Base de donnée HILIN MU CM2 '!$S166)/2</f>
        <v>14.75</v>
      </c>
      <c r="U166" s="25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</row>
    <row r="167" ht="14.25" customHeight="1">
      <c r="A167" s="27" t="s">
        <v>315</v>
      </c>
      <c r="B167" s="27" t="s">
        <v>121</v>
      </c>
      <c r="C167" s="27" t="s">
        <v>347</v>
      </c>
      <c r="D167" s="27" t="s">
        <v>348</v>
      </c>
      <c r="E167" s="27" t="s">
        <v>317</v>
      </c>
      <c r="F167" s="27" t="s">
        <v>337</v>
      </c>
      <c r="G167" s="28">
        <v>2023.0</v>
      </c>
      <c r="H167" s="28">
        <v>86.0</v>
      </c>
      <c r="I167" s="28">
        <v>169.0</v>
      </c>
      <c r="J167" s="29" t="str">
        <f>'1. Base de donnée HILIN MU CM2 '!$G167&amp;"-"&amp;'1. Base de donnée HILIN MU CM2 '!$H167&amp;"-"&amp;'1. Base de donnée HILIN MU CM2 '!$I167</f>
        <v>2023-86-169</v>
      </c>
      <c r="K167" s="28">
        <f t="shared" si="1"/>
        <v>160</v>
      </c>
      <c r="L167" s="29" t="s">
        <v>31</v>
      </c>
      <c r="M167" s="29"/>
      <c r="N167" s="29"/>
      <c r="O167" s="27">
        <v>3.5</v>
      </c>
      <c r="P167" s="27">
        <v>2.5</v>
      </c>
      <c r="Q167" s="27">
        <f>SUM('1. Base de donnée HILIN MU CM2 '!$O167+'1. Base de donnée HILIN MU CM2 '!$P167)/2</f>
        <v>3</v>
      </c>
      <c r="R167" s="27">
        <v>16.0</v>
      </c>
      <c r="S167" s="27">
        <v>19.0</v>
      </c>
      <c r="T167" s="27">
        <f>('1. Base de donnée HILIN MU CM2 '!$R167+'1. Base de donnée HILIN MU CM2 '!$S167)/2</f>
        <v>17.5</v>
      </c>
      <c r="U167" s="30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</row>
    <row r="168" ht="14.25" customHeight="1">
      <c r="A168" s="22" t="s">
        <v>315</v>
      </c>
      <c r="B168" s="22" t="s">
        <v>121</v>
      </c>
      <c r="C168" s="22" t="s">
        <v>349</v>
      </c>
      <c r="D168" s="22" t="s">
        <v>321</v>
      </c>
      <c r="E168" s="22" t="s">
        <v>317</v>
      </c>
      <c r="F168" s="22" t="s">
        <v>337</v>
      </c>
      <c r="G168" s="23">
        <v>2023.0</v>
      </c>
      <c r="H168" s="23">
        <v>86.0</v>
      </c>
      <c r="I168" s="23">
        <v>170.0</v>
      </c>
      <c r="J168" s="24" t="str">
        <f>'1. Base de donnée HILIN MU CM2 '!$G168&amp;"-"&amp;'1. Base de donnée HILIN MU CM2 '!$H168&amp;"-"&amp;'1. Base de donnée HILIN MU CM2 '!$I168</f>
        <v>2023-86-170</v>
      </c>
      <c r="K168" s="23">
        <f t="shared" si="1"/>
        <v>161</v>
      </c>
      <c r="L168" s="24" t="s">
        <v>31</v>
      </c>
      <c r="M168" s="24"/>
      <c r="N168" s="24"/>
      <c r="O168" s="22">
        <v>2.0</v>
      </c>
      <c r="P168" s="22">
        <v>2.75</v>
      </c>
      <c r="Q168" s="22">
        <f>SUM('1. Base de donnée HILIN MU CM2 '!$O168+'1. Base de donnée HILIN MU CM2 '!$P168)/2</f>
        <v>2.375</v>
      </c>
      <c r="R168" s="22">
        <v>16.0</v>
      </c>
      <c r="S168" s="22">
        <v>7.0</v>
      </c>
      <c r="T168" s="22">
        <f>('1. Base de donnée HILIN MU CM2 '!$R168+'1. Base de donnée HILIN MU CM2 '!$S168)/2</f>
        <v>11.5</v>
      </c>
      <c r="U168" s="25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</row>
    <row r="169" ht="14.25" customHeight="1">
      <c r="A169" s="27" t="s">
        <v>315</v>
      </c>
      <c r="B169" s="27" t="s">
        <v>121</v>
      </c>
      <c r="C169" s="27" t="s">
        <v>350</v>
      </c>
      <c r="D169" s="27" t="s">
        <v>351</v>
      </c>
      <c r="E169" s="27" t="s">
        <v>317</v>
      </c>
      <c r="F169" s="27" t="s">
        <v>337</v>
      </c>
      <c r="G169" s="28">
        <v>2023.0</v>
      </c>
      <c r="H169" s="28">
        <v>86.0</v>
      </c>
      <c r="I169" s="28">
        <v>173.0</v>
      </c>
      <c r="J169" s="29" t="str">
        <f>'1. Base de donnée HILIN MU CM2 '!$G169&amp;"-"&amp;'1. Base de donnée HILIN MU CM2 '!$H169&amp;"-"&amp;'1. Base de donnée HILIN MU CM2 '!$I169</f>
        <v>2023-86-173</v>
      </c>
      <c r="K169" s="28">
        <f t="shared" si="1"/>
        <v>162</v>
      </c>
      <c r="L169" s="29" t="s">
        <v>31</v>
      </c>
      <c r="M169" s="29"/>
      <c r="N169" s="29"/>
      <c r="O169" s="27">
        <v>6.0</v>
      </c>
      <c r="P169" s="27">
        <v>0.25</v>
      </c>
      <c r="Q169" s="27">
        <f>SUM('1. Base de donnée HILIN MU CM2 '!$O169+'1. Base de donnée HILIN MU CM2 '!$P169)/2</f>
        <v>3.125</v>
      </c>
      <c r="R169" s="27">
        <v>16.0</v>
      </c>
      <c r="S169" s="27">
        <v>16.0</v>
      </c>
      <c r="T169" s="27">
        <f>('1. Base de donnée HILIN MU CM2 '!$R169+'1. Base de donnée HILIN MU CM2 '!$S169)/2</f>
        <v>16</v>
      </c>
      <c r="U169" s="30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</row>
    <row r="170" ht="14.25" customHeight="1">
      <c r="A170" s="22" t="s">
        <v>315</v>
      </c>
      <c r="B170" s="22" t="s">
        <v>121</v>
      </c>
      <c r="C170" s="22" t="s">
        <v>352</v>
      </c>
      <c r="D170" s="22" t="s">
        <v>353</v>
      </c>
      <c r="E170" s="22" t="s">
        <v>317</v>
      </c>
      <c r="F170" s="22" t="s">
        <v>337</v>
      </c>
      <c r="G170" s="23">
        <v>2023.0</v>
      </c>
      <c r="H170" s="23">
        <v>86.0</v>
      </c>
      <c r="I170" s="23">
        <v>175.0</v>
      </c>
      <c r="J170" s="24" t="str">
        <f>'1. Base de donnée HILIN MU CM2 '!$G170&amp;"-"&amp;'1. Base de donnée HILIN MU CM2 '!$H170&amp;"-"&amp;'1. Base de donnée HILIN MU CM2 '!$I170</f>
        <v>2023-86-175</v>
      </c>
      <c r="K170" s="23">
        <f t="shared" si="1"/>
        <v>163</v>
      </c>
      <c r="L170" s="24" t="s">
        <v>31</v>
      </c>
      <c r="M170" s="24"/>
      <c r="N170" s="24"/>
      <c r="O170" s="22">
        <v>8.5</v>
      </c>
      <c r="P170" s="22">
        <v>2.0</v>
      </c>
      <c r="Q170" s="22">
        <f>SUM('1. Base de donnée HILIN MU CM2 '!$O170+'1. Base de donnée HILIN MU CM2 '!$P170)/2</f>
        <v>5.25</v>
      </c>
      <c r="R170" s="22">
        <v>16.0</v>
      </c>
      <c r="S170" s="22">
        <v>18.0</v>
      </c>
      <c r="T170" s="22">
        <f>('1. Base de donnée HILIN MU CM2 '!$R170+'1. Base de donnée HILIN MU CM2 '!$S170)/2</f>
        <v>17</v>
      </c>
      <c r="U170" s="25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</row>
    <row r="171" ht="14.25" customHeight="1">
      <c r="A171" s="27" t="s">
        <v>354</v>
      </c>
      <c r="B171" s="27" t="s">
        <v>121</v>
      </c>
      <c r="C171" s="27" t="s">
        <v>355</v>
      </c>
      <c r="D171" s="27" t="s">
        <v>65</v>
      </c>
      <c r="E171" s="27" t="s">
        <v>317</v>
      </c>
      <c r="F171" s="27" t="s">
        <v>337</v>
      </c>
      <c r="G171" s="28">
        <v>2023.0</v>
      </c>
      <c r="H171" s="28">
        <v>86.0</v>
      </c>
      <c r="I171" s="28">
        <v>176.0</v>
      </c>
      <c r="J171" s="29" t="str">
        <f>'1. Base de donnée HILIN MU CM2 '!$G171&amp;"-"&amp;'1. Base de donnée HILIN MU CM2 '!$H171&amp;"-"&amp;'1. Base de donnée HILIN MU CM2 '!$I171</f>
        <v>2023-86-176</v>
      </c>
      <c r="K171" s="28">
        <f t="shared" si="1"/>
        <v>164</v>
      </c>
      <c r="L171" s="29" t="s">
        <v>31</v>
      </c>
      <c r="M171" s="29"/>
      <c r="N171" s="29"/>
      <c r="O171" s="27">
        <v>1.0</v>
      </c>
      <c r="P171" s="27">
        <v>0.5</v>
      </c>
      <c r="Q171" s="27">
        <f>SUM('1. Base de donnée HILIN MU CM2 '!$O171+'1. Base de donnée HILIN MU CM2 '!$P171)/2</f>
        <v>0.75</v>
      </c>
      <c r="R171" s="27">
        <v>16.0</v>
      </c>
      <c r="S171" s="27">
        <v>19.0</v>
      </c>
      <c r="T171" s="27">
        <f>('1. Base de donnée HILIN MU CM2 '!$R171+'1. Base de donnée HILIN MU CM2 '!$S171)/2</f>
        <v>17.5</v>
      </c>
      <c r="U171" s="30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</row>
    <row r="172" ht="14.25" customHeight="1">
      <c r="A172" s="22" t="s">
        <v>354</v>
      </c>
      <c r="B172" s="22" t="s">
        <v>121</v>
      </c>
      <c r="C172" s="22" t="s">
        <v>356</v>
      </c>
      <c r="D172" s="22" t="s">
        <v>268</v>
      </c>
      <c r="E172" s="22" t="s">
        <v>317</v>
      </c>
      <c r="F172" s="22" t="s">
        <v>337</v>
      </c>
      <c r="G172" s="23">
        <v>2023.0</v>
      </c>
      <c r="H172" s="23">
        <v>86.0</v>
      </c>
      <c r="I172" s="23">
        <v>178.0</v>
      </c>
      <c r="J172" s="24" t="str">
        <f>'1. Base de donnée HILIN MU CM2 '!$G172&amp;"-"&amp;'1. Base de donnée HILIN MU CM2 '!$H172&amp;"-"&amp;'1. Base de donnée HILIN MU CM2 '!$I172</f>
        <v>2023-86-178</v>
      </c>
      <c r="K172" s="23">
        <f t="shared" si="1"/>
        <v>165</v>
      </c>
      <c r="L172" s="24" t="s">
        <v>31</v>
      </c>
      <c r="M172" s="24"/>
      <c r="N172" s="24"/>
      <c r="O172" s="22">
        <v>2.0</v>
      </c>
      <c r="P172" s="22">
        <v>0.25</v>
      </c>
      <c r="Q172" s="22">
        <f>SUM('1. Base de donnée HILIN MU CM2 '!$O172+'1. Base de donnée HILIN MU CM2 '!$P172)/2</f>
        <v>1.125</v>
      </c>
      <c r="R172" s="22">
        <v>16.0</v>
      </c>
      <c r="S172" s="22">
        <v>12.0</v>
      </c>
      <c r="T172" s="22">
        <f>('1. Base de donnée HILIN MU CM2 '!$R172+'1. Base de donnée HILIN MU CM2 '!$S172)/2</f>
        <v>14</v>
      </c>
      <c r="U172" s="25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</row>
    <row r="173" ht="14.25" customHeight="1">
      <c r="A173" s="27" t="s">
        <v>354</v>
      </c>
      <c r="B173" s="27" t="s">
        <v>121</v>
      </c>
      <c r="C173" s="27" t="s">
        <v>357</v>
      </c>
      <c r="D173" s="27" t="s">
        <v>54</v>
      </c>
      <c r="E173" s="27" t="s">
        <v>317</v>
      </c>
      <c r="F173" s="27" t="s">
        <v>337</v>
      </c>
      <c r="G173" s="28">
        <v>2023.0</v>
      </c>
      <c r="H173" s="28">
        <v>86.0</v>
      </c>
      <c r="I173" s="28">
        <v>179.0</v>
      </c>
      <c r="J173" s="29" t="str">
        <f>'1. Base de donnée HILIN MU CM2 '!$G173&amp;"-"&amp;'1. Base de donnée HILIN MU CM2 '!$H173&amp;"-"&amp;'1. Base de donnée HILIN MU CM2 '!$I173</f>
        <v>2023-86-179</v>
      </c>
      <c r="K173" s="28">
        <f t="shared" si="1"/>
        <v>166</v>
      </c>
      <c r="L173" s="29" t="s">
        <v>31</v>
      </c>
      <c r="M173" s="29"/>
      <c r="N173" s="29"/>
      <c r="O173" s="27">
        <v>0.0</v>
      </c>
      <c r="P173" s="27">
        <v>0.0</v>
      </c>
      <c r="Q173" s="27">
        <f>SUM('1. Base de donnée HILIN MU CM2 '!$O173+'1. Base de donnée HILIN MU CM2 '!$P173)/2</f>
        <v>0</v>
      </c>
      <c r="R173" s="27">
        <v>16.0</v>
      </c>
      <c r="S173" s="27">
        <v>16.0</v>
      </c>
      <c r="T173" s="27">
        <f>('1. Base de donnée HILIN MU CM2 '!$R173+'1. Base de donnée HILIN MU CM2 '!$S173)/2</f>
        <v>16</v>
      </c>
      <c r="U173" s="30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</row>
    <row r="174" ht="14.25" customHeight="1">
      <c r="A174" s="22" t="s">
        <v>354</v>
      </c>
      <c r="B174" s="22" t="s">
        <v>121</v>
      </c>
      <c r="C174" s="22" t="s">
        <v>358</v>
      </c>
      <c r="D174" s="35" t="s">
        <v>359</v>
      </c>
      <c r="E174" s="22" t="s">
        <v>317</v>
      </c>
      <c r="F174" s="22" t="s">
        <v>318</v>
      </c>
      <c r="G174" s="23">
        <v>2023.0</v>
      </c>
      <c r="H174" s="23">
        <v>86.0</v>
      </c>
      <c r="I174" s="23">
        <v>940.0</v>
      </c>
      <c r="J174" s="24" t="str">
        <f>'1. Base de donnée HILIN MU CM2 '!$G174&amp;"-"&amp;'1. Base de donnée HILIN MU CM2 '!$H174&amp;"-"&amp;'1. Base de donnée HILIN MU CM2 '!$I174</f>
        <v>2023-86-940</v>
      </c>
      <c r="K174" s="23">
        <f t="shared" si="1"/>
        <v>167</v>
      </c>
      <c r="L174" s="24" t="s">
        <v>31</v>
      </c>
      <c r="M174" s="24"/>
      <c r="N174" s="24"/>
      <c r="O174" s="22">
        <v>5.0</v>
      </c>
      <c r="P174" s="22">
        <v>8.0</v>
      </c>
      <c r="Q174" s="22">
        <f>SUM('1. Base de donnée HILIN MU CM2 '!$O174+'1. Base de donnée HILIN MU CM2 '!$P174)/2</f>
        <v>6.5</v>
      </c>
      <c r="R174" s="22">
        <v>16.0</v>
      </c>
      <c r="S174" s="22">
        <v>16.0</v>
      </c>
      <c r="T174" s="32">
        <f>('1. Base de donnée HILIN MU CM2 '!$R174+'1. Base de donnée HILIN MU CM2 '!$S174)/2</f>
        <v>16</v>
      </c>
      <c r="U174" s="25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</row>
    <row r="175" ht="14.25" customHeight="1">
      <c r="A175" s="27" t="s">
        <v>354</v>
      </c>
      <c r="B175" s="27" t="s">
        <v>121</v>
      </c>
      <c r="C175" s="27" t="s">
        <v>360</v>
      </c>
      <c r="D175" s="36" t="s">
        <v>351</v>
      </c>
      <c r="E175" s="27" t="s">
        <v>317</v>
      </c>
      <c r="F175" s="27" t="s">
        <v>318</v>
      </c>
      <c r="G175" s="28">
        <v>2023.0</v>
      </c>
      <c r="H175" s="28">
        <v>86.0</v>
      </c>
      <c r="I175" s="28">
        <v>941.0</v>
      </c>
      <c r="J175" s="29" t="str">
        <f>'1. Base de donnée HILIN MU CM2 '!$G175&amp;"-"&amp;'1. Base de donnée HILIN MU CM2 '!$H175&amp;"-"&amp;'1. Base de donnée HILIN MU CM2 '!$I175</f>
        <v>2023-86-941</v>
      </c>
      <c r="K175" s="28">
        <f t="shared" si="1"/>
        <v>168</v>
      </c>
      <c r="L175" s="29" t="s">
        <v>31</v>
      </c>
      <c r="M175" s="29"/>
      <c r="N175" s="29"/>
      <c r="O175" s="27">
        <v>7.0</v>
      </c>
      <c r="P175" s="27">
        <v>7.5</v>
      </c>
      <c r="Q175" s="27">
        <f>SUM('1. Base de donnée HILIN MU CM2 '!$O175+'1. Base de donnée HILIN MU CM2 '!$P175)/2</f>
        <v>7.25</v>
      </c>
      <c r="R175" s="27">
        <v>16.0</v>
      </c>
      <c r="S175" s="27">
        <v>19.0</v>
      </c>
      <c r="T175" s="31">
        <f>('1. Base de donnée HILIN MU CM2 '!$R175+'1. Base de donnée HILIN MU CM2 '!$S175)/2</f>
        <v>17.5</v>
      </c>
      <c r="U175" s="30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</row>
    <row r="176" ht="14.25" customHeight="1">
      <c r="A176" s="22" t="s">
        <v>354</v>
      </c>
      <c r="B176" s="22" t="s">
        <v>121</v>
      </c>
      <c r="C176" s="22" t="s">
        <v>361</v>
      </c>
      <c r="D176" s="35" t="s">
        <v>362</v>
      </c>
      <c r="E176" s="22" t="s">
        <v>317</v>
      </c>
      <c r="F176" s="22" t="s">
        <v>337</v>
      </c>
      <c r="G176" s="23">
        <v>2023.0</v>
      </c>
      <c r="H176" s="23">
        <v>86.0</v>
      </c>
      <c r="I176" s="23">
        <v>942.0</v>
      </c>
      <c r="J176" s="24" t="str">
        <f>'1. Base de donnée HILIN MU CM2 '!$G176&amp;"-"&amp;'1. Base de donnée HILIN MU CM2 '!$H176&amp;"-"&amp;'1. Base de donnée HILIN MU CM2 '!$I176</f>
        <v>2023-86-942</v>
      </c>
      <c r="K176" s="23">
        <f t="shared" si="1"/>
        <v>169</v>
      </c>
      <c r="L176" s="24" t="s">
        <v>31</v>
      </c>
      <c r="M176" s="24"/>
      <c r="N176" s="24"/>
      <c r="O176" s="22">
        <v>4.0</v>
      </c>
      <c r="P176" s="22">
        <v>10.25</v>
      </c>
      <c r="Q176" s="22">
        <f>SUM('1. Base de donnée HILIN MU CM2 '!$O176+'1. Base de donnée HILIN MU CM2 '!$P176)/2</f>
        <v>7.125</v>
      </c>
      <c r="R176" s="22">
        <v>16.0</v>
      </c>
      <c r="S176" s="22">
        <v>16.0</v>
      </c>
      <c r="T176" s="32">
        <f>('1. Base de donnée HILIN MU CM2 '!$R176+'1. Base de donnée HILIN MU CM2 '!$S176)/2</f>
        <v>16</v>
      </c>
      <c r="U176" s="25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</row>
    <row r="177" ht="14.25" hidden="1" customHeight="1">
      <c r="A177" s="27" t="s">
        <v>363</v>
      </c>
      <c r="B177" s="27" t="s">
        <v>26</v>
      </c>
      <c r="C177" s="27" t="s">
        <v>364</v>
      </c>
      <c r="D177" s="27" t="s">
        <v>365</v>
      </c>
      <c r="E177" s="27" t="s">
        <v>366</v>
      </c>
      <c r="F177" s="27" t="s">
        <v>367</v>
      </c>
      <c r="G177" s="28">
        <v>2023.0</v>
      </c>
      <c r="H177" s="28">
        <v>15.0</v>
      </c>
      <c r="I177" s="28">
        <v>181.0</v>
      </c>
      <c r="J177" s="29" t="str">
        <f>'1. Base de donnée HILIN MU CM2 '!$G177&amp;"-"&amp;'1. Base de donnée HILIN MU CM2 '!$H177&amp;"-"&amp;'1. Base de donnée HILIN MU CM2 '!$I177</f>
        <v>2023-15-181</v>
      </c>
      <c r="K177" s="28">
        <f t="shared" si="1"/>
        <v>170</v>
      </c>
      <c r="L177" s="29" t="s">
        <v>31</v>
      </c>
      <c r="M177" s="29"/>
      <c r="N177" s="29"/>
      <c r="O177" s="27">
        <v>10.5</v>
      </c>
      <c r="P177" s="27">
        <v>8.5</v>
      </c>
      <c r="Q177" s="27">
        <f>SUM('1. Base de donnée HILIN MU CM2 '!$O177+'1. Base de donnée HILIN MU CM2 '!$P177)/2</f>
        <v>9.5</v>
      </c>
      <c r="R177" s="27">
        <v>16.0</v>
      </c>
      <c r="S177" s="27">
        <v>19.5</v>
      </c>
      <c r="T177" s="27">
        <f>('1. Base de donnée HILIN MU CM2 '!$R177+'1. Base de donnée HILIN MU CM2 '!$S177)/2</f>
        <v>17.75</v>
      </c>
      <c r="U177" s="30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</row>
    <row r="178" ht="14.25" hidden="1" customHeight="1">
      <c r="A178" s="22" t="s">
        <v>363</v>
      </c>
      <c r="B178" s="22" t="s">
        <v>26</v>
      </c>
      <c r="C178" s="22" t="s">
        <v>368</v>
      </c>
      <c r="D178" s="22" t="s">
        <v>369</v>
      </c>
      <c r="E178" s="22" t="s">
        <v>366</v>
      </c>
      <c r="F178" s="22" t="s">
        <v>370</v>
      </c>
      <c r="G178" s="23">
        <v>2023.0</v>
      </c>
      <c r="H178" s="23">
        <v>15.0</v>
      </c>
      <c r="I178" s="23">
        <v>182.0</v>
      </c>
      <c r="J178" s="24" t="str">
        <f>'1. Base de donnée HILIN MU CM2 '!$G178&amp;"-"&amp;'1. Base de donnée HILIN MU CM2 '!$H178&amp;"-"&amp;'1. Base de donnée HILIN MU CM2 '!$I178</f>
        <v>2023-15-182</v>
      </c>
      <c r="K178" s="23">
        <f t="shared" si="1"/>
        <v>171</v>
      </c>
      <c r="L178" s="24" t="s">
        <v>31</v>
      </c>
      <c r="M178" s="24"/>
      <c r="N178" s="24"/>
      <c r="O178" s="22">
        <v>6.5</v>
      </c>
      <c r="P178" s="22">
        <v>5.5</v>
      </c>
      <c r="Q178" s="22">
        <f>SUM('1. Base de donnée HILIN MU CM2 '!$O178+'1. Base de donnée HILIN MU CM2 '!$P178)/2</f>
        <v>6</v>
      </c>
      <c r="R178" s="22">
        <v>16.0</v>
      </c>
      <c r="S178" s="22">
        <v>20.0</v>
      </c>
      <c r="T178" s="22">
        <f>('1. Base de donnée HILIN MU CM2 '!$R178+'1. Base de donnée HILIN MU CM2 '!$S178)/2</f>
        <v>18</v>
      </c>
      <c r="U178" s="25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</row>
    <row r="179" ht="14.25" hidden="1" customHeight="1">
      <c r="A179" s="27" t="s">
        <v>363</v>
      </c>
      <c r="B179" s="27" t="s">
        <v>26</v>
      </c>
      <c r="C179" s="27" t="s">
        <v>371</v>
      </c>
      <c r="D179" s="27" t="s">
        <v>372</v>
      </c>
      <c r="E179" s="27" t="s">
        <v>366</v>
      </c>
      <c r="F179" s="27" t="s">
        <v>367</v>
      </c>
      <c r="G179" s="28">
        <v>2023.0</v>
      </c>
      <c r="H179" s="28">
        <v>15.0</v>
      </c>
      <c r="I179" s="28">
        <v>183.0</v>
      </c>
      <c r="J179" s="29" t="str">
        <f>'1. Base de donnée HILIN MU CM2 '!$G179&amp;"-"&amp;'1. Base de donnée HILIN MU CM2 '!$H179&amp;"-"&amp;'1. Base de donnée HILIN MU CM2 '!$I179</f>
        <v>2023-15-183</v>
      </c>
      <c r="K179" s="28">
        <f t="shared" si="1"/>
        <v>172</v>
      </c>
      <c r="L179" s="29" t="s">
        <v>31</v>
      </c>
      <c r="M179" s="29"/>
      <c r="N179" s="29"/>
      <c r="O179" s="27">
        <v>9.5</v>
      </c>
      <c r="P179" s="27">
        <v>6.25</v>
      </c>
      <c r="Q179" s="27">
        <f>SUM('1. Base de donnée HILIN MU CM2 '!$O179+'1. Base de donnée HILIN MU CM2 '!$P179)/2</f>
        <v>7.875</v>
      </c>
      <c r="R179" s="27">
        <v>16.0</v>
      </c>
      <c r="S179" s="27">
        <v>17.5</v>
      </c>
      <c r="T179" s="27">
        <f>('1. Base de donnée HILIN MU CM2 '!$R179+'1. Base de donnée HILIN MU CM2 '!$S179)/2</f>
        <v>16.75</v>
      </c>
      <c r="U179" s="30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</row>
    <row r="180" ht="14.25" hidden="1" customHeight="1">
      <c r="A180" s="22" t="s">
        <v>363</v>
      </c>
      <c r="B180" s="22" t="s">
        <v>26</v>
      </c>
      <c r="C180" s="22" t="s">
        <v>373</v>
      </c>
      <c r="D180" s="22" t="s">
        <v>374</v>
      </c>
      <c r="E180" s="22" t="s">
        <v>366</v>
      </c>
      <c r="F180" s="22" t="s">
        <v>370</v>
      </c>
      <c r="G180" s="23">
        <v>2023.0</v>
      </c>
      <c r="H180" s="23">
        <v>15.0</v>
      </c>
      <c r="I180" s="23">
        <v>184.0</v>
      </c>
      <c r="J180" s="24" t="str">
        <f>'1. Base de donnée HILIN MU CM2 '!$G180&amp;"-"&amp;'1. Base de donnée HILIN MU CM2 '!$H180&amp;"-"&amp;'1. Base de donnée HILIN MU CM2 '!$I180</f>
        <v>2023-15-184</v>
      </c>
      <c r="K180" s="23">
        <f t="shared" si="1"/>
        <v>173</v>
      </c>
      <c r="L180" s="24" t="s">
        <v>31</v>
      </c>
      <c r="M180" s="24"/>
      <c r="N180" s="24"/>
      <c r="O180" s="22">
        <v>6.5</v>
      </c>
      <c r="P180" s="22">
        <v>4.75</v>
      </c>
      <c r="Q180" s="22">
        <f>SUM('1. Base de donnée HILIN MU CM2 '!$O180+'1. Base de donnée HILIN MU CM2 '!$P180)/2</f>
        <v>5.625</v>
      </c>
      <c r="R180" s="22">
        <v>16.0</v>
      </c>
      <c r="S180" s="22">
        <v>17.0</v>
      </c>
      <c r="T180" s="22">
        <f>('1. Base de donnée HILIN MU CM2 '!$R180+'1. Base de donnée HILIN MU CM2 '!$S180)/2</f>
        <v>16.5</v>
      </c>
      <c r="U180" s="25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</row>
    <row r="181" ht="14.25" hidden="1" customHeight="1">
      <c r="A181" s="27" t="s">
        <v>363</v>
      </c>
      <c r="B181" s="27" t="s">
        <v>26</v>
      </c>
      <c r="C181" s="27" t="s">
        <v>375</v>
      </c>
      <c r="D181" s="27" t="s">
        <v>376</v>
      </c>
      <c r="E181" s="27" t="s">
        <v>366</v>
      </c>
      <c r="F181" s="27" t="s">
        <v>367</v>
      </c>
      <c r="G181" s="28">
        <v>2023.0</v>
      </c>
      <c r="H181" s="28">
        <v>15.0</v>
      </c>
      <c r="I181" s="28">
        <v>185.0</v>
      </c>
      <c r="J181" s="29" t="str">
        <f>'1. Base de donnée HILIN MU CM2 '!$G181&amp;"-"&amp;'1. Base de donnée HILIN MU CM2 '!$H181&amp;"-"&amp;'1. Base de donnée HILIN MU CM2 '!$I181</f>
        <v>2023-15-185</v>
      </c>
      <c r="K181" s="28">
        <f t="shared" si="1"/>
        <v>174</v>
      </c>
      <c r="L181" s="29" t="s">
        <v>31</v>
      </c>
      <c r="M181" s="29"/>
      <c r="N181" s="29"/>
      <c r="O181" s="27">
        <v>6.5</v>
      </c>
      <c r="P181" s="27">
        <v>4.25</v>
      </c>
      <c r="Q181" s="27">
        <f>SUM('1. Base de donnée HILIN MU CM2 '!$O181+'1. Base de donnée HILIN MU CM2 '!$P181)/2</f>
        <v>5.375</v>
      </c>
      <c r="R181" s="27">
        <v>16.0</v>
      </c>
      <c r="S181" s="27">
        <v>14.0</v>
      </c>
      <c r="T181" s="27">
        <f>('1. Base de donnée HILIN MU CM2 '!$R181+'1. Base de donnée HILIN MU CM2 '!$S181)/2</f>
        <v>15</v>
      </c>
      <c r="U181" s="30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</row>
    <row r="182" ht="14.25" hidden="1" customHeight="1">
      <c r="A182" s="22" t="s">
        <v>363</v>
      </c>
      <c r="B182" s="22" t="s">
        <v>26</v>
      </c>
      <c r="C182" s="22" t="s">
        <v>377</v>
      </c>
      <c r="D182" s="22" t="s">
        <v>378</v>
      </c>
      <c r="E182" s="22" t="s">
        <v>366</v>
      </c>
      <c r="F182" s="22" t="s">
        <v>370</v>
      </c>
      <c r="G182" s="23">
        <v>2023.0</v>
      </c>
      <c r="H182" s="23">
        <v>15.0</v>
      </c>
      <c r="I182" s="23">
        <v>186.0</v>
      </c>
      <c r="J182" s="24" t="str">
        <f>'1. Base de donnée HILIN MU CM2 '!$G182&amp;"-"&amp;'1. Base de donnée HILIN MU CM2 '!$H182&amp;"-"&amp;'1. Base de donnée HILIN MU CM2 '!$I182</f>
        <v>2023-15-186</v>
      </c>
      <c r="K182" s="23">
        <f t="shared" si="1"/>
        <v>175</v>
      </c>
      <c r="L182" s="24" t="s">
        <v>31</v>
      </c>
      <c r="M182" s="24"/>
      <c r="N182" s="24"/>
      <c r="O182" s="22">
        <v>9.5</v>
      </c>
      <c r="P182" s="22">
        <v>2.75</v>
      </c>
      <c r="Q182" s="22">
        <f>SUM('1. Base de donnée HILIN MU CM2 '!$O182+'1. Base de donnée HILIN MU CM2 '!$P182)/2</f>
        <v>6.125</v>
      </c>
      <c r="R182" s="22">
        <v>16.0</v>
      </c>
      <c r="S182" s="22">
        <v>10.5</v>
      </c>
      <c r="T182" s="22">
        <f>('1. Base de donnée HILIN MU CM2 '!$R182+'1. Base de donnée HILIN MU CM2 '!$S182)/2</f>
        <v>13.25</v>
      </c>
      <c r="U182" s="25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</row>
    <row r="183" ht="14.25" hidden="1" customHeight="1">
      <c r="A183" s="27" t="s">
        <v>363</v>
      </c>
      <c r="B183" s="27" t="s">
        <v>26</v>
      </c>
      <c r="C183" s="27" t="s">
        <v>379</v>
      </c>
      <c r="D183" s="27" t="s">
        <v>380</v>
      </c>
      <c r="E183" s="27" t="s">
        <v>366</v>
      </c>
      <c r="F183" s="27" t="s">
        <v>367</v>
      </c>
      <c r="G183" s="28">
        <v>2023.0</v>
      </c>
      <c r="H183" s="28">
        <v>15.0</v>
      </c>
      <c r="I183" s="28">
        <v>187.0</v>
      </c>
      <c r="J183" s="29" t="str">
        <f>'1. Base de donnée HILIN MU CM2 '!$G183&amp;"-"&amp;'1. Base de donnée HILIN MU CM2 '!$H183&amp;"-"&amp;'1. Base de donnée HILIN MU CM2 '!$I183</f>
        <v>2023-15-187</v>
      </c>
      <c r="K183" s="28">
        <f t="shared" si="1"/>
        <v>176</v>
      </c>
      <c r="L183" s="29" t="s">
        <v>31</v>
      </c>
      <c r="M183" s="29"/>
      <c r="N183" s="29"/>
      <c r="O183" s="27">
        <v>9.5</v>
      </c>
      <c r="P183" s="27">
        <v>7.5</v>
      </c>
      <c r="Q183" s="27">
        <f>SUM('1. Base de donnée HILIN MU CM2 '!$O183+'1. Base de donnée HILIN MU CM2 '!$P183)/2</f>
        <v>8.5</v>
      </c>
      <c r="R183" s="27">
        <v>16.0</v>
      </c>
      <c r="S183" s="27">
        <v>18.0</v>
      </c>
      <c r="T183" s="27">
        <f>('1. Base de donnée HILIN MU CM2 '!$R183+'1. Base de donnée HILIN MU CM2 '!$S183)/2</f>
        <v>17</v>
      </c>
      <c r="U183" s="30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</row>
    <row r="184" ht="14.25" hidden="1" customHeight="1">
      <c r="A184" s="22" t="s">
        <v>363</v>
      </c>
      <c r="B184" s="22" t="s">
        <v>26</v>
      </c>
      <c r="C184" s="22" t="s">
        <v>381</v>
      </c>
      <c r="D184" s="22" t="s">
        <v>382</v>
      </c>
      <c r="E184" s="22" t="s">
        <v>366</v>
      </c>
      <c r="F184" s="22" t="s">
        <v>367</v>
      </c>
      <c r="G184" s="23">
        <v>2023.0</v>
      </c>
      <c r="H184" s="23">
        <v>15.0</v>
      </c>
      <c r="I184" s="23">
        <v>188.0</v>
      </c>
      <c r="J184" s="24" t="str">
        <f>'1. Base de donnée HILIN MU CM2 '!$G184&amp;"-"&amp;'1. Base de donnée HILIN MU CM2 '!$H184&amp;"-"&amp;'1. Base de donnée HILIN MU CM2 '!$I184</f>
        <v>2023-15-188</v>
      </c>
      <c r="K184" s="23">
        <f t="shared" si="1"/>
        <v>177</v>
      </c>
      <c r="L184" s="24" t="s">
        <v>31</v>
      </c>
      <c r="M184" s="24"/>
      <c r="N184" s="24"/>
      <c r="O184" s="22">
        <v>6.5</v>
      </c>
      <c r="P184" s="22">
        <v>4.5</v>
      </c>
      <c r="Q184" s="22">
        <f>SUM('1. Base de donnée HILIN MU CM2 '!$O184+'1. Base de donnée HILIN MU CM2 '!$P184)/2</f>
        <v>5.5</v>
      </c>
      <c r="R184" s="22">
        <v>16.0</v>
      </c>
      <c r="S184" s="22">
        <v>17.5</v>
      </c>
      <c r="T184" s="22">
        <f>('1. Base de donnée HILIN MU CM2 '!$R184+'1. Base de donnée HILIN MU CM2 '!$S184)/2</f>
        <v>16.75</v>
      </c>
      <c r="U184" s="25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</row>
    <row r="185" ht="14.25" hidden="1" customHeight="1">
      <c r="A185" s="27" t="s">
        <v>363</v>
      </c>
      <c r="B185" s="27" t="s">
        <v>26</v>
      </c>
      <c r="C185" s="27" t="s">
        <v>383</v>
      </c>
      <c r="D185" s="27" t="s">
        <v>384</v>
      </c>
      <c r="E185" s="27" t="s">
        <v>366</v>
      </c>
      <c r="F185" s="27" t="s">
        <v>367</v>
      </c>
      <c r="G185" s="28">
        <v>2023.0</v>
      </c>
      <c r="H185" s="28">
        <v>15.0</v>
      </c>
      <c r="I185" s="28">
        <v>189.0</v>
      </c>
      <c r="J185" s="29" t="str">
        <f>'1. Base de donnée HILIN MU CM2 '!$G185&amp;"-"&amp;'1. Base de donnée HILIN MU CM2 '!$H185&amp;"-"&amp;'1. Base de donnée HILIN MU CM2 '!$I185</f>
        <v>2023-15-189</v>
      </c>
      <c r="K185" s="28">
        <f t="shared" si="1"/>
        <v>178</v>
      </c>
      <c r="L185" s="29" t="s">
        <v>31</v>
      </c>
      <c r="M185" s="29"/>
      <c r="N185" s="29"/>
      <c r="O185" s="27">
        <v>6.5</v>
      </c>
      <c r="P185" s="27">
        <v>3.0</v>
      </c>
      <c r="Q185" s="27">
        <f>SUM('1. Base de donnée HILIN MU CM2 '!$O185+'1. Base de donnée HILIN MU CM2 '!$P185)/2</f>
        <v>4.75</v>
      </c>
      <c r="R185" s="27">
        <v>16.0</v>
      </c>
      <c r="S185" s="27">
        <v>19.5</v>
      </c>
      <c r="T185" s="27">
        <f>('1. Base de donnée HILIN MU CM2 '!$R185+'1. Base de donnée HILIN MU CM2 '!$S185)/2</f>
        <v>17.75</v>
      </c>
      <c r="U185" s="30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</row>
    <row r="186" ht="14.25" hidden="1" customHeight="1">
      <c r="A186" s="22" t="s">
        <v>363</v>
      </c>
      <c r="B186" s="22" t="s">
        <v>26</v>
      </c>
      <c r="C186" s="22" t="s">
        <v>385</v>
      </c>
      <c r="D186" s="22" t="s">
        <v>386</v>
      </c>
      <c r="E186" s="22" t="s">
        <v>366</v>
      </c>
      <c r="F186" s="22" t="s">
        <v>367</v>
      </c>
      <c r="G186" s="23">
        <v>2023.0</v>
      </c>
      <c r="H186" s="23">
        <v>15.0</v>
      </c>
      <c r="I186" s="23">
        <v>190.0</v>
      </c>
      <c r="J186" s="24" t="str">
        <f>'1. Base de donnée HILIN MU CM2 '!$G186&amp;"-"&amp;'1. Base de donnée HILIN MU CM2 '!$H186&amp;"-"&amp;'1. Base de donnée HILIN MU CM2 '!$I186</f>
        <v>2023-15-190</v>
      </c>
      <c r="K186" s="23">
        <f t="shared" si="1"/>
        <v>179</v>
      </c>
      <c r="L186" s="24" t="s">
        <v>31</v>
      </c>
      <c r="M186" s="24"/>
      <c r="N186" s="24"/>
      <c r="O186" s="22">
        <v>0.0</v>
      </c>
      <c r="P186" s="22">
        <v>2.0</v>
      </c>
      <c r="Q186" s="22">
        <f>SUM('1. Base de donnée HILIN MU CM2 '!$O186+'1. Base de donnée HILIN MU CM2 '!$P186)/2</f>
        <v>1</v>
      </c>
      <c r="R186" s="22">
        <v>16.0</v>
      </c>
      <c r="S186" s="22">
        <v>13.0</v>
      </c>
      <c r="T186" s="22">
        <f>('1. Base de donnée HILIN MU CM2 '!$R186+'1. Base de donnée HILIN MU CM2 '!$S186)/2</f>
        <v>14.5</v>
      </c>
      <c r="U186" s="25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</row>
    <row r="187" ht="14.25" hidden="1" customHeight="1">
      <c r="A187" s="27" t="s">
        <v>363</v>
      </c>
      <c r="B187" s="27" t="s">
        <v>26</v>
      </c>
      <c r="C187" s="27" t="s">
        <v>387</v>
      </c>
      <c r="D187" s="27" t="s">
        <v>376</v>
      </c>
      <c r="E187" s="27" t="s">
        <v>366</v>
      </c>
      <c r="F187" s="27" t="s">
        <v>367</v>
      </c>
      <c r="G187" s="28">
        <v>2023.0</v>
      </c>
      <c r="H187" s="28">
        <v>15.0</v>
      </c>
      <c r="I187" s="28">
        <v>191.0</v>
      </c>
      <c r="J187" s="29" t="str">
        <f>'1. Base de donnée HILIN MU CM2 '!$G187&amp;"-"&amp;'1. Base de donnée HILIN MU CM2 '!$H187&amp;"-"&amp;'1. Base de donnée HILIN MU CM2 '!$I187</f>
        <v>2023-15-191</v>
      </c>
      <c r="K187" s="28">
        <f t="shared" si="1"/>
        <v>180</v>
      </c>
      <c r="L187" s="29" t="s">
        <v>31</v>
      </c>
      <c r="M187" s="29"/>
      <c r="N187" s="29"/>
      <c r="O187" s="27">
        <v>5.0</v>
      </c>
      <c r="P187" s="27">
        <v>4.75</v>
      </c>
      <c r="Q187" s="27">
        <f>SUM('1. Base de donnée HILIN MU CM2 '!$O187+'1. Base de donnée HILIN MU CM2 '!$P187)/2</f>
        <v>4.875</v>
      </c>
      <c r="R187" s="27">
        <v>16.0</v>
      </c>
      <c r="S187" s="27">
        <v>11.0</v>
      </c>
      <c r="T187" s="27">
        <f>('1. Base de donnée HILIN MU CM2 '!$R187+'1. Base de donnée HILIN MU CM2 '!$S187)/2</f>
        <v>13.5</v>
      </c>
      <c r="U187" s="30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</row>
    <row r="188" ht="14.25" hidden="1" customHeight="1">
      <c r="A188" s="22" t="s">
        <v>363</v>
      </c>
      <c r="B188" s="22" t="s">
        <v>26</v>
      </c>
      <c r="C188" s="22" t="s">
        <v>388</v>
      </c>
      <c r="D188" s="22" t="s">
        <v>389</v>
      </c>
      <c r="E188" s="22" t="s">
        <v>366</v>
      </c>
      <c r="F188" s="22" t="s">
        <v>370</v>
      </c>
      <c r="G188" s="23">
        <v>2023.0</v>
      </c>
      <c r="H188" s="23">
        <v>15.0</v>
      </c>
      <c r="I188" s="23">
        <v>192.0</v>
      </c>
      <c r="J188" s="24" t="str">
        <f>'1. Base de donnée HILIN MU CM2 '!$G188&amp;"-"&amp;'1. Base de donnée HILIN MU CM2 '!$H188&amp;"-"&amp;'1. Base de donnée HILIN MU CM2 '!$I188</f>
        <v>2023-15-192</v>
      </c>
      <c r="K188" s="23">
        <f t="shared" si="1"/>
        <v>181</v>
      </c>
      <c r="L188" s="24" t="s">
        <v>31</v>
      </c>
      <c r="M188" s="24"/>
      <c r="N188" s="24"/>
      <c r="O188" s="22">
        <v>4.0</v>
      </c>
      <c r="P188" s="22">
        <v>3.25</v>
      </c>
      <c r="Q188" s="22">
        <f>SUM('1. Base de donnée HILIN MU CM2 '!$O188+'1. Base de donnée HILIN MU CM2 '!$P188)/2</f>
        <v>3.625</v>
      </c>
      <c r="R188" s="22">
        <v>16.0</v>
      </c>
      <c r="S188" s="22">
        <v>15.0</v>
      </c>
      <c r="T188" s="22">
        <f>('1. Base de donnée HILIN MU CM2 '!$R188+'1. Base de donnée HILIN MU CM2 '!$S188)/2</f>
        <v>15.5</v>
      </c>
      <c r="U188" s="25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</row>
    <row r="189" ht="14.25" hidden="1" customHeight="1">
      <c r="A189" s="27" t="s">
        <v>363</v>
      </c>
      <c r="B189" s="27" t="s">
        <v>26</v>
      </c>
      <c r="C189" s="27" t="s">
        <v>390</v>
      </c>
      <c r="D189" s="27" t="s">
        <v>391</v>
      </c>
      <c r="E189" s="27" t="s">
        <v>366</v>
      </c>
      <c r="F189" s="27" t="s">
        <v>370</v>
      </c>
      <c r="G189" s="28">
        <v>2023.0</v>
      </c>
      <c r="H189" s="28">
        <v>15.0</v>
      </c>
      <c r="I189" s="28">
        <v>193.0</v>
      </c>
      <c r="J189" s="29" t="str">
        <f>'1. Base de donnée HILIN MU CM2 '!$G189&amp;"-"&amp;'1. Base de donnée HILIN MU CM2 '!$H189&amp;"-"&amp;'1. Base de donnée HILIN MU CM2 '!$I189</f>
        <v>2023-15-193</v>
      </c>
      <c r="K189" s="28">
        <f t="shared" si="1"/>
        <v>182</v>
      </c>
      <c r="L189" s="29" t="s">
        <v>31</v>
      </c>
      <c r="M189" s="29"/>
      <c r="N189" s="29"/>
      <c r="O189" s="27">
        <v>2.5</v>
      </c>
      <c r="P189" s="27">
        <v>4.5</v>
      </c>
      <c r="Q189" s="27">
        <f>SUM('1. Base de donnée HILIN MU CM2 '!$O189+'1. Base de donnée HILIN MU CM2 '!$P189)/2</f>
        <v>3.5</v>
      </c>
      <c r="R189" s="27">
        <v>16.0</v>
      </c>
      <c r="S189" s="27">
        <v>15.0</v>
      </c>
      <c r="T189" s="27">
        <f>('1. Base de donnée HILIN MU CM2 '!$R189+'1. Base de donnée HILIN MU CM2 '!$S189)/2</f>
        <v>15.5</v>
      </c>
      <c r="U189" s="30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</row>
    <row r="190" ht="14.25" hidden="1" customHeight="1">
      <c r="A190" s="22" t="s">
        <v>363</v>
      </c>
      <c r="B190" s="22" t="s">
        <v>26</v>
      </c>
      <c r="C190" s="22" t="s">
        <v>392</v>
      </c>
      <c r="D190" s="22" t="s">
        <v>393</v>
      </c>
      <c r="E190" s="22" t="s">
        <v>366</v>
      </c>
      <c r="F190" s="22" t="s">
        <v>367</v>
      </c>
      <c r="G190" s="23">
        <v>2023.0</v>
      </c>
      <c r="H190" s="23">
        <v>15.0</v>
      </c>
      <c r="I190" s="23">
        <v>194.0</v>
      </c>
      <c r="J190" s="24" t="str">
        <f>'1. Base de donnée HILIN MU CM2 '!$G190&amp;"-"&amp;'1. Base de donnée HILIN MU CM2 '!$H190&amp;"-"&amp;'1. Base de donnée HILIN MU CM2 '!$I190</f>
        <v>2023-15-194</v>
      </c>
      <c r="K190" s="23">
        <f t="shared" si="1"/>
        <v>183</v>
      </c>
      <c r="L190" s="24" t="s">
        <v>31</v>
      </c>
      <c r="M190" s="24"/>
      <c r="N190" s="24"/>
      <c r="O190" s="22">
        <v>12.5</v>
      </c>
      <c r="P190" s="22">
        <v>10.0</v>
      </c>
      <c r="Q190" s="22">
        <f>SUM('1. Base de donnée HILIN MU CM2 '!$O190+'1. Base de donnée HILIN MU CM2 '!$P190)/2</f>
        <v>11.25</v>
      </c>
      <c r="R190" s="22">
        <v>16.0</v>
      </c>
      <c r="S190" s="22">
        <v>19.5</v>
      </c>
      <c r="T190" s="22">
        <f>('1. Base de donnée HILIN MU CM2 '!$R190+'1. Base de donnée HILIN MU CM2 '!$S190)/2</f>
        <v>17.75</v>
      </c>
      <c r="U190" s="25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</row>
    <row r="191" ht="14.25" hidden="1" customHeight="1">
      <c r="A191" s="27" t="s">
        <v>363</v>
      </c>
      <c r="B191" s="27" t="s">
        <v>26</v>
      </c>
      <c r="C191" s="27" t="s">
        <v>394</v>
      </c>
      <c r="D191" s="27" t="s">
        <v>395</v>
      </c>
      <c r="E191" s="27" t="s">
        <v>396</v>
      </c>
      <c r="F191" s="27" t="s">
        <v>367</v>
      </c>
      <c r="G191" s="28">
        <v>2023.0</v>
      </c>
      <c r="H191" s="28">
        <v>15.0</v>
      </c>
      <c r="I191" s="28">
        <v>195.0</v>
      </c>
      <c r="J191" s="29" t="str">
        <f>'1. Base de donnée HILIN MU CM2 '!$G191&amp;"-"&amp;'1. Base de donnée HILIN MU CM2 '!$H191&amp;"-"&amp;'1. Base de donnée HILIN MU CM2 '!$I191</f>
        <v>2023-15-195</v>
      </c>
      <c r="K191" s="28">
        <f t="shared" si="1"/>
        <v>184</v>
      </c>
      <c r="L191" s="29" t="s">
        <v>31</v>
      </c>
      <c r="M191" s="29"/>
      <c r="N191" s="27"/>
      <c r="O191" s="27">
        <v>2.5</v>
      </c>
      <c r="P191" s="27">
        <v>2.0</v>
      </c>
      <c r="Q191" s="27">
        <f>SUM('1. Base de donnée HILIN MU CM2 '!$O191+'1. Base de donnée HILIN MU CM2 '!$P191)/2</f>
        <v>2.25</v>
      </c>
      <c r="R191" s="27">
        <v>16.0</v>
      </c>
      <c r="S191" s="27">
        <v>11.5</v>
      </c>
      <c r="T191" s="27">
        <f>('1. Base de donnée HILIN MU CM2 '!$R191+'1. Base de donnée HILIN MU CM2 '!$S191)/2</f>
        <v>13.75</v>
      </c>
      <c r="U191" s="30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</row>
    <row r="192" ht="14.25" hidden="1" customHeight="1">
      <c r="A192" s="22" t="s">
        <v>363</v>
      </c>
      <c r="B192" s="22" t="s">
        <v>26</v>
      </c>
      <c r="C192" s="22" t="s">
        <v>397</v>
      </c>
      <c r="D192" s="22" t="s">
        <v>398</v>
      </c>
      <c r="E192" s="22" t="s">
        <v>396</v>
      </c>
      <c r="F192" s="22" t="s">
        <v>370</v>
      </c>
      <c r="G192" s="23">
        <v>2023.0</v>
      </c>
      <c r="H192" s="23">
        <v>15.0</v>
      </c>
      <c r="I192" s="23">
        <v>196.0</v>
      </c>
      <c r="J192" s="24" t="str">
        <f>'1. Base de donnée HILIN MU CM2 '!$G192&amp;"-"&amp;'1. Base de donnée HILIN MU CM2 '!$H192&amp;"-"&amp;'1. Base de donnée HILIN MU CM2 '!$I192</f>
        <v>2023-15-196</v>
      </c>
      <c r="K192" s="23">
        <f t="shared" si="1"/>
        <v>185</v>
      </c>
      <c r="L192" s="24" t="s">
        <v>31</v>
      </c>
      <c r="M192" s="24"/>
      <c r="N192" s="22"/>
      <c r="O192" s="22">
        <v>4.5</v>
      </c>
      <c r="P192" s="22">
        <v>3.25</v>
      </c>
      <c r="Q192" s="22">
        <f>SUM('1. Base de donnée HILIN MU CM2 '!$O192+'1. Base de donnée HILIN MU CM2 '!$P192)/2</f>
        <v>3.875</v>
      </c>
      <c r="R192" s="22">
        <v>16.0</v>
      </c>
      <c r="S192" s="22">
        <v>16.5</v>
      </c>
      <c r="T192" s="22">
        <f>('1. Base de donnée HILIN MU CM2 '!$R192+'1. Base de donnée HILIN MU CM2 '!$S192)/2</f>
        <v>16.25</v>
      </c>
      <c r="U192" s="25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</row>
    <row r="193" ht="14.25" hidden="1" customHeight="1">
      <c r="A193" s="27" t="s">
        <v>363</v>
      </c>
      <c r="B193" s="27" t="s">
        <v>26</v>
      </c>
      <c r="C193" s="27" t="s">
        <v>399</v>
      </c>
      <c r="D193" s="27" t="s">
        <v>400</v>
      </c>
      <c r="E193" s="27" t="s">
        <v>366</v>
      </c>
      <c r="F193" s="27" t="s">
        <v>370</v>
      </c>
      <c r="G193" s="28">
        <v>2023.0</v>
      </c>
      <c r="H193" s="28">
        <v>15.0</v>
      </c>
      <c r="I193" s="28">
        <v>197.0</v>
      </c>
      <c r="J193" s="29" t="str">
        <f>'1. Base de donnée HILIN MU CM2 '!$G193&amp;"-"&amp;'1. Base de donnée HILIN MU CM2 '!$H193&amp;"-"&amp;'1. Base de donnée HILIN MU CM2 '!$I193</f>
        <v>2023-15-197</v>
      </c>
      <c r="K193" s="28">
        <f t="shared" si="1"/>
        <v>186</v>
      </c>
      <c r="L193" s="29" t="s">
        <v>31</v>
      </c>
      <c r="M193" s="29"/>
      <c r="N193" s="27"/>
      <c r="O193" s="27">
        <v>6.0</v>
      </c>
      <c r="P193" s="27">
        <v>4.5</v>
      </c>
      <c r="Q193" s="27">
        <f>SUM('1. Base de donnée HILIN MU CM2 '!$O193+'1. Base de donnée HILIN MU CM2 '!$P193)/2</f>
        <v>5.25</v>
      </c>
      <c r="R193" s="27">
        <v>16.0</v>
      </c>
      <c r="S193" s="27">
        <v>19.5</v>
      </c>
      <c r="T193" s="27">
        <f>('1. Base de donnée HILIN MU CM2 '!$R193+'1. Base de donnée HILIN MU CM2 '!$S193)/2</f>
        <v>17.75</v>
      </c>
      <c r="U193" s="30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</row>
    <row r="194" ht="14.25" hidden="1" customHeight="1">
      <c r="A194" s="22" t="s">
        <v>363</v>
      </c>
      <c r="B194" s="22" t="s">
        <v>26</v>
      </c>
      <c r="C194" s="22" t="s">
        <v>401</v>
      </c>
      <c r="D194" s="22" t="s">
        <v>402</v>
      </c>
      <c r="E194" s="22" t="s">
        <v>366</v>
      </c>
      <c r="F194" s="22" t="s">
        <v>370</v>
      </c>
      <c r="G194" s="23">
        <v>2023.0</v>
      </c>
      <c r="H194" s="23">
        <v>15.0</v>
      </c>
      <c r="I194" s="23">
        <v>198.0</v>
      </c>
      <c r="J194" s="24" t="str">
        <f>'1. Base de donnée HILIN MU CM2 '!$G194&amp;"-"&amp;'1. Base de donnée HILIN MU CM2 '!$H194&amp;"-"&amp;'1. Base de donnée HILIN MU CM2 '!$I194</f>
        <v>2023-15-198</v>
      </c>
      <c r="K194" s="23">
        <f t="shared" si="1"/>
        <v>187</v>
      </c>
      <c r="L194" s="24" t="s">
        <v>31</v>
      </c>
      <c r="M194" s="24"/>
      <c r="N194" s="22"/>
      <c r="O194" s="22">
        <v>6.0</v>
      </c>
      <c r="P194" s="22">
        <v>4.75</v>
      </c>
      <c r="Q194" s="22">
        <f>SUM('1. Base de donnée HILIN MU CM2 '!$O194+'1. Base de donnée HILIN MU CM2 '!$P194)/2</f>
        <v>5.375</v>
      </c>
      <c r="R194" s="22">
        <v>16.0</v>
      </c>
      <c r="S194" s="22">
        <v>15.0</v>
      </c>
      <c r="T194" s="22">
        <f>('1. Base de donnée HILIN MU CM2 '!$R194+'1. Base de donnée HILIN MU CM2 '!$S194)/2</f>
        <v>15.5</v>
      </c>
      <c r="U194" s="25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</row>
    <row r="195" ht="14.25" hidden="1" customHeight="1">
      <c r="A195" s="27" t="s">
        <v>363</v>
      </c>
      <c r="B195" s="27" t="s">
        <v>26</v>
      </c>
      <c r="C195" s="27" t="s">
        <v>403</v>
      </c>
      <c r="D195" s="27" t="s">
        <v>404</v>
      </c>
      <c r="E195" s="27" t="s">
        <v>366</v>
      </c>
      <c r="F195" s="27" t="s">
        <v>370</v>
      </c>
      <c r="G195" s="28">
        <v>2023.0</v>
      </c>
      <c r="H195" s="28">
        <v>15.0</v>
      </c>
      <c r="I195" s="28">
        <v>199.0</v>
      </c>
      <c r="J195" s="29" t="str">
        <f>'1. Base de donnée HILIN MU CM2 '!$G195&amp;"-"&amp;'1. Base de donnée HILIN MU CM2 '!$H195&amp;"-"&amp;'1. Base de donnée HILIN MU CM2 '!$I195</f>
        <v>2023-15-199</v>
      </c>
      <c r="K195" s="28">
        <f t="shared" si="1"/>
        <v>188</v>
      </c>
      <c r="L195" s="29" t="s">
        <v>31</v>
      </c>
      <c r="M195" s="29"/>
      <c r="N195" s="27"/>
      <c r="O195" s="27">
        <v>1.5</v>
      </c>
      <c r="P195" s="27">
        <v>0.75</v>
      </c>
      <c r="Q195" s="27">
        <f>SUM('1. Base de donnée HILIN MU CM2 '!$O195+'1. Base de donnée HILIN MU CM2 '!$P195)/2</f>
        <v>1.125</v>
      </c>
      <c r="R195" s="27">
        <v>16.0</v>
      </c>
      <c r="S195" s="27">
        <v>14.5</v>
      </c>
      <c r="T195" s="27">
        <f>('1. Base de donnée HILIN MU CM2 '!$R195+'1. Base de donnée HILIN MU CM2 '!$S195)/2</f>
        <v>15.25</v>
      </c>
      <c r="U195" s="30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</row>
    <row r="196" ht="14.25" hidden="1" customHeight="1">
      <c r="A196" s="22" t="s">
        <v>363</v>
      </c>
      <c r="B196" s="22" t="s">
        <v>26</v>
      </c>
      <c r="C196" s="22" t="s">
        <v>405</v>
      </c>
      <c r="D196" s="22" t="s">
        <v>406</v>
      </c>
      <c r="E196" s="22" t="s">
        <v>366</v>
      </c>
      <c r="F196" s="22" t="s">
        <v>370</v>
      </c>
      <c r="G196" s="23">
        <v>2023.0</v>
      </c>
      <c r="H196" s="23">
        <v>15.0</v>
      </c>
      <c r="I196" s="23">
        <v>200.0</v>
      </c>
      <c r="J196" s="24" t="str">
        <f>'1. Base de donnée HILIN MU CM2 '!$G196&amp;"-"&amp;'1. Base de donnée HILIN MU CM2 '!$H196&amp;"-"&amp;'1. Base de donnée HILIN MU CM2 '!$I196</f>
        <v>2023-15-200</v>
      </c>
      <c r="K196" s="23">
        <f t="shared" si="1"/>
        <v>189</v>
      </c>
      <c r="L196" s="24" t="s">
        <v>31</v>
      </c>
      <c r="M196" s="24"/>
      <c r="N196" s="22"/>
      <c r="O196" s="22">
        <v>0.5</v>
      </c>
      <c r="P196" s="22">
        <v>1.0</v>
      </c>
      <c r="Q196" s="22">
        <f>SUM('1. Base de donnée HILIN MU CM2 '!$O196+'1. Base de donnée HILIN MU CM2 '!$P196)/2</f>
        <v>0.75</v>
      </c>
      <c r="R196" s="22">
        <v>16.0</v>
      </c>
      <c r="S196" s="22">
        <v>12.0</v>
      </c>
      <c r="T196" s="22">
        <f>('1. Base de donnée HILIN MU CM2 '!$R196+'1. Base de donnée HILIN MU CM2 '!$S196)/2</f>
        <v>14</v>
      </c>
      <c r="U196" s="25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</row>
    <row r="197" ht="14.25" hidden="1" customHeight="1">
      <c r="A197" s="27" t="s">
        <v>363</v>
      </c>
      <c r="B197" s="27" t="s">
        <v>26</v>
      </c>
      <c r="C197" s="27" t="s">
        <v>407</v>
      </c>
      <c r="D197" s="27" t="s">
        <v>408</v>
      </c>
      <c r="E197" s="27" t="s">
        <v>366</v>
      </c>
      <c r="F197" s="27" t="s">
        <v>370</v>
      </c>
      <c r="G197" s="28">
        <v>2023.0</v>
      </c>
      <c r="H197" s="28">
        <v>15.0</v>
      </c>
      <c r="I197" s="28">
        <v>884.0</v>
      </c>
      <c r="J197" s="29" t="str">
        <f>'1. Base de donnée HILIN MU CM2 '!$G197&amp;"-"&amp;'1. Base de donnée HILIN MU CM2 '!$H197&amp;"-"&amp;'1. Base de donnée HILIN MU CM2 '!$I197</f>
        <v>2023-15-884</v>
      </c>
      <c r="K197" s="28">
        <f t="shared" si="1"/>
        <v>190</v>
      </c>
      <c r="L197" s="29" t="s">
        <v>31</v>
      </c>
      <c r="M197" s="29"/>
      <c r="N197" s="27"/>
      <c r="O197" s="27">
        <v>8.0</v>
      </c>
      <c r="P197" s="27">
        <v>8.0</v>
      </c>
      <c r="Q197" s="27">
        <f>SUM('1. Base de donnée HILIN MU CM2 '!$O197+'1. Base de donnée HILIN MU CM2 '!$P197)/2</f>
        <v>8</v>
      </c>
      <c r="R197" s="27">
        <v>16.0</v>
      </c>
      <c r="S197" s="27">
        <v>19.0</v>
      </c>
      <c r="T197" s="31">
        <f>('1. Base de donnée HILIN MU CM2 '!$R197+'1. Base de donnée HILIN MU CM2 '!$S197)/2</f>
        <v>17.5</v>
      </c>
      <c r="U197" s="30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</row>
    <row r="198" ht="14.25" hidden="1" customHeight="1">
      <c r="A198" s="22" t="s">
        <v>363</v>
      </c>
      <c r="B198" s="22" t="s">
        <v>26</v>
      </c>
      <c r="C198" s="22" t="s">
        <v>409</v>
      </c>
      <c r="D198" s="22" t="s">
        <v>410</v>
      </c>
      <c r="E198" s="22" t="s">
        <v>366</v>
      </c>
      <c r="F198" s="22" t="s">
        <v>370</v>
      </c>
      <c r="G198" s="23">
        <v>2023.0</v>
      </c>
      <c r="H198" s="23">
        <v>15.0</v>
      </c>
      <c r="I198" s="23">
        <v>885.0</v>
      </c>
      <c r="J198" s="24" t="str">
        <f>'1. Base de donnée HILIN MU CM2 '!$G198&amp;"-"&amp;'1. Base de donnée HILIN MU CM2 '!$H198&amp;"-"&amp;'1. Base de donnée HILIN MU CM2 '!$I198</f>
        <v>2023-15-885</v>
      </c>
      <c r="K198" s="23">
        <f t="shared" si="1"/>
        <v>191</v>
      </c>
      <c r="L198" s="24" t="s">
        <v>31</v>
      </c>
      <c r="M198" s="24"/>
      <c r="N198" s="24"/>
      <c r="O198" s="22">
        <v>2.0</v>
      </c>
      <c r="P198" s="22">
        <v>5.5</v>
      </c>
      <c r="Q198" s="22">
        <f>SUM('1. Base de donnée HILIN MU CM2 '!$O198+'1. Base de donnée HILIN MU CM2 '!$P198)/2</f>
        <v>3.75</v>
      </c>
      <c r="R198" s="22">
        <v>16.0</v>
      </c>
      <c r="S198" s="22">
        <v>19.0</v>
      </c>
      <c r="T198" s="32">
        <f>('1. Base de donnée HILIN MU CM2 '!$R198+'1. Base de donnée HILIN MU CM2 '!$S198)/2</f>
        <v>17.5</v>
      </c>
      <c r="U198" s="25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</row>
    <row r="199" ht="14.25" hidden="1" customHeight="1">
      <c r="A199" s="27" t="s">
        <v>363</v>
      </c>
      <c r="B199" s="27" t="s">
        <v>26</v>
      </c>
      <c r="C199" s="27" t="s">
        <v>411</v>
      </c>
      <c r="D199" s="27" t="s">
        <v>412</v>
      </c>
      <c r="E199" s="27" t="s">
        <v>366</v>
      </c>
      <c r="F199" s="27" t="s">
        <v>370</v>
      </c>
      <c r="G199" s="28">
        <v>2023.0</v>
      </c>
      <c r="H199" s="28">
        <v>15.0</v>
      </c>
      <c r="I199" s="28">
        <v>886.0</v>
      </c>
      <c r="J199" s="29" t="str">
        <f>'1. Base de donnée HILIN MU CM2 '!$G199&amp;"-"&amp;'1. Base de donnée HILIN MU CM2 '!$H199&amp;"-"&amp;'1. Base de donnée HILIN MU CM2 '!$I199</f>
        <v>2023-15-886</v>
      </c>
      <c r="K199" s="28">
        <f t="shared" si="1"/>
        <v>192</v>
      </c>
      <c r="L199" s="29" t="s">
        <v>31</v>
      </c>
      <c r="M199" s="29"/>
      <c r="N199" s="29"/>
      <c r="O199" s="27">
        <v>7.5</v>
      </c>
      <c r="P199" s="27">
        <v>10.0</v>
      </c>
      <c r="Q199" s="27">
        <f>SUM('1. Base de donnée HILIN MU CM2 '!$O199+'1. Base de donnée HILIN MU CM2 '!$P199)/2</f>
        <v>8.75</v>
      </c>
      <c r="R199" s="27">
        <v>16.0</v>
      </c>
      <c r="S199" s="27">
        <v>19.0</v>
      </c>
      <c r="T199" s="31">
        <f>('1. Base de donnée HILIN MU CM2 '!$R199+'1. Base de donnée HILIN MU CM2 '!$S199)/2</f>
        <v>17.5</v>
      </c>
      <c r="U199" s="30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</row>
    <row r="200" ht="14.25" hidden="1" customHeight="1">
      <c r="A200" s="22" t="s">
        <v>363</v>
      </c>
      <c r="B200" s="22" t="s">
        <v>26</v>
      </c>
      <c r="C200" s="22" t="s">
        <v>413</v>
      </c>
      <c r="D200" s="22" t="s">
        <v>245</v>
      </c>
      <c r="E200" s="22" t="s">
        <v>366</v>
      </c>
      <c r="F200" s="22" t="s">
        <v>367</v>
      </c>
      <c r="G200" s="23">
        <v>2023.0</v>
      </c>
      <c r="H200" s="23">
        <v>15.0</v>
      </c>
      <c r="I200" s="23">
        <v>887.0</v>
      </c>
      <c r="J200" s="24" t="str">
        <f>'1. Base de donnée HILIN MU CM2 '!$G200&amp;"-"&amp;'1. Base de donnée HILIN MU CM2 '!$H200&amp;"-"&amp;'1. Base de donnée HILIN MU CM2 '!$I200</f>
        <v>2023-15-887</v>
      </c>
      <c r="K200" s="23">
        <f t="shared" si="1"/>
        <v>193</v>
      </c>
      <c r="L200" s="24" t="s">
        <v>31</v>
      </c>
      <c r="M200" s="24"/>
      <c r="N200" s="24"/>
      <c r="O200" s="22">
        <v>10.5</v>
      </c>
      <c r="P200" s="22">
        <v>8.75</v>
      </c>
      <c r="Q200" s="22">
        <f>SUM('1. Base de donnée HILIN MU CM2 '!$O200+'1. Base de donnée HILIN MU CM2 '!$P200)/2</f>
        <v>9.625</v>
      </c>
      <c r="R200" s="22">
        <v>16.0</v>
      </c>
      <c r="S200" s="22">
        <v>19.5</v>
      </c>
      <c r="T200" s="32">
        <f>('1. Base de donnée HILIN MU CM2 '!$R200+'1. Base de donnée HILIN MU CM2 '!$S200)/2</f>
        <v>17.75</v>
      </c>
      <c r="U200" s="25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</row>
    <row r="201" ht="14.25" hidden="1" customHeight="1">
      <c r="A201" s="27" t="s">
        <v>363</v>
      </c>
      <c r="B201" s="27" t="s">
        <v>26</v>
      </c>
      <c r="C201" s="27" t="s">
        <v>414</v>
      </c>
      <c r="D201" s="27" t="s">
        <v>412</v>
      </c>
      <c r="E201" s="27" t="s">
        <v>366</v>
      </c>
      <c r="F201" s="27" t="s">
        <v>367</v>
      </c>
      <c r="G201" s="28">
        <v>2023.0</v>
      </c>
      <c r="H201" s="28">
        <v>15.0</v>
      </c>
      <c r="I201" s="28">
        <v>888.0</v>
      </c>
      <c r="J201" s="29" t="str">
        <f>'1. Base de donnée HILIN MU CM2 '!$G201&amp;"-"&amp;'1. Base de donnée HILIN MU CM2 '!$H201&amp;"-"&amp;'1. Base de donnée HILIN MU CM2 '!$I201</f>
        <v>2023-15-888</v>
      </c>
      <c r="K201" s="28">
        <f t="shared" si="1"/>
        <v>194</v>
      </c>
      <c r="L201" s="29" t="s">
        <v>31</v>
      </c>
      <c r="M201" s="29"/>
      <c r="N201" s="29"/>
      <c r="O201" s="27">
        <v>7.5</v>
      </c>
      <c r="P201" s="27">
        <v>6.0</v>
      </c>
      <c r="Q201" s="27">
        <f>SUM('1. Base de donnée HILIN MU CM2 '!$O201+'1. Base de donnée HILIN MU CM2 '!$P201)/2</f>
        <v>6.75</v>
      </c>
      <c r="R201" s="27">
        <v>16.0</v>
      </c>
      <c r="S201" s="27">
        <v>19.0</v>
      </c>
      <c r="T201" s="31">
        <f>('1. Base de donnée HILIN MU CM2 '!$R201+'1. Base de donnée HILIN MU CM2 '!$S201)/2</f>
        <v>17.5</v>
      </c>
      <c r="U201" s="30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</row>
    <row r="202" ht="14.25" hidden="1" customHeight="1">
      <c r="A202" s="22" t="s">
        <v>363</v>
      </c>
      <c r="B202" s="22" t="s">
        <v>415</v>
      </c>
      <c r="C202" s="22" t="s">
        <v>416</v>
      </c>
      <c r="D202" s="22" t="s">
        <v>417</v>
      </c>
      <c r="E202" s="22" t="s">
        <v>366</v>
      </c>
      <c r="F202" s="22" t="s">
        <v>367</v>
      </c>
      <c r="G202" s="23">
        <v>2023.0</v>
      </c>
      <c r="H202" s="23">
        <v>15.0</v>
      </c>
      <c r="I202" s="23">
        <v>937.0</v>
      </c>
      <c r="J202" s="24" t="str">
        <f>'1. Base de donnée HILIN MU CM2 '!$G202&amp;"-"&amp;'1. Base de donnée HILIN MU CM2 '!$H202&amp;"-"&amp;'1. Base de donnée HILIN MU CM2 '!$I202</f>
        <v>2023-15-937</v>
      </c>
      <c r="K202" s="23">
        <f t="shared" si="1"/>
        <v>195</v>
      </c>
      <c r="L202" s="24" t="s">
        <v>31</v>
      </c>
      <c r="M202" s="24"/>
      <c r="N202" s="24"/>
      <c r="O202" s="22">
        <v>6.0</v>
      </c>
      <c r="P202" s="22">
        <v>6.0</v>
      </c>
      <c r="Q202" s="22">
        <f>SUM('1. Base de donnée HILIN MU CM2 '!$O202+'1. Base de donnée HILIN MU CM2 '!$P202)/2</f>
        <v>6</v>
      </c>
      <c r="R202" s="22">
        <v>16.0</v>
      </c>
      <c r="S202" s="22">
        <v>19.0</v>
      </c>
      <c r="T202" s="32">
        <f>('1. Base de donnée HILIN MU CM2 '!$R202+'1. Base de donnée HILIN MU CM2 '!$S202)/2</f>
        <v>17.5</v>
      </c>
      <c r="U202" s="25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</row>
    <row r="203" ht="14.25" hidden="1" customHeight="1">
      <c r="A203" s="27" t="s">
        <v>363</v>
      </c>
      <c r="B203" s="27" t="s">
        <v>415</v>
      </c>
      <c r="C203" s="27" t="s">
        <v>418</v>
      </c>
      <c r="D203" s="27" t="s">
        <v>116</v>
      </c>
      <c r="E203" s="27" t="s">
        <v>366</v>
      </c>
      <c r="F203" s="27" t="s">
        <v>370</v>
      </c>
      <c r="G203" s="28">
        <v>2023.0</v>
      </c>
      <c r="H203" s="28">
        <v>15.0</v>
      </c>
      <c r="I203" s="28">
        <v>938.0</v>
      </c>
      <c r="J203" s="29" t="str">
        <f>'1. Base de donnée HILIN MU CM2 '!$G203&amp;"-"&amp;'1. Base de donnée HILIN MU CM2 '!$H203&amp;"-"&amp;'1. Base de donnée HILIN MU CM2 '!$I203</f>
        <v>2023-15-938</v>
      </c>
      <c r="K203" s="28">
        <f t="shared" si="1"/>
        <v>196</v>
      </c>
      <c r="L203" s="29" t="s">
        <v>31</v>
      </c>
      <c r="M203" s="29"/>
      <c r="N203" s="29"/>
      <c r="O203" s="27">
        <v>1.25</v>
      </c>
      <c r="P203" s="27">
        <v>0.0</v>
      </c>
      <c r="Q203" s="27">
        <f>SUM('1. Base de donnée HILIN MU CM2 '!$O203+'1. Base de donnée HILIN MU CM2 '!$P203)/2</f>
        <v>0.625</v>
      </c>
      <c r="R203" s="27">
        <v>16.0</v>
      </c>
      <c r="S203" s="27">
        <v>17.0</v>
      </c>
      <c r="T203" s="31">
        <f>('1. Base de donnée HILIN MU CM2 '!$R203+'1. Base de donnée HILIN MU CM2 '!$S203)/2</f>
        <v>16.5</v>
      </c>
      <c r="U203" s="30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</row>
    <row r="204" ht="14.25" hidden="1" customHeight="1">
      <c r="A204" s="22" t="s">
        <v>363</v>
      </c>
      <c r="B204" s="22" t="s">
        <v>415</v>
      </c>
      <c r="C204" s="22" t="s">
        <v>419</v>
      </c>
      <c r="D204" s="22" t="s">
        <v>420</v>
      </c>
      <c r="E204" s="22" t="s">
        <v>366</v>
      </c>
      <c r="F204" s="22" t="s">
        <v>367</v>
      </c>
      <c r="G204" s="23">
        <v>2023.0</v>
      </c>
      <c r="H204" s="23">
        <v>15.0</v>
      </c>
      <c r="I204" s="23">
        <v>939.0</v>
      </c>
      <c r="J204" s="24" t="str">
        <f>'1. Base de donnée HILIN MU CM2 '!$G204&amp;"-"&amp;'1. Base de donnée HILIN MU CM2 '!$H204&amp;"-"&amp;'1. Base de donnée HILIN MU CM2 '!$I204</f>
        <v>2023-15-939</v>
      </c>
      <c r="K204" s="23">
        <f t="shared" si="1"/>
        <v>197</v>
      </c>
      <c r="L204" s="24" t="s">
        <v>31</v>
      </c>
      <c r="M204" s="24"/>
      <c r="N204" s="24"/>
      <c r="O204" s="22">
        <v>2.0</v>
      </c>
      <c r="P204" s="22">
        <v>1.0</v>
      </c>
      <c r="Q204" s="22">
        <f>SUM('1. Base de donnée HILIN MU CM2 '!$O204+'1. Base de donnée HILIN MU CM2 '!$P204)/2</f>
        <v>1.5</v>
      </c>
      <c r="R204" s="22">
        <v>16.0</v>
      </c>
      <c r="S204" s="22">
        <v>19.5</v>
      </c>
      <c r="T204" s="32">
        <f>('1. Base de donnée HILIN MU CM2 '!$R204+'1. Base de donnée HILIN MU CM2 '!$S204)/2</f>
        <v>17.75</v>
      </c>
      <c r="U204" s="25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</row>
    <row r="205" ht="14.25" customHeight="1">
      <c r="A205" s="27" t="s">
        <v>421</v>
      </c>
      <c r="B205" s="27" t="s">
        <v>121</v>
      </c>
      <c r="C205" s="27" t="s">
        <v>422</v>
      </c>
      <c r="D205" s="27" t="s">
        <v>423</v>
      </c>
      <c r="E205" s="27" t="s">
        <v>424</v>
      </c>
      <c r="F205" s="27" t="s">
        <v>425</v>
      </c>
      <c r="G205" s="28">
        <v>2023.0</v>
      </c>
      <c r="H205" s="28">
        <v>87.0</v>
      </c>
      <c r="I205" s="28">
        <v>201.0</v>
      </c>
      <c r="J205" s="29" t="str">
        <f>'1. Base de donnée HILIN MU CM2 '!$G205&amp;"-"&amp;'1. Base de donnée HILIN MU CM2 '!$H205&amp;"-"&amp;'1. Base de donnée HILIN MU CM2 '!$I205</f>
        <v>2023-87-201</v>
      </c>
      <c r="K205" s="28">
        <f t="shared" si="1"/>
        <v>198</v>
      </c>
      <c r="L205" s="29" t="s">
        <v>31</v>
      </c>
      <c r="M205" s="29"/>
      <c r="N205" s="29"/>
      <c r="O205" s="27">
        <v>1.5</v>
      </c>
      <c r="P205" s="27">
        <v>0.75</v>
      </c>
      <c r="Q205" s="27">
        <f>SUM('1. Base de donnée HILIN MU CM2 '!$O205+'1. Base de donnée HILIN MU CM2 '!$P205)/2</f>
        <v>1.125</v>
      </c>
      <c r="R205" s="27">
        <v>16.0</v>
      </c>
      <c r="S205" s="27">
        <v>12.0</v>
      </c>
      <c r="T205" s="27">
        <f>('1. Base de donnée HILIN MU CM2 '!$R205+'1. Base de donnée HILIN MU CM2 '!$S205)/2</f>
        <v>14</v>
      </c>
      <c r="U205" s="30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</row>
    <row r="206" ht="14.25" customHeight="1">
      <c r="A206" s="22" t="s">
        <v>421</v>
      </c>
      <c r="B206" s="22" t="s">
        <v>121</v>
      </c>
      <c r="C206" s="22" t="s">
        <v>231</v>
      </c>
      <c r="D206" s="22" t="s">
        <v>232</v>
      </c>
      <c r="E206" s="22" t="s">
        <v>424</v>
      </c>
      <c r="F206" s="22" t="s">
        <v>426</v>
      </c>
      <c r="G206" s="23">
        <v>2023.0</v>
      </c>
      <c r="H206" s="23">
        <v>87.0</v>
      </c>
      <c r="I206" s="23">
        <v>202.0</v>
      </c>
      <c r="J206" s="24" t="str">
        <f>'1. Base de donnée HILIN MU CM2 '!$G206&amp;"-"&amp;'1. Base de donnée HILIN MU CM2 '!$H206&amp;"-"&amp;'1. Base de donnée HILIN MU CM2 '!$I206</f>
        <v>2023-87-202</v>
      </c>
      <c r="K206" s="23">
        <f t="shared" si="1"/>
        <v>199</v>
      </c>
      <c r="L206" s="24" t="s">
        <v>31</v>
      </c>
      <c r="M206" s="24"/>
      <c r="N206" s="24"/>
      <c r="O206" s="22">
        <v>12.5</v>
      </c>
      <c r="P206" s="22">
        <v>3.75</v>
      </c>
      <c r="Q206" s="22">
        <f>SUM('1. Base de donnée HILIN MU CM2 '!$O206+'1. Base de donnée HILIN MU CM2 '!$P206)/2</f>
        <v>8.125</v>
      </c>
      <c r="R206" s="22">
        <v>16.0</v>
      </c>
      <c r="S206" s="22">
        <v>19.75</v>
      </c>
      <c r="T206" s="22">
        <f>('1. Base de donnée HILIN MU CM2 '!$R206+'1. Base de donnée HILIN MU CM2 '!$S206)/2</f>
        <v>17.875</v>
      </c>
      <c r="U206" s="25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</row>
    <row r="207" ht="14.25" customHeight="1">
      <c r="A207" s="27" t="s">
        <v>421</v>
      </c>
      <c r="B207" s="27" t="s">
        <v>121</v>
      </c>
      <c r="C207" s="27" t="s">
        <v>427</v>
      </c>
      <c r="D207" s="27" t="s">
        <v>428</v>
      </c>
      <c r="E207" s="27" t="s">
        <v>424</v>
      </c>
      <c r="F207" s="27" t="s">
        <v>429</v>
      </c>
      <c r="G207" s="28">
        <v>2023.0</v>
      </c>
      <c r="H207" s="28">
        <v>87.0</v>
      </c>
      <c r="I207" s="28">
        <v>203.0</v>
      </c>
      <c r="J207" s="29" t="str">
        <f>'1. Base de donnée HILIN MU CM2 '!$G207&amp;"-"&amp;'1. Base de donnée HILIN MU CM2 '!$H207&amp;"-"&amp;'1. Base de donnée HILIN MU CM2 '!$I207</f>
        <v>2023-87-203</v>
      </c>
      <c r="K207" s="28">
        <f t="shared" si="1"/>
        <v>200</v>
      </c>
      <c r="L207" s="29" t="s">
        <v>31</v>
      </c>
      <c r="M207" s="29"/>
      <c r="N207" s="29"/>
      <c r="O207" s="27">
        <v>1.5</v>
      </c>
      <c r="P207" s="27">
        <v>0.0</v>
      </c>
      <c r="Q207" s="27">
        <f>SUM('1. Base de donnée HILIN MU CM2 '!$O207+'1. Base de donnée HILIN MU CM2 '!$P207)/2</f>
        <v>0.75</v>
      </c>
      <c r="R207" s="27">
        <v>16.0</v>
      </c>
      <c r="S207" s="34"/>
      <c r="T207" s="27"/>
      <c r="U207" s="30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</row>
    <row r="208" ht="14.25" customHeight="1">
      <c r="A208" s="22" t="s">
        <v>421</v>
      </c>
      <c r="B208" s="22" t="s">
        <v>121</v>
      </c>
      <c r="C208" s="22" t="s">
        <v>430</v>
      </c>
      <c r="D208" s="22" t="s">
        <v>431</v>
      </c>
      <c r="E208" s="22" t="s">
        <v>424</v>
      </c>
      <c r="F208" s="22" t="s">
        <v>426</v>
      </c>
      <c r="G208" s="23">
        <v>2023.0</v>
      </c>
      <c r="H208" s="23">
        <v>87.0</v>
      </c>
      <c r="I208" s="23">
        <v>204.0</v>
      </c>
      <c r="J208" s="24" t="str">
        <f>'1. Base de donnée HILIN MU CM2 '!$G208&amp;"-"&amp;'1. Base de donnée HILIN MU CM2 '!$H208&amp;"-"&amp;'1. Base de donnée HILIN MU CM2 '!$I208</f>
        <v>2023-87-204</v>
      </c>
      <c r="K208" s="23">
        <f t="shared" si="1"/>
        <v>201</v>
      </c>
      <c r="L208" s="24" t="s">
        <v>31</v>
      </c>
      <c r="M208" s="24"/>
      <c r="N208" s="24"/>
      <c r="O208" s="22">
        <v>8.0</v>
      </c>
      <c r="P208" s="22">
        <v>5.25</v>
      </c>
      <c r="Q208" s="22">
        <f>SUM('1. Base de donnée HILIN MU CM2 '!$O208+'1. Base de donnée HILIN MU CM2 '!$P208)/2</f>
        <v>6.625</v>
      </c>
      <c r="R208" s="22">
        <v>16.0</v>
      </c>
      <c r="S208" s="33">
        <v>19.25</v>
      </c>
      <c r="T208" s="22">
        <f>('1. Base de donnée HILIN MU CM2 '!$R208+'1. Base de donnée HILIN MU CM2 '!$S208)/2</f>
        <v>17.625</v>
      </c>
      <c r="U208" s="25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</row>
    <row r="209" ht="14.25" customHeight="1">
      <c r="A209" s="27" t="s">
        <v>421</v>
      </c>
      <c r="B209" s="27" t="s">
        <v>121</v>
      </c>
      <c r="C209" s="27" t="s">
        <v>432</v>
      </c>
      <c r="D209" s="27" t="s">
        <v>433</v>
      </c>
      <c r="E209" s="27" t="s">
        <v>424</v>
      </c>
      <c r="F209" s="27" t="s">
        <v>426</v>
      </c>
      <c r="G209" s="28">
        <v>2023.0</v>
      </c>
      <c r="H209" s="28">
        <v>87.0</v>
      </c>
      <c r="I209" s="28">
        <v>205.0</v>
      </c>
      <c r="J209" s="29" t="str">
        <f>'1. Base de donnée HILIN MU CM2 '!$G209&amp;"-"&amp;'1. Base de donnée HILIN MU CM2 '!$H209&amp;"-"&amp;'1. Base de donnée HILIN MU CM2 '!$I209</f>
        <v>2023-87-205</v>
      </c>
      <c r="K209" s="28">
        <f t="shared" si="1"/>
        <v>202</v>
      </c>
      <c r="L209" s="29" t="s">
        <v>31</v>
      </c>
      <c r="M209" s="29"/>
      <c r="N209" s="29"/>
      <c r="O209" s="27">
        <v>11.5</v>
      </c>
      <c r="P209" s="27">
        <v>3.25</v>
      </c>
      <c r="Q209" s="27">
        <f>SUM('1. Base de donnée HILIN MU CM2 '!$O209+'1. Base de donnée HILIN MU CM2 '!$P209)/2</f>
        <v>7.375</v>
      </c>
      <c r="R209" s="27">
        <v>16.0</v>
      </c>
      <c r="S209" s="34">
        <v>15.5</v>
      </c>
      <c r="T209" s="27">
        <f>('1. Base de donnée HILIN MU CM2 '!$R209+'1. Base de donnée HILIN MU CM2 '!$S209)/2</f>
        <v>15.75</v>
      </c>
      <c r="U209" s="30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</row>
    <row r="210" ht="14.25" customHeight="1">
      <c r="A210" s="22" t="s">
        <v>421</v>
      </c>
      <c r="B210" s="22" t="s">
        <v>121</v>
      </c>
      <c r="C210" s="22" t="s">
        <v>434</v>
      </c>
      <c r="D210" s="22" t="s">
        <v>65</v>
      </c>
      <c r="E210" s="22" t="s">
        <v>424</v>
      </c>
      <c r="F210" s="22" t="s">
        <v>425</v>
      </c>
      <c r="G210" s="23">
        <v>2023.0</v>
      </c>
      <c r="H210" s="23">
        <v>87.0</v>
      </c>
      <c r="I210" s="23">
        <v>206.0</v>
      </c>
      <c r="J210" s="24" t="str">
        <f>'1. Base de donnée HILIN MU CM2 '!$G210&amp;"-"&amp;'1. Base de donnée HILIN MU CM2 '!$H210&amp;"-"&amp;'1. Base de donnée HILIN MU CM2 '!$I210</f>
        <v>2023-87-206</v>
      </c>
      <c r="K210" s="23">
        <f t="shared" si="1"/>
        <v>203</v>
      </c>
      <c r="L210" s="24" t="s">
        <v>31</v>
      </c>
      <c r="M210" s="24"/>
      <c r="N210" s="24"/>
      <c r="O210" s="22">
        <v>3.0</v>
      </c>
      <c r="P210" s="22">
        <v>0.0</v>
      </c>
      <c r="Q210" s="22">
        <f>SUM('1. Base de donnée HILIN MU CM2 '!$O210+'1. Base de donnée HILIN MU CM2 '!$P210)/2</f>
        <v>1.5</v>
      </c>
      <c r="R210" s="22">
        <v>16.0</v>
      </c>
      <c r="S210" s="33">
        <v>16.5</v>
      </c>
      <c r="T210" s="22">
        <f>('1. Base de donnée HILIN MU CM2 '!$R210+'1. Base de donnée HILIN MU CM2 '!$S210)/2</f>
        <v>16.25</v>
      </c>
      <c r="U210" s="25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</row>
    <row r="211" ht="14.25" customHeight="1">
      <c r="A211" s="27" t="s">
        <v>421</v>
      </c>
      <c r="B211" s="27" t="s">
        <v>121</v>
      </c>
      <c r="C211" s="27" t="s">
        <v>435</v>
      </c>
      <c r="D211" s="27" t="s">
        <v>436</v>
      </c>
      <c r="E211" s="27" t="s">
        <v>424</v>
      </c>
      <c r="F211" s="27" t="s">
        <v>425</v>
      </c>
      <c r="G211" s="28">
        <v>2023.0</v>
      </c>
      <c r="H211" s="28">
        <v>87.0</v>
      </c>
      <c r="I211" s="28">
        <v>207.0</v>
      </c>
      <c r="J211" s="29" t="str">
        <f>'1. Base de donnée HILIN MU CM2 '!$G211&amp;"-"&amp;'1. Base de donnée HILIN MU CM2 '!$H211&amp;"-"&amp;'1. Base de donnée HILIN MU CM2 '!$I211</f>
        <v>2023-87-207</v>
      </c>
      <c r="K211" s="28">
        <f t="shared" si="1"/>
        <v>204</v>
      </c>
      <c r="L211" s="29" t="s">
        <v>31</v>
      </c>
      <c r="M211" s="29"/>
      <c r="N211" s="29"/>
      <c r="O211" s="27">
        <v>2.0</v>
      </c>
      <c r="P211" s="27">
        <v>0.75</v>
      </c>
      <c r="Q211" s="27">
        <f>SUM('1. Base de donnée HILIN MU CM2 '!$O211+'1. Base de donnée HILIN MU CM2 '!$P211)/2</f>
        <v>1.375</v>
      </c>
      <c r="R211" s="27">
        <v>16.0</v>
      </c>
      <c r="S211" s="34">
        <v>11.0</v>
      </c>
      <c r="T211" s="27">
        <f>('1. Base de donnée HILIN MU CM2 '!$R211+'1. Base de donnée HILIN MU CM2 '!$S211)/2</f>
        <v>13.5</v>
      </c>
      <c r="U211" s="30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</row>
    <row r="212" ht="14.25" customHeight="1">
      <c r="A212" s="22" t="s">
        <v>421</v>
      </c>
      <c r="B212" s="22" t="s">
        <v>121</v>
      </c>
      <c r="C212" s="22" t="s">
        <v>437</v>
      </c>
      <c r="D212" s="22" t="s">
        <v>438</v>
      </c>
      <c r="E212" s="22" t="s">
        <v>424</v>
      </c>
      <c r="F212" s="22" t="s">
        <v>429</v>
      </c>
      <c r="G212" s="23">
        <v>2023.0</v>
      </c>
      <c r="H212" s="23">
        <v>87.0</v>
      </c>
      <c r="I212" s="23">
        <v>208.0</v>
      </c>
      <c r="J212" s="24" t="str">
        <f>'1. Base de donnée HILIN MU CM2 '!$G212&amp;"-"&amp;'1. Base de donnée HILIN MU CM2 '!$H212&amp;"-"&amp;'1. Base de donnée HILIN MU CM2 '!$I212</f>
        <v>2023-87-208</v>
      </c>
      <c r="K212" s="23">
        <f t="shared" si="1"/>
        <v>205</v>
      </c>
      <c r="L212" s="24" t="s">
        <v>31</v>
      </c>
      <c r="M212" s="24"/>
      <c r="N212" s="24"/>
      <c r="O212" s="22">
        <v>1.0</v>
      </c>
      <c r="P212" s="22">
        <v>2.25</v>
      </c>
      <c r="Q212" s="22">
        <f>SUM('1. Base de donnée HILIN MU CM2 '!$O212+'1. Base de donnée HILIN MU CM2 '!$P212)/2</f>
        <v>1.625</v>
      </c>
      <c r="R212" s="22">
        <v>16.0</v>
      </c>
      <c r="S212" s="33">
        <v>13.0</v>
      </c>
      <c r="T212" s="22">
        <f>('1. Base de donnée HILIN MU CM2 '!$R212+'1. Base de donnée HILIN MU CM2 '!$S212)/2</f>
        <v>14.5</v>
      </c>
      <c r="U212" s="25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</row>
    <row r="213" ht="14.25" customHeight="1">
      <c r="A213" s="27" t="s">
        <v>421</v>
      </c>
      <c r="B213" s="27" t="s">
        <v>121</v>
      </c>
      <c r="C213" s="27" t="s">
        <v>439</v>
      </c>
      <c r="D213" s="27" t="s">
        <v>440</v>
      </c>
      <c r="E213" s="27" t="s">
        <v>424</v>
      </c>
      <c r="F213" s="27" t="s">
        <v>429</v>
      </c>
      <c r="G213" s="28">
        <v>2023.0</v>
      </c>
      <c r="H213" s="28">
        <v>87.0</v>
      </c>
      <c r="I213" s="28">
        <v>209.0</v>
      </c>
      <c r="J213" s="29" t="str">
        <f>'1. Base de donnée HILIN MU CM2 '!$G213&amp;"-"&amp;'1. Base de donnée HILIN MU CM2 '!$H213&amp;"-"&amp;'1. Base de donnée HILIN MU CM2 '!$I213</f>
        <v>2023-87-209</v>
      </c>
      <c r="K213" s="28">
        <f t="shared" si="1"/>
        <v>206</v>
      </c>
      <c r="L213" s="29" t="s">
        <v>31</v>
      </c>
      <c r="M213" s="29"/>
      <c r="N213" s="29"/>
      <c r="O213" s="27">
        <v>6.5</v>
      </c>
      <c r="P213" s="27">
        <v>3.0</v>
      </c>
      <c r="Q213" s="27">
        <f>SUM('1. Base de donnée HILIN MU CM2 '!$O213+'1. Base de donnée HILIN MU CM2 '!$P213)/2</f>
        <v>4.75</v>
      </c>
      <c r="R213" s="27">
        <v>16.0</v>
      </c>
      <c r="S213" s="34">
        <v>17.5</v>
      </c>
      <c r="T213" s="27">
        <f>('1. Base de donnée HILIN MU CM2 '!$R213+'1. Base de donnée HILIN MU CM2 '!$S213)/2</f>
        <v>16.75</v>
      </c>
      <c r="U213" s="30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</row>
    <row r="214" ht="14.25" customHeight="1">
      <c r="A214" s="22" t="s">
        <v>421</v>
      </c>
      <c r="B214" s="22" t="s">
        <v>121</v>
      </c>
      <c r="C214" s="22" t="s">
        <v>441</v>
      </c>
      <c r="D214" s="22" t="s">
        <v>442</v>
      </c>
      <c r="E214" s="22" t="s">
        <v>424</v>
      </c>
      <c r="F214" s="22" t="s">
        <v>425</v>
      </c>
      <c r="G214" s="23">
        <v>2023.0</v>
      </c>
      <c r="H214" s="23">
        <v>87.0</v>
      </c>
      <c r="I214" s="23">
        <v>210.0</v>
      </c>
      <c r="J214" s="24" t="str">
        <f>'1. Base de donnée HILIN MU CM2 '!$G214&amp;"-"&amp;'1. Base de donnée HILIN MU CM2 '!$H214&amp;"-"&amp;'1. Base de donnée HILIN MU CM2 '!$I214</f>
        <v>2023-87-210</v>
      </c>
      <c r="K214" s="23">
        <f t="shared" si="1"/>
        <v>207</v>
      </c>
      <c r="L214" s="24" t="s">
        <v>31</v>
      </c>
      <c r="M214" s="24"/>
      <c r="N214" s="24"/>
      <c r="O214" s="22">
        <v>9.0</v>
      </c>
      <c r="P214" s="22">
        <v>5.5</v>
      </c>
      <c r="Q214" s="22">
        <f>SUM('1. Base de donnée HILIN MU CM2 '!$O214+'1. Base de donnée HILIN MU CM2 '!$P214)/2</f>
        <v>7.25</v>
      </c>
      <c r="R214" s="22">
        <v>16.0</v>
      </c>
      <c r="S214" s="33">
        <v>18.0</v>
      </c>
      <c r="T214" s="22">
        <f>('1. Base de donnée HILIN MU CM2 '!$R214+'1. Base de donnée HILIN MU CM2 '!$S214)/2</f>
        <v>17</v>
      </c>
      <c r="U214" s="25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</row>
    <row r="215" ht="14.25" customHeight="1">
      <c r="A215" s="27" t="s">
        <v>421</v>
      </c>
      <c r="B215" s="27" t="s">
        <v>121</v>
      </c>
      <c r="C215" s="27" t="s">
        <v>443</v>
      </c>
      <c r="D215" s="27" t="s">
        <v>444</v>
      </c>
      <c r="E215" s="27" t="s">
        <v>424</v>
      </c>
      <c r="F215" s="27" t="s">
        <v>426</v>
      </c>
      <c r="G215" s="28">
        <v>2023.0</v>
      </c>
      <c r="H215" s="28">
        <v>87.0</v>
      </c>
      <c r="I215" s="28">
        <v>211.0</v>
      </c>
      <c r="J215" s="29" t="str">
        <f>'1. Base de donnée HILIN MU CM2 '!$G215&amp;"-"&amp;'1. Base de donnée HILIN MU CM2 '!$H215&amp;"-"&amp;'1. Base de donnée HILIN MU CM2 '!$I215</f>
        <v>2023-87-211</v>
      </c>
      <c r="K215" s="28">
        <f t="shared" si="1"/>
        <v>208</v>
      </c>
      <c r="L215" s="29" t="s">
        <v>31</v>
      </c>
      <c r="M215" s="29"/>
      <c r="N215" s="29"/>
      <c r="O215" s="27">
        <v>7.5</v>
      </c>
      <c r="P215" s="27">
        <v>1.5</v>
      </c>
      <c r="Q215" s="27">
        <f>SUM('1. Base de donnée HILIN MU CM2 '!$O215+'1. Base de donnée HILIN MU CM2 '!$P215)/2</f>
        <v>4.5</v>
      </c>
      <c r="R215" s="27">
        <v>16.0</v>
      </c>
      <c r="S215" s="34">
        <v>14.0</v>
      </c>
      <c r="T215" s="27">
        <f>('1. Base de donnée HILIN MU CM2 '!$R215+'1. Base de donnée HILIN MU CM2 '!$S215)/2</f>
        <v>15</v>
      </c>
      <c r="U215" s="30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</row>
    <row r="216" ht="14.25" customHeight="1">
      <c r="A216" s="22" t="s">
        <v>421</v>
      </c>
      <c r="B216" s="22" t="s">
        <v>121</v>
      </c>
      <c r="C216" s="22" t="s">
        <v>445</v>
      </c>
      <c r="D216" s="22" t="s">
        <v>446</v>
      </c>
      <c r="E216" s="22" t="s">
        <v>424</v>
      </c>
      <c r="F216" s="22" t="s">
        <v>425</v>
      </c>
      <c r="G216" s="23">
        <v>2023.0</v>
      </c>
      <c r="H216" s="23">
        <v>87.0</v>
      </c>
      <c r="I216" s="23">
        <v>212.0</v>
      </c>
      <c r="J216" s="24" t="str">
        <f>'1. Base de donnée HILIN MU CM2 '!$G216&amp;"-"&amp;'1. Base de donnée HILIN MU CM2 '!$H216&amp;"-"&amp;'1. Base de donnée HILIN MU CM2 '!$I216</f>
        <v>2023-87-212</v>
      </c>
      <c r="K216" s="23">
        <f t="shared" si="1"/>
        <v>209</v>
      </c>
      <c r="L216" s="24" t="s">
        <v>31</v>
      </c>
      <c r="M216" s="24"/>
      <c r="N216" s="24"/>
      <c r="O216" s="22">
        <v>10.5</v>
      </c>
      <c r="P216" s="22">
        <v>2.25</v>
      </c>
      <c r="Q216" s="22">
        <f>SUM('1. Base de donnée HILIN MU CM2 '!$O216+'1. Base de donnée HILIN MU CM2 '!$P216)/2</f>
        <v>6.375</v>
      </c>
      <c r="R216" s="22">
        <v>16.0</v>
      </c>
      <c r="S216" s="33">
        <v>16.5</v>
      </c>
      <c r="T216" s="22">
        <f>('1. Base de donnée HILIN MU CM2 '!$R216+'1. Base de donnée HILIN MU CM2 '!$S216)/2</f>
        <v>16.25</v>
      </c>
      <c r="U216" s="25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</row>
    <row r="217" ht="14.25" customHeight="1">
      <c r="A217" s="27" t="s">
        <v>421</v>
      </c>
      <c r="B217" s="27" t="s">
        <v>121</v>
      </c>
      <c r="C217" s="27" t="s">
        <v>447</v>
      </c>
      <c r="D217" s="27" t="s">
        <v>335</v>
      </c>
      <c r="E217" s="27" t="s">
        <v>424</v>
      </c>
      <c r="F217" s="27" t="s">
        <v>426</v>
      </c>
      <c r="G217" s="28">
        <v>2023.0</v>
      </c>
      <c r="H217" s="28">
        <v>87.0</v>
      </c>
      <c r="I217" s="28">
        <v>213.0</v>
      </c>
      <c r="J217" s="29" t="str">
        <f>'1. Base de donnée HILIN MU CM2 '!$G217&amp;"-"&amp;'1. Base de donnée HILIN MU CM2 '!$H217&amp;"-"&amp;'1. Base de donnée HILIN MU CM2 '!$I217</f>
        <v>2023-87-213</v>
      </c>
      <c r="K217" s="28">
        <f t="shared" si="1"/>
        <v>210</v>
      </c>
      <c r="L217" s="29" t="s">
        <v>31</v>
      </c>
      <c r="M217" s="29"/>
      <c r="N217" s="29"/>
      <c r="O217" s="27">
        <v>5.0</v>
      </c>
      <c r="P217" s="27">
        <v>6.5</v>
      </c>
      <c r="Q217" s="27">
        <f>SUM('1. Base de donnée HILIN MU CM2 '!$O217+'1. Base de donnée HILIN MU CM2 '!$P217)/2</f>
        <v>5.75</v>
      </c>
      <c r="R217" s="27">
        <v>16.0</v>
      </c>
      <c r="S217" s="34">
        <v>16.75</v>
      </c>
      <c r="T217" s="27">
        <f>('1. Base de donnée HILIN MU CM2 '!$R217+'1. Base de donnée HILIN MU CM2 '!$S217)/2</f>
        <v>16.375</v>
      </c>
      <c r="U217" s="30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</row>
    <row r="218" ht="14.25" customHeight="1">
      <c r="A218" s="22" t="s">
        <v>421</v>
      </c>
      <c r="B218" s="22" t="s">
        <v>121</v>
      </c>
      <c r="C218" s="22" t="s">
        <v>448</v>
      </c>
      <c r="D218" s="22" t="s">
        <v>234</v>
      </c>
      <c r="E218" s="22" t="s">
        <v>424</v>
      </c>
      <c r="F218" s="22" t="s">
        <v>426</v>
      </c>
      <c r="G218" s="23">
        <v>2023.0</v>
      </c>
      <c r="H218" s="23">
        <v>87.0</v>
      </c>
      <c r="I218" s="23">
        <v>214.0</v>
      </c>
      <c r="J218" s="24" t="str">
        <f>'1. Base de donnée HILIN MU CM2 '!$G218&amp;"-"&amp;'1. Base de donnée HILIN MU CM2 '!$H218&amp;"-"&amp;'1. Base de donnée HILIN MU CM2 '!$I218</f>
        <v>2023-87-214</v>
      </c>
      <c r="K218" s="23">
        <f t="shared" si="1"/>
        <v>211</v>
      </c>
      <c r="L218" s="24" t="s">
        <v>31</v>
      </c>
      <c r="M218" s="24"/>
      <c r="N218" s="24"/>
      <c r="O218" s="22">
        <v>8.0</v>
      </c>
      <c r="P218" s="22">
        <v>1.75</v>
      </c>
      <c r="Q218" s="22">
        <f>SUM('1. Base de donnée HILIN MU CM2 '!$O218+'1. Base de donnée HILIN MU CM2 '!$P218)/2</f>
        <v>4.875</v>
      </c>
      <c r="R218" s="22">
        <v>16.0</v>
      </c>
      <c r="S218" s="33">
        <v>14.0</v>
      </c>
      <c r="T218" s="22">
        <f>('1. Base de donnée HILIN MU CM2 '!$R218+'1. Base de donnée HILIN MU CM2 '!$S218)/2</f>
        <v>15</v>
      </c>
      <c r="U218" s="25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</row>
    <row r="219" ht="14.25" customHeight="1">
      <c r="A219" s="27" t="s">
        <v>421</v>
      </c>
      <c r="B219" s="27" t="s">
        <v>121</v>
      </c>
      <c r="C219" s="27" t="s">
        <v>449</v>
      </c>
      <c r="D219" s="27" t="s">
        <v>450</v>
      </c>
      <c r="E219" s="27" t="s">
        <v>424</v>
      </c>
      <c r="F219" s="27" t="s">
        <v>429</v>
      </c>
      <c r="G219" s="28">
        <v>2023.0</v>
      </c>
      <c r="H219" s="28">
        <v>87.0</v>
      </c>
      <c r="I219" s="28">
        <v>215.0</v>
      </c>
      <c r="J219" s="29" t="str">
        <f>'1. Base de donnée HILIN MU CM2 '!$G219&amp;"-"&amp;'1. Base de donnée HILIN MU CM2 '!$H219&amp;"-"&amp;'1. Base de donnée HILIN MU CM2 '!$I219</f>
        <v>2023-87-215</v>
      </c>
      <c r="K219" s="28">
        <f t="shared" si="1"/>
        <v>212</v>
      </c>
      <c r="L219" s="29" t="s">
        <v>31</v>
      </c>
      <c r="M219" s="29"/>
      <c r="N219" s="29"/>
      <c r="O219" s="27">
        <v>4.0</v>
      </c>
      <c r="P219" s="27">
        <v>1.25</v>
      </c>
      <c r="Q219" s="27">
        <f>SUM('1. Base de donnée HILIN MU CM2 '!$O219+'1. Base de donnée HILIN MU CM2 '!$P219)/2</f>
        <v>2.625</v>
      </c>
      <c r="R219" s="27">
        <v>16.0</v>
      </c>
      <c r="S219" s="34">
        <v>16.5</v>
      </c>
      <c r="T219" s="27">
        <f>('1. Base de donnée HILIN MU CM2 '!$R219+'1. Base de donnée HILIN MU CM2 '!$S219)/2</f>
        <v>16.25</v>
      </c>
      <c r="U219" s="30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</row>
    <row r="220" ht="14.25" customHeight="1">
      <c r="A220" s="22" t="s">
        <v>421</v>
      </c>
      <c r="B220" s="22" t="s">
        <v>121</v>
      </c>
      <c r="C220" s="22" t="s">
        <v>451</v>
      </c>
      <c r="D220" s="22" t="s">
        <v>452</v>
      </c>
      <c r="E220" s="22" t="s">
        <v>424</v>
      </c>
      <c r="F220" s="22" t="s">
        <v>426</v>
      </c>
      <c r="G220" s="23">
        <v>2023.0</v>
      </c>
      <c r="H220" s="23">
        <v>87.0</v>
      </c>
      <c r="I220" s="23">
        <v>216.0</v>
      </c>
      <c r="J220" s="24" t="str">
        <f>'1. Base de donnée HILIN MU CM2 '!$G220&amp;"-"&amp;'1. Base de donnée HILIN MU CM2 '!$H220&amp;"-"&amp;'1. Base de donnée HILIN MU CM2 '!$I220</f>
        <v>2023-87-216</v>
      </c>
      <c r="K220" s="23">
        <f t="shared" si="1"/>
        <v>213</v>
      </c>
      <c r="L220" s="24" t="s">
        <v>31</v>
      </c>
      <c r="M220" s="24"/>
      <c r="N220" s="24"/>
      <c r="O220" s="22">
        <v>9.5</v>
      </c>
      <c r="P220" s="22">
        <v>3.0</v>
      </c>
      <c r="Q220" s="22">
        <f>SUM('1. Base de donnée HILIN MU CM2 '!$O220+'1. Base de donnée HILIN MU CM2 '!$P220)/2</f>
        <v>6.25</v>
      </c>
      <c r="R220" s="22">
        <v>16.0</v>
      </c>
      <c r="S220" s="33">
        <v>15.5</v>
      </c>
      <c r="T220" s="22">
        <f>('1. Base de donnée HILIN MU CM2 '!$R220+'1. Base de donnée HILIN MU CM2 '!$S220)/2</f>
        <v>15.75</v>
      </c>
      <c r="U220" s="25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</row>
    <row r="221" ht="14.25" customHeight="1">
      <c r="A221" s="27" t="s">
        <v>421</v>
      </c>
      <c r="B221" s="27" t="s">
        <v>121</v>
      </c>
      <c r="C221" s="27" t="s">
        <v>453</v>
      </c>
      <c r="D221" s="27" t="s">
        <v>454</v>
      </c>
      <c r="E221" s="27" t="s">
        <v>424</v>
      </c>
      <c r="F221" s="27" t="s">
        <v>425</v>
      </c>
      <c r="G221" s="28">
        <v>2023.0</v>
      </c>
      <c r="H221" s="28">
        <v>87.0</v>
      </c>
      <c r="I221" s="28">
        <v>217.0</v>
      </c>
      <c r="J221" s="29" t="str">
        <f>'1. Base de donnée HILIN MU CM2 '!$G221&amp;"-"&amp;'1. Base de donnée HILIN MU CM2 '!$H221&amp;"-"&amp;'1. Base de donnée HILIN MU CM2 '!$I221</f>
        <v>2023-87-217</v>
      </c>
      <c r="K221" s="28">
        <f t="shared" si="1"/>
        <v>214</v>
      </c>
      <c r="L221" s="29" t="s">
        <v>31</v>
      </c>
      <c r="M221" s="29"/>
      <c r="N221" s="29"/>
      <c r="O221" s="27">
        <v>10.0</v>
      </c>
      <c r="P221" s="27">
        <v>3.25</v>
      </c>
      <c r="Q221" s="27">
        <f>SUM('1. Base de donnée HILIN MU CM2 '!$O221+'1. Base de donnée HILIN MU CM2 '!$P221)/2</f>
        <v>6.625</v>
      </c>
      <c r="R221" s="27">
        <v>16.0</v>
      </c>
      <c r="S221" s="34">
        <v>18.5</v>
      </c>
      <c r="T221" s="27">
        <f>('1. Base de donnée HILIN MU CM2 '!$R221+'1. Base de donnée HILIN MU CM2 '!$S221)/2</f>
        <v>17.25</v>
      </c>
      <c r="U221" s="30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</row>
    <row r="222" ht="14.25" customHeight="1">
      <c r="A222" s="22" t="s">
        <v>421</v>
      </c>
      <c r="B222" s="22" t="s">
        <v>121</v>
      </c>
      <c r="C222" s="22" t="s">
        <v>455</v>
      </c>
      <c r="D222" s="22" t="s">
        <v>436</v>
      </c>
      <c r="E222" s="22" t="s">
        <v>424</v>
      </c>
      <c r="F222" s="22" t="s">
        <v>426</v>
      </c>
      <c r="G222" s="23">
        <v>2023.0</v>
      </c>
      <c r="H222" s="23">
        <v>87.0</v>
      </c>
      <c r="I222" s="23">
        <v>218.0</v>
      </c>
      <c r="J222" s="24" t="str">
        <f>'1. Base de donnée HILIN MU CM2 '!$G222&amp;"-"&amp;'1. Base de donnée HILIN MU CM2 '!$H222&amp;"-"&amp;'1. Base de donnée HILIN MU CM2 '!$I222</f>
        <v>2023-87-218</v>
      </c>
      <c r="K222" s="23">
        <f t="shared" si="1"/>
        <v>215</v>
      </c>
      <c r="L222" s="24" t="s">
        <v>31</v>
      </c>
      <c r="M222" s="24"/>
      <c r="N222" s="24"/>
      <c r="O222" s="22">
        <v>2.5</v>
      </c>
      <c r="P222" s="22">
        <v>2.75</v>
      </c>
      <c r="Q222" s="22">
        <f>SUM('1. Base de donnée HILIN MU CM2 '!$O222+'1. Base de donnée HILIN MU CM2 '!$P222)/2</f>
        <v>2.625</v>
      </c>
      <c r="R222" s="22">
        <v>16.0</v>
      </c>
      <c r="S222" s="33">
        <v>17.5</v>
      </c>
      <c r="T222" s="22">
        <f>('1. Base de donnée HILIN MU CM2 '!$R222+'1. Base de donnée HILIN MU CM2 '!$S222)/2</f>
        <v>16.75</v>
      </c>
      <c r="U222" s="25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</row>
    <row r="223" ht="14.25" customHeight="1">
      <c r="A223" s="27" t="s">
        <v>421</v>
      </c>
      <c r="B223" s="27" t="s">
        <v>121</v>
      </c>
      <c r="C223" s="27" t="s">
        <v>456</v>
      </c>
      <c r="D223" s="27" t="s">
        <v>457</v>
      </c>
      <c r="E223" s="27" t="s">
        <v>424</v>
      </c>
      <c r="F223" s="27" t="s">
        <v>426</v>
      </c>
      <c r="G223" s="28">
        <v>2023.0</v>
      </c>
      <c r="H223" s="28">
        <v>87.0</v>
      </c>
      <c r="I223" s="28">
        <v>219.0</v>
      </c>
      <c r="J223" s="29" t="str">
        <f>'1. Base de donnée HILIN MU CM2 '!$G223&amp;"-"&amp;'1. Base de donnée HILIN MU CM2 '!$H223&amp;"-"&amp;'1. Base de donnée HILIN MU CM2 '!$I223</f>
        <v>2023-87-219</v>
      </c>
      <c r="K223" s="28">
        <f t="shared" si="1"/>
        <v>216</v>
      </c>
      <c r="L223" s="29" t="s">
        <v>31</v>
      </c>
      <c r="M223" s="29"/>
      <c r="N223" s="29"/>
      <c r="O223" s="27">
        <v>8.0</v>
      </c>
      <c r="P223" s="27">
        <v>2.5</v>
      </c>
      <c r="Q223" s="27">
        <f>SUM('1. Base de donnée HILIN MU CM2 '!$O223+'1. Base de donnée HILIN MU CM2 '!$P223)/2</f>
        <v>5.25</v>
      </c>
      <c r="R223" s="27">
        <v>16.0</v>
      </c>
      <c r="S223" s="34">
        <v>13.5</v>
      </c>
      <c r="T223" s="27">
        <f>('1. Base de donnée HILIN MU CM2 '!$R223+'1. Base de donnée HILIN MU CM2 '!$S223)/2</f>
        <v>14.75</v>
      </c>
      <c r="U223" s="30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</row>
    <row r="224" ht="14.25" customHeight="1">
      <c r="A224" s="22" t="s">
        <v>421</v>
      </c>
      <c r="B224" s="22" t="s">
        <v>121</v>
      </c>
      <c r="C224" s="22" t="s">
        <v>458</v>
      </c>
      <c r="D224" s="22" t="s">
        <v>459</v>
      </c>
      <c r="E224" s="22" t="s">
        <v>424</v>
      </c>
      <c r="F224" s="22" t="s">
        <v>425</v>
      </c>
      <c r="G224" s="23">
        <v>2023.0</v>
      </c>
      <c r="H224" s="23">
        <v>87.0</v>
      </c>
      <c r="I224" s="23">
        <v>221.0</v>
      </c>
      <c r="J224" s="24" t="str">
        <f>'1. Base de donnée HILIN MU CM2 '!$G224&amp;"-"&amp;'1. Base de donnée HILIN MU CM2 '!$H224&amp;"-"&amp;'1. Base de donnée HILIN MU CM2 '!$I224</f>
        <v>2023-87-221</v>
      </c>
      <c r="K224" s="23">
        <f t="shared" si="1"/>
        <v>217</v>
      </c>
      <c r="L224" s="24" t="s">
        <v>31</v>
      </c>
      <c r="M224" s="24"/>
      <c r="N224" s="24"/>
      <c r="O224" s="22">
        <v>7.5</v>
      </c>
      <c r="P224" s="22">
        <v>1.75</v>
      </c>
      <c r="Q224" s="22">
        <f>SUM('1. Base de donnée HILIN MU CM2 '!$O224+'1. Base de donnée HILIN MU CM2 '!$P224)/2</f>
        <v>4.625</v>
      </c>
      <c r="R224" s="22">
        <v>16.0</v>
      </c>
      <c r="S224" s="33">
        <v>19.5</v>
      </c>
      <c r="T224" s="22">
        <f>('1. Base de donnée HILIN MU CM2 '!$R224+'1. Base de donnée HILIN MU CM2 '!$S224)/2</f>
        <v>17.75</v>
      </c>
      <c r="U224" s="25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</row>
    <row r="225" ht="14.25" customHeight="1">
      <c r="A225" s="27" t="s">
        <v>421</v>
      </c>
      <c r="B225" s="27" t="s">
        <v>121</v>
      </c>
      <c r="C225" s="27" t="s">
        <v>460</v>
      </c>
      <c r="D225" s="27" t="s">
        <v>450</v>
      </c>
      <c r="E225" s="27" t="s">
        <v>424</v>
      </c>
      <c r="F225" s="27" t="s">
        <v>429</v>
      </c>
      <c r="G225" s="28">
        <v>2023.0</v>
      </c>
      <c r="H225" s="28">
        <v>87.0</v>
      </c>
      <c r="I225" s="28">
        <v>222.0</v>
      </c>
      <c r="J225" s="29" t="str">
        <f>'1. Base de donnée HILIN MU CM2 '!$G225&amp;"-"&amp;'1. Base de donnée HILIN MU CM2 '!$H225&amp;"-"&amp;'1. Base de donnée HILIN MU CM2 '!$I225</f>
        <v>2023-87-222</v>
      </c>
      <c r="K225" s="28">
        <f t="shared" si="1"/>
        <v>218</v>
      </c>
      <c r="L225" s="29" t="s">
        <v>31</v>
      </c>
      <c r="M225" s="29"/>
      <c r="N225" s="29"/>
      <c r="O225" s="27">
        <v>5.0</v>
      </c>
      <c r="P225" s="27">
        <v>0.75</v>
      </c>
      <c r="Q225" s="27">
        <f>SUM('1. Base de donnée HILIN MU CM2 '!$O225+'1. Base de donnée HILIN MU CM2 '!$P225)/2</f>
        <v>2.875</v>
      </c>
      <c r="R225" s="27">
        <v>16.0</v>
      </c>
      <c r="S225" s="34">
        <v>16.0</v>
      </c>
      <c r="T225" s="27">
        <f>('1. Base de donnée HILIN MU CM2 '!$R225+'1. Base de donnée HILIN MU CM2 '!$S225)/2</f>
        <v>16</v>
      </c>
      <c r="U225" s="30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</row>
    <row r="226" ht="14.25" customHeight="1">
      <c r="A226" s="22" t="s">
        <v>421</v>
      </c>
      <c r="B226" s="22" t="s">
        <v>121</v>
      </c>
      <c r="C226" s="22" t="s">
        <v>461</v>
      </c>
      <c r="D226" s="22" t="s">
        <v>450</v>
      </c>
      <c r="E226" s="22" t="s">
        <v>424</v>
      </c>
      <c r="F226" s="22" t="s">
        <v>429</v>
      </c>
      <c r="G226" s="23">
        <v>2023.0</v>
      </c>
      <c r="H226" s="23">
        <v>87.0</v>
      </c>
      <c r="I226" s="23">
        <v>223.0</v>
      </c>
      <c r="J226" s="24" t="str">
        <f>'1. Base de donnée HILIN MU CM2 '!$G226&amp;"-"&amp;'1. Base de donnée HILIN MU CM2 '!$H226&amp;"-"&amp;'1. Base de donnée HILIN MU CM2 '!$I226</f>
        <v>2023-87-223</v>
      </c>
      <c r="K226" s="23">
        <f t="shared" si="1"/>
        <v>219</v>
      </c>
      <c r="L226" s="24" t="s">
        <v>31</v>
      </c>
      <c r="M226" s="24"/>
      <c r="N226" s="24"/>
      <c r="O226" s="22">
        <v>2.5</v>
      </c>
      <c r="P226" s="22">
        <v>2.25</v>
      </c>
      <c r="Q226" s="22">
        <f>SUM('1. Base de donnée HILIN MU CM2 '!$O226+'1. Base de donnée HILIN MU CM2 '!$P226)/2</f>
        <v>2.375</v>
      </c>
      <c r="R226" s="22">
        <v>16.0</v>
      </c>
      <c r="S226" s="33">
        <v>14.0</v>
      </c>
      <c r="T226" s="22">
        <f>('1. Base de donnée HILIN MU CM2 '!$R226+'1. Base de donnée HILIN MU CM2 '!$S226)/2</f>
        <v>15</v>
      </c>
      <c r="U226" s="25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</row>
    <row r="227" ht="14.25" customHeight="1">
      <c r="A227" s="27" t="s">
        <v>421</v>
      </c>
      <c r="B227" s="27" t="s">
        <v>121</v>
      </c>
      <c r="C227" s="27" t="s">
        <v>462</v>
      </c>
      <c r="D227" s="27" t="s">
        <v>463</v>
      </c>
      <c r="E227" s="27" t="s">
        <v>424</v>
      </c>
      <c r="F227" s="27" t="s">
        <v>425</v>
      </c>
      <c r="G227" s="28">
        <v>2023.0</v>
      </c>
      <c r="H227" s="28">
        <v>87.0</v>
      </c>
      <c r="I227" s="28">
        <v>224.0</v>
      </c>
      <c r="J227" s="29" t="str">
        <f>'1. Base de donnée HILIN MU CM2 '!$G227&amp;"-"&amp;'1. Base de donnée HILIN MU CM2 '!$H227&amp;"-"&amp;'1. Base de donnée HILIN MU CM2 '!$I227</f>
        <v>2023-87-224</v>
      </c>
      <c r="K227" s="28">
        <f t="shared" si="1"/>
        <v>220</v>
      </c>
      <c r="L227" s="29" t="s">
        <v>31</v>
      </c>
      <c r="M227" s="29"/>
      <c r="N227" s="29"/>
      <c r="O227" s="27">
        <v>4.5</v>
      </c>
      <c r="P227" s="27">
        <v>1.5</v>
      </c>
      <c r="Q227" s="27">
        <f>SUM('1. Base de donnée HILIN MU CM2 '!$O227+'1. Base de donnée HILIN MU CM2 '!$P227)/2</f>
        <v>3</v>
      </c>
      <c r="R227" s="27">
        <v>16.0</v>
      </c>
      <c r="S227" s="34">
        <v>16.5</v>
      </c>
      <c r="T227" s="27">
        <f>('1. Base de donnée HILIN MU CM2 '!$R227+'1. Base de donnée HILIN MU CM2 '!$S227)/2</f>
        <v>16.25</v>
      </c>
      <c r="U227" s="30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</row>
    <row r="228" ht="14.25" customHeight="1">
      <c r="A228" s="22" t="s">
        <v>421</v>
      </c>
      <c r="B228" s="22" t="s">
        <v>121</v>
      </c>
      <c r="C228" s="22" t="s">
        <v>464</v>
      </c>
      <c r="D228" s="22" t="s">
        <v>465</v>
      </c>
      <c r="E228" s="22" t="s">
        <v>424</v>
      </c>
      <c r="F228" s="22" t="s">
        <v>425</v>
      </c>
      <c r="G228" s="23">
        <v>2023.0</v>
      </c>
      <c r="H228" s="23">
        <v>87.0</v>
      </c>
      <c r="I228" s="23">
        <v>225.0</v>
      </c>
      <c r="J228" s="24" t="str">
        <f>'1. Base de donnée HILIN MU CM2 '!$G228&amp;"-"&amp;'1. Base de donnée HILIN MU CM2 '!$H228&amp;"-"&amp;'1. Base de donnée HILIN MU CM2 '!$I228</f>
        <v>2023-87-225</v>
      </c>
      <c r="K228" s="23">
        <f t="shared" si="1"/>
        <v>221</v>
      </c>
      <c r="L228" s="24" t="s">
        <v>31</v>
      </c>
      <c r="M228" s="24"/>
      <c r="N228" s="24"/>
      <c r="O228" s="22">
        <v>6.0</v>
      </c>
      <c r="P228" s="22">
        <v>2.25</v>
      </c>
      <c r="Q228" s="22">
        <f>SUM('1. Base de donnée HILIN MU CM2 '!$O228+'1. Base de donnée HILIN MU CM2 '!$P228)/2</f>
        <v>4.125</v>
      </c>
      <c r="R228" s="22">
        <v>16.0</v>
      </c>
      <c r="S228" s="33">
        <v>16.5</v>
      </c>
      <c r="T228" s="22">
        <f>('1. Base de donnée HILIN MU CM2 '!$R228+'1. Base de donnée HILIN MU CM2 '!$S228)/2</f>
        <v>16.25</v>
      </c>
      <c r="U228" s="25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</row>
    <row r="229" ht="14.25" customHeight="1">
      <c r="A229" s="27" t="s">
        <v>421</v>
      </c>
      <c r="B229" s="27" t="s">
        <v>121</v>
      </c>
      <c r="C229" s="27" t="s">
        <v>466</v>
      </c>
      <c r="D229" s="27" t="s">
        <v>467</v>
      </c>
      <c r="E229" s="27" t="s">
        <v>424</v>
      </c>
      <c r="F229" s="27" t="s">
        <v>426</v>
      </c>
      <c r="G229" s="28">
        <v>2023.0</v>
      </c>
      <c r="H229" s="28">
        <v>87.0</v>
      </c>
      <c r="I229" s="28">
        <v>226.0</v>
      </c>
      <c r="J229" s="29" t="str">
        <f>'1. Base de donnée HILIN MU CM2 '!$G229&amp;"-"&amp;'1. Base de donnée HILIN MU CM2 '!$H229&amp;"-"&amp;'1. Base de donnée HILIN MU CM2 '!$I229</f>
        <v>2023-87-226</v>
      </c>
      <c r="K229" s="28">
        <f t="shared" si="1"/>
        <v>222</v>
      </c>
      <c r="L229" s="29" t="s">
        <v>31</v>
      </c>
      <c r="M229" s="29"/>
      <c r="N229" s="29"/>
      <c r="O229" s="27">
        <v>2.5</v>
      </c>
      <c r="P229" s="27">
        <v>4.0</v>
      </c>
      <c r="Q229" s="27">
        <f>SUM('1. Base de donnée HILIN MU CM2 '!$O229+'1. Base de donnée HILIN MU CM2 '!$P229)/2</f>
        <v>3.25</v>
      </c>
      <c r="R229" s="27">
        <v>16.0</v>
      </c>
      <c r="S229" s="34">
        <v>16.0</v>
      </c>
      <c r="T229" s="27">
        <f>('1. Base de donnée HILIN MU CM2 '!$R229+'1. Base de donnée HILIN MU CM2 '!$S229)/2</f>
        <v>16</v>
      </c>
      <c r="U229" s="30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</row>
    <row r="230" ht="14.25" customHeight="1">
      <c r="A230" s="22" t="s">
        <v>421</v>
      </c>
      <c r="B230" s="22" t="s">
        <v>121</v>
      </c>
      <c r="C230" s="22" t="s">
        <v>468</v>
      </c>
      <c r="D230" s="22" t="s">
        <v>469</v>
      </c>
      <c r="E230" s="22" t="s">
        <v>424</v>
      </c>
      <c r="F230" s="22" t="s">
        <v>429</v>
      </c>
      <c r="G230" s="23">
        <v>2023.0</v>
      </c>
      <c r="H230" s="23">
        <v>87.0</v>
      </c>
      <c r="I230" s="23">
        <v>227.0</v>
      </c>
      <c r="J230" s="24" t="str">
        <f>'1. Base de donnée HILIN MU CM2 '!$G230&amp;"-"&amp;'1. Base de donnée HILIN MU CM2 '!$H230&amp;"-"&amp;'1. Base de donnée HILIN MU CM2 '!$I230</f>
        <v>2023-87-227</v>
      </c>
      <c r="K230" s="23">
        <f t="shared" si="1"/>
        <v>223</v>
      </c>
      <c r="L230" s="24" t="s">
        <v>31</v>
      </c>
      <c r="M230" s="24"/>
      <c r="N230" s="24"/>
      <c r="O230" s="22">
        <v>8.0</v>
      </c>
      <c r="P230" s="22">
        <v>13.5</v>
      </c>
      <c r="Q230" s="22">
        <f>SUM('1. Base de donnée HILIN MU CM2 '!$O230+'1. Base de donnée HILIN MU CM2 '!$P230)/2</f>
        <v>10.75</v>
      </c>
      <c r="R230" s="22">
        <v>16.0</v>
      </c>
      <c r="S230" s="33">
        <v>18.0</v>
      </c>
      <c r="T230" s="22">
        <f>('1. Base de donnée HILIN MU CM2 '!$R230+'1. Base de donnée HILIN MU CM2 '!$S230)/2</f>
        <v>17</v>
      </c>
      <c r="U230" s="25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</row>
    <row r="231" ht="14.25" customHeight="1">
      <c r="A231" s="27" t="s">
        <v>421</v>
      </c>
      <c r="B231" s="27" t="s">
        <v>121</v>
      </c>
      <c r="C231" s="27" t="s">
        <v>470</v>
      </c>
      <c r="D231" s="27" t="s">
        <v>471</v>
      </c>
      <c r="E231" s="27" t="s">
        <v>424</v>
      </c>
      <c r="F231" s="27" t="s">
        <v>426</v>
      </c>
      <c r="G231" s="28">
        <v>2023.0</v>
      </c>
      <c r="H231" s="28">
        <v>87.0</v>
      </c>
      <c r="I231" s="28">
        <v>228.0</v>
      </c>
      <c r="J231" s="29" t="str">
        <f>'1. Base de donnée HILIN MU CM2 '!$G231&amp;"-"&amp;'1. Base de donnée HILIN MU CM2 '!$H231&amp;"-"&amp;'1. Base de donnée HILIN MU CM2 '!$I231</f>
        <v>2023-87-228</v>
      </c>
      <c r="K231" s="28">
        <f t="shared" si="1"/>
        <v>224</v>
      </c>
      <c r="L231" s="29" t="s">
        <v>31</v>
      </c>
      <c r="M231" s="29"/>
      <c r="N231" s="29"/>
      <c r="O231" s="27">
        <v>3.5</v>
      </c>
      <c r="P231" s="27">
        <v>4.0</v>
      </c>
      <c r="Q231" s="27">
        <f>SUM('1. Base de donnée HILIN MU CM2 '!$O231+'1. Base de donnée HILIN MU CM2 '!$P231)/2</f>
        <v>3.75</v>
      </c>
      <c r="R231" s="27">
        <v>16.0</v>
      </c>
      <c r="S231" s="34">
        <v>13.25</v>
      </c>
      <c r="T231" s="27">
        <f>('1. Base de donnée HILIN MU CM2 '!$R231+'1. Base de donnée HILIN MU CM2 '!$S231)/2</f>
        <v>14.625</v>
      </c>
      <c r="U231" s="30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</row>
    <row r="232" ht="14.25" customHeight="1">
      <c r="A232" s="22" t="s">
        <v>421</v>
      </c>
      <c r="B232" s="22" t="s">
        <v>121</v>
      </c>
      <c r="C232" s="22" t="s">
        <v>472</v>
      </c>
      <c r="D232" s="22" t="s">
        <v>463</v>
      </c>
      <c r="E232" s="22" t="s">
        <v>424</v>
      </c>
      <c r="F232" s="22" t="s">
        <v>426</v>
      </c>
      <c r="G232" s="23">
        <v>2023.0</v>
      </c>
      <c r="H232" s="23">
        <v>87.0</v>
      </c>
      <c r="I232" s="23">
        <v>229.0</v>
      </c>
      <c r="J232" s="24" t="str">
        <f>'1. Base de donnée HILIN MU CM2 '!$G232&amp;"-"&amp;'1. Base de donnée HILIN MU CM2 '!$H232&amp;"-"&amp;'1. Base de donnée HILIN MU CM2 '!$I232</f>
        <v>2023-87-229</v>
      </c>
      <c r="K232" s="23">
        <f t="shared" si="1"/>
        <v>225</v>
      </c>
      <c r="L232" s="24" t="s">
        <v>31</v>
      </c>
      <c r="M232" s="24"/>
      <c r="N232" s="24"/>
      <c r="O232" s="22">
        <v>7.5</v>
      </c>
      <c r="P232" s="22">
        <v>8.5</v>
      </c>
      <c r="Q232" s="22">
        <f>SUM('1. Base de donnée HILIN MU CM2 '!$O232+'1. Base de donnée HILIN MU CM2 '!$P232)/2</f>
        <v>8</v>
      </c>
      <c r="R232" s="22">
        <v>16.0</v>
      </c>
      <c r="S232" s="33">
        <v>16.0</v>
      </c>
      <c r="T232" s="22">
        <f>('1. Base de donnée HILIN MU CM2 '!$R232+'1. Base de donnée HILIN MU CM2 '!$S232)/2</f>
        <v>16</v>
      </c>
      <c r="U232" s="25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</row>
    <row r="233" ht="14.25" customHeight="1">
      <c r="A233" s="27" t="s">
        <v>421</v>
      </c>
      <c r="B233" s="27" t="s">
        <v>121</v>
      </c>
      <c r="C233" s="27" t="s">
        <v>473</v>
      </c>
      <c r="D233" s="27" t="s">
        <v>474</v>
      </c>
      <c r="E233" s="27" t="s">
        <v>424</v>
      </c>
      <c r="F233" s="27" t="s">
        <v>429</v>
      </c>
      <c r="G233" s="28">
        <v>2023.0</v>
      </c>
      <c r="H233" s="28">
        <v>87.0</v>
      </c>
      <c r="I233" s="28">
        <v>230.0</v>
      </c>
      <c r="J233" s="29" t="str">
        <f>'1. Base de donnée HILIN MU CM2 '!$G233&amp;"-"&amp;'1. Base de donnée HILIN MU CM2 '!$H233&amp;"-"&amp;'1. Base de donnée HILIN MU CM2 '!$I233</f>
        <v>2023-87-230</v>
      </c>
      <c r="K233" s="28">
        <f t="shared" si="1"/>
        <v>226</v>
      </c>
      <c r="L233" s="29" t="s">
        <v>31</v>
      </c>
      <c r="M233" s="29"/>
      <c r="N233" s="29"/>
      <c r="O233" s="27">
        <v>2.0</v>
      </c>
      <c r="P233" s="27">
        <v>0.75</v>
      </c>
      <c r="Q233" s="27">
        <f>SUM('1. Base de donnée HILIN MU CM2 '!$O233+'1. Base de donnée HILIN MU CM2 '!$P233)/2</f>
        <v>1.375</v>
      </c>
      <c r="R233" s="27">
        <v>16.0</v>
      </c>
      <c r="S233" s="34">
        <v>15.0</v>
      </c>
      <c r="T233" s="27">
        <f>('1. Base de donnée HILIN MU CM2 '!$R233+'1. Base de donnée HILIN MU CM2 '!$S233)/2</f>
        <v>15.5</v>
      </c>
      <c r="U233" s="30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</row>
    <row r="234" ht="14.25" customHeight="1">
      <c r="A234" s="22" t="s">
        <v>421</v>
      </c>
      <c r="B234" s="22" t="s">
        <v>121</v>
      </c>
      <c r="C234" s="22" t="s">
        <v>475</v>
      </c>
      <c r="D234" s="22" t="s">
        <v>476</v>
      </c>
      <c r="E234" s="22" t="s">
        <v>424</v>
      </c>
      <c r="F234" s="22" t="s">
        <v>425</v>
      </c>
      <c r="G234" s="23">
        <v>2023.0</v>
      </c>
      <c r="H234" s="23">
        <v>87.0</v>
      </c>
      <c r="I234" s="23">
        <v>231.0</v>
      </c>
      <c r="J234" s="24" t="str">
        <f>'1. Base de donnée HILIN MU CM2 '!$G234&amp;"-"&amp;'1. Base de donnée HILIN MU CM2 '!$H234&amp;"-"&amp;'1. Base de donnée HILIN MU CM2 '!$I234</f>
        <v>2023-87-231</v>
      </c>
      <c r="K234" s="23">
        <f t="shared" si="1"/>
        <v>227</v>
      </c>
      <c r="L234" s="24" t="s">
        <v>31</v>
      </c>
      <c r="M234" s="24"/>
      <c r="N234" s="24"/>
      <c r="O234" s="22">
        <v>1.5</v>
      </c>
      <c r="P234" s="22">
        <v>1.75</v>
      </c>
      <c r="Q234" s="22">
        <f>SUM('1. Base de donnée HILIN MU CM2 '!$O234+'1. Base de donnée HILIN MU CM2 '!$P234)/2</f>
        <v>1.625</v>
      </c>
      <c r="R234" s="22">
        <v>16.0</v>
      </c>
      <c r="S234" s="33">
        <v>10.0</v>
      </c>
      <c r="T234" s="22">
        <f>('1. Base de donnée HILIN MU CM2 '!$R234+'1. Base de donnée HILIN MU CM2 '!$S234)/2</f>
        <v>13</v>
      </c>
      <c r="U234" s="25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</row>
    <row r="235" ht="14.25" customHeight="1">
      <c r="A235" s="27" t="s">
        <v>421</v>
      </c>
      <c r="B235" s="27" t="s">
        <v>121</v>
      </c>
      <c r="C235" s="27" t="s">
        <v>477</v>
      </c>
      <c r="D235" s="27" t="s">
        <v>478</v>
      </c>
      <c r="E235" s="27" t="s">
        <v>424</v>
      </c>
      <c r="F235" s="27" t="s">
        <v>429</v>
      </c>
      <c r="G235" s="28">
        <v>2023.0</v>
      </c>
      <c r="H235" s="28">
        <v>87.0</v>
      </c>
      <c r="I235" s="28">
        <v>232.0</v>
      </c>
      <c r="J235" s="29" t="str">
        <f>'1. Base de donnée HILIN MU CM2 '!$G235&amp;"-"&amp;'1. Base de donnée HILIN MU CM2 '!$H235&amp;"-"&amp;'1. Base de donnée HILIN MU CM2 '!$I235</f>
        <v>2023-87-232</v>
      </c>
      <c r="K235" s="28">
        <f t="shared" si="1"/>
        <v>228</v>
      </c>
      <c r="L235" s="29" t="s">
        <v>31</v>
      </c>
      <c r="M235" s="29"/>
      <c r="N235" s="29"/>
      <c r="O235" s="27">
        <v>6.0</v>
      </c>
      <c r="P235" s="27">
        <v>4.75</v>
      </c>
      <c r="Q235" s="27">
        <f>SUM('1. Base de donnée HILIN MU CM2 '!$O235+'1. Base de donnée HILIN MU CM2 '!$P235)/2</f>
        <v>5.375</v>
      </c>
      <c r="R235" s="27">
        <v>16.0</v>
      </c>
      <c r="S235" s="34">
        <v>17.25</v>
      </c>
      <c r="T235" s="27">
        <f>('1. Base de donnée HILIN MU CM2 '!$R235+'1. Base de donnée HILIN MU CM2 '!$S235)/2</f>
        <v>16.625</v>
      </c>
      <c r="U235" s="30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</row>
    <row r="236" ht="14.25" customHeight="1">
      <c r="A236" s="22" t="s">
        <v>421</v>
      </c>
      <c r="B236" s="22" t="s">
        <v>121</v>
      </c>
      <c r="C236" s="22" t="s">
        <v>479</v>
      </c>
      <c r="D236" s="22" t="s">
        <v>480</v>
      </c>
      <c r="E236" s="22" t="s">
        <v>424</v>
      </c>
      <c r="F236" s="22" t="s">
        <v>426</v>
      </c>
      <c r="G236" s="23">
        <v>2023.0</v>
      </c>
      <c r="H236" s="23">
        <v>87.0</v>
      </c>
      <c r="I236" s="23">
        <v>233.0</v>
      </c>
      <c r="J236" s="24" t="str">
        <f>'1. Base de donnée HILIN MU CM2 '!$G236&amp;"-"&amp;'1. Base de donnée HILIN MU CM2 '!$H236&amp;"-"&amp;'1. Base de donnée HILIN MU CM2 '!$I236</f>
        <v>2023-87-233</v>
      </c>
      <c r="K236" s="23">
        <f t="shared" si="1"/>
        <v>229</v>
      </c>
      <c r="L236" s="24" t="s">
        <v>31</v>
      </c>
      <c r="M236" s="24"/>
      <c r="N236" s="24"/>
      <c r="O236" s="22">
        <v>10.0</v>
      </c>
      <c r="P236" s="22">
        <v>5.0</v>
      </c>
      <c r="Q236" s="22">
        <f>SUM('1. Base de donnée HILIN MU CM2 '!$O236+'1. Base de donnée HILIN MU CM2 '!$P236)/2</f>
        <v>7.5</v>
      </c>
      <c r="R236" s="22">
        <v>16.0</v>
      </c>
      <c r="S236" s="33">
        <v>15.0</v>
      </c>
      <c r="T236" s="22">
        <f>('1. Base de donnée HILIN MU CM2 '!$R236+'1. Base de donnée HILIN MU CM2 '!$S236)/2</f>
        <v>15.5</v>
      </c>
      <c r="U236" s="25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</row>
    <row r="237" ht="14.25" customHeight="1">
      <c r="A237" s="27" t="s">
        <v>421</v>
      </c>
      <c r="B237" s="27" t="s">
        <v>121</v>
      </c>
      <c r="C237" s="27" t="s">
        <v>481</v>
      </c>
      <c r="D237" s="27" t="s">
        <v>482</v>
      </c>
      <c r="E237" s="27" t="s">
        <v>424</v>
      </c>
      <c r="F237" s="27" t="s">
        <v>429</v>
      </c>
      <c r="G237" s="28">
        <v>2023.0</v>
      </c>
      <c r="H237" s="28">
        <v>87.0</v>
      </c>
      <c r="I237" s="28">
        <v>234.0</v>
      </c>
      <c r="J237" s="29" t="str">
        <f>'1. Base de donnée HILIN MU CM2 '!$G237&amp;"-"&amp;'1. Base de donnée HILIN MU CM2 '!$H237&amp;"-"&amp;'1. Base de donnée HILIN MU CM2 '!$I237</f>
        <v>2023-87-234</v>
      </c>
      <c r="K237" s="28">
        <f t="shared" si="1"/>
        <v>230</v>
      </c>
      <c r="L237" s="29" t="s">
        <v>31</v>
      </c>
      <c r="M237" s="29"/>
      <c r="N237" s="29"/>
      <c r="O237" s="27">
        <v>2.5</v>
      </c>
      <c r="P237" s="27">
        <v>1.5</v>
      </c>
      <c r="Q237" s="27">
        <f>SUM('1. Base de donnée HILIN MU CM2 '!$O237+'1. Base de donnée HILIN MU CM2 '!$P237)/2</f>
        <v>2</v>
      </c>
      <c r="R237" s="27">
        <v>16.0</v>
      </c>
      <c r="S237" s="34">
        <v>13.5</v>
      </c>
      <c r="T237" s="27">
        <f>('1. Base de donnée HILIN MU CM2 '!$R237+'1. Base de donnée HILIN MU CM2 '!$S237)/2</f>
        <v>14.75</v>
      </c>
      <c r="U237" s="30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</row>
    <row r="238" ht="14.25" customHeight="1">
      <c r="A238" s="22" t="s">
        <v>421</v>
      </c>
      <c r="B238" s="22" t="s">
        <v>121</v>
      </c>
      <c r="C238" s="22" t="s">
        <v>483</v>
      </c>
      <c r="D238" s="22" t="s">
        <v>484</v>
      </c>
      <c r="E238" s="22" t="s">
        <v>424</v>
      </c>
      <c r="F238" s="22" t="s">
        <v>429</v>
      </c>
      <c r="G238" s="23">
        <v>2023.0</v>
      </c>
      <c r="H238" s="23">
        <v>87.0</v>
      </c>
      <c r="I238" s="23">
        <v>235.0</v>
      </c>
      <c r="J238" s="24" t="str">
        <f>'1. Base de donnée HILIN MU CM2 '!$G238&amp;"-"&amp;'1. Base de donnée HILIN MU CM2 '!$H238&amp;"-"&amp;'1. Base de donnée HILIN MU CM2 '!$I238</f>
        <v>2023-87-235</v>
      </c>
      <c r="K238" s="23">
        <f t="shared" si="1"/>
        <v>231</v>
      </c>
      <c r="L238" s="24" t="s">
        <v>31</v>
      </c>
      <c r="M238" s="24"/>
      <c r="N238" s="24"/>
      <c r="O238" s="22">
        <v>3.5</v>
      </c>
      <c r="P238" s="22">
        <v>1.25</v>
      </c>
      <c r="Q238" s="22">
        <f>SUM('1. Base de donnée HILIN MU CM2 '!$O238+'1. Base de donnée HILIN MU CM2 '!$P238)/2</f>
        <v>2.375</v>
      </c>
      <c r="R238" s="22">
        <v>16.0</v>
      </c>
      <c r="S238" s="33">
        <v>17.25</v>
      </c>
      <c r="T238" s="22">
        <f>('1. Base de donnée HILIN MU CM2 '!$R238+'1. Base de donnée HILIN MU CM2 '!$S238)/2</f>
        <v>16.625</v>
      </c>
      <c r="U238" s="25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</row>
    <row r="239" ht="14.25" customHeight="1">
      <c r="A239" s="27" t="s">
        <v>421</v>
      </c>
      <c r="B239" s="27" t="s">
        <v>121</v>
      </c>
      <c r="C239" s="27" t="s">
        <v>485</v>
      </c>
      <c r="D239" s="27" t="s">
        <v>486</v>
      </c>
      <c r="E239" s="27" t="s">
        <v>424</v>
      </c>
      <c r="F239" s="27" t="s">
        <v>426</v>
      </c>
      <c r="G239" s="28">
        <v>2023.0</v>
      </c>
      <c r="H239" s="28">
        <v>87.0</v>
      </c>
      <c r="I239" s="28">
        <v>236.0</v>
      </c>
      <c r="J239" s="29" t="str">
        <f>'1. Base de donnée HILIN MU CM2 '!$G239&amp;"-"&amp;'1. Base de donnée HILIN MU CM2 '!$H239&amp;"-"&amp;'1. Base de donnée HILIN MU CM2 '!$I239</f>
        <v>2023-87-236</v>
      </c>
      <c r="K239" s="28">
        <f t="shared" si="1"/>
        <v>232</v>
      </c>
      <c r="L239" s="29" t="s">
        <v>31</v>
      </c>
      <c r="M239" s="29"/>
      <c r="N239" s="29"/>
      <c r="O239" s="27">
        <v>5.5</v>
      </c>
      <c r="P239" s="27">
        <v>2.25</v>
      </c>
      <c r="Q239" s="27">
        <f>SUM('1. Base de donnée HILIN MU CM2 '!$O239+'1. Base de donnée HILIN MU CM2 '!$P239)/2</f>
        <v>3.875</v>
      </c>
      <c r="R239" s="27">
        <v>16.0</v>
      </c>
      <c r="S239" s="34">
        <v>19.0</v>
      </c>
      <c r="T239" s="27">
        <f>('1. Base de donnée HILIN MU CM2 '!$R239+'1. Base de donnée HILIN MU CM2 '!$S239)/2</f>
        <v>17.5</v>
      </c>
      <c r="U239" s="30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</row>
    <row r="240" ht="14.25" customHeight="1">
      <c r="A240" s="22" t="s">
        <v>421</v>
      </c>
      <c r="B240" s="22" t="s">
        <v>121</v>
      </c>
      <c r="C240" s="22" t="s">
        <v>487</v>
      </c>
      <c r="D240" s="22" t="s">
        <v>444</v>
      </c>
      <c r="E240" s="22" t="s">
        <v>424</v>
      </c>
      <c r="F240" s="22" t="s">
        <v>429</v>
      </c>
      <c r="G240" s="23">
        <v>2023.0</v>
      </c>
      <c r="H240" s="23">
        <v>87.0</v>
      </c>
      <c r="I240" s="23">
        <v>237.0</v>
      </c>
      <c r="J240" s="24" t="str">
        <f>'1. Base de donnée HILIN MU CM2 '!$G240&amp;"-"&amp;'1. Base de donnée HILIN MU CM2 '!$H240&amp;"-"&amp;'1. Base de donnée HILIN MU CM2 '!$I240</f>
        <v>2023-87-237</v>
      </c>
      <c r="K240" s="23">
        <f t="shared" si="1"/>
        <v>233</v>
      </c>
      <c r="L240" s="24" t="s">
        <v>31</v>
      </c>
      <c r="M240" s="24"/>
      <c r="N240" s="24"/>
      <c r="O240" s="22">
        <v>4.5</v>
      </c>
      <c r="P240" s="22">
        <v>3.0</v>
      </c>
      <c r="Q240" s="22">
        <f>SUM('1. Base de donnée HILIN MU CM2 '!$O240+'1. Base de donnée HILIN MU CM2 '!$P240)/2</f>
        <v>3.75</v>
      </c>
      <c r="R240" s="22">
        <v>16.0</v>
      </c>
      <c r="S240" s="33">
        <v>18.0</v>
      </c>
      <c r="T240" s="22">
        <f>('1. Base de donnée HILIN MU CM2 '!$R240+'1. Base de donnée HILIN MU CM2 '!$S240)/2</f>
        <v>17</v>
      </c>
      <c r="U240" s="25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</row>
    <row r="241" ht="14.25" customHeight="1">
      <c r="A241" s="27" t="s">
        <v>421</v>
      </c>
      <c r="B241" s="27" t="s">
        <v>121</v>
      </c>
      <c r="C241" s="27" t="s">
        <v>488</v>
      </c>
      <c r="D241" s="27" t="s">
        <v>489</v>
      </c>
      <c r="E241" s="27" t="s">
        <v>424</v>
      </c>
      <c r="F241" s="27" t="s">
        <v>425</v>
      </c>
      <c r="G241" s="28">
        <v>2023.0</v>
      </c>
      <c r="H241" s="28">
        <v>87.0</v>
      </c>
      <c r="I241" s="28">
        <v>238.0</v>
      </c>
      <c r="J241" s="29" t="str">
        <f>'1. Base de donnée HILIN MU CM2 '!$G241&amp;"-"&amp;'1. Base de donnée HILIN MU CM2 '!$H241&amp;"-"&amp;'1. Base de donnée HILIN MU CM2 '!$I241</f>
        <v>2023-87-238</v>
      </c>
      <c r="K241" s="28">
        <f t="shared" si="1"/>
        <v>234</v>
      </c>
      <c r="L241" s="29" t="s">
        <v>31</v>
      </c>
      <c r="M241" s="29"/>
      <c r="N241" s="29"/>
      <c r="O241" s="27">
        <v>5.0</v>
      </c>
      <c r="P241" s="27">
        <v>1.5</v>
      </c>
      <c r="Q241" s="27">
        <f>SUM('1. Base de donnée HILIN MU CM2 '!$O241+'1. Base de donnée HILIN MU CM2 '!$P241)/2</f>
        <v>3.25</v>
      </c>
      <c r="R241" s="27">
        <v>16.0</v>
      </c>
      <c r="S241" s="34">
        <v>15.0</v>
      </c>
      <c r="T241" s="27">
        <f>('1. Base de donnée HILIN MU CM2 '!$R241+'1. Base de donnée HILIN MU CM2 '!$S241)/2</f>
        <v>15.5</v>
      </c>
      <c r="U241" s="30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</row>
    <row r="242" ht="14.25" customHeight="1">
      <c r="A242" s="22" t="s">
        <v>421</v>
      </c>
      <c r="B242" s="22" t="s">
        <v>121</v>
      </c>
      <c r="C242" s="22" t="s">
        <v>490</v>
      </c>
      <c r="D242" s="22" t="s">
        <v>491</v>
      </c>
      <c r="E242" s="22" t="s">
        <v>424</v>
      </c>
      <c r="F242" s="22" t="s">
        <v>426</v>
      </c>
      <c r="G242" s="23">
        <v>2023.0</v>
      </c>
      <c r="H242" s="23">
        <v>87.0</v>
      </c>
      <c r="I242" s="23">
        <v>239.0</v>
      </c>
      <c r="J242" s="24" t="str">
        <f>'1. Base de donnée HILIN MU CM2 '!$G242&amp;"-"&amp;'1. Base de donnée HILIN MU CM2 '!$H242&amp;"-"&amp;'1. Base de donnée HILIN MU CM2 '!$I242</f>
        <v>2023-87-239</v>
      </c>
      <c r="K242" s="23">
        <f t="shared" si="1"/>
        <v>235</v>
      </c>
      <c r="L242" s="24" t="s">
        <v>31</v>
      </c>
      <c r="M242" s="24"/>
      <c r="N242" s="24"/>
      <c r="O242" s="22">
        <v>4.5</v>
      </c>
      <c r="P242" s="22">
        <v>4.5</v>
      </c>
      <c r="Q242" s="22">
        <f>SUM('1. Base de donnée HILIN MU CM2 '!$O242+'1. Base de donnée HILIN MU CM2 '!$P242)/2</f>
        <v>4.5</v>
      </c>
      <c r="R242" s="22">
        <v>16.0</v>
      </c>
      <c r="S242" s="33">
        <v>16.5</v>
      </c>
      <c r="T242" s="22">
        <f>('1. Base de donnée HILIN MU CM2 '!$R242+'1. Base de donnée HILIN MU CM2 '!$S242)/2</f>
        <v>16.25</v>
      </c>
      <c r="U242" s="25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</row>
    <row r="243" ht="14.25" customHeight="1">
      <c r="A243" s="27" t="s">
        <v>421</v>
      </c>
      <c r="B243" s="27" t="s">
        <v>121</v>
      </c>
      <c r="C243" s="27" t="s">
        <v>492</v>
      </c>
      <c r="D243" s="27" t="s">
        <v>289</v>
      </c>
      <c r="E243" s="27" t="s">
        <v>424</v>
      </c>
      <c r="F243" s="27" t="s">
        <v>425</v>
      </c>
      <c r="G243" s="28">
        <v>2023.0</v>
      </c>
      <c r="H243" s="28">
        <v>87.0</v>
      </c>
      <c r="I243" s="28">
        <v>240.0</v>
      </c>
      <c r="J243" s="29" t="str">
        <f>'1. Base de donnée HILIN MU CM2 '!$G243&amp;"-"&amp;'1. Base de donnée HILIN MU CM2 '!$H243&amp;"-"&amp;'1. Base de donnée HILIN MU CM2 '!$I243</f>
        <v>2023-87-240</v>
      </c>
      <c r="K243" s="28">
        <f t="shared" si="1"/>
        <v>236</v>
      </c>
      <c r="L243" s="29" t="s">
        <v>31</v>
      </c>
      <c r="M243" s="29"/>
      <c r="N243" s="29"/>
      <c r="O243" s="27">
        <v>3.0</v>
      </c>
      <c r="P243" s="27">
        <v>1.75</v>
      </c>
      <c r="Q243" s="27">
        <f>SUM('1. Base de donnée HILIN MU CM2 '!$O243+'1. Base de donnée HILIN MU CM2 '!$P243)/2</f>
        <v>2.375</v>
      </c>
      <c r="R243" s="27">
        <v>16.0</v>
      </c>
      <c r="S243" s="34">
        <v>10.0</v>
      </c>
      <c r="T243" s="27">
        <f>('1. Base de donnée HILIN MU CM2 '!$R243+'1. Base de donnée HILIN MU CM2 '!$S243)/2</f>
        <v>13</v>
      </c>
      <c r="U243" s="30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</row>
    <row r="244" ht="14.25" customHeight="1">
      <c r="A244" s="22" t="s">
        <v>421</v>
      </c>
      <c r="B244" s="22" t="s">
        <v>121</v>
      </c>
      <c r="C244" s="22" t="s">
        <v>493</v>
      </c>
      <c r="D244" s="22" t="s">
        <v>494</v>
      </c>
      <c r="E244" s="22" t="s">
        <v>424</v>
      </c>
      <c r="F244" s="22" t="s">
        <v>426</v>
      </c>
      <c r="G244" s="23">
        <v>2023.0</v>
      </c>
      <c r="H244" s="23">
        <v>87.0</v>
      </c>
      <c r="I244" s="23">
        <v>241.0</v>
      </c>
      <c r="J244" s="24" t="str">
        <f>'1. Base de donnée HILIN MU CM2 '!$G244&amp;"-"&amp;'1. Base de donnée HILIN MU CM2 '!$H244&amp;"-"&amp;'1. Base de donnée HILIN MU CM2 '!$I244</f>
        <v>2023-87-241</v>
      </c>
      <c r="K244" s="23">
        <f t="shared" si="1"/>
        <v>237</v>
      </c>
      <c r="L244" s="24" t="s">
        <v>31</v>
      </c>
      <c r="M244" s="24"/>
      <c r="N244" s="24"/>
      <c r="O244" s="22">
        <v>1.5</v>
      </c>
      <c r="P244" s="22">
        <v>1.25</v>
      </c>
      <c r="Q244" s="22">
        <f>SUM('1. Base de donnée HILIN MU CM2 '!$O244+'1. Base de donnée HILIN MU CM2 '!$P244)/2</f>
        <v>1.375</v>
      </c>
      <c r="R244" s="22">
        <v>16.0</v>
      </c>
      <c r="S244" s="33">
        <v>16.5</v>
      </c>
      <c r="T244" s="22">
        <f>('1. Base de donnée HILIN MU CM2 '!$R244+'1. Base de donnée HILIN MU CM2 '!$S244)/2</f>
        <v>16.25</v>
      </c>
      <c r="U244" s="25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</row>
    <row r="245" ht="14.25" customHeight="1">
      <c r="A245" s="27" t="s">
        <v>421</v>
      </c>
      <c r="B245" s="27" t="s">
        <v>121</v>
      </c>
      <c r="C245" s="27" t="s">
        <v>495</v>
      </c>
      <c r="D245" s="27" t="s">
        <v>496</v>
      </c>
      <c r="E245" s="27" t="s">
        <v>424</v>
      </c>
      <c r="F245" s="27" t="s">
        <v>425</v>
      </c>
      <c r="G245" s="28">
        <v>2023.0</v>
      </c>
      <c r="H245" s="28">
        <v>87.0</v>
      </c>
      <c r="I245" s="28">
        <v>242.0</v>
      </c>
      <c r="J245" s="29" t="str">
        <f>'1. Base de donnée HILIN MU CM2 '!$G245&amp;"-"&amp;'1. Base de donnée HILIN MU CM2 '!$H245&amp;"-"&amp;'1. Base de donnée HILIN MU CM2 '!$I245</f>
        <v>2023-87-242</v>
      </c>
      <c r="K245" s="28">
        <f t="shared" si="1"/>
        <v>238</v>
      </c>
      <c r="L245" s="29" t="s">
        <v>31</v>
      </c>
      <c r="M245" s="29"/>
      <c r="N245" s="29"/>
      <c r="O245" s="27">
        <v>1.5</v>
      </c>
      <c r="P245" s="27">
        <v>0.75</v>
      </c>
      <c r="Q245" s="27">
        <f>SUM('1. Base de donnée HILIN MU CM2 '!$O245+'1. Base de donnée HILIN MU CM2 '!$P245)/2</f>
        <v>1.125</v>
      </c>
      <c r="R245" s="27">
        <v>16.0</v>
      </c>
      <c r="S245" s="34">
        <v>15.0</v>
      </c>
      <c r="T245" s="27">
        <f>('1. Base de donnée HILIN MU CM2 '!$R245+'1. Base de donnée HILIN MU CM2 '!$S245)/2</f>
        <v>15.5</v>
      </c>
      <c r="U245" s="30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</row>
    <row r="246" ht="14.25" customHeight="1">
      <c r="A246" s="22" t="s">
        <v>421</v>
      </c>
      <c r="B246" s="22" t="s">
        <v>121</v>
      </c>
      <c r="C246" s="22" t="s">
        <v>497</v>
      </c>
      <c r="D246" s="22" t="s">
        <v>498</v>
      </c>
      <c r="E246" s="22" t="s">
        <v>424</v>
      </c>
      <c r="F246" s="22" t="s">
        <v>429</v>
      </c>
      <c r="G246" s="23">
        <v>2023.0</v>
      </c>
      <c r="H246" s="23">
        <v>87.0</v>
      </c>
      <c r="I246" s="23">
        <v>243.0</v>
      </c>
      <c r="J246" s="24" t="str">
        <f>'1. Base de donnée HILIN MU CM2 '!$G246&amp;"-"&amp;'1. Base de donnée HILIN MU CM2 '!$H246&amp;"-"&amp;'1. Base de donnée HILIN MU CM2 '!$I246</f>
        <v>2023-87-243</v>
      </c>
      <c r="K246" s="23">
        <f t="shared" si="1"/>
        <v>239</v>
      </c>
      <c r="L246" s="24" t="s">
        <v>31</v>
      </c>
      <c r="M246" s="24"/>
      <c r="N246" s="24"/>
      <c r="O246" s="22">
        <v>10.0</v>
      </c>
      <c r="P246" s="22">
        <v>5.0</v>
      </c>
      <c r="Q246" s="22">
        <f>SUM('1. Base de donnée HILIN MU CM2 '!$O246+'1. Base de donnée HILIN MU CM2 '!$P246)/2</f>
        <v>7.5</v>
      </c>
      <c r="R246" s="22">
        <v>16.0</v>
      </c>
      <c r="S246" s="33">
        <v>18.0</v>
      </c>
      <c r="T246" s="22">
        <f>('1. Base de donnée HILIN MU CM2 '!$R246+'1. Base de donnée HILIN MU CM2 '!$S246)/2</f>
        <v>17</v>
      </c>
      <c r="U246" s="25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</row>
    <row r="247" ht="14.25" customHeight="1">
      <c r="A247" s="27" t="s">
        <v>421</v>
      </c>
      <c r="B247" s="27" t="s">
        <v>121</v>
      </c>
      <c r="C247" s="27" t="s">
        <v>499</v>
      </c>
      <c r="D247" s="27" t="s">
        <v>351</v>
      </c>
      <c r="E247" s="27" t="s">
        <v>424</v>
      </c>
      <c r="F247" s="27" t="s">
        <v>426</v>
      </c>
      <c r="G247" s="28">
        <v>2023.0</v>
      </c>
      <c r="H247" s="28">
        <v>87.0</v>
      </c>
      <c r="I247" s="28">
        <v>244.0</v>
      </c>
      <c r="J247" s="29" t="str">
        <f>'1. Base de donnée HILIN MU CM2 '!$G247&amp;"-"&amp;'1. Base de donnée HILIN MU CM2 '!$H247&amp;"-"&amp;'1. Base de donnée HILIN MU CM2 '!$I247</f>
        <v>2023-87-244</v>
      </c>
      <c r="K247" s="28">
        <f t="shared" si="1"/>
        <v>240</v>
      </c>
      <c r="L247" s="29" t="s">
        <v>31</v>
      </c>
      <c r="M247" s="29"/>
      <c r="N247" s="29"/>
      <c r="O247" s="27">
        <v>3.5</v>
      </c>
      <c r="P247" s="27">
        <v>2.5</v>
      </c>
      <c r="Q247" s="27">
        <f>SUM('1. Base de donnée HILIN MU CM2 '!$O247+'1. Base de donnée HILIN MU CM2 '!$P247)/2</f>
        <v>3</v>
      </c>
      <c r="R247" s="27">
        <v>16.0</v>
      </c>
      <c r="S247" s="34">
        <v>14.5</v>
      </c>
      <c r="T247" s="27">
        <f>('1. Base de donnée HILIN MU CM2 '!$R247+'1. Base de donnée HILIN MU CM2 '!$S247)/2</f>
        <v>15.25</v>
      </c>
      <c r="U247" s="30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</row>
    <row r="248" ht="14.25" customHeight="1">
      <c r="A248" s="22" t="s">
        <v>421</v>
      </c>
      <c r="B248" s="22" t="s">
        <v>121</v>
      </c>
      <c r="C248" s="22" t="s">
        <v>500</v>
      </c>
      <c r="D248" s="22" t="s">
        <v>501</v>
      </c>
      <c r="E248" s="22" t="s">
        <v>424</v>
      </c>
      <c r="F248" s="22" t="s">
        <v>425</v>
      </c>
      <c r="G248" s="23">
        <v>2023.0</v>
      </c>
      <c r="H248" s="23">
        <v>87.0</v>
      </c>
      <c r="I248" s="23">
        <v>245.0</v>
      </c>
      <c r="J248" s="24" t="str">
        <f>'1. Base de donnée HILIN MU CM2 '!$G248&amp;"-"&amp;'1. Base de donnée HILIN MU CM2 '!$H248&amp;"-"&amp;'1. Base de donnée HILIN MU CM2 '!$I248</f>
        <v>2023-87-245</v>
      </c>
      <c r="K248" s="23">
        <f t="shared" si="1"/>
        <v>241</v>
      </c>
      <c r="L248" s="24" t="s">
        <v>31</v>
      </c>
      <c r="M248" s="24"/>
      <c r="N248" s="24"/>
      <c r="O248" s="22">
        <v>7.5</v>
      </c>
      <c r="P248" s="22">
        <v>3.0</v>
      </c>
      <c r="Q248" s="22">
        <f>SUM('1. Base de donnée HILIN MU CM2 '!$O248+'1. Base de donnée HILIN MU CM2 '!$P248)/2</f>
        <v>5.25</v>
      </c>
      <c r="R248" s="22">
        <v>16.0</v>
      </c>
      <c r="S248" s="33">
        <v>19.0</v>
      </c>
      <c r="T248" s="22">
        <f>('1. Base de donnée HILIN MU CM2 '!$R248+'1. Base de donnée HILIN MU CM2 '!$S248)/2</f>
        <v>17.5</v>
      </c>
      <c r="U248" s="25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</row>
    <row r="249" ht="14.25" customHeight="1">
      <c r="A249" s="27" t="s">
        <v>421</v>
      </c>
      <c r="B249" s="27" t="s">
        <v>121</v>
      </c>
      <c r="C249" s="27" t="s">
        <v>502</v>
      </c>
      <c r="D249" s="27" t="s">
        <v>484</v>
      </c>
      <c r="E249" s="27" t="s">
        <v>424</v>
      </c>
      <c r="F249" s="27" t="s">
        <v>429</v>
      </c>
      <c r="G249" s="28">
        <v>2023.0</v>
      </c>
      <c r="H249" s="28">
        <v>87.0</v>
      </c>
      <c r="I249" s="28">
        <v>246.0</v>
      </c>
      <c r="J249" s="29" t="str">
        <f>'1. Base de donnée HILIN MU CM2 '!$G249&amp;"-"&amp;'1. Base de donnée HILIN MU CM2 '!$H249&amp;"-"&amp;'1. Base de donnée HILIN MU CM2 '!$I249</f>
        <v>2023-87-246</v>
      </c>
      <c r="K249" s="28">
        <f t="shared" si="1"/>
        <v>242</v>
      </c>
      <c r="L249" s="29" t="s">
        <v>31</v>
      </c>
      <c r="M249" s="29"/>
      <c r="N249" s="29"/>
      <c r="O249" s="27">
        <v>6.5</v>
      </c>
      <c r="P249" s="27">
        <v>2.5</v>
      </c>
      <c r="Q249" s="27">
        <f>SUM('1. Base de donnée HILIN MU CM2 '!$O249+'1. Base de donnée HILIN MU CM2 '!$P249)/2</f>
        <v>4.5</v>
      </c>
      <c r="R249" s="27">
        <v>16.0</v>
      </c>
      <c r="S249" s="34">
        <v>16.5</v>
      </c>
      <c r="T249" s="27">
        <f>('1. Base de donnée HILIN MU CM2 '!$R249+'1. Base de donnée HILIN MU CM2 '!$S249)/2</f>
        <v>16.25</v>
      </c>
      <c r="U249" s="30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</row>
    <row r="250" ht="14.25" customHeight="1">
      <c r="A250" s="22" t="s">
        <v>421</v>
      </c>
      <c r="B250" s="22" t="s">
        <v>121</v>
      </c>
      <c r="C250" s="22" t="s">
        <v>503</v>
      </c>
      <c r="D250" s="22" t="s">
        <v>504</v>
      </c>
      <c r="E250" s="22" t="s">
        <v>424</v>
      </c>
      <c r="F250" s="22" t="s">
        <v>425</v>
      </c>
      <c r="G250" s="23">
        <v>2023.0</v>
      </c>
      <c r="H250" s="23">
        <v>87.0</v>
      </c>
      <c r="I250" s="23">
        <v>247.0</v>
      </c>
      <c r="J250" s="24" t="str">
        <f>'1. Base de donnée HILIN MU CM2 '!$G250&amp;"-"&amp;'1. Base de donnée HILIN MU CM2 '!$H250&amp;"-"&amp;'1. Base de donnée HILIN MU CM2 '!$I250</f>
        <v>2023-87-247</v>
      </c>
      <c r="K250" s="23">
        <f t="shared" si="1"/>
        <v>243</v>
      </c>
      <c r="L250" s="24" t="s">
        <v>31</v>
      </c>
      <c r="M250" s="24"/>
      <c r="N250" s="24"/>
      <c r="O250" s="22">
        <v>2.5</v>
      </c>
      <c r="P250" s="22">
        <v>1.25</v>
      </c>
      <c r="Q250" s="22">
        <f>SUM('1. Base de donnée HILIN MU CM2 '!$O250+'1. Base de donnée HILIN MU CM2 '!$P250)/2</f>
        <v>1.875</v>
      </c>
      <c r="R250" s="22">
        <v>16.0</v>
      </c>
      <c r="S250" s="33">
        <v>11.0</v>
      </c>
      <c r="T250" s="22">
        <f>('1. Base de donnée HILIN MU CM2 '!$R250+'1. Base de donnée HILIN MU CM2 '!$S250)/2</f>
        <v>13.5</v>
      </c>
      <c r="U250" s="25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</row>
    <row r="251" ht="14.25" customHeight="1">
      <c r="A251" s="27" t="s">
        <v>421</v>
      </c>
      <c r="B251" s="27" t="s">
        <v>121</v>
      </c>
      <c r="C251" s="27" t="s">
        <v>505</v>
      </c>
      <c r="D251" s="27" t="s">
        <v>506</v>
      </c>
      <c r="E251" s="27" t="s">
        <v>424</v>
      </c>
      <c r="F251" s="27" t="s">
        <v>429</v>
      </c>
      <c r="G251" s="28">
        <v>2023.0</v>
      </c>
      <c r="H251" s="28">
        <v>87.0</v>
      </c>
      <c r="I251" s="28">
        <v>248.0</v>
      </c>
      <c r="J251" s="29" t="str">
        <f>'1. Base de donnée HILIN MU CM2 '!$G251&amp;"-"&amp;'1. Base de donnée HILIN MU CM2 '!$H251&amp;"-"&amp;'1. Base de donnée HILIN MU CM2 '!$I251</f>
        <v>2023-87-248</v>
      </c>
      <c r="K251" s="28">
        <f t="shared" si="1"/>
        <v>244</v>
      </c>
      <c r="L251" s="29" t="s">
        <v>31</v>
      </c>
      <c r="M251" s="29"/>
      <c r="N251" s="29"/>
      <c r="O251" s="27">
        <v>10.0</v>
      </c>
      <c r="P251" s="27">
        <v>4.5</v>
      </c>
      <c r="Q251" s="27">
        <f>SUM('1. Base de donnée HILIN MU CM2 '!$O251+'1. Base de donnée HILIN MU CM2 '!$P251)/2</f>
        <v>7.25</v>
      </c>
      <c r="R251" s="27">
        <v>16.0</v>
      </c>
      <c r="S251" s="34">
        <v>19.5</v>
      </c>
      <c r="T251" s="27">
        <f>('1. Base de donnée HILIN MU CM2 '!$R251+'1. Base de donnée HILIN MU CM2 '!$S251)/2</f>
        <v>17.75</v>
      </c>
      <c r="U251" s="30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</row>
    <row r="252" ht="14.25" customHeight="1">
      <c r="A252" s="22" t="s">
        <v>421</v>
      </c>
      <c r="B252" s="22" t="s">
        <v>121</v>
      </c>
      <c r="C252" s="22" t="s">
        <v>507</v>
      </c>
      <c r="D252" s="22" t="s">
        <v>508</v>
      </c>
      <c r="E252" s="22" t="s">
        <v>424</v>
      </c>
      <c r="F252" s="22" t="s">
        <v>425</v>
      </c>
      <c r="G252" s="23">
        <v>2023.0</v>
      </c>
      <c r="H252" s="23">
        <v>87.0</v>
      </c>
      <c r="I252" s="23">
        <v>249.0</v>
      </c>
      <c r="J252" s="24" t="str">
        <f>'1. Base de donnée HILIN MU CM2 '!$G252&amp;"-"&amp;'1. Base de donnée HILIN MU CM2 '!$H252&amp;"-"&amp;'1. Base de donnée HILIN MU CM2 '!$I252</f>
        <v>2023-87-249</v>
      </c>
      <c r="K252" s="23">
        <f t="shared" si="1"/>
        <v>245</v>
      </c>
      <c r="L252" s="24" t="s">
        <v>31</v>
      </c>
      <c r="M252" s="24"/>
      <c r="N252" s="24"/>
      <c r="O252" s="22">
        <v>4.5</v>
      </c>
      <c r="P252" s="22">
        <v>3.0</v>
      </c>
      <c r="Q252" s="22">
        <f>SUM('1. Base de donnée HILIN MU CM2 '!$O252+'1. Base de donnée HILIN MU CM2 '!$P252)/2</f>
        <v>3.75</v>
      </c>
      <c r="R252" s="22">
        <v>16.0</v>
      </c>
      <c r="S252" s="33">
        <v>14.0</v>
      </c>
      <c r="T252" s="22">
        <f>('1. Base de donnée HILIN MU CM2 '!$R252+'1. Base de donnée HILIN MU CM2 '!$S252)/2</f>
        <v>15</v>
      </c>
      <c r="U252" s="25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ht="14.25" customHeight="1">
      <c r="A253" s="27" t="s">
        <v>421</v>
      </c>
      <c r="B253" s="27" t="s">
        <v>121</v>
      </c>
      <c r="C253" s="27" t="s">
        <v>509</v>
      </c>
      <c r="D253" s="27" t="s">
        <v>510</v>
      </c>
      <c r="E253" s="27" t="s">
        <v>424</v>
      </c>
      <c r="F253" s="27" t="s">
        <v>425</v>
      </c>
      <c r="G253" s="28">
        <v>2023.0</v>
      </c>
      <c r="H253" s="28">
        <v>87.0</v>
      </c>
      <c r="I253" s="28">
        <v>250.0</v>
      </c>
      <c r="J253" s="29" t="str">
        <f>'1. Base de donnée HILIN MU CM2 '!$G253&amp;"-"&amp;'1. Base de donnée HILIN MU CM2 '!$H253&amp;"-"&amp;'1. Base de donnée HILIN MU CM2 '!$I253</f>
        <v>2023-87-250</v>
      </c>
      <c r="K253" s="28">
        <f t="shared" si="1"/>
        <v>246</v>
      </c>
      <c r="L253" s="29" t="s">
        <v>31</v>
      </c>
      <c r="M253" s="29"/>
      <c r="N253" s="29"/>
      <c r="O253" s="27">
        <v>1.5</v>
      </c>
      <c r="P253" s="27">
        <v>1.5</v>
      </c>
      <c r="Q253" s="27">
        <f>SUM('1. Base de donnée HILIN MU CM2 '!$O253+'1. Base de donnée HILIN MU CM2 '!$P253)/2</f>
        <v>1.5</v>
      </c>
      <c r="R253" s="27">
        <v>16.0</v>
      </c>
      <c r="S253" s="34">
        <v>18.5</v>
      </c>
      <c r="T253" s="27">
        <f>('1. Base de donnée HILIN MU CM2 '!$R253+'1. Base de donnée HILIN MU CM2 '!$S253)/2</f>
        <v>17.25</v>
      </c>
      <c r="U253" s="30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ht="14.25" customHeight="1">
      <c r="A254" s="22" t="s">
        <v>421</v>
      </c>
      <c r="B254" s="22" t="s">
        <v>121</v>
      </c>
      <c r="C254" s="22" t="s">
        <v>511</v>
      </c>
      <c r="D254" s="22" t="s">
        <v>512</v>
      </c>
      <c r="E254" s="22" t="s">
        <v>424</v>
      </c>
      <c r="F254" s="22" t="s">
        <v>429</v>
      </c>
      <c r="G254" s="23">
        <v>2023.0</v>
      </c>
      <c r="H254" s="23">
        <v>87.0</v>
      </c>
      <c r="I254" s="23">
        <v>251.0</v>
      </c>
      <c r="J254" s="24" t="str">
        <f>'1. Base de donnée HILIN MU CM2 '!$G254&amp;"-"&amp;'1. Base de donnée HILIN MU CM2 '!$H254&amp;"-"&amp;'1. Base de donnée HILIN MU CM2 '!$I254</f>
        <v>2023-87-251</v>
      </c>
      <c r="K254" s="23">
        <f t="shared" si="1"/>
        <v>247</v>
      </c>
      <c r="L254" s="24" t="s">
        <v>31</v>
      </c>
      <c r="M254" s="24"/>
      <c r="N254" s="24"/>
      <c r="O254" s="22">
        <v>9.0</v>
      </c>
      <c r="P254" s="22">
        <v>1.0</v>
      </c>
      <c r="Q254" s="22">
        <f>SUM('1. Base de donnée HILIN MU CM2 '!$O254+'1. Base de donnée HILIN MU CM2 '!$P254)/2</f>
        <v>5</v>
      </c>
      <c r="R254" s="22">
        <v>16.0</v>
      </c>
      <c r="S254" s="33">
        <v>11.0</v>
      </c>
      <c r="T254" s="22">
        <f>('1. Base de donnée HILIN MU CM2 '!$R254+'1. Base de donnée HILIN MU CM2 '!$S254)/2</f>
        <v>13.5</v>
      </c>
      <c r="U254" s="25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</row>
    <row r="255" ht="14.25" customHeight="1">
      <c r="A255" s="27" t="s">
        <v>421</v>
      </c>
      <c r="B255" s="27" t="s">
        <v>121</v>
      </c>
      <c r="C255" s="27" t="s">
        <v>513</v>
      </c>
      <c r="D255" s="27" t="s">
        <v>514</v>
      </c>
      <c r="E255" s="27" t="s">
        <v>424</v>
      </c>
      <c r="F255" s="27" t="s">
        <v>429</v>
      </c>
      <c r="G255" s="28">
        <v>2023.0</v>
      </c>
      <c r="H255" s="28">
        <v>87.0</v>
      </c>
      <c r="I255" s="28">
        <v>252.0</v>
      </c>
      <c r="J255" s="29" t="str">
        <f>'1. Base de donnée HILIN MU CM2 '!$G255&amp;"-"&amp;'1. Base de donnée HILIN MU CM2 '!$H255&amp;"-"&amp;'1. Base de donnée HILIN MU CM2 '!$I255</f>
        <v>2023-87-252</v>
      </c>
      <c r="K255" s="28">
        <f t="shared" si="1"/>
        <v>248</v>
      </c>
      <c r="L255" s="29" t="s">
        <v>31</v>
      </c>
      <c r="M255" s="29"/>
      <c r="N255" s="29"/>
      <c r="O255" s="27">
        <v>10.5</v>
      </c>
      <c r="P255" s="27">
        <v>3.25</v>
      </c>
      <c r="Q255" s="27">
        <f>SUM('1. Base de donnée HILIN MU CM2 '!$O255+'1. Base de donnée HILIN MU CM2 '!$P255)/2</f>
        <v>6.875</v>
      </c>
      <c r="R255" s="27">
        <v>16.0</v>
      </c>
      <c r="S255" s="27">
        <v>13.0</v>
      </c>
      <c r="T255" s="27">
        <f>('1. Base de donnée HILIN MU CM2 '!$R255+'1. Base de donnée HILIN MU CM2 '!$S255)/2</f>
        <v>14.5</v>
      </c>
      <c r="U255" s="30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</row>
    <row r="256" ht="14.25" hidden="1" customHeight="1">
      <c r="A256" s="22" t="s">
        <v>515</v>
      </c>
      <c r="B256" s="22" t="s">
        <v>223</v>
      </c>
      <c r="C256" s="22" t="s">
        <v>516</v>
      </c>
      <c r="D256" s="22" t="s">
        <v>517</v>
      </c>
      <c r="E256" s="22" t="s">
        <v>518</v>
      </c>
      <c r="F256" s="22" t="s">
        <v>519</v>
      </c>
      <c r="G256" s="23">
        <v>2023.0</v>
      </c>
      <c r="H256" s="23">
        <v>44.0</v>
      </c>
      <c r="I256" s="23">
        <v>253.0</v>
      </c>
      <c r="J256" s="24" t="str">
        <f>'1. Base de donnée HILIN MU CM2 '!$G256&amp;"-"&amp;'1. Base de donnée HILIN MU CM2 '!$H256&amp;"-"&amp;'1. Base de donnée HILIN MU CM2 '!$I256</f>
        <v>2023-44-253</v>
      </c>
      <c r="K256" s="23">
        <f t="shared" si="1"/>
        <v>249</v>
      </c>
      <c r="L256" s="24" t="s">
        <v>31</v>
      </c>
      <c r="M256" s="24"/>
      <c r="N256" s="24"/>
      <c r="O256" s="22">
        <v>8.0</v>
      </c>
      <c r="P256" s="22">
        <v>1.0</v>
      </c>
      <c r="Q256" s="22">
        <f>SUM('1. Base de donnée HILIN MU CM2 '!$O256+'1. Base de donnée HILIN MU CM2 '!$P256)/2</f>
        <v>4.5</v>
      </c>
      <c r="R256" s="22">
        <v>16.0</v>
      </c>
      <c r="S256" s="22">
        <v>18.0</v>
      </c>
      <c r="T256" s="22">
        <f>('1. Base de donnée HILIN MU CM2 '!$R256+'1. Base de donnée HILIN MU CM2 '!$S256)/2</f>
        <v>17</v>
      </c>
      <c r="U256" s="25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</row>
    <row r="257" ht="14.25" hidden="1" customHeight="1">
      <c r="A257" s="27" t="s">
        <v>515</v>
      </c>
      <c r="B257" s="27" t="s">
        <v>223</v>
      </c>
      <c r="C257" s="27" t="s">
        <v>520</v>
      </c>
      <c r="D257" s="27" t="s">
        <v>521</v>
      </c>
      <c r="E257" s="27" t="s">
        <v>522</v>
      </c>
      <c r="F257" s="27" t="s">
        <v>523</v>
      </c>
      <c r="G257" s="28">
        <v>2023.0</v>
      </c>
      <c r="H257" s="28">
        <v>44.0</v>
      </c>
      <c r="I257" s="28">
        <v>254.0</v>
      </c>
      <c r="J257" s="29" t="str">
        <f>'1. Base de donnée HILIN MU CM2 '!$G257&amp;"-"&amp;'1. Base de donnée HILIN MU CM2 '!$H257&amp;"-"&amp;'1. Base de donnée HILIN MU CM2 '!$I257</f>
        <v>2023-44-254</v>
      </c>
      <c r="K257" s="28">
        <f t="shared" si="1"/>
        <v>250</v>
      </c>
      <c r="L257" s="29" t="s">
        <v>31</v>
      </c>
      <c r="M257" s="29"/>
      <c r="N257" s="29"/>
      <c r="O257" s="27">
        <v>4.0</v>
      </c>
      <c r="P257" s="27">
        <v>4.5</v>
      </c>
      <c r="Q257" s="27">
        <f>SUM('1. Base de donnée HILIN MU CM2 '!$O257+'1. Base de donnée HILIN MU CM2 '!$P257)/2</f>
        <v>4.25</v>
      </c>
      <c r="R257" s="27">
        <v>16.0</v>
      </c>
      <c r="S257" s="27">
        <v>20.0</v>
      </c>
      <c r="T257" s="27">
        <f>('1. Base de donnée HILIN MU CM2 '!$R257+'1. Base de donnée HILIN MU CM2 '!$S257)/2</f>
        <v>18</v>
      </c>
      <c r="U257" s="30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</row>
    <row r="258" ht="14.25" hidden="1" customHeight="1">
      <c r="A258" s="22" t="s">
        <v>515</v>
      </c>
      <c r="B258" s="22" t="s">
        <v>223</v>
      </c>
      <c r="C258" s="22" t="s">
        <v>524</v>
      </c>
      <c r="D258" s="22" t="s">
        <v>525</v>
      </c>
      <c r="E258" s="22" t="s">
        <v>526</v>
      </c>
      <c r="F258" s="22" t="s">
        <v>519</v>
      </c>
      <c r="G258" s="23">
        <v>2023.0</v>
      </c>
      <c r="H258" s="23">
        <v>44.0</v>
      </c>
      <c r="I258" s="23">
        <v>255.0</v>
      </c>
      <c r="J258" s="24" t="str">
        <f>'1. Base de donnée HILIN MU CM2 '!$G258&amp;"-"&amp;'1. Base de donnée HILIN MU CM2 '!$H258&amp;"-"&amp;'1. Base de donnée HILIN MU CM2 '!$I258</f>
        <v>2023-44-255</v>
      </c>
      <c r="K258" s="23">
        <f t="shared" si="1"/>
        <v>251</v>
      </c>
      <c r="L258" s="24" t="s">
        <v>31</v>
      </c>
      <c r="M258" s="24"/>
      <c r="N258" s="24"/>
      <c r="O258" s="22">
        <v>0.5</v>
      </c>
      <c r="P258" s="22">
        <v>4.0</v>
      </c>
      <c r="Q258" s="22">
        <f>SUM('1. Base de donnée HILIN MU CM2 '!$O258+'1. Base de donnée HILIN MU CM2 '!$P258)/2</f>
        <v>2.25</v>
      </c>
      <c r="R258" s="22">
        <v>16.0</v>
      </c>
      <c r="S258" s="22">
        <v>18.5</v>
      </c>
      <c r="T258" s="22">
        <f>('1. Base de donnée HILIN MU CM2 '!$R258+'1. Base de donnée HILIN MU CM2 '!$S258)/2</f>
        <v>17.25</v>
      </c>
      <c r="U258" s="25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ht="14.25" hidden="1" customHeight="1">
      <c r="A259" s="27" t="s">
        <v>515</v>
      </c>
      <c r="B259" s="27" t="s">
        <v>223</v>
      </c>
      <c r="C259" s="27" t="s">
        <v>527</v>
      </c>
      <c r="D259" s="27" t="s">
        <v>528</v>
      </c>
      <c r="E259" s="27" t="s">
        <v>526</v>
      </c>
      <c r="F259" s="27" t="s">
        <v>523</v>
      </c>
      <c r="G259" s="28">
        <v>2023.0</v>
      </c>
      <c r="H259" s="28">
        <v>44.0</v>
      </c>
      <c r="I259" s="28">
        <v>256.0</v>
      </c>
      <c r="J259" s="29" t="str">
        <f>'1. Base de donnée HILIN MU CM2 '!$G259&amp;"-"&amp;'1. Base de donnée HILIN MU CM2 '!$H259&amp;"-"&amp;'1. Base de donnée HILIN MU CM2 '!$I259</f>
        <v>2023-44-256</v>
      </c>
      <c r="K259" s="28">
        <f t="shared" si="1"/>
        <v>252</v>
      </c>
      <c r="L259" s="29" t="s">
        <v>31</v>
      </c>
      <c r="M259" s="29"/>
      <c r="N259" s="29"/>
      <c r="O259" s="27">
        <v>3.0</v>
      </c>
      <c r="P259" s="27">
        <v>0.5</v>
      </c>
      <c r="Q259" s="27">
        <f>SUM('1. Base de donnée HILIN MU CM2 '!$O259+'1. Base de donnée HILIN MU CM2 '!$P259)/2</f>
        <v>1.75</v>
      </c>
      <c r="R259" s="27">
        <v>16.0</v>
      </c>
      <c r="S259" s="27">
        <v>19.0</v>
      </c>
      <c r="T259" s="27">
        <f>('1. Base de donnée HILIN MU CM2 '!$R259+'1. Base de donnée HILIN MU CM2 '!$S259)/2</f>
        <v>17.5</v>
      </c>
      <c r="U259" s="30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ht="14.25" hidden="1" customHeight="1">
      <c r="A260" s="22" t="s">
        <v>515</v>
      </c>
      <c r="B260" s="22" t="s">
        <v>223</v>
      </c>
      <c r="C260" s="22" t="s">
        <v>529</v>
      </c>
      <c r="D260" s="22" t="s">
        <v>530</v>
      </c>
      <c r="E260" s="22" t="s">
        <v>526</v>
      </c>
      <c r="F260" s="22" t="s">
        <v>519</v>
      </c>
      <c r="G260" s="23">
        <v>2023.0</v>
      </c>
      <c r="H260" s="23">
        <v>44.0</v>
      </c>
      <c r="I260" s="23">
        <v>257.0</v>
      </c>
      <c r="J260" s="24" t="str">
        <f>'1. Base de donnée HILIN MU CM2 '!$G260&amp;"-"&amp;'1. Base de donnée HILIN MU CM2 '!$H260&amp;"-"&amp;'1. Base de donnée HILIN MU CM2 '!$I260</f>
        <v>2023-44-257</v>
      </c>
      <c r="K260" s="23">
        <f t="shared" si="1"/>
        <v>253</v>
      </c>
      <c r="L260" s="24" t="s">
        <v>31</v>
      </c>
      <c r="M260" s="24"/>
      <c r="N260" s="24"/>
      <c r="O260" s="22">
        <v>4.0</v>
      </c>
      <c r="P260" s="22">
        <v>3.75</v>
      </c>
      <c r="Q260" s="22">
        <f>SUM('1. Base de donnée HILIN MU CM2 '!$O260+'1. Base de donnée HILIN MU CM2 '!$P260)/2</f>
        <v>3.875</v>
      </c>
      <c r="R260" s="22">
        <v>16.0</v>
      </c>
      <c r="S260" s="22">
        <v>16.5</v>
      </c>
      <c r="T260" s="22">
        <f>('1. Base de donnée HILIN MU CM2 '!$R260+'1. Base de donnée HILIN MU CM2 '!$S260)/2</f>
        <v>16.25</v>
      </c>
      <c r="U260" s="25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</row>
    <row r="261" ht="14.25" hidden="1" customHeight="1">
      <c r="A261" s="27" t="s">
        <v>515</v>
      </c>
      <c r="B261" s="27" t="s">
        <v>223</v>
      </c>
      <c r="C261" s="27" t="s">
        <v>531</v>
      </c>
      <c r="D261" s="27" t="s">
        <v>532</v>
      </c>
      <c r="E261" s="27" t="s">
        <v>526</v>
      </c>
      <c r="F261" s="27" t="s">
        <v>519</v>
      </c>
      <c r="G261" s="28">
        <v>2023.0</v>
      </c>
      <c r="H261" s="28">
        <v>44.0</v>
      </c>
      <c r="I261" s="28">
        <v>258.0</v>
      </c>
      <c r="J261" s="29" t="str">
        <f>'1. Base de donnée HILIN MU CM2 '!$G261&amp;"-"&amp;'1. Base de donnée HILIN MU CM2 '!$H261&amp;"-"&amp;'1. Base de donnée HILIN MU CM2 '!$I261</f>
        <v>2023-44-258</v>
      </c>
      <c r="K261" s="28">
        <f t="shared" si="1"/>
        <v>254</v>
      </c>
      <c r="L261" s="29" t="s">
        <v>31</v>
      </c>
      <c r="M261" s="29"/>
      <c r="N261" s="29"/>
      <c r="O261" s="27">
        <v>7.0</v>
      </c>
      <c r="P261" s="27">
        <v>0.5</v>
      </c>
      <c r="Q261" s="27">
        <f>SUM('1. Base de donnée HILIN MU CM2 '!$O261+'1. Base de donnée HILIN MU CM2 '!$P261)/2</f>
        <v>3.75</v>
      </c>
      <c r="R261" s="27">
        <v>16.0</v>
      </c>
      <c r="S261" s="27">
        <v>18.5</v>
      </c>
      <c r="T261" s="27">
        <f>('1. Base de donnée HILIN MU CM2 '!$R261+'1. Base de donnée HILIN MU CM2 '!$S261)/2</f>
        <v>17.25</v>
      </c>
      <c r="U261" s="30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ht="14.25" hidden="1" customHeight="1">
      <c r="A262" s="22" t="s">
        <v>515</v>
      </c>
      <c r="B262" s="22" t="s">
        <v>223</v>
      </c>
      <c r="C262" s="22" t="s">
        <v>533</v>
      </c>
      <c r="D262" s="22" t="s">
        <v>534</v>
      </c>
      <c r="E262" s="22" t="s">
        <v>526</v>
      </c>
      <c r="F262" s="22" t="s">
        <v>519</v>
      </c>
      <c r="G262" s="23">
        <v>2023.0</v>
      </c>
      <c r="H262" s="23">
        <v>44.0</v>
      </c>
      <c r="I262" s="23">
        <v>259.0</v>
      </c>
      <c r="J262" s="24" t="str">
        <f>'1. Base de donnée HILIN MU CM2 '!$G262&amp;"-"&amp;'1. Base de donnée HILIN MU CM2 '!$H262&amp;"-"&amp;'1. Base de donnée HILIN MU CM2 '!$I262</f>
        <v>2023-44-259</v>
      </c>
      <c r="K262" s="23">
        <f t="shared" si="1"/>
        <v>255</v>
      </c>
      <c r="L262" s="24" t="s">
        <v>31</v>
      </c>
      <c r="M262" s="24"/>
      <c r="N262" s="24"/>
      <c r="O262" s="22">
        <v>3.5</v>
      </c>
      <c r="P262" s="22">
        <v>3.5</v>
      </c>
      <c r="Q262" s="22">
        <f>SUM('1. Base de donnée HILIN MU CM2 '!$O262+'1. Base de donnée HILIN MU CM2 '!$P262)/2</f>
        <v>3.5</v>
      </c>
      <c r="R262" s="22"/>
      <c r="S262" s="22"/>
      <c r="T262" s="22"/>
      <c r="U262" s="25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ht="14.25" hidden="1" customHeight="1">
      <c r="A263" s="27" t="s">
        <v>515</v>
      </c>
      <c r="B263" s="27" t="s">
        <v>223</v>
      </c>
      <c r="C263" s="27" t="s">
        <v>535</v>
      </c>
      <c r="D263" s="27" t="s">
        <v>536</v>
      </c>
      <c r="E263" s="27" t="s">
        <v>526</v>
      </c>
      <c r="F263" s="27" t="s">
        <v>519</v>
      </c>
      <c r="G263" s="28">
        <v>2023.0</v>
      </c>
      <c r="H263" s="28">
        <v>44.0</v>
      </c>
      <c r="I263" s="28">
        <v>260.0</v>
      </c>
      <c r="J263" s="29" t="str">
        <f>'1. Base de donnée HILIN MU CM2 '!$G263&amp;"-"&amp;'1. Base de donnée HILIN MU CM2 '!$H263&amp;"-"&amp;'1. Base de donnée HILIN MU CM2 '!$I263</f>
        <v>2023-44-260</v>
      </c>
      <c r="K263" s="28">
        <f t="shared" si="1"/>
        <v>256</v>
      </c>
      <c r="L263" s="29" t="s">
        <v>31</v>
      </c>
      <c r="M263" s="29"/>
      <c r="N263" s="29"/>
      <c r="O263" s="27">
        <v>0.25</v>
      </c>
      <c r="P263" s="27">
        <v>6.0</v>
      </c>
      <c r="Q263" s="27">
        <f>SUM('1. Base de donnée HILIN MU CM2 '!$O263+'1. Base de donnée HILIN MU CM2 '!$P263)/2</f>
        <v>3.125</v>
      </c>
      <c r="R263" s="27">
        <v>14.0</v>
      </c>
      <c r="S263" s="27">
        <v>19.0</v>
      </c>
      <c r="T263" s="27">
        <f>('1. Base de donnée HILIN MU CM2 '!$R263+'1. Base de donnée HILIN MU CM2 '!$S263)/2</f>
        <v>16.5</v>
      </c>
      <c r="U263" s="30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ht="14.25" hidden="1" customHeight="1">
      <c r="A264" s="22" t="s">
        <v>515</v>
      </c>
      <c r="B264" s="22" t="s">
        <v>223</v>
      </c>
      <c r="C264" s="22" t="s">
        <v>537</v>
      </c>
      <c r="D264" s="22" t="s">
        <v>195</v>
      </c>
      <c r="E264" s="22" t="s">
        <v>526</v>
      </c>
      <c r="F264" s="22" t="s">
        <v>519</v>
      </c>
      <c r="G264" s="23">
        <v>2023.0</v>
      </c>
      <c r="H264" s="23">
        <v>44.0</v>
      </c>
      <c r="I264" s="23">
        <v>261.0</v>
      </c>
      <c r="J264" s="24" t="str">
        <f>'1. Base de donnée HILIN MU CM2 '!$G264&amp;"-"&amp;'1. Base de donnée HILIN MU CM2 '!$H264&amp;"-"&amp;'1. Base de donnée HILIN MU CM2 '!$I264</f>
        <v>2023-44-261</v>
      </c>
      <c r="K264" s="23">
        <f t="shared" si="1"/>
        <v>257</v>
      </c>
      <c r="L264" s="24" t="s">
        <v>31</v>
      </c>
      <c r="M264" s="24"/>
      <c r="N264" s="24"/>
      <c r="O264" s="22">
        <v>2.5</v>
      </c>
      <c r="P264" s="22">
        <v>3.5</v>
      </c>
      <c r="Q264" s="22">
        <f>SUM('1. Base de donnée HILIN MU CM2 '!$O264+'1. Base de donnée HILIN MU CM2 '!$P264)/2</f>
        <v>3</v>
      </c>
      <c r="R264" s="22">
        <v>18.0</v>
      </c>
      <c r="S264" s="22">
        <v>16.0</v>
      </c>
      <c r="T264" s="22">
        <f>('1. Base de donnée HILIN MU CM2 '!$R264+'1. Base de donnée HILIN MU CM2 '!$S264)/2</f>
        <v>17</v>
      </c>
      <c r="U264" s="25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ht="14.25" hidden="1" customHeight="1">
      <c r="A265" s="27" t="s">
        <v>515</v>
      </c>
      <c r="B265" s="27" t="s">
        <v>223</v>
      </c>
      <c r="C265" s="27" t="s">
        <v>538</v>
      </c>
      <c r="D265" s="27" t="s">
        <v>539</v>
      </c>
      <c r="E265" s="27" t="s">
        <v>526</v>
      </c>
      <c r="F265" s="27" t="s">
        <v>523</v>
      </c>
      <c r="G265" s="28">
        <v>2023.0</v>
      </c>
      <c r="H265" s="28">
        <v>44.0</v>
      </c>
      <c r="I265" s="28">
        <v>262.0</v>
      </c>
      <c r="J265" s="29" t="str">
        <f>'1. Base de donnée HILIN MU CM2 '!$G265&amp;"-"&amp;'1. Base de donnée HILIN MU CM2 '!$H265&amp;"-"&amp;'1. Base de donnée HILIN MU CM2 '!$I265</f>
        <v>2023-44-262</v>
      </c>
      <c r="K265" s="28">
        <f t="shared" si="1"/>
        <v>258</v>
      </c>
      <c r="L265" s="29" t="s">
        <v>31</v>
      </c>
      <c r="M265" s="29"/>
      <c r="N265" s="29"/>
      <c r="O265" s="27">
        <v>8.0</v>
      </c>
      <c r="P265" s="27">
        <v>0.5</v>
      </c>
      <c r="Q265" s="27">
        <f>SUM('1. Base de donnée HILIN MU CM2 '!$O265+'1. Base de donnée HILIN MU CM2 '!$P265)/2</f>
        <v>4.25</v>
      </c>
      <c r="R265" s="27">
        <v>14.0</v>
      </c>
      <c r="S265" s="27">
        <v>18.0</v>
      </c>
      <c r="T265" s="27">
        <f>('1. Base de donnée HILIN MU CM2 '!$R265+'1. Base de donnée HILIN MU CM2 '!$S265)/2</f>
        <v>16</v>
      </c>
      <c r="U265" s="30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</row>
    <row r="266" ht="14.25" hidden="1" customHeight="1">
      <c r="A266" s="22" t="s">
        <v>515</v>
      </c>
      <c r="B266" s="22" t="s">
        <v>223</v>
      </c>
      <c r="C266" s="22" t="s">
        <v>540</v>
      </c>
      <c r="D266" s="22" t="s">
        <v>541</v>
      </c>
      <c r="E266" s="22" t="s">
        <v>542</v>
      </c>
      <c r="F266" s="22" t="s">
        <v>523</v>
      </c>
      <c r="G266" s="23">
        <v>2023.0</v>
      </c>
      <c r="H266" s="23">
        <v>44.0</v>
      </c>
      <c r="I266" s="23">
        <v>263.0</v>
      </c>
      <c r="J266" s="24" t="str">
        <f>'1. Base de donnée HILIN MU CM2 '!$G266&amp;"-"&amp;'1. Base de donnée HILIN MU CM2 '!$H266&amp;"-"&amp;'1. Base de donnée HILIN MU CM2 '!$I266</f>
        <v>2023-44-263</v>
      </c>
      <c r="K266" s="23">
        <f t="shared" si="1"/>
        <v>259</v>
      </c>
      <c r="L266" s="24" t="s">
        <v>31</v>
      </c>
      <c r="M266" s="24"/>
      <c r="N266" s="24"/>
      <c r="O266" s="22">
        <v>5.0</v>
      </c>
      <c r="P266" s="22">
        <v>3.0</v>
      </c>
      <c r="Q266" s="22">
        <f>SUM('1. Base de donnée HILIN MU CM2 '!$O266+'1. Base de donnée HILIN MU CM2 '!$P266)/2</f>
        <v>4</v>
      </c>
      <c r="R266" s="22">
        <v>17.0</v>
      </c>
      <c r="S266" s="22">
        <v>15.0</v>
      </c>
      <c r="T266" s="22">
        <f>('1. Base de donnée HILIN MU CM2 '!$R266+'1. Base de donnée HILIN MU CM2 '!$S266)/2</f>
        <v>16</v>
      </c>
      <c r="U266" s="25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</row>
    <row r="267" ht="14.25" hidden="1" customHeight="1">
      <c r="A267" s="27" t="s">
        <v>515</v>
      </c>
      <c r="B267" s="27" t="s">
        <v>223</v>
      </c>
      <c r="C267" s="27" t="s">
        <v>543</v>
      </c>
      <c r="D267" s="27" t="s">
        <v>536</v>
      </c>
      <c r="E267" s="27" t="s">
        <v>526</v>
      </c>
      <c r="F267" s="27" t="s">
        <v>523</v>
      </c>
      <c r="G267" s="28">
        <v>2023.0</v>
      </c>
      <c r="H267" s="28">
        <v>44.0</v>
      </c>
      <c r="I267" s="28">
        <v>264.0</v>
      </c>
      <c r="J267" s="29" t="str">
        <f>'1. Base de donnée HILIN MU CM2 '!$G267&amp;"-"&amp;'1. Base de donnée HILIN MU CM2 '!$H267&amp;"-"&amp;'1. Base de donnée HILIN MU CM2 '!$I267</f>
        <v>2023-44-264</v>
      </c>
      <c r="K267" s="28">
        <f t="shared" si="1"/>
        <v>260</v>
      </c>
      <c r="L267" s="29" t="s">
        <v>31</v>
      </c>
      <c r="M267" s="29"/>
      <c r="N267" s="29"/>
      <c r="O267" s="27">
        <v>2.0</v>
      </c>
      <c r="P267" s="27">
        <v>4.25</v>
      </c>
      <c r="Q267" s="27">
        <f>SUM('1. Base de donnée HILIN MU CM2 '!$O267+'1. Base de donnée HILIN MU CM2 '!$P267)/2</f>
        <v>3.125</v>
      </c>
      <c r="R267" s="27">
        <v>17.0</v>
      </c>
      <c r="S267" s="27">
        <v>15.0</v>
      </c>
      <c r="T267" s="27">
        <f>('1. Base de donnée HILIN MU CM2 '!$R267+'1. Base de donnée HILIN MU CM2 '!$S267)/2</f>
        <v>16</v>
      </c>
      <c r="U267" s="30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</row>
    <row r="268" ht="14.25" hidden="1" customHeight="1">
      <c r="A268" s="22" t="s">
        <v>515</v>
      </c>
      <c r="B268" s="22" t="s">
        <v>223</v>
      </c>
      <c r="C268" s="22" t="s">
        <v>544</v>
      </c>
      <c r="D268" s="22" t="s">
        <v>545</v>
      </c>
      <c r="E268" s="22" t="s">
        <v>546</v>
      </c>
      <c r="F268" s="22" t="s">
        <v>519</v>
      </c>
      <c r="G268" s="23">
        <v>2023.0</v>
      </c>
      <c r="H268" s="23">
        <v>44.0</v>
      </c>
      <c r="I268" s="23">
        <v>265.0</v>
      </c>
      <c r="J268" s="24" t="str">
        <f>'1. Base de donnée HILIN MU CM2 '!$G268&amp;"-"&amp;'1. Base de donnée HILIN MU CM2 '!$H268&amp;"-"&amp;'1. Base de donnée HILIN MU CM2 '!$I268</f>
        <v>2023-44-265</v>
      </c>
      <c r="K268" s="23">
        <f t="shared" si="1"/>
        <v>261</v>
      </c>
      <c r="L268" s="24" t="s">
        <v>31</v>
      </c>
      <c r="M268" s="24"/>
      <c r="N268" s="24"/>
      <c r="O268" s="22">
        <v>3.0</v>
      </c>
      <c r="P268" s="22">
        <v>4.0</v>
      </c>
      <c r="Q268" s="22">
        <f>SUM('1. Base de donnée HILIN MU CM2 '!$O268+'1. Base de donnée HILIN MU CM2 '!$P268)/2</f>
        <v>3.5</v>
      </c>
      <c r="R268" s="22">
        <v>16.0</v>
      </c>
      <c r="S268" s="22">
        <v>14.5</v>
      </c>
      <c r="T268" s="22">
        <f>('1. Base de donnée HILIN MU CM2 '!$R268+'1. Base de donnée HILIN MU CM2 '!$S268)/2</f>
        <v>15.25</v>
      </c>
      <c r="U268" s="25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</row>
    <row r="269" ht="14.25" hidden="1" customHeight="1">
      <c r="A269" s="27" t="s">
        <v>515</v>
      </c>
      <c r="B269" s="27" t="s">
        <v>223</v>
      </c>
      <c r="C269" s="27" t="s">
        <v>547</v>
      </c>
      <c r="D269" s="27" t="s">
        <v>545</v>
      </c>
      <c r="E269" s="27" t="s">
        <v>546</v>
      </c>
      <c r="F269" s="27" t="s">
        <v>523</v>
      </c>
      <c r="G269" s="28">
        <v>2023.0</v>
      </c>
      <c r="H269" s="28">
        <v>44.0</v>
      </c>
      <c r="I269" s="28">
        <v>266.0</v>
      </c>
      <c r="J269" s="29" t="str">
        <f>'1. Base de donnée HILIN MU CM2 '!$G269&amp;"-"&amp;'1. Base de donnée HILIN MU CM2 '!$H269&amp;"-"&amp;'1. Base de donnée HILIN MU CM2 '!$I269</f>
        <v>2023-44-266</v>
      </c>
      <c r="K269" s="28">
        <f t="shared" si="1"/>
        <v>262</v>
      </c>
      <c r="L269" s="29" t="s">
        <v>31</v>
      </c>
      <c r="M269" s="29"/>
      <c r="N269" s="29"/>
      <c r="O269" s="27">
        <v>7.0</v>
      </c>
      <c r="P269" s="27">
        <v>5.5</v>
      </c>
      <c r="Q269" s="27">
        <f>SUM('1. Base de donnée HILIN MU CM2 '!$O269+'1. Base de donnée HILIN MU CM2 '!$P269)/2</f>
        <v>6.25</v>
      </c>
      <c r="R269" s="27">
        <v>16.0</v>
      </c>
      <c r="S269" s="27">
        <v>17.0</v>
      </c>
      <c r="T269" s="27">
        <f>('1. Base de donnée HILIN MU CM2 '!$R269+'1. Base de donnée HILIN MU CM2 '!$S269)/2</f>
        <v>16.5</v>
      </c>
      <c r="U269" s="30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</row>
    <row r="270" ht="14.25" hidden="1" customHeight="1">
      <c r="A270" s="22" t="s">
        <v>515</v>
      </c>
      <c r="B270" s="22" t="s">
        <v>223</v>
      </c>
      <c r="C270" s="22" t="s">
        <v>548</v>
      </c>
      <c r="D270" s="22" t="s">
        <v>549</v>
      </c>
      <c r="E270" s="22" t="s">
        <v>526</v>
      </c>
      <c r="F270" s="22" t="s">
        <v>523</v>
      </c>
      <c r="G270" s="23">
        <v>2023.0</v>
      </c>
      <c r="H270" s="23">
        <v>44.0</v>
      </c>
      <c r="I270" s="23">
        <v>267.0</v>
      </c>
      <c r="J270" s="24" t="str">
        <f>'1. Base de donnée HILIN MU CM2 '!$G270&amp;"-"&amp;'1. Base de donnée HILIN MU CM2 '!$H270&amp;"-"&amp;'1. Base de donnée HILIN MU CM2 '!$I270</f>
        <v>2023-44-267</v>
      </c>
      <c r="K270" s="23">
        <f t="shared" si="1"/>
        <v>263</v>
      </c>
      <c r="L270" s="24" t="s">
        <v>31</v>
      </c>
      <c r="M270" s="24"/>
      <c r="N270" s="24"/>
      <c r="O270" s="22">
        <v>10.5</v>
      </c>
      <c r="P270" s="22">
        <v>2.0</v>
      </c>
      <c r="Q270" s="22">
        <f>SUM('1. Base de donnée HILIN MU CM2 '!$O270+'1. Base de donnée HILIN MU CM2 '!$P270)/2</f>
        <v>6.25</v>
      </c>
      <c r="R270" s="22">
        <v>18.0</v>
      </c>
      <c r="S270" s="22">
        <v>20.0</v>
      </c>
      <c r="T270" s="22">
        <f>('1. Base de donnée HILIN MU CM2 '!$R270+'1. Base de donnée HILIN MU CM2 '!$S270)/2</f>
        <v>19</v>
      </c>
      <c r="U270" s="25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</row>
    <row r="271" ht="14.25" hidden="1" customHeight="1">
      <c r="A271" s="27" t="s">
        <v>515</v>
      </c>
      <c r="B271" s="27" t="s">
        <v>223</v>
      </c>
      <c r="C271" s="27" t="s">
        <v>550</v>
      </c>
      <c r="D271" s="27" t="s">
        <v>551</v>
      </c>
      <c r="E271" s="27" t="s">
        <v>526</v>
      </c>
      <c r="F271" s="27" t="s">
        <v>519</v>
      </c>
      <c r="G271" s="28">
        <v>2023.0</v>
      </c>
      <c r="H271" s="28">
        <v>44.0</v>
      </c>
      <c r="I271" s="28">
        <v>268.0</v>
      </c>
      <c r="J271" s="29" t="str">
        <f>'1. Base de donnée HILIN MU CM2 '!$G271&amp;"-"&amp;'1. Base de donnée HILIN MU CM2 '!$H271&amp;"-"&amp;'1. Base de donnée HILIN MU CM2 '!$I271</f>
        <v>2023-44-268</v>
      </c>
      <c r="K271" s="28">
        <f t="shared" si="1"/>
        <v>264</v>
      </c>
      <c r="L271" s="29" t="s">
        <v>31</v>
      </c>
      <c r="M271" s="29"/>
      <c r="N271" s="29"/>
      <c r="O271" s="27">
        <v>3.0</v>
      </c>
      <c r="P271" s="27">
        <v>2.5</v>
      </c>
      <c r="Q271" s="27">
        <f>SUM('1. Base de donnée HILIN MU CM2 '!$O271+'1. Base de donnée HILIN MU CM2 '!$P271)/2</f>
        <v>2.75</v>
      </c>
      <c r="R271" s="27">
        <v>14.0</v>
      </c>
      <c r="S271" s="27">
        <v>18.5</v>
      </c>
      <c r="T271" s="27">
        <f>('1. Base de donnée HILIN MU CM2 '!$R271+'1. Base de donnée HILIN MU CM2 '!$S271)/2</f>
        <v>16.25</v>
      </c>
      <c r="U271" s="30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</row>
    <row r="272" ht="14.25" hidden="1" customHeight="1">
      <c r="A272" s="22" t="s">
        <v>515</v>
      </c>
      <c r="B272" s="22" t="s">
        <v>223</v>
      </c>
      <c r="C272" s="22" t="s">
        <v>552</v>
      </c>
      <c r="D272" s="22" t="s">
        <v>553</v>
      </c>
      <c r="E272" s="22" t="s">
        <v>526</v>
      </c>
      <c r="F272" s="22" t="s">
        <v>523</v>
      </c>
      <c r="G272" s="23">
        <v>2023.0</v>
      </c>
      <c r="H272" s="23">
        <v>44.0</v>
      </c>
      <c r="I272" s="23">
        <v>269.0</v>
      </c>
      <c r="J272" s="24" t="str">
        <f>'1. Base de donnée HILIN MU CM2 '!$G272&amp;"-"&amp;'1. Base de donnée HILIN MU CM2 '!$H272&amp;"-"&amp;'1. Base de donnée HILIN MU CM2 '!$I272</f>
        <v>2023-44-269</v>
      </c>
      <c r="K272" s="23">
        <f t="shared" si="1"/>
        <v>265</v>
      </c>
      <c r="L272" s="24" t="s">
        <v>31</v>
      </c>
      <c r="M272" s="24"/>
      <c r="N272" s="24"/>
      <c r="O272" s="22">
        <v>7.0</v>
      </c>
      <c r="P272" s="22">
        <v>5.0</v>
      </c>
      <c r="Q272" s="22">
        <f>SUM('1. Base de donnée HILIN MU CM2 '!$O272+'1. Base de donnée HILIN MU CM2 '!$P272)/2</f>
        <v>6</v>
      </c>
      <c r="R272" s="22">
        <v>16.0</v>
      </c>
      <c r="S272" s="22">
        <v>18.5</v>
      </c>
      <c r="T272" s="22"/>
      <c r="U272" s="25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</row>
    <row r="273" ht="14.25" hidden="1" customHeight="1">
      <c r="A273" s="27" t="s">
        <v>515</v>
      </c>
      <c r="B273" s="27" t="s">
        <v>223</v>
      </c>
      <c r="C273" s="27" t="s">
        <v>554</v>
      </c>
      <c r="D273" s="27" t="s">
        <v>541</v>
      </c>
      <c r="E273" s="27" t="s">
        <v>526</v>
      </c>
      <c r="F273" s="27" t="s">
        <v>523</v>
      </c>
      <c r="G273" s="28">
        <v>2023.0</v>
      </c>
      <c r="H273" s="28">
        <v>44.0</v>
      </c>
      <c r="I273" s="28">
        <v>270.0</v>
      </c>
      <c r="J273" s="29" t="str">
        <f>'1. Base de donnée HILIN MU CM2 '!$G273&amp;"-"&amp;'1. Base de donnée HILIN MU CM2 '!$H273&amp;"-"&amp;'1. Base de donnée HILIN MU CM2 '!$I273</f>
        <v>2023-44-270</v>
      </c>
      <c r="K273" s="28">
        <f t="shared" si="1"/>
        <v>266</v>
      </c>
      <c r="L273" s="29" t="s">
        <v>31</v>
      </c>
      <c r="M273" s="29"/>
      <c r="N273" s="29"/>
      <c r="O273" s="27">
        <v>3.0</v>
      </c>
      <c r="P273" s="27">
        <v>2.5</v>
      </c>
      <c r="Q273" s="27">
        <f>SUM('1. Base de donnée HILIN MU CM2 '!$O273+'1. Base de donnée HILIN MU CM2 '!$P273)/2</f>
        <v>2.75</v>
      </c>
      <c r="R273" s="27">
        <v>12.0</v>
      </c>
      <c r="S273" s="27">
        <v>19.0</v>
      </c>
      <c r="T273" s="27">
        <f>('1. Base de donnée HILIN MU CM2 '!$R273+'1. Base de donnée HILIN MU CM2 '!$S273)/2</f>
        <v>15.5</v>
      </c>
      <c r="U273" s="30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</row>
    <row r="274" ht="14.25" hidden="1" customHeight="1">
      <c r="A274" s="22" t="s">
        <v>515</v>
      </c>
      <c r="B274" s="22" t="s">
        <v>223</v>
      </c>
      <c r="C274" s="22" t="s">
        <v>555</v>
      </c>
      <c r="D274" s="22" t="s">
        <v>556</v>
      </c>
      <c r="E274" s="22" t="s">
        <v>526</v>
      </c>
      <c r="F274" s="22" t="s">
        <v>523</v>
      </c>
      <c r="G274" s="23">
        <v>2023.0</v>
      </c>
      <c r="H274" s="23">
        <v>44.0</v>
      </c>
      <c r="I274" s="23">
        <v>271.0</v>
      </c>
      <c r="J274" s="24" t="str">
        <f>'1. Base de donnée HILIN MU CM2 '!$G274&amp;"-"&amp;'1. Base de donnée HILIN MU CM2 '!$H274&amp;"-"&amp;'1. Base de donnée HILIN MU CM2 '!$I274</f>
        <v>2023-44-271</v>
      </c>
      <c r="K274" s="23">
        <f t="shared" si="1"/>
        <v>267</v>
      </c>
      <c r="L274" s="24" t="s">
        <v>31</v>
      </c>
      <c r="M274" s="24"/>
      <c r="N274" s="24"/>
      <c r="O274" s="22">
        <v>8.0</v>
      </c>
      <c r="P274" s="22">
        <v>5.0</v>
      </c>
      <c r="Q274" s="22">
        <f>SUM('1. Base de donnée HILIN MU CM2 '!$O274+'1. Base de donnée HILIN MU CM2 '!$P274)/2</f>
        <v>6.5</v>
      </c>
      <c r="R274" s="22">
        <v>17.0</v>
      </c>
      <c r="S274" s="22">
        <v>20.0</v>
      </c>
      <c r="T274" s="22">
        <f>('1. Base de donnée HILIN MU CM2 '!$R274+'1. Base de donnée HILIN MU CM2 '!$S274)/2</f>
        <v>18.5</v>
      </c>
      <c r="U274" s="25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</row>
    <row r="275" ht="14.25" hidden="1" customHeight="1">
      <c r="A275" s="27" t="s">
        <v>515</v>
      </c>
      <c r="B275" s="27" t="s">
        <v>223</v>
      </c>
      <c r="C275" s="27" t="s">
        <v>557</v>
      </c>
      <c r="D275" s="27" t="s">
        <v>558</v>
      </c>
      <c r="E275" s="27" t="s">
        <v>526</v>
      </c>
      <c r="F275" s="27" t="s">
        <v>519</v>
      </c>
      <c r="G275" s="28">
        <v>2023.0</v>
      </c>
      <c r="H275" s="28">
        <v>44.0</v>
      </c>
      <c r="I275" s="28">
        <v>272.0</v>
      </c>
      <c r="J275" s="29" t="str">
        <f>'1. Base de donnée HILIN MU CM2 '!$G275&amp;"-"&amp;'1. Base de donnée HILIN MU CM2 '!$H275&amp;"-"&amp;'1. Base de donnée HILIN MU CM2 '!$I275</f>
        <v>2023-44-272</v>
      </c>
      <c r="K275" s="28">
        <f t="shared" si="1"/>
        <v>268</v>
      </c>
      <c r="L275" s="29" t="s">
        <v>31</v>
      </c>
      <c r="M275" s="29"/>
      <c r="N275" s="29"/>
      <c r="O275" s="27">
        <v>9.0</v>
      </c>
      <c r="P275" s="27">
        <v>6.0</v>
      </c>
      <c r="Q275" s="27">
        <f>SUM('1. Base de donnée HILIN MU CM2 '!$O275+'1. Base de donnée HILIN MU CM2 '!$P275)/2</f>
        <v>7.5</v>
      </c>
      <c r="R275" s="27">
        <v>17.0</v>
      </c>
      <c r="S275" s="27">
        <v>20.0</v>
      </c>
      <c r="T275" s="27">
        <f>('1. Base de donnée HILIN MU CM2 '!$R275+'1. Base de donnée HILIN MU CM2 '!$S275)/2</f>
        <v>18.5</v>
      </c>
      <c r="U275" s="30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</row>
    <row r="276" ht="14.25" hidden="1" customHeight="1">
      <c r="A276" s="22" t="s">
        <v>515</v>
      </c>
      <c r="B276" s="22" t="s">
        <v>223</v>
      </c>
      <c r="C276" s="22" t="s">
        <v>559</v>
      </c>
      <c r="D276" s="22" t="s">
        <v>321</v>
      </c>
      <c r="E276" s="22" t="s">
        <v>526</v>
      </c>
      <c r="F276" s="22" t="s">
        <v>523</v>
      </c>
      <c r="G276" s="23">
        <v>2023.0</v>
      </c>
      <c r="H276" s="23">
        <v>44.0</v>
      </c>
      <c r="I276" s="23">
        <v>273.0</v>
      </c>
      <c r="J276" s="24" t="str">
        <f>'1. Base de donnée HILIN MU CM2 '!$G276&amp;"-"&amp;'1. Base de donnée HILIN MU CM2 '!$H276&amp;"-"&amp;'1. Base de donnée HILIN MU CM2 '!$I276</f>
        <v>2023-44-273</v>
      </c>
      <c r="K276" s="23">
        <f t="shared" si="1"/>
        <v>269</v>
      </c>
      <c r="L276" s="24" t="s">
        <v>31</v>
      </c>
      <c r="M276" s="24"/>
      <c r="N276" s="24"/>
      <c r="O276" s="22">
        <v>2.0</v>
      </c>
      <c r="P276" s="22">
        <v>4.0</v>
      </c>
      <c r="Q276" s="22">
        <f>SUM('1. Base de donnée HILIN MU CM2 '!$O276+'1. Base de donnée HILIN MU CM2 '!$P276)/2</f>
        <v>3</v>
      </c>
      <c r="R276" s="22">
        <v>13.0</v>
      </c>
      <c r="S276" s="22">
        <v>18.5</v>
      </c>
      <c r="T276" s="22">
        <f>('1. Base de donnée HILIN MU CM2 '!$R276+'1. Base de donnée HILIN MU CM2 '!$S276)/2</f>
        <v>15.75</v>
      </c>
      <c r="U276" s="25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</row>
    <row r="277" ht="14.25" hidden="1" customHeight="1">
      <c r="A277" s="27" t="s">
        <v>515</v>
      </c>
      <c r="B277" s="27" t="s">
        <v>223</v>
      </c>
      <c r="C277" s="27" t="s">
        <v>560</v>
      </c>
      <c r="D277" s="27" t="s">
        <v>561</v>
      </c>
      <c r="E277" s="27" t="s">
        <v>562</v>
      </c>
      <c r="F277" s="27" t="s">
        <v>523</v>
      </c>
      <c r="G277" s="28">
        <v>2023.0</v>
      </c>
      <c r="H277" s="28">
        <v>44.0</v>
      </c>
      <c r="I277" s="28">
        <v>274.0</v>
      </c>
      <c r="J277" s="29" t="str">
        <f>'1. Base de donnée HILIN MU CM2 '!$G277&amp;"-"&amp;'1. Base de donnée HILIN MU CM2 '!$H277&amp;"-"&amp;'1. Base de donnée HILIN MU CM2 '!$I277</f>
        <v>2023-44-274</v>
      </c>
      <c r="K277" s="28">
        <f t="shared" si="1"/>
        <v>270</v>
      </c>
      <c r="L277" s="29" t="s">
        <v>31</v>
      </c>
      <c r="M277" s="29"/>
      <c r="N277" s="29"/>
      <c r="O277" s="27">
        <v>10.0</v>
      </c>
      <c r="P277" s="27">
        <v>3.0</v>
      </c>
      <c r="Q277" s="27">
        <f>SUM('1. Base de donnée HILIN MU CM2 '!$O277+'1. Base de donnée HILIN MU CM2 '!$P277)/2</f>
        <v>6.5</v>
      </c>
      <c r="R277" s="27">
        <v>14.0</v>
      </c>
      <c r="S277" s="27">
        <v>20.0</v>
      </c>
      <c r="T277" s="27">
        <f>('1. Base de donnée HILIN MU CM2 '!$R277+'1. Base de donnée HILIN MU CM2 '!$S277)/2</f>
        <v>17</v>
      </c>
      <c r="U277" s="30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</row>
    <row r="278" ht="14.25" hidden="1" customHeight="1">
      <c r="A278" s="22" t="s">
        <v>515</v>
      </c>
      <c r="B278" s="22" t="s">
        <v>223</v>
      </c>
      <c r="C278" s="22" t="s">
        <v>563</v>
      </c>
      <c r="D278" s="22" t="s">
        <v>564</v>
      </c>
      <c r="E278" s="22" t="s">
        <v>565</v>
      </c>
      <c r="F278" s="22" t="s">
        <v>519</v>
      </c>
      <c r="G278" s="23">
        <v>2023.0</v>
      </c>
      <c r="H278" s="23">
        <v>44.0</v>
      </c>
      <c r="I278" s="23">
        <v>275.0</v>
      </c>
      <c r="J278" s="24" t="str">
        <f>'1. Base de donnée HILIN MU CM2 '!$G278&amp;"-"&amp;'1. Base de donnée HILIN MU CM2 '!$H278&amp;"-"&amp;'1. Base de donnée HILIN MU CM2 '!$I278</f>
        <v>2023-44-275</v>
      </c>
      <c r="K278" s="23">
        <f t="shared" si="1"/>
        <v>271</v>
      </c>
      <c r="L278" s="24" t="s">
        <v>31</v>
      </c>
      <c r="M278" s="24"/>
      <c r="N278" s="24"/>
      <c r="O278" s="22">
        <v>7.0</v>
      </c>
      <c r="P278" s="22">
        <v>5.0</v>
      </c>
      <c r="Q278" s="22">
        <f>SUM('1. Base de donnée HILIN MU CM2 '!$O278+'1. Base de donnée HILIN MU CM2 '!$P278)/2</f>
        <v>6</v>
      </c>
      <c r="R278" s="22">
        <v>18.0</v>
      </c>
      <c r="S278" s="22">
        <v>20.0</v>
      </c>
      <c r="T278" s="22">
        <f>('1. Base de donnée HILIN MU CM2 '!$R278+'1. Base de donnée HILIN MU CM2 '!$S278)/2</f>
        <v>19</v>
      </c>
      <c r="U278" s="25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</row>
    <row r="279" ht="15.75" hidden="1" customHeight="1">
      <c r="A279" s="27" t="s">
        <v>515</v>
      </c>
      <c r="B279" s="27" t="s">
        <v>223</v>
      </c>
      <c r="C279" s="27" t="s">
        <v>566</v>
      </c>
      <c r="D279" s="27" t="s">
        <v>57</v>
      </c>
      <c r="E279" s="27" t="s">
        <v>567</v>
      </c>
      <c r="F279" s="27" t="s">
        <v>519</v>
      </c>
      <c r="G279" s="28">
        <v>2023.0</v>
      </c>
      <c r="H279" s="28">
        <v>44.0</v>
      </c>
      <c r="I279" s="28">
        <v>910.0</v>
      </c>
      <c r="J279" s="29" t="str">
        <f>'1. Base de donnée HILIN MU CM2 '!$G279&amp;"-"&amp;'1. Base de donnée HILIN MU CM2 '!$H279&amp;"-"&amp;'1. Base de donnée HILIN MU CM2 '!$I279</f>
        <v>2023-44-910</v>
      </c>
      <c r="K279" s="28">
        <f t="shared" si="1"/>
        <v>272</v>
      </c>
      <c r="L279" s="29" t="s">
        <v>31</v>
      </c>
      <c r="M279" s="29"/>
      <c r="N279" s="29"/>
      <c r="O279" s="27">
        <v>2.0</v>
      </c>
      <c r="P279" s="27">
        <v>0.5</v>
      </c>
      <c r="Q279" s="27">
        <f>SUM('1. Base de donnée HILIN MU CM2 '!$O279+'1. Base de donnée HILIN MU CM2 '!$P279)/2</f>
        <v>1.25</v>
      </c>
      <c r="R279" s="34">
        <v>16.0</v>
      </c>
      <c r="S279" s="34">
        <v>18.5</v>
      </c>
      <c r="T279" s="34">
        <f>('1. Base de donnée HILIN MU CM2 '!$R279+'1. Base de donnée HILIN MU CM2 '!$S279)/2</f>
        <v>17.25</v>
      </c>
      <c r="U279" s="30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</row>
    <row r="280" ht="14.25" hidden="1" customHeight="1">
      <c r="A280" s="22" t="s">
        <v>515</v>
      </c>
      <c r="B280" s="22" t="s">
        <v>223</v>
      </c>
      <c r="C280" s="22" t="s">
        <v>568</v>
      </c>
      <c r="D280" s="22" t="s">
        <v>54</v>
      </c>
      <c r="E280" s="22" t="s">
        <v>567</v>
      </c>
      <c r="F280" s="22" t="s">
        <v>523</v>
      </c>
      <c r="G280" s="23">
        <v>2023.0</v>
      </c>
      <c r="H280" s="23">
        <v>44.0</v>
      </c>
      <c r="I280" s="23">
        <v>916.0</v>
      </c>
      <c r="J280" s="24" t="str">
        <f>'1. Base de donnée HILIN MU CM2 '!$G280&amp;"-"&amp;'1. Base de donnée HILIN MU CM2 '!$H280&amp;"-"&amp;'1. Base de donnée HILIN MU CM2 '!$I280</f>
        <v>2023-44-916</v>
      </c>
      <c r="K280" s="23">
        <f t="shared" si="1"/>
        <v>273</v>
      </c>
      <c r="L280" s="24" t="s">
        <v>31</v>
      </c>
      <c r="M280" s="24"/>
      <c r="N280" s="24"/>
      <c r="O280" s="22">
        <v>3.0</v>
      </c>
      <c r="P280" s="22">
        <v>1.0</v>
      </c>
      <c r="Q280" s="22">
        <f>SUM('1. Base de donnée HILIN MU CM2 '!$O280+'1. Base de donnée HILIN MU CM2 '!$P280)/2</f>
        <v>2</v>
      </c>
      <c r="R280" s="33">
        <v>15.0</v>
      </c>
      <c r="S280" s="33">
        <v>18.0</v>
      </c>
      <c r="T280" s="33">
        <f>('1. Base de donnée HILIN MU CM2 '!$R280+'1. Base de donnée HILIN MU CM2 '!$S280)/2</f>
        <v>16.5</v>
      </c>
      <c r="U280" s="25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</row>
    <row r="281" ht="14.25" hidden="1" customHeight="1">
      <c r="A281" s="27" t="s">
        <v>515</v>
      </c>
      <c r="B281" s="27" t="s">
        <v>223</v>
      </c>
      <c r="C281" s="27" t="s">
        <v>569</v>
      </c>
      <c r="D281" s="27" t="s">
        <v>67</v>
      </c>
      <c r="E281" s="27" t="s">
        <v>567</v>
      </c>
      <c r="F281" s="27" t="s">
        <v>519</v>
      </c>
      <c r="G281" s="28">
        <v>2023.0</v>
      </c>
      <c r="H281" s="28">
        <v>44.0</v>
      </c>
      <c r="I281" s="28">
        <v>917.0</v>
      </c>
      <c r="J281" s="29" t="str">
        <f>'1. Base de donnée HILIN MU CM2 '!$G281&amp;"-"&amp;'1. Base de donnée HILIN MU CM2 '!$H281&amp;"-"&amp;'1. Base de donnée HILIN MU CM2 '!$I281</f>
        <v>2023-44-917</v>
      </c>
      <c r="K281" s="28">
        <f t="shared" si="1"/>
        <v>274</v>
      </c>
      <c r="L281" s="29" t="s">
        <v>31</v>
      </c>
      <c r="M281" s="29"/>
      <c r="N281" s="29"/>
      <c r="O281" s="34">
        <v>6.5</v>
      </c>
      <c r="P281" s="27">
        <v>3.0</v>
      </c>
      <c r="Q281" s="27">
        <f>SUM('1. Base de donnée HILIN MU CM2 '!$O281+'1. Base de donnée HILIN MU CM2 '!$P281)/2</f>
        <v>4.75</v>
      </c>
      <c r="R281" s="34">
        <v>20.0</v>
      </c>
      <c r="S281" s="34">
        <v>17.0</v>
      </c>
      <c r="T281" s="34">
        <f>('1. Base de donnée HILIN MU CM2 '!$R281+'1. Base de donnée HILIN MU CM2 '!$S281)/2</f>
        <v>18.5</v>
      </c>
      <c r="U281" s="30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</row>
    <row r="282" ht="14.25" hidden="1" customHeight="1">
      <c r="A282" s="22" t="s">
        <v>515</v>
      </c>
      <c r="B282" s="22" t="s">
        <v>223</v>
      </c>
      <c r="C282" s="22" t="s">
        <v>570</v>
      </c>
      <c r="D282" s="22" t="s">
        <v>285</v>
      </c>
      <c r="E282" s="22" t="s">
        <v>567</v>
      </c>
      <c r="F282" s="22"/>
      <c r="G282" s="23">
        <v>2023.0</v>
      </c>
      <c r="H282" s="23">
        <v>44.0</v>
      </c>
      <c r="I282" s="23">
        <v>918.0</v>
      </c>
      <c r="J282" s="24" t="str">
        <f>'1. Base de donnée HILIN MU CM2 '!$G282&amp;"-"&amp;'1. Base de donnée HILIN MU CM2 '!$H282&amp;"-"&amp;'1. Base de donnée HILIN MU CM2 '!$I282</f>
        <v>2023-44-918</v>
      </c>
      <c r="K282" s="23">
        <f t="shared" si="1"/>
        <v>275</v>
      </c>
      <c r="L282" s="24" t="s">
        <v>31</v>
      </c>
      <c r="M282" s="24" t="s">
        <v>571</v>
      </c>
      <c r="N282" s="24" t="s">
        <v>572</v>
      </c>
      <c r="O282" s="33"/>
      <c r="P282" s="22"/>
      <c r="Q282" s="22">
        <f>SUM('1. Base de donnée HILIN MU CM2 '!$O282+'1. Base de donnée HILIN MU CM2 '!$P282)/2</f>
        <v>0</v>
      </c>
      <c r="R282" s="33"/>
      <c r="S282" s="33"/>
      <c r="T282" s="33"/>
      <c r="U282" s="25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</row>
    <row r="283" ht="14.25" hidden="1" customHeight="1">
      <c r="A283" s="27" t="s">
        <v>515</v>
      </c>
      <c r="B283" s="27" t="s">
        <v>223</v>
      </c>
      <c r="C283" s="27" t="s">
        <v>573</v>
      </c>
      <c r="D283" s="27" t="s">
        <v>574</v>
      </c>
      <c r="E283" s="27" t="s">
        <v>567</v>
      </c>
      <c r="F283" s="27" t="s">
        <v>523</v>
      </c>
      <c r="G283" s="28">
        <v>2023.0</v>
      </c>
      <c r="H283" s="28">
        <v>44.0</v>
      </c>
      <c r="I283" s="28">
        <v>919.0</v>
      </c>
      <c r="J283" s="29" t="str">
        <f>'1. Base de donnée HILIN MU CM2 '!$G283&amp;"-"&amp;'1. Base de donnée HILIN MU CM2 '!$H283&amp;"-"&amp;'1. Base de donnée HILIN MU CM2 '!$I283</f>
        <v>2023-44-919</v>
      </c>
      <c r="K283" s="28">
        <f t="shared" si="1"/>
        <v>276</v>
      </c>
      <c r="L283" s="29" t="s">
        <v>31</v>
      </c>
      <c r="M283" s="29"/>
      <c r="N283" s="29"/>
      <c r="O283" s="27">
        <v>5.5</v>
      </c>
      <c r="P283" s="27">
        <v>4.0</v>
      </c>
      <c r="Q283" s="27">
        <f>SUM('1. Base de donnée HILIN MU CM2 '!$O283+'1. Base de donnée HILIN MU CM2 '!$P283)/2</f>
        <v>4.75</v>
      </c>
      <c r="R283" s="34">
        <v>18.0</v>
      </c>
      <c r="S283" s="34">
        <v>14.0</v>
      </c>
      <c r="T283" s="34">
        <f>('1. Base de donnée HILIN MU CM2 '!$R283+'1. Base de donnée HILIN MU CM2 '!$S283)/2</f>
        <v>16</v>
      </c>
      <c r="U283" s="30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</row>
    <row r="284" ht="14.25" customHeight="1">
      <c r="A284" s="22" t="s">
        <v>575</v>
      </c>
      <c r="B284" s="22" t="s">
        <v>121</v>
      </c>
      <c r="C284" s="22" t="s">
        <v>576</v>
      </c>
      <c r="D284" s="22" t="s">
        <v>577</v>
      </c>
      <c r="E284" s="22" t="s">
        <v>578</v>
      </c>
      <c r="F284" s="22" t="s">
        <v>579</v>
      </c>
      <c r="G284" s="23">
        <v>2023.0</v>
      </c>
      <c r="H284" s="23">
        <v>85.0</v>
      </c>
      <c r="I284" s="23">
        <v>276.0</v>
      </c>
      <c r="J284" s="24" t="str">
        <f>'1. Base de donnée HILIN MU CM2 '!$G284&amp;"-"&amp;'1. Base de donnée HILIN MU CM2 '!$H284&amp;"-"&amp;'1. Base de donnée HILIN MU CM2 '!$I284</f>
        <v>2023-85-276</v>
      </c>
      <c r="K284" s="23">
        <f t="shared" si="1"/>
        <v>277</v>
      </c>
      <c r="L284" s="24" t="s">
        <v>31</v>
      </c>
      <c r="M284" s="24"/>
      <c r="N284" s="24"/>
      <c r="O284" s="22">
        <v>10.0</v>
      </c>
      <c r="P284" s="22">
        <v>8.75</v>
      </c>
      <c r="Q284" s="22">
        <f>SUM('1. Base de donnée HILIN MU CM2 '!$O284+'1. Base de donnée HILIN MU CM2 '!$P284)/2</f>
        <v>9.375</v>
      </c>
      <c r="R284" s="33">
        <v>14.0</v>
      </c>
      <c r="S284" s="33">
        <v>16.5</v>
      </c>
      <c r="T284" s="33">
        <f>('1. Base de donnée HILIN MU CM2 '!$R284+'1. Base de donnée HILIN MU CM2 '!$S284)/2</f>
        <v>15.25</v>
      </c>
      <c r="U284" s="25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</row>
    <row r="285" ht="14.25" customHeight="1">
      <c r="A285" s="27" t="s">
        <v>575</v>
      </c>
      <c r="B285" s="27" t="s">
        <v>121</v>
      </c>
      <c r="C285" s="27" t="s">
        <v>580</v>
      </c>
      <c r="D285" s="27" t="s">
        <v>581</v>
      </c>
      <c r="E285" s="27" t="s">
        <v>578</v>
      </c>
      <c r="F285" s="27" t="s">
        <v>579</v>
      </c>
      <c r="G285" s="28">
        <v>2023.0</v>
      </c>
      <c r="H285" s="28">
        <v>85.0</v>
      </c>
      <c r="I285" s="28">
        <v>277.0</v>
      </c>
      <c r="J285" s="29" t="str">
        <f>'1. Base de donnée HILIN MU CM2 '!$G285&amp;"-"&amp;'1. Base de donnée HILIN MU CM2 '!$H285&amp;"-"&amp;'1. Base de donnée HILIN MU CM2 '!$I285</f>
        <v>2023-85-277</v>
      </c>
      <c r="K285" s="28">
        <f t="shared" si="1"/>
        <v>278</v>
      </c>
      <c r="L285" s="29" t="s">
        <v>31</v>
      </c>
      <c r="M285" s="29"/>
      <c r="N285" s="29"/>
      <c r="O285" s="27">
        <v>4.0</v>
      </c>
      <c r="P285" s="27">
        <v>2.0</v>
      </c>
      <c r="Q285" s="27">
        <f>SUM('1. Base de donnée HILIN MU CM2 '!$O285+'1. Base de donnée HILIN MU CM2 '!$P285)/2</f>
        <v>3</v>
      </c>
      <c r="R285" s="34">
        <v>11.5</v>
      </c>
      <c r="S285" s="34">
        <v>14.0</v>
      </c>
      <c r="T285" s="34">
        <f>('1. Base de donnée HILIN MU CM2 '!$R285+'1. Base de donnée HILIN MU CM2 '!$S285)/2</f>
        <v>12.75</v>
      </c>
      <c r="U285" s="30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</row>
    <row r="286" ht="14.25" customHeight="1">
      <c r="A286" s="22" t="s">
        <v>575</v>
      </c>
      <c r="B286" s="22" t="s">
        <v>121</v>
      </c>
      <c r="C286" s="22" t="s">
        <v>582</v>
      </c>
      <c r="D286" s="22" t="s">
        <v>583</v>
      </c>
      <c r="E286" s="22" t="s">
        <v>578</v>
      </c>
      <c r="F286" s="22" t="s">
        <v>579</v>
      </c>
      <c r="G286" s="23">
        <v>2023.0</v>
      </c>
      <c r="H286" s="23">
        <v>85.0</v>
      </c>
      <c r="I286" s="23">
        <v>278.0</v>
      </c>
      <c r="J286" s="24" t="str">
        <f>'1. Base de donnée HILIN MU CM2 '!$G286&amp;"-"&amp;'1. Base de donnée HILIN MU CM2 '!$H286&amp;"-"&amp;'1. Base de donnée HILIN MU CM2 '!$I286</f>
        <v>2023-85-278</v>
      </c>
      <c r="K286" s="23">
        <f t="shared" si="1"/>
        <v>279</v>
      </c>
      <c r="L286" s="24" t="s">
        <v>31</v>
      </c>
      <c r="M286" s="24"/>
      <c r="N286" s="24"/>
      <c r="O286" s="22">
        <v>8.0</v>
      </c>
      <c r="P286" s="22">
        <v>7.0</v>
      </c>
      <c r="Q286" s="22">
        <f>SUM('1. Base de donnée HILIN MU CM2 '!$O286+'1. Base de donnée HILIN MU CM2 '!$P286)/2</f>
        <v>7.5</v>
      </c>
      <c r="R286" s="33">
        <v>14.5</v>
      </c>
      <c r="S286" s="33">
        <v>13.5</v>
      </c>
      <c r="T286" s="33">
        <f>('1. Base de donnée HILIN MU CM2 '!$R286+'1. Base de donnée HILIN MU CM2 '!$S286)/2</f>
        <v>14</v>
      </c>
      <c r="U286" s="25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</row>
    <row r="287" ht="14.25" customHeight="1">
      <c r="A287" s="27" t="s">
        <v>575</v>
      </c>
      <c r="B287" s="27" t="s">
        <v>121</v>
      </c>
      <c r="C287" s="27" t="s">
        <v>584</v>
      </c>
      <c r="D287" s="27" t="s">
        <v>585</v>
      </c>
      <c r="E287" s="27" t="s">
        <v>578</v>
      </c>
      <c r="F287" s="27" t="s">
        <v>579</v>
      </c>
      <c r="G287" s="28">
        <v>2023.0</v>
      </c>
      <c r="H287" s="28">
        <v>85.0</v>
      </c>
      <c r="I287" s="28">
        <v>279.0</v>
      </c>
      <c r="J287" s="29" t="str">
        <f>'1. Base de donnée HILIN MU CM2 '!$G287&amp;"-"&amp;'1. Base de donnée HILIN MU CM2 '!$H287&amp;"-"&amp;'1. Base de donnée HILIN MU CM2 '!$I287</f>
        <v>2023-85-279</v>
      </c>
      <c r="K287" s="28">
        <f t="shared" si="1"/>
        <v>280</v>
      </c>
      <c r="L287" s="29" t="s">
        <v>31</v>
      </c>
      <c r="M287" s="29"/>
      <c r="N287" s="29"/>
      <c r="O287" s="27">
        <v>5.0</v>
      </c>
      <c r="P287" s="27">
        <v>7.75</v>
      </c>
      <c r="Q287" s="27">
        <f>SUM('1. Base de donnée HILIN MU CM2 '!$O287+'1. Base de donnée HILIN MU CM2 '!$P287)/2</f>
        <v>6.375</v>
      </c>
      <c r="R287" s="34">
        <v>11.0</v>
      </c>
      <c r="S287" s="34">
        <v>14.5</v>
      </c>
      <c r="T287" s="34">
        <f>('1. Base de donnée HILIN MU CM2 '!$R287+'1. Base de donnée HILIN MU CM2 '!$S287)/2</f>
        <v>12.75</v>
      </c>
      <c r="U287" s="30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</row>
    <row r="288" ht="14.25" customHeight="1">
      <c r="A288" s="22" t="s">
        <v>575</v>
      </c>
      <c r="B288" s="22" t="s">
        <v>121</v>
      </c>
      <c r="C288" s="22" t="s">
        <v>586</v>
      </c>
      <c r="D288" s="22" t="s">
        <v>587</v>
      </c>
      <c r="E288" s="22" t="s">
        <v>578</v>
      </c>
      <c r="F288" s="22" t="s">
        <v>579</v>
      </c>
      <c r="G288" s="23">
        <v>2023.0</v>
      </c>
      <c r="H288" s="23">
        <v>85.0</v>
      </c>
      <c r="I288" s="23">
        <v>280.0</v>
      </c>
      <c r="J288" s="24" t="str">
        <f>'1. Base de donnée HILIN MU CM2 '!$G288&amp;"-"&amp;'1. Base de donnée HILIN MU CM2 '!$H288&amp;"-"&amp;'1. Base de donnée HILIN MU CM2 '!$I288</f>
        <v>2023-85-280</v>
      </c>
      <c r="K288" s="23">
        <f t="shared" si="1"/>
        <v>281</v>
      </c>
      <c r="L288" s="24" t="s">
        <v>31</v>
      </c>
      <c r="M288" s="24"/>
      <c r="N288" s="24"/>
      <c r="O288" s="22">
        <v>4.5</v>
      </c>
      <c r="P288" s="22">
        <v>3.25</v>
      </c>
      <c r="Q288" s="22">
        <f>SUM('1. Base de donnée HILIN MU CM2 '!$O288+'1. Base de donnée HILIN MU CM2 '!$P288)/2</f>
        <v>3.875</v>
      </c>
      <c r="R288" s="33">
        <v>10.0</v>
      </c>
      <c r="S288" s="33">
        <v>15.0</v>
      </c>
      <c r="T288" s="33">
        <f>('1. Base de donnée HILIN MU CM2 '!$R288+'1. Base de donnée HILIN MU CM2 '!$S288)/2</f>
        <v>12.5</v>
      </c>
      <c r="U288" s="25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</row>
    <row r="289" ht="14.25" customHeight="1">
      <c r="A289" s="27" t="s">
        <v>575</v>
      </c>
      <c r="B289" s="27" t="s">
        <v>121</v>
      </c>
      <c r="C289" s="27" t="s">
        <v>588</v>
      </c>
      <c r="D289" s="27" t="s">
        <v>589</v>
      </c>
      <c r="E289" s="27" t="s">
        <v>578</v>
      </c>
      <c r="F289" s="27" t="s">
        <v>579</v>
      </c>
      <c r="G289" s="28">
        <v>2023.0</v>
      </c>
      <c r="H289" s="28">
        <v>85.0</v>
      </c>
      <c r="I289" s="28">
        <v>281.0</v>
      </c>
      <c r="J289" s="29" t="str">
        <f>'1. Base de donnée HILIN MU CM2 '!$G289&amp;"-"&amp;'1. Base de donnée HILIN MU CM2 '!$H289&amp;"-"&amp;'1. Base de donnée HILIN MU CM2 '!$I289</f>
        <v>2023-85-281</v>
      </c>
      <c r="K289" s="28">
        <f t="shared" si="1"/>
        <v>282</v>
      </c>
      <c r="L289" s="29" t="s">
        <v>31</v>
      </c>
      <c r="M289" s="29"/>
      <c r="N289" s="29"/>
      <c r="O289" s="27">
        <v>3.0</v>
      </c>
      <c r="P289" s="27">
        <v>2.0</v>
      </c>
      <c r="Q289" s="27">
        <f>SUM('1. Base de donnée HILIN MU CM2 '!$O289+'1. Base de donnée HILIN MU CM2 '!$P289)/2</f>
        <v>2.5</v>
      </c>
      <c r="R289" s="34">
        <v>14.5</v>
      </c>
      <c r="S289" s="34">
        <v>15.5</v>
      </c>
      <c r="T289" s="34">
        <f>('1. Base de donnée HILIN MU CM2 '!$R289+'1. Base de donnée HILIN MU CM2 '!$S289)/2</f>
        <v>15</v>
      </c>
      <c r="U289" s="30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</row>
    <row r="290" ht="14.25" customHeight="1">
      <c r="A290" s="22" t="s">
        <v>575</v>
      </c>
      <c r="B290" s="22" t="s">
        <v>121</v>
      </c>
      <c r="C290" s="22" t="s">
        <v>590</v>
      </c>
      <c r="D290" s="22" t="s">
        <v>591</v>
      </c>
      <c r="E290" s="22" t="s">
        <v>578</v>
      </c>
      <c r="F290" s="22" t="s">
        <v>579</v>
      </c>
      <c r="G290" s="23">
        <v>2023.0</v>
      </c>
      <c r="H290" s="23">
        <v>85.0</v>
      </c>
      <c r="I290" s="23">
        <v>282.0</v>
      </c>
      <c r="J290" s="24" t="str">
        <f>'1. Base de donnée HILIN MU CM2 '!$G290&amp;"-"&amp;'1. Base de donnée HILIN MU CM2 '!$H290&amp;"-"&amp;'1. Base de donnée HILIN MU CM2 '!$I290</f>
        <v>2023-85-282</v>
      </c>
      <c r="K290" s="23">
        <f t="shared" si="1"/>
        <v>283</v>
      </c>
      <c r="L290" s="24" t="s">
        <v>31</v>
      </c>
      <c r="M290" s="24"/>
      <c r="N290" s="24"/>
      <c r="O290" s="22">
        <v>7.5</v>
      </c>
      <c r="P290" s="22">
        <v>7.0</v>
      </c>
      <c r="Q290" s="22">
        <f>SUM('1. Base de donnée HILIN MU CM2 '!$O290+'1. Base de donnée HILIN MU CM2 '!$P290)/2</f>
        <v>7.25</v>
      </c>
      <c r="R290" s="33">
        <v>14.0</v>
      </c>
      <c r="S290" s="33">
        <v>17.5</v>
      </c>
      <c r="T290" s="33">
        <f>('1. Base de donnée HILIN MU CM2 '!$R290+'1. Base de donnée HILIN MU CM2 '!$S290)/2</f>
        <v>15.75</v>
      </c>
      <c r="U290" s="25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</row>
    <row r="291" ht="14.25" customHeight="1">
      <c r="A291" s="27" t="s">
        <v>575</v>
      </c>
      <c r="B291" s="27" t="s">
        <v>121</v>
      </c>
      <c r="C291" s="27" t="s">
        <v>592</v>
      </c>
      <c r="D291" s="27" t="s">
        <v>593</v>
      </c>
      <c r="E291" s="27" t="s">
        <v>578</v>
      </c>
      <c r="F291" s="27" t="s">
        <v>579</v>
      </c>
      <c r="G291" s="28">
        <v>2023.0</v>
      </c>
      <c r="H291" s="28">
        <v>85.0</v>
      </c>
      <c r="I291" s="28">
        <v>283.0</v>
      </c>
      <c r="J291" s="29" t="str">
        <f>'1. Base de donnée HILIN MU CM2 '!$G291&amp;"-"&amp;'1. Base de donnée HILIN MU CM2 '!$H291&amp;"-"&amp;'1. Base de donnée HILIN MU CM2 '!$I291</f>
        <v>2023-85-283</v>
      </c>
      <c r="K291" s="28">
        <f t="shared" si="1"/>
        <v>284</v>
      </c>
      <c r="L291" s="29" t="s">
        <v>31</v>
      </c>
      <c r="M291" s="29"/>
      <c r="N291" s="29"/>
      <c r="O291" s="27">
        <v>5.0</v>
      </c>
      <c r="P291" s="27">
        <v>6.25</v>
      </c>
      <c r="Q291" s="27">
        <f>SUM('1. Base de donnée HILIN MU CM2 '!$O291+'1. Base de donnée HILIN MU CM2 '!$P291)/2</f>
        <v>5.625</v>
      </c>
      <c r="R291" s="34">
        <v>12.0</v>
      </c>
      <c r="S291" s="34">
        <v>14.5</v>
      </c>
      <c r="T291" s="34">
        <f>('1. Base de donnée HILIN MU CM2 '!$R291+'1. Base de donnée HILIN MU CM2 '!$S291)/2</f>
        <v>13.25</v>
      </c>
      <c r="U291" s="30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</row>
    <row r="292" ht="14.25" customHeight="1">
      <c r="A292" s="22" t="s">
        <v>575</v>
      </c>
      <c r="B292" s="22" t="s">
        <v>121</v>
      </c>
      <c r="C292" s="22" t="s">
        <v>594</v>
      </c>
      <c r="D292" s="22" t="s">
        <v>577</v>
      </c>
      <c r="E292" s="22" t="s">
        <v>578</v>
      </c>
      <c r="F292" s="22" t="s">
        <v>579</v>
      </c>
      <c r="G292" s="23">
        <v>2023.0</v>
      </c>
      <c r="H292" s="23">
        <v>85.0</v>
      </c>
      <c r="I292" s="23">
        <v>284.0</v>
      </c>
      <c r="J292" s="24" t="str">
        <f>'1. Base de donnée HILIN MU CM2 '!$G292&amp;"-"&amp;'1. Base de donnée HILIN MU CM2 '!$H292&amp;"-"&amp;'1. Base de donnée HILIN MU CM2 '!$I292</f>
        <v>2023-85-284</v>
      </c>
      <c r="K292" s="23">
        <f t="shared" si="1"/>
        <v>285</v>
      </c>
      <c r="L292" s="24" t="s">
        <v>31</v>
      </c>
      <c r="M292" s="24"/>
      <c r="N292" s="24"/>
      <c r="O292" s="22">
        <v>1.5</v>
      </c>
      <c r="P292" s="22">
        <v>4.0</v>
      </c>
      <c r="Q292" s="22">
        <f>SUM('1. Base de donnée HILIN MU CM2 '!$O292+'1. Base de donnée HILIN MU CM2 '!$P292)/2</f>
        <v>2.75</v>
      </c>
      <c r="R292" s="33">
        <v>12.0</v>
      </c>
      <c r="S292" s="33">
        <v>8.5</v>
      </c>
      <c r="T292" s="33">
        <f>('1. Base de donnée HILIN MU CM2 '!$R292+'1. Base de donnée HILIN MU CM2 '!$S292)/2</f>
        <v>10.25</v>
      </c>
      <c r="U292" s="25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</row>
    <row r="293" ht="14.25" customHeight="1">
      <c r="A293" s="27" t="s">
        <v>575</v>
      </c>
      <c r="B293" s="27" t="s">
        <v>121</v>
      </c>
      <c r="C293" s="27" t="s">
        <v>595</v>
      </c>
      <c r="D293" s="27" t="s">
        <v>577</v>
      </c>
      <c r="E293" s="27" t="s">
        <v>578</v>
      </c>
      <c r="F293" s="27" t="s">
        <v>579</v>
      </c>
      <c r="G293" s="28">
        <v>2023.0</v>
      </c>
      <c r="H293" s="28">
        <v>85.0</v>
      </c>
      <c r="I293" s="28">
        <v>285.0</v>
      </c>
      <c r="J293" s="29" t="str">
        <f>'1. Base de donnée HILIN MU CM2 '!$G293&amp;"-"&amp;'1. Base de donnée HILIN MU CM2 '!$H293&amp;"-"&amp;'1. Base de donnée HILIN MU CM2 '!$I293</f>
        <v>2023-85-285</v>
      </c>
      <c r="K293" s="28">
        <f t="shared" si="1"/>
        <v>286</v>
      </c>
      <c r="L293" s="29" t="s">
        <v>31</v>
      </c>
      <c r="M293" s="29"/>
      <c r="N293" s="29"/>
      <c r="O293" s="27">
        <v>3.0</v>
      </c>
      <c r="P293" s="27">
        <v>6.25</v>
      </c>
      <c r="Q293" s="27">
        <f>SUM('1. Base de donnée HILIN MU CM2 '!$O293+'1. Base de donnée HILIN MU CM2 '!$P293)/2</f>
        <v>4.625</v>
      </c>
      <c r="R293" s="34">
        <v>16.5</v>
      </c>
      <c r="S293" s="34">
        <v>14.0</v>
      </c>
      <c r="T293" s="34">
        <f>('1. Base de donnée HILIN MU CM2 '!$R293+'1. Base de donnée HILIN MU CM2 '!$S293)/2</f>
        <v>15.25</v>
      </c>
      <c r="U293" s="30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</row>
    <row r="294" ht="14.25" customHeight="1">
      <c r="A294" s="22" t="s">
        <v>575</v>
      </c>
      <c r="B294" s="22" t="s">
        <v>121</v>
      </c>
      <c r="C294" s="22" t="s">
        <v>596</v>
      </c>
      <c r="D294" s="22" t="s">
        <v>597</v>
      </c>
      <c r="E294" s="22" t="s">
        <v>578</v>
      </c>
      <c r="F294" s="22" t="s">
        <v>579</v>
      </c>
      <c r="G294" s="23">
        <v>2023.0</v>
      </c>
      <c r="H294" s="23">
        <v>85.0</v>
      </c>
      <c r="I294" s="23">
        <v>286.0</v>
      </c>
      <c r="J294" s="24" t="str">
        <f>'1. Base de donnée HILIN MU CM2 '!$G294&amp;"-"&amp;'1. Base de donnée HILIN MU CM2 '!$H294&amp;"-"&amp;'1. Base de donnée HILIN MU CM2 '!$I294</f>
        <v>2023-85-286</v>
      </c>
      <c r="K294" s="23">
        <f t="shared" si="1"/>
        <v>287</v>
      </c>
      <c r="L294" s="24" t="s">
        <v>31</v>
      </c>
      <c r="M294" s="24"/>
      <c r="N294" s="24"/>
      <c r="O294" s="22">
        <v>12.5</v>
      </c>
      <c r="P294" s="22">
        <v>8.25</v>
      </c>
      <c r="Q294" s="22">
        <f>SUM('1. Base de donnée HILIN MU CM2 '!$O294+'1. Base de donnée HILIN MU CM2 '!$P294)/2</f>
        <v>10.375</v>
      </c>
      <c r="R294" s="33">
        <v>16.5</v>
      </c>
      <c r="S294" s="33">
        <v>14.5</v>
      </c>
      <c r="T294" s="33">
        <f>('1. Base de donnée HILIN MU CM2 '!$R294+'1. Base de donnée HILIN MU CM2 '!$S294)/2</f>
        <v>15.5</v>
      </c>
      <c r="U294" s="25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</row>
    <row r="295" ht="14.25" customHeight="1">
      <c r="A295" s="27" t="s">
        <v>575</v>
      </c>
      <c r="B295" s="27" t="s">
        <v>121</v>
      </c>
      <c r="C295" s="27" t="s">
        <v>598</v>
      </c>
      <c r="D295" s="27" t="s">
        <v>599</v>
      </c>
      <c r="E295" s="27" t="s">
        <v>578</v>
      </c>
      <c r="F295" s="27" t="s">
        <v>579</v>
      </c>
      <c r="G295" s="28">
        <v>2023.0</v>
      </c>
      <c r="H295" s="28">
        <v>85.0</v>
      </c>
      <c r="I295" s="28">
        <v>287.0</v>
      </c>
      <c r="J295" s="29" t="str">
        <f>'1. Base de donnée HILIN MU CM2 '!$G295&amp;"-"&amp;'1. Base de donnée HILIN MU CM2 '!$H295&amp;"-"&amp;'1. Base de donnée HILIN MU CM2 '!$I295</f>
        <v>2023-85-287</v>
      </c>
      <c r="K295" s="28">
        <f t="shared" si="1"/>
        <v>288</v>
      </c>
      <c r="L295" s="29" t="s">
        <v>31</v>
      </c>
      <c r="M295" s="29"/>
      <c r="N295" s="29"/>
      <c r="O295" s="27">
        <v>7.5</v>
      </c>
      <c r="P295" s="27">
        <v>5.75</v>
      </c>
      <c r="Q295" s="27">
        <f>SUM('1. Base de donnée HILIN MU CM2 '!$O295+'1. Base de donnée HILIN MU CM2 '!$P295)/2</f>
        <v>6.625</v>
      </c>
      <c r="R295" s="34">
        <v>16.5</v>
      </c>
      <c r="S295" s="34">
        <v>16.5</v>
      </c>
      <c r="T295" s="34">
        <f>('1. Base de donnée HILIN MU CM2 '!$R295+'1. Base de donnée HILIN MU CM2 '!$S295)/2</f>
        <v>16.5</v>
      </c>
      <c r="U295" s="30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</row>
    <row r="296" ht="14.25" customHeight="1">
      <c r="A296" s="22" t="s">
        <v>575</v>
      </c>
      <c r="B296" s="22" t="s">
        <v>121</v>
      </c>
      <c r="C296" s="22" t="s">
        <v>600</v>
      </c>
      <c r="D296" s="22" t="s">
        <v>601</v>
      </c>
      <c r="E296" s="22" t="s">
        <v>578</v>
      </c>
      <c r="F296" s="22" t="s">
        <v>579</v>
      </c>
      <c r="G296" s="23">
        <v>2023.0</v>
      </c>
      <c r="H296" s="23">
        <v>85.0</v>
      </c>
      <c r="I296" s="23">
        <v>288.0</v>
      </c>
      <c r="J296" s="24" t="str">
        <f>'1. Base de donnée HILIN MU CM2 '!$G296&amp;"-"&amp;'1. Base de donnée HILIN MU CM2 '!$H296&amp;"-"&amp;'1. Base de donnée HILIN MU CM2 '!$I296</f>
        <v>2023-85-288</v>
      </c>
      <c r="K296" s="23">
        <f t="shared" si="1"/>
        <v>289</v>
      </c>
      <c r="L296" s="24" t="s">
        <v>31</v>
      </c>
      <c r="M296" s="24"/>
      <c r="N296" s="24"/>
      <c r="O296" s="22">
        <v>11.5</v>
      </c>
      <c r="P296" s="22">
        <v>8.0</v>
      </c>
      <c r="Q296" s="22">
        <f>SUM('1. Base de donnée HILIN MU CM2 '!$O296+'1. Base de donnée HILIN MU CM2 '!$P296)/2</f>
        <v>9.75</v>
      </c>
      <c r="R296" s="33">
        <v>16.5</v>
      </c>
      <c r="S296" s="33">
        <v>15.5</v>
      </c>
      <c r="T296" s="33">
        <f>('1. Base de donnée HILIN MU CM2 '!$R296+'1. Base de donnée HILIN MU CM2 '!$S296)/2</f>
        <v>16</v>
      </c>
      <c r="U296" s="25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</row>
    <row r="297" ht="14.25" customHeight="1">
      <c r="A297" s="27" t="s">
        <v>575</v>
      </c>
      <c r="B297" s="27" t="s">
        <v>121</v>
      </c>
      <c r="C297" s="27" t="s">
        <v>602</v>
      </c>
      <c r="D297" s="27" t="s">
        <v>603</v>
      </c>
      <c r="E297" s="27" t="s">
        <v>578</v>
      </c>
      <c r="F297" s="27" t="s">
        <v>579</v>
      </c>
      <c r="G297" s="28">
        <v>2023.0</v>
      </c>
      <c r="H297" s="28">
        <v>85.0</v>
      </c>
      <c r="I297" s="28">
        <v>289.0</v>
      </c>
      <c r="J297" s="29" t="str">
        <f>'1. Base de donnée HILIN MU CM2 '!$G297&amp;"-"&amp;'1. Base de donnée HILIN MU CM2 '!$H297&amp;"-"&amp;'1. Base de donnée HILIN MU CM2 '!$I297</f>
        <v>2023-85-289</v>
      </c>
      <c r="K297" s="28">
        <f t="shared" si="1"/>
        <v>290</v>
      </c>
      <c r="L297" s="29" t="s">
        <v>31</v>
      </c>
      <c r="M297" s="29"/>
      <c r="N297" s="29"/>
      <c r="O297" s="27">
        <v>11.0</v>
      </c>
      <c r="P297" s="27">
        <v>4.75</v>
      </c>
      <c r="Q297" s="27">
        <f>SUM('1. Base de donnée HILIN MU CM2 '!$O297+'1. Base de donnée HILIN MU CM2 '!$P297)/2</f>
        <v>7.875</v>
      </c>
      <c r="R297" s="34">
        <v>16.0</v>
      </c>
      <c r="S297" s="34">
        <v>16.0</v>
      </c>
      <c r="T297" s="34">
        <f>('1. Base de donnée HILIN MU CM2 '!$R297+'1. Base de donnée HILIN MU CM2 '!$S297)/2</f>
        <v>16</v>
      </c>
      <c r="U297" s="30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</row>
    <row r="298" ht="14.25" customHeight="1">
      <c r="A298" s="22" t="s">
        <v>575</v>
      </c>
      <c r="B298" s="22" t="s">
        <v>121</v>
      </c>
      <c r="C298" s="22" t="s">
        <v>604</v>
      </c>
      <c r="D298" s="22" t="s">
        <v>605</v>
      </c>
      <c r="E298" s="22" t="s">
        <v>578</v>
      </c>
      <c r="F298" s="22" t="s">
        <v>579</v>
      </c>
      <c r="G298" s="23">
        <v>2023.0</v>
      </c>
      <c r="H298" s="23">
        <v>85.0</v>
      </c>
      <c r="I298" s="23">
        <v>290.0</v>
      </c>
      <c r="J298" s="24" t="str">
        <f>'1. Base de donnée HILIN MU CM2 '!$G298&amp;"-"&amp;'1. Base de donnée HILIN MU CM2 '!$H298&amp;"-"&amp;'1. Base de donnée HILIN MU CM2 '!$I298</f>
        <v>2023-85-290</v>
      </c>
      <c r="K298" s="23">
        <f t="shared" si="1"/>
        <v>291</v>
      </c>
      <c r="L298" s="24" t="s">
        <v>31</v>
      </c>
      <c r="M298" s="24"/>
      <c r="N298" s="24"/>
      <c r="O298" s="22">
        <v>10.5</v>
      </c>
      <c r="P298" s="22">
        <v>11.0</v>
      </c>
      <c r="Q298" s="22">
        <f>SUM('1. Base de donnée HILIN MU CM2 '!$O298+'1. Base de donnée HILIN MU CM2 '!$P298)/2</f>
        <v>10.75</v>
      </c>
      <c r="R298" s="33">
        <v>17.0</v>
      </c>
      <c r="S298" s="33">
        <v>17.0</v>
      </c>
      <c r="T298" s="33">
        <f>('1. Base de donnée HILIN MU CM2 '!$R298+'1. Base de donnée HILIN MU CM2 '!$S298)/2</f>
        <v>17</v>
      </c>
      <c r="U298" s="25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</row>
    <row r="299" ht="14.25" customHeight="1">
      <c r="A299" s="27" t="s">
        <v>575</v>
      </c>
      <c r="B299" s="27" t="s">
        <v>121</v>
      </c>
      <c r="C299" s="27" t="s">
        <v>606</v>
      </c>
      <c r="D299" s="27" t="s">
        <v>607</v>
      </c>
      <c r="E299" s="27" t="s">
        <v>578</v>
      </c>
      <c r="F299" s="27" t="s">
        <v>579</v>
      </c>
      <c r="G299" s="28">
        <v>2023.0</v>
      </c>
      <c r="H299" s="28">
        <v>85.0</v>
      </c>
      <c r="I299" s="28">
        <v>291.0</v>
      </c>
      <c r="J299" s="29" t="str">
        <f>'1. Base de donnée HILIN MU CM2 '!$G299&amp;"-"&amp;'1. Base de donnée HILIN MU CM2 '!$H299&amp;"-"&amp;'1. Base de donnée HILIN MU CM2 '!$I299</f>
        <v>2023-85-291</v>
      </c>
      <c r="K299" s="28">
        <f t="shared" si="1"/>
        <v>292</v>
      </c>
      <c r="L299" s="29" t="s">
        <v>31</v>
      </c>
      <c r="M299" s="29"/>
      <c r="N299" s="29"/>
      <c r="O299" s="27">
        <v>5.0</v>
      </c>
      <c r="P299" s="27">
        <v>2.75</v>
      </c>
      <c r="Q299" s="27">
        <f>SUM('1. Base de donnée HILIN MU CM2 '!$O299+'1. Base de donnée HILIN MU CM2 '!$P299)/2</f>
        <v>3.875</v>
      </c>
      <c r="R299" s="34">
        <v>14.0</v>
      </c>
      <c r="S299" s="34">
        <v>10.5</v>
      </c>
      <c r="T299" s="34">
        <f>('1. Base de donnée HILIN MU CM2 '!$R299+'1. Base de donnée HILIN MU CM2 '!$S299)/2</f>
        <v>12.25</v>
      </c>
      <c r="U299" s="30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</row>
    <row r="300" ht="14.25" customHeight="1">
      <c r="A300" s="22" t="s">
        <v>575</v>
      </c>
      <c r="B300" s="22" t="s">
        <v>121</v>
      </c>
      <c r="C300" s="22" t="s">
        <v>608</v>
      </c>
      <c r="D300" s="22" t="s">
        <v>65</v>
      </c>
      <c r="E300" s="22" t="s">
        <v>578</v>
      </c>
      <c r="F300" s="22" t="s">
        <v>579</v>
      </c>
      <c r="G300" s="23">
        <v>2023.0</v>
      </c>
      <c r="H300" s="23">
        <v>85.0</v>
      </c>
      <c r="I300" s="23">
        <v>292.0</v>
      </c>
      <c r="J300" s="24" t="str">
        <f>'1. Base de donnée HILIN MU CM2 '!$G300&amp;"-"&amp;'1. Base de donnée HILIN MU CM2 '!$H300&amp;"-"&amp;'1. Base de donnée HILIN MU CM2 '!$I300</f>
        <v>2023-85-292</v>
      </c>
      <c r="K300" s="23">
        <f t="shared" si="1"/>
        <v>293</v>
      </c>
      <c r="L300" s="24" t="s">
        <v>31</v>
      </c>
      <c r="M300" s="24"/>
      <c r="N300" s="24"/>
      <c r="O300" s="22">
        <v>8.5</v>
      </c>
      <c r="P300" s="22">
        <v>8.0</v>
      </c>
      <c r="Q300" s="22">
        <f>SUM('1. Base de donnée HILIN MU CM2 '!$O300+'1. Base de donnée HILIN MU CM2 '!$P300)/2</f>
        <v>8.25</v>
      </c>
      <c r="R300" s="33">
        <v>12.0</v>
      </c>
      <c r="S300" s="33">
        <v>14.5</v>
      </c>
      <c r="T300" s="33">
        <f>('1. Base de donnée HILIN MU CM2 '!$R300+'1. Base de donnée HILIN MU CM2 '!$S300)/2</f>
        <v>13.25</v>
      </c>
      <c r="U300" s="25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</row>
    <row r="301" ht="14.25" customHeight="1">
      <c r="A301" s="27" t="s">
        <v>575</v>
      </c>
      <c r="B301" s="27" t="s">
        <v>121</v>
      </c>
      <c r="C301" s="27" t="s">
        <v>609</v>
      </c>
      <c r="D301" s="27" t="s">
        <v>476</v>
      </c>
      <c r="E301" s="27" t="s">
        <v>578</v>
      </c>
      <c r="F301" s="27" t="s">
        <v>579</v>
      </c>
      <c r="G301" s="28">
        <v>2023.0</v>
      </c>
      <c r="H301" s="28">
        <v>85.0</v>
      </c>
      <c r="I301" s="28">
        <v>293.0</v>
      </c>
      <c r="J301" s="29" t="str">
        <f>'1. Base de donnée HILIN MU CM2 '!$G301&amp;"-"&amp;'1. Base de donnée HILIN MU CM2 '!$H301&amp;"-"&amp;'1. Base de donnée HILIN MU CM2 '!$I301</f>
        <v>2023-85-293</v>
      </c>
      <c r="K301" s="28">
        <f t="shared" si="1"/>
        <v>294</v>
      </c>
      <c r="L301" s="29" t="s">
        <v>31</v>
      </c>
      <c r="M301" s="29"/>
      <c r="N301" s="29"/>
      <c r="O301" s="27">
        <v>6.5</v>
      </c>
      <c r="P301" s="27">
        <v>3.5</v>
      </c>
      <c r="Q301" s="27">
        <f>SUM('1. Base de donnée HILIN MU CM2 '!$O301+'1. Base de donnée HILIN MU CM2 '!$P301)/2</f>
        <v>5</v>
      </c>
      <c r="R301" s="34">
        <v>14.0</v>
      </c>
      <c r="S301" s="34">
        <v>13.5</v>
      </c>
      <c r="T301" s="34">
        <f>('1. Base de donnée HILIN MU CM2 '!$R301+'1. Base de donnée HILIN MU CM2 '!$S301)/2</f>
        <v>13.75</v>
      </c>
      <c r="U301" s="30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</row>
    <row r="302" ht="14.25" customHeight="1">
      <c r="A302" s="22" t="s">
        <v>610</v>
      </c>
      <c r="B302" s="22" t="s">
        <v>121</v>
      </c>
      <c r="C302" s="22" t="s">
        <v>611</v>
      </c>
      <c r="D302" s="22" t="s">
        <v>612</v>
      </c>
      <c r="E302" s="22" t="s">
        <v>613</v>
      </c>
      <c r="F302" s="22" t="s">
        <v>614</v>
      </c>
      <c r="G302" s="23">
        <v>2023.0</v>
      </c>
      <c r="H302" s="23">
        <v>88.0</v>
      </c>
      <c r="I302" s="23">
        <v>294.0</v>
      </c>
      <c r="J302" s="24" t="str">
        <f>'1. Base de donnée HILIN MU CM2 '!$G302&amp;"-"&amp;'1. Base de donnée HILIN MU CM2 '!$H302&amp;"-"&amp;'1. Base de donnée HILIN MU CM2 '!$I302</f>
        <v>2023-88-294</v>
      </c>
      <c r="K302" s="23">
        <f t="shared" si="1"/>
        <v>295</v>
      </c>
      <c r="L302" s="24" t="s">
        <v>31</v>
      </c>
      <c r="M302" s="24"/>
      <c r="N302" s="24"/>
      <c r="O302" s="22">
        <v>9.5</v>
      </c>
      <c r="P302" s="22">
        <v>6.5</v>
      </c>
      <c r="Q302" s="22">
        <f>SUM('1. Base de donnée HILIN MU CM2 '!$O302+'1. Base de donnée HILIN MU CM2 '!$P302)/2</f>
        <v>8</v>
      </c>
      <c r="R302" s="33">
        <v>15.75</v>
      </c>
      <c r="S302" s="33">
        <v>13.75</v>
      </c>
      <c r="T302" s="33">
        <f>('1. Base de donnée HILIN MU CM2 '!$R302+'1. Base de donnée HILIN MU CM2 '!$S302)/2</f>
        <v>14.75</v>
      </c>
      <c r="U302" s="25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</row>
    <row r="303" ht="14.25" customHeight="1">
      <c r="A303" s="27" t="s">
        <v>610</v>
      </c>
      <c r="B303" s="27" t="s">
        <v>121</v>
      </c>
      <c r="C303" s="27" t="s">
        <v>615</v>
      </c>
      <c r="D303" s="27" t="s">
        <v>616</v>
      </c>
      <c r="E303" s="27" t="s">
        <v>617</v>
      </c>
      <c r="F303" s="27" t="s">
        <v>614</v>
      </c>
      <c r="G303" s="28">
        <v>2023.0</v>
      </c>
      <c r="H303" s="28">
        <v>88.0</v>
      </c>
      <c r="I303" s="28">
        <v>295.0</v>
      </c>
      <c r="J303" s="29" t="str">
        <f>'1. Base de donnée HILIN MU CM2 '!$G303&amp;"-"&amp;'1. Base de donnée HILIN MU CM2 '!$H303&amp;"-"&amp;'1. Base de donnée HILIN MU CM2 '!$I303</f>
        <v>2023-88-295</v>
      </c>
      <c r="K303" s="28">
        <f t="shared" si="1"/>
        <v>296</v>
      </c>
      <c r="L303" s="29" t="s">
        <v>31</v>
      </c>
      <c r="M303" s="29"/>
      <c r="N303" s="29"/>
      <c r="O303" s="27">
        <v>3.0</v>
      </c>
      <c r="P303" s="27">
        <v>3.5</v>
      </c>
      <c r="Q303" s="27">
        <f>SUM('1. Base de donnée HILIN MU CM2 '!$O303+'1. Base de donnée HILIN MU CM2 '!$P303)/2</f>
        <v>3.25</v>
      </c>
      <c r="R303" s="34">
        <v>15.75</v>
      </c>
      <c r="S303" s="34">
        <v>14.25</v>
      </c>
      <c r="T303" s="34">
        <f>('1. Base de donnée HILIN MU CM2 '!$R303+'1. Base de donnée HILIN MU CM2 '!$S303)/2</f>
        <v>15</v>
      </c>
      <c r="U303" s="30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</row>
    <row r="304" ht="14.25" customHeight="1">
      <c r="A304" s="22" t="s">
        <v>610</v>
      </c>
      <c r="B304" s="22" t="s">
        <v>121</v>
      </c>
      <c r="C304" s="22" t="s">
        <v>618</v>
      </c>
      <c r="D304" s="22" t="s">
        <v>619</v>
      </c>
      <c r="E304" s="22" t="s">
        <v>620</v>
      </c>
      <c r="F304" s="22" t="s">
        <v>614</v>
      </c>
      <c r="G304" s="23">
        <v>2023.0</v>
      </c>
      <c r="H304" s="23">
        <v>88.0</v>
      </c>
      <c r="I304" s="23">
        <v>296.0</v>
      </c>
      <c r="J304" s="24" t="str">
        <f>'1. Base de donnée HILIN MU CM2 '!$G304&amp;"-"&amp;'1. Base de donnée HILIN MU CM2 '!$H304&amp;"-"&amp;'1. Base de donnée HILIN MU CM2 '!$I304</f>
        <v>2023-88-296</v>
      </c>
      <c r="K304" s="23">
        <f t="shared" si="1"/>
        <v>297</v>
      </c>
      <c r="L304" s="24" t="s">
        <v>31</v>
      </c>
      <c r="M304" s="24"/>
      <c r="N304" s="24"/>
      <c r="O304" s="22">
        <v>7.0</v>
      </c>
      <c r="P304" s="22">
        <v>3.75</v>
      </c>
      <c r="Q304" s="22">
        <f>SUM('1. Base de donnée HILIN MU CM2 '!$O304+'1. Base de donnée HILIN MU CM2 '!$P304)/2</f>
        <v>5.375</v>
      </c>
      <c r="R304" s="33">
        <v>13.25</v>
      </c>
      <c r="S304" s="33">
        <v>13.5</v>
      </c>
      <c r="T304" s="33">
        <f>('1. Base de donnée HILIN MU CM2 '!$R304+'1. Base de donnée HILIN MU CM2 '!$S304)/2</f>
        <v>13.375</v>
      </c>
      <c r="U304" s="25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</row>
    <row r="305" ht="14.25" customHeight="1">
      <c r="A305" s="27" t="s">
        <v>610</v>
      </c>
      <c r="B305" s="27" t="s">
        <v>121</v>
      </c>
      <c r="C305" s="27" t="s">
        <v>621</v>
      </c>
      <c r="D305" s="27" t="s">
        <v>622</v>
      </c>
      <c r="E305" s="27" t="s">
        <v>617</v>
      </c>
      <c r="F305" s="27" t="s">
        <v>614</v>
      </c>
      <c r="G305" s="28">
        <v>2023.0</v>
      </c>
      <c r="H305" s="28">
        <v>88.0</v>
      </c>
      <c r="I305" s="28">
        <v>297.0</v>
      </c>
      <c r="J305" s="29" t="str">
        <f>'1. Base de donnée HILIN MU CM2 '!$G305&amp;"-"&amp;'1. Base de donnée HILIN MU CM2 '!$H305&amp;"-"&amp;'1. Base de donnée HILIN MU CM2 '!$I305</f>
        <v>2023-88-297</v>
      </c>
      <c r="K305" s="28">
        <f t="shared" si="1"/>
        <v>298</v>
      </c>
      <c r="L305" s="29" t="s">
        <v>31</v>
      </c>
      <c r="M305" s="29"/>
      <c r="N305" s="29"/>
      <c r="O305" s="27">
        <v>9.0</v>
      </c>
      <c r="P305" s="27">
        <v>9.5</v>
      </c>
      <c r="Q305" s="27">
        <f>SUM('1. Base de donnée HILIN MU CM2 '!$O305+'1. Base de donnée HILIN MU CM2 '!$P305)/2</f>
        <v>9.25</v>
      </c>
      <c r="R305" s="34">
        <v>16.25</v>
      </c>
      <c r="S305" s="34">
        <v>18.0</v>
      </c>
      <c r="T305" s="34">
        <f>('1. Base de donnée HILIN MU CM2 '!$R305+'1. Base de donnée HILIN MU CM2 '!$S305)/2</f>
        <v>17.125</v>
      </c>
      <c r="U305" s="30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ht="14.25" customHeight="1">
      <c r="A306" s="22" t="s">
        <v>610</v>
      </c>
      <c r="B306" s="22" t="s">
        <v>121</v>
      </c>
      <c r="C306" s="22" t="s">
        <v>623</v>
      </c>
      <c r="D306" s="22" t="s">
        <v>624</v>
      </c>
      <c r="E306" s="22" t="s">
        <v>613</v>
      </c>
      <c r="F306" s="22" t="s">
        <v>614</v>
      </c>
      <c r="G306" s="23">
        <v>2023.0</v>
      </c>
      <c r="H306" s="23">
        <v>88.0</v>
      </c>
      <c r="I306" s="23">
        <v>298.0</v>
      </c>
      <c r="J306" s="24" t="str">
        <f>'1. Base de donnée HILIN MU CM2 '!$G306&amp;"-"&amp;'1. Base de donnée HILIN MU CM2 '!$H306&amp;"-"&amp;'1. Base de donnée HILIN MU CM2 '!$I306</f>
        <v>2023-88-298</v>
      </c>
      <c r="K306" s="23">
        <f t="shared" si="1"/>
        <v>299</v>
      </c>
      <c r="L306" s="24" t="s">
        <v>31</v>
      </c>
      <c r="M306" s="24"/>
      <c r="N306" s="24"/>
      <c r="O306" s="22">
        <v>9.5</v>
      </c>
      <c r="P306" s="22">
        <v>6.5</v>
      </c>
      <c r="Q306" s="22">
        <f>SUM('1. Base de donnée HILIN MU CM2 '!$O306+'1. Base de donnée HILIN MU CM2 '!$P306)/2</f>
        <v>8</v>
      </c>
      <c r="R306" s="33">
        <v>16.25</v>
      </c>
      <c r="S306" s="33">
        <v>15.0</v>
      </c>
      <c r="T306" s="33">
        <f>('1. Base de donnée HILIN MU CM2 '!$R306+'1. Base de donnée HILIN MU CM2 '!$S306)/2</f>
        <v>15.625</v>
      </c>
      <c r="U306" s="25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ht="14.25" customHeight="1">
      <c r="A307" s="27" t="s">
        <v>610</v>
      </c>
      <c r="B307" s="27" t="s">
        <v>121</v>
      </c>
      <c r="C307" s="27" t="s">
        <v>625</v>
      </c>
      <c r="D307" s="27" t="s">
        <v>626</v>
      </c>
      <c r="E307" s="27" t="s">
        <v>627</v>
      </c>
      <c r="F307" s="27" t="s">
        <v>614</v>
      </c>
      <c r="G307" s="28">
        <v>2023.0</v>
      </c>
      <c r="H307" s="28">
        <v>88.0</v>
      </c>
      <c r="I307" s="28">
        <v>299.0</v>
      </c>
      <c r="J307" s="29" t="str">
        <f>'1. Base de donnée HILIN MU CM2 '!$G307&amp;"-"&amp;'1. Base de donnée HILIN MU CM2 '!$H307&amp;"-"&amp;'1. Base de donnée HILIN MU CM2 '!$I307</f>
        <v>2023-88-299</v>
      </c>
      <c r="K307" s="28">
        <f t="shared" si="1"/>
        <v>300</v>
      </c>
      <c r="L307" s="29" t="s">
        <v>31</v>
      </c>
      <c r="M307" s="29"/>
      <c r="N307" s="29"/>
      <c r="O307" s="27">
        <v>7.5</v>
      </c>
      <c r="P307" s="27">
        <v>3.5</v>
      </c>
      <c r="Q307" s="27">
        <f>SUM('1. Base de donnée HILIN MU CM2 '!$O307+'1. Base de donnée HILIN MU CM2 '!$P307)/2</f>
        <v>5.5</v>
      </c>
      <c r="R307" s="34">
        <v>13.25</v>
      </c>
      <c r="S307" s="34">
        <v>10.25</v>
      </c>
      <c r="T307" s="34">
        <f>('1. Base de donnée HILIN MU CM2 '!$R307+'1. Base de donnée HILIN MU CM2 '!$S307)/2</f>
        <v>11.75</v>
      </c>
      <c r="U307" s="30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</row>
    <row r="308" ht="14.25" customHeight="1">
      <c r="A308" s="22" t="s">
        <v>610</v>
      </c>
      <c r="B308" s="22" t="s">
        <v>121</v>
      </c>
      <c r="C308" s="22" t="s">
        <v>628</v>
      </c>
      <c r="D308" s="22" t="s">
        <v>629</v>
      </c>
      <c r="E308" s="22" t="s">
        <v>613</v>
      </c>
      <c r="F308" s="22" t="s">
        <v>614</v>
      </c>
      <c r="G308" s="23">
        <v>2023.0</v>
      </c>
      <c r="H308" s="23">
        <v>88.0</v>
      </c>
      <c r="I308" s="23">
        <v>300.0</v>
      </c>
      <c r="J308" s="24" t="str">
        <f>'1. Base de donnée HILIN MU CM2 '!$G308&amp;"-"&amp;'1. Base de donnée HILIN MU CM2 '!$H308&amp;"-"&amp;'1. Base de donnée HILIN MU CM2 '!$I308</f>
        <v>2023-88-300</v>
      </c>
      <c r="K308" s="23">
        <f t="shared" si="1"/>
        <v>301</v>
      </c>
      <c r="L308" s="24" t="s">
        <v>31</v>
      </c>
      <c r="M308" s="24"/>
      <c r="N308" s="24"/>
      <c r="O308" s="22">
        <v>7.5</v>
      </c>
      <c r="P308" s="22">
        <v>5.0</v>
      </c>
      <c r="Q308" s="22">
        <f>SUM('1. Base de donnée HILIN MU CM2 '!$O308+'1. Base de donnée HILIN MU CM2 '!$P308)/2</f>
        <v>6.25</v>
      </c>
      <c r="R308" s="33">
        <v>15.25</v>
      </c>
      <c r="S308" s="33">
        <v>14.25</v>
      </c>
      <c r="T308" s="33">
        <f>('1. Base de donnée HILIN MU CM2 '!$R308+'1. Base de donnée HILIN MU CM2 '!$S308)/2</f>
        <v>14.75</v>
      </c>
      <c r="U308" s="25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</row>
    <row r="309" ht="14.25" customHeight="1">
      <c r="A309" s="27" t="s">
        <v>610</v>
      </c>
      <c r="B309" s="27" t="s">
        <v>121</v>
      </c>
      <c r="C309" s="27" t="s">
        <v>630</v>
      </c>
      <c r="D309" s="27" t="s">
        <v>631</v>
      </c>
      <c r="E309" s="27" t="s">
        <v>617</v>
      </c>
      <c r="F309" s="27" t="s">
        <v>614</v>
      </c>
      <c r="G309" s="28">
        <v>2023.0</v>
      </c>
      <c r="H309" s="28">
        <v>88.0</v>
      </c>
      <c r="I309" s="28">
        <v>301.0</v>
      </c>
      <c r="J309" s="29" t="str">
        <f>'1. Base de donnée HILIN MU CM2 '!$G309&amp;"-"&amp;'1. Base de donnée HILIN MU CM2 '!$H309&amp;"-"&amp;'1. Base de donnée HILIN MU CM2 '!$I309</f>
        <v>2023-88-301</v>
      </c>
      <c r="K309" s="28">
        <f t="shared" si="1"/>
        <v>302</v>
      </c>
      <c r="L309" s="29" t="s">
        <v>31</v>
      </c>
      <c r="M309" s="29"/>
      <c r="N309" s="29"/>
      <c r="O309" s="27">
        <v>9.0</v>
      </c>
      <c r="P309" s="27">
        <v>5.0</v>
      </c>
      <c r="Q309" s="27">
        <f>SUM('1. Base de donnée HILIN MU CM2 '!$O309+'1. Base de donnée HILIN MU CM2 '!$P309)/2</f>
        <v>7</v>
      </c>
      <c r="R309" s="34">
        <v>15.25</v>
      </c>
      <c r="S309" s="34">
        <v>18.25</v>
      </c>
      <c r="T309" s="34">
        <f>('1. Base de donnée HILIN MU CM2 '!$R309+'1. Base de donnée HILIN MU CM2 '!$S309)/2</f>
        <v>16.75</v>
      </c>
      <c r="U309" s="30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</row>
    <row r="310" ht="14.25" customHeight="1">
      <c r="A310" s="22" t="s">
        <v>610</v>
      </c>
      <c r="B310" s="22" t="s">
        <v>121</v>
      </c>
      <c r="C310" s="22" t="s">
        <v>632</v>
      </c>
      <c r="D310" s="22" t="s">
        <v>633</v>
      </c>
      <c r="E310" s="22" t="s">
        <v>613</v>
      </c>
      <c r="F310" s="22" t="s">
        <v>614</v>
      </c>
      <c r="G310" s="23">
        <v>2023.0</v>
      </c>
      <c r="H310" s="23">
        <v>88.0</v>
      </c>
      <c r="I310" s="23">
        <v>302.0</v>
      </c>
      <c r="J310" s="24" t="str">
        <f>'1. Base de donnée HILIN MU CM2 '!$G310&amp;"-"&amp;'1. Base de donnée HILIN MU CM2 '!$H310&amp;"-"&amp;'1. Base de donnée HILIN MU CM2 '!$I310</f>
        <v>2023-88-302</v>
      </c>
      <c r="K310" s="23">
        <f t="shared" si="1"/>
        <v>303</v>
      </c>
      <c r="L310" s="24" t="s">
        <v>31</v>
      </c>
      <c r="M310" s="24"/>
      <c r="N310" s="24"/>
      <c r="O310" s="22">
        <v>9.5</v>
      </c>
      <c r="P310" s="22">
        <v>4.0</v>
      </c>
      <c r="Q310" s="22">
        <f>SUM('1. Base de donnée HILIN MU CM2 '!$O310+'1. Base de donnée HILIN MU CM2 '!$P310)/2</f>
        <v>6.75</v>
      </c>
      <c r="R310" s="33">
        <v>16.25</v>
      </c>
      <c r="S310" s="33">
        <v>14.0</v>
      </c>
      <c r="T310" s="33">
        <f>('1. Base de donnée HILIN MU CM2 '!$R310+'1. Base de donnée HILIN MU CM2 '!$S310)/2</f>
        <v>15.125</v>
      </c>
      <c r="U310" s="25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</row>
    <row r="311" ht="14.25" customHeight="1">
      <c r="A311" s="27" t="s">
        <v>610</v>
      </c>
      <c r="B311" s="27" t="s">
        <v>121</v>
      </c>
      <c r="C311" s="27" t="s">
        <v>634</v>
      </c>
      <c r="D311" s="27" t="s">
        <v>635</v>
      </c>
      <c r="E311" s="27" t="s">
        <v>636</v>
      </c>
      <c r="F311" s="27" t="s">
        <v>614</v>
      </c>
      <c r="G311" s="28">
        <v>2023.0</v>
      </c>
      <c r="H311" s="28">
        <v>88.0</v>
      </c>
      <c r="I311" s="28">
        <v>303.0</v>
      </c>
      <c r="J311" s="29" t="str">
        <f>'1. Base de donnée HILIN MU CM2 '!$G311&amp;"-"&amp;'1. Base de donnée HILIN MU CM2 '!$H311&amp;"-"&amp;'1. Base de donnée HILIN MU CM2 '!$I311</f>
        <v>2023-88-303</v>
      </c>
      <c r="K311" s="28">
        <f t="shared" si="1"/>
        <v>304</v>
      </c>
      <c r="L311" s="29" t="s">
        <v>31</v>
      </c>
      <c r="M311" s="29"/>
      <c r="N311" s="29"/>
      <c r="O311" s="27">
        <v>11.5</v>
      </c>
      <c r="P311" s="27">
        <v>9.25</v>
      </c>
      <c r="Q311" s="27">
        <f>SUM('1. Base de donnée HILIN MU CM2 '!$O311+'1. Base de donnée HILIN MU CM2 '!$P311)/2</f>
        <v>10.375</v>
      </c>
      <c r="R311" s="34">
        <v>17.75</v>
      </c>
      <c r="S311" s="34">
        <v>19.5</v>
      </c>
      <c r="T311" s="34">
        <f>('1. Base de donnée HILIN MU CM2 '!$R311+'1. Base de donnée HILIN MU CM2 '!$S311)/2</f>
        <v>18.625</v>
      </c>
      <c r="U311" s="30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</row>
    <row r="312" ht="14.25" customHeight="1">
      <c r="A312" s="22" t="s">
        <v>610</v>
      </c>
      <c r="B312" s="22" t="s">
        <v>121</v>
      </c>
      <c r="C312" s="22" t="s">
        <v>637</v>
      </c>
      <c r="D312" s="22" t="s">
        <v>638</v>
      </c>
      <c r="E312" s="22" t="s">
        <v>613</v>
      </c>
      <c r="F312" s="22" t="s">
        <v>614</v>
      </c>
      <c r="G312" s="23">
        <v>2023.0</v>
      </c>
      <c r="H312" s="23">
        <v>88.0</v>
      </c>
      <c r="I312" s="23">
        <v>304.0</v>
      </c>
      <c r="J312" s="24" t="str">
        <f>'1. Base de donnée HILIN MU CM2 '!$G312&amp;"-"&amp;'1. Base de donnée HILIN MU CM2 '!$H312&amp;"-"&amp;'1. Base de donnée HILIN MU CM2 '!$I312</f>
        <v>2023-88-304</v>
      </c>
      <c r="K312" s="23">
        <f t="shared" si="1"/>
        <v>305</v>
      </c>
      <c r="L312" s="24" t="s">
        <v>31</v>
      </c>
      <c r="M312" s="24"/>
      <c r="N312" s="24"/>
      <c r="O312" s="22">
        <v>7.0</v>
      </c>
      <c r="P312" s="22">
        <v>7.25</v>
      </c>
      <c r="Q312" s="22">
        <f>SUM('1. Base de donnée HILIN MU CM2 '!$O312+'1. Base de donnée HILIN MU CM2 '!$P312)/2</f>
        <v>7.125</v>
      </c>
      <c r="R312" s="33">
        <v>15.75</v>
      </c>
      <c r="S312" s="33">
        <v>17.0</v>
      </c>
      <c r="T312" s="33">
        <f>('1. Base de donnée HILIN MU CM2 '!$R312+'1. Base de donnée HILIN MU CM2 '!$S312)/2</f>
        <v>16.375</v>
      </c>
      <c r="U312" s="25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</row>
    <row r="313" ht="14.25" customHeight="1">
      <c r="A313" s="27" t="s">
        <v>610</v>
      </c>
      <c r="B313" s="27" t="s">
        <v>121</v>
      </c>
      <c r="C313" s="27" t="s">
        <v>639</v>
      </c>
      <c r="D313" s="27" t="s">
        <v>640</v>
      </c>
      <c r="E313" s="27" t="s">
        <v>613</v>
      </c>
      <c r="F313" s="27" t="s">
        <v>614</v>
      </c>
      <c r="G313" s="28">
        <v>2023.0</v>
      </c>
      <c r="H313" s="28">
        <v>88.0</v>
      </c>
      <c r="I313" s="28">
        <v>305.0</v>
      </c>
      <c r="J313" s="29" t="str">
        <f>'1. Base de donnée HILIN MU CM2 '!$G313&amp;"-"&amp;'1. Base de donnée HILIN MU CM2 '!$H313&amp;"-"&amp;'1. Base de donnée HILIN MU CM2 '!$I313</f>
        <v>2023-88-305</v>
      </c>
      <c r="K313" s="28">
        <f t="shared" si="1"/>
        <v>306</v>
      </c>
      <c r="L313" s="29" t="s">
        <v>31</v>
      </c>
      <c r="M313" s="29"/>
      <c r="N313" s="29"/>
      <c r="O313" s="27">
        <v>4.5</v>
      </c>
      <c r="P313" s="27">
        <v>7.75</v>
      </c>
      <c r="Q313" s="27">
        <f>SUM('1. Base de donnée HILIN MU CM2 '!$O313+'1. Base de donnée HILIN MU CM2 '!$P313)/2</f>
        <v>6.125</v>
      </c>
      <c r="R313" s="34">
        <v>14.75</v>
      </c>
      <c r="S313" s="34">
        <v>13.0</v>
      </c>
      <c r="T313" s="34">
        <f>('1. Base de donnée HILIN MU CM2 '!$R313+'1. Base de donnée HILIN MU CM2 '!$S313)/2</f>
        <v>13.875</v>
      </c>
      <c r="U313" s="30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</row>
    <row r="314" ht="14.25" customHeight="1">
      <c r="A314" s="22" t="s">
        <v>610</v>
      </c>
      <c r="B314" s="22" t="s">
        <v>121</v>
      </c>
      <c r="C314" s="22" t="s">
        <v>641</v>
      </c>
      <c r="D314" s="22" t="s">
        <v>642</v>
      </c>
      <c r="E314" s="22" t="s">
        <v>613</v>
      </c>
      <c r="F314" s="22" t="s">
        <v>614</v>
      </c>
      <c r="G314" s="23">
        <v>2023.0</v>
      </c>
      <c r="H314" s="23">
        <v>88.0</v>
      </c>
      <c r="I314" s="23">
        <v>306.0</v>
      </c>
      <c r="J314" s="24" t="str">
        <f>'1. Base de donnée HILIN MU CM2 '!$G314&amp;"-"&amp;'1. Base de donnée HILIN MU CM2 '!$H314&amp;"-"&amp;'1. Base de donnée HILIN MU CM2 '!$I314</f>
        <v>2023-88-306</v>
      </c>
      <c r="K314" s="23">
        <f t="shared" si="1"/>
        <v>307</v>
      </c>
      <c r="L314" s="24" t="s">
        <v>31</v>
      </c>
      <c r="M314" s="24"/>
      <c r="N314" s="24"/>
      <c r="O314" s="22">
        <v>8.5</v>
      </c>
      <c r="P314" s="22">
        <v>7.5</v>
      </c>
      <c r="Q314" s="22">
        <f>SUM('1. Base de donnée HILIN MU CM2 '!$O314+'1. Base de donnée HILIN MU CM2 '!$P314)/2</f>
        <v>8</v>
      </c>
      <c r="R314" s="33"/>
      <c r="S314" s="33"/>
      <c r="T314" s="33"/>
      <c r="U314" s="25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</row>
    <row r="315" ht="14.25" customHeight="1">
      <c r="A315" s="27" t="s">
        <v>610</v>
      </c>
      <c r="B315" s="27" t="s">
        <v>121</v>
      </c>
      <c r="C315" s="27" t="s">
        <v>643</v>
      </c>
      <c r="D315" s="27" t="s">
        <v>644</v>
      </c>
      <c r="E315" s="27" t="s">
        <v>617</v>
      </c>
      <c r="F315" s="27" t="s">
        <v>614</v>
      </c>
      <c r="G315" s="28">
        <v>2023.0</v>
      </c>
      <c r="H315" s="28">
        <v>88.0</v>
      </c>
      <c r="I315" s="28">
        <v>307.0</v>
      </c>
      <c r="J315" s="29" t="str">
        <f>'1. Base de donnée HILIN MU CM2 '!$G315&amp;"-"&amp;'1. Base de donnée HILIN MU CM2 '!$H315&amp;"-"&amp;'1. Base de donnée HILIN MU CM2 '!$I315</f>
        <v>2023-88-307</v>
      </c>
      <c r="K315" s="28">
        <f t="shared" si="1"/>
        <v>308</v>
      </c>
      <c r="L315" s="29" t="s">
        <v>31</v>
      </c>
      <c r="M315" s="29"/>
      <c r="N315" s="29"/>
      <c r="O315" s="27">
        <v>10.0</v>
      </c>
      <c r="P315" s="27">
        <v>10.5</v>
      </c>
      <c r="Q315" s="27">
        <f>SUM('1. Base de donnée HILIN MU CM2 '!$O315+'1. Base de donnée HILIN MU CM2 '!$P315)/2</f>
        <v>10.25</v>
      </c>
      <c r="R315" s="34">
        <v>18.5</v>
      </c>
      <c r="S315" s="34">
        <v>18.5</v>
      </c>
      <c r="T315" s="34">
        <f>('1. Base de donnée HILIN MU CM2 '!$R315+'1. Base de donnée HILIN MU CM2 '!$S315)/2</f>
        <v>18.5</v>
      </c>
      <c r="U315" s="30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</row>
    <row r="316" ht="14.25" customHeight="1">
      <c r="A316" s="22" t="s">
        <v>610</v>
      </c>
      <c r="B316" s="22" t="s">
        <v>121</v>
      </c>
      <c r="C316" s="22" t="s">
        <v>645</v>
      </c>
      <c r="D316" s="22" t="s">
        <v>646</v>
      </c>
      <c r="E316" s="22" t="s">
        <v>647</v>
      </c>
      <c r="F316" s="22" t="s">
        <v>614</v>
      </c>
      <c r="G316" s="23">
        <v>2023.0</v>
      </c>
      <c r="H316" s="23">
        <v>88.0</v>
      </c>
      <c r="I316" s="23">
        <v>308.0</v>
      </c>
      <c r="J316" s="24" t="str">
        <f>'1. Base de donnée HILIN MU CM2 '!$G316&amp;"-"&amp;'1. Base de donnée HILIN MU CM2 '!$H316&amp;"-"&amp;'1. Base de donnée HILIN MU CM2 '!$I316</f>
        <v>2023-88-308</v>
      </c>
      <c r="K316" s="23">
        <f t="shared" si="1"/>
        <v>309</v>
      </c>
      <c r="L316" s="24" t="s">
        <v>31</v>
      </c>
      <c r="M316" s="24"/>
      <c r="N316" s="24"/>
      <c r="O316" s="22">
        <v>9.5</v>
      </c>
      <c r="P316" s="22">
        <v>4.25</v>
      </c>
      <c r="Q316" s="22">
        <f>SUM('1. Base de donnée HILIN MU CM2 '!$O316+'1. Base de donnée HILIN MU CM2 '!$P316)/2</f>
        <v>6.875</v>
      </c>
      <c r="R316" s="33">
        <v>17.75</v>
      </c>
      <c r="S316" s="33">
        <v>14.0</v>
      </c>
      <c r="T316" s="33">
        <f>('1. Base de donnée HILIN MU CM2 '!$R316+'1. Base de donnée HILIN MU CM2 '!$S316)/2</f>
        <v>15.875</v>
      </c>
      <c r="U316" s="25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</row>
    <row r="317" ht="14.25" customHeight="1">
      <c r="A317" s="27" t="s">
        <v>610</v>
      </c>
      <c r="B317" s="27" t="s">
        <v>121</v>
      </c>
      <c r="C317" s="27" t="s">
        <v>648</v>
      </c>
      <c r="D317" s="27" t="s">
        <v>649</v>
      </c>
      <c r="E317" s="27" t="s">
        <v>647</v>
      </c>
      <c r="F317" s="27" t="s">
        <v>614</v>
      </c>
      <c r="G317" s="28">
        <v>2023.0</v>
      </c>
      <c r="H317" s="28">
        <v>88.0</v>
      </c>
      <c r="I317" s="28">
        <v>309.0</v>
      </c>
      <c r="J317" s="29" t="str">
        <f>'1. Base de donnée HILIN MU CM2 '!$G317&amp;"-"&amp;'1. Base de donnée HILIN MU CM2 '!$H317&amp;"-"&amp;'1. Base de donnée HILIN MU CM2 '!$I317</f>
        <v>2023-88-309</v>
      </c>
      <c r="K317" s="28">
        <f t="shared" si="1"/>
        <v>310</v>
      </c>
      <c r="L317" s="29" t="s">
        <v>31</v>
      </c>
      <c r="M317" s="29"/>
      <c r="N317" s="29"/>
      <c r="O317" s="27">
        <v>4.5</v>
      </c>
      <c r="P317" s="27">
        <v>3.25</v>
      </c>
      <c r="Q317" s="27">
        <f>SUM('1. Base de donnée HILIN MU CM2 '!$O317+'1. Base de donnée HILIN MU CM2 '!$P317)/2</f>
        <v>3.875</v>
      </c>
      <c r="R317" s="34">
        <v>13.5</v>
      </c>
      <c r="S317" s="34">
        <v>14.0</v>
      </c>
      <c r="T317" s="34">
        <f>('1. Base de donnée HILIN MU CM2 '!$R317+'1. Base de donnée HILIN MU CM2 '!$S317)/2</f>
        <v>13.75</v>
      </c>
      <c r="U317" s="30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</row>
    <row r="318" ht="14.25" customHeight="1">
      <c r="A318" s="22" t="s">
        <v>610</v>
      </c>
      <c r="B318" s="22" t="s">
        <v>121</v>
      </c>
      <c r="C318" s="22" t="s">
        <v>650</v>
      </c>
      <c r="D318" s="22" t="s">
        <v>651</v>
      </c>
      <c r="E318" s="22" t="s">
        <v>647</v>
      </c>
      <c r="F318" s="22" t="s">
        <v>614</v>
      </c>
      <c r="G318" s="23">
        <v>2023.0</v>
      </c>
      <c r="H318" s="23">
        <v>88.0</v>
      </c>
      <c r="I318" s="23">
        <v>310.0</v>
      </c>
      <c r="J318" s="24" t="str">
        <f>'1. Base de donnée HILIN MU CM2 '!$G318&amp;"-"&amp;'1. Base de donnée HILIN MU CM2 '!$H318&amp;"-"&amp;'1. Base de donnée HILIN MU CM2 '!$I318</f>
        <v>2023-88-310</v>
      </c>
      <c r="K318" s="23">
        <f t="shared" si="1"/>
        <v>311</v>
      </c>
      <c r="L318" s="24" t="s">
        <v>31</v>
      </c>
      <c r="M318" s="24"/>
      <c r="N318" s="24"/>
      <c r="O318" s="22">
        <v>9.5</v>
      </c>
      <c r="P318" s="22">
        <v>8.75</v>
      </c>
      <c r="Q318" s="22">
        <f>SUM('1. Base de donnée HILIN MU CM2 '!$O318+'1. Base de donnée HILIN MU CM2 '!$P318)/2</f>
        <v>9.125</v>
      </c>
      <c r="R318" s="33">
        <v>16.75</v>
      </c>
      <c r="S318" s="33">
        <v>19.0</v>
      </c>
      <c r="T318" s="33">
        <f>('1. Base de donnée HILIN MU CM2 '!$R318+'1. Base de donnée HILIN MU CM2 '!$S318)/2</f>
        <v>17.875</v>
      </c>
      <c r="U318" s="25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</row>
    <row r="319" ht="14.25" hidden="1" customHeight="1">
      <c r="A319" s="27" t="s">
        <v>652</v>
      </c>
      <c r="B319" s="27" t="s">
        <v>223</v>
      </c>
      <c r="C319" s="27" t="s">
        <v>653</v>
      </c>
      <c r="D319" s="27" t="s">
        <v>321</v>
      </c>
      <c r="E319" s="27" t="s">
        <v>654</v>
      </c>
      <c r="F319" s="27" t="s">
        <v>655</v>
      </c>
      <c r="G319" s="28">
        <v>2023.0</v>
      </c>
      <c r="H319" s="28">
        <v>40.0</v>
      </c>
      <c r="I319" s="28">
        <v>311.0</v>
      </c>
      <c r="J319" s="29" t="str">
        <f>'1. Base de donnée HILIN MU CM2 '!$G319&amp;"-"&amp;'1. Base de donnée HILIN MU CM2 '!$H319&amp;"-"&amp;'1. Base de donnée HILIN MU CM2 '!$I319</f>
        <v>2023-40-311</v>
      </c>
      <c r="K319" s="28">
        <f t="shared" si="1"/>
        <v>312</v>
      </c>
      <c r="L319" s="29" t="s">
        <v>31</v>
      </c>
      <c r="M319" s="29"/>
      <c r="N319" s="29"/>
      <c r="O319" s="27">
        <v>11.0</v>
      </c>
      <c r="P319" s="27">
        <v>6.5</v>
      </c>
      <c r="Q319" s="27">
        <f>SUM('1. Base de donnée HILIN MU CM2 '!$O319+'1. Base de donnée HILIN MU CM2 '!$P319)/2</f>
        <v>8.75</v>
      </c>
      <c r="R319" s="27">
        <v>15.5</v>
      </c>
      <c r="S319" s="27">
        <v>18.5</v>
      </c>
      <c r="T319" s="27">
        <f>('1. Base de donnée HILIN MU CM2 '!$R319+'1. Base de donnée HILIN MU CM2 '!$S319)/2</f>
        <v>17</v>
      </c>
      <c r="U319" s="30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</row>
    <row r="320" ht="14.25" hidden="1" customHeight="1">
      <c r="A320" s="22" t="s">
        <v>652</v>
      </c>
      <c r="B320" s="22" t="s">
        <v>223</v>
      </c>
      <c r="C320" s="22" t="s">
        <v>656</v>
      </c>
      <c r="D320" s="22" t="s">
        <v>657</v>
      </c>
      <c r="E320" s="22" t="s">
        <v>654</v>
      </c>
      <c r="F320" s="22" t="s">
        <v>658</v>
      </c>
      <c r="G320" s="23">
        <v>2023.0</v>
      </c>
      <c r="H320" s="23">
        <v>40.0</v>
      </c>
      <c r="I320" s="23">
        <v>312.0</v>
      </c>
      <c r="J320" s="24" t="str">
        <f>'1. Base de donnée HILIN MU CM2 '!$G320&amp;"-"&amp;'1. Base de donnée HILIN MU CM2 '!$H320&amp;"-"&amp;'1. Base de donnée HILIN MU CM2 '!$I320</f>
        <v>2023-40-312</v>
      </c>
      <c r="K320" s="23">
        <f t="shared" si="1"/>
        <v>313</v>
      </c>
      <c r="L320" s="24" t="s">
        <v>31</v>
      </c>
      <c r="M320" s="24"/>
      <c r="N320" s="24"/>
      <c r="O320" s="22">
        <v>2.5</v>
      </c>
      <c r="P320" s="22">
        <v>0.0</v>
      </c>
      <c r="Q320" s="22">
        <f>SUM('1. Base de donnée HILIN MU CM2 '!$O320+'1. Base de donnée HILIN MU CM2 '!$P320)/2</f>
        <v>1.25</v>
      </c>
      <c r="R320" s="22">
        <v>13.5</v>
      </c>
      <c r="S320" s="22">
        <v>15.5</v>
      </c>
      <c r="T320" s="22">
        <f>('1. Base de donnée HILIN MU CM2 '!$R320+'1. Base de donnée HILIN MU CM2 '!$S320)/2</f>
        <v>14.5</v>
      </c>
      <c r="U320" s="25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</row>
    <row r="321" ht="14.25" hidden="1" customHeight="1">
      <c r="A321" s="27" t="s">
        <v>652</v>
      </c>
      <c r="B321" s="27" t="s">
        <v>223</v>
      </c>
      <c r="C321" s="27" t="s">
        <v>659</v>
      </c>
      <c r="D321" s="27" t="s">
        <v>259</v>
      </c>
      <c r="E321" s="27" t="s">
        <v>654</v>
      </c>
      <c r="F321" s="27" t="s">
        <v>655</v>
      </c>
      <c r="G321" s="28">
        <v>2023.0</v>
      </c>
      <c r="H321" s="28">
        <v>40.0</v>
      </c>
      <c r="I321" s="28">
        <v>313.0</v>
      </c>
      <c r="J321" s="29" t="str">
        <f>'1. Base de donnée HILIN MU CM2 '!$G321&amp;"-"&amp;'1. Base de donnée HILIN MU CM2 '!$H321&amp;"-"&amp;'1. Base de donnée HILIN MU CM2 '!$I321</f>
        <v>2023-40-313</v>
      </c>
      <c r="K321" s="28">
        <f t="shared" si="1"/>
        <v>314</v>
      </c>
      <c r="L321" s="29" t="s">
        <v>31</v>
      </c>
      <c r="M321" s="29"/>
      <c r="N321" s="29"/>
      <c r="O321" s="27">
        <v>5.0</v>
      </c>
      <c r="P321" s="27">
        <v>0.0</v>
      </c>
      <c r="Q321" s="27">
        <f>SUM('1. Base de donnée HILIN MU CM2 '!$O321+'1. Base de donnée HILIN MU CM2 '!$P321)/2</f>
        <v>2.5</v>
      </c>
      <c r="R321" s="27">
        <v>15.0</v>
      </c>
      <c r="S321" s="27">
        <v>14.5</v>
      </c>
      <c r="T321" s="27">
        <f>('1. Base de donnée HILIN MU CM2 '!$R321+'1. Base de donnée HILIN MU CM2 '!$S321)/2</f>
        <v>14.75</v>
      </c>
      <c r="U321" s="30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</row>
    <row r="322" ht="14.25" hidden="1" customHeight="1">
      <c r="A322" s="22" t="s">
        <v>652</v>
      </c>
      <c r="B322" s="22" t="s">
        <v>223</v>
      </c>
      <c r="C322" s="22" t="s">
        <v>660</v>
      </c>
      <c r="D322" s="22" t="s">
        <v>359</v>
      </c>
      <c r="E322" s="22" t="s">
        <v>654</v>
      </c>
      <c r="F322" s="22" t="s">
        <v>658</v>
      </c>
      <c r="G322" s="23">
        <v>2023.0</v>
      </c>
      <c r="H322" s="23">
        <v>40.0</v>
      </c>
      <c r="I322" s="23">
        <v>314.0</v>
      </c>
      <c r="J322" s="24" t="str">
        <f>'1. Base de donnée HILIN MU CM2 '!$G322&amp;"-"&amp;'1. Base de donnée HILIN MU CM2 '!$H322&amp;"-"&amp;'1. Base de donnée HILIN MU CM2 '!$I322</f>
        <v>2023-40-314</v>
      </c>
      <c r="K322" s="23">
        <f t="shared" si="1"/>
        <v>315</v>
      </c>
      <c r="L322" s="24" t="s">
        <v>31</v>
      </c>
      <c r="M322" s="24"/>
      <c r="N322" s="24"/>
      <c r="O322" s="22">
        <v>6.0</v>
      </c>
      <c r="P322" s="22">
        <v>2.0</v>
      </c>
      <c r="Q322" s="22">
        <f>SUM('1. Base de donnée HILIN MU CM2 '!$O322+'1. Base de donnée HILIN MU CM2 '!$P322)/2</f>
        <v>4</v>
      </c>
      <c r="R322" s="22">
        <v>14.5</v>
      </c>
      <c r="S322" s="22">
        <v>15.0</v>
      </c>
      <c r="T322" s="22">
        <f>('1. Base de donnée HILIN MU CM2 '!$R322+'1. Base de donnée HILIN MU CM2 '!$S322)/2</f>
        <v>14.75</v>
      </c>
      <c r="U322" s="25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</row>
    <row r="323" ht="14.25" hidden="1" customHeight="1">
      <c r="A323" s="27" t="s">
        <v>652</v>
      </c>
      <c r="B323" s="27" t="s">
        <v>223</v>
      </c>
      <c r="C323" s="27" t="s">
        <v>661</v>
      </c>
      <c r="D323" s="27" t="s">
        <v>662</v>
      </c>
      <c r="E323" s="27" t="s">
        <v>654</v>
      </c>
      <c r="F323" s="27" t="s">
        <v>655</v>
      </c>
      <c r="G323" s="28">
        <v>2023.0</v>
      </c>
      <c r="H323" s="28">
        <v>40.0</v>
      </c>
      <c r="I323" s="28">
        <v>315.0</v>
      </c>
      <c r="J323" s="29" t="str">
        <f>'1. Base de donnée HILIN MU CM2 '!$G323&amp;"-"&amp;'1. Base de donnée HILIN MU CM2 '!$H323&amp;"-"&amp;'1. Base de donnée HILIN MU CM2 '!$I323</f>
        <v>2023-40-315</v>
      </c>
      <c r="K323" s="28">
        <f t="shared" si="1"/>
        <v>316</v>
      </c>
      <c r="L323" s="29" t="s">
        <v>31</v>
      </c>
      <c r="M323" s="29"/>
      <c r="N323" s="29"/>
      <c r="O323" s="27">
        <v>0.0</v>
      </c>
      <c r="P323" s="27">
        <v>0.0</v>
      </c>
      <c r="Q323" s="27">
        <f>SUM('1. Base de donnée HILIN MU CM2 '!$O323+'1. Base de donnée HILIN MU CM2 '!$P323)/2</f>
        <v>0</v>
      </c>
      <c r="R323" s="27">
        <v>18.5</v>
      </c>
      <c r="S323" s="27">
        <v>13.5</v>
      </c>
      <c r="T323" s="27">
        <f>('1. Base de donnée HILIN MU CM2 '!$R323+'1. Base de donnée HILIN MU CM2 '!$S323)/2</f>
        <v>16</v>
      </c>
      <c r="U323" s="30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</row>
    <row r="324" ht="14.25" hidden="1" customHeight="1">
      <c r="A324" s="22" t="s">
        <v>652</v>
      </c>
      <c r="B324" s="22" t="s">
        <v>223</v>
      </c>
      <c r="C324" s="22" t="s">
        <v>663</v>
      </c>
      <c r="D324" s="22" t="s">
        <v>662</v>
      </c>
      <c r="E324" s="22" t="s">
        <v>654</v>
      </c>
      <c r="F324" s="22" t="s">
        <v>658</v>
      </c>
      <c r="G324" s="23">
        <v>2023.0</v>
      </c>
      <c r="H324" s="23">
        <v>40.0</v>
      </c>
      <c r="I324" s="23">
        <v>316.0</v>
      </c>
      <c r="J324" s="24" t="str">
        <f>'1. Base de donnée HILIN MU CM2 '!$G324&amp;"-"&amp;'1. Base de donnée HILIN MU CM2 '!$H324&amp;"-"&amp;'1. Base de donnée HILIN MU CM2 '!$I324</f>
        <v>2023-40-316</v>
      </c>
      <c r="K324" s="23">
        <f t="shared" si="1"/>
        <v>317</v>
      </c>
      <c r="L324" s="24" t="s">
        <v>31</v>
      </c>
      <c r="M324" s="24"/>
      <c r="N324" s="24"/>
      <c r="O324" s="22">
        <v>9.5</v>
      </c>
      <c r="P324" s="22">
        <v>3.0</v>
      </c>
      <c r="Q324" s="22">
        <f>SUM('1. Base de donnée HILIN MU CM2 '!$O324+'1. Base de donnée HILIN MU CM2 '!$P324)/2</f>
        <v>6.25</v>
      </c>
      <c r="R324" s="22">
        <v>17.0</v>
      </c>
      <c r="S324" s="22">
        <v>18.5</v>
      </c>
      <c r="T324" s="22">
        <f>('1. Base de donnée HILIN MU CM2 '!$R324+'1. Base de donnée HILIN MU CM2 '!$S324)/2</f>
        <v>17.75</v>
      </c>
      <c r="U324" s="25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</row>
    <row r="325" ht="14.25" hidden="1" customHeight="1">
      <c r="A325" s="27" t="s">
        <v>652</v>
      </c>
      <c r="B325" s="27" t="s">
        <v>223</v>
      </c>
      <c r="C325" s="27" t="s">
        <v>664</v>
      </c>
      <c r="D325" s="27" t="s">
        <v>65</v>
      </c>
      <c r="E325" s="27" t="s">
        <v>654</v>
      </c>
      <c r="F325" s="27" t="s">
        <v>655</v>
      </c>
      <c r="G325" s="28">
        <v>2023.0</v>
      </c>
      <c r="H325" s="28">
        <v>40.0</v>
      </c>
      <c r="I325" s="28">
        <v>317.0</v>
      </c>
      <c r="J325" s="29" t="str">
        <f>'1. Base de donnée HILIN MU CM2 '!$G325&amp;"-"&amp;'1. Base de donnée HILIN MU CM2 '!$H325&amp;"-"&amp;'1. Base de donnée HILIN MU CM2 '!$I325</f>
        <v>2023-40-317</v>
      </c>
      <c r="K325" s="28">
        <f t="shared" si="1"/>
        <v>318</v>
      </c>
      <c r="L325" s="29" t="s">
        <v>31</v>
      </c>
      <c r="M325" s="29"/>
      <c r="N325" s="29"/>
      <c r="O325" s="27">
        <v>7.5</v>
      </c>
      <c r="P325" s="27">
        <v>1.0</v>
      </c>
      <c r="Q325" s="27">
        <f>SUM('1. Base de donnée HILIN MU CM2 '!$O325+'1. Base de donnée HILIN MU CM2 '!$P325)/2</f>
        <v>4.25</v>
      </c>
      <c r="R325" s="27">
        <v>11.0</v>
      </c>
      <c r="S325" s="27">
        <v>12.0</v>
      </c>
      <c r="T325" s="27">
        <f>('1. Base de donnée HILIN MU CM2 '!$R325+'1. Base de donnée HILIN MU CM2 '!$S325)/2</f>
        <v>11.5</v>
      </c>
      <c r="U325" s="30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</row>
    <row r="326" ht="14.25" hidden="1" customHeight="1">
      <c r="A326" s="22" t="s">
        <v>652</v>
      </c>
      <c r="B326" s="22" t="s">
        <v>223</v>
      </c>
      <c r="C326" s="22" t="s">
        <v>665</v>
      </c>
      <c r="D326" s="22" t="s">
        <v>185</v>
      </c>
      <c r="E326" s="22" t="s">
        <v>654</v>
      </c>
      <c r="F326" s="22" t="s">
        <v>658</v>
      </c>
      <c r="G326" s="23">
        <v>2023.0</v>
      </c>
      <c r="H326" s="23">
        <v>40.0</v>
      </c>
      <c r="I326" s="23">
        <v>318.0</v>
      </c>
      <c r="J326" s="24" t="str">
        <f>'1. Base de donnée HILIN MU CM2 '!$G326&amp;"-"&amp;'1. Base de donnée HILIN MU CM2 '!$H326&amp;"-"&amp;'1. Base de donnée HILIN MU CM2 '!$I326</f>
        <v>2023-40-318</v>
      </c>
      <c r="K326" s="23">
        <f t="shared" si="1"/>
        <v>319</v>
      </c>
      <c r="L326" s="24" t="s">
        <v>31</v>
      </c>
      <c r="M326" s="24"/>
      <c r="N326" s="24"/>
      <c r="O326" s="22">
        <v>0.0</v>
      </c>
      <c r="P326" s="22">
        <v>0.0</v>
      </c>
      <c r="Q326" s="22">
        <f>SUM('1. Base de donnée HILIN MU CM2 '!$O326+'1. Base de donnée HILIN MU CM2 '!$P326)/2</f>
        <v>0</v>
      </c>
      <c r="R326" s="22">
        <v>14.0</v>
      </c>
      <c r="S326" s="22">
        <v>17.0</v>
      </c>
      <c r="T326" s="22">
        <f>('1. Base de donnée HILIN MU CM2 '!$R326+'1. Base de donnée HILIN MU CM2 '!$S326)/2</f>
        <v>15.5</v>
      </c>
      <c r="U326" s="25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</row>
    <row r="327" ht="14.25" hidden="1" customHeight="1">
      <c r="A327" s="27" t="s">
        <v>652</v>
      </c>
      <c r="B327" s="27" t="s">
        <v>223</v>
      </c>
      <c r="C327" s="27" t="s">
        <v>666</v>
      </c>
      <c r="D327" s="27" t="s">
        <v>245</v>
      </c>
      <c r="E327" s="27" t="s">
        <v>654</v>
      </c>
      <c r="F327" s="27" t="s">
        <v>655</v>
      </c>
      <c r="G327" s="28">
        <v>2023.0</v>
      </c>
      <c r="H327" s="28">
        <v>40.0</v>
      </c>
      <c r="I327" s="28">
        <v>319.0</v>
      </c>
      <c r="J327" s="29" t="str">
        <f>'1. Base de donnée HILIN MU CM2 '!$G327&amp;"-"&amp;'1. Base de donnée HILIN MU CM2 '!$H327&amp;"-"&amp;'1. Base de donnée HILIN MU CM2 '!$I327</f>
        <v>2023-40-319</v>
      </c>
      <c r="K327" s="28">
        <f t="shared" si="1"/>
        <v>320</v>
      </c>
      <c r="L327" s="29" t="s">
        <v>31</v>
      </c>
      <c r="M327" s="29"/>
      <c r="N327" s="29"/>
      <c r="O327" s="27">
        <v>0.0</v>
      </c>
      <c r="P327" s="27">
        <v>0.0</v>
      </c>
      <c r="Q327" s="27">
        <f>SUM('1. Base de donnée HILIN MU CM2 '!$O327+'1. Base de donnée HILIN MU CM2 '!$P327)/2</f>
        <v>0</v>
      </c>
      <c r="R327" s="27">
        <v>10.5</v>
      </c>
      <c r="S327" s="27">
        <v>10.0</v>
      </c>
      <c r="T327" s="27">
        <f>('1. Base de donnée HILIN MU CM2 '!$R327+'1. Base de donnée HILIN MU CM2 '!$S327)/2</f>
        <v>10.25</v>
      </c>
      <c r="U327" s="30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</row>
    <row r="328" ht="14.25" hidden="1" customHeight="1">
      <c r="A328" s="22" t="s">
        <v>652</v>
      </c>
      <c r="B328" s="22" t="s">
        <v>223</v>
      </c>
      <c r="C328" s="22" t="s">
        <v>667</v>
      </c>
      <c r="D328" s="22" t="s">
        <v>321</v>
      </c>
      <c r="E328" s="22" t="s">
        <v>654</v>
      </c>
      <c r="F328" s="22" t="s">
        <v>658</v>
      </c>
      <c r="G328" s="23">
        <v>2023.0</v>
      </c>
      <c r="H328" s="23">
        <v>40.0</v>
      </c>
      <c r="I328" s="23">
        <v>320.0</v>
      </c>
      <c r="J328" s="24" t="str">
        <f>'1. Base de donnée HILIN MU CM2 '!$G328&amp;"-"&amp;'1. Base de donnée HILIN MU CM2 '!$H328&amp;"-"&amp;'1. Base de donnée HILIN MU CM2 '!$I328</f>
        <v>2023-40-320</v>
      </c>
      <c r="K328" s="23">
        <f t="shared" si="1"/>
        <v>321</v>
      </c>
      <c r="L328" s="24" t="s">
        <v>31</v>
      </c>
      <c r="M328" s="24"/>
      <c r="N328" s="24"/>
      <c r="O328" s="22">
        <v>6.0</v>
      </c>
      <c r="P328" s="22">
        <v>2.25</v>
      </c>
      <c r="Q328" s="22">
        <f>SUM('1. Base de donnée HILIN MU CM2 '!$O328+'1. Base de donnée HILIN MU CM2 '!$P328)/2</f>
        <v>4.125</v>
      </c>
      <c r="R328" s="22">
        <v>19.5</v>
      </c>
      <c r="S328" s="22">
        <v>16.0</v>
      </c>
      <c r="T328" s="22">
        <f>('1. Base de donnée HILIN MU CM2 '!$R328+'1. Base de donnée HILIN MU CM2 '!$S328)/2</f>
        <v>17.75</v>
      </c>
      <c r="U328" s="25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</row>
    <row r="329" ht="14.25" hidden="1" customHeight="1">
      <c r="A329" s="27" t="s">
        <v>652</v>
      </c>
      <c r="B329" s="27" t="s">
        <v>223</v>
      </c>
      <c r="C329" s="27" t="s">
        <v>668</v>
      </c>
      <c r="D329" s="27" t="s">
        <v>669</v>
      </c>
      <c r="E329" s="27" t="s">
        <v>654</v>
      </c>
      <c r="F329" s="27" t="s">
        <v>655</v>
      </c>
      <c r="G329" s="28">
        <v>2023.0</v>
      </c>
      <c r="H329" s="28">
        <v>40.0</v>
      </c>
      <c r="I329" s="28">
        <v>324.0</v>
      </c>
      <c r="J329" s="29" t="str">
        <f>'1. Base de donnée HILIN MU CM2 '!$G329&amp;"-"&amp;'1. Base de donnée HILIN MU CM2 '!$H329&amp;"-"&amp;'1. Base de donnée HILIN MU CM2 '!$I329</f>
        <v>2023-40-324</v>
      </c>
      <c r="K329" s="28">
        <f t="shared" si="1"/>
        <v>322</v>
      </c>
      <c r="L329" s="29" t="s">
        <v>31</v>
      </c>
      <c r="M329" s="29"/>
      <c r="N329" s="29"/>
      <c r="O329" s="27">
        <v>9.0</v>
      </c>
      <c r="P329" s="27">
        <v>5.75</v>
      </c>
      <c r="Q329" s="27">
        <f>SUM('1. Base de donnée HILIN MU CM2 '!$O329+'1. Base de donnée HILIN MU CM2 '!$P329)/2</f>
        <v>7.375</v>
      </c>
      <c r="R329" s="27">
        <v>17.5</v>
      </c>
      <c r="S329" s="27">
        <v>15.5</v>
      </c>
      <c r="T329" s="27">
        <f>('1. Base de donnée HILIN MU CM2 '!$R329+'1. Base de donnée HILIN MU CM2 '!$S329)/2</f>
        <v>16.5</v>
      </c>
      <c r="U329" s="30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</row>
    <row r="330" ht="14.25" hidden="1" customHeight="1">
      <c r="A330" s="22" t="s">
        <v>652</v>
      </c>
      <c r="B330" s="22" t="s">
        <v>223</v>
      </c>
      <c r="C330" s="22" t="s">
        <v>670</v>
      </c>
      <c r="D330" s="22" t="s">
        <v>321</v>
      </c>
      <c r="E330" s="22" t="s">
        <v>654</v>
      </c>
      <c r="F330" s="22" t="s">
        <v>658</v>
      </c>
      <c r="G330" s="23">
        <v>2023.0</v>
      </c>
      <c r="H330" s="23">
        <v>40.0</v>
      </c>
      <c r="I330" s="23">
        <v>326.0</v>
      </c>
      <c r="J330" s="24" t="str">
        <f>'1. Base de donnée HILIN MU CM2 '!$G330&amp;"-"&amp;'1. Base de donnée HILIN MU CM2 '!$H330&amp;"-"&amp;'1. Base de donnée HILIN MU CM2 '!$I330</f>
        <v>2023-40-326</v>
      </c>
      <c r="K330" s="23">
        <f t="shared" si="1"/>
        <v>323</v>
      </c>
      <c r="L330" s="24" t="s">
        <v>31</v>
      </c>
      <c r="M330" s="24"/>
      <c r="N330" s="24"/>
      <c r="O330" s="22">
        <v>6.5</v>
      </c>
      <c r="P330" s="22">
        <v>0.0</v>
      </c>
      <c r="Q330" s="22">
        <f>SUM('1. Base de donnée HILIN MU CM2 '!$O330+'1. Base de donnée HILIN MU CM2 '!$P330)/2</f>
        <v>3.25</v>
      </c>
      <c r="R330" s="22">
        <v>16.0</v>
      </c>
      <c r="S330" s="22">
        <v>17.5</v>
      </c>
      <c r="T330" s="22">
        <f>('1. Base de donnée HILIN MU CM2 '!$R330+'1. Base de donnée HILIN MU CM2 '!$S330)/2</f>
        <v>16.75</v>
      </c>
      <c r="U330" s="25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</row>
    <row r="331" ht="14.25" hidden="1" customHeight="1">
      <c r="A331" s="27" t="s">
        <v>652</v>
      </c>
      <c r="B331" s="27" t="s">
        <v>223</v>
      </c>
      <c r="C331" s="27" t="s">
        <v>671</v>
      </c>
      <c r="D331" s="27" t="s">
        <v>672</v>
      </c>
      <c r="E331" s="27" t="s">
        <v>654</v>
      </c>
      <c r="F331" s="27" t="s">
        <v>655</v>
      </c>
      <c r="G331" s="28">
        <v>2023.0</v>
      </c>
      <c r="H331" s="28">
        <v>40.0</v>
      </c>
      <c r="I331" s="28">
        <v>327.0</v>
      </c>
      <c r="J331" s="29" t="str">
        <f>'1. Base de donnée HILIN MU CM2 '!$G331&amp;"-"&amp;'1. Base de donnée HILIN MU CM2 '!$H331&amp;"-"&amp;'1. Base de donnée HILIN MU CM2 '!$I331</f>
        <v>2023-40-327</v>
      </c>
      <c r="K331" s="28">
        <f t="shared" si="1"/>
        <v>324</v>
      </c>
      <c r="L331" s="29" t="s">
        <v>31</v>
      </c>
      <c r="M331" s="29"/>
      <c r="N331" s="29"/>
      <c r="O331" s="27">
        <v>9.0</v>
      </c>
      <c r="P331" s="27">
        <v>2.25</v>
      </c>
      <c r="Q331" s="27">
        <f>SUM('1. Base de donnée HILIN MU CM2 '!$O331+'1. Base de donnée HILIN MU CM2 '!$P331)/2</f>
        <v>5.625</v>
      </c>
      <c r="R331" s="27">
        <v>13.5</v>
      </c>
      <c r="S331" s="27">
        <v>12.5</v>
      </c>
      <c r="T331" s="27">
        <f>('1. Base de donnée HILIN MU CM2 '!$R331+'1. Base de donnée HILIN MU CM2 '!$S331)/2</f>
        <v>13</v>
      </c>
      <c r="U331" s="30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</row>
    <row r="332" ht="14.25" hidden="1" customHeight="1">
      <c r="A332" s="22" t="s">
        <v>652</v>
      </c>
      <c r="B332" s="22" t="s">
        <v>223</v>
      </c>
      <c r="C332" s="22" t="s">
        <v>673</v>
      </c>
      <c r="D332" s="22" t="s">
        <v>674</v>
      </c>
      <c r="E332" s="22" t="s">
        <v>654</v>
      </c>
      <c r="F332" s="22" t="s">
        <v>658</v>
      </c>
      <c r="G332" s="23">
        <v>2023.0</v>
      </c>
      <c r="H332" s="23">
        <v>40.0</v>
      </c>
      <c r="I332" s="23">
        <v>328.0</v>
      </c>
      <c r="J332" s="24" t="str">
        <f>'1. Base de donnée HILIN MU CM2 '!$G332&amp;"-"&amp;'1. Base de donnée HILIN MU CM2 '!$H332&amp;"-"&amp;'1. Base de donnée HILIN MU CM2 '!$I332</f>
        <v>2023-40-328</v>
      </c>
      <c r="K332" s="23">
        <f t="shared" si="1"/>
        <v>325</v>
      </c>
      <c r="L332" s="24" t="s">
        <v>31</v>
      </c>
      <c r="M332" s="24"/>
      <c r="N332" s="24"/>
      <c r="O332" s="22">
        <v>4.0</v>
      </c>
      <c r="P332" s="22">
        <v>0.0</v>
      </c>
      <c r="Q332" s="22">
        <f>SUM('1. Base de donnée HILIN MU CM2 '!$O332+'1. Base de donnée HILIN MU CM2 '!$P332)/2</f>
        <v>2</v>
      </c>
      <c r="R332" s="22">
        <v>17.0</v>
      </c>
      <c r="S332" s="22">
        <v>13.5</v>
      </c>
      <c r="T332" s="22">
        <f>('1. Base de donnée HILIN MU CM2 '!$R332+'1. Base de donnée HILIN MU CM2 '!$S332)/2</f>
        <v>15.25</v>
      </c>
      <c r="U332" s="25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ht="14.25" hidden="1" customHeight="1">
      <c r="A333" s="27" t="s">
        <v>652</v>
      </c>
      <c r="B333" s="27" t="s">
        <v>223</v>
      </c>
      <c r="C333" s="27" t="s">
        <v>675</v>
      </c>
      <c r="D333" s="27" t="s">
        <v>676</v>
      </c>
      <c r="E333" s="27" t="s">
        <v>654</v>
      </c>
      <c r="F333" s="27" t="s">
        <v>655</v>
      </c>
      <c r="G333" s="28">
        <v>2023.0</v>
      </c>
      <c r="H333" s="28">
        <v>40.0</v>
      </c>
      <c r="I333" s="28">
        <v>329.0</v>
      </c>
      <c r="J333" s="29" t="str">
        <f>'1. Base de donnée HILIN MU CM2 '!$G333&amp;"-"&amp;'1. Base de donnée HILIN MU CM2 '!$H333&amp;"-"&amp;'1. Base de donnée HILIN MU CM2 '!$I333</f>
        <v>2023-40-329</v>
      </c>
      <c r="K333" s="28">
        <f t="shared" si="1"/>
        <v>326</v>
      </c>
      <c r="L333" s="29" t="s">
        <v>31</v>
      </c>
      <c r="M333" s="29"/>
      <c r="N333" s="29"/>
      <c r="O333" s="27">
        <v>0.0</v>
      </c>
      <c r="P333" s="27">
        <v>0.0</v>
      </c>
      <c r="Q333" s="27">
        <f>SUM('1. Base de donnée HILIN MU CM2 '!$O333+'1. Base de donnée HILIN MU CM2 '!$P333)/2</f>
        <v>0</v>
      </c>
      <c r="R333" s="27">
        <v>12.5</v>
      </c>
      <c r="S333" s="27">
        <v>15.0</v>
      </c>
      <c r="T333" s="27">
        <f>('1. Base de donnée HILIN MU CM2 '!$R333+'1. Base de donnée HILIN MU CM2 '!$S333)/2</f>
        <v>13.75</v>
      </c>
      <c r="U333" s="30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</row>
    <row r="334" ht="14.25" hidden="1" customHeight="1">
      <c r="A334" s="22" t="s">
        <v>652</v>
      </c>
      <c r="B334" s="22" t="s">
        <v>223</v>
      </c>
      <c r="C334" s="22" t="s">
        <v>677</v>
      </c>
      <c r="D334" s="22" t="s">
        <v>678</v>
      </c>
      <c r="E334" s="22" t="s">
        <v>654</v>
      </c>
      <c r="F334" s="22" t="s">
        <v>658</v>
      </c>
      <c r="G334" s="23">
        <v>2023.0</v>
      </c>
      <c r="H334" s="23">
        <v>40.0</v>
      </c>
      <c r="I334" s="23">
        <v>331.0</v>
      </c>
      <c r="J334" s="24" t="str">
        <f>'1. Base de donnée HILIN MU CM2 '!$G334&amp;"-"&amp;'1. Base de donnée HILIN MU CM2 '!$H334&amp;"-"&amp;'1. Base de donnée HILIN MU CM2 '!$I334</f>
        <v>2023-40-331</v>
      </c>
      <c r="K334" s="23">
        <f t="shared" si="1"/>
        <v>327</v>
      </c>
      <c r="L334" s="24" t="s">
        <v>31</v>
      </c>
      <c r="M334" s="24"/>
      <c r="N334" s="24"/>
      <c r="O334" s="22">
        <v>8.0</v>
      </c>
      <c r="P334" s="22">
        <v>0.5</v>
      </c>
      <c r="Q334" s="22">
        <f>SUM('1. Base de donnée HILIN MU CM2 '!$O334+'1. Base de donnée HILIN MU CM2 '!$P334)/2</f>
        <v>4.25</v>
      </c>
      <c r="R334" s="22">
        <v>16.0</v>
      </c>
      <c r="S334" s="22">
        <v>19.0</v>
      </c>
      <c r="T334" s="22">
        <f>('1. Base de donnée HILIN MU CM2 '!$R334+'1. Base de donnée HILIN MU CM2 '!$S334)/2</f>
        <v>17.5</v>
      </c>
      <c r="U334" s="25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</row>
    <row r="335" ht="14.25" hidden="1" customHeight="1">
      <c r="A335" s="27" t="s">
        <v>652</v>
      </c>
      <c r="B335" s="27" t="s">
        <v>223</v>
      </c>
      <c r="C335" s="27" t="s">
        <v>679</v>
      </c>
      <c r="D335" s="27" t="s">
        <v>680</v>
      </c>
      <c r="E335" s="27" t="s">
        <v>654</v>
      </c>
      <c r="F335" s="27" t="s">
        <v>655</v>
      </c>
      <c r="G335" s="28">
        <v>2023.0</v>
      </c>
      <c r="H335" s="28">
        <v>40.0</v>
      </c>
      <c r="I335" s="28">
        <v>332.0</v>
      </c>
      <c r="J335" s="29" t="str">
        <f>'1. Base de donnée HILIN MU CM2 '!$G335&amp;"-"&amp;'1. Base de donnée HILIN MU CM2 '!$H335&amp;"-"&amp;'1. Base de donnée HILIN MU CM2 '!$I335</f>
        <v>2023-40-332</v>
      </c>
      <c r="K335" s="28">
        <f t="shared" si="1"/>
        <v>328</v>
      </c>
      <c r="L335" s="29" t="s">
        <v>31</v>
      </c>
      <c r="M335" s="29"/>
      <c r="N335" s="29"/>
      <c r="O335" s="27">
        <v>9.5</v>
      </c>
      <c r="P335" s="27">
        <v>11.5</v>
      </c>
      <c r="Q335" s="27">
        <f>SUM('1. Base de donnée HILIN MU CM2 '!$O335+'1. Base de donnée HILIN MU CM2 '!$P335)/2</f>
        <v>10.5</v>
      </c>
      <c r="R335" s="27">
        <v>20.0</v>
      </c>
      <c r="S335" s="27">
        <v>16.5</v>
      </c>
      <c r="T335" s="27">
        <f>('1. Base de donnée HILIN MU CM2 '!$R335+'1. Base de donnée HILIN MU CM2 '!$S335)/2</f>
        <v>18.25</v>
      </c>
      <c r="U335" s="30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</row>
    <row r="336" ht="14.25" hidden="1" customHeight="1">
      <c r="A336" s="22" t="s">
        <v>652</v>
      </c>
      <c r="B336" s="22" t="s">
        <v>223</v>
      </c>
      <c r="C336" s="22" t="s">
        <v>681</v>
      </c>
      <c r="D336" s="22" t="s">
        <v>682</v>
      </c>
      <c r="E336" s="22" t="s">
        <v>654</v>
      </c>
      <c r="F336" s="22" t="s">
        <v>658</v>
      </c>
      <c r="G336" s="23">
        <v>2023.0</v>
      </c>
      <c r="H336" s="23">
        <v>40.0</v>
      </c>
      <c r="I336" s="23">
        <v>335.0</v>
      </c>
      <c r="J336" s="24" t="str">
        <f>'1. Base de donnée HILIN MU CM2 '!$G336&amp;"-"&amp;'1. Base de donnée HILIN MU CM2 '!$H336&amp;"-"&amp;'1. Base de donnée HILIN MU CM2 '!$I336</f>
        <v>2023-40-335</v>
      </c>
      <c r="K336" s="23">
        <f t="shared" si="1"/>
        <v>329</v>
      </c>
      <c r="L336" s="24" t="s">
        <v>31</v>
      </c>
      <c r="M336" s="24"/>
      <c r="N336" s="24"/>
      <c r="O336" s="22">
        <v>8.0</v>
      </c>
      <c r="P336" s="22">
        <v>8.5</v>
      </c>
      <c r="Q336" s="22">
        <f>SUM('1. Base de donnée HILIN MU CM2 '!$O336+'1. Base de donnée HILIN MU CM2 '!$P336)/2</f>
        <v>8.25</v>
      </c>
      <c r="R336" s="22">
        <v>17.5</v>
      </c>
      <c r="S336" s="22">
        <v>20.0</v>
      </c>
      <c r="T336" s="22">
        <f>('1. Base de donnée HILIN MU CM2 '!$R336+'1. Base de donnée HILIN MU CM2 '!$S336)/2</f>
        <v>18.75</v>
      </c>
      <c r="U336" s="25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</row>
    <row r="337" ht="14.25" hidden="1" customHeight="1">
      <c r="A337" s="27" t="s">
        <v>652</v>
      </c>
      <c r="B337" s="27" t="s">
        <v>223</v>
      </c>
      <c r="C337" s="27" t="s">
        <v>683</v>
      </c>
      <c r="D337" s="27" t="s">
        <v>684</v>
      </c>
      <c r="E337" s="27" t="s">
        <v>654</v>
      </c>
      <c r="F337" s="27" t="s">
        <v>655</v>
      </c>
      <c r="G337" s="28">
        <v>2023.0</v>
      </c>
      <c r="H337" s="28">
        <v>40.0</v>
      </c>
      <c r="I337" s="28">
        <v>336.0</v>
      </c>
      <c r="J337" s="29" t="str">
        <f>'1. Base de donnée HILIN MU CM2 '!$G337&amp;"-"&amp;'1. Base de donnée HILIN MU CM2 '!$H337&amp;"-"&amp;'1. Base de donnée HILIN MU CM2 '!$I337</f>
        <v>2023-40-336</v>
      </c>
      <c r="K337" s="28">
        <f t="shared" si="1"/>
        <v>330</v>
      </c>
      <c r="L337" s="29" t="s">
        <v>31</v>
      </c>
      <c r="M337" s="29"/>
      <c r="N337" s="29"/>
      <c r="O337" s="27">
        <v>0.0</v>
      </c>
      <c r="P337" s="27">
        <v>0.0</v>
      </c>
      <c r="Q337" s="27">
        <f>SUM('1. Base de donnée HILIN MU CM2 '!$O337+'1. Base de donnée HILIN MU CM2 '!$P337)/2</f>
        <v>0</v>
      </c>
      <c r="R337" s="27">
        <v>13.0</v>
      </c>
      <c r="S337" s="27">
        <v>16.5</v>
      </c>
      <c r="T337" s="27">
        <f>('1. Base de donnée HILIN MU CM2 '!$R337+'1. Base de donnée HILIN MU CM2 '!$S337)/2</f>
        <v>14.75</v>
      </c>
      <c r="U337" s="30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</row>
    <row r="338" ht="14.25" hidden="1" customHeight="1">
      <c r="A338" s="22" t="s">
        <v>652</v>
      </c>
      <c r="B338" s="22" t="s">
        <v>223</v>
      </c>
      <c r="C338" s="22" t="s">
        <v>685</v>
      </c>
      <c r="D338" s="22" t="s">
        <v>37</v>
      </c>
      <c r="E338" s="22" t="s">
        <v>654</v>
      </c>
      <c r="F338" s="22" t="s">
        <v>658</v>
      </c>
      <c r="G338" s="23">
        <v>2023.0</v>
      </c>
      <c r="H338" s="23">
        <v>40.0</v>
      </c>
      <c r="I338" s="23">
        <v>338.0</v>
      </c>
      <c r="J338" s="24" t="str">
        <f>'1. Base de donnée HILIN MU CM2 '!$G338&amp;"-"&amp;'1. Base de donnée HILIN MU CM2 '!$H338&amp;"-"&amp;'1. Base de donnée HILIN MU CM2 '!$I338</f>
        <v>2023-40-338</v>
      </c>
      <c r="K338" s="23">
        <f t="shared" si="1"/>
        <v>331</v>
      </c>
      <c r="L338" s="24" t="s">
        <v>31</v>
      </c>
      <c r="M338" s="24"/>
      <c r="N338" s="24"/>
      <c r="O338" s="22">
        <v>6.0</v>
      </c>
      <c r="P338" s="22">
        <v>0.0</v>
      </c>
      <c r="Q338" s="22">
        <f>SUM('1. Base de donnée HILIN MU CM2 '!$O338+'1. Base de donnée HILIN MU CM2 '!$P338)/2</f>
        <v>3</v>
      </c>
      <c r="R338" s="22">
        <v>17.0</v>
      </c>
      <c r="S338" s="22">
        <v>19.0</v>
      </c>
      <c r="T338" s="22">
        <f>('1. Base de donnée HILIN MU CM2 '!$R338+'1. Base de donnée HILIN MU CM2 '!$S338)/2</f>
        <v>18</v>
      </c>
      <c r="U338" s="25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</row>
    <row r="339" ht="14.25" hidden="1" customHeight="1">
      <c r="A339" s="27" t="s">
        <v>652</v>
      </c>
      <c r="B339" s="27" t="s">
        <v>223</v>
      </c>
      <c r="C339" s="27" t="s">
        <v>686</v>
      </c>
      <c r="D339" s="27" t="s">
        <v>351</v>
      </c>
      <c r="E339" s="27" t="s">
        <v>654</v>
      </c>
      <c r="F339" s="27" t="s">
        <v>655</v>
      </c>
      <c r="G339" s="28">
        <v>2023.0</v>
      </c>
      <c r="H339" s="28">
        <v>40.0</v>
      </c>
      <c r="I339" s="28">
        <v>861.0</v>
      </c>
      <c r="J339" s="29" t="str">
        <f>'1. Base de donnée HILIN MU CM2 '!$G339&amp;"-"&amp;'1. Base de donnée HILIN MU CM2 '!$H339&amp;"-"&amp;'1. Base de donnée HILIN MU CM2 '!$I339</f>
        <v>2023-40-861</v>
      </c>
      <c r="K339" s="28">
        <f t="shared" si="1"/>
        <v>332</v>
      </c>
      <c r="L339" s="29" t="s">
        <v>31</v>
      </c>
      <c r="M339" s="29"/>
      <c r="N339" s="29"/>
      <c r="O339" s="27">
        <v>4.0</v>
      </c>
      <c r="P339" s="27">
        <v>0.0</v>
      </c>
      <c r="Q339" s="27">
        <f>SUM('1. Base de donnée HILIN MU CM2 '!$O339+'1. Base de donnée HILIN MU CM2 '!$P339)/2</f>
        <v>2</v>
      </c>
      <c r="R339" s="27">
        <v>11.5</v>
      </c>
      <c r="S339" s="27">
        <v>10.5</v>
      </c>
      <c r="T339" s="27">
        <f>('1. Base de donnée HILIN MU CM2 '!$R339+'1. Base de donnée HILIN MU CM2 '!$S339)/2</f>
        <v>11</v>
      </c>
      <c r="U339" s="30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</row>
    <row r="340" ht="14.25" hidden="1" customHeight="1">
      <c r="A340" s="22" t="s">
        <v>652</v>
      </c>
      <c r="B340" s="22" t="s">
        <v>223</v>
      </c>
      <c r="C340" s="24" t="s">
        <v>687</v>
      </c>
      <c r="D340" s="22" t="s">
        <v>688</v>
      </c>
      <c r="E340" s="22" t="s">
        <v>654</v>
      </c>
      <c r="F340" s="22" t="s">
        <v>655</v>
      </c>
      <c r="G340" s="23">
        <v>2024.0</v>
      </c>
      <c r="H340" s="23">
        <v>40.0</v>
      </c>
      <c r="I340" s="23">
        <v>921.0</v>
      </c>
      <c r="J340" s="24" t="str">
        <f>'1. Base de donnée HILIN MU CM2 '!$G340&amp;"-"&amp;'1. Base de donnée HILIN MU CM2 '!$H340&amp;"-"&amp;'1. Base de donnée HILIN MU CM2 '!$I340</f>
        <v>2024-40-921</v>
      </c>
      <c r="K340" s="23">
        <f t="shared" si="1"/>
        <v>333</v>
      </c>
      <c r="L340" s="24" t="s">
        <v>31</v>
      </c>
      <c r="M340" s="24"/>
      <c r="N340" s="24"/>
      <c r="O340" s="22">
        <v>5.0</v>
      </c>
      <c r="P340" s="22">
        <v>0.0</v>
      </c>
      <c r="Q340" s="22">
        <f>SUM('1. Base de donnée HILIN MU CM2 '!$O340+'1. Base de donnée HILIN MU CM2 '!$P340)/2</f>
        <v>2.5</v>
      </c>
      <c r="R340" s="22">
        <v>11.0</v>
      </c>
      <c r="S340" s="22">
        <v>11.0</v>
      </c>
      <c r="T340" s="32">
        <f>('1. Base de donnée HILIN MU CM2 '!$R340+'1. Base de donnée HILIN MU CM2 '!$S340)/2</f>
        <v>11</v>
      </c>
      <c r="U340" s="25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</row>
    <row r="341" ht="14.25" hidden="1" customHeight="1">
      <c r="A341" s="27" t="s">
        <v>652</v>
      </c>
      <c r="B341" s="27" t="s">
        <v>223</v>
      </c>
      <c r="C341" s="29" t="s">
        <v>689</v>
      </c>
      <c r="D341" s="27" t="s">
        <v>690</v>
      </c>
      <c r="E341" s="27" t="s">
        <v>654</v>
      </c>
      <c r="F341" s="27" t="s">
        <v>658</v>
      </c>
      <c r="G341" s="28">
        <v>2024.0</v>
      </c>
      <c r="H341" s="28">
        <v>40.0</v>
      </c>
      <c r="I341" s="28">
        <v>922.0</v>
      </c>
      <c r="J341" s="29" t="str">
        <f>'1. Base de donnée HILIN MU CM2 '!$G341&amp;"-"&amp;'1. Base de donnée HILIN MU CM2 '!$H341&amp;"-"&amp;'1. Base de donnée HILIN MU CM2 '!$I341</f>
        <v>2024-40-922</v>
      </c>
      <c r="K341" s="28">
        <f t="shared" si="1"/>
        <v>334</v>
      </c>
      <c r="L341" s="29" t="s">
        <v>31</v>
      </c>
      <c r="M341" s="29"/>
      <c r="N341" s="29"/>
      <c r="O341" s="27">
        <v>4.5</v>
      </c>
      <c r="P341" s="27">
        <v>0.0</v>
      </c>
      <c r="Q341" s="27">
        <f>SUM('1. Base de donnée HILIN MU CM2 '!$O341+'1. Base de donnée HILIN MU CM2 '!$P341)/2</f>
        <v>2.25</v>
      </c>
      <c r="R341" s="27">
        <v>14.0</v>
      </c>
      <c r="S341" s="27">
        <v>16.0</v>
      </c>
      <c r="T341" s="31">
        <f>('1. Base de donnée HILIN MU CM2 '!$R341+'1. Base de donnée HILIN MU CM2 '!$S341)/2</f>
        <v>15</v>
      </c>
      <c r="U341" s="30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</row>
    <row r="342" ht="14.25" hidden="1" customHeight="1">
      <c r="A342" s="22" t="s">
        <v>652</v>
      </c>
      <c r="B342" s="22" t="s">
        <v>223</v>
      </c>
      <c r="C342" s="24" t="s">
        <v>691</v>
      </c>
      <c r="D342" s="22" t="s">
        <v>692</v>
      </c>
      <c r="E342" s="22" t="s">
        <v>693</v>
      </c>
      <c r="F342" s="22" t="s">
        <v>658</v>
      </c>
      <c r="G342" s="23">
        <v>2024.0</v>
      </c>
      <c r="H342" s="23">
        <v>40.0</v>
      </c>
      <c r="I342" s="23">
        <v>923.0</v>
      </c>
      <c r="J342" s="24" t="str">
        <f>'1. Base de donnée HILIN MU CM2 '!$G342&amp;"-"&amp;'1. Base de donnée HILIN MU CM2 '!$H342&amp;"-"&amp;'1. Base de donnée HILIN MU CM2 '!$I342</f>
        <v>2024-40-923</v>
      </c>
      <c r="K342" s="23">
        <f t="shared" si="1"/>
        <v>335</v>
      </c>
      <c r="L342" s="24" t="s">
        <v>31</v>
      </c>
      <c r="M342" s="24"/>
      <c r="N342" s="24"/>
      <c r="O342" s="22">
        <v>0.0</v>
      </c>
      <c r="P342" s="22">
        <v>0.0</v>
      </c>
      <c r="Q342" s="22">
        <f>SUM('1. Base de donnée HILIN MU CM2 '!$O342+'1. Base de donnée HILIN MU CM2 '!$P342)/2</f>
        <v>0</v>
      </c>
      <c r="R342" s="22">
        <v>15.0</v>
      </c>
      <c r="S342" s="22">
        <v>17.0</v>
      </c>
      <c r="T342" s="32">
        <f>('1. Base de donnée HILIN MU CM2 '!$R342+'1. Base de donnée HILIN MU CM2 '!$S342)/2</f>
        <v>16</v>
      </c>
      <c r="U342" s="25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</row>
    <row r="343" ht="14.25" hidden="1" customHeight="1">
      <c r="A343" s="27" t="s">
        <v>652</v>
      </c>
      <c r="B343" s="27" t="s">
        <v>223</v>
      </c>
      <c r="C343" s="29" t="s">
        <v>694</v>
      </c>
      <c r="D343" s="27" t="s">
        <v>695</v>
      </c>
      <c r="E343" s="27" t="s">
        <v>654</v>
      </c>
      <c r="F343" s="27" t="s">
        <v>658</v>
      </c>
      <c r="G343" s="28">
        <v>2024.0</v>
      </c>
      <c r="H343" s="28">
        <v>40.0</v>
      </c>
      <c r="I343" s="28">
        <v>924.0</v>
      </c>
      <c r="J343" s="29" t="str">
        <f>'1. Base de donnée HILIN MU CM2 '!$G343&amp;"-"&amp;'1. Base de donnée HILIN MU CM2 '!$H343&amp;"-"&amp;'1. Base de donnée HILIN MU CM2 '!$I343</f>
        <v>2024-40-924</v>
      </c>
      <c r="K343" s="28">
        <f t="shared" si="1"/>
        <v>336</v>
      </c>
      <c r="L343" s="29" t="s">
        <v>31</v>
      </c>
      <c r="M343" s="29"/>
      <c r="N343" s="29"/>
      <c r="O343" s="27">
        <v>4.5</v>
      </c>
      <c r="P343" s="27">
        <v>0.0</v>
      </c>
      <c r="Q343" s="27">
        <f>SUM('1. Base de donnée HILIN MU CM2 '!$O343+'1. Base de donnée HILIN MU CM2 '!$P343)/2</f>
        <v>2.25</v>
      </c>
      <c r="R343" s="27">
        <v>12.5</v>
      </c>
      <c r="S343" s="27">
        <v>10.0</v>
      </c>
      <c r="T343" s="31">
        <f>('1. Base de donnée HILIN MU CM2 '!$R343+'1. Base de donnée HILIN MU CM2 '!$S343)/2</f>
        <v>11.25</v>
      </c>
      <c r="U343" s="30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</row>
    <row r="344" ht="14.25" hidden="1" customHeight="1">
      <c r="A344" s="22" t="s">
        <v>696</v>
      </c>
      <c r="B344" s="22" t="s">
        <v>26</v>
      </c>
      <c r="C344" s="22" t="s">
        <v>697</v>
      </c>
      <c r="D344" s="22" t="s">
        <v>476</v>
      </c>
      <c r="E344" s="22" t="s">
        <v>698</v>
      </c>
      <c r="F344" s="22" t="s">
        <v>699</v>
      </c>
      <c r="G344" s="23">
        <v>2023.0</v>
      </c>
      <c r="H344" s="23">
        <v>8.0</v>
      </c>
      <c r="I344" s="23">
        <v>339.0</v>
      </c>
      <c r="J344" s="24" t="str">
        <f>'1. Base de donnée HILIN MU CM2 '!$G344&amp;"-"&amp;'1. Base de donnée HILIN MU CM2 '!$H344&amp;"-"&amp;'1. Base de donnée HILIN MU CM2 '!$I344</f>
        <v>2023-8-339</v>
      </c>
      <c r="K344" s="23">
        <f t="shared" si="1"/>
        <v>337</v>
      </c>
      <c r="L344" s="24" t="s">
        <v>31</v>
      </c>
      <c r="M344" s="24"/>
      <c r="N344" s="24"/>
      <c r="O344" s="22">
        <v>8.5</v>
      </c>
      <c r="P344" s="22">
        <v>4.5</v>
      </c>
      <c r="Q344" s="22">
        <f>SUM('1. Base de donnée HILIN MU CM2 '!$O344+'1. Base de donnée HILIN MU CM2 '!$P344)/2</f>
        <v>6.5</v>
      </c>
      <c r="R344" s="22">
        <v>13.0</v>
      </c>
      <c r="S344" s="22">
        <v>11.0</v>
      </c>
      <c r="T344" s="22">
        <f>('1. Base de donnée HILIN MU CM2 '!$R344+'1. Base de donnée HILIN MU CM2 '!$S344)/2</f>
        <v>12</v>
      </c>
      <c r="U344" s="25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</row>
    <row r="345" ht="14.25" hidden="1" customHeight="1">
      <c r="A345" s="27" t="s">
        <v>696</v>
      </c>
      <c r="B345" s="27" t="s">
        <v>26</v>
      </c>
      <c r="C345" s="27" t="s">
        <v>700</v>
      </c>
      <c r="D345" s="27" t="s">
        <v>166</v>
      </c>
      <c r="E345" s="27" t="s">
        <v>698</v>
      </c>
      <c r="F345" s="27" t="s">
        <v>699</v>
      </c>
      <c r="G345" s="28">
        <v>2023.0</v>
      </c>
      <c r="H345" s="28">
        <v>8.0</v>
      </c>
      <c r="I345" s="28">
        <v>340.0</v>
      </c>
      <c r="J345" s="29" t="str">
        <f>'1. Base de donnée HILIN MU CM2 '!$G345&amp;"-"&amp;'1. Base de donnée HILIN MU CM2 '!$H345&amp;"-"&amp;'1. Base de donnée HILIN MU CM2 '!$I345</f>
        <v>2023-8-340</v>
      </c>
      <c r="K345" s="28">
        <f t="shared" si="1"/>
        <v>338</v>
      </c>
      <c r="L345" s="29" t="s">
        <v>31</v>
      </c>
      <c r="M345" s="29"/>
      <c r="N345" s="29"/>
      <c r="O345" s="27">
        <v>12.0</v>
      </c>
      <c r="P345" s="27">
        <v>5.5</v>
      </c>
      <c r="Q345" s="27">
        <f>SUM('1. Base de donnée HILIN MU CM2 '!$O345+'1. Base de donnée HILIN MU CM2 '!$P345)/2</f>
        <v>8.75</v>
      </c>
      <c r="R345" s="27">
        <v>16.5</v>
      </c>
      <c r="S345" s="27">
        <v>19.5</v>
      </c>
      <c r="T345" s="27">
        <f>('1. Base de donnée HILIN MU CM2 '!$R345+'1. Base de donnée HILIN MU CM2 '!$S345)/2</f>
        <v>18</v>
      </c>
      <c r="U345" s="30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</row>
    <row r="346" ht="14.25" hidden="1" customHeight="1">
      <c r="A346" s="22" t="s">
        <v>696</v>
      </c>
      <c r="B346" s="22" t="s">
        <v>26</v>
      </c>
      <c r="C346" s="22" t="s">
        <v>701</v>
      </c>
      <c r="D346" s="22" t="s">
        <v>702</v>
      </c>
      <c r="E346" s="22" t="s">
        <v>698</v>
      </c>
      <c r="F346" s="22" t="s">
        <v>703</v>
      </c>
      <c r="G346" s="23">
        <v>2023.0</v>
      </c>
      <c r="H346" s="23">
        <v>8.0</v>
      </c>
      <c r="I346" s="23">
        <v>341.0</v>
      </c>
      <c r="J346" s="24" t="str">
        <f>'1. Base de donnée HILIN MU CM2 '!$G346&amp;"-"&amp;'1. Base de donnée HILIN MU CM2 '!$H346&amp;"-"&amp;'1. Base de donnée HILIN MU CM2 '!$I346</f>
        <v>2023-8-341</v>
      </c>
      <c r="K346" s="23">
        <f t="shared" si="1"/>
        <v>339</v>
      </c>
      <c r="L346" s="24" t="s">
        <v>31</v>
      </c>
      <c r="M346" s="24"/>
      <c r="N346" s="24"/>
      <c r="O346" s="22">
        <v>12.0</v>
      </c>
      <c r="P346" s="22">
        <v>5.5</v>
      </c>
      <c r="Q346" s="22">
        <f>SUM('1. Base de donnée HILIN MU CM2 '!$O346+'1. Base de donnée HILIN MU CM2 '!$P346)/2</f>
        <v>8.75</v>
      </c>
      <c r="R346" s="22">
        <v>15.0</v>
      </c>
      <c r="S346" s="22">
        <v>18.0</v>
      </c>
      <c r="T346" s="22">
        <f>('1. Base de donnée HILIN MU CM2 '!$R346+'1. Base de donnée HILIN MU CM2 '!$S346)/2</f>
        <v>16.5</v>
      </c>
      <c r="U346" s="25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</row>
    <row r="347" ht="14.25" hidden="1" customHeight="1">
      <c r="A347" s="27" t="s">
        <v>696</v>
      </c>
      <c r="B347" s="27" t="s">
        <v>26</v>
      </c>
      <c r="C347" s="27" t="s">
        <v>704</v>
      </c>
      <c r="D347" s="27" t="s">
        <v>705</v>
      </c>
      <c r="E347" s="27" t="s">
        <v>698</v>
      </c>
      <c r="F347" s="27" t="s">
        <v>703</v>
      </c>
      <c r="G347" s="28">
        <v>2023.0</v>
      </c>
      <c r="H347" s="28">
        <v>8.0</v>
      </c>
      <c r="I347" s="28">
        <v>342.0</v>
      </c>
      <c r="J347" s="29" t="str">
        <f>'1. Base de donnée HILIN MU CM2 '!$G347&amp;"-"&amp;'1. Base de donnée HILIN MU CM2 '!$H347&amp;"-"&amp;'1. Base de donnée HILIN MU CM2 '!$I347</f>
        <v>2023-8-342</v>
      </c>
      <c r="K347" s="28">
        <f t="shared" si="1"/>
        <v>340</v>
      </c>
      <c r="L347" s="29" t="s">
        <v>31</v>
      </c>
      <c r="M347" s="29"/>
      <c r="N347" s="29"/>
      <c r="O347" s="27">
        <v>4.5</v>
      </c>
      <c r="P347" s="27">
        <v>2.5</v>
      </c>
      <c r="Q347" s="27">
        <f>SUM('1. Base de donnée HILIN MU CM2 '!$O347+'1. Base de donnée HILIN MU CM2 '!$P347)/2</f>
        <v>3.5</v>
      </c>
      <c r="R347" s="27">
        <v>14.0</v>
      </c>
      <c r="S347" s="27">
        <v>15.0</v>
      </c>
      <c r="T347" s="27">
        <f>('1. Base de donnée HILIN MU CM2 '!$R347+'1. Base de donnée HILIN MU CM2 '!$S347)/2</f>
        <v>14.5</v>
      </c>
      <c r="U347" s="30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</row>
    <row r="348" ht="14.25" hidden="1" customHeight="1">
      <c r="A348" s="22" t="s">
        <v>696</v>
      </c>
      <c r="B348" s="22" t="s">
        <v>26</v>
      </c>
      <c r="C348" s="22" t="s">
        <v>706</v>
      </c>
      <c r="D348" s="22" t="s">
        <v>78</v>
      </c>
      <c r="E348" s="22" t="s">
        <v>698</v>
      </c>
      <c r="F348" s="22" t="s">
        <v>703</v>
      </c>
      <c r="G348" s="23">
        <v>2023.0</v>
      </c>
      <c r="H348" s="23">
        <v>8.0</v>
      </c>
      <c r="I348" s="23">
        <v>343.0</v>
      </c>
      <c r="J348" s="24" t="str">
        <f>'1. Base de donnée HILIN MU CM2 '!$G348&amp;"-"&amp;'1. Base de donnée HILIN MU CM2 '!$H348&amp;"-"&amp;'1. Base de donnée HILIN MU CM2 '!$I348</f>
        <v>2023-8-343</v>
      </c>
      <c r="K348" s="23">
        <f t="shared" si="1"/>
        <v>341</v>
      </c>
      <c r="L348" s="24" t="s">
        <v>31</v>
      </c>
      <c r="M348" s="24"/>
      <c r="N348" s="24"/>
      <c r="O348" s="22">
        <v>9.0</v>
      </c>
      <c r="P348" s="22">
        <v>6.5</v>
      </c>
      <c r="Q348" s="22">
        <f>SUM('1. Base de donnée HILIN MU CM2 '!$O348+'1. Base de donnée HILIN MU CM2 '!$P348)/2</f>
        <v>7.75</v>
      </c>
      <c r="R348" s="22">
        <v>17.75</v>
      </c>
      <c r="S348" s="22">
        <v>18.5</v>
      </c>
      <c r="T348" s="22">
        <f>('1. Base de donnée HILIN MU CM2 '!$R348+'1. Base de donnée HILIN MU CM2 '!$S348)/2</f>
        <v>18.125</v>
      </c>
      <c r="U348" s="25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</row>
    <row r="349" ht="14.25" hidden="1" customHeight="1">
      <c r="A349" s="27" t="s">
        <v>696</v>
      </c>
      <c r="B349" s="27" t="s">
        <v>26</v>
      </c>
      <c r="C349" s="27" t="s">
        <v>707</v>
      </c>
      <c r="D349" s="27" t="s">
        <v>289</v>
      </c>
      <c r="E349" s="27" t="s">
        <v>698</v>
      </c>
      <c r="F349" s="27" t="s">
        <v>703</v>
      </c>
      <c r="G349" s="28">
        <v>2023.0</v>
      </c>
      <c r="H349" s="28">
        <v>8.0</v>
      </c>
      <c r="I349" s="28">
        <v>344.0</v>
      </c>
      <c r="J349" s="29" t="str">
        <f>'1. Base de donnée HILIN MU CM2 '!$G349&amp;"-"&amp;'1. Base de donnée HILIN MU CM2 '!$H349&amp;"-"&amp;'1. Base de donnée HILIN MU CM2 '!$I349</f>
        <v>2023-8-344</v>
      </c>
      <c r="K349" s="28">
        <f t="shared" si="1"/>
        <v>342</v>
      </c>
      <c r="L349" s="29" t="s">
        <v>31</v>
      </c>
      <c r="M349" s="29"/>
      <c r="N349" s="29"/>
      <c r="O349" s="27">
        <v>8.5</v>
      </c>
      <c r="P349" s="27">
        <v>4.0</v>
      </c>
      <c r="Q349" s="27">
        <f>SUM('1. Base de donnée HILIN MU CM2 '!$O349+'1. Base de donnée HILIN MU CM2 '!$P349)/2</f>
        <v>6.25</v>
      </c>
      <c r="R349" s="27">
        <v>16.0</v>
      </c>
      <c r="S349" s="27">
        <v>16.5</v>
      </c>
      <c r="T349" s="27">
        <f>('1. Base de donnée HILIN MU CM2 '!$R349+'1. Base de donnée HILIN MU CM2 '!$S349)/2</f>
        <v>16.25</v>
      </c>
      <c r="U349" s="30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</row>
    <row r="350" ht="14.25" hidden="1" customHeight="1">
      <c r="A350" s="22" t="s">
        <v>696</v>
      </c>
      <c r="B350" s="22" t="s">
        <v>26</v>
      </c>
      <c r="C350" s="22" t="s">
        <v>708</v>
      </c>
      <c r="D350" s="22" t="s">
        <v>268</v>
      </c>
      <c r="E350" s="22" t="s">
        <v>698</v>
      </c>
      <c r="F350" s="22" t="s">
        <v>703</v>
      </c>
      <c r="G350" s="23">
        <v>2023.0</v>
      </c>
      <c r="H350" s="23">
        <v>8.0</v>
      </c>
      <c r="I350" s="23">
        <v>345.0</v>
      </c>
      <c r="J350" s="24" t="str">
        <f>'1. Base de donnée HILIN MU CM2 '!$G350&amp;"-"&amp;'1. Base de donnée HILIN MU CM2 '!$H350&amp;"-"&amp;'1. Base de donnée HILIN MU CM2 '!$I350</f>
        <v>2023-8-345</v>
      </c>
      <c r="K350" s="23">
        <f t="shared" si="1"/>
        <v>343</v>
      </c>
      <c r="L350" s="24" t="s">
        <v>31</v>
      </c>
      <c r="M350" s="24"/>
      <c r="N350" s="24"/>
      <c r="O350" s="22">
        <v>13.0</v>
      </c>
      <c r="P350" s="22">
        <v>10.0</v>
      </c>
      <c r="Q350" s="22">
        <f>SUM('1. Base de donnée HILIN MU CM2 '!$O350+'1. Base de donnée HILIN MU CM2 '!$P350)/2</f>
        <v>11.5</v>
      </c>
      <c r="R350" s="22">
        <v>18.0</v>
      </c>
      <c r="S350" s="22">
        <v>20.0</v>
      </c>
      <c r="T350" s="22">
        <f>('1. Base de donnée HILIN MU CM2 '!$R350+'1. Base de donnée HILIN MU CM2 '!$S350)/2</f>
        <v>19</v>
      </c>
      <c r="U350" s="25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</row>
    <row r="351" ht="14.25" hidden="1" customHeight="1">
      <c r="A351" s="27" t="s">
        <v>696</v>
      </c>
      <c r="B351" s="27" t="s">
        <v>26</v>
      </c>
      <c r="C351" s="27" t="s">
        <v>709</v>
      </c>
      <c r="D351" s="27" t="s">
        <v>351</v>
      </c>
      <c r="E351" s="27" t="s">
        <v>698</v>
      </c>
      <c r="F351" s="27" t="s">
        <v>703</v>
      </c>
      <c r="G351" s="28">
        <v>2023.0</v>
      </c>
      <c r="H351" s="28">
        <v>8.0</v>
      </c>
      <c r="I351" s="28">
        <v>346.0</v>
      </c>
      <c r="J351" s="29" t="str">
        <f>'1. Base de donnée HILIN MU CM2 '!$G351&amp;"-"&amp;'1. Base de donnée HILIN MU CM2 '!$H351&amp;"-"&amp;'1. Base de donnée HILIN MU CM2 '!$I351</f>
        <v>2023-8-346</v>
      </c>
      <c r="K351" s="28">
        <f t="shared" si="1"/>
        <v>344</v>
      </c>
      <c r="L351" s="29" t="s">
        <v>31</v>
      </c>
      <c r="M351" s="29"/>
      <c r="N351" s="29"/>
      <c r="O351" s="27">
        <v>8.0</v>
      </c>
      <c r="P351" s="27">
        <v>2.5</v>
      </c>
      <c r="Q351" s="27">
        <f>SUM('1. Base de donnée HILIN MU CM2 '!$O351+'1. Base de donnée HILIN MU CM2 '!$P351)/2</f>
        <v>5.25</v>
      </c>
      <c r="R351" s="27">
        <v>17.0</v>
      </c>
      <c r="S351" s="27">
        <v>19.5</v>
      </c>
      <c r="T351" s="27">
        <f>('1. Base de donnée HILIN MU CM2 '!$R351+'1. Base de donnée HILIN MU CM2 '!$S351)/2</f>
        <v>18.25</v>
      </c>
      <c r="U351" s="30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</row>
    <row r="352" ht="14.25" hidden="1" customHeight="1">
      <c r="A352" s="22" t="s">
        <v>696</v>
      </c>
      <c r="B352" s="22" t="s">
        <v>26</v>
      </c>
      <c r="C352" s="22" t="s">
        <v>710</v>
      </c>
      <c r="D352" s="22" t="s">
        <v>351</v>
      </c>
      <c r="E352" s="22" t="s">
        <v>698</v>
      </c>
      <c r="F352" s="22" t="s">
        <v>703</v>
      </c>
      <c r="G352" s="23">
        <v>2023.0</v>
      </c>
      <c r="H352" s="23">
        <v>8.0</v>
      </c>
      <c r="I352" s="23">
        <v>347.0</v>
      </c>
      <c r="J352" s="24" t="str">
        <f>'1. Base de donnée HILIN MU CM2 '!$G352&amp;"-"&amp;'1. Base de donnée HILIN MU CM2 '!$H352&amp;"-"&amp;'1. Base de donnée HILIN MU CM2 '!$I352</f>
        <v>2023-8-347</v>
      </c>
      <c r="K352" s="23">
        <f t="shared" si="1"/>
        <v>345</v>
      </c>
      <c r="L352" s="24" t="s">
        <v>31</v>
      </c>
      <c r="M352" s="24"/>
      <c r="N352" s="24"/>
      <c r="O352" s="22">
        <v>1.5</v>
      </c>
      <c r="P352" s="22">
        <v>0.0</v>
      </c>
      <c r="Q352" s="22">
        <f>SUM('1. Base de donnée HILIN MU CM2 '!$O352+'1. Base de donnée HILIN MU CM2 '!$P352)/2</f>
        <v>0.75</v>
      </c>
      <c r="R352" s="22">
        <v>14.5</v>
      </c>
      <c r="S352" s="22">
        <v>16.0</v>
      </c>
      <c r="T352" s="22">
        <f>('1. Base de donnée HILIN MU CM2 '!$R352+'1. Base de donnée HILIN MU CM2 '!$S352)/2</f>
        <v>15.25</v>
      </c>
      <c r="U352" s="25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</row>
    <row r="353" ht="14.25" hidden="1" customHeight="1">
      <c r="A353" s="27" t="s">
        <v>696</v>
      </c>
      <c r="B353" s="27" t="s">
        <v>26</v>
      </c>
      <c r="C353" s="27" t="s">
        <v>711</v>
      </c>
      <c r="D353" s="27" t="s">
        <v>712</v>
      </c>
      <c r="E353" s="27" t="s">
        <v>698</v>
      </c>
      <c r="F353" s="27" t="s">
        <v>699</v>
      </c>
      <c r="G353" s="28">
        <v>2023.0</v>
      </c>
      <c r="H353" s="28">
        <v>8.0</v>
      </c>
      <c r="I353" s="28">
        <v>348.0</v>
      </c>
      <c r="J353" s="29" t="str">
        <f>'1. Base de donnée HILIN MU CM2 '!$G353&amp;"-"&amp;'1. Base de donnée HILIN MU CM2 '!$H353&amp;"-"&amp;'1. Base de donnée HILIN MU CM2 '!$I353</f>
        <v>2023-8-348</v>
      </c>
      <c r="K353" s="28">
        <f t="shared" si="1"/>
        <v>346</v>
      </c>
      <c r="L353" s="29" t="s">
        <v>31</v>
      </c>
      <c r="M353" s="29"/>
      <c r="N353" s="29"/>
      <c r="O353" s="27">
        <v>5.5</v>
      </c>
      <c r="P353" s="27">
        <v>6.0</v>
      </c>
      <c r="Q353" s="27">
        <f>SUM('1. Base de donnée HILIN MU CM2 '!$O353+'1. Base de donnée HILIN MU CM2 '!$P353)/2</f>
        <v>5.75</v>
      </c>
      <c r="R353" s="27">
        <v>15.5</v>
      </c>
      <c r="S353" s="27">
        <v>15.25</v>
      </c>
      <c r="T353" s="27">
        <f>('1. Base de donnée HILIN MU CM2 '!$R353+'1. Base de donnée HILIN MU CM2 '!$S353)/2</f>
        <v>15.375</v>
      </c>
      <c r="U353" s="30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ht="14.25" hidden="1" customHeight="1">
      <c r="A354" s="22" t="s">
        <v>696</v>
      </c>
      <c r="B354" s="22" t="s">
        <v>26</v>
      </c>
      <c r="C354" s="22" t="s">
        <v>713</v>
      </c>
      <c r="D354" s="22" t="s">
        <v>714</v>
      </c>
      <c r="E354" s="22" t="s">
        <v>698</v>
      </c>
      <c r="F354" s="22" t="s">
        <v>699</v>
      </c>
      <c r="G354" s="23">
        <v>2023.0</v>
      </c>
      <c r="H354" s="23">
        <v>8.0</v>
      </c>
      <c r="I354" s="23">
        <v>349.0</v>
      </c>
      <c r="J354" s="24" t="str">
        <f>'1. Base de donnée HILIN MU CM2 '!$G354&amp;"-"&amp;'1. Base de donnée HILIN MU CM2 '!$H354&amp;"-"&amp;'1. Base de donnée HILIN MU CM2 '!$I354</f>
        <v>2023-8-349</v>
      </c>
      <c r="K354" s="23">
        <f t="shared" si="1"/>
        <v>347</v>
      </c>
      <c r="L354" s="24" t="s">
        <v>31</v>
      </c>
      <c r="M354" s="24"/>
      <c r="N354" s="24"/>
      <c r="O354" s="22">
        <v>3.5</v>
      </c>
      <c r="P354" s="22">
        <v>3.5</v>
      </c>
      <c r="Q354" s="22">
        <f>SUM('1. Base de donnée HILIN MU CM2 '!$O354+'1. Base de donnée HILIN MU CM2 '!$P354)/2</f>
        <v>3.5</v>
      </c>
      <c r="R354" s="22">
        <v>13.5</v>
      </c>
      <c r="S354" s="22">
        <v>14.0</v>
      </c>
      <c r="T354" s="22">
        <f>('1. Base de donnée HILIN MU CM2 '!$R354+'1. Base de donnée HILIN MU CM2 '!$S354)/2</f>
        <v>13.75</v>
      </c>
      <c r="U354" s="25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ht="14.25" hidden="1" customHeight="1">
      <c r="A355" s="27" t="s">
        <v>696</v>
      </c>
      <c r="B355" s="27" t="s">
        <v>26</v>
      </c>
      <c r="C355" s="27" t="s">
        <v>715</v>
      </c>
      <c r="D355" s="27" t="s">
        <v>716</v>
      </c>
      <c r="E355" s="27" t="s">
        <v>698</v>
      </c>
      <c r="F355" s="27" t="s">
        <v>703</v>
      </c>
      <c r="G355" s="28">
        <v>2023.0</v>
      </c>
      <c r="H355" s="28">
        <v>8.0</v>
      </c>
      <c r="I355" s="28">
        <v>350.0</v>
      </c>
      <c r="J355" s="29" t="str">
        <f>'1. Base de donnée HILIN MU CM2 '!$G355&amp;"-"&amp;'1. Base de donnée HILIN MU CM2 '!$H355&amp;"-"&amp;'1. Base de donnée HILIN MU CM2 '!$I355</f>
        <v>2023-8-350</v>
      </c>
      <c r="K355" s="28">
        <f t="shared" si="1"/>
        <v>348</v>
      </c>
      <c r="L355" s="29" t="s">
        <v>31</v>
      </c>
      <c r="M355" s="29"/>
      <c r="N355" s="29"/>
      <c r="O355" s="27">
        <v>6.0</v>
      </c>
      <c r="P355" s="27">
        <v>4.5</v>
      </c>
      <c r="Q355" s="27">
        <f>SUM('1. Base de donnée HILIN MU CM2 '!$O355+'1. Base de donnée HILIN MU CM2 '!$P355)/2</f>
        <v>5.25</v>
      </c>
      <c r="R355" s="27">
        <v>13.5</v>
      </c>
      <c r="S355" s="27">
        <v>18.5</v>
      </c>
      <c r="T355" s="27">
        <f>('1. Base de donnée HILIN MU CM2 '!$R355+'1. Base de donnée HILIN MU CM2 '!$S355)/2</f>
        <v>16</v>
      </c>
      <c r="U355" s="30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ht="14.25" hidden="1" customHeight="1">
      <c r="A356" s="22" t="s">
        <v>696</v>
      </c>
      <c r="B356" s="22" t="s">
        <v>26</v>
      </c>
      <c r="C356" s="22" t="s">
        <v>717</v>
      </c>
      <c r="D356" s="22" t="s">
        <v>351</v>
      </c>
      <c r="E356" s="22" t="s">
        <v>698</v>
      </c>
      <c r="F356" s="22" t="s">
        <v>699</v>
      </c>
      <c r="G356" s="23">
        <v>2023.0</v>
      </c>
      <c r="H356" s="23">
        <v>8.0</v>
      </c>
      <c r="I356" s="23">
        <v>351.0</v>
      </c>
      <c r="J356" s="24" t="str">
        <f>'1. Base de donnée HILIN MU CM2 '!$G356&amp;"-"&amp;'1. Base de donnée HILIN MU CM2 '!$H356&amp;"-"&amp;'1. Base de donnée HILIN MU CM2 '!$I356</f>
        <v>2023-8-351</v>
      </c>
      <c r="K356" s="23">
        <f t="shared" si="1"/>
        <v>349</v>
      </c>
      <c r="L356" s="24" t="s">
        <v>31</v>
      </c>
      <c r="M356" s="24"/>
      <c r="N356" s="24"/>
      <c r="O356" s="22">
        <v>13.0</v>
      </c>
      <c r="P356" s="22">
        <v>11.5</v>
      </c>
      <c r="Q356" s="22">
        <f>SUM('1. Base de donnée HILIN MU CM2 '!$O356+'1. Base de donnée HILIN MU CM2 '!$P356)/2</f>
        <v>12.25</v>
      </c>
      <c r="R356" s="22">
        <v>16.5</v>
      </c>
      <c r="S356" s="22">
        <v>19.0</v>
      </c>
      <c r="T356" s="22">
        <f>('1. Base de donnée HILIN MU CM2 '!$R356+'1. Base de donnée HILIN MU CM2 '!$S356)/2</f>
        <v>17.75</v>
      </c>
      <c r="U356" s="25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</row>
    <row r="357" ht="14.25" hidden="1" customHeight="1">
      <c r="A357" s="27" t="s">
        <v>696</v>
      </c>
      <c r="B357" s="27" t="s">
        <v>26</v>
      </c>
      <c r="C357" s="27" t="s">
        <v>718</v>
      </c>
      <c r="D357" s="27" t="s">
        <v>78</v>
      </c>
      <c r="E357" s="27" t="s">
        <v>698</v>
      </c>
      <c r="F357" s="27" t="s">
        <v>703</v>
      </c>
      <c r="G357" s="28">
        <v>2023.0</v>
      </c>
      <c r="H357" s="28">
        <v>8.0</v>
      </c>
      <c r="I357" s="28">
        <v>352.0</v>
      </c>
      <c r="J357" s="29" t="str">
        <f>'1. Base de donnée HILIN MU CM2 '!$G357&amp;"-"&amp;'1. Base de donnée HILIN MU CM2 '!$H357&amp;"-"&amp;'1. Base de donnée HILIN MU CM2 '!$I357</f>
        <v>2023-8-352</v>
      </c>
      <c r="K357" s="28">
        <f t="shared" si="1"/>
        <v>350</v>
      </c>
      <c r="L357" s="29" t="s">
        <v>31</v>
      </c>
      <c r="M357" s="29"/>
      <c r="N357" s="29"/>
      <c r="O357" s="27">
        <v>7.0</v>
      </c>
      <c r="P357" s="27">
        <v>3.0</v>
      </c>
      <c r="Q357" s="27">
        <f>SUM('1. Base de donnée HILIN MU CM2 '!$O357+'1. Base de donnée HILIN MU CM2 '!$P357)/2</f>
        <v>5</v>
      </c>
      <c r="R357" s="27">
        <v>17.25</v>
      </c>
      <c r="S357" s="27">
        <v>16.5</v>
      </c>
      <c r="T357" s="27">
        <f>('1. Base de donnée HILIN MU CM2 '!$R357+'1. Base de donnée HILIN MU CM2 '!$S357)/2</f>
        <v>16.875</v>
      </c>
      <c r="U357" s="30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</row>
    <row r="358" ht="14.25" hidden="1" customHeight="1">
      <c r="A358" s="22" t="s">
        <v>696</v>
      </c>
      <c r="B358" s="22" t="s">
        <v>26</v>
      </c>
      <c r="C358" s="22" t="s">
        <v>719</v>
      </c>
      <c r="D358" s="22" t="s">
        <v>245</v>
      </c>
      <c r="E358" s="22" t="s">
        <v>698</v>
      </c>
      <c r="F358" s="22" t="s">
        <v>699</v>
      </c>
      <c r="G358" s="23">
        <v>2023.0</v>
      </c>
      <c r="H358" s="23">
        <v>8.0</v>
      </c>
      <c r="I358" s="23">
        <v>353.0</v>
      </c>
      <c r="J358" s="24" t="str">
        <f>'1. Base de donnée HILIN MU CM2 '!$G358&amp;"-"&amp;'1. Base de donnée HILIN MU CM2 '!$H358&amp;"-"&amp;'1. Base de donnée HILIN MU CM2 '!$I358</f>
        <v>2023-8-353</v>
      </c>
      <c r="K358" s="23">
        <f t="shared" si="1"/>
        <v>351</v>
      </c>
      <c r="L358" s="24" t="s">
        <v>31</v>
      </c>
      <c r="M358" s="24"/>
      <c r="N358" s="24"/>
      <c r="O358" s="22">
        <v>10.5</v>
      </c>
      <c r="P358" s="22">
        <v>4.5</v>
      </c>
      <c r="Q358" s="22">
        <f>SUM('1. Base de donnée HILIN MU CM2 '!$O358+'1. Base de donnée HILIN MU CM2 '!$P358)/2</f>
        <v>7.5</v>
      </c>
      <c r="R358" s="22">
        <v>17.75</v>
      </c>
      <c r="S358" s="22">
        <v>15.5</v>
      </c>
      <c r="T358" s="22">
        <f>('1. Base de donnée HILIN MU CM2 '!$R358+'1. Base de donnée HILIN MU CM2 '!$S358)/2</f>
        <v>16.625</v>
      </c>
      <c r="U358" s="25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</row>
    <row r="359" ht="14.25" hidden="1" customHeight="1">
      <c r="A359" s="27" t="s">
        <v>696</v>
      </c>
      <c r="B359" s="27" t="s">
        <v>26</v>
      </c>
      <c r="C359" s="27" t="s">
        <v>720</v>
      </c>
      <c r="D359" s="27" t="s">
        <v>721</v>
      </c>
      <c r="E359" s="27" t="s">
        <v>698</v>
      </c>
      <c r="F359" s="27" t="s">
        <v>699</v>
      </c>
      <c r="G359" s="28">
        <v>2023.0</v>
      </c>
      <c r="H359" s="28">
        <v>8.0</v>
      </c>
      <c r="I359" s="28">
        <v>354.0</v>
      </c>
      <c r="J359" s="29" t="str">
        <f>'1. Base de donnée HILIN MU CM2 '!$G359&amp;"-"&amp;'1. Base de donnée HILIN MU CM2 '!$H359&amp;"-"&amp;'1. Base de donnée HILIN MU CM2 '!$I359</f>
        <v>2023-8-354</v>
      </c>
      <c r="K359" s="28">
        <f t="shared" si="1"/>
        <v>352</v>
      </c>
      <c r="L359" s="29" t="s">
        <v>31</v>
      </c>
      <c r="M359" s="29"/>
      <c r="N359" s="29"/>
      <c r="O359" s="27">
        <v>11.0</v>
      </c>
      <c r="P359" s="27">
        <v>4.5</v>
      </c>
      <c r="Q359" s="27">
        <f>SUM('1. Base de donnée HILIN MU CM2 '!$O359+'1. Base de donnée HILIN MU CM2 '!$P359)/2</f>
        <v>7.75</v>
      </c>
      <c r="R359" s="27">
        <v>16.5</v>
      </c>
      <c r="S359" s="27">
        <v>16.0</v>
      </c>
      <c r="T359" s="27">
        <f>('1. Base de donnée HILIN MU CM2 '!$R359+'1. Base de donnée HILIN MU CM2 '!$S359)/2</f>
        <v>16.25</v>
      </c>
      <c r="U359" s="30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</row>
    <row r="360" ht="14.25" hidden="1" customHeight="1">
      <c r="A360" s="22" t="s">
        <v>696</v>
      </c>
      <c r="B360" s="22" t="s">
        <v>26</v>
      </c>
      <c r="C360" s="22" t="s">
        <v>722</v>
      </c>
      <c r="D360" s="22" t="s">
        <v>270</v>
      </c>
      <c r="E360" s="22" t="s">
        <v>698</v>
      </c>
      <c r="F360" s="22" t="s">
        <v>703</v>
      </c>
      <c r="G360" s="23">
        <v>2023.0</v>
      </c>
      <c r="H360" s="23">
        <v>8.0</v>
      </c>
      <c r="I360" s="23">
        <v>355.0</v>
      </c>
      <c r="J360" s="24" t="str">
        <f>'1. Base de donnée HILIN MU CM2 '!$G360&amp;"-"&amp;'1. Base de donnée HILIN MU CM2 '!$H360&amp;"-"&amp;'1. Base de donnée HILIN MU CM2 '!$I360</f>
        <v>2023-8-355</v>
      </c>
      <c r="K360" s="23">
        <f t="shared" si="1"/>
        <v>353</v>
      </c>
      <c r="L360" s="24" t="s">
        <v>31</v>
      </c>
      <c r="M360" s="24"/>
      <c r="N360" s="24"/>
      <c r="O360" s="22">
        <v>8.5</v>
      </c>
      <c r="P360" s="22">
        <v>4.5</v>
      </c>
      <c r="Q360" s="22">
        <f>SUM('1. Base de donnée HILIN MU CM2 '!$O360+'1. Base de donnée HILIN MU CM2 '!$P360)/2</f>
        <v>6.5</v>
      </c>
      <c r="R360" s="22">
        <v>13.75</v>
      </c>
      <c r="S360" s="22">
        <v>15.5</v>
      </c>
      <c r="T360" s="22">
        <f>('1. Base de donnée HILIN MU CM2 '!$R360+'1. Base de donnée HILIN MU CM2 '!$S360)/2</f>
        <v>14.625</v>
      </c>
      <c r="U360" s="25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</row>
    <row r="361" ht="14.25" hidden="1" customHeight="1">
      <c r="A361" s="27" t="s">
        <v>696</v>
      </c>
      <c r="B361" s="27" t="s">
        <v>26</v>
      </c>
      <c r="C361" s="27" t="s">
        <v>723</v>
      </c>
      <c r="D361" s="27" t="s">
        <v>346</v>
      </c>
      <c r="E361" s="27" t="s">
        <v>698</v>
      </c>
      <c r="F361" s="27" t="s">
        <v>699</v>
      </c>
      <c r="G361" s="28">
        <v>2023.0</v>
      </c>
      <c r="H361" s="28">
        <v>8.0</v>
      </c>
      <c r="I361" s="28">
        <v>356.0</v>
      </c>
      <c r="J361" s="29" t="str">
        <f>'1. Base de donnée HILIN MU CM2 '!$G361&amp;"-"&amp;'1. Base de donnée HILIN MU CM2 '!$H361&amp;"-"&amp;'1. Base de donnée HILIN MU CM2 '!$I361</f>
        <v>2023-8-356</v>
      </c>
      <c r="K361" s="28">
        <f t="shared" si="1"/>
        <v>354</v>
      </c>
      <c r="L361" s="29" t="s">
        <v>31</v>
      </c>
      <c r="M361" s="29"/>
      <c r="N361" s="29"/>
      <c r="O361" s="27">
        <v>4.0</v>
      </c>
      <c r="P361" s="27">
        <v>1.5</v>
      </c>
      <c r="Q361" s="27">
        <f>SUM('1. Base de donnée HILIN MU CM2 '!$O361+'1. Base de donnée HILIN MU CM2 '!$P361)/2</f>
        <v>2.75</v>
      </c>
      <c r="R361" s="27">
        <v>15.0</v>
      </c>
      <c r="S361" s="27">
        <v>14.5</v>
      </c>
      <c r="T361" s="27">
        <f>('1. Base de donnée HILIN MU CM2 '!$R361+'1. Base de donnée HILIN MU CM2 '!$S361)/2</f>
        <v>14.75</v>
      </c>
      <c r="U361" s="30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</row>
    <row r="362" ht="14.25" hidden="1" customHeight="1">
      <c r="A362" s="22" t="s">
        <v>696</v>
      </c>
      <c r="B362" s="22" t="s">
        <v>26</v>
      </c>
      <c r="C362" s="22" t="s">
        <v>724</v>
      </c>
      <c r="D362" s="22" t="s">
        <v>725</v>
      </c>
      <c r="E362" s="22" t="s">
        <v>698</v>
      </c>
      <c r="F362" s="22" t="s">
        <v>699</v>
      </c>
      <c r="G362" s="23">
        <v>2023.0</v>
      </c>
      <c r="H362" s="23">
        <v>8.0</v>
      </c>
      <c r="I362" s="23">
        <v>357.0</v>
      </c>
      <c r="J362" s="24" t="str">
        <f>'1. Base de donnée HILIN MU CM2 '!$G362&amp;"-"&amp;'1. Base de donnée HILIN MU CM2 '!$H362&amp;"-"&amp;'1. Base de donnée HILIN MU CM2 '!$I362</f>
        <v>2023-8-357</v>
      </c>
      <c r="K362" s="23">
        <f t="shared" si="1"/>
        <v>355</v>
      </c>
      <c r="L362" s="24" t="s">
        <v>31</v>
      </c>
      <c r="M362" s="24"/>
      <c r="N362" s="24"/>
      <c r="O362" s="22">
        <v>3.5</v>
      </c>
      <c r="P362" s="22">
        <v>3.5</v>
      </c>
      <c r="Q362" s="22">
        <f>SUM('1. Base de donnée HILIN MU CM2 '!$O362+'1. Base de donnée HILIN MU CM2 '!$P362)/2</f>
        <v>3.5</v>
      </c>
      <c r="R362" s="22">
        <v>15.75</v>
      </c>
      <c r="S362" s="22">
        <v>17.5</v>
      </c>
      <c r="T362" s="22">
        <f>('1. Base de donnée HILIN MU CM2 '!$R362+'1. Base de donnée HILIN MU CM2 '!$S362)/2</f>
        <v>16.625</v>
      </c>
      <c r="U362" s="25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</row>
    <row r="363" ht="14.25" hidden="1" customHeight="1">
      <c r="A363" s="27" t="s">
        <v>696</v>
      </c>
      <c r="B363" s="27" t="s">
        <v>26</v>
      </c>
      <c r="C363" s="27" t="s">
        <v>726</v>
      </c>
      <c r="D363" s="27" t="s">
        <v>727</v>
      </c>
      <c r="E363" s="27" t="s">
        <v>698</v>
      </c>
      <c r="F363" s="27" t="s">
        <v>703</v>
      </c>
      <c r="G363" s="28">
        <v>2023.0</v>
      </c>
      <c r="H363" s="28">
        <v>8.0</v>
      </c>
      <c r="I363" s="28">
        <v>358.0</v>
      </c>
      <c r="J363" s="29" t="str">
        <f>'1. Base de donnée HILIN MU CM2 '!$G363&amp;"-"&amp;'1. Base de donnée HILIN MU CM2 '!$H363&amp;"-"&amp;'1. Base de donnée HILIN MU CM2 '!$I363</f>
        <v>2023-8-358</v>
      </c>
      <c r="K363" s="28">
        <f t="shared" si="1"/>
        <v>356</v>
      </c>
      <c r="L363" s="29" t="s">
        <v>31</v>
      </c>
      <c r="M363" s="29"/>
      <c r="N363" s="29"/>
      <c r="O363" s="27">
        <v>1.0</v>
      </c>
      <c r="P363" s="27">
        <v>4.0</v>
      </c>
      <c r="Q363" s="27">
        <f>SUM('1. Base de donnée HILIN MU CM2 '!$O363+'1. Base de donnée HILIN MU CM2 '!$P363)/2</f>
        <v>2.5</v>
      </c>
      <c r="R363" s="27">
        <v>14.75</v>
      </c>
      <c r="S363" s="27">
        <v>18.0</v>
      </c>
      <c r="T363" s="27">
        <f>('1. Base de donnée HILIN MU CM2 '!$R363+'1. Base de donnée HILIN MU CM2 '!$S363)/2</f>
        <v>16.375</v>
      </c>
      <c r="U363" s="30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</row>
    <row r="364" ht="14.25" hidden="1" customHeight="1">
      <c r="A364" s="22" t="s">
        <v>696</v>
      </c>
      <c r="B364" s="22" t="s">
        <v>26</v>
      </c>
      <c r="C364" s="22" t="s">
        <v>728</v>
      </c>
      <c r="D364" s="22" t="s">
        <v>57</v>
      </c>
      <c r="E364" s="22" t="s">
        <v>698</v>
      </c>
      <c r="F364" s="22" t="s">
        <v>699</v>
      </c>
      <c r="G364" s="23">
        <v>2023.0</v>
      </c>
      <c r="H364" s="23">
        <v>8.0</v>
      </c>
      <c r="I364" s="23">
        <v>359.0</v>
      </c>
      <c r="J364" s="24" t="str">
        <f>'1. Base de donnée HILIN MU CM2 '!$G364&amp;"-"&amp;'1. Base de donnée HILIN MU CM2 '!$H364&amp;"-"&amp;'1. Base de donnée HILIN MU CM2 '!$I364</f>
        <v>2023-8-359</v>
      </c>
      <c r="K364" s="23">
        <f t="shared" si="1"/>
        <v>357</v>
      </c>
      <c r="L364" s="24" t="s">
        <v>31</v>
      </c>
      <c r="M364" s="24"/>
      <c r="N364" s="24"/>
      <c r="O364" s="22">
        <v>2.0</v>
      </c>
      <c r="P364" s="22">
        <v>5.5</v>
      </c>
      <c r="Q364" s="22">
        <f>SUM('1. Base de donnée HILIN MU CM2 '!$O364+'1. Base de donnée HILIN MU CM2 '!$P364)/2</f>
        <v>3.75</v>
      </c>
      <c r="R364" s="22">
        <v>11.5</v>
      </c>
      <c r="S364" s="22">
        <v>15.0</v>
      </c>
      <c r="T364" s="22">
        <f>('1. Base de donnée HILIN MU CM2 '!$R364+'1. Base de donnée HILIN MU CM2 '!$S364)/2</f>
        <v>13.25</v>
      </c>
      <c r="U364" s="25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</row>
    <row r="365" ht="14.25" hidden="1" customHeight="1">
      <c r="A365" s="27" t="s">
        <v>696</v>
      </c>
      <c r="B365" s="27" t="s">
        <v>26</v>
      </c>
      <c r="C365" s="27" t="s">
        <v>729</v>
      </c>
      <c r="D365" s="27" t="s">
        <v>197</v>
      </c>
      <c r="E365" s="27" t="s">
        <v>698</v>
      </c>
      <c r="F365" s="27" t="s">
        <v>699</v>
      </c>
      <c r="G365" s="28">
        <v>2023.0</v>
      </c>
      <c r="H365" s="28">
        <v>8.0</v>
      </c>
      <c r="I365" s="28">
        <v>360.0</v>
      </c>
      <c r="J365" s="29" t="str">
        <f>'1. Base de donnée HILIN MU CM2 '!$G365&amp;"-"&amp;'1. Base de donnée HILIN MU CM2 '!$H365&amp;"-"&amp;'1. Base de donnée HILIN MU CM2 '!$I365</f>
        <v>2023-8-360</v>
      </c>
      <c r="K365" s="28">
        <f t="shared" si="1"/>
        <v>358</v>
      </c>
      <c r="L365" s="29" t="s">
        <v>31</v>
      </c>
      <c r="M365" s="29"/>
      <c r="N365" s="29"/>
      <c r="O365" s="27">
        <v>3.0</v>
      </c>
      <c r="P365" s="27">
        <v>6.0</v>
      </c>
      <c r="Q365" s="27">
        <f>SUM('1. Base de donnée HILIN MU CM2 '!$O365+'1. Base de donnée HILIN MU CM2 '!$P365)/2</f>
        <v>4.5</v>
      </c>
      <c r="R365" s="27">
        <v>10.0</v>
      </c>
      <c r="S365" s="27">
        <v>9.0</v>
      </c>
      <c r="T365" s="27">
        <f>('1. Base de donnée HILIN MU CM2 '!$R365+'1. Base de donnée HILIN MU CM2 '!$S365)/2</f>
        <v>9.5</v>
      </c>
      <c r="U365" s="30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</row>
    <row r="366" ht="14.25" hidden="1" customHeight="1">
      <c r="A366" s="22" t="s">
        <v>696</v>
      </c>
      <c r="B366" s="22" t="s">
        <v>26</v>
      </c>
      <c r="C366" s="22" t="s">
        <v>730</v>
      </c>
      <c r="D366" s="22" t="s">
        <v>289</v>
      </c>
      <c r="E366" s="22" t="s">
        <v>698</v>
      </c>
      <c r="F366" s="22" t="s">
        <v>699</v>
      </c>
      <c r="G366" s="23">
        <v>2023.0</v>
      </c>
      <c r="H366" s="23">
        <v>8.0</v>
      </c>
      <c r="I366" s="23">
        <v>361.0</v>
      </c>
      <c r="J366" s="24" t="str">
        <f>'1. Base de donnée HILIN MU CM2 '!$G366&amp;"-"&amp;'1. Base de donnée HILIN MU CM2 '!$H366&amp;"-"&amp;'1. Base de donnée HILIN MU CM2 '!$I366</f>
        <v>2023-8-361</v>
      </c>
      <c r="K366" s="23">
        <f t="shared" si="1"/>
        <v>359</v>
      </c>
      <c r="L366" s="24" t="s">
        <v>31</v>
      </c>
      <c r="M366" s="24"/>
      <c r="N366" s="24"/>
      <c r="O366" s="22">
        <v>7.75</v>
      </c>
      <c r="P366" s="22">
        <v>8.0</v>
      </c>
      <c r="Q366" s="22">
        <f>SUM('1. Base de donnée HILIN MU CM2 '!$O366+'1. Base de donnée HILIN MU CM2 '!$P366)/2</f>
        <v>7.875</v>
      </c>
      <c r="R366" s="22">
        <v>14.5</v>
      </c>
      <c r="S366" s="22">
        <v>16.5</v>
      </c>
      <c r="T366" s="22">
        <f>('1. Base de donnée HILIN MU CM2 '!$R366+'1. Base de donnée HILIN MU CM2 '!$S366)/2</f>
        <v>15.5</v>
      </c>
      <c r="U366" s="25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</row>
    <row r="367" ht="14.25" hidden="1" customHeight="1">
      <c r="A367" s="27" t="s">
        <v>696</v>
      </c>
      <c r="B367" s="27" t="s">
        <v>26</v>
      </c>
      <c r="C367" s="27" t="s">
        <v>731</v>
      </c>
      <c r="D367" s="27" t="s">
        <v>270</v>
      </c>
      <c r="E367" s="27" t="s">
        <v>698</v>
      </c>
      <c r="F367" s="27" t="s">
        <v>703</v>
      </c>
      <c r="G367" s="28">
        <v>2023.0</v>
      </c>
      <c r="H367" s="28">
        <v>8.0</v>
      </c>
      <c r="I367" s="28">
        <v>362.0</v>
      </c>
      <c r="J367" s="29" t="str">
        <f>'1. Base de donnée HILIN MU CM2 '!$G367&amp;"-"&amp;'1. Base de donnée HILIN MU CM2 '!$H367&amp;"-"&amp;'1. Base de donnée HILIN MU CM2 '!$I367</f>
        <v>2023-8-362</v>
      </c>
      <c r="K367" s="28">
        <f t="shared" si="1"/>
        <v>360</v>
      </c>
      <c r="L367" s="29" t="s">
        <v>31</v>
      </c>
      <c r="M367" s="29"/>
      <c r="N367" s="29"/>
      <c r="O367" s="27">
        <v>10.0</v>
      </c>
      <c r="P367" s="27">
        <v>4.0</v>
      </c>
      <c r="Q367" s="27">
        <f>SUM('1. Base de donnée HILIN MU CM2 '!$O367+'1. Base de donnée HILIN MU CM2 '!$P367)/2</f>
        <v>7</v>
      </c>
      <c r="R367" s="27">
        <v>14.0</v>
      </c>
      <c r="S367" s="27">
        <v>12.0</v>
      </c>
      <c r="T367" s="27">
        <f>('1. Base de donnée HILIN MU CM2 '!$R367+'1. Base de donnée HILIN MU CM2 '!$S367)/2</f>
        <v>13</v>
      </c>
      <c r="U367" s="30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</row>
    <row r="368" ht="14.25" hidden="1" customHeight="1">
      <c r="A368" s="22" t="s">
        <v>696</v>
      </c>
      <c r="B368" s="22" t="s">
        <v>26</v>
      </c>
      <c r="C368" s="22" t="s">
        <v>732</v>
      </c>
      <c r="D368" s="22" t="s">
        <v>733</v>
      </c>
      <c r="E368" s="22" t="s">
        <v>698</v>
      </c>
      <c r="F368" s="22" t="s">
        <v>703</v>
      </c>
      <c r="G368" s="23">
        <v>2023.0</v>
      </c>
      <c r="H368" s="23">
        <v>8.0</v>
      </c>
      <c r="I368" s="23">
        <v>363.0</v>
      </c>
      <c r="J368" s="24" t="str">
        <f>'1. Base de donnée HILIN MU CM2 '!$G368&amp;"-"&amp;'1. Base de donnée HILIN MU CM2 '!$H368&amp;"-"&amp;'1. Base de donnée HILIN MU CM2 '!$I368</f>
        <v>2023-8-363</v>
      </c>
      <c r="K368" s="23">
        <f t="shared" si="1"/>
        <v>361</v>
      </c>
      <c r="L368" s="24" t="s">
        <v>31</v>
      </c>
      <c r="M368" s="24"/>
      <c r="N368" s="24"/>
      <c r="O368" s="22">
        <v>3.0</v>
      </c>
      <c r="P368" s="22">
        <v>2.5</v>
      </c>
      <c r="Q368" s="22">
        <f>SUM('1. Base de donnée HILIN MU CM2 '!$O368+'1. Base de donnée HILIN MU CM2 '!$P368)/2</f>
        <v>2.75</v>
      </c>
      <c r="R368" s="22">
        <v>11.0</v>
      </c>
      <c r="S368" s="22">
        <v>14.0</v>
      </c>
      <c r="T368" s="22">
        <f>('1. Base de donnée HILIN MU CM2 '!$R368+'1. Base de donnée HILIN MU CM2 '!$S368)/2</f>
        <v>12.5</v>
      </c>
      <c r="U368" s="25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</row>
    <row r="369" ht="14.25" hidden="1" customHeight="1">
      <c r="A369" s="27" t="s">
        <v>696</v>
      </c>
      <c r="B369" s="27" t="s">
        <v>26</v>
      </c>
      <c r="C369" s="27" t="s">
        <v>734</v>
      </c>
      <c r="D369" s="27" t="s">
        <v>735</v>
      </c>
      <c r="E369" s="27" t="s">
        <v>698</v>
      </c>
      <c r="F369" s="27" t="s">
        <v>699</v>
      </c>
      <c r="G369" s="28">
        <v>2023.0</v>
      </c>
      <c r="H369" s="28">
        <v>8.0</v>
      </c>
      <c r="I369" s="28">
        <v>364.0</v>
      </c>
      <c r="J369" s="29" t="str">
        <f>'1. Base de donnée HILIN MU CM2 '!$G369&amp;"-"&amp;'1. Base de donnée HILIN MU CM2 '!$H369&amp;"-"&amp;'1. Base de donnée HILIN MU CM2 '!$I369</f>
        <v>2023-8-364</v>
      </c>
      <c r="K369" s="28">
        <f t="shared" si="1"/>
        <v>362</v>
      </c>
      <c r="L369" s="29" t="s">
        <v>31</v>
      </c>
      <c r="M369" s="29"/>
      <c r="N369" s="29"/>
      <c r="O369" s="27">
        <v>11.0</v>
      </c>
      <c r="P369" s="27">
        <v>5.0</v>
      </c>
      <c r="Q369" s="27">
        <f>SUM('1. Base de donnée HILIN MU CM2 '!$O369+'1. Base de donnée HILIN MU CM2 '!$P369)/2</f>
        <v>8</v>
      </c>
      <c r="R369" s="27">
        <v>10.0</v>
      </c>
      <c r="S369" s="27">
        <v>11.5</v>
      </c>
      <c r="T369" s="27">
        <f>('1. Base de donnée HILIN MU CM2 '!$R369+'1. Base de donnée HILIN MU CM2 '!$S369)/2</f>
        <v>10.75</v>
      </c>
      <c r="U369" s="30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</row>
    <row r="370" ht="14.25" hidden="1" customHeight="1">
      <c r="A370" s="22" t="s">
        <v>696</v>
      </c>
      <c r="B370" s="22" t="s">
        <v>26</v>
      </c>
      <c r="C370" s="22" t="s">
        <v>736</v>
      </c>
      <c r="D370" s="22" t="s">
        <v>314</v>
      </c>
      <c r="E370" s="22" t="s">
        <v>698</v>
      </c>
      <c r="F370" s="22" t="s">
        <v>699</v>
      </c>
      <c r="G370" s="23">
        <v>2023.0</v>
      </c>
      <c r="H370" s="23">
        <v>8.0</v>
      </c>
      <c r="I370" s="23">
        <v>365.0</v>
      </c>
      <c r="J370" s="24" t="str">
        <f>'1. Base de donnée HILIN MU CM2 '!$G370&amp;"-"&amp;'1. Base de donnée HILIN MU CM2 '!$H370&amp;"-"&amp;'1. Base de donnée HILIN MU CM2 '!$I370</f>
        <v>2023-8-365</v>
      </c>
      <c r="K370" s="23">
        <f t="shared" si="1"/>
        <v>363</v>
      </c>
      <c r="L370" s="24" t="s">
        <v>31</v>
      </c>
      <c r="M370" s="24"/>
      <c r="N370" s="24"/>
      <c r="O370" s="22">
        <v>2.5</v>
      </c>
      <c r="P370" s="22">
        <v>2.5</v>
      </c>
      <c r="Q370" s="22">
        <f>SUM('1. Base de donnée HILIN MU CM2 '!$O370+'1. Base de donnée HILIN MU CM2 '!$P370)/2</f>
        <v>2.5</v>
      </c>
      <c r="R370" s="22">
        <v>17.75</v>
      </c>
      <c r="S370" s="22">
        <v>19.5</v>
      </c>
      <c r="T370" s="22">
        <f>('1. Base de donnée HILIN MU CM2 '!$R370+'1. Base de donnée HILIN MU CM2 '!$S370)/2</f>
        <v>18.625</v>
      </c>
      <c r="U370" s="25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</row>
    <row r="371" ht="14.25" hidden="1" customHeight="1">
      <c r="A371" s="27" t="s">
        <v>696</v>
      </c>
      <c r="B371" s="27" t="s">
        <v>26</v>
      </c>
      <c r="C371" s="27" t="s">
        <v>737</v>
      </c>
      <c r="D371" s="27" t="s">
        <v>187</v>
      </c>
      <c r="E371" s="27" t="s">
        <v>698</v>
      </c>
      <c r="F371" s="27" t="s">
        <v>703</v>
      </c>
      <c r="G371" s="28">
        <v>2023.0</v>
      </c>
      <c r="H371" s="28">
        <v>8.0</v>
      </c>
      <c r="I371" s="28">
        <v>366.0</v>
      </c>
      <c r="J371" s="29" t="str">
        <f>'1. Base de donnée HILIN MU CM2 '!$G371&amp;"-"&amp;'1. Base de donnée HILIN MU CM2 '!$H371&amp;"-"&amp;'1. Base de donnée HILIN MU CM2 '!$I371</f>
        <v>2023-8-366</v>
      </c>
      <c r="K371" s="28">
        <f t="shared" si="1"/>
        <v>364</v>
      </c>
      <c r="L371" s="29" t="s">
        <v>31</v>
      </c>
      <c r="M371" s="29"/>
      <c r="N371" s="29"/>
      <c r="O371" s="27">
        <v>13.5</v>
      </c>
      <c r="P371" s="27">
        <v>10.5</v>
      </c>
      <c r="Q371" s="27">
        <f>SUM('1. Base de donnée HILIN MU CM2 '!$O371+'1. Base de donnée HILIN MU CM2 '!$P371)/2</f>
        <v>12</v>
      </c>
      <c r="R371" s="27">
        <v>18.0</v>
      </c>
      <c r="S371" s="27">
        <v>18.0</v>
      </c>
      <c r="T371" s="27">
        <f>('1. Base de donnée HILIN MU CM2 '!$R371+'1. Base de donnée HILIN MU CM2 '!$S371)/2</f>
        <v>18</v>
      </c>
      <c r="U371" s="30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</row>
    <row r="372" ht="14.25" hidden="1" customHeight="1">
      <c r="A372" s="22" t="s">
        <v>696</v>
      </c>
      <c r="B372" s="22" t="s">
        <v>26</v>
      </c>
      <c r="C372" s="22" t="s">
        <v>738</v>
      </c>
      <c r="D372" s="22" t="s">
        <v>245</v>
      </c>
      <c r="E372" s="22" t="s">
        <v>698</v>
      </c>
      <c r="F372" s="22" t="s">
        <v>699</v>
      </c>
      <c r="G372" s="23">
        <v>2023.0</v>
      </c>
      <c r="H372" s="23">
        <v>8.0</v>
      </c>
      <c r="I372" s="23">
        <v>876.0</v>
      </c>
      <c r="J372" s="24" t="str">
        <f>'1. Base de donnée HILIN MU CM2 '!$G372&amp;"-"&amp;'1. Base de donnée HILIN MU CM2 '!$H372&amp;"-"&amp;'1. Base de donnée HILIN MU CM2 '!$I372</f>
        <v>2023-8-876</v>
      </c>
      <c r="K372" s="23">
        <f t="shared" si="1"/>
        <v>365</v>
      </c>
      <c r="L372" s="24" t="s">
        <v>31</v>
      </c>
      <c r="M372" s="24"/>
      <c r="N372" s="24"/>
      <c r="O372" s="22">
        <v>3.0</v>
      </c>
      <c r="P372" s="22">
        <v>5.0</v>
      </c>
      <c r="Q372" s="22">
        <f>SUM('1. Base de donnée HILIN MU CM2 '!$O372+'1. Base de donnée HILIN MU CM2 '!$P372)/2</f>
        <v>4</v>
      </c>
      <c r="R372" s="22">
        <v>13.25</v>
      </c>
      <c r="S372" s="22">
        <v>10.5</v>
      </c>
      <c r="T372" s="32">
        <f>('1. Base de donnée HILIN MU CM2 '!$R372+'1. Base de donnée HILIN MU CM2 '!$S372)/2</f>
        <v>11.875</v>
      </c>
      <c r="U372" s="25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</row>
    <row r="373" ht="14.25" hidden="1" customHeight="1">
      <c r="A373" s="27" t="s">
        <v>696</v>
      </c>
      <c r="B373" s="27" t="s">
        <v>26</v>
      </c>
      <c r="C373" s="27" t="s">
        <v>739</v>
      </c>
      <c r="D373" s="27" t="s">
        <v>669</v>
      </c>
      <c r="E373" s="27" t="s">
        <v>698</v>
      </c>
      <c r="F373" s="27" t="s">
        <v>699</v>
      </c>
      <c r="G373" s="28">
        <v>2023.0</v>
      </c>
      <c r="H373" s="28">
        <v>8.0</v>
      </c>
      <c r="I373" s="28">
        <v>877.0</v>
      </c>
      <c r="J373" s="29" t="str">
        <f>'1. Base de donnée HILIN MU CM2 '!$G373&amp;"-"&amp;'1. Base de donnée HILIN MU CM2 '!$H373&amp;"-"&amp;'1. Base de donnée HILIN MU CM2 '!$I373</f>
        <v>2023-8-877</v>
      </c>
      <c r="K373" s="28">
        <f t="shared" si="1"/>
        <v>366</v>
      </c>
      <c r="L373" s="29" t="s">
        <v>31</v>
      </c>
      <c r="M373" s="29"/>
      <c r="N373" s="29"/>
      <c r="O373" s="27">
        <v>10.5</v>
      </c>
      <c r="P373" s="27">
        <v>5.0</v>
      </c>
      <c r="Q373" s="27">
        <f>SUM('1. Base de donnée HILIN MU CM2 '!$O373+'1. Base de donnée HILIN MU CM2 '!$P373)/2</f>
        <v>7.75</v>
      </c>
      <c r="R373" s="27">
        <v>16.5</v>
      </c>
      <c r="S373" s="27">
        <v>20.0</v>
      </c>
      <c r="T373" s="31">
        <f>('1. Base de donnée HILIN MU CM2 '!$R373+'1. Base de donnée HILIN MU CM2 '!$S373)/2</f>
        <v>18.25</v>
      </c>
      <c r="U373" s="30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</row>
    <row r="374" ht="14.25" hidden="1" customHeight="1">
      <c r="A374" s="22" t="s">
        <v>696</v>
      </c>
      <c r="B374" s="22" t="s">
        <v>26</v>
      </c>
      <c r="C374" s="22" t="s">
        <v>740</v>
      </c>
      <c r="D374" s="22" t="s">
        <v>351</v>
      </c>
      <c r="E374" s="22" t="s">
        <v>698</v>
      </c>
      <c r="F374" s="22" t="s">
        <v>703</v>
      </c>
      <c r="G374" s="23">
        <v>2023.0</v>
      </c>
      <c r="H374" s="23">
        <v>8.0</v>
      </c>
      <c r="I374" s="23">
        <v>878.0</v>
      </c>
      <c r="J374" s="24" t="str">
        <f>'1. Base de donnée HILIN MU CM2 '!$G374&amp;"-"&amp;'1. Base de donnée HILIN MU CM2 '!$H374&amp;"-"&amp;'1. Base de donnée HILIN MU CM2 '!$I374</f>
        <v>2023-8-878</v>
      </c>
      <c r="K374" s="23">
        <f t="shared" si="1"/>
        <v>367</v>
      </c>
      <c r="L374" s="24" t="s">
        <v>31</v>
      </c>
      <c r="M374" s="24"/>
      <c r="N374" s="24"/>
      <c r="O374" s="22">
        <v>5.0</v>
      </c>
      <c r="P374" s="22">
        <v>1.5</v>
      </c>
      <c r="Q374" s="22">
        <f>SUM('1. Base de donnée HILIN MU CM2 '!$O374+'1. Base de donnée HILIN MU CM2 '!$P374)/2</f>
        <v>3.25</v>
      </c>
      <c r="R374" s="22">
        <v>12.75</v>
      </c>
      <c r="S374" s="22">
        <v>19.5</v>
      </c>
      <c r="T374" s="32">
        <f>('1. Base de donnée HILIN MU CM2 '!$R374+'1. Base de donnée HILIN MU CM2 '!$S374)/2</f>
        <v>16.125</v>
      </c>
      <c r="U374" s="25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</row>
    <row r="375" ht="14.25" hidden="1" customHeight="1">
      <c r="A375" s="27" t="s">
        <v>696</v>
      </c>
      <c r="B375" s="27" t="s">
        <v>26</v>
      </c>
      <c r="C375" s="27" t="s">
        <v>741</v>
      </c>
      <c r="D375" s="27" t="s">
        <v>351</v>
      </c>
      <c r="E375" s="27" t="s">
        <v>698</v>
      </c>
      <c r="F375" s="27" t="s">
        <v>703</v>
      </c>
      <c r="G375" s="28">
        <v>2023.0</v>
      </c>
      <c r="H375" s="28">
        <v>8.0</v>
      </c>
      <c r="I375" s="28">
        <v>879.0</v>
      </c>
      <c r="J375" s="29" t="str">
        <f>'1. Base de donnée HILIN MU CM2 '!$G375&amp;"-"&amp;'1. Base de donnée HILIN MU CM2 '!$H375&amp;"-"&amp;'1. Base de donnée HILIN MU CM2 '!$I375</f>
        <v>2023-8-879</v>
      </c>
      <c r="K375" s="28">
        <f t="shared" si="1"/>
        <v>368</v>
      </c>
      <c r="L375" s="29" t="s">
        <v>31</v>
      </c>
      <c r="M375" s="29"/>
      <c r="N375" s="29"/>
      <c r="O375" s="27">
        <v>5.5</v>
      </c>
      <c r="P375" s="27">
        <v>4.0</v>
      </c>
      <c r="Q375" s="27">
        <f>SUM('1. Base de donnée HILIN MU CM2 '!$O375+'1. Base de donnée HILIN MU CM2 '!$P375)/2</f>
        <v>4.75</v>
      </c>
      <c r="R375" s="27">
        <v>15.25</v>
      </c>
      <c r="S375" s="27">
        <v>18.0</v>
      </c>
      <c r="T375" s="31">
        <f>('1. Base de donnée HILIN MU CM2 '!$R375+'1. Base de donnée HILIN MU CM2 '!$S375)/2</f>
        <v>16.625</v>
      </c>
      <c r="U375" s="30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</row>
    <row r="376" ht="14.25" hidden="1" customHeight="1">
      <c r="A376" s="22" t="s">
        <v>742</v>
      </c>
      <c r="B376" s="22" t="s">
        <v>26</v>
      </c>
      <c r="C376" s="22" t="s">
        <v>743</v>
      </c>
      <c r="D376" s="22" t="s">
        <v>321</v>
      </c>
      <c r="E376" s="22" t="s">
        <v>744</v>
      </c>
      <c r="F376" s="22" t="s">
        <v>745</v>
      </c>
      <c r="G376" s="23">
        <v>2023.0</v>
      </c>
      <c r="H376" s="23">
        <v>16.0</v>
      </c>
      <c r="I376" s="23">
        <v>367.0</v>
      </c>
      <c r="J376" s="24" t="str">
        <f>'1. Base de donnée HILIN MU CM2 '!$G376&amp;"-"&amp;'1. Base de donnée HILIN MU CM2 '!$H376&amp;"-"&amp;'1. Base de donnée HILIN MU CM2 '!$I376</f>
        <v>2023-16-367</v>
      </c>
      <c r="K376" s="23">
        <f t="shared" si="1"/>
        <v>369</v>
      </c>
      <c r="L376" s="24" t="s">
        <v>31</v>
      </c>
      <c r="M376" s="24"/>
      <c r="N376" s="24"/>
      <c r="O376" s="22">
        <v>5.5</v>
      </c>
      <c r="P376" s="22">
        <v>1.5</v>
      </c>
      <c r="Q376" s="22">
        <f>SUM('1. Base de donnée HILIN MU CM2 '!$O376+'1. Base de donnée HILIN MU CM2 '!$P376)/2</f>
        <v>3.5</v>
      </c>
      <c r="R376" s="22">
        <v>18.5</v>
      </c>
      <c r="S376" s="22">
        <v>19.0</v>
      </c>
      <c r="T376" s="22">
        <f>('1. Base de donnée HILIN MU CM2 '!$R376+'1. Base de donnée HILIN MU CM2 '!$S376)/2</f>
        <v>18.75</v>
      </c>
      <c r="U376" s="25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</row>
    <row r="377" ht="14.25" hidden="1" customHeight="1">
      <c r="A377" s="27" t="s">
        <v>742</v>
      </c>
      <c r="B377" s="27" t="s">
        <v>26</v>
      </c>
      <c r="C377" s="27" t="s">
        <v>746</v>
      </c>
      <c r="D377" s="27" t="s">
        <v>346</v>
      </c>
      <c r="E377" s="27" t="s">
        <v>744</v>
      </c>
      <c r="F377" s="27" t="s">
        <v>745</v>
      </c>
      <c r="G377" s="28">
        <v>2023.0</v>
      </c>
      <c r="H377" s="28">
        <v>16.0</v>
      </c>
      <c r="I377" s="28">
        <v>368.0</v>
      </c>
      <c r="J377" s="29" t="str">
        <f>'1. Base de donnée HILIN MU CM2 '!$G377&amp;"-"&amp;'1. Base de donnée HILIN MU CM2 '!$H377&amp;"-"&amp;'1. Base de donnée HILIN MU CM2 '!$I377</f>
        <v>2023-16-368</v>
      </c>
      <c r="K377" s="28">
        <f t="shared" si="1"/>
        <v>370</v>
      </c>
      <c r="L377" s="29" t="s">
        <v>31</v>
      </c>
      <c r="M377" s="29"/>
      <c r="N377" s="29"/>
      <c r="O377" s="27">
        <v>7.0</v>
      </c>
      <c r="P377" s="27">
        <v>2.0</v>
      </c>
      <c r="Q377" s="27">
        <f>SUM('1. Base de donnée HILIN MU CM2 '!$O377+'1. Base de donnée HILIN MU CM2 '!$P377)/2</f>
        <v>4.5</v>
      </c>
      <c r="R377" s="27">
        <v>16.0</v>
      </c>
      <c r="S377" s="27">
        <v>14.5</v>
      </c>
      <c r="T377" s="27">
        <f>('1. Base de donnée HILIN MU CM2 '!$R377+'1. Base de donnée HILIN MU CM2 '!$S377)/2</f>
        <v>15.25</v>
      </c>
      <c r="U377" s="30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</row>
    <row r="378" ht="14.25" hidden="1" customHeight="1">
      <c r="A378" s="22" t="s">
        <v>742</v>
      </c>
      <c r="B378" s="22" t="s">
        <v>26</v>
      </c>
      <c r="C378" s="22" t="s">
        <v>747</v>
      </c>
      <c r="D378" s="22" t="s">
        <v>680</v>
      </c>
      <c r="E378" s="22" t="s">
        <v>744</v>
      </c>
      <c r="F378" s="22" t="s">
        <v>745</v>
      </c>
      <c r="G378" s="23">
        <v>2023.0</v>
      </c>
      <c r="H378" s="23">
        <v>16.0</v>
      </c>
      <c r="I378" s="23">
        <v>369.0</v>
      </c>
      <c r="J378" s="24" t="str">
        <f>'1. Base de donnée HILIN MU CM2 '!$G378&amp;"-"&amp;'1. Base de donnée HILIN MU CM2 '!$H378&amp;"-"&amp;'1. Base de donnée HILIN MU CM2 '!$I378</f>
        <v>2023-16-369</v>
      </c>
      <c r="K378" s="23">
        <f t="shared" si="1"/>
        <v>371</v>
      </c>
      <c r="L378" s="24" t="s">
        <v>31</v>
      </c>
      <c r="M378" s="24"/>
      <c r="N378" s="24"/>
      <c r="O378" s="22">
        <v>1.0</v>
      </c>
      <c r="P378" s="22">
        <v>2.0</v>
      </c>
      <c r="Q378" s="22">
        <f>SUM('1. Base de donnée HILIN MU CM2 '!$O378+'1. Base de donnée HILIN MU CM2 '!$P378)/2</f>
        <v>1.5</v>
      </c>
      <c r="R378" s="22">
        <v>18.0</v>
      </c>
      <c r="S378" s="22">
        <v>12.0</v>
      </c>
      <c r="T378" s="22">
        <f>('1. Base de donnée HILIN MU CM2 '!$R378+'1. Base de donnée HILIN MU CM2 '!$S378)/2</f>
        <v>15</v>
      </c>
      <c r="U378" s="25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</row>
    <row r="379" ht="14.25" hidden="1" customHeight="1">
      <c r="A379" s="27" t="s">
        <v>742</v>
      </c>
      <c r="B379" s="27" t="s">
        <v>26</v>
      </c>
      <c r="C379" s="27" t="s">
        <v>748</v>
      </c>
      <c r="D379" s="27" t="s">
        <v>749</v>
      </c>
      <c r="E379" s="27" t="s">
        <v>744</v>
      </c>
      <c r="F379" s="27" t="s">
        <v>745</v>
      </c>
      <c r="G379" s="28">
        <v>2023.0</v>
      </c>
      <c r="H379" s="28">
        <v>16.0</v>
      </c>
      <c r="I379" s="28">
        <v>370.0</v>
      </c>
      <c r="J379" s="29" t="str">
        <f>'1. Base de donnée HILIN MU CM2 '!$G379&amp;"-"&amp;'1. Base de donnée HILIN MU CM2 '!$H379&amp;"-"&amp;'1. Base de donnée HILIN MU CM2 '!$I379</f>
        <v>2023-16-370</v>
      </c>
      <c r="K379" s="28">
        <f t="shared" si="1"/>
        <v>372</v>
      </c>
      <c r="L379" s="29" t="s">
        <v>31</v>
      </c>
      <c r="M379" s="29"/>
      <c r="N379" s="29"/>
      <c r="O379" s="27">
        <v>2.0</v>
      </c>
      <c r="P379" s="27">
        <v>2.0</v>
      </c>
      <c r="Q379" s="27">
        <f>SUM('1. Base de donnée HILIN MU CM2 '!$O379+'1. Base de donnée HILIN MU CM2 '!$P379)/2</f>
        <v>2</v>
      </c>
      <c r="R379" s="27">
        <v>16.0</v>
      </c>
      <c r="S379" s="27">
        <v>11.0</v>
      </c>
      <c r="T379" s="27">
        <f>('1. Base de donnée HILIN MU CM2 '!$R379+'1. Base de donnée HILIN MU CM2 '!$S379)/2</f>
        <v>13.5</v>
      </c>
      <c r="U379" s="30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</row>
    <row r="380" ht="14.25" hidden="1" customHeight="1">
      <c r="A380" s="22" t="s">
        <v>742</v>
      </c>
      <c r="B380" s="22" t="s">
        <v>26</v>
      </c>
      <c r="C380" s="22" t="s">
        <v>750</v>
      </c>
      <c r="D380" s="22" t="s">
        <v>312</v>
      </c>
      <c r="E380" s="22" t="s">
        <v>744</v>
      </c>
      <c r="F380" s="22" t="s">
        <v>745</v>
      </c>
      <c r="G380" s="23">
        <v>2023.0</v>
      </c>
      <c r="H380" s="23">
        <v>16.0</v>
      </c>
      <c r="I380" s="23">
        <v>371.0</v>
      </c>
      <c r="J380" s="24" t="str">
        <f>'1. Base de donnée HILIN MU CM2 '!$G380&amp;"-"&amp;'1. Base de donnée HILIN MU CM2 '!$H380&amp;"-"&amp;'1. Base de donnée HILIN MU CM2 '!$I380</f>
        <v>2023-16-371</v>
      </c>
      <c r="K380" s="23">
        <f t="shared" si="1"/>
        <v>373</v>
      </c>
      <c r="L380" s="24" t="s">
        <v>31</v>
      </c>
      <c r="M380" s="24"/>
      <c r="N380" s="24"/>
      <c r="O380" s="22">
        <v>1.0</v>
      </c>
      <c r="P380" s="22">
        <v>1.5</v>
      </c>
      <c r="Q380" s="22">
        <f>SUM('1. Base de donnée HILIN MU CM2 '!$O380+'1. Base de donnée HILIN MU CM2 '!$P380)/2</f>
        <v>1.25</v>
      </c>
      <c r="R380" s="22">
        <v>16.5</v>
      </c>
      <c r="S380" s="22">
        <v>15.0</v>
      </c>
      <c r="T380" s="22">
        <f>('1. Base de donnée HILIN MU CM2 '!$R380+'1. Base de donnée HILIN MU CM2 '!$S380)/2</f>
        <v>15.75</v>
      </c>
      <c r="U380" s="25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ht="14.25" hidden="1" customHeight="1">
      <c r="A381" s="27" t="s">
        <v>742</v>
      </c>
      <c r="B381" s="27" t="s">
        <v>26</v>
      </c>
      <c r="C381" s="27" t="s">
        <v>751</v>
      </c>
      <c r="D381" s="27" t="s">
        <v>259</v>
      </c>
      <c r="E381" s="27" t="s">
        <v>744</v>
      </c>
      <c r="F381" s="27" t="s">
        <v>745</v>
      </c>
      <c r="G381" s="28">
        <v>2023.0</v>
      </c>
      <c r="H381" s="28">
        <v>16.0</v>
      </c>
      <c r="I381" s="28">
        <v>372.0</v>
      </c>
      <c r="J381" s="29" t="str">
        <f>'1. Base de donnée HILIN MU CM2 '!$G381&amp;"-"&amp;'1. Base de donnée HILIN MU CM2 '!$H381&amp;"-"&amp;'1. Base de donnée HILIN MU CM2 '!$I381</f>
        <v>2023-16-372</v>
      </c>
      <c r="K381" s="28">
        <f t="shared" si="1"/>
        <v>374</v>
      </c>
      <c r="L381" s="29" t="s">
        <v>31</v>
      </c>
      <c r="M381" s="29"/>
      <c r="N381" s="29"/>
      <c r="O381" s="27">
        <v>6.0</v>
      </c>
      <c r="P381" s="27">
        <v>3.5</v>
      </c>
      <c r="Q381" s="27">
        <f>SUM('1. Base de donnée HILIN MU CM2 '!$O381+'1. Base de donnée HILIN MU CM2 '!$P381)/2</f>
        <v>4.75</v>
      </c>
      <c r="R381" s="27">
        <v>18.0</v>
      </c>
      <c r="S381" s="27">
        <v>15.0</v>
      </c>
      <c r="T381" s="27">
        <f>('1. Base de donnée HILIN MU CM2 '!$R381+'1. Base de donnée HILIN MU CM2 '!$S381)/2</f>
        <v>16.5</v>
      </c>
      <c r="U381" s="30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ht="14.25" hidden="1" customHeight="1">
      <c r="A382" s="22" t="s">
        <v>742</v>
      </c>
      <c r="B382" s="22" t="s">
        <v>26</v>
      </c>
      <c r="C382" s="22" t="s">
        <v>752</v>
      </c>
      <c r="D382" s="22" t="s">
        <v>753</v>
      </c>
      <c r="E382" s="22" t="s">
        <v>744</v>
      </c>
      <c r="F382" s="22" t="s">
        <v>745</v>
      </c>
      <c r="G382" s="23">
        <v>2023.0</v>
      </c>
      <c r="H382" s="23">
        <v>16.0</v>
      </c>
      <c r="I382" s="23">
        <v>373.0</v>
      </c>
      <c r="J382" s="24" t="str">
        <f>'1. Base de donnée HILIN MU CM2 '!$G382&amp;"-"&amp;'1. Base de donnée HILIN MU CM2 '!$H382&amp;"-"&amp;'1. Base de donnée HILIN MU CM2 '!$I382</f>
        <v>2023-16-373</v>
      </c>
      <c r="K382" s="23">
        <f t="shared" si="1"/>
        <v>375</v>
      </c>
      <c r="L382" s="24" t="s">
        <v>31</v>
      </c>
      <c r="M382" s="24"/>
      <c r="N382" s="24"/>
      <c r="O382" s="22">
        <v>2.5</v>
      </c>
      <c r="P382" s="22">
        <v>1.0</v>
      </c>
      <c r="Q382" s="22">
        <f>SUM('1. Base de donnée HILIN MU CM2 '!$O382+'1. Base de donnée HILIN MU CM2 '!$P382)/2</f>
        <v>1.75</v>
      </c>
      <c r="R382" s="22"/>
      <c r="S382" s="22"/>
      <c r="T382" s="22"/>
      <c r="U382" s="25" t="s">
        <v>754</v>
      </c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</row>
    <row r="383" ht="14.25" hidden="1" customHeight="1">
      <c r="A383" s="27" t="s">
        <v>742</v>
      </c>
      <c r="B383" s="27" t="s">
        <v>26</v>
      </c>
      <c r="C383" s="27" t="s">
        <v>755</v>
      </c>
      <c r="D383" s="27" t="s">
        <v>289</v>
      </c>
      <c r="E383" s="27" t="s">
        <v>744</v>
      </c>
      <c r="F383" s="27" t="s">
        <v>745</v>
      </c>
      <c r="G383" s="28">
        <v>2023.0</v>
      </c>
      <c r="H383" s="28">
        <v>16.0</v>
      </c>
      <c r="I383" s="28">
        <v>374.0</v>
      </c>
      <c r="J383" s="29" t="str">
        <f>'1. Base de donnée HILIN MU CM2 '!$G383&amp;"-"&amp;'1. Base de donnée HILIN MU CM2 '!$H383&amp;"-"&amp;'1. Base de donnée HILIN MU CM2 '!$I383</f>
        <v>2023-16-374</v>
      </c>
      <c r="K383" s="28">
        <f t="shared" si="1"/>
        <v>376</v>
      </c>
      <c r="L383" s="29" t="s">
        <v>31</v>
      </c>
      <c r="M383" s="29"/>
      <c r="N383" s="29"/>
      <c r="O383" s="27">
        <v>2.0</v>
      </c>
      <c r="P383" s="27">
        <v>2.0</v>
      </c>
      <c r="Q383" s="27">
        <f>SUM('1. Base de donnée HILIN MU CM2 '!$O383+'1. Base de donnée HILIN MU CM2 '!$P383)/2</f>
        <v>2</v>
      </c>
      <c r="R383" s="27">
        <v>17.0</v>
      </c>
      <c r="S383" s="27">
        <v>14.0</v>
      </c>
      <c r="T383" s="27">
        <f>('1. Base de donnée HILIN MU CM2 '!$R383+'1. Base de donnée HILIN MU CM2 '!$S383)/2</f>
        <v>15.5</v>
      </c>
      <c r="U383" s="30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</row>
    <row r="384" ht="14.25" hidden="1" customHeight="1">
      <c r="A384" s="22" t="s">
        <v>742</v>
      </c>
      <c r="B384" s="22" t="s">
        <v>26</v>
      </c>
      <c r="C384" s="22" t="s">
        <v>756</v>
      </c>
      <c r="D384" s="22" t="s">
        <v>166</v>
      </c>
      <c r="E384" s="22" t="s">
        <v>744</v>
      </c>
      <c r="F384" s="22" t="s">
        <v>745</v>
      </c>
      <c r="G384" s="23">
        <v>2023.0</v>
      </c>
      <c r="H384" s="23">
        <v>16.0</v>
      </c>
      <c r="I384" s="23">
        <v>375.0</v>
      </c>
      <c r="J384" s="24" t="str">
        <f>'1. Base de donnée HILIN MU CM2 '!$G384&amp;"-"&amp;'1. Base de donnée HILIN MU CM2 '!$H384&amp;"-"&amp;'1. Base de donnée HILIN MU CM2 '!$I384</f>
        <v>2023-16-375</v>
      </c>
      <c r="K384" s="23">
        <f t="shared" si="1"/>
        <v>377</v>
      </c>
      <c r="L384" s="24" t="s">
        <v>31</v>
      </c>
      <c r="M384" s="24"/>
      <c r="N384" s="24"/>
      <c r="O384" s="22">
        <v>0.5</v>
      </c>
      <c r="P384" s="22">
        <v>1.5</v>
      </c>
      <c r="Q384" s="22">
        <f>SUM('1. Base de donnée HILIN MU CM2 '!$O384+'1. Base de donnée HILIN MU CM2 '!$P384)/2</f>
        <v>1</v>
      </c>
      <c r="R384" s="22">
        <v>13.0</v>
      </c>
      <c r="S384" s="22">
        <v>12.0</v>
      </c>
      <c r="T384" s="22">
        <f>('1. Base de donnée HILIN MU CM2 '!$R384+'1. Base de donnée HILIN MU CM2 '!$S384)/2</f>
        <v>12.5</v>
      </c>
      <c r="U384" s="25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</row>
    <row r="385" ht="14.25" hidden="1" customHeight="1">
      <c r="A385" s="27" t="s">
        <v>742</v>
      </c>
      <c r="B385" s="27" t="s">
        <v>26</v>
      </c>
      <c r="C385" s="27" t="s">
        <v>757</v>
      </c>
      <c r="D385" s="27" t="s">
        <v>197</v>
      </c>
      <c r="E385" s="27" t="s">
        <v>744</v>
      </c>
      <c r="F385" s="27" t="s">
        <v>745</v>
      </c>
      <c r="G385" s="28">
        <v>2023.0</v>
      </c>
      <c r="H385" s="28">
        <v>16.0</v>
      </c>
      <c r="I385" s="28">
        <v>376.0</v>
      </c>
      <c r="J385" s="29" t="str">
        <f>'1. Base de donnée HILIN MU CM2 '!$G385&amp;"-"&amp;'1. Base de donnée HILIN MU CM2 '!$H385&amp;"-"&amp;'1. Base de donnée HILIN MU CM2 '!$I385</f>
        <v>2023-16-376</v>
      </c>
      <c r="K385" s="28">
        <f t="shared" si="1"/>
        <v>378</v>
      </c>
      <c r="L385" s="29" t="s">
        <v>31</v>
      </c>
      <c r="M385" s="29"/>
      <c r="N385" s="29"/>
      <c r="O385" s="37">
        <v>2.0</v>
      </c>
      <c r="P385" s="37">
        <v>1.0</v>
      </c>
      <c r="Q385" s="27">
        <f>SUM('1. Base de donnée HILIN MU CM2 '!$O385+'1. Base de donnée HILIN MU CM2 '!$P385)/2</f>
        <v>1.5</v>
      </c>
      <c r="R385" s="27"/>
      <c r="S385" s="27"/>
      <c r="T385" s="27"/>
      <c r="U385" s="30" t="s">
        <v>754</v>
      </c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</row>
    <row r="386" ht="14.25" hidden="1" customHeight="1">
      <c r="A386" s="22" t="s">
        <v>742</v>
      </c>
      <c r="B386" s="22" t="s">
        <v>26</v>
      </c>
      <c r="C386" s="22" t="s">
        <v>758</v>
      </c>
      <c r="D386" s="22" t="s">
        <v>207</v>
      </c>
      <c r="E386" s="22" t="s">
        <v>744</v>
      </c>
      <c r="F386" s="22" t="s">
        <v>745</v>
      </c>
      <c r="G386" s="23">
        <v>2023.0</v>
      </c>
      <c r="H386" s="23">
        <v>16.0</v>
      </c>
      <c r="I386" s="23">
        <v>377.0</v>
      </c>
      <c r="J386" s="24" t="str">
        <f>'1. Base de donnée HILIN MU CM2 '!$G386&amp;"-"&amp;'1. Base de donnée HILIN MU CM2 '!$H386&amp;"-"&amp;'1. Base de donnée HILIN MU CM2 '!$I386</f>
        <v>2023-16-377</v>
      </c>
      <c r="K386" s="23">
        <f t="shared" si="1"/>
        <v>379</v>
      </c>
      <c r="L386" s="24" t="s">
        <v>31</v>
      </c>
      <c r="M386" s="24"/>
      <c r="N386" s="24"/>
      <c r="O386" s="33">
        <v>1.0</v>
      </c>
      <c r="P386" s="22">
        <v>3.0</v>
      </c>
      <c r="Q386" s="22">
        <f>SUM('1. Base de donnée HILIN MU CM2 '!$O386+'1. Base de donnée HILIN MU CM2 '!$P386)/2</f>
        <v>2</v>
      </c>
      <c r="R386" s="22">
        <v>16.5</v>
      </c>
      <c r="S386" s="22">
        <v>13.0</v>
      </c>
      <c r="T386" s="22">
        <f>('1. Base de donnée HILIN MU CM2 '!$R386+'1. Base de donnée HILIN MU CM2 '!$S386)/2</f>
        <v>14.75</v>
      </c>
      <c r="U386" s="25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</row>
    <row r="387" ht="14.25" hidden="1" customHeight="1">
      <c r="A387" s="27" t="s">
        <v>742</v>
      </c>
      <c r="B387" s="27" t="s">
        <v>26</v>
      </c>
      <c r="C387" s="27" t="s">
        <v>759</v>
      </c>
      <c r="D387" s="27" t="s">
        <v>54</v>
      </c>
      <c r="E387" s="27" t="s">
        <v>760</v>
      </c>
      <c r="F387" s="27" t="s">
        <v>745</v>
      </c>
      <c r="G387" s="28">
        <v>2023.0</v>
      </c>
      <c r="H387" s="28">
        <v>16.0</v>
      </c>
      <c r="I387" s="28">
        <v>379.0</v>
      </c>
      <c r="J387" s="29" t="str">
        <f>'1. Base de donnée HILIN MU CM2 '!$G387&amp;"-"&amp;'1. Base de donnée HILIN MU CM2 '!$H387&amp;"-"&amp;'1. Base de donnée HILIN MU CM2 '!$I387</f>
        <v>2023-16-379</v>
      </c>
      <c r="K387" s="28">
        <f t="shared" si="1"/>
        <v>380</v>
      </c>
      <c r="L387" s="29" t="s">
        <v>31</v>
      </c>
      <c r="M387" s="29"/>
      <c r="N387" s="29"/>
      <c r="O387" s="27">
        <v>2.0</v>
      </c>
      <c r="P387" s="27">
        <v>4.5</v>
      </c>
      <c r="Q387" s="27">
        <f>SUM('1. Base de donnée HILIN MU CM2 '!$O387+'1. Base de donnée HILIN MU CM2 '!$P387)/2</f>
        <v>3.25</v>
      </c>
      <c r="R387" s="27">
        <v>19.5</v>
      </c>
      <c r="S387" s="27">
        <v>19.0</v>
      </c>
      <c r="T387" s="27">
        <f>('1. Base de donnée HILIN MU CM2 '!$R387+'1. Base de donnée HILIN MU CM2 '!$S387)/2</f>
        <v>19.25</v>
      </c>
      <c r="U387" s="30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</row>
    <row r="388" ht="14.25" hidden="1" customHeight="1">
      <c r="A388" s="22" t="s">
        <v>742</v>
      </c>
      <c r="B388" s="22" t="s">
        <v>26</v>
      </c>
      <c r="C388" s="22" t="s">
        <v>761</v>
      </c>
      <c r="D388" s="22" t="s">
        <v>762</v>
      </c>
      <c r="E388" s="22" t="s">
        <v>744</v>
      </c>
      <c r="F388" s="22" t="s">
        <v>745</v>
      </c>
      <c r="G388" s="23">
        <v>2023.0</v>
      </c>
      <c r="H388" s="23">
        <v>16.0</v>
      </c>
      <c r="I388" s="23">
        <v>912.0</v>
      </c>
      <c r="J388" s="24" t="str">
        <f>'1. Base de donnée HILIN MU CM2 '!$G388&amp;"-"&amp;'1. Base de donnée HILIN MU CM2 '!$H388&amp;"-"&amp;'1. Base de donnée HILIN MU CM2 '!$I388</f>
        <v>2023-16-912</v>
      </c>
      <c r="K388" s="23">
        <f t="shared" si="1"/>
        <v>381</v>
      </c>
      <c r="L388" s="24" t="s">
        <v>31</v>
      </c>
      <c r="M388" s="24"/>
      <c r="N388" s="24"/>
      <c r="O388" s="22">
        <v>9.0</v>
      </c>
      <c r="P388" s="22">
        <v>11.0</v>
      </c>
      <c r="Q388" s="22">
        <f>SUM('1. Base de donnée HILIN MU CM2 '!$O388+'1. Base de donnée HILIN MU CM2 '!$P388)/2</f>
        <v>10</v>
      </c>
      <c r="R388" s="22">
        <v>18.5</v>
      </c>
      <c r="S388" s="22">
        <v>18.0</v>
      </c>
      <c r="T388" s="22">
        <f>('1. Base de donnée HILIN MU CM2 '!$R388+'1. Base de donnée HILIN MU CM2 '!$S388)/2</f>
        <v>18.25</v>
      </c>
      <c r="U388" s="25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</row>
    <row r="389" ht="14.25" hidden="1" customHeight="1">
      <c r="A389" s="27" t="s">
        <v>742</v>
      </c>
      <c r="B389" s="27" t="s">
        <v>26</v>
      </c>
      <c r="C389" s="27" t="s">
        <v>763</v>
      </c>
      <c r="D389" s="27" t="s">
        <v>285</v>
      </c>
      <c r="E389" s="27" t="s">
        <v>744</v>
      </c>
      <c r="F389" s="27" t="s">
        <v>745</v>
      </c>
      <c r="G389" s="28">
        <v>2023.0</v>
      </c>
      <c r="H389" s="28">
        <v>16.0</v>
      </c>
      <c r="I389" s="28">
        <v>913.0</v>
      </c>
      <c r="J389" s="29" t="str">
        <f>'1. Base de donnée HILIN MU CM2 '!$G389&amp;"-"&amp;'1. Base de donnée HILIN MU CM2 '!$H389&amp;"-"&amp;'1. Base de donnée HILIN MU CM2 '!$I389</f>
        <v>2023-16-913</v>
      </c>
      <c r="K389" s="28">
        <f t="shared" si="1"/>
        <v>382</v>
      </c>
      <c r="L389" s="29" t="s">
        <v>31</v>
      </c>
      <c r="M389" s="29"/>
      <c r="N389" s="29"/>
      <c r="O389" s="27">
        <v>7.0</v>
      </c>
      <c r="P389" s="27">
        <v>1.5</v>
      </c>
      <c r="Q389" s="27">
        <f>SUM('1. Base de donnée HILIN MU CM2 '!$O389+'1. Base de donnée HILIN MU CM2 '!$P389)/2</f>
        <v>4.25</v>
      </c>
      <c r="R389" s="27">
        <v>16.5</v>
      </c>
      <c r="S389" s="27">
        <v>16.5</v>
      </c>
      <c r="T389" s="27">
        <f>('1. Base de donnée HILIN MU CM2 '!$R389+'1. Base de donnée HILIN MU CM2 '!$S389)/2</f>
        <v>16.5</v>
      </c>
      <c r="U389" s="30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</row>
    <row r="390" ht="14.25" hidden="1" customHeight="1">
      <c r="A390" s="22" t="s">
        <v>742</v>
      </c>
      <c r="B390" s="22" t="s">
        <v>26</v>
      </c>
      <c r="C390" s="22" t="s">
        <v>535</v>
      </c>
      <c r="D390" s="22" t="s">
        <v>207</v>
      </c>
      <c r="E390" s="22" t="s">
        <v>744</v>
      </c>
      <c r="F390" s="22" t="s">
        <v>745</v>
      </c>
      <c r="G390" s="23">
        <v>2023.0</v>
      </c>
      <c r="H390" s="23">
        <v>16.0</v>
      </c>
      <c r="I390" s="23">
        <v>914.0</v>
      </c>
      <c r="J390" s="24" t="str">
        <f>'1. Base de donnée HILIN MU CM2 '!$G390&amp;"-"&amp;'1. Base de donnée HILIN MU CM2 '!$H390&amp;"-"&amp;'1. Base de donnée HILIN MU CM2 '!$I390</f>
        <v>2023-16-914</v>
      </c>
      <c r="K390" s="23">
        <f t="shared" si="1"/>
        <v>383</v>
      </c>
      <c r="L390" s="24" t="s">
        <v>31</v>
      </c>
      <c r="M390" s="24"/>
      <c r="N390" s="24"/>
      <c r="O390" s="22">
        <v>1.0</v>
      </c>
      <c r="P390" s="22">
        <v>1.5</v>
      </c>
      <c r="Q390" s="22">
        <f>SUM('1. Base de donnée HILIN MU CM2 '!$O390+'1. Base de donnée HILIN MU CM2 '!$P390)/2</f>
        <v>1.25</v>
      </c>
      <c r="R390" s="22">
        <v>17.0</v>
      </c>
      <c r="S390" s="22">
        <v>14.0</v>
      </c>
      <c r="T390" s="22">
        <f>('1. Base de donnée HILIN MU CM2 '!$R390+'1. Base de donnée HILIN MU CM2 '!$S390)/2</f>
        <v>15.5</v>
      </c>
      <c r="U390" s="25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</row>
    <row r="391" ht="14.25" hidden="1" customHeight="1">
      <c r="A391" s="27" t="s">
        <v>742</v>
      </c>
      <c r="B391" s="27" t="s">
        <v>26</v>
      </c>
      <c r="C391" s="27" t="s">
        <v>764</v>
      </c>
      <c r="D391" s="27" t="s">
        <v>476</v>
      </c>
      <c r="E391" s="27" t="s">
        <v>744</v>
      </c>
      <c r="F391" s="27" t="s">
        <v>745</v>
      </c>
      <c r="G391" s="28">
        <v>2023.0</v>
      </c>
      <c r="H391" s="28">
        <v>16.0</v>
      </c>
      <c r="I391" s="28">
        <v>915.0</v>
      </c>
      <c r="J391" s="29" t="str">
        <f>'1. Base de donnée HILIN MU CM2 '!$G391&amp;"-"&amp;'1. Base de donnée HILIN MU CM2 '!$H391&amp;"-"&amp;'1. Base de donnée HILIN MU CM2 '!$I391</f>
        <v>2023-16-915</v>
      </c>
      <c r="K391" s="28">
        <f t="shared" si="1"/>
        <v>384</v>
      </c>
      <c r="L391" s="29" t="s">
        <v>31</v>
      </c>
      <c r="M391" s="29"/>
      <c r="N391" s="29"/>
      <c r="O391" s="27">
        <v>10.5</v>
      </c>
      <c r="P391" s="27">
        <v>4.5</v>
      </c>
      <c r="Q391" s="27">
        <f>SUM('1. Base de donnée HILIN MU CM2 '!$O391+'1. Base de donnée HILIN MU CM2 '!$P391)/2</f>
        <v>7.5</v>
      </c>
      <c r="R391" s="27">
        <v>18.5</v>
      </c>
      <c r="S391" s="27">
        <v>17.0</v>
      </c>
      <c r="T391" s="27">
        <f>('1. Base de donnée HILIN MU CM2 '!$R391+'1. Base de donnée HILIN MU CM2 '!$S391)/2</f>
        <v>17.75</v>
      </c>
      <c r="U391" s="30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</row>
    <row r="392" ht="14.25" hidden="1" customHeight="1">
      <c r="A392" s="22" t="s">
        <v>742</v>
      </c>
      <c r="B392" s="22" t="s">
        <v>26</v>
      </c>
      <c r="C392" s="24" t="s">
        <v>765</v>
      </c>
      <c r="D392" s="22" t="s">
        <v>766</v>
      </c>
      <c r="E392" s="22" t="s">
        <v>744</v>
      </c>
      <c r="F392" s="22" t="s">
        <v>745</v>
      </c>
      <c r="G392" s="23">
        <v>2023.0</v>
      </c>
      <c r="H392" s="23">
        <v>16.0</v>
      </c>
      <c r="I392" s="23">
        <v>920.0</v>
      </c>
      <c r="J392" s="24" t="str">
        <f>'1. Base de donnée HILIN MU CM2 '!$G392&amp;"-"&amp;'1. Base de donnée HILIN MU CM2 '!$H392&amp;"-"&amp;'1. Base de donnée HILIN MU CM2 '!$I392</f>
        <v>2023-16-920</v>
      </c>
      <c r="K392" s="23">
        <f t="shared" si="1"/>
        <v>385</v>
      </c>
      <c r="L392" s="24" t="s">
        <v>31</v>
      </c>
      <c r="M392" s="24"/>
      <c r="N392" s="24"/>
      <c r="O392" s="22">
        <v>12.0</v>
      </c>
      <c r="P392" s="22">
        <v>8.5</v>
      </c>
      <c r="Q392" s="22">
        <f>SUM('1. Base de donnée HILIN MU CM2 '!$O392+'1. Base de donnée HILIN MU CM2 '!$P392)/2</f>
        <v>10.25</v>
      </c>
      <c r="R392" s="22">
        <v>17.0</v>
      </c>
      <c r="S392" s="22">
        <v>14.0</v>
      </c>
      <c r="T392" s="22">
        <f>('1. Base de donnée HILIN MU CM2 '!$R392+'1. Base de donnée HILIN MU CM2 '!$S392)/2</f>
        <v>15.5</v>
      </c>
      <c r="U392" s="25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</row>
    <row r="393" ht="14.25" hidden="1" customHeight="1">
      <c r="A393" s="27" t="s">
        <v>767</v>
      </c>
      <c r="B393" s="27" t="s">
        <v>26</v>
      </c>
      <c r="C393" s="27" t="s">
        <v>768</v>
      </c>
      <c r="D393" s="27" t="s">
        <v>769</v>
      </c>
      <c r="E393" s="27" t="s">
        <v>770</v>
      </c>
      <c r="F393" s="27" t="s">
        <v>771</v>
      </c>
      <c r="G393" s="28">
        <v>2023.0</v>
      </c>
      <c r="H393" s="28">
        <v>31.0</v>
      </c>
      <c r="I393" s="28">
        <v>380.0</v>
      </c>
      <c r="J393" s="29" t="str">
        <f>'1. Base de donnée HILIN MU CM2 '!$G393&amp;"-"&amp;'1. Base de donnée HILIN MU CM2 '!$H393&amp;"-"&amp;'1. Base de donnée HILIN MU CM2 '!$I393</f>
        <v>2023-31-380</v>
      </c>
      <c r="K393" s="28">
        <f t="shared" si="1"/>
        <v>386</v>
      </c>
      <c r="L393" s="29" t="s">
        <v>31</v>
      </c>
      <c r="M393" s="29"/>
      <c r="N393" s="29"/>
      <c r="O393" s="27"/>
      <c r="P393" s="27"/>
      <c r="Q393" s="27">
        <f>SUM('1. Base de donnée HILIN MU CM2 '!$O393+'1. Base de donnée HILIN MU CM2 '!$P393)/2</f>
        <v>0</v>
      </c>
      <c r="R393" s="27">
        <v>16.5</v>
      </c>
      <c r="S393" s="27">
        <v>14.5</v>
      </c>
      <c r="T393" s="27">
        <f>('1. Base de donnée HILIN MU CM2 '!$R393+'1. Base de donnée HILIN MU CM2 '!$S393)/2</f>
        <v>15.5</v>
      </c>
      <c r="U393" s="30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</row>
    <row r="394" ht="14.25" hidden="1" customHeight="1">
      <c r="A394" s="22" t="s">
        <v>767</v>
      </c>
      <c r="B394" s="22" t="s">
        <v>26</v>
      </c>
      <c r="C394" s="22" t="s">
        <v>772</v>
      </c>
      <c r="D394" s="22" t="s">
        <v>417</v>
      </c>
      <c r="E394" s="22" t="s">
        <v>770</v>
      </c>
      <c r="F394" s="22" t="s">
        <v>773</v>
      </c>
      <c r="G394" s="23">
        <v>2023.0</v>
      </c>
      <c r="H394" s="23">
        <v>31.0</v>
      </c>
      <c r="I394" s="23">
        <v>381.0</v>
      </c>
      <c r="J394" s="24" t="str">
        <f>'1. Base de donnée HILIN MU CM2 '!$G394&amp;"-"&amp;'1. Base de donnée HILIN MU CM2 '!$H394&amp;"-"&amp;'1. Base de donnée HILIN MU CM2 '!$I394</f>
        <v>2023-31-381</v>
      </c>
      <c r="K394" s="23">
        <f t="shared" si="1"/>
        <v>387</v>
      </c>
      <c r="L394" s="24" t="s">
        <v>31</v>
      </c>
      <c r="M394" s="24"/>
      <c r="N394" s="24"/>
      <c r="O394" s="22">
        <v>7.0</v>
      </c>
      <c r="P394" s="22">
        <v>7.5</v>
      </c>
      <c r="Q394" s="22">
        <f>SUM('1. Base de donnée HILIN MU CM2 '!$O394+'1. Base de donnée HILIN MU CM2 '!$P394)/2</f>
        <v>7.25</v>
      </c>
      <c r="R394" s="22">
        <v>17.5</v>
      </c>
      <c r="S394" s="22">
        <v>18.5</v>
      </c>
      <c r="T394" s="22">
        <f>('1. Base de donnée HILIN MU CM2 '!$R394+'1. Base de donnée HILIN MU CM2 '!$S394)/2</f>
        <v>18</v>
      </c>
      <c r="U394" s="25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ht="14.25" hidden="1" customHeight="1">
      <c r="A395" s="27" t="s">
        <v>767</v>
      </c>
      <c r="B395" s="27" t="s">
        <v>26</v>
      </c>
      <c r="C395" s="27" t="s">
        <v>774</v>
      </c>
      <c r="D395" s="27" t="s">
        <v>775</v>
      </c>
      <c r="E395" s="27" t="s">
        <v>770</v>
      </c>
      <c r="F395" s="27" t="s">
        <v>773</v>
      </c>
      <c r="G395" s="28">
        <v>2023.0</v>
      </c>
      <c r="H395" s="28">
        <v>31.0</v>
      </c>
      <c r="I395" s="28">
        <v>382.0</v>
      </c>
      <c r="J395" s="29" t="str">
        <f>'1. Base de donnée HILIN MU CM2 '!$G395&amp;"-"&amp;'1. Base de donnée HILIN MU CM2 '!$H395&amp;"-"&amp;'1. Base de donnée HILIN MU CM2 '!$I395</f>
        <v>2023-31-382</v>
      </c>
      <c r="K395" s="28">
        <f t="shared" si="1"/>
        <v>388</v>
      </c>
      <c r="L395" s="29" t="s">
        <v>31</v>
      </c>
      <c r="M395" s="29"/>
      <c r="N395" s="29"/>
      <c r="O395" s="27">
        <v>9.0</v>
      </c>
      <c r="P395" s="27">
        <v>5.0</v>
      </c>
      <c r="Q395" s="27">
        <f>SUM('1. Base de donnée HILIN MU CM2 '!$O395+'1. Base de donnée HILIN MU CM2 '!$P395)/2</f>
        <v>7</v>
      </c>
      <c r="R395" s="27">
        <v>17.0</v>
      </c>
      <c r="S395" s="27">
        <v>19.0</v>
      </c>
      <c r="T395" s="27">
        <f>('1. Base de donnée HILIN MU CM2 '!$R395+'1. Base de donnée HILIN MU CM2 '!$S395)/2</f>
        <v>18</v>
      </c>
      <c r="U395" s="30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ht="14.25" hidden="1" customHeight="1">
      <c r="A396" s="22" t="s">
        <v>767</v>
      </c>
      <c r="B396" s="22" t="s">
        <v>26</v>
      </c>
      <c r="C396" s="22" t="s">
        <v>776</v>
      </c>
      <c r="D396" s="22" t="s">
        <v>775</v>
      </c>
      <c r="E396" s="22" t="s">
        <v>770</v>
      </c>
      <c r="F396" s="22" t="s">
        <v>771</v>
      </c>
      <c r="G396" s="23">
        <v>2023.0</v>
      </c>
      <c r="H396" s="23">
        <v>31.0</v>
      </c>
      <c r="I396" s="23">
        <v>384.0</v>
      </c>
      <c r="J396" s="24" t="str">
        <f>'1. Base de donnée HILIN MU CM2 '!$G396&amp;"-"&amp;'1. Base de donnée HILIN MU CM2 '!$H396&amp;"-"&amp;'1. Base de donnée HILIN MU CM2 '!$I396</f>
        <v>2023-31-384</v>
      </c>
      <c r="K396" s="23">
        <f t="shared" si="1"/>
        <v>389</v>
      </c>
      <c r="L396" s="24" t="s">
        <v>31</v>
      </c>
      <c r="M396" s="24"/>
      <c r="N396" s="24"/>
      <c r="O396" s="22">
        <v>3.0</v>
      </c>
      <c r="P396" s="22">
        <v>6.0</v>
      </c>
      <c r="Q396" s="22">
        <f>SUM('1. Base de donnée HILIN MU CM2 '!$O396+'1. Base de donnée HILIN MU CM2 '!$P396)/2</f>
        <v>4.5</v>
      </c>
      <c r="R396" s="22">
        <v>14.0</v>
      </c>
      <c r="S396" s="22">
        <v>11.5</v>
      </c>
      <c r="T396" s="22">
        <f>('1. Base de donnée HILIN MU CM2 '!$R396+'1. Base de donnée HILIN MU CM2 '!$S396)/2</f>
        <v>12.75</v>
      </c>
      <c r="U396" s="25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ht="14.25" hidden="1" customHeight="1">
      <c r="A397" s="27" t="s">
        <v>767</v>
      </c>
      <c r="B397" s="27" t="s">
        <v>26</v>
      </c>
      <c r="C397" s="27" t="s">
        <v>777</v>
      </c>
      <c r="D397" s="27" t="s">
        <v>119</v>
      </c>
      <c r="E397" s="27" t="s">
        <v>770</v>
      </c>
      <c r="F397" s="27" t="s">
        <v>771</v>
      </c>
      <c r="G397" s="28">
        <v>2023.0</v>
      </c>
      <c r="H397" s="28">
        <v>31.0</v>
      </c>
      <c r="I397" s="28">
        <v>385.0</v>
      </c>
      <c r="J397" s="29" t="str">
        <f>'1. Base de donnée HILIN MU CM2 '!$G397&amp;"-"&amp;'1. Base de donnée HILIN MU CM2 '!$H397&amp;"-"&amp;'1. Base de donnée HILIN MU CM2 '!$I397</f>
        <v>2023-31-385</v>
      </c>
      <c r="K397" s="28">
        <f t="shared" si="1"/>
        <v>390</v>
      </c>
      <c r="L397" s="29" t="s">
        <v>31</v>
      </c>
      <c r="M397" s="29"/>
      <c r="N397" s="29"/>
      <c r="O397" s="27">
        <v>4.0</v>
      </c>
      <c r="P397" s="27">
        <v>3.5</v>
      </c>
      <c r="Q397" s="27">
        <f>SUM('1. Base de donnée HILIN MU CM2 '!$O397+'1. Base de donnée HILIN MU CM2 '!$P397)/2</f>
        <v>3.75</v>
      </c>
      <c r="R397" s="27">
        <v>13.0</v>
      </c>
      <c r="S397" s="27">
        <v>14.5</v>
      </c>
      <c r="T397" s="27">
        <f>('1. Base de donnée HILIN MU CM2 '!$R397+'1. Base de donnée HILIN MU CM2 '!$S397)/2</f>
        <v>13.75</v>
      </c>
      <c r="U397" s="30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ht="14.25" hidden="1" customHeight="1">
      <c r="A398" s="22" t="s">
        <v>767</v>
      </c>
      <c r="B398" s="22" t="s">
        <v>26</v>
      </c>
      <c r="C398" s="22" t="s">
        <v>778</v>
      </c>
      <c r="D398" s="22" t="s">
        <v>779</v>
      </c>
      <c r="E398" s="22" t="s">
        <v>770</v>
      </c>
      <c r="F398" s="22" t="s">
        <v>773</v>
      </c>
      <c r="G398" s="23">
        <v>2023.0</v>
      </c>
      <c r="H398" s="23">
        <v>31.0</v>
      </c>
      <c r="I398" s="23">
        <v>387.0</v>
      </c>
      <c r="J398" s="24" t="str">
        <f>'1. Base de donnée HILIN MU CM2 '!$G398&amp;"-"&amp;'1. Base de donnée HILIN MU CM2 '!$H398&amp;"-"&amp;'1. Base de donnée HILIN MU CM2 '!$I398</f>
        <v>2023-31-387</v>
      </c>
      <c r="K398" s="23">
        <f t="shared" si="1"/>
        <v>391</v>
      </c>
      <c r="L398" s="24" t="s">
        <v>31</v>
      </c>
      <c r="M398" s="24"/>
      <c r="N398" s="24"/>
      <c r="O398" s="22">
        <v>4.0</v>
      </c>
      <c r="P398" s="22">
        <v>3.0</v>
      </c>
      <c r="Q398" s="22">
        <f>SUM('1. Base de donnée HILIN MU CM2 '!$O398+'1. Base de donnée HILIN MU CM2 '!$P398)/2</f>
        <v>3.5</v>
      </c>
      <c r="R398" s="22">
        <v>18.0</v>
      </c>
      <c r="S398" s="22">
        <v>14.0</v>
      </c>
      <c r="T398" s="22">
        <f>('1. Base de donnée HILIN MU CM2 '!$R398+'1. Base de donnée HILIN MU CM2 '!$S398)/2</f>
        <v>16</v>
      </c>
      <c r="U398" s="25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ht="14.25" hidden="1" customHeight="1">
      <c r="A399" s="27" t="s">
        <v>767</v>
      </c>
      <c r="B399" s="27" t="s">
        <v>26</v>
      </c>
      <c r="C399" s="27" t="s">
        <v>780</v>
      </c>
      <c r="D399" s="27" t="s">
        <v>67</v>
      </c>
      <c r="E399" s="27" t="s">
        <v>770</v>
      </c>
      <c r="F399" s="27" t="s">
        <v>773</v>
      </c>
      <c r="G399" s="28">
        <v>2023.0</v>
      </c>
      <c r="H399" s="28">
        <v>31.0</v>
      </c>
      <c r="I399" s="28">
        <v>388.0</v>
      </c>
      <c r="J399" s="29" t="str">
        <f>'1. Base de donnée HILIN MU CM2 '!$G399&amp;"-"&amp;'1. Base de donnée HILIN MU CM2 '!$H399&amp;"-"&amp;'1. Base de donnée HILIN MU CM2 '!$I399</f>
        <v>2023-31-388</v>
      </c>
      <c r="K399" s="28">
        <f t="shared" si="1"/>
        <v>392</v>
      </c>
      <c r="L399" s="29" t="s">
        <v>31</v>
      </c>
      <c r="M399" s="29"/>
      <c r="N399" s="29"/>
      <c r="O399" s="27">
        <v>10.0</v>
      </c>
      <c r="P399" s="27">
        <v>5.0</v>
      </c>
      <c r="Q399" s="27">
        <f>SUM('1. Base de donnée HILIN MU CM2 '!$O399+'1. Base de donnée HILIN MU CM2 '!$P399)/2</f>
        <v>7.5</v>
      </c>
      <c r="R399" s="27">
        <v>15.0</v>
      </c>
      <c r="S399" s="27">
        <v>15.0</v>
      </c>
      <c r="T399" s="27">
        <f>('1. Base de donnée HILIN MU CM2 '!$R399+'1. Base de donnée HILIN MU CM2 '!$S399)/2</f>
        <v>15</v>
      </c>
      <c r="U399" s="30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ht="14.25" hidden="1" customHeight="1">
      <c r="A400" s="22" t="s">
        <v>767</v>
      </c>
      <c r="B400" s="22" t="s">
        <v>26</v>
      </c>
      <c r="C400" s="22" t="s">
        <v>781</v>
      </c>
      <c r="D400" s="22" t="s">
        <v>78</v>
      </c>
      <c r="E400" s="22" t="s">
        <v>770</v>
      </c>
      <c r="F400" s="22" t="s">
        <v>773</v>
      </c>
      <c r="G400" s="23">
        <v>2023.0</v>
      </c>
      <c r="H400" s="23">
        <v>31.0</v>
      </c>
      <c r="I400" s="23">
        <v>389.0</v>
      </c>
      <c r="J400" s="24" t="str">
        <f>'1. Base de donnée HILIN MU CM2 '!$G400&amp;"-"&amp;'1. Base de donnée HILIN MU CM2 '!$H400&amp;"-"&amp;'1. Base de donnée HILIN MU CM2 '!$I400</f>
        <v>2023-31-389</v>
      </c>
      <c r="K400" s="23">
        <f t="shared" si="1"/>
        <v>393</v>
      </c>
      <c r="L400" s="24" t="s">
        <v>31</v>
      </c>
      <c r="M400" s="24"/>
      <c r="N400" s="24"/>
      <c r="O400" s="22">
        <v>7.75</v>
      </c>
      <c r="P400" s="22">
        <v>8.0</v>
      </c>
      <c r="Q400" s="22">
        <f>SUM('1. Base de donnée HILIN MU CM2 '!$O400+'1. Base de donnée HILIN MU CM2 '!$P400)/2</f>
        <v>7.875</v>
      </c>
      <c r="R400" s="22">
        <v>9.0</v>
      </c>
      <c r="S400" s="22">
        <v>15.5</v>
      </c>
      <c r="T400" s="22">
        <f>('1. Base de donnée HILIN MU CM2 '!$R400+'1. Base de donnée HILIN MU CM2 '!$S400)/2</f>
        <v>12.25</v>
      </c>
      <c r="U400" s="25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ht="14.25" hidden="1" customHeight="1">
      <c r="A401" s="27" t="s">
        <v>767</v>
      </c>
      <c r="B401" s="27" t="s">
        <v>26</v>
      </c>
      <c r="C401" s="27" t="s">
        <v>782</v>
      </c>
      <c r="D401" s="27" t="s">
        <v>476</v>
      </c>
      <c r="E401" s="27" t="s">
        <v>770</v>
      </c>
      <c r="F401" s="27" t="s">
        <v>773</v>
      </c>
      <c r="G401" s="28">
        <v>2023.0</v>
      </c>
      <c r="H401" s="28">
        <v>31.0</v>
      </c>
      <c r="I401" s="28">
        <v>390.0</v>
      </c>
      <c r="J401" s="29" t="str">
        <f>'1. Base de donnée HILIN MU CM2 '!$G401&amp;"-"&amp;'1. Base de donnée HILIN MU CM2 '!$H401&amp;"-"&amp;'1. Base de donnée HILIN MU CM2 '!$I401</f>
        <v>2023-31-390</v>
      </c>
      <c r="K401" s="28">
        <f t="shared" si="1"/>
        <v>394</v>
      </c>
      <c r="L401" s="29" t="s">
        <v>31</v>
      </c>
      <c r="M401" s="29"/>
      <c r="N401" s="29"/>
      <c r="O401" s="27">
        <v>6.25</v>
      </c>
      <c r="P401" s="27">
        <v>4.75</v>
      </c>
      <c r="Q401" s="27">
        <f>SUM('1. Base de donnée HILIN MU CM2 '!$O401+'1. Base de donnée HILIN MU CM2 '!$P401)/2</f>
        <v>5.5</v>
      </c>
      <c r="R401" s="27">
        <v>18.5</v>
      </c>
      <c r="S401" s="27">
        <v>15.0</v>
      </c>
      <c r="T401" s="27">
        <f>('1. Base de donnée HILIN MU CM2 '!$R401+'1. Base de donnée HILIN MU CM2 '!$S401)/2</f>
        <v>16.75</v>
      </c>
      <c r="U401" s="30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ht="14.25" hidden="1" customHeight="1">
      <c r="A402" s="22" t="s">
        <v>767</v>
      </c>
      <c r="B402" s="22" t="s">
        <v>26</v>
      </c>
      <c r="C402" s="22" t="s">
        <v>783</v>
      </c>
      <c r="D402" s="22" t="s">
        <v>65</v>
      </c>
      <c r="E402" s="22" t="s">
        <v>770</v>
      </c>
      <c r="F402" s="22" t="s">
        <v>773</v>
      </c>
      <c r="G402" s="23">
        <v>2023.0</v>
      </c>
      <c r="H402" s="23">
        <v>31.0</v>
      </c>
      <c r="I402" s="23">
        <v>392.0</v>
      </c>
      <c r="J402" s="24" t="str">
        <f>'1. Base de donnée HILIN MU CM2 '!$G402&amp;"-"&amp;'1. Base de donnée HILIN MU CM2 '!$H402&amp;"-"&amp;'1. Base de donnée HILIN MU CM2 '!$I402</f>
        <v>2023-31-392</v>
      </c>
      <c r="K402" s="23">
        <f t="shared" si="1"/>
        <v>395</v>
      </c>
      <c r="L402" s="24" t="s">
        <v>31</v>
      </c>
      <c r="M402" s="24"/>
      <c r="N402" s="24"/>
      <c r="O402" s="22">
        <v>5.5</v>
      </c>
      <c r="P402" s="22">
        <v>5.0</v>
      </c>
      <c r="Q402" s="22">
        <f>SUM('1. Base de donnée HILIN MU CM2 '!$O402+'1. Base de donnée HILIN MU CM2 '!$P402)/2</f>
        <v>5.25</v>
      </c>
      <c r="R402" s="22">
        <v>19.5</v>
      </c>
      <c r="S402" s="22">
        <v>15.0</v>
      </c>
      <c r="T402" s="22">
        <f>('1. Base de donnée HILIN MU CM2 '!$R402+'1. Base de donnée HILIN MU CM2 '!$S402)/2</f>
        <v>17.25</v>
      </c>
      <c r="U402" s="25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ht="14.25" hidden="1" customHeight="1">
      <c r="A403" s="27" t="s">
        <v>767</v>
      </c>
      <c r="B403" s="27" t="s">
        <v>26</v>
      </c>
      <c r="C403" s="27" t="s">
        <v>784</v>
      </c>
      <c r="D403" s="27" t="s">
        <v>78</v>
      </c>
      <c r="E403" s="27" t="s">
        <v>770</v>
      </c>
      <c r="F403" s="27" t="s">
        <v>771</v>
      </c>
      <c r="G403" s="28">
        <v>2023.0</v>
      </c>
      <c r="H403" s="28">
        <v>31.0</v>
      </c>
      <c r="I403" s="28">
        <v>393.0</v>
      </c>
      <c r="J403" s="29" t="str">
        <f>'1. Base de donnée HILIN MU CM2 '!$G403&amp;"-"&amp;'1. Base de donnée HILIN MU CM2 '!$H403&amp;"-"&amp;'1. Base de donnée HILIN MU CM2 '!$I403</f>
        <v>2023-31-393</v>
      </c>
      <c r="K403" s="28">
        <f t="shared" si="1"/>
        <v>396</v>
      </c>
      <c r="L403" s="29" t="s">
        <v>31</v>
      </c>
      <c r="M403" s="29"/>
      <c r="N403" s="29"/>
      <c r="O403" s="27">
        <v>3.0</v>
      </c>
      <c r="P403" s="27">
        <v>2.5</v>
      </c>
      <c r="Q403" s="27">
        <f>SUM('1. Base de donnée HILIN MU CM2 '!$O403+'1. Base de donnée HILIN MU CM2 '!$P403)/2</f>
        <v>2.75</v>
      </c>
      <c r="R403" s="27">
        <v>14.0</v>
      </c>
      <c r="S403" s="27">
        <v>14.0</v>
      </c>
      <c r="T403" s="27">
        <f>('1. Base de donnée HILIN MU CM2 '!$R403+'1. Base de donnée HILIN MU CM2 '!$S403)/2</f>
        <v>14</v>
      </c>
      <c r="U403" s="30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ht="14.25" hidden="1" customHeight="1">
      <c r="A404" s="22" t="s">
        <v>767</v>
      </c>
      <c r="B404" s="22" t="s">
        <v>26</v>
      </c>
      <c r="C404" s="22" t="s">
        <v>785</v>
      </c>
      <c r="D404" s="22" t="s">
        <v>176</v>
      </c>
      <c r="E404" s="22" t="s">
        <v>770</v>
      </c>
      <c r="F404" s="22" t="s">
        <v>771</v>
      </c>
      <c r="G404" s="23">
        <v>2023.0</v>
      </c>
      <c r="H404" s="23">
        <v>31.0</v>
      </c>
      <c r="I404" s="23">
        <v>394.0</v>
      </c>
      <c r="J404" s="24" t="str">
        <f>'1. Base de donnée HILIN MU CM2 '!$G404&amp;"-"&amp;'1. Base de donnée HILIN MU CM2 '!$H404&amp;"-"&amp;'1. Base de donnée HILIN MU CM2 '!$I404</f>
        <v>2023-31-394</v>
      </c>
      <c r="K404" s="23">
        <f t="shared" si="1"/>
        <v>397</v>
      </c>
      <c r="L404" s="24" t="s">
        <v>31</v>
      </c>
      <c r="M404" s="24"/>
      <c r="N404" s="24"/>
      <c r="O404" s="22">
        <v>3.0</v>
      </c>
      <c r="P404" s="22">
        <v>2.0</v>
      </c>
      <c r="Q404" s="22">
        <f>SUM('1. Base de donnée HILIN MU CM2 '!$O404+'1. Base de donnée HILIN MU CM2 '!$P404)/2</f>
        <v>2.5</v>
      </c>
      <c r="R404" s="22">
        <v>16.5</v>
      </c>
      <c r="S404" s="22">
        <v>19.5</v>
      </c>
      <c r="T404" s="22">
        <f>('1. Base de donnée HILIN MU CM2 '!$R404+'1. Base de donnée HILIN MU CM2 '!$S404)/2</f>
        <v>18</v>
      </c>
      <c r="U404" s="25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ht="14.25" hidden="1" customHeight="1">
      <c r="A405" s="27" t="s">
        <v>767</v>
      </c>
      <c r="B405" s="27" t="s">
        <v>26</v>
      </c>
      <c r="C405" s="27" t="s">
        <v>786</v>
      </c>
      <c r="D405" s="27" t="s">
        <v>54</v>
      </c>
      <c r="E405" s="27" t="s">
        <v>770</v>
      </c>
      <c r="F405" s="27" t="s">
        <v>773</v>
      </c>
      <c r="G405" s="28">
        <v>2023.0</v>
      </c>
      <c r="H405" s="28">
        <v>31.0</v>
      </c>
      <c r="I405" s="28">
        <v>395.0</v>
      </c>
      <c r="J405" s="29" t="str">
        <f>'1. Base de donnée HILIN MU CM2 '!$G405&amp;"-"&amp;'1. Base de donnée HILIN MU CM2 '!$H405&amp;"-"&amp;'1. Base de donnée HILIN MU CM2 '!$I405</f>
        <v>2023-31-395</v>
      </c>
      <c r="K405" s="28">
        <f t="shared" si="1"/>
        <v>398</v>
      </c>
      <c r="L405" s="29" t="s">
        <v>31</v>
      </c>
      <c r="M405" s="29"/>
      <c r="N405" s="29"/>
      <c r="O405" s="27">
        <v>0.5</v>
      </c>
      <c r="P405" s="27">
        <v>3.0</v>
      </c>
      <c r="Q405" s="27">
        <f>SUM('1. Base de donnée HILIN MU CM2 '!$O405+'1. Base de donnée HILIN MU CM2 '!$P405)/2</f>
        <v>1.75</v>
      </c>
      <c r="R405" s="27">
        <v>14.25</v>
      </c>
      <c r="S405" s="27">
        <v>13.0</v>
      </c>
      <c r="T405" s="27">
        <f>('1. Base de donnée HILIN MU CM2 '!$R405+'1. Base de donnée HILIN MU CM2 '!$S405)/2</f>
        <v>13.625</v>
      </c>
      <c r="U405" s="30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ht="14.25" hidden="1" customHeight="1">
      <c r="A406" s="22" t="s">
        <v>767</v>
      </c>
      <c r="B406" s="22" t="s">
        <v>26</v>
      </c>
      <c r="C406" s="22" t="s">
        <v>787</v>
      </c>
      <c r="D406" s="22" t="s">
        <v>788</v>
      </c>
      <c r="E406" s="22" t="s">
        <v>770</v>
      </c>
      <c r="F406" s="22" t="s">
        <v>773</v>
      </c>
      <c r="G406" s="23">
        <v>2023.0</v>
      </c>
      <c r="H406" s="23">
        <v>31.0</v>
      </c>
      <c r="I406" s="23">
        <v>396.0</v>
      </c>
      <c r="J406" s="24" t="str">
        <f>'1. Base de donnée HILIN MU CM2 '!$G406&amp;"-"&amp;'1. Base de donnée HILIN MU CM2 '!$H406&amp;"-"&amp;'1. Base de donnée HILIN MU CM2 '!$I406</f>
        <v>2023-31-396</v>
      </c>
      <c r="K406" s="23">
        <f t="shared" si="1"/>
        <v>399</v>
      </c>
      <c r="L406" s="24" t="s">
        <v>31</v>
      </c>
      <c r="M406" s="24"/>
      <c r="N406" s="24"/>
      <c r="O406" s="22">
        <v>6.0</v>
      </c>
      <c r="P406" s="22">
        <v>2.25</v>
      </c>
      <c r="Q406" s="22">
        <f>SUM('1. Base de donnée HILIN MU CM2 '!$O406+'1. Base de donnée HILIN MU CM2 '!$P406)/2</f>
        <v>4.125</v>
      </c>
      <c r="R406" s="22">
        <v>17.0</v>
      </c>
      <c r="S406" s="22">
        <v>17.5</v>
      </c>
      <c r="T406" s="22">
        <f>('1. Base de donnée HILIN MU CM2 '!$R406+'1. Base de donnée HILIN MU CM2 '!$S406)/2</f>
        <v>17.25</v>
      </c>
      <c r="U406" s="25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ht="14.25" hidden="1" customHeight="1">
      <c r="A407" s="27" t="s">
        <v>767</v>
      </c>
      <c r="B407" s="27" t="s">
        <v>26</v>
      </c>
      <c r="C407" s="27" t="s">
        <v>789</v>
      </c>
      <c r="D407" s="27" t="s">
        <v>790</v>
      </c>
      <c r="E407" s="27" t="s">
        <v>770</v>
      </c>
      <c r="F407" s="27" t="s">
        <v>773</v>
      </c>
      <c r="G407" s="28">
        <v>2023.0</v>
      </c>
      <c r="H407" s="28">
        <v>31.0</v>
      </c>
      <c r="I407" s="28">
        <v>397.0</v>
      </c>
      <c r="J407" s="29" t="str">
        <f>'1. Base de donnée HILIN MU CM2 '!$G407&amp;"-"&amp;'1. Base de donnée HILIN MU CM2 '!$H407&amp;"-"&amp;'1. Base de donnée HILIN MU CM2 '!$I407</f>
        <v>2023-31-397</v>
      </c>
      <c r="K407" s="28">
        <f t="shared" si="1"/>
        <v>400</v>
      </c>
      <c r="L407" s="29" t="s">
        <v>31</v>
      </c>
      <c r="M407" s="29"/>
      <c r="N407" s="29"/>
      <c r="O407" s="27">
        <v>7.5</v>
      </c>
      <c r="P407" s="27">
        <v>4.75</v>
      </c>
      <c r="Q407" s="27">
        <f>SUM('1. Base de donnée HILIN MU CM2 '!$O407+'1. Base de donnée HILIN MU CM2 '!$P407)/2</f>
        <v>6.125</v>
      </c>
      <c r="R407" s="27">
        <v>18.5</v>
      </c>
      <c r="S407" s="27">
        <v>15.0</v>
      </c>
      <c r="T407" s="27">
        <f>('1. Base de donnée HILIN MU CM2 '!$R407+'1. Base de donnée HILIN MU CM2 '!$S407)/2</f>
        <v>16.75</v>
      </c>
      <c r="U407" s="30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ht="14.25" hidden="1" customHeight="1">
      <c r="A408" s="22" t="s">
        <v>767</v>
      </c>
      <c r="B408" s="22" t="s">
        <v>26</v>
      </c>
      <c r="C408" s="22" t="s">
        <v>791</v>
      </c>
      <c r="D408" s="22" t="s">
        <v>792</v>
      </c>
      <c r="E408" s="22" t="s">
        <v>770</v>
      </c>
      <c r="F408" s="22" t="s">
        <v>773</v>
      </c>
      <c r="G408" s="23">
        <v>2023.0</v>
      </c>
      <c r="H408" s="23">
        <v>31.0</v>
      </c>
      <c r="I408" s="23">
        <v>398.0</v>
      </c>
      <c r="J408" s="24" t="str">
        <f>'1. Base de donnée HILIN MU CM2 '!$G408&amp;"-"&amp;'1. Base de donnée HILIN MU CM2 '!$H408&amp;"-"&amp;'1. Base de donnée HILIN MU CM2 '!$I408</f>
        <v>2023-31-398</v>
      </c>
      <c r="K408" s="23">
        <f t="shared" si="1"/>
        <v>401</v>
      </c>
      <c r="L408" s="24" t="s">
        <v>31</v>
      </c>
      <c r="M408" s="24"/>
      <c r="N408" s="24"/>
      <c r="O408" s="22">
        <v>6.5</v>
      </c>
      <c r="P408" s="22">
        <v>6.0</v>
      </c>
      <c r="Q408" s="22">
        <f>SUM('1. Base de donnée HILIN MU CM2 '!$O408+'1. Base de donnée HILIN MU CM2 '!$P408)/2</f>
        <v>6.25</v>
      </c>
      <c r="R408" s="22">
        <v>15.5</v>
      </c>
      <c r="S408" s="22">
        <v>17.5</v>
      </c>
      <c r="T408" s="22">
        <f>('1. Base de donnée HILIN MU CM2 '!$R408+'1. Base de donnée HILIN MU CM2 '!$S408)/2</f>
        <v>16.5</v>
      </c>
      <c r="U408" s="25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ht="14.25" hidden="1" customHeight="1">
      <c r="A409" s="27" t="s">
        <v>767</v>
      </c>
      <c r="B409" s="27" t="s">
        <v>26</v>
      </c>
      <c r="C409" s="27" t="s">
        <v>793</v>
      </c>
      <c r="D409" s="27" t="s">
        <v>57</v>
      </c>
      <c r="E409" s="27" t="s">
        <v>770</v>
      </c>
      <c r="F409" s="27" t="s">
        <v>771</v>
      </c>
      <c r="G409" s="28">
        <v>2023.0</v>
      </c>
      <c r="H409" s="28">
        <v>31.0</v>
      </c>
      <c r="I409" s="28">
        <v>399.0</v>
      </c>
      <c r="J409" s="29" t="str">
        <f>'1. Base de donnée HILIN MU CM2 '!$G409&amp;"-"&amp;'1. Base de donnée HILIN MU CM2 '!$H409&amp;"-"&amp;'1. Base de donnée HILIN MU CM2 '!$I409</f>
        <v>2023-31-399</v>
      </c>
      <c r="K409" s="28">
        <f t="shared" si="1"/>
        <v>402</v>
      </c>
      <c r="L409" s="29" t="s">
        <v>31</v>
      </c>
      <c r="M409" s="29"/>
      <c r="N409" s="29"/>
      <c r="O409" s="27">
        <v>2.5</v>
      </c>
      <c r="P409" s="27">
        <v>1.0</v>
      </c>
      <c r="Q409" s="27">
        <f>SUM('1. Base de donnée HILIN MU CM2 '!$O409+'1. Base de donnée HILIN MU CM2 '!$P409)/2</f>
        <v>1.75</v>
      </c>
      <c r="R409" s="27">
        <v>12.5</v>
      </c>
      <c r="S409" s="27">
        <v>12.5</v>
      </c>
      <c r="T409" s="27">
        <f>('1. Base de donnée HILIN MU CM2 '!$R409+'1. Base de donnée HILIN MU CM2 '!$S409)/2</f>
        <v>12.5</v>
      </c>
      <c r="U409" s="30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ht="14.25" hidden="1" customHeight="1">
      <c r="A410" s="22" t="s">
        <v>767</v>
      </c>
      <c r="B410" s="22" t="s">
        <v>26</v>
      </c>
      <c r="C410" s="22" t="s">
        <v>794</v>
      </c>
      <c r="D410" s="22" t="s">
        <v>795</v>
      </c>
      <c r="E410" s="22" t="s">
        <v>770</v>
      </c>
      <c r="F410" s="22" t="s">
        <v>771</v>
      </c>
      <c r="G410" s="23">
        <v>2023.0</v>
      </c>
      <c r="H410" s="23">
        <v>31.0</v>
      </c>
      <c r="I410" s="23">
        <v>400.0</v>
      </c>
      <c r="J410" s="24" t="str">
        <f>'1. Base de donnée HILIN MU CM2 '!$G410&amp;"-"&amp;'1. Base de donnée HILIN MU CM2 '!$H410&amp;"-"&amp;'1. Base de donnée HILIN MU CM2 '!$I410</f>
        <v>2023-31-400</v>
      </c>
      <c r="K410" s="23">
        <f t="shared" si="1"/>
        <v>403</v>
      </c>
      <c r="L410" s="24" t="s">
        <v>31</v>
      </c>
      <c r="M410" s="24"/>
      <c r="N410" s="24"/>
      <c r="O410" s="22">
        <v>3.0</v>
      </c>
      <c r="P410" s="22">
        <v>5.0</v>
      </c>
      <c r="Q410" s="22">
        <f>SUM('1. Base de donnée HILIN MU CM2 '!$O410+'1. Base de donnée HILIN MU CM2 '!$P410)/2</f>
        <v>4</v>
      </c>
      <c r="R410" s="22">
        <v>17.5</v>
      </c>
      <c r="S410" s="22">
        <v>17.5</v>
      </c>
      <c r="T410" s="22">
        <f>('1. Base de donnée HILIN MU CM2 '!$R410+'1. Base de donnée HILIN MU CM2 '!$S410)/2</f>
        <v>17.5</v>
      </c>
      <c r="U410" s="25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ht="14.25" hidden="1" customHeight="1">
      <c r="A411" s="27" t="s">
        <v>767</v>
      </c>
      <c r="B411" s="27" t="s">
        <v>26</v>
      </c>
      <c r="C411" s="27" t="s">
        <v>552</v>
      </c>
      <c r="D411" s="27" t="s">
        <v>476</v>
      </c>
      <c r="E411" s="27" t="s">
        <v>770</v>
      </c>
      <c r="F411" s="27" t="s">
        <v>771</v>
      </c>
      <c r="G411" s="28">
        <v>2023.0</v>
      </c>
      <c r="H411" s="28">
        <v>31.0</v>
      </c>
      <c r="I411" s="28">
        <v>401.0</v>
      </c>
      <c r="J411" s="29" t="str">
        <f>'1. Base de donnée HILIN MU CM2 '!$G411&amp;"-"&amp;'1. Base de donnée HILIN MU CM2 '!$H411&amp;"-"&amp;'1. Base de donnée HILIN MU CM2 '!$I411</f>
        <v>2023-31-401</v>
      </c>
      <c r="K411" s="28">
        <f t="shared" si="1"/>
        <v>404</v>
      </c>
      <c r="L411" s="29" t="s">
        <v>31</v>
      </c>
      <c r="M411" s="29"/>
      <c r="N411" s="29"/>
      <c r="O411" s="27">
        <v>4.0</v>
      </c>
      <c r="P411" s="27">
        <v>3.5</v>
      </c>
      <c r="Q411" s="27">
        <f>SUM('1. Base de donnée HILIN MU CM2 '!$O411+'1. Base de donnée HILIN MU CM2 '!$P411)/2</f>
        <v>3.75</v>
      </c>
      <c r="R411" s="27">
        <v>12.0</v>
      </c>
      <c r="S411" s="27">
        <v>8.5</v>
      </c>
      <c r="T411" s="27">
        <f>('1. Base de donnée HILIN MU CM2 '!$R411+'1. Base de donnée HILIN MU CM2 '!$S411)/2</f>
        <v>10.25</v>
      </c>
      <c r="U411" s="30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ht="14.25" hidden="1" customHeight="1">
      <c r="A412" s="22" t="s">
        <v>767</v>
      </c>
      <c r="B412" s="22" t="s">
        <v>26</v>
      </c>
      <c r="C412" s="22" t="s">
        <v>796</v>
      </c>
      <c r="D412" s="22" t="s">
        <v>797</v>
      </c>
      <c r="E412" s="22" t="s">
        <v>770</v>
      </c>
      <c r="F412" s="22" t="s">
        <v>771</v>
      </c>
      <c r="G412" s="23">
        <v>2023.0</v>
      </c>
      <c r="H412" s="23">
        <v>31.0</v>
      </c>
      <c r="I412" s="23">
        <v>402.0</v>
      </c>
      <c r="J412" s="24" t="str">
        <f>'1. Base de donnée HILIN MU CM2 '!$G412&amp;"-"&amp;'1. Base de donnée HILIN MU CM2 '!$H412&amp;"-"&amp;'1. Base de donnée HILIN MU CM2 '!$I412</f>
        <v>2023-31-402</v>
      </c>
      <c r="K412" s="23">
        <f t="shared" si="1"/>
        <v>405</v>
      </c>
      <c r="L412" s="24" t="s">
        <v>31</v>
      </c>
      <c r="M412" s="24"/>
      <c r="N412" s="24"/>
      <c r="O412" s="22">
        <v>4.0</v>
      </c>
      <c r="P412" s="22">
        <v>3.0</v>
      </c>
      <c r="Q412" s="22">
        <f>SUM('1. Base de donnée HILIN MU CM2 '!$O412+'1. Base de donnée HILIN MU CM2 '!$P412)/2</f>
        <v>3.5</v>
      </c>
      <c r="R412" s="22">
        <v>18.5</v>
      </c>
      <c r="S412" s="22">
        <v>18.0</v>
      </c>
      <c r="T412" s="22">
        <f>('1. Base de donnée HILIN MU CM2 '!$R412+'1. Base de donnée HILIN MU CM2 '!$S412)/2</f>
        <v>18.25</v>
      </c>
      <c r="U412" s="25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ht="14.25" hidden="1" customHeight="1">
      <c r="A413" s="27" t="s">
        <v>767</v>
      </c>
      <c r="B413" s="27" t="s">
        <v>26</v>
      </c>
      <c r="C413" s="27" t="s">
        <v>798</v>
      </c>
      <c r="D413" s="27" t="s">
        <v>65</v>
      </c>
      <c r="E413" s="27" t="s">
        <v>770</v>
      </c>
      <c r="F413" s="27" t="s">
        <v>773</v>
      </c>
      <c r="G413" s="28">
        <v>2023.0</v>
      </c>
      <c r="H413" s="28">
        <v>31.0</v>
      </c>
      <c r="I413" s="28">
        <v>403.0</v>
      </c>
      <c r="J413" s="29" t="str">
        <f>'1. Base de donnée HILIN MU CM2 '!$G413&amp;"-"&amp;'1. Base de donnée HILIN MU CM2 '!$H413&amp;"-"&amp;'1. Base de donnée HILIN MU CM2 '!$I413</f>
        <v>2023-31-403</v>
      </c>
      <c r="K413" s="28">
        <f t="shared" si="1"/>
        <v>406</v>
      </c>
      <c r="L413" s="29" t="s">
        <v>31</v>
      </c>
      <c r="M413" s="29"/>
      <c r="N413" s="29"/>
      <c r="O413" s="27">
        <v>10.0</v>
      </c>
      <c r="P413" s="27">
        <v>5.0</v>
      </c>
      <c r="Q413" s="27">
        <f>SUM('1. Base de donnée HILIN MU CM2 '!$O413+'1. Base de donnée HILIN MU CM2 '!$P413)/2</f>
        <v>7.5</v>
      </c>
      <c r="R413" s="27">
        <v>18.0</v>
      </c>
      <c r="S413" s="27">
        <v>19.0</v>
      </c>
      <c r="T413" s="27">
        <f>('1. Base de donnée HILIN MU CM2 '!$R413+'1. Base de donnée HILIN MU CM2 '!$S413)/2</f>
        <v>18.5</v>
      </c>
      <c r="U413" s="30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ht="14.25" hidden="1" customHeight="1">
      <c r="A414" s="22" t="s">
        <v>767</v>
      </c>
      <c r="B414" s="22" t="s">
        <v>26</v>
      </c>
      <c r="C414" s="22" t="s">
        <v>799</v>
      </c>
      <c r="D414" s="22" t="s">
        <v>749</v>
      </c>
      <c r="E414" s="22" t="s">
        <v>770</v>
      </c>
      <c r="F414" s="22" t="s">
        <v>771</v>
      </c>
      <c r="G414" s="23">
        <v>2023.0</v>
      </c>
      <c r="H414" s="23">
        <v>31.0</v>
      </c>
      <c r="I414" s="23">
        <v>404.0</v>
      </c>
      <c r="J414" s="24" t="str">
        <f>'1. Base de donnée HILIN MU CM2 '!$G414&amp;"-"&amp;'1. Base de donnée HILIN MU CM2 '!$H414&amp;"-"&amp;'1. Base de donnée HILIN MU CM2 '!$I414</f>
        <v>2023-31-404</v>
      </c>
      <c r="K414" s="23">
        <f t="shared" si="1"/>
        <v>407</v>
      </c>
      <c r="L414" s="24" t="s">
        <v>31</v>
      </c>
      <c r="M414" s="24"/>
      <c r="N414" s="24"/>
      <c r="O414" s="22">
        <v>7.75</v>
      </c>
      <c r="P414" s="22">
        <v>8.0</v>
      </c>
      <c r="Q414" s="22">
        <f>SUM('1. Base de donnée HILIN MU CM2 '!$O414+'1. Base de donnée HILIN MU CM2 '!$P414)/2</f>
        <v>7.875</v>
      </c>
      <c r="R414" s="22">
        <v>18.75</v>
      </c>
      <c r="S414" s="22">
        <v>17.0</v>
      </c>
      <c r="T414" s="22">
        <f>('1. Base de donnée HILIN MU CM2 '!$R414+'1. Base de donnée HILIN MU CM2 '!$S414)/2</f>
        <v>17.875</v>
      </c>
      <c r="U414" s="25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ht="14.25" hidden="1" customHeight="1">
      <c r="A415" s="27" t="s">
        <v>767</v>
      </c>
      <c r="B415" s="27" t="s">
        <v>26</v>
      </c>
      <c r="C415" s="27" t="s">
        <v>800</v>
      </c>
      <c r="D415" s="27" t="s">
        <v>476</v>
      </c>
      <c r="E415" s="27" t="s">
        <v>770</v>
      </c>
      <c r="F415" s="27" t="s">
        <v>771</v>
      </c>
      <c r="G415" s="28">
        <v>2023.0</v>
      </c>
      <c r="H415" s="28">
        <v>31.0</v>
      </c>
      <c r="I415" s="28">
        <v>405.0</v>
      </c>
      <c r="J415" s="29" t="str">
        <f>'1. Base de donnée HILIN MU CM2 '!$G415&amp;"-"&amp;'1. Base de donnée HILIN MU CM2 '!$H415&amp;"-"&amp;'1. Base de donnée HILIN MU CM2 '!$I415</f>
        <v>2023-31-405</v>
      </c>
      <c r="K415" s="28">
        <f t="shared" si="1"/>
        <v>408</v>
      </c>
      <c r="L415" s="29" t="s">
        <v>31</v>
      </c>
      <c r="M415" s="29"/>
      <c r="N415" s="29"/>
      <c r="O415" s="27">
        <v>3.5</v>
      </c>
      <c r="P415" s="27">
        <v>3.0</v>
      </c>
      <c r="Q415" s="27">
        <f>SUM('1. Base de donnée HILIN MU CM2 '!$O415+'1. Base de donnée HILIN MU CM2 '!$P415)/2</f>
        <v>3.25</v>
      </c>
      <c r="R415" s="27">
        <v>16.0</v>
      </c>
      <c r="S415" s="27">
        <v>19.0</v>
      </c>
      <c r="T415" s="27">
        <f>('1. Base de donnée HILIN MU CM2 '!$R415+'1. Base de donnée HILIN MU CM2 '!$S415)/2</f>
        <v>17.5</v>
      </c>
      <c r="U415" s="30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ht="14.25" hidden="1" customHeight="1">
      <c r="A416" s="22" t="s">
        <v>767</v>
      </c>
      <c r="B416" s="22" t="s">
        <v>26</v>
      </c>
      <c r="C416" s="22" t="s">
        <v>801</v>
      </c>
      <c r="D416" s="22" t="s">
        <v>721</v>
      </c>
      <c r="E416" s="22" t="s">
        <v>770</v>
      </c>
      <c r="F416" s="22" t="s">
        <v>771</v>
      </c>
      <c r="G416" s="23">
        <v>2023.0</v>
      </c>
      <c r="H416" s="23">
        <v>31.0</v>
      </c>
      <c r="I416" s="23">
        <v>406.0</v>
      </c>
      <c r="J416" s="24" t="str">
        <f>'1. Base de donnée HILIN MU CM2 '!$G416&amp;"-"&amp;'1. Base de donnée HILIN MU CM2 '!$H416&amp;"-"&amp;'1. Base de donnée HILIN MU CM2 '!$I416</f>
        <v>2023-31-406</v>
      </c>
      <c r="K416" s="23">
        <f t="shared" si="1"/>
        <v>409</v>
      </c>
      <c r="L416" s="24" t="s">
        <v>31</v>
      </c>
      <c r="M416" s="24"/>
      <c r="N416" s="24"/>
      <c r="O416" s="22">
        <v>8.0</v>
      </c>
      <c r="P416" s="22">
        <v>7.0</v>
      </c>
      <c r="Q416" s="22">
        <f>SUM('1. Base de donnée HILIN MU CM2 '!$O416+'1. Base de donnée HILIN MU CM2 '!$P416)/2</f>
        <v>7.5</v>
      </c>
      <c r="R416" s="22">
        <v>15.0</v>
      </c>
      <c r="S416" s="22">
        <v>13.5</v>
      </c>
      <c r="T416" s="22">
        <f>('1. Base de donnée HILIN MU CM2 '!$R416+'1. Base de donnée HILIN MU CM2 '!$S416)/2</f>
        <v>14.25</v>
      </c>
      <c r="U416" s="25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ht="14.25" hidden="1" customHeight="1">
      <c r="A417" s="27" t="s">
        <v>767</v>
      </c>
      <c r="B417" s="27" t="s">
        <v>26</v>
      </c>
      <c r="C417" s="27" t="s">
        <v>802</v>
      </c>
      <c r="D417" s="27" t="s">
        <v>185</v>
      </c>
      <c r="E417" s="27" t="s">
        <v>770</v>
      </c>
      <c r="F417" s="27" t="s">
        <v>773</v>
      </c>
      <c r="G417" s="28">
        <v>2023.0</v>
      </c>
      <c r="H417" s="28">
        <v>31.0</v>
      </c>
      <c r="I417" s="28">
        <v>407.0</v>
      </c>
      <c r="J417" s="29" t="str">
        <f>'1. Base de donnée HILIN MU CM2 '!$G417&amp;"-"&amp;'1. Base de donnée HILIN MU CM2 '!$H417&amp;"-"&amp;'1. Base de donnée HILIN MU CM2 '!$I417</f>
        <v>2023-31-407</v>
      </c>
      <c r="K417" s="28">
        <f t="shared" si="1"/>
        <v>410</v>
      </c>
      <c r="L417" s="29" t="s">
        <v>31</v>
      </c>
      <c r="M417" s="29"/>
      <c r="N417" s="29"/>
      <c r="O417" s="27">
        <v>4.0</v>
      </c>
      <c r="P417" s="27">
        <v>5.0</v>
      </c>
      <c r="Q417" s="27">
        <f>SUM('1. Base de donnée HILIN MU CM2 '!$O417+'1. Base de donnée HILIN MU CM2 '!$P417)/2</f>
        <v>4.5</v>
      </c>
      <c r="R417" s="27">
        <v>17.0</v>
      </c>
      <c r="S417" s="27">
        <v>12.0</v>
      </c>
      <c r="T417" s="27">
        <f>('1. Base de donnée HILIN MU CM2 '!$R417+'1. Base de donnée HILIN MU CM2 '!$S417)/2</f>
        <v>14.5</v>
      </c>
      <c r="U417" s="30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ht="14.25" hidden="1" customHeight="1">
      <c r="A418" s="22" t="s">
        <v>803</v>
      </c>
      <c r="B418" s="22" t="s">
        <v>223</v>
      </c>
      <c r="C418" s="22" t="s">
        <v>804</v>
      </c>
      <c r="D418" s="22" t="s">
        <v>59</v>
      </c>
      <c r="E418" s="22" t="s">
        <v>805</v>
      </c>
      <c r="F418" s="22" t="s">
        <v>806</v>
      </c>
      <c r="G418" s="23">
        <v>2023.0</v>
      </c>
      <c r="H418" s="23">
        <v>34.0</v>
      </c>
      <c r="I418" s="23">
        <v>411.0</v>
      </c>
      <c r="J418" s="24" t="str">
        <f>'1. Base de donnée HILIN MU CM2 '!$G418&amp;"-"&amp;'1. Base de donnée HILIN MU CM2 '!$H418&amp;"-"&amp;'1. Base de donnée HILIN MU CM2 '!$I418</f>
        <v>2023-34-411</v>
      </c>
      <c r="K418" s="23">
        <f t="shared" si="1"/>
        <v>411</v>
      </c>
      <c r="L418" s="24" t="s">
        <v>31</v>
      </c>
      <c r="M418" s="24"/>
      <c r="N418" s="24"/>
      <c r="O418" s="22">
        <v>3.0</v>
      </c>
      <c r="P418" s="22">
        <v>1.5</v>
      </c>
      <c r="Q418" s="22">
        <f>SUM('1. Base de donnée HILIN MU CM2 '!$O418+'1. Base de donnée HILIN MU CM2 '!$P418)/2</f>
        <v>2.25</v>
      </c>
      <c r="R418" s="22">
        <v>16.0</v>
      </c>
      <c r="S418" s="22">
        <v>13.0</v>
      </c>
      <c r="T418" s="22">
        <f>('1. Base de donnée HILIN MU CM2 '!$R418+'1. Base de donnée HILIN MU CM2 '!$S418)/2</f>
        <v>14.5</v>
      </c>
      <c r="U418" s="25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ht="14.25" hidden="1" customHeight="1">
      <c r="A419" s="27" t="s">
        <v>803</v>
      </c>
      <c r="B419" s="27" t="s">
        <v>223</v>
      </c>
      <c r="C419" s="27" t="s">
        <v>807</v>
      </c>
      <c r="D419" s="27" t="s">
        <v>808</v>
      </c>
      <c r="E419" s="27" t="s">
        <v>805</v>
      </c>
      <c r="F419" s="27" t="s">
        <v>806</v>
      </c>
      <c r="G419" s="28">
        <v>2023.0</v>
      </c>
      <c r="H419" s="28">
        <v>34.0</v>
      </c>
      <c r="I419" s="28">
        <v>412.0</v>
      </c>
      <c r="J419" s="29" t="str">
        <f>'1. Base de donnée HILIN MU CM2 '!$G419&amp;"-"&amp;'1. Base de donnée HILIN MU CM2 '!$H419&amp;"-"&amp;'1. Base de donnée HILIN MU CM2 '!$I419</f>
        <v>2023-34-412</v>
      </c>
      <c r="K419" s="28">
        <f t="shared" si="1"/>
        <v>412</v>
      </c>
      <c r="L419" s="29" t="s">
        <v>31</v>
      </c>
      <c r="M419" s="29"/>
      <c r="N419" s="29"/>
      <c r="O419" s="27">
        <v>4.0</v>
      </c>
      <c r="P419" s="27">
        <v>2.0</v>
      </c>
      <c r="Q419" s="27">
        <f>SUM('1. Base de donnée HILIN MU CM2 '!$O419+'1. Base de donnée HILIN MU CM2 '!$P419)/2</f>
        <v>3</v>
      </c>
      <c r="R419" s="27">
        <v>16.0</v>
      </c>
      <c r="S419" s="27">
        <v>15.0</v>
      </c>
      <c r="T419" s="27">
        <f>('1. Base de donnée HILIN MU CM2 '!$R419+'1. Base de donnée HILIN MU CM2 '!$S419)/2</f>
        <v>15.5</v>
      </c>
      <c r="U419" s="30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ht="14.25" hidden="1" customHeight="1">
      <c r="A420" s="22" t="s">
        <v>803</v>
      </c>
      <c r="B420" s="22" t="s">
        <v>223</v>
      </c>
      <c r="C420" s="22" t="s">
        <v>809</v>
      </c>
      <c r="D420" s="22" t="s">
        <v>810</v>
      </c>
      <c r="E420" s="22" t="s">
        <v>805</v>
      </c>
      <c r="F420" s="22" t="s">
        <v>806</v>
      </c>
      <c r="G420" s="23">
        <v>2023.0</v>
      </c>
      <c r="H420" s="23">
        <v>34.0</v>
      </c>
      <c r="I420" s="23">
        <v>416.0</v>
      </c>
      <c r="J420" s="24" t="str">
        <f>'1. Base de donnée HILIN MU CM2 '!$G420&amp;"-"&amp;'1. Base de donnée HILIN MU CM2 '!$H420&amp;"-"&amp;'1. Base de donnée HILIN MU CM2 '!$I420</f>
        <v>2023-34-416</v>
      </c>
      <c r="K420" s="23">
        <f t="shared" si="1"/>
        <v>413</v>
      </c>
      <c r="L420" s="24" t="s">
        <v>31</v>
      </c>
      <c r="M420" s="24"/>
      <c r="N420" s="24"/>
      <c r="O420" s="22">
        <v>4.0</v>
      </c>
      <c r="P420" s="22">
        <v>6.0</v>
      </c>
      <c r="Q420" s="22">
        <f>SUM('1. Base de donnée HILIN MU CM2 '!$O420+'1. Base de donnée HILIN MU CM2 '!$P420)/2</f>
        <v>5</v>
      </c>
      <c r="R420" s="22">
        <v>16.5</v>
      </c>
      <c r="S420" s="22">
        <v>15.0</v>
      </c>
      <c r="T420" s="22">
        <f>('1. Base de donnée HILIN MU CM2 '!$R420+'1. Base de donnée HILIN MU CM2 '!$S420)/2</f>
        <v>15.75</v>
      </c>
      <c r="U420" s="25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ht="14.25" hidden="1" customHeight="1">
      <c r="A421" s="27" t="s">
        <v>803</v>
      </c>
      <c r="B421" s="27" t="s">
        <v>223</v>
      </c>
      <c r="C421" s="27" t="s">
        <v>811</v>
      </c>
      <c r="D421" s="27" t="s">
        <v>812</v>
      </c>
      <c r="E421" s="27" t="s">
        <v>805</v>
      </c>
      <c r="F421" s="27" t="s">
        <v>806</v>
      </c>
      <c r="G421" s="28">
        <v>2023.0</v>
      </c>
      <c r="H421" s="28">
        <v>34.0</v>
      </c>
      <c r="I421" s="28">
        <v>417.0</v>
      </c>
      <c r="J421" s="29" t="str">
        <f>'1. Base de donnée HILIN MU CM2 '!$G421&amp;"-"&amp;'1. Base de donnée HILIN MU CM2 '!$H421&amp;"-"&amp;'1. Base de donnée HILIN MU CM2 '!$I421</f>
        <v>2023-34-417</v>
      </c>
      <c r="K421" s="28">
        <f t="shared" si="1"/>
        <v>414</v>
      </c>
      <c r="L421" s="29" t="s">
        <v>31</v>
      </c>
      <c r="M421" s="29"/>
      <c r="N421" s="29"/>
      <c r="O421" s="27">
        <v>3.5</v>
      </c>
      <c r="P421" s="27">
        <v>0.5</v>
      </c>
      <c r="Q421" s="27">
        <f>SUM('1. Base de donnée HILIN MU CM2 '!$O421+'1. Base de donnée HILIN MU CM2 '!$P421)/2</f>
        <v>2</v>
      </c>
      <c r="R421" s="27">
        <v>12.5</v>
      </c>
      <c r="S421" s="27">
        <v>14.5</v>
      </c>
      <c r="T421" s="27">
        <f>('1. Base de donnée HILIN MU CM2 '!$R421+'1. Base de donnée HILIN MU CM2 '!$S421)/2</f>
        <v>13.5</v>
      </c>
      <c r="U421" s="30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ht="14.25" hidden="1" customHeight="1">
      <c r="A422" s="22" t="s">
        <v>803</v>
      </c>
      <c r="B422" s="22" t="s">
        <v>223</v>
      </c>
      <c r="C422" s="22" t="s">
        <v>813</v>
      </c>
      <c r="D422" s="22" t="s">
        <v>245</v>
      </c>
      <c r="E422" s="22" t="s">
        <v>805</v>
      </c>
      <c r="F422" s="22" t="s">
        <v>806</v>
      </c>
      <c r="G422" s="23">
        <v>2023.0</v>
      </c>
      <c r="H422" s="23">
        <v>34.0</v>
      </c>
      <c r="I422" s="23">
        <v>418.0</v>
      </c>
      <c r="J422" s="24" t="str">
        <f>'1. Base de donnée HILIN MU CM2 '!$G422&amp;"-"&amp;'1. Base de donnée HILIN MU CM2 '!$H422&amp;"-"&amp;'1. Base de donnée HILIN MU CM2 '!$I422</f>
        <v>2023-34-418</v>
      </c>
      <c r="K422" s="23">
        <f t="shared" si="1"/>
        <v>415</v>
      </c>
      <c r="L422" s="24" t="s">
        <v>31</v>
      </c>
      <c r="M422" s="24"/>
      <c r="N422" s="24"/>
      <c r="O422" s="22">
        <v>4.5</v>
      </c>
      <c r="P422" s="22">
        <v>2.75</v>
      </c>
      <c r="Q422" s="22">
        <f>SUM('1. Base de donnée HILIN MU CM2 '!$O422+'1. Base de donnée HILIN MU CM2 '!$P422)/2</f>
        <v>3.625</v>
      </c>
      <c r="R422" s="22">
        <v>12.0</v>
      </c>
      <c r="S422" s="22">
        <v>15.0</v>
      </c>
      <c r="T422" s="22">
        <f>('1. Base de donnée HILIN MU CM2 '!$R422+'1. Base de donnée HILIN MU CM2 '!$S422)/2</f>
        <v>13.5</v>
      </c>
      <c r="U422" s="25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ht="14.25" hidden="1" customHeight="1">
      <c r="A423" s="27" t="s">
        <v>803</v>
      </c>
      <c r="B423" s="27" t="s">
        <v>223</v>
      </c>
      <c r="C423" s="27" t="s">
        <v>814</v>
      </c>
      <c r="D423" s="27" t="s">
        <v>815</v>
      </c>
      <c r="E423" s="27" t="s">
        <v>805</v>
      </c>
      <c r="F423" s="27" t="s">
        <v>806</v>
      </c>
      <c r="G423" s="28">
        <v>2023.0</v>
      </c>
      <c r="H423" s="28">
        <v>34.0</v>
      </c>
      <c r="I423" s="28">
        <v>419.0</v>
      </c>
      <c r="J423" s="29" t="str">
        <f>'1. Base de donnée HILIN MU CM2 '!$G423&amp;"-"&amp;'1. Base de donnée HILIN MU CM2 '!$H423&amp;"-"&amp;'1. Base de donnée HILIN MU CM2 '!$I423</f>
        <v>2023-34-419</v>
      </c>
      <c r="K423" s="28">
        <f t="shared" si="1"/>
        <v>416</v>
      </c>
      <c r="L423" s="29" t="s">
        <v>31</v>
      </c>
      <c r="M423" s="29"/>
      <c r="N423" s="29"/>
      <c r="O423" s="27">
        <v>3.0</v>
      </c>
      <c r="P423" s="27">
        <v>0.25</v>
      </c>
      <c r="Q423" s="27">
        <f>SUM('1. Base de donnée HILIN MU CM2 '!$O423+'1. Base de donnée HILIN MU CM2 '!$P423)/2</f>
        <v>1.625</v>
      </c>
      <c r="R423" s="27">
        <v>16.5</v>
      </c>
      <c r="S423" s="27">
        <v>14.5</v>
      </c>
      <c r="T423" s="27">
        <f>('1. Base de donnée HILIN MU CM2 '!$R423+'1. Base de donnée HILIN MU CM2 '!$S423)/2</f>
        <v>15.5</v>
      </c>
      <c r="U423" s="30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ht="14.25" hidden="1" customHeight="1">
      <c r="A424" s="22" t="s">
        <v>803</v>
      </c>
      <c r="B424" s="22" t="s">
        <v>223</v>
      </c>
      <c r="C424" s="22" t="s">
        <v>816</v>
      </c>
      <c r="D424" s="22" t="s">
        <v>817</v>
      </c>
      <c r="E424" s="22" t="s">
        <v>805</v>
      </c>
      <c r="F424" s="22" t="s">
        <v>806</v>
      </c>
      <c r="G424" s="23">
        <v>2023.0</v>
      </c>
      <c r="H424" s="23">
        <v>34.0</v>
      </c>
      <c r="I424" s="23">
        <v>420.0</v>
      </c>
      <c r="J424" s="24" t="str">
        <f>'1. Base de donnée HILIN MU CM2 '!$G424&amp;"-"&amp;'1. Base de donnée HILIN MU CM2 '!$H424&amp;"-"&amp;'1. Base de donnée HILIN MU CM2 '!$I424</f>
        <v>2023-34-420</v>
      </c>
      <c r="K424" s="23">
        <f t="shared" si="1"/>
        <v>417</v>
      </c>
      <c r="L424" s="24" t="s">
        <v>31</v>
      </c>
      <c r="M424" s="24"/>
      <c r="N424" s="24"/>
      <c r="O424" s="22">
        <v>10.5</v>
      </c>
      <c r="P424" s="22">
        <v>8.75</v>
      </c>
      <c r="Q424" s="22">
        <f>SUM('1. Base de donnée HILIN MU CM2 '!$O424+'1. Base de donnée HILIN MU CM2 '!$P424)/2</f>
        <v>9.625</v>
      </c>
      <c r="R424" s="22">
        <v>18.5</v>
      </c>
      <c r="S424" s="22">
        <v>17.75</v>
      </c>
      <c r="T424" s="22">
        <f>('1. Base de donnée HILIN MU CM2 '!$R424+'1. Base de donnée HILIN MU CM2 '!$S424)/2</f>
        <v>18.125</v>
      </c>
      <c r="U424" s="25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ht="14.25" hidden="1" customHeight="1">
      <c r="A425" s="27" t="s">
        <v>803</v>
      </c>
      <c r="B425" s="27" t="s">
        <v>223</v>
      </c>
      <c r="C425" s="27" t="s">
        <v>818</v>
      </c>
      <c r="D425" s="27" t="s">
        <v>714</v>
      </c>
      <c r="E425" s="27" t="s">
        <v>805</v>
      </c>
      <c r="F425" s="27" t="s">
        <v>806</v>
      </c>
      <c r="G425" s="28">
        <v>2023.0</v>
      </c>
      <c r="H425" s="28">
        <v>34.0</v>
      </c>
      <c r="I425" s="28">
        <v>421.0</v>
      </c>
      <c r="J425" s="29" t="str">
        <f>'1. Base de donnée HILIN MU CM2 '!$G425&amp;"-"&amp;'1. Base de donnée HILIN MU CM2 '!$H425&amp;"-"&amp;'1. Base de donnée HILIN MU CM2 '!$I425</f>
        <v>2023-34-421</v>
      </c>
      <c r="K425" s="28">
        <f t="shared" si="1"/>
        <v>418</v>
      </c>
      <c r="L425" s="29" t="s">
        <v>31</v>
      </c>
      <c r="M425" s="29"/>
      <c r="N425" s="29"/>
      <c r="O425" s="27">
        <v>4.0</v>
      </c>
      <c r="P425" s="27">
        <v>4.25</v>
      </c>
      <c r="Q425" s="27">
        <f>SUM('1. Base de donnée HILIN MU CM2 '!$O425+'1. Base de donnée HILIN MU CM2 '!$P425)/2</f>
        <v>4.125</v>
      </c>
      <c r="R425" s="27">
        <v>11.0</v>
      </c>
      <c r="S425" s="27">
        <v>11.5</v>
      </c>
      <c r="T425" s="27">
        <f>('1. Base de donnée HILIN MU CM2 '!$R425+'1. Base de donnée HILIN MU CM2 '!$S425)/2</f>
        <v>11.25</v>
      </c>
      <c r="U425" s="30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ht="14.25" hidden="1" customHeight="1">
      <c r="A426" s="22" t="s">
        <v>803</v>
      </c>
      <c r="B426" s="22" t="s">
        <v>223</v>
      </c>
      <c r="C426" s="22" t="s">
        <v>819</v>
      </c>
      <c r="D426" s="22" t="s">
        <v>65</v>
      </c>
      <c r="E426" s="22" t="s">
        <v>805</v>
      </c>
      <c r="F426" s="22" t="s">
        <v>806</v>
      </c>
      <c r="G426" s="23">
        <v>2023.0</v>
      </c>
      <c r="H426" s="23">
        <v>34.0</v>
      </c>
      <c r="I426" s="23">
        <v>422.0</v>
      </c>
      <c r="J426" s="24" t="str">
        <f>'1. Base de donnée HILIN MU CM2 '!$G426&amp;"-"&amp;'1. Base de donnée HILIN MU CM2 '!$H426&amp;"-"&amp;'1. Base de donnée HILIN MU CM2 '!$I426</f>
        <v>2023-34-422</v>
      </c>
      <c r="K426" s="23">
        <f t="shared" si="1"/>
        <v>419</v>
      </c>
      <c r="L426" s="24" t="s">
        <v>31</v>
      </c>
      <c r="M426" s="24"/>
      <c r="N426" s="24"/>
      <c r="O426" s="22">
        <v>8.5</v>
      </c>
      <c r="P426" s="22">
        <v>11.0</v>
      </c>
      <c r="Q426" s="22">
        <f>SUM('1. Base de donnée HILIN MU CM2 '!$O426+'1. Base de donnée HILIN MU CM2 '!$P426)/2</f>
        <v>9.75</v>
      </c>
      <c r="R426" s="22">
        <v>18.5</v>
      </c>
      <c r="S426" s="22">
        <v>19.5</v>
      </c>
      <c r="T426" s="22">
        <f>('1. Base de donnée HILIN MU CM2 '!$R426+'1. Base de donnée HILIN MU CM2 '!$S426)/2</f>
        <v>19</v>
      </c>
      <c r="U426" s="25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ht="14.25" hidden="1" customHeight="1">
      <c r="A427" s="27" t="s">
        <v>803</v>
      </c>
      <c r="B427" s="27" t="s">
        <v>223</v>
      </c>
      <c r="C427" s="27" t="s">
        <v>820</v>
      </c>
      <c r="D427" s="27" t="s">
        <v>821</v>
      </c>
      <c r="E427" s="27" t="s">
        <v>805</v>
      </c>
      <c r="F427" s="27" t="s">
        <v>806</v>
      </c>
      <c r="G427" s="28">
        <v>2023.0</v>
      </c>
      <c r="H427" s="28">
        <v>34.0</v>
      </c>
      <c r="I427" s="28">
        <v>424.0</v>
      </c>
      <c r="J427" s="29" t="str">
        <f>'1. Base de donnée HILIN MU CM2 '!$G427&amp;"-"&amp;'1. Base de donnée HILIN MU CM2 '!$H427&amp;"-"&amp;'1. Base de donnée HILIN MU CM2 '!$I427</f>
        <v>2023-34-424</v>
      </c>
      <c r="K427" s="28">
        <f t="shared" si="1"/>
        <v>420</v>
      </c>
      <c r="L427" s="29" t="s">
        <v>31</v>
      </c>
      <c r="M427" s="29"/>
      <c r="N427" s="29"/>
      <c r="O427" s="27">
        <v>11.5</v>
      </c>
      <c r="P427" s="27">
        <v>5.75</v>
      </c>
      <c r="Q427" s="27">
        <f>SUM('1. Base de donnée HILIN MU CM2 '!$O427+'1. Base de donnée HILIN MU CM2 '!$P427)/2</f>
        <v>8.625</v>
      </c>
      <c r="R427" s="27">
        <v>13.0</v>
      </c>
      <c r="S427" s="27">
        <v>18.5</v>
      </c>
      <c r="T427" s="27">
        <f>('1. Base de donnée HILIN MU CM2 '!$R427+'1. Base de donnée HILIN MU CM2 '!$S427)/2</f>
        <v>15.75</v>
      </c>
      <c r="U427" s="30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ht="14.25" hidden="1" customHeight="1">
      <c r="A428" s="22" t="s">
        <v>803</v>
      </c>
      <c r="B428" s="22" t="s">
        <v>223</v>
      </c>
      <c r="C428" s="22" t="s">
        <v>822</v>
      </c>
      <c r="D428" s="22" t="s">
        <v>823</v>
      </c>
      <c r="E428" s="22" t="s">
        <v>805</v>
      </c>
      <c r="F428" s="22" t="s">
        <v>806</v>
      </c>
      <c r="G428" s="23">
        <v>2023.0</v>
      </c>
      <c r="H428" s="23">
        <v>34.0</v>
      </c>
      <c r="I428" s="23">
        <v>425.0</v>
      </c>
      <c r="J428" s="24" t="str">
        <f>'1. Base de donnée HILIN MU CM2 '!$G428&amp;"-"&amp;'1. Base de donnée HILIN MU CM2 '!$H428&amp;"-"&amp;'1. Base de donnée HILIN MU CM2 '!$I428</f>
        <v>2023-34-425</v>
      </c>
      <c r="K428" s="23">
        <f t="shared" si="1"/>
        <v>421</v>
      </c>
      <c r="L428" s="24" t="s">
        <v>31</v>
      </c>
      <c r="M428" s="24"/>
      <c r="N428" s="24"/>
      <c r="O428" s="22">
        <v>8.0</v>
      </c>
      <c r="P428" s="22">
        <v>10.5</v>
      </c>
      <c r="Q428" s="22">
        <f>SUM('1. Base de donnée HILIN MU CM2 '!$O428+'1. Base de donnée HILIN MU CM2 '!$P428)/2</f>
        <v>9.25</v>
      </c>
      <c r="R428" s="22">
        <v>19.0</v>
      </c>
      <c r="S428" s="22">
        <v>19.5</v>
      </c>
      <c r="T428" s="22">
        <f>('1. Base de donnée HILIN MU CM2 '!$R428+'1. Base de donnée HILIN MU CM2 '!$S428)/2</f>
        <v>19.25</v>
      </c>
      <c r="U428" s="25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ht="14.25" hidden="1" customHeight="1">
      <c r="A429" s="27" t="s">
        <v>803</v>
      </c>
      <c r="B429" s="27" t="s">
        <v>223</v>
      </c>
      <c r="C429" s="27" t="s">
        <v>824</v>
      </c>
      <c r="D429" s="27" t="s">
        <v>825</v>
      </c>
      <c r="E429" s="27" t="s">
        <v>805</v>
      </c>
      <c r="F429" s="27" t="s">
        <v>806</v>
      </c>
      <c r="G429" s="28">
        <v>2023.0</v>
      </c>
      <c r="H429" s="28">
        <v>34.0</v>
      </c>
      <c r="I429" s="28">
        <v>427.0</v>
      </c>
      <c r="J429" s="29" t="str">
        <f>'1. Base de donnée HILIN MU CM2 '!$G429&amp;"-"&amp;'1. Base de donnée HILIN MU CM2 '!$H429&amp;"-"&amp;'1. Base de donnée HILIN MU CM2 '!$I429</f>
        <v>2023-34-427</v>
      </c>
      <c r="K429" s="28">
        <f t="shared" si="1"/>
        <v>422</v>
      </c>
      <c r="L429" s="29" t="s">
        <v>31</v>
      </c>
      <c r="M429" s="29"/>
      <c r="N429" s="29"/>
      <c r="O429" s="27">
        <v>5.0</v>
      </c>
      <c r="P429" s="27">
        <v>2.5</v>
      </c>
      <c r="Q429" s="27">
        <f>SUM('1. Base de donnée HILIN MU CM2 '!$O429+'1. Base de donnée HILIN MU CM2 '!$P429)/2</f>
        <v>3.75</v>
      </c>
      <c r="R429" s="27">
        <v>10.5</v>
      </c>
      <c r="S429" s="27">
        <v>15.0</v>
      </c>
      <c r="T429" s="27">
        <f>('1. Base de donnée HILIN MU CM2 '!$R429+'1. Base de donnée HILIN MU CM2 '!$S429)/2</f>
        <v>12.75</v>
      </c>
      <c r="U429" s="30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ht="14.25" hidden="1" customHeight="1">
      <c r="A430" s="22" t="s">
        <v>803</v>
      </c>
      <c r="B430" s="22" t="s">
        <v>223</v>
      </c>
      <c r="C430" s="22" t="s">
        <v>826</v>
      </c>
      <c r="D430" s="22" t="s">
        <v>351</v>
      </c>
      <c r="E430" s="22" t="s">
        <v>805</v>
      </c>
      <c r="F430" s="22" t="s">
        <v>806</v>
      </c>
      <c r="G430" s="23">
        <v>2023.0</v>
      </c>
      <c r="H430" s="23">
        <v>34.0</v>
      </c>
      <c r="I430" s="23">
        <v>428.0</v>
      </c>
      <c r="J430" s="24" t="str">
        <f>'1. Base de donnée HILIN MU CM2 '!$G430&amp;"-"&amp;'1. Base de donnée HILIN MU CM2 '!$H430&amp;"-"&amp;'1. Base de donnée HILIN MU CM2 '!$I430</f>
        <v>2023-34-428</v>
      </c>
      <c r="K430" s="23">
        <f t="shared" si="1"/>
        <v>423</v>
      </c>
      <c r="L430" s="24" t="s">
        <v>31</v>
      </c>
      <c r="M430" s="24"/>
      <c r="N430" s="24"/>
      <c r="O430" s="22">
        <v>5.0</v>
      </c>
      <c r="P430" s="22">
        <v>1.5</v>
      </c>
      <c r="Q430" s="22">
        <f>SUM('1. Base de donnée HILIN MU CM2 '!$O430+'1. Base de donnée HILIN MU CM2 '!$P430)/2</f>
        <v>3.25</v>
      </c>
      <c r="R430" s="22">
        <v>14.5</v>
      </c>
      <c r="S430" s="22">
        <v>17.5</v>
      </c>
      <c r="T430" s="22">
        <f>('1. Base de donnée HILIN MU CM2 '!$R430+'1. Base de donnée HILIN MU CM2 '!$S430)/2</f>
        <v>16</v>
      </c>
      <c r="U430" s="25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ht="14.25" hidden="1" customHeight="1">
      <c r="A431" s="27" t="s">
        <v>803</v>
      </c>
      <c r="B431" s="27" t="s">
        <v>223</v>
      </c>
      <c r="C431" s="27" t="s">
        <v>827</v>
      </c>
      <c r="D431" s="27" t="s">
        <v>828</v>
      </c>
      <c r="E431" s="27" t="s">
        <v>805</v>
      </c>
      <c r="F431" s="27" t="s">
        <v>806</v>
      </c>
      <c r="G431" s="28">
        <v>2023.0</v>
      </c>
      <c r="H431" s="28">
        <v>34.0</v>
      </c>
      <c r="I431" s="28">
        <v>429.0</v>
      </c>
      <c r="J431" s="29" t="str">
        <f>'1. Base de donnée HILIN MU CM2 '!$G431&amp;"-"&amp;'1. Base de donnée HILIN MU CM2 '!$H431&amp;"-"&amp;'1. Base de donnée HILIN MU CM2 '!$I431</f>
        <v>2023-34-429</v>
      </c>
      <c r="K431" s="28">
        <f t="shared" si="1"/>
        <v>424</v>
      </c>
      <c r="L431" s="29" t="s">
        <v>31</v>
      </c>
      <c r="M431" s="29"/>
      <c r="N431" s="29"/>
      <c r="O431" s="27">
        <v>8.0</v>
      </c>
      <c r="P431" s="27">
        <v>4.75</v>
      </c>
      <c r="Q431" s="27">
        <f>SUM('1. Base de donnée HILIN MU CM2 '!$O431+'1. Base de donnée HILIN MU CM2 '!$P431)/2</f>
        <v>6.375</v>
      </c>
      <c r="R431" s="27">
        <v>18.5</v>
      </c>
      <c r="S431" s="27">
        <v>17.0</v>
      </c>
      <c r="T431" s="27">
        <f>('1. Base de donnée HILIN MU CM2 '!$R431+'1. Base de donnée HILIN MU CM2 '!$S431)/2</f>
        <v>17.75</v>
      </c>
      <c r="U431" s="30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ht="14.25" hidden="1" customHeight="1">
      <c r="A432" s="22" t="s">
        <v>803</v>
      </c>
      <c r="B432" s="22" t="s">
        <v>223</v>
      </c>
      <c r="C432" s="22" t="s">
        <v>829</v>
      </c>
      <c r="D432" s="22" t="s">
        <v>476</v>
      </c>
      <c r="E432" s="22" t="s">
        <v>805</v>
      </c>
      <c r="F432" s="22" t="s">
        <v>806</v>
      </c>
      <c r="G432" s="23">
        <v>2023.0</v>
      </c>
      <c r="H432" s="23">
        <v>34.0</v>
      </c>
      <c r="I432" s="23">
        <v>430.0</v>
      </c>
      <c r="J432" s="24" t="str">
        <f>'1. Base de donnée HILIN MU CM2 '!$G432&amp;"-"&amp;'1. Base de donnée HILIN MU CM2 '!$H432&amp;"-"&amp;'1. Base de donnée HILIN MU CM2 '!$I432</f>
        <v>2023-34-430</v>
      </c>
      <c r="K432" s="23">
        <f t="shared" si="1"/>
        <v>425</v>
      </c>
      <c r="L432" s="24" t="s">
        <v>31</v>
      </c>
      <c r="M432" s="24"/>
      <c r="N432" s="24"/>
      <c r="O432" s="22">
        <v>1.0</v>
      </c>
      <c r="P432" s="22">
        <v>2.0</v>
      </c>
      <c r="Q432" s="22">
        <f>SUM('1. Base de donnée HILIN MU CM2 '!$O432+'1. Base de donnée HILIN MU CM2 '!$P432)/2</f>
        <v>1.5</v>
      </c>
      <c r="R432" s="22">
        <v>9.5</v>
      </c>
      <c r="S432" s="22">
        <v>12.0</v>
      </c>
      <c r="T432" s="22">
        <f>('1. Base de donnée HILIN MU CM2 '!$R432+'1. Base de donnée HILIN MU CM2 '!$S432)/2</f>
        <v>10.75</v>
      </c>
      <c r="U432" s="25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</row>
    <row r="433" ht="14.25" hidden="1" customHeight="1">
      <c r="A433" s="27" t="s">
        <v>803</v>
      </c>
      <c r="B433" s="27" t="s">
        <v>223</v>
      </c>
      <c r="C433" s="27" t="s">
        <v>830</v>
      </c>
      <c r="D433" s="27" t="s">
        <v>831</v>
      </c>
      <c r="E433" s="27" t="s">
        <v>805</v>
      </c>
      <c r="F433" s="27" t="s">
        <v>806</v>
      </c>
      <c r="G433" s="28">
        <v>2023.0</v>
      </c>
      <c r="H433" s="28">
        <v>34.0</v>
      </c>
      <c r="I433" s="28">
        <v>431.0</v>
      </c>
      <c r="J433" s="29" t="str">
        <f>'1. Base de donnée HILIN MU CM2 '!$G433&amp;"-"&amp;'1. Base de donnée HILIN MU CM2 '!$H433&amp;"-"&amp;'1. Base de donnée HILIN MU CM2 '!$I433</f>
        <v>2023-34-431</v>
      </c>
      <c r="K433" s="28">
        <f t="shared" si="1"/>
        <v>426</v>
      </c>
      <c r="L433" s="29" t="s">
        <v>31</v>
      </c>
      <c r="M433" s="29"/>
      <c r="N433" s="29"/>
      <c r="O433" s="27">
        <v>3.5</v>
      </c>
      <c r="P433" s="27">
        <v>1.25</v>
      </c>
      <c r="Q433" s="27">
        <f>SUM('1. Base de donnée HILIN MU CM2 '!$O433+'1. Base de donnée HILIN MU CM2 '!$P433)/2</f>
        <v>2.375</v>
      </c>
      <c r="R433" s="27">
        <v>12.0</v>
      </c>
      <c r="S433" s="27">
        <v>18.0</v>
      </c>
      <c r="T433" s="27">
        <f>('1. Base de donnée HILIN MU CM2 '!$R433+'1. Base de donnée HILIN MU CM2 '!$S433)/2</f>
        <v>15</v>
      </c>
      <c r="U433" s="30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</row>
    <row r="434" ht="14.25" hidden="1" customHeight="1">
      <c r="A434" s="22" t="s">
        <v>803</v>
      </c>
      <c r="B434" s="22" t="s">
        <v>223</v>
      </c>
      <c r="C434" s="22" t="s">
        <v>740</v>
      </c>
      <c r="D434" s="22" t="s">
        <v>351</v>
      </c>
      <c r="E434" s="22" t="s">
        <v>805</v>
      </c>
      <c r="F434" s="22" t="s">
        <v>806</v>
      </c>
      <c r="G434" s="23">
        <v>2023.0</v>
      </c>
      <c r="H434" s="23">
        <v>34.0</v>
      </c>
      <c r="I434" s="23">
        <v>437.0</v>
      </c>
      <c r="J434" s="24" t="str">
        <f>'1. Base de donnée HILIN MU CM2 '!$G434&amp;"-"&amp;'1. Base de donnée HILIN MU CM2 '!$H434&amp;"-"&amp;'1. Base de donnée HILIN MU CM2 '!$I434</f>
        <v>2023-34-437</v>
      </c>
      <c r="K434" s="23">
        <f t="shared" si="1"/>
        <v>427</v>
      </c>
      <c r="L434" s="24" t="s">
        <v>31</v>
      </c>
      <c r="M434" s="24"/>
      <c r="N434" s="24"/>
      <c r="O434" s="22">
        <v>11.5</v>
      </c>
      <c r="P434" s="22">
        <v>7.75</v>
      </c>
      <c r="Q434" s="22">
        <f>SUM('1. Base de donnée HILIN MU CM2 '!$O434+'1. Base de donnée HILIN MU CM2 '!$P434)/2</f>
        <v>9.625</v>
      </c>
      <c r="R434" s="22">
        <v>18.5</v>
      </c>
      <c r="S434" s="22">
        <v>19.5</v>
      </c>
      <c r="T434" s="22">
        <f>('1. Base de donnée HILIN MU CM2 '!$R434+'1. Base de donnée HILIN MU CM2 '!$S434)/2</f>
        <v>19</v>
      </c>
      <c r="U434" s="25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</row>
    <row r="435" ht="14.25" hidden="1" customHeight="1">
      <c r="A435" s="27" t="s">
        <v>803</v>
      </c>
      <c r="B435" s="27" t="s">
        <v>223</v>
      </c>
      <c r="C435" s="27" t="s">
        <v>832</v>
      </c>
      <c r="D435" s="27" t="s">
        <v>332</v>
      </c>
      <c r="E435" s="27" t="s">
        <v>805</v>
      </c>
      <c r="F435" s="27" t="s">
        <v>806</v>
      </c>
      <c r="G435" s="28">
        <v>2023.0</v>
      </c>
      <c r="H435" s="28">
        <v>34.0</v>
      </c>
      <c r="I435" s="28">
        <v>438.0</v>
      </c>
      <c r="J435" s="29" t="str">
        <f>'1. Base de donnée HILIN MU CM2 '!$G435&amp;"-"&amp;'1. Base de donnée HILIN MU CM2 '!$H435&amp;"-"&amp;'1. Base de donnée HILIN MU CM2 '!$I435</f>
        <v>2023-34-438</v>
      </c>
      <c r="K435" s="28">
        <f t="shared" si="1"/>
        <v>428</v>
      </c>
      <c r="L435" s="29" t="s">
        <v>31</v>
      </c>
      <c r="M435" s="29"/>
      <c r="N435" s="29"/>
      <c r="O435" s="27">
        <v>9.5</v>
      </c>
      <c r="P435" s="27">
        <v>4.25</v>
      </c>
      <c r="Q435" s="27">
        <f>SUM('1. Base de donnée HILIN MU CM2 '!$O435+'1. Base de donnée HILIN MU CM2 '!$P435)/2</f>
        <v>6.875</v>
      </c>
      <c r="R435" s="27">
        <v>16.0</v>
      </c>
      <c r="S435" s="27">
        <v>16.0</v>
      </c>
      <c r="T435" s="27">
        <f>('1. Base de donnée HILIN MU CM2 '!$R435+'1. Base de donnée HILIN MU CM2 '!$S435)/2</f>
        <v>16</v>
      </c>
      <c r="U435" s="30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</row>
    <row r="436" ht="14.25" hidden="1" customHeight="1">
      <c r="A436" s="22" t="s">
        <v>803</v>
      </c>
      <c r="B436" s="22" t="s">
        <v>223</v>
      </c>
      <c r="C436" s="22" t="s">
        <v>833</v>
      </c>
      <c r="D436" s="22" t="s">
        <v>119</v>
      </c>
      <c r="E436" s="22" t="s">
        <v>805</v>
      </c>
      <c r="F436" s="22" t="s">
        <v>806</v>
      </c>
      <c r="G436" s="23">
        <v>2023.0</v>
      </c>
      <c r="H436" s="23">
        <v>34.0</v>
      </c>
      <c r="I436" s="23">
        <v>439.0</v>
      </c>
      <c r="J436" s="24" t="str">
        <f>'1. Base de donnée HILIN MU CM2 '!$G436&amp;"-"&amp;'1. Base de donnée HILIN MU CM2 '!$H436&amp;"-"&amp;'1. Base de donnée HILIN MU CM2 '!$I436</f>
        <v>2023-34-439</v>
      </c>
      <c r="K436" s="23">
        <f t="shared" si="1"/>
        <v>429</v>
      </c>
      <c r="L436" s="24" t="s">
        <v>31</v>
      </c>
      <c r="M436" s="24"/>
      <c r="N436" s="24"/>
      <c r="O436" s="22">
        <v>11.5</v>
      </c>
      <c r="P436" s="22">
        <v>9.75</v>
      </c>
      <c r="Q436" s="22">
        <f>SUM('1. Base de donnée HILIN MU CM2 '!$O436+'1. Base de donnée HILIN MU CM2 '!$P436)/2</f>
        <v>10.625</v>
      </c>
      <c r="R436" s="22">
        <v>16.0</v>
      </c>
      <c r="S436" s="22">
        <v>17.0</v>
      </c>
      <c r="T436" s="22">
        <f>('1. Base de donnée HILIN MU CM2 '!$R436+'1. Base de donnée HILIN MU CM2 '!$S436)/2</f>
        <v>16.5</v>
      </c>
      <c r="U436" s="25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</row>
    <row r="437" ht="14.25" customHeight="1">
      <c r="A437" s="27" t="s">
        <v>834</v>
      </c>
      <c r="B437" s="27" t="s">
        <v>121</v>
      </c>
      <c r="C437" s="27" t="s">
        <v>835</v>
      </c>
      <c r="D437" s="27" t="s">
        <v>836</v>
      </c>
      <c r="E437" s="27" t="s">
        <v>837</v>
      </c>
      <c r="F437" s="27" t="s">
        <v>838</v>
      </c>
      <c r="G437" s="28">
        <v>2023.0</v>
      </c>
      <c r="H437" s="28">
        <v>83.0</v>
      </c>
      <c r="I437" s="28">
        <v>440.0</v>
      </c>
      <c r="J437" s="29" t="str">
        <f>'1. Base de donnée HILIN MU CM2 '!$G437&amp;"-"&amp;'1. Base de donnée HILIN MU CM2 '!$H437&amp;"-"&amp;'1. Base de donnée HILIN MU CM2 '!$I437</f>
        <v>2023-83-440</v>
      </c>
      <c r="K437" s="28">
        <f t="shared" si="1"/>
        <v>430</v>
      </c>
      <c r="L437" s="29" t="s">
        <v>31</v>
      </c>
      <c r="M437" s="29"/>
      <c r="N437" s="29"/>
      <c r="O437" s="27">
        <v>13.0</v>
      </c>
      <c r="P437" s="27">
        <v>8.0</v>
      </c>
      <c r="Q437" s="27">
        <f>SUM('1. Base de donnée HILIN MU CM2 '!$O437+'1. Base de donnée HILIN MU CM2 '!$P437)/2</f>
        <v>10.5</v>
      </c>
      <c r="R437" s="27">
        <v>17.5</v>
      </c>
      <c r="S437" s="27">
        <v>17.0</v>
      </c>
      <c r="T437" s="27">
        <f>('1. Base de donnée HILIN MU CM2 '!$R437+'1. Base de donnée HILIN MU CM2 '!$S437)/2</f>
        <v>17.25</v>
      </c>
      <c r="U437" s="30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</row>
    <row r="438" ht="14.25" customHeight="1">
      <c r="A438" s="22" t="s">
        <v>834</v>
      </c>
      <c r="B438" s="22" t="s">
        <v>121</v>
      </c>
      <c r="C438" s="22" t="s">
        <v>839</v>
      </c>
      <c r="D438" s="22" t="s">
        <v>840</v>
      </c>
      <c r="E438" s="22" t="s">
        <v>837</v>
      </c>
      <c r="F438" s="22" t="s">
        <v>838</v>
      </c>
      <c r="G438" s="23">
        <v>2023.0</v>
      </c>
      <c r="H438" s="23">
        <v>83.0</v>
      </c>
      <c r="I438" s="23">
        <v>441.0</v>
      </c>
      <c r="J438" s="24" t="str">
        <f>'1. Base de donnée HILIN MU CM2 '!$G438&amp;"-"&amp;'1. Base de donnée HILIN MU CM2 '!$H438&amp;"-"&amp;'1. Base de donnée HILIN MU CM2 '!$I438</f>
        <v>2023-83-441</v>
      </c>
      <c r="K438" s="23">
        <f t="shared" si="1"/>
        <v>431</v>
      </c>
      <c r="L438" s="24" t="s">
        <v>31</v>
      </c>
      <c r="M438" s="24"/>
      <c r="N438" s="24"/>
      <c r="O438" s="22">
        <v>4.5</v>
      </c>
      <c r="P438" s="22">
        <v>4.25</v>
      </c>
      <c r="Q438" s="22">
        <f>SUM('1. Base de donnée HILIN MU CM2 '!$O438+'1. Base de donnée HILIN MU CM2 '!$P438)/2</f>
        <v>4.375</v>
      </c>
      <c r="R438" s="22">
        <v>9.5</v>
      </c>
      <c r="S438" s="22">
        <v>11.5</v>
      </c>
      <c r="T438" s="22">
        <f>('1. Base de donnée HILIN MU CM2 '!$R438+'1. Base de donnée HILIN MU CM2 '!$S438)/2</f>
        <v>10.5</v>
      </c>
      <c r="U438" s="25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</row>
    <row r="439" ht="14.25" customHeight="1">
      <c r="A439" s="27" t="s">
        <v>834</v>
      </c>
      <c r="B439" s="27" t="s">
        <v>121</v>
      </c>
      <c r="C439" s="27" t="s">
        <v>841</v>
      </c>
      <c r="D439" s="27" t="s">
        <v>842</v>
      </c>
      <c r="E439" s="27" t="s">
        <v>837</v>
      </c>
      <c r="F439" s="27" t="s">
        <v>838</v>
      </c>
      <c r="G439" s="28">
        <v>2023.0</v>
      </c>
      <c r="H439" s="28">
        <v>83.0</v>
      </c>
      <c r="I439" s="28">
        <v>442.0</v>
      </c>
      <c r="J439" s="29" t="str">
        <f>'1. Base de donnée HILIN MU CM2 '!$G439&amp;"-"&amp;'1. Base de donnée HILIN MU CM2 '!$H439&amp;"-"&amp;'1. Base de donnée HILIN MU CM2 '!$I439</f>
        <v>2023-83-442</v>
      </c>
      <c r="K439" s="28">
        <f t="shared" si="1"/>
        <v>432</v>
      </c>
      <c r="L439" s="29" t="s">
        <v>31</v>
      </c>
      <c r="M439" s="29"/>
      <c r="N439" s="29"/>
      <c r="O439" s="27">
        <v>6.0</v>
      </c>
      <c r="P439" s="27">
        <v>3.25</v>
      </c>
      <c r="Q439" s="27">
        <f>SUM('1. Base de donnée HILIN MU CM2 '!$O439+'1. Base de donnée HILIN MU CM2 '!$P439)/2</f>
        <v>4.625</v>
      </c>
      <c r="R439" s="27">
        <v>14.0</v>
      </c>
      <c r="S439" s="27">
        <v>11.5</v>
      </c>
      <c r="T439" s="27">
        <f>('1. Base de donnée HILIN MU CM2 '!$R439+'1. Base de donnée HILIN MU CM2 '!$S439)/2</f>
        <v>12.75</v>
      </c>
      <c r="U439" s="30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</row>
    <row r="440" ht="14.25" customHeight="1">
      <c r="A440" s="22" t="s">
        <v>834</v>
      </c>
      <c r="B440" s="22" t="s">
        <v>121</v>
      </c>
      <c r="C440" s="22" t="s">
        <v>843</v>
      </c>
      <c r="D440" s="22" t="s">
        <v>844</v>
      </c>
      <c r="E440" s="22" t="s">
        <v>837</v>
      </c>
      <c r="F440" s="22" t="s">
        <v>838</v>
      </c>
      <c r="G440" s="23">
        <v>2023.0</v>
      </c>
      <c r="H440" s="23">
        <v>83.0</v>
      </c>
      <c r="I440" s="23">
        <v>443.0</v>
      </c>
      <c r="J440" s="24" t="str">
        <f>'1. Base de donnée HILIN MU CM2 '!$G440&amp;"-"&amp;'1. Base de donnée HILIN MU CM2 '!$H440&amp;"-"&amp;'1. Base de donnée HILIN MU CM2 '!$I440</f>
        <v>2023-83-443</v>
      </c>
      <c r="K440" s="23">
        <f t="shared" si="1"/>
        <v>433</v>
      </c>
      <c r="L440" s="24" t="s">
        <v>31</v>
      </c>
      <c r="M440" s="24"/>
      <c r="N440" s="24"/>
      <c r="O440" s="22">
        <v>10.0</v>
      </c>
      <c r="P440" s="22">
        <v>3.5</v>
      </c>
      <c r="Q440" s="22">
        <f>SUM('1. Base de donnée HILIN MU CM2 '!$O440+'1. Base de donnée HILIN MU CM2 '!$P440)/2</f>
        <v>6.75</v>
      </c>
      <c r="R440" s="22">
        <v>17.0</v>
      </c>
      <c r="S440" s="22">
        <v>16.5</v>
      </c>
      <c r="T440" s="22">
        <f>('1. Base de donnée HILIN MU CM2 '!$R440+'1. Base de donnée HILIN MU CM2 '!$S440)/2</f>
        <v>16.75</v>
      </c>
      <c r="U440" s="25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</row>
    <row r="441" ht="14.25" customHeight="1">
      <c r="A441" s="27" t="s">
        <v>834</v>
      </c>
      <c r="B441" s="27" t="s">
        <v>121</v>
      </c>
      <c r="C441" s="27" t="s">
        <v>845</v>
      </c>
      <c r="D441" s="27" t="s">
        <v>846</v>
      </c>
      <c r="E441" s="27" t="s">
        <v>837</v>
      </c>
      <c r="F441" s="27" t="s">
        <v>838</v>
      </c>
      <c r="G441" s="28">
        <v>2023.0</v>
      </c>
      <c r="H441" s="28">
        <v>83.0</v>
      </c>
      <c r="I441" s="28">
        <v>444.0</v>
      </c>
      <c r="J441" s="29" t="str">
        <f>'1. Base de donnée HILIN MU CM2 '!$G441&amp;"-"&amp;'1. Base de donnée HILIN MU CM2 '!$H441&amp;"-"&amp;'1. Base de donnée HILIN MU CM2 '!$I441</f>
        <v>2023-83-444</v>
      </c>
      <c r="K441" s="28">
        <f t="shared" si="1"/>
        <v>434</v>
      </c>
      <c r="L441" s="29" t="s">
        <v>31</v>
      </c>
      <c r="M441" s="29"/>
      <c r="N441" s="29"/>
      <c r="O441" s="27">
        <v>11.5</v>
      </c>
      <c r="P441" s="27">
        <v>11.5</v>
      </c>
      <c r="Q441" s="27">
        <f>SUM('1. Base de donnée HILIN MU CM2 '!$O441+'1. Base de donnée HILIN MU CM2 '!$P441)/2</f>
        <v>11.5</v>
      </c>
      <c r="R441" s="27">
        <v>18.0</v>
      </c>
      <c r="S441" s="27">
        <v>18.25</v>
      </c>
      <c r="T441" s="27">
        <f>('1. Base de donnée HILIN MU CM2 '!$R441+'1. Base de donnée HILIN MU CM2 '!$S441)/2</f>
        <v>18.125</v>
      </c>
      <c r="U441" s="30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</row>
    <row r="442" ht="14.25" customHeight="1">
      <c r="A442" s="22" t="s">
        <v>834</v>
      </c>
      <c r="B442" s="22" t="s">
        <v>121</v>
      </c>
      <c r="C442" s="22" t="s">
        <v>847</v>
      </c>
      <c r="D442" s="22" t="s">
        <v>848</v>
      </c>
      <c r="E442" s="22" t="s">
        <v>837</v>
      </c>
      <c r="F442" s="22" t="s">
        <v>838</v>
      </c>
      <c r="G442" s="23">
        <v>2023.0</v>
      </c>
      <c r="H442" s="23">
        <v>83.0</v>
      </c>
      <c r="I442" s="23">
        <v>445.0</v>
      </c>
      <c r="J442" s="24" t="str">
        <f>'1. Base de donnée HILIN MU CM2 '!$G442&amp;"-"&amp;'1. Base de donnée HILIN MU CM2 '!$H442&amp;"-"&amp;'1. Base de donnée HILIN MU CM2 '!$I442</f>
        <v>2023-83-445</v>
      </c>
      <c r="K442" s="23">
        <f t="shared" si="1"/>
        <v>435</v>
      </c>
      <c r="L442" s="24" t="s">
        <v>31</v>
      </c>
      <c r="M442" s="24"/>
      <c r="N442" s="24"/>
      <c r="O442" s="22">
        <v>6.0</v>
      </c>
      <c r="P442" s="22">
        <v>6.5</v>
      </c>
      <c r="Q442" s="22">
        <f>SUM('1. Base de donnée HILIN MU CM2 '!$O442+'1. Base de donnée HILIN MU CM2 '!$P442)/2</f>
        <v>6.25</v>
      </c>
      <c r="R442" s="22">
        <v>12.5</v>
      </c>
      <c r="S442" s="22">
        <v>16.0</v>
      </c>
      <c r="T442" s="22">
        <f>('1. Base de donnée HILIN MU CM2 '!$R442+'1. Base de donnée HILIN MU CM2 '!$S442)/2</f>
        <v>14.25</v>
      </c>
      <c r="U442" s="25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</row>
    <row r="443" ht="14.25" customHeight="1">
      <c r="A443" s="27" t="s">
        <v>834</v>
      </c>
      <c r="B443" s="27" t="s">
        <v>121</v>
      </c>
      <c r="C443" s="27" t="s">
        <v>849</v>
      </c>
      <c r="D443" s="27" t="s">
        <v>850</v>
      </c>
      <c r="E443" s="27" t="s">
        <v>837</v>
      </c>
      <c r="F443" s="27" t="s">
        <v>838</v>
      </c>
      <c r="G443" s="28">
        <v>2023.0</v>
      </c>
      <c r="H443" s="28">
        <v>83.0</v>
      </c>
      <c r="I443" s="28">
        <v>446.0</v>
      </c>
      <c r="J443" s="29" t="str">
        <f>'1. Base de donnée HILIN MU CM2 '!$G443&amp;"-"&amp;'1. Base de donnée HILIN MU CM2 '!$H443&amp;"-"&amp;'1. Base de donnée HILIN MU CM2 '!$I443</f>
        <v>2023-83-446</v>
      </c>
      <c r="K443" s="28">
        <f t="shared" si="1"/>
        <v>436</v>
      </c>
      <c r="L443" s="29" t="s">
        <v>31</v>
      </c>
      <c r="M443" s="29"/>
      <c r="N443" s="29"/>
      <c r="O443" s="27">
        <v>7.5</v>
      </c>
      <c r="P443" s="27">
        <v>4.75</v>
      </c>
      <c r="Q443" s="27">
        <f>SUM('1. Base de donnée HILIN MU CM2 '!$O443+'1. Base de donnée HILIN MU CM2 '!$P443)/2</f>
        <v>6.125</v>
      </c>
      <c r="R443" s="27">
        <v>15.0</v>
      </c>
      <c r="S443" s="27">
        <v>14.25</v>
      </c>
      <c r="T443" s="27">
        <f>('1. Base de donnée HILIN MU CM2 '!$R443+'1. Base de donnée HILIN MU CM2 '!$S443)/2</f>
        <v>14.625</v>
      </c>
      <c r="U443" s="30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</row>
    <row r="444" ht="14.25" customHeight="1">
      <c r="A444" s="22" t="s">
        <v>834</v>
      </c>
      <c r="B444" s="22" t="s">
        <v>121</v>
      </c>
      <c r="C444" s="22" t="s">
        <v>851</v>
      </c>
      <c r="D444" s="22" t="s">
        <v>852</v>
      </c>
      <c r="E444" s="22" t="s">
        <v>837</v>
      </c>
      <c r="F444" s="22" t="s">
        <v>838</v>
      </c>
      <c r="G444" s="23">
        <v>2023.0</v>
      </c>
      <c r="H444" s="23">
        <v>83.0</v>
      </c>
      <c r="I444" s="23">
        <v>447.0</v>
      </c>
      <c r="J444" s="24" t="str">
        <f>'1. Base de donnée HILIN MU CM2 '!$G444&amp;"-"&amp;'1. Base de donnée HILIN MU CM2 '!$H444&amp;"-"&amp;'1. Base de donnée HILIN MU CM2 '!$I444</f>
        <v>2023-83-447</v>
      </c>
      <c r="K444" s="23">
        <f t="shared" si="1"/>
        <v>437</v>
      </c>
      <c r="L444" s="24" t="s">
        <v>31</v>
      </c>
      <c r="M444" s="24"/>
      <c r="N444" s="24"/>
      <c r="O444" s="22">
        <v>12.0</v>
      </c>
      <c r="P444" s="22">
        <v>3.5</v>
      </c>
      <c r="Q444" s="22">
        <f>SUM('1. Base de donnée HILIN MU CM2 '!$O444+'1. Base de donnée HILIN MU CM2 '!$P444)/2</f>
        <v>7.75</v>
      </c>
      <c r="R444" s="22">
        <v>14.5</v>
      </c>
      <c r="S444" s="22">
        <v>17.75</v>
      </c>
      <c r="T444" s="22">
        <f>('1. Base de donnée HILIN MU CM2 '!$R444+'1. Base de donnée HILIN MU CM2 '!$S444)/2</f>
        <v>16.125</v>
      </c>
      <c r="U444" s="25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</row>
    <row r="445" ht="14.25" customHeight="1">
      <c r="A445" s="27" t="s">
        <v>834</v>
      </c>
      <c r="B445" s="27" t="s">
        <v>121</v>
      </c>
      <c r="C445" s="27" t="s">
        <v>853</v>
      </c>
      <c r="D445" s="27" t="s">
        <v>854</v>
      </c>
      <c r="E445" s="27" t="s">
        <v>837</v>
      </c>
      <c r="F445" s="27" t="s">
        <v>838</v>
      </c>
      <c r="G445" s="28">
        <v>2023.0</v>
      </c>
      <c r="H445" s="28">
        <v>83.0</v>
      </c>
      <c r="I445" s="28">
        <v>448.0</v>
      </c>
      <c r="J445" s="29" t="str">
        <f>'1. Base de donnée HILIN MU CM2 '!$G445&amp;"-"&amp;'1. Base de donnée HILIN MU CM2 '!$H445&amp;"-"&amp;'1. Base de donnée HILIN MU CM2 '!$I445</f>
        <v>2023-83-448</v>
      </c>
      <c r="K445" s="28">
        <f t="shared" si="1"/>
        <v>438</v>
      </c>
      <c r="L445" s="29" t="s">
        <v>31</v>
      </c>
      <c r="M445" s="29"/>
      <c r="N445" s="29"/>
      <c r="O445" s="27">
        <v>11.5</v>
      </c>
      <c r="P445" s="27">
        <v>6.0</v>
      </c>
      <c r="Q445" s="27">
        <f>SUM('1. Base de donnée HILIN MU CM2 '!$O445+'1. Base de donnée HILIN MU CM2 '!$P445)/2</f>
        <v>8.75</v>
      </c>
      <c r="R445" s="27">
        <v>17.0</v>
      </c>
      <c r="S445" s="27">
        <v>17.75</v>
      </c>
      <c r="T445" s="27">
        <f>('1. Base de donnée HILIN MU CM2 '!$R445+'1. Base de donnée HILIN MU CM2 '!$S445)/2</f>
        <v>17.375</v>
      </c>
      <c r="U445" s="30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</row>
    <row r="446" ht="14.25" customHeight="1">
      <c r="A446" s="22" t="s">
        <v>834</v>
      </c>
      <c r="B446" s="22" t="s">
        <v>121</v>
      </c>
      <c r="C446" s="22" t="s">
        <v>855</v>
      </c>
      <c r="D446" s="22" t="s">
        <v>856</v>
      </c>
      <c r="E446" s="22" t="s">
        <v>837</v>
      </c>
      <c r="F446" s="22" t="s">
        <v>838</v>
      </c>
      <c r="G446" s="23">
        <v>2023.0</v>
      </c>
      <c r="H446" s="23">
        <v>83.0</v>
      </c>
      <c r="I446" s="23">
        <v>449.0</v>
      </c>
      <c r="J446" s="24" t="str">
        <f>'1. Base de donnée HILIN MU CM2 '!$G446&amp;"-"&amp;'1. Base de donnée HILIN MU CM2 '!$H446&amp;"-"&amp;'1. Base de donnée HILIN MU CM2 '!$I446</f>
        <v>2023-83-449</v>
      </c>
      <c r="K446" s="23">
        <f t="shared" si="1"/>
        <v>439</v>
      </c>
      <c r="L446" s="24" t="s">
        <v>31</v>
      </c>
      <c r="M446" s="24"/>
      <c r="N446" s="24"/>
      <c r="O446" s="22">
        <v>8.0</v>
      </c>
      <c r="P446" s="22">
        <v>4.0</v>
      </c>
      <c r="Q446" s="22">
        <f>SUM('1. Base de donnée HILIN MU CM2 '!$O446+'1. Base de donnée HILIN MU CM2 '!$P446)/2</f>
        <v>6</v>
      </c>
      <c r="R446" s="22">
        <v>15.0</v>
      </c>
      <c r="S446" s="22">
        <v>16.75</v>
      </c>
      <c r="T446" s="22">
        <f>('1. Base de donnée HILIN MU CM2 '!$R446+'1. Base de donnée HILIN MU CM2 '!$S446)/2</f>
        <v>15.875</v>
      </c>
      <c r="U446" s="25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</row>
    <row r="447" ht="14.25" customHeight="1">
      <c r="A447" s="27" t="s">
        <v>834</v>
      </c>
      <c r="B447" s="27" t="s">
        <v>121</v>
      </c>
      <c r="C447" s="27" t="s">
        <v>707</v>
      </c>
      <c r="D447" s="27" t="s">
        <v>857</v>
      </c>
      <c r="E447" s="27" t="s">
        <v>837</v>
      </c>
      <c r="F447" s="27" t="s">
        <v>838</v>
      </c>
      <c r="G447" s="28">
        <v>2023.0</v>
      </c>
      <c r="H447" s="28">
        <v>83.0</v>
      </c>
      <c r="I447" s="28">
        <v>450.0</v>
      </c>
      <c r="J447" s="29" t="str">
        <f>'1. Base de donnée HILIN MU CM2 '!$G447&amp;"-"&amp;'1. Base de donnée HILIN MU CM2 '!$H447&amp;"-"&amp;'1. Base de donnée HILIN MU CM2 '!$I447</f>
        <v>2023-83-450</v>
      </c>
      <c r="K447" s="28">
        <f t="shared" si="1"/>
        <v>440</v>
      </c>
      <c r="L447" s="29" t="s">
        <v>31</v>
      </c>
      <c r="M447" s="29"/>
      <c r="N447" s="29"/>
      <c r="O447" s="27">
        <v>13.0</v>
      </c>
      <c r="P447" s="27">
        <v>12.0</v>
      </c>
      <c r="Q447" s="27">
        <f>SUM('1. Base de donnée HILIN MU CM2 '!$O447+'1. Base de donnée HILIN MU CM2 '!$P447)/2</f>
        <v>12.5</v>
      </c>
      <c r="R447" s="27">
        <v>17.5</v>
      </c>
      <c r="S447" s="27">
        <v>17.5</v>
      </c>
      <c r="T447" s="27">
        <f>('1. Base de donnée HILIN MU CM2 '!$R447+'1. Base de donnée HILIN MU CM2 '!$S447)/2</f>
        <v>17.5</v>
      </c>
      <c r="U447" s="30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</row>
    <row r="448" ht="14.25" customHeight="1">
      <c r="A448" s="22" t="s">
        <v>834</v>
      </c>
      <c r="B448" s="22" t="s">
        <v>121</v>
      </c>
      <c r="C448" s="22" t="s">
        <v>858</v>
      </c>
      <c r="D448" s="22" t="s">
        <v>859</v>
      </c>
      <c r="E448" s="22" t="s">
        <v>837</v>
      </c>
      <c r="F448" s="22" t="s">
        <v>838</v>
      </c>
      <c r="G448" s="23">
        <v>2023.0</v>
      </c>
      <c r="H448" s="23">
        <v>83.0</v>
      </c>
      <c r="I448" s="23">
        <v>451.0</v>
      </c>
      <c r="J448" s="24" t="str">
        <f>'1. Base de donnée HILIN MU CM2 '!$G448&amp;"-"&amp;'1. Base de donnée HILIN MU CM2 '!$H448&amp;"-"&amp;'1. Base de donnée HILIN MU CM2 '!$I448</f>
        <v>2023-83-451</v>
      </c>
      <c r="K448" s="23">
        <f t="shared" si="1"/>
        <v>441</v>
      </c>
      <c r="L448" s="24" t="s">
        <v>31</v>
      </c>
      <c r="M448" s="24"/>
      <c r="N448" s="24"/>
      <c r="O448" s="22">
        <v>11.5</v>
      </c>
      <c r="P448" s="22">
        <v>8.5</v>
      </c>
      <c r="Q448" s="22">
        <f>SUM('1. Base de donnée HILIN MU CM2 '!$O448+'1. Base de donnée HILIN MU CM2 '!$P448)/2</f>
        <v>10</v>
      </c>
      <c r="R448" s="22">
        <v>18.5</v>
      </c>
      <c r="S448" s="22">
        <v>18.5</v>
      </c>
      <c r="T448" s="22">
        <f>('1. Base de donnée HILIN MU CM2 '!$R448+'1. Base de donnée HILIN MU CM2 '!$S448)/2</f>
        <v>18.5</v>
      </c>
      <c r="U448" s="25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</row>
    <row r="449" ht="14.25" customHeight="1">
      <c r="A449" s="27" t="s">
        <v>834</v>
      </c>
      <c r="B449" s="27" t="s">
        <v>121</v>
      </c>
      <c r="C449" s="27" t="s">
        <v>860</v>
      </c>
      <c r="D449" s="27" t="s">
        <v>861</v>
      </c>
      <c r="E449" s="27" t="s">
        <v>837</v>
      </c>
      <c r="F449" s="27" t="s">
        <v>838</v>
      </c>
      <c r="G449" s="28">
        <v>2023.0</v>
      </c>
      <c r="H449" s="28">
        <v>83.0</v>
      </c>
      <c r="I449" s="28">
        <v>452.0</v>
      </c>
      <c r="J449" s="29" t="str">
        <f>'1. Base de donnée HILIN MU CM2 '!$G449&amp;"-"&amp;'1. Base de donnée HILIN MU CM2 '!$H449&amp;"-"&amp;'1. Base de donnée HILIN MU CM2 '!$I449</f>
        <v>2023-83-452</v>
      </c>
      <c r="K449" s="28">
        <f t="shared" si="1"/>
        <v>442</v>
      </c>
      <c r="L449" s="29" t="s">
        <v>31</v>
      </c>
      <c r="M449" s="29"/>
      <c r="N449" s="29"/>
      <c r="O449" s="27">
        <v>6.5</v>
      </c>
      <c r="P449" s="27">
        <v>4.25</v>
      </c>
      <c r="Q449" s="27">
        <f>SUM('1. Base de donnée HILIN MU CM2 '!$O449+'1. Base de donnée HILIN MU CM2 '!$P449)/2</f>
        <v>5.375</v>
      </c>
      <c r="R449" s="27">
        <v>12.5</v>
      </c>
      <c r="S449" s="27">
        <v>10.0</v>
      </c>
      <c r="T449" s="27">
        <f>('1. Base de donnée HILIN MU CM2 '!$R449+'1. Base de donnée HILIN MU CM2 '!$S449)/2</f>
        <v>11.25</v>
      </c>
      <c r="U449" s="30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</row>
    <row r="450" ht="14.25" customHeight="1">
      <c r="A450" s="22" t="s">
        <v>834</v>
      </c>
      <c r="B450" s="22" t="s">
        <v>121</v>
      </c>
      <c r="C450" s="22" t="s">
        <v>862</v>
      </c>
      <c r="D450" s="22" t="s">
        <v>863</v>
      </c>
      <c r="E450" s="22" t="s">
        <v>837</v>
      </c>
      <c r="F450" s="22" t="s">
        <v>838</v>
      </c>
      <c r="G450" s="23">
        <v>2023.0</v>
      </c>
      <c r="H450" s="23">
        <v>83.0</v>
      </c>
      <c r="I450" s="23">
        <v>453.0</v>
      </c>
      <c r="J450" s="24" t="str">
        <f>'1. Base de donnée HILIN MU CM2 '!$G450&amp;"-"&amp;'1. Base de donnée HILIN MU CM2 '!$H450&amp;"-"&amp;'1. Base de donnée HILIN MU CM2 '!$I450</f>
        <v>2023-83-453</v>
      </c>
      <c r="K450" s="23">
        <f t="shared" si="1"/>
        <v>443</v>
      </c>
      <c r="L450" s="24" t="s">
        <v>31</v>
      </c>
      <c r="M450" s="24"/>
      <c r="N450" s="24"/>
      <c r="O450" s="22">
        <v>13.0</v>
      </c>
      <c r="P450" s="22">
        <v>9.0</v>
      </c>
      <c r="Q450" s="22">
        <f>SUM('1. Base de donnée HILIN MU CM2 '!$O450+'1. Base de donnée HILIN MU CM2 '!$P450)/2</f>
        <v>11</v>
      </c>
      <c r="R450" s="22">
        <v>18.0</v>
      </c>
      <c r="S450" s="22">
        <v>18.75</v>
      </c>
      <c r="T450" s="22">
        <f>('1. Base de donnée HILIN MU CM2 '!$R450+'1. Base de donnée HILIN MU CM2 '!$S450)/2</f>
        <v>18.375</v>
      </c>
      <c r="U450" s="25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</row>
    <row r="451" ht="14.25" customHeight="1">
      <c r="A451" s="27" t="s">
        <v>834</v>
      </c>
      <c r="B451" s="27" t="s">
        <v>121</v>
      </c>
      <c r="C451" s="27" t="s">
        <v>864</v>
      </c>
      <c r="D451" s="27" t="s">
        <v>865</v>
      </c>
      <c r="E451" s="27" t="s">
        <v>837</v>
      </c>
      <c r="F451" s="27" t="s">
        <v>838</v>
      </c>
      <c r="G451" s="28">
        <v>2023.0</v>
      </c>
      <c r="H451" s="28">
        <v>83.0</v>
      </c>
      <c r="I451" s="28">
        <v>454.0</v>
      </c>
      <c r="J451" s="29" t="str">
        <f>'1. Base de donnée HILIN MU CM2 '!$G451&amp;"-"&amp;'1. Base de donnée HILIN MU CM2 '!$H451&amp;"-"&amp;'1. Base de donnée HILIN MU CM2 '!$I451</f>
        <v>2023-83-454</v>
      </c>
      <c r="K451" s="28">
        <f t="shared" si="1"/>
        <v>444</v>
      </c>
      <c r="L451" s="29" t="s">
        <v>31</v>
      </c>
      <c r="M451" s="29"/>
      <c r="N451" s="29"/>
      <c r="O451" s="27">
        <v>4.5</v>
      </c>
      <c r="P451" s="27">
        <v>3.25</v>
      </c>
      <c r="Q451" s="27">
        <f>SUM('1. Base de donnée HILIN MU CM2 '!$O451+'1. Base de donnée HILIN MU CM2 '!$P451)/2</f>
        <v>3.875</v>
      </c>
      <c r="R451" s="27">
        <v>13.0</v>
      </c>
      <c r="S451" s="27">
        <v>14.5</v>
      </c>
      <c r="T451" s="27">
        <f>('1. Base de donnée HILIN MU CM2 '!$R451+'1. Base de donnée HILIN MU CM2 '!$S451)/2</f>
        <v>13.75</v>
      </c>
      <c r="U451" s="30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</row>
    <row r="452" ht="14.25" customHeight="1">
      <c r="A452" s="22" t="s">
        <v>834</v>
      </c>
      <c r="B452" s="22" t="s">
        <v>121</v>
      </c>
      <c r="C452" s="22" t="s">
        <v>866</v>
      </c>
      <c r="D452" s="22" t="s">
        <v>867</v>
      </c>
      <c r="E452" s="22" t="s">
        <v>837</v>
      </c>
      <c r="F452" s="22" t="s">
        <v>838</v>
      </c>
      <c r="G452" s="23">
        <v>2023.0</v>
      </c>
      <c r="H452" s="23">
        <v>83.0</v>
      </c>
      <c r="I452" s="23">
        <v>455.0</v>
      </c>
      <c r="J452" s="24" t="str">
        <f>'1. Base de donnée HILIN MU CM2 '!$G452&amp;"-"&amp;'1. Base de donnée HILIN MU CM2 '!$H452&amp;"-"&amp;'1. Base de donnée HILIN MU CM2 '!$I452</f>
        <v>2023-83-455</v>
      </c>
      <c r="K452" s="23">
        <f t="shared" si="1"/>
        <v>445</v>
      </c>
      <c r="L452" s="24" t="s">
        <v>31</v>
      </c>
      <c r="M452" s="24"/>
      <c r="N452" s="24"/>
      <c r="O452" s="22">
        <v>11.5</v>
      </c>
      <c r="P452" s="22">
        <v>3.75</v>
      </c>
      <c r="Q452" s="22">
        <f>SUM('1. Base de donnée HILIN MU CM2 '!$O452+'1. Base de donnée HILIN MU CM2 '!$P452)/2</f>
        <v>7.625</v>
      </c>
      <c r="R452" s="22">
        <v>15.0</v>
      </c>
      <c r="S452" s="22">
        <v>16.5</v>
      </c>
      <c r="T452" s="22">
        <f>('1. Base de donnée HILIN MU CM2 '!$R452+'1. Base de donnée HILIN MU CM2 '!$S452)/2</f>
        <v>15.75</v>
      </c>
      <c r="U452" s="25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</row>
    <row r="453" ht="14.25" customHeight="1">
      <c r="A453" s="27" t="s">
        <v>834</v>
      </c>
      <c r="B453" s="27" t="s">
        <v>121</v>
      </c>
      <c r="C453" s="27" t="s">
        <v>868</v>
      </c>
      <c r="D453" s="27" t="s">
        <v>869</v>
      </c>
      <c r="E453" s="27" t="s">
        <v>837</v>
      </c>
      <c r="F453" s="27" t="s">
        <v>838</v>
      </c>
      <c r="G453" s="28">
        <v>2023.0</v>
      </c>
      <c r="H453" s="28">
        <v>83.0</v>
      </c>
      <c r="I453" s="28">
        <v>456.0</v>
      </c>
      <c r="J453" s="29" t="str">
        <f>'1. Base de donnée HILIN MU CM2 '!$G453&amp;"-"&amp;'1. Base de donnée HILIN MU CM2 '!$H453&amp;"-"&amp;'1. Base de donnée HILIN MU CM2 '!$I453</f>
        <v>2023-83-456</v>
      </c>
      <c r="K453" s="28">
        <f t="shared" si="1"/>
        <v>446</v>
      </c>
      <c r="L453" s="29" t="s">
        <v>31</v>
      </c>
      <c r="M453" s="29"/>
      <c r="N453" s="29"/>
      <c r="O453" s="27">
        <v>9.0</v>
      </c>
      <c r="P453" s="27">
        <v>5.25</v>
      </c>
      <c r="Q453" s="27">
        <f>SUM('1. Base de donnée HILIN MU CM2 '!$O453+'1. Base de donnée HILIN MU CM2 '!$P453)/2</f>
        <v>7.125</v>
      </c>
      <c r="R453" s="27">
        <v>15.0</v>
      </c>
      <c r="S453" s="27">
        <v>16.0</v>
      </c>
      <c r="T453" s="27">
        <f>('1. Base de donnée HILIN MU CM2 '!$R453+'1. Base de donnée HILIN MU CM2 '!$S453)/2</f>
        <v>15.5</v>
      </c>
      <c r="U453" s="30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</row>
    <row r="454" ht="14.25" hidden="1" customHeight="1">
      <c r="A454" s="22" t="s">
        <v>870</v>
      </c>
      <c r="B454" s="22" t="s">
        <v>223</v>
      </c>
      <c r="C454" s="22" t="s">
        <v>871</v>
      </c>
      <c r="D454" s="22" t="s">
        <v>872</v>
      </c>
      <c r="E454" s="22" t="s">
        <v>873</v>
      </c>
      <c r="F454" s="22" t="s">
        <v>874</v>
      </c>
      <c r="G454" s="23">
        <v>2023.0</v>
      </c>
      <c r="H454" s="23">
        <v>38.0</v>
      </c>
      <c r="I454" s="23">
        <v>457.0</v>
      </c>
      <c r="J454" s="24" t="str">
        <f>'1. Base de donnée HILIN MU CM2 '!$G454&amp;"-"&amp;'1. Base de donnée HILIN MU CM2 '!$H454&amp;"-"&amp;'1. Base de donnée HILIN MU CM2 '!$I454</f>
        <v>2023-38-457</v>
      </c>
      <c r="K454" s="23">
        <f t="shared" si="1"/>
        <v>447</v>
      </c>
      <c r="L454" s="24" t="s">
        <v>31</v>
      </c>
      <c r="M454" s="24"/>
      <c r="N454" s="24"/>
      <c r="O454" s="22">
        <v>9.5</v>
      </c>
      <c r="P454" s="22">
        <v>4.25</v>
      </c>
      <c r="Q454" s="22">
        <f>SUM('1. Base de donnée HILIN MU CM2 '!$O454+'1. Base de donnée HILIN MU CM2 '!$P454)/2</f>
        <v>6.875</v>
      </c>
      <c r="R454" s="22">
        <v>16.5</v>
      </c>
      <c r="S454" s="22">
        <v>18.75</v>
      </c>
      <c r="T454" s="22">
        <f>('1. Base de donnée HILIN MU CM2 '!$R454+'1. Base de donnée HILIN MU CM2 '!$S454)/2</f>
        <v>17.625</v>
      </c>
      <c r="U454" s="25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</row>
    <row r="455" ht="14.25" hidden="1" customHeight="1">
      <c r="A455" s="27" t="s">
        <v>870</v>
      </c>
      <c r="B455" s="27" t="s">
        <v>223</v>
      </c>
      <c r="C455" s="27" t="s">
        <v>875</v>
      </c>
      <c r="D455" s="27" t="s">
        <v>876</v>
      </c>
      <c r="E455" s="27" t="s">
        <v>873</v>
      </c>
      <c r="F455" s="27" t="s">
        <v>874</v>
      </c>
      <c r="G455" s="28">
        <v>2023.0</v>
      </c>
      <c r="H455" s="28">
        <v>38.0</v>
      </c>
      <c r="I455" s="28">
        <v>458.0</v>
      </c>
      <c r="J455" s="29" t="str">
        <f>'1. Base de donnée HILIN MU CM2 '!$G455&amp;"-"&amp;'1. Base de donnée HILIN MU CM2 '!$H455&amp;"-"&amp;'1. Base de donnée HILIN MU CM2 '!$I455</f>
        <v>2023-38-458</v>
      </c>
      <c r="K455" s="28">
        <f t="shared" si="1"/>
        <v>448</v>
      </c>
      <c r="L455" s="29" t="s">
        <v>31</v>
      </c>
      <c r="M455" s="29"/>
      <c r="N455" s="29"/>
      <c r="O455" s="27">
        <v>4.0</v>
      </c>
      <c r="P455" s="27">
        <v>2.5</v>
      </c>
      <c r="Q455" s="27">
        <f>SUM('1. Base de donnée HILIN MU CM2 '!$O455+'1. Base de donnée HILIN MU CM2 '!$P455)/2</f>
        <v>3.25</v>
      </c>
      <c r="R455" s="27">
        <v>12.5</v>
      </c>
      <c r="S455" s="27">
        <v>12.0</v>
      </c>
      <c r="T455" s="27">
        <f>('1. Base de donnée HILIN MU CM2 '!$R455+'1. Base de donnée HILIN MU CM2 '!$S455)/2</f>
        <v>12.25</v>
      </c>
      <c r="U455" s="30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</row>
    <row r="456" ht="14.25" hidden="1" customHeight="1">
      <c r="A456" s="22" t="s">
        <v>870</v>
      </c>
      <c r="B456" s="22" t="s">
        <v>223</v>
      </c>
      <c r="C456" s="22" t="s">
        <v>877</v>
      </c>
      <c r="D456" s="22" t="s">
        <v>878</v>
      </c>
      <c r="E456" s="22" t="s">
        <v>873</v>
      </c>
      <c r="F456" s="22" t="s">
        <v>874</v>
      </c>
      <c r="G456" s="23">
        <v>2023.0</v>
      </c>
      <c r="H456" s="23">
        <v>38.0</v>
      </c>
      <c r="I456" s="23">
        <v>459.0</v>
      </c>
      <c r="J456" s="24" t="str">
        <f>'1. Base de donnée HILIN MU CM2 '!$G456&amp;"-"&amp;'1. Base de donnée HILIN MU CM2 '!$H456&amp;"-"&amp;'1. Base de donnée HILIN MU CM2 '!$I456</f>
        <v>2023-38-459</v>
      </c>
      <c r="K456" s="23">
        <f t="shared" si="1"/>
        <v>449</v>
      </c>
      <c r="L456" s="24" t="s">
        <v>31</v>
      </c>
      <c r="M456" s="24"/>
      <c r="N456" s="24"/>
      <c r="O456" s="22">
        <v>11.0</v>
      </c>
      <c r="P456" s="22">
        <v>3.75</v>
      </c>
      <c r="Q456" s="22">
        <f>SUM('1. Base de donnée HILIN MU CM2 '!$O456+'1. Base de donnée HILIN MU CM2 '!$P456)/2</f>
        <v>7.375</v>
      </c>
      <c r="R456" s="22">
        <v>16.0</v>
      </c>
      <c r="S456" s="22">
        <v>15.0</v>
      </c>
      <c r="T456" s="22">
        <f>('1. Base de donnée HILIN MU CM2 '!$R456+'1. Base de donnée HILIN MU CM2 '!$S456)/2</f>
        <v>15.5</v>
      </c>
      <c r="U456" s="25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</row>
    <row r="457" ht="14.25" hidden="1" customHeight="1">
      <c r="A457" s="27" t="s">
        <v>870</v>
      </c>
      <c r="B457" s="27" t="s">
        <v>223</v>
      </c>
      <c r="C457" s="27" t="s">
        <v>879</v>
      </c>
      <c r="D457" s="27" t="s">
        <v>880</v>
      </c>
      <c r="E457" s="27" t="s">
        <v>873</v>
      </c>
      <c r="F457" s="27" t="s">
        <v>874</v>
      </c>
      <c r="G457" s="28">
        <v>2023.0</v>
      </c>
      <c r="H457" s="28">
        <v>38.0</v>
      </c>
      <c r="I457" s="28">
        <v>460.0</v>
      </c>
      <c r="J457" s="29" t="str">
        <f>'1. Base de donnée HILIN MU CM2 '!$G457&amp;"-"&amp;'1. Base de donnée HILIN MU CM2 '!$H457&amp;"-"&amp;'1. Base de donnée HILIN MU CM2 '!$I457</f>
        <v>2023-38-460</v>
      </c>
      <c r="K457" s="28">
        <f t="shared" si="1"/>
        <v>450</v>
      </c>
      <c r="L457" s="29" t="s">
        <v>31</v>
      </c>
      <c r="M457" s="29"/>
      <c r="N457" s="29"/>
      <c r="O457" s="27">
        <v>2.5</v>
      </c>
      <c r="P457" s="27">
        <v>3.25</v>
      </c>
      <c r="Q457" s="27">
        <f>SUM('1. Base de donnée HILIN MU CM2 '!$O457+'1. Base de donnée HILIN MU CM2 '!$P457)/2</f>
        <v>2.875</v>
      </c>
      <c r="R457" s="27">
        <v>12.5</v>
      </c>
      <c r="S457" s="27">
        <v>16.5</v>
      </c>
      <c r="T457" s="27">
        <f>('1. Base de donnée HILIN MU CM2 '!$R457+'1. Base de donnée HILIN MU CM2 '!$S457)/2</f>
        <v>14.5</v>
      </c>
      <c r="U457" s="30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</row>
    <row r="458" ht="14.25" hidden="1" customHeight="1">
      <c r="A458" s="22" t="s">
        <v>870</v>
      </c>
      <c r="B458" s="22" t="s">
        <v>223</v>
      </c>
      <c r="C458" s="22" t="s">
        <v>881</v>
      </c>
      <c r="D458" s="22" t="s">
        <v>882</v>
      </c>
      <c r="E458" s="22" t="s">
        <v>873</v>
      </c>
      <c r="F458" s="22" t="s">
        <v>874</v>
      </c>
      <c r="G458" s="23">
        <v>2023.0</v>
      </c>
      <c r="H458" s="23">
        <v>38.0</v>
      </c>
      <c r="I458" s="23">
        <v>461.0</v>
      </c>
      <c r="J458" s="24" t="str">
        <f>'1. Base de donnée HILIN MU CM2 '!$G458&amp;"-"&amp;'1. Base de donnée HILIN MU CM2 '!$H458&amp;"-"&amp;'1. Base de donnée HILIN MU CM2 '!$I458</f>
        <v>2023-38-461</v>
      </c>
      <c r="K458" s="23">
        <f t="shared" si="1"/>
        <v>451</v>
      </c>
      <c r="L458" s="24" t="s">
        <v>31</v>
      </c>
      <c r="M458" s="24"/>
      <c r="N458" s="24"/>
      <c r="O458" s="22">
        <v>11.0</v>
      </c>
      <c r="P458" s="22">
        <v>9.0</v>
      </c>
      <c r="Q458" s="22">
        <f>SUM('1. Base de donnée HILIN MU CM2 '!$O458+'1. Base de donnée HILIN MU CM2 '!$P458)/2</f>
        <v>10</v>
      </c>
      <c r="R458" s="22">
        <v>15.5</v>
      </c>
      <c r="S458" s="22">
        <v>17.0</v>
      </c>
      <c r="T458" s="22">
        <f>('1. Base de donnée HILIN MU CM2 '!$R458+'1. Base de donnée HILIN MU CM2 '!$S458)/2</f>
        <v>16.25</v>
      </c>
      <c r="U458" s="25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</row>
    <row r="459" ht="14.25" hidden="1" customHeight="1">
      <c r="A459" s="27" t="s">
        <v>870</v>
      </c>
      <c r="B459" s="27" t="s">
        <v>223</v>
      </c>
      <c r="C459" s="27" t="s">
        <v>883</v>
      </c>
      <c r="D459" s="27" t="s">
        <v>884</v>
      </c>
      <c r="E459" s="27" t="s">
        <v>873</v>
      </c>
      <c r="F459" s="27" t="s">
        <v>874</v>
      </c>
      <c r="G459" s="28">
        <v>2023.0</v>
      </c>
      <c r="H459" s="28">
        <v>38.0</v>
      </c>
      <c r="I459" s="28">
        <v>462.0</v>
      </c>
      <c r="J459" s="29" t="str">
        <f>'1. Base de donnée HILIN MU CM2 '!$G459&amp;"-"&amp;'1. Base de donnée HILIN MU CM2 '!$H459&amp;"-"&amp;'1. Base de donnée HILIN MU CM2 '!$I459</f>
        <v>2023-38-462</v>
      </c>
      <c r="K459" s="28">
        <f t="shared" si="1"/>
        <v>452</v>
      </c>
      <c r="L459" s="29" t="s">
        <v>31</v>
      </c>
      <c r="M459" s="29"/>
      <c r="N459" s="29"/>
      <c r="O459" s="27">
        <v>8.5</v>
      </c>
      <c r="P459" s="27">
        <v>8.0</v>
      </c>
      <c r="Q459" s="27">
        <f>SUM('1. Base de donnée HILIN MU CM2 '!$O459+'1. Base de donnée HILIN MU CM2 '!$P459)/2</f>
        <v>8.25</v>
      </c>
      <c r="R459" s="27">
        <v>15.5</v>
      </c>
      <c r="S459" s="27">
        <v>17.0</v>
      </c>
      <c r="T459" s="27">
        <f>('1. Base de donnée HILIN MU CM2 '!$R459+'1. Base de donnée HILIN MU CM2 '!$S459)/2</f>
        <v>16.25</v>
      </c>
      <c r="U459" s="30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</row>
    <row r="460" ht="14.25" hidden="1" customHeight="1">
      <c r="A460" s="22" t="s">
        <v>870</v>
      </c>
      <c r="B460" s="22" t="s">
        <v>223</v>
      </c>
      <c r="C460" s="22" t="s">
        <v>885</v>
      </c>
      <c r="D460" s="22" t="s">
        <v>384</v>
      </c>
      <c r="E460" s="22" t="s">
        <v>873</v>
      </c>
      <c r="F460" s="22" t="s">
        <v>874</v>
      </c>
      <c r="G460" s="23">
        <v>2023.0</v>
      </c>
      <c r="H460" s="23">
        <v>38.0</v>
      </c>
      <c r="I460" s="23">
        <v>463.0</v>
      </c>
      <c r="J460" s="24" t="str">
        <f>'1. Base de donnée HILIN MU CM2 '!$G460&amp;"-"&amp;'1. Base de donnée HILIN MU CM2 '!$H460&amp;"-"&amp;'1. Base de donnée HILIN MU CM2 '!$I460</f>
        <v>2023-38-463</v>
      </c>
      <c r="K460" s="23">
        <f t="shared" si="1"/>
        <v>453</v>
      </c>
      <c r="L460" s="24" t="s">
        <v>31</v>
      </c>
      <c r="M460" s="24"/>
      <c r="N460" s="24"/>
      <c r="O460" s="22">
        <v>8.5</v>
      </c>
      <c r="P460" s="22">
        <v>6.0</v>
      </c>
      <c r="Q460" s="22">
        <f>SUM('1. Base de donnée HILIN MU CM2 '!$O460+'1. Base de donnée HILIN MU CM2 '!$P460)/2</f>
        <v>7.25</v>
      </c>
      <c r="R460" s="22">
        <v>16.5</v>
      </c>
      <c r="S460" s="22">
        <v>16.5</v>
      </c>
      <c r="T460" s="22">
        <f>('1. Base de donnée HILIN MU CM2 '!$R460+'1. Base de donnée HILIN MU CM2 '!$S460)/2</f>
        <v>16.5</v>
      </c>
      <c r="U460" s="25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</row>
    <row r="461" ht="14.25" hidden="1" customHeight="1">
      <c r="A461" s="27" t="s">
        <v>870</v>
      </c>
      <c r="B461" s="27" t="s">
        <v>223</v>
      </c>
      <c r="C461" s="27" t="s">
        <v>886</v>
      </c>
      <c r="D461" s="27" t="s">
        <v>887</v>
      </c>
      <c r="E461" s="27" t="s">
        <v>873</v>
      </c>
      <c r="F461" s="27" t="s">
        <v>874</v>
      </c>
      <c r="G461" s="28">
        <v>2023.0</v>
      </c>
      <c r="H461" s="28">
        <v>38.0</v>
      </c>
      <c r="I461" s="28">
        <v>465.0</v>
      </c>
      <c r="J461" s="29" t="str">
        <f>'1. Base de donnée HILIN MU CM2 '!$G461&amp;"-"&amp;'1. Base de donnée HILIN MU CM2 '!$H461&amp;"-"&amp;'1. Base de donnée HILIN MU CM2 '!$I461</f>
        <v>2023-38-465</v>
      </c>
      <c r="K461" s="28">
        <f t="shared" si="1"/>
        <v>454</v>
      </c>
      <c r="L461" s="29" t="s">
        <v>31</v>
      </c>
      <c r="M461" s="29"/>
      <c r="N461" s="29"/>
      <c r="O461" s="27">
        <v>8.5</v>
      </c>
      <c r="P461" s="27">
        <v>6.5</v>
      </c>
      <c r="Q461" s="27">
        <f>SUM('1. Base de donnée HILIN MU CM2 '!$O461+'1. Base de donnée HILIN MU CM2 '!$P461)/2</f>
        <v>7.5</v>
      </c>
      <c r="R461" s="27">
        <v>15.0</v>
      </c>
      <c r="S461" s="27">
        <v>15.75</v>
      </c>
      <c r="T461" s="27">
        <f>('1. Base de donnée HILIN MU CM2 '!$R461+'1. Base de donnée HILIN MU CM2 '!$S461)/2</f>
        <v>15.375</v>
      </c>
      <c r="U461" s="30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</row>
    <row r="462" ht="14.25" hidden="1" customHeight="1">
      <c r="A462" s="22" t="s">
        <v>870</v>
      </c>
      <c r="B462" s="22" t="s">
        <v>223</v>
      </c>
      <c r="C462" s="22" t="s">
        <v>888</v>
      </c>
      <c r="D462" s="22" t="s">
        <v>889</v>
      </c>
      <c r="E462" s="22" t="s">
        <v>873</v>
      </c>
      <c r="F462" s="22" t="s">
        <v>874</v>
      </c>
      <c r="G462" s="23">
        <v>2023.0</v>
      </c>
      <c r="H462" s="23">
        <v>38.0</v>
      </c>
      <c r="I462" s="23">
        <v>466.0</v>
      </c>
      <c r="J462" s="24" t="str">
        <f>'1. Base de donnée HILIN MU CM2 '!$G462&amp;"-"&amp;'1. Base de donnée HILIN MU CM2 '!$H462&amp;"-"&amp;'1. Base de donnée HILIN MU CM2 '!$I462</f>
        <v>2023-38-466</v>
      </c>
      <c r="K462" s="23">
        <f t="shared" si="1"/>
        <v>455</v>
      </c>
      <c r="L462" s="24" t="s">
        <v>31</v>
      </c>
      <c r="M462" s="24"/>
      <c r="N462" s="24"/>
      <c r="O462" s="22">
        <v>8.0</v>
      </c>
      <c r="P462" s="22">
        <v>7.75</v>
      </c>
      <c r="Q462" s="22">
        <f>SUM('1. Base de donnée HILIN MU CM2 '!$O462+'1. Base de donnée HILIN MU CM2 '!$P462)/2</f>
        <v>7.875</v>
      </c>
      <c r="R462" s="22">
        <v>15.0</v>
      </c>
      <c r="S462" s="22">
        <v>16.0</v>
      </c>
      <c r="T462" s="22">
        <f>('1. Base de donnée HILIN MU CM2 '!$R462+'1. Base de donnée HILIN MU CM2 '!$S462)/2</f>
        <v>15.5</v>
      </c>
      <c r="U462" s="25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</row>
    <row r="463" ht="14.25" hidden="1" customHeight="1">
      <c r="A463" s="27" t="s">
        <v>870</v>
      </c>
      <c r="B463" s="27" t="s">
        <v>223</v>
      </c>
      <c r="C463" s="27" t="s">
        <v>890</v>
      </c>
      <c r="D463" s="27" t="s">
        <v>433</v>
      </c>
      <c r="E463" s="27" t="s">
        <v>873</v>
      </c>
      <c r="F463" s="27" t="s">
        <v>874</v>
      </c>
      <c r="G463" s="28">
        <v>2023.0</v>
      </c>
      <c r="H463" s="28">
        <v>38.0</v>
      </c>
      <c r="I463" s="28">
        <v>467.0</v>
      </c>
      <c r="J463" s="29" t="str">
        <f>'1. Base de donnée HILIN MU CM2 '!$G463&amp;"-"&amp;'1. Base de donnée HILIN MU CM2 '!$H463&amp;"-"&amp;'1. Base de donnée HILIN MU CM2 '!$I463</f>
        <v>2023-38-467</v>
      </c>
      <c r="K463" s="28">
        <f t="shared" si="1"/>
        <v>456</v>
      </c>
      <c r="L463" s="29" t="s">
        <v>31</v>
      </c>
      <c r="M463" s="29"/>
      <c r="N463" s="29"/>
      <c r="O463" s="27">
        <v>11.0</v>
      </c>
      <c r="P463" s="27">
        <v>8.0</v>
      </c>
      <c r="Q463" s="27">
        <f>SUM('1. Base de donnée HILIN MU CM2 '!$O463+'1. Base de donnée HILIN MU CM2 '!$P463)/2</f>
        <v>9.5</v>
      </c>
      <c r="R463" s="27">
        <v>17.0</v>
      </c>
      <c r="S463" s="27">
        <v>17.5</v>
      </c>
      <c r="T463" s="27">
        <f>('1. Base de donnée HILIN MU CM2 '!$R463+'1. Base de donnée HILIN MU CM2 '!$S463)/2</f>
        <v>17.25</v>
      </c>
      <c r="U463" s="30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</row>
    <row r="464" ht="14.25" hidden="1" customHeight="1">
      <c r="A464" s="22" t="s">
        <v>870</v>
      </c>
      <c r="B464" s="22" t="s">
        <v>223</v>
      </c>
      <c r="C464" s="22" t="s">
        <v>891</v>
      </c>
      <c r="D464" s="22" t="s">
        <v>892</v>
      </c>
      <c r="E464" s="22" t="s">
        <v>873</v>
      </c>
      <c r="F464" s="22" t="s">
        <v>874</v>
      </c>
      <c r="G464" s="23">
        <v>2023.0</v>
      </c>
      <c r="H464" s="23">
        <v>38.0</v>
      </c>
      <c r="I464" s="23">
        <v>468.0</v>
      </c>
      <c r="J464" s="24" t="str">
        <f>'1. Base de donnée HILIN MU CM2 '!$G464&amp;"-"&amp;'1. Base de donnée HILIN MU CM2 '!$H464&amp;"-"&amp;'1. Base de donnée HILIN MU CM2 '!$I464</f>
        <v>2023-38-468</v>
      </c>
      <c r="K464" s="23">
        <f t="shared" si="1"/>
        <v>457</v>
      </c>
      <c r="L464" s="24" t="s">
        <v>31</v>
      </c>
      <c r="M464" s="24"/>
      <c r="N464" s="24"/>
      <c r="O464" s="22">
        <v>10.5</v>
      </c>
      <c r="P464" s="22">
        <v>9.5</v>
      </c>
      <c r="Q464" s="22">
        <f>SUM('1. Base de donnée HILIN MU CM2 '!$O464+'1. Base de donnée HILIN MU CM2 '!$P464)/2</f>
        <v>10</v>
      </c>
      <c r="R464" s="22">
        <v>18.5</v>
      </c>
      <c r="S464" s="22">
        <v>16.5</v>
      </c>
      <c r="T464" s="22">
        <f>('1. Base de donnée HILIN MU CM2 '!$R464+'1. Base de donnée HILIN MU CM2 '!$S464)/2</f>
        <v>17.5</v>
      </c>
      <c r="U464" s="25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</row>
    <row r="465" ht="14.25" hidden="1" customHeight="1">
      <c r="A465" s="27" t="s">
        <v>870</v>
      </c>
      <c r="B465" s="27" t="s">
        <v>223</v>
      </c>
      <c r="C465" s="27" t="s">
        <v>893</v>
      </c>
      <c r="D465" s="27" t="s">
        <v>894</v>
      </c>
      <c r="E465" s="27" t="s">
        <v>873</v>
      </c>
      <c r="F465" s="27" t="s">
        <v>874</v>
      </c>
      <c r="G465" s="28">
        <v>2023.0</v>
      </c>
      <c r="H465" s="28">
        <v>38.0</v>
      </c>
      <c r="I465" s="28">
        <v>469.0</v>
      </c>
      <c r="J465" s="29" t="str">
        <f>'1. Base de donnée HILIN MU CM2 '!$G465&amp;"-"&amp;'1. Base de donnée HILIN MU CM2 '!$H465&amp;"-"&amp;'1. Base de donnée HILIN MU CM2 '!$I465</f>
        <v>2023-38-469</v>
      </c>
      <c r="K465" s="28">
        <f t="shared" si="1"/>
        <v>458</v>
      </c>
      <c r="L465" s="29" t="s">
        <v>31</v>
      </c>
      <c r="M465" s="29"/>
      <c r="N465" s="29"/>
      <c r="O465" s="27"/>
      <c r="P465" s="27"/>
      <c r="Q465" s="27">
        <f>SUM('1. Base de donnée HILIN MU CM2 '!$O465+'1. Base de donnée HILIN MU CM2 '!$P465)/2</f>
        <v>0</v>
      </c>
      <c r="R465" s="27">
        <v>10.0</v>
      </c>
      <c r="S465" s="27">
        <v>13.0</v>
      </c>
      <c r="T465" s="27">
        <f>('1. Base de donnée HILIN MU CM2 '!$R465+'1. Base de donnée HILIN MU CM2 '!$S465)/2</f>
        <v>11.5</v>
      </c>
      <c r="U465" s="30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</row>
    <row r="466" ht="14.25" hidden="1" customHeight="1">
      <c r="A466" s="22" t="s">
        <v>870</v>
      </c>
      <c r="B466" s="22" t="s">
        <v>223</v>
      </c>
      <c r="C466" s="22" t="s">
        <v>895</v>
      </c>
      <c r="D466" s="22" t="s">
        <v>896</v>
      </c>
      <c r="E466" s="22" t="s">
        <v>873</v>
      </c>
      <c r="F466" s="22" t="s">
        <v>874</v>
      </c>
      <c r="G466" s="23">
        <v>2023.0</v>
      </c>
      <c r="H466" s="23">
        <v>38.0</v>
      </c>
      <c r="I466" s="23">
        <v>470.0</v>
      </c>
      <c r="J466" s="24" t="str">
        <f>'1. Base de donnée HILIN MU CM2 '!$G466&amp;"-"&amp;'1. Base de donnée HILIN MU CM2 '!$H466&amp;"-"&amp;'1. Base de donnée HILIN MU CM2 '!$I466</f>
        <v>2023-38-470</v>
      </c>
      <c r="K466" s="23">
        <f t="shared" si="1"/>
        <v>459</v>
      </c>
      <c r="L466" s="24" t="s">
        <v>31</v>
      </c>
      <c r="M466" s="24"/>
      <c r="N466" s="24"/>
      <c r="O466" s="22">
        <v>10.0</v>
      </c>
      <c r="P466" s="22">
        <v>8.5</v>
      </c>
      <c r="Q466" s="22">
        <f>SUM('1. Base de donnée HILIN MU CM2 '!$O466+'1. Base de donnée HILIN MU CM2 '!$P466)/2</f>
        <v>9.25</v>
      </c>
      <c r="R466" s="22">
        <v>17.5</v>
      </c>
      <c r="S466" s="22">
        <v>16.0</v>
      </c>
      <c r="T466" s="22">
        <f>('1. Base de donnée HILIN MU CM2 '!$R466+'1. Base de donnée HILIN MU CM2 '!$S466)/2</f>
        <v>16.75</v>
      </c>
      <c r="U466" s="25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</row>
    <row r="467" ht="14.25" hidden="1" customHeight="1">
      <c r="A467" s="27" t="s">
        <v>870</v>
      </c>
      <c r="B467" s="27" t="s">
        <v>223</v>
      </c>
      <c r="C467" s="27" t="s">
        <v>897</v>
      </c>
      <c r="D467" s="27" t="s">
        <v>898</v>
      </c>
      <c r="E467" s="27" t="s">
        <v>873</v>
      </c>
      <c r="F467" s="27" t="s">
        <v>874</v>
      </c>
      <c r="G467" s="28">
        <v>2023.0</v>
      </c>
      <c r="H467" s="28">
        <v>38.0</v>
      </c>
      <c r="I467" s="28">
        <v>471.0</v>
      </c>
      <c r="J467" s="29" t="str">
        <f>'1. Base de donnée HILIN MU CM2 '!$G467&amp;"-"&amp;'1. Base de donnée HILIN MU CM2 '!$H467&amp;"-"&amp;'1. Base de donnée HILIN MU CM2 '!$I467</f>
        <v>2023-38-471</v>
      </c>
      <c r="K467" s="28">
        <f t="shared" si="1"/>
        <v>460</v>
      </c>
      <c r="L467" s="29" t="s">
        <v>31</v>
      </c>
      <c r="M467" s="29"/>
      <c r="N467" s="29"/>
      <c r="O467" s="27">
        <v>13.0</v>
      </c>
      <c r="P467" s="27">
        <v>6.5</v>
      </c>
      <c r="Q467" s="27">
        <f>SUM('1. Base de donnée HILIN MU CM2 '!$O467+'1. Base de donnée HILIN MU CM2 '!$P467)/2</f>
        <v>9.75</v>
      </c>
      <c r="R467" s="27">
        <v>17.5</v>
      </c>
      <c r="S467" s="27">
        <v>19.5</v>
      </c>
      <c r="T467" s="27">
        <f>('1. Base de donnée HILIN MU CM2 '!$R467+'1. Base de donnée HILIN MU CM2 '!$S467)/2</f>
        <v>18.5</v>
      </c>
      <c r="U467" s="30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</row>
    <row r="468" ht="14.25" hidden="1" customHeight="1">
      <c r="A468" s="22" t="s">
        <v>870</v>
      </c>
      <c r="B468" s="22" t="s">
        <v>223</v>
      </c>
      <c r="C468" s="22" t="s">
        <v>899</v>
      </c>
      <c r="D468" s="22" t="s">
        <v>900</v>
      </c>
      <c r="E468" s="22" t="s">
        <v>873</v>
      </c>
      <c r="F468" s="22" t="s">
        <v>874</v>
      </c>
      <c r="G468" s="23">
        <v>2023.0</v>
      </c>
      <c r="H468" s="23">
        <v>38.0</v>
      </c>
      <c r="I468" s="23">
        <v>472.0</v>
      </c>
      <c r="J468" s="24" t="str">
        <f>'1. Base de donnée HILIN MU CM2 '!$G468&amp;"-"&amp;'1. Base de donnée HILIN MU CM2 '!$H468&amp;"-"&amp;'1. Base de donnée HILIN MU CM2 '!$I468</f>
        <v>2023-38-472</v>
      </c>
      <c r="K468" s="23">
        <f t="shared" si="1"/>
        <v>461</v>
      </c>
      <c r="L468" s="24" t="s">
        <v>31</v>
      </c>
      <c r="M468" s="24"/>
      <c r="N468" s="24"/>
      <c r="O468" s="22">
        <v>10.5</v>
      </c>
      <c r="P468" s="22">
        <v>8.5</v>
      </c>
      <c r="Q468" s="22">
        <f>SUM('1. Base de donnée HILIN MU CM2 '!$O468+'1. Base de donnée HILIN MU CM2 '!$P468)/2</f>
        <v>9.5</v>
      </c>
      <c r="R468" s="22">
        <v>16.5</v>
      </c>
      <c r="S468" s="22">
        <v>16.0</v>
      </c>
      <c r="T468" s="22">
        <f>('1. Base de donnée HILIN MU CM2 '!$R468+'1. Base de donnée HILIN MU CM2 '!$S468)/2</f>
        <v>16.25</v>
      </c>
      <c r="U468" s="25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</row>
    <row r="469" ht="14.25" hidden="1" customHeight="1">
      <c r="A469" s="27" t="s">
        <v>870</v>
      </c>
      <c r="B469" s="27" t="s">
        <v>223</v>
      </c>
      <c r="C469" s="27" t="s">
        <v>901</v>
      </c>
      <c r="D469" s="27" t="s">
        <v>63</v>
      </c>
      <c r="E469" s="27" t="s">
        <v>873</v>
      </c>
      <c r="F469" s="27" t="s">
        <v>874</v>
      </c>
      <c r="G469" s="28">
        <v>2023.0</v>
      </c>
      <c r="H469" s="28">
        <v>38.0</v>
      </c>
      <c r="I469" s="28">
        <v>473.0</v>
      </c>
      <c r="J469" s="29" t="str">
        <f>'1. Base de donnée HILIN MU CM2 '!$G469&amp;"-"&amp;'1. Base de donnée HILIN MU CM2 '!$H469&amp;"-"&amp;'1. Base de donnée HILIN MU CM2 '!$I469</f>
        <v>2023-38-473</v>
      </c>
      <c r="K469" s="28">
        <f t="shared" si="1"/>
        <v>462</v>
      </c>
      <c r="L469" s="29" t="s">
        <v>31</v>
      </c>
      <c r="M469" s="29"/>
      <c r="N469" s="29"/>
      <c r="O469" s="27"/>
      <c r="P469" s="27"/>
      <c r="Q469" s="27">
        <f>SUM('1. Base de donnée HILIN MU CM2 '!$O469+'1. Base de donnée HILIN MU CM2 '!$P469)/2</f>
        <v>0</v>
      </c>
      <c r="R469" s="27">
        <v>13.0</v>
      </c>
      <c r="S469" s="27">
        <v>15.0</v>
      </c>
      <c r="T469" s="27">
        <f>('1. Base de donnée HILIN MU CM2 '!$R469+'1. Base de donnée HILIN MU CM2 '!$S469)/2</f>
        <v>14</v>
      </c>
      <c r="U469" s="30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</row>
    <row r="470" ht="14.25" hidden="1" customHeight="1">
      <c r="A470" s="22" t="s">
        <v>902</v>
      </c>
      <c r="B470" s="22" t="s">
        <v>26</v>
      </c>
      <c r="C470" s="22" t="s">
        <v>903</v>
      </c>
      <c r="D470" s="22" t="s">
        <v>904</v>
      </c>
      <c r="E470" s="22" t="s">
        <v>905</v>
      </c>
      <c r="F470" s="22" t="s">
        <v>906</v>
      </c>
      <c r="G470" s="23">
        <v>2023.0</v>
      </c>
      <c r="H470" s="23">
        <v>25.0</v>
      </c>
      <c r="I470" s="23">
        <v>474.0</v>
      </c>
      <c r="J470" s="24" t="str">
        <f>'1. Base de donnée HILIN MU CM2 '!$G470&amp;"-"&amp;'1. Base de donnée HILIN MU CM2 '!$H470&amp;"-"&amp;'1. Base de donnée HILIN MU CM2 '!$I470</f>
        <v>2023-25-474</v>
      </c>
      <c r="K470" s="23">
        <f t="shared" si="1"/>
        <v>463</v>
      </c>
      <c r="L470" s="24" t="s">
        <v>31</v>
      </c>
      <c r="M470" s="24"/>
      <c r="N470" s="24"/>
      <c r="O470" s="22">
        <v>12.0</v>
      </c>
      <c r="P470" s="22">
        <v>12.5</v>
      </c>
      <c r="Q470" s="22">
        <f>SUM('1. Base de donnée HILIN MU CM2 '!$O470+'1. Base de donnée HILIN MU CM2 '!$P470)/2</f>
        <v>12.25</v>
      </c>
      <c r="R470" s="22">
        <v>18.5</v>
      </c>
      <c r="S470" s="22">
        <v>18.5</v>
      </c>
      <c r="T470" s="22">
        <f>('1. Base de donnée HILIN MU CM2 '!$R470+'1. Base de donnée HILIN MU CM2 '!$S470)/2</f>
        <v>18.5</v>
      </c>
      <c r="U470" s="25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</row>
    <row r="471" ht="14.25" hidden="1" customHeight="1">
      <c r="A471" s="27" t="s">
        <v>902</v>
      </c>
      <c r="B471" s="27" t="s">
        <v>26</v>
      </c>
      <c r="C471" s="27" t="s">
        <v>907</v>
      </c>
      <c r="D471" s="27" t="s">
        <v>236</v>
      </c>
      <c r="E471" s="27" t="s">
        <v>905</v>
      </c>
      <c r="F471" s="27" t="s">
        <v>906</v>
      </c>
      <c r="G471" s="28">
        <v>2023.0</v>
      </c>
      <c r="H471" s="28">
        <v>25.0</v>
      </c>
      <c r="I471" s="28">
        <v>475.0</v>
      </c>
      <c r="J471" s="29" t="str">
        <f>'1. Base de donnée HILIN MU CM2 '!$G471&amp;"-"&amp;'1. Base de donnée HILIN MU CM2 '!$H471&amp;"-"&amp;'1. Base de donnée HILIN MU CM2 '!$I471</f>
        <v>2023-25-475</v>
      </c>
      <c r="K471" s="28">
        <f t="shared" si="1"/>
        <v>464</v>
      </c>
      <c r="L471" s="29" t="s">
        <v>31</v>
      </c>
      <c r="M471" s="29"/>
      <c r="N471" s="29"/>
      <c r="O471" s="27">
        <v>12.5</v>
      </c>
      <c r="P471" s="27">
        <v>8.5</v>
      </c>
      <c r="Q471" s="27">
        <f>SUM('1. Base de donnée HILIN MU CM2 '!$O471+'1. Base de donnée HILIN MU CM2 '!$P471)/2</f>
        <v>10.5</v>
      </c>
      <c r="R471" s="27"/>
      <c r="S471" s="27"/>
      <c r="T471" s="27"/>
      <c r="U471" s="30" t="s">
        <v>908</v>
      </c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</row>
    <row r="472" ht="14.25" hidden="1" customHeight="1">
      <c r="A472" s="22" t="s">
        <v>902</v>
      </c>
      <c r="B472" s="22" t="s">
        <v>26</v>
      </c>
      <c r="C472" s="22" t="s">
        <v>909</v>
      </c>
      <c r="D472" s="22" t="s">
        <v>910</v>
      </c>
      <c r="E472" s="22" t="s">
        <v>905</v>
      </c>
      <c r="F472" s="22"/>
      <c r="G472" s="23">
        <v>2023.0</v>
      </c>
      <c r="H472" s="23">
        <v>25.0</v>
      </c>
      <c r="I472" s="23">
        <v>476.0</v>
      </c>
      <c r="J472" s="24" t="str">
        <f>'1. Base de donnée HILIN MU CM2 '!$G472&amp;"-"&amp;'1. Base de donnée HILIN MU CM2 '!$H472&amp;"-"&amp;'1. Base de donnée HILIN MU CM2 '!$I472</f>
        <v>2023-25-476</v>
      </c>
      <c r="K472" s="23">
        <f t="shared" si="1"/>
        <v>465</v>
      </c>
      <c r="L472" s="24" t="s">
        <v>31</v>
      </c>
      <c r="M472" s="24" t="s">
        <v>571</v>
      </c>
      <c r="N472" s="24" t="s">
        <v>572</v>
      </c>
      <c r="O472" s="22"/>
      <c r="P472" s="22"/>
      <c r="Q472" s="22">
        <f>SUM('1. Base de donnée HILIN MU CM2 '!$O472+'1. Base de donnée HILIN MU CM2 '!$P472)/2</f>
        <v>0</v>
      </c>
      <c r="R472" s="22"/>
      <c r="S472" s="22"/>
      <c r="T472" s="22">
        <f>('1. Base de donnée HILIN MU CM2 '!$R472+'1. Base de donnée HILIN MU CM2 '!$S472)/2</f>
        <v>0</v>
      </c>
      <c r="U472" s="25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</row>
    <row r="473" ht="14.25" hidden="1" customHeight="1">
      <c r="A473" s="27" t="s">
        <v>902</v>
      </c>
      <c r="B473" s="27" t="s">
        <v>26</v>
      </c>
      <c r="C473" s="27" t="s">
        <v>911</v>
      </c>
      <c r="D473" s="27" t="s">
        <v>78</v>
      </c>
      <c r="E473" s="27" t="s">
        <v>905</v>
      </c>
      <c r="F473" s="27" t="s">
        <v>906</v>
      </c>
      <c r="G473" s="28">
        <v>2023.0</v>
      </c>
      <c r="H473" s="28">
        <v>25.0</v>
      </c>
      <c r="I473" s="28">
        <v>477.0</v>
      </c>
      <c r="J473" s="29" t="str">
        <f>'1. Base de donnée HILIN MU CM2 '!$G473&amp;"-"&amp;'1. Base de donnée HILIN MU CM2 '!$H473&amp;"-"&amp;'1. Base de donnée HILIN MU CM2 '!$I473</f>
        <v>2023-25-477</v>
      </c>
      <c r="K473" s="28">
        <f t="shared" si="1"/>
        <v>466</v>
      </c>
      <c r="L473" s="29" t="s">
        <v>31</v>
      </c>
      <c r="M473" s="27"/>
      <c r="N473" s="27"/>
      <c r="O473" s="27">
        <v>6.5</v>
      </c>
      <c r="P473" s="28">
        <v>9.5</v>
      </c>
      <c r="Q473" s="27">
        <f>SUM('1. Base de donnée HILIN MU CM2 '!$O473+'1. Base de donnée HILIN MU CM2 '!$P473)/2</f>
        <v>8</v>
      </c>
      <c r="R473" s="27">
        <v>16.0</v>
      </c>
      <c r="S473" s="27">
        <v>15.0</v>
      </c>
      <c r="T473" s="27">
        <f>('1. Base de donnée HILIN MU CM2 '!$R473+'1. Base de donnée HILIN MU CM2 '!$S473)/2</f>
        <v>15.5</v>
      </c>
      <c r="U473" s="30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</row>
    <row r="474" ht="14.25" hidden="1" customHeight="1">
      <c r="A474" s="22" t="s">
        <v>902</v>
      </c>
      <c r="B474" s="22" t="s">
        <v>26</v>
      </c>
      <c r="C474" s="22" t="s">
        <v>912</v>
      </c>
      <c r="D474" s="22" t="s">
        <v>913</v>
      </c>
      <c r="E474" s="22" t="s">
        <v>905</v>
      </c>
      <c r="F474" s="22" t="s">
        <v>906</v>
      </c>
      <c r="G474" s="23">
        <v>2023.0</v>
      </c>
      <c r="H474" s="23">
        <v>25.0</v>
      </c>
      <c r="I474" s="23">
        <v>478.0</v>
      </c>
      <c r="J474" s="24" t="str">
        <f>'1. Base de donnée HILIN MU CM2 '!$G474&amp;"-"&amp;'1. Base de donnée HILIN MU CM2 '!$H474&amp;"-"&amp;'1. Base de donnée HILIN MU CM2 '!$I474</f>
        <v>2023-25-478</v>
      </c>
      <c r="K474" s="23">
        <f t="shared" si="1"/>
        <v>467</v>
      </c>
      <c r="L474" s="24" t="s">
        <v>31</v>
      </c>
      <c r="M474" s="24"/>
      <c r="N474" s="24"/>
      <c r="O474" s="22">
        <v>12.5</v>
      </c>
      <c r="P474" s="22">
        <v>12.5</v>
      </c>
      <c r="Q474" s="22">
        <f>SUM('1. Base de donnée HILIN MU CM2 '!$O474+'1. Base de donnée HILIN MU CM2 '!$P474)/2</f>
        <v>12.5</v>
      </c>
      <c r="R474" s="22">
        <v>17.5</v>
      </c>
      <c r="S474" s="22">
        <v>16.0</v>
      </c>
      <c r="T474" s="22">
        <f>('1. Base de donnée HILIN MU CM2 '!$R474+'1. Base de donnée HILIN MU CM2 '!$S474)/2</f>
        <v>16.75</v>
      </c>
      <c r="U474" s="25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</row>
    <row r="475" ht="14.25" hidden="1" customHeight="1">
      <c r="A475" s="27" t="s">
        <v>902</v>
      </c>
      <c r="B475" s="27" t="s">
        <v>26</v>
      </c>
      <c r="C475" s="27" t="s">
        <v>914</v>
      </c>
      <c r="D475" s="27" t="s">
        <v>915</v>
      </c>
      <c r="E475" s="27" t="s">
        <v>905</v>
      </c>
      <c r="F475" s="27" t="s">
        <v>906</v>
      </c>
      <c r="G475" s="28">
        <v>2023.0</v>
      </c>
      <c r="H475" s="28">
        <v>25.0</v>
      </c>
      <c r="I475" s="28">
        <v>479.0</v>
      </c>
      <c r="J475" s="29" t="str">
        <f>'1. Base de donnée HILIN MU CM2 '!$G475&amp;"-"&amp;'1. Base de donnée HILIN MU CM2 '!$H475&amp;"-"&amp;'1. Base de donnée HILIN MU CM2 '!$I475</f>
        <v>2023-25-479</v>
      </c>
      <c r="K475" s="28">
        <f t="shared" si="1"/>
        <v>468</v>
      </c>
      <c r="L475" s="29" t="s">
        <v>31</v>
      </c>
      <c r="M475" s="27"/>
      <c r="N475" s="27"/>
      <c r="O475" s="27">
        <v>11.0</v>
      </c>
      <c r="P475" s="28">
        <v>10.5</v>
      </c>
      <c r="Q475" s="27">
        <f>SUM('1. Base de donnée HILIN MU CM2 '!$O475+'1. Base de donnée HILIN MU CM2 '!$P475)/2</f>
        <v>10.75</v>
      </c>
      <c r="R475" s="27">
        <v>18.0</v>
      </c>
      <c r="S475" s="27">
        <v>18.0</v>
      </c>
      <c r="T475" s="27">
        <f>('1. Base de donnée HILIN MU CM2 '!$R475+'1. Base de donnée HILIN MU CM2 '!$S475)/2</f>
        <v>18</v>
      </c>
      <c r="U475" s="30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</row>
    <row r="476" ht="14.25" hidden="1" customHeight="1">
      <c r="A476" s="22" t="s">
        <v>902</v>
      </c>
      <c r="B476" s="22" t="s">
        <v>26</v>
      </c>
      <c r="C476" s="22" t="s">
        <v>916</v>
      </c>
      <c r="D476" s="22" t="s">
        <v>917</v>
      </c>
      <c r="E476" s="22" t="s">
        <v>905</v>
      </c>
      <c r="F476" s="22" t="s">
        <v>906</v>
      </c>
      <c r="G476" s="23">
        <v>2023.0</v>
      </c>
      <c r="H476" s="23">
        <v>25.0</v>
      </c>
      <c r="I476" s="23">
        <v>480.0</v>
      </c>
      <c r="J476" s="24" t="str">
        <f>'1. Base de donnée HILIN MU CM2 '!$G476&amp;"-"&amp;'1. Base de donnée HILIN MU CM2 '!$H476&amp;"-"&amp;'1. Base de donnée HILIN MU CM2 '!$I476</f>
        <v>2023-25-480</v>
      </c>
      <c r="K476" s="23">
        <f t="shared" si="1"/>
        <v>469</v>
      </c>
      <c r="L476" s="24" t="s">
        <v>31</v>
      </c>
      <c r="M476" s="22"/>
      <c r="N476" s="22"/>
      <c r="O476" s="22">
        <v>7.0</v>
      </c>
      <c r="P476" s="23">
        <v>12.0</v>
      </c>
      <c r="Q476" s="22">
        <f>SUM('1. Base de donnée HILIN MU CM2 '!$O476+'1. Base de donnée HILIN MU CM2 '!$P476)/2</f>
        <v>9.5</v>
      </c>
      <c r="R476" s="22">
        <v>18.0</v>
      </c>
      <c r="S476" s="22">
        <v>12.5</v>
      </c>
      <c r="T476" s="22">
        <f>('1. Base de donnée HILIN MU CM2 '!$R476+'1. Base de donnée HILIN MU CM2 '!$S476)/2</f>
        <v>15.25</v>
      </c>
      <c r="U476" s="25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</row>
    <row r="477" ht="14.25" hidden="1" customHeight="1">
      <c r="A477" s="27" t="s">
        <v>902</v>
      </c>
      <c r="B477" s="27" t="s">
        <v>26</v>
      </c>
      <c r="C477" s="27" t="s">
        <v>918</v>
      </c>
      <c r="D477" s="27" t="s">
        <v>919</v>
      </c>
      <c r="E477" s="27" t="s">
        <v>905</v>
      </c>
      <c r="F477" s="27" t="s">
        <v>906</v>
      </c>
      <c r="G477" s="28">
        <v>2023.0</v>
      </c>
      <c r="H477" s="28">
        <v>25.0</v>
      </c>
      <c r="I477" s="28">
        <v>481.0</v>
      </c>
      <c r="J477" s="29" t="str">
        <f>'1. Base de donnée HILIN MU CM2 '!$G477&amp;"-"&amp;'1. Base de donnée HILIN MU CM2 '!$H477&amp;"-"&amp;'1. Base de donnée HILIN MU CM2 '!$I477</f>
        <v>2023-25-481</v>
      </c>
      <c r="K477" s="28">
        <f t="shared" si="1"/>
        <v>470</v>
      </c>
      <c r="L477" s="29" t="s">
        <v>31</v>
      </c>
      <c r="M477" s="27"/>
      <c r="N477" s="27"/>
      <c r="O477" s="27">
        <v>9.5</v>
      </c>
      <c r="P477" s="28">
        <v>11.5</v>
      </c>
      <c r="Q477" s="27">
        <f>SUM('1. Base de donnée HILIN MU CM2 '!$O477+'1. Base de donnée HILIN MU CM2 '!$P477)/2</f>
        <v>10.5</v>
      </c>
      <c r="R477" s="27">
        <v>18.0</v>
      </c>
      <c r="S477" s="27">
        <v>14.5</v>
      </c>
      <c r="T477" s="27">
        <f>('1. Base de donnée HILIN MU CM2 '!$R477+'1. Base de donnée HILIN MU CM2 '!$S477)/2</f>
        <v>16.25</v>
      </c>
      <c r="U477" s="30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</row>
    <row r="478" ht="14.25" hidden="1" customHeight="1">
      <c r="A478" s="22" t="s">
        <v>902</v>
      </c>
      <c r="B478" s="22" t="s">
        <v>26</v>
      </c>
      <c r="C478" s="22" t="s">
        <v>920</v>
      </c>
      <c r="D478" s="22" t="s">
        <v>921</v>
      </c>
      <c r="E478" s="22" t="s">
        <v>905</v>
      </c>
      <c r="F478" s="22" t="s">
        <v>906</v>
      </c>
      <c r="G478" s="23">
        <v>2023.0</v>
      </c>
      <c r="H478" s="23">
        <v>25.0</v>
      </c>
      <c r="I478" s="23">
        <v>482.0</v>
      </c>
      <c r="J478" s="24" t="str">
        <f>'1. Base de donnée HILIN MU CM2 '!$G478&amp;"-"&amp;'1. Base de donnée HILIN MU CM2 '!$H478&amp;"-"&amp;'1. Base de donnée HILIN MU CM2 '!$I478</f>
        <v>2023-25-482</v>
      </c>
      <c r="K478" s="23">
        <f t="shared" si="1"/>
        <v>471</v>
      </c>
      <c r="L478" s="24" t="s">
        <v>31</v>
      </c>
      <c r="M478" s="22"/>
      <c r="N478" s="22"/>
      <c r="O478" s="22">
        <v>10.5</v>
      </c>
      <c r="P478" s="23">
        <v>7.5</v>
      </c>
      <c r="Q478" s="22">
        <f>SUM('1. Base de donnée HILIN MU CM2 '!$O478+'1. Base de donnée HILIN MU CM2 '!$P478)/2</f>
        <v>9</v>
      </c>
      <c r="R478" s="22">
        <v>19.0</v>
      </c>
      <c r="S478" s="22">
        <v>16.5</v>
      </c>
      <c r="T478" s="22">
        <f>('1. Base de donnée HILIN MU CM2 '!$R478+'1. Base de donnée HILIN MU CM2 '!$S478)/2</f>
        <v>17.75</v>
      </c>
      <c r="U478" s="25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</row>
    <row r="479" ht="14.25" hidden="1" customHeight="1">
      <c r="A479" s="27" t="s">
        <v>902</v>
      </c>
      <c r="B479" s="27" t="s">
        <v>26</v>
      </c>
      <c r="C479" s="27" t="s">
        <v>922</v>
      </c>
      <c r="D479" s="27" t="s">
        <v>923</v>
      </c>
      <c r="E479" s="27" t="s">
        <v>905</v>
      </c>
      <c r="F479" s="27" t="s">
        <v>906</v>
      </c>
      <c r="G479" s="28">
        <v>2023.0</v>
      </c>
      <c r="H479" s="28">
        <v>25.0</v>
      </c>
      <c r="I479" s="28">
        <v>483.0</v>
      </c>
      <c r="J479" s="29" t="str">
        <f>'1. Base de donnée HILIN MU CM2 '!$G479&amp;"-"&amp;'1. Base de donnée HILIN MU CM2 '!$H479&amp;"-"&amp;'1. Base de donnée HILIN MU CM2 '!$I479</f>
        <v>2023-25-483</v>
      </c>
      <c r="K479" s="28">
        <f t="shared" si="1"/>
        <v>472</v>
      </c>
      <c r="L479" s="29" t="s">
        <v>31</v>
      </c>
      <c r="M479" s="27"/>
      <c r="N479" s="27"/>
      <c r="O479" s="27">
        <v>11.0</v>
      </c>
      <c r="P479" s="27">
        <v>8.5</v>
      </c>
      <c r="Q479" s="27">
        <f>SUM('1. Base de donnée HILIN MU CM2 '!$O479+'1. Base de donnée HILIN MU CM2 '!$P479)/2</f>
        <v>9.75</v>
      </c>
      <c r="R479" s="27">
        <v>16.0</v>
      </c>
      <c r="S479" s="27">
        <v>18.0</v>
      </c>
      <c r="T479" s="27">
        <f>('1. Base de donnée HILIN MU CM2 '!$R479+'1. Base de donnée HILIN MU CM2 '!$S479)/2</f>
        <v>17</v>
      </c>
      <c r="U479" s="30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</row>
    <row r="480" ht="14.25" hidden="1" customHeight="1">
      <c r="A480" s="22" t="s">
        <v>902</v>
      </c>
      <c r="B480" s="22" t="s">
        <v>26</v>
      </c>
      <c r="C480" s="22" t="s">
        <v>924</v>
      </c>
      <c r="D480" s="22" t="s">
        <v>921</v>
      </c>
      <c r="E480" s="22" t="s">
        <v>905</v>
      </c>
      <c r="F480" s="22" t="s">
        <v>906</v>
      </c>
      <c r="G480" s="23">
        <v>2023.0</v>
      </c>
      <c r="H480" s="23">
        <v>25.0</v>
      </c>
      <c r="I480" s="23">
        <v>484.0</v>
      </c>
      <c r="J480" s="24" t="str">
        <f>'1. Base de donnée HILIN MU CM2 '!$G480&amp;"-"&amp;'1. Base de donnée HILIN MU CM2 '!$H480&amp;"-"&amp;'1. Base de donnée HILIN MU CM2 '!$I480</f>
        <v>2023-25-484</v>
      </c>
      <c r="K480" s="23">
        <f t="shared" si="1"/>
        <v>473</v>
      </c>
      <c r="L480" s="24" t="s">
        <v>31</v>
      </c>
      <c r="M480" s="22"/>
      <c r="N480" s="22"/>
      <c r="O480" s="22">
        <v>13.5</v>
      </c>
      <c r="P480" s="23">
        <v>13.5</v>
      </c>
      <c r="Q480" s="22">
        <f>SUM('1. Base de donnée HILIN MU CM2 '!$O480+'1. Base de donnée HILIN MU CM2 '!$P480)/2</f>
        <v>13.5</v>
      </c>
      <c r="R480" s="22">
        <v>18.75</v>
      </c>
      <c r="S480" s="22">
        <v>18.5</v>
      </c>
      <c r="T480" s="22">
        <f>('1. Base de donnée HILIN MU CM2 '!$R480+'1. Base de donnée HILIN MU CM2 '!$S480)/2</f>
        <v>18.625</v>
      </c>
      <c r="U480" s="25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</row>
    <row r="481" ht="14.25" hidden="1" customHeight="1">
      <c r="A481" s="27" t="s">
        <v>902</v>
      </c>
      <c r="B481" s="27" t="s">
        <v>26</v>
      </c>
      <c r="C481" s="27" t="s">
        <v>925</v>
      </c>
      <c r="D481" s="27" t="s">
        <v>926</v>
      </c>
      <c r="E481" s="27" t="s">
        <v>905</v>
      </c>
      <c r="F481" s="27"/>
      <c r="G481" s="28">
        <v>2023.0</v>
      </c>
      <c r="H481" s="28">
        <v>25.0</v>
      </c>
      <c r="I481" s="28">
        <v>485.0</v>
      </c>
      <c r="J481" s="29" t="str">
        <f>'1. Base de donnée HILIN MU CM2 '!$G481&amp;"-"&amp;'1. Base de donnée HILIN MU CM2 '!$H481&amp;"-"&amp;'1. Base de donnée HILIN MU CM2 '!$I481</f>
        <v>2023-25-485</v>
      </c>
      <c r="K481" s="28">
        <f t="shared" si="1"/>
        <v>474</v>
      </c>
      <c r="L481" s="29" t="s">
        <v>31</v>
      </c>
      <c r="M481" s="29" t="s">
        <v>216</v>
      </c>
      <c r="N481" s="29" t="s">
        <v>927</v>
      </c>
      <c r="O481" s="27"/>
      <c r="P481" s="27"/>
      <c r="Q481" s="27">
        <f>SUM('1. Base de donnée HILIN MU CM2 '!$O481+'1. Base de donnée HILIN MU CM2 '!$P481)/2</f>
        <v>0</v>
      </c>
      <c r="R481" s="27"/>
      <c r="S481" s="27"/>
      <c r="T481" s="27"/>
      <c r="U481" s="30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</row>
    <row r="482" ht="14.25" hidden="1" customHeight="1">
      <c r="A482" s="22" t="s">
        <v>902</v>
      </c>
      <c r="B482" s="22" t="s">
        <v>26</v>
      </c>
      <c r="C482" s="22" t="s">
        <v>928</v>
      </c>
      <c r="D482" s="22" t="s">
        <v>929</v>
      </c>
      <c r="E482" s="22" t="s">
        <v>905</v>
      </c>
      <c r="F482" s="22" t="s">
        <v>906</v>
      </c>
      <c r="G482" s="23">
        <v>2023.0</v>
      </c>
      <c r="H482" s="23">
        <v>25.0</v>
      </c>
      <c r="I482" s="23">
        <v>486.0</v>
      </c>
      <c r="J482" s="24" t="str">
        <f>'1. Base de donnée HILIN MU CM2 '!$G482&amp;"-"&amp;'1. Base de donnée HILIN MU CM2 '!$H482&amp;"-"&amp;'1. Base de donnée HILIN MU CM2 '!$I482</f>
        <v>2023-25-486</v>
      </c>
      <c r="K482" s="23">
        <f t="shared" si="1"/>
        <v>475</v>
      </c>
      <c r="L482" s="24" t="s">
        <v>31</v>
      </c>
      <c r="M482" s="22"/>
      <c r="N482" s="22"/>
      <c r="O482" s="22">
        <v>5.0</v>
      </c>
      <c r="P482" s="23">
        <v>7.5</v>
      </c>
      <c r="Q482" s="22">
        <f>SUM('1. Base de donnée HILIN MU CM2 '!$O482+'1. Base de donnée HILIN MU CM2 '!$P482)/2</f>
        <v>6.25</v>
      </c>
      <c r="R482" s="22">
        <v>14.5</v>
      </c>
      <c r="S482" s="22">
        <v>19.0</v>
      </c>
      <c r="T482" s="22">
        <f>('1. Base de donnée HILIN MU CM2 '!$R482+'1. Base de donnée HILIN MU CM2 '!$S482)/2</f>
        <v>16.75</v>
      </c>
      <c r="U482" s="25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</row>
    <row r="483" ht="14.25" hidden="1" customHeight="1">
      <c r="A483" s="27" t="s">
        <v>902</v>
      </c>
      <c r="B483" s="27" t="s">
        <v>26</v>
      </c>
      <c r="C483" s="27" t="s">
        <v>930</v>
      </c>
      <c r="D483" s="27" t="s">
        <v>931</v>
      </c>
      <c r="E483" s="27" t="s">
        <v>905</v>
      </c>
      <c r="F483" s="27" t="s">
        <v>906</v>
      </c>
      <c r="G483" s="28">
        <v>2023.0</v>
      </c>
      <c r="H483" s="28">
        <v>25.0</v>
      </c>
      <c r="I483" s="28">
        <v>487.0</v>
      </c>
      <c r="J483" s="29" t="str">
        <f>'1. Base de donnée HILIN MU CM2 '!$G483&amp;"-"&amp;'1. Base de donnée HILIN MU CM2 '!$H483&amp;"-"&amp;'1. Base de donnée HILIN MU CM2 '!$I483</f>
        <v>2023-25-487</v>
      </c>
      <c r="K483" s="28">
        <f t="shared" si="1"/>
        <v>476</v>
      </c>
      <c r="L483" s="29" t="s">
        <v>31</v>
      </c>
      <c r="M483" s="27"/>
      <c r="N483" s="27"/>
      <c r="O483" s="27">
        <v>10.0</v>
      </c>
      <c r="P483" s="28">
        <v>12.75</v>
      </c>
      <c r="Q483" s="27">
        <f>SUM('1. Base de donnée HILIN MU CM2 '!$O483+'1. Base de donnée HILIN MU CM2 '!$P483)/2</f>
        <v>11.375</v>
      </c>
      <c r="R483" s="27">
        <v>18.0</v>
      </c>
      <c r="S483" s="27">
        <v>18.0</v>
      </c>
      <c r="T483" s="27">
        <f>('1. Base de donnée HILIN MU CM2 '!$R483+'1. Base de donnée HILIN MU CM2 '!$S483)/2</f>
        <v>18</v>
      </c>
      <c r="U483" s="30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</row>
    <row r="484" ht="14.25" hidden="1" customHeight="1">
      <c r="A484" s="22" t="s">
        <v>902</v>
      </c>
      <c r="B484" s="22" t="s">
        <v>26</v>
      </c>
      <c r="C484" s="22" t="s">
        <v>932</v>
      </c>
      <c r="D484" s="22" t="s">
        <v>933</v>
      </c>
      <c r="E484" s="22" t="s">
        <v>905</v>
      </c>
      <c r="F484" s="22"/>
      <c r="G484" s="23">
        <v>2023.0</v>
      </c>
      <c r="H484" s="23">
        <v>25.0</v>
      </c>
      <c r="I484" s="23">
        <v>488.0</v>
      </c>
      <c r="J484" s="24" t="str">
        <f>'1. Base de donnée HILIN MU CM2 '!$G484&amp;"-"&amp;'1. Base de donnée HILIN MU CM2 '!$H484&amp;"-"&amp;'1. Base de donnée HILIN MU CM2 '!$I484</f>
        <v>2023-25-488</v>
      </c>
      <c r="K484" s="23">
        <f t="shared" si="1"/>
        <v>477</v>
      </c>
      <c r="L484" s="24" t="s">
        <v>31</v>
      </c>
      <c r="M484" s="24" t="s">
        <v>934</v>
      </c>
      <c r="N484" s="24" t="s">
        <v>935</v>
      </c>
      <c r="O484" s="22"/>
      <c r="P484" s="33"/>
      <c r="Q484" s="22">
        <f>SUM('1. Base de donnée HILIN MU CM2 '!$O484+'1. Base de donnée HILIN MU CM2 '!$P484)/2</f>
        <v>0</v>
      </c>
      <c r="R484" s="22"/>
      <c r="S484" s="22"/>
      <c r="T484" s="22"/>
      <c r="U484" s="25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</row>
    <row r="485" ht="14.25" hidden="1" customHeight="1">
      <c r="A485" s="27" t="s">
        <v>902</v>
      </c>
      <c r="B485" s="27" t="s">
        <v>26</v>
      </c>
      <c r="C485" s="27" t="s">
        <v>936</v>
      </c>
      <c r="D485" s="27" t="s">
        <v>919</v>
      </c>
      <c r="E485" s="27" t="s">
        <v>905</v>
      </c>
      <c r="F485" s="27" t="s">
        <v>906</v>
      </c>
      <c r="G485" s="28">
        <v>2023.0</v>
      </c>
      <c r="H485" s="28">
        <v>25.0</v>
      </c>
      <c r="I485" s="28">
        <v>489.0</v>
      </c>
      <c r="J485" s="29" t="str">
        <f>'1. Base de donnée HILIN MU CM2 '!$G485&amp;"-"&amp;'1. Base de donnée HILIN MU CM2 '!$H485&amp;"-"&amp;'1. Base de donnée HILIN MU CM2 '!$I485</f>
        <v>2023-25-489</v>
      </c>
      <c r="K485" s="28">
        <f t="shared" si="1"/>
        <v>478</v>
      </c>
      <c r="L485" s="29" t="s">
        <v>31</v>
      </c>
      <c r="M485" s="29"/>
      <c r="N485" s="29"/>
      <c r="O485" s="27">
        <v>9.5</v>
      </c>
      <c r="P485" s="27">
        <v>13.5</v>
      </c>
      <c r="Q485" s="27">
        <f>SUM('1. Base de donnée HILIN MU CM2 '!$O485+'1. Base de donnée HILIN MU CM2 '!$P485)/2</f>
        <v>11.5</v>
      </c>
      <c r="R485" s="27">
        <v>19.5</v>
      </c>
      <c r="S485" s="27">
        <v>18.0</v>
      </c>
      <c r="T485" s="27">
        <f>('1. Base de donnée HILIN MU CM2 '!$R485+'1. Base de donnée HILIN MU CM2 '!$S485)/2</f>
        <v>18.75</v>
      </c>
      <c r="U485" s="30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</row>
    <row r="486" ht="14.25" hidden="1" customHeight="1">
      <c r="A486" s="22" t="s">
        <v>937</v>
      </c>
      <c r="B486" s="22" t="s">
        <v>938</v>
      </c>
      <c r="C486" s="22" t="s">
        <v>939</v>
      </c>
      <c r="D486" s="22" t="s">
        <v>940</v>
      </c>
      <c r="E486" s="22" t="s">
        <v>941</v>
      </c>
      <c r="F486" s="22" t="s">
        <v>942</v>
      </c>
      <c r="G486" s="23">
        <v>2023.0</v>
      </c>
      <c r="H486" s="23">
        <v>55.0</v>
      </c>
      <c r="I486" s="23">
        <v>491.0</v>
      </c>
      <c r="J486" s="24" t="str">
        <f>'1. Base de donnée HILIN MU CM2 '!$G486&amp;"-"&amp;'1. Base de donnée HILIN MU CM2 '!$H486&amp;"-"&amp;'1. Base de donnée HILIN MU CM2 '!$I486</f>
        <v>2023-55-491</v>
      </c>
      <c r="K486" s="23">
        <f t="shared" si="1"/>
        <v>479</v>
      </c>
      <c r="L486" s="24" t="s">
        <v>31</v>
      </c>
      <c r="M486" s="24"/>
      <c r="N486" s="24"/>
      <c r="O486" s="22">
        <v>0.0</v>
      </c>
      <c r="P486" s="22">
        <v>0.0</v>
      </c>
      <c r="Q486" s="22">
        <f>SUM('1. Base de donnée HILIN MU CM2 '!$O486+'1. Base de donnée HILIN MU CM2 '!$P486)/2</f>
        <v>0</v>
      </c>
      <c r="R486" s="22">
        <v>13.0</v>
      </c>
      <c r="S486" s="22">
        <v>13.5</v>
      </c>
      <c r="T486" s="22">
        <f>('1. Base de donnée HILIN MU CM2 '!$R486+'1. Base de donnée HILIN MU CM2 '!$S486)/2</f>
        <v>13.25</v>
      </c>
      <c r="U486" s="25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</row>
    <row r="487" ht="14.25" hidden="1" customHeight="1">
      <c r="A487" s="27" t="s">
        <v>937</v>
      </c>
      <c r="B487" s="27" t="s">
        <v>938</v>
      </c>
      <c r="C487" s="27" t="s">
        <v>943</v>
      </c>
      <c r="D487" s="27" t="s">
        <v>944</v>
      </c>
      <c r="E487" s="27" t="s">
        <v>941</v>
      </c>
      <c r="F487" s="27" t="s">
        <v>942</v>
      </c>
      <c r="G487" s="28">
        <v>2023.0</v>
      </c>
      <c r="H487" s="28">
        <v>55.0</v>
      </c>
      <c r="I487" s="28">
        <v>492.0</v>
      </c>
      <c r="J487" s="29" t="str">
        <f>'1. Base de donnée HILIN MU CM2 '!$G487&amp;"-"&amp;'1. Base de donnée HILIN MU CM2 '!$H487&amp;"-"&amp;'1. Base de donnée HILIN MU CM2 '!$I487</f>
        <v>2023-55-492</v>
      </c>
      <c r="K487" s="28">
        <f t="shared" si="1"/>
        <v>480</v>
      </c>
      <c r="L487" s="29" t="s">
        <v>31</v>
      </c>
      <c r="M487" s="29"/>
      <c r="N487" s="29"/>
      <c r="O487" s="27">
        <v>9.0</v>
      </c>
      <c r="P487" s="27">
        <v>4.25</v>
      </c>
      <c r="Q487" s="27">
        <f>SUM('1. Base de donnée HILIN MU CM2 '!$O487+'1. Base de donnée HILIN MU CM2 '!$P487)/2</f>
        <v>6.625</v>
      </c>
      <c r="R487" s="27">
        <v>18.0</v>
      </c>
      <c r="S487" s="27">
        <v>17.5</v>
      </c>
      <c r="T487" s="27">
        <f>('1. Base de donnée HILIN MU CM2 '!$R487+'1. Base de donnée HILIN MU CM2 '!$S487)/2</f>
        <v>17.75</v>
      </c>
      <c r="U487" s="30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</row>
    <row r="488" ht="14.25" hidden="1" customHeight="1">
      <c r="A488" s="22" t="s">
        <v>937</v>
      </c>
      <c r="B488" s="22" t="s">
        <v>938</v>
      </c>
      <c r="C488" s="22" t="s">
        <v>945</v>
      </c>
      <c r="D488" s="22" t="s">
        <v>332</v>
      </c>
      <c r="E488" s="22" t="s">
        <v>941</v>
      </c>
      <c r="F488" s="22" t="s">
        <v>942</v>
      </c>
      <c r="G488" s="23">
        <v>2023.0</v>
      </c>
      <c r="H488" s="23">
        <v>55.0</v>
      </c>
      <c r="I488" s="23">
        <v>493.0</v>
      </c>
      <c r="J488" s="24" t="str">
        <f>'1. Base de donnée HILIN MU CM2 '!$G488&amp;"-"&amp;'1. Base de donnée HILIN MU CM2 '!$H488&amp;"-"&amp;'1. Base de donnée HILIN MU CM2 '!$I488</f>
        <v>2023-55-493</v>
      </c>
      <c r="K488" s="23">
        <f t="shared" si="1"/>
        <v>481</v>
      </c>
      <c r="L488" s="24" t="s">
        <v>31</v>
      </c>
      <c r="M488" s="24"/>
      <c r="N488" s="24"/>
      <c r="O488" s="22">
        <v>7.0</v>
      </c>
      <c r="P488" s="22">
        <v>5.0</v>
      </c>
      <c r="Q488" s="22">
        <f>SUM('1. Base de donnée HILIN MU CM2 '!$O488+'1. Base de donnée HILIN MU CM2 '!$P488)/2</f>
        <v>6</v>
      </c>
      <c r="R488" s="22">
        <v>12.0</v>
      </c>
      <c r="S488" s="22">
        <v>15.5</v>
      </c>
      <c r="T488" s="22">
        <f>('1. Base de donnée HILIN MU CM2 '!$R488+'1. Base de donnée HILIN MU CM2 '!$S488)/2</f>
        <v>13.75</v>
      </c>
      <c r="U488" s="25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</row>
    <row r="489" ht="14.25" hidden="1" customHeight="1">
      <c r="A489" s="27" t="s">
        <v>937</v>
      </c>
      <c r="B489" s="27" t="s">
        <v>938</v>
      </c>
      <c r="C489" s="27" t="s">
        <v>946</v>
      </c>
      <c r="D489" s="27" t="s">
        <v>947</v>
      </c>
      <c r="E489" s="27" t="s">
        <v>941</v>
      </c>
      <c r="F489" s="27" t="s">
        <v>942</v>
      </c>
      <c r="G489" s="28">
        <v>2023.0</v>
      </c>
      <c r="H489" s="28">
        <v>55.0</v>
      </c>
      <c r="I489" s="28">
        <v>495.0</v>
      </c>
      <c r="J489" s="29" t="str">
        <f>'1. Base de donnée HILIN MU CM2 '!$G489&amp;"-"&amp;'1. Base de donnée HILIN MU CM2 '!$H489&amp;"-"&amp;'1. Base de donnée HILIN MU CM2 '!$I489</f>
        <v>2023-55-495</v>
      </c>
      <c r="K489" s="28">
        <f t="shared" si="1"/>
        <v>482</v>
      </c>
      <c r="L489" s="29" t="s">
        <v>31</v>
      </c>
      <c r="M489" s="29"/>
      <c r="N489" s="29"/>
      <c r="O489" s="27">
        <v>1.0</v>
      </c>
      <c r="P489" s="27">
        <v>4.25</v>
      </c>
      <c r="Q489" s="27">
        <f>SUM('1. Base de donnée HILIN MU CM2 '!$O489+'1. Base de donnée HILIN MU CM2 '!$P489)/2</f>
        <v>2.625</v>
      </c>
      <c r="R489" s="27">
        <v>9.0</v>
      </c>
      <c r="S489" s="27">
        <v>6.5</v>
      </c>
      <c r="T489" s="27">
        <f>('1. Base de donnée HILIN MU CM2 '!$R489+'1. Base de donnée HILIN MU CM2 '!$S489)/2</f>
        <v>7.75</v>
      </c>
      <c r="U489" s="30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</row>
    <row r="490" ht="14.25" hidden="1" customHeight="1">
      <c r="A490" s="22" t="s">
        <v>937</v>
      </c>
      <c r="B490" s="22" t="s">
        <v>938</v>
      </c>
      <c r="C490" s="22" t="s">
        <v>948</v>
      </c>
      <c r="D490" s="22" t="s">
        <v>476</v>
      </c>
      <c r="E490" s="22" t="s">
        <v>941</v>
      </c>
      <c r="F490" s="22" t="s">
        <v>942</v>
      </c>
      <c r="G490" s="23">
        <v>2023.0</v>
      </c>
      <c r="H490" s="23">
        <v>55.0</v>
      </c>
      <c r="I490" s="23">
        <v>497.0</v>
      </c>
      <c r="J490" s="24" t="str">
        <f>'1. Base de donnée HILIN MU CM2 '!$G490&amp;"-"&amp;'1. Base de donnée HILIN MU CM2 '!$H490&amp;"-"&amp;'1. Base de donnée HILIN MU CM2 '!$I490</f>
        <v>2023-55-497</v>
      </c>
      <c r="K490" s="23">
        <f t="shared" si="1"/>
        <v>483</v>
      </c>
      <c r="L490" s="24" t="s">
        <v>31</v>
      </c>
      <c r="M490" s="24"/>
      <c r="N490" s="24"/>
      <c r="O490" s="22">
        <v>5.5</v>
      </c>
      <c r="P490" s="22">
        <v>2.25</v>
      </c>
      <c r="Q490" s="22">
        <f>SUM('1. Base de donnée HILIN MU CM2 '!$O490+'1. Base de donnée HILIN MU CM2 '!$P490)/2</f>
        <v>3.875</v>
      </c>
      <c r="R490" s="22">
        <v>11.5</v>
      </c>
      <c r="S490" s="22">
        <v>13.5</v>
      </c>
      <c r="T490" s="22">
        <f>('1. Base de donnée HILIN MU CM2 '!$R490+'1. Base de donnée HILIN MU CM2 '!$S490)/2</f>
        <v>12.5</v>
      </c>
      <c r="U490" s="25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</row>
    <row r="491" ht="14.25" hidden="1" customHeight="1">
      <c r="A491" s="27" t="s">
        <v>937</v>
      </c>
      <c r="B491" s="27" t="s">
        <v>938</v>
      </c>
      <c r="C491" s="27" t="s">
        <v>949</v>
      </c>
      <c r="D491" s="27" t="s">
        <v>119</v>
      </c>
      <c r="E491" s="27" t="s">
        <v>941</v>
      </c>
      <c r="F491" s="27" t="s">
        <v>942</v>
      </c>
      <c r="G491" s="28">
        <v>2023.0</v>
      </c>
      <c r="H491" s="28">
        <v>55.0</v>
      </c>
      <c r="I491" s="28">
        <v>498.0</v>
      </c>
      <c r="J491" s="29" t="str">
        <f>'1. Base de donnée HILIN MU CM2 '!$G491&amp;"-"&amp;'1. Base de donnée HILIN MU CM2 '!$H491&amp;"-"&amp;'1. Base de donnée HILIN MU CM2 '!$I491</f>
        <v>2023-55-498</v>
      </c>
      <c r="K491" s="28">
        <f t="shared" si="1"/>
        <v>484</v>
      </c>
      <c r="L491" s="29" t="s">
        <v>31</v>
      </c>
      <c r="M491" s="29"/>
      <c r="N491" s="29"/>
      <c r="O491" s="27">
        <v>5.0</v>
      </c>
      <c r="P491" s="27">
        <v>6.5</v>
      </c>
      <c r="Q491" s="27">
        <f>SUM('1. Base de donnée HILIN MU CM2 '!$O491+'1. Base de donnée HILIN MU CM2 '!$P491)/2</f>
        <v>5.75</v>
      </c>
      <c r="R491" s="27">
        <v>10.5</v>
      </c>
      <c r="S491" s="27">
        <v>11.5</v>
      </c>
      <c r="T491" s="27">
        <f>('1. Base de donnée HILIN MU CM2 '!$R491+'1. Base de donnée HILIN MU CM2 '!$S491)/2</f>
        <v>11</v>
      </c>
      <c r="U491" s="30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</row>
    <row r="492" ht="14.25" hidden="1" customHeight="1">
      <c r="A492" s="22" t="s">
        <v>937</v>
      </c>
      <c r="B492" s="22" t="s">
        <v>938</v>
      </c>
      <c r="C492" s="22" t="s">
        <v>950</v>
      </c>
      <c r="D492" s="22" t="s">
        <v>346</v>
      </c>
      <c r="E492" s="22" t="s">
        <v>941</v>
      </c>
      <c r="F492" s="22" t="s">
        <v>942</v>
      </c>
      <c r="G492" s="23">
        <v>2023.0</v>
      </c>
      <c r="H492" s="23">
        <v>55.0</v>
      </c>
      <c r="I492" s="23">
        <v>499.0</v>
      </c>
      <c r="J492" s="24" t="str">
        <f>'1. Base de donnée HILIN MU CM2 '!$G492&amp;"-"&amp;'1. Base de donnée HILIN MU CM2 '!$H492&amp;"-"&amp;'1. Base de donnée HILIN MU CM2 '!$I492</f>
        <v>2023-55-499</v>
      </c>
      <c r="K492" s="23">
        <f t="shared" si="1"/>
        <v>485</v>
      </c>
      <c r="L492" s="24" t="s">
        <v>31</v>
      </c>
      <c r="M492" s="24"/>
      <c r="N492" s="24"/>
      <c r="O492" s="22">
        <v>4.5</v>
      </c>
      <c r="P492" s="22">
        <v>5.5</v>
      </c>
      <c r="Q492" s="22">
        <f>SUM('1. Base de donnée HILIN MU CM2 '!$O492+'1. Base de donnée HILIN MU CM2 '!$P492)/2</f>
        <v>5</v>
      </c>
      <c r="R492" s="22">
        <v>13.0</v>
      </c>
      <c r="S492" s="22">
        <v>10.0</v>
      </c>
      <c r="T492" s="22">
        <f>('1. Base de donnée HILIN MU CM2 '!$R492+'1. Base de donnée HILIN MU CM2 '!$S492)/2</f>
        <v>11.5</v>
      </c>
      <c r="U492" s="25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</row>
    <row r="493" ht="14.25" hidden="1" customHeight="1">
      <c r="A493" s="27" t="s">
        <v>937</v>
      </c>
      <c r="B493" s="27" t="s">
        <v>938</v>
      </c>
      <c r="C493" s="27" t="s">
        <v>951</v>
      </c>
      <c r="D493" s="27" t="s">
        <v>119</v>
      </c>
      <c r="E493" s="27" t="s">
        <v>941</v>
      </c>
      <c r="F493" s="27" t="s">
        <v>942</v>
      </c>
      <c r="G493" s="28">
        <v>2023.0</v>
      </c>
      <c r="H493" s="28">
        <v>55.0</v>
      </c>
      <c r="I493" s="28">
        <v>501.0</v>
      </c>
      <c r="J493" s="29" t="str">
        <f>'1. Base de donnée HILIN MU CM2 '!$G493&amp;"-"&amp;'1. Base de donnée HILIN MU CM2 '!$H493&amp;"-"&amp;'1. Base de donnée HILIN MU CM2 '!$I493</f>
        <v>2023-55-501</v>
      </c>
      <c r="K493" s="28">
        <f t="shared" si="1"/>
        <v>486</v>
      </c>
      <c r="L493" s="29" t="s">
        <v>31</v>
      </c>
      <c r="M493" s="29"/>
      <c r="N493" s="29"/>
      <c r="O493" s="27">
        <v>7.5</v>
      </c>
      <c r="P493" s="27">
        <v>8.0</v>
      </c>
      <c r="Q493" s="27">
        <f>SUM('1. Base de donnée HILIN MU CM2 '!$O493+'1. Base de donnée HILIN MU CM2 '!$P493)/2</f>
        <v>7.75</v>
      </c>
      <c r="R493" s="27">
        <v>14.5</v>
      </c>
      <c r="S493" s="27">
        <v>15.0</v>
      </c>
      <c r="T493" s="27">
        <f>('1. Base de donnée HILIN MU CM2 '!$R493+'1. Base de donnée HILIN MU CM2 '!$S493)/2</f>
        <v>14.75</v>
      </c>
      <c r="U493" s="30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</row>
    <row r="494" ht="14.25" hidden="1" customHeight="1">
      <c r="A494" s="22" t="s">
        <v>937</v>
      </c>
      <c r="B494" s="22" t="s">
        <v>938</v>
      </c>
      <c r="C494" s="22" t="s">
        <v>952</v>
      </c>
      <c r="D494" s="22" t="s">
        <v>78</v>
      </c>
      <c r="E494" s="22" t="s">
        <v>941</v>
      </c>
      <c r="F494" s="22" t="s">
        <v>942</v>
      </c>
      <c r="G494" s="23">
        <v>2023.0</v>
      </c>
      <c r="H494" s="23">
        <v>55.0</v>
      </c>
      <c r="I494" s="23">
        <v>502.0</v>
      </c>
      <c r="J494" s="24" t="str">
        <f>'1. Base de donnée HILIN MU CM2 '!$G494&amp;"-"&amp;'1. Base de donnée HILIN MU CM2 '!$H494&amp;"-"&amp;'1. Base de donnée HILIN MU CM2 '!$I494</f>
        <v>2023-55-502</v>
      </c>
      <c r="K494" s="23">
        <f t="shared" si="1"/>
        <v>487</v>
      </c>
      <c r="L494" s="24" t="s">
        <v>31</v>
      </c>
      <c r="M494" s="24"/>
      <c r="N494" s="24"/>
      <c r="O494" s="22">
        <v>3.5</v>
      </c>
      <c r="P494" s="22">
        <v>3.25</v>
      </c>
      <c r="Q494" s="22">
        <f>SUM('1. Base de donnée HILIN MU CM2 '!$O494+'1. Base de donnée HILIN MU CM2 '!$P494)/2</f>
        <v>3.375</v>
      </c>
      <c r="R494" s="22">
        <v>8.5</v>
      </c>
      <c r="S494" s="22">
        <v>11.0</v>
      </c>
      <c r="T494" s="22">
        <f>('1. Base de donnée HILIN MU CM2 '!$R494+'1. Base de donnée HILIN MU CM2 '!$S494)/2</f>
        <v>9.75</v>
      </c>
      <c r="U494" s="25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</row>
    <row r="495" ht="14.25" hidden="1" customHeight="1">
      <c r="A495" s="27" t="s">
        <v>937</v>
      </c>
      <c r="B495" s="27" t="s">
        <v>938</v>
      </c>
      <c r="C495" s="27" t="s">
        <v>953</v>
      </c>
      <c r="D495" s="27" t="s">
        <v>54</v>
      </c>
      <c r="E495" s="27" t="s">
        <v>941</v>
      </c>
      <c r="F495" s="27" t="s">
        <v>942</v>
      </c>
      <c r="G495" s="28">
        <v>2023.0</v>
      </c>
      <c r="H495" s="28">
        <v>55.0</v>
      </c>
      <c r="I495" s="28">
        <v>503.0</v>
      </c>
      <c r="J495" s="29" t="str">
        <f>'1. Base de donnée HILIN MU CM2 '!$G495&amp;"-"&amp;'1. Base de donnée HILIN MU CM2 '!$H495&amp;"-"&amp;'1. Base de donnée HILIN MU CM2 '!$I495</f>
        <v>2023-55-503</v>
      </c>
      <c r="K495" s="28">
        <f t="shared" si="1"/>
        <v>488</v>
      </c>
      <c r="L495" s="29" t="s">
        <v>31</v>
      </c>
      <c r="M495" s="29"/>
      <c r="N495" s="29"/>
      <c r="O495" s="27">
        <v>7.0</v>
      </c>
      <c r="P495" s="27">
        <v>5.25</v>
      </c>
      <c r="Q495" s="27">
        <f>SUM('1. Base de donnée HILIN MU CM2 '!$O495+'1. Base de donnée HILIN MU CM2 '!$P495)/2</f>
        <v>6.125</v>
      </c>
      <c r="R495" s="27">
        <v>12.5</v>
      </c>
      <c r="S495" s="27">
        <v>13.5</v>
      </c>
      <c r="T495" s="27">
        <f>('1. Base de donnée HILIN MU CM2 '!$R495+'1. Base de donnée HILIN MU CM2 '!$S495)/2</f>
        <v>13</v>
      </c>
      <c r="U495" s="30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</row>
    <row r="496" ht="14.25" hidden="1" customHeight="1">
      <c r="A496" s="22" t="s">
        <v>937</v>
      </c>
      <c r="B496" s="22" t="s">
        <v>938</v>
      </c>
      <c r="C496" s="22" t="s">
        <v>954</v>
      </c>
      <c r="D496" s="22" t="s">
        <v>332</v>
      </c>
      <c r="E496" s="22" t="s">
        <v>941</v>
      </c>
      <c r="F496" s="22" t="s">
        <v>942</v>
      </c>
      <c r="G496" s="23">
        <v>2023.0</v>
      </c>
      <c r="H496" s="23">
        <v>55.0</v>
      </c>
      <c r="I496" s="23">
        <v>504.0</v>
      </c>
      <c r="J496" s="24" t="str">
        <f>'1. Base de donnée HILIN MU CM2 '!$G496&amp;"-"&amp;'1. Base de donnée HILIN MU CM2 '!$H496&amp;"-"&amp;'1. Base de donnée HILIN MU CM2 '!$I496</f>
        <v>2023-55-504</v>
      </c>
      <c r="K496" s="23">
        <f t="shared" si="1"/>
        <v>489</v>
      </c>
      <c r="L496" s="24" t="s">
        <v>31</v>
      </c>
      <c r="M496" s="24"/>
      <c r="N496" s="24"/>
      <c r="O496" s="22">
        <v>7.0</v>
      </c>
      <c r="P496" s="22">
        <v>4.5</v>
      </c>
      <c r="Q496" s="22">
        <f>SUM('1. Base de donnée HILIN MU CM2 '!$O496+'1. Base de donnée HILIN MU CM2 '!$P496)/2</f>
        <v>5.75</v>
      </c>
      <c r="R496" s="22">
        <v>15.5</v>
      </c>
      <c r="S496" s="22">
        <v>13.5</v>
      </c>
      <c r="T496" s="22">
        <f>('1. Base de donnée HILIN MU CM2 '!$R496+'1. Base de donnée HILIN MU CM2 '!$S496)/2</f>
        <v>14.5</v>
      </c>
      <c r="U496" s="25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</row>
    <row r="497" ht="14.25" hidden="1" customHeight="1">
      <c r="A497" s="27" t="s">
        <v>937</v>
      </c>
      <c r="B497" s="27" t="s">
        <v>938</v>
      </c>
      <c r="C497" s="27" t="s">
        <v>955</v>
      </c>
      <c r="D497" s="27" t="s">
        <v>312</v>
      </c>
      <c r="E497" s="27" t="s">
        <v>941</v>
      </c>
      <c r="F497" s="27" t="s">
        <v>942</v>
      </c>
      <c r="G497" s="28">
        <v>2023.0</v>
      </c>
      <c r="H497" s="28">
        <v>55.0</v>
      </c>
      <c r="I497" s="28">
        <v>505.0</v>
      </c>
      <c r="J497" s="29" t="str">
        <f>'1. Base de donnée HILIN MU CM2 '!$G497&amp;"-"&amp;'1. Base de donnée HILIN MU CM2 '!$H497&amp;"-"&amp;'1. Base de donnée HILIN MU CM2 '!$I497</f>
        <v>2023-55-505</v>
      </c>
      <c r="K497" s="28">
        <f t="shared" si="1"/>
        <v>490</v>
      </c>
      <c r="L497" s="29" t="s">
        <v>31</v>
      </c>
      <c r="M497" s="29"/>
      <c r="N497" s="29"/>
      <c r="O497" s="27">
        <v>4.0</v>
      </c>
      <c r="P497" s="27">
        <v>5.0</v>
      </c>
      <c r="Q497" s="27">
        <f>SUM('1. Base de donnée HILIN MU CM2 '!$O497+'1. Base de donnée HILIN MU CM2 '!$P497)/2</f>
        <v>4.5</v>
      </c>
      <c r="R497" s="27">
        <v>7.5</v>
      </c>
      <c r="S497" s="27">
        <v>10.0</v>
      </c>
      <c r="T497" s="27">
        <f>('1. Base de donnée HILIN MU CM2 '!$R497+'1. Base de donnée HILIN MU CM2 '!$S497)/2</f>
        <v>8.75</v>
      </c>
      <c r="U497" s="30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</row>
    <row r="498" ht="14.25" customHeight="1">
      <c r="A498" s="22" t="s">
        <v>956</v>
      </c>
      <c r="B498" s="22" t="s">
        <v>121</v>
      </c>
      <c r="C498" s="22" t="s">
        <v>177</v>
      </c>
      <c r="D498" s="22" t="s">
        <v>957</v>
      </c>
      <c r="E498" s="22" t="s">
        <v>958</v>
      </c>
      <c r="F498" s="22" t="s">
        <v>959</v>
      </c>
      <c r="G498" s="23">
        <v>2023.0</v>
      </c>
      <c r="H498" s="23">
        <v>84.0</v>
      </c>
      <c r="I498" s="23">
        <v>506.0</v>
      </c>
      <c r="J498" s="24" t="str">
        <f>'1. Base de donnée HILIN MU CM2 '!$G498&amp;"-"&amp;'1. Base de donnée HILIN MU CM2 '!$H498&amp;"-"&amp;'1. Base de donnée HILIN MU CM2 '!$I498</f>
        <v>2023-84-506</v>
      </c>
      <c r="K498" s="23">
        <f t="shared" si="1"/>
        <v>491</v>
      </c>
      <c r="L498" s="24" t="s">
        <v>31</v>
      </c>
      <c r="M498" s="24"/>
      <c r="N498" s="24"/>
      <c r="O498" s="22">
        <v>9.5</v>
      </c>
      <c r="P498" s="22">
        <v>11.0</v>
      </c>
      <c r="Q498" s="22">
        <f>SUM('1. Base de donnée HILIN MU CM2 '!$O498+'1. Base de donnée HILIN MU CM2 '!$P498)/2</f>
        <v>10.25</v>
      </c>
      <c r="R498" s="22">
        <v>14.5</v>
      </c>
      <c r="S498" s="22">
        <v>16.0</v>
      </c>
      <c r="T498" s="22">
        <f>('1. Base de donnée HILIN MU CM2 '!$R498+'1. Base de donnée HILIN MU CM2 '!$S498)/2</f>
        <v>15.25</v>
      </c>
      <c r="U498" s="25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</row>
    <row r="499" ht="14.25" customHeight="1">
      <c r="A499" s="27" t="s">
        <v>956</v>
      </c>
      <c r="B499" s="27" t="s">
        <v>121</v>
      </c>
      <c r="C499" s="27" t="s">
        <v>960</v>
      </c>
      <c r="D499" s="27" t="s">
        <v>395</v>
      </c>
      <c r="E499" s="27" t="s">
        <v>958</v>
      </c>
      <c r="F499" s="27" t="s">
        <v>959</v>
      </c>
      <c r="G499" s="28">
        <v>2023.0</v>
      </c>
      <c r="H499" s="28">
        <v>84.0</v>
      </c>
      <c r="I499" s="28">
        <v>507.0</v>
      </c>
      <c r="J499" s="29" t="str">
        <f>'1. Base de donnée HILIN MU CM2 '!$G499&amp;"-"&amp;'1. Base de donnée HILIN MU CM2 '!$H499&amp;"-"&amp;'1. Base de donnée HILIN MU CM2 '!$I499</f>
        <v>2023-84-507</v>
      </c>
      <c r="K499" s="28">
        <f t="shared" si="1"/>
        <v>492</v>
      </c>
      <c r="L499" s="29" t="s">
        <v>31</v>
      </c>
      <c r="M499" s="29"/>
      <c r="N499" s="29"/>
      <c r="O499" s="27">
        <v>12.0</v>
      </c>
      <c r="P499" s="27">
        <v>6.75</v>
      </c>
      <c r="Q499" s="27">
        <f>SUM('1. Base de donnée HILIN MU CM2 '!$O499+'1. Base de donnée HILIN MU CM2 '!$P499)/2</f>
        <v>9.375</v>
      </c>
      <c r="R499" s="27">
        <v>13.5</v>
      </c>
      <c r="S499" s="27">
        <v>16.0</v>
      </c>
      <c r="T499" s="27">
        <f>('1. Base de donnée HILIN MU CM2 '!$R499+'1. Base de donnée HILIN MU CM2 '!$S499)/2</f>
        <v>14.75</v>
      </c>
      <c r="U499" s="30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</row>
    <row r="500" ht="14.25" customHeight="1">
      <c r="A500" s="22" t="s">
        <v>956</v>
      </c>
      <c r="B500" s="22" t="s">
        <v>121</v>
      </c>
      <c r="C500" s="22" t="s">
        <v>961</v>
      </c>
      <c r="D500" s="22" t="s">
        <v>962</v>
      </c>
      <c r="E500" s="22" t="s">
        <v>958</v>
      </c>
      <c r="F500" s="22" t="s">
        <v>959</v>
      </c>
      <c r="G500" s="23">
        <v>2023.0</v>
      </c>
      <c r="H500" s="23">
        <v>84.0</v>
      </c>
      <c r="I500" s="23">
        <v>508.0</v>
      </c>
      <c r="J500" s="24" t="str">
        <f>'1. Base de donnée HILIN MU CM2 '!$G500&amp;"-"&amp;'1. Base de donnée HILIN MU CM2 '!$H500&amp;"-"&amp;'1. Base de donnée HILIN MU CM2 '!$I500</f>
        <v>2023-84-508</v>
      </c>
      <c r="K500" s="23">
        <f t="shared" si="1"/>
        <v>493</v>
      </c>
      <c r="L500" s="24" t="s">
        <v>31</v>
      </c>
      <c r="M500" s="24"/>
      <c r="N500" s="24"/>
      <c r="O500" s="22">
        <v>8.5</v>
      </c>
      <c r="P500" s="22">
        <v>6.25</v>
      </c>
      <c r="Q500" s="22">
        <f>SUM('1. Base de donnée HILIN MU CM2 '!$O500+'1. Base de donnée HILIN MU CM2 '!$P500)/2</f>
        <v>7.375</v>
      </c>
      <c r="R500" s="22">
        <v>16.0</v>
      </c>
      <c r="S500" s="22">
        <v>16.0</v>
      </c>
      <c r="T500" s="22">
        <f>('1. Base de donnée HILIN MU CM2 '!$R500+'1. Base de donnée HILIN MU CM2 '!$S500)/2</f>
        <v>16</v>
      </c>
      <c r="U500" s="25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</row>
    <row r="501" ht="14.25" customHeight="1">
      <c r="A501" s="27" t="s">
        <v>956</v>
      </c>
      <c r="B501" s="27" t="s">
        <v>121</v>
      </c>
      <c r="C501" s="27" t="s">
        <v>963</v>
      </c>
      <c r="D501" s="27" t="s">
        <v>964</v>
      </c>
      <c r="E501" s="27" t="s">
        <v>958</v>
      </c>
      <c r="F501" s="27" t="s">
        <v>959</v>
      </c>
      <c r="G501" s="28">
        <v>2023.0</v>
      </c>
      <c r="H501" s="28">
        <v>84.0</v>
      </c>
      <c r="I501" s="28">
        <v>509.0</v>
      </c>
      <c r="J501" s="29" t="str">
        <f>'1. Base de donnée HILIN MU CM2 '!$G501&amp;"-"&amp;'1. Base de donnée HILIN MU CM2 '!$H501&amp;"-"&amp;'1. Base de donnée HILIN MU CM2 '!$I501</f>
        <v>2023-84-509</v>
      </c>
      <c r="K501" s="28">
        <f t="shared" si="1"/>
        <v>494</v>
      </c>
      <c r="L501" s="29" t="s">
        <v>31</v>
      </c>
      <c r="M501" s="29"/>
      <c r="N501" s="29"/>
      <c r="O501" s="27">
        <v>12.5</v>
      </c>
      <c r="P501" s="27">
        <v>8.75</v>
      </c>
      <c r="Q501" s="27">
        <f>SUM('1. Base de donnée HILIN MU CM2 '!$O501+'1. Base de donnée HILIN MU CM2 '!$P501)/2</f>
        <v>10.625</v>
      </c>
      <c r="R501" s="27">
        <v>14.0</v>
      </c>
      <c r="S501" s="27">
        <v>12.0</v>
      </c>
      <c r="T501" s="27">
        <f>('1. Base de donnée HILIN MU CM2 '!$R501+'1. Base de donnée HILIN MU CM2 '!$S501)/2</f>
        <v>13</v>
      </c>
      <c r="U501" s="30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</row>
    <row r="502" ht="14.25" customHeight="1">
      <c r="A502" s="22" t="s">
        <v>956</v>
      </c>
      <c r="B502" s="22" t="s">
        <v>121</v>
      </c>
      <c r="C502" s="22" t="s">
        <v>965</v>
      </c>
      <c r="D502" s="22" t="s">
        <v>966</v>
      </c>
      <c r="E502" s="22" t="s">
        <v>958</v>
      </c>
      <c r="F502" s="22" t="s">
        <v>959</v>
      </c>
      <c r="G502" s="23">
        <v>2023.0</v>
      </c>
      <c r="H502" s="23">
        <v>84.0</v>
      </c>
      <c r="I502" s="23">
        <v>510.0</v>
      </c>
      <c r="J502" s="24" t="str">
        <f>'1. Base de donnée HILIN MU CM2 '!$G502&amp;"-"&amp;'1. Base de donnée HILIN MU CM2 '!$H502&amp;"-"&amp;'1. Base de donnée HILIN MU CM2 '!$I502</f>
        <v>2023-84-510</v>
      </c>
      <c r="K502" s="23">
        <f t="shared" si="1"/>
        <v>495</v>
      </c>
      <c r="L502" s="24" t="s">
        <v>31</v>
      </c>
      <c r="M502" s="24"/>
      <c r="N502" s="24"/>
      <c r="O502" s="22">
        <v>11.0</v>
      </c>
      <c r="P502" s="22">
        <v>7.25</v>
      </c>
      <c r="Q502" s="22">
        <f>SUM('1. Base de donnée HILIN MU CM2 '!$O502+'1. Base de donnée HILIN MU CM2 '!$P502)/2</f>
        <v>9.125</v>
      </c>
      <c r="R502" s="22">
        <v>16.0</v>
      </c>
      <c r="S502" s="22">
        <v>14.5</v>
      </c>
      <c r="T502" s="22">
        <f>('1. Base de donnée HILIN MU CM2 '!$R502+'1. Base de donnée HILIN MU CM2 '!$S502)/2</f>
        <v>15.25</v>
      </c>
      <c r="U502" s="25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</row>
    <row r="503" ht="14.25" customHeight="1">
      <c r="A503" s="27" t="s">
        <v>956</v>
      </c>
      <c r="B503" s="27" t="s">
        <v>121</v>
      </c>
      <c r="C503" s="27" t="s">
        <v>967</v>
      </c>
      <c r="D503" s="27" t="s">
        <v>968</v>
      </c>
      <c r="E503" s="27" t="s">
        <v>958</v>
      </c>
      <c r="F503" s="27" t="s">
        <v>959</v>
      </c>
      <c r="G503" s="28">
        <v>2023.0</v>
      </c>
      <c r="H503" s="28">
        <v>84.0</v>
      </c>
      <c r="I503" s="28">
        <v>511.0</v>
      </c>
      <c r="J503" s="29" t="str">
        <f>'1. Base de donnée HILIN MU CM2 '!$G503&amp;"-"&amp;'1. Base de donnée HILIN MU CM2 '!$H503&amp;"-"&amp;'1. Base de donnée HILIN MU CM2 '!$I503</f>
        <v>2023-84-511</v>
      </c>
      <c r="K503" s="28">
        <f t="shared" si="1"/>
        <v>496</v>
      </c>
      <c r="L503" s="29" t="s">
        <v>31</v>
      </c>
      <c r="M503" s="29"/>
      <c r="N503" s="29"/>
      <c r="O503" s="27">
        <v>6.0</v>
      </c>
      <c r="P503" s="27">
        <v>8.25</v>
      </c>
      <c r="Q503" s="27">
        <f>SUM('1. Base de donnée HILIN MU CM2 '!$O503+'1. Base de donnée HILIN MU CM2 '!$P503)/2</f>
        <v>7.125</v>
      </c>
      <c r="R503" s="27">
        <v>13.0</v>
      </c>
      <c r="S503" s="27">
        <v>12.5</v>
      </c>
      <c r="T503" s="27">
        <f>('1. Base de donnée HILIN MU CM2 '!$R503+'1. Base de donnée HILIN MU CM2 '!$S503)/2</f>
        <v>12.75</v>
      </c>
      <c r="U503" s="30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</row>
    <row r="504" ht="14.25" customHeight="1">
      <c r="A504" s="22" t="s">
        <v>956</v>
      </c>
      <c r="B504" s="22" t="s">
        <v>121</v>
      </c>
      <c r="C504" s="22" t="s">
        <v>969</v>
      </c>
      <c r="D504" s="22" t="s">
        <v>970</v>
      </c>
      <c r="E504" s="22" t="s">
        <v>958</v>
      </c>
      <c r="F504" s="22" t="s">
        <v>959</v>
      </c>
      <c r="G504" s="23">
        <v>2023.0</v>
      </c>
      <c r="H504" s="23">
        <v>84.0</v>
      </c>
      <c r="I504" s="23">
        <v>512.0</v>
      </c>
      <c r="J504" s="24" t="str">
        <f>'1. Base de donnée HILIN MU CM2 '!$G504&amp;"-"&amp;'1. Base de donnée HILIN MU CM2 '!$H504&amp;"-"&amp;'1. Base de donnée HILIN MU CM2 '!$I504</f>
        <v>2023-84-512</v>
      </c>
      <c r="K504" s="23">
        <f t="shared" si="1"/>
        <v>497</v>
      </c>
      <c r="L504" s="24" t="s">
        <v>31</v>
      </c>
      <c r="M504" s="24"/>
      <c r="N504" s="24"/>
      <c r="O504" s="22">
        <v>12.0</v>
      </c>
      <c r="P504" s="22">
        <v>8.25</v>
      </c>
      <c r="Q504" s="22">
        <f>SUM('1. Base de donnée HILIN MU CM2 '!$O504+'1. Base de donnée HILIN MU CM2 '!$P504)/2</f>
        <v>10.125</v>
      </c>
      <c r="R504" s="22">
        <v>17.0</v>
      </c>
      <c r="S504" s="22">
        <v>15.0</v>
      </c>
      <c r="T504" s="22">
        <f>('1. Base de donnée HILIN MU CM2 '!$R504+'1. Base de donnée HILIN MU CM2 '!$S504)/2</f>
        <v>16</v>
      </c>
      <c r="U504" s="25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</row>
    <row r="505" ht="14.25" customHeight="1">
      <c r="A505" s="27" t="s">
        <v>956</v>
      </c>
      <c r="B505" s="27" t="s">
        <v>121</v>
      </c>
      <c r="C505" s="27" t="s">
        <v>971</v>
      </c>
      <c r="D505" s="27" t="s">
        <v>968</v>
      </c>
      <c r="E505" s="27" t="s">
        <v>958</v>
      </c>
      <c r="F505" s="27" t="s">
        <v>959</v>
      </c>
      <c r="G505" s="28">
        <v>2023.0</v>
      </c>
      <c r="H505" s="28">
        <v>84.0</v>
      </c>
      <c r="I505" s="28">
        <v>513.0</v>
      </c>
      <c r="J505" s="29" t="str">
        <f>'1. Base de donnée HILIN MU CM2 '!$G505&amp;"-"&amp;'1. Base de donnée HILIN MU CM2 '!$H505&amp;"-"&amp;'1. Base de donnée HILIN MU CM2 '!$I505</f>
        <v>2023-84-513</v>
      </c>
      <c r="K505" s="28">
        <f t="shared" si="1"/>
        <v>498</v>
      </c>
      <c r="L505" s="29" t="s">
        <v>31</v>
      </c>
      <c r="M505" s="29"/>
      <c r="N505" s="29"/>
      <c r="O505" s="27">
        <v>5.5</v>
      </c>
      <c r="P505" s="27">
        <v>8.75</v>
      </c>
      <c r="Q505" s="27">
        <f>SUM('1. Base de donnée HILIN MU CM2 '!$O505+'1. Base de donnée HILIN MU CM2 '!$P505)/2</f>
        <v>7.125</v>
      </c>
      <c r="R505" s="27">
        <v>15.0</v>
      </c>
      <c r="S505" s="27">
        <v>15.0</v>
      </c>
      <c r="T505" s="27">
        <f>('1. Base de donnée HILIN MU CM2 '!$R505+'1. Base de donnée HILIN MU CM2 '!$S505)/2</f>
        <v>15</v>
      </c>
      <c r="U505" s="30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</row>
    <row r="506" ht="14.25" customHeight="1">
      <c r="A506" s="22" t="s">
        <v>956</v>
      </c>
      <c r="B506" s="22" t="s">
        <v>121</v>
      </c>
      <c r="C506" s="22" t="s">
        <v>972</v>
      </c>
      <c r="D506" s="22" t="s">
        <v>973</v>
      </c>
      <c r="E506" s="22" t="s">
        <v>958</v>
      </c>
      <c r="F506" s="22" t="s">
        <v>959</v>
      </c>
      <c r="G506" s="23">
        <v>2023.0</v>
      </c>
      <c r="H506" s="23">
        <v>84.0</v>
      </c>
      <c r="I506" s="23">
        <v>514.0</v>
      </c>
      <c r="J506" s="24" t="str">
        <f>'1. Base de donnée HILIN MU CM2 '!$G506&amp;"-"&amp;'1. Base de donnée HILIN MU CM2 '!$H506&amp;"-"&amp;'1. Base de donnée HILIN MU CM2 '!$I506</f>
        <v>2023-84-514</v>
      </c>
      <c r="K506" s="23">
        <f t="shared" si="1"/>
        <v>499</v>
      </c>
      <c r="L506" s="24" t="s">
        <v>31</v>
      </c>
      <c r="M506" s="24"/>
      <c r="N506" s="24"/>
      <c r="O506" s="22">
        <v>8.5</v>
      </c>
      <c r="P506" s="22">
        <v>4.0</v>
      </c>
      <c r="Q506" s="22">
        <f>SUM('1. Base de donnée HILIN MU CM2 '!$O506+'1. Base de donnée HILIN MU CM2 '!$P506)/2</f>
        <v>6.25</v>
      </c>
      <c r="R506" s="22">
        <v>17.0</v>
      </c>
      <c r="S506" s="22">
        <v>16.5</v>
      </c>
      <c r="T506" s="22">
        <f>('1. Base de donnée HILIN MU CM2 '!$R506+'1. Base de donnée HILIN MU CM2 '!$S506)/2</f>
        <v>16.75</v>
      </c>
      <c r="U506" s="25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</row>
    <row r="507" ht="14.25" customHeight="1">
      <c r="A507" s="27" t="s">
        <v>956</v>
      </c>
      <c r="B507" s="27" t="s">
        <v>121</v>
      </c>
      <c r="C507" s="27" t="s">
        <v>974</v>
      </c>
      <c r="D507" s="27" t="s">
        <v>514</v>
      </c>
      <c r="E507" s="27" t="s">
        <v>958</v>
      </c>
      <c r="F507" s="27" t="s">
        <v>959</v>
      </c>
      <c r="G507" s="28">
        <v>2023.0</v>
      </c>
      <c r="H507" s="28">
        <v>84.0</v>
      </c>
      <c r="I507" s="28">
        <v>515.0</v>
      </c>
      <c r="J507" s="29" t="str">
        <f>'1. Base de donnée HILIN MU CM2 '!$G507&amp;"-"&amp;'1. Base de donnée HILIN MU CM2 '!$H507&amp;"-"&amp;'1. Base de donnée HILIN MU CM2 '!$I507</f>
        <v>2023-84-515</v>
      </c>
      <c r="K507" s="28">
        <f t="shared" si="1"/>
        <v>500</v>
      </c>
      <c r="L507" s="29" t="s">
        <v>31</v>
      </c>
      <c r="M507" s="29"/>
      <c r="N507" s="29"/>
      <c r="O507" s="27">
        <v>7.0</v>
      </c>
      <c r="P507" s="27">
        <v>11.75</v>
      </c>
      <c r="Q507" s="27">
        <f>SUM('1. Base de donnée HILIN MU CM2 '!$O507+'1. Base de donnée HILIN MU CM2 '!$P507)/2</f>
        <v>9.375</v>
      </c>
      <c r="R507" s="27">
        <v>15.5</v>
      </c>
      <c r="S507" s="27">
        <v>16.0</v>
      </c>
      <c r="T507" s="27">
        <f>('1. Base de donnée HILIN MU CM2 '!$R507+'1. Base de donnée HILIN MU CM2 '!$S507)/2</f>
        <v>15.75</v>
      </c>
      <c r="U507" s="30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</row>
    <row r="508" ht="14.25" customHeight="1">
      <c r="A508" s="22" t="s">
        <v>956</v>
      </c>
      <c r="B508" s="22" t="s">
        <v>121</v>
      </c>
      <c r="C508" s="22" t="s">
        <v>975</v>
      </c>
      <c r="D508" s="22" t="s">
        <v>976</v>
      </c>
      <c r="E508" s="22" t="s">
        <v>958</v>
      </c>
      <c r="F508" s="22" t="s">
        <v>959</v>
      </c>
      <c r="G508" s="23">
        <v>2023.0</v>
      </c>
      <c r="H508" s="23">
        <v>84.0</v>
      </c>
      <c r="I508" s="23">
        <v>516.0</v>
      </c>
      <c r="J508" s="24" t="str">
        <f>'1. Base de donnée HILIN MU CM2 '!$G508&amp;"-"&amp;'1. Base de donnée HILIN MU CM2 '!$H508&amp;"-"&amp;'1. Base de donnée HILIN MU CM2 '!$I508</f>
        <v>2023-84-516</v>
      </c>
      <c r="K508" s="23">
        <f t="shared" si="1"/>
        <v>501</v>
      </c>
      <c r="L508" s="24" t="s">
        <v>31</v>
      </c>
      <c r="M508" s="24"/>
      <c r="N508" s="24"/>
      <c r="O508" s="22">
        <v>9.5</v>
      </c>
      <c r="P508" s="22">
        <v>9.0</v>
      </c>
      <c r="Q508" s="22">
        <f>SUM('1. Base de donnée HILIN MU CM2 '!$O508+'1. Base de donnée HILIN MU CM2 '!$P508)/2</f>
        <v>9.25</v>
      </c>
      <c r="R508" s="22">
        <v>16.0</v>
      </c>
      <c r="S508" s="22">
        <v>16.0</v>
      </c>
      <c r="T508" s="22">
        <f>('1. Base de donnée HILIN MU CM2 '!$R508+'1. Base de donnée HILIN MU CM2 '!$S508)/2</f>
        <v>16</v>
      </c>
      <c r="U508" s="25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</row>
    <row r="509" ht="14.25" customHeight="1">
      <c r="A509" s="27" t="s">
        <v>956</v>
      </c>
      <c r="B509" s="27" t="s">
        <v>121</v>
      </c>
      <c r="C509" s="27" t="s">
        <v>977</v>
      </c>
      <c r="D509" s="27" t="s">
        <v>978</v>
      </c>
      <c r="E509" s="27" t="s">
        <v>958</v>
      </c>
      <c r="F509" s="27" t="s">
        <v>959</v>
      </c>
      <c r="G509" s="28">
        <v>2023.0</v>
      </c>
      <c r="H509" s="28">
        <v>84.0</v>
      </c>
      <c r="I509" s="28">
        <v>517.0</v>
      </c>
      <c r="J509" s="29" t="str">
        <f>'1. Base de donnée HILIN MU CM2 '!$G509&amp;"-"&amp;'1. Base de donnée HILIN MU CM2 '!$H509&amp;"-"&amp;'1. Base de donnée HILIN MU CM2 '!$I509</f>
        <v>2023-84-517</v>
      </c>
      <c r="K509" s="28">
        <f t="shared" si="1"/>
        <v>502</v>
      </c>
      <c r="L509" s="29" t="s">
        <v>31</v>
      </c>
      <c r="M509" s="29"/>
      <c r="N509" s="29"/>
      <c r="O509" s="27">
        <v>10.5</v>
      </c>
      <c r="P509" s="27">
        <v>11.0</v>
      </c>
      <c r="Q509" s="27">
        <f>SUM('1. Base de donnée HILIN MU CM2 '!$O509+'1. Base de donnée HILIN MU CM2 '!$P509)/2</f>
        <v>10.75</v>
      </c>
      <c r="R509" s="27">
        <v>17.0</v>
      </c>
      <c r="S509" s="27">
        <v>16.5</v>
      </c>
      <c r="T509" s="27">
        <f>('1. Base de donnée HILIN MU CM2 '!$R509+'1. Base de donnée HILIN MU CM2 '!$S509)/2</f>
        <v>16.75</v>
      </c>
      <c r="U509" s="30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</row>
    <row r="510" ht="14.25" customHeight="1">
      <c r="A510" s="22" t="s">
        <v>956</v>
      </c>
      <c r="B510" s="22" t="s">
        <v>121</v>
      </c>
      <c r="C510" s="22" t="s">
        <v>979</v>
      </c>
      <c r="D510" s="22" t="s">
        <v>980</v>
      </c>
      <c r="E510" s="22" t="s">
        <v>958</v>
      </c>
      <c r="F510" s="22" t="s">
        <v>959</v>
      </c>
      <c r="G510" s="23">
        <v>2023.0</v>
      </c>
      <c r="H510" s="23">
        <v>84.0</v>
      </c>
      <c r="I510" s="23">
        <v>518.0</v>
      </c>
      <c r="J510" s="24" t="str">
        <f>'1. Base de donnée HILIN MU CM2 '!$G510&amp;"-"&amp;'1. Base de donnée HILIN MU CM2 '!$H510&amp;"-"&amp;'1. Base de donnée HILIN MU CM2 '!$I510</f>
        <v>2023-84-518</v>
      </c>
      <c r="K510" s="23">
        <f t="shared" si="1"/>
        <v>503</v>
      </c>
      <c r="L510" s="24" t="s">
        <v>31</v>
      </c>
      <c r="M510" s="24"/>
      <c r="N510" s="24"/>
      <c r="O510" s="22">
        <v>11.5</v>
      </c>
      <c r="P510" s="22">
        <v>8.75</v>
      </c>
      <c r="Q510" s="22">
        <f>SUM('1. Base de donnée HILIN MU CM2 '!$O510+'1. Base de donnée HILIN MU CM2 '!$P510)/2</f>
        <v>10.125</v>
      </c>
      <c r="R510" s="22">
        <v>16.0</v>
      </c>
      <c r="S510" s="22">
        <v>16.0</v>
      </c>
      <c r="T510" s="22">
        <f>('1. Base de donnée HILIN MU CM2 '!$R510+'1. Base de donnée HILIN MU CM2 '!$S510)/2</f>
        <v>16</v>
      </c>
      <c r="U510" s="25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</row>
    <row r="511" ht="14.25" customHeight="1">
      <c r="A511" s="27" t="s">
        <v>956</v>
      </c>
      <c r="B511" s="27" t="s">
        <v>121</v>
      </c>
      <c r="C511" s="27" t="s">
        <v>981</v>
      </c>
      <c r="D511" s="27" t="s">
        <v>982</v>
      </c>
      <c r="E511" s="27" t="s">
        <v>958</v>
      </c>
      <c r="F511" s="27" t="s">
        <v>959</v>
      </c>
      <c r="G511" s="28">
        <v>2023.0</v>
      </c>
      <c r="H511" s="28">
        <v>84.0</v>
      </c>
      <c r="I511" s="28">
        <v>519.0</v>
      </c>
      <c r="J511" s="29" t="str">
        <f>'1. Base de donnée HILIN MU CM2 '!$G511&amp;"-"&amp;'1. Base de donnée HILIN MU CM2 '!$H511&amp;"-"&amp;'1. Base de donnée HILIN MU CM2 '!$I511</f>
        <v>2023-84-519</v>
      </c>
      <c r="K511" s="28">
        <f t="shared" si="1"/>
        <v>504</v>
      </c>
      <c r="L511" s="29" t="s">
        <v>31</v>
      </c>
      <c r="M511" s="29"/>
      <c r="N511" s="29"/>
      <c r="O511" s="27">
        <v>8.0</v>
      </c>
      <c r="P511" s="27">
        <v>7.75</v>
      </c>
      <c r="Q511" s="27">
        <f>SUM('1. Base de donnée HILIN MU CM2 '!$O511+'1. Base de donnée HILIN MU CM2 '!$P511)/2</f>
        <v>7.875</v>
      </c>
      <c r="R511" s="27">
        <v>16.0</v>
      </c>
      <c r="S511" s="27">
        <v>16.5</v>
      </c>
      <c r="T511" s="27">
        <f>('1. Base de donnée HILIN MU CM2 '!$R511+'1. Base de donnée HILIN MU CM2 '!$S511)/2</f>
        <v>16.25</v>
      </c>
      <c r="U511" s="30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</row>
    <row r="512" ht="14.25" customHeight="1">
      <c r="A512" s="22" t="s">
        <v>956</v>
      </c>
      <c r="B512" s="22" t="s">
        <v>121</v>
      </c>
      <c r="C512" s="22" t="s">
        <v>983</v>
      </c>
      <c r="D512" s="22" t="s">
        <v>984</v>
      </c>
      <c r="E512" s="22" t="s">
        <v>958</v>
      </c>
      <c r="F512" s="22" t="s">
        <v>959</v>
      </c>
      <c r="G512" s="23">
        <v>2023.0</v>
      </c>
      <c r="H512" s="23">
        <v>84.0</v>
      </c>
      <c r="I512" s="23">
        <v>520.0</v>
      </c>
      <c r="J512" s="24" t="str">
        <f>'1. Base de donnée HILIN MU CM2 '!$G512&amp;"-"&amp;'1. Base de donnée HILIN MU CM2 '!$H512&amp;"-"&amp;'1. Base de donnée HILIN MU CM2 '!$I512</f>
        <v>2023-84-520</v>
      </c>
      <c r="K512" s="23">
        <f t="shared" si="1"/>
        <v>505</v>
      </c>
      <c r="L512" s="24" t="s">
        <v>31</v>
      </c>
      <c r="M512" s="24"/>
      <c r="N512" s="24"/>
      <c r="O512" s="22">
        <v>6.5</v>
      </c>
      <c r="P512" s="22">
        <v>6.5</v>
      </c>
      <c r="Q512" s="22">
        <f>SUM('1. Base de donnée HILIN MU CM2 '!$O512+'1. Base de donnée HILIN MU CM2 '!$P512)/2</f>
        <v>6.5</v>
      </c>
      <c r="R512" s="22">
        <v>17.0</v>
      </c>
      <c r="S512" s="22">
        <v>16.5</v>
      </c>
      <c r="T512" s="22">
        <f>('1. Base de donnée HILIN MU CM2 '!$R512+'1. Base de donnée HILIN MU CM2 '!$S512)/2</f>
        <v>16.75</v>
      </c>
      <c r="U512" s="25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</row>
    <row r="513" ht="14.25" customHeight="1">
      <c r="A513" s="27" t="s">
        <v>956</v>
      </c>
      <c r="B513" s="27" t="s">
        <v>121</v>
      </c>
      <c r="C513" s="27" t="s">
        <v>985</v>
      </c>
      <c r="D513" s="27" t="s">
        <v>232</v>
      </c>
      <c r="E513" s="27" t="s">
        <v>958</v>
      </c>
      <c r="F513" s="27" t="s">
        <v>959</v>
      </c>
      <c r="G513" s="28">
        <v>2023.0</v>
      </c>
      <c r="H513" s="28">
        <v>84.0</v>
      </c>
      <c r="I513" s="28">
        <v>868.0</v>
      </c>
      <c r="J513" s="29" t="str">
        <f>'1. Base de donnée HILIN MU CM2 '!$G513&amp;"-"&amp;'1. Base de donnée HILIN MU CM2 '!$H513&amp;"-"&amp;'1. Base de donnée HILIN MU CM2 '!$I513</f>
        <v>2023-84-868</v>
      </c>
      <c r="K513" s="28">
        <f t="shared" si="1"/>
        <v>506</v>
      </c>
      <c r="L513" s="29" t="s">
        <v>31</v>
      </c>
      <c r="M513" s="29"/>
      <c r="N513" s="29"/>
      <c r="O513" s="27">
        <v>7.25</v>
      </c>
      <c r="P513" s="27">
        <v>7.0</v>
      </c>
      <c r="Q513" s="27">
        <f>SUM('1. Base de donnée HILIN MU CM2 '!$O513+'1. Base de donnée HILIN MU CM2 '!$P513)/2</f>
        <v>7.125</v>
      </c>
      <c r="R513" s="27">
        <v>15.0</v>
      </c>
      <c r="S513" s="27">
        <v>14.5</v>
      </c>
      <c r="T513" s="31">
        <f>('1. Base de donnée HILIN MU CM2 '!$R513+'1. Base de donnée HILIN MU CM2 '!$S513)/2</f>
        <v>14.75</v>
      </c>
      <c r="U513" s="30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</row>
    <row r="514" ht="14.25" customHeight="1">
      <c r="A514" s="22" t="s">
        <v>956</v>
      </c>
      <c r="B514" s="22" t="s">
        <v>121</v>
      </c>
      <c r="C514" s="22" t="s">
        <v>986</v>
      </c>
      <c r="D514" s="22" t="s">
        <v>987</v>
      </c>
      <c r="E514" s="22" t="s">
        <v>958</v>
      </c>
      <c r="F514" s="22" t="s">
        <v>959</v>
      </c>
      <c r="G514" s="23">
        <v>2023.0</v>
      </c>
      <c r="H514" s="23">
        <v>84.0</v>
      </c>
      <c r="I514" s="23">
        <v>869.0</v>
      </c>
      <c r="J514" s="24" t="str">
        <f>'1. Base de donnée HILIN MU CM2 '!$G514&amp;"-"&amp;'1. Base de donnée HILIN MU CM2 '!$H514&amp;"-"&amp;'1. Base de donnée HILIN MU CM2 '!$I514</f>
        <v>2023-84-869</v>
      </c>
      <c r="K514" s="23">
        <f t="shared" si="1"/>
        <v>507</v>
      </c>
      <c r="L514" s="24" t="s">
        <v>31</v>
      </c>
      <c r="M514" s="24"/>
      <c r="N514" s="24"/>
      <c r="O514" s="22">
        <v>9.0</v>
      </c>
      <c r="P514" s="22">
        <v>7.25</v>
      </c>
      <c r="Q514" s="22">
        <f>SUM('1. Base de donnée HILIN MU CM2 '!$O514+'1. Base de donnée HILIN MU CM2 '!$P514)/2</f>
        <v>8.125</v>
      </c>
      <c r="R514" s="22">
        <v>16.0</v>
      </c>
      <c r="S514" s="22">
        <v>16.5</v>
      </c>
      <c r="T514" s="32">
        <f>('1. Base de donnée HILIN MU CM2 '!$R514+'1. Base de donnée HILIN MU CM2 '!$S514)/2</f>
        <v>16.25</v>
      </c>
      <c r="U514" s="25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</row>
    <row r="515" ht="14.25" hidden="1" customHeight="1">
      <c r="A515" s="27" t="s">
        <v>988</v>
      </c>
      <c r="B515" s="27" t="s">
        <v>938</v>
      </c>
      <c r="C515" s="27" t="s">
        <v>989</v>
      </c>
      <c r="D515" s="27" t="s">
        <v>831</v>
      </c>
      <c r="E515" s="27" t="s">
        <v>990</v>
      </c>
      <c r="F515" s="27" t="s">
        <v>991</v>
      </c>
      <c r="G515" s="28">
        <v>2023.0</v>
      </c>
      <c r="H515" s="28">
        <v>56.0</v>
      </c>
      <c r="I515" s="28">
        <v>522.0</v>
      </c>
      <c r="J515" s="29" t="str">
        <f>'1. Base de donnée HILIN MU CM2 '!$G515&amp;"-"&amp;'1. Base de donnée HILIN MU CM2 '!$H515&amp;"-"&amp;'1. Base de donnée HILIN MU CM2 '!$I515</f>
        <v>2023-56-522</v>
      </c>
      <c r="K515" s="28">
        <f t="shared" si="1"/>
        <v>508</v>
      </c>
      <c r="L515" s="29" t="s">
        <v>31</v>
      </c>
      <c r="M515" s="29"/>
      <c r="N515" s="29"/>
      <c r="O515" s="27">
        <v>7.0</v>
      </c>
      <c r="P515" s="27">
        <v>4.0</v>
      </c>
      <c r="Q515" s="27">
        <f>SUM('1. Base de donnée HILIN MU CM2 '!$O515+'1. Base de donnée HILIN MU CM2 '!$P515)/2</f>
        <v>5.5</v>
      </c>
      <c r="R515" s="27">
        <v>14.0</v>
      </c>
      <c r="S515" s="27">
        <v>20.0</v>
      </c>
      <c r="T515" s="27">
        <f>('1. Base de donnée HILIN MU CM2 '!$R515+'1. Base de donnée HILIN MU CM2 '!$S515)/2</f>
        <v>17</v>
      </c>
      <c r="U515" s="30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</row>
    <row r="516" ht="14.25" hidden="1" customHeight="1">
      <c r="A516" s="22" t="s">
        <v>988</v>
      </c>
      <c r="B516" s="22" t="s">
        <v>938</v>
      </c>
      <c r="C516" s="22" t="s">
        <v>992</v>
      </c>
      <c r="D516" s="22" t="s">
        <v>993</v>
      </c>
      <c r="E516" s="22" t="s">
        <v>990</v>
      </c>
      <c r="F516" s="22" t="s">
        <v>991</v>
      </c>
      <c r="G516" s="23">
        <v>2023.0</v>
      </c>
      <c r="H516" s="23">
        <v>56.0</v>
      </c>
      <c r="I516" s="23">
        <v>533.0</v>
      </c>
      <c r="J516" s="24" t="str">
        <f>'1. Base de donnée HILIN MU CM2 '!$G516&amp;"-"&amp;'1. Base de donnée HILIN MU CM2 '!$H516&amp;"-"&amp;'1. Base de donnée HILIN MU CM2 '!$I516</f>
        <v>2023-56-533</v>
      </c>
      <c r="K516" s="23">
        <f t="shared" si="1"/>
        <v>509</v>
      </c>
      <c r="L516" s="24" t="s">
        <v>31</v>
      </c>
      <c r="M516" s="24"/>
      <c r="N516" s="24"/>
      <c r="O516" s="22">
        <v>11.0</v>
      </c>
      <c r="P516" s="22">
        <v>7.5</v>
      </c>
      <c r="Q516" s="22">
        <f>SUM('1. Base de donnée HILIN MU CM2 '!$O516+'1. Base de donnée HILIN MU CM2 '!$P516)/2</f>
        <v>9.25</v>
      </c>
      <c r="R516" s="22">
        <v>15.5</v>
      </c>
      <c r="S516" s="22">
        <v>20.0</v>
      </c>
      <c r="T516" s="22">
        <f>('1. Base de donnée HILIN MU CM2 '!$R516+'1. Base de donnée HILIN MU CM2 '!$S516)/2</f>
        <v>17.75</v>
      </c>
      <c r="U516" s="25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</row>
    <row r="517" ht="14.25" hidden="1" customHeight="1">
      <c r="A517" s="27" t="s">
        <v>988</v>
      </c>
      <c r="B517" s="27" t="s">
        <v>938</v>
      </c>
      <c r="C517" s="27" t="s">
        <v>994</v>
      </c>
      <c r="D517" s="27" t="s">
        <v>995</v>
      </c>
      <c r="E517" s="27" t="s">
        <v>990</v>
      </c>
      <c r="F517" s="27" t="s">
        <v>991</v>
      </c>
      <c r="G517" s="28">
        <v>2023.0</v>
      </c>
      <c r="H517" s="28">
        <v>56.0</v>
      </c>
      <c r="I517" s="28">
        <v>534.0</v>
      </c>
      <c r="J517" s="29" t="str">
        <f>'1. Base de donnée HILIN MU CM2 '!$G517&amp;"-"&amp;'1. Base de donnée HILIN MU CM2 '!$H517&amp;"-"&amp;'1. Base de donnée HILIN MU CM2 '!$I517</f>
        <v>2023-56-534</v>
      </c>
      <c r="K517" s="28">
        <f t="shared" si="1"/>
        <v>510</v>
      </c>
      <c r="L517" s="29" t="s">
        <v>31</v>
      </c>
      <c r="M517" s="29"/>
      <c r="N517" s="29"/>
      <c r="O517" s="27">
        <v>8.5</v>
      </c>
      <c r="P517" s="27">
        <v>7.0</v>
      </c>
      <c r="Q517" s="27">
        <f>SUM('1. Base de donnée HILIN MU CM2 '!$O517+'1. Base de donnée HILIN MU CM2 '!$P517)/2</f>
        <v>7.75</v>
      </c>
      <c r="R517" s="27">
        <v>17.5</v>
      </c>
      <c r="S517" s="27">
        <v>20.0</v>
      </c>
      <c r="T517" s="27">
        <f>('1. Base de donnée HILIN MU CM2 '!$R517+'1. Base de donnée HILIN MU CM2 '!$S517)/2</f>
        <v>18.75</v>
      </c>
      <c r="U517" s="30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</row>
    <row r="518" ht="14.25" hidden="1" customHeight="1">
      <c r="A518" s="22" t="s">
        <v>988</v>
      </c>
      <c r="B518" s="22" t="s">
        <v>938</v>
      </c>
      <c r="C518" s="22" t="s">
        <v>996</v>
      </c>
      <c r="D518" s="22" t="s">
        <v>997</v>
      </c>
      <c r="E518" s="22" t="s">
        <v>990</v>
      </c>
      <c r="F518" s="22" t="s">
        <v>991</v>
      </c>
      <c r="G518" s="23">
        <v>2023.0</v>
      </c>
      <c r="H518" s="23">
        <v>56.0</v>
      </c>
      <c r="I518" s="23">
        <v>535.0</v>
      </c>
      <c r="J518" s="24" t="str">
        <f>'1. Base de donnée HILIN MU CM2 '!$G518&amp;"-"&amp;'1. Base de donnée HILIN MU CM2 '!$H518&amp;"-"&amp;'1. Base de donnée HILIN MU CM2 '!$I518</f>
        <v>2023-56-535</v>
      </c>
      <c r="K518" s="23">
        <f t="shared" si="1"/>
        <v>511</v>
      </c>
      <c r="L518" s="24" t="s">
        <v>31</v>
      </c>
      <c r="M518" s="24"/>
      <c r="N518" s="24"/>
      <c r="O518" s="22">
        <v>8.0</v>
      </c>
      <c r="P518" s="22">
        <v>4.0</v>
      </c>
      <c r="Q518" s="22">
        <f>SUM('1. Base de donnée HILIN MU CM2 '!$O518+'1. Base de donnée HILIN MU CM2 '!$P518)/2</f>
        <v>6</v>
      </c>
      <c r="R518" s="22">
        <v>15.5</v>
      </c>
      <c r="S518" s="22">
        <v>18.5</v>
      </c>
      <c r="T518" s="22">
        <f>('1. Base de donnée HILIN MU CM2 '!$R518+'1. Base de donnée HILIN MU CM2 '!$S518)/2</f>
        <v>17</v>
      </c>
      <c r="U518" s="25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</row>
    <row r="519" ht="14.25" hidden="1" customHeight="1">
      <c r="A519" s="27" t="s">
        <v>988</v>
      </c>
      <c r="B519" s="27" t="s">
        <v>938</v>
      </c>
      <c r="C519" s="27" t="s">
        <v>998</v>
      </c>
      <c r="D519" s="27" t="s">
        <v>999</v>
      </c>
      <c r="E519" s="27" t="s">
        <v>990</v>
      </c>
      <c r="F519" s="27" t="s">
        <v>991</v>
      </c>
      <c r="G519" s="28">
        <v>2023.0</v>
      </c>
      <c r="H519" s="28">
        <v>56.0</v>
      </c>
      <c r="I519" s="28">
        <v>538.0</v>
      </c>
      <c r="J519" s="29" t="str">
        <f>'1. Base de donnée HILIN MU CM2 '!$G519&amp;"-"&amp;'1. Base de donnée HILIN MU CM2 '!$H519&amp;"-"&amp;'1. Base de donnée HILIN MU CM2 '!$I519</f>
        <v>2023-56-538</v>
      </c>
      <c r="K519" s="28">
        <f t="shared" si="1"/>
        <v>512</v>
      </c>
      <c r="L519" s="29" t="s">
        <v>31</v>
      </c>
      <c r="M519" s="29"/>
      <c r="N519" s="29"/>
      <c r="O519" s="27">
        <v>6.0</v>
      </c>
      <c r="P519" s="27">
        <v>4.0</v>
      </c>
      <c r="Q519" s="27">
        <f>SUM('1. Base de donnée HILIN MU CM2 '!$O519+'1. Base de donnée HILIN MU CM2 '!$P519)/2</f>
        <v>5</v>
      </c>
      <c r="R519" s="27">
        <v>16.5</v>
      </c>
      <c r="S519" s="27">
        <v>16.5</v>
      </c>
      <c r="T519" s="27">
        <f>('1. Base de donnée HILIN MU CM2 '!$R519+'1. Base de donnée HILIN MU CM2 '!$S519)/2</f>
        <v>16.5</v>
      </c>
      <c r="U519" s="30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</row>
    <row r="520" ht="14.25" hidden="1" customHeight="1">
      <c r="A520" s="22" t="s">
        <v>988</v>
      </c>
      <c r="B520" s="22" t="s">
        <v>938</v>
      </c>
      <c r="C520" s="22" t="s">
        <v>1000</v>
      </c>
      <c r="D520" s="22" t="s">
        <v>1001</v>
      </c>
      <c r="E520" s="22" t="s">
        <v>990</v>
      </c>
      <c r="F520" s="22" t="s">
        <v>991</v>
      </c>
      <c r="G520" s="23">
        <v>2023.0</v>
      </c>
      <c r="H520" s="23">
        <v>56.0</v>
      </c>
      <c r="I520" s="23">
        <v>539.0</v>
      </c>
      <c r="J520" s="24" t="str">
        <f>'1. Base de donnée HILIN MU CM2 '!$G520&amp;"-"&amp;'1. Base de donnée HILIN MU CM2 '!$H520&amp;"-"&amp;'1. Base de donnée HILIN MU CM2 '!$I520</f>
        <v>2023-56-539</v>
      </c>
      <c r="K520" s="23">
        <f t="shared" si="1"/>
        <v>513</v>
      </c>
      <c r="L520" s="24" t="s">
        <v>31</v>
      </c>
      <c r="M520" s="24"/>
      <c r="N520" s="24"/>
      <c r="O520" s="22">
        <v>9.5</v>
      </c>
      <c r="P520" s="22">
        <v>5.5</v>
      </c>
      <c r="Q520" s="22">
        <f>SUM('1. Base de donnée HILIN MU CM2 '!$O520+'1. Base de donnée HILIN MU CM2 '!$P520)/2</f>
        <v>7.5</v>
      </c>
      <c r="R520" s="22">
        <v>14.5</v>
      </c>
      <c r="S520" s="22">
        <v>17.5</v>
      </c>
      <c r="T520" s="22">
        <f>('1. Base de donnée HILIN MU CM2 '!$R520+'1. Base de donnée HILIN MU CM2 '!$S520)/2</f>
        <v>16</v>
      </c>
      <c r="U520" s="25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</row>
    <row r="521" ht="14.25" hidden="1" customHeight="1">
      <c r="A521" s="27" t="s">
        <v>988</v>
      </c>
      <c r="B521" s="27" t="s">
        <v>938</v>
      </c>
      <c r="C521" s="27" t="s">
        <v>1002</v>
      </c>
      <c r="D521" s="27" t="s">
        <v>1003</v>
      </c>
      <c r="E521" s="27" t="s">
        <v>990</v>
      </c>
      <c r="F521" s="27" t="s">
        <v>991</v>
      </c>
      <c r="G521" s="28">
        <v>2023.0</v>
      </c>
      <c r="H521" s="28">
        <v>56.0</v>
      </c>
      <c r="I521" s="28">
        <v>541.0</v>
      </c>
      <c r="J521" s="29" t="str">
        <f>'1. Base de donnée HILIN MU CM2 '!$G521&amp;"-"&amp;'1. Base de donnée HILIN MU CM2 '!$H521&amp;"-"&amp;'1. Base de donnée HILIN MU CM2 '!$I521</f>
        <v>2023-56-541</v>
      </c>
      <c r="K521" s="28">
        <f t="shared" si="1"/>
        <v>514</v>
      </c>
      <c r="L521" s="29" t="s">
        <v>31</v>
      </c>
      <c r="M521" s="29"/>
      <c r="N521" s="29"/>
      <c r="O521" s="27">
        <v>12.5</v>
      </c>
      <c r="P521" s="27">
        <v>7.0</v>
      </c>
      <c r="Q521" s="27">
        <f>SUM('1. Base de donnée HILIN MU CM2 '!$O521+'1. Base de donnée HILIN MU CM2 '!$P521)/2</f>
        <v>9.75</v>
      </c>
      <c r="R521" s="27">
        <v>15.0</v>
      </c>
      <c r="S521" s="27">
        <v>18.5</v>
      </c>
      <c r="T521" s="27">
        <f>('1. Base de donnée HILIN MU CM2 '!$R521+'1. Base de donnée HILIN MU CM2 '!$S521)/2</f>
        <v>16.75</v>
      </c>
      <c r="U521" s="30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</row>
    <row r="522" ht="14.25" hidden="1" customHeight="1">
      <c r="A522" s="22" t="s">
        <v>988</v>
      </c>
      <c r="B522" s="22" t="s">
        <v>938</v>
      </c>
      <c r="C522" s="22" t="s">
        <v>1004</v>
      </c>
      <c r="D522" s="22" t="s">
        <v>1005</v>
      </c>
      <c r="E522" s="22" t="s">
        <v>1006</v>
      </c>
      <c r="F522" s="22" t="s">
        <v>991</v>
      </c>
      <c r="G522" s="23">
        <v>2023.0</v>
      </c>
      <c r="H522" s="23">
        <v>56.0</v>
      </c>
      <c r="I522" s="23">
        <v>542.0</v>
      </c>
      <c r="J522" s="24" t="str">
        <f>'1. Base de donnée HILIN MU CM2 '!$G522&amp;"-"&amp;'1. Base de donnée HILIN MU CM2 '!$H522&amp;"-"&amp;'1. Base de donnée HILIN MU CM2 '!$I522</f>
        <v>2023-56-542</v>
      </c>
      <c r="K522" s="23">
        <f t="shared" si="1"/>
        <v>515</v>
      </c>
      <c r="L522" s="24" t="s">
        <v>31</v>
      </c>
      <c r="M522" s="24"/>
      <c r="N522" s="24"/>
      <c r="O522" s="22">
        <v>6.5</v>
      </c>
      <c r="P522" s="22">
        <v>6.0</v>
      </c>
      <c r="Q522" s="22">
        <f>SUM('1. Base de donnée HILIN MU CM2 '!$O522+'1. Base de donnée HILIN MU CM2 '!$P522)/2</f>
        <v>6.25</v>
      </c>
      <c r="R522" s="22">
        <v>14.0</v>
      </c>
      <c r="S522" s="22">
        <v>18.0</v>
      </c>
      <c r="T522" s="22">
        <f>('1. Base de donnée HILIN MU CM2 '!$R522+'1. Base de donnée HILIN MU CM2 '!$S522)/2</f>
        <v>16</v>
      </c>
      <c r="U522" s="25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</row>
    <row r="523" ht="14.25" hidden="1" customHeight="1">
      <c r="A523" s="27" t="s">
        <v>988</v>
      </c>
      <c r="B523" s="27" t="s">
        <v>938</v>
      </c>
      <c r="C523" s="27" t="s">
        <v>1007</v>
      </c>
      <c r="D523" s="27" t="s">
        <v>1008</v>
      </c>
      <c r="E523" s="27" t="s">
        <v>1006</v>
      </c>
      <c r="F523" s="27" t="s">
        <v>991</v>
      </c>
      <c r="G523" s="28">
        <v>2023.0</v>
      </c>
      <c r="H523" s="28">
        <v>56.0</v>
      </c>
      <c r="I523" s="28">
        <v>543.0</v>
      </c>
      <c r="J523" s="29" t="str">
        <f>'1. Base de donnée HILIN MU CM2 '!$G523&amp;"-"&amp;'1. Base de donnée HILIN MU CM2 '!$H523&amp;"-"&amp;'1. Base de donnée HILIN MU CM2 '!$I523</f>
        <v>2023-56-543</v>
      </c>
      <c r="K523" s="28">
        <f t="shared" si="1"/>
        <v>516</v>
      </c>
      <c r="L523" s="29" t="s">
        <v>31</v>
      </c>
      <c r="M523" s="29"/>
      <c r="N523" s="29"/>
      <c r="O523" s="27">
        <v>10.5</v>
      </c>
      <c r="P523" s="27">
        <v>12.5</v>
      </c>
      <c r="Q523" s="27">
        <f>SUM('1. Base de donnée HILIN MU CM2 '!$O523+'1. Base de donnée HILIN MU CM2 '!$P523)/2</f>
        <v>11.5</v>
      </c>
      <c r="R523" s="27">
        <v>17.0</v>
      </c>
      <c r="S523" s="27">
        <v>18.5</v>
      </c>
      <c r="T523" s="27">
        <f>('1. Base de donnée HILIN MU CM2 '!$R523+'1. Base de donnée HILIN MU CM2 '!$S523)/2</f>
        <v>17.75</v>
      </c>
      <c r="U523" s="30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</row>
    <row r="524" ht="14.25" hidden="1" customHeight="1">
      <c r="A524" s="22" t="s">
        <v>988</v>
      </c>
      <c r="B524" s="22" t="s">
        <v>938</v>
      </c>
      <c r="C524" s="22" t="s">
        <v>1009</v>
      </c>
      <c r="D524" s="22" t="s">
        <v>1010</v>
      </c>
      <c r="E524" s="22" t="s">
        <v>1006</v>
      </c>
      <c r="F524" s="22" t="s">
        <v>991</v>
      </c>
      <c r="G524" s="23">
        <v>2023.0</v>
      </c>
      <c r="H524" s="23">
        <v>56.0</v>
      </c>
      <c r="I524" s="23">
        <v>544.0</v>
      </c>
      <c r="J524" s="24" t="str">
        <f>'1. Base de donnée HILIN MU CM2 '!$G524&amp;"-"&amp;'1. Base de donnée HILIN MU CM2 '!$H524&amp;"-"&amp;'1. Base de donnée HILIN MU CM2 '!$I524</f>
        <v>2023-56-544</v>
      </c>
      <c r="K524" s="23">
        <f t="shared" si="1"/>
        <v>517</v>
      </c>
      <c r="L524" s="24" t="s">
        <v>31</v>
      </c>
      <c r="M524" s="24"/>
      <c r="N524" s="24"/>
      <c r="O524" s="22">
        <v>6.0</v>
      </c>
      <c r="P524" s="22">
        <v>6.0</v>
      </c>
      <c r="Q524" s="22">
        <f>SUM('1. Base de donnée HILIN MU CM2 '!$O524+'1. Base de donnée HILIN MU CM2 '!$P524)/2</f>
        <v>6</v>
      </c>
      <c r="R524" s="22">
        <v>13.0</v>
      </c>
      <c r="S524" s="22">
        <v>20.0</v>
      </c>
      <c r="T524" s="22">
        <f>('1. Base de donnée HILIN MU CM2 '!$R524+'1. Base de donnée HILIN MU CM2 '!$S524)/2</f>
        <v>16.5</v>
      </c>
      <c r="U524" s="25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</row>
    <row r="525" ht="14.25" hidden="1" customHeight="1">
      <c r="A525" s="27" t="s">
        <v>988</v>
      </c>
      <c r="B525" s="27" t="s">
        <v>938</v>
      </c>
      <c r="C525" s="27" t="s">
        <v>1011</v>
      </c>
      <c r="D525" s="27" t="s">
        <v>1012</v>
      </c>
      <c r="E525" s="27" t="s">
        <v>1006</v>
      </c>
      <c r="F525" s="27" t="s">
        <v>991</v>
      </c>
      <c r="G525" s="28">
        <v>2023.0</v>
      </c>
      <c r="H525" s="28">
        <v>56.0</v>
      </c>
      <c r="I525" s="28">
        <v>545.0</v>
      </c>
      <c r="J525" s="29" t="str">
        <f>'1. Base de donnée HILIN MU CM2 '!$G525&amp;"-"&amp;'1. Base de donnée HILIN MU CM2 '!$H525&amp;"-"&amp;'1. Base de donnée HILIN MU CM2 '!$I525</f>
        <v>2023-56-545</v>
      </c>
      <c r="K525" s="28">
        <f t="shared" si="1"/>
        <v>518</v>
      </c>
      <c r="L525" s="29" t="s">
        <v>31</v>
      </c>
      <c r="M525" s="29"/>
      <c r="N525" s="29"/>
      <c r="O525" s="27">
        <v>3.0</v>
      </c>
      <c r="P525" s="27">
        <v>2.25</v>
      </c>
      <c r="Q525" s="27">
        <f>SUM('1. Base de donnée HILIN MU CM2 '!$O525+'1. Base de donnée HILIN MU CM2 '!$P525)/2</f>
        <v>2.625</v>
      </c>
      <c r="R525" s="27">
        <v>10.5</v>
      </c>
      <c r="S525" s="27">
        <v>17.0</v>
      </c>
      <c r="T525" s="27">
        <f>('1. Base de donnée HILIN MU CM2 '!$R525+'1. Base de donnée HILIN MU CM2 '!$S525)/2</f>
        <v>13.75</v>
      </c>
      <c r="U525" s="30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</row>
    <row r="526" ht="14.25" hidden="1" customHeight="1">
      <c r="A526" s="22" t="s">
        <v>988</v>
      </c>
      <c r="B526" s="22" t="s">
        <v>938</v>
      </c>
      <c r="C526" s="24" t="s">
        <v>1013</v>
      </c>
      <c r="D526" s="22" t="s">
        <v>775</v>
      </c>
      <c r="E526" s="22" t="s">
        <v>1006</v>
      </c>
      <c r="F526" s="22" t="s">
        <v>991</v>
      </c>
      <c r="G526" s="23">
        <v>2024.0</v>
      </c>
      <c r="H526" s="23">
        <v>56.0</v>
      </c>
      <c r="I526" s="23">
        <v>925.0</v>
      </c>
      <c r="J526" s="24" t="str">
        <f>'1. Base de donnée HILIN MU CM2 '!$G526&amp;"-"&amp;'1. Base de donnée HILIN MU CM2 '!$H526&amp;"-"&amp;'1. Base de donnée HILIN MU CM2 '!$I526</f>
        <v>2024-56-925</v>
      </c>
      <c r="K526" s="23">
        <f t="shared" si="1"/>
        <v>519</v>
      </c>
      <c r="L526" s="24" t="s">
        <v>31</v>
      </c>
      <c r="M526" s="24"/>
      <c r="N526" s="24"/>
      <c r="O526" s="22">
        <v>4.5</v>
      </c>
      <c r="P526" s="22">
        <v>7.0</v>
      </c>
      <c r="Q526" s="22">
        <f>SUM('1. Base de donnée HILIN MU CM2 '!$O526+'1. Base de donnée HILIN MU CM2 '!$P526)/2</f>
        <v>5.75</v>
      </c>
      <c r="R526" s="22">
        <v>12.5</v>
      </c>
      <c r="S526" s="22">
        <v>14.5</v>
      </c>
      <c r="T526" s="32">
        <f>('1. Base de donnée HILIN MU CM2 '!$R526+'1. Base de donnée HILIN MU CM2 '!$S526)/2</f>
        <v>13.5</v>
      </c>
      <c r="U526" s="25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</row>
    <row r="527" ht="14.25" customHeight="1">
      <c r="A527" s="27" t="s">
        <v>1014</v>
      </c>
      <c r="B527" s="27" t="s">
        <v>121</v>
      </c>
      <c r="C527" s="27" t="s">
        <v>1015</v>
      </c>
      <c r="D527" s="27" t="s">
        <v>1016</v>
      </c>
      <c r="E527" s="27" t="s">
        <v>1017</v>
      </c>
      <c r="F527" s="27" t="s">
        <v>1018</v>
      </c>
      <c r="G527" s="28">
        <v>2023.0</v>
      </c>
      <c r="H527" s="28">
        <v>82.0</v>
      </c>
      <c r="I527" s="28">
        <v>546.0</v>
      </c>
      <c r="J527" s="29" t="str">
        <f>'1. Base de donnée HILIN MU CM2 '!$G527&amp;"-"&amp;'1. Base de donnée HILIN MU CM2 '!$H527&amp;"-"&amp;'1. Base de donnée HILIN MU CM2 '!$I527</f>
        <v>2023-82-546</v>
      </c>
      <c r="K527" s="28">
        <f t="shared" si="1"/>
        <v>520</v>
      </c>
      <c r="L527" s="29" t="s">
        <v>31</v>
      </c>
      <c r="M527" s="29"/>
      <c r="N527" s="29"/>
      <c r="O527" s="27">
        <v>6.0</v>
      </c>
      <c r="P527" s="27">
        <v>3.0</v>
      </c>
      <c r="Q527" s="27">
        <f>SUM('1. Base de donnée HILIN MU CM2 '!$O527+'1. Base de donnée HILIN MU CM2 '!$P527)/2</f>
        <v>4.5</v>
      </c>
      <c r="R527" s="27">
        <v>16.0</v>
      </c>
      <c r="S527" s="27">
        <v>20.0</v>
      </c>
      <c r="T527" s="27">
        <f>('1. Base de donnée HILIN MU CM2 '!$R527+'1. Base de donnée HILIN MU CM2 '!$S527)/2</f>
        <v>18</v>
      </c>
      <c r="U527" s="30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</row>
    <row r="528" ht="14.25" customHeight="1">
      <c r="A528" s="22" t="s">
        <v>1014</v>
      </c>
      <c r="B528" s="22" t="s">
        <v>121</v>
      </c>
      <c r="C528" s="22" t="s">
        <v>1019</v>
      </c>
      <c r="D528" s="22" t="s">
        <v>1020</v>
      </c>
      <c r="E528" s="22" t="s">
        <v>1017</v>
      </c>
      <c r="F528" s="24" t="s">
        <v>1021</v>
      </c>
      <c r="G528" s="23">
        <v>2023.0</v>
      </c>
      <c r="H528" s="23">
        <v>82.0</v>
      </c>
      <c r="I528" s="23">
        <v>547.0</v>
      </c>
      <c r="J528" s="24" t="str">
        <f>'1. Base de donnée HILIN MU CM2 '!$G528&amp;"-"&amp;'1. Base de donnée HILIN MU CM2 '!$H528&amp;"-"&amp;'1. Base de donnée HILIN MU CM2 '!$I528</f>
        <v>2023-82-547</v>
      </c>
      <c r="K528" s="23">
        <f t="shared" si="1"/>
        <v>521</v>
      </c>
      <c r="L528" s="24" t="s">
        <v>31</v>
      </c>
      <c r="M528" s="24"/>
      <c r="N528" s="24"/>
      <c r="O528" s="22">
        <v>6.5</v>
      </c>
      <c r="P528" s="22">
        <v>5.0</v>
      </c>
      <c r="Q528" s="22">
        <f>SUM('1. Base de donnée HILIN MU CM2 '!$O528+'1. Base de donnée HILIN MU CM2 '!$P528)/2</f>
        <v>5.75</v>
      </c>
      <c r="R528" s="22">
        <v>15.5</v>
      </c>
      <c r="S528" s="22">
        <v>15.0</v>
      </c>
      <c r="T528" s="22">
        <f>('1. Base de donnée HILIN MU CM2 '!$R528+'1. Base de donnée HILIN MU CM2 '!$S528)/2</f>
        <v>15.25</v>
      </c>
      <c r="U528" s="25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</row>
    <row r="529" ht="14.25" customHeight="1">
      <c r="A529" s="27" t="s">
        <v>1014</v>
      </c>
      <c r="B529" s="27" t="s">
        <v>121</v>
      </c>
      <c r="C529" s="27" t="s">
        <v>1022</v>
      </c>
      <c r="D529" s="27" t="s">
        <v>1023</v>
      </c>
      <c r="E529" s="27" t="s">
        <v>1017</v>
      </c>
      <c r="F529" s="29" t="s">
        <v>1021</v>
      </c>
      <c r="G529" s="28">
        <v>2023.0</v>
      </c>
      <c r="H529" s="28">
        <v>82.0</v>
      </c>
      <c r="I529" s="28">
        <v>548.0</v>
      </c>
      <c r="J529" s="29" t="str">
        <f>'1. Base de donnée HILIN MU CM2 '!$G529&amp;"-"&amp;'1. Base de donnée HILIN MU CM2 '!$H529&amp;"-"&amp;'1. Base de donnée HILIN MU CM2 '!$I529</f>
        <v>2023-82-548</v>
      </c>
      <c r="K529" s="28">
        <f t="shared" si="1"/>
        <v>522</v>
      </c>
      <c r="L529" s="29" t="s">
        <v>31</v>
      </c>
      <c r="M529" s="29"/>
      <c r="N529" s="29"/>
      <c r="O529" s="27">
        <v>9.25</v>
      </c>
      <c r="P529" s="27">
        <v>10.0</v>
      </c>
      <c r="Q529" s="27">
        <f>SUM('1. Base de donnée HILIN MU CM2 '!$O529+'1. Base de donnée HILIN MU CM2 '!$P529)/2</f>
        <v>9.625</v>
      </c>
      <c r="R529" s="27">
        <v>18.0</v>
      </c>
      <c r="S529" s="27">
        <v>16.0</v>
      </c>
      <c r="T529" s="27">
        <f>('1. Base de donnée HILIN MU CM2 '!$R529+'1. Base de donnée HILIN MU CM2 '!$S529)/2</f>
        <v>17</v>
      </c>
      <c r="U529" s="30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</row>
    <row r="530" ht="14.25" customHeight="1">
      <c r="A530" s="22" t="s">
        <v>1014</v>
      </c>
      <c r="B530" s="22" t="s">
        <v>121</v>
      </c>
      <c r="C530" s="22" t="s">
        <v>1024</v>
      </c>
      <c r="D530" s="22" t="s">
        <v>1023</v>
      </c>
      <c r="E530" s="22" t="s">
        <v>1017</v>
      </c>
      <c r="F530" s="22" t="s">
        <v>1018</v>
      </c>
      <c r="G530" s="23">
        <v>2023.0</v>
      </c>
      <c r="H530" s="23">
        <v>82.0</v>
      </c>
      <c r="I530" s="23">
        <v>549.0</v>
      </c>
      <c r="J530" s="24" t="str">
        <f>'1. Base de donnée HILIN MU CM2 '!$G530&amp;"-"&amp;'1. Base de donnée HILIN MU CM2 '!$H530&amp;"-"&amp;'1. Base de donnée HILIN MU CM2 '!$I530</f>
        <v>2023-82-549</v>
      </c>
      <c r="K530" s="23">
        <f t="shared" si="1"/>
        <v>523</v>
      </c>
      <c r="L530" s="24" t="s">
        <v>31</v>
      </c>
      <c r="M530" s="24"/>
      <c r="N530" s="24"/>
      <c r="O530" s="22">
        <v>5.75</v>
      </c>
      <c r="P530" s="22">
        <v>7.0</v>
      </c>
      <c r="Q530" s="22">
        <f>SUM('1. Base de donnée HILIN MU CM2 '!$O530+'1. Base de donnée HILIN MU CM2 '!$P530)/2</f>
        <v>6.375</v>
      </c>
      <c r="R530" s="22">
        <v>14.0</v>
      </c>
      <c r="S530" s="22">
        <v>13.0</v>
      </c>
      <c r="T530" s="22">
        <f>('1. Base de donnée HILIN MU CM2 '!$R530+'1. Base de donnée HILIN MU CM2 '!$S530)/2</f>
        <v>13.5</v>
      </c>
      <c r="U530" s="25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</row>
    <row r="531" ht="14.25" customHeight="1">
      <c r="A531" s="27" t="s">
        <v>1014</v>
      </c>
      <c r="B531" s="27" t="s">
        <v>121</v>
      </c>
      <c r="C531" s="27" t="s">
        <v>1025</v>
      </c>
      <c r="D531" s="27" t="s">
        <v>1026</v>
      </c>
      <c r="E531" s="27" t="s">
        <v>1017</v>
      </c>
      <c r="F531" s="27" t="s">
        <v>1018</v>
      </c>
      <c r="G531" s="28">
        <v>2023.0</v>
      </c>
      <c r="H531" s="28">
        <v>82.0</v>
      </c>
      <c r="I531" s="28">
        <v>550.0</v>
      </c>
      <c r="J531" s="29" t="str">
        <f>'1. Base de donnée HILIN MU CM2 '!$G531&amp;"-"&amp;'1. Base de donnée HILIN MU CM2 '!$H531&amp;"-"&amp;'1. Base de donnée HILIN MU CM2 '!$I531</f>
        <v>2023-82-550</v>
      </c>
      <c r="K531" s="28">
        <f t="shared" si="1"/>
        <v>524</v>
      </c>
      <c r="L531" s="29" t="s">
        <v>31</v>
      </c>
      <c r="M531" s="29"/>
      <c r="N531" s="29"/>
      <c r="O531" s="27">
        <v>2.25</v>
      </c>
      <c r="P531" s="27">
        <v>3.0</v>
      </c>
      <c r="Q531" s="27">
        <f>SUM('1. Base de donnée HILIN MU CM2 '!$O531+'1. Base de donnée HILIN MU CM2 '!$P531)/2</f>
        <v>2.625</v>
      </c>
      <c r="R531" s="27">
        <v>9.0</v>
      </c>
      <c r="S531" s="27">
        <v>6.0</v>
      </c>
      <c r="T531" s="27">
        <f>('1. Base de donnée HILIN MU CM2 '!$R531+'1. Base de donnée HILIN MU CM2 '!$S531)/2</f>
        <v>7.5</v>
      </c>
      <c r="U531" s="30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</row>
    <row r="532" ht="14.25" customHeight="1">
      <c r="A532" s="22" t="s">
        <v>1014</v>
      </c>
      <c r="B532" s="22" t="s">
        <v>121</v>
      </c>
      <c r="C532" s="22" t="s">
        <v>1027</v>
      </c>
      <c r="D532" s="22" t="s">
        <v>1028</v>
      </c>
      <c r="E532" s="22" t="s">
        <v>1017</v>
      </c>
      <c r="F532" s="24" t="s">
        <v>1021</v>
      </c>
      <c r="G532" s="23">
        <v>2023.0</v>
      </c>
      <c r="H532" s="23">
        <v>82.0</v>
      </c>
      <c r="I532" s="23">
        <v>555.0</v>
      </c>
      <c r="J532" s="24" t="str">
        <f>'1. Base de donnée HILIN MU CM2 '!$G532&amp;"-"&amp;'1. Base de donnée HILIN MU CM2 '!$H532&amp;"-"&amp;'1. Base de donnée HILIN MU CM2 '!$I532</f>
        <v>2023-82-555</v>
      </c>
      <c r="K532" s="23">
        <f t="shared" si="1"/>
        <v>525</v>
      </c>
      <c r="L532" s="24" t="s">
        <v>31</v>
      </c>
      <c r="M532" s="24"/>
      <c r="N532" s="24"/>
      <c r="O532" s="22">
        <v>1.25</v>
      </c>
      <c r="P532" s="22">
        <v>2.75</v>
      </c>
      <c r="Q532" s="22">
        <f>SUM('1. Base de donnée HILIN MU CM2 '!$O532+'1. Base de donnée HILIN MU CM2 '!$P532)/2</f>
        <v>2</v>
      </c>
      <c r="R532" s="22">
        <v>11.0</v>
      </c>
      <c r="S532" s="22">
        <v>8.0</v>
      </c>
      <c r="T532" s="22">
        <f>('1. Base de donnée HILIN MU CM2 '!$R532+'1. Base de donnée HILIN MU CM2 '!$S532)/2</f>
        <v>9.5</v>
      </c>
      <c r="U532" s="25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</row>
    <row r="533" ht="14.25" customHeight="1">
      <c r="A533" s="27" t="s">
        <v>1014</v>
      </c>
      <c r="B533" s="27" t="s">
        <v>121</v>
      </c>
      <c r="C533" s="27" t="s">
        <v>1029</v>
      </c>
      <c r="D533" s="27" t="s">
        <v>1030</v>
      </c>
      <c r="E533" s="27" t="s">
        <v>1017</v>
      </c>
      <c r="F533" s="29" t="s">
        <v>1021</v>
      </c>
      <c r="G533" s="28">
        <v>2023.0</v>
      </c>
      <c r="H533" s="28">
        <v>82.0</v>
      </c>
      <c r="I533" s="28">
        <v>556.0</v>
      </c>
      <c r="J533" s="29" t="str">
        <f>'1. Base de donnée HILIN MU CM2 '!$G533&amp;"-"&amp;'1. Base de donnée HILIN MU CM2 '!$H533&amp;"-"&amp;'1. Base de donnée HILIN MU CM2 '!$I533</f>
        <v>2023-82-556</v>
      </c>
      <c r="K533" s="28">
        <f t="shared" si="1"/>
        <v>526</v>
      </c>
      <c r="L533" s="29" t="s">
        <v>31</v>
      </c>
      <c r="M533" s="29"/>
      <c r="N533" s="29"/>
      <c r="O533" s="27">
        <v>2.5</v>
      </c>
      <c r="P533" s="27">
        <v>3.5</v>
      </c>
      <c r="Q533" s="27">
        <f>SUM('1. Base de donnée HILIN MU CM2 '!$O533+'1. Base de donnée HILIN MU CM2 '!$P533)/2</f>
        <v>3</v>
      </c>
      <c r="R533" s="27">
        <v>16.0</v>
      </c>
      <c r="S533" s="27">
        <v>9.5</v>
      </c>
      <c r="T533" s="27">
        <f>('1. Base de donnée HILIN MU CM2 '!$R533+'1. Base de donnée HILIN MU CM2 '!$S533)/2</f>
        <v>12.75</v>
      </c>
      <c r="U533" s="30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</row>
    <row r="534" ht="14.25" customHeight="1">
      <c r="A534" s="22" t="s">
        <v>1014</v>
      </c>
      <c r="B534" s="22" t="s">
        <v>121</v>
      </c>
      <c r="C534" s="22" t="s">
        <v>1031</v>
      </c>
      <c r="D534" s="22" t="s">
        <v>1032</v>
      </c>
      <c r="E534" s="22" t="s">
        <v>1017</v>
      </c>
      <c r="F534" s="24" t="s">
        <v>1021</v>
      </c>
      <c r="G534" s="23">
        <v>2023.0</v>
      </c>
      <c r="H534" s="23">
        <v>82.0</v>
      </c>
      <c r="I534" s="23">
        <v>557.0</v>
      </c>
      <c r="J534" s="24" t="str">
        <f>'1. Base de donnée HILIN MU CM2 '!$G534&amp;"-"&amp;'1. Base de donnée HILIN MU CM2 '!$H534&amp;"-"&amp;'1. Base de donnée HILIN MU CM2 '!$I534</f>
        <v>2023-82-557</v>
      </c>
      <c r="K534" s="23">
        <f t="shared" si="1"/>
        <v>527</v>
      </c>
      <c r="L534" s="24" t="s">
        <v>31</v>
      </c>
      <c r="M534" s="24"/>
      <c r="N534" s="24"/>
      <c r="O534" s="22">
        <v>2.75</v>
      </c>
      <c r="P534" s="22">
        <v>4.5</v>
      </c>
      <c r="Q534" s="22">
        <f>SUM('1. Base de donnée HILIN MU CM2 '!$O534+'1. Base de donnée HILIN MU CM2 '!$P534)/2</f>
        <v>3.625</v>
      </c>
      <c r="R534" s="22">
        <v>15.0</v>
      </c>
      <c r="S534" s="22">
        <v>12.0</v>
      </c>
      <c r="T534" s="22">
        <f>('1. Base de donnée HILIN MU CM2 '!$R534+'1. Base de donnée HILIN MU CM2 '!$S534)/2</f>
        <v>13.5</v>
      </c>
      <c r="U534" s="25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</row>
    <row r="535" ht="14.25" customHeight="1">
      <c r="A535" s="27" t="s">
        <v>1014</v>
      </c>
      <c r="B535" s="27" t="s">
        <v>121</v>
      </c>
      <c r="C535" s="27" t="s">
        <v>1033</v>
      </c>
      <c r="D535" s="27" t="s">
        <v>1034</v>
      </c>
      <c r="E535" s="27" t="s">
        <v>1017</v>
      </c>
      <c r="F535" s="27" t="s">
        <v>1018</v>
      </c>
      <c r="G535" s="28">
        <v>2023.0</v>
      </c>
      <c r="H535" s="28">
        <v>82.0</v>
      </c>
      <c r="I535" s="28">
        <v>558.0</v>
      </c>
      <c r="J535" s="29" t="str">
        <f>'1. Base de donnée HILIN MU CM2 '!$G535&amp;"-"&amp;'1. Base de donnée HILIN MU CM2 '!$H535&amp;"-"&amp;'1. Base de donnée HILIN MU CM2 '!$I535</f>
        <v>2023-82-558</v>
      </c>
      <c r="K535" s="28">
        <f t="shared" si="1"/>
        <v>528</v>
      </c>
      <c r="L535" s="29" t="s">
        <v>31</v>
      </c>
      <c r="M535" s="29"/>
      <c r="N535" s="29"/>
      <c r="O535" s="27">
        <v>4.5</v>
      </c>
      <c r="P535" s="27">
        <v>6.5</v>
      </c>
      <c r="Q535" s="27">
        <f>SUM('1. Base de donnée HILIN MU CM2 '!$O535+'1. Base de donnée HILIN MU CM2 '!$P535)/2</f>
        <v>5.5</v>
      </c>
      <c r="R535" s="27">
        <v>12.0</v>
      </c>
      <c r="S535" s="27">
        <v>11.0</v>
      </c>
      <c r="T535" s="27">
        <f>('1. Base de donnée HILIN MU CM2 '!$R535+'1. Base de donnée HILIN MU CM2 '!$S535)/2</f>
        <v>11.5</v>
      </c>
      <c r="U535" s="30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</row>
    <row r="536" ht="14.25" customHeight="1">
      <c r="A536" s="22" t="s">
        <v>1014</v>
      </c>
      <c r="B536" s="22" t="s">
        <v>121</v>
      </c>
      <c r="C536" s="22" t="s">
        <v>1035</v>
      </c>
      <c r="D536" s="22" t="s">
        <v>1030</v>
      </c>
      <c r="E536" s="22" t="s">
        <v>1017</v>
      </c>
      <c r="F536" s="24" t="s">
        <v>1021</v>
      </c>
      <c r="G536" s="23">
        <v>2023.0</v>
      </c>
      <c r="H536" s="23">
        <v>82.0</v>
      </c>
      <c r="I536" s="23">
        <v>559.0</v>
      </c>
      <c r="J536" s="24" t="str">
        <f>'1. Base de donnée HILIN MU CM2 '!$G536&amp;"-"&amp;'1. Base de donnée HILIN MU CM2 '!$H536&amp;"-"&amp;'1. Base de donnée HILIN MU CM2 '!$I536</f>
        <v>2023-82-559</v>
      </c>
      <c r="K536" s="23">
        <f t="shared" si="1"/>
        <v>529</v>
      </c>
      <c r="L536" s="24" t="s">
        <v>31</v>
      </c>
      <c r="M536" s="24"/>
      <c r="N536" s="24"/>
      <c r="O536" s="22">
        <v>0.0</v>
      </c>
      <c r="P536" s="22">
        <v>0.0</v>
      </c>
      <c r="Q536" s="22">
        <f>SUM('1. Base de donnée HILIN MU CM2 '!$O536+'1. Base de donnée HILIN MU CM2 '!$P536)/2</f>
        <v>0</v>
      </c>
      <c r="R536" s="22"/>
      <c r="S536" s="22"/>
      <c r="T536" s="22"/>
      <c r="U536" s="25" t="s">
        <v>164</v>
      </c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</row>
    <row r="537" ht="14.25" customHeight="1">
      <c r="A537" s="27" t="s">
        <v>1014</v>
      </c>
      <c r="B537" s="27" t="s">
        <v>121</v>
      </c>
      <c r="C537" s="27" t="s">
        <v>1036</v>
      </c>
      <c r="D537" s="27" t="s">
        <v>1037</v>
      </c>
      <c r="E537" s="27" t="s">
        <v>1017</v>
      </c>
      <c r="F537" s="29" t="s">
        <v>1021</v>
      </c>
      <c r="G537" s="28">
        <v>2023.0</v>
      </c>
      <c r="H537" s="28">
        <v>82.0</v>
      </c>
      <c r="I537" s="28">
        <v>560.0</v>
      </c>
      <c r="J537" s="29" t="str">
        <f>'1. Base de donnée HILIN MU CM2 '!$G537&amp;"-"&amp;'1. Base de donnée HILIN MU CM2 '!$H537&amp;"-"&amp;'1. Base de donnée HILIN MU CM2 '!$I537</f>
        <v>2023-82-560</v>
      </c>
      <c r="K537" s="28">
        <f t="shared" si="1"/>
        <v>530</v>
      </c>
      <c r="L537" s="29" t="s">
        <v>31</v>
      </c>
      <c r="M537" s="29"/>
      <c r="N537" s="29"/>
      <c r="O537" s="27">
        <v>4.25</v>
      </c>
      <c r="P537" s="27">
        <v>5.0</v>
      </c>
      <c r="Q537" s="27">
        <f>SUM('1. Base de donnée HILIN MU CM2 '!$O537+'1. Base de donnée HILIN MU CM2 '!$P537)/2</f>
        <v>4.625</v>
      </c>
      <c r="R537" s="27">
        <v>13.0</v>
      </c>
      <c r="S537" s="27">
        <v>12.0</v>
      </c>
      <c r="T537" s="27">
        <f>('1. Base de donnée HILIN MU CM2 '!$R537+'1. Base de donnée HILIN MU CM2 '!$S537)/2</f>
        <v>12.5</v>
      </c>
      <c r="U537" s="30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</row>
    <row r="538" ht="14.25" customHeight="1">
      <c r="A538" s="22" t="s">
        <v>1014</v>
      </c>
      <c r="B538" s="22" t="s">
        <v>121</v>
      </c>
      <c r="C538" s="22" t="s">
        <v>1038</v>
      </c>
      <c r="D538" s="22" t="s">
        <v>1039</v>
      </c>
      <c r="E538" s="22" t="s">
        <v>1017</v>
      </c>
      <c r="F538" s="24" t="s">
        <v>1021</v>
      </c>
      <c r="G538" s="23">
        <v>2023.0</v>
      </c>
      <c r="H538" s="23">
        <v>82.0</v>
      </c>
      <c r="I538" s="23">
        <v>561.0</v>
      </c>
      <c r="J538" s="24" t="str">
        <f>'1. Base de donnée HILIN MU CM2 '!$G538&amp;"-"&amp;'1. Base de donnée HILIN MU CM2 '!$H538&amp;"-"&amp;'1. Base de donnée HILIN MU CM2 '!$I538</f>
        <v>2023-82-561</v>
      </c>
      <c r="K538" s="23">
        <f t="shared" si="1"/>
        <v>531</v>
      </c>
      <c r="L538" s="24" t="s">
        <v>31</v>
      </c>
      <c r="M538" s="24"/>
      <c r="N538" s="24"/>
      <c r="O538" s="22">
        <v>4.25</v>
      </c>
      <c r="P538" s="22">
        <v>5.5</v>
      </c>
      <c r="Q538" s="22">
        <f>SUM('1. Base de donnée HILIN MU CM2 '!$O538+'1. Base de donnée HILIN MU CM2 '!$P538)/2</f>
        <v>4.875</v>
      </c>
      <c r="R538" s="22">
        <v>14.0</v>
      </c>
      <c r="S538" s="22">
        <v>16.0</v>
      </c>
      <c r="T538" s="22">
        <f>('1. Base de donnée HILIN MU CM2 '!$R538+'1. Base de donnée HILIN MU CM2 '!$S538)/2</f>
        <v>15</v>
      </c>
      <c r="U538" s="25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</row>
    <row r="539" ht="14.25" customHeight="1">
      <c r="A539" s="27" t="s">
        <v>1014</v>
      </c>
      <c r="B539" s="27" t="s">
        <v>121</v>
      </c>
      <c r="C539" s="27" t="s">
        <v>1040</v>
      </c>
      <c r="D539" s="27" t="s">
        <v>1041</v>
      </c>
      <c r="E539" s="27" t="s">
        <v>1017</v>
      </c>
      <c r="F539" s="27" t="s">
        <v>1018</v>
      </c>
      <c r="G539" s="28">
        <v>2023.0</v>
      </c>
      <c r="H539" s="28">
        <v>82.0</v>
      </c>
      <c r="I539" s="28">
        <v>562.0</v>
      </c>
      <c r="J539" s="29" t="str">
        <f>'1. Base de donnée HILIN MU CM2 '!$G539&amp;"-"&amp;'1. Base de donnée HILIN MU CM2 '!$H539&amp;"-"&amp;'1. Base de donnée HILIN MU CM2 '!$I539</f>
        <v>2023-82-562</v>
      </c>
      <c r="K539" s="28">
        <f t="shared" si="1"/>
        <v>532</v>
      </c>
      <c r="L539" s="29" t="s">
        <v>31</v>
      </c>
      <c r="M539" s="29"/>
      <c r="N539" s="29"/>
      <c r="O539" s="27">
        <v>7.0</v>
      </c>
      <c r="P539" s="27">
        <v>5.0</v>
      </c>
      <c r="Q539" s="27">
        <f>SUM('1. Base de donnée HILIN MU CM2 '!$O539+'1. Base de donnée HILIN MU CM2 '!$P539)/2</f>
        <v>6</v>
      </c>
      <c r="R539" s="27">
        <v>15.0</v>
      </c>
      <c r="S539" s="27">
        <v>16.0</v>
      </c>
      <c r="T539" s="27">
        <f>('1. Base de donnée HILIN MU CM2 '!$R539+'1. Base de donnée HILIN MU CM2 '!$S539)/2</f>
        <v>15.5</v>
      </c>
      <c r="U539" s="30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</row>
    <row r="540" ht="14.25" customHeight="1">
      <c r="A540" s="22" t="s">
        <v>1014</v>
      </c>
      <c r="B540" s="22" t="s">
        <v>121</v>
      </c>
      <c r="C540" s="22" t="s">
        <v>1042</v>
      </c>
      <c r="D540" s="22" t="s">
        <v>1043</v>
      </c>
      <c r="E540" s="22" t="s">
        <v>1017</v>
      </c>
      <c r="F540" s="24" t="s">
        <v>1021</v>
      </c>
      <c r="G540" s="23">
        <v>2023.0</v>
      </c>
      <c r="H540" s="23">
        <v>82.0</v>
      </c>
      <c r="I540" s="23">
        <v>563.0</v>
      </c>
      <c r="J540" s="24" t="str">
        <f>'1. Base de donnée HILIN MU CM2 '!$G540&amp;"-"&amp;'1. Base de donnée HILIN MU CM2 '!$H540&amp;"-"&amp;'1. Base de donnée HILIN MU CM2 '!$I540</f>
        <v>2023-82-563</v>
      </c>
      <c r="K540" s="23">
        <f t="shared" si="1"/>
        <v>533</v>
      </c>
      <c r="L540" s="24" t="s">
        <v>31</v>
      </c>
      <c r="M540" s="24"/>
      <c r="N540" s="24"/>
      <c r="O540" s="22">
        <v>6.5</v>
      </c>
      <c r="P540" s="22">
        <v>9.5</v>
      </c>
      <c r="Q540" s="22">
        <f>SUM('1. Base de donnée HILIN MU CM2 '!$O540+'1. Base de donnée HILIN MU CM2 '!$P540)/2</f>
        <v>8</v>
      </c>
      <c r="R540" s="22">
        <v>15.0</v>
      </c>
      <c r="S540" s="22">
        <v>20.0</v>
      </c>
      <c r="T540" s="22">
        <f>('1. Base de donnée HILIN MU CM2 '!$R540+'1. Base de donnée HILIN MU CM2 '!$S540)/2</f>
        <v>17.5</v>
      </c>
      <c r="U540" s="25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</row>
    <row r="541" ht="14.25" customHeight="1">
      <c r="A541" s="27" t="s">
        <v>1014</v>
      </c>
      <c r="B541" s="27" t="s">
        <v>121</v>
      </c>
      <c r="C541" s="27" t="s">
        <v>1044</v>
      </c>
      <c r="D541" s="27" t="s">
        <v>1045</v>
      </c>
      <c r="E541" s="27" t="s">
        <v>1017</v>
      </c>
      <c r="F541" s="27" t="s">
        <v>1018</v>
      </c>
      <c r="G541" s="28">
        <v>2023.0</v>
      </c>
      <c r="H541" s="28">
        <v>82.0</v>
      </c>
      <c r="I541" s="28">
        <v>564.0</v>
      </c>
      <c r="J541" s="29" t="str">
        <f>'1. Base de donnée HILIN MU CM2 '!$G541&amp;"-"&amp;'1. Base de donnée HILIN MU CM2 '!$H541&amp;"-"&amp;'1. Base de donnée HILIN MU CM2 '!$I541</f>
        <v>2023-82-564</v>
      </c>
      <c r="K541" s="28">
        <f t="shared" si="1"/>
        <v>534</v>
      </c>
      <c r="L541" s="29" t="s">
        <v>31</v>
      </c>
      <c r="M541" s="29"/>
      <c r="N541" s="29"/>
      <c r="O541" s="27">
        <v>4.0</v>
      </c>
      <c r="P541" s="27">
        <v>8.5</v>
      </c>
      <c r="Q541" s="27">
        <f>SUM('1. Base de donnée HILIN MU CM2 '!$O541+'1. Base de donnée HILIN MU CM2 '!$P541)/2</f>
        <v>6.25</v>
      </c>
      <c r="R541" s="27">
        <v>14.0</v>
      </c>
      <c r="S541" s="27">
        <v>11.0</v>
      </c>
      <c r="T541" s="27">
        <f>('1. Base de donnée HILIN MU CM2 '!$R541+'1. Base de donnée HILIN MU CM2 '!$S541)/2</f>
        <v>12.5</v>
      </c>
      <c r="U541" s="30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</row>
    <row r="542" ht="14.25" customHeight="1">
      <c r="A542" s="22" t="s">
        <v>1014</v>
      </c>
      <c r="B542" s="22" t="s">
        <v>121</v>
      </c>
      <c r="C542" s="22" t="s">
        <v>1046</v>
      </c>
      <c r="D542" s="22" t="s">
        <v>1047</v>
      </c>
      <c r="E542" s="22" t="s">
        <v>1017</v>
      </c>
      <c r="F542" s="22" t="s">
        <v>1018</v>
      </c>
      <c r="G542" s="23">
        <v>2023.0</v>
      </c>
      <c r="H542" s="23">
        <v>82.0</v>
      </c>
      <c r="I542" s="23">
        <v>565.0</v>
      </c>
      <c r="J542" s="24" t="str">
        <f>'1. Base de donnée HILIN MU CM2 '!$G542&amp;"-"&amp;'1. Base de donnée HILIN MU CM2 '!$H542&amp;"-"&amp;'1. Base de donnée HILIN MU CM2 '!$I542</f>
        <v>2023-82-565</v>
      </c>
      <c r="K542" s="23">
        <f t="shared" si="1"/>
        <v>535</v>
      </c>
      <c r="L542" s="24" t="s">
        <v>31</v>
      </c>
      <c r="M542" s="24"/>
      <c r="N542" s="24"/>
      <c r="O542" s="22">
        <v>7.5</v>
      </c>
      <c r="P542" s="22">
        <v>7.0</v>
      </c>
      <c r="Q542" s="22">
        <f>SUM('1. Base de donnée HILIN MU CM2 '!$O542+'1. Base de donnée HILIN MU CM2 '!$P542)/2</f>
        <v>7.25</v>
      </c>
      <c r="R542" s="22">
        <v>12.0</v>
      </c>
      <c r="S542" s="22">
        <v>14.5</v>
      </c>
      <c r="T542" s="22">
        <f>('1. Base de donnée HILIN MU CM2 '!$R542+'1. Base de donnée HILIN MU CM2 '!$S542)/2</f>
        <v>13.25</v>
      </c>
      <c r="U542" s="25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</row>
    <row r="543" ht="14.25" customHeight="1">
      <c r="A543" s="27" t="s">
        <v>1014</v>
      </c>
      <c r="B543" s="27" t="s">
        <v>121</v>
      </c>
      <c r="C543" s="27" t="s">
        <v>1048</v>
      </c>
      <c r="D543" s="27" t="s">
        <v>1049</v>
      </c>
      <c r="E543" s="27" t="s">
        <v>1017</v>
      </c>
      <c r="F543" s="29" t="s">
        <v>1021</v>
      </c>
      <c r="G543" s="28">
        <v>2023.0</v>
      </c>
      <c r="H543" s="28">
        <v>82.0</v>
      </c>
      <c r="I543" s="28">
        <v>566.0</v>
      </c>
      <c r="J543" s="29" t="str">
        <f>'1. Base de donnée HILIN MU CM2 '!$G543&amp;"-"&amp;'1. Base de donnée HILIN MU CM2 '!$H543&amp;"-"&amp;'1. Base de donnée HILIN MU CM2 '!$I543</f>
        <v>2023-82-566</v>
      </c>
      <c r="K543" s="28">
        <f t="shared" si="1"/>
        <v>536</v>
      </c>
      <c r="L543" s="29" t="s">
        <v>31</v>
      </c>
      <c r="M543" s="29"/>
      <c r="N543" s="29"/>
      <c r="O543" s="27">
        <v>6.5</v>
      </c>
      <c r="P543" s="27">
        <v>8.75</v>
      </c>
      <c r="Q543" s="27">
        <f>SUM('1. Base de donnée HILIN MU CM2 '!$O543+'1. Base de donnée HILIN MU CM2 '!$P543)/2</f>
        <v>7.625</v>
      </c>
      <c r="R543" s="27">
        <v>20.0</v>
      </c>
      <c r="S543" s="27">
        <v>14.5</v>
      </c>
      <c r="T543" s="27">
        <f>('1. Base de donnée HILIN MU CM2 '!$R543+'1. Base de donnée HILIN MU CM2 '!$S543)/2</f>
        <v>17.25</v>
      </c>
      <c r="U543" s="30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</row>
    <row r="544" ht="14.25" customHeight="1">
      <c r="A544" s="22" t="s">
        <v>1014</v>
      </c>
      <c r="B544" s="22" t="s">
        <v>121</v>
      </c>
      <c r="C544" s="22" t="s">
        <v>1050</v>
      </c>
      <c r="D544" s="22" t="s">
        <v>1051</v>
      </c>
      <c r="E544" s="22" t="s">
        <v>1017</v>
      </c>
      <c r="F544" s="22" t="s">
        <v>1018</v>
      </c>
      <c r="G544" s="23">
        <v>2023.0</v>
      </c>
      <c r="H544" s="23">
        <v>82.0</v>
      </c>
      <c r="I544" s="23">
        <v>567.0</v>
      </c>
      <c r="J544" s="24" t="str">
        <f>'1. Base de donnée HILIN MU CM2 '!$G544&amp;"-"&amp;'1. Base de donnée HILIN MU CM2 '!$H544&amp;"-"&amp;'1. Base de donnée HILIN MU CM2 '!$I544</f>
        <v>2023-82-567</v>
      </c>
      <c r="K544" s="23">
        <f t="shared" si="1"/>
        <v>537</v>
      </c>
      <c r="L544" s="24" t="s">
        <v>31</v>
      </c>
      <c r="M544" s="24"/>
      <c r="N544" s="24"/>
      <c r="O544" s="22">
        <v>7.0</v>
      </c>
      <c r="P544" s="22">
        <v>5.5</v>
      </c>
      <c r="Q544" s="22">
        <f>SUM('1. Base de donnée HILIN MU CM2 '!$O544+'1. Base de donnée HILIN MU CM2 '!$P544)/2</f>
        <v>6.25</v>
      </c>
      <c r="R544" s="22">
        <v>17.0</v>
      </c>
      <c r="S544" s="22">
        <v>18.0</v>
      </c>
      <c r="T544" s="22">
        <f>('1. Base de donnée HILIN MU CM2 '!$R544+'1. Base de donnée HILIN MU CM2 '!$S544)/2</f>
        <v>17.5</v>
      </c>
      <c r="U544" s="25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</row>
    <row r="545" ht="14.25" customHeight="1">
      <c r="A545" s="27" t="s">
        <v>1014</v>
      </c>
      <c r="B545" s="27" t="s">
        <v>121</v>
      </c>
      <c r="C545" s="27" t="s">
        <v>1052</v>
      </c>
      <c r="D545" s="27" t="s">
        <v>1053</v>
      </c>
      <c r="E545" s="27" t="s">
        <v>1017</v>
      </c>
      <c r="F545" s="29" t="s">
        <v>1021</v>
      </c>
      <c r="G545" s="28">
        <v>2023.0</v>
      </c>
      <c r="H545" s="28">
        <v>82.0</v>
      </c>
      <c r="I545" s="28">
        <v>568.0</v>
      </c>
      <c r="J545" s="29" t="str">
        <f>'1. Base de donnée HILIN MU CM2 '!$G545&amp;"-"&amp;'1. Base de donnée HILIN MU CM2 '!$H545&amp;"-"&amp;'1. Base de donnée HILIN MU CM2 '!$I545</f>
        <v>2023-82-568</v>
      </c>
      <c r="K545" s="28">
        <f t="shared" si="1"/>
        <v>538</v>
      </c>
      <c r="L545" s="29" t="s">
        <v>31</v>
      </c>
      <c r="M545" s="29"/>
      <c r="N545" s="29"/>
      <c r="O545" s="27">
        <v>4.5</v>
      </c>
      <c r="P545" s="27">
        <v>2.0</v>
      </c>
      <c r="Q545" s="27">
        <f>SUM('1. Base de donnée HILIN MU CM2 '!$O545+'1. Base de donnée HILIN MU CM2 '!$P545)/2</f>
        <v>3.25</v>
      </c>
      <c r="R545" s="27">
        <v>17.0</v>
      </c>
      <c r="S545" s="27">
        <v>17.0</v>
      </c>
      <c r="T545" s="27">
        <f>('1. Base de donnée HILIN MU CM2 '!$R545+'1. Base de donnée HILIN MU CM2 '!$S545)/2</f>
        <v>17</v>
      </c>
      <c r="U545" s="30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</row>
    <row r="546" ht="14.25" customHeight="1">
      <c r="A546" s="22" t="s">
        <v>1014</v>
      </c>
      <c r="B546" s="22" t="s">
        <v>121</v>
      </c>
      <c r="C546" s="22" t="s">
        <v>1054</v>
      </c>
      <c r="D546" s="22" t="s">
        <v>1055</v>
      </c>
      <c r="E546" s="22" t="s">
        <v>1017</v>
      </c>
      <c r="F546" s="22" t="s">
        <v>1018</v>
      </c>
      <c r="G546" s="23">
        <v>2023.0</v>
      </c>
      <c r="H546" s="23">
        <v>82.0</v>
      </c>
      <c r="I546" s="23">
        <v>569.0</v>
      </c>
      <c r="J546" s="24" t="str">
        <f>'1. Base de donnée HILIN MU CM2 '!$G546&amp;"-"&amp;'1. Base de donnée HILIN MU CM2 '!$H546&amp;"-"&amp;'1. Base de donnée HILIN MU CM2 '!$I546</f>
        <v>2023-82-569</v>
      </c>
      <c r="K546" s="23">
        <f t="shared" si="1"/>
        <v>539</v>
      </c>
      <c r="L546" s="24" t="s">
        <v>31</v>
      </c>
      <c r="M546" s="24"/>
      <c r="N546" s="24"/>
      <c r="O546" s="22">
        <v>10.0</v>
      </c>
      <c r="P546" s="22">
        <v>6.5</v>
      </c>
      <c r="Q546" s="22">
        <f>SUM('1. Base de donnée HILIN MU CM2 '!$O546+'1. Base de donnée HILIN MU CM2 '!$P546)/2</f>
        <v>8.25</v>
      </c>
      <c r="R546" s="22">
        <v>11.0</v>
      </c>
      <c r="S546" s="22">
        <v>11.0</v>
      </c>
      <c r="T546" s="22">
        <f>('1. Base de donnée HILIN MU CM2 '!$R546+'1. Base de donnée HILIN MU CM2 '!$S546)/2</f>
        <v>11</v>
      </c>
      <c r="U546" s="25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</row>
    <row r="547" ht="14.25" customHeight="1">
      <c r="A547" s="27" t="s">
        <v>1014</v>
      </c>
      <c r="B547" s="29" t="s">
        <v>121</v>
      </c>
      <c r="C547" s="29" t="s">
        <v>1056</v>
      </c>
      <c r="D547" s="29" t="s">
        <v>1057</v>
      </c>
      <c r="E547" s="27" t="s">
        <v>1017</v>
      </c>
      <c r="F547" s="27" t="s">
        <v>1018</v>
      </c>
      <c r="G547" s="28">
        <v>2022.0</v>
      </c>
      <c r="H547" s="28">
        <v>82.0</v>
      </c>
      <c r="I547" s="28">
        <v>26.0</v>
      </c>
      <c r="J547" s="29" t="str">
        <f>'1. Base de donnée HILIN MU CM2 '!$G547&amp;"-"&amp;'1. Base de donnée HILIN MU CM2 '!$H547&amp;"-"&amp;'1. Base de donnée HILIN MU CM2 '!$I547</f>
        <v>2022-82-26</v>
      </c>
      <c r="K547" s="28">
        <f t="shared" si="1"/>
        <v>540</v>
      </c>
      <c r="L547" s="29" t="s">
        <v>31</v>
      </c>
      <c r="M547" s="29"/>
      <c r="N547" s="29"/>
      <c r="O547" s="27">
        <v>1.0</v>
      </c>
      <c r="P547" s="27">
        <v>0.0</v>
      </c>
      <c r="Q547" s="27">
        <f>SUM('1. Base de donnée HILIN MU CM2 '!$O547+'1. Base de donnée HILIN MU CM2 '!$P547)/2</f>
        <v>0.5</v>
      </c>
      <c r="R547" s="27">
        <v>8.0</v>
      </c>
      <c r="S547" s="27">
        <v>9.0</v>
      </c>
      <c r="T547" s="31">
        <f>('1. Base de donnée HILIN MU CM2 '!$R547+'1. Base de donnée HILIN MU CM2 '!$S547)/2</f>
        <v>8.5</v>
      </c>
      <c r="U547" s="30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</row>
    <row r="548" ht="14.25" customHeight="1">
      <c r="A548" s="22" t="s">
        <v>1014</v>
      </c>
      <c r="B548" s="24" t="s">
        <v>121</v>
      </c>
      <c r="C548" s="24" t="s">
        <v>1058</v>
      </c>
      <c r="D548" s="24" t="s">
        <v>305</v>
      </c>
      <c r="E548" s="22" t="s">
        <v>1017</v>
      </c>
      <c r="F548" s="24" t="s">
        <v>1021</v>
      </c>
      <c r="G548" s="23">
        <v>2024.0</v>
      </c>
      <c r="H548" s="23">
        <v>82.0</v>
      </c>
      <c r="I548" s="38">
        <v>926.0</v>
      </c>
      <c r="J548" s="24" t="str">
        <f>'1. Base de donnée HILIN MU CM2 '!$G548&amp;"-"&amp;'1. Base de donnée HILIN MU CM2 '!$H548&amp;"-"&amp;'1. Base de donnée HILIN MU CM2 '!$I548</f>
        <v>2024-82-926</v>
      </c>
      <c r="K548" s="23">
        <f t="shared" si="1"/>
        <v>541</v>
      </c>
      <c r="L548" s="24" t="s">
        <v>31</v>
      </c>
      <c r="M548" s="24"/>
      <c r="N548" s="24"/>
      <c r="O548" s="22">
        <v>6.5</v>
      </c>
      <c r="P548" s="22">
        <v>3.5</v>
      </c>
      <c r="Q548" s="22">
        <f>SUM('1. Base de donnée HILIN MU CM2 '!$O548+'1. Base de donnée HILIN MU CM2 '!$P548)/2</f>
        <v>5</v>
      </c>
      <c r="R548" s="22">
        <v>11.0</v>
      </c>
      <c r="S548" s="22">
        <v>16.5</v>
      </c>
      <c r="T548" s="32">
        <f>('1. Base de donnée HILIN MU CM2 '!$R548+'1. Base de donnée HILIN MU CM2 '!$S548)/2</f>
        <v>13.75</v>
      </c>
      <c r="U548" s="25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</row>
    <row r="549" ht="14.25" customHeight="1">
      <c r="A549" s="27" t="s">
        <v>1014</v>
      </c>
      <c r="B549" s="29" t="s">
        <v>121</v>
      </c>
      <c r="C549" s="29" t="s">
        <v>1059</v>
      </c>
      <c r="D549" s="29" t="s">
        <v>276</v>
      </c>
      <c r="E549" s="27" t="s">
        <v>1017</v>
      </c>
      <c r="F549" s="27" t="s">
        <v>1018</v>
      </c>
      <c r="G549" s="28">
        <v>2024.0</v>
      </c>
      <c r="H549" s="28">
        <v>82.0</v>
      </c>
      <c r="I549" s="39">
        <v>927.0</v>
      </c>
      <c r="J549" s="29" t="str">
        <f>'1. Base de donnée HILIN MU CM2 '!$G549&amp;"-"&amp;'1. Base de donnée HILIN MU CM2 '!$H549&amp;"-"&amp;'1. Base de donnée HILIN MU CM2 '!$I549</f>
        <v>2024-82-927</v>
      </c>
      <c r="K549" s="28">
        <f t="shared" si="1"/>
        <v>542</v>
      </c>
      <c r="L549" s="29" t="s">
        <v>31</v>
      </c>
      <c r="M549" s="29"/>
      <c r="N549" s="29"/>
      <c r="O549" s="27">
        <v>4.0</v>
      </c>
      <c r="P549" s="27">
        <v>4.75</v>
      </c>
      <c r="Q549" s="27">
        <f>SUM('1. Base de donnée HILIN MU CM2 '!$O549+'1. Base de donnée HILIN MU CM2 '!$P549)/2</f>
        <v>4.375</v>
      </c>
      <c r="R549" s="27">
        <v>10.0</v>
      </c>
      <c r="S549" s="27">
        <v>9.0</v>
      </c>
      <c r="T549" s="31">
        <f>('1. Base de donnée HILIN MU CM2 '!$R549+'1. Base de donnée HILIN MU CM2 '!$S549)/2</f>
        <v>9.5</v>
      </c>
      <c r="U549" s="30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</row>
    <row r="550" ht="14.25" customHeight="1">
      <c r="A550" s="22" t="s">
        <v>1014</v>
      </c>
      <c r="B550" s="24" t="s">
        <v>121</v>
      </c>
      <c r="C550" s="24" t="s">
        <v>1060</v>
      </c>
      <c r="D550" s="24" t="s">
        <v>180</v>
      </c>
      <c r="E550" s="22" t="s">
        <v>1017</v>
      </c>
      <c r="F550" s="24" t="s">
        <v>1021</v>
      </c>
      <c r="G550" s="23">
        <v>2024.0</v>
      </c>
      <c r="H550" s="23">
        <v>82.0</v>
      </c>
      <c r="I550" s="38">
        <v>928.0</v>
      </c>
      <c r="J550" s="24" t="str">
        <f>'1. Base de donnée HILIN MU CM2 '!$G550&amp;"-"&amp;'1. Base de donnée HILIN MU CM2 '!$H550&amp;"-"&amp;'1. Base de donnée HILIN MU CM2 '!$I550</f>
        <v>2024-82-928</v>
      </c>
      <c r="K550" s="23">
        <f t="shared" si="1"/>
        <v>543</v>
      </c>
      <c r="L550" s="24" t="s">
        <v>31</v>
      </c>
      <c r="M550" s="24"/>
      <c r="N550" s="24"/>
      <c r="O550" s="22">
        <v>4.0</v>
      </c>
      <c r="P550" s="22">
        <v>0.5</v>
      </c>
      <c r="Q550" s="22">
        <f>SUM('1. Base de donnée HILIN MU CM2 '!$O550+'1. Base de donnée HILIN MU CM2 '!$P550)/2</f>
        <v>2.25</v>
      </c>
      <c r="R550" s="22">
        <v>17.0</v>
      </c>
      <c r="S550" s="22">
        <v>19.5</v>
      </c>
      <c r="T550" s="32">
        <f>('1. Base de donnée HILIN MU CM2 '!$R550+'1. Base de donnée HILIN MU CM2 '!$S550)/2</f>
        <v>18.25</v>
      </c>
      <c r="U550" s="25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</row>
    <row r="551" ht="14.25" customHeight="1">
      <c r="A551" s="27" t="s">
        <v>1014</v>
      </c>
      <c r="B551" s="29" t="s">
        <v>121</v>
      </c>
      <c r="C551" s="29" t="s">
        <v>1061</v>
      </c>
      <c r="D551" s="29" t="s">
        <v>1062</v>
      </c>
      <c r="E551" s="29" t="s">
        <v>1063</v>
      </c>
      <c r="F551" s="29" t="s">
        <v>1021</v>
      </c>
      <c r="G551" s="28">
        <v>2024.0</v>
      </c>
      <c r="H551" s="28">
        <v>82.0</v>
      </c>
      <c r="I551" s="39">
        <v>929.0</v>
      </c>
      <c r="J551" s="29" t="str">
        <f>'1. Base de donnée HILIN MU CM2 '!$G551&amp;"-"&amp;'1. Base de donnée HILIN MU CM2 '!$H551&amp;"-"&amp;'1. Base de donnée HILIN MU CM2 '!$I551</f>
        <v>2024-82-929</v>
      </c>
      <c r="K551" s="28">
        <f t="shared" si="1"/>
        <v>544</v>
      </c>
      <c r="L551" s="29" t="s">
        <v>31</v>
      </c>
      <c r="M551" s="29"/>
      <c r="N551" s="29"/>
      <c r="O551" s="27">
        <v>1.0</v>
      </c>
      <c r="P551" s="27">
        <v>0.0</v>
      </c>
      <c r="Q551" s="27">
        <f>SUM('1. Base de donnée HILIN MU CM2 '!$O551+'1. Base de donnée HILIN MU CM2 '!$P551)/2</f>
        <v>0.5</v>
      </c>
      <c r="R551" s="27">
        <v>8.0</v>
      </c>
      <c r="S551" s="27">
        <v>10.0</v>
      </c>
      <c r="T551" s="31">
        <f>('1. Base de donnée HILIN MU CM2 '!$R551+'1. Base de donnée HILIN MU CM2 '!$S551)/2</f>
        <v>9</v>
      </c>
      <c r="U551" s="30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</row>
    <row r="552" ht="14.25" hidden="1" customHeight="1">
      <c r="A552" s="22" t="s">
        <v>1064</v>
      </c>
      <c r="B552" s="22" t="s">
        <v>26</v>
      </c>
      <c r="C552" s="22" t="s">
        <v>1065</v>
      </c>
      <c r="D552" s="22" t="s">
        <v>1066</v>
      </c>
      <c r="E552" s="22" t="s">
        <v>1067</v>
      </c>
      <c r="F552" s="22" t="s">
        <v>1068</v>
      </c>
      <c r="G552" s="23">
        <v>2023.0</v>
      </c>
      <c r="H552" s="23">
        <v>5.0</v>
      </c>
      <c r="I552" s="23">
        <v>570.0</v>
      </c>
      <c r="J552" s="24" t="str">
        <f>'1. Base de donnée HILIN MU CM2 '!$G552&amp;"-"&amp;'1. Base de donnée HILIN MU CM2 '!$H552&amp;"-"&amp;'1. Base de donnée HILIN MU CM2 '!$I552</f>
        <v>2023-5-570</v>
      </c>
      <c r="K552" s="23">
        <f t="shared" si="1"/>
        <v>545</v>
      </c>
      <c r="L552" s="24" t="s">
        <v>31</v>
      </c>
      <c r="M552" s="24"/>
      <c r="N552" s="24"/>
      <c r="O552" s="22">
        <v>9.5</v>
      </c>
      <c r="P552" s="33">
        <v>11.5</v>
      </c>
      <c r="Q552" s="22">
        <f>SUM('1. Base de donnée HILIN MU CM2 '!$O552+'1. Base de donnée HILIN MU CM2 '!$P552)/2</f>
        <v>10.5</v>
      </c>
      <c r="R552" s="22">
        <v>14.0</v>
      </c>
      <c r="S552" s="22">
        <v>17.0</v>
      </c>
      <c r="T552" s="22">
        <f>('1. Base de donnée HILIN MU CM2 '!$R552+'1. Base de donnée HILIN MU CM2 '!$S552)/2</f>
        <v>15.5</v>
      </c>
      <c r="U552" s="25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</row>
    <row r="553" ht="14.25" hidden="1" customHeight="1">
      <c r="A553" s="27" t="s">
        <v>1064</v>
      </c>
      <c r="B553" s="27" t="s">
        <v>26</v>
      </c>
      <c r="C553" s="27" t="s">
        <v>1069</v>
      </c>
      <c r="D553" s="27" t="s">
        <v>1070</v>
      </c>
      <c r="E553" s="27" t="s">
        <v>1067</v>
      </c>
      <c r="F553" s="27" t="s">
        <v>1071</v>
      </c>
      <c r="G553" s="28">
        <v>2023.0</v>
      </c>
      <c r="H553" s="28">
        <v>5.0</v>
      </c>
      <c r="I553" s="28">
        <v>571.0</v>
      </c>
      <c r="J553" s="29" t="str">
        <f>'1. Base de donnée HILIN MU CM2 '!$G553&amp;"-"&amp;'1. Base de donnée HILIN MU CM2 '!$H553&amp;"-"&amp;'1. Base de donnée HILIN MU CM2 '!$I553</f>
        <v>2023-5-571</v>
      </c>
      <c r="K553" s="28">
        <f t="shared" si="1"/>
        <v>546</v>
      </c>
      <c r="L553" s="29" t="s">
        <v>31</v>
      </c>
      <c r="M553" s="29"/>
      <c r="N553" s="29"/>
      <c r="O553" s="27">
        <v>1.0</v>
      </c>
      <c r="P553" s="27">
        <v>1.0</v>
      </c>
      <c r="Q553" s="27">
        <f>SUM('1. Base de donnée HILIN MU CM2 '!$O553+'1. Base de donnée HILIN MU CM2 '!$P553)/2</f>
        <v>1</v>
      </c>
      <c r="R553" s="27">
        <v>10.0</v>
      </c>
      <c r="S553" s="27">
        <v>11.5</v>
      </c>
      <c r="T553" s="27">
        <f>('1. Base de donnée HILIN MU CM2 '!$R553+'1. Base de donnée HILIN MU CM2 '!$S553)/2</f>
        <v>10.75</v>
      </c>
      <c r="U553" s="30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</row>
    <row r="554" ht="14.25" hidden="1" customHeight="1">
      <c r="A554" s="22" t="s">
        <v>1064</v>
      </c>
      <c r="B554" s="22" t="s">
        <v>26</v>
      </c>
      <c r="C554" s="22" t="s">
        <v>1072</v>
      </c>
      <c r="D554" s="22" t="s">
        <v>1073</v>
      </c>
      <c r="E554" s="22" t="s">
        <v>1067</v>
      </c>
      <c r="F554" s="22" t="s">
        <v>1068</v>
      </c>
      <c r="G554" s="23">
        <v>2023.0</v>
      </c>
      <c r="H554" s="23">
        <v>5.0</v>
      </c>
      <c r="I554" s="23">
        <v>572.0</v>
      </c>
      <c r="J554" s="24" t="str">
        <f>'1. Base de donnée HILIN MU CM2 '!$G554&amp;"-"&amp;'1. Base de donnée HILIN MU CM2 '!$H554&amp;"-"&amp;'1. Base de donnée HILIN MU CM2 '!$I554</f>
        <v>2023-5-572</v>
      </c>
      <c r="K554" s="23">
        <f t="shared" si="1"/>
        <v>547</v>
      </c>
      <c r="L554" s="24" t="s">
        <v>31</v>
      </c>
      <c r="M554" s="24"/>
      <c r="N554" s="24"/>
      <c r="O554" s="22">
        <v>7.0</v>
      </c>
      <c r="P554" s="22">
        <v>2.0</v>
      </c>
      <c r="Q554" s="22">
        <f>SUM('1. Base de donnée HILIN MU CM2 '!$O554+'1. Base de donnée HILIN MU CM2 '!$P554)/2</f>
        <v>4.5</v>
      </c>
      <c r="R554" s="22">
        <v>10.0</v>
      </c>
      <c r="S554" s="22">
        <v>11.5</v>
      </c>
      <c r="T554" s="22">
        <f>('1. Base de donnée HILIN MU CM2 '!$R554+'1. Base de donnée HILIN MU CM2 '!$S554)/2</f>
        <v>10.75</v>
      </c>
      <c r="U554" s="25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</row>
    <row r="555" ht="14.25" hidden="1" customHeight="1">
      <c r="A555" s="27" t="s">
        <v>1064</v>
      </c>
      <c r="B555" s="27" t="s">
        <v>26</v>
      </c>
      <c r="C555" s="27" t="s">
        <v>1074</v>
      </c>
      <c r="D555" s="27" t="s">
        <v>116</v>
      </c>
      <c r="E555" s="27" t="s">
        <v>1067</v>
      </c>
      <c r="F555" s="27" t="s">
        <v>1071</v>
      </c>
      <c r="G555" s="28">
        <v>2023.0</v>
      </c>
      <c r="H555" s="28">
        <v>5.0</v>
      </c>
      <c r="I555" s="28">
        <v>573.0</v>
      </c>
      <c r="J555" s="29" t="str">
        <f>'1. Base de donnée HILIN MU CM2 '!$G555&amp;"-"&amp;'1. Base de donnée HILIN MU CM2 '!$H555&amp;"-"&amp;'1. Base de donnée HILIN MU CM2 '!$I555</f>
        <v>2023-5-573</v>
      </c>
      <c r="K555" s="28">
        <f t="shared" si="1"/>
        <v>548</v>
      </c>
      <c r="L555" s="29" t="s">
        <v>31</v>
      </c>
      <c r="M555" s="29"/>
      <c r="N555" s="29"/>
      <c r="O555" s="27">
        <v>4.0</v>
      </c>
      <c r="P555" s="27">
        <v>3.25</v>
      </c>
      <c r="Q555" s="27">
        <f>SUM('1. Base de donnée HILIN MU CM2 '!$O555+'1. Base de donnée HILIN MU CM2 '!$P555)/2</f>
        <v>3.625</v>
      </c>
      <c r="R555" s="27">
        <v>15.0</v>
      </c>
      <c r="S555" s="27">
        <v>19.0</v>
      </c>
      <c r="T555" s="27">
        <f>('1. Base de donnée HILIN MU CM2 '!$R555+'1. Base de donnée HILIN MU CM2 '!$S555)/2</f>
        <v>17</v>
      </c>
      <c r="U555" s="30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</row>
    <row r="556" ht="14.25" hidden="1" customHeight="1">
      <c r="A556" s="22" t="s">
        <v>1064</v>
      </c>
      <c r="B556" s="22" t="s">
        <v>26</v>
      </c>
      <c r="C556" s="22" t="s">
        <v>1075</v>
      </c>
      <c r="D556" s="22" t="s">
        <v>1076</v>
      </c>
      <c r="E556" s="22" t="s">
        <v>1067</v>
      </c>
      <c r="F556" s="22" t="s">
        <v>1071</v>
      </c>
      <c r="G556" s="23">
        <v>2023.0</v>
      </c>
      <c r="H556" s="23">
        <v>5.0</v>
      </c>
      <c r="I556" s="23">
        <v>574.0</v>
      </c>
      <c r="J556" s="24" t="str">
        <f>'1. Base de donnée HILIN MU CM2 '!$G556&amp;"-"&amp;'1. Base de donnée HILIN MU CM2 '!$H556&amp;"-"&amp;'1. Base de donnée HILIN MU CM2 '!$I556</f>
        <v>2023-5-574</v>
      </c>
      <c r="K556" s="23">
        <f t="shared" si="1"/>
        <v>549</v>
      </c>
      <c r="L556" s="24" t="s">
        <v>31</v>
      </c>
      <c r="M556" s="24"/>
      <c r="N556" s="24"/>
      <c r="O556" s="22">
        <v>7.0</v>
      </c>
      <c r="P556" s="22">
        <v>2.0</v>
      </c>
      <c r="Q556" s="22">
        <f>SUM('1. Base de donnée HILIN MU CM2 '!$O556+'1. Base de donnée HILIN MU CM2 '!$P556)/2</f>
        <v>4.5</v>
      </c>
      <c r="R556" s="22">
        <v>19.0</v>
      </c>
      <c r="S556" s="22">
        <v>17.5</v>
      </c>
      <c r="T556" s="22">
        <f>('1. Base de donnée HILIN MU CM2 '!$R556+'1. Base de donnée HILIN MU CM2 '!$S556)/2</f>
        <v>18.25</v>
      </c>
      <c r="U556" s="25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</row>
    <row r="557" ht="14.25" hidden="1" customHeight="1">
      <c r="A557" s="27" t="s">
        <v>1064</v>
      </c>
      <c r="B557" s="27" t="s">
        <v>26</v>
      </c>
      <c r="C557" s="27" t="s">
        <v>1077</v>
      </c>
      <c r="D557" s="27" t="s">
        <v>1078</v>
      </c>
      <c r="E557" s="27" t="s">
        <v>1067</v>
      </c>
      <c r="F557" s="27" t="s">
        <v>1068</v>
      </c>
      <c r="G557" s="28">
        <v>2023.0</v>
      </c>
      <c r="H557" s="28">
        <v>5.0</v>
      </c>
      <c r="I557" s="28">
        <v>575.0</v>
      </c>
      <c r="J557" s="29" t="str">
        <f>'1. Base de donnée HILIN MU CM2 '!$G557&amp;"-"&amp;'1. Base de donnée HILIN MU CM2 '!$H557&amp;"-"&amp;'1. Base de donnée HILIN MU CM2 '!$I557</f>
        <v>2023-5-575</v>
      </c>
      <c r="K557" s="28">
        <f t="shared" si="1"/>
        <v>550</v>
      </c>
      <c r="L557" s="29" t="s">
        <v>31</v>
      </c>
      <c r="M557" s="29"/>
      <c r="N557" s="29"/>
      <c r="O557" s="27">
        <v>4.0</v>
      </c>
      <c r="P557" s="27">
        <v>3.25</v>
      </c>
      <c r="Q557" s="27">
        <f>SUM('1. Base de donnée HILIN MU CM2 '!$O557+'1. Base de donnée HILIN MU CM2 '!$P557)/2</f>
        <v>3.625</v>
      </c>
      <c r="R557" s="27">
        <v>17.0</v>
      </c>
      <c r="S557" s="27">
        <v>17.5</v>
      </c>
      <c r="T557" s="27">
        <f>('1. Base de donnée HILIN MU CM2 '!$R557+'1. Base de donnée HILIN MU CM2 '!$S557)/2</f>
        <v>17.25</v>
      </c>
      <c r="U557" s="30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</row>
    <row r="558" ht="14.25" hidden="1" customHeight="1">
      <c r="A558" s="22" t="s">
        <v>1064</v>
      </c>
      <c r="B558" s="22" t="s">
        <v>26</v>
      </c>
      <c r="C558" s="22" t="s">
        <v>1079</v>
      </c>
      <c r="D558" s="22" t="s">
        <v>1080</v>
      </c>
      <c r="E558" s="22" t="s">
        <v>1067</v>
      </c>
      <c r="F558" s="22" t="s">
        <v>1068</v>
      </c>
      <c r="G558" s="23">
        <v>2023.0</v>
      </c>
      <c r="H558" s="23">
        <v>5.0</v>
      </c>
      <c r="I558" s="23">
        <v>576.0</v>
      </c>
      <c r="J558" s="24" t="str">
        <f>'1. Base de donnée HILIN MU CM2 '!$G558&amp;"-"&amp;'1. Base de donnée HILIN MU CM2 '!$H558&amp;"-"&amp;'1. Base de donnée HILIN MU CM2 '!$I558</f>
        <v>2023-5-576</v>
      </c>
      <c r="K558" s="23">
        <f t="shared" si="1"/>
        <v>551</v>
      </c>
      <c r="L558" s="24" t="s">
        <v>31</v>
      </c>
      <c r="M558" s="24"/>
      <c r="N558" s="24"/>
      <c r="O558" s="22">
        <v>6.75</v>
      </c>
      <c r="P558" s="22">
        <v>9.0</v>
      </c>
      <c r="Q558" s="22">
        <f>SUM('1. Base de donnée HILIN MU CM2 '!$O558+'1. Base de donnée HILIN MU CM2 '!$P558)/2</f>
        <v>7.875</v>
      </c>
      <c r="R558" s="22">
        <v>16.0</v>
      </c>
      <c r="S558" s="22">
        <v>18.75</v>
      </c>
      <c r="T558" s="22">
        <f>('1. Base de donnée HILIN MU CM2 '!$R558+'1. Base de donnée HILIN MU CM2 '!$S558)/2</f>
        <v>17.375</v>
      </c>
      <c r="U558" s="25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</row>
    <row r="559" ht="14.25" hidden="1" customHeight="1">
      <c r="A559" s="27" t="s">
        <v>1064</v>
      </c>
      <c r="B559" s="27" t="s">
        <v>26</v>
      </c>
      <c r="C559" s="27" t="s">
        <v>1081</v>
      </c>
      <c r="D559" s="27" t="s">
        <v>1082</v>
      </c>
      <c r="E559" s="27" t="s">
        <v>1067</v>
      </c>
      <c r="F559" s="27" t="s">
        <v>1071</v>
      </c>
      <c r="G559" s="28">
        <v>2023.0</v>
      </c>
      <c r="H559" s="28">
        <v>5.0</v>
      </c>
      <c r="I559" s="28">
        <v>577.0</v>
      </c>
      <c r="J559" s="29" t="str">
        <f>'1. Base de donnée HILIN MU CM2 '!$G559&amp;"-"&amp;'1. Base de donnée HILIN MU CM2 '!$H559&amp;"-"&amp;'1. Base de donnée HILIN MU CM2 '!$I559</f>
        <v>2023-5-577</v>
      </c>
      <c r="K559" s="28">
        <f t="shared" si="1"/>
        <v>552</v>
      </c>
      <c r="L559" s="29" t="s">
        <v>31</v>
      </c>
      <c r="M559" s="29"/>
      <c r="N559" s="29"/>
      <c r="O559" s="27">
        <v>13.0</v>
      </c>
      <c r="P559" s="27">
        <v>10.5</v>
      </c>
      <c r="Q559" s="27">
        <f>SUM('1. Base de donnée HILIN MU CM2 '!$O559+'1. Base de donnée HILIN MU CM2 '!$P559)/2</f>
        <v>11.75</v>
      </c>
      <c r="R559" s="27">
        <v>20.0</v>
      </c>
      <c r="S559" s="27">
        <v>20.0</v>
      </c>
      <c r="T559" s="27">
        <f>('1. Base de donnée HILIN MU CM2 '!$R559+'1. Base de donnée HILIN MU CM2 '!$S559)/2</f>
        <v>20</v>
      </c>
      <c r="U559" s="30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</row>
    <row r="560" ht="14.25" hidden="1" customHeight="1">
      <c r="A560" s="22" t="s">
        <v>1064</v>
      </c>
      <c r="B560" s="22" t="s">
        <v>26</v>
      </c>
      <c r="C560" s="22" t="s">
        <v>1083</v>
      </c>
      <c r="D560" s="22" t="s">
        <v>323</v>
      </c>
      <c r="E560" s="22" t="s">
        <v>1067</v>
      </c>
      <c r="F560" s="22" t="s">
        <v>1071</v>
      </c>
      <c r="G560" s="23">
        <v>2023.0</v>
      </c>
      <c r="H560" s="23">
        <v>5.0</v>
      </c>
      <c r="I560" s="23">
        <v>578.0</v>
      </c>
      <c r="J560" s="24" t="str">
        <f>'1. Base de donnée HILIN MU CM2 '!$G560&amp;"-"&amp;'1. Base de donnée HILIN MU CM2 '!$H560&amp;"-"&amp;'1. Base de donnée HILIN MU CM2 '!$I560</f>
        <v>2023-5-578</v>
      </c>
      <c r="K560" s="23">
        <f t="shared" si="1"/>
        <v>553</v>
      </c>
      <c r="L560" s="24" t="s">
        <v>31</v>
      </c>
      <c r="M560" s="24"/>
      <c r="N560" s="24"/>
      <c r="O560" s="22">
        <v>3.0</v>
      </c>
      <c r="P560" s="22">
        <v>6.0</v>
      </c>
      <c r="Q560" s="22">
        <f>SUM('1. Base de donnée HILIN MU CM2 '!$O560+'1. Base de donnée HILIN MU CM2 '!$P560)/2</f>
        <v>4.5</v>
      </c>
      <c r="R560" s="22">
        <v>12.0</v>
      </c>
      <c r="S560" s="22">
        <v>15.5</v>
      </c>
      <c r="T560" s="22">
        <f>('1. Base de donnée HILIN MU CM2 '!$R560+'1. Base de donnée HILIN MU CM2 '!$S560)/2</f>
        <v>13.75</v>
      </c>
      <c r="U560" s="25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</row>
    <row r="561" ht="14.25" hidden="1" customHeight="1">
      <c r="A561" s="27" t="s">
        <v>1064</v>
      </c>
      <c r="B561" s="27" t="s">
        <v>26</v>
      </c>
      <c r="C561" s="27" t="s">
        <v>1084</v>
      </c>
      <c r="D561" s="27" t="s">
        <v>63</v>
      </c>
      <c r="E561" s="27" t="s">
        <v>1067</v>
      </c>
      <c r="F561" s="27" t="s">
        <v>1071</v>
      </c>
      <c r="G561" s="28">
        <v>2023.0</v>
      </c>
      <c r="H561" s="28">
        <v>5.0</v>
      </c>
      <c r="I561" s="28">
        <v>579.0</v>
      </c>
      <c r="J561" s="29" t="str">
        <f>'1. Base de donnée HILIN MU CM2 '!$G561&amp;"-"&amp;'1. Base de donnée HILIN MU CM2 '!$H561&amp;"-"&amp;'1. Base de donnée HILIN MU CM2 '!$I561</f>
        <v>2023-5-579</v>
      </c>
      <c r="K561" s="28">
        <f t="shared" si="1"/>
        <v>554</v>
      </c>
      <c r="L561" s="29" t="s">
        <v>31</v>
      </c>
      <c r="M561" s="29"/>
      <c r="N561" s="29"/>
      <c r="O561" s="27">
        <v>8.0</v>
      </c>
      <c r="P561" s="27">
        <v>9.0</v>
      </c>
      <c r="Q561" s="27">
        <f>SUM('1. Base de donnée HILIN MU CM2 '!$O561+'1. Base de donnée HILIN MU CM2 '!$P561)/2</f>
        <v>8.5</v>
      </c>
      <c r="R561" s="27">
        <v>14.5</v>
      </c>
      <c r="S561" s="27">
        <v>15.0</v>
      </c>
      <c r="T561" s="27">
        <f>('1. Base de donnée HILIN MU CM2 '!$R561+'1. Base de donnée HILIN MU CM2 '!$S561)/2</f>
        <v>14.75</v>
      </c>
      <c r="U561" s="30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</row>
    <row r="562" ht="14.25" hidden="1" customHeight="1">
      <c r="A562" s="22" t="s">
        <v>1064</v>
      </c>
      <c r="B562" s="22" t="s">
        <v>26</v>
      </c>
      <c r="C562" s="22" t="s">
        <v>1085</v>
      </c>
      <c r="D562" s="22" t="s">
        <v>476</v>
      </c>
      <c r="E562" s="22" t="s">
        <v>1067</v>
      </c>
      <c r="F562" s="22" t="s">
        <v>1068</v>
      </c>
      <c r="G562" s="23">
        <v>2023.0</v>
      </c>
      <c r="H562" s="23">
        <v>5.0</v>
      </c>
      <c r="I562" s="23">
        <v>580.0</v>
      </c>
      <c r="J562" s="24" t="str">
        <f>'1. Base de donnée HILIN MU CM2 '!$G562&amp;"-"&amp;'1. Base de donnée HILIN MU CM2 '!$H562&amp;"-"&amp;'1. Base de donnée HILIN MU CM2 '!$I562</f>
        <v>2023-5-580</v>
      </c>
      <c r="K562" s="23">
        <f t="shared" si="1"/>
        <v>555</v>
      </c>
      <c r="L562" s="24" t="s">
        <v>31</v>
      </c>
      <c r="M562" s="24"/>
      <c r="N562" s="24"/>
      <c r="O562" s="22">
        <v>11.5</v>
      </c>
      <c r="P562" s="22">
        <v>10.0</v>
      </c>
      <c r="Q562" s="22">
        <f>SUM('1. Base de donnée HILIN MU CM2 '!$O562+'1. Base de donnée HILIN MU CM2 '!$P562)/2</f>
        <v>10.75</v>
      </c>
      <c r="R562" s="22">
        <v>19.0</v>
      </c>
      <c r="S562" s="22">
        <v>20.0</v>
      </c>
      <c r="T562" s="22">
        <f>('1. Base de donnée HILIN MU CM2 '!$R562+'1. Base de donnée HILIN MU CM2 '!$S562)/2</f>
        <v>19.5</v>
      </c>
      <c r="U562" s="25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</row>
    <row r="563" ht="14.25" hidden="1" customHeight="1">
      <c r="A563" s="27" t="s">
        <v>1064</v>
      </c>
      <c r="B563" s="27" t="s">
        <v>26</v>
      </c>
      <c r="C563" s="27" t="s">
        <v>1086</v>
      </c>
      <c r="D563" s="27" t="s">
        <v>197</v>
      </c>
      <c r="E563" s="27" t="s">
        <v>1067</v>
      </c>
      <c r="F563" s="27" t="s">
        <v>1071</v>
      </c>
      <c r="G563" s="28">
        <v>2023.0</v>
      </c>
      <c r="H563" s="28">
        <v>5.0</v>
      </c>
      <c r="I563" s="28">
        <v>581.0</v>
      </c>
      <c r="J563" s="29" t="str">
        <f>'1. Base de donnée HILIN MU CM2 '!$G563&amp;"-"&amp;'1. Base de donnée HILIN MU CM2 '!$H563&amp;"-"&amp;'1. Base de donnée HILIN MU CM2 '!$I563</f>
        <v>2023-5-581</v>
      </c>
      <c r="K563" s="28">
        <f t="shared" si="1"/>
        <v>556</v>
      </c>
      <c r="L563" s="29" t="s">
        <v>31</v>
      </c>
      <c r="M563" s="29"/>
      <c r="N563" s="29"/>
      <c r="O563" s="27">
        <v>8.5</v>
      </c>
      <c r="P563" s="27">
        <v>11.0</v>
      </c>
      <c r="Q563" s="27">
        <f>SUM('1. Base de donnée HILIN MU CM2 '!$O563+'1. Base de donnée HILIN MU CM2 '!$P563)/2</f>
        <v>9.75</v>
      </c>
      <c r="R563" s="34">
        <v>15.0</v>
      </c>
      <c r="S563" s="34">
        <v>14.0</v>
      </c>
      <c r="T563" s="27">
        <f>('1. Base de donnée HILIN MU CM2 '!$R563+'1. Base de donnée HILIN MU CM2 '!$S563)/2</f>
        <v>14.5</v>
      </c>
      <c r="U563" s="30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</row>
    <row r="564" ht="14.25" hidden="1" customHeight="1">
      <c r="A564" s="22" t="s">
        <v>1064</v>
      </c>
      <c r="B564" s="22" t="s">
        <v>26</v>
      </c>
      <c r="C564" s="22" t="s">
        <v>1087</v>
      </c>
      <c r="D564" s="22" t="s">
        <v>332</v>
      </c>
      <c r="E564" s="22" t="s">
        <v>1067</v>
      </c>
      <c r="F564" s="22" t="s">
        <v>1068</v>
      </c>
      <c r="G564" s="23">
        <v>2023.0</v>
      </c>
      <c r="H564" s="23">
        <v>5.0</v>
      </c>
      <c r="I564" s="23">
        <v>582.0</v>
      </c>
      <c r="J564" s="24" t="str">
        <f>'1. Base de donnée HILIN MU CM2 '!$G564&amp;"-"&amp;'1. Base de donnée HILIN MU CM2 '!$H564&amp;"-"&amp;'1. Base de donnée HILIN MU CM2 '!$I564</f>
        <v>2023-5-582</v>
      </c>
      <c r="K564" s="23">
        <f t="shared" si="1"/>
        <v>557</v>
      </c>
      <c r="L564" s="24" t="s">
        <v>31</v>
      </c>
      <c r="M564" s="24"/>
      <c r="N564" s="24"/>
      <c r="O564" s="22">
        <v>9.0</v>
      </c>
      <c r="P564" s="22">
        <v>11.0</v>
      </c>
      <c r="Q564" s="22">
        <f>SUM('1. Base de donnée HILIN MU CM2 '!$O564+'1. Base de donnée HILIN MU CM2 '!$P564)/2</f>
        <v>10</v>
      </c>
      <c r="R564" s="33">
        <v>16.5</v>
      </c>
      <c r="S564" s="33">
        <v>18.5</v>
      </c>
      <c r="T564" s="22">
        <f>('1. Base de donnée HILIN MU CM2 '!$R564+'1. Base de donnée HILIN MU CM2 '!$S564)/2</f>
        <v>17.5</v>
      </c>
      <c r="U564" s="25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</row>
    <row r="565" ht="14.25" hidden="1" customHeight="1">
      <c r="A565" s="27" t="s">
        <v>1064</v>
      </c>
      <c r="B565" s="27" t="s">
        <v>26</v>
      </c>
      <c r="C565" s="27" t="s">
        <v>1088</v>
      </c>
      <c r="D565" s="27" t="s">
        <v>78</v>
      </c>
      <c r="E565" s="27" t="s">
        <v>1067</v>
      </c>
      <c r="F565" s="27" t="s">
        <v>1068</v>
      </c>
      <c r="G565" s="28">
        <v>2023.0</v>
      </c>
      <c r="H565" s="28">
        <v>5.0</v>
      </c>
      <c r="I565" s="28">
        <v>583.0</v>
      </c>
      <c r="J565" s="29" t="str">
        <f>'1. Base de donnée HILIN MU CM2 '!$G565&amp;"-"&amp;'1. Base de donnée HILIN MU CM2 '!$H565&amp;"-"&amp;'1. Base de donnée HILIN MU CM2 '!$I565</f>
        <v>2023-5-583</v>
      </c>
      <c r="K565" s="28">
        <f t="shared" si="1"/>
        <v>558</v>
      </c>
      <c r="L565" s="29" t="s">
        <v>31</v>
      </c>
      <c r="M565" s="29"/>
      <c r="N565" s="29"/>
      <c r="O565" s="27">
        <v>11.0</v>
      </c>
      <c r="P565" s="27">
        <v>7.5</v>
      </c>
      <c r="Q565" s="27">
        <f>SUM('1. Base de donnée HILIN MU CM2 '!$O565+'1. Base de donnée HILIN MU CM2 '!$P565)/2</f>
        <v>9.25</v>
      </c>
      <c r="R565" s="34">
        <v>18.0</v>
      </c>
      <c r="S565" s="34">
        <v>18.0</v>
      </c>
      <c r="T565" s="27">
        <f>('1. Base de donnée HILIN MU CM2 '!$R565+'1. Base de donnée HILIN MU CM2 '!$S565)/2</f>
        <v>18</v>
      </c>
      <c r="U565" s="30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</row>
    <row r="566" ht="14.25" hidden="1" customHeight="1">
      <c r="A566" s="22" t="s">
        <v>1064</v>
      </c>
      <c r="B566" s="22" t="s">
        <v>26</v>
      </c>
      <c r="C566" s="22" t="s">
        <v>181</v>
      </c>
      <c r="D566" s="22" t="s">
        <v>919</v>
      </c>
      <c r="E566" s="22" t="s">
        <v>1067</v>
      </c>
      <c r="F566" s="22" t="s">
        <v>1068</v>
      </c>
      <c r="G566" s="23">
        <v>2023.0</v>
      </c>
      <c r="H566" s="23">
        <v>5.0</v>
      </c>
      <c r="I566" s="23">
        <v>584.0</v>
      </c>
      <c r="J566" s="24" t="str">
        <f>'1. Base de donnée HILIN MU CM2 '!$G566&amp;"-"&amp;'1. Base de donnée HILIN MU CM2 '!$H566&amp;"-"&amp;'1. Base de donnée HILIN MU CM2 '!$I566</f>
        <v>2023-5-584</v>
      </c>
      <c r="K566" s="23">
        <f t="shared" si="1"/>
        <v>559</v>
      </c>
      <c r="L566" s="24" t="s">
        <v>31</v>
      </c>
      <c r="M566" s="24"/>
      <c r="N566" s="24"/>
      <c r="O566" s="22">
        <v>5.0</v>
      </c>
      <c r="P566" s="22">
        <v>9.5</v>
      </c>
      <c r="Q566" s="22">
        <f>SUM('1. Base de donnée HILIN MU CM2 '!$O566+'1. Base de donnée HILIN MU CM2 '!$P566)/2</f>
        <v>7.25</v>
      </c>
      <c r="R566" s="33">
        <v>17.5</v>
      </c>
      <c r="S566" s="33">
        <v>18.0</v>
      </c>
      <c r="T566" s="22">
        <f>('1. Base de donnée HILIN MU CM2 '!$R566+'1. Base de donnée HILIN MU CM2 '!$S566)/2</f>
        <v>17.75</v>
      </c>
      <c r="U566" s="25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</row>
    <row r="567" ht="14.25" hidden="1" customHeight="1">
      <c r="A567" s="27" t="s">
        <v>1064</v>
      </c>
      <c r="B567" s="27" t="s">
        <v>26</v>
      </c>
      <c r="C567" s="27" t="s">
        <v>1089</v>
      </c>
      <c r="D567" s="27" t="s">
        <v>321</v>
      </c>
      <c r="E567" s="27" t="s">
        <v>1067</v>
      </c>
      <c r="F567" s="27" t="s">
        <v>1071</v>
      </c>
      <c r="G567" s="28">
        <v>2023.0</v>
      </c>
      <c r="H567" s="28">
        <v>5.0</v>
      </c>
      <c r="I567" s="28">
        <v>585.0</v>
      </c>
      <c r="J567" s="29" t="str">
        <f>'1. Base de donnée HILIN MU CM2 '!$G567&amp;"-"&amp;'1. Base de donnée HILIN MU CM2 '!$H567&amp;"-"&amp;'1. Base de donnée HILIN MU CM2 '!$I567</f>
        <v>2023-5-585</v>
      </c>
      <c r="K567" s="28">
        <f t="shared" si="1"/>
        <v>560</v>
      </c>
      <c r="L567" s="29" t="s">
        <v>31</v>
      </c>
      <c r="M567" s="29"/>
      <c r="N567" s="29"/>
      <c r="O567" s="27">
        <v>6.5</v>
      </c>
      <c r="P567" s="27">
        <v>8.5</v>
      </c>
      <c r="Q567" s="27">
        <f>SUM('1. Base de donnée HILIN MU CM2 '!$O567+'1. Base de donnée HILIN MU CM2 '!$P567)/2</f>
        <v>7.5</v>
      </c>
      <c r="R567" s="34">
        <v>11.5</v>
      </c>
      <c r="S567" s="34">
        <v>14.5</v>
      </c>
      <c r="T567" s="27">
        <f>('1. Base de donnée HILIN MU CM2 '!$R567+'1. Base de donnée HILIN MU CM2 '!$S567)/2</f>
        <v>13</v>
      </c>
      <c r="U567" s="30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</row>
    <row r="568" ht="14.25" hidden="1" customHeight="1">
      <c r="A568" s="22" t="s">
        <v>1064</v>
      </c>
      <c r="B568" s="22" t="s">
        <v>26</v>
      </c>
      <c r="C568" s="22" t="s">
        <v>1090</v>
      </c>
      <c r="D568" s="22" t="s">
        <v>78</v>
      </c>
      <c r="E568" s="22" t="s">
        <v>1067</v>
      </c>
      <c r="F568" s="22" t="s">
        <v>1071</v>
      </c>
      <c r="G568" s="23">
        <v>2023.0</v>
      </c>
      <c r="H568" s="23">
        <v>5.0</v>
      </c>
      <c r="I568" s="23">
        <v>586.0</v>
      </c>
      <c r="J568" s="24" t="str">
        <f>'1. Base de donnée HILIN MU CM2 '!$G568&amp;"-"&amp;'1. Base de donnée HILIN MU CM2 '!$H568&amp;"-"&amp;'1. Base de donnée HILIN MU CM2 '!$I568</f>
        <v>2023-5-586</v>
      </c>
      <c r="K568" s="23">
        <f t="shared" si="1"/>
        <v>561</v>
      </c>
      <c r="L568" s="24" t="s">
        <v>31</v>
      </c>
      <c r="M568" s="24"/>
      <c r="N568" s="24"/>
      <c r="O568" s="22">
        <v>11.25</v>
      </c>
      <c r="P568" s="22">
        <v>3.5</v>
      </c>
      <c r="Q568" s="22">
        <f>SUM('1. Base de donnée HILIN MU CM2 '!$O568+'1. Base de donnée HILIN MU CM2 '!$P568)/2</f>
        <v>7.375</v>
      </c>
      <c r="R568" s="33">
        <v>13.5</v>
      </c>
      <c r="S568" s="33">
        <v>18.0</v>
      </c>
      <c r="T568" s="22">
        <f>('1. Base de donnée HILIN MU CM2 '!$R568+'1. Base de donnée HILIN MU CM2 '!$S568)/2</f>
        <v>15.75</v>
      </c>
      <c r="U568" s="25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</row>
    <row r="569" ht="14.25" hidden="1" customHeight="1">
      <c r="A569" s="27" t="s">
        <v>1064</v>
      </c>
      <c r="B569" s="27" t="s">
        <v>26</v>
      </c>
      <c r="C569" s="27" t="s">
        <v>1091</v>
      </c>
      <c r="D569" s="27" t="s">
        <v>1092</v>
      </c>
      <c r="E569" s="27" t="s">
        <v>1067</v>
      </c>
      <c r="F569" s="27" t="s">
        <v>1068</v>
      </c>
      <c r="G569" s="28">
        <v>2023.0</v>
      </c>
      <c r="H569" s="28">
        <v>5.0</v>
      </c>
      <c r="I569" s="28">
        <v>587.0</v>
      </c>
      <c r="J569" s="29" t="str">
        <f>'1. Base de donnée HILIN MU CM2 '!$G569&amp;"-"&amp;'1. Base de donnée HILIN MU CM2 '!$H569&amp;"-"&amp;'1. Base de donnée HILIN MU CM2 '!$I569</f>
        <v>2023-5-587</v>
      </c>
      <c r="K569" s="28">
        <f t="shared" si="1"/>
        <v>562</v>
      </c>
      <c r="L569" s="29" t="s">
        <v>31</v>
      </c>
      <c r="M569" s="29"/>
      <c r="N569" s="29"/>
      <c r="O569" s="27">
        <v>6.5</v>
      </c>
      <c r="P569" s="27">
        <v>10.0</v>
      </c>
      <c r="Q569" s="27">
        <f>SUM('1. Base de donnée HILIN MU CM2 '!$O569+'1. Base de donnée HILIN MU CM2 '!$P569)/2</f>
        <v>8.25</v>
      </c>
      <c r="R569" s="34">
        <v>14.5</v>
      </c>
      <c r="S569" s="34">
        <v>16.5</v>
      </c>
      <c r="T569" s="27">
        <f>('1. Base de donnée HILIN MU CM2 '!$R569+'1. Base de donnée HILIN MU CM2 '!$S569)/2</f>
        <v>15.5</v>
      </c>
      <c r="U569" s="30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</row>
    <row r="570" ht="14.25" hidden="1" customHeight="1">
      <c r="A570" s="22" t="s">
        <v>1064</v>
      </c>
      <c r="B570" s="22" t="s">
        <v>26</v>
      </c>
      <c r="C570" s="22" t="s">
        <v>1093</v>
      </c>
      <c r="D570" s="22" t="s">
        <v>197</v>
      </c>
      <c r="E570" s="22" t="s">
        <v>1067</v>
      </c>
      <c r="F570" s="22" t="s">
        <v>1071</v>
      </c>
      <c r="G570" s="23">
        <v>2023.0</v>
      </c>
      <c r="H570" s="23">
        <v>5.0</v>
      </c>
      <c r="I570" s="23">
        <v>588.0</v>
      </c>
      <c r="J570" s="24" t="str">
        <f>'1. Base de donnée HILIN MU CM2 '!$G570&amp;"-"&amp;'1. Base de donnée HILIN MU CM2 '!$H570&amp;"-"&amp;'1. Base de donnée HILIN MU CM2 '!$I570</f>
        <v>2023-5-588</v>
      </c>
      <c r="K570" s="23">
        <f t="shared" si="1"/>
        <v>563</v>
      </c>
      <c r="L570" s="24" t="s">
        <v>31</v>
      </c>
      <c r="M570" s="24"/>
      <c r="N570" s="24"/>
      <c r="O570" s="22">
        <v>4.0</v>
      </c>
      <c r="P570" s="22">
        <v>3.5</v>
      </c>
      <c r="Q570" s="22">
        <f>SUM('1. Base de donnée HILIN MU CM2 '!$O570+'1. Base de donnée HILIN MU CM2 '!$P570)/2</f>
        <v>3.75</v>
      </c>
      <c r="R570" s="33">
        <v>18.5</v>
      </c>
      <c r="S570" s="33">
        <v>16.5</v>
      </c>
      <c r="T570" s="22">
        <f>('1. Base de donnée HILIN MU CM2 '!$R570+'1. Base de donnée HILIN MU CM2 '!$S570)/2</f>
        <v>17.5</v>
      </c>
      <c r="U570" s="25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</row>
    <row r="571" ht="14.25" hidden="1" customHeight="1">
      <c r="A571" s="27" t="s">
        <v>1064</v>
      </c>
      <c r="B571" s="27" t="s">
        <v>26</v>
      </c>
      <c r="C571" s="27" t="s">
        <v>1094</v>
      </c>
      <c r="D571" s="27" t="s">
        <v>702</v>
      </c>
      <c r="E571" s="27" t="s">
        <v>1067</v>
      </c>
      <c r="F571" s="27" t="s">
        <v>1068</v>
      </c>
      <c r="G571" s="28">
        <v>2023.0</v>
      </c>
      <c r="H571" s="28">
        <v>5.0</v>
      </c>
      <c r="I571" s="28">
        <v>589.0</v>
      </c>
      <c r="J571" s="29" t="str">
        <f>'1. Base de donnée HILIN MU CM2 '!$G571&amp;"-"&amp;'1. Base de donnée HILIN MU CM2 '!$H571&amp;"-"&amp;'1. Base de donnée HILIN MU CM2 '!$I571</f>
        <v>2023-5-589</v>
      </c>
      <c r="K571" s="28">
        <f t="shared" si="1"/>
        <v>564</v>
      </c>
      <c r="L571" s="29" t="s">
        <v>31</v>
      </c>
      <c r="M571" s="29"/>
      <c r="N571" s="29"/>
      <c r="O571" s="27">
        <v>11.5</v>
      </c>
      <c r="P571" s="27">
        <v>10.0</v>
      </c>
      <c r="Q571" s="27">
        <f>SUM('1. Base de donnée HILIN MU CM2 '!$O571+'1. Base de donnée HILIN MU CM2 '!$P571)/2</f>
        <v>10.75</v>
      </c>
      <c r="R571" s="34">
        <v>15.5</v>
      </c>
      <c r="S571" s="34">
        <v>20.0</v>
      </c>
      <c r="T571" s="27">
        <f>('1. Base de donnée HILIN MU CM2 '!$R571+'1. Base de donnée HILIN MU CM2 '!$S571)/2</f>
        <v>17.75</v>
      </c>
      <c r="U571" s="30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</row>
    <row r="572" ht="14.25" hidden="1" customHeight="1">
      <c r="A572" s="22" t="s">
        <v>1064</v>
      </c>
      <c r="B572" s="22" t="s">
        <v>26</v>
      </c>
      <c r="C572" s="22" t="s">
        <v>74</v>
      </c>
      <c r="D572" s="22" t="s">
        <v>75</v>
      </c>
      <c r="E572" s="22" t="s">
        <v>1067</v>
      </c>
      <c r="F572" s="22" t="s">
        <v>1068</v>
      </c>
      <c r="G572" s="23">
        <v>2023.0</v>
      </c>
      <c r="H572" s="23">
        <v>5.0</v>
      </c>
      <c r="I572" s="23">
        <v>590.0</v>
      </c>
      <c r="J572" s="24" t="str">
        <f>'1. Base de donnée HILIN MU CM2 '!$G572&amp;"-"&amp;'1. Base de donnée HILIN MU CM2 '!$H572&amp;"-"&amp;'1. Base de donnée HILIN MU CM2 '!$I572</f>
        <v>2023-5-590</v>
      </c>
      <c r="K572" s="23">
        <f t="shared" si="1"/>
        <v>565</v>
      </c>
      <c r="L572" s="24" t="s">
        <v>31</v>
      </c>
      <c r="M572" s="24"/>
      <c r="N572" s="24"/>
      <c r="O572" s="22">
        <v>3.75</v>
      </c>
      <c r="P572" s="22">
        <v>6.0</v>
      </c>
      <c r="Q572" s="22">
        <f>SUM('1. Base de donnée HILIN MU CM2 '!$O572+'1. Base de donnée HILIN MU CM2 '!$P572)/2</f>
        <v>4.875</v>
      </c>
      <c r="R572" s="33">
        <v>13.5</v>
      </c>
      <c r="S572" s="33">
        <v>14.0</v>
      </c>
      <c r="T572" s="22">
        <f>('1. Base de donnée HILIN MU CM2 '!$R572+'1. Base de donnée HILIN MU CM2 '!$S572)/2</f>
        <v>13.75</v>
      </c>
      <c r="U572" s="25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</row>
    <row r="573" ht="14.25" hidden="1" customHeight="1">
      <c r="A573" s="27" t="s">
        <v>1064</v>
      </c>
      <c r="B573" s="27" t="s">
        <v>26</v>
      </c>
      <c r="C573" s="27" t="s">
        <v>199</v>
      </c>
      <c r="D573" s="27" t="s">
        <v>245</v>
      </c>
      <c r="E573" s="27" t="s">
        <v>1067</v>
      </c>
      <c r="F573" s="27" t="s">
        <v>1071</v>
      </c>
      <c r="G573" s="28">
        <v>2023.0</v>
      </c>
      <c r="H573" s="28">
        <v>5.0</v>
      </c>
      <c r="I573" s="28">
        <v>591.0</v>
      </c>
      <c r="J573" s="29" t="str">
        <f>'1. Base de donnée HILIN MU CM2 '!$G573&amp;"-"&amp;'1. Base de donnée HILIN MU CM2 '!$H573&amp;"-"&amp;'1. Base de donnée HILIN MU CM2 '!$I573</f>
        <v>2023-5-591</v>
      </c>
      <c r="K573" s="28">
        <f t="shared" si="1"/>
        <v>566</v>
      </c>
      <c r="L573" s="29" t="s">
        <v>31</v>
      </c>
      <c r="M573" s="29"/>
      <c r="N573" s="29"/>
      <c r="O573" s="27">
        <v>5.25</v>
      </c>
      <c r="P573" s="27">
        <v>7.5</v>
      </c>
      <c r="Q573" s="27">
        <f>SUM('1. Base de donnée HILIN MU CM2 '!$O573+'1. Base de donnée HILIN MU CM2 '!$P573)/2</f>
        <v>6.375</v>
      </c>
      <c r="R573" s="34">
        <v>13.0</v>
      </c>
      <c r="S573" s="34">
        <v>17.5</v>
      </c>
      <c r="T573" s="27">
        <f>('1. Base de donnée HILIN MU CM2 '!$R573+'1. Base de donnée HILIN MU CM2 '!$S573)/2</f>
        <v>15.25</v>
      </c>
      <c r="U573" s="30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</row>
    <row r="574" ht="14.25" hidden="1" customHeight="1">
      <c r="A574" s="22" t="s">
        <v>1064</v>
      </c>
      <c r="B574" s="22" t="s">
        <v>26</v>
      </c>
      <c r="C574" s="22" t="s">
        <v>1095</v>
      </c>
      <c r="D574" s="22" t="s">
        <v>185</v>
      </c>
      <c r="E574" s="22" t="s">
        <v>1067</v>
      </c>
      <c r="F574" s="22" t="s">
        <v>1068</v>
      </c>
      <c r="G574" s="23">
        <v>2023.0</v>
      </c>
      <c r="H574" s="23">
        <v>5.0</v>
      </c>
      <c r="I574" s="23">
        <v>592.0</v>
      </c>
      <c r="J574" s="24" t="str">
        <f>'1. Base de donnée HILIN MU CM2 '!$G574&amp;"-"&amp;'1. Base de donnée HILIN MU CM2 '!$H574&amp;"-"&amp;'1. Base de donnée HILIN MU CM2 '!$I574</f>
        <v>2023-5-592</v>
      </c>
      <c r="K574" s="23">
        <f t="shared" si="1"/>
        <v>567</v>
      </c>
      <c r="L574" s="24" t="s">
        <v>31</v>
      </c>
      <c r="M574" s="24"/>
      <c r="N574" s="24"/>
      <c r="O574" s="22">
        <v>12.5</v>
      </c>
      <c r="P574" s="22">
        <v>9.0</v>
      </c>
      <c r="Q574" s="22">
        <f>SUM('1. Base de donnée HILIN MU CM2 '!$O574+'1. Base de donnée HILIN MU CM2 '!$P574)/2</f>
        <v>10.75</v>
      </c>
      <c r="R574" s="33">
        <v>18.5</v>
      </c>
      <c r="S574" s="33">
        <v>19.0</v>
      </c>
      <c r="T574" s="22">
        <f>('1. Base de donnée HILIN MU CM2 '!$R574+'1. Base de donnée HILIN MU CM2 '!$S574)/2</f>
        <v>18.75</v>
      </c>
      <c r="U574" s="25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</row>
    <row r="575" ht="14.25" hidden="1" customHeight="1">
      <c r="A575" s="27" t="s">
        <v>1064</v>
      </c>
      <c r="B575" s="27" t="s">
        <v>26</v>
      </c>
      <c r="C575" s="27" t="s">
        <v>1096</v>
      </c>
      <c r="D575" s="27" t="s">
        <v>1097</v>
      </c>
      <c r="E575" s="27" t="s">
        <v>1067</v>
      </c>
      <c r="F575" s="27" t="s">
        <v>1071</v>
      </c>
      <c r="G575" s="28">
        <v>2023.0</v>
      </c>
      <c r="H575" s="28">
        <v>5.0</v>
      </c>
      <c r="I575" s="28">
        <v>593.0</v>
      </c>
      <c r="J575" s="29" t="str">
        <f>'1. Base de donnée HILIN MU CM2 '!$G575&amp;"-"&amp;'1. Base de donnée HILIN MU CM2 '!$H575&amp;"-"&amp;'1. Base de donnée HILIN MU CM2 '!$I575</f>
        <v>2023-5-593</v>
      </c>
      <c r="K575" s="28">
        <f t="shared" si="1"/>
        <v>568</v>
      </c>
      <c r="L575" s="29" t="s">
        <v>31</v>
      </c>
      <c r="M575" s="29"/>
      <c r="N575" s="29"/>
      <c r="O575" s="27">
        <v>10.5</v>
      </c>
      <c r="P575" s="27">
        <v>11.0</v>
      </c>
      <c r="Q575" s="27">
        <f>SUM('1. Base de donnée HILIN MU CM2 '!$O575+'1. Base de donnée HILIN MU CM2 '!$P575)/2</f>
        <v>10.75</v>
      </c>
      <c r="R575" s="34">
        <v>18.5</v>
      </c>
      <c r="S575" s="34">
        <v>20.0</v>
      </c>
      <c r="T575" s="27">
        <f>('1. Base de donnée HILIN MU CM2 '!$R575+'1. Base de donnée HILIN MU CM2 '!$S575)/2</f>
        <v>19.25</v>
      </c>
      <c r="U575" s="30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</row>
    <row r="576" ht="14.25" hidden="1" customHeight="1">
      <c r="A576" s="22" t="s">
        <v>1098</v>
      </c>
      <c r="B576" s="22" t="s">
        <v>223</v>
      </c>
      <c r="C576" s="22" t="s">
        <v>1024</v>
      </c>
      <c r="D576" s="22" t="s">
        <v>1099</v>
      </c>
      <c r="E576" s="22" t="s">
        <v>873</v>
      </c>
      <c r="F576" s="22" t="s">
        <v>1100</v>
      </c>
      <c r="G576" s="23">
        <v>2023.0</v>
      </c>
      <c r="H576" s="23">
        <v>50.0</v>
      </c>
      <c r="I576" s="23">
        <v>595.0</v>
      </c>
      <c r="J576" s="24" t="str">
        <f>'1. Base de donnée HILIN MU CM2 '!$G576&amp;"-"&amp;'1. Base de donnée HILIN MU CM2 '!$H576&amp;"-"&amp;'1. Base de donnée HILIN MU CM2 '!$I576</f>
        <v>2023-50-595</v>
      </c>
      <c r="K576" s="23">
        <f t="shared" si="1"/>
        <v>569</v>
      </c>
      <c r="L576" s="24" t="s">
        <v>31</v>
      </c>
      <c r="M576" s="24"/>
      <c r="N576" s="24"/>
      <c r="O576" s="22">
        <v>12.0</v>
      </c>
      <c r="P576" s="22">
        <v>14.5</v>
      </c>
      <c r="Q576" s="22">
        <f>SUM('1. Base de donnée HILIN MU CM2 '!$O576+'1. Base de donnée HILIN MU CM2 '!$P576)/2</f>
        <v>13.25</v>
      </c>
      <c r="R576" s="33">
        <v>12.0</v>
      </c>
      <c r="S576" s="33">
        <v>20.0</v>
      </c>
      <c r="T576" s="22">
        <f>('1. Base de donnée HILIN MU CM2 '!$R576+'1. Base de donnée HILIN MU CM2 '!$S576)/2</f>
        <v>16</v>
      </c>
      <c r="U576" s="25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</row>
    <row r="577" ht="14.25" hidden="1" customHeight="1">
      <c r="A577" s="27" t="s">
        <v>1098</v>
      </c>
      <c r="B577" s="27" t="s">
        <v>223</v>
      </c>
      <c r="C577" s="27" t="s">
        <v>1101</v>
      </c>
      <c r="D577" s="27" t="s">
        <v>1102</v>
      </c>
      <c r="E577" s="27" t="s">
        <v>873</v>
      </c>
      <c r="F577" s="27" t="s">
        <v>1103</v>
      </c>
      <c r="G577" s="28">
        <v>2023.0</v>
      </c>
      <c r="H577" s="28">
        <v>50.0</v>
      </c>
      <c r="I577" s="28">
        <v>596.0</v>
      </c>
      <c r="J577" s="29" t="str">
        <f>'1. Base de donnée HILIN MU CM2 '!$G577&amp;"-"&amp;'1. Base de donnée HILIN MU CM2 '!$H577&amp;"-"&amp;'1. Base de donnée HILIN MU CM2 '!$I577</f>
        <v>2023-50-596</v>
      </c>
      <c r="K577" s="28">
        <f t="shared" si="1"/>
        <v>570</v>
      </c>
      <c r="L577" s="29" t="s">
        <v>31</v>
      </c>
      <c r="M577" s="29"/>
      <c r="N577" s="29"/>
      <c r="O577" s="27">
        <v>4.0</v>
      </c>
      <c r="P577" s="27">
        <v>3.0</v>
      </c>
      <c r="Q577" s="27">
        <f>SUM('1. Base de donnée HILIN MU CM2 '!$O577+'1. Base de donnée HILIN MU CM2 '!$P577)/2</f>
        <v>3.5</v>
      </c>
      <c r="R577" s="34">
        <v>14.0</v>
      </c>
      <c r="S577" s="34">
        <v>18.5</v>
      </c>
      <c r="T577" s="27">
        <f>('1. Base de donnée HILIN MU CM2 '!$R577+'1. Base de donnée HILIN MU CM2 '!$S577)/2</f>
        <v>16.25</v>
      </c>
      <c r="U577" s="30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</row>
    <row r="578" ht="14.25" hidden="1" customHeight="1">
      <c r="A578" s="22" t="s">
        <v>1098</v>
      </c>
      <c r="B578" s="22" t="s">
        <v>223</v>
      </c>
      <c r="C578" s="22" t="s">
        <v>1104</v>
      </c>
      <c r="D578" s="22" t="s">
        <v>852</v>
      </c>
      <c r="E578" s="22" t="s">
        <v>873</v>
      </c>
      <c r="F578" s="22" t="s">
        <v>1103</v>
      </c>
      <c r="G578" s="23">
        <v>2023.0</v>
      </c>
      <c r="H578" s="23">
        <v>50.0</v>
      </c>
      <c r="I578" s="23">
        <v>597.0</v>
      </c>
      <c r="J578" s="24" t="str">
        <f>'1. Base de donnée HILIN MU CM2 '!$G578&amp;"-"&amp;'1. Base de donnée HILIN MU CM2 '!$H578&amp;"-"&amp;'1. Base de donnée HILIN MU CM2 '!$I578</f>
        <v>2023-50-597</v>
      </c>
      <c r="K578" s="23">
        <f t="shared" si="1"/>
        <v>571</v>
      </c>
      <c r="L578" s="24" t="s">
        <v>31</v>
      </c>
      <c r="M578" s="24"/>
      <c r="N578" s="24"/>
      <c r="O578" s="22">
        <v>1.5</v>
      </c>
      <c r="P578" s="22">
        <v>5.5</v>
      </c>
      <c r="Q578" s="22">
        <f>SUM('1. Base de donnée HILIN MU CM2 '!$O578+'1. Base de donnée HILIN MU CM2 '!$P578)/2</f>
        <v>3.5</v>
      </c>
      <c r="R578" s="33">
        <v>13.0</v>
      </c>
      <c r="S578" s="33">
        <v>15.0</v>
      </c>
      <c r="T578" s="22">
        <f>('1. Base de donnée HILIN MU CM2 '!$R578+'1. Base de donnée HILIN MU CM2 '!$S578)/2</f>
        <v>14</v>
      </c>
      <c r="U578" s="25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</row>
    <row r="579" ht="14.25" hidden="1" customHeight="1">
      <c r="A579" s="27" t="s">
        <v>1098</v>
      </c>
      <c r="B579" s="27" t="s">
        <v>223</v>
      </c>
      <c r="C579" s="27" t="s">
        <v>1105</v>
      </c>
      <c r="D579" s="27" t="s">
        <v>1106</v>
      </c>
      <c r="E579" s="27" t="s">
        <v>873</v>
      </c>
      <c r="F579" s="27" t="s">
        <v>1103</v>
      </c>
      <c r="G579" s="28">
        <v>2023.0</v>
      </c>
      <c r="H579" s="28">
        <v>50.0</v>
      </c>
      <c r="I579" s="28">
        <v>598.0</v>
      </c>
      <c r="J579" s="29" t="str">
        <f>'1. Base de donnée HILIN MU CM2 '!$G579&amp;"-"&amp;'1. Base de donnée HILIN MU CM2 '!$H579&amp;"-"&amp;'1. Base de donnée HILIN MU CM2 '!$I579</f>
        <v>2023-50-598</v>
      </c>
      <c r="K579" s="28">
        <f t="shared" si="1"/>
        <v>572</v>
      </c>
      <c r="L579" s="29" t="s">
        <v>31</v>
      </c>
      <c r="M579" s="29"/>
      <c r="N579" s="29"/>
      <c r="O579" s="27">
        <v>4.5</v>
      </c>
      <c r="P579" s="27">
        <v>4.0</v>
      </c>
      <c r="Q579" s="27">
        <f>SUM('1. Base de donnée HILIN MU CM2 '!$O579+'1. Base de donnée HILIN MU CM2 '!$P579)/2</f>
        <v>4.25</v>
      </c>
      <c r="R579" s="34">
        <v>16.0</v>
      </c>
      <c r="S579" s="34">
        <v>18.5</v>
      </c>
      <c r="T579" s="27">
        <f>('1. Base de donnée HILIN MU CM2 '!$R579+'1. Base de donnée HILIN MU CM2 '!$S579)/2</f>
        <v>17.25</v>
      </c>
      <c r="U579" s="30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</row>
    <row r="580" ht="14.25" hidden="1" customHeight="1">
      <c r="A580" s="22" t="s">
        <v>1098</v>
      </c>
      <c r="B580" s="22" t="s">
        <v>223</v>
      </c>
      <c r="C580" s="22" t="s">
        <v>1107</v>
      </c>
      <c r="D580" s="22" t="s">
        <v>1108</v>
      </c>
      <c r="E580" s="22" t="s">
        <v>873</v>
      </c>
      <c r="F580" s="22" t="s">
        <v>1100</v>
      </c>
      <c r="G580" s="23">
        <v>2023.0</v>
      </c>
      <c r="H580" s="23">
        <v>50.0</v>
      </c>
      <c r="I580" s="23">
        <v>599.0</v>
      </c>
      <c r="J580" s="24" t="str">
        <f>'1. Base de donnée HILIN MU CM2 '!$G580&amp;"-"&amp;'1. Base de donnée HILIN MU CM2 '!$H580&amp;"-"&amp;'1. Base de donnée HILIN MU CM2 '!$I580</f>
        <v>2023-50-599</v>
      </c>
      <c r="K580" s="23">
        <f t="shared" si="1"/>
        <v>573</v>
      </c>
      <c r="L580" s="24" t="s">
        <v>31</v>
      </c>
      <c r="M580" s="24"/>
      <c r="N580" s="24"/>
      <c r="O580" s="22">
        <v>12.5</v>
      </c>
      <c r="P580" s="22">
        <v>4.0</v>
      </c>
      <c r="Q580" s="22">
        <f>SUM('1. Base de donnée HILIN MU CM2 '!$O580+'1. Base de donnée HILIN MU CM2 '!$P580)/2</f>
        <v>8.25</v>
      </c>
      <c r="R580" s="33">
        <v>19.5</v>
      </c>
      <c r="S580" s="33">
        <v>18.0</v>
      </c>
      <c r="T580" s="22">
        <f>('1. Base de donnée HILIN MU CM2 '!$R580+'1. Base de donnée HILIN MU CM2 '!$S580)/2</f>
        <v>18.75</v>
      </c>
      <c r="U580" s="25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</row>
    <row r="581" ht="14.25" hidden="1" customHeight="1">
      <c r="A581" s="27" t="s">
        <v>1098</v>
      </c>
      <c r="B581" s="27" t="s">
        <v>223</v>
      </c>
      <c r="C581" s="27" t="s">
        <v>1109</v>
      </c>
      <c r="D581" s="27" t="s">
        <v>1110</v>
      </c>
      <c r="E581" s="27" t="s">
        <v>873</v>
      </c>
      <c r="F581" s="27" t="s">
        <v>1100</v>
      </c>
      <c r="G581" s="28">
        <v>2023.0</v>
      </c>
      <c r="H581" s="28">
        <v>50.0</v>
      </c>
      <c r="I581" s="28">
        <v>600.0</v>
      </c>
      <c r="J581" s="29" t="str">
        <f>'1. Base de donnée HILIN MU CM2 '!$G581&amp;"-"&amp;'1. Base de donnée HILIN MU CM2 '!$H581&amp;"-"&amp;'1. Base de donnée HILIN MU CM2 '!$I581</f>
        <v>2023-50-600</v>
      </c>
      <c r="K581" s="28">
        <f t="shared" si="1"/>
        <v>574</v>
      </c>
      <c r="L581" s="29" t="s">
        <v>31</v>
      </c>
      <c r="M581" s="29"/>
      <c r="N581" s="29"/>
      <c r="O581" s="27">
        <v>12.0</v>
      </c>
      <c r="P581" s="27">
        <v>6.5</v>
      </c>
      <c r="Q581" s="27">
        <f>SUM('1. Base de donnée HILIN MU CM2 '!$O581+'1. Base de donnée HILIN MU CM2 '!$P581)/2</f>
        <v>9.25</v>
      </c>
      <c r="R581" s="34">
        <v>16.5</v>
      </c>
      <c r="S581" s="34">
        <v>16.0</v>
      </c>
      <c r="T581" s="27">
        <f>('1. Base de donnée HILIN MU CM2 '!$R581+'1. Base de donnée HILIN MU CM2 '!$S581)/2</f>
        <v>16.25</v>
      </c>
      <c r="U581" s="30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</row>
    <row r="582" ht="14.25" hidden="1" customHeight="1">
      <c r="A582" s="22" t="s">
        <v>1098</v>
      </c>
      <c r="B582" s="22" t="s">
        <v>223</v>
      </c>
      <c r="C582" s="22" t="s">
        <v>1111</v>
      </c>
      <c r="D582" s="22" t="s">
        <v>1112</v>
      </c>
      <c r="E582" s="22" t="s">
        <v>873</v>
      </c>
      <c r="F582" s="22" t="s">
        <v>1100</v>
      </c>
      <c r="G582" s="23">
        <v>2023.0</v>
      </c>
      <c r="H582" s="23">
        <v>50.0</v>
      </c>
      <c r="I582" s="23">
        <v>601.0</v>
      </c>
      <c r="J582" s="24" t="str">
        <f>'1. Base de donnée HILIN MU CM2 '!$G582&amp;"-"&amp;'1. Base de donnée HILIN MU CM2 '!$H582&amp;"-"&amp;'1. Base de donnée HILIN MU CM2 '!$I582</f>
        <v>2023-50-601</v>
      </c>
      <c r="K582" s="23">
        <f t="shared" si="1"/>
        <v>575</v>
      </c>
      <c r="L582" s="24" t="s">
        <v>31</v>
      </c>
      <c r="M582" s="24"/>
      <c r="N582" s="24"/>
      <c r="O582" s="22">
        <v>10.5</v>
      </c>
      <c r="P582" s="22">
        <v>3.0</v>
      </c>
      <c r="Q582" s="22">
        <f>SUM('1. Base de donnée HILIN MU CM2 '!$O582+'1. Base de donnée HILIN MU CM2 '!$P582)/2</f>
        <v>6.75</v>
      </c>
      <c r="R582" s="33">
        <v>16.0</v>
      </c>
      <c r="S582" s="33">
        <v>17.0</v>
      </c>
      <c r="T582" s="22">
        <f>('1. Base de donnée HILIN MU CM2 '!$R582+'1. Base de donnée HILIN MU CM2 '!$S582)/2</f>
        <v>16.5</v>
      </c>
      <c r="U582" s="25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</row>
    <row r="583" ht="14.25" hidden="1" customHeight="1">
      <c r="A583" s="27" t="s">
        <v>1098</v>
      </c>
      <c r="B583" s="27" t="s">
        <v>223</v>
      </c>
      <c r="C583" s="27" t="s">
        <v>1113</v>
      </c>
      <c r="D583" s="27" t="s">
        <v>1114</v>
      </c>
      <c r="E583" s="27" t="s">
        <v>873</v>
      </c>
      <c r="F583" s="27" t="s">
        <v>1103</v>
      </c>
      <c r="G583" s="28">
        <v>2023.0</v>
      </c>
      <c r="H583" s="28">
        <v>50.0</v>
      </c>
      <c r="I583" s="28">
        <v>602.0</v>
      </c>
      <c r="J583" s="29" t="str">
        <f>'1. Base de donnée HILIN MU CM2 '!$G583&amp;"-"&amp;'1. Base de donnée HILIN MU CM2 '!$H583&amp;"-"&amp;'1. Base de donnée HILIN MU CM2 '!$I583</f>
        <v>2023-50-602</v>
      </c>
      <c r="K583" s="28">
        <f t="shared" si="1"/>
        <v>576</v>
      </c>
      <c r="L583" s="29" t="s">
        <v>31</v>
      </c>
      <c r="M583" s="29"/>
      <c r="N583" s="29"/>
      <c r="O583" s="27">
        <v>6.75</v>
      </c>
      <c r="P583" s="27">
        <v>3.0</v>
      </c>
      <c r="Q583" s="27">
        <f>SUM('1. Base de donnée HILIN MU CM2 '!$O583+'1. Base de donnée HILIN MU CM2 '!$P583)/2</f>
        <v>4.875</v>
      </c>
      <c r="R583" s="34">
        <v>10.0</v>
      </c>
      <c r="S583" s="34">
        <v>13.5</v>
      </c>
      <c r="T583" s="27">
        <f>('1. Base de donnée HILIN MU CM2 '!$R583+'1. Base de donnée HILIN MU CM2 '!$S583)/2</f>
        <v>11.75</v>
      </c>
      <c r="U583" s="30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</row>
    <row r="584" ht="14.25" hidden="1" customHeight="1">
      <c r="A584" s="22" t="s">
        <v>1098</v>
      </c>
      <c r="B584" s="22" t="s">
        <v>223</v>
      </c>
      <c r="C584" s="22" t="s">
        <v>1115</v>
      </c>
      <c r="D584" s="22" t="s">
        <v>1116</v>
      </c>
      <c r="E584" s="22" t="s">
        <v>873</v>
      </c>
      <c r="F584" s="22" t="s">
        <v>1103</v>
      </c>
      <c r="G584" s="23">
        <v>2023.0</v>
      </c>
      <c r="H584" s="23">
        <v>50.0</v>
      </c>
      <c r="I584" s="23">
        <v>603.0</v>
      </c>
      <c r="J584" s="24" t="str">
        <f>'1. Base de donnée HILIN MU CM2 '!$G584&amp;"-"&amp;'1. Base de donnée HILIN MU CM2 '!$H584&amp;"-"&amp;'1. Base de donnée HILIN MU CM2 '!$I584</f>
        <v>2023-50-603</v>
      </c>
      <c r="K584" s="23">
        <f t="shared" si="1"/>
        <v>577</v>
      </c>
      <c r="L584" s="24" t="s">
        <v>31</v>
      </c>
      <c r="M584" s="24"/>
      <c r="N584" s="24"/>
      <c r="O584" s="22">
        <v>10.0</v>
      </c>
      <c r="P584" s="22">
        <v>5.0</v>
      </c>
      <c r="Q584" s="22">
        <f>SUM('1. Base de donnée HILIN MU CM2 '!$O584+'1. Base de donnée HILIN MU CM2 '!$P584)/2</f>
        <v>7.5</v>
      </c>
      <c r="R584" s="33">
        <v>13.0</v>
      </c>
      <c r="S584" s="33">
        <v>14.0</v>
      </c>
      <c r="T584" s="22">
        <f>('1. Base de donnée HILIN MU CM2 '!$R584+'1. Base de donnée HILIN MU CM2 '!$S584)/2</f>
        <v>13.5</v>
      </c>
      <c r="U584" s="25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</row>
    <row r="585" ht="14.25" hidden="1" customHeight="1">
      <c r="A585" s="27" t="s">
        <v>1098</v>
      </c>
      <c r="B585" s="27" t="s">
        <v>223</v>
      </c>
      <c r="C585" s="27" t="s">
        <v>1117</v>
      </c>
      <c r="D585" s="27" t="s">
        <v>1118</v>
      </c>
      <c r="E585" s="27" t="s">
        <v>873</v>
      </c>
      <c r="F585" s="27" t="s">
        <v>1103</v>
      </c>
      <c r="G585" s="28">
        <v>2023.0</v>
      </c>
      <c r="H585" s="28">
        <v>50.0</v>
      </c>
      <c r="I585" s="28">
        <v>604.0</v>
      </c>
      <c r="J585" s="29" t="str">
        <f>'1. Base de donnée HILIN MU CM2 '!$G585&amp;"-"&amp;'1. Base de donnée HILIN MU CM2 '!$H585&amp;"-"&amp;'1. Base de donnée HILIN MU CM2 '!$I585</f>
        <v>2023-50-604</v>
      </c>
      <c r="K585" s="28">
        <f t="shared" si="1"/>
        <v>578</v>
      </c>
      <c r="L585" s="29" t="s">
        <v>31</v>
      </c>
      <c r="M585" s="29"/>
      <c r="N585" s="29"/>
      <c r="O585" s="27">
        <v>12.0</v>
      </c>
      <c r="P585" s="27">
        <v>3.5</v>
      </c>
      <c r="Q585" s="27">
        <f>SUM('1. Base de donnée HILIN MU CM2 '!$O585+'1. Base de donnée HILIN MU CM2 '!$P585)/2</f>
        <v>7.75</v>
      </c>
      <c r="R585" s="34">
        <v>15.5</v>
      </c>
      <c r="S585" s="34">
        <v>13.0</v>
      </c>
      <c r="T585" s="27">
        <f>('1. Base de donnée HILIN MU CM2 '!$R585+'1. Base de donnée HILIN MU CM2 '!$S585)/2</f>
        <v>14.25</v>
      </c>
      <c r="U585" s="30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</row>
    <row r="586" ht="14.25" hidden="1" customHeight="1">
      <c r="A586" s="22" t="s">
        <v>1098</v>
      </c>
      <c r="B586" s="22" t="s">
        <v>223</v>
      </c>
      <c r="C586" s="22" t="s">
        <v>1119</v>
      </c>
      <c r="D586" s="22" t="s">
        <v>1120</v>
      </c>
      <c r="E586" s="22" t="s">
        <v>873</v>
      </c>
      <c r="F586" s="22" t="s">
        <v>1103</v>
      </c>
      <c r="G586" s="23">
        <v>2023.0</v>
      </c>
      <c r="H586" s="23">
        <v>50.0</v>
      </c>
      <c r="I586" s="23">
        <v>605.0</v>
      </c>
      <c r="J586" s="24" t="str">
        <f>'1. Base de donnée HILIN MU CM2 '!$G586&amp;"-"&amp;'1. Base de donnée HILIN MU CM2 '!$H586&amp;"-"&amp;'1. Base de donnée HILIN MU CM2 '!$I586</f>
        <v>2023-50-605</v>
      </c>
      <c r="K586" s="23">
        <f t="shared" si="1"/>
        <v>579</v>
      </c>
      <c r="L586" s="24" t="s">
        <v>31</v>
      </c>
      <c r="M586" s="24"/>
      <c r="N586" s="24"/>
      <c r="O586" s="22">
        <v>10.0</v>
      </c>
      <c r="P586" s="22">
        <v>11.5</v>
      </c>
      <c r="Q586" s="22">
        <f>SUM('1. Base de donnée HILIN MU CM2 '!$O586+'1. Base de donnée HILIN MU CM2 '!$P586)/2</f>
        <v>10.75</v>
      </c>
      <c r="R586" s="33">
        <v>20.0</v>
      </c>
      <c r="S586" s="33">
        <v>19.5</v>
      </c>
      <c r="T586" s="33">
        <f>('1. Base de donnée HILIN MU CM2 '!$R586+'1. Base de donnée HILIN MU CM2 '!$S586)/2</f>
        <v>19.75</v>
      </c>
      <c r="U586" s="25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</row>
    <row r="587" ht="14.25" hidden="1" customHeight="1">
      <c r="A587" s="27" t="s">
        <v>1098</v>
      </c>
      <c r="B587" s="27" t="s">
        <v>223</v>
      </c>
      <c r="C587" s="27" t="s">
        <v>1121</v>
      </c>
      <c r="D587" s="27" t="s">
        <v>1122</v>
      </c>
      <c r="E587" s="27" t="s">
        <v>873</v>
      </c>
      <c r="F587" s="27" t="s">
        <v>1103</v>
      </c>
      <c r="G587" s="28">
        <v>2023.0</v>
      </c>
      <c r="H587" s="28">
        <v>50.0</v>
      </c>
      <c r="I587" s="28">
        <v>606.0</v>
      </c>
      <c r="J587" s="29" t="str">
        <f>'1. Base de donnée HILIN MU CM2 '!$G587&amp;"-"&amp;'1. Base de donnée HILIN MU CM2 '!$H587&amp;"-"&amp;'1. Base de donnée HILIN MU CM2 '!$I587</f>
        <v>2023-50-606</v>
      </c>
      <c r="K587" s="28">
        <f t="shared" si="1"/>
        <v>580</v>
      </c>
      <c r="L587" s="29" t="s">
        <v>31</v>
      </c>
      <c r="M587" s="29"/>
      <c r="N587" s="29"/>
      <c r="O587" s="27">
        <v>17.5</v>
      </c>
      <c r="P587" s="27">
        <v>11.5</v>
      </c>
      <c r="Q587" s="27">
        <f>SUM('1. Base de donnée HILIN MU CM2 '!$O587+'1. Base de donnée HILIN MU CM2 '!$P587)/2</f>
        <v>14.5</v>
      </c>
      <c r="R587" s="34">
        <v>19.5</v>
      </c>
      <c r="S587" s="34">
        <v>19.5</v>
      </c>
      <c r="T587" s="34">
        <f>('1. Base de donnée HILIN MU CM2 '!$R587+'1. Base de donnée HILIN MU CM2 '!$S587)/2</f>
        <v>19.5</v>
      </c>
      <c r="U587" s="30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</row>
    <row r="588" ht="14.25" hidden="1" customHeight="1">
      <c r="A588" s="22" t="s">
        <v>1098</v>
      </c>
      <c r="B588" s="22" t="s">
        <v>223</v>
      </c>
      <c r="C588" s="22" t="s">
        <v>1123</v>
      </c>
      <c r="D588" s="22" t="s">
        <v>1124</v>
      </c>
      <c r="E588" s="22" t="s">
        <v>873</v>
      </c>
      <c r="F588" s="22" t="s">
        <v>1103</v>
      </c>
      <c r="G588" s="23">
        <v>2023.0</v>
      </c>
      <c r="H588" s="23">
        <v>50.0</v>
      </c>
      <c r="I588" s="23">
        <v>607.0</v>
      </c>
      <c r="J588" s="24" t="str">
        <f>'1. Base de donnée HILIN MU CM2 '!$G588&amp;"-"&amp;'1. Base de donnée HILIN MU CM2 '!$H588&amp;"-"&amp;'1. Base de donnée HILIN MU CM2 '!$I588</f>
        <v>2023-50-607</v>
      </c>
      <c r="K588" s="23">
        <f t="shared" si="1"/>
        <v>581</v>
      </c>
      <c r="L588" s="24" t="s">
        <v>31</v>
      </c>
      <c r="M588" s="24"/>
      <c r="N588" s="24"/>
      <c r="O588" s="22">
        <v>8.0</v>
      </c>
      <c r="P588" s="22">
        <v>8.5</v>
      </c>
      <c r="Q588" s="22">
        <f>SUM('1. Base de donnée HILIN MU CM2 '!$O588+'1. Base de donnée HILIN MU CM2 '!$P588)/2</f>
        <v>8.25</v>
      </c>
      <c r="R588" s="33">
        <v>14.5</v>
      </c>
      <c r="S588" s="33">
        <v>20.0</v>
      </c>
      <c r="T588" s="33">
        <f>('1. Base de donnée HILIN MU CM2 '!$R588+'1. Base de donnée HILIN MU CM2 '!$S588)/2</f>
        <v>17.25</v>
      </c>
      <c r="U588" s="25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</row>
    <row r="589" ht="14.25" hidden="1" customHeight="1">
      <c r="A589" s="27" t="s">
        <v>1098</v>
      </c>
      <c r="B589" s="27" t="s">
        <v>223</v>
      </c>
      <c r="C589" s="27" t="s">
        <v>1125</v>
      </c>
      <c r="D589" s="27" t="s">
        <v>1126</v>
      </c>
      <c r="E589" s="27" t="s">
        <v>873</v>
      </c>
      <c r="F589" s="27" t="s">
        <v>1103</v>
      </c>
      <c r="G589" s="28">
        <v>2023.0</v>
      </c>
      <c r="H589" s="28">
        <v>50.0</v>
      </c>
      <c r="I589" s="28">
        <v>608.0</v>
      </c>
      <c r="J589" s="29" t="str">
        <f>'1. Base de donnée HILIN MU CM2 '!$G589&amp;"-"&amp;'1. Base de donnée HILIN MU CM2 '!$H589&amp;"-"&amp;'1. Base de donnée HILIN MU CM2 '!$I589</f>
        <v>2023-50-608</v>
      </c>
      <c r="K589" s="28">
        <f t="shared" si="1"/>
        <v>582</v>
      </c>
      <c r="L589" s="29" t="s">
        <v>31</v>
      </c>
      <c r="M589" s="29"/>
      <c r="N589" s="29"/>
      <c r="O589" s="27">
        <v>11.5</v>
      </c>
      <c r="P589" s="27">
        <v>9.0</v>
      </c>
      <c r="Q589" s="27">
        <f>SUM('1. Base de donnée HILIN MU CM2 '!$O589+'1. Base de donnée HILIN MU CM2 '!$P589)/2</f>
        <v>10.25</v>
      </c>
      <c r="R589" s="34">
        <v>19.0</v>
      </c>
      <c r="S589" s="34">
        <v>19.5</v>
      </c>
      <c r="T589" s="34">
        <f>('1. Base de donnée HILIN MU CM2 '!$R589+'1. Base de donnée HILIN MU CM2 '!$S589)/2</f>
        <v>19.25</v>
      </c>
      <c r="U589" s="30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</row>
    <row r="590" ht="14.25" hidden="1" customHeight="1">
      <c r="A590" s="22" t="s">
        <v>1098</v>
      </c>
      <c r="B590" s="22" t="s">
        <v>223</v>
      </c>
      <c r="C590" s="22" t="s">
        <v>1127</v>
      </c>
      <c r="D590" s="22" t="s">
        <v>1128</v>
      </c>
      <c r="E590" s="22" t="s">
        <v>873</v>
      </c>
      <c r="F590" s="22" t="s">
        <v>1103</v>
      </c>
      <c r="G590" s="23">
        <v>2023.0</v>
      </c>
      <c r="H590" s="23">
        <v>50.0</v>
      </c>
      <c r="I590" s="23">
        <v>609.0</v>
      </c>
      <c r="J590" s="24" t="str">
        <f>'1. Base de donnée HILIN MU CM2 '!$G590&amp;"-"&amp;'1. Base de donnée HILIN MU CM2 '!$H590&amp;"-"&amp;'1. Base de donnée HILIN MU CM2 '!$I590</f>
        <v>2023-50-609</v>
      </c>
      <c r="K590" s="23">
        <f t="shared" si="1"/>
        <v>583</v>
      </c>
      <c r="L590" s="24" t="s">
        <v>31</v>
      </c>
      <c r="M590" s="24"/>
      <c r="N590" s="24"/>
      <c r="O590" s="22">
        <v>7.75</v>
      </c>
      <c r="P590" s="22">
        <v>8.0</v>
      </c>
      <c r="Q590" s="22">
        <f>SUM('1. Base de donnée HILIN MU CM2 '!$O590+'1. Base de donnée HILIN MU CM2 '!$P590)/2</f>
        <v>7.875</v>
      </c>
      <c r="R590" s="33">
        <v>19.5</v>
      </c>
      <c r="S590" s="33">
        <v>18.5</v>
      </c>
      <c r="T590" s="33">
        <f>('1. Base de donnée HILIN MU CM2 '!$R590+'1. Base de donnée HILIN MU CM2 '!$S590)/2</f>
        <v>19</v>
      </c>
      <c r="U590" s="25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</row>
    <row r="591" ht="14.25" hidden="1" customHeight="1">
      <c r="A591" s="27" t="s">
        <v>1098</v>
      </c>
      <c r="B591" s="27" t="s">
        <v>223</v>
      </c>
      <c r="C591" s="27" t="s">
        <v>284</v>
      </c>
      <c r="D591" s="27" t="s">
        <v>1129</v>
      </c>
      <c r="E591" s="27" t="s">
        <v>873</v>
      </c>
      <c r="F591" s="27" t="s">
        <v>1100</v>
      </c>
      <c r="G591" s="28">
        <v>2023.0</v>
      </c>
      <c r="H591" s="28">
        <v>50.0</v>
      </c>
      <c r="I591" s="28">
        <v>610.0</v>
      </c>
      <c r="J591" s="29" t="str">
        <f>'1. Base de donnée HILIN MU CM2 '!$G591&amp;"-"&amp;'1. Base de donnée HILIN MU CM2 '!$H591&amp;"-"&amp;'1. Base de donnée HILIN MU CM2 '!$I591</f>
        <v>2023-50-610</v>
      </c>
      <c r="K591" s="28">
        <f t="shared" si="1"/>
        <v>584</v>
      </c>
      <c r="L591" s="29" t="s">
        <v>31</v>
      </c>
      <c r="M591" s="29"/>
      <c r="N591" s="29"/>
      <c r="O591" s="27">
        <v>11.0</v>
      </c>
      <c r="P591" s="27">
        <v>10.5</v>
      </c>
      <c r="Q591" s="27">
        <f>SUM('1. Base de donnée HILIN MU CM2 '!$O591+'1. Base de donnée HILIN MU CM2 '!$P591)/2</f>
        <v>10.75</v>
      </c>
      <c r="R591" s="34">
        <v>9.0</v>
      </c>
      <c r="S591" s="34">
        <v>18.0</v>
      </c>
      <c r="T591" s="34">
        <f>('1. Base de donnée HILIN MU CM2 '!$R591+'1. Base de donnée HILIN MU CM2 '!$S591)/2</f>
        <v>13.5</v>
      </c>
      <c r="U591" s="30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</row>
    <row r="592" ht="14.25" hidden="1" customHeight="1">
      <c r="A592" s="22" t="s">
        <v>1098</v>
      </c>
      <c r="B592" s="22" t="s">
        <v>223</v>
      </c>
      <c r="C592" s="22" t="s">
        <v>1130</v>
      </c>
      <c r="D592" s="22" t="s">
        <v>1131</v>
      </c>
      <c r="E592" s="22" t="s">
        <v>873</v>
      </c>
      <c r="F592" s="22" t="s">
        <v>1100</v>
      </c>
      <c r="G592" s="23">
        <v>2023.0</v>
      </c>
      <c r="H592" s="23">
        <v>50.0</v>
      </c>
      <c r="I592" s="23">
        <v>611.0</v>
      </c>
      <c r="J592" s="24" t="str">
        <f>'1. Base de donnée HILIN MU CM2 '!$G592&amp;"-"&amp;'1. Base de donnée HILIN MU CM2 '!$H592&amp;"-"&amp;'1. Base de donnée HILIN MU CM2 '!$I592</f>
        <v>2023-50-611</v>
      </c>
      <c r="K592" s="23">
        <f t="shared" si="1"/>
        <v>585</v>
      </c>
      <c r="L592" s="24" t="s">
        <v>31</v>
      </c>
      <c r="M592" s="24"/>
      <c r="N592" s="24"/>
      <c r="O592" s="22">
        <v>12.5</v>
      </c>
      <c r="P592" s="22">
        <v>5.75</v>
      </c>
      <c r="Q592" s="22">
        <f>SUM('1. Base de donnée HILIN MU CM2 '!$O592+'1. Base de donnée HILIN MU CM2 '!$P592)/2</f>
        <v>9.125</v>
      </c>
      <c r="R592" s="33">
        <v>15.5</v>
      </c>
      <c r="S592" s="33">
        <v>17.25</v>
      </c>
      <c r="T592" s="33">
        <f>('1. Base de donnée HILIN MU CM2 '!$R592+'1. Base de donnée HILIN MU CM2 '!$S592)/2</f>
        <v>16.375</v>
      </c>
      <c r="U592" s="25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</row>
    <row r="593" ht="14.25" hidden="1" customHeight="1">
      <c r="A593" s="27" t="s">
        <v>1098</v>
      </c>
      <c r="B593" s="27" t="s">
        <v>223</v>
      </c>
      <c r="C593" s="27" t="s">
        <v>1132</v>
      </c>
      <c r="D593" s="27" t="s">
        <v>1133</v>
      </c>
      <c r="E593" s="27" t="s">
        <v>873</v>
      </c>
      <c r="F593" s="27" t="s">
        <v>1100</v>
      </c>
      <c r="G593" s="28">
        <v>2023.0</v>
      </c>
      <c r="H593" s="28">
        <v>50.0</v>
      </c>
      <c r="I593" s="28">
        <v>612.0</v>
      </c>
      <c r="J593" s="29" t="str">
        <f>'1. Base de donnée HILIN MU CM2 '!$G593&amp;"-"&amp;'1. Base de donnée HILIN MU CM2 '!$H593&amp;"-"&amp;'1. Base de donnée HILIN MU CM2 '!$I593</f>
        <v>2023-50-612</v>
      </c>
      <c r="K593" s="28">
        <f t="shared" si="1"/>
        <v>586</v>
      </c>
      <c r="L593" s="29" t="s">
        <v>31</v>
      </c>
      <c r="M593" s="29"/>
      <c r="N593" s="29"/>
      <c r="O593" s="27">
        <v>9.5</v>
      </c>
      <c r="P593" s="27">
        <v>5.5</v>
      </c>
      <c r="Q593" s="27">
        <f>SUM('1. Base de donnée HILIN MU CM2 '!$O593+'1. Base de donnée HILIN MU CM2 '!$P593)/2</f>
        <v>7.5</v>
      </c>
      <c r="R593" s="34">
        <v>17.0</v>
      </c>
      <c r="S593" s="34">
        <v>17.0</v>
      </c>
      <c r="T593" s="34">
        <f>('1. Base de donnée HILIN MU CM2 '!$R593+'1. Base de donnée HILIN MU CM2 '!$S593)/2</f>
        <v>17</v>
      </c>
      <c r="U593" s="30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</row>
    <row r="594" ht="14.25" hidden="1" customHeight="1">
      <c r="A594" s="22" t="s">
        <v>1098</v>
      </c>
      <c r="B594" s="22" t="s">
        <v>223</v>
      </c>
      <c r="C594" s="22" t="s">
        <v>1134</v>
      </c>
      <c r="D594" s="22" t="s">
        <v>1135</v>
      </c>
      <c r="E594" s="22" t="s">
        <v>873</v>
      </c>
      <c r="F594" s="22" t="s">
        <v>1100</v>
      </c>
      <c r="G594" s="23">
        <v>2023.0</v>
      </c>
      <c r="H594" s="23">
        <v>50.0</v>
      </c>
      <c r="I594" s="23">
        <v>613.0</v>
      </c>
      <c r="J594" s="24" t="str">
        <f>'1. Base de donnée HILIN MU CM2 '!$G594&amp;"-"&amp;'1. Base de donnée HILIN MU CM2 '!$H594&amp;"-"&amp;'1. Base de donnée HILIN MU CM2 '!$I594</f>
        <v>2023-50-613</v>
      </c>
      <c r="K594" s="23">
        <f t="shared" si="1"/>
        <v>587</v>
      </c>
      <c r="L594" s="24" t="s">
        <v>31</v>
      </c>
      <c r="M594" s="24"/>
      <c r="N594" s="24"/>
      <c r="O594" s="22">
        <v>3.0</v>
      </c>
      <c r="P594" s="22">
        <v>6.0</v>
      </c>
      <c r="Q594" s="22">
        <f>SUM('1. Base de donnée HILIN MU CM2 '!$O594+'1. Base de donnée HILIN MU CM2 '!$P594)/2</f>
        <v>4.5</v>
      </c>
      <c r="R594" s="33">
        <v>16.0</v>
      </c>
      <c r="S594" s="33">
        <v>19.0</v>
      </c>
      <c r="T594" s="33">
        <f>('1. Base de donnée HILIN MU CM2 '!$R594+'1. Base de donnée HILIN MU CM2 '!$S594)/2</f>
        <v>17.5</v>
      </c>
      <c r="U594" s="25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</row>
    <row r="595" ht="14.25" hidden="1" customHeight="1">
      <c r="A595" s="27" t="s">
        <v>1098</v>
      </c>
      <c r="B595" s="27" t="s">
        <v>223</v>
      </c>
      <c r="C595" s="27" t="s">
        <v>1136</v>
      </c>
      <c r="D595" s="27" t="s">
        <v>1137</v>
      </c>
      <c r="E595" s="27" t="s">
        <v>873</v>
      </c>
      <c r="F595" s="27" t="s">
        <v>1100</v>
      </c>
      <c r="G595" s="28">
        <v>2023.0</v>
      </c>
      <c r="H595" s="28">
        <v>50.0</v>
      </c>
      <c r="I595" s="28">
        <v>614.0</v>
      </c>
      <c r="J595" s="29" t="str">
        <f>'1. Base de donnée HILIN MU CM2 '!$G595&amp;"-"&amp;'1. Base de donnée HILIN MU CM2 '!$H595&amp;"-"&amp;'1. Base de donnée HILIN MU CM2 '!$I595</f>
        <v>2023-50-614</v>
      </c>
      <c r="K595" s="28">
        <f t="shared" si="1"/>
        <v>588</v>
      </c>
      <c r="L595" s="29" t="s">
        <v>31</v>
      </c>
      <c r="M595" s="29"/>
      <c r="N595" s="29"/>
      <c r="O595" s="27">
        <v>14.0</v>
      </c>
      <c r="P595" s="27">
        <v>10.5</v>
      </c>
      <c r="Q595" s="27">
        <f>SUM('1. Base de donnée HILIN MU CM2 '!$O595+'1. Base de donnée HILIN MU CM2 '!$P595)/2</f>
        <v>12.25</v>
      </c>
      <c r="R595" s="34">
        <v>19.5</v>
      </c>
      <c r="S595" s="34">
        <v>19.0</v>
      </c>
      <c r="T595" s="34">
        <f>('1. Base de donnée HILIN MU CM2 '!$R595+'1. Base de donnée HILIN MU CM2 '!$S595)/2</f>
        <v>19.25</v>
      </c>
      <c r="U595" s="30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</row>
    <row r="596" ht="14.25" hidden="1" customHeight="1">
      <c r="A596" s="22" t="s">
        <v>1098</v>
      </c>
      <c r="B596" s="22" t="s">
        <v>223</v>
      </c>
      <c r="C596" s="22" t="s">
        <v>1138</v>
      </c>
      <c r="D596" s="22" t="s">
        <v>1139</v>
      </c>
      <c r="E596" s="22" t="s">
        <v>873</v>
      </c>
      <c r="F596" s="22" t="s">
        <v>1100</v>
      </c>
      <c r="G596" s="23">
        <v>2023.0</v>
      </c>
      <c r="H596" s="23">
        <v>50.0</v>
      </c>
      <c r="I596" s="23">
        <v>615.0</v>
      </c>
      <c r="J596" s="24" t="str">
        <f>'1. Base de donnée HILIN MU CM2 '!$G596&amp;"-"&amp;'1. Base de donnée HILIN MU CM2 '!$H596&amp;"-"&amp;'1. Base de donnée HILIN MU CM2 '!$I596</f>
        <v>2023-50-615</v>
      </c>
      <c r="K596" s="23">
        <f t="shared" si="1"/>
        <v>589</v>
      </c>
      <c r="L596" s="24" t="s">
        <v>31</v>
      </c>
      <c r="M596" s="24"/>
      <c r="N596" s="24"/>
      <c r="O596" s="22">
        <v>9.0</v>
      </c>
      <c r="P596" s="22">
        <v>3.75</v>
      </c>
      <c r="Q596" s="22">
        <f>SUM('1. Base de donnée HILIN MU CM2 '!$O596+'1. Base de donnée HILIN MU CM2 '!$P596)/2</f>
        <v>6.375</v>
      </c>
      <c r="R596" s="33">
        <v>19.0</v>
      </c>
      <c r="S596" s="33">
        <v>18.5</v>
      </c>
      <c r="T596" s="33">
        <f>('1. Base de donnée HILIN MU CM2 '!$R596+'1. Base de donnée HILIN MU CM2 '!$S596)/2</f>
        <v>18.75</v>
      </c>
      <c r="U596" s="25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</row>
    <row r="597" ht="14.25" hidden="1" customHeight="1">
      <c r="A597" s="27" t="s">
        <v>1098</v>
      </c>
      <c r="B597" s="27" t="s">
        <v>223</v>
      </c>
      <c r="C597" s="27" t="s">
        <v>1140</v>
      </c>
      <c r="D597" s="27" t="s">
        <v>1141</v>
      </c>
      <c r="E597" s="27" t="s">
        <v>873</v>
      </c>
      <c r="F597" s="27" t="s">
        <v>1100</v>
      </c>
      <c r="G597" s="28">
        <v>2023.0</v>
      </c>
      <c r="H597" s="28">
        <v>50.0</v>
      </c>
      <c r="I597" s="28">
        <v>616.0</v>
      </c>
      <c r="J597" s="29" t="str">
        <f>'1. Base de donnée HILIN MU CM2 '!$G597&amp;"-"&amp;'1. Base de donnée HILIN MU CM2 '!$H597&amp;"-"&amp;'1. Base de donnée HILIN MU CM2 '!$I597</f>
        <v>2023-50-616</v>
      </c>
      <c r="K597" s="28">
        <f t="shared" si="1"/>
        <v>590</v>
      </c>
      <c r="L597" s="29" t="s">
        <v>31</v>
      </c>
      <c r="M597" s="29"/>
      <c r="N597" s="29"/>
      <c r="O597" s="27">
        <v>8.5</v>
      </c>
      <c r="P597" s="27">
        <v>5.0</v>
      </c>
      <c r="Q597" s="27">
        <f>SUM('1. Base de donnée HILIN MU CM2 '!$O597+'1. Base de donnée HILIN MU CM2 '!$P597)/2</f>
        <v>6.75</v>
      </c>
      <c r="R597" s="34">
        <v>18.0</v>
      </c>
      <c r="S597" s="34">
        <v>17.5</v>
      </c>
      <c r="T597" s="34">
        <f>('1. Base de donnée HILIN MU CM2 '!$R597+'1. Base de donnée HILIN MU CM2 '!$S597)/2</f>
        <v>17.75</v>
      </c>
      <c r="U597" s="30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</row>
    <row r="598" ht="14.25" hidden="1" customHeight="1">
      <c r="A598" s="22" t="s">
        <v>1098</v>
      </c>
      <c r="B598" s="22" t="s">
        <v>223</v>
      </c>
      <c r="C598" s="22" t="s">
        <v>1142</v>
      </c>
      <c r="D598" s="22" t="s">
        <v>1143</v>
      </c>
      <c r="E598" s="22" t="s">
        <v>873</v>
      </c>
      <c r="F598" s="22" t="s">
        <v>1100</v>
      </c>
      <c r="G598" s="23">
        <v>2023.0</v>
      </c>
      <c r="H598" s="23">
        <v>50.0</v>
      </c>
      <c r="I598" s="23">
        <v>617.0</v>
      </c>
      <c r="J598" s="24" t="str">
        <f>'1. Base de donnée HILIN MU CM2 '!$G598&amp;"-"&amp;'1. Base de donnée HILIN MU CM2 '!$H598&amp;"-"&amp;'1. Base de donnée HILIN MU CM2 '!$I598</f>
        <v>2023-50-617</v>
      </c>
      <c r="K598" s="23">
        <f t="shared" si="1"/>
        <v>591</v>
      </c>
      <c r="L598" s="24" t="s">
        <v>31</v>
      </c>
      <c r="M598" s="24"/>
      <c r="N598" s="24"/>
      <c r="O598" s="22">
        <v>0.5</v>
      </c>
      <c r="P598" s="22">
        <v>4.0</v>
      </c>
      <c r="Q598" s="22">
        <f>SUM('1. Base de donnée HILIN MU CM2 '!$O598+'1. Base de donnée HILIN MU CM2 '!$P598)/2</f>
        <v>2.25</v>
      </c>
      <c r="R598" s="33">
        <v>12.0</v>
      </c>
      <c r="S598" s="33">
        <v>14.5</v>
      </c>
      <c r="T598" s="33">
        <f>('1. Base de donnée HILIN MU CM2 '!$R598+'1. Base de donnée HILIN MU CM2 '!$S598)/2</f>
        <v>13.25</v>
      </c>
      <c r="U598" s="25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</row>
    <row r="599" ht="14.25" hidden="1" customHeight="1">
      <c r="A599" s="27" t="s">
        <v>1098</v>
      </c>
      <c r="B599" s="27" t="s">
        <v>223</v>
      </c>
      <c r="C599" s="27" t="s">
        <v>1144</v>
      </c>
      <c r="D599" s="27" t="s">
        <v>1145</v>
      </c>
      <c r="E599" s="27" t="s">
        <v>873</v>
      </c>
      <c r="F599" s="27" t="s">
        <v>1100</v>
      </c>
      <c r="G599" s="28">
        <v>2023.0</v>
      </c>
      <c r="H599" s="28">
        <v>50.0</v>
      </c>
      <c r="I599" s="28">
        <v>618.0</v>
      </c>
      <c r="J599" s="29" t="str">
        <f>'1. Base de donnée HILIN MU CM2 '!$G599&amp;"-"&amp;'1. Base de donnée HILIN MU CM2 '!$H599&amp;"-"&amp;'1. Base de donnée HILIN MU CM2 '!$I599</f>
        <v>2023-50-618</v>
      </c>
      <c r="K599" s="28">
        <f t="shared" si="1"/>
        <v>592</v>
      </c>
      <c r="L599" s="29" t="s">
        <v>31</v>
      </c>
      <c r="M599" s="29"/>
      <c r="N599" s="29"/>
      <c r="O599" s="27">
        <v>3.5</v>
      </c>
      <c r="P599" s="27">
        <v>2.0</v>
      </c>
      <c r="Q599" s="27">
        <f>SUM('1. Base de donnée HILIN MU CM2 '!$O599+'1. Base de donnée HILIN MU CM2 '!$P599)/2</f>
        <v>2.75</v>
      </c>
      <c r="R599" s="34">
        <v>14.5</v>
      </c>
      <c r="S599" s="34">
        <v>15.5</v>
      </c>
      <c r="T599" s="34">
        <f>('1. Base de donnée HILIN MU CM2 '!$R599+'1. Base de donnée HILIN MU CM2 '!$S599)/2</f>
        <v>15</v>
      </c>
      <c r="U599" s="30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</row>
    <row r="600" ht="14.25" hidden="1" customHeight="1">
      <c r="A600" s="22" t="s">
        <v>1098</v>
      </c>
      <c r="B600" s="22" t="s">
        <v>223</v>
      </c>
      <c r="C600" s="22" t="s">
        <v>1146</v>
      </c>
      <c r="D600" s="22" t="s">
        <v>1147</v>
      </c>
      <c r="E600" s="22" t="s">
        <v>873</v>
      </c>
      <c r="F600" s="22" t="s">
        <v>1100</v>
      </c>
      <c r="G600" s="23">
        <v>2023.0</v>
      </c>
      <c r="H600" s="23">
        <v>50.0</v>
      </c>
      <c r="I600" s="23">
        <v>619.0</v>
      </c>
      <c r="J600" s="24" t="str">
        <f>'1. Base de donnée HILIN MU CM2 '!$G600&amp;"-"&amp;'1. Base de donnée HILIN MU CM2 '!$H600&amp;"-"&amp;'1. Base de donnée HILIN MU CM2 '!$I600</f>
        <v>2023-50-619</v>
      </c>
      <c r="K600" s="23">
        <f t="shared" si="1"/>
        <v>593</v>
      </c>
      <c r="L600" s="24" t="s">
        <v>31</v>
      </c>
      <c r="M600" s="24"/>
      <c r="N600" s="24"/>
      <c r="O600" s="22">
        <v>6.5</v>
      </c>
      <c r="P600" s="22">
        <v>2.75</v>
      </c>
      <c r="Q600" s="22">
        <f>SUM('1. Base de donnée HILIN MU CM2 '!$O600+'1. Base de donnée HILIN MU CM2 '!$P600)/2</f>
        <v>4.625</v>
      </c>
      <c r="R600" s="33">
        <v>17.0</v>
      </c>
      <c r="S600" s="33">
        <v>20.0</v>
      </c>
      <c r="T600" s="33">
        <f>('1. Base de donnée HILIN MU CM2 '!$R600+'1. Base de donnée HILIN MU CM2 '!$S600)/2</f>
        <v>18.5</v>
      </c>
      <c r="U600" s="25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</row>
    <row r="601" ht="14.25" hidden="1" customHeight="1">
      <c r="A601" s="27" t="s">
        <v>1098</v>
      </c>
      <c r="B601" s="27" t="s">
        <v>223</v>
      </c>
      <c r="C601" s="27" t="s">
        <v>1148</v>
      </c>
      <c r="D601" s="27" t="s">
        <v>612</v>
      </c>
      <c r="E601" s="27" t="s">
        <v>873</v>
      </c>
      <c r="F601" s="27" t="s">
        <v>1103</v>
      </c>
      <c r="G601" s="28">
        <v>2023.0</v>
      </c>
      <c r="H601" s="28">
        <v>50.0</v>
      </c>
      <c r="I601" s="28">
        <v>620.0</v>
      </c>
      <c r="J601" s="29" t="str">
        <f>'1. Base de donnée HILIN MU CM2 '!$G601&amp;"-"&amp;'1. Base de donnée HILIN MU CM2 '!$H601&amp;"-"&amp;'1. Base de donnée HILIN MU CM2 '!$I601</f>
        <v>2023-50-620</v>
      </c>
      <c r="K601" s="28">
        <f t="shared" si="1"/>
        <v>594</v>
      </c>
      <c r="L601" s="29" t="s">
        <v>31</v>
      </c>
      <c r="M601" s="29"/>
      <c r="N601" s="29"/>
      <c r="O601" s="27">
        <v>8.5</v>
      </c>
      <c r="P601" s="27">
        <v>2.75</v>
      </c>
      <c r="Q601" s="27">
        <f>SUM('1. Base de donnée HILIN MU CM2 '!$O601+'1. Base de donnée HILIN MU CM2 '!$P601)/2</f>
        <v>5.625</v>
      </c>
      <c r="R601" s="34">
        <v>13.0</v>
      </c>
      <c r="S601" s="34">
        <v>16.0</v>
      </c>
      <c r="T601" s="34">
        <f>('1. Base de donnée HILIN MU CM2 '!$R601+'1. Base de donnée HILIN MU CM2 '!$S601)/2</f>
        <v>14.5</v>
      </c>
      <c r="U601" s="30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</row>
    <row r="602" ht="14.25" hidden="1" customHeight="1">
      <c r="A602" s="22" t="s">
        <v>1098</v>
      </c>
      <c r="B602" s="22" t="s">
        <v>223</v>
      </c>
      <c r="C602" s="22" t="s">
        <v>1149</v>
      </c>
      <c r="D602" s="22" t="s">
        <v>178</v>
      </c>
      <c r="E602" s="22" t="s">
        <v>873</v>
      </c>
      <c r="F602" s="22" t="s">
        <v>1103</v>
      </c>
      <c r="G602" s="23">
        <v>2023.0</v>
      </c>
      <c r="H602" s="23">
        <v>50.0</v>
      </c>
      <c r="I602" s="23">
        <v>622.0</v>
      </c>
      <c r="J602" s="24" t="str">
        <f>'1. Base de donnée HILIN MU CM2 '!$G602&amp;"-"&amp;'1. Base de donnée HILIN MU CM2 '!$H602&amp;"-"&amp;'1. Base de donnée HILIN MU CM2 '!$I602</f>
        <v>2023-50-622</v>
      </c>
      <c r="K602" s="23">
        <f t="shared" si="1"/>
        <v>595</v>
      </c>
      <c r="L602" s="24" t="s">
        <v>31</v>
      </c>
      <c r="M602" s="24"/>
      <c r="N602" s="24"/>
      <c r="O602" s="22">
        <v>5.0</v>
      </c>
      <c r="P602" s="22">
        <v>1.0</v>
      </c>
      <c r="Q602" s="22">
        <f>SUM('1. Base de donnée HILIN MU CM2 '!$O602+'1. Base de donnée HILIN MU CM2 '!$P602)/2</f>
        <v>3</v>
      </c>
      <c r="R602" s="33">
        <v>13.0</v>
      </c>
      <c r="S602" s="33">
        <v>17.5</v>
      </c>
      <c r="T602" s="33">
        <f>('1. Base de donnée HILIN MU CM2 '!$R602+'1. Base de donnée HILIN MU CM2 '!$S602)/2</f>
        <v>15.25</v>
      </c>
      <c r="U602" s="25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</row>
    <row r="603" ht="14.25" hidden="1" customHeight="1">
      <c r="A603" s="27" t="s">
        <v>1098</v>
      </c>
      <c r="B603" s="27" t="s">
        <v>223</v>
      </c>
      <c r="C603" s="27" t="s">
        <v>1150</v>
      </c>
      <c r="D603" s="27" t="s">
        <v>574</v>
      </c>
      <c r="E603" s="27" t="s">
        <v>873</v>
      </c>
      <c r="F603" s="27" t="s">
        <v>1103</v>
      </c>
      <c r="G603" s="28">
        <v>2023.0</v>
      </c>
      <c r="H603" s="28">
        <v>50.0</v>
      </c>
      <c r="I603" s="28">
        <v>623.0</v>
      </c>
      <c r="J603" s="29" t="str">
        <f>'1. Base de donnée HILIN MU CM2 '!$G603&amp;"-"&amp;'1. Base de donnée HILIN MU CM2 '!$H603&amp;"-"&amp;'1. Base de donnée HILIN MU CM2 '!$I603</f>
        <v>2023-50-623</v>
      </c>
      <c r="K603" s="28">
        <f t="shared" si="1"/>
        <v>596</v>
      </c>
      <c r="L603" s="29" t="s">
        <v>31</v>
      </c>
      <c r="M603" s="29"/>
      <c r="N603" s="29"/>
      <c r="O603" s="27">
        <v>12.0</v>
      </c>
      <c r="P603" s="27">
        <v>3.0</v>
      </c>
      <c r="Q603" s="27">
        <f>SUM('1. Base de donnée HILIN MU CM2 '!$O603+'1. Base de donnée HILIN MU CM2 '!$P603)/2</f>
        <v>7.5</v>
      </c>
      <c r="R603" s="34">
        <v>14.5</v>
      </c>
      <c r="S603" s="34">
        <v>17.0</v>
      </c>
      <c r="T603" s="34">
        <f>('1. Base de donnée HILIN MU CM2 '!$R603+'1. Base de donnée HILIN MU CM2 '!$S603)/2</f>
        <v>15.75</v>
      </c>
      <c r="U603" s="30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</row>
    <row r="604" ht="14.25" hidden="1" customHeight="1">
      <c r="A604" s="22" t="s">
        <v>1098</v>
      </c>
      <c r="B604" s="22" t="s">
        <v>223</v>
      </c>
      <c r="C604" s="22" t="s">
        <v>1084</v>
      </c>
      <c r="D604" s="22" t="s">
        <v>1151</v>
      </c>
      <c r="E604" s="22" t="s">
        <v>873</v>
      </c>
      <c r="F604" s="22" t="s">
        <v>1103</v>
      </c>
      <c r="G604" s="23">
        <v>2023.0</v>
      </c>
      <c r="H604" s="23">
        <v>50.0</v>
      </c>
      <c r="I604" s="23">
        <v>624.0</v>
      </c>
      <c r="J604" s="24" t="str">
        <f>'1. Base de donnée HILIN MU CM2 '!$G604&amp;"-"&amp;'1. Base de donnée HILIN MU CM2 '!$H604&amp;"-"&amp;'1. Base de donnée HILIN MU CM2 '!$I604</f>
        <v>2023-50-624</v>
      </c>
      <c r="K604" s="23">
        <f t="shared" si="1"/>
        <v>597</v>
      </c>
      <c r="L604" s="24" t="s">
        <v>31</v>
      </c>
      <c r="M604" s="24"/>
      <c r="N604" s="24"/>
      <c r="O604" s="22">
        <v>12.0</v>
      </c>
      <c r="P604" s="22">
        <v>4.0</v>
      </c>
      <c r="Q604" s="22">
        <f>SUM('1. Base de donnée HILIN MU CM2 '!$O604+'1. Base de donnée HILIN MU CM2 '!$P604)/2</f>
        <v>8</v>
      </c>
      <c r="R604" s="33">
        <v>13.0</v>
      </c>
      <c r="S604" s="33">
        <v>17.5</v>
      </c>
      <c r="T604" s="33">
        <f>('1. Base de donnée HILIN MU CM2 '!$R604+'1. Base de donnée HILIN MU CM2 '!$S604)/2</f>
        <v>15.25</v>
      </c>
      <c r="U604" s="25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</row>
    <row r="605" ht="14.25" hidden="1" customHeight="1">
      <c r="A605" s="27" t="s">
        <v>1152</v>
      </c>
      <c r="B605" s="27" t="s">
        <v>26</v>
      </c>
      <c r="C605" s="27" t="s">
        <v>1153</v>
      </c>
      <c r="D605" s="27" t="s">
        <v>65</v>
      </c>
      <c r="E605" s="27" t="s">
        <v>1154</v>
      </c>
      <c r="F605" s="27" t="s">
        <v>1155</v>
      </c>
      <c r="G605" s="28">
        <v>2023.0</v>
      </c>
      <c r="H605" s="28">
        <v>12.0</v>
      </c>
      <c r="I605" s="28">
        <v>625.0</v>
      </c>
      <c r="J605" s="29" t="str">
        <f>'1. Base de donnée HILIN MU CM2 '!$G605&amp;"-"&amp;'1. Base de donnée HILIN MU CM2 '!$H605&amp;"-"&amp;'1. Base de donnée HILIN MU CM2 '!$I605</f>
        <v>2023-12-625</v>
      </c>
      <c r="K605" s="28">
        <f t="shared" si="1"/>
        <v>598</v>
      </c>
      <c r="L605" s="29" t="s">
        <v>31</v>
      </c>
      <c r="M605" s="29"/>
      <c r="N605" s="29"/>
      <c r="O605" s="27">
        <v>9.5</v>
      </c>
      <c r="P605" s="27">
        <v>5.0</v>
      </c>
      <c r="Q605" s="27">
        <f>SUM('1. Base de donnée HILIN MU CM2 '!$O605+'1. Base de donnée HILIN MU CM2 '!$P605)/2</f>
        <v>7.25</v>
      </c>
      <c r="R605" s="34">
        <v>19.0</v>
      </c>
      <c r="S605" s="34">
        <v>16.0</v>
      </c>
      <c r="T605" s="34">
        <f>('1. Base de donnée HILIN MU CM2 '!$R605+'1. Base de donnée HILIN MU CM2 '!$S605)/2</f>
        <v>17.5</v>
      </c>
      <c r="U605" s="30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</row>
    <row r="606" ht="14.25" hidden="1" customHeight="1">
      <c r="A606" s="22" t="s">
        <v>1152</v>
      </c>
      <c r="B606" s="22" t="s">
        <v>26</v>
      </c>
      <c r="C606" s="22" t="s">
        <v>1156</v>
      </c>
      <c r="D606" s="22" t="s">
        <v>1157</v>
      </c>
      <c r="E606" s="22" t="s">
        <v>1154</v>
      </c>
      <c r="F606" s="22" t="s">
        <v>1155</v>
      </c>
      <c r="G606" s="23">
        <v>2023.0</v>
      </c>
      <c r="H606" s="23">
        <v>12.0</v>
      </c>
      <c r="I606" s="23">
        <v>626.0</v>
      </c>
      <c r="J606" s="24" t="str">
        <f>'1. Base de donnée HILIN MU CM2 '!$G606&amp;"-"&amp;'1. Base de donnée HILIN MU CM2 '!$H606&amp;"-"&amp;'1. Base de donnée HILIN MU CM2 '!$I606</f>
        <v>2023-12-626</v>
      </c>
      <c r="K606" s="23">
        <f t="shared" si="1"/>
        <v>599</v>
      </c>
      <c r="L606" s="24" t="s">
        <v>31</v>
      </c>
      <c r="M606" s="24"/>
      <c r="N606" s="24"/>
      <c r="O606" s="22">
        <v>10.0</v>
      </c>
      <c r="P606" s="22">
        <v>9.0</v>
      </c>
      <c r="Q606" s="22">
        <f>SUM('1. Base de donnée HILIN MU CM2 '!$O606+'1. Base de donnée HILIN MU CM2 '!$P606)/2</f>
        <v>9.5</v>
      </c>
      <c r="R606" s="33">
        <v>17.5</v>
      </c>
      <c r="S606" s="33">
        <v>18.0</v>
      </c>
      <c r="T606" s="33">
        <f>('1. Base de donnée HILIN MU CM2 '!$R606+'1. Base de donnée HILIN MU CM2 '!$S606)/2</f>
        <v>17.75</v>
      </c>
      <c r="U606" s="25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</row>
    <row r="607" ht="14.25" hidden="1" customHeight="1">
      <c r="A607" s="27" t="s">
        <v>1152</v>
      </c>
      <c r="B607" s="27" t="s">
        <v>26</v>
      </c>
      <c r="C607" s="27" t="s">
        <v>1158</v>
      </c>
      <c r="D607" s="27" t="s">
        <v>1159</v>
      </c>
      <c r="E607" s="27" t="s">
        <v>1154</v>
      </c>
      <c r="F607" s="27" t="s">
        <v>1155</v>
      </c>
      <c r="G607" s="28">
        <v>2023.0</v>
      </c>
      <c r="H607" s="28">
        <v>12.0</v>
      </c>
      <c r="I607" s="28">
        <v>627.0</v>
      </c>
      <c r="J607" s="29" t="str">
        <f>'1. Base de donnée HILIN MU CM2 '!$G607&amp;"-"&amp;'1. Base de donnée HILIN MU CM2 '!$H607&amp;"-"&amp;'1. Base de donnée HILIN MU CM2 '!$I607</f>
        <v>2023-12-627</v>
      </c>
      <c r="K607" s="28">
        <f t="shared" si="1"/>
        <v>600</v>
      </c>
      <c r="L607" s="29" t="s">
        <v>31</v>
      </c>
      <c r="M607" s="29"/>
      <c r="N607" s="29"/>
      <c r="O607" s="27">
        <v>8.0</v>
      </c>
      <c r="P607" s="27">
        <v>4.5</v>
      </c>
      <c r="Q607" s="27">
        <f>SUM('1. Base de donnée HILIN MU CM2 '!$O607+'1. Base de donnée HILIN MU CM2 '!$P607)/2</f>
        <v>6.25</v>
      </c>
      <c r="R607" s="34">
        <v>17.5</v>
      </c>
      <c r="S607" s="34">
        <v>19.0</v>
      </c>
      <c r="T607" s="34">
        <f>('1. Base de donnée HILIN MU CM2 '!$R607+'1. Base de donnée HILIN MU CM2 '!$S607)/2</f>
        <v>18.25</v>
      </c>
      <c r="U607" s="30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</row>
    <row r="608" ht="14.25" hidden="1" customHeight="1">
      <c r="A608" s="22" t="s">
        <v>1152</v>
      </c>
      <c r="B608" s="22" t="s">
        <v>26</v>
      </c>
      <c r="C608" s="22" t="s">
        <v>1160</v>
      </c>
      <c r="D608" s="22" t="s">
        <v>1161</v>
      </c>
      <c r="E608" s="22" t="s">
        <v>1154</v>
      </c>
      <c r="F608" s="22" t="s">
        <v>1155</v>
      </c>
      <c r="G608" s="23">
        <v>2023.0</v>
      </c>
      <c r="H608" s="23">
        <v>12.0</v>
      </c>
      <c r="I608" s="23">
        <v>628.0</v>
      </c>
      <c r="J608" s="24" t="str">
        <f>'1. Base de donnée HILIN MU CM2 '!$G608&amp;"-"&amp;'1. Base de donnée HILIN MU CM2 '!$H608&amp;"-"&amp;'1. Base de donnée HILIN MU CM2 '!$I608</f>
        <v>2023-12-628</v>
      </c>
      <c r="K608" s="23">
        <f t="shared" si="1"/>
        <v>601</v>
      </c>
      <c r="L608" s="24" t="s">
        <v>31</v>
      </c>
      <c r="M608" s="24"/>
      <c r="N608" s="24"/>
      <c r="O608" s="22">
        <v>10.5</v>
      </c>
      <c r="P608" s="22">
        <v>11.5</v>
      </c>
      <c r="Q608" s="22">
        <f>SUM('1. Base de donnée HILIN MU CM2 '!$O608+'1. Base de donnée HILIN MU CM2 '!$P608)/2</f>
        <v>11</v>
      </c>
      <c r="R608" s="33">
        <v>18.0</v>
      </c>
      <c r="S608" s="33">
        <v>19.5</v>
      </c>
      <c r="T608" s="33">
        <f>('1. Base de donnée HILIN MU CM2 '!$R608+'1. Base de donnée HILIN MU CM2 '!$S608)/2</f>
        <v>18.75</v>
      </c>
      <c r="U608" s="25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</row>
    <row r="609" ht="14.25" hidden="1" customHeight="1">
      <c r="A609" s="27" t="s">
        <v>1152</v>
      </c>
      <c r="B609" s="27" t="s">
        <v>26</v>
      </c>
      <c r="C609" s="27" t="s">
        <v>1162</v>
      </c>
      <c r="D609" s="27" t="s">
        <v>1163</v>
      </c>
      <c r="E609" s="27" t="s">
        <v>1154</v>
      </c>
      <c r="F609" s="27" t="s">
        <v>1164</v>
      </c>
      <c r="G609" s="28">
        <v>2023.0</v>
      </c>
      <c r="H609" s="28">
        <v>12.0</v>
      </c>
      <c r="I609" s="28">
        <v>629.0</v>
      </c>
      <c r="J609" s="29" t="str">
        <f>'1. Base de donnée HILIN MU CM2 '!$G609&amp;"-"&amp;'1. Base de donnée HILIN MU CM2 '!$H609&amp;"-"&amp;'1. Base de donnée HILIN MU CM2 '!$I609</f>
        <v>2023-12-629</v>
      </c>
      <c r="K609" s="28">
        <f t="shared" si="1"/>
        <v>602</v>
      </c>
      <c r="L609" s="29" t="s">
        <v>31</v>
      </c>
      <c r="M609" s="29"/>
      <c r="N609" s="29"/>
      <c r="O609" s="27">
        <v>11.5</v>
      </c>
      <c r="P609" s="27">
        <v>11.5</v>
      </c>
      <c r="Q609" s="27">
        <f>SUM('1. Base de donnée HILIN MU CM2 '!$O609+'1. Base de donnée HILIN MU CM2 '!$P609)/2</f>
        <v>11.5</v>
      </c>
      <c r="R609" s="34">
        <v>17.0</v>
      </c>
      <c r="S609" s="34">
        <v>17.5</v>
      </c>
      <c r="T609" s="34">
        <f>('1. Base de donnée HILIN MU CM2 '!$R609+'1. Base de donnée HILIN MU CM2 '!$S609)/2</f>
        <v>17.25</v>
      </c>
      <c r="U609" s="30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</row>
    <row r="610" ht="14.25" hidden="1" customHeight="1">
      <c r="A610" s="22" t="s">
        <v>1152</v>
      </c>
      <c r="B610" s="22" t="s">
        <v>26</v>
      </c>
      <c r="C610" s="22" t="s">
        <v>1165</v>
      </c>
      <c r="D610" s="22" t="s">
        <v>1166</v>
      </c>
      <c r="E610" s="22" t="s">
        <v>1154</v>
      </c>
      <c r="F610" s="22" t="s">
        <v>1164</v>
      </c>
      <c r="G610" s="23">
        <v>2023.0</v>
      </c>
      <c r="H610" s="23">
        <v>12.0</v>
      </c>
      <c r="I610" s="23">
        <v>630.0</v>
      </c>
      <c r="J610" s="24" t="str">
        <f>'1. Base de donnée HILIN MU CM2 '!$G610&amp;"-"&amp;'1. Base de donnée HILIN MU CM2 '!$H610&amp;"-"&amp;'1. Base de donnée HILIN MU CM2 '!$I610</f>
        <v>2023-12-630</v>
      </c>
      <c r="K610" s="23">
        <f t="shared" si="1"/>
        <v>603</v>
      </c>
      <c r="L610" s="24" t="s">
        <v>31</v>
      </c>
      <c r="M610" s="24"/>
      <c r="N610" s="24"/>
      <c r="O610" s="22">
        <v>7.5</v>
      </c>
      <c r="P610" s="22">
        <v>5.0</v>
      </c>
      <c r="Q610" s="22">
        <f>SUM('1. Base de donnée HILIN MU CM2 '!$O610+'1. Base de donnée HILIN MU CM2 '!$P610)/2</f>
        <v>6.25</v>
      </c>
      <c r="R610" s="33">
        <v>15.5</v>
      </c>
      <c r="S610" s="33">
        <v>15.5</v>
      </c>
      <c r="T610" s="33">
        <f>('1. Base de donnée HILIN MU CM2 '!$R610+'1. Base de donnée HILIN MU CM2 '!$S610)/2</f>
        <v>15.5</v>
      </c>
      <c r="U610" s="25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</row>
    <row r="611" ht="14.25" hidden="1" customHeight="1">
      <c r="A611" s="27" t="s">
        <v>1152</v>
      </c>
      <c r="B611" s="27" t="s">
        <v>26</v>
      </c>
      <c r="C611" s="27" t="s">
        <v>1167</v>
      </c>
      <c r="D611" s="27" t="s">
        <v>1168</v>
      </c>
      <c r="E611" s="27" t="s">
        <v>1154</v>
      </c>
      <c r="F611" s="27" t="s">
        <v>1164</v>
      </c>
      <c r="G611" s="28">
        <v>2023.0</v>
      </c>
      <c r="H611" s="28">
        <v>12.0</v>
      </c>
      <c r="I611" s="28">
        <v>631.0</v>
      </c>
      <c r="J611" s="29" t="str">
        <f>'1. Base de donnée HILIN MU CM2 '!$G611&amp;"-"&amp;'1. Base de donnée HILIN MU CM2 '!$H611&amp;"-"&amp;'1. Base de donnée HILIN MU CM2 '!$I611</f>
        <v>2023-12-631</v>
      </c>
      <c r="K611" s="28">
        <f t="shared" si="1"/>
        <v>604</v>
      </c>
      <c r="L611" s="29" t="s">
        <v>31</v>
      </c>
      <c r="M611" s="29"/>
      <c r="N611" s="29"/>
      <c r="O611" s="27">
        <v>7.5</v>
      </c>
      <c r="P611" s="27">
        <v>4.0</v>
      </c>
      <c r="Q611" s="27">
        <f>SUM('1. Base de donnée HILIN MU CM2 '!$O611+'1. Base de donnée HILIN MU CM2 '!$P611)/2</f>
        <v>5.75</v>
      </c>
      <c r="R611" s="34">
        <v>18.0</v>
      </c>
      <c r="S611" s="34">
        <v>13.0</v>
      </c>
      <c r="T611" s="34">
        <f>('1. Base de donnée HILIN MU CM2 '!$R611+'1. Base de donnée HILIN MU CM2 '!$S611)/2</f>
        <v>15.5</v>
      </c>
      <c r="U611" s="30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</row>
    <row r="612" ht="14.25" hidden="1" customHeight="1">
      <c r="A612" s="22" t="s">
        <v>1152</v>
      </c>
      <c r="B612" s="22" t="s">
        <v>26</v>
      </c>
      <c r="C612" s="22" t="s">
        <v>1169</v>
      </c>
      <c r="D612" s="22" t="s">
        <v>276</v>
      </c>
      <c r="E612" s="22" t="s">
        <v>1154</v>
      </c>
      <c r="F612" s="22" t="s">
        <v>1155</v>
      </c>
      <c r="G612" s="23">
        <v>2023.0</v>
      </c>
      <c r="H612" s="23">
        <v>12.0</v>
      </c>
      <c r="I612" s="23">
        <v>632.0</v>
      </c>
      <c r="J612" s="24" t="str">
        <f>'1. Base de donnée HILIN MU CM2 '!$G612&amp;"-"&amp;'1. Base de donnée HILIN MU CM2 '!$H612&amp;"-"&amp;'1. Base de donnée HILIN MU CM2 '!$I612</f>
        <v>2023-12-632</v>
      </c>
      <c r="K612" s="23">
        <f t="shared" si="1"/>
        <v>605</v>
      </c>
      <c r="L612" s="24" t="s">
        <v>31</v>
      </c>
      <c r="M612" s="24"/>
      <c r="N612" s="24"/>
      <c r="O612" s="22">
        <v>9.5</v>
      </c>
      <c r="P612" s="22">
        <v>4.0</v>
      </c>
      <c r="Q612" s="22">
        <f>SUM('1. Base de donnée HILIN MU CM2 '!$O612+'1. Base de donnée HILIN MU CM2 '!$P612)/2</f>
        <v>6.75</v>
      </c>
      <c r="R612" s="33">
        <v>16.5</v>
      </c>
      <c r="S612" s="33">
        <v>17.0</v>
      </c>
      <c r="T612" s="33">
        <f>('1. Base de donnée HILIN MU CM2 '!$R612+'1. Base de donnée HILIN MU CM2 '!$S612)/2</f>
        <v>16.75</v>
      </c>
      <c r="U612" s="25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</row>
    <row r="613" ht="14.25" hidden="1" customHeight="1">
      <c r="A613" s="27" t="s">
        <v>1152</v>
      </c>
      <c r="B613" s="27" t="s">
        <v>26</v>
      </c>
      <c r="C613" s="27" t="s">
        <v>1170</v>
      </c>
      <c r="D613" s="27" t="s">
        <v>1171</v>
      </c>
      <c r="E613" s="27" t="s">
        <v>1154</v>
      </c>
      <c r="F613" s="27" t="s">
        <v>1164</v>
      </c>
      <c r="G613" s="28">
        <v>2023.0</v>
      </c>
      <c r="H613" s="28">
        <v>12.0</v>
      </c>
      <c r="I613" s="28">
        <v>633.0</v>
      </c>
      <c r="J613" s="29" t="str">
        <f>'1. Base de donnée HILIN MU CM2 '!$G613&amp;"-"&amp;'1. Base de donnée HILIN MU CM2 '!$H613&amp;"-"&amp;'1. Base de donnée HILIN MU CM2 '!$I613</f>
        <v>2023-12-633</v>
      </c>
      <c r="K613" s="28">
        <f t="shared" si="1"/>
        <v>606</v>
      </c>
      <c r="L613" s="29" t="s">
        <v>31</v>
      </c>
      <c r="M613" s="29"/>
      <c r="N613" s="29"/>
      <c r="O613" s="27">
        <v>10.0</v>
      </c>
      <c r="P613" s="27">
        <v>6.5</v>
      </c>
      <c r="Q613" s="27">
        <f>SUM('1. Base de donnée HILIN MU CM2 '!$O613+'1. Base de donnée HILIN MU CM2 '!$P613)/2</f>
        <v>8.25</v>
      </c>
      <c r="R613" s="34">
        <v>16.5</v>
      </c>
      <c r="S613" s="34">
        <v>15.5</v>
      </c>
      <c r="T613" s="34">
        <f>('1. Base de donnée HILIN MU CM2 '!$R613+'1. Base de donnée HILIN MU CM2 '!$S613)/2</f>
        <v>16</v>
      </c>
      <c r="U613" s="30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</row>
    <row r="614" ht="14.25" hidden="1" customHeight="1">
      <c r="A614" s="22" t="s">
        <v>1152</v>
      </c>
      <c r="B614" s="22" t="s">
        <v>26</v>
      </c>
      <c r="C614" s="22" t="s">
        <v>1172</v>
      </c>
      <c r="D614" s="22" t="s">
        <v>1173</v>
      </c>
      <c r="E614" s="22" t="s">
        <v>1154</v>
      </c>
      <c r="F614" s="22" t="s">
        <v>1155</v>
      </c>
      <c r="G614" s="23">
        <v>2023.0</v>
      </c>
      <c r="H614" s="23">
        <v>12.0</v>
      </c>
      <c r="I614" s="23">
        <v>636.0</v>
      </c>
      <c r="J614" s="24" t="str">
        <f>'1. Base de donnée HILIN MU CM2 '!$G614&amp;"-"&amp;'1. Base de donnée HILIN MU CM2 '!$H614&amp;"-"&amp;'1. Base de donnée HILIN MU CM2 '!$I614</f>
        <v>2023-12-636</v>
      </c>
      <c r="K614" s="23">
        <f t="shared" si="1"/>
        <v>607</v>
      </c>
      <c r="L614" s="24" t="s">
        <v>31</v>
      </c>
      <c r="M614" s="24"/>
      <c r="N614" s="24"/>
      <c r="O614" s="22">
        <v>6.25</v>
      </c>
      <c r="P614" s="22">
        <v>6.0</v>
      </c>
      <c r="Q614" s="22">
        <f>SUM('1. Base de donnée HILIN MU CM2 '!$O614+'1. Base de donnée HILIN MU CM2 '!$P614)/2</f>
        <v>6.125</v>
      </c>
      <c r="R614" s="33">
        <v>19.5</v>
      </c>
      <c r="S614" s="33">
        <v>12.5</v>
      </c>
      <c r="T614" s="33">
        <f>('1. Base de donnée HILIN MU CM2 '!$R614+'1. Base de donnée HILIN MU CM2 '!$S614)/2</f>
        <v>16</v>
      </c>
      <c r="U614" s="25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</row>
    <row r="615" ht="14.25" hidden="1" customHeight="1">
      <c r="A615" s="27" t="s">
        <v>1152</v>
      </c>
      <c r="B615" s="27" t="s">
        <v>26</v>
      </c>
      <c r="C615" s="27" t="s">
        <v>1174</v>
      </c>
      <c r="D615" s="27" t="s">
        <v>1175</v>
      </c>
      <c r="E615" s="27" t="s">
        <v>1154</v>
      </c>
      <c r="F615" s="27" t="s">
        <v>1164</v>
      </c>
      <c r="G615" s="28">
        <v>2023.0</v>
      </c>
      <c r="H615" s="28">
        <v>12.0</v>
      </c>
      <c r="I615" s="28">
        <v>637.0</v>
      </c>
      <c r="J615" s="29" t="str">
        <f>'1. Base de donnée HILIN MU CM2 '!$G615&amp;"-"&amp;'1. Base de donnée HILIN MU CM2 '!$H615&amp;"-"&amp;'1. Base de donnée HILIN MU CM2 '!$I615</f>
        <v>2023-12-637</v>
      </c>
      <c r="K615" s="28">
        <f t="shared" si="1"/>
        <v>608</v>
      </c>
      <c r="L615" s="29" t="s">
        <v>31</v>
      </c>
      <c r="M615" s="29"/>
      <c r="N615" s="29"/>
      <c r="O615" s="27">
        <v>8.5</v>
      </c>
      <c r="P615" s="27">
        <v>7.75</v>
      </c>
      <c r="Q615" s="27">
        <f>SUM('1. Base de donnée HILIN MU CM2 '!$O615+'1. Base de donnée HILIN MU CM2 '!$P615)/2</f>
        <v>8.125</v>
      </c>
      <c r="R615" s="34">
        <v>14.5</v>
      </c>
      <c r="S615" s="34">
        <v>15.5</v>
      </c>
      <c r="T615" s="34">
        <f>('1. Base de donnée HILIN MU CM2 '!$R615+'1. Base de donnée HILIN MU CM2 '!$S615)/2</f>
        <v>15</v>
      </c>
      <c r="U615" s="30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</row>
    <row r="616" ht="14.25" hidden="1" customHeight="1">
      <c r="A616" s="22" t="s">
        <v>1152</v>
      </c>
      <c r="B616" s="22" t="s">
        <v>26</v>
      </c>
      <c r="C616" s="22" t="s">
        <v>1176</v>
      </c>
      <c r="D616" s="22" t="s">
        <v>282</v>
      </c>
      <c r="E616" s="22" t="s">
        <v>1154</v>
      </c>
      <c r="F616" s="22" t="s">
        <v>1164</v>
      </c>
      <c r="G616" s="23">
        <v>2023.0</v>
      </c>
      <c r="H616" s="23">
        <v>12.0</v>
      </c>
      <c r="I616" s="23">
        <v>638.0</v>
      </c>
      <c r="J616" s="24" t="str">
        <f>'1. Base de donnée HILIN MU CM2 '!$G616&amp;"-"&amp;'1. Base de donnée HILIN MU CM2 '!$H616&amp;"-"&amp;'1. Base de donnée HILIN MU CM2 '!$I616</f>
        <v>2023-12-638</v>
      </c>
      <c r="K616" s="23">
        <f t="shared" si="1"/>
        <v>609</v>
      </c>
      <c r="L616" s="24" t="s">
        <v>31</v>
      </c>
      <c r="M616" s="24"/>
      <c r="N616" s="24"/>
      <c r="O616" s="22">
        <v>9.5</v>
      </c>
      <c r="P616" s="22">
        <v>9.0</v>
      </c>
      <c r="Q616" s="22">
        <f>SUM('1. Base de donnée HILIN MU CM2 '!$O616+'1. Base de donnée HILIN MU CM2 '!$P616)/2</f>
        <v>9.25</v>
      </c>
      <c r="R616" s="33">
        <v>18.0</v>
      </c>
      <c r="S616" s="33">
        <v>18.5</v>
      </c>
      <c r="T616" s="33">
        <f>('1. Base de donnée HILIN MU CM2 '!$R616+'1. Base de donnée HILIN MU CM2 '!$S616)/2</f>
        <v>18.25</v>
      </c>
      <c r="U616" s="25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</row>
    <row r="617" ht="14.25" hidden="1" customHeight="1">
      <c r="A617" s="27" t="s">
        <v>1152</v>
      </c>
      <c r="B617" s="27" t="s">
        <v>26</v>
      </c>
      <c r="C617" s="27" t="s">
        <v>1177</v>
      </c>
      <c r="D617" s="27" t="s">
        <v>1178</v>
      </c>
      <c r="E617" s="27" t="s">
        <v>1154</v>
      </c>
      <c r="F617" s="27" t="s">
        <v>1164</v>
      </c>
      <c r="G617" s="28">
        <v>2023.0</v>
      </c>
      <c r="H617" s="28">
        <v>12.0</v>
      </c>
      <c r="I617" s="28">
        <v>639.0</v>
      </c>
      <c r="J617" s="29" t="str">
        <f>'1. Base de donnée HILIN MU CM2 '!$G617&amp;"-"&amp;'1. Base de donnée HILIN MU CM2 '!$H617&amp;"-"&amp;'1. Base de donnée HILIN MU CM2 '!$I617</f>
        <v>2023-12-639</v>
      </c>
      <c r="K617" s="28">
        <f t="shared" si="1"/>
        <v>610</v>
      </c>
      <c r="L617" s="29" t="s">
        <v>31</v>
      </c>
      <c r="M617" s="29"/>
      <c r="N617" s="29"/>
      <c r="O617" s="27">
        <v>9.0</v>
      </c>
      <c r="P617" s="27">
        <v>8.5</v>
      </c>
      <c r="Q617" s="27">
        <f>SUM('1. Base de donnée HILIN MU CM2 '!$O617+'1. Base de donnée HILIN MU CM2 '!$P617)/2</f>
        <v>8.75</v>
      </c>
      <c r="R617" s="34">
        <v>15.5</v>
      </c>
      <c r="S617" s="34">
        <v>20.0</v>
      </c>
      <c r="T617" s="34">
        <f>('1. Base de donnée HILIN MU CM2 '!$R617+'1. Base de donnée HILIN MU CM2 '!$S617)/2</f>
        <v>17.75</v>
      </c>
      <c r="U617" s="30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</row>
    <row r="618" ht="14.25" hidden="1" customHeight="1">
      <c r="A618" s="22" t="s">
        <v>1152</v>
      </c>
      <c r="B618" s="22" t="s">
        <v>26</v>
      </c>
      <c r="C618" s="22" t="s">
        <v>1179</v>
      </c>
      <c r="D618" s="22" t="s">
        <v>1180</v>
      </c>
      <c r="E618" s="22" t="s">
        <v>1154</v>
      </c>
      <c r="F618" s="22" t="s">
        <v>1155</v>
      </c>
      <c r="G618" s="23">
        <v>2023.0</v>
      </c>
      <c r="H618" s="23">
        <v>12.0</v>
      </c>
      <c r="I618" s="23">
        <v>640.0</v>
      </c>
      <c r="J618" s="24" t="str">
        <f>'1. Base de donnée HILIN MU CM2 '!$G618&amp;"-"&amp;'1. Base de donnée HILIN MU CM2 '!$H618&amp;"-"&amp;'1. Base de donnée HILIN MU CM2 '!$I618</f>
        <v>2023-12-640</v>
      </c>
      <c r="K618" s="23">
        <f t="shared" si="1"/>
        <v>611</v>
      </c>
      <c r="L618" s="24" t="s">
        <v>31</v>
      </c>
      <c r="M618" s="24"/>
      <c r="N618" s="24"/>
      <c r="O618" s="22">
        <v>9.5</v>
      </c>
      <c r="P618" s="22">
        <v>7.5</v>
      </c>
      <c r="Q618" s="22">
        <f>SUM('1. Base de donnée HILIN MU CM2 '!$O618+'1. Base de donnée HILIN MU CM2 '!$P618)/2</f>
        <v>8.5</v>
      </c>
      <c r="R618" s="33">
        <v>17.5</v>
      </c>
      <c r="S618" s="33">
        <v>17.5</v>
      </c>
      <c r="T618" s="33">
        <f>('1. Base de donnée HILIN MU CM2 '!$R618+'1. Base de donnée HILIN MU CM2 '!$S618)/2</f>
        <v>17.5</v>
      </c>
      <c r="U618" s="25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</row>
    <row r="619" ht="14.25" hidden="1" customHeight="1">
      <c r="A619" s="27" t="s">
        <v>1152</v>
      </c>
      <c r="B619" s="27" t="s">
        <v>26</v>
      </c>
      <c r="C619" s="27" t="s">
        <v>1181</v>
      </c>
      <c r="D619" s="27" t="s">
        <v>1180</v>
      </c>
      <c r="E619" s="27" t="s">
        <v>1154</v>
      </c>
      <c r="F619" s="27" t="s">
        <v>1164</v>
      </c>
      <c r="G619" s="28">
        <v>2023.0</v>
      </c>
      <c r="H619" s="28">
        <v>12.0</v>
      </c>
      <c r="I619" s="28">
        <v>641.0</v>
      </c>
      <c r="J619" s="29" t="str">
        <f>'1. Base de donnée HILIN MU CM2 '!$G619&amp;"-"&amp;'1. Base de donnée HILIN MU CM2 '!$H619&amp;"-"&amp;'1. Base de donnée HILIN MU CM2 '!$I619</f>
        <v>2023-12-641</v>
      </c>
      <c r="K619" s="28">
        <f t="shared" si="1"/>
        <v>612</v>
      </c>
      <c r="L619" s="29" t="s">
        <v>31</v>
      </c>
      <c r="M619" s="29"/>
      <c r="N619" s="29"/>
      <c r="O619" s="27">
        <v>6.5</v>
      </c>
      <c r="P619" s="27">
        <v>2.5</v>
      </c>
      <c r="Q619" s="27">
        <f>SUM('1. Base de donnée HILIN MU CM2 '!$O619+'1. Base de donnée HILIN MU CM2 '!$P619)/2</f>
        <v>4.5</v>
      </c>
      <c r="R619" s="34">
        <v>15.5</v>
      </c>
      <c r="S619" s="34">
        <v>16.5</v>
      </c>
      <c r="T619" s="34">
        <f>('1. Base de donnée HILIN MU CM2 '!$R619+'1. Base de donnée HILIN MU CM2 '!$S619)/2</f>
        <v>16</v>
      </c>
      <c r="U619" s="30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</row>
    <row r="620" ht="14.25" hidden="1" customHeight="1">
      <c r="A620" s="22" t="s">
        <v>1152</v>
      </c>
      <c r="B620" s="22" t="s">
        <v>26</v>
      </c>
      <c r="C620" s="22" t="s">
        <v>1182</v>
      </c>
      <c r="D620" s="22" t="s">
        <v>1183</v>
      </c>
      <c r="E620" s="22" t="s">
        <v>1154</v>
      </c>
      <c r="F620" s="22" t="s">
        <v>1164</v>
      </c>
      <c r="G620" s="23">
        <v>2023.0</v>
      </c>
      <c r="H620" s="23">
        <v>12.0</v>
      </c>
      <c r="I620" s="23">
        <v>642.0</v>
      </c>
      <c r="J620" s="24" t="str">
        <f>'1. Base de donnée HILIN MU CM2 '!$G620&amp;"-"&amp;'1. Base de donnée HILIN MU CM2 '!$H620&amp;"-"&amp;'1. Base de donnée HILIN MU CM2 '!$I620</f>
        <v>2023-12-642</v>
      </c>
      <c r="K620" s="23">
        <f t="shared" si="1"/>
        <v>613</v>
      </c>
      <c r="L620" s="24" t="s">
        <v>31</v>
      </c>
      <c r="M620" s="24"/>
      <c r="N620" s="24"/>
      <c r="O620" s="22">
        <v>11.5</v>
      </c>
      <c r="P620" s="22">
        <v>9.5</v>
      </c>
      <c r="Q620" s="22">
        <f>SUM('1. Base de donnée HILIN MU CM2 '!$O620+'1. Base de donnée HILIN MU CM2 '!$P620)/2</f>
        <v>10.5</v>
      </c>
      <c r="R620" s="33">
        <v>17.0</v>
      </c>
      <c r="S620" s="33">
        <v>11.5</v>
      </c>
      <c r="T620" s="33">
        <f>('1. Base de donnée HILIN MU CM2 '!$R620+'1. Base de donnée HILIN MU CM2 '!$S620)/2</f>
        <v>14.25</v>
      </c>
      <c r="U620" s="25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</row>
    <row r="621" ht="14.25" hidden="1" customHeight="1">
      <c r="A621" s="27" t="s">
        <v>1152</v>
      </c>
      <c r="B621" s="27" t="s">
        <v>26</v>
      </c>
      <c r="C621" s="27" t="s">
        <v>1184</v>
      </c>
      <c r="D621" s="27" t="s">
        <v>1185</v>
      </c>
      <c r="E621" s="27" t="s">
        <v>1154</v>
      </c>
      <c r="F621" s="27" t="s">
        <v>1164</v>
      </c>
      <c r="G621" s="28">
        <v>2023.0</v>
      </c>
      <c r="H621" s="28">
        <v>12.0</v>
      </c>
      <c r="I621" s="28">
        <v>643.0</v>
      </c>
      <c r="J621" s="29" t="str">
        <f>'1. Base de donnée HILIN MU CM2 '!$G621&amp;"-"&amp;'1. Base de donnée HILIN MU CM2 '!$H621&amp;"-"&amp;'1. Base de donnée HILIN MU CM2 '!$I621</f>
        <v>2023-12-643</v>
      </c>
      <c r="K621" s="28">
        <f t="shared" si="1"/>
        <v>614</v>
      </c>
      <c r="L621" s="29" t="s">
        <v>31</v>
      </c>
      <c r="M621" s="29"/>
      <c r="N621" s="29"/>
      <c r="O621" s="27">
        <v>5.5</v>
      </c>
      <c r="P621" s="27">
        <v>4.5</v>
      </c>
      <c r="Q621" s="27">
        <f>SUM('1. Base de donnée HILIN MU CM2 '!$O621+'1. Base de donnée HILIN MU CM2 '!$P621)/2</f>
        <v>5</v>
      </c>
      <c r="R621" s="34">
        <v>17.5</v>
      </c>
      <c r="S621" s="34">
        <v>18.5</v>
      </c>
      <c r="T621" s="34">
        <f>('1. Base de donnée HILIN MU CM2 '!$R621+'1. Base de donnée HILIN MU CM2 '!$S621)/2</f>
        <v>18</v>
      </c>
      <c r="U621" s="30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</row>
    <row r="622" ht="14.25" hidden="1" customHeight="1">
      <c r="A622" s="22" t="s">
        <v>1152</v>
      </c>
      <c r="B622" s="22" t="s">
        <v>26</v>
      </c>
      <c r="C622" s="22" t="s">
        <v>1186</v>
      </c>
      <c r="D622" s="22" t="s">
        <v>1187</v>
      </c>
      <c r="E622" s="22" t="s">
        <v>1154</v>
      </c>
      <c r="F622" s="22" t="s">
        <v>1164</v>
      </c>
      <c r="G622" s="23">
        <v>2023.0</v>
      </c>
      <c r="H622" s="23">
        <v>12.0</v>
      </c>
      <c r="I622" s="23">
        <v>645.0</v>
      </c>
      <c r="J622" s="24" t="str">
        <f>'1. Base de donnée HILIN MU CM2 '!$G622&amp;"-"&amp;'1. Base de donnée HILIN MU CM2 '!$H622&amp;"-"&amp;'1. Base de donnée HILIN MU CM2 '!$I622</f>
        <v>2023-12-645</v>
      </c>
      <c r="K622" s="23">
        <f t="shared" si="1"/>
        <v>615</v>
      </c>
      <c r="L622" s="24" t="s">
        <v>31</v>
      </c>
      <c r="M622" s="24"/>
      <c r="N622" s="24"/>
      <c r="O622" s="22">
        <v>6.0</v>
      </c>
      <c r="P622" s="22">
        <v>7.0</v>
      </c>
      <c r="Q622" s="22">
        <f>SUM('1. Base de donnée HILIN MU CM2 '!$O622+'1. Base de donnée HILIN MU CM2 '!$P622)/2</f>
        <v>6.5</v>
      </c>
      <c r="R622" s="33">
        <v>15.5</v>
      </c>
      <c r="S622" s="33">
        <v>18.5</v>
      </c>
      <c r="T622" s="33">
        <f>('1. Base de donnée HILIN MU CM2 '!$R622+'1. Base de donnée HILIN MU CM2 '!$S622)/2</f>
        <v>17</v>
      </c>
      <c r="U622" s="25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</row>
    <row r="623" ht="14.25" hidden="1" customHeight="1">
      <c r="A623" s="27" t="s">
        <v>1152</v>
      </c>
      <c r="B623" s="27" t="s">
        <v>26</v>
      </c>
      <c r="C623" s="27" t="s">
        <v>1188</v>
      </c>
      <c r="D623" s="27" t="s">
        <v>1030</v>
      </c>
      <c r="E623" s="27" t="s">
        <v>1154</v>
      </c>
      <c r="F623" s="27" t="s">
        <v>1164</v>
      </c>
      <c r="G623" s="28">
        <v>2023.0</v>
      </c>
      <c r="H623" s="28">
        <v>12.0</v>
      </c>
      <c r="I623" s="28">
        <v>646.0</v>
      </c>
      <c r="J623" s="29" t="str">
        <f>'1. Base de donnée HILIN MU CM2 '!$G623&amp;"-"&amp;'1. Base de donnée HILIN MU CM2 '!$H623&amp;"-"&amp;'1. Base de donnée HILIN MU CM2 '!$I623</f>
        <v>2023-12-646</v>
      </c>
      <c r="K623" s="28">
        <f t="shared" si="1"/>
        <v>616</v>
      </c>
      <c r="L623" s="29" t="s">
        <v>31</v>
      </c>
      <c r="M623" s="29"/>
      <c r="N623" s="29"/>
      <c r="O623" s="27">
        <v>6.0</v>
      </c>
      <c r="P623" s="27">
        <v>4.5</v>
      </c>
      <c r="Q623" s="27">
        <f>SUM('1. Base de donnée HILIN MU CM2 '!$O623+'1. Base de donnée HILIN MU CM2 '!$P623)/2</f>
        <v>5.25</v>
      </c>
      <c r="R623" s="34">
        <v>14.0</v>
      </c>
      <c r="S623" s="34">
        <v>15.5</v>
      </c>
      <c r="T623" s="34">
        <f>('1. Base de donnée HILIN MU CM2 '!$R623+'1. Base de donnée HILIN MU CM2 '!$S623)/2</f>
        <v>14.75</v>
      </c>
      <c r="U623" s="30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</row>
    <row r="624" ht="14.25" hidden="1" customHeight="1">
      <c r="A624" s="22" t="s">
        <v>1152</v>
      </c>
      <c r="B624" s="22" t="s">
        <v>26</v>
      </c>
      <c r="C624" s="22" t="s">
        <v>1189</v>
      </c>
      <c r="D624" s="22" t="s">
        <v>1190</v>
      </c>
      <c r="E624" s="22" t="s">
        <v>1154</v>
      </c>
      <c r="F624" s="22" t="s">
        <v>1155</v>
      </c>
      <c r="G624" s="23">
        <v>2023.0</v>
      </c>
      <c r="H624" s="23">
        <v>12.0</v>
      </c>
      <c r="I624" s="23">
        <v>647.0</v>
      </c>
      <c r="J624" s="24" t="str">
        <f>'1. Base de donnée HILIN MU CM2 '!$G624&amp;"-"&amp;'1. Base de donnée HILIN MU CM2 '!$H624&amp;"-"&amp;'1. Base de donnée HILIN MU CM2 '!$I624</f>
        <v>2023-12-647</v>
      </c>
      <c r="K624" s="23">
        <f t="shared" si="1"/>
        <v>617</v>
      </c>
      <c r="L624" s="24" t="s">
        <v>31</v>
      </c>
      <c r="M624" s="24"/>
      <c r="N624" s="24"/>
      <c r="O624" s="22">
        <v>5.0</v>
      </c>
      <c r="P624" s="22">
        <v>5.0</v>
      </c>
      <c r="Q624" s="22">
        <f>SUM('1. Base de donnée HILIN MU CM2 '!$O624+'1. Base de donnée HILIN MU CM2 '!$P624)/2</f>
        <v>5</v>
      </c>
      <c r="R624" s="33">
        <v>15.5</v>
      </c>
      <c r="S624" s="33">
        <v>15.0</v>
      </c>
      <c r="T624" s="33">
        <f>('1. Base de donnée HILIN MU CM2 '!$R624+'1. Base de donnée HILIN MU CM2 '!$S624)/2</f>
        <v>15.25</v>
      </c>
      <c r="U624" s="25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</row>
    <row r="625" ht="14.25" hidden="1" customHeight="1">
      <c r="A625" s="27" t="s">
        <v>1152</v>
      </c>
      <c r="B625" s="27" t="s">
        <v>26</v>
      </c>
      <c r="C625" s="27" t="s">
        <v>1191</v>
      </c>
      <c r="D625" s="27" t="s">
        <v>1192</v>
      </c>
      <c r="E625" s="27" t="s">
        <v>1154</v>
      </c>
      <c r="F625" s="27" t="s">
        <v>1155</v>
      </c>
      <c r="G625" s="28">
        <v>2023.0</v>
      </c>
      <c r="H625" s="28">
        <v>12.0</v>
      </c>
      <c r="I625" s="28">
        <v>648.0</v>
      </c>
      <c r="J625" s="29" t="str">
        <f>'1. Base de donnée HILIN MU CM2 '!$G625&amp;"-"&amp;'1. Base de donnée HILIN MU CM2 '!$H625&amp;"-"&amp;'1. Base de donnée HILIN MU CM2 '!$I625</f>
        <v>2023-12-648</v>
      </c>
      <c r="K625" s="28">
        <f t="shared" si="1"/>
        <v>618</v>
      </c>
      <c r="L625" s="29" t="s">
        <v>31</v>
      </c>
      <c r="M625" s="29"/>
      <c r="N625" s="29"/>
      <c r="O625" s="27">
        <v>9.0</v>
      </c>
      <c r="P625" s="27">
        <v>5.5</v>
      </c>
      <c r="Q625" s="27">
        <f>SUM('1. Base de donnée HILIN MU CM2 '!$O625+'1. Base de donnée HILIN MU CM2 '!$P625)/2</f>
        <v>7.25</v>
      </c>
      <c r="R625" s="34">
        <v>17.0</v>
      </c>
      <c r="S625" s="34">
        <v>16.5</v>
      </c>
      <c r="T625" s="34">
        <f>('1. Base de donnée HILIN MU CM2 '!$R625+'1. Base de donnée HILIN MU CM2 '!$S625)/2</f>
        <v>16.75</v>
      </c>
      <c r="U625" s="30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</row>
    <row r="626" ht="14.25" hidden="1" customHeight="1">
      <c r="A626" s="22" t="s">
        <v>1152</v>
      </c>
      <c r="B626" s="22" t="s">
        <v>26</v>
      </c>
      <c r="C626" s="22" t="s">
        <v>1193</v>
      </c>
      <c r="D626" s="22" t="s">
        <v>1194</v>
      </c>
      <c r="E626" s="22" t="s">
        <v>1154</v>
      </c>
      <c r="F626" s="22" t="s">
        <v>1155</v>
      </c>
      <c r="G626" s="23">
        <v>2023.0</v>
      </c>
      <c r="H626" s="23">
        <v>12.0</v>
      </c>
      <c r="I626" s="23">
        <v>649.0</v>
      </c>
      <c r="J626" s="24" t="str">
        <f>'1. Base de donnée HILIN MU CM2 '!$G626&amp;"-"&amp;'1. Base de donnée HILIN MU CM2 '!$H626&amp;"-"&amp;'1. Base de donnée HILIN MU CM2 '!$I626</f>
        <v>2023-12-649</v>
      </c>
      <c r="K626" s="23">
        <f t="shared" si="1"/>
        <v>619</v>
      </c>
      <c r="L626" s="24" t="s">
        <v>31</v>
      </c>
      <c r="M626" s="24"/>
      <c r="N626" s="24"/>
      <c r="O626" s="22">
        <v>10.5</v>
      </c>
      <c r="P626" s="22">
        <v>7.5</v>
      </c>
      <c r="Q626" s="22">
        <f>SUM('1. Base de donnée HILIN MU CM2 '!$O626+'1. Base de donnée HILIN MU CM2 '!$P626)/2</f>
        <v>9</v>
      </c>
      <c r="R626" s="33">
        <v>18.5</v>
      </c>
      <c r="S626" s="33">
        <v>19.5</v>
      </c>
      <c r="T626" s="33">
        <f>('1. Base de donnée HILIN MU CM2 '!$R626+'1. Base de donnée HILIN MU CM2 '!$S626)/2</f>
        <v>19</v>
      </c>
      <c r="U626" s="25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</row>
    <row r="627" ht="14.25" hidden="1" customHeight="1">
      <c r="A627" s="27" t="s">
        <v>1152</v>
      </c>
      <c r="B627" s="27" t="s">
        <v>26</v>
      </c>
      <c r="C627" s="27" t="s">
        <v>1195</v>
      </c>
      <c r="D627" s="27" t="s">
        <v>1196</v>
      </c>
      <c r="E627" s="27" t="s">
        <v>1154</v>
      </c>
      <c r="F627" s="27" t="s">
        <v>1155</v>
      </c>
      <c r="G627" s="28">
        <v>2023.0</v>
      </c>
      <c r="H627" s="28">
        <v>12.0</v>
      </c>
      <c r="I627" s="28">
        <v>650.0</v>
      </c>
      <c r="J627" s="29" t="str">
        <f>'1. Base de donnée HILIN MU CM2 '!$G627&amp;"-"&amp;'1. Base de donnée HILIN MU CM2 '!$H627&amp;"-"&amp;'1. Base de donnée HILIN MU CM2 '!$I627</f>
        <v>2023-12-650</v>
      </c>
      <c r="K627" s="28">
        <f t="shared" si="1"/>
        <v>620</v>
      </c>
      <c r="L627" s="29" t="s">
        <v>31</v>
      </c>
      <c r="M627" s="29"/>
      <c r="N627" s="29"/>
      <c r="O627" s="27">
        <v>5.5</v>
      </c>
      <c r="P627" s="27">
        <v>2.5</v>
      </c>
      <c r="Q627" s="27">
        <f>SUM('1. Base de donnée HILIN MU CM2 '!$O627+'1. Base de donnée HILIN MU CM2 '!$P627)/2</f>
        <v>4</v>
      </c>
      <c r="R627" s="34">
        <v>17.0</v>
      </c>
      <c r="S627" s="34">
        <v>18.0</v>
      </c>
      <c r="T627" s="34">
        <f>('1. Base de donnée HILIN MU CM2 '!$R627+'1. Base de donnée HILIN MU CM2 '!$S627)/2</f>
        <v>17.5</v>
      </c>
      <c r="U627" s="30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</row>
    <row r="628" ht="14.25" hidden="1" customHeight="1">
      <c r="A628" s="22" t="s">
        <v>1152</v>
      </c>
      <c r="B628" s="22" t="s">
        <v>26</v>
      </c>
      <c r="C628" s="22" t="s">
        <v>1197</v>
      </c>
      <c r="D628" s="22" t="s">
        <v>1198</v>
      </c>
      <c r="E628" s="22" t="s">
        <v>1154</v>
      </c>
      <c r="F628" s="22" t="s">
        <v>1155</v>
      </c>
      <c r="G628" s="23">
        <v>2023.0</v>
      </c>
      <c r="H628" s="23">
        <v>12.0</v>
      </c>
      <c r="I628" s="23">
        <v>651.0</v>
      </c>
      <c r="J628" s="24" t="str">
        <f>'1. Base de donnée HILIN MU CM2 '!$G628&amp;"-"&amp;'1. Base de donnée HILIN MU CM2 '!$H628&amp;"-"&amp;'1. Base de donnée HILIN MU CM2 '!$I628</f>
        <v>2023-12-651</v>
      </c>
      <c r="K628" s="23">
        <f t="shared" si="1"/>
        <v>621</v>
      </c>
      <c r="L628" s="24" t="s">
        <v>31</v>
      </c>
      <c r="M628" s="24"/>
      <c r="N628" s="24"/>
      <c r="O628" s="22">
        <v>11.0</v>
      </c>
      <c r="P628" s="22">
        <v>7.5</v>
      </c>
      <c r="Q628" s="22">
        <f>SUM('1. Base de donnée HILIN MU CM2 '!$O628+'1. Base de donnée HILIN MU CM2 '!$P628)/2</f>
        <v>9.25</v>
      </c>
      <c r="R628" s="33">
        <v>17.5</v>
      </c>
      <c r="S628" s="33">
        <v>16.5</v>
      </c>
      <c r="T628" s="33">
        <f>('1. Base de donnée HILIN MU CM2 '!$R628+'1. Base de donnée HILIN MU CM2 '!$S628)/2</f>
        <v>17</v>
      </c>
      <c r="U628" s="25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</row>
    <row r="629" ht="14.25" hidden="1" customHeight="1">
      <c r="A629" s="27" t="s">
        <v>1152</v>
      </c>
      <c r="B629" s="27" t="s">
        <v>26</v>
      </c>
      <c r="C629" s="27" t="s">
        <v>1199</v>
      </c>
      <c r="D629" s="27" t="s">
        <v>323</v>
      </c>
      <c r="E629" s="27" t="s">
        <v>1154</v>
      </c>
      <c r="F629" s="27" t="s">
        <v>1155</v>
      </c>
      <c r="G629" s="28">
        <v>2023.0</v>
      </c>
      <c r="H629" s="28">
        <v>12.0</v>
      </c>
      <c r="I629" s="28">
        <v>652.0</v>
      </c>
      <c r="J629" s="29" t="str">
        <f>'1. Base de donnée HILIN MU CM2 '!$G629&amp;"-"&amp;'1. Base de donnée HILIN MU CM2 '!$H629&amp;"-"&amp;'1. Base de donnée HILIN MU CM2 '!$I629</f>
        <v>2023-12-652</v>
      </c>
      <c r="K629" s="28">
        <f t="shared" si="1"/>
        <v>622</v>
      </c>
      <c r="L629" s="29" t="s">
        <v>31</v>
      </c>
      <c r="M629" s="29"/>
      <c r="N629" s="29"/>
      <c r="O629" s="27">
        <v>6.0</v>
      </c>
      <c r="P629" s="27">
        <v>5.5</v>
      </c>
      <c r="Q629" s="27">
        <f>SUM('1. Base de donnée HILIN MU CM2 '!$O629+'1. Base de donnée HILIN MU CM2 '!$P629)/2</f>
        <v>5.75</v>
      </c>
      <c r="R629" s="34">
        <v>15.5</v>
      </c>
      <c r="S629" s="34">
        <v>13.0</v>
      </c>
      <c r="T629" s="34">
        <f>('1. Base de donnée HILIN MU CM2 '!$R629+'1. Base de donnée HILIN MU CM2 '!$S629)/2</f>
        <v>14.25</v>
      </c>
      <c r="U629" s="30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</row>
    <row r="630" ht="14.25" hidden="1" customHeight="1">
      <c r="A630" s="22" t="s">
        <v>1152</v>
      </c>
      <c r="B630" s="22" t="s">
        <v>26</v>
      </c>
      <c r="C630" s="22" t="s">
        <v>1200</v>
      </c>
      <c r="D630" s="22" t="s">
        <v>1201</v>
      </c>
      <c r="E630" s="22" t="s">
        <v>1154</v>
      </c>
      <c r="F630" s="22" t="s">
        <v>1164</v>
      </c>
      <c r="G630" s="23">
        <v>2023.0</v>
      </c>
      <c r="H630" s="23">
        <v>12.0</v>
      </c>
      <c r="I630" s="23">
        <v>654.0</v>
      </c>
      <c r="J630" s="24" t="str">
        <f>'1. Base de donnée HILIN MU CM2 '!$G630&amp;"-"&amp;'1. Base de donnée HILIN MU CM2 '!$H630&amp;"-"&amp;'1. Base de donnée HILIN MU CM2 '!$I630</f>
        <v>2023-12-654</v>
      </c>
      <c r="K630" s="23">
        <f t="shared" si="1"/>
        <v>623</v>
      </c>
      <c r="L630" s="24" t="s">
        <v>31</v>
      </c>
      <c r="M630" s="24"/>
      <c r="N630" s="24"/>
      <c r="O630" s="22">
        <v>2.5</v>
      </c>
      <c r="P630" s="22">
        <v>4.0</v>
      </c>
      <c r="Q630" s="22">
        <f>SUM('1. Base de donnée HILIN MU CM2 '!$O630+'1. Base de donnée HILIN MU CM2 '!$P630)/2</f>
        <v>3.25</v>
      </c>
      <c r="R630" s="33">
        <v>15.5</v>
      </c>
      <c r="S630" s="33">
        <v>16.5</v>
      </c>
      <c r="T630" s="33">
        <f>('1. Base de donnée HILIN MU CM2 '!$R630+'1. Base de donnée HILIN MU CM2 '!$S630)/2</f>
        <v>16</v>
      </c>
      <c r="U630" s="25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</row>
    <row r="631" ht="14.25" hidden="1" customHeight="1">
      <c r="A631" s="27" t="s">
        <v>1152</v>
      </c>
      <c r="B631" s="27" t="s">
        <v>26</v>
      </c>
      <c r="C631" s="27" t="s">
        <v>1202</v>
      </c>
      <c r="D631" s="27" t="s">
        <v>303</v>
      </c>
      <c r="E631" s="27" t="s">
        <v>1154</v>
      </c>
      <c r="F631" s="27" t="s">
        <v>1164</v>
      </c>
      <c r="G631" s="28">
        <v>2023.0</v>
      </c>
      <c r="H631" s="28">
        <v>12.0</v>
      </c>
      <c r="I631" s="28">
        <v>906.0</v>
      </c>
      <c r="J631" s="29" t="str">
        <f>'1. Base de donnée HILIN MU CM2 '!$G631&amp;"-"&amp;'1. Base de donnée HILIN MU CM2 '!$H631&amp;"-"&amp;'1. Base de donnée HILIN MU CM2 '!$I631</f>
        <v>2023-12-906</v>
      </c>
      <c r="K631" s="28">
        <f t="shared" si="1"/>
        <v>624</v>
      </c>
      <c r="L631" s="29" t="s">
        <v>31</v>
      </c>
      <c r="M631" s="29"/>
      <c r="N631" s="29"/>
      <c r="O631" s="27">
        <v>5.0</v>
      </c>
      <c r="P631" s="27">
        <v>3.5</v>
      </c>
      <c r="Q631" s="27">
        <f>SUM('1. Base de donnée HILIN MU CM2 '!$O631+'1. Base de donnée HILIN MU CM2 '!$P631)/2</f>
        <v>4.25</v>
      </c>
      <c r="R631" s="34">
        <v>16.0</v>
      </c>
      <c r="S631" s="34">
        <v>11.5</v>
      </c>
      <c r="T631" s="40">
        <f>('1. Base de donnée HILIN MU CM2 '!$R631+'1. Base de donnée HILIN MU CM2 '!$S631)/2</f>
        <v>13.75</v>
      </c>
      <c r="U631" s="30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</row>
    <row r="632" ht="14.25" hidden="1" customHeight="1">
      <c r="A632" s="22" t="s">
        <v>1152</v>
      </c>
      <c r="B632" s="22" t="s">
        <v>26</v>
      </c>
      <c r="C632" s="22" t="s">
        <v>1203</v>
      </c>
      <c r="D632" s="22" t="s">
        <v>476</v>
      </c>
      <c r="E632" s="22" t="s">
        <v>1154</v>
      </c>
      <c r="F632" s="22"/>
      <c r="G632" s="23">
        <v>2023.0</v>
      </c>
      <c r="H632" s="23">
        <v>12.0</v>
      </c>
      <c r="I632" s="23">
        <v>909.0</v>
      </c>
      <c r="J632" s="24" t="str">
        <f>'1. Base de donnée HILIN MU CM2 '!$G632&amp;"-"&amp;'1. Base de donnée HILIN MU CM2 '!$H632&amp;"-"&amp;'1. Base de donnée HILIN MU CM2 '!$I632</f>
        <v>2023-12-909</v>
      </c>
      <c r="K632" s="23">
        <f t="shared" si="1"/>
        <v>625</v>
      </c>
      <c r="L632" s="24" t="s">
        <v>31</v>
      </c>
      <c r="M632" s="24" t="s">
        <v>571</v>
      </c>
      <c r="N632" s="24" t="s">
        <v>1204</v>
      </c>
      <c r="O632" s="22"/>
      <c r="P632" s="22"/>
      <c r="Q632" s="22">
        <f>SUM('1. Base de donnée HILIN MU CM2 '!$O632+'1. Base de donnée HILIN MU CM2 '!$P632)/2</f>
        <v>0</v>
      </c>
      <c r="R632" s="22"/>
      <c r="S632" s="22"/>
      <c r="T632" s="32">
        <f>('1. Base de donnée HILIN MU CM2 '!$R632+'1. Base de donnée HILIN MU CM2 '!$S632)/2</f>
        <v>0</v>
      </c>
      <c r="U632" s="25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</row>
    <row r="633" ht="14.25" customHeight="1">
      <c r="A633" s="27" t="s">
        <v>1205</v>
      </c>
      <c r="B633" s="27" t="s">
        <v>121</v>
      </c>
      <c r="C633" s="27" t="s">
        <v>1206</v>
      </c>
      <c r="D633" s="27" t="s">
        <v>1207</v>
      </c>
      <c r="E633" s="27" t="s">
        <v>1208</v>
      </c>
      <c r="F633" s="27" t="s">
        <v>1209</v>
      </c>
      <c r="G633" s="28">
        <v>2023.0</v>
      </c>
      <c r="H633" s="28">
        <v>79.0</v>
      </c>
      <c r="I633" s="28">
        <v>655.0</v>
      </c>
      <c r="J633" s="29" t="str">
        <f>'1. Base de donnée HILIN MU CM2 '!$G633&amp;"-"&amp;'1. Base de donnée HILIN MU CM2 '!$H633&amp;"-"&amp;'1. Base de donnée HILIN MU CM2 '!$I633</f>
        <v>2023-79-655</v>
      </c>
      <c r="K633" s="28">
        <f t="shared" si="1"/>
        <v>626</v>
      </c>
      <c r="L633" s="29" t="s">
        <v>31</v>
      </c>
      <c r="M633" s="29"/>
      <c r="N633" s="29"/>
      <c r="O633" s="34">
        <v>3.5</v>
      </c>
      <c r="P633" s="34">
        <v>7.0</v>
      </c>
      <c r="Q633" s="27">
        <f>SUM('1. Base de donnée HILIN MU CM2 '!$O633+'1. Base de donnée HILIN MU CM2 '!$P633)/2</f>
        <v>5.25</v>
      </c>
      <c r="R633" s="27">
        <v>13.5</v>
      </c>
      <c r="S633" s="27">
        <v>12.0</v>
      </c>
      <c r="T633" s="27">
        <f>('1. Base de donnée HILIN MU CM2 '!$R633+'1. Base de donnée HILIN MU CM2 '!$S633)/2</f>
        <v>12.75</v>
      </c>
      <c r="U633" s="30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</row>
    <row r="634" ht="14.25" customHeight="1">
      <c r="A634" s="22" t="s">
        <v>1205</v>
      </c>
      <c r="B634" s="22" t="s">
        <v>121</v>
      </c>
      <c r="C634" s="22" t="s">
        <v>1210</v>
      </c>
      <c r="D634" s="22" t="s">
        <v>1211</v>
      </c>
      <c r="E634" s="22" t="s">
        <v>1208</v>
      </c>
      <c r="F634" s="22" t="s">
        <v>1209</v>
      </c>
      <c r="G634" s="23">
        <v>2023.0</v>
      </c>
      <c r="H634" s="23">
        <v>79.0</v>
      </c>
      <c r="I634" s="23">
        <v>656.0</v>
      </c>
      <c r="J634" s="24" t="str">
        <f>'1. Base de donnée HILIN MU CM2 '!$G634&amp;"-"&amp;'1. Base de donnée HILIN MU CM2 '!$H634&amp;"-"&amp;'1. Base de donnée HILIN MU CM2 '!$I634</f>
        <v>2023-79-656</v>
      </c>
      <c r="K634" s="23">
        <f t="shared" si="1"/>
        <v>627</v>
      </c>
      <c r="L634" s="24" t="s">
        <v>31</v>
      </c>
      <c r="M634" s="24"/>
      <c r="N634" s="24"/>
      <c r="O634" s="33">
        <v>0.5</v>
      </c>
      <c r="P634" s="33">
        <v>2.0</v>
      </c>
      <c r="Q634" s="22">
        <f>SUM('1. Base de donnée HILIN MU CM2 '!$O634+'1. Base de donnée HILIN MU CM2 '!$P634)/2</f>
        <v>1.25</v>
      </c>
      <c r="R634" s="22">
        <v>17.0</v>
      </c>
      <c r="S634" s="22">
        <v>11.0</v>
      </c>
      <c r="T634" s="22">
        <f>('1. Base de donnée HILIN MU CM2 '!$R634+'1. Base de donnée HILIN MU CM2 '!$S634)/2</f>
        <v>14</v>
      </c>
      <c r="U634" s="25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</row>
    <row r="635" ht="14.25" customHeight="1">
      <c r="A635" s="27" t="s">
        <v>1205</v>
      </c>
      <c r="B635" s="27" t="s">
        <v>121</v>
      </c>
      <c r="C635" s="27" t="s">
        <v>1212</v>
      </c>
      <c r="D635" s="27" t="s">
        <v>1213</v>
      </c>
      <c r="E635" s="27" t="s">
        <v>1214</v>
      </c>
      <c r="F635" s="27" t="s">
        <v>1215</v>
      </c>
      <c r="G635" s="28">
        <v>2023.0</v>
      </c>
      <c r="H635" s="28">
        <v>79.0</v>
      </c>
      <c r="I635" s="28">
        <v>657.0</v>
      </c>
      <c r="J635" s="29" t="str">
        <f>'1. Base de donnée HILIN MU CM2 '!$G635&amp;"-"&amp;'1. Base de donnée HILIN MU CM2 '!$H635&amp;"-"&amp;'1. Base de donnée HILIN MU CM2 '!$I635</f>
        <v>2023-79-657</v>
      </c>
      <c r="K635" s="28">
        <f t="shared" si="1"/>
        <v>628</v>
      </c>
      <c r="L635" s="29" t="s">
        <v>31</v>
      </c>
      <c r="M635" s="29"/>
      <c r="N635" s="29"/>
      <c r="O635" s="34">
        <v>3.0</v>
      </c>
      <c r="P635" s="34">
        <v>1.0</v>
      </c>
      <c r="Q635" s="27">
        <f>SUM('1. Base de donnée HILIN MU CM2 '!$O635+'1. Base de donnée HILIN MU CM2 '!$P635)/2</f>
        <v>2</v>
      </c>
      <c r="R635" s="27">
        <v>13.0</v>
      </c>
      <c r="S635" s="27">
        <v>15.0</v>
      </c>
      <c r="T635" s="27">
        <f>('1. Base de donnée HILIN MU CM2 '!$R635+'1. Base de donnée HILIN MU CM2 '!$S635)/2</f>
        <v>14</v>
      </c>
      <c r="U635" s="30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</row>
    <row r="636" ht="14.25" customHeight="1">
      <c r="A636" s="22" t="s">
        <v>1205</v>
      </c>
      <c r="B636" s="22" t="s">
        <v>121</v>
      </c>
      <c r="C636" s="22" t="s">
        <v>1216</v>
      </c>
      <c r="D636" s="22" t="s">
        <v>1217</v>
      </c>
      <c r="E636" s="22" t="s">
        <v>1218</v>
      </c>
      <c r="F636" s="22" t="s">
        <v>1215</v>
      </c>
      <c r="G636" s="23">
        <v>2023.0</v>
      </c>
      <c r="H636" s="23">
        <v>79.0</v>
      </c>
      <c r="I636" s="23">
        <v>658.0</v>
      </c>
      <c r="J636" s="24" t="str">
        <f>'1. Base de donnée HILIN MU CM2 '!$G636&amp;"-"&amp;'1. Base de donnée HILIN MU CM2 '!$H636&amp;"-"&amp;'1. Base de donnée HILIN MU CM2 '!$I636</f>
        <v>2023-79-658</v>
      </c>
      <c r="K636" s="23">
        <f t="shared" si="1"/>
        <v>629</v>
      </c>
      <c r="L636" s="24" t="s">
        <v>31</v>
      </c>
      <c r="M636" s="24"/>
      <c r="N636" s="24"/>
      <c r="O636" s="33">
        <v>3.5</v>
      </c>
      <c r="P636" s="33">
        <v>4.5</v>
      </c>
      <c r="Q636" s="22">
        <f>SUM('1. Base de donnée HILIN MU CM2 '!$O636+'1. Base de donnée HILIN MU CM2 '!$P636)/2</f>
        <v>4</v>
      </c>
      <c r="R636" s="22">
        <v>19.0</v>
      </c>
      <c r="S636" s="22">
        <v>18.5</v>
      </c>
      <c r="T636" s="22">
        <f>('1. Base de donnée HILIN MU CM2 '!$R636+'1. Base de donnée HILIN MU CM2 '!$S636)/2</f>
        <v>18.75</v>
      </c>
      <c r="U636" s="25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</row>
    <row r="637" ht="14.25" customHeight="1">
      <c r="A637" s="27" t="s">
        <v>1205</v>
      </c>
      <c r="B637" s="27" t="s">
        <v>121</v>
      </c>
      <c r="C637" s="27" t="s">
        <v>1219</v>
      </c>
      <c r="D637" s="27" t="s">
        <v>346</v>
      </c>
      <c r="E637" s="27" t="s">
        <v>1220</v>
      </c>
      <c r="F637" s="27" t="s">
        <v>1209</v>
      </c>
      <c r="G637" s="28">
        <v>2023.0</v>
      </c>
      <c r="H637" s="28">
        <v>79.0</v>
      </c>
      <c r="I637" s="28">
        <v>659.0</v>
      </c>
      <c r="J637" s="29" t="str">
        <f>'1. Base de donnée HILIN MU CM2 '!$G637&amp;"-"&amp;'1. Base de donnée HILIN MU CM2 '!$H637&amp;"-"&amp;'1. Base de donnée HILIN MU CM2 '!$I637</f>
        <v>2023-79-659</v>
      </c>
      <c r="K637" s="28">
        <f t="shared" si="1"/>
        <v>630</v>
      </c>
      <c r="L637" s="29" t="s">
        <v>31</v>
      </c>
      <c r="M637" s="29"/>
      <c r="N637" s="29"/>
      <c r="O637" s="34">
        <v>3.5</v>
      </c>
      <c r="P637" s="34">
        <v>0.5</v>
      </c>
      <c r="Q637" s="27">
        <f>SUM('1. Base de donnée HILIN MU CM2 '!$O637+'1. Base de donnée HILIN MU CM2 '!$P637)/2</f>
        <v>2</v>
      </c>
      <c r="R637" s="27">
        <v>17.0</v>
      </c>
      <c r="S637" s="27">
        <v>16.0</v>
      </c>
      <c r="T637" s="27">
        <f>('1. Base de donnée HILIN MU CM2 '!$R637+'1. Base de donnée HILIN MU CM2 '!$S637)/2</f>
        <v>16.5</v>
      </c>
      <c r="U637" s="30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</row>
    <row r="638" ht="14.25" customHeight="1">
      <c r="A638" s="22" t="s">
        <v>1205</v>
      </c>
      <c r="B638" s="22" t="s">
        <v>121</v>
      </c>
      <c r="C638" s="22" t="s">
        <v>1221</v>
      </c>
      <c r="D638" s="22" t="s">
        <v>1222</v>
      </c>
      <c r="E638" s="22" t="s">
        <v>1208</v>
      </c>
      <c r="F638" s="22" t="s">
        <v>1215</v>
      </c>
      <c r="G638" s="23">
        <v>2023.0</v>
      </c>
      <c r="H638" s="23">
        <v>79.0</v>
      </c>
      <c r="I638" s="23">
        <v>660.0</v>
      </c>
      <c r="J638" s="24" t="str">
        <f>'1. Base de donnée HILIN MU CM2 '!$G638&amp;"-"&amp;'1. Base de donnée HILIN MU CM2 '!$H638&amp;"-"&amp;'1. Base de donnée HILIN MU CM2 '!$I638</f>
        <v>2023-79-660</v>
      </c>
      <c r="K638" s="23">
        <f t="shared" si="1"/>
        <v>631</v>
      </c>
      <c r="L638" s="24" t="s">
        <v>31</v>
      </c>
      <c r="M638" s="24"/>
      <c r="N638" s="24"/>
      <c r="O638" s="33">
        <v>0.5</v>
      </c>
      <c r="P638" s="33">
        <v>0.0</v>
      </c>
      <c r="Q638" s="22">
        <f>SUM('1. Base de donnée HILIN MU CM2 '!$O638+'1. Base de donnée HILIN MU CM2 '!$P638)/2</f>
        <v>0.25</v>
      </c>
      <c r="R638" s="22">
        <v>11.0</v>
      </c>
      <c r="S638" s="22">
        <v>14.0</v>
      </c>
      <c r="T638" s="22">
        <f>('1. Base de donnée HILIN MU CM2 '!$R638+'1. Base de donnée HILIN MU CM2 '!$S638)/2</f>
        <v>12.5</v>
      </c>
      <c r="U638" s="25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</row>
    <row r="639" ht="14.25" customHeight="1">
      <c r="A639" s="27" t="s">
        <v>1205</v>
      </c>
      <c r="B639" s="27" t="s">
        <v>121</v>
      </c>
      <c r="C639" s="27" t="s">
        <v>1223</v>
      </c>
      <c r="D639" s="27" t="s">
        <v>1224</v>
      </c>
      <c r="E639" s="27" t="s">
        <v>1225</v>
      </c>
      <c r="F639" s="27" t="s">
        <v>1215</v>
      </c>
      <c r="G639" s="28">
        <v>2023.0</v>
      </c>
      <c r="H639" s="28">
        <v>79.0</v>
      </c>
      <c r="I639" s="28">
        <v>661.0</v>
      </c>
      <c r="J639" s="29" t="str">
        <f>'1. Base de donnée HILIN MU CM2 '!$G639&amp;"-"&amp;'1. Base de donnée HILIN MU CM2 '!$H639&amp;"-"&amp;'1. Base de donnée HILIN MU CM2 '!$I639</f>
        <v>2023-79-661</v>
      </c>
      <c r="K639" s="28">
        <f t="shared" si="1"/>
        <v>632</v>
      </c>
      <c r="L639" s="29" t="s">
        <v>31</v>
      </c>
      <c r="M639" s="29"/>
      <c r="N639" s="29"/>
      <c r="O639" s="34">
        <v>3.5</v>
      </c>
      <c r="P639" s="34">
        <v>2.5</v>
      </c>
      <c r="Q639" s="27">
        <f>SUM('1. Base de donnée HILIN MU CM2 '!$O639+'1. Base de donnée HILIN MU CM2 '!$P639)/2</f>
        <v>3</v>
      </c>
      <c r="R639" s="27">
        <v>11.0</v>
      </c>
      <c r="S639" s="27">
        <v>16.0</v>
      </c>
      <c r="T639" s="27">
        <f>('1. Base de donnée HILIN MU CM2 '!$R639+'1. Base de donnée HILIN MU CM2 '!$S639)/2</f>
        <v>13.5</v>
      </c>
      <c r="U639" s="30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</row>
    <row r="640" ht="14.25" customHeight="1">
      <c r="A640" s="22" t="s">
        <v>1205</v>
      </c>
      <c r="B640" s="22" t="s">
        <v>121</v>
      </c>
      <c r="C640" s="22" t="s">
        <v>1226</v>
      </c>
      <c r="D640" s="22" t="s">
        <v>1227</v>
      </c>
      <c r="E640" s="22" t="s">
        <v>1228</v>
      </c>
      <c r="F640" s="22" t="s">
        <v>1209</v>
      </c>
      <c r="G640" s="23">
        <v>2023.0</v>
      </c>
      <c r="H640" s="23">
        <v>79.0</v>
      </c>
      <c r="I640" s="23">
        <v>662.0</v>
      </c>
      <c r="J640" s="24" t="str">
        <f>'1. Base de donnée HILIN MU CM2 '!$G640&amp;"-"&amp;'1. Base de donnée HILIN MU CM2 '!$H640&amp;"-"&amp;'1. Base de donnée HILIN MU CM2 '!$I640</f>
        <v>2023-79-662</v>
      </c>
      <c r="K640" s="23">
        <f t="shared" si="1"/>
        <v>633</v>
      </c>
      <c r="L640" s="24" t="s">
        <v>31</v>
      </c>
      <c r="M640" s="24"/>
      <c r="N640" s="24"/>
      <c r="O640" s="33">
        <v>0.5</v>
      </c>
      <c r="P640" s="33">
        <v>3.0</v>
      </c>
      <c r="Q640" s="22">
        <f>SUM('1. Base de donnée HILIN MU CM2 '!$O640+'1. Base de donnée HILIN MU CM2 '!$P640)/2</f>
        <v>1.75</v>
      </c>
      <c r="R640" s="22">
        <v>13.0</v>
      </c>
      <c r="S640" s="22">
        <v>14.0</v>
      </c>
      <c r="T640" s="22">
        <f>('1. Base de donnée HILIN MU CM2 '!$R640+'1. Base de donnée HILIN MU CM2 '!$S640)/2</f>
        <v>13.5</v>
      </c>
      <c r="U640" s="25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</row>
    <row r="641" ht="14.25" customHeight="1">
      <c r="A641" s="27" t="s">
        <v>1205</v>
      </c>
      <c r="B641" s="27" t="s">
        <v>121</v>
      </c>
      <c r="C641" s="27" t="s">
        <v>1229</v>
      </c>
      <c r="D641" s="27" t="s">
        <v>1230</v>
      </c>
      <c r="E641" s="27" t="s">
        <v>1208</v>
      </c>
      <c r="F641" s="27" t="s">
        <v>1215</v>
      </c>
      <c r="G641" s="28">
        <v>2023.0</v>
      </c>
      <c r="H641" s="28">
        <v>79.0</v>
      </c>
      <c r="I641" s="28">
        <v>663.0</v>
      </c>
      <c r="J641" s="29" t="str">
        <f>'1. Base de donnée HILIN MU CM2 '!$G641&amp;"-"&amp;'1. Base de donnée HILIN MU CM2 '!$H641&amp;"-"&amp;'1. Base de donnée HILIN MU CM2 '!$I641</f>
        <v>2023-79-663</v>
      </c>
      <c r="K641" s="28">
        <f t="shared" si="1"/>
        <v>634</v>
      </c>
      <c r="L641" s="29" t="s">
        <v>31</v>
      </c>
      <c r="M641" s="29"/>
      <c r="N641" s="29"/>
      <c r="O641" s="34">
        <v>1.5</v>
      </c>
      <c r="P641" s="34">
        <v>3.0</v>
      </c>
      <c r="Q641" s="27">
        <f>SUM('1. Base de donnée HILIN MU CM2 '!$O641+'1. Base de donnée HILIN MU CM2 '!$P641)/2</f>
        <v>2.25</v>
      </c>
      <c r="R641" s="27">
        <v>14.5</v>
      </c>
      <c r="S641" s="27">
        <v>12.0</v>
      </c>
      <c r="T641" s="27">
        <f>('1. Base de donnée HILIN MU CM2 '!$R641+'1. Base de donnée HILIN MU CM2 '!$S641)/2</f>
        <v>13.25</v>
      </c>
      <c r="U641" s="30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</row>
    <row r="642" ht="14.25" customHeight="1">
      <c r="A642" s="22" t="s">
        <v>1205</v>
      </c>
      <c r="B642" s="22" t="s">
        <v>121</v>
      </c>
      <c r="C642" s="22" t="s">
        <v>1231</v>
      </c>
      <c r="D642" s="22" t="s">
        <v>1230</v>
      </c>
      <c r="E642" s="22" t="s">
        <v>1208</v>
      </c>
      <c r="F642" s="22" t="s">
        <v>1209</v>
      </c>
      <c r="G642" s="23">
        <v>2023.0</v>
      </c>
      <c r="H642" s="23">
        <v>79.0</v>
      </c>
      <c r="I642" s="23">
        <v>664.0</v>
      </c>
      <c r="J642" s="24" t="str">
        <f>'1. Base de donnée HILIN MU CM2 '!$G642&amp;"-"&amp;'1. Base de donnée HILIN MU CM2 '!$H642&amp;"-"&amp;'1. Base de donnée HILIN MU CM2 '!$I642</f>
        <v>2023-79-664</v>
      </c>
      <c r="K642" s="23">
        <f t="shared" si="1"/>
        <v>635</v>
      </c>
      <c r="L642" s="24" t="s">
        <v>31</v>
      </c>
      <c r="M642" s="24"/>
      <c r="N642" s="24"/>
      <c r="O642" s="33">
        <v>2.0</v>
      </c>
      <c r="P642" s="33">
        <v>3.0</v>
      </c>
      <c r="Q642" s="22">
        <f>SUM('1. Base de donnée HILIN MU CM2 '!$O642+'1. Base de donnée HILIN MU CM2 '!$P642)/2</f>
        <v>2.5</v>
      </c>
      <c r="R642" s="22">
        <v>15.0</v>
      </c>
      <c r="S642" s="22">
        <v>18.0</v>
      </c>
      <c r="T642" s="22">
        <f>('1. Base de donnée HILIN MU CM2 '!$R642+'1. Base de donnée HILIN MU CM2 '!$S642)/2</f>
        <v>16.5</v>
      </c>
      <c r="U642" s="25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</row>
    <row r="643" ht="14.25" customHeight="1">
      <c r="A643" s="27" t="s">
        <v>1205</v>
      </c>
      <c r="B643" s="27" t="s">
        <v>121</v>
      </c>
      <c r="C643" s="27" t="s">
        <v>1232</v>
      </c>
      <c r="D643" s="27" t="s">
        <v>1233</v>
      </c>
      <c r="E643" s="27" t="s">
        <v>1234</v>
      </c>
      <c r="F643" s="27" t="s">
        <v>1209</v>
      </c>
      <c r="G643" s="28">
        <v>2023.0</v>
      </c>
      <c r="H643" s="28">
        <v>79.0</v>
      </c>
      <c r="I643" s="28">
        <v>665.0</v>
      </c>
      <c r="J643" s="29" t="str">
        <f>'1. Base de donnée HILIN MU CM2 '!$G643&amp;"-"&amp;'1. Base de donnée HILIN MU CM2 '!$H643&amp;"-"&amp;'1. Base de donnée HILIN MU CM2 '!$I643</f>
        <v>2023-79-665</v>
      </c>
      <c r="K643" s="28">
        <f t="shared" si="1"/>
        <v>636</v>
      </c>
      <c r="L643" s="29" t="s">
        <v>31</v>
      </c>
      <c r="M643" s="29"/>
      <c r="N643" s="29"/>
      <c r="O643" s="34">
        <v>7.0</v>
      </c>
      <c r="P643" s="34">
        <v>4.5</v>
      </c>
      <c r="Q643" s="27">
        <f>SUM('1. Base de donnée HILIN MU CM2 '!$O643+'1. Base de donnée HILIN MU CM2 '!$P643)/2</f>
        <v>5.75</v>
      </c>
      <c r="R643" s="27">
        <v>18.5</v>
      </c>
      <c r="S643" s="27">
        <v>15.5</v>
      </c>
      <c r="T643" s="27">
        <f>('1. Base de donnée HILIN MU CM2 '!$R643+'1. Base de donnée HILIN MU CM2 '!$S643)/2</f>
        <v>17</v>
      </c>
      <c r="U643" s="30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</row>
    <row r="644" ht="14.25" customHeight="1">
      <c r="A644" s="22" t="s">
        <v>1205</v>
      </c>
      <c r="B644" s="22" t="s">
        <v>121</v>
      </c>
      <c r="C644" s="22" t="s">
        <v>1235</v>
      </c>
      <c r="D644" s="22" t="s">
        <v>1236</v>
      </c>
      <c r="E644" s="22" t="s">
        <v>1228</v>
      </c>
      <c r="F644" s="22" t="s">
        <v>1209</v>
      </c>
      <c r="G644" s="23">
        <v>2023.0</v>
      </c>
      <c r="H644" s="23">
        <v>79.0</v>
      </c>
      <c r="I644" s="23">
        <v>666.0</v>
      </c>
      <c r="J644" s="24" t="str">
        <f>'1. Base de donnée HILIN MU CM2 '!$G644&amp;"-"&amp;'1. Base de donnée HILIN MU CM2 '!$H644&amp;"-"&amp;'1. Base de donnée HILIN MU CM2 '!$I644</f>
        <v>2023-79-666</v>
      </c>
      <c r="K644" s="23">
        <f t="shared" si="1"/>
        <v>637</v>
      </c>
      <c r="L644" s="24" t="s">
        <v>31</v>
      </c>
      <c r="M644" s="24"/>
      <c r="N644" s="24"/>
      <c r="O644" s="33">
        <v>9.0</v>
      </c>
      <c r="P644" s="33">
        <v>3.0</v>
      </c>
      <c r="Q644" s="22">
        <f>SUM('1. Base de donnée HILIN MU CM2 '!$O644+'1. Base de donnée HILIN MU CM2 '!$P644)/2</f>
        <v>6</v>
      </c>
      <c r="R644" s="22">
        <v>20.0</v>
      </c>
      <c r="S644" s="22">
        <v>19.5</v>
      </c>
      <c r="T644" s="22">
        <f>('1. Base de donnée HILIN MU CM2 '!$R644+'1. Base de donnée HILIN MU CM2 '!$S644)/2</f>
        <v>19.75</v>
      </c>
      <c r="U644" s="25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</row>
    <row r="645" ht="14.25" customHeight="1">
      <c r="A645" s="27" t="s">
        <v>1205</v>
      </c>
      <c r="B645" s="27" t="s">
        <v>121</v>
      </c>
      <c r="C645" s="27" t="s">
        <v>1237</v>
      </c>
      <c r="D645" s="27" t="s">
        <v>1238</v>
      </c>
      <c r="E645" s="27" t="s">
        <v>1228</v>
      </c>
      <c r="F645" s="27" t="s">
        <v>1215</v>
      </c>
      <c r="G645" s="28">
        <v>2023.0</v>
      </c>
      <c r="H645" s="28">
        <v>79.0</v>
      </c>
      <c r="I645" s="28">
        <v>667.0</v>
      </c>
      <c r="J645" s="29" t="str">
        <f>'1. Base de donnée HILIN MU CM2 '!$G645&amp;"-"&amp;'1. Base de donnée HILIN MU CM2 '!$H645&amp;"-"&amp;'1. Base de donnée HILIN MU CM2 '!$I645</f>
        <v>2023-79-667</v>
      </c>
      <c r="K645" s="28">
        <f t="shared" si="1"/>
        <v>638</v>
      </c>
      <c r="L645" s="29" t="s">
        <v>31</v>
      </c>
      <c r="M645" s="29"/>
      <c r="N645" s="29"/>
      <c r="O645" s="34">
        <v>3.0</v>
      </c>
      <c r="P645" s="34">
        <v>4.5</v>
      </c>
      <c r="Q645" s="27">
        <f>SUM('1. Base de donnée HILIN MU CM2 '!$O645+'1. Base de donnée HILIN MU CM2 '!$P645)/2</f>
        <v>3.75</v>
      </c>
      <c r="R645" s="27">
        <v>17.5</v>
      </c>
      <c r="S645" s="27">
        <v>12.5</v>
      </c>
      <c r="T645" s="27">
        <f>('1. Base de donnée HILIN MU CM2 '!$R645+'1. Base de donnée HILIN MU CM2 '!$S645)/2</f>
        <v>15</v>
      </c>
      <c r="U645" s="30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</row>
    <row r="646" ht="14.25" customHeight="1">
      <c r="A646" s="22" t="s">
        <v>1205</v>
      </c>
      <c r="B646" s="22" t="s">
        <v>121</v>
      </c>
      <c r="C646" s="22" t="s">
        <v>1239</v>
      </c>
      <c r="D646" s="22" t="s">
        <v>1240</v>
      </c>
      <c r="E646" s="22" t="s">
        <v>1228</v>
      </c>
      <c r="F646" s="22" t="s">
        <v>1209</v>
      </c>
      <c r="G646" s="23">
        <v>2023.0</v>
      </c>
      <c r="H646" s="23">
        <v>79.0</v>
      </c>
      <c r="I646" s="23">
        <v>668.0</v>
      </c>
      <c r="J646" s="24" t="str">
        <f>'1. Base de donnée HILIN MU CM2 '!$G646&amp;"-"&amp;'1. Base de donnée HILIN MU CM2 '!$H646&amp;"-"&amp;'1. Base de donnée HILIN MU CM2 '!$I646</f>
        <v>2023-79-668</v>
      </c>
      <c r="K646" s="23">
        <f t="shared" si="1"/>
        <v>639</v>
      </c>
      <c r="L646" s="24" t="s">
        <v>31</v>
      </c>
      <c r="M646" s="24"/>
      <c r="N646" s="24"/>
      <c r="O646" s="33">
        <v>1.5</v>
      </c>
      <c r="P646" s="33">
        <v>4.0</v>
      </c>
      <c r="Q646" s="22">
        <f>SUM('1. Base de donnée HILIN MU CM2 '!$O646+'1. Base de donnée HILIN MU CM2 '!$P646)/2</f>
        <v>2.75</v>
      </c>
      <c r="R646" s="22">
        <v>16.0</v>
      </c>
      <c r="S646" s="22">
        <v>15.0</v>
      </c>
      <c r="T646" s="22">
        <f>('1. Base de donnée HILIN MU CM2 '!$R646+'1. Base de donnée HILIN MU CM2 '!$S646)/2</f>
        <v>15.5</v>
      </c>
      <c r="U646" s="25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</row>
    <row r="647" ht="14.25" customHeight="1">
      <c r="A647" s="27" t="s">
        <v>1205</v>
      </c>
      <c r="B647" s="27" t="s">
        <v>121</v>
      </c>
      <c r="C647" s="27" t="s">
        <v>1241</v>
      </c>
      <c r="D647" s="27" t="s">
        <v>1242</v>
      </c>
      <c r="E647" s="27" t="s">
        <v>1214</v>
      </c>
      <c r="F647" s="27" t="s">
        <v>1215</v>
      </c>
      <c r="G647" s="28">
        <v>2023.0</v>
      </c>
      <c r="H647" s="28">
        <v>79.0</v>
      </c>
      <c r="I647" s="28">
        <v>669.0</v>
      </c>
      <c r="J647" s="29" t="str">
        <f>'1. Base de donnée HILIN MU CM2 '!$G647&amp;"-"&amp;'1. Base de donnée HILIN MU CM2 '!$H647&amp;"-"&amp;'1. Base de donnée HILIN MU CM2 '!$I647</f>
        <v>2023-79-669</v>
      </c>
      <c r="K647" s="28">
        <f t="shared" si="1"/>
        <v>640</v>
      </c>
      <c r="L647" s="29" t="s">
        <v>31</v>
      </c>
      <c r="M647" s="29"/>
      <c r="N647" s="29"/>
      <c r="O647" s="34">
        <v>2.5</v>
      </c>
      <c r="P647" s="34">
        <v>1.0</v>
      </c>
      <c r="Q647" s="27">
        <f>SUM('1. Base de donnée HILIN MU CM2 '!$O647+'1. Base de donnée HILIN MU CM2 '!$P647)/2</f>
        <v>1.75</v>
      </c>
      <c r="R647" s="27">
        <v>12.0</v>
      </c>
      <c r="S647" s="27">
        <v>15.0</v>
      </c>
      <c r="T647" s="27">
        <f>('1. Base de donnée HILIN MU CM2 '!$R647+'1. Base de donnée HILIN MU CM2 '!$S647)/2</f>
        <v>13.5</v>
      </c>
      <c r="U647" s="30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</row>
    <row r="648" ht="14.25" customHeight="1">
      <c r="A648" s="22" t="s">
        <v>1205</v>
      </c>
      <c r="B648" s="22" t="s">
        <v>121</v>
      </c>
      <c r="C648" s="22" t="s">
        <v>1243</v>
      </c>
      <c r="D648" s="22" t="s">
        <v>1244</v>
      </c>
      <c r="E648" s="22" t="s">
        <v>1218</v>
      </c>
      <c r="F648" s="22" t="s">
        <v>1215</v>
      </c>
      <c r="G648" s="23">
        <v>2023.0</v>
      </c>
      <c r="H648" s="23">
        <v>79.0</v>
      </c>
      <c r="I648" s="23">
        <v>670.0</v>
      </c>
      <c r="J648" s="24" t="str">
        <f>'1. Base de donnée HILIN MU CM2 '!$G648&amp;"-"&amp;'1. Base de donnée HILIN MU CM2 '!$H648&amp;"-"&amp;'1. Base de donnée HILIN MU CM2 '!$I648</f>
        <v>2023-79-670</v>
      </c>
      <c r="K648" s="23">
        <f t="shared" si="1"/>
        <v>641</v>
      </c>
      <c r="L648" s="24" t="s">
        <v>31</v>
      </c>
      <c r="M648" s="24"/>
      <c r="N648" s="24"/>
      <c r="O648" s="33">
        <v>3.0</v>
      </c>
      <c r="P648" s="33">
        <v>4.5</v>
      </c>
      <c r="Q648" s="22">
        <f>SUM('1. Base de donnée HILIN MU CM2 '!$O648+'1. Base de donnée HILIN MU CM2 '!$P648)/2</f>
        <v>3.75</v>
      </c>
      <c r="R648" s="22">
        <v>16.5</v>
      </c>
      <c r="S648" s="22">
        <v>11.0</v>
      </c>
      <c r="T648" s="22">
        <f>('1. Base de donnée HILIN MU CM2 '!$R648+'1. Base de donnée HILIN MU CM2 '!$S648)/2</f>
        <v>13.75</v>
      </c>
      <c r="U648" s="25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</row>
    <row r="649" ht="14.25" customHeight="1">
      <c r="A649" s="27" t="s">
        <v>1205</v>
      </c>
      <c r="B649" s="27" t="s">
        <v>121</v>
      </c>
      <c r="C649" s="27" t="s">
        <v>1245</v>
      </c>
      <c r="D649" s="27" t="s">
        <v>1246</v>
      </c>
      <c r="E649" s="27" t="s">
        <v>1228</v>
      </c>
      <c r="F649" s="27" t="s">
        <v>1215</v>
      </c>
      <c r="G649" s="28">
        <v>2023.0</v>
      </c>
      <c r="H649" s="28">
        <v>79.0</v>
      </c>
      <c r="I649" s="28">
        <v>672.0</v>
      </c>
      <c r="J649" s="29" t="str">
        <f>'1. Base de donnée HILIN MU CM2 '!$G649&amp;"-"&amp;'1. Base de donnée HILIN MU CM2 '!$H649&amp;"-"&amp;'1. Base de donnée HILIN MU CM2 '!$I649</f>
        <v>2023-79-672</v>
      </c>
      <c r="K649" s="28">
        <f t="shared" si="1"/>
        <v>642</v>
      </c>
      <c r="L649" s="29" t="s">
        <v>31</v>
      </c>
      <c r="M649" s="29"/>
      <c r="N649" s="29"/>
      <c r="O649" s="34">
        <v>2.5</v>
      </c>
      <c r="P649" s="34">
        <v>1.5</v>
      </c>
      <c r="Q649" s="27">
        <f>SUM('1. Base de donnée HILIN MU CM2 '!$O649+'1. Base de donnée HILIN MU CM2 '!$P649)/2</f>
        <v>2</v>
      </c>
      <c r="R649" s="27">
        <v>15.0</v>
      </c>
      <c r="S649" s="27">
        <v>14.0</v>
      </c>
      <c r="T649" s="27">
        <f>('1. Base de donnée HILIN MU CM2 '!$R649+'1. Base de donnée HILIN MU CM2 '!$S649)/2</f>
        <v>14.5</v>
      </c>
      <c r="U649" s="30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</row>
    <row r="650" ht="14.25" customHeight="1">
      <c r="A650" s="22" t="s">
        <v>1205</v>
      </c>
      <c r="B650" s="22" t="s">
        <v>121</v>
      </c>
      <c r="C650" s="22" t="s">
        <v>1247</v>
      </c>
      <c r="D650" s="22" t="s">
        <v>1248</v>
      </c>
      <c r="E650" s="22" t="s">
        <v>1220</v>
      </c>
      <c r="F650" s="22" t="s">
        <v>1209</v>
      </c>
      <c r="G650" s="23">
        <v>2023.0</v>
      </c>
      <c r="H650" s="23">
        <v>79.0</v>
      </c>
      <c r="I650" s="23">
        <v>673.0</v>
      </c>
      <c r="J650" s="24" t="str">
        <f>'1. Base de donnée HILIN MU CM2 '!$G650&amp;"-"&amp;'1. Base de donnée HILIN MU CM2 '!$H650&amp;"-"&amp;'1. Base de donnée HILIN MU CM2 '!$I650</f>
        <v>2023-79-673</v>
      </c>
      <c r="K650" s="23">
        <f t="shared" si="1"/>
        <v>643</v>
      </c>
      <c r="L650" s="24" t="s">
        <v>31</v>
      </c>
      <c r="M650" s="24"/>
      <c r="N650" s="24"/>
      <c r="O650" s="33">
        <v>3.0</v>
      </c>
      <c r="P650" s="33">
        <v>2.0</v>
      </c>
      <c r="Q650" s="22">
        <f>SUM('1. Base de donnée HILIN MU CM2 '!$O650+'1. Base de donnée HILIN MU CM2 '!$P650)/2</f>
        <v>2.5</v>
      </c>
      <c r="R650" s="22">
        <v>13.5</v>
      </c>
      <c r="S650" s="22">
        <v>15.0</v>
      </c>
      <c r="T650" s="22">
        <f>('1. Base de donnée HILIN MU CM2 '!$R650+'1. Base de donnée HILIN MU CM2 '!$S650)/2</f>
        <v>14.25</v>
      </c>
      <c r="U650" s="25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</row>
    <row r="651" ht="14.25" customHeight="1">
      <c r="A651" s="27" t="s">
        <v>1205</v>
      </c>
      <c r="B651" s="27" t="s">
        <v>121</v>
      </c>
      <c r="C651" s="27" t="s">
        <v>1249</v>
      </c>
      <c r="D651" s="27" t="s">
        <v>1250</v>
      </c>
      <c r="E651" s="27" t="s">
        <v>1251</v>
      </c>
      <c r="F651" s="27" t="s">
        <v>1209</v>
      </c>
      <c r="G651" s="28">
        <v>2023.0</v>
      </c>
      <c r="H651" s="28">
        <v>79.0</v>
      </c>
      <c r="I651" s="28">
        <v>674.0</v>
      </c>
      <c r="J651" s="29" t="str">
        <f>'1. Base de donnée HILIN MU CM2 '!$G651&amp;"-"&amp;'1. Base de donnée HILIN MU CM2 '!$H651&amp;"-"&amp;'1. Base de donnée HILIN MU CM2 '!$I651</f>
        <v>2023-79-674</v>
      </c>
      <c r="K651" s="28">
        <f t="shared" si="1"/>
        <v>644</v>
      </c>
      <c r="L651" s="29" t="s">
        <v>31</v>
      </c>
      <c r="M651" s="29"/>
      <c r="N651" s="29"/>
      <c r="O651" s="34">
        <v>4.0</v>
      </c>
      <c r="P651" s="34">
        <v>8.0</v>
      </c>
      <c r="Q651" s="27">
        <f>SUM('1. Base de donnée HILIN MU CM2 '!$O651+'1. Base de donnée HILIN MU CM2 '!$P651)/2</f>
        <v>6</v>
      </c>
      <c r="R651" s="27">
        <v>14.0</v>
      </c>
      <c r="S651" s="27">
        <v>18.5</v>
      </c>
      <c r="T651" s="27">
        <f>('1. Base de donnée HILIN MU CM2 '!$R651+'1. Base de donnée HILIN MU CM2 '!$S651)/2</f>
        <v>16.25</v>
      </c>
      <c r="U651" s="30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</row>
    <row r="652" ht="14.25" customHeight="1">
      <c r="A652" s="22" t="s">
        <v>1205</v>
      </c>
      <c r="B652" s="22" t="s">
        <v>121</v>
      </c>
      <c r="C652" s="22" t="s">
        <v>1252</v>
      </c>
      <c r="D652" s="22" t="s">
        <v>1253</v>
      </c>
      <c r="E652" s="22" t="s">
        <v>1218</v>
      </c>
      <c r="F652" s="22" t="s">
        <v>1215</v>
      </c>
      <c r="G652" s="23">
        <v>2023.0</v>
      </c>
      <c r="H652" s="23">
        <v>79.0</v>
      </c>
      <c r="I652" s="23">
        <v>675.0</v>
      </c>
      <c r="J652" s="24" t="str">
        <f>'1. Base de donnée HILIN MU CM2 '!$G652&amp;"-"&amp;'1. Base de donnée HILIN MU CM2 '!$H652&amp;"-"&amp;'1. Base de donnée HILIN MU CM2 '!$I652</f>
        <v>2023-79-675</v>
      </c>
      <c r="K652" s="23">
        <f t="shared" si="1"/>
        <v>645</v>
      </c>
      <c r="L652" s="24" t="s">
        <v>31</v>
      </c>
      <c r="M652" s="24"/>
      <c r="N652" s="24"/>
      <c r="O652" s="33">
        <v>4.0</v>
      </c>
      <c r="P652" s="33">
        <v>3.0</v>
      </c>
      <c r="Q652" s="22">
        <f>SUM('1. Base de donnée HILIN MU CM2 '!$O652+'1. Base de donnée HILIN MU CM2 '!$P652)/2</f>
        <v>3.5</v>
      </c>
      <c r="R652" s="22">
        <v>15.5</v>
      </c>
      <c r="S652" s="22">
        <v>14.5</v>
      </c>
      <c r="T652" s="22">
        <f>('1. Base de donnée HILIN MU CM2 '!$R652+'1. Base de donnée HILIN MU CM2 '!$S652)/2</f>
        <v>15</v>
      </c>
      <c r="U652" s="25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</row>
    <row r="653" ht="14.25" customHeight="1">
      <c r="A653" s="27" t="s">
        <v>1205</v>
      </c>
      <c r="B653" s="27" t="s">
        <v>121</v>
      </c>
      <c r="C653" s="27" t="s">
        <v>1254</v>
      </c>
      <c r="D653" s="27" t="s">
        <v>1255</v>
      </c>
      <c r="E653" s="27" t="s">
        <v>1256</v>
      </c>
      <c r="F653" s="27" t="s">
        <v>1215</v>
      </c>
      <c r="G653" s="28">
        <v>2023.0</v>
      </c>
      <c r="H653" s="28">
        <v>79.0</v>
      </c>
      <c r="I653" s="28">
        <v>676.0</v>
      </c>
      <c r="J653" s="29" t="str">
        <f>'1. Base de donnée HILIN MU CM2 '!$G653&amp;"-"&amp;'1. Base de donnée HILIN MU CM2 '!$H653&amp;"-"&amp;'1. Base de donnée HILIN MU CM2 '!$I653</f>
        <v>2023-79-676</v>
      </c>
      <c r="K653" s="28">
        <f t="shared" si="1"/>
        <v>646</v>
      </c>
      <c r="L653" s="29" t="s">
        <v>31</v>
      </c>
      <c r="M653" s="29"/>
      <c r="N653" s="29"/>
      <c r="O653" s="34">
        <v>1.0</v>
      </c>
      <c r="P653" s="34">
        <v>2.0</v>
      </c>
      <c r="Q653" s="27">
        <f>SUM('1. Base de donnée HILIN MU CM2 '!$O653+'1. Base de donnée HILIN MU CM2 '!$P653)/2</f>
        <v>1.5</v>
      </c>
      <c r="R653" s="27">
        <v>13.0</v>
      </c>
      <c r="S653" s="27">
        <v>13.0</v>
      </c>
      <c r="T653" s="27">
        <f>('1. Base de donnée HILIN MU CM2 '!$R653+'1. Base de donnée HILIN MU CM2 '!$S653)/2</f>
        <v>13</v>
      </c>
      <c r="U653" s="30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</row>
    <row r="654" ht="14.25" customHeight="1">
      <c r="A654" s="22" t="s">
        <v>1205</v>
      </c>
      <c r="B654" s="22" t="s">
        <v>121</v>
      </c>
      <c r="C654" s="22" t="s">
        <v>1257</v>
      </c>
      <c r="D654" s="22" t="s">
        <v>1258</v>
      </c>
      <c r="E654" s="22" t="s">
        <v>1228</v>
      </c>
      <c r="F654" s="22" t="s">
        <v>1209</v>
      </c>
      <c r="G654" s="23">
        <v>2023.0</v>
      </c>
      <c r="H654" s="23">
        <v>79.0</v>
      </c>
      <c r="I654" s="23">
        <v>677.0</v>
      </c>
      <c r="J654" s="24" t="str">
        <f>'1. Base de donnée HILIN MU CM2 '!$G654&amp;"-"&amp;'1. Base de donnée HILIN MU CM2 '!$H654&amp;"-"&amp;'1. Base de donnée HILIN MU CM2 '!$I654</f>
        <v>2023-79-677</v>
      </c>
      <c r="K654" s="23">
        <f t="shared" si="1"/>
        <v>647</v>
      </c>
      <c r="L654" s="24" t="s">
        <v>31</v>
      </c>
      <c r="M654" s="24"/>
      <c r="N654" s="24"/>
      <c r="O654" s="33">
        <v>2.0</v>
      </c>
      <c r="P654" s="33">
        <v>2.0</v>
      </c>
      <c r="Q654" s="22">
        <f>SUM('1. Base de donnée HILIN MU CM2 '!$O654+'1. Base de donnée HILIN MU CM2 '!$P654)/2</f>
        <v>2</v>
      </c>
      <c r="R654" s="22">
        <v>13.0</v>
      </c>
      <c r="S654" s="22">
        <v>15.0</v>
      </c>
      <c r="T654" s="22">
        <f>('1. Base de donnée HILIN MU CM2 '!$R654+'1. Base de donnée HILIN MU CM2 '!$S654)/2</f>
        <v>14</v>
      </c>
      <c r="U654" s="25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</row>
    <row r="655" ht="14.25" customHeight="1">
      <c r="A655" s="27" t="s">
        <v>1205</v>
      </c>
      <c r="B655" s="27" t="s">
        <v>121</v>
      </c>
      <c r="C655" s="27" t="s">
        <v>1259</v>
      </c>
      <c r="D655" s="27" t="s">
        <v>1260</v>
      </c>
      <c r="E655" s="27" t="s">
        <v>1228</v>
      </c>
      <c r="F655" s="27" t="s">
        <v>1215</v>
      </c>
      <c r="G655" s="28">
        <v>2023.0</v>
      </c>
      <c r="H655" s="28">
        <v>79.0</v>
      </c>
      <c r="I655" s="28">
        <v>678.0</v>
      </c>
      <c r="J655" s="29" t="str">
        <f>'1. Base de donnée HILIN MU CM2 '!$G655&amp;"-"&amp;'1. Base de donnée HILIN MU CM2 '!$H655&amp;"-"&amp;'1. Base de donnée HILIN MU CM2 '!$I655</f>
        <v>2023-79-678</v>
      </c>
      <c r="K655" s="28">
        <f t="shared" si="1"/>
        <v>648</v>
      </c>
      <c r="L655" s="29" t="s">
        <v>31</v>
      </c>
      <c r="M655" s="29"/>
      <c r="N655" s="29"/>
      <c r="O655" s="34">
        <v>2.5</v>
      </c>
      <c r="P655" s="34">
        <v>2.5</v>
      </c>
      <c r="Q655" s="27">
        <f>SUM('1. Base de donnée HILIN MU CM2 '!$O655+'1. Base de donnée HILIN MU CM2 '!$P655)/2</f>
        <v>2.5</v>
      </c>
      <c r="R655" s="27">
        <v>12.0</v>
      </c>
      <c r="S655" s="27">
        <v>12.0</v>
      </c>
      <c r="T655" s="27">
        <f>('1. Base de donnée HILIN MU CM2 '!$R655+'1. Base de donnée HILIN MU CM2 '!$S655)/2</f>
        <v>12</v>
      </c>
      <c r="U655" s="30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</row>
    <row r="656" ht="14.25" customHeight="1">
      <c r="A656" s="22" t="s">
        <v>1205</v>
      </c>
      <c r="B656" s="22" t="s">
        <v>121</v>
      </c>
      <c r="C656" s="22" t="s">
        <v>1261</v>
      </c>
      <c r="D656" s="22" t="s">
        <v>1262</v>
      </c>
      <c r="E656" s="22" t="s">
        <v>1228</v>
      </c>
      <c r="F656" s="22" t="s">
        <v>1209</v>
      </c>
      <c r="G656" s="23">
        <v>2023.0</v>
      </c>
      <c r="H656" s="23">
        <v>79.0</v>
      </c>
      <c r="I656" s="23">
        <v>679.0</v>
      </c>
      <c r="J656" s="24" t="str">
        <f>'1. Base de donnée HILIN MU CM2 '!$G656&amp;"-"&amp;'1. Base de donnée HILIN MU CM2 '!$H656&amp;"-"&amp;'1. Base de donnée HILIN MU CM2 '!$I656</f>
        <v>2023-79-679</v>
      </c>
      <c r="K656" s="23">
        <f t="shared" si="1"/>
        <v>649</v>
      </c>
      <c r="L656" s="24" t="s">
        <v>31</v>
      </c>
      <c r="M656" s="24"/>
      <c r="N656" s="24"/>
      <c r="O656" s="33">
        <v>3.5</v>
      </c>
      <c r="P656" s="33">
        <v>3.0</v>
      </c>
      <c r="Q656" s="22">
        <f>SUM('1. Base de donnée HILIN MU CM2 '!$O656+'1. Base de donnée HILIN MU CM2 '!$P656)/2</f>
        <v>3.25</v>
      </c>
      <c r="R656" s="22">
        <v>15.0</v>
      </c>
      <c r="S656" s="22">
        <v>16.5</v>
      </c>
      <c r="T656" s="22">
        <f>('1. Base de donnée HILIN MU CM2 '!$R656+'1. Base de donnée HILIN MU CM2 '!$S656)/2</f>
        <v>15.75</v>
      </c>
      <c r="U656" s="25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</row>
    <row r="657" ht="14.25" customHeight="1">
      <c r="A657" s="27" t="s">
        <v>1205</v>
      </c>
      <c r="B657" s="27" t="s">
        <v>121</v>
      </c>
      <c r="C657" s="27" t="s">
        <v>1263</v>
      </c>
      <c r="D657" s="27" t="s">
        <v>1264</v>
      </c>
      <c r="E657" s="27" t="s">
        <v>1208</v>
      </c>
      <c r="F657" s="27" t="s">
        <v>1215</v>
      </c>
      <c r="G657" s="28">
        <v>2023.0</v>
      </c>
      <c r="H657" s="28">
        <v>79.0</v>
      </c>
      <c r="I657" s="28">
        <v>680.0</v>
      </c>
      <c r="J657" s="29" t="str">
        <f>'1. Base de donnée HILIN MU CM2 '!$G657&amp;"-"&amp;'1. Base de donnée HILIN MU CM2 '!$H657&amp;"-"&amp;'1. Base de donnée HILIN MU CM2 '!$I657</f>
        <v>2023-79-680</v>
      </c>
      <c r="K657" s="28">
        <f t="shared" si="1"/>
        <v>650</v>
      </c>
      <c r="L657" s="29" t="s">
        <v>31</v>
      </c>
      <c r="M657" s="29"/>
      <c r="N657" s="29"/>
      <c r="O657" s="34">
        <v>2.5</v>
      </c>
      <c r="P657" s="34">
        <v>2.0</v>
      </c>
      <c r="Q657" s="27">
        <f>SUM('1. Base de donnée HILIN MU CM2 '!$O657+'1. Base de donnée HILIN MU CM2 '!$P657)/2</f>
        <v>2.25</v>
      </c>
      <c r="R657" s="27">
        <v>15.0</v>
      </c>
      <c r="S657" s="27">
        <v>16.0</v>
      </c>
      <c r="T657" s="27">
        <f>('1. Base de donnée HILIN MU CM2 '!$R657+'1. Base de donnée HILIN MU CM2 '!$S657)/2</f>
        <v>15.5</v>
      </c>
      <c r="U657" s="30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</row>
    <row r="658" ht="14.25" customHeight="1">
      <c r="A658" s="22" t="s">
        <v>1205</v>
      </c>
      <c r="B658" s="22" t="s">
        <v>121</v>
      </c>
      <c r="C658" s="22" t="s">
        <v>1265</v>
      </c>
      <c r="D658" s="22" t="s">
        <v>1266</v>
      </c>
      <c r="E658" s="22" t="s">
        <v>1267</v>
      </c>
      <c r="F658" s="22" t="s">
        <v>1209</v>
      </c>
      <c r="G658" s="23">
        <v>2023.0</v>
      </c>
      <c r="H658" s="23">
        <v>79.0</v>
      </c>
      <c r="I658" s="23">
        <v>681.0</v>
      </c>
      <c r="J658" s="24" t="str">
        <f>'1. Base de donnée HILIN MU CM2 '!$G658&amp;"-"&amp;'1. Base de donnée HILIN MU CM2 '!$H658&amp;"-"&amp;'1. Base de donnée HILIN MU CM2 '!$I658</f>
        <v>2023-79-681</v>
      </c>
      <c r="K658" s="23">
        <f t="shared" si="1"/>
        <v>651</v>
      </c>
      <c r="L658" s="24" t="s">
        <v>31</v>
      </c>
      <c r="M658" s="24"/>
      <c r="N658" s="24"/>
      <c r="O658" s="33">
        <v>0.5</v>
      </c>
      <c r="P658" s="33">
        <v>1.0</v>
      </c>
      <c r="Q658" s="22">
        <f>SUM('1. Base de donnée HILIN MU CM2 '!$O658+'1. Base de donnée HILIN MU CM2 '!$P658)/2</f>
        <v>0.75</v>
      </c>
      <c r="R658" s="22">
        <v>12.5</v>
      </c>
      <c r="S658" s="22">
        <v>14.0</v>
      </c>
      <c r="T658" s="22">
        <f>('1. Base de donnée HILIN MU CM2 '!$R658+'1. Base de donnée HILIN MU CM2 '!$S658)/2</f>
        <v>13.25</v>
      </c>
      <c r="U658" s="25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</row>
    <row r="659" ht="14.25" customHeight="1">
      <c r="A659" s="27" t="s">
        <v>1205</v>
      </c>
      <c r="B659" s="27" t="s">
        <v>121</v>
      </c>
      <c r="C659" s="27" t="s">
        <v>1268</v>
      </c>
      <c r="D659" s="27" t="s">
        <v>1260</v>
      </c>
      <c r="E659" s="27" t="s">
        <v>1228</v>
      </c>
      <c r="F659" s="27" t="s">
        <v>1215</v>
      </c>
      <c r="G659" s="28">
        <v>2023.0</v>
      </c>
      <c r="H659" s="28">
        <v>79.0</v>
      </c>
      <c r="I659" s="28">
        <v>682.0</v>
      </c>
      <c r="J659" s="29" t="str">
        <f>'1. Base de donnée HILIN MU CM2 '!$G659&amp;"-"&amp;'1. Base de donnée HILIN MU CM2 '!$H659&amp;"-"&amp;'1. Base de donnée HILIN MU CM2 '!$I659</f>
        <v>2023-79-682</v>
      </c>
      <c r="K659" s="28">
        <f t="shared" si="1"/>
        <v>652</v>
      </c>
      <c r="L659" s="29" t="s">
        <v>31</v>
      </c>
      <c r="M659" s="29"/>
      <c r="N659" s="29"/>
      <c r="O659" s="34">
        <v>7.5</v>
      </c>
      <c r="P659" s="34">
        <v>4.0</v>
      </c>
      <c r="Q659" s="27">
        <f>SUM('1. Base de donnée HILIN MU CM2 '!$O659+'1. Base de donnée HILIN MU CM2 '!$P659)/2</f>
        <v>5.75</v>
      </c>
      <c r="R659" s="27">
        <v>20.0</v>
      </c>
      <c r="S659" s="27">
        <v>16.0</v>
      </c>
      <c r="T659" s="27">
        <f>('1. Base de donnée HILIN MU CM2 '!$R659+'1. Base de donnée HILIN MU CM2 '!$S659)/2</f>
        <v>18</v>
      </c>
      <c r="U659" s="30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</row>
    <row r="660" ht="14.25" customHeight="1">
      <c r="A660" s="22" t="s">
        <v>1205</v>
      </c>
      <c r="B660" s="22" t="s">
        <v>121</v>
      </c>
      <c r="C660" s="22" t="s">
        <v>1269</v>
      </c>
      <c r="D660" s="22" t="s">
        <v>1270</v>
      </c>
      <c r="E660" s="22" t="s">
        <v>1271</v>
      </c>
      <c r="F660" s="22" t="s">
        <v>1209</v>
      </c>
      <c r="G660" s="23">
        <v>2023.0</v>
      </c>
      <c r="H660" s="23">
        <v>79.0</v>
      </c>
      <c r="I660" s="23">
        <v>683.0</v>
      </c>
      <c r="J660" s="24" t="str">
        <f>'1. Base de donnée HILIN MU CM2 '!$G660&amp;"-"&amp;'1. Base de donnée HILIN MU CM2 '!$H660&amp;"-"&amp;'1. Base de donnée HILIN MU CM2 '!$I660</f>
        <v>2023-79-683</v>
      </c>
      <c r="K660" s="23">
        <f t="shared" si="1"/>
        <v>653</v>
      </c>
      <c r="L660" s="24" t="s">
        <v>31</v>
      </c>
      <c r="M660" s="24"/>
      <c r="N660" s="24"/>
      <c r="O660" s="33">
        <v>2.5</v>
      </c>
      <c r="P660" s="33">
        <v>2.0</v>
      </c>
      <c r="Q660" s="22">
        <f>SUM('1. Base de donnée HILIN MU CM2 '!$O660+'1. Base de donnée HILIN MU CM2 '!$P660)/2</f>
        <v>2.25</v>
      </c>
      <c r="R660" s="22">
        <v>13.0</v>
      </c>
      <c r="S660" s="22">
        <v>13.0</v>
      </c>
      <c r="T660" s="22">
        <f>('1. Base de donnée HILIN MU CM2 '!$R660+'1. Base de donnée HILIN MU CM2 '!$S660)/2</f>
        <v>13</v>
      </c>
      <c r="U660" s="25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</row>
    <row r="661" ht="14.25" customHeight="1">
      <c r="A661" s="27" t="s">
        <v>1205</v>
      </c>
      <c r="B661" s="27" t="s">
        <v>121</v>
      </c>
      <c r="C661" s="27" t="s">
        <v>1272</v>
      </c>
      <c r="D661" s="27" t="s">
        <v>1273</v>
      </c>
      <c r="E661" s="27" t="s">
        <v>1208</v>
      </c>
      <c r="F661" s="27" t="s">
        <v>1209</v>
      </c>
      <c r="G661" s="28">
        <v>2023.0</v>
      </c>
      <c r="H661" s="28">
        <v>79.0</v>
      </c>
      <c r="I661" s="28">
        <v>684.0</v>
      </c>
      <c r="J661" s="29" t="str">
        <f>'1. Base de donnée HILIN MU CM2 '!$G661&amp;"-"&amp;'1. Base de donnée HILIN MU CM2 '!$H661&amp;"-"&amp;'1. Base de donnée HILIN MU CM2 '!$I661</f>
        <v>2023-79-684</v>
      </c>
      <c r="K661" s="28">
        <f t="shared" si="1"/>
        <v>654</v>
      </c>
      <c r="L661" s="29" t="s">
        <v>31</v>
      </c>
      <c r="M661" s="29"/>
      <c r="N661" s="29"/>
      <c r="O661" s="34">
        <v>2.5</v>
      </c>
      <c r="P661" s="34">
        <v>1.5</v>
      </c>
      <c r="Q661" s="27">
        <f>SUM('1. Base de donnée HILIN MU CM2 '!$O661+'1. Base de donnée HILIN MU CM2 '!$P661)/2</f>
        <v>2</v>
      </c>
      <c r="R661" s="27">
        <v>13.0</v>
      </c>
      <c r="S661" s="27">
        <v>12.0</v>
      </c>
      <c r="T661" s="27">
        <f>('1. Base de donnée HILIN MU CM2 '!$R661+'1. Base de donnée HILIN MU CM2 '!$S661)/2</f>
        <v>12.5</v>
      </c>
      <c r="U661" s="30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</row>
    <row r="662" ht="14.25" customHeight="1">
      <c r="A662" s="22" t="s">
        <v>1205</v>
      </c>
      <c r="B662" s="22" t="s">
        <v>121</v>
      </c>
      <c r="C662" s="22" t="s">
        <v>1274</v>
      </c>
      <c r="D662" s="22" t="s">
        <v>1275</v>
      </c>
      <c r="E662" s="22" t="s">
        <v>1228</v>
      </c>
      <c r="F662" s="22" t="s">
        <v>1209</v>
      </c>
      <c r="G662" s="23">
        <v>2023.0</v>
      </c>
      <c r="H662" s="23">
        <v>79.0</v>
      </c>
      <c r="I662" s="23">
        <v>685.0</v>
      </c>
      <c r="J662" s="24" t="str">
        <f>'1. Base de donnée HILIN MU CM2 '!$G662&amp;"-"&amp;'1. Base de donnée HILIN MU CM2 '!$H662&amp;"-"&amp;'1. Base de donnée HILIN MU CM2 '!$I662</f>
        <v>2023-79-685</v>
      </c>
      <c r="K662" s="23">
        <f t="shared" si="1"/>
        <v>655</v>
      </c>
      <c r="L662" s="24" t="s">
        <v>31</v>
      </c>
      <c r="M662" s="24"/>
      <c r="N662" s="24"/>
      <c r="O662" s="33">
        <v>2.0</v>
      </c>
      <c r="P662" s="33">
        <v>4.0</v>
      </c>
      <c r="Q662" s="22">
        <f>SUM('1. Base de donnée HILIN MU CM2 '!$O662+'1. Base de donnée HILIN MU CM2 '!$P662)/2</f>
        <v>3</v>
      </c>
      <c r="R662" s="22">
        <v>15.0</v>
      </c>
      <c r="S662" s="22">
        <v>15.0</v>
      </c>
      <c r="T662" s="22">
        <f>('1. Base de donnée HILIN MU CM2 '!$R662+'1. Base de donnée HILIN MU CM2 '!$S662)/2</f>
        <v>15</v>
      </c>
      <c r="U662" s="25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</row>
    <row r="663" ht="14.25" customHeight="1">
      <c r="A663" s="27" t="s">
        <v>1205</v>
      </c>
      <c r="B663" s="27" t="s">
        <v>121</v>
      </c>
      <c r="C663" s="27" t="s">
        <v>1276</v>
      </c>
      <c r="D663" s="27" t="s">
        <v>1277</v>
      </c>
      <c r="E663" s="27" t="s">
        <v>1228</v>
      </c>
      <c r="F663" s="27" t="s">
        <v>1215</v>
      </c>
      <c r="G663" s="28">
        <v>2023.0</v>
      </c>
      <c r="H663" s="28">
        <v>79.0</v>
      </c>
      <c r="I663" s="28">
        <v>686.0</v>
      </c>
      <c r="J663" s="29" t="str">
        <f>'1. Base de donnée HILIN MU CM2 '!$G663&amp;"-"&amp;'1. Base de donnée HILIN MU CM2 '!$H663&amp;"-"&amp;'1. Base de donnée HILIN MU CM2 '!$I663</f>
        <v>2023-79-686</v>
      </c>
      <c r="K663" s="28">
        <f t="shared" si="1"/>
        <v>656</v>
      </c>
      <c r="L663" s="29" t="s">
        <v>31</v>
      </c>
      <c r="M663" s="29"/>
      <c r="N663" s="29"/>
      <c r="O663" s="34">
        <v>2.0</v>
      </c>
      <c r="P663" s="34">
        <v>7.5</v>
      </c>
      <c r="Q663" s="27">
        <f>SUM('1. Base de donnée HILIN MU CM2 '!$O663+'1. Base de donnée HILIN MU CM2 '!$P663)/2</f>
        <v>4.75</v>
      </c>
      <c r="R663" s="27">
        <v>14.5</v>
      </c>
      <c r="S663" s="27">
        <v>17.0</v>
      </c>
      <c r="T663" s="27">
        <f>('1. Base de donnée HILIN MU CM2 '!$R663+'1. Base de donnée HILIN MU CM2 '!$S663)/2</f>
        <v>15.75</v>
      </c>
      <c r="U663" s="30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</row>
    <row r="664" ht="14.25" customHeight="1">
      <c r="A664" s="22" t="s">
        <v>1205</v>
      </c>
      <c r="B664" s="22" t="s">
        <v>121</v>
      </c>
      <c r="C664" s="22" t="s">
        <v>1278</v>
      </c>
      <c r="D664" s="22" t="s">
        <v>1279</v>
      </c>
      <c r="E664" s="22" t="s">
        <v>1228</v>
      </c>
      <c r="F664" s="22" t="s">
        <v>1215</v>
      </c>
      <c r="G664" s="23">
        <v>2023.0</v>
      </c>
      <c r="H664" s="23">
        <v>79.0</v>
      </c>
      <c r="I664" s="23">
        <v>687.0</v>
      </c>
      <c r="J664" s="24" t="str">
        <f>'1. Base de donnée HILIN MU CM2 '!$G664&amp;"-"&amp;'1. Base de donnée HILIN MU CM2 '!$H664&amp;"-"&amp;'1. Base de donnée HILIN MU CM2 '!$I664</f>
        <v>2023-79-687</v>
      </c>
      <c r="K664" s="23">
        <f t="shared" si="1"/>
        <v>657</v>
      </c>
      <c r="L664" s="24" t="s">
        <v>31</v>
      </c>
      <c r="M664" s="24"/>
      <c r="N664" s="24"/>
      <c r="O664" s="33">
        <v>10.5</v>
      </c>
      <c r="P664" s="33">
        <v>7.0</v>
      </c>
      <c r="Q664" s="22">
        <f>SUM('1. Base de donnée HILIN MU CM2 '!$O664+'1. Base de donnée HILIN MU CM2 '!$P664)/2</f>
        <v>8.75</v>
      </c>
      <c r="R664" s="22">
        <v>15.0</v>
      </c>
      <c r="S664" s="22">
        <v>16.0</v>
      </c>
      <c r="T664" s="22">
        <f>('1. Base de donnée HILIN MU CM2 '!$R664+'1. Base de donnée HILIN MU CM2 '!$S664)/2</f>
        <v>15.5</v>
      </c>
      <c r="U664" s="25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</row>
    <row r="665" ht="14.25" customHeight="1">
      <c r="A665" s="27" t="s">
        <v>1205</v>
      </c>
      <c r="B665" s="27" t="s">
        <v>121</v>
      </c>
      <c r="C665" s="27" t="s">
        <v>1280</v>
      </c>
      <c r="D665" s="27" t="s">
        <v>1281</v>
      </c>
      <c r="E665" s="27" t="s">
        <v>1282</v>
      </c>
      <c r="F665" s="27" t="s">
        <v>1215</v>
      </c>
      <c r="G665" s="28">
        <v>2023.0</v>
      </c>
      <c r="H665" s="28">
        <v>79.0</v>
      </c>
      <c r="I665" s="28">
        <v>688.0</v>
      </c>
      <c r="J665" s="29" t="str">
        <f>'1. Base de donnée HILIN MU CM2 '!$G665&amp;"-"&amp;'1. Base de donnée HILIN MU CM2 '!$H665&amp;"-"&amp;'1. Base de donnée HILIN MU CM2 '!$I665</f>
        <v>2023-79-688</v>
      </c>
      <c r="K665" s="28">
        <f t="shared" si="1"/>
        <v>658</v>
      </c>
      <c r="L665" s="29" t="s">
        <v>31</v>
      </c>
      <c r="M665" s="29"/>
      <c r="N665" s="29"/>
      <c r="O665" s="34">
        <v>2.5</v>
      </c>
      <c r="P665" s="34">
        <v>3.5</v>
      </c>
      <c r="Q665" s="27">
        <f>SUM('1. Base de donnée HILIN MU CM2 '!$O665+'1. Base de donnée HILIN MU CM2 '!$P665)/2</f>
        <v>3</v>
      </c>
      <c r="R665" s="27">
        <v>16.0</v>
      </c>
      <c r="S665" s="27">
        <v>17.0</v>
      </c>
      <c r="T665" s="27">
        <f>('1. Base de donnée HILIN MU CM2 '!$R665+'1. Base de donnée HILIN MU CM2 '!$S665)/2</f>
        <v>16.5</v>
      </c>
      <c r="U665" s="30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</row>
    <row r="666" ht="14.25" customHeight="1">
      <c r="A666" s="22" t="s">
        <v>1205</v>
      </c>
      <c r="B666" s="22" t="s">
        <v>121</v>
      </c>
      <c r="C666" s="22" t="s">
        <v>1283</v>
      </c>
      <c r="D666" s="22" t="s">
        <v>1284</v>
      </c>
      <c r="E666" s="22" t="s">
        <v>1228</v>
      </c>
      <c r="F666" s="22" t="s">
        <v>1209</v>
      </c>
      <c r="G666" s="23">
        <v>2023.0</v>
      </c>
      <c r="H666" s="23">
        <v>79.0</v>
      </c>
      <c r="I666" s="23">
        <v>689.0</v>
      </c>
      <c r="J666" s="24" t="str">
        <f>'1. Base de donnée HILIN MU CM2 '!$G666&amp;"-"&amp;'1. Base de donnée HILIN MU CM2 '!$H666&amp;"-"&amp;'1. Base de donnée HILIN MU CM2 '!$I666</f>
        <v>2023-79-689</v>
      </c>
      <c r="K666" s="23">
        <f t="shared" si="1"/>
        <v>659</v>
      </c>
      <c r="L666" s="24" t="s">
        <v>31</v>
      </c>
      <c r="M666" s="24"/>
      <c r="N666" s="24"/>
      <c r="O666" s="33">
        <v>1.0</v>
      </c>
      <c r="P666" s="33">
        <v>2.5</v>
      </c>
      <c r="Q666" s="22">
        <f>SUM('1. Base de donnée HILIN MU CM2 '!$O666+'1. Base de donnée HILIN MU CM2 '!$P666)/2</f>
        <v>1.75</v>
      </c>
      <c r="R666" s="22">
        <v>16.0</v>
      </c>
      <c r="S666" s="22">
        <v>13.0</v>
      </c>
      <c r="T666" s="22">
        <f>('1. Base de donnée HILIN MU CM2 '!$R666+'1. Base de donnée HILIN MU CM2 '!$S666)/2</f>
        <v>14.5</v>
      </c>
      <c r="U666" s="25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</row>
    <row r="667" ht="14.25" customHeight="1">
      <c r="A667" s="27" t="s">
        <v>1205</v>
      </c>
      <c r="B667" s="27" t="s">
        <v>121</v>
      </c>
      <c r="C667" s="27" t="s">
        <v>1285</v>
      </c>
      <c r="D667" s="27" t="s">
        <v>197</v>
      </c>
      <c r="E667" s="27" t="s">
        <v>1286</v>
      </c>
      <c r="F667" s="27" t="s">
        <v>1215</v>
      </c>
      <c r="G667" s="28">
        <v>2023.0</v>
      </c>
      <c r="H667" s="28">
        <v>79.0</v>
      </c>
      <c r="I667" s="28">
        <v>880.0</v>
      </c>
      <c r="J667" s="29" t="str">
        <f>'1. Base de donnée HILIN MU CM2 '!$G667&amp;"-"&amp;'1. Base de donnée HILIN MU CM2 '!$H667&amp;"-"&amp;'1. Base de donnée HILIN MU CM2 '!$I667</f>
        <v>2023-79-880</v>
      </c>
      <c r="K667" s="28">
        <f t="shared" si="1"/>
        <v>660</v>
      </c>
      <c r="L667" s="29" t="s">
        <v>31</v>
      </c>
      <c r="M667" s="29"/>
      <c r="N667" s="29"/>
      <c r="O667" s="34">
        <v>3.0</v>
      </c>
      <c r="P667" s="34">
        <v>4.0</v>
      </c>
      <c r="Q667" s="27">
        <f>SUM('1. Base de donnée HILIN MU CM2 '!$O667+'1. Base de donnée HILIN MU CM2 '!$P667)/2</f>
        <v>3.5</v>
      </c>
      <c r="R667" s="27">
        <v>16.0</v>
      </c>
      <c r="S667" s="27">
        <v>14.0</v>
      </c>
      <c r="T667" s="31">
        <f>('1. Base de donnée HILIN MU CM2 '!$R667+'1. Base de donnée HILIN MU CM2 '!$S667)/2</f>
        <v>15</v>
      </c>
      <c r="U667" s="30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</row>
    <row r="668" ht="14.25" customHeight="1">
      <c r="A668" s="22" t="s">
        <v>1205</v>
      </c>
      <c r="B668" s="22" t="s">
        <v>121</v>
      </c>
      <c r="C668" s="22" t="s">
        <v>1287</v>
      </c>
      <c r="D668" s="22" t="s">
        <v>335</v>
      </c>
      <c r="E668" s="22" t="s">
        <v>1286</v>
      </c>
      <c r="F668" s="22" t="s">
        <v>1215</v>
      </c>
      <c r="G668" s="23">
        <v>2023.0</v>
      </c>
      <c r="H668" s="23">
        <v>79.0</v>
      </c>
      <c r="I668" s="23">
        <v>881.0</v>
      </c>
      <c r="J668" s="24" t="str">
        <f>'1. Base de donnée HILIN MU CM2 '!$G668&amp;"-"&amp;'1. Base de donnée HILIN MU CM2 '!$H668&amp;"-"&amp;'1. Base de donnée HILIN MU CM2 '!$I668</f>
        <v>2023-79-881</v>
      </c>
      <c r="K668" s="23">
        <f t="shared" si="1"/>
        <v>661</v>
      </c>
      <c r="L668" s="24" t="s">
        <v>31</v>
      </c>
      <c r="M668" s="24"/>
      <c r="N668" s="24"/>
      <c r="O668" s="33">
        <v>1.0</v>
      </c>
      <c r="P668" s="33">
        <v>2.5</v>
      </c>
      <c r="Q668" s="22">
        <f>SUM('1. Base de donnée HILIN MU CM2 '!$O668+'1. Base de donnée HILIN MU CM2 '!$P668)/2</f>
        <v>1.75</v>
      </c>
      <c r="R668" s="22">
        <v>16.0</v>
      </c>
      <c r="S668" s="22">
        <v>12.5</v>
      </c>
      <c r="T668" s="32">
        <f>('1. Base de donnée HILIN MU CM2 '!$R668+'1. Base de donnée HILIN MU CM2 '!$S668)/2</f>
        <v>14.25</v>
      </c>
      <c r="U668" s="25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</row>
    <row r="669" ht="14.25" customHeight="1">
      <c r="A669" s="27" t="s">
        <v>1205</v>
      </c>
      <c r="B669" s="27" t="s">
        <v>121</v>
      </c>
      <c r="C669" s="27" t="s">
        <v>1288</v>
      </c>
      <c r="D669" s="27" t="s">
        <v>73</v>
      </c>
      <c r="E669" s="27" t="s">
        <v>1286</v>
      </c>
      <c r="F669" s="27" t="s">
        <v>1209</v>
      </c>
      <c r="G669" s="28">
        <v>2023.0</v>
      </c>
      <c r="H669" s="28">
        <v>79.0</v>
      </c>
      <c r="I669" s="28">
        <v>882.0</v>
      </c>
      <c r="J669" s="29" t="str">
        <f>'1. Base de donnée HILIN MU CM2 '!$G669&amp;"-"&amp;'1. Base de donnée HILIN MU CM2 '!$H669&amp;"-"&amp;'1. Base de donnée HILIN MU CM2 '!$I669</f>
        <v>2023-79-882</v>
      </c>
      <c r="K669" s="28">
        <f t="shared" si="1"/>
        <v>662</v>
      </c>
      <c r="L669" s="29" t="s">
        <v>31</v>
      </c>
      <c r="M669" s="29"/>
      <c r="N669" s="29"/>
      <c r="O669" s="34">
        <v>2.5</v>
      </c>
      <c r="P669" s="34">
        <v>4.0</v>
      </c>
      <c r="Q669" s="27">
        <f>SUM('1. Base de donnée HILIN MU CM2 '!$O669+'1. Base de donnée HILIN MU CM2 '!$P669)/2</f>
        <v>3.25</v>
      </c>
      <c r="R669" s="27">
        <v>16.0</v>
      </c>
      <c r="S669" s="27">
        <v>13.0</v>
      </c>
      <c r="T669" s="31">
        <f>('1. Base de donnée HILIN MU CM2 '!$R669+'1. Base de donnée HILIN MU CM2 '!$S669)/2</f>
        <v>14.5</v>
      </c>
      <c r="U669" s="30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</row>
    <row r="670" ht="14.25" customHeight="1">
      <c r="A670" s="22" t="s">
        <v>1205</v>
      </c>
      <c r="B670" s="22" t="s">
        <v>121</v>
      </c>
      <c r="C670" s="22" t="s">
        <v>1289</v>
      </c>
      <c r="D670" s="22" t="s">
        <v>721</v>
      </c>
      <c r="E670" s="22" t="s">
        <v>1286</v>
      </c>
      <c r="F670" s="22" t="s">
        <v>1209</v>
      </c>
      <c r="G670" s="23">
        <v>2023.0</v>
      </c>
      <c r="H670" s="23">
        <v>79.0</v>
      </c>
      <c r="I670" s="23">
        <v>883.0</v>
      </c>
      <c r="J670" s="24" t="str">
        <f>'1. Base de donnée HILIN MU CM2 '!$G670&amp;"-"&amp;'1. Base de donnée HILIN MU CM2 '!$H670&amp;"-"&amp;'1. Base de donnée HILIN MU CM2 '!$I670</f>
        <v>2023-79-883</v>
      </c>
      <c r="K670" s="23">
        <f t="shared" si="1"/>
        <v>663</v>
      </c>
      <c r="L670" s="24" t="s">
        <v>31</v>
      </c>
      <c r="M670" s="24"/>
      <c r="N670" s="24"/>
      <c r="O670" s="33">
        <v>1.5</v>
      </c>
      <c r="P670" s="33">
        <v>2.5</v>
      </c>
      <c r="Q670" s="22">
        <f>SUM('1. Base de donnée HILIN MU CM2 '!$O670+'1. Base de donnée HILIN MU CM2 '!$P670)/2</f>
        <v>2</v>
      </c>
      <c r="R670" s="22">
        <v>16.0</v>
      </c>
      <c r="S670" s="22">
        <v>17.0</v>
      </c>
      <c r="T670" s="32">
        <f>('1. Base de donnée HILIN MU CM2 '!$R670+'1. Base de donnée HILIN MU CM2 '!$S670)/2</f>
        <v>16.5</v>
      </c>
      <c r="U670" s="25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</row>
    <row r="671" ht="14.25" hidden="1" customHeight="1">
      <c r="A671" s="27" t="s">
        <v>1290</v>
      </c>
      <c r="B671" s="27" t="s">
        <v>26</v>
      </c>
      <c r="C671" s="27" t="s">
        <v>1291</v>
      </c>
      <c r="D671" s="27" t="s">
        <v>1292</v>
      </c>
      <c r="E671" s="27" t="s">
        <v>190</v>
      </c>
      <c r="F671" s="27" t="s">
        <v>1293</v>
      </c>
      <c r="G671" s="28">
        <v>2023.0</v>
      </c>
      <c r="H671" s="28">
        <v>46.0</v>
      </c>
      <c r="I671" s="28">
        <v>690.0</v>
      </c>
      <c r="J671" s="29" t="str">
        <f>'1. Base de donnée HILIN MU CM2 '!$G671&amp;"-"&amp;'1. Base de donnée HILIN MU CM2 '!$H671&amp;"-"&amp;'1. Base de donnée HILIN MU CM2 '!$I671</f>
        <v>2023-46-690</v>
      </c>
      <c r="K671" s="28">
        <f t="shared" si="1"/>
        <v>664</v>
      </c>
      <c r="L671" s="29" t="s">
        <v>31</v>
      </c>
      <c r="M671" s="29"/>
      <c r="N671" s="29"/>
      <c r="O671" s="27">
        <v>3.0</v>
      </c>
      <c r="P671" s="27">
        <v>2.5</v>
      </c>
      <c r="Q671" s="27">
        <f>SUM('1. Base de donnée HILIN MU CM2 '!$O671+'1. Base de donnée HILIN MU CM2 '!$P671)/2</f>
        <v>2.75</v>
      </c>
      <c r="R671" s="27">
        <v>13.0</v>
      </c>
      <c r="S671" s="27">
        <v>17.0</v>
      </c>
      <c r="T671" s="27">
        <f>('1. Base de donnée HILIN MU CM2 '!$R671+'1. Base de donnée HILIN MU CM2 '!$S671)/2</f>
        <v>15</v>
      </c>
      <c r="U671" s="30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</row>
    <row r="672" ht="14.25" hidden="1" customHeight="1">
      <c r="A672" s="22" t="s">
        <v>1290</v>
      </c>
      <c r="B672" s="22" t="s">
        <v>26</v>
      </c>
      <c r="C672" s="22" t="s">
        <v>1294</v>
      </c>
      <c r="D672" s="22" t="s">
        <v>1295</v>
      </c>
      <c r="E672" s="22" t="s">
        <v>190</v>
      </c>
      <c r="F672" s="22" t="s">
        <v>1293</v>
      </c>
      <c r="G672" s="23">
        <v>2023.0</v>
      </c>
      <c r="H672" s="23">
        <v>46.0</v>
      </c>
      <c r="I672" s="23">
        <v>691.0</v>
      </c>
      <c r="J672" s="24" t="str">
        <f>'1. Base de donnée HILIN MU CM2 '!$G672&amp;"-"&amp;'1. Base de donnée HILIN MU CM2 '!$H672&amp;"-"&amp;'1. Base de donnée HILIN MU CM2 '!$I672</f>
        <v>2023-46-691</v>
      </c>
      <c r="K672" s="23">
        <f t="shared" si="1"/>
        <v>665</v>
      </c>
      <c r="L672" s="24" t="s">
        <v>31</v>
      </c>
      <c r="M672" s="24"/>
      <c r="N672" s="24"/>
      <c r="O672" s="22">
        <v>7.0</v>
      </c>
      <c r="P672" s="22">
        <v>6.25</v>
      </c>
      <c r="Q672" s="22">
        <f>SUM('1. Base de donnée HILIN MU CM2 '!$O672+'1. Base de donnée HILIN MU CM2 '!$P672)/2</f>
        <v>6.625</v>
      </c>
      <c r="R672" s="22">
        <v>13.0</v>
      </c>
      <c r="S672" s="22">
        <v>17.5</v>
      </c>
      <c r="T672" s="22">
        <f>('1. Base de donnée HILIN MU CM2 '!$R672+'1. Base de donnée HILIN MU CM2 '!$S672)/2</f>
        <v>15.25</v>
      </c>
      <c r="U672" s="25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</row>
    <row r="673" ht="14.25" hidden="1" customHeight="1">
      <c r="A673" s="27" t="s">
        <v>1290</v>
      </c>
      <c r="B673" s="27" t="s">
        <v>26</v>
      </c>
      <c r="C673" s="27" t="s">
        <v>1296</v>
      </c>
      <c r="D673" s="27" t="s">
        <v>1297</v>
      </c>
      <c r="E673" s="27" t="s">
        <v>190</v>
      </c>
      <c r="F673" s="27" t="s">
        <v>1298</v>
      </c>
      <c r="G673" s="28">
        <v>2023.0</v>
      </c>
      <c r="H673" s="28">
        <v>46.0</v>
      </c>
      <c r="I673" s="28">
        <v>692.0</v>
      </c>
      <c r="J673" s="29" t="str">
        <f>'1. Base de donnée HILIN MU CM2 '!$G673&amp;"-"&amp;'1. Base de donnée HILIN MU CM2 '!$H673&amp;"-"&amp;'1. Base de donnée HILIN MU CM2 '!$I673</f>
        <v>2023-46-692</v>
      </c>
      <c r="K673" s="28">
        <f t="shared" si="1"/>
        <v>666</v>
      </c>
      <c r="L673" s="29" t="s">
        <v>31</v>
      </c>
      <c r="M673" s="29"/>
      <c r="N673" s="29"/>
      <c r="O673" s="27">
        <v>8.0</v>
      </c>
      <c r="P673" s="27">
        <v>6.25</v>
      </c>
      <c r="Q673" s="27">
        <f>SUM('1. Base de donnée HILIN MU CM2 '!$O673+'1. Base de donnée HILIN MU CM2 '!$P673)/2</f>
        <v>7.125</v>
      </c>
      <c r="R673" s="27">
        <v>13.0</v>
      </c>
      <c r="S673" s="27"/>
      <c r="T673" s="27"/>
      <c r="U673" s="30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</row>
    <row r="674" ht="14.25" hidden="1" customHeight="1">
      <c r="A674" s="22" t="s">
        <v>1290</v>
      </c>
      <c r="B674" s="22" t="s">
        <v>26</v>
      </c>
      <c r="C674" s="22" t="s">
        <v>1299</v>
      </c>
      <c r="D674" s="22" t="s">
        <v>1300</v>
      </c>
      <c r="E674" s="22" t="s">
        <v>190</v>
      </c>
      <c r="F674" s="22" t="s">
        <v>1298</v>
      </c>
      <c r="G674" s="23">
        <v>2023.0</v>
      </c>
      <c r="H674" s="23">
        <v>46.0</v>
      </c>
      <c r="I674" s="23">
        <v>693.0</v>
      </c>
      <c r="J674" s="24" t="str">
        <f>'1. Base de donnée HILIN MU CM2 '!$G674&amp;"-"&amp;'1. Base de donnée HILIN MU CM2 '!$H674&amp;"-"&amp;'1. Base de donnée HILIN MU CM2 '!$I674</f>
        <v>2023-46-693</v>
      </c>
      <c r="K674" s="23">
        <f t="shared" si="1"/>
        <v>667</v>
      </c>
      <c r="L674" s="24" t="s">
        <v>31</v>
      </c>
      <c r="M674" s="24"/>
      <c r="N674" s="24"/>
      <c r="O674" s="22">
        <v>1.0</v>
      </c>
      <c r="P674" s="22">
        <v>0.75</v>
      </c>
      <c r="Q674" s="22">
        <f>SUM('1. Base de donnée HILIN MU CM2 '!$O674+'1. Base de donnée HILIN MU CM2 '!$P674)/2</f>
        <v>0.875</v>
      </c>
      <c r="R674" s="22">
        <v>13.0</v>
      </c>
      <c r="S674" s="22">
        <v>17.5</v>
      </c>
      <c r="T674" s="22">
        <f>('1. Base de donnée HILIN MU CM2 '!$R674+'1. Base de donnée HILIN MU CM2 '!$S674)/2</f>
        <v>15.25</v>
      </c>
      <c r="U674" s="25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</row>
    <row r="675" ht="14.25" hidden="1" customHeight="1">
      <c r="A675" s="27" t="s">
        <v>1290</v>
      </c>
      <c r="B675" s="27" t="s">
        <v>26</v>
      </c>
      <c r="C675" s="27" t="s">
        <v>1301</v>
      </c>
      <c r="D675" s="27" t="s">
        <v>1302</v>
      </c>
      <c r="E675" s="27" t="s">
        <v>190</v>
      </c>
      <c r="F675" s="27" t="s">
        <v>1293</v>
      </c>
      <c r="G675" s="28">
        <v>2023.0</v>
      </c>
      <c r="H675" s="28">
        <v>46.0</v>
      </c>
      <c r="I675" s="28">
        <v>694.0</v>
      </c>
      <c r="J675" s="29" t="str">
        <f>'1. Base de donnée HILIN MU CM2 '!$G675&amp;"-"&amp;'1. Base de donnée HILIN MU CM2 '!$H675&amp;"-"&amp;'1. Base de donnée HILIN MU CM2 '!$I675</f>
        <v>2023-46-694</v>
      </c>
      <c r="K675" s="28">
        <f t="shared" si="1"/>
        <v>668</v>
      </c>
      <c r="L675" s="29" t="s">
        <v>31</v>
      </c>
      <c r="M675" s="29"/>
      <c r="N675" s="29"/>
      <c r="O675" s="27">
        <v>0.0</v>
      </c>
      <c r="P675" s="27">
        <v>0.0</v>
      </c>
      <c r="Q675" s="27">
        <f>SUM('1. Base de donnée HILIN MU CM2 '!$O675+'1. Base de donnée HILIN MU CM2 '!$P675)/2</f>
        <v>0</v>
      </c>
      <c r="R675" s="27"/>
      <c r="S675" s="27"/>
      <c r="T675" s="27">
        <f>('1. Base de donnée HILIN MU CM2 '!$R675+'1. Base de donnée HILIN MU CM2 '!$S675)/2</f>
        <v>0</v>
      </c>
      <c r="U675" s="30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</row>
    <row r="676" ht="14.25" hidden="1" customHeight="1">
      <c r="A676" s="22" t="s">
        <v>1290</v>
      </c>
      <c r="B676" s="22" t="s">
        <v>26</v>
      </c>
      <c r="C676" s="22" t="s">
        <v>1303</v>
      </c>
      <c r="D676" s="22" t="s">
        <v>1304</v>
      </c>
      <c r="E676" s="22" t="s">
        <v>190</v>
      </c>
      <c r="F676" s="22" t="s">
        <v>1293</v>
      </c>
      <c r="G676" s="23">
        <v>2023.0</v>
      </c>
      <c r="H676" s="23">
        <v>46.0</v>
      </c>
      <c r="I676" s="23">
        <v>695.0</v>
      </c>
      <c r="J676" s="24" t="str">
        <f>'1. Base de donnée HILIN MU CM2 '!$G676&amp;"-"&amp;'1. Base de donnée HILIN MU CM2 '!$H676&amp;"-"&amp;'1. Base de donnée HILIN MU CM2 '!$I676</f>
        <v>2023-46-695</v>
      </c>
      <c r="K676" s="23">
        <f t="shared" si="1"/>
        <v>669</v>
      </c>
      <c r="L676" s="24" t="s">
        <v>31</v>
      </c>
      <c r="M676" s="24"/>
      <c r="N676" s="24"/>
      <c r="O676" s="22">
        <v>4.5</v>
      </c>
      <c r="P676" s="22">
        <v>2.0</v>
      </c>
      <c r="Q676" s="22">
        <f>SUM('1. Base de donnée HILIN MU CM2 '!$O676+'1. Base de donnée HILIN MU CM2 '!$P676)/2</f>
        <v>3.25</v>
      </c>
      <c r="R676" s="22">
        <v>15.5</v>
      </c>
      <c r="S676" s="22">
        <v>18.5</v>
      </c>
      <c r="T676" s="22">
        <f>('1. Base de donnée HILIN MU CM2 '!$R676+'1. Base de donnée HILIN MU CM2 '!$S676)/2</f>
        <v>17</v>
      </c>
      <c r="U676" s="25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</row>
    <row r="677" ht="14.25" hidden="1" customHeight="1">
      <c r="A677" s="27" t="s">
        <v>1290</v>
      </c>
      <c r="B677" s="27" t="s">
        <v>26</v>
      </c>
      <c r="C677" s="27" t="s">
        <v>1305</v>
      </c>
      <c r="D677" s="27" t="s">
        <v>1306</v>
      </c>
      <c r="E677" s="27" t="s">
        <v>190</v>
      </c>
      <c r="F677" s="27" t="s">
        <v>1293</v>
      </c>
      <c r="G677" s="28">
        <v>2023.0</v>
      </c>
      <c r="H677" s="28">
        <v>46.0</v>
      </c>
      <c r="I677" s="28">
        <v>696.0</v>
      </c>
      <c r="J677" s="29" t="str">
        <f>'1. Base de donnée HILIN MU CM2 '!$G677&amp;"-"&amp;'1. Base de donnée HILIN MU CM2 '!$H677&amp;"-"&amp;'1. Base de donnée HILIN MU CM2 '!$I677</f>
        <v>2023-46-696</v>
      </c>
      <c r="K677" s="28">
        <f t="shared" si="1"/>
        <v>670</v>
      </c>
      <c r="L677" s="29" t="s">
        <v>31</v>
      </c>
      <c r="M677" s="29"/>
      <c r="N677" s="29"/>
      <c r="O677" s="27">
        <v>0.0</v>
      </c>
      <c r="P677" s="27">
        <v>4.0</v>
      </c>
      <c r="Q677" s="27">
        <f>SUM('1. Base de donnée HILIN MU CM2 '!$O677+'1. Base de donnée HILIN MU CM2 '!$P677)/2</f>
        <v>2</v>
      </c>
      <c r="R677" s="27">
        <v>18.0</v>
      </c>
      <c r="S677" s="27">
        <v>18.0</v>
      </c>
      <c r="T677" s="27">
        <f>('1. Base de donnée HILIN MU CM2 '!$R677+'1. Base de donnée HILIN MU CM2 '!$S677)/2</f>
        <v>18</v>
      </c>
      <c r="U677" s="30" t="s">
        <v>1307</v>
      </c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</row>
    <row r="678" ht="14.25" hidden="1" customHeight="1">
      <c r="A678" s="22" t="s">
        <v>1290</v>
      </c>
      <c r="B678" s="22" t="s">
        <v>26</v>
      </c>
      <c r="C678" s="22" t="s">
        <v>1308</v>
      </c>
      <c r="D678" s="22" t="s">
        <v>207</v>
      </c>
      <c r="E678" s="22" t="s">
        <v>190</v>
      </c>
      <c r="F678" s="22" t="s">
        <v>1293</v>
      </c>
      <c r="G678" s="23">
        <v>2023.0</v>
      </c>
      <c r="H678" s="23">
        <v>46.0</v>
      </c>
      <c r="I678" s="23">
        <v>697.0</v>
      </c>
      <c r="J678" s="24" t="str">
        <f>'1. Base de donnée HILIN MU CM2 '!$G678&amp;"-"&amp;'1. Base de donnée HILIN MU CM2 '!$H678&amp;"-"&amp;'1. Base de donnée HILIN MU CM2 '!$I678</f>
        <v>2023-46-697</v>
      </c>
      <c r="K678" s="23">
        <f t="shared" si="1"/>
        <v>671</v>
      </c>
      <c r="L678" s="24" t="s">
        <v>31</v>
      </c>
      <c r="M678" s="24"/>
      <c r="N678" s="24"/>
      <c r="O678" s="22">
        <v>10.0</v>
      </c>
      <c r="P678" s="22">
        <v>5.5</v>
      </c>
      <c r="Q678" s="22">
        <f>SUM('1. Base de donnée HILIN MU CM2 '!$O678+'1. Base de donnée HILIN MU CM2 '!$P678)/2</f>
        <v>7.75</v>
      </c>
      <c r="R678" s="22">
        <v>14.5</v>
      </c>
      <c r="S678" s="22">
        <v>15.0</v>
      </c>
      <c r="T678" s="22">
        <f>('1. Base de donnée HILIN MU CM2 '!$R678+'1. Base de donnée HILIN MU CM2 '!$S678)/2</f>
        <v>14.75</v>
      </c>
      <c r="U678" s="25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</row>
    <row r="679" ht="14.25" hidden="1" customHeight="1">
      <c r="A679" s="27" t="s">
        <v>1290</v>
      </c>
      <c r="B679" s="27" t="s">
        <v>26</v>
      </c>
      <c r="C679" s="27" t="s">
        <v>1309</v>
      </c>
      <c r="D679" s="27" t="s">
        <v>1310</v>
      </c>
      <c r="E679" s="27" t="s">
        <v>190</v>
      </c>
      <c r="F679" s="27" t="s">
        <v>1298</v>
      </c>
      <c r="G679" s="28">
        <v>2023.0</v>
      </c>
      <c r="H679" s="28">
        <v>46.0</v>
      </c>
      <c r="I679" s="28">
        <v>698.0</v>
      </c>
      <c r="J679" s="29" t="str">
        <f>'1. Base de donnée HILIN MU CM2 '!$G679&amp;"-"&amp;'1. Base de donnée HILIN MU CM2 '!$H679&amp;"-"&amp;'1. Base de donnée HILIN MU CM2 '!$I679</f>
        <v>2023-46-698</v>
      </c>
      <c r="K679" s="28">
        <f t="shared" si="1"/>
        <v>672</v>
      </c>
      <c r="L679" s="29" t="s">
        <v>31</v>
      </c>
      <c r="M679" s="29"/>
      <c r="N679" s="29"/>
      <c r="O679" s="27">
        <v>2.0</v>
      </c>
      <c r="P679" s="27">
        <v>3.0</v>
      </c>
      <c r="Q679" s="27">
        <f>SUM('1. Base de donnée HILIN MU CM2 '!$O679+'1. Base de donnée HILIN MU CM2 '!$P679)/2</f>
        <v>2.5</v>
      </c>
      <c r="R679" s="27">
        <v>15.0</v>
      </c>
      <c r="S679" s="27">
        <v>16.5</v>
      </c>
      <c r="T679" s="27">
        <f>('1. Base de donnée HILIN MU CM2 '!$R679+'1. Base de donnée HILIN MU CM2 '!$S679)/2</f>
        <v>15.75</v>
      </c>
      <c r="U679" s="30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</row>
    <row r="680" ht="14.25" hidden="1" customHeight="1">
      <c r="A680" s="22" t="s">
        <v>1290</v>
      </c>
      <c r="B680" s="22" t="s">
        <v>26</v>
      </c>
      <c r="C680" s="22" t="s">
        <v>1311</v>
      </c>
      <c r="D680" s="22" t="s">
        <v>1312</v>
      </c>
      <c r="E680" s="22" t="s">
        <v>190</v>
      </c>
      <c r="F680" s="22" t="s">
        <v>1298</v>
      </c>
      <c r="G680" s="23">
        <v>2023.0</v>
      </c>
      <c r="H680" s="23">
        <v>46.0</v>
      </c>
      <c r="I680" s="23">
        <v>699.0</v>
      </c>
      <c r="J680" s="24" t="str">
        <f>'1. Base de donnée HILIN MU CM2 '!$G680&amp;"-"&amp;'1. Base de donnée HILIN MU CM2 '!$H680&amp;"-"&amp;'1. Base de donnée HILIN MU CM2 '!$I680</f>
        <v>2023-46-699</v>
      </c>
      <c r="K680" s="23">
        <f t="shared" si="1"/>
        <v>673</v>
      </c>
      <c r="L680" s="24" t="s">
        <v>31</v>
      </c>
      <c r="M680" s="24"/>
      <c r="N680" s="24"/>
      <c r="O680" s="22">
        <v>3.0</v>
      </c>
      <c r="P680" s="22">
        <v>0.0</v>
      </c>
      <c r="Q680" s="22">
        <f>SUM('1. Base de donnée HILIN MU CM2 '!$O680+'1. Base de donnée HILIN MU CM2 '!$P680)/2</f>
        <v>1.5</v>
      </c>
      <c r="R680" s="22">
        <v>19.0</v>
      </c>
      <c r="S680" s="22">
        <v>19.5</v>
      </c>
      <c r="T680" s="22">
        <f>('1. Base de donnée HILIN MU CM2 '!$R680+'1. Base de donnée HILIN MU CM2 '!$S680)/2</f>
        <v>19.25</v>
      </c>
      <c r="U680" s="25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</row>
    <row r="681" ht="14.25" hidden="1" customHeight="1">
      <c r="A681" s="27" t="s">
        <v>1290</v>
      </c>
      <c r="B681" s="27" t="s">
        <v>26</v>
      </c>
      <c r="C681" s="27" t="s">
        <v>1313</v>
      </c>
      <c r="D681" s="27" t="s">
        <v>1314</v>
      </c>
      <c r="E681" s="27" t="s">
        <v>190</v>
      </c>
      <c r="F681" s="27" t="s">
        <v>1293</v>
      </c>
      <c r="G681" s="28">
        <v>2023.0</v>
      </c>
      <c r="H681" s="28">
        <v>46.0</v>
      </c>
      <c r="I681" s="28">
        <v>700.0</v>
      </c>
      <c r="J681" s="29" t="str">
        <f>'1. Base de donnée HILIN MU CM2 '!$G681&amp;"-"&amp;'1. Base de donnée HILIN MU CM2 '!$H681&amp;"-"&amp;'1. Base de donnée HILIN MU CM2 '!$I681</f>
        <v>2023-46-700</v>
      </c>
      <c r="K681" s="28">
        <f t="shared" si="1"/>
        <v>674</v>
      </c>
      <c r="L681" s="29" t="s">
        <v>31</v>
      </c>
      <c r="M681" s="29"/>
      <c r="N681" s="29"/>
      <c r="O681" s="27">
        <v>0.0</v>
      </c>
      <c r="P681" s="27">
        <v>1.0</v>
      </c>
      <c r="Q681" s="27">
        <f>SUM('1. Base de donnée HILIN MU CM2 '!$O681+'1. Base de donnée HILIN MU CM2 '!$P681)/2</f>
        <v>0.5</v>
      </c>
      <c r="R681" s="27">
        <v>15.5</v>
      </c>
      <c r="S681" s="27">
        <v>19.5</v>
      </c>
      <c r="T681" s="27">
        <f>('1. Base de donnée HILIN MU CM2 '!$R681+'1. Base de donnée HILIN MU CM2 '!$S681)/2</f>
        <v>17.5</v>
      </c>
      <c r="U681" s="30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</row>
    <row r="682" ht="14.25" hidden="1" customHeight="1">
      <c r="A682" s="22" t="s">
        <v>1290</v>
      </c>
      <c r="B682" s="22" t="s">
        <v>26</v>
      </c>
      <c r="C682" s="22" t="s">
        <v>1315</v>
      </c>
      <c r="D682" s="22" t="s">
        <v>1316</v>
      </c>
      <c r="E682" s="22" t="s">
        <v>190</v>
      </c>
      <c r="F682" s="22" t="s">
        <v>1298</v>
      </c>
      <c r="G682" s="23">
        <v>2023.0</v>
      </c>
      <c r="H682" s="23">
        <v>46.0</v>
      </c>
      <c r="I682" s="23">
        <v>701.0</v>
      </c>
      <c r="J682" s="24" t="str">
        <f>'1. Base de donnée HILIN MU CM2 '!$G682&amp;"-"&amp;'1. Base de donnée HILIN MU CM2 '!$H682&amp;"-"&amp;'1. Base de donnée HILIN MU CM2 '!$I682</f>
        <v>2023-46-701</v>
      </c>
      <c r="K682" s="23">
        <f t="shared" si="1"/>
        <v>675</v>
      </c>
      <c r="L682" s="24" t="s">
        <v>31</v>
      </c>
      <c r="M682" s="24"/>
      <c r="N682" s="24"/>
      <c r="O682" s="22">
        <v>0.75</v>
      </c>
      <c r="P682" s="22">
        <v>1.0</v>
      </c>
      <c r="Q682" s="22">
        <f>SUM('1. Base de donnée HILIN MU CM2 '!$O682+'1. Base de donnée HILIN MU CM2 '!$P682)/2</f>
        <v>0.875</v>
      </c>
      <c r="R682" s="22">
        <v>14.5</v>
      </c>
      <c r="S682" s="22">
        <v>16.0</v>
      </c>
      <c r="T682" s="22">
        <f>('1. Base de donnée HILIN MU CM2 '!$R682+'1. Base de donnée HILIN MU CM2 '!$S682)/2</f>
        <v>15.25</v>
      </c>
      <c r="U682" s="25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</row>
    <row r="683" ht="14.25" hidden="1" customHeight="1">
      <c r="A683" s="27" t="s">
        <v>1290</v>
      </c>
      <c r="B683" s="27" t="s">
        <v>26</v>
      </c>
      <c r="C683" s="27" t="s">
        <v>1317</v>
      </c>
      <c r="D683" s="27" t="s">
        <v>1318</v>
      </c>
      <c r="E683" s="27" t="s">
        <v>190</v>
      </c>
      <c r="F683" s="27" t="s">
        <v>1293</v>
      </c>
      <c r="G683" s="28">
        <v>2023.0</v>
      </c>
      <c r="H683" s="28">
        <v>46.0</v>
      </c>
      <c r="I683" s="28">
        <v>702.0</v>
      </c>
      <c r="J683" s="29" t="str">
        <f>'1. Base de donnée HILIN MU CM2 '!$G683&amp;"-"&amp;'1. Base de donnée HILIN MU CM2 '!$H683&amp;"-"&amp;'1. Base de donnée HILIN MU CM2 '!$I683</f>
        <v>2023-46-702</v>
      </c>
      <c r="K683" s="28">
        <f t="shared" si="1"/>
        <v>676</v>
      </c>
      <c r="L683" s="29" t="s">
        <v>31</v>
      </c>
      <c r="M683" s="29"/>
      <c r="N683" s="29"/>
      <c r="O683" s="27">
        <v>3.5</v>
      </c>
      <c r="P683" s="27">
        <v>0.25</v>
      </c>
      <c r="Q683" s="27">
        <f>SUM('1. Base de donnée HILIN MU CM2 '!$O683+'1. Base de donnée HILIN MU CM2 '!$P683)/2</f>
        <v>1.875</v>
      </c>
      <c r="R683" s="27">
        <v>16.0</v>
      </c>
      <c r="S683" s="27">
        <v>18.5</v>
      </c>
      <c r="T683" s="27">
        <f>('1. Base de donnée HILIN MU CM2 '!$R683+'1. Base de donnée HILIN MU CM2 '!$S683)/2</f>
        <v>17.25</v>
      </c>
      <c r="U683" s="30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</row>
    <row r="684" ht="14.25" hidden="1" customHeight="1">
      <c r="A684" s="22" t="s">
        <v>1290</v>
      </c>
      <c r="B684" s="22" t="s">
        <v>26</v>
      </c>
      <c r="C684" s="22" t="s">
        <v>1319</v>
      </c>
      <c r="D684" s="22" t="s">
        <v>1320</v>
      </c>
      <c r="E684" s="22" t="s">
        <v>190</v>
      </c>
      <c r="F684" s="22" t="s">
        <v>1298</v>
      </c>
      <c r="G684" s="23">
        <v>2023.0</v>
      </c>
      <c r="H684" s="23">
        <v>46.0</v>
      </c>
      <c r="I684" s="23">
        <v>703.0</v>
      </c>
      <c r="J684" s="24" t="str">
        <f>'1. Base de donnée HILIN MU CM2 '!$G684&amp;"-"&amp;'1. Base de donnée HILIN MU CM2 '!$H684&amp;"-"&amp;'1. Base de donnée HILIN MU CM2 '!$I684</f>
        <v>2023-46-703</v>
      </c>
      <c r="K684" s="23">
        <f t="shared" si="1"/>
        <v>677</v>
      </c>
      <c r="L684" s="24" t="s">
        <v>31</v>
      </c>
      <c r="M684" s="24"/>
      <c r="N684" s="24"/>
      <c r="O684" s="22">
        <v>8.0</v>
      </c>
      <c r="P684" s="22">
        <v>5.0</v>
      </c>
      <c r="Q684" s="22">
        <f>SUM('1. Base de donnée HILIN MU CM2 '!$O684+'1. Base de donnée HILIN MU CM2 '!$P684)/2</f>
        <v>6.5</v>
      </c>
      <c r="R684" s="22">
        <v>13.5</v>
      </c>
      <c r="S684" s="22">
        <v>17.0</v>
      </c>
      <c r="T684" s="22">
        <f>('1. Base de donnée HILIN MU CM2 '!$R684+'1. Base de donnée HILIN MU CM2 '!$S684)/2</f>
        <v>15.25</v>
      </c>
      <c r="U684" s="25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</row>
    <row r="685" ht="14.25" hidden="1" customHeight="1">
      <c r="A685" s="27" t="s">
        <v>1290</v>
      </c>
      <c r="B685" s="27" t="s">
        <v>26</v>
      </c>
      <c r="C685" s="27" t="s">
        <v>1321</v>
      </c>
      <c r="D685" s="27" t="s">
        <v>1306</v>
      </c>
      <c r="E685" s="27" t="s">
        <v>190</v>
      </c>
      <c r="F685" s="27" t="s">
        <v>1298</v>
      </c>
      <c r="G685" s="28">
        <v>2023.0</v>
      </c>
      <c r="H685" s="28">
        <v>46.0</v>
      </c>
      <c r="I685" s="28">
        <v>704.0</v>
      </c>
      <c r="J685" s="29" t="str">
        <f>'1. Base de donnée HILIN MU CM2 '!$G685&amp;"-"&amp;'1. Base de donnée HILIN MU CM2 '!$H685&amp;"-"&amp;'1. Base de donnée HILIN MU CM2 '!$I685</f>
        <v>2023-46-704</v>
      </c>
      <c r="K685" s="28">
        <f t="shared" si="1"/>
        <v>678</v>
      </c>
      <c r="L685" s="29" t="s">
        <v>31</v>
      </c>
      <c r="M685" s="29"/>
      <c r="N685" s="29"/>
      <c r="O685" s="27">
        <v>1.0</v>
      </c>
      <c r="P685" s="27">
        <v>4.0</v>
      </c>
      <c r="Q685" s="27">
        <f>SUM('1. Base de donnée HILIN MU CM2 '!$O685+'1. Base de donnée HILIN MU CM2 '!$P685)/2</f>
        <v>2.5</v>
      </c>
      <c r="R685" s="27">
        <v>17.5</v>
      </c>
      <c r="S685" s="27">
        <v>18.5</v>
      </c>
      <c r="T685" s="27">
        <f>('1. Base de donnée HILIN MU CM2 '!$R685+'1. Base de donnée HILIN MU CM2 '!$S685)/2</f>
        <v>18</v>
      </c>
      <c r="U685" s="30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</row>
    <row r="686" ht="14.25" hidden="1" customHeight="1">
      <c r="A686" s="22" t="s">
        <v>1290</v>
      </c>
      <c r="B686" s="22" t="s">
        <v>26</v>
      </c>
      <c r="C686" s="22" t="s">
        <v>1322</v>
      </c>
      <c r="D686" s="22" t="s">
        <v>1320</v>
      </c>
      <c r="E686" s="22" t="s">
        <v>190</v>
      </c>
      <c r="F686" s="22" t="s">
        <v>1293</v>
      </c>
      <c r="G686" s="23">
        <v>2023.0</v>
      </c>
      <c r="H686" s="23">
        <v>46.0</v>
      </c>
      <c r="I686" s="23">
        <v>705.0</v>
      </c>
      <c r="J686" s="24" t="str">
        <f>'1. Base de donnée HILIN MU CM2 '!$G686&amp;"-"&amp;'1. Base de donnée HILIN MU CM2 '!$H686&amp;"-"&amp;'1. Base de donnée HILIN MU CM2 '!$I686</f>
        <v>2023-46-705</v>
      </c>
      <c r="K686" s="23">
        <f t="shared" si="1"/>
        <v>679</v>
      </c>
      <c r="L686" s="24" t="s">
        <v>31</v>
      </c>
      <c r="M686" s="24"/>
      <c r="N686" s="24"/>
      <c r="O686" s="22">
        <v>2.0</v>
      </c>
      <c r="P686" s="22">
        <v>4.5</v>
      </c>
      <c r="Q686" s="22">
        <f>SUM('1. Base de donnée HILIN MU CM2 '!$O686+'1. Base de donnée HILIN MU CM2 '!$P686)/2</f>
        <v>3.25</v>
      </c>
      <c r="R686" s="22">
        <v>12.0</v>
      </c>
      <c r="S686" s="22">
        <v>14.0</v>
      </c>
      <c r="T686" s="22">
        <f>('1. Base de donnée HILIN MU CM2 '!$R686+'1. Base de donnée HILIN MU CM2 '!$S686)/2</f>
        <v>13</v>
      </c>
      <c r="U686" s="25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</row>
    <row r="687" ht="14.25" hidden="1" customHeight="1">
      <c r="A687" s="27" t="s">
        <v>1290</v>
      </c>
      <c r="B687" s="27" t="s">
        <v>26</v>
      </c>
      <c r="C687" s="27" t="s">
        <v>1323</v>
      </c>
      <c r="D687" s="27" t="s">
        <v>1324</v>
      </c>
      <c r="E687" s="27" t="s">
        <v>190</v>
      </c>
      <c r="F687" s="27" t="s">
        <v>1293</v>
      </c>
      <c r="G687" s="28">
        <v>2023.0</v>
      </c>
      <c r="H687" s="28">
        <v>46.0</v>
      </c>
      <c r="I687" s="28">
        <v>707.0</v>
      </c>
      <c r="J687" s="29" t="str">
        <f>'1. Base de donnée HILIN MU CM2 '!$G687&amp;"-"&amp;'1. Base de donnée HILIN MU CM2 '!$H687&amp;"-"&amp;'1. Base de donnée HILIN MU CM2 '!$I687</f>
        <v>2023-46-707</v>
      </c>
      <c r="K687" s="28">
        <f t="shared" si="1"/>
        <v>680</v>
      </c>
      <c r="L687" s="29" t="s">
        <v>31</v>
      </c>
      <c r="M687" s="29"/>
      <c r="N687" s="29"/>
      <c r="O687" s="27">
        <v>0.0</v>
      </c>
      <c r="P687" s="27">
        <v>2.0</v>
      </c>
      <c r="Q687" s="27">
        <f>SUM('1. Base de donnée HILIN MU CM2 '!$O687+'1. Base de donnée HILIN MU CM2 '!$P687)/2</f>
        <v>1</v>
      </c>
      <c r="R687" s="27">
        <v>14.25</v>
      </c>
      <c r="S687" s="27">
        <v>19.5</v>
      </c>
      <c r="T687" s="27">
        <f>('1. Base de donnée HILIN MU CM2 '!$R687+'1. Base de donnée HILIN MU CM2 '!$S687)/2</f>
        <v>16.875</v>
      </c>
      <c r="U687" s="30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</row>
    <row r="688" ht="14.25" hidden="1" customHeight="1">
      <c r="A688" s="22" t="s">
        <v>1290</v>
      </c>
      <c r="B688" s="22" t="s">
        <v>26</v>
      </c>
      <c r="C688" s="22" t="s">
        <v>1325</v>
      </c>
      <c r="D688" s="22" t="s">
        <v>1326</v>
      </c>
      <c r="E688" s="22" t="s">
        <v>190</v>
      </c>
      <c r="F688" s="22" t="s">
        <v>1298</v>
      </c>
      <c r="G688" s="23">
        <v>2023.0</v>
      </c>
      <c r="H688" s="23">
        <v>46.0</v>
      </c>
      <c r="I688" s="23">
        <v>708.0</v>
      </c>
      <c r="J688" s="24" t="str">
        <f>'1. Base de donnée HILIN MU CM2 '!$G688&amp;"-"&amp;'1. Base de donnée HILIN MU CM2 '!$H688&amp;"-"&amp;'1. Base de donnée HILIN MU CM2 '!$I688</f>
        <v>2023-46-708</v>
      </c>
      <c r="K688" s="23">
        <f t="shared" si="1"/>
        <v>681</v>
      </c>
      <c r="L688" s="24" t="s">
        <v>31</v>
      </c>
      <c r="M688" s="24"/>
      <c r="N688" s="24"/>
      <c r="O688" s="22">
        <v>5.0</v>
      </c>
      <c r="P688" s="22">
        <v>3.0</v>
      </c>
      <c r="Q688" s="22">
        <f>SUM('1. Base de donnée HILIN MU CM2 '!$O688+'1. Base de donnée HILIN MU CM2 '!$P688)/2</f>
        <v>4</v>
      </c>
      <c r="R688" s="22">
        <v>11.0</v>
      </c>
      <c r="S688" s="22">
        <v>12.0</v>
      </c>
      <c r="T688" s="22">
        <f>('1. Base de donnée HILIN MU CM2 '!$R688+'1. Base de donnée HILIN MU CM2 '!$S688)/2</f>
        <v>11.5</v>
      </c>
      <c r="U688" s="25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</row>
    <row r="689" ht="14.25" hidden="1" customHeight="1">
      <c r="A689" s="27" t="s">
        <v>1290</v>
      </c>
      <c r="B689" s="27" t="s">
        <v>26</v>
      </c>
      <c r="C689" s="27" t="s">
        <v>1327</v>
      </c>
      <c r="D689" s="27" t="s">
        <v>1328</v>
      </c>
      <c r="E689" s="27" t="s">
        <v>190</v>
      </c>
      <c r="F689" s="27" t="s">
        <v>1293</v>
      </c>
      <c r="G689" s="28">
        <v>2023.0</v>
      </c>
      <c r="H689" s="28">
        <v>46.0</v>
      </c>
      <c r="I689" s="28">
        <v>709.0</v>
      </c>
      <c r="J689" s="29" t="str">
        <f>'1. Base de donnée HILIN MU CM2 '!$G689&amp;"-"&amp;'1. Base de donnée HILIN MU CM2 '!$H689&amp;"-"&amp;'1. Base de donnée HILIN MU CM2 '!$I689</f>
        <v>2023-46-709</v>
      </c>
      <c r="K689" s="28">
        <f t="shared" si="1"/>
        <v>682</v>
      </c>
      <c r="L689" s="29" t="s">
        <v>31</v>
      </c>
      <c r="M689" s="29"/>
      <c r="N689" s="29"/>
      <c r="O689" s="27">
        <v>0.75</v>
      </c>
      <c r="P689" s="27">
        <v>3.0</v>
      </c>
      <c r="Q689" s="27">
        <f>SUM('1. Base de donnée HILIN MU CM2 '!$O689+'1. Base de donnée HILIN MU CM2 '!$P689)/2</f>
        <v>1.875</v>
      </c>
      <c r="R689" s="27">
        <v>14.5</v>
      </c>
      <c r="S689" s="27">
        <v>15.0</v>
      </c>
      <c r="T689" s="27">
        <f>('1. Base de donnée HILIN MU CM2 '!$R689+'1. Base de donnée HILIN MU CM2 '!$S689)/2</f>
        <v>14.75</v>
      </c>
      <c r="U689" s="30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</row>
    <row r="690" ht="14.25" hidden="1" customHeight="1">
      <c r="A690" s="22" t="s">
        <v>1290</v>
      </c>
      <c r="B690" s="22" t="s">
        <v>26</v>
      </c>
      <c r="C690" s="22" t="s">
        <v>1329</v>
      </c>
      <c r="D690" s="22" t="s">
        <v>1330</v>
      </c>
      <c r="E690" s="22" t="s">
        <v>190</v>
      </c>
      <c r="F690" s="22" t="s">
        <v>1293</v>
      </c>
      <c r="G690" s="23">
        <v>2023.0</v>
      </c>
      <c r="H690" s="23">
        <v>46.0</v>
      </c>
      <c r="I690" s="23">
        <v>710.0</v>
      </c>
      <c r="J690" s="24" t="str">
        <f>'1. Base de donnée HILIN MU CM2 '!$G690&amp;"-"&amp;'1. Base de donnée HILIN MU CM2 '!$H690&amp;"-"&amp;'1. Base de donnée HILIN MU CM2 '!$I690</f>
        <v>2023-46-710</v>
      </c>
      <c r="K690" s="23">
        <f t="shared" si="1"/>
        <v>683</v>
      </c>
      <c r="L690" s="24" t="s">
        <v>31</v>
      </c>
      <c r="M690" s="24"/>
      <c r="N690" s="24"/>
      <c r="O690" s="22">
        <v>6.0</v>
      </c>
      <c r="P690" s="22">
        <v>2.0</v>
      </c>
      <c r="Q690" s="22">
        <f>SUM('1. Base de donnée HILIN MU CM2 '!$O690+'1. Base de donnée HILIN MU CM2 '!$P690)/2</f>
        <v>4</v>
      </c>
      <c r="R690" s="22">
        <v>16.0</v>
      </c>
      <c r="S690" s="22">
        <v>18.5</v>
      </c>
      <c r="T690" s="22">
        <f>('1. Base de donnée HILIN MU CM2 '!$R690+'1. Base de donnée HILIN MU CM2 '!$S690)/2</f>
        <v>17.25</v>
      </c>
      <c r="U690" s="25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</row>
    <row r="691" ht="14.25" hidden="1" customHeight="1">
      <c r="A691" s="27" t="s">
        <v>1290</v>
      </c>
      <c r="B691" s="27" t="s">
        <v>26</v>
      </c>
      <c r="C691" s="27" t="s">
        <v>1331</v>
      </c>
      <c r="D691" s="27" t="s">
        <v>245</v>
      </c>
      <c r="E691" s="27" t="s">
        <v>190</v>
      </c>
      <c r="F691" s="27" t="s">
        <v>1298</v>
      </c>
      <c r="G691" s="28">
        <v>2023.0</v>
      </c>
      <c r="H691" s="28">
        <v>46.0</v>
      </c>
      <c r="I691" s="28">
        <v>711.0</v>
      </c>
      <c r="J691" s="29" t="str">
        <f>'1. Base de donnée HILIN MU CM2 '!$G691&amp;"-"&amp;'1. Base de donnée HILIN MU CM2 '!$H691&amp;"-"&amp;'1. Base de donnée HILIN MU CM2 '!$I691</f>
        <v>2023-46-711</v>
      </c>
      <c r="K691" s="28">
        <f t="shared" si="1"/>
        <v>684</v>
      </c>
      <c r="L691" s="29" t="s">
        <v>31</v>
      </c>
      <c r="M691" s="29"/>
      <c r="N691" s="29"/>
      <c r="O691" s="27">
        <v>3.0</v>
      </c>
      <c r="P691" s="27">
        <v>4.0</v>
      </c>
      <c r="Q691" s="27">
        <f>SUM('1. Base de donnée HILIN MU CM2 '!$O691+'1. Base de donnée HILIN MU CM2 '!$P691)/2</f>
        <v>3.5</v>
      </c>
      <c r="R691" s="27">
        <v>15.0</v>
      </c>
      <c r="S691" s="27">
        <v>12.5</v>
      </c>
      <c r="T691" s="27">
        <f>('1. Base de donnée HILIN MU CM2 '!$R691+'1. Base de donnée HILIN MU CM2 '!$S691)/2</f>
        <v>13.75</v>
      </c>
      <c r="U691" s="30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</row>
    <row r="692" ht="14.25" hidden="1" customHeight="1">
      <c r="A692" s="22" t="s">
        <v>1290</v>
      </c>
      <c r="B692" s="22" t="s">
        <v>26</v>
      </c>
      <c r="C692" s="22" t="s">
        <v>1332</v>
      </c>
      <c r="D692" s="22" t="s">
        <v>1333</v>
      </c>
      <c r="E692" s="22" t="s">
        <v>190</v>
      </c>
      <c r="F692" s="22" t="s">
        <v>1298</v>
      </c>
      <c r="G692" s="23">
        <v>2023.0</v>
      </c>
      <c r="H692" s="23">
        <v>46.0</v>
      </c>
      <c r="I692" s="23">
        <v>712.0</v>
      </c>
      <c r="J692" s="24" t="str">
        <f>'1. Base de donnée HILIN MU CM2 '!$G692&amp;"-"&amp;'1. Base de donnée HILIN MU CM2 '!$H692&amp;"-"&amp;'1. Base de donnée HILIN MU CM2 '!$I692</f>
        <v>2023-46-712</v>
      </c>
      <c r="K692" s="23">
        <f t="shared" si="1"/>
        <v>685</v>
      </c>
      <c r="L692" s="24" t="s">
        <v>31</v>
      </c>
      <c r="M692" s="24"/>
      <c r="N692" s="24"/>
      <c r="O692" s="22">
        <v>4.0</v>
      </c>
      <c r="P692" s="22">
        <v>2.25</v>
      </c>
      <c r="Q692" s="22">
        <f>SUM('1. Base de donnée HILIN MU CM2 '!$O692+'1. Base de donnée HILIN MU CM2 '!$P692)/2</f>
        <v>3.125</v>
      </c>
      <c r="R692" s="22">
        <v>19.5</v>
      </c>
      <c r="S692" s="22">
        <v>19.5</v>
      </c>
      <c r="T692" s="22">
        <f>('1. Base de donnée HILIN MU CM2 '!$R692+'1. Base de donnée HILIN MU CM2 '!$S692)/2</f>
        <v>19.5</v>
      </c>
      <c r="U692" s="25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</row>
    <row r="693" ht="14.25" hidden="1" customHeight="1">
      <c r="A693" s="27" t="s">
        <v>1290</v>
      </c>
      <c r="B693" s="27" t="s">
        <v>26</v>
      </c>
      <c r="C693" s="27" t="s">
        <v>1334</v>
      </c>
      <c r="D693" s="27" t="s">
        <v>176</v>
      </c>
      <c r="E693" s="27" t="s">
        <v>190</v>
      </c>
      <c r="F693" s="27" t="s">
        <v>1298</v>
      </c>
      <c r="G693" s="28">
        <v>2023.0</v>
      </c>
      <c r="H693" s="28">
        <v>46.0</v>
      </c>
      <c r="I693" s="28">
        <v>899.0</v>
      </c>
      <c r="J693" s="29" t="str">
        <f>'1. Base de donnée HILIN MU CM2 '!$G693&amp;"-"&amp;'1. Base de donnée HILIN MU CM2 '!$H693&amp;"-"&amp;'1. Base de donnée HILIN MU CM2 '!$I693</f>
        <v>2023-46-899</v>
      </c>
      <c r="K693" s="28">
        <f t="shared" si="1"/>
        <v>686</v>
      </c>
      <c r="L693" s="29" t="s">
        <v>31</v>
      </c>
      <c r="M693" s="29"/>
      <c r="N693" s="29"/>
      <c r="O693" s="27">
        <v>7.0</v>
      </c>
      <c r="P693" s="27">
        <v>3.75</v>
      </c>
      <c r="Q693" s="27">
        <f>SUM('1. Base de donnée HILIN MU CM2 '!$O693+'1. Base de donnée HILIN MU CM2 '!$P693)/2</f>
        <v>5.375</v>
      </c>
      <c r="R693" s="27">
        <v>17.0</v>
      </c>
      <c r="S693" s="27">
        <v>15.0</v>
      </c>
      <c r="T693" s="31">
        <f>('1. Base de donnée HILIN MU CM2 '!$R693+'1. Base de donnée HILIN MU CM2 '!$S693)/2</f>
        <v>16</v>
      </c>
      <c r="U693" s="30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</row>
    <row r="694" ht="14.25" hidden="1" customHeight="1">
      <c r="A694" s="22" t="s">
        <v>1290</v>
      </c>
      <c r="B694" s="22" t="s">
        <v>26</v>
      </c>
      <c r="C694" s="22" t="s">
        <v>1335</v>
      </c>
      <c r="D694" s="22" t="s">
        <v>67</v>
      </c>
      <c r="E694" s="22" t="s">
        <v>190</v>
      </c>
      <c r="F694" s="22" t="s">
        <v>1293</v>
      </c>
      <c r="G694" s="23">
        <v>2023.0</v>
      </c>
      <c r="H694" s="23">
        <v>46.0</v>
      </c>
      <c r="I694" s="23">
        <v>900.0</v>
      </c>
      <c r="J694" s="24" t="str">
        <f>'1. Base de donnée HILIN MU CM2 '!$G694&amp;"-"&amp;'1. Base de donnée HILIN MU CM2 '!$H694&amp;"-"&amp;'1. Base de donnée HILIN MU CM2 '!$I694</f>
        <v>2023-46-900</v>
      </c>
      <c r="K694" s="23">
        <f t="shared" si="1"/>
        <v>687</v>
      </c>
      <c r="L694" s="24" t="s">
        <v>31</v>
      </c>
      <c r="M694" s="24"/>
      <c r="N694" s="24"/>
      <c r="O694" s="22">
        <v>8.0</v>
      </c>
      <c r="P694" s="22">
        <v>1.5</v>
      </c>
      <c r="Q694" s="22">
        <f>SUM('1. Base de donnée HILIN MU CM2 '!$O694+'1. Base de donnée HILIN MU CM2 '!$P694)/2</f>
        <v>4.75</v>
      </c>
      <c r="R694" s="22">
        <v>15.5</v>
      </c>
      <c r="S694" s="22">
        <v>16.5</v>
      </c>
      <c r="T694" s="32">
        <f>('1. Base de donnée HILIN MU CM2 '!$R694+'1. Base de donnée HILIN MU CM2 '!$S694)/2</f>
        <v>16</v>
      </c>
      <c r="U694" s="25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</row>
    <row r="695" ht="14.25" hidden="1" customHeight="1">
      <c r="A695" s="27" t="s">
        <v>1290</v>
      </c>
      <c r="B695" s="27" t="s">
        <v>26</v>
      </c>
      <c r="C695" s="27" t="s">
        <v>1336</v>
      </c>
      <c r="D695" s="27" t="s">
        <v>289</v>
      </c>
      <c r="E695" s="27" t="s">
        <v>190</v>
      </c>
      <c r="F695" s="27" t="s">
        <v>1298</v>
      </c>
      <c r="G695" s="28">
        <v>2023.0</v>
      </c>
      <c r="H695" s="28">
        <v>46.0</v>
      </c>
      <c r="I695" s="28">
        <v>901.0</v>
      </c>
      <c r="J695" s="29" t="str">
        <f>'1. Base de donnée HILIN MU CM2 '!$G695&amp;"-"&amp;'1. Base de donnée HILIN MU CM2 '!$H695&amp;"-"&amp;'1. Base de donnée HILIN MU CM2 '!$I695</f>
        <v>2023-46-901</v>
      </c>
      <c r="K695" s="28">
        <f t="shared" si="1"/>
        <v>688</v>
      </c>
      <c r="L695" s="29" t="s">
        <v>31</v>
      </c>
      <c r="M695" s="29"/>
      <c r="N695" s="29"/>
      <c r="O695" s="27">
        <v>0.0</v>
      </c>
      <c r="P695" s="27">
        <v>0.0</v>
      </c>
      <c r="Q695" s="27">
        <f>SUM('1. Base de donnée HILIN MU CM2 '!$O695+'1. Base de donnée HILIN MU CM2 '!$P695)/2</f>
        <v>0</v>
      </c>
      <c r="R695" s="27">
        <v>16.0</v>
      </c>
      <c r="S695" s="27">
        <v>19.5</v>
      </c>
      <c r="T695" s="31">
        <f>('1. Base de donnée HILIN MU CM2 '!$R695+'1. Base de donnée HILIN MU CM2 '!$S695)/2</f>
        <v>17.75</v>
      </c>
      <c r="U695" s="30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</row>
    <row r="696" ht="14.25" hidden="1" customHeight="1">
      <c r="A696" s="22" t="s">
        <v>1290</v>
      </c>
      <c r="B696" s="22" t="s">
        <v>26</v>
      </c>
      <c r="C696" s="22" t="s">
        <v>1337</v>
      </c>
      <c r="D696" s="22" t="s">
        <v>1338</v>
      </c>
      <c r="E696" s="22" t="s">
        <v>190</v>
      </c>
      <c r="F696" s="22" t="s">
        <v>1298</v>
      </c>
      <c r="G696" s="23">
        <v>2023.0</v>
      </c>
      <c r="H696" s="23">
        <v>46.0</v>
      </c>
      <c r="I696" s="23">
        <v>902.0</v>
      </c>
      <c r="J696" s="24" t="str">
        <f>'1. Base de donnée HILIN MU CM2 '!$G696&amp;"-"&amp;'1. Base de donnée HILIN MU CM2 '!$H696&amp;"-"&amp;'1. Base de donnée HILIN MU CM2 '!$I696</f>
        <v>2023-46-902</v>
      </c>
      <c r="K696" s="23">
        <f t="shared" si="1"/>
        <v>689</v>
      </c>
      <c r="L696" s="24" t="s">
        <v>31</v>
      </c>
      <c r="M696" s="24"/>
      <c r="N696" s="24"/>
      <c r="O696" s="33">
        <v>1.0</v>
      </c>
      <c r="P696" s="22">
        <v>2.25</v>
      </c>
      <c r="Q696" s="22">
        <f>SUM('1. Base de donnée HILIN MU CM2 '!$O696+'1. Base de donnée HILIN MU CM2 '!$P696)/2</f>
        <v>1.625</v>
      </c>
      <c r="R696" s="22">
        <v>13.5</v>
      </c>
      <c r="S696" s="22">
        <v>18.5</v>
      </c>
      <c r="T696" s="32">
        <f>('1. Base de donnée HILIN MU CM2 '!$R696+'1. Base de donnée HILIN MU CM2 '!$S696)/2</f>
        <v>16</v>
      </c>
      <c r="U696" s="25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</row>
    <row r="697" ht="14.25" hidden="1" customHeight="1">
      <c r="A697" s="27" t="s">
        <v>1290</v>
      </c>
      <c r="B697" s="27" t="s">
        <v>26</v>
      </c>
      <c r="C697" s="27" t="s">
        <v>1339</v>
      </c>
      <c r="D697" s="27" t="s">
        <v>359</v>
      </c>
      <c r="E697" s="27" t="s">
        <v>190</v>
      </c>
      <c r="F697" s="27" t="s">
        <v>1298</v>
      </c>
      <c r="G697" s="28">
        <v>2023.0</v>
      </c>
      <c r="H697" s="28">
        <v>46.0</v>
      </c>
      <c r="I697" s="28">
        <v>903.0</v>
      </c>
      <c r="J697" s="29" t="str">
        <f>'1. Base de donnée HILIN MU CM2 '!$G697&amp;"-"&amp;'1. Base de donnée HILIN MU CM2 '!$H697&amp;"-"&amp;'1. Base de donnée HILIN MU CM2 '!$I697</f>
        <v>2023-46-903</v>
      </c>
      <c r="K697" s="28">
        <f t="shared" si="1"/>
        <v>690</v>
      </c>
      <c r="L697" s="29" t="s">
        <v>31</v>
      </c>
      <c r="M697" s="29"/>
      <c r="N697" s="29"/>
      <c r="O697" s="27">
        <v>2.0</v>
      </c>
      <c r="P697" s="27">
        <v>2.0</v>
      </c>
      <c r="Q697" s="27">
        <f>SUM('1. Base de donnée HILIN MU CM2 '!$O697+'1. Base de donnée HILIN MU CM2 '!$P697)/2</f>
        <v>2</v>
      </c>
      <c r="R697" s="27">
        <v>16.0</v>
      </c>
      <c r="S697" s="27">
        <v>18.0</v>
      </c>
      <c r="T697" s="31">
        <f>('1. Base de donnée HILIN MU CM2 '!$R697+'1. Base de donnée HILIN MU CM2 '!$S697)/2</f>
        <v>17</v>
      </c>
      <c r="U697" s="30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</row>
    <row r="698" ht="14.25" hidden="1" customHeight="1">
      <c r="A698" s="22" t="s">
        <v>1290</v>
      </c>
      <c r="B698" s="22" t="s">
        <v>26</v>
      </c>
      <c r="C698" s="22" t="s">
        <v>1340</v>
      </c>
      <c r="D698" s="22" t="s">
        <v>721</v>
      </c>
      <c r="E698" s="22" t="s">
        <v>190</v>
      </c>
      <c r="F698" s="22" t="s">
        <v>1298</v>
      </c>
      <c r="G698" s="23">
        <v>2023.0</v>
      </c>
      <c r="H698" s="23">
        <v>46.0</v>
      </c>
      <c r="I698" s="23">
        <v>904.0</v>
      </c>
      <c r="J698" s="24" t="str">
        <f>'1. Base de donnée HILIN MU CM2 '!$G698&amp;"-"&amp;'1. Base de donnée HILIN MU CM2 '!$H698&amp;"-"&amp;'1. Base de donnée HILIN MU CM2 '!$I698</f>
        <v>2023-46-904</v>
      </c>
      <c r="K698" s="23">
        <f t="shared" si="1"/>
        <v>691</v>
      </c>
      <c r="L698" s="24" t="s">
        <v>31</v>
      </c>
      <c r="M698" s="24"/>
      <c r="N698" s="24"/>
      <c r="O698" s="22">
        <v>5.0</v>
      </c>
      <c r="P698" s="22">
        <v>5.0</v>
      </c>
      <c r="Q698" s="22">
        <f>SUM('1. Base de donnée HILIN MU CM2 '!$O698+'1. Base de donnée HILIN MU CM2 '!$P698)/2</f>
        <v>5</v>
      </c>
      <c r="R698" s="22">
        <v>15.5</v>
      </c>
      <c r="S698" s="22">
        <v>15.0</v>
      </c>
      <c r="T698" s="32">
        <f>('1. Base de donnée HILIN MU CM2 '!$R698+'1. Base de donnée HILIN MU CM2 '!$S698)/2</f>
        <v>15.25</v>
      </c>
      <c r="U698" s="25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</row>
    <row r="699" ht="14.25" hidden="1" customHeight="1">
      <c r="A699" s="27" t="s">
        <v>1290</v>
      </c>
      <c r="B699" s="27" t="s">
        <v>26</v>
      </c>
      <c r="C699" s="27" t="s">
        <v>1341</v>
      </c>
      <c r="D699" s="27" t="s">
        <v>1342</v>
      </c>
      <c r="E699" s="27" t="s">
        <v>190</v>
      </c>
      <c r="F699" s="27" t="s">
        <v>1293</v>
      </c>
      <c r="G699" s="28">
        <v>2023.0</v>
      </c>
      <c r="H699" s="28">
        <v>46.0</v>
      </c>
      <c r="I699" s="28">
        <v>905.0</v>
      </c>
      <c r="J699" s="29" t="str">
        <f>'1. Base de donnée HILIN MU CM2 '!$G699&amp;"-"&amp;'1. Base de donnée HILIN MU CM2 '!$H699&amp;"-"&amp;'1. Base de donnée HILIN MU CM2 '!$I699</f>
        <v>2023-46-905</v>
      </c>
      <c r="K699" s="28">
        <f t="shared" si="1"/>
        <v>692</v>
      </c>
      <c r="L699" s="29" t="s">
        <v>31</v>
      </c>
      <c r="M699" s="29"/>
      <c r="N699" s="29"/>
      <c r="O699" s="27">
        <v>0.0</v>
      </c>
      <c r="P699" s="27">
        <v>0.25</v>
      </c>
      <c r="Q699" s="27">
        <f>SUM('1. Base de donnée HILIN MU CM2 '!$O699+'1. Base de donnée HILIN MU CM2 '!$P699)/2</f>
        <v>0.125</v>
      </c>
      <c r="R699" s="27">
        <v>9.0</v>
      </c>
      <c r="S699" s="27">
        <v>10.0</v>
      </c>
      <c r="T699" s="27">
        <f>('1. Base de donnée HILIN MU CM2 '!$R699+'1. Base de donnée HILIN MU CM2 '!$S699)/2</f>
        <v>9.5</v>
      </c>
      <c r="U699" s="30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</row>
    <row r="700" ht="14.25" customHeight="1">
      <c r="A700" s="22" t="s">
        <v>1343</v>
      </c>
      <c r="B700" s="22" t="s">
        <v>121</v>
      </c>
      <c r="C700" s="22" t="s">
        <v>1344</v>
      </c>
      <c r="D700" s="22" t="s">
        <v>63</v>
      </c>
      <c r="E700" s="22" t="s">
        <v>1345</v>
      </c>
      <c r="F700" s="22" t="s">
        <v>1346</v>
      </c>
      <c r="G700" s="23">
        <v>2023.0</v>
      </c>
      <c r="H700" s="23">
        <v>80.0</v>
      </c>
      <c r="I700" s="23">
        <v>714.0</v>
      </c>
      <c r="J700" s="24" t="str">
        <f>'1. Base de donnée HILIN MU CM2 '!$G700&amp;"-"&amp;'1. Base de donnée HILIN MU CM2 '!$H700&amp;"-"&amp;'1. Base de donnée HILIN MU CM2 '!$I700</f>
        <v>2023-80-714</v>
      </c>
      <c r="K700" s="23">
        <f t="shared" si="1"/>
        <v>693</v>
      </c>
      <c r="L700" s="24" t="s">
        <v>31</v>
      </c>
      <c r="M700" s="24"/>
      <c r="N700" s="24"/>
      <c r="O700" s="22">
        <v>5.25</v>
      </c>
      <c r="P700" s="22">
        <v>5.5</v>
      </c>
      <c r="Q700" s="22">
        <f>SUM('1. Base de donnée HILIN MU CM2 '!$O700+'1. Base de donnée HILIN MU CM2 '!$P700)/2</f>
        <v>5.375</v>
      </c>
      <c r="R700" s="22">
        <v>15.0</v>
      </c>
      <c r="S700" s="22">
        <v>16.0</v>
      </c>
      <c r="T700" s="22">
        <f>('1. Base de donnée HILIN MU CM2 '!$R700+'1. Base de donnée HILIN MU CM2 '!$S700)/2</f>
        <v>15.5</v>
      </c>
      <c r="U700" s="25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</row>
    <row r="701" ht="14.25" customHeight="1">
      <c r="A701" s="27" t="s">
        <v>1343</v>
      </c>
      <c r="B701" s="27" t="s">
        <v>121</v>
      </c>
      <c r="C701" s="27" t="s">
        <v>1347</v>
      </c>
      <c r="D701" s="27" t="s">
        <v>270</v>
      </c>
      <c r="E701" s="27" t="s">
        <v>1348</v>
      </c>
      <c r="F701" s="27" t="s">
        <v>1346</v>
      </c>
      <c r="G701" s="28">
        <v>2023.0</v>
      </c>
      <c r="H701" s="28">
        <v>80.0</v>
      </c>
      <c r="I701" s="28">
        <v>715.0</v>
      </c>
      <c r="J701" s="29" t="str">
        <f>'1. Base de donnée HILIN MU CM2 '!$G701&amp;"-"&amp;'1. Base de donnée HILIN MU CM2 '!$H701&amp;"-"&amp;'1. Base de donnée HILIN MU CM2 '!$I701</f>
        <v>2023-80-715</v>
      </c>
      <c r="K701" s="28">
        <f t="shared" si="1"/>
        <v>694</v>
      </c>
      <c r="L701" s="29" t="s">
        <v>31</v>
      </c>
      <c r="M701" s="29"/>
      <c r="N701" s="29"/>
      <c r="O701" s="27">
        <v>1.75</v>
      </c>
      <c r="P701" s="27">
        <v>4.0</v>
      </c>
      <c r="Q701" s="27">
        <f>SUM('1. Base de donnée HILIN MU CM2 '!$O701+'1. Base de donnée HILIN MU CM2 '!$P701)/2</f>
        <v>2.875</v>
      </c>
      <c r="R701" s="27">
        <v>15.0</v>
      </c>
      <c r="S701" s="27">
        <v>12.0</v>
      </c>
      <c r="T701" s="27">
        <f>('1. Base de donnée HILIN MU CM2 '!$R701+'1. Base de donnée HILIN MU CM2 '!$S701)/2</f>
        <v>13.5</v>
      </c>
      <c r="U701" s="30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</row>
    <row r="702" ht="14.25" customHeight="1">
      <c r="A702" s="22" t="s">
        <v>1343</v>
      </c>
      <c r="B702" s="22" t="s">
        <v>121</v>
      </c>
      <c r="C702" s="22" t="s">
        <v>1349</v>
      </c>
      <c r="D702" s="22" t="s">
        <v>332</v>
      </c>
      <c r="E702" s="22" t="s">
        <v>1345</v>
      </c>
      <c r="F702" s="22" t="s">
        <v>1346</v>
      </c>
      <c r="G702" s="23">
        <v>2023.0</v>
      </c>
      <c r="H702" s="23">
        <v>80.0</v>
      </c>
      <c r="I702" s="23">
        <v>716.0</v>
      </c>
      <c r="J702" s="24" t="str">
        <f>'1. Base de donnée HILIN MU CM2 '!$G702&amp;"-"&amp;'1. Base de donnée HILIN MU CM2 '!$H702&amp;"-"&amp;'1. Base de donnée HILIN MU CM2 '!$I702</f>
        <v>2023-80-716</v>
      </c>
      <c r="K702" s="23">
        <f t="shared" si="1"/>
        <v>695</v>
      </c>
      <c r="L702" s="24" t="s">
        <v>31</v>
      </c>
      <c r="M702" s="24"/>
      <c r="N702" s="24"/>
      <c r="O702" s="22">
        <v>3.5</v>
      </c>
      <c r="P702" s="22">
        <v>2.5</v>
      </c>
      <c r="Q702" s="22">
        <f>SUM('1. Base de donnée HILIN MU CM2 '!$O702+'1. Base de donnée HILIN MU CM2 '!$P702)/2</f>
        <v>3</v>
      </c>
      <c r="R702" s="22">
        <v>14.5</v>
      </c>
      <c r="S702" s="22">
        <v>15.0</v>
      </c>
      <c r="T702" s="22">
        <f>('1. Base de donnée HILIN MU CM2 '!$R702+'1. Base de donnée HILIN MU CM2 '!$S702)/2</f>
        <v>14.75</v>
      </c>
      <c r="U702" s="25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</row>
    <row r="703" ht="14.25" customHeight="1">
      <c r="A703" s="27" t="s">
        <v>1343</v>
      </c>
      <c r="B703" s="27" t="s">
        <v>121</v>
      </c>
      <c r="C703" s="27" t="s">
        <v>1350</v>
      </c>
      <c r="D703" s="27" t="s">
        <v>54</v>
      </c>
      <c r="E703" s="27" t="s">
        <v>1345</v>
      </c>
      <c r="F703" s="27" t="s">
        <v>1346</v>
      </c>
      <c r="G703" s="28">
        <v>2023.0</v>
      </c>
      <c r="H703" s="28">
        <v>80.0</v>
      </c>
      <c r="I703" s="28">
        <v>717.0</v>
      </c>
      <c r="J703" s="29" t="str">
        <f>'1. Base de donnée HILIN MU CM2 '!$G703&amp;"-"&amp;'1. Base de donnée HILIN MU CM2 '!$H703&amp;"-"&amp;'1. Base de donnée HILIN MU CM2 '!$I703</f>
        <v>2023-80-717</v>
      </c>
      <c r="K703" s="28">
        <f t="shared" si="1"/>
        <v>696</v>
      </c>
      <c r="L703" s="29" t="s">
        <v>31</v>
      </c>
      <c r="M703" s="29"/>
      <c r="N703" s="29"/>
      <c r="O703" s="27">
        <v>6.75</v>
      </c>
      <c r="P703" s="27">
        <v>8.0</v>
      </c>
      <c r="Q703" s="27">
        <f>SUM('1. Base de donnée HILIN MU CM2 '!$O703+'1. Base de donnée HILIN MU CM2 '!$P703)/2</f>
        <v>7.375</v>
      </c>
      <c r="R703" s="27">
        <v>17.75</v>
      </c>
      <c r="S703" s="27">
        <v>17.0</v>
      </c>
      <c r="T703" s="27">
        <f>('1. Base de donnée HILIN MU CM2 '!$R703+'1. Base de donnée HILIN MU CM2 '!$S703)/2</f>
        <v>17.375</v>
      </c>
      <c r="U703" s="30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</row>
    <row r="704" ht="14.25" customHeight="1">
      <c r="A704" s="22" t="s">
        <v>1343</v>
      </c>
      <c r="B704" s="22" t="s">
        <v>121</v>
      </c>
      <c r="C704" s="22" t="s">
        <v>1351</v>
      </c>
      <c r="D704" s="22" t="s">
        <v>1352</v>
      </c>
      <c r="E704" s="22" t="s">
        <v>1348</v>
      </c>
      <c r="F704" s="22" t="s">
        <v>1346</v>
      </c>
      <c r="G704" s="23">
        <v>2023.0</v>
      </c>
      <c r="H704" s="23">
        <v>80.0</v>
      </c>
      <c r="I704" s="23">
        <v>719.0</v>
      </c>
      <c r="J704" s="24" t="str">
        <f>'1. Base de donnée HILIN MU CM2 '!$G704&amp;"-"&amp;'1. Base de donnée HILIN MU CM2 '!$H704&amp;"-"&amp;'1. Base de donnée HILIN MU CM2 '!$I704</f>
        <v>2023-80-719</v>
      </c>
      <c r="K704" s="23">
        <f t="shared" si="1"/>
        <v>697</v>
      </c>
      <c r="L704" s="24" t="s">
        <v>31</v>
      </c>
      <c r="M704" s="24"/>
      <c r="N704" s="24"/>
      <c r="O704" s="22">
        <v>5.25</v>
      </c>
      <c r="P704" s="22">
        <v>6.0</v>
      </c>
      <c r="Q704" s="22">
        <f>SUM('1. Base de donnée HILIN MU CM2 '!$O704+'1. Base de donnée HILIN MU CM2 '!$P704)/2</f>
        <v>5.625</v>
      </c>
      <c r="R704" s="22">
        <v>17.0</v>
      </c>
      <c r="S704" s="22">
        <v>14.5</v>
      </c>
      <c r="T704" s="22">
        <f>('1. Base de donnée HILIN MU CM2 '!$R704+'1. Base de donnée HILIN MU CM2 '!$S704)/2</f>
        <v>15.75</v>
      </c>
      <c r="U704" s="25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</row>
    <row r="705" ht="14.25" customHeight="1">
      <c r="A705" s="27" t="s">
        <v>1343</v>
      </c>
      <c r="B705" s="27" t="s">
        <v>121</v>
      </c>
      <c r="C705" s="27" t="s">
        <v>1353</v>
      </c>
      <c r="D705" s="27" t="s">
        <v>185</v>
      </c>
      <c r="E705" s="27" t="s">
        <v>1345</v>
      </c>
      <c r="F705" s="27" t="s">
        <v>1346</v>
      </c>
      <c r="G705" s="28">
        <v>2023.0</v>
      </c>
      <c r="H705" s="28">
        <v>80.0</v>
      </c>
      <c r="I705" s="28">
        <v>721.0</v>
      </c>
      <c r="J705" s="29" t="str">
        <f>'1. Base de donnée HILIN MU CM2 '!$G705&amp;"-"&amp;'1. Base de donnée HILIN MU CM2 '!$H705&amp;"-"&amp;'1. Base de donnée HILIN MU CM2 '!$I705</f>
        <v>2023-80-721</v>
      </c>
      <c r="K705" s="28">
        <f t="shared" si="1"/>
        <v>698</v>
      </c>
      <c r="L705" s="29" t="s">
        <v>31</v>
      </c>
      <c r="M705" s="29"/>
      <c r="N705" s="29"/>
      <c r="O705" s="27">
        <v>6.0</v>
      </c>
      <c r="P705" s="27">
        <v>4.5</v>
      </c>
      <c r="Q705" s="27">
        <f>SUM('1. Base de donnée HILIN MU CM2 '!$O705+'1. Base de donnée HILIN MU CM2 '!$P705)/2</f>
        <v>5.25</v>
      </c>
      <c r="R705" s="27">
        <v>17.0</v>
      </c>
      <c r="S705" s="27">
        <v>15.0</v>
      </c>
      <c r="T705" s="27">
        <f>('1. Base de donnée HILIN MU CM2 '!$R705+'1. Base de donnée HILIN MU CM2 '!$S705)/2</f>
        <v>16</v>
      </c>
      <c r="U705" s="30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</row>
    <row r="706" ht="14.25" customHeight="1">
      <c r="A706" s="22" t="s">
        <v>1343</v>
      </c>
      <c r="B706" s="22" t="s">
        <v>121</v>
      </c>
      <c r="C706" s="22" t="s">
        <v>1354</v>
      </c>
      <c r="D706" s="22" t="s">
        <v>1355</v>
      </c>
      <c r="E706" s="22" t="s">
        <v>1348</v>
      </c>
      <c r="F706" s="22" t="s">
        <v>1346</v>
      </c>
      <c r="G706" s="23">
        <v>2023.0</v>
      </c>
      <c r="H706" s="23">
        <v>80.0</v>
      </c>
      <c r="I706" s="23">
        <v>722.0</v>
      </c>
      <c r="J706" s="24" t="str">
        <f>'1. Base de donnée HILIN MU CM2 '!$G706&amp;"-"&amp;'1. Base de donnée HILIN MU CM2 '!$H706&amp;"-"&amp;'1. Base de donnée HILIN MU CM2 '!$I706</f>
        <v>2023-80-722</v>
      </c>
      <c r="K706" s="23">
        <f t="shared" si="1"/>
        <v>699</v>
      </c>
      <c r="L706" s="24" t="s">
        <v>31</v>
      </c>
      <c r="M706" s="24"/>
      <c r="N706" s="24"/>
      <c r="O706" s="22">
        <v>3.25</v>
      </c>
      <c r="P706" s="22">
        <v>5.0</v>
      </c>
      <c r="Q706" s="22">
        <f>SUM('1. Base de donnée HILIN MU CM2 '!$O706+'1. Base de donnée HILIN MU CM2 '!$P706)/2</f>
        <v>4.125</v>
      </c>
      <c r="R706" s="22">
        <v>16.0</v>
      </c>
      <c r="S706" s="22">
        <v>16.5</v>
      </c>
      <c r="T706" s="22">
        <f>('1. Base de donnée HILIN MU CM2 '!$R706+'1. Base de donnée HILIN MU CM2 '!$S706)/2</f>
        <v>16.25</v>
      </c>
      <c r="U706" s="25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</row>
    <row r="707" ht="14.25" customHeight="1">
      <c r="A707" s="27" t="s">
        <v>1343</v>
      </c>
      <c r="B707" s="27" t="s">
        <v>121</v>
      </c>
      <c r="C707" s="27" t="s">
        <v>1356</v>
      </c>
      <c r="D707" s="27" t="s">
        <v>831</v>
      </c>
      <c r="E707" s="27" t="s">
        <v>1345</v>
      </c>
      <c r="F707" s="27" t="s">
        <v>1346</v>
      </c>
      <c r="G707" s="28">
        <v>2023.0</v>
      </c>
      <c r="H707" s="28">
        <v>80.0</v>
      </c>
      <c r="I707" s="28">
        <v>723.0</v>
      </c>
      <c r="J707" s="29" t="str">
        <f>'1. Base de donnée HILIN MU CM2 '!$G707&amp;"-"&amp;'1. Base de donnée HILIN MU CM2 '!$H707&amp;"-"&amp;'1. Base de donnée HILIN MU CM2 '!$I707</f>
        <v>2023-80-723</v>
      </c>
      <c r="K707" s="28">
        <f t="shared" si="1"/>
        <v>700</v>
      </c>
      <c r="L707" s="29" t="s">
        <v>31</v>
      </c>
      <c r="M707" s="29"/>
      <c r="N707" s="29"/>
      <c r="O707" s="27">
        <v>1.5</v>
      </c>
      <c r="P707" s="27">
        <v>5.0</v>
      </c>
      <c r="Q707" s="27">
        <f>SUM('1. Base de donnée HILIN MU CM2 '!$O707+'1. Base de donnée HILIN MU CM2 '!$P707)/2</f>
        <v>3.25</v>
      </c>
      <c r="R707" s="27">
        <v>16.5</v>
      </c>
      <c r="S707" s="27">
        <v>16.0</v>
      </c>
      <c r="T707" s="27">
        <f>('1. Base de donnée HILIN MU CM2 '!$R707+'1. Base de donnée HILIN MU CM2 '!$S707)/2</f>
        <v>16.25</v>
      </c>
      <c r="U707" s="30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</row>
    <row r="708" ht="14.25" customHeight="1">
      <c r="A708" s="22" t="s">
        <v>1343</v>
      </c>
      <c r="B708" s="22" t="s">
        <v>121</v>
      </c>
      <c r="C708" s="22" t="s">
        <v>1357</v>
      </c>
      <c r="D708" s="22" t="s">
        <v>289</v>
      </c>
      <c r="E708" s="22" t="s">
        <v>1348</v>
      </c>
      <c r="F708" s="22" t="s">
        <v>1346</v>
      </c>
      <c r="G708" s="23">
        <v>2023.0</v>
      </c>
      <c r="H708" s="23">
        <v>80.0</v>
      </c>
      <c r="I708" s="23">
        <v>724.0</v>
      </c>
      <c r="J708" s="24" t="str">
        <f>'1. Base de donnée HILIN MU CM2 '!$G708&amp;"-"&amp;'1. Base de donnée HILIN MU CM2 '!$H708&amp;"-"&amp;'1. Base de donnée HILIN MU CM2 '!$I708</f>
        <v>2023-80-724</v>
      </c>
      <c r="K708" s="23">
        <f t="shared" si="1"/>
        <v>701</v>
      </c>
      <c r="L708" s="24" t="s">
        <v>31</v>
      </c>
      <c r="M708" s="24"/>
      <c r="N708" s="24"/>
      <c r="O708" s="22">
        <v>3.5</v>
      </c>
      <c r="P708" s="22">
        <v>5.5</v>
      </c>
      <c r="Q708" s="22">
        <f>SUM('1. Base de donnée HILIN MU CM2 '!$O708+'1. Base de donnée HILIN MU CM2 '!$P708)/2</f>
        <v>4.5</v>
      </c>
      <c r="R708" s="22">
        <v>11.0</v>
      </c>
      <c r="S708" s="22">
        <v>14.0</v>
      </c>
      <c r="T708" s="22">
        <f>('1. Base de donnée HILIN MU CM2 '!$R708+'1. Base de donnée HILIN MU CM2 '!$S708)/2</f>
        <v>12.5</v>
      </c>
      <c r="U708" s="25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</row>
    <row r="709" ht="14.25" customHeight="1">
      <c r="A709" s="27" t="s">
        <v>1343</v>
      </c>
      <c r="B709" s="27" t="s">
        <v>121</v>
      </c>
      <c r="C709" s="27" t="s">
        <v>1358</v>
      </c>
      <c r="D709" s="27" t="s">
        <v>187</v>
      </c>
      <c r="E709" s="27" t="s">
        <v>1348</v>
      </c>
      <c r="F709" s="27" t="s">
        <v>1346</v>
      </c>
      <c r="G709" s="28">
        <v>2023.0</v>
      </c>
      <c r="H709" s="28">
        <v>80.0</v>
      </c>
      <c r="I709" s="28">
        <v>725.0</v>
      </c>
      <c r="J709" s="29" t="str">
        <f>'1. Base de donnée HILIN MU CM2 '!$G709&amp;"-"&amp;'1. Base de donnée HILIN MU CM2 '!$H709&amp;"-"&amp;'1. Base de donnée HILIN MU CM2 '!$I709</f>
        <v>2023-80-725</v>
      </c>
      <c r="K709" s="28">
        <f t="shared" si="1"/>
        <v>702</v>
      </c>
      <c r="L709" s="29" t="s">
        <v>31</v>
      </c>
      <c r="M709" s="29"/>
      <c r="N709" s="29"/>
      <c r="O709" s="27">
        <v>1.0</v>
      </c>
      <c r="P709" s="27">
        <v>6.5</v>
      </c>
      <c r="Q709" s="27">
        <f>SUM('1. Base de donnée HILIN MU CM2 '!$O709+'1. Base de donnée HILIN MU CM2 '!$P709)/2</f>
        <v>3.75</v>
      </c>
      <c r="R709" s="27">
        <v>13.25</v>
      </c>
      <c r="S709" s="27">
        <v>15.75</v>
      </c>
      <c r="T709" s="27">
        <f>('1. Base de donnée HILIN MU CM2 '!$R709+'1. Base de donnée HILIN MU CM2 '!$S709)/2</f>
        <v>14.5</v>
      </c>
      <c r="U709" s="30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</row>
    <row r="710" ht="14.25" customHeight="1">
      <c r="A710" s="22" t="s">
        <v>1343</v>
      </c>
      <c r="B710" s="22" t="s">
        <v>121</v>
      </c>
      <c r="C710" s="22" t="s">
        <v>1359</v>
      </c>
      <c r="D710" s="22" t="s">
        <v>78</v>
      </c>
      <c r="E710" s="22" t="s">
        <v>1345</v>
      </c>
      <c r="F710" s="22" t="s">
        <v>1346</v>
      </c>
      <c r="G710" s="23">
        <v>2023.0</v>
      </c>
      <c r="H710" s="23">
        <v>80.0</v>
      </c>
      <c r="I710" s="23">
        <v>727.0</v>
      </c>
      <c r="J710" s="24" t="str">
        <f>'1. Base de donnée HILIN MU CM2 '!$G710&amp;"-"&amp;'1. Base de donnée HILIN MU CM2 '!$H710&amp;"-"&amp;'1. Base de donnée HILIN MU CM2 '!$I710</f>
        <v>2023-80-727</v>
      </c>
      <c r="K710" s="23">
        <f t="shared" si="1"/>
        <v>703</v>
      </c>
      <c r="L710" s="24" t="s">
        <v>31</v>
      </c>
      <c r="M710" s="24"/>
      <c r="N710" s="24"/>
      <c r="O710" s="22">
        <v>7.25</v>
      </c>
      <c r="P710" s="22">
        <v>3.5</v>
      </c>
      <c r="Q710" s="22">
        <f>SUM('1. Base de donnée HILIN MU CM2 '!$O710+'1. Base de donnée HILIN MU CM2 '!$P710)/2</f>
        <v>5.375</v>
      </c>
      <c r="R710" s="22">
        <v>15.0</v>
      </c>
      <c r="S710" s="22">
        <v>17.0</v>
      </c>
      <c r="T710" s="22">
        <f>('1. Base de donnée HILIN MU CM2 '!$R710+'1. Base de donnée HILIN MU CM2 '!$S710)/2</f>
        <v>16</v>
      </c>
      <c r="U710" s="25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</row>
    <row r="711" ht="14.25" customHeight="1">
      <c r="A711" s="27" t="s">
        <v>1343</v>
      </c>
      <c r="B711" s="27" t="s">
        <v>121</v>
      </c>
      <c r="C711" s="27" t="s">
        <v>1360</v>
      </c>
      <c r="D711" s="27" t="s">
        <v>1333</v>
      </c>
      <c r="E711" s="27" t="s">
        <v>1345</v>
      </c>
      <c r="F711" s="27" t="s">
        <v>1346</v>
      </c>
      <c r="G711" s="28">
        <v>2023.0</v>
      </c>
      <c r="H711" s="28">
        <v>80.0</v>
      </c>
      <c r="I711" s="28">
        <v>728.0</v>
      </c>
      <c r="J711" s="29" t="str">
        <f>'1. Base de donnée HILIN MU CM2 '!$G711&amp;"-"&amp;'1. Base de donnée HILIN MU CM2 '!$H711&amp;"-"&amp;'1. Base de donnée HILIN MU CM2 '!$I711</f>
        <v>2023-80-728</v>
      </c>
      <c r="K711" s="28">
        <f t="shared" si="1"/>
        <v>704</v>
      </c>
      <c r="L711" s="29" t="s">
        <v>31</v>
      </c>
      <c r="M711" s="29"/>
      <c r="N711" s="29"/>
      <c r="O711" s="27">
        <v>3.0</v>
      </c>
      <c r="P711" s="27">
        <v>2.5</v>
      </c>
      <c r="Q711" s="27">
        <f>SUM('1. Base de donnée HILIN MU CM2 '!$O711+'1. Base de donnée HILIN MU CM2 '!$P711)/2</f>
        <v>2.75</v>
      </c>
      <c r="R711" s="27">
        <v>14.5</v>
      </c>
      <c r="S711" s="27">
        <v>14.5</v>
      </c>
      <c r="T711" s="27">
        <f>('1. Base de donnée HILIN MU CM2 '!$R711+'1. Base de donnée HILIN MU CM2 '!$S711)/2</f>
        <v>14.5</v>
      </c>
      <c r="U711" s="30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</row>
    <row r="712" ht="14.25" customHeight="1">
      <c r="A712" s="22" t="s">
        <v>1343</v>
      </c>
      <c r="B712" s="22" t="s">
        <v>121</v>
      </c>
      <c r="C712" s="22" t="s">
        <v>1361</v>
      </c>
      <c r="D712" s="22" t="s">
        <v>351</v>
      </c>
      <c r="E712" s="22" t="s">
        <v>1345</v>
      </c>
      <c r="F712" s="22" t="s">
        <v>1346</v>
      </c>
      <c r="G712" s="23">
        <v>2023.0</v>
      </c>
      <c r="H712" s="23">
        <v>80.0</v>
      </c>
      <c r="I712" s="23">
        <v>730.0</v>
      </c>
      <c r="J712" s="24" t="str">
        <f>'1. Base de donnée HILIN MU CM2 '!$G712&amp;"-"&amp;'1. Base de donnée HILIN MU CM2 '!$H712&amp;"-"&amp;'1. Base de donnée HILIN MU CM2 '!$I712</f>
        <v>2023-80-730</v>
      </c>
      <c r="K712" s="23">
        <f t="shared" si="1"/>
        <v>705</v>
      </c>
      <c r="L712" s="24" t="s">
        <v>31</v>
      </c>
      <c r="M712" s="24"/>
      <c r="N712" s="24"/>
      <c r="O712" s="22">
        <v>2.25</v>
      </c>
      <c r="P712" s="22">
        <v>4.5</v>
      </c>
      <c r="Q712" s="22">
        <f>SUM('1. Base de donnée HILIN MU CM2 '!$O712+'1. Base de donnée HILIN MU CM2 '!$P712)/2</f>
        <v>3.375</v>
      </c>
      <c r="R712" s="22">
        <v>17.75</v>
      </c>
      <c r="S712" s="22">
        <v>15.0</v>
      </c>
      <c r="T712" s="22">
        <f>('1. Base de donnée HILIN MU CM2 '!$R712+'1. Base de donnée HILIN MU CM2 '!$S712)/2</f>
        <v>16.375</v>
      </c>
      <c r="U712" s="25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</row>
    <row r="713" ht="14.25" customHeight="1">
      <c r="A713" s="27" t="s">
        <v>1343</v>
      </c>
      <c r="B713" s="27" t="s">
        <v>121</v>
      </c>
      <c r="C713" s="27" t="s">
        <v>1362</v>
      </c>
      <c r="D713" s="27" t="s">
        <v>1363</v>
      </c>
      <c r="E713" s="27" t="s">
        <v>1348</v>
      </c>
      <c r="F713" s="27" t="s">
        <v>1346</v>
      </c>
      <c r="G713" s="28">
        <v>2023.0</v>
      </c>
      <c r="H713" s="28">
        <v>80.0</v>
      </c>
      <c r="I713" s="28">
        <v>731.0</v>
      </c>
      <c r="J713" s="29" t="str">
        <f>'1. Base de donnée HILIN MU CM2 '!$G713&amp;"-"&amp;'1. Base de donnée HILIN MU CM2 '!$H713&amp;"-"&amp;'1. Base de donnée HILIN MU CM2 '!$I713</f>
        <v>2023-80-731</v>
      </c>
      <c r="K713" s="28">
        <f t="shared" si="1"/>
        <v>706</v>
      </c>
      <c r="L713" s="29" t="s">
        <v>31</v>
      </c>
      <c r="M713" s="29"/>
      <c r="N713" s="29"/>
      <c r="O713" s="27">
        <v>2.25</v>
      </c>
      <c r="P713" s="27">
        <v>2.5</v>
      </c>
      <c r="Q713" s="27">
        <f>SUM('1. Base de donnée HILIN MU CM2 '!$O713+'1. Base de donnée HILIN MU CM2 '!$P713)/2</f>
        <v>2.375</v>
      </c>
      <c r="R713" s="27">
        <v>13.0</v>
      </c>
      <c r="S713" s="27">
        <v>15.0</v>
      </c>
      <c r="T713" s="27">
        <f>('1. Base de donnée HILIN MU CM2 '!$R713+'1. Base de donnée HILIN MU CM2 '!$S713)/2</f>
        <v>14</v>
      </c>
      <c r="U713" s="30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</row>
    <row r="714" ht="14.25" customHeight="1">
      <c r="A714" s="22" t="s">
        <v>1343</v>
      </c>
      <c r="B714" s="22" t="s">
        <v>121</v>
      </c>
      <c r="C714" s="22" t="s">
        <v>1364</v>
      </c>
      <c r="D714" s="22" t="s">
        <v>1365</v>
      </c>
      <c r="E714" s="22" t="s">
        <v>1348</v>
      </c>
      <c r="F714" s="22" t="s">
        <v>1346</v>
      </c>
      <c r="G714" s="23">
        <v>2023.0</v>
      </c>
      <c r="H714" s="23">
        <v>80.0</v>
      </c>
      <c r="I714" s="23">
        <v>732.0</v>
      </c>
      <c r="J714" s="24" t="str">
        <f>'1. Base de donnée HILIN MU CM2 '!$G714&amp;"-"&amp;'1. Base de donnée HILIN MU CM2 '!$H714&amp;"-"&amp;'1. Base de donnée HILIN MU CM2 '!$I714</f>
        <v>2023-80-732</v>
      </c>
      <c r="K714" s="23">
        <f t="shared" si="1"/>
        <v>707</v>
      </c>
      <c r="L714" s="24" t="s">
        <v>31</v>
      </c>
      <c r="M714" s="24"/>
      <c r="N714" s="24"/>
      <c r="O714" s="22">
        <v>3.25</v>
      </c>
      <c r="P714" s="22">
        <v>4.0</v>
      </c>
      <c r="Q714" s="22">
        <f>SUM('1. Base de donnée HILIN MU CM2 '!$O714+'1. Base de donnée HILIN MU CM2 '!$P714)/2</f>
        <v>3.625</v>
      </c>
      <c r="R714" s="22">
        <v>13.5</v>
      </c>
      <c r="S714" s="22">
        <v>14.5</v>
      </c>
      <c r="T714" s="22">
        <f>('1. Base de donnée HILIN MU CM2 '!$R714+'1. Base de donnée HILIN MU CM2 '!$S714)/2</f>
        <v>14</v>
      </c>
      <c r="U714" s="25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</row>
    <row r="715" ht="14.25" customHeight="1">
      <c r="A715" s="27" t="s">
        <v>1343</v>
      </c>
      <c r="B715" s="27" t="s">
        <v>121</v>
      </c>
      <c r="C715" s="27" t="s">
        <v>1366</v>
      </c>
      <c r="D715" s="27" t="s">
        <v>831</v>
      </c>
      <c r="E715" s="27" t="s">
        <v>1345</v>
      </c>
      <c r="F715" s="27" t="s">
        <v>1346</v>
      </c>
      <c r="G715" s="28">
        <v>2023.0</v>
      </c>
      <c r="H715" s="28">
        <v>80.0</v>
      </c>
      <c r="I715" s="28">
        <v>733.0</v>
      </c>
      <c r="J715" s="29" t="str">
        <f>'1. Base de donnée HILIN MU CM2 '!$G715&amp;"-"&amp;'1. Base de donnée HILIN MU CM2 '!$H715&amp;"-"&amp;'1. Base de donnée HILIN MU CM2 '!$I715</f>
        <v>2023-80-733</v>
      </c>
      <c r="K715" s="28">
        <f t="shared" si="1"/>
        <v>708</v>
      </c>
      <c r="L715" s="29" t="s">
        <v>31</v>
      </c>
      <c r="M715" s="29"/>
      <c r="N715" s="29"/>
      <c r="O715" s="27">
        <v>4.5</v>
      </c>
      <c r="P715" s="27">
        <v>4.0</v>
      </c>
      <c r="Q715" s="27">
        <f>SUM('1. Base de donnée HILIN MU CM2 '!$O715+'1. Base de donnée HILIN MU CM2 '!$P715)/2</f>
        <v>4.25</v>
      </c>
      <c r="R715" s="27">
        <v>15.5</v>
      </c>
      <c r="S715" s="27">
        <v>16.0</v>
      </c>
      <c r="T715" s="27">
        <f>('1. Base de donnée HILIN MU CM2 '!$R715+'1. Base de donnée HILIN MU CM2 '!$S715)/2</f>
        <v>15.75</v>
      </c>
      <c r="U715" s="30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</row>
    <row r="716" ht="14.25" customHeight="1">
      <c r="A716" s="22" t="s">
        <v>1343</v>
      </c>
      <c r="B716" s="22" t="s">
        <v>121</v>
      </c>
      <c r="C716" s="22" t="s">
        <v>1132</v>
      </c>
      <c r="D716" s="22" t="s">
        <v>78</v>
      </c>
      <c r="E716" s="22" t="s">
        <v>1345</v>
      </c>
      <c r="F716" s="22" t="s">
        <v>1346</v>
      </c>
      <c r="G716" s="23">
        <v>2023.0</v>
      </c>
      <c r="H716" s="23">
        <v>80.0</v>
      </c>
      <c r="I716" s="23">
        <v>735.0</v>
      </c>
      <c r="J716" s="24" t="str">
        <f>'1. Base de donnée HILIN MU CM2 '!$G716&amp;"-"&amp;'1. Base de donnée HILIN MU CM2 '!$H716&amp;"-"&amp;'1. Base de donnée HILIN MU CM2 '!$I716</f>
        <v>2023-80-735</v>
      </c>
      <c r="K716" s="23">
        <f t="shared" si="1"/>
        <v>709</v>
      </c>
      <c r="L716" s="24" t="s">
        <v>31</v>
      </c>
      <c r="M716" s="24"/>
      <c r="N716" s="24"/>
      <c r="O716" s="22">
        <v>4.0</v>
      </c>
      <c r="P716" s="22">
        <v>3.0</v>
      </c>
      <c r="Q716" s="22">
        <f>SUM('1. Base de donnée HILIN MU CM2 '!$O716+'1. Base de donnée HILIN MU CM2 '!$P716)/2</f>
        <v>3.5</v>
      </c>
      <c r="R716" s="22">
        <v>17.0</v>
      </c>
      <c r="S716" s="22">
        <v>13.0</v>
      </c>
      <c r="T716" s="22">
        <f>('1. Base de donnée HILIN MU CM2 '!$R716+'1. Base de donnée HILIN MU CM2 '!$S716)/2</f>
        <v>15</v>
      </c>
      <c r="U716" s="25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</row>
    <row r="717" ht="14.25" customHeight="1">
      <c r="A717" s="27" t="s">
        <v>1343</v>
      </c>
      <c r="B717" s="27" t="s">
        <v>121</v>
      </c>
      <c r="C717" s="27" t="s">
        <v>1367</v>
      </c>
      <c r="D717" s="27" t="s">
        <v>727</v>
      </c>
      <c r="E717" s="27" t="s">
        <v>1345</v>
      </c>
      <c r="F717" s="27" t="s">
        <v>1346</v>
      </c>
      <c r="G717" s="28">
        <v>2023.0</v>
      </c>
      <c r="H717" s="28">
        <v>80.0</v>
      </c>
      <c r="I717" s="28">
        <v>738.0</v>
      </c>
      <c r="J717" s="29" t="str">
        <f>'1. Base de donnée HILIN MU CM2 '!$G717&amp;"-"&amp;'1. Base de donnée HILIN MU CM2 '!$H717&amp;"-"&amp;'1. Base de donnée HILIN MU CM2 '!$I717</f>
        <v>2023-80-738</v>
      </c>
      <c r="K717" s="28">
        <f t="shared" si="1"/>
        <v>710</v>
      </c>
      <c r="L717" s="29" t="s">
        <v>31</v>
      </c>
      <c r="M717" s="29"/>
      <c r="N717" s="29"/>
      <c r="O717" s="27">
        <v>3.75</v>
      </c>
      <c r="P717" s="27">
        <v>5.5</v>
      </c>
      <c r="Q717" s="27">
        <f>SUM('1. Base de donnée HILIN MU CM2 '!$O717+'1. Base de donnée HILIN MU CM2 '!$P717)/2</f>
        <v>4.625</v>
      </c>
      <c r="R717" s="27">
        <v>15.5</v>
      </c>
      <c r="S717" s="27">
        <v>15.0</v>
      </c>
      <c r="T717" s="27">
        <f>('1. Base de donnée HILIN MU CM2 '!$R717+'1. Base de donnée HILIN MU CM2 '!$S717)/2</f>
        <v>15.25</v>
      </c>
      <c r="U717" s="30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</row>
    <row r="718" ht="14.25" customHeight="1">
      <c r="A718" s="22" t="s">
        <v>1343</v>
      </c>
      <c r="B718" s="22" t="s">
        <v>121</v>
      </c>
      <c r="C718" s="22" t="s">
        <v>1368</v>
      </c>
      <c r="D718" s="22" t="s">
        <v>78</v>
      </c>
      <c r="E718" s="22" t="s">
        <v>1345</v>
      </c>
      <c r="F718" s="22" t="s">
        <v>1346</v>
      </c>
      <c r="G718" s="23">
        <v>2023.0</v>
      </c>
      <c r="H718" s="23">
        <v>80.0</v>
      </c>
      <c r="I718" s="23">
        <v>740.0</v>
      </c>
      <c r="J718" s="24" t="str">
        <f>'1. Base de donnée HILIN MU CM2 '!$G718&amp;"-"&amp;'1. Base de donnée HILIN MU CM2 '!$H718&amp;"-"&amp;'1. Base de donnée HILIN MU CM2 '!$I718</f>
        <v>2023-80-740</v>
      </c>
      <c r="K718" s="23">
        <f t="shared" si="1"/>
        <v>711</v>
      </c>
      <c r="L718" s="24" t="s">
        <v>31</v>
      </c>
      <c r="M718" s="24"/>
      <c r="N718" s="24"/>
      <c r="O718" s="22">
        <v>7.75</v>
      </c>
      <c r="P718" s="22">
        <v>8.0</v>
      </c>
      <c r="Q718" s="22">
        <f>SUM('1. Base de donnée HILIN MU CM2 '!$O718+'1. Base de donnée HILIN MU CM2 '!$P718)/2</f>
        <v>7.875</v>
      </c>
      <c r="R718" s="22">
        <v>15.5</v>
      </c>
      <c r="S718" s="22">
        <v>17.0</v>
      </c>
      <c r="T718" s="22">
        <f>('1. Base de donnée HILIN MU CM2 '!$R718+'1. Base de donnée HILIN MU CM2 '!$S718)/2</f>
        <v>16.25</v>
      </c>
      <c r="U718" s="25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</row>
    <row r="719" ht="14.25" customHeight="1">
      <c r="A719" s="27" t="s">
        <v>1343</v>
      </c>
      <c r="B719" s="27" t="s">
        <v>121</v>
      </c>
      <c r="C719" s="27" t="s">
        <v>1369</v>
      </c>
      <c r="D719" s="27" t="s">
        <v>1370</v>
      </c>
      <c r="E719" s="27" t="s">
        <v>1345</v>
      </c>
      <c r="F719" s="27" t="s">
        <v>1346</v>
      </c>
      <c r="G719" s="28">
        <v>2023.0</v>
      </c>
      <c r="H719" s="28">
        <v>80.0</v>
      </c>
      <c r="I719" s="28">
        <v>741.0</v>
      </c>
      <c r="J719" s="29" t="str">
        <f>'1. Base de donnée HILIN MU CM2 '!$G719&amp;"-"&amp;'1. Base de donnée HILIN MU CM2 '!$H719&amp;"-"&amp;'1. Base de donnée HILIN MU CM2 '!$I719</f>
        <v>2023-80-741</v>
      </c>
      <c r="K719" s="28">
        <f t="shared" si="1"/>
        <v>712</v>
      </c>
      <c r="L719" s="29" t="s">
        <v>31</v>
      </c>
      <c r="M719" s="29"/>
      <c r="N719" s="29"/>
      <c r="O719" s="27">
        <v>6.0</v>
      </c>
      <c r="P719" s="27">
        <v>5.0</v>
      </c>
      <c r="Q719" s="27">
        <f>SUM('1. Base de donnée HILIN MU CM2 '!$O719+'1. Base de donnée HILIN MU CM2 '!$P719)/2</f>
        <v>5.5</v>
      </c>
      <c r="R719" s="27">
        <v>17.0</v>
      </c>
      <c r="S719" s="27">
        <v>16.5</v>
      </c>
      <c r="T719" s="27">
        <f>('1. Base de donnée HILIN MU CM2 '!$R719+'1. Base de donnée HILIN MU CM2 '!$S719)/2</f>
        <v>16.75</v>
      </c>
      <c r="U719" s="30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</row>
    <row r="720" ht="14.25" customHeight="1">
      <c r="A720" s="22" t="s">
        <v>1343</v>
      </c>
      <c r="B720" s="22" t="s">
        <v>121</v>
      </c>
      <c r="C720" s="22" t="s">
        <v>1371</v>
      </c>
      <c r="D720" s="22" t="s">
        <v>78</v>
      </c>
      <c r="E720" s="22" t="s">
        <v>1345</v>
      </c>
      <c r="F720" s="22" t="s">
        <v>1346</v>
      </c>
      <c r="G720" s="23">
        <v>2023.0</v>
      </c>
      <c r="H720" s="23">
        <v>80.0</v>
      </c>
      <c r="I720" s="23">
        <v>742.0</v>
      </c>
      <c r="J720" s="24" t="str">
        <f>'1. Base de donnée HILIN MU CM2 '!$G720&amp;"-"&amp;'1. Base de donnée HILIN MU CM2 '!$H720&amp;"-"&amp;'1. Base de donnée HILIN MU CM2 '!$I720</f>
        <v>2023-80-742</v>
      </c>
      <c r="K720" s="23">
        <f t="shared" si="1"/>
        <v>713</v>
      </c>
      <c r="L720" s="24" t="s">
        <v>31</v>
      </c>
      <c r="M720" s="24"/>
      <c r="N720" s="24"/>
      <c r="O720" s="22">
        <v>6.5</v>
      </c>
      <c r="P720" s="22">
        <v>10.0</v>
      </c>
      <c r="Q720" s="22">
        <f>SUM('1. Base de donnée HILIN MU CM2 '!$O720+'1. Base de donnée HILIN MU CM2 '!$P720)/2</f>
        <v>8.25</v>
      </c>
      <c r="R720" s="22">
        <v>16.5</v>
      </c>
      <c r="S720" s="22">
        <v>16.5</v>
      </c>
      <c r="T720" s="22">
        <f>('1. Base de donnée HILIN MU CM2 '!$R720+'1. Base de donnée HILIN MU CM2 '!$S720)/2</f>
        <v>16.5</v>
      </c>
      <c r="U720" s="25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</row>
    <row r="721" ht="14.25" customHeight="1">
      <c r="A721" s="27" t="s">
        <v>1343</v>
      </c>
      <c r="B721" s="27" t="s">
        <v>121</v>
      </c>
      <c r="C721" s="27" t="s">
        <v>1372</v>
      </c>
      <c r="D721" s="27" t="s">
        <v>1373</v>
      </c>
      <c r="E721" s="27" t="s">
        <v>1348</v>
      </c>
      <c r="F721" s="27" t="s">
        <v>1346</v>
      </c>
      <c r="G721" s="28">
        <v>2023.0</v>
      </c>
      <c r="H721" s="28">
        <v>80.0</v>
      </c>
      <c r="I721" s="28">
        <v>743.0</v>
      </c>
      <c r="J721" s="29" t="str">
        <f>'1. Base de donnée HILIN MU CM2 '!$G721&amp;"-"&amp;'1. Base de donnée HILIN MU CM2 '!$H721&amp;"-"&amp;'1. Base de donnée HILIN MU CM2 '!$I721</f>
        <v>2023-80-743</v>
      </c>
      <c r="K721" s="28">
        <f t="shared" si="1"/>
        <v>714</v>
      </c>
      <c r="L721" s="29" t="s">
        <v>31</v>
      </c>
      <c r="M721" s="29"/>
      <c r="N721" s="29"/>
      <c r="O721" s="27">
        <v>7.75</v>
      </c>
      <c r="P721" s="27">
        <v>8.5</v>
      </c>
      <c r="Q721" s="27">
        <f>SUM('1. Base de donnée HILIN MU CM2 '!$O721+'1. Base de donnée HILIN MU CM2 '!$P721)/2</f>
        <v>8.125</v>
      </c>
      <c r="R721" s="27">
        <v>17.0</v>
      </c>
      <c r="S721" s="27">
        <v>16.5</v>
      </c>
      <c r="T721" s="27">
        <f>('1. Base de donnée HILIN MU CM2 '!$R721+'1. Base de donnée HILIN MU CM2 '!$S721)/2</f>
        <v>16.75</v>
      </c>
      <c r="U721" s="30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</row>
    <row r="722" ht="14.25" customHeight="1">
      <c r="A722" s="22" t="s">
        <v>1374</v>
      </c>
      <c r="B722" s="22" t="s">
        <v>121</v>
      </c>
      <c r="C722" s="22" t="s">
        <v>1375</v>
      </c>
      <c r="D722" s="22" t="s">
        <v>1116</v>
      </c>
      <c r="E722" s="22" t="s">
        <v>1376</v>
      </c>
      <c r="F722" s="24" t="s">
        <v>1377</v>
      </c>
      <c r="G722" s="23">
        <v>2023.0</v>
      </c>
      <c r="H722" s="23">
        <v>81.0</v>
      </c>
      <c r="I722" s="23">
        <v>745.0</v>
      </c>
      <c r="J722" s="24" t="str">
        <f>'1. Base de donnée HILIN MU CM2 '!$G722&amp;"-"&amp;'1. Base de donnée HILIN MU CM2 '!$H722&amp;"-"&amp;'1. Base de donnée HILIN MU CM2 '!$I722</f>
        <v>2023-81-745</v>
      </c>
      <c r="K722" s="23">
        <f t="shared" si="1"/>
        <v>715</v>
      </c>
      <c r="L722" s="24" t="s">
        <v>31</v>
      </c>
      <c r="M722" s="24"/>
      <c r="N722" s="24"/>
      <c r="O722" s="22">
        <v>5.0</v>
      </c>
      <c r="P722" s="22">
        <v>6.0</v>
      </c>
      <c r="Q722" s="22">
        <f>SUM('1. Base de donnée HILIN MU CM2 '!$O722+'1. Base de donnée HILIN MU CM2 '!$P722)/2</f>
        <v>5.5</v>
      </c>
      <c r="R722" s="22">
        <v>19.0</v>
      </c>
      <c r="S722" s="22">
        <v>18.0</v>
      </c>
      <c r="T722" s="22">
        <f>('1. Base de donnée HILIN MU CM2 '!$R722+'1. Base de donnée HILIN MU CM2 '!$S722)/2</f>
        <v>18.5</v>
      </c>
      <c r="U722" s="25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</row>
    <row r="723" ht="14.25" customHeight="1">
      <c r="A723" s="27" t="s">
        <v>1374</v>
      </c>
      <c r="B723" s="27" t="s">
        <v>121</v>
      </c>
      <c r="C723" s="27" t="s">
        <v>1378</v>
      </c>
      <c r="D723" s="27" t="s">
        <v>1379</v>
      </c>
      <c r="E723" s="27" t="s">
        <v>1376</v>
      </c>
      <c r="F723" s="29" t="s">
        <v>1377</v>
      </c>
      <c r="G723" s="28">
        <v>2023.0</v>
      </c>
      <c r="H723" s="28">
        <v>81.0</v>
      </c>
      <c r="I723" s="28">
        <v>746.0</v>
      </c>
      <c r="J723" s="29" t="str">
        <f>'1. Base de donnée HILIN MU CM2 '!$G723&amp;"-"&amp;'1. Base de donnée HILIN MU CM2 '!$H723&amp;"-"&amp;'1. Base de donnée HILIN MU CM2 '!$I723</f>
        <v>2023-81-746</v>
      </c>
      <c r="K723" s="28">
        <f t="shared" si="1"/>
        <v>716</v>
      </c>
      <c r="L723" s="29" t="s">
        <v>31</v>
      </c>
      <c r="M723" s="29"/>
      <c r="N723" s="29"/>
      <c r="O723" s="27">
        <v>2.5</v>
      </c>
      <c r="P723" s="27">
        <v>2.0</v>
      </c>
      <c r="Q723" s="27">
        <f>SUM('1. Base de donnée HILIN MU CM2 '!$O723+'1. Base de donnée HILIN MU CM2 '!$P723)/2</f>
        <v>2.25</v>
      </c>
      <c r="R723" s="27">
        <v>13.5</v>
      </c>
      <c r="S723" s="27">
        <v>15.0</v>
      </c>
      <c r="T723" s="27">
        <f>('1. Base de donnée HILIN MU CM2 '!$R723+'1. Base de donnée HILIN MU CM2 '!$S723)/2</f>
        <v>14.25</v>
      </c>
      <c r="U723" s="30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</row>
    <row r="724" ht="14.25" customHeight="1">
      <c r="A724" s="22" t="s">
        <v>1374</v>
      </c>
      <c r="B724" s="22" t="s">
        <v>121</v>
      </c>
      <c r="C724" s="22" t="s">
        <v>1380</v>
      </c>
      <c r="D724" s="22" t="s">
        <v>1381</v>
      </c>
      <c r="E724" s="22" t="s">
        <v>1376</v>
      </c>
      <c r="F724" s="22" t="s">
        <v>1382</v>
      </c>
      <c r="G724" s="23">
        <v>2023.0</v>
      </c>
      <c r="H724" s="23">
        <v>81.0</v>
      </c>
      <c r="I724" s="23">
        <v>747.0</v>
      </c>
      <c r="J724" s="24" t="str">
        <f>'1. Base de donnée HILIN MU CM2 '!$G724&amp;"-"&amp;'1. Base de donnée HILIN MU CM2 '!$H724&amp;"-"&amp;'1. Base de donnée HILIN MU CM2 '!$I724</f>
        <v>2023-81-747</v>
      </c>
      <c r="K724" s="23">
        <f t="shared" si="1"/>
        <v>717</v>
      </c>
      <c r="L724" s="24" t="s">
        <v>31</v>
      </c>
      <c r="M724" s="24"/>
      <c r="N724" s="24"/>
      <c r="O724" s="22">
        <v>10.0</v>
      </c>
      <c r="P724" s="22">
        <v>5.0</v>
      </c>
      <c r="Q724" s="22">
        <f>SUM('1. Base de donnée HILIN MU CM2 '!$O724+'1. Base de donnée HILIN MU CM2 '!$P724)/2</f>
        <v>7.5</v>
      </c>
      <c r="R724" s="22">
        <v>15.0</v>
      </c>
      <c r="S724" s="22">
        <v>18.0</v>
      </c>
      <c r="T724" s="22">
        <f>('1. Base de donnée HILIN MU CM2 '!$R724+'1. Base de donnée HILIN MU CM2 '!$S724)/2</f>
        <v>16.5</v>
      </c>
      <c r="U724" s="25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</row>
    <row r="725" ht="14.25" customHeight="1">
      <c r="A725" s="27" t="s">
        <v>1374</v>
      </c>
      <c r="B725" s="27" t="s">
        <v>121</v>
      </c>
      <c r="C725" s="27" t="s">
        <v>1383</v>
      </c>
      <c r="D725" s="27" t="s">
        <v>1384</v>
      </c>
      <c r="E725" s="27" t="s">
        <v>1376</v>
      </c>
      <c r="F725" s="27" t="s">
        <v>1382</v>
      </c>
      <c r="G725" s="28">
        <v>2023.0</v>
      </c>
      <c r="H725" s="28">
        <v>81.0</v>
      </c>
      <c r="I725" s="28">
        <v>748.0</v>
      </c>
      <c r="J725" s="29" t="str">
        <f>'1. Base de donnée HILIN MU CM2 '!$G725&amp;"-"&amp;'1. Base de donnée HILIN MU CM2 '!$H725&amp;"-"&amp;'1. Base de donnée HILIN MU CM2 '!$I725</f>
        <v>2023-81-748</v>
      </c>
      <c r="K725" s="28">
        <f t="shared" si="1"/>
        <v>718</v>
      </c>
      <c r="L725" s="29" t="s">
        <v>31</v>
      </c>
      <c r="M725" s="29"/>
      <c r="N725" s="29"/>
      <c r="O725" s="27">
        <v>4.0</v>
      </c>
      <c r="P725" s="27">
        <v>3.0</v>
      </c>
      <c r="Q725" s="27">
        <f>SUM('1. Base de donnée HILIN MU CM2 '!$O725+'1. Base de donnée HILIN MU CM2 '!$P725)/2</f>
        <v>3.5</v>
      </c>
      <c r="R725" s="27">
        <v>15.5</v>
      </c>
      <c r="S725" s="27">
        <v>18.5</v>
      </c>
      <c r="T725" s="27">
        <f>('1. Base de donnée HILIN MU CM2 '!$R725+'1. Base de donnée HILIN MU CM2 '!$S725)/2</f>
        <v>17</v>
      </c>
      <c r="U725" s="30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</row>
    <row r="726" ht="14.25" customHeight="1">
      <c r="A726" s="22" t="s">
        <v>1374</v>
      </c>
      <c r="B726" s="22" t="s">
        <v>121</v>
      </c>
      <c r="C726" s="22" t="s">
        <v>1385</v>
      </c>
      <c r="D726" s="22" t="s">
        <v>1386</v>
      </c>
      <c r="E726" s="22" t="s">
        <v>1387</v>
      </c>
      <c r="F726" s="24" t="s">
        <v>1377</v>
      </c>
      <c r="G726" s="23">
        <v>2023.0</v>
      </c>
      <c r="H726" s="23">
        <v>81.0</v>
      </c>
      <c r="I726" s="23">
        <v>749.0</v>
      </c>
      <c r="J726" s="24" t="str">
        <f>'1. Base de donnée HILIN MU CM2 '!$G726&amp;"-"&amp;'1. Base de donnée HILIN MU CM2 '!$H726&amp;"-"&amp;'1. Base de donnée HILIN MU CM2 '!$I726</f>
        <v>2023-81-749</v>
      </c>
      <c r="K726" s="23">
        <f t="shared" si="1"/>
        <v>719</v>
      </c>
      <c r="L726" s="24" t="s">
        <v>31</v>
      </c>
      <c r="M726" s="24"/>
      <c r="N726" s="24"/>
      <c r="O726" s="22">
        <v>6.5</v>
      </c>
      <c r="P726" s="22">
        <v>3.25</v>
      </c>
      <c r="Q726" s="22">
        <f>SUM('1. Base de donnée HILIN MU CM2 '!$O726+'1. Base de donnée HILIN MU CM2 '!$P726)/2</f>
        <v>4.875</v>
      </c>
      <c r="R726" s="22">
        <v>13.0</v>
      </c>
      <c r="S726" s="22">
        <v>10.5</v>
      </c>
      <c r="T726" s="22">
        <f>('1. Base de donnée HILIN MU CM2 '!$R726+'1. Base de donnée HILIN MU CM2 '!$S726)/2</f>
        <v>11.75</v>
      </c>
      <c r="U726" s="25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</row>
    <row r="727" ht="14.25" customHeight="1">
      <c r="A727" s="27" t="s">
        <v>1374</v>
      </c>
      <c r="B727" s="27" t="s">
        <v>121</v>
      </c>
      <c r="C727" s="27" t="s">
        <v>1388</v>
      </c>
      <c r="D727" s="27" t="s">
        <v>1389</v>
      </c>
      <c r="E727" s="27" t="s">
        <v>1376</v>
      </c>
      <c r="F727" s="27" t="s">
        <v>1382</v>
      </c>
      <c r="G727" s="28">
        <v>2023.0</v>
      </c>
      <c r="H727" s="28">
        <v>81.0</v>
      </c>
      <c r="I727" s="28">
        <v>750.0</v>
      </c>
      <c r="J727" s="29" t="str">
        <f>'1. Base de donnée HILIN MU CM2 '!$G727&amp;"-"&amp;'1. Base de donnée HILIN MU CM2 '!$H727&amp;"-"&amp;'1. Base de donnée HILIN MU CM2 '!$I727</f>
        <v>2023-81-750</v>
      </c>
      <c r="K727" s="28">
        <f t="shared" si="1"/>
        <v>720</v>
      </c>
      <c r="L727" s="29" t="s">
        <v>31</v>
      </c>
      <c r="M727" s="29"/>
      <c r="N727" s="29"/>
      <c r="O727" s="27">
        <v>7.75</v>
      </c>
      <c r="P727" s="27">
        <v>3.0</v>
      </c>
      <c r="Q727" s="27">
        <f>SUM('1. Base de donnée HILIN MU CM2 '!$O727+'1. Base de donnée HILIN MU CM2 '!$P727)/2</f>
        <v>5.375</v>
      </c>
      <c r="R727" s="27">
        <v>13.0</v>
      </c>
      <c r="S727" s="27">
        <v>15.0</v>
      </c>
      <c r="T727" s="27">
        <f>('1. Base de donnée HILIN MU CM2 '!$R727+'1. Base de donnée HILIN MU CM2 '!$S727)/2</f>
        <v>14</v>
      </c>
      <c r="U727" s="30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</row>
    <row r="728" ht="14.25" customHeight="1">
      <c r="A728" s="22" t="s">
        <v>1374</v>
      </c>
      <c r="B728" s="22" t="s">
        <v>121</v>
      </c>
      <c r="C728" s="22" t="s">
        <v>1390</v>
      </c>
      <c r="D728" s="22" t="s">
        <v>1391</v>
      </c>
      <c r="E728" s="22" t="s">
        <v>1376</v>
      </c>
      <c r="F728" s="22" t="s">
        <v>1382</v>
      </c>
      <c r="G728" s="23">
        <v>2023.0</v>
      </c>
      <c r="H728" s="23">
        <v>81.0</v>
      </c>
      <c r="I728" s="23">
        <v>751.0</v>
      </c>
      <c r="J728" s="24" t="str">
        <f>'1. Base de donnée HILIN MU CM2 '!$G728&amp;"-"&amp;'1. Base de donnée HILIN MU CM2 '!$H728&amp;"-"&amp;'1. Base de donnée HILIN MU CM2 '!$I728</f>
        <v>2023-81-751</v>
      </c>
      <c r="K728" s="23">
        <f t="shared" si="1"/>
        <v>721</v>
      </c>
      <c r="L728" s="24" t="s">
        <v>31</v>
      </c>
      <c r="M728" s="24"/>
      <c r="N728" s="24"/>
      <c r="O728" s="22">
        <v>3.0</v>
      </c>
      <c r="P728" s="22">
        <v>2.5</v>
      </c>
      <c r="Q728" s="22">
        <f>SUM('1. Base de donnée HILIN MU CM2 '!$O728+'1. Base de donnée HILIN MU CM2 '!$P728)/2</f>
        <v>2.75</v>
      </c>
      <c r="R728" s="22">
        <v>13.0</v>
      </c>
      <c r="S728" s="22">
        <v>17.5</v>
      </c>
      <c r="T728" s="22">
        <f>('1. Base de donnée HILIN MU CM2 '!$R728+'1. Base de donnée HILIN MU CM2 '!$S728)/2</f>
        <v>15.25</v>
      </c>
      <c r="U728" s="25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</row>
    <row r="729" ht="14.25" customHeight="1">
      <c r="A729" s="27" t="s">
        <v>1374</v>
      </c>
      <c r="B729" s="27" t="s">
        <v>121</v>
      </c>
      <c r="C729" s="27" t="s">
        <v>1392</v>
      </c>
      <c r="D729" s="27" t="s">
        <v>561</v>
      </c>
      <c r="E729" s="27" t="s">
        <v>1376</v>
      </c>
      <c r="F729" s="29" t="s">
        <v>1377</v>
      </c>
      <c r="G729" s="28">
        <v>2023.0</v>
      </c>
      <c r="H729" s="28">
        <v>81.0</v>
      </c>
      <c r="I729" s="28">
        <v>752.0</v>
      </c>
      <c r="J729" s="29" t="str">
        <f>'1. Base de donnée HILIN MU CM2 '!$G729&amp;"-"&amp;'1. Base de donnée HILIN MU CM2 '!$H729&amp;"-"&amp;'1. Base de donnée HILIN MU CM2 '!$I729</f>
        <v>2023-81-752</v>
      </c>
      <c r="K729" s="28">
        <f t="shared" si="1"/>
        <v>722</v>
      </c>
      <c r="L729" s="29" t="s">
        <v>31</v>
      </c>
      <c r="M729" s="29"/>
      <c r="N729" s="29"/>
      <c r="O729" s="27">
        <v>1.0</v>
      </c>
      <c r="P729" s="27">
        <v>1.0</v>
      </c>
      <c r="Q729" s="27">
        <f>SUM('1. Base de donnée HILIN MU CM2 '!$O729+'1. Base de donnée HILIN MU CM2 '!$P729)/2</f>
        <v>1</v>
      </c>
      <c r="R729" s="27">
        <v>8.0</v>
      </c>
      <c r="S729" s="27">
        <v>8.0</v>
      </c>
      <c r="T729" s="27">
        <f>('1. Base de donnée HILIN MU CM2 '!$R729+'1. Base de donnée HILIN MU CM2 '!$S729)/2</f>
        <v>8</v>
      </c>
      <c r="U729" s="30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</row>
    <row r="730" ht="14.25" customHeight="1">
      <c r="A730" s="22" t="s">
        <v>1374</v>
      </c>
      <c r="B730" s="22" t="s">
        <v>121</v>
      </c>
      <c r="C730" s="22" t="s">
        <v>1393</v>
      </c>
      <c r="D730" s="22" t="s">
        <v>1394</v>
      </c>
      <c r="E730" s="22" t="s">
        <v>1376</v>
      </c>
      <c r="F730" s="22" t="s">
        <v>1382</v>
      </c>
      <c r="G730" s="23">
        <v>2023.0</v>
      </c>
      <c r="H730" s="23">
        <v>81.0</v>
      </c>
      <c r="I730" s="23">
        <v>754.0</v>
      </c>
      <c r="J730" s="24" t="str">
        <f>'1. Base de donnée HILIN MU CM2 '!$G730&amp;"-"&amp;'1. Base de donnée HILIN MU CM2 '!$H730&amp;"-"&amp;'1. Base de donnée HILIN MU CM2 '!$I730</f>
        <v>2023-81-754</v>
      </c>
      <c r="K730" s="23">
        <f t="shared" si="1"/>
        <v>723</v>
      </c>
      <c r="L730" s="24" t="s">
        <v>31</v>
      </c>
      <c r="M730" s="24"/>
      <c r="N730" s="24"/>
      <c r="O730" s="22">
        <v>7.0</v>
      </c>
      <c r="P730" s="22">
        <v>2.0</v>
      </c>
      <c r="Q730" s="22">
        <f>SUM('1. Base de donnée HILIN MU CM2 '!$O730+'1. Base de donnée HILIN MU CM2 '!$P730)/2</f>
        <v>4.5</v>
      </c>
      <c r="R730" s="22">
        <v>13.5</v>
      </c>
      <c r="S730" s="22">
        <v>14.0</v>
      </c>
      <c r="T730" s="22">
        <f>('1. Base de donnée HILIN MU CM2 '!$R730+'1. Base de donnée HILIN MU CM2 '!$S730)/2</f>
        <v>13.75</v>
      </c>
      <c r="U730" s="25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</row>
    <row r="731" ht="14.25" customHeight="1">
      <c r="A731" s="27" t="s">
        <v>1374</v>
      </c>
      <c r="B731" s="27" t="s">
        <v>121</v>
      </c>
      <c r="C731" s="27" t="s">
        <v>1395</v>
      </c>
      <c r="D731" s="27" t="s">
        <v>1396</v>
      </c>
      <c r="E731" s="27" t="s">
        <v>1376</v>
      </c>
      <c r="F731" s="29" t="s">
        <v>1377</v>
      </c>
      <c r="G731" s="28">
        <v>2023.0</v>
      </c>
      <c r="H731" s="28">
        <v>81.0</v>
      </c>
      <c r="I731" s="28">
        <v>755.0</v>
      </c>
      <c r="J731" s="29" t="str">
        <f>'1. Base de donnée HILIN MU CM2 '!$G731&amp;"-"&amp;'1. Base de donnée HILIN MU CM2 '!$H731&amp;"-"&amp;'1. Base de donnée HILIN MU CM2 '!$I731</f>
        <v>2023-81-755</v>
      </c>
      <c r="K731" s="28">
        <f t="shared" si="1"/>
        <v>724</v>
      </c>
      <c r="L731" s="29" t="s">
        <v>31</v>
      </c>
      <c r="M731" s="29"/>
      <c r="N731" s="29"/>
      <c r="O731" s="27">
        <v>7.0</v>
      </c>
      <c r="P731" s="27">
        <v>4.5</v>
      </c>
      <c r="Q731" s="27">
        <f>SUM('1. Base de donnée HILIN MU CM2 '!$O731+'1. Base de donnée HILIN MU CM2 '!$P731)/2</f>
        <v>5.75</v>
      </c>
      <c r="R731" s="27">
        <v>12.0</v>
      </c>
      <c r="S731" s="27">
        <v>15.0</v>
      </c>
      <c r="T731" s="27">
        <f>('1. Base de donnée HILIN MU CM2 '!$R731+'1. Base de donnée HILIN MU CM2 '!$S731)/2</f>
        <v>13.5</v>
      </c>
      <c r="U731" s="30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</row>
    <row r="732" ht="14.25" customHeight="1">
      <c r="A732" s="22" t="s">
        <v>1374</v>
      </c>
      <c r="B732" s="22" t="s">
        <v>121</v>
      </c>
      <c r="C732" s="22" t="s">
        <v>1397</v>
      </c>
      <c r="D732" s="22" t="s">
        <v>1398</v>
      </c>
      <c r="E732" s="22" t="s">
        <v>1376</v>
      </c>
      <c r="F732" s="22" t="s">
        <v>1382</v>
      </c>
      <c r="G732" s="23">
        <v>2023.0</v>
      </c>
      <c r="H732" s="23">
        <v>81.0</v>
      </c>
      <c r="I732" s="23">
        <v>756.0</v>
      </c>
      <c r="J732" s="24" t="str">
        <f>'1. Base de donnée HILIN MU CM2 '!$G732&amp;"-"&amp;'1. Base de donnée HILIN MU CM2 '!$H732&amp;"-"&amp;'1. Base de donnée HILIN MU CM2 '!$I732</f>
        <v>2023-81-756</v>
      </c>
      <c r="K732" s="23">
        <f t="shared" si="1"/>
        <v>725</v>
      </c>
      <c r="L732" s="24" t="s">
        <v>31</v>
      </c>
      <c r="M732" s="24"/>
      <c r="N732" s="24"/>
      <c r="O732" s="22">
        <v>9.5</v>
      </c>
      <c r="P732" s="22">
        <v>3.5</v>
      </c>
      <c r="Q732" s="22">
        <f>SUM('1. Base de donnée HILIN MU CM2 '!$O732+'1. Base de donnée HILIN MU CM2 '!$P732)/2</f>
        <v>6.5</v>
      </c>
      <c r="R732" s="22">
        <v>16.0</v>
      </c>
      <c r="S732" s="22">
        <v>19.5</v>
      </c>
      <c r="T732" s="22">
        <f>('1. Base de donnée HILIN MU CM2 '!$R732+'1. Base de donnée HILIN MU CM2 '!$S732)/2</f>
        <v>17.75</v>
      </c>
      <c r="U732" s="25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</row>
    <row r="733" ht="14.25" customHeight="1">
      <c r="A733" s="27" t="s">
        <v>1374</v>
      </c>
      <c r="B733" s="27" t="s">
        <v>121</v>
      </c>
      <c r="C733" s="27" t="s">
        <v>1399</v>
      </c>
      <c r="D733" s="27" t="s">
        <v>1116</v>
      </c>
      <c r="E733" s="27" t="s">
        <v>1376</v>
      </c>
      <c r="F733" s="27" t="s">
        <v>1382</v>
      </c>
      <c r="G733" s="28">
        <v>2023.0</v>
      </c>
      <c r="H733" s="28">
        <v>81.0</v>
      </c>
      <c r="I733" s="28">
        <v>757.0</v>
      </c>
      <c r="J733" s="29" t="str">
        <f>'1. Base de donnée HILIN MU CM2 '!$G733&amp;"-"&amp;'1. Base de donnée HILIN MU CM2 '!$H733&amp;"-"&amp;'1. Base de donnée HILIN MU CM2 '!$I733</f>
        <v>2023-81-757</v>
      </c>
      <c r="K733" s="28">
        <f t="shared" si="1"/>
        <v>726</v>
      </c>
      <c r="L733" s="29" t="s">
        <v>31</v>
      </c>
      <c r="M733" s="29"/>
      <c r="N733" s="29"/>
      <c r="O733" s="27">
        <v>7.5</v>
      </c>
      <c r="P733" s="27">
        <v>5.5</v>
      </c>
      <c r="Q733" s="27">
        <f>SUM('1. Base de donnée HILIN MU CM2 '!$O733+'1. Base de donnée HILIN MU CM2 '!$P733)/2</f>
        <v>6.5</v>
      </c>
      <c r="R733" s="27">
        <v>13.0</v>
      </c>
      <c r="S733" s="27">
        <v>17.0</v>
      </c>
      <c r="T733" s="27">
        <f>('1. Base de donnée HILIN MU CM2 '!$R733+'1. Base de donnée HILIN MU CM2 '!$S733)/2</f>
        <v>15</v>
      </c>
      <c r="U733" s="30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</row>
    <row r="734" ht="14.25" customHeight="1">
      <c r="A734" s="22" t="s">
        <v>1374</v>
      </c>
      <c r="B734" s="22" t="s">
        <v>121</v>
      </c>
      <c r="C734" s="22" t="s">
        <v>1400</v>
      </c>
      <c r="D734" s="22" t="s">
        <v>1401</v>
      </c>
      <c r="E734" s="22" t="s">
        <v>1376</v>
      </c>
      <c r="F734" s="22" t="s">
        <v>1382</v>
      </c>
      <c r="G734" s="23">
        <v>2023.0</v>
      </c>
      <c r="H734" s="23">
        <v>81.0</v>
      </c>
      <c r="I734" s="23">
        <v>758.0</v>
      </c>
      <c r="J734" s="24" t="str">
        <f>'1. Base de donnée HILIN MU CM2 '!$G734&amp;"-"&amp;'1. Base de donnée HILIN MU CM2 '!$H734&amp;"-"&amp;'1. Base de donnée HILIN MU CM2 '!$I734</f>
        <v>2023-81-758</v>
      </c>
      <c r="K734" s="23">
        <f t="shared" si="1"/>
        <v>727</v>
      </c>
      <c r="L734" s="24" t="s">
        <v>31</v>
      </c>
      <c r="M734" s="24"/>
      <c r="N734" s="24"/>
      <c r="O734" s="22">
        <v>4.5</v>
      </c>
      <c r="P734" s="22">
        <v>2.0</v>
      </c>
      <c r="Q734" s="22">
        <f>SUM('1. Base de donnée HILIN MU CM2 '!$O734+'1. Base de donnée HILIN MU CM2 '!$P734)/2</f>
        <v>3.25</v>
      </c>
      <c r="R734" s="22">
        <v>15.5</v>
      </c>
      <c r="S734" s="22">
        <v>16.5</v>
      </c>
      <c r="T734" s="22">
        <f>('1. Base de donnée HILIN MU CM2 '!$R734+'1. Base de donnée HILIN MU CM2 '!$S734)/2</f>
        <v>16</v>
      </c>
      <c r="U734" s="25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</row>
    <row r="735" ht="14.25" customHeight="1">
      <c r="A735" s="27" t="s">
        <v>1374</v>
      </c>
      <c r="B735" s="27" t="s">
        <v>121</v>
      </c>
      <c r="C735" s="27" t="s">
        <v>1402</v>
      </c>
      <c r="D735" s="27" t="s">
        <v>1403</v>
      </c>
      <c r="E735" s="27" t="s">
        <v>1376</v>
      </c>
      <c r="F735" s="29" t="s">
        <v>1377</v>
      </c>
      <c r="G735" s="28">
        <v>2023.0</v>
      </c>
      <c r="H735" s="28">
        <v>81.0</v>
      </c>
      <c r="I735" s="28">
        <v>759.0</v>
      </c>
      <c r="J735" s="29" t="str">
        <f>'1. Base de donnée HILIN MU CM2 '!$G735&amp;"-"&amp;'1. Base de donnée HILIN MU CM2 '!$H735&amp;"-"&amp;'1. Base de donnée HILIN MU CM2 '!$I735</f>
        <v>2023-81-759</v>
      </c>
      <c r="K735" s="28">
        <f t="shared" si="1"/>
        <v>728</v>
      </c>
      <c r="L735" s="29" t="s">
        <v>31</v>
      </c>
      <c r="M735" s="29"/>
      <c r="N735" s="29"/>
      <c r="O735" s="27">
        <v>4.0</v>
      </c>
      <c r="P735" s="27">
        <v>3.25</v>
      </c>
      <c r="Q735" s="27">
        <f>SUM('1. Base de donnée HILIN MU CM2 '!$O735+'1. Base de donnée HILIN MU CM2 '!$P735)/2</f>
        <v>3.625</v>
      </c>
      <c r="R735" s="27">
        <v>13.5</v>
      </c>
      <c r="S735" s="27">
        <v>16.5</v>
      </c>
      <c r="T735" s="27">
        <f>('1. Base de donnée HILIN MU CM2 '!$R735+'1. Base de donnée HILIN MU CM2 '!$S735)/2</f>
        <v>15</v>
      </c>
      <c r="U735" s="30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</row>
    <row r="736" ht="14.25" customHeight="1">
      <c r="A736" s="22" t="s">
        <v>1374</v>
      </c>
      <c r="B736" s="22" t="s">
        <v>121</v>
      </c>
      <c r="C736" s="22" t="s">
        <v>1404</v>
      </c>
      <c r="D736" s="22" t="s">
        <v>1405</v>
      </c>
      <c r="E736" s="22" t="s">
        <v>1376</v>
      </c>
      <c r="F736" s="22" t="s">
        <v>1382</v>
      </c>
      <c r="G736" s="23">
        <v>2023.0</v>
      </c>
      <c r="H736" s="23">
        <v>81.0</v>
      </c>
      <c r="I736" s="23">
        <v>760.0</v>
      </c>
      <c r="J736" s="24" t="str">
        <f>'1. Base de donnée HILIN MU CM2 '!$G736&amp;"-"&amp;'1. Base de donnée HILIN MU CM2 '!$H736&amp;"-"&amp;'1. Base de donnée HILIN MU CM2 '!$I736</f>
        <v>2023-81-760</v>
      </c>
      <c r="K736" s="23">
        <f t="shared" si="1"/>
        <v>729</v>
      </c>
      <c r="L736" s="24" t="s">
        <v>31</v>
      </c>
      <c r="M736" s="24"/>
      <c r="N736" s="24"/>
      <c r="O736" s="22">
        <v>9.5</v>
      </c>
      <c r="P736" s="22">
        <v>6.25</v>
      </c>
      <c r="Q736" s="22">
        <f>SUM('1. Base de donnée HILIN MU CM2 '!$O736+'1. Base de donnée HILIN MU CM2 '!$P736)/2</f>
        <v>7.875</v>
      </c>
      <c r="R736" s="22">
        <v>17.0</v>
      </c>
      <c r="S736" s="22">
        <v>18.0</v>
      </c>
      <c r="T736" s="22">
        <f>('1. Base de donnée HILIN MU CM2 '!$R736+'1. Base de donnée HILIN MU CM2 '!$S736)/2</f>
        <v>17.5</v>
      </c>
      <c r="U736" s="25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</row>
    <row r="737" ht="14.25" customHeight="1">
      <c r="A737" s="27" t="s">
        <v>1374</v>
      </c>
      <c r="B737" s="27" t="s">
        <v>121</v>
      </c>
      <c r="C737" s="27" t="s">
        <v>1406</v>
      </c>
      <c r="D737" s="27" t="s">
        <v>1407</v>
      </c>
      <c r="E737" s="27" t="s">
        <v>1376</v>
      </c>
      <c r="F737" s="29" t="s">
        <v>1377</v>
      </c>
      <c r="G737" s="28">
        <v>2023.0</v>
      </c>
      <c r="H737" s="28">
        <v>81.0</v>
      </c>
      <c r="I737" s="28">
        <v>761.0</v>
      </c>
      <c r="J737" s="29" t="str">
        <f>'1. Base de donnée HILIN MU CM2 '!$G737&amp;"-"&amp;'1. Base de donnée HILIN MU CM2 '!$H737&amp;"-"&amp;'1. Base de donnée HILIN MU CM2 '!$I737</f>
        <v>2023-81-761</v>
      </c>
      <c r="K737" s="28">
        <f t="shared" si="1"/>
        <v>730</v>
      </c>
      <c r="L737" s="29" t="s">
        <v>31</v>
      </c>
      <c r="M737" s="29"/>
      <c r="N737" s="29"/>
      <c r="O737" s="27">
        <v>9.5</v>
      </c>
      <c r="P737" s="27">
        <v>4.0</v>
      </c>
      <c r="Q737" s="27">
        <f>SUM('1. Base de donnée HILIN MU CM2 '!$O737+'1. Base de donnée HILIN MU CM2 '!$P737)/2</f>
        <v>6.75</v>
      </c>
      <c r="R737" s="27">
        <v>15.0</v>
      </c>
      <c r="S737" s="27">
        <v>18.5</v>
      </c>
      <c r="T737" s="27">
        <f>('1. Base de donnée HILIN MU CM2 '!$R737+'1. Base de donnée HILIN MU CM2 '!$S737)/2</f>
        <v>16.75</v>
      </c>
      <c r="U737" s="30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</row>
    <row r="738" ht="14.25" customHeight="1">
      <c r="A738" s="22" t="s">
        <v>1374</v>
      </c>
      <c r="B738" s="22" t="s">
        <v>121</v>
      </c>
      <c r="C738" s="22" t="s">
        <v>1408</v>
      </c>
      <c r="D738" s="22" t="s">
        <v>1409</v>
      </c>
      <c r="E738" s="22" t="s">
        <v>1376</v>
      </c>
      <c r="F738" s="24" t="s">
        <v>1377</v>
      </c>
      <c r="G738" s="23">
        <v>2023.0</v>
      </c>
      <c r="H738" s="23">
        <v>81.0</v>
      </c>
      <c r="I738" s="23">
        <v>762.0</v>
      </c>
      <c r="J738" s="24" t="str">
        <f>'1. Base de donnée HILIN MU CM2 '!$G738&amp;"-"&amp;'1. Base de donnée HILIN MU CM2 '!$H738&amp;"-"&amp;'1. Base de donnée HILIN MU CM2 '!$I738</f>
        <v>2023-81-762</v>
      </c>
      <c r="K738" s="23">
        <f t="shared" si="1"/>
        <v>731</v>
      </c>
      <c r="L738" s="24" t="s">
        <v>31</v>
      </c>
      <c r="M738" s="24"/>
      <c r="N738" s="24"/>
      <c r="O738" s="22">
        <v>0.0</v>
      </c>
      <c r="P738" s="22">
        <v>1.0</v>
      </c>
      <c r="Q738" s="22">
        <f>SUM('1. Base de donnée HILIN MU CM2 '!$O738+'1. Base de donnée HILIN MU CM2 '!$P738)/2</f>
        <v>0.5</v>
      </c>
      <c r="R738" s="22">
        <v>14.0</v>
      </c>
      <c r="S738" s="22">
        <v>15.5</v>
      </c>
      <c r="T738" s="22">
        <f>('1. Base de donnée HILIN MU CM2 '!$R738+'1. Base de donnée HILIN MU CM2 '!$S738)/2</f>
        <v>14.75</v>
      </c>
      <c r="U738" s="25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</row>
    <row r="739" ht="14.25" customHeight="1">
      <c r="A739" s="27" t="s">
        <v>1374</v>
      </c>
      <c r="B739" s="27" t="s">
        <v>121</v>
      </c>
      <c r="C739" s="27" t="s">
        <v>1410</v>
      </c>
      <c r="D739" s="27" t="s">
        <v>1379</v>
      </c>
      <c r="E739" s="27" t="s">
        <v>1376</v>
      </c>
      <c r="F739" s="27" t="s">
        <v>1382</v>
      </c>
      <c r="G739" s="28">
        <v>2023.0</v>
      </c>
      <c r="H739" s="28">
        <v>81.0</v>
      </c>
      <c r="I739" s="28">
        <v>763.0</v>
      </c>
      <c r="J739" s="29" t="str">
        <f>'1. Base de donnée HILIN MU CM2 '!$G739&amp;"-"&amp;'1. Base de donnée HILIN MU CM2 '!$H739&amp;"-"&amp;'1. Base de donnée HILIN MU CM2 '!$I739</f>
        <v>2023-81-763</v>
      </c>
      <c r="K739" s="28">
        <f t="shared" si="1"/>
        <v>732</v>
      </c>
      <c r="L739" s="29" t="s">
        <v>31</v>
      </c>
      <c r="M739" s="29"/>
      <c r="N739" s="29"/>
      <c r="O739" s="27">
        <v>4.5</v>
      </c>
      <c r="P739" s="27">
        <v>3.0</v>
      </c>
      <c r="Q739" s="27">
        <f>SUM('1. Base de donnée HILIN MU CM2 '!$O739+'1. Base de donnée HILIN MU CM2 '!$P739)/2</f>
        <v>3.75</v>
      </c>
      <c r="R739" s="27">
        <v>13.0</v>
      </c>
      <c r="S739" s="27">
        <v>15.5</v>
      </c>
      <c r="T739" s="27">
        <f>('1. Base de donnée HILIN MU CM2 '!$R739+'1. Base de donnée HILIN MU CM2 '!$S739)/2</f>
        <v>14.25</v>
      </c>
      <c r="U739" s="30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</row>
    <row r="740" ht="14.25" customHeight="1">
      <c r="A740" s="22" t="s">
        <v>1374</v>
      </c>
      <c r="B740" s="22" t="s">
        <v>121</v>
      </c>
      <c r="C740" s="22" t="s">
        <v>1411</v>
      </c>
      <c r="D740" s="22" t="s">
        <v>1412</v>
      </c>
      <c r="E740" s="22" t="s">
        <v>1376</v>
      </c>
      <c r="F740" s="24" t="s">
        <v>1377</v>
      </c>
      <c r="G740" s="23">
        <v>2023.0</v>
      </c>
      <c r="H740" s="23">
        <v>81.0</v>
      </c>
      <c r="I740" s="23">
        <v>764.0</v>
      </c>
      <c r="J740" s="24" t="str">
        <f>'1. Base de donnée HILIN MU CM2 '!$G740&amp;"-"&amp;'1. Base de donnée HILIN MU CM2 '!$H740&amp;"-"&amp;'1. Base de donnée HILIN MU CM2 '!$I740</f>
        <v>2023-81-764</v>
      </c>
      <c r="K740" s="23">
        <f t="shared" si="1"/>
        <v>733</v>
      </c>
      <c r="L740" s="24" t="s">
        <v>31</v>
      </c>
      <c r="M740" s="24"/>
      <c r="N740" s="24"/>
      <c r="O740" s="22">
        <v>9.0</v>
      </c>
      <c r="P740" s="22">
        <v>4.0</v>
      </c>
      <c r="Q740" s="22">
        <f>SUM('1. Base de donnée HILIN MU CM2 '!$O740+'1. Base de donnée HILIN MU CM2 '!$P740)/2</f>
        <v>6.5</v>
      </c>
      <c r="R740" s="22">
        <v>15.0</v>
      </c>
      <c r="S740" s="22">
        <v>17.0</v>
      </c>
      <c r="T740" s="22">
        <f>('1. Base de donnée HILIN MU CM2 '!$R740+'1. Base de donnée HILIN MU CM2 '!$S740)/2</f>
        <v>16</v>
      </c>
      <c r="U740" s="25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</row>
    <row r="741" ht="14.25" customHeight="1">
      <c r="A741" s="27" t="s">
        <v>1374</v>
      </c>
      <c r="B741" s="27" t="s">
        <v>121</v>
      </c>
      <c r="C741" s="27" t="s">
        <v>1413</v>
      </c>
      <c r="D741" s="27" t="s">
        <v>63</v>
      </c>
      <c r="E741" s="27" t="s">
        <v>1376</v>
      </c>
      <c r="F741" s="29" t="s">
        <v>1377</v>
      </c>
      <c r="G741" s="28">
        <v>2023.0</v>
      </c>
      <c r="H741" s="28">
        <v>81.0</v>
      </c>
      <c r="I741" s="28">
        <v>765.0</v>
      </c>
      <c r="J741" s="29" t="str">
        <f>'1. Base de donnée HILIN MU CM2 '!$G741&amp;"-"&amp;'1. Base de donnée HILIN MU CM2 '!$H741&amp;"-"&amp;'1. Base de donnée HILIN MU CM2 '!$I741</f>
        <v>2023-81-765</v>
      </c>
      <c r="K741" s="28">
        <f t="shared" si="1"/>
        <v>734</v>
      </c>
      <c r="L741" s="29" t="s">
        <v>31</v>
      </c>
      <c r="M741" s="29"/>
      <c r="N741" s="29"/>
      <c r="O741" s="27">
        <v>3.5</v>
      </c>
      <c r="P741" s="27">
        <v>2.5</v>
      </c>
      <c r="Q741" s="27">
        <f>SUM('1. Base de donnée HILIN MU CM2 '!$O741+'1. Base de donnée HILIN MU CM2 '!$P741)/2</f>
        <v>3</v>
      </c>
      <c r="R741" s="27">
        <v>13.0</v>
      </c>
      <c r="S741" s="27">
        <v>16.0</v>
      </c>
      <c r="T741" s="27">
        <f>('1. Base de donnée HILIN MU CM2 '!$R741+'1. Base de donnée HILIN MU CM2 '!$S741)/2</f>
        <v>14.5</v>
      </c>
      <c r="U741" s="30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</row>
    <row r="742" ht="14.25" customHeight="1">
      <c r="A742" s="22" t="s">
        <v>1374</v>
      </c>
      <c r="B742" s="22" t="s">
        <v>121</v>
      </c>
      <c r="C742" s="22" t="s">
        <v>1414</v>
      </c>
      <c r="D742" s="22" t="s">
        <v>1415</v>
      </c>
      <c r="E742" s="22" t="s">
        <v>1376</v>
      </c>
      <c r="F742" s="22" t="s">
        <v>1382</v>
      </c>
      <c r="G742" s="23">
        <v>2023.0</v>
      </c>
      <c r="H742" s="23">
        <v>81.0</v>
      </c>
      <c r="I742" s="23">
        <v>766.0</v>
      </c>
      <c r="J742" s="24" t="str">
        <f>'1. Base de donnée HILIN MU CM2 '!$G742&amp;"-"&amp;'1. Base de donnée HILIN MU CM2 '!$H742&amp;"-"&amp;'1. Base de donnée HILIN MU CM2 '!$I742</f>
        <v>2023-81-766</v>
      </c>
      <c r="K742" s="23">
        <f t="shared" si="1"/>
        <v>735</v>
      </c>
      <c r="L742" s="24" t="s">
        <v>31</v>
      </c>
      <c r="M742" s="24"/>
      <c r="N742" s="24"/>
      <c r="O742" s="22">
        <v>4.5</v>
      </c>
      <c r="P742" s="22">
        <v>2.5</v>
      </c>
      <c r="Q742" s="22">
        <f>SUM('1. Base de donnée HILIN MU CM2 '!$O742+'1. Base de donnée HILIN MU CM2 '!$P742)/2</f>
        <v>3.5</v>
      </c>
      <c r="R742" s="22">
        <v>11.0</v>
      </c>
      <c r="S742" s="22">
        <v>15.0</v>
      </c>
      <c r="T742" s="22">
        <f>('1. Base de donnée HILIN MU CM2 '!$R742+'1. Base de donnée HILIN MU CM2 '!$S742)/2</f>
        <v>13</v>
      </c>
      <c r="U742" s="25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</row>
    <row r="743" ht="14.25" customHeight="1">
      <c r="A743" s="27" t="s">
        <v>1374</v>
      </c>
      <c r="B743" s="27" t="s">
        <v>121</v>
      </c>
      <c r="C743" s="27" t="s">
        <v>1416</v>
      </c>
      <c r="D743" s="27" t="s">
        <v>116</v>
      </c>
      <c r="E743" s="27" t="s">
        <v>1376</v>
      </c>
      <c r="F743" s="29" t="s">
        <v>1377</v>
      </c>
      <c r="G743" s="28">
        <v>2023.0</v>
      </c>
      <c r="H743" s="28">
        <v>81.0</v>
      </c>
      <c r="I743" s="28">
        <v>767.0</v>
      </c>
      <c r="J743" s="29" t="str">
        <f>'1. Base de donnée HILIN MU CM2 '!$G743&amp;"-"&amp;'1. Base de donnée HILIN MU CM2 '!$H743&amp;"-"&amp;'1. Base de donnée HILIN MU CM2 '!$I743</f>
        <v>2023-81-767</v>
      </c>
      <c r="K743" s="28">
        <f t="shared" si="1"/>
        <v>736</v>
      </c>
      <c r="L743" s="29" t="s">
        <v>31</v>
      </c>
      <c r="M743" s="29"/>
      <c r="N743" s="29"/>
      <c r="O743" s="27">
        <v>2.0</v>
      </c>
      <c r="P743" s="27">
        <v>1.5</v>
      </c>
      <c r="Q743" s="27">
        <f>SUM('1. Base de donnée HILIN MU CM2 '!$O743+'1. Base de donnée HILIN MU CM2 '!$P743)/2</f>
        <v>1.75</v>
      </c>
      <c r="R743" s="27">
        <v>13.0</v>
      </c>
      <c r="S743" s="27">
        <v>16.5</v>
      </c>
      <c r="T743" s="27">
        <f>('1. Base de donnée HILIN MU CM2 '!$R743+'1. Base de donnée HILIN MU CM2 '!$S743)/2</f>
        <v>14.75</v>
      </c>
      <c r="U743" s="30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</row>
    <row r="744" ht="14.25" customHeight="1">
      <c r="A744" s="22" t="s">
        <v>1374</v>
      </c>
      <c r="B744" s="24" t="s">
        <v>121</v>
      </c>
      <c r="C744" s="24" t="s">
        <v>1417</v>
      </c>
      <c r="D744" s="24" t="s">
        <v>1418</v>
      </c>
      <c r="E744" s="22" t="s">
        <v>1376</v>
      </c>
      <c r="F744" s="24" t="s">
        <v>1377</v>
      </c>
      <c r="G744" s="23">
        <v>2022.0</v>
      </c>
      <c r="H744" s="23">
        <v>81.0</v>
      </c>
      <c r="I744" s="23">
        <v>38.0</v>
      </c>
      <c r="J744" s="24" t="str">
        <f>'1. Base de donnée HILIN MU CM2 '!$G744&amp;"-"&amp;'1. Base de donnée HILIN MU CM2 '!$H744&amp;"-"&amp;'1. Base de donnée HILIN MU CM2 '!$I744</f>
        <v>2022-81-38</v>
      </c>
      <c r="K744" s="23">
        <f t="shared" si="1"/>
        <v>737</v>
      </c>
      <c r="L744" s="24" t="s">
        <v>31</v>
      </c>
      <c r="M744" s="24"/>
      <c r="N744" s="24"/>
      <c r="O744" s="22">
        <v>5.5</v>
      </c>
      <c r="P744" s="22">
        <v>6.0</v>
      </c>
      <c r="Q744" s="22">
        <f>SUM('1. Base de donnée HILIN MU CM2 '!$O744+'1. Base de donnée HILIN MU CM2 '!$P744)/2</f>
        <v>5.75</v>
      </c>
      <c r="R744" s="22">
        <v>13.5</v>
      </c>
      <c r="S744" s="22">
        <v>12.0</v>
      </c>
      <c r="T744" s="22">
        <f>('1. Base de donnée HILIN MU CM2 '!$R744+'1. Base de donnée HILIN MU CM2 '!$S744)/2</f>
        <v>12.75</v>
      </c>
      <c r="U744" s="25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</row>
    <row r="745" ht="14.25" customHeight="1">
      <c r="A745" s="27" t="s">
        <v>1374</v>
      </c>
      <c r="B745" s="29" t="s">
        <v>121</v>
      </c>
      <c r="C745" s="29" t="s">
        <v>1419</v>
      </c>
      <c r="D745" s="29" t="s">
        <v>1420</v>
      </c>
      <c r="E745" s="27" t="s">
        <v>1376</v>
      </c>
      <c r="F745" s="29" t="s">
        <v>1377</v>
      </c>
      <c r="G745" s="28">
        <v>2022.0</v>
      </c>
      <c r="H745" s="28">
        <v>81.0</v>
      </c>
      <c r="I745" s="28">
        <v>50.0</v>
      </c>
      <c r="J745" s="29" t="str">
        <f>'1. Base de donnée HILIN MU CM2 '!$G745&amp;"-"&amp;'1. Base de donnée HILIN MU CM2 '!$H745&amp;"-"&amp;'1. Base de donnée HILIN MU CM2 '!$I745</f>
        <v>2022-81-50</v>
      </c>
      <c r="K745" s="28">
        <f t="shared" si="1"/>
        <v>738</v>
      </c>
      <c r="L745" s="29" t="s">
        <v>31</v>
      </c>
      <c r="M745" s="29"/>
      <c r="N745" s="29"/>
      <c r="O745" s="34">
        <v>0.5</v>
      </c>
      <c r="P745" s="27">
        <v>0.0</v>
      </c>
      <c r="Q745" s="27">
        <f>SUM('1. Base de donnée HILIN MU CM2 '!$O745+'1. Base de donnée HILIN MU CM2 '!$P745)/2</f>
        <v>0.25</v>
      </c>
      <c r="R745" s="27">
        <v>13.0</v>
      </c>
      <c r="S745" s="27">
        <v>13.0</v>
      </c>
      <c r="T745" s="27">
        <f>('1. Base de donnée HILIN MU CM2 '!$R745+'1. Base de donnée HILIN MU CM2 '!$S745)/2</f>
        <v>13</v>
      </c>
      <c r="U745" s="30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</row>
    <row r="746" ht="14.25" customHeight="1">
      <c r="A746" s="22" t="s">
        <v>1374</v>
      </c>
      <c r="B746" s="24" t="s">
        <v>121</v>
      </c>
      <c r="C746" s="24" t="s">
        <v>1421</v>
      </c>
      <c r="D746" s="24" t="s">
        <v>561</v>
      </c>
      <c r="E746" s="22" t="s">
        <v>1376</v>
      </c>
      <c r="F746" s="24"/>
      <c r="G746" s="23">
        <v>2022.0</v>
      </c>
      <c r="H746" s="23">
        <v>81.0</v>
      </c>
      <c r="I746" s="23">
        <v>53.0</v>
      </c>
      <c r="J746" s="24" t="str">
        <f>'1. Base de donnée HILIN MU CM2 '!$G746&amp;"-"&amp;'1. Base de donnée HILIN MU CM2 '!$H746&amp;"-"&amp;'1. Base de donnée HILIN MU CM2 '!$I746</f>
        <v>2022-81-53</v>
      </c>
      <c r="K746" s="23">
        <f t="shared" si="1"/>
        <v>739</v>
      </c>
      <c r="L746" s="24" t="s">
        <v>31</v>
      </c>
      <c r="M746" s="24" t="s">
        <v>571</v>
      </c>
      <c r="N746" s="24"/>
      <c r="O746" s="33">
        <v>3.0</v>
      </c>
      <c r="P746" s="22">
        <v>1.5</v>
      </c>
      <c r="Q746" s="22">
        <f>SUM('1. Base de donnée HILIN MU CM2 '!$O746+'1. Base de donnée HILIN MU CM2 '!$P746)/2</f>
        <v>2.25</v>
      </c>
      <c r="R746" s="22">
        <v>10.0</v>
      </c>
      <c r="S746" s="22">
        <v>9.0</v>
      </c>
      <c r="T746" s="22">
        <f>('1. Base de donnée HILIN MU CM2 '!$R746+'1. Base de donnée HILIN MU CM2 '!$S746)/2</f>
        <v>9.5</v>
      </c>
      <c r="U746" s="25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</row>
    <row r="747" ht="14.25" customHeight="1">
      <c r="A747" s="27" t="s">
        <v>1374</v>
      </c>
      <c r="B747" s="27" t="s">
        <v>121</v>
      </c>
      <c r="C747" s="27" t="s">
        <v>1422</v>
      </c>
      <c r="D747" s="27" t="s">
        <v>57</v>
      </c>
      <c r="E747" s="27" t="s">
        <v>1376</v>
      </c>
      <c r="F747" s="29" t="s">
        <v>1377</v>
      </c>
      <c r="G747" s="28">
        <v>2023.0</v>
      </c>
      <c r="H747" s="28">
        <v>81.0</v>
      </c>
      <c r="I747" s="28">
        <v>895.0</v>
      </c>
      <c r="J747" s="29" t="str">
        <f>'1. Base de donnée HILIN MU CM2 '!$G747&amp;"-"&amp;'1. Base de donnée HILIN MU CM2 '!$H747&amp;"-"&amp;'1. Base de donnée HILIN MU CM2 '!$I747</f>
        <v>2023-81-895</v>
      </c>
      <c r="K747" s="28">
        <f t="shared" si="1"/>
        <v>740</v>
      </c>
      <c r="L747" s="29" t="s">
        <v>31</v>
      </c>
      <c r="M747" s="29"/>
      <c r="N747" s="29"/>
      <c r="O747" s="27">
        <v>3.75</v>
      </c>
      <c r="P747" s="27">
        <v>5.5</v>
      </c>
      <c r="Q747" s="27">
        <f>SUM('1. Base de donnée HILIN MU CM2 '!$O747+'1. Base de donnée HILIN MU CM2 '!$P747)/2</f>
        <v>4.625</v>
      </c>
      <c r="R747" s="27">
        <v>10.0</v>
      </c>
      <c r="S747" s="27">
        <v>14.5</v>
      </c>
      <c r="T747" s="27">
        <f>('1. Base de donnée HILIN MU CM2 '!$R747+'1. Base de donnée HILIN MU CM2 '!$S747)/2</f>
        <v>12.25</v>
      </c>
      <c r="U747" s="30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</row>
    <row r="748" ht="14.25" customHeight="1">
      <c r="A748" s="22" t="s">
        <v>1374</v>
      </c>
      <c r="B748" s="22" t="s">
        <v>121</v>
      </c>
      <c r="C748" s="22" t="s">
        <v>1423</v>
      </c>
      <c r="D748" s="22" t="s">
        <v>65</v>
      </c>
      <c r="E748" s="22" t="s">
        <v>1376</v>
      </c>
      <c r="F748" s="24" t="s">
        <v>1377</v>
      </c>
      <c r="G748" s="23">
        <v>2023.0</v>
      </c>
      <c r="H748" s="23">
        <v>81.0</v>
      </c>
      <c r="I748" s="23">
        <v>897.0</v>
      </c>
      <c r="J748" s="24" t="str">
        <f>'1. Base de donnée HILIN MU CM2 '!$G748&amp;"-"&amp;'1. Base de donnée HILIN MU CM2 '!$H748&amp;"-"&amp;'1. Base de donnée HILIN MU CM2 '!$I748</f>
        <v>2023-81-897</v>
      </c>
      <c r="K748" s="23">
        <f t="shared" si="1"/>
        <v>741</v>
      </c>
      <c r="L748" s="24" t="s">
        <v>31</v>
      </c>
      <c r="M748" s="24"/>
      <c r="N748" s="24"/>
      <c r="O748" s="22">
        <v>2.0</v>
      </c>
      <c r="P748" s="22">
        <v>1.0</v>
      </c>
      <c r="Q748" s="22">
        <f>SUM('1. Base de donnée HILIN MU CM2 '!$O748+'1. Base de donnée HILIN MU CM2 '!$P748)/2</f>
        <v>1.5</v>
      </c>
      <c r="R748" s="22">
        <v>10.0</v>
      </c>
      <c r="S748" s="22">
        <v>12.0</v>
      </c>
      <c r="T748" s="22">
        <f>('1. Base de donnée HILIN MU CM2 '!$R748+'1. Base de donnée HILIN MU CM2 '!$S748)/2</f>
        <v>11</v>
      </c>
      <c r="U748" s="25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</row>
    <row r="749" ht="14.25" customHeight="1">
      <c r="A749" s="27" t="s">
        <v>1374</v>
      </c>
      <c r="B749" s="27" t="s">
        <v>121</v>
      </c>
      <c r="C749" s="27" t="s">
        <v>798</v>
      </c>
      <c r="D749" s="27" t="s">
        <v>65</v>
      </c>
      <c r="E749" s="27" t="s">
        <v>1376</v>
      </c>
      <c r="F749" s="27"/>
      <c r="G749" s="28">
        <v>2023.0</v>
      </c>
      <c r="H749" s="28">
        <v>81.0</v>
      </c>
      <c r="I749" s="28">
        <v>898.0</v>
      </c>
      <c r="J749" s="29" t="str">
        <f>'1. Base de donnée HILIN MU CM2 '!$G749&amp;"-"&amp;'1. Base de donnée HILIN MU CM2 '!$H749&amp;"-"&amp;'1. Base de donnée HILIN MU CM2 '!$I749</f>
        <v>2023-81-898</v>
      </c>
      <c r="K749" s="28">
        <f t="shared" si="1"/>
        <v>742</v>
      </c>
      <c r="L749" s="29" t="s">
        <v>31</v>
      </c>
      <c r="M749" s="29" t="s">
        <v>216</v>
      </c>
      <c r="N749" s="29" t="s">
        <v>1424</v>
      </c>
      <c r="O749" s="34"/>
      <c r="P749" s="27"/>
      <c r="Q749" s="27">
        <f>SUM('1. Base de donnée HILIN MU CM2 '!$O749+'1. Base de donnée HILIN MU CM2 '!$P749)/2</f>
        <v>0</v>
      </c>
      <c r="R749" s="27"/>
      <c r="S749" s="27"/>
      <c r="T749" s="27"/>
      <c r="U749" s="30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</row>
    <row r="750" ht="14.25" hidden="1" customHeight="1">
      <c r="A750" s="22" t="s">
        <v>1425</v>
      </c>
      <c r="B750" s="22" t="s">
        <v>938</v>
      </c>
      <c r="C750" s="22" t="s">
        <v>1426</v>
      </c>
      <c r="D750" s="22" t="s">
        <v>1427</v>
      </c>
      <c r="E750" s="22" t="s">
        <v>1428</v>
      </c>
      <c r="F750" s="22" t="s">
        <v>1429</v>
      </c>
      <c r="G750" s="23">
        <v>2023.0</v>
      </c>
      <c r="H750" s="23">
        <v>60.0</v>
      </c>
      <c r="I750" s="23">
        <v>770.0</v>
      </c>
      <c r="J750" s="24" t="str">
        <f>'1. Base de donnée HILIN MU CM2 '!$G750&amp;"-"&amp;'1. Base de donnée HILIN MU CM2 '!$H750&amp;"-"&amp;'1. Base de donnée HILIN MU CM2 '!$I750</f>
        <v>2023-60-770</v>
      </c>
      <c r="K750" s="23">
        <f t="shared" si="1"/>
        <v>743</v>
      </c>
      <c r="L750" s="24" t="s">
        <v>31</v>
      </c>
      <c r="M750" s="24"/>
      <c r="N750" s="24"/>
      <c r="O750" s="22">
        <v>7.0</v>
      </c>
      <c r="P750" s="22">
        <v>7.5</v>
      </c>
      <c r="Q750" s="22">
        <f>SUM('1. Base de donnée HILIN MU CM2 '!$O750+'1. Base de donnée HILIN MU CM2 '!$P750)/2</f>
        <v>7.25</v>
      </c>
      <c r="R750" s="22">
        <v>15.5</v>
      </c>
      <c r="S750" s="22">
        <v>18.5</v>
      </c>
      <c r="T750" s="22">
        <f>('1. Base de donnée HILIN MU CM2 '!$R750+'1. Base de donnée HILIN MU CM2 '!$S750)/2</f>
        <v>17</v>
      </c>
      <c r="U750" s="25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</row>
    <row r="751" ht="14.25" hidden="1" customHeight="1">
      <c r="A751" s="27" t="s">
        <v>1425</v>
      </c>
      <c r="B751" s="27" t="s">
        <v>938</v>
      </c>
      <c r="C751" s="27" t="s">
        <v>1430</v>
      </c>
      <c r="D751" s="27" t="s">
        <v>1431</v>
      </c>
      <c r="E751" s="27" t="s">
        <v>1428</v>
      </c>
      <c r="F751" s="27" t="s">
        <v>1429</v>
      </c>
      <c r="G751" s="28">
        <v>2023.0</v>
      </c>
      <c r="H751" s="28">
        <v>60.0</v>
      </c>
      <c r="I751" s="28">
        <v>774.0</v>
      </c>
      <c r="J751" s="29" t="str">
        <f>'1. Base de donnée HILIN MU CM2 '!$G751&amp;"-"&amp;'1. Base de donnée HILIN MU CM2 '!$H751&amp;"-"&amp;'1. Base de donnée HILIN MU CM2 '!$I751</f>
        <v>2023-60-774</v>
      </c>
      <c r="K751" s="28">
        <f t="shared" si="1"/>
        <v>744</v>
      </c>
      <c r="L751" s="29" t="s">
        <v>31</v>
      </c>
      <c r="M751" s="29"/>
      <c r="N751" s="29"/>
      <c r="O751" s="27">
        <v>5.0</v>
      </c>
      <c r="P751" s="27">
        <v>4.0</v>
      </c>
      <c r="Q751" s="27">
        <f>SUM('1. Base de donnée HILIN MU CM2 '!$O751+'1. Base de donnée HILIN MU CM2 '!$P751)/2</f>
        <v>4.5</v>
      </c>
      <c r="R751" s="27">
        <v>12.0</v>
      </c>
      <c r="S751" s="27">
        <v>17.25</v>
      </c>
      <c r="T751" s="27">
        <f>('1. Base de donnée HILIN MU CM2 '!$R751+'1. Base de donnée HILIN MU CM2 '!$S751)/2</f>
        <v>14.625</v>
      </c>
      <c r="U751" s="30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</row>
    <row r="752" ht="14.25" hidden="1" customHeight="1">
      <c r="A752" s="22" t="s">
        <v>1425</v>
      </c>
      <c r="B752" s="22" t="s">
        <v>938</v>
      </c>
      <c r="C752" s="22" t="s">
        <v>1432</v>
      </c>
      <c r="D752" s="22" t="s">
        <v>1433</v>
      </c>
      <c r="E752" s="22" t="s">
        <v>1428</v>
      </c>
      <c r="F752" s="22" t="s">
        <v>1429</v>
      </c>
      <c r="G752" s="23">
        <v>2023.0</v>
      </c>
      <c r="H752" s="23">
        <v>60.0</v>
      </c>
      <c r="I752" s="23">
        <v>776.0</v>
      </c>
      <c r="J752" s="24" t="str">
        <f>'1. Base de donnée HILIN MU CM2 '!$G752&amp;"-"&amp;'1. Base de donnée HILIN MU CM2 '!$H752&amp;"-"&amp;'1. Base de donnée HILIN MU CM2 '!$I752</f>
        <v>2023-60-776</v>
      </c>
      <c r="K752" s="23">
        <f t="shared" si="1"/>
        <v>745</v>
      </c>
      <c r="L752" s="24" t="s">
        <v>31</v>
      </c>
      <c r="M752" s="24"/>
      <c r="N752" s="24"/>
      <c r="O752" s="22">
        <v>3.5</v>
      </c>
      <c r="P752" s="22">
        <v>2.0</v>
      </c>
      <c r="Q752" s="22">
        <f>SUM('1. Base de donnée HILIN MU CM2 '!$O752+'1. Base de donnée HILIN MU CM2 '!$P752)/2</f>
        <v>2.75</v>
      </c>
      <c r="R752" s="22">
        <v>14.0</v>
      </c>
      <c r="S752" s="22">
        <v>19.5</v>
      </c>
      <c r="T752" s="22">
        <f>('1. Base de donnée HILIN MU CM2 '!$R752+'1. Base de donnée HILIN MU CM2 '!$S752)/2</f>
        <v>16.75</v>
      </c>
      <c r="U752" s="25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</row>
    <row r="753" ht="14.25" hidden="1" customHeight="1">
      <c r="A753" s="27" t="s">
        <v>1425</v>
      </c>
      <c r="B753" s="27" t="s">
        <v>938</v>
      </c>
      <c r="C753" s="27" t="s">
        <v>948</v>
      </c>
      <c r="D753" s="27" t="s">
        <v>1434</v>
      </c>
      <c r="E753" s="27" t="s">
        <v>1428</v>
      </c>
      <c r="F753" s="27" t="s">
        <v>1429</v>
      </c>
      <c r="G753" s="28">
        <v>2023.0</v>
      </c>
      <c r="H753" s="28">
        <v>60.0</v>
      </c>
      <c r="I753" s="28">
        <v>777.0</v>
      </c>
      <c r="J753" s="29" t="str">
        <f>'1. Base de donnée HILIN MU CM2 '!$G753&amp;"-"&amp;'1. Base de donnée HILIN MU CM2 '!$H753&amp;"-"&amp;'1. Base de donnée HILIN MU CM2 '!$I753</f>
        <v>2023-60-777</v>
      </c>
      <c r="K753" s="28">
        <f t="shared" si="1"/>
        <v>746</v>
      </c>
      <c r="L753" s="29" t="s">
        <v>31</v>
      </c>
      <c r="M753" s="29"/>
      <c r="N753" s="29"/>
      <c r="O753" s="27">
        <v>11.5</v>
      </c>
      <c r="P753" s="27">
        <v>6.5</v>
      </c>
      <c r="Q753" s="27">
        <f>SUM('1. Base de donnée HILIN MU CM2 '!$O753+'1. Base de donnée HILIN MU CM2 '!$P753)/2</f>
        <v>9</v>
      </c>
      <c r="R753" s="27">
        <v>19.0</v>
      </c>
      <c r="S753" s="27">
        <v>19.5</v>
      </c>
      <c r="T753" s="27">
        <f>('1. Base de donnée HILIN MU CM2 '!$R753+'1. Base de donnée HILIN MU CM2 '!$S753)/2</f>
        <v>19.25</v>
      </c>
      <c r="U753" s="30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</row>
    <row r="754" ht="14.25" hidden="1" customHeight="1">
      <c r="A754" s="22" t="s">
        <v>1425</v>
      </c>
      <c r="B754" s="22" t="s">
        <v>938</v>
      </c>
      <c r="C754" s="22" t="s">
        <v>1435</v>
      </c>
      <c r="D754" s="22" t="s">
        <v>1436</v>
      </c>
      <c r="E754" s="22" t="s">
        <v>1428</v>
      </c>
      <c r="F754" s="22" t="s">
        <v>1429</v>
      </c>
      <c r="G754" s="23">
        <v>2023.0</v>
      </c>
      <c r="H754" s="23">
        <v>60.0</v>
      </c>
      <c r="I754" s="23">
        <v>778.0</v>
      </c>
      <c r="J754" s="24" t="str">
        <f>'1. Base de donnée HILIN MU CM2 '!$G754&amp;"-"&amp;'1. Base de donnée HILIN MU CM2 '!$H754&amp;"-"&amp;'1. Base de donnée HILIN MU CM2 '!$I754</f>
        <v>2023-60-778</v>
      </c>
      <c r="K754" s="23">
        <f t="shared" si="1"/>
        <v>747</v>
      </c>
      <c r="L754" s="24" t="s">
        <v>31</v>
      </c>
      <c r="M754" s="24"/>
      <c r="N754" s="24"/>
      <c r="O754" s="22">
        <v>9.5</v>
      </c>
      <c r="P754" s="22">
        <v>8.0</v>
      </c>
      <c r="Q754" s="22">
        <f>SUM('1. Base de donnée HILIN MU CM2 '!$O754+'1. Base de donnée HILIN MU CM2 '!$P754)/2</f>
        <v>8.75</v>
      </c>
      <c r="R754" s="22">
        <v>19.0</v>
      </c>
      <c r="S754" s="22">
        <v>19.5</v>
      </c>
      <c r="T754" s="22">
        <f>('1. Base de donnée HILIN MU CM2 '!$R754+'1. Base de donnée HILIN MU CM2 '!$S754)/2</f>
        <v>19.25</v>
      </c>
      <c r="U754" s="25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</row>
    <row r="755" ht="14.25" hidden="1" customHeight="1">
      <c r="A755" s="27" t="s">
        <v>1425</v>
      </c>
      <c r="B755" s="27" t="s">
        <v>938</v>
      </c>
      <c r="C755" s="27" t="s">
        <v>1437</v>
      </c>
      <c r="D755" s="27" t="s">
        <v>1438</v>
      </c>
      <c r="E755" s="27" t="s">
        <v>1428</v>
      </c>
      <c r="F755" s="27" t="s">
        <v>1429</v>
      </c>
      <c r="G755" s="28">
        <v>2023.0</v>
      </c>
      <c r="H755" s="28">
        <v>60.0</v>
      </c>
      <c r="I755" s="28">
        <v>784.0</v>
      </c>
      <c r="J755" s="29" t="str">
        <f>'1. Base de donnée HILIN MU CM2 '!$G755&amp;"-"&amp;'1. Base de donnée HILIN MU CM2 '!$H755&amp;"-"&amp;'1. Base de donnée HILIN MU CM2 '!$I755</f>
        <v>2023-60-784</v>
      </c>
      <c r="K755" s="28">
        <f t="shared" si="1"/>
        <v>748</v>
      </c>
      <c r="L755" s="29" t="s">
        <v>31</v>
      </c>
      <c r="M755" s="29"/>
      <c r="N755" s="29"/>
      <c r="O755" s="27">
        <v>12.5</v>
      </c>
      <c r="P755" s="27">
        <v>5.0</v>
      </c>
      <c r="Q755" s="27">
        <f>SUM('1. Base de donnée HILIN MU CM2 '!$O755+'1. Base de donnée HILIN MU CM2 '!$P755)/2</f>
        <v>8.75</v>
      </c>
      <c r="R755" s="27">
        <v>16.5</v>
      </c>
      <c r="S755" s="27">
        <v>19.5</v>
      </c>
      <c r="T755" s="27">
        <f>('1. Base de donnée HILIN MU CM2 '!$R755+'1. Base de donnée HILIN MU CM2 '!$S755)/2</f>
        <v>18</v>
      </c>
      <c r="U755" s="30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</row>
    <row r="756" ht="14.25" hidden="1" customHeight="1">
      <c r="A756" s="22" t="s">
        <v>1425</v>
      </c>
      <c r="B756" s="22" t="s">
        <v>938</v>
      </c>
      <c r="C756" s="22" t="s">
        <v>1439</v>
      </c>
      <c r="D756" s="22" t="s">
        <v>1440</v>
      </c>
      <c r="E756" s="22" t="s">
        <v>1428</v>
      </c>
      <c r="F756" s="22" t="s">
        <v>1429</v>
      </c>
      <c r="G756" s="23">
        <v>2023.0</v>
      </c>
      <c r="H756" s="23">
        <v>60.0</v>
      </c>
      <c r="I756" s="23">
        <v>785.0</v>
      </c>
      <c r="J756" s="24" t="str">
        <f>'1. Base de donnée HILIN MU CM2 '!$G756&amp;"-"&amp;'1. Base de donnée HILIN MU CM2 '!$H756&amp;"-"&amp;'1. Base de donnée HILIN MU CM2 '!$I756</f>
        <v>2023-60-785</v>
      </c>
      <c r="K756" s="23">
        <f t="shared" si="1"/>
        <v>749</v>
      </c>
      <c r="L756" s="24" t="s">
        <v>31</v>
      </c>
      <c r="M756" s="24"/>
      <c r="N756" s="24"/>
      <c r="O756" s="22">
        <v>8.0</v>
      </c>
      <c r="P756" s="22">
        <v>6.5</v>
      </c>
      <c r="Q756" s="22">
        <f>SUM('1. Base de donnée HILIN MU CM2 '!$O756+'1. Base de donnée HILIN MU CM2 '!$P756)/2</f>
        <v>7.25</v>
      </c>
      <c r="R756" s="22">
        <v>20.0</v>
      </c>
      <c r="S756" s="22">
        <v>20.0</v>
      </c>
      <c r="T756" s="22">
        <f>('1. Base de donnée HILIN MU CM2 '!$R756+'1. Base de donnée HILIN MU CM2 '!$S756)/2</f>
        <v>20</v>
      </c>
      <c r="U756" s="25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</row>
    <row r="757" ht="14.25" hidden="1" customHeight="1">
      <c r="A757" s="27" t="s">
        <v>1425</v>
      </c>
      <c r="B757" s="27" t="s">
        <v>938</v>
      </c>
      <c r="C757" s="27" t="s">
        <v>1441</v>
      </c>
      <c r="D757" s="27" t="s">
        <v>1442</v>
      </c>
      <c r="E757" s="27" t="s">
        <v>1428</v>
      </c>
      <c r="F757" s="27" t="s">
        <v>1429</v>
      </c>
      <c r="G757" s="28">
        <v>2023.0</v>
      </c>
      <c r="H757" s="28">
        <v>60.0</v>
      </c>
      <c r="I757" s="28">
        <v>789.0</v>
      </c>
      <c r="J757" s="29" t="str">
        <f>'1. Base de donnée HILIN MU CM2 '!$G757&amp;"-"&amp;'1. Base de donnée HILIN MU CM2 '!$H757&amp;"-"&amp;'1. Base de donnée HILIN MU CM2 '!$I757</f>
        <v>2023-60-789</v>
      </c>
      <c r="K757" s="28">
        <f t="shared" si="1"/>
        <v>750</v>
      </c>
      <c r="L757" s="29" t="s">
        <v>31</v>
      </c>
      <c r="M757" s="29"/>
      <c r="N757" s="29"/>
      <c r="O757" s="27">
        <v>10.5</v>
      </c>
      <c r="P757" s="27">
        <v>8.5</v>
      </c>
      <c r="Q757" s="27">
        <f>SUM('1. Base de donnée HILIN MU CM2 '!$O757+'1. Base de donnée HILIN MU CM2 '!$P757)/2</f>
        <v>9.5</v>
      </c>
      <c r="R757" s="27">
        <v>15.5</v>
      </c>
      <c r="S757" s="27">
        <v>19.0</v>
      </c>
      <c r="T757" s="27">
        <f>('1. Base de donnée HILIN MU CM2 '!$R757+'1. Base de donnée HILIN MU CM2 '!$S757)/2</f>
        <v>17.25</v>
      </c>
      <c r="U757" s="30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</row>
    <row r="758" ht="14.25" hidden="1" customHeight="1">
      <c r="A758" s="22" t="s">
        <v>1425</v>
      </c>
      <c r="B758" s="22" t="s">
        <v>938</v>
      </c>
      <c r="C758" s="22" t="s">
        <v>1443</v>
      </c>
      <c r="D758" s="22" t="s">
        <v>65</v>
      </c>
      <c r="E758" s="22" t="s">
        <v>1428</v>
      </c>
      <c r="F758" s="22" t="s">
        <v>1429</v>
      </c>
      <c r="G758" s="23">
        <v>2023.0</v>
      </c>
      <c r="H758" s="23">
        <v>60.0</v>
      </c>
      <c r="I758" s="23">
        <v>790.0</v>
      </c>
      <c r="J758" s="24" t="str">
        <f>'1. Base de donnée HILIN MU CM2 '!$G758&amp;"-"&amp;'1. Base de donnée HILIN MU CM2 '!$H758&amp;"-"&amp;'1. Base de donnée HILIN MU CM2 '!$I758</f>
        <v>2023-60-790</v>
      </c>
      <c r="K758" s="23">
        <f t="shared" si="1"/>
        <v>751</v>
      </c>
      <c r="L758" s="24" t="s">
        <v>31</v>
      </c>
      <c r="M758" s="24"/>
      <c r="N758" s="24"/>
      <c r="O758" s="22">
        <v>11.0</v>
      </c>
      <c r="P758" s="22">
        <v>6.5</v>
      </c>
      <c r="Q758" s="22">
        <f>SUM('1. Base de donnée HILIN MU CM2 '!$O758+'1. Base de donnée HILIN MU CM2 '!$P758)/2</f>
        <v>8.75</v>
      </c>
      <c r="R758" s="22">
        <v>15.0</v>
      </c>
      <c r="S758" s="22">
        <v>19.5</v>
      </c>
      <c r="T758" s="22">
        <f>('1. Base de donnée HILIN MU CM2 '!$R758+'1. Base de donnée HILIN MU CM2 '!$S758)/2</f>
        <v>17.25</v>
      </c>
      <c r="U758" s="25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</row>
    <row r="759" ht="14.25" hidden="1" customHeight="1">
      <c r="A759" s="27" t="s">
        <v>1425</v>
      </c>
      <c r="B759" s="27" t="s">
        <v>938</v>
      </c>
      <c r="C759" s="27" t="s">
        <v>1444</v>
      </c>
      <c r="D759" s="27" t="s">
        <v>476</v>
      </c>
      <c r="E759" s="27" t="s">
        <v>1428</v>
      </c>
      <c r="F759" s="27" t="s">
        <v>1429</v>
      </c>
      <c r="G759" s="28">
        <v>2023.0</v>
      </c>
      <c r="H759" s="28">
        <v>60.0</v>
      </c>
      <c r="I759" s="28">
        <v>854.0</v>
      </c>
      <c r="J759" s="29" t="str">
        <f>'1. Base de donnée HILIN MU CM2 '!$G759&amp;"-"&amp;'1. Base de donnée HILIN MU CM2 '!$H759&amp;"-"&amp;'1. Base de donnée HILIN MU CM2 '!$I759</f>
        <v>2023-60-854</v>
      </c>
      <c r="K759" s="28">
        <f t="shared" si="1"/>
        <v>752</v>
      </c>
      <c r="L759" s="29" t="s">
        <v>31</v>
      </c>
      <c r="M759" s="29"/>
      <c r="N759" s="29"/>
      <c r="O759" s="27">
        <v>1.0</v>
      </c>
      <c r="P759" s="27">
        <v>0.0</v>
      </c>
      <c r="Q759" s="27">
        <f>SUM('1. Base de donnée HILIN MU CM2 '!$O759+'1. Base de donnée HILIN MU CM2 '!$P759)/2</f>
        <v>0.5</v>
      </c>
      <c r="R759" s="27">
        <v>11.0</v>
      </c>
      <c r="S759" s="27">
        <v>14.0</v>
      </c>
      <c r="T759" s="27">
        <f>('1. Base de donnée HILIN MU CM2 '!$R759+'1. Base de donnée HILIN MU CM2 '!$S759)/2</f>
        <v>12.5</v>
      </c>
      <c r="U759" s="30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</row>
    <row r="760" ht="14.25" hidden="1" customHeight="1">
      <c r="A760" s="22" t="s">
        <v>1425</v>
      </c>
      <c r="B760" s="22" t="s">
        <v>938</v>
      </c>
      <c r="C760" s="22" t="s">
        <v>1445</v>
      </c>
      <c r="D760" s="22" t="s">
        <v>721</v>
      </c>
      <c r="E760" s="22" t="s">
        <v>1428</v>
      </c>
      <c r="F760" s="22" t="s">
        <v>1429</v>
      </c>
      <c r="G760" s="23">
        <v>2023.0</v>
      </c>
      <c r="H760" s="23">
        <v>60.0</v>
      </c>
      <c r="I760" s="23">
        <v>856.0</v>
      </c>
      <c r="J760" s="24" t="str">
        <f>'1. Base de donnée HILIN MU CM2 '!$G760&amp;"-"&amp;'1. Base de donnée HILIN MU CM2 '!$H760&amp;"-"&amp;'1. Base de donnée HILIN MU CM2 '!$I760</f>
        <v>2023-60-856</v>
      </c>
      <c r="K760" s="23">
        <f t="shared" si="1"/>
        <v>753</v>
      </c>
      <c r="L760" s="24" t="s">
        <v>31</v>
      </c>
      <c r="M760" s="24"/>
      <c r="N760" s="24"/>
      <c r="O760" s="22">
        <v>7.0</v>
      </c>
      <c r="P760" s="22">
        <v>6.0</v>
      </c>
      <c r="Q760" s="22">
        <f>SUM('1. Base de donnée HILIN MU CM2 '!$O760+'1. Base de donnée HILIN MU CM2 '!$P760)/2</f>
        <v>6.5</v>
      </c>
      <c r="R760" s="22">
        <v>14.5</v>
      </c>
      <c r="S760" s="22">
        <v>18.0</v>
      </c>
      <c r="T760" s="22">
        <f>('1. Base de donnée HILIN MU CM2 '!$R760+'1. Base de donnée HILIN MU CM2 '!$S760)/2</f>
        <v>16.25</v>
      </c>
      <c r="U760" s="25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</row>
    <row r="761" ht="14.25" hidden="1" customHeight="1">
      <c r="A761" s="27" t="s">
        <v>1425</v>
      </c>
      <c r="B761" s="27" t="s">
        <v>938</v>
      </c>
      <c r="C761" s="27" t="s">
        <v>1446</v>
      </c>
      <c r="D761" s="27" t="s">
        <v>67</v>
      </c>
      <c r="E761" s="27" t="s">
        <v>1428</v>
      </c>
      <c r="F761" s="27" t="s">
        <v>1429</v>
      </c>
      <c r="G761" s="28">
        <v>2023.0</v>
      </c>
      <c r="H761" s="28">
        <v>60.0</v>
      </c>
      <c r="I761" s="28">
        <v>857.0</v>
      </c>
      <c r="J761" s="29" t="str">
        <f>'1. Base de donnée HILIN MU CM2 '!$G761&amp;"-"&amp;'1. Base de donnée HILIN MU CM2 '!$H761&amp;"-"&amp;'1. Base de donnée HILIN MU CM2 '!$I761</f>
        <v>2023-60-857</v>
      </c>
      <c r="K761" s="28">
        <f t="shared" si="1"/>
        <v>754</v>
      </c>
      <c r="L761" s="29" t="s">
        <v>31</v>
      </c>
      <c r="M761" s="29"/>
      <c r="N761" s="29"/>
      <c r="O761" s="27">
        <v>8.5</v>
      </c>
      <c r="P761" s="27">
        <v>4.5</v>
      </c>
      <c r="Q761" s="27">
        <f>SUM('1. Base de donnée HILIN MU CM2 '!$O761+'1. Base de donnée HILIN MU CM2 '!$P761)/2</f>
        <v>6.5</v>
      </c>
      <c r="R761" s="27">
        <v>12.5</v>
      </c>
      <c r="S761" s="27">
        <v>18.0</v>
      </c>
      <c r="T761" s="27">
        <f>('1. Base de donnée HILIN MU CM2 '!$R761+'1. Base de donnée HILIN MU CM2 '!$S761)/2</f>
        <v>15.25</v>
      </c>
      <c r="U761" s="30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</row>
    <row r="762" ht="14.25" hidden="1" customHeight="1">
      <c r="A762" s="22" t="s">
        <v>1447</v>
      </c>
      <c r="B762" s="22" t="s">
        <v>938</v>
      </c>
      <c r="C762" s="22" t="s">
        <v>1448</v>
      </c>
      <c r="D762" s="22" t="s">
        <v>1449</v>
      </c>
      <c r="E762" s="22" t="s">
        <v>1450</v>
      </c>
      <c r="F762" s="22" t="s">
        <v>1451</v>
      </c>
      <c r="G762" s="23">
        <v>2023.0</v>
      </c>
      <c r="H762" s="23">
        <v>61.0</v>
      </c>
      <c r="I762" s="23">
        <v>791.0</v>
      </c>
      <c r="J762" s="24" t="str">
        <f>'1. Base de donnée HILIN MU CM2 '!$G762&amp;"-"&amp;'1. Base de donnée HILIN MU CM2 '!$H762&amp;"-"&amp;'1. Base de donnée HILIN MU CM2 '!$I762</f>
        <v>2023-61-791</v>
      </c>
      <c r="K762" s="23">
        <f t="shared" si="1"/>
        <v>755</v>
      </c>
      <c r="L762" s="24" t="s">
        <v>31</v>
      </c>
      <c r="M762" s="24"/>
      <c r="N762" s="24"/>
      <c r="O762" s="33">
        <v>5.5</v>
      </c>
      <c r="P762" s="22">
        <v>2.0</v>
      </c>
      <c r="Q762" s="22">
        <f>SUM('1. Base de donnée HILIN MU CM2 '!$O762+'1. Base de donnée HILIN MU CM2 '!$P762)/2</f>
        <v>3.75</v>
      </c>
      <c r="R762" s="22">
        <v>18.5</v>
      </c>
      <c r="S762" s="22">
        <v>19.0</v>
      </c>
      <c r="T762" s="22">
        <f>('1. Base de donnée HILIN MU CM2 '!$R762+'1. Base de donnée HILIN MU CM2 '!$S762)/2</f>
        <v>18.75</v>
      </c>
      <c r="U762" s="25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</row>
    <row r="763" ht="14.25" hidden="1" customHeight="1">
      <c r="A763" s="27" t="s">
        <v>1447</v>
      </c>
      <c r="B763" s="27" t="s">
        <v>938</v>
      </c>
      <c r="C763" s="27" t="s">
        <v>1452</v>
      </c>
      <c r="D763" s="27" t="s">
        <v>1453</v>
      </c>
      <c r="E763" s="27" t="s">
        <v>1454</v>
      </c>
      <c r="F763" s="27" t="s">
        <v>1451</v>
      </c>
      <c r="G763" s="28">
        <v>2023.0</v>
      </c>
      <c r="H763" s="28">
        <v>61.0</v>
      </c>
      <c r="I763" s="28">
        <v>792.0</v>
      </c>
      <c r="J763" s="29" t="str">
        <f>'1. Base de donnée HILIN MU CM2 '!$G763&amp;"-"&amp;'1. Base de donnée HILIN MU CM2 '!$H763&amp;"-"&amp;'1. Base de donnée HILIN MU CM2 '!$I763</f>
        <v>2023-61-792</v>
      </c>
      <c r="K763" s="28">
        <f t="shared" si="1"/>
        <v>756</v>
      </c>
      <c r="L763" s="29" t="s">
        <v>31</v>
      </c>
      <c r="M763" s="29"/>
      <c r="N763" s="29"/>
      <c r="O763" s="27">
        <v>2.0</v>
      </c>
      <c r="P763" s="27">
        <v>2.0</v>
      </c>
      <c r="Q763" s="27">
        <f>SUM('1. Base de donnée HILIN MU CM2 '!$O763+'1. Base de donnée HILIN MU CM2 '!$P763)/2</f>
        <v>2</v>
      </c>
      <c r="R763" s="27">
        <v>12.0</v>
      </c>
      <c r="S763" s="27">
        <v>14.0</v>
      </c>
      <c r="T763" s="27">
        <f>('1. Base de donnée HILIN MU CM2 '!$R763+'1. Base de donnée HILIN MU CM2 '!$S763)/2</f>
        <v>13</v>
      </c>
      <c r="U763" s="30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</row>
    <row r="764" ht="14.25" hidden="1" customHeight="1">
      <c r="A764" s="22" t="s">
        <v>1447</v>
      </c>
      <c r="B764" s="22" t="s">
        <v>938</v>
      </c>
      <c r="C764" s="22" t="s">
        <v>1455</v>
      </c>
      <c r="D764" s="22" t="s">
        <v>1456</v>
      </c>
      <c r="E764" s="22" t="s">
        <v>1454</v>
      </c>
      <c r="F764" s="22" t="s">
        <v>1457</v>
      </c>
      <c r="G764" s="23">
        <v>2023.0</v>
      </c>
      <c r="H764" s="23">
        <v>61.0</v>
      </c>
      <c r="I764" s="23">
        <v>793.0</v>
      </c>
      <c r="J764" s="24" t="str">
        <f>'1. Base de donnée HILIN MU CM2 '!$G764&amp;"-"&amp;'1. Base de donnée HILIN MU CM2 '!$H764&amp;"-"&amp;'1. Base de donnée HILIN MU CM2 '!$I764</f>
        <v>2023-61-793</v>
      </c>
      <c r="K764" s="23">
        <f t="shared" si="1"/>
        <v>757</v>
      </c>
      <c r="L764" s="24" t="s">
        <v>31</v>
      </c>
      <c r="M764" s="24"/>
      <c r="N764" s="24"/>
      <c r="O764" s="22">
        <v>4.25</v>
      </c>
      <c r="P764" s="22">
        <v>3.25</v>
      </c>
      <c r="Q764" s="22">
        <f>SUM('1. Base de donnée HILIN MU CM2 '!$O764+'1. Base de donnée HILIN MU CM2 '!$P764)/2</f>
        <v>3.75</v>
      </c>
      <c r="R764" s="22">
        <v>13.0</v>
      </c>
      <c r="S764" s="22">
        <v>16.75</v>
      </c>
      <c r="T764" s="22">
        <f>('1. Base de donnée HILIN MU CM2 '!$R764+'1. Base de donnée HILIN MU CM2 '!$S764)/2</f>
        <v>14.875</v>
      </c>
      <c r="U764" s="25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</row>
    <row r="765" ht="14.25" hidden="1" customHeight="1">
      <c r="A765" s="27" t="s">
        <v>1447</v>
      </c>
      <c r="B765" s="27" t="s">
        <v>938</v>
      </c>
      <c r="C765" s="27" t="s">
        <v>1458</v>
      </c>
      <c r="D765" s="27" t="s">
        <v>1459</v>
      </c>
      <c r="E765" s="27" t="s">
        <v>1460</v>
      </c>
      <c r="F765" s="27" t="s">
        <v>1457</v>
      </c>
      <c r="G765" s="28">
        <v>2023.0</v>
      </c>
      <c r="H765" s="28">
        <v>61.0</v>
      </c>
      <c r="I765" s="28">
        <v>794.0</v>
      </c>
      <c r="J765" s="29" t="str">
        <f>'1. Base de donnée HILIN MU CM2 '!$G765&amp;"-"&amp;'1. Base de donnée HILIN MU CM2 '!$H765&amp;"-"&amp;'1. Base de donnée HILIN MU CM2 '!$I765</f>
        <v>2023-61-794</v>
      </c>
      <c r="K765" s="28">
        <f t="shared" si="1"/>
        <v>758</v>
      </c>
      <c r="L765" s="29" t="s">
        <v>31</v>
      </c>
      <c r="M765" s="29"/>
      <c r="N765" s="29"/>
      <c r="O765" s="27">
        <v>6.0</v>
      </c>
      <c r="P765" s="27">
        <v>2.0</v>
      </c>
      <c r="Q765" s="27">
        <f>SUM('1. Base de donnée HILIN MU CM2 '!$O765+'1. Base de donnée HILIN MU CM2 '!$P765)/2</f>
        <v>4</v>
      </c>
      <c r="R765" s="27">
        <v>17.5</v>
      </c>
      <c r="S765" s="27">
        <v>18.75</v>
      </c>
      <c r="T765" s="27">
        <f>('1. Base de donnée HILIN MU CM2 '!$R765+'1. Base de donnée HILIN MU CM2 '!$S765)/2</f>
        <v>18.125</v>
      </c>
      <c r="U765" s="30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</row>
    <row r="766" ht="14.25" hidden="1" customHeight="1">
      <c r="A766" s="22" t="s">
        <v>1447</v>
      </c>
      <c r="B766" s="22" t="s">
        <v>938</v>
      </c>
      <c r="C766" s="22" t="s">
        <v>1461</v>
      </c>
      <c r="D766" s="22" t="s">
        <v>1462</v>
      </c>
      <c r="E766" s="22" t="s">
        <v>1454</v>
      </c>
      <c r="F766" s="22" t="s">
        <v>1457</v>
      </c>
      <c r="G766" s="23">
        <v>2023.0</v>
      </c>
      <c r="H766" s="23">
        <v>61.0</v>
      </c>
      <c r="I766" s="23">
        <v>796.0</v>
      </c>
      <c r="J766" s="24" t="str">
        <f>'1. Base de donnée HILIN MU CM2 '!$G766&amp;"-"&amp;'1. Base de donnée HILIN MU CM2 '!$H766&amp;"-"&amp;'1. Base de donnée HILIN MU CM2 '!$I766</f>
        <v>2023-61-796</v>
      </c>
      <c r="K766" s="23">
        <f t="shared" si="1"/>
        <v>759</v>
      </c>
      <c r="L766" s="24" t="s">
        <v>31</v>
      </c>
      <c r="M766" s="24"/>
      <c r="N766" s="24"/>
      <c r="O766" s="22">
        <v>11.5</v>
      </c>
      <c r="P766" s="22">
        <v>3.75</v>
      </c>
      <c r="Q766" s="22">
        <f>SUM('1. Base de donnée HILIN MU CM2 '!$O766+'1. Base de donnée HILIN MU CM2 '!$P766)/2</f>
        <v>7.625</v>
      </c>
      <c r="R766" s="22">
        <v>19.0</v>
      </c>
      <c r="S766" s="22">
        <v>18.5</v>
      </c>
      <c r="T766" s="22">
        <f>('1. Base de donnée HILIN MU CM2 '!$R766+'1. Base de donnée HILIN MU CM2 '!$S766)/2</f>
        <v>18.75</v>
      </c>
      <c r="U766" s="25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</row>
    <row r="767" ht="14.25" hidden="1" customHeight="1">
      <c r="A767" s="27" t="s">
        <v>1447</v>
      </c>
      <c r="B767" s="27" t="s">
        <v>938</v>
      </c>
      <c r="C767" s="27" t="s">
        <v>1463</v>
      </c>
      <c r="D767" s="27" t="s">
        <v>1464</v>
      </c>
      <c r="E767" s="27" t="s">
        <v>1454</v>
      </c>
      <c r="F767" s="27" t="s">
        <v>1457</v>
      </c>
      <c r="G767" s="28">
        <v>2023.0</v>
      </c>
      <c r="H767" s="28">
        <v>61.0</v>
      </c>
      <c r="I767" s="28">
        <v>797.0</v>
      </c>
      <c r="J767" s="29" t="str">
        <f>'1. Base de donnée HILIN MU CM2 '!$G767&amp;"-"&amp;'1. Base de donnée HILIN MU CM2 '!$H767&amp;"-"&amp;'1. Base de donnée HILIN MU CM2 '!$I767</f>
        <v>2023-61-797</v>
      </c>
      <c r="K767" s="28">
        <f t="shared" si="1"/>
        <v>760</v>
      </c>
      <c r="L767" s="29" t="s">
        <v>31</v>
      </c>
      <c r="M767" s="29"/>
      <c r="N767" s="29"/>
      <c r="O767" s="27">
        <v>10.0</v>
      </c>
      <c r="P767" s="27">
        <v>4.0</v>
      </c>
      <c r="Q767" s="27">
        <f>SUM('1. Base de donnée HILIN MU CM2 '!$O767+'1. Base de donnée HILIN MU CM2 '!$P767)/2</f>
        <v>7</v>
      </c>
      <c r="R767" s="27">
        <v>18.0</v>
      </c>
      <c r="S767" s="27">
        <v>11.5</v>
      </c>
      <c r="T767" s="27">
        <f>('1. Base de donnée HILIN MU CM2 '!$R767+'1. Base de donnée HILIN MU CM2 '!$S767)/2</f>
        <v>14.75</v>
      </c>
      <c r="U767" s="30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</row>
    <row r="768" ht="14.25" hidden="1" customHeight="1">
      <c r="A768" s="22" t="s">
        <v>1447</v>
      </c>
      <c r="B768" s="22" t="s">
        <v>938</v>
      </c>
      <c r="C768" s="22" t="s">
        <v>1465</v>
      </c>
      <c r="D768" s="22" t="s">
        <v>1466</v>
      </c>
      <c r="E768" s="22" t="s">
        <v>1454</v>
      </c>
      <c r="F768" s="22" t="s">
        <v>1457</v>
      </c>
      <c r="G768" s="23">
        <v>2023.0</v>
      </c>
      <c r="H768" s="23">
        <v>61.0</v>
      </c>
      <c r="I768" s="23">
        <v>800.0</v>
      </c>
      <c r="J768" s="24" t="str">
        <f>'1. Base de donnée HILIN MU CM2 '!$G768&amp;"-"&amp;'1. Base de donnée HILIN MU CM2 '!$H768&amp;"-"&amp;'1. Base de donnée HILIN MU CM2 '!$I768</f>
        <v>2023-61-800</v>
      </c>
      <c r="K768" s="23">
        <f t="shared" si="1"/>
        <v>761</v>
      </c>
      <c r="L768" s="24" t="s">
        <v>31</v>
      </c>
      <c r="M768" s="24"/>
      <c r="N768" s="24"/>
      <c r="O768" s="22">
        <v>2.0</v>
      </c>
      <c r="P768" s="22">
        <v>5.25</v>
      </c>
      <c r="Q768" s="22">
        <f>SUM('1. Base de donnée HILIN MU CM2 '!$O768+'1. Base de donnée HILIN MU CM2 '!$P768)/2</f>
        <v>3.625</v>
      </c>
      <c r="R768" s="22">
        <v>17.0</v>
      </c>
      <c r="S768" s="22">
        <v>13.5</v>
      </c>
      <c r="T768" s="22">
        <f>('1. Base de donnée HILIN MU CM2 '!$R768+'1. Base de donnée HILIN MU CM2 '!$S768)/2</f>
        <v>15.25</v>
      </c>
      <c r="U768" s="25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</row>
    <row r="769" ht="14.25" hidden="1" customHeight="1">
      <c r="A769" s="27" t="s">
        <v>1447</v>
      </c>
      <c r="B769" s="27" t="s">
        <v>938</v>
      </c>
      <c r="C769" s="27" t="s">
        <v>1467</v>
      </c>
      <c r="D769" s="27" t="s">
        <v>1468</v>
      </c>
      <c r="E769" s="27" t="s">
        <v>1454</v>
      </c>
      <c r="F769" s="27" t="s">
        <v>1457</v>
      </c>
      <c r="G769" s="28">
        <v>2023.0</v>
      </c>
      <c r="H769" s="28">
        <v>61.0</v>
      </c>
      <c r="I769" s="28">
        <v>801.0</v>
      </c>
      <c r="J769" s="29" t="str">
        <f>'1. Base de donnée HILIN MU CM2 '!$G769&amp;"-"&amp;'1. Base de donnée HILIN MU CM2 '!$H769&amp;"-"&amp;'1. Base de donnée HILIN MU CM2 '!$I769</f>
        <v>2023-61-801</v>
      </c>
      <c r="K769" s="28">
        <f t="shared" si="1"/>
        <v>762</v>
      </c>
      <c r="L769" s="29" t="s">
        <v>31</v>
      </c>
      <c r="M769" s="29"/>
      <c r="N769" s="29"/>
      <c r="O769" s="27">
        <v>10.0</v>
      </c>
      <c r="P769" s="27">
        <v>3.5</v>
      </c>
      <c r="Q769" s="27">
        <f>SUM('1. Base de donnée HILIN MU CM2 '!$O769+'1. Base de donnée HILIN MU CM2 '!$P769)/2</f>
        <v>6.75</v>
      </c>
      <c r="R769" s="27">
        <v>18.5</v>
      </c>
      <c r="S769" s="27">
        <v>18.0</v>
      </c>
      <c r="T769" s="27">
        <f>('1. Base de donnée HILIN MU CM2 '!$R769+'1. Base de donnée HILIN MU CM2 '!$S769)/2</f>
        <v>18.25</v>
      </c>
      <c r="U769" s="30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</row>
    <row r="770" ht="14.25" hidden="1" customHeight="1">
      <c r="A770" s="22" t="s">
        <v>1447</v>
      </c>
      <c r="B770" s="22" t="s">
        <v>938</v>
      </c>
      <c r="C770" s="22" t="s">
        <v>1469</v>
      </c>
      <c r="D770" s="22" t="s">
        <v>1470</v>
      </c>
      <c r="E770" s="22" t="s">
        <v>1454</v>
      </c>
      <c r="F770" s="22" t="s">
        <v>1451</v>
      </c>
      <c r="G770" s="23">
        <v>2023.0</v>
      </c>
      <c r="H770" s="23">
        <v>61.0</v>
      </c>
      <c r="I770" s="23">
        <v>803.0</v>
      </c>
      <c r="J770" s="24" t="str">
        <f>'1. Base de donnée HILIN MU CM2 '!$G770&amp;"-"&amp;'1. Base de donnée HILIN MU CM2 '!$H770&amp;"-"&amp;'1. Base de donnée HILIN MU CM2 '!$I770</f>
        <v>2023-61-803</v>
      </c>
      <c r="K770" s="23">
        <f t="shared" si="1"/>
        <v>763</v>
      </c>
      <c r="L770" s="24" t="s">
        <v>31</v>
      </c>
      <c r="M770" s="24"/>
      <c r="N770" s="24"/>
      <c r="O770" s="33">
        <v>3.0</v>
      </c>
      <c r="P770" s="22">
        <v>6.0</v>
      </c>
      <c r="Q770" s="22">
        <f>SUM('1. Base de donnée HILIN MU CM2 '!$O770+'1. Base de donnée HILIN MU CM2 '!$P770)/2</f>
        <v>4.5</v>
      </c>
      <c r="R770" s="22">
        <v>18.0</v>
      </c>
      <c r="S770" s="22">
        <v>18.5</v>
      </c>
      <c r="T770" s="22">
        <f>('1. Base de donnée HILIN MU CM2 '!$R770+'1. Base de donnée HILIN MU CM2 '!$S770)/2</f>
        <v>18.25</v>
      </c>
      <c r="U770" s="25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</row>
    <row r="771" ht="14.25" hidden="1" customHeight="1">
      <c r="A771" s="27" t="s">
        <v>1447</v>
      </c>
      <c r="B771" s="27" t="s">
        <v>938</v>
      </c>
      <c r="C771" s="27" t="s">
        <v>1471</v>
      </c>
      <c r="D771" s="27" t="s">
        <v>1472</v>
      </c>
      <c r="E771" s="27" t="s">
        <v>1454</v>
      </c>
      <c r="F771" s="27" t="s">
        <v>1451</v>
      </c>
      <c r="G771" s="28">
        <v>2023.0</v>
      </c>
      <c r="H771" s="28">
        <v>61.0</v>
      </c>
      <c r="I771" s="28">
        <v>805.0</v>
      </c>
      <c r="J771" s="29" t="str">
        <f>'1. Base de donnée HILIN MU CM2 '!$G771&amp;"-"&amp;'1. Base de donnée HILIN MU CM2 '!$H771&amp;"-"&amp;'1. Base de donnée HILIN MU CM2 '!$I771</f>
        <v>2023-61-805</v>
      </c>
      <c r="K771" s="28">
        <f t="shared" si="1"/>
        <v>764</v>
      </c>
      <c r="L771" s="29" t="s">
        <v>31</v>
      </c>
      <c r="M771" s="29"/>
      <c r="N771" s="29"/>
      <c r="O771" s="27">
        <v>11.0</v>
      </c>
      <c r="P771" s="27">
        <v>7.25</v>
      </c>
      <c r="Q771" s="27">
        <f>SUM('1. Base de donnée HILIN MU CM2 '!$O771+'1. Base de donnée HILIN MU CM2 '!$P771)/2</f>
        <v>9.125</v>
      </c>
      <c r="R771" s="27">
        <v>18.0</v>
      </c>
      <c r="S771" s="27">
        <v>19.0</v>
      </c>
      <c r="T771" s="27">
        <f>('1. Base de donnée HILIN MU CM2 '!$R771+'1. Base de donnée HILIN MU CM2 '!$S771)/2</f>
        <v>18.5</v>
      </c>
      <c r="U771" s="30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</row>
    <row r="772" ht="14.25" hidden="1" customHeight="1">
      <c r="A772" s="22" t="s">
        <v>1447</v>
      </c>
      <c r="B772" s="22" t="s">
        <v>938</v>
      </c>
      <c r="C772" s="22" t="s">
        <v>1473</v>
      </c>
      <c r="D772" s="22" t="s">
        <v>1474</v>
      </c>
      <c r="E772" s="22" t="s">
        <v>1454</v>
      </c>
      <c r="F772" s="22" t="s">
        <v>1457</v>
      </c>
      <c r="G772" s="23">
        <v>2023.0</v>
      </c>
      <c r="H772" s="23">
        <v>61.0</v>
      </c>
      <c r="I772" s="23">
        <v>806.0</v>
      </c>
      <c r="J772" s="24" t="str">
        <f>'1. Base de donnée HILIN MU CM2 '!$G772&amp;"-"&amp;'1. Base de donnée HILIN MU CM2 '!$H772&amp;"-"&amp;'1. Base de donnée HILIN MU CM2 '!$I772</f>
        <v>2023-61-806</v>
      </c>
      <c r="K772" s="23">
        <f t="shared" si="1"/>
        <v>765</v>
      </c>
      <c r="L772" s="24" t="s">
        <v>31</v>
      </c>
      <c r="M772" s="24"/>
      <c r="N772" s="24"/>
      <c r="O772" s="22">
        <v>1.5</v>
      </c>
      <c r="P772" s="22">
        <v>0.25</v>
      </c>
      <c r="Q772" s="22">
        <f>SUM('1. Base de donnée HILIN MU CM2 '!$O772+'1. Base de donnée HILIN MU CM2 '!$P772)/2</f>
        <v>0.875</v>
      </c>
      <c r="R772" s="22">
        <v>15.0</v>
      </c>
      <c r="S772" s="22">
        <v>10.0</v>
      </c>
      <c r="T772" s="22">
        <f>('1. Base de donnée HILIN MU CM2 '!$R772+'1. Base de donnée HILIN MU CM2 '!$S772)/2</f>
        <v>12.5</v>
      </c>
      <c r="U772" s="25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</row>
    <row r="773" ht="14.25" hidden="1" customHeight="1">
      <c r="A773" s="27" t="s">
        <v>1447</v>
      </c>
      <c r="B773" s="27" t="s">
        <v>938</v>
      </c>
      <c r="C773" s="27" t="s">
        <v>1475</v>
      </c>
      <c r="D773" s="27" t="s">
        <v>1476</v>
      </c>
      <c r="E773" s="27" t="s">
        <v>1454</v>
      </c>
      <c r="F773" s="27" t="s">
        <v>1457</v>
      </c>
      <c r="G773" s="28">
        <v>2023.0</v>
      </c>
      <c r="H773" s="28">
        <v>61.0</v>
      </c>
      <c r="I773" s="28">
        <v>808.0</v>
      </c>
      <c r="J773" s="29" t="str">
        <f>'1. Base de donnée HILIN MU CM2 '!$G773&amp;"-"&amp;'1. Base de donnée HILIN MU CM2 '!$H773&amp;"-"&amp;'1. Base de donnée HILIN MU CM2 '!$I773</f>
        <v>2023-61-808</v>
      </c>
      <c r="K773" s="28">
        <f t="shared" si="1"/>
        <v>766</v>
      </c>
      <c r="L773" s="29" t="s">
        <v>31</v>
      </c>
      <c r="M773" s="29"/>
      <c r="N773" s="29"/>
      <c r="O773" s="27">
        <v>3.0</v>
      </c>
      <c r="P773" s="27">
        <v>1.5</v>
      </c>
      <c r="Q773" s="27">
        <f>SUM('1. Base de donnée HILIN MU CM2 '!$O773+'1. Base de donnée HILIN MU CM2 '!$P773)/2</f>
        <v>2.25</v>
      </c>
      <c r="R773" s="27">
        <v>13.0</v>
      </c>
      <c r="S773" s="27">
        <v>11.0</v>
      </c>
      <c r="T773" s="27">
        <f>('1. Base de donnée HILIN MU CM2 '!$R773+'1. Base de donnée HILIN MU CM2 '!$S773)/2</f>
        <v>12</v>
      </c>
      <c r="U773" s="30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</row>
    <row r="774" ht="14.25" hidden="1" customHeight="1">
      <c r="A774" s="22" t="s">
        <v>1447</v>
      </c>
      <c r="B774" s="22" t="s">
        <v>938</v>
      </c>
      <c r="C774" s="22" t="s">
        <v>1477</v>
      </c>
      <c r="D774" s="22" t="s">
        <v>1478</v>
      </c>
      <c r="E774" s="22" t="s">
        <v>1454</v>
      </c>
      <c r="F774" s="22" t="s">
        <v>1457</v>
      </c>
      <c r="G774" s="23">
        <v>2023.0</v>
      </c>
      <c r="H774" s="23">
        <v>61.0</v>
      </c>
      <c r="I774" s="23">
        <v>809.0</v>
      </c>
      <c r="J774" s="24" t="str">
        <f>'1. Base de donnée HILIN MU CM2 '!$G774&amp;"-"&amp;'1. Base de donnée HILIN MU CM2 '!$H774&amp;"-"&amp;'1. Base de donnée HILIN MU CM2 '!$I774</f>
        <v>2023-61-809</v>
      </c>
      <c r="K774" s="23">
        <f t="shared" si="1"/>
        <v>767</v>
      </c>
      <c r="L774" s="24" t="s">
        <v>31</v>
      </c>
      <c r="M774" s="24"/>
      <c r="N774" s="24"/>
      <c r="O774" s="22">
        <v>0.0</v>
      </c>
      <c r="P774" s="22">
        <v>2.25</v>
      </c>
      <c r="Q774" s="22">
        <f>SUM('1. Base de donnée HILIN MU CM2 '!$O774+'1. Base de donnée HILIN MU CM2 '!$P774)/2</f>
        <v>1.125</v>
      </c>
      <c r="R774" s="22">
        <v>16.0</v>
      </c>
      <c r="S774" s="22">
        <v>18.25</v>
      </c>
      <c r="T774" s="22">
        <f>('1. Base de donnée HILIN MU CM2 '!$R774+'1. Base de donnée HILIN MU CM2 '!$S774)/2</f>
        <v>17.125</v>
      </c>
      <c r="U774" s="25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</row>
    <row r="775" ht="14.25" hidden="1" customHeight="1">
      <c r="A775" s="27" t="s">
        <v>1447</v>
      </c>
      <c r="B775" s="27" t="s">
        <v>938</v>
      </c>
      <c r="C775" s="27" t="s">
        <v>1479</v>
      </c>
      <c r="D775" s="27" t="s">
        <v>1480</v>
      </c>
      <c r="E775" s="27" t="s">
        <v>1454</v>
      </c>
      <c r="F775" s="27" t="s">
        <v>1457</v>
      </c>
      <c r="G775" s="28">
        <v>2023.0</v>
      </c>
      <c r="H775" s="28">
        <v>61.0</v>
      </c>
      <c r="I775" s="28">
        <v>810.0</v>
      </c>
      <c r="J775" s="29" t="str">
        <f>'1. Base de donnée HILIN MU CM2 '!$G775&amp;"-"&amp;'1. Base de donnée HILIN MU CM2 '!$H775&amp;"-"&amp;'1. Base de donnée HILIN MU CM2 '!$I775</f>
        <v>2023-61-810</v>
      </c>
      <c r="K775" s="28">
        <f t="shared" si="1"/>
        <v>768</v>
      </c>
      <c r="L775" s="29" t="s">
        <v>31</v>
      </c>
      <c r="M775" s="29"/>
      <c r="N775" s="29"/>
      <c r="O775" s="27">
        <v>9.0</v>
      </c>
      <c r="P775" s="27">
        <v>5.0</v>
      </c>
      <c r="Q775" s="27">
        <f>SUM('1. Base de donnée HILIN MU CM2 '!$O775+'1. Base de donnée HILIN MU CM2 '!$P775)/2</f>
        <v>7</v>
      </c>
      <c r="R775" s="27">
        <v>18.5</v>
      </c>
      <c r="S775" s="27">
        <v>19.0</v>
      </c>
      <c r="T775" s="27">
        <f>('1. Base de donnée HILIN MU CM2 '!$R775+'1. Base de donnée HILIN MU CM2 '!$S775)/2</f>
        <v>18.75</v>
      </c>
      <c r="U775" s="30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</row>
    <row r="776" ht="14.25" hidden="1" customHeight="1">
      <c r="A776" s="22" t="s">
        <v>1447</v>
      </c>
      <c r="B776" s="22" t="s">
        <v>938</v>
      </c>
      <c r="C776" s="22" t="s">
        <v>1481</v>
      </c>
      <c r="D776" s="22" t="s">
        <v>1482</v>
      </c>
      <c r="E776" s="22" t="s">
        <v>1454</v>
      </c>
      <c r="F776" s="22" t="s">
        <v>1451</v>
      </c>
      <c r="G776" s="23">
        <v>2023.0</v>
      </c>
      <c r="H776" s="23">
        <v>61.0</v>
      </c>
      <c r="I776" s="23">
        <v>811.0</v>
      </c>
      <c r="J776" s="24" t="str">
        <f>'1. Base de donnée HILIN MU CM2 '!$G776&amp;"-"&amp;'1. Base de donnée HILIN MU CM2 '!$H776&amp;"-"&amp;'1. Base de donnée HILIN MU CM2 '!$I776</f>
        <v>2023-61-811</v>
      </c>
      <c r="K776" s="23">
        <f t="shared" si="1"/>
        <v>769</v>
      </c>
      <c r="L776" s="24" t="s">
        <v>31</v>
      </c>
      <c r="M776" s="24"/>
      <c r="N776" s="24"/>
      <c r="O776" s="22"/>
      <c r="P776" s="22">
        <v>1.5</v>
      </c>
      <c r="Q776" s="22">
        <f>SUM('1. Base de donnée HILIN MU CM2 '!$O776+'1. Base de donnée HILIN MU CM2 '!$P776)/2</f>
        <v>0.75</v>
      </c>
      <c r="R776" s="22">
        <v>14.5</v>
      </c>
      <c r="S776" s="22">
        <v>14.0</v>
      </c>
      <c r="T776" s="22">
        <f>('1. Base de donnée HILIN MU CM2 '!$R776+'1. Base de donnée HILIN MU CM2 '!$S776)/2</f>
        <v>14.25</v>
      </c>
      <c r="U776" s="25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</row>
    <row r="777" ht="14.25" hidden="1" customHeight="1">
      <c r="A777" s="27" t="s">
        <v>1447</v>
      </c>
      <c r="B777" s="27" t="s">
        <v>938</v>
      </c>
      <c r="C777" s="27" t="s">
        <v>1483</v>
      </c>
      <c r="D777" s="27" t="s">
        <v>1484</v>
      </c>
      <c r="E777" s="27" t="s">
        <v>1454</v>
      </c>
      <c r="F777" s="27" t="s">
        <v>1451</v>
      </c>
      <c r="G777" s="28">
        <v>2023.0</v>
      </c>
      <c r="H777" s="28">
        <v>61.0</v>
      </c>
      <c r="I777" s="28">
        <v>812.0</v>
      </c>
      <c r="J777" s="29" t="str">
        <f>'1. Base de donnée HILIN MU CM2 '!$G777&amp;"-"&amp;'1. Base de donnée HILIN MU CM2 '!$H777&amp;"-"&amp;'1. Base de donnée HILIN MU CM2 '!$I777</f>
        <v>2023-61-812</v>
      </c>
      <c r="K777" s="28">
        <f t="shared" si="1"/>
        <v>770</v>
      </c>
      <c r="L777" s="29" t="s">
        <v>31</v>
      </c>
      <c r="M777" s="29"/>
      <c r="N777" s="29"/>
      <c r="O777" s="27">
        <v>5.5</v>
      </c>
      <c r="P777" s="27">
        <v>6.5</v>
      </c>
      <c r="Q777" s="27">
        <f>SUM('1. Base de donnée HILIN MU CM2 '!$O777+'1. Base de donnée HILIN MU CM2 '!$P777)/2</f>
        <v>6</v>
      </c>
      <c r="R777" s="27">
        <v>16.0</v>
      </c>
      <c r="S777" s="27">
        <v>17.0</v>
      </c>
      <c r="T777" s="27">
        <f>('1. Base de donnée HILIN MU CM2 '!$R777+'1. Base de donnée HILIN MU CM2 '!$S777)/2</f>
        <v>16.5</v>
      </c>
      <c r="U777" s="30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</row>
    <row r="778" ht="14.25" hidden="1" customHeight="1">
      <c r="A778" s="22" t="s">
        <v>1447</v>
      </c>
      <c r="B778" s="22" t="s">
        <v>938</v>
      </c>
      <c r="C778" s="22" t="s">
        <v>1485</v>
      </c>
      <c r="D778" s="22" t="s">
        <v>1482</v>
      </c>
      <c r="E778" s="22" t="s">
        <v>1454</v>
      </c>
      <c r="F778" s="22" t="s">
        <v>1451</v>
      </c>
      <c r="G778" s="23">
        <v>2023.0</v>
      </c>
      <c r="H778" s="23">
        <v>61.0</v>
      </c>
      <c r="I778" s="23">
        <v>813.0</v>
      </c>
      <c r="J778" s="24" t="str">
        <f>'1. Base de donnée HILIN MU CM2 '!$G778&amp;"-"&amp;'1. Base de donnée HILIN MU CM2 '!$H778&amp;"-"&amp;'1. Base de donnée HILIN MU CM2 '!$I778</f>
        <v>2023-61-813</v>
      </c>
      <c r="K778" s="23">
        <f t="shared" si="1"/>
        <v>771</v>
      </c>
      <c r="L778" s="24" t="s">
        <v>31</v>
      </c>
      <c r="M778" s="24"/>
      <c r="N778" s="24"/>
      <c r="O778" s="22">
        <v>7.5</v>
      </c>
      <c r="P778" s="22">
        <v>2.0</v>
      </c>
      <c r="Q778" s="22">
        <f>SUM('1. Base de donnée HILIN MU CM2 '!$O778+'1. Base de donnée HILIN MU CM2 '!$P778)/2</f>
        <v>4.75</v>
      </c>
      <c r="R778" s="22">
        <v>14.0</v>
      </c>
      <c r="S778" s="22">
        <v>15.5</v>
      </c>
      <c r="T778" s="22">
        <f>('1. Base de donnée HILIN MU CM2 '!$R778+'1. Base de donnée HILIN MU CM2 '!$S778)/2</f>
        <v>14.75</v>
      </c>
      <c r="U778" s="25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</row>
    <row r="779" ht="14.25" hidden="1" customHeight="1">
      <c r="A779" s="27" t="s">
        <v>1447</v>
      </c>
      <c r="B779" s="27" t="s">
        <v>938</v>
      </c>
      <c r="C779" s="27" t="s">
        <v>1486</v>
      </c>
      <c r="D779" s="27" t="s">
        <v>1487</v>
      </c>
      <c r="E779" s="27" t="s">
        <v>1454</v>
      </c>
      <c r="F779" s="27" t="s">
        <v>1451</v>
      </c>
      <c r="G779" s="28">
        <v>2023.0</v>
      </c>
      <c r="H779" s="28">
        <v>61.0</v>
      </c>
      <c r="I779" s="28">
        <v>814.0</v>
      </c>
      <c r="J779" s="29" t="str">
        <f>'1. Base de donnée HILIN MU CM2 '!$G779&amp;"-"&amp;'1. Base de donnée HILIN MU CM2 '!$H779&amp;"-"&amp;'1. Base de donnée HILIN MU CM2 '!$I779</f>
        <v>2023-61-814</v>
      </c>
      <c r="K779" s="28">
        <f t="shared" si="1"/>
        <v>772</v>
      </c>
      <c r="L779" s="29" t="s">
        <v>31</v>
      </c>
      <c r="M779" s="29"/>
      <c r="N779" s="29"/>
      <c r="O779" s="27">
        <v>7.5</v>
      </c>
      <c r="P779" s="27">
        <v>3.0</v>
      </c>
      <c r="Q779" s="27">
        <f>SUM('1. Base de donnée HILIN MU CM2 '!$O779+'1. Base de donnée HILIN MU CM2 '!$P779)/2</f>
        <v>5.25</v>
      </c>
      <c r="R779" s="27">
        <v>13.0</v>
      </c>
      <c r="S779" s="27">
        <v>12.5</v>
      </c>
      <c r="T779" s="27">
        <f>('1. Base de donnée HILIN MU CM2 '!$R779+'1. Base de donnée HILIN MU CM2 '!$S779)/2</f>
        <v>12.75</v>
      </c>
      <c r="U779" s="30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</row>
    <row r="780" ht="14.25" hidden="1" customHeight="1">
      <c r="A780" s="22" t="s">
        <v>1447</v>
      </c>
      <c r="B780" s="22" t="s">
        <v>938</v>
      </c>
      <c r="C780" s="22" t="s">
        <v>1488</v>
      </c>
      <c r="D780" s="22" t="s">
        <v>351</v>
      </c>
      <c r="E780" s="22" t="s">
        <v>1454</v>
      </c>
      <c r="F780" s="22" t="s">
        <v>1451</v>
      </c>
      <c r="G780" s="23">
        <v>2023.0</v>
      </c>
      <c r="H780" s="23">
        <v>61.0</v>
      </c>
      <c r="I780" s="23">
        <v>815.0</v>
      </c>
      <c r="J780" s="24" t="str">
        <f>'1. Base de donnée HILIN MU CM2 '!$G780&amp;"-"&amp;'1. Base de donnée HILIN MU CM2 '!$H780&amp;"-"&amp;'1. Base de donnée HILIN MU CM2 '!$I780</f>
        <v>2023-61-815</v>
      </c>
      <c r="K780" s="23">
        <f t="shared" si="1"/>
        <v>773</v>
      </c>
      <c r="L780" s="24" t="s">
        <v>31</v>
      </c>
      <c r="M780" s="24"/>
      <c r="N780" s="24"/>
      <c r="O780" s="22">
        <v>8.0</v>
      </c>
      <c r="P780" s="22">
        <v>4.5</v>
      </c>
      <c r="Q780" s="22">
        <f>SUM('1. Base de donnée HILIN MU CM2 '!$O780+'1. Base de donnée HILIN MU CM2 '!$P780)/2</f>
        <v>6.25</v>
      </c>
      <c r="R780" s="22">
        <v>18.0</v>
      </c>
      <c r="S780" s="22">
        <v>17.75</v>
      </c>
      <c r="T780" s="22">
        <f>('1. Base de donnée HILIN MU CM2 '!$R780+'1. Base de donnée HILIN MU CM2 '!$S780)/2</f>
        <v>17.875</v>
      </c>
      <c r="U780" s="25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</row>
    <row r="781" ht="14.25" hidden="1" customHeight="1">
      <c r="A781" s="27" t="s">
        <v>1447</v>
      </c>
      <c r="B781" s="27" t="s">
        <v>938</v>
      </c>
      <c r="C781" s="27" t="s">
        <v>1489</v>
      </c>
      <c r="D781" s="27" t="s">
        <v>1490</v>
      </c>
      <c r="E781" s="27" t="s">
        <v>1454</v>
      </c>
      <c r="F781" s="27" t="s">
        <v>1451</v>
      </c>
      <c r="G781" s="28">
        <v>2023.0</v>
      </c>
      <c r="H781" s="28">
        <v>61.0</v>
      </c>
      <c r="I781" s="28">
        <v>816.0</v>
      </c>
      <c r="J781" s="29" t="str">
        <f>'1. Base de donnée HILIN MU CM2 '!$G781&amp;"-"&amp;'1. Base de donnée HILIN MU CM2 '!$H781&amp;"-"&amp;'1. Base de donnée HILIN MU CM2 '!$I781</f>
        <v>2023-61-816</v>
      </c>
      <c r="K781" s="28">
        <f t="shared" si="1"/>
        <v>774</v>
      </c>
      <c r="L781" s="29" t="s">
        <v>31</v>
      </c>
      <c r="M781" s="29"/>
      <c r="N781" s="29"/>
      <c r="O781" s="27">
        <v>4.5</v>
      </c>
      <c r="P781" s="27">
        <v>2.0</v>
      </c>
      <c r="Q781" s="27">
        <f>SUM('1. Base de donnée HILIN MU CM2 '!$O781+'1. Base de donnée HILIN MU CM2 '!$P781)/2</f>
        <v>3.25</v>
      </c>
      <c r="R781" s="27">
        <v>12.5</v>
      </c>
      <c r="S781" s="27">
        <v>12.0</v>
      </c>
      <c r="T781" s="27">
        <f>('1. Base de donnée HILIN MU CM2 '!$R781+'1. Base de donnée HILIN MU CM2 '!$S781)/2</f>
        <v>12.25</v>
      </c>
      <c r="U781" s="30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</row>
    <row r="782" ht="14.25" hidden="1" customHeight="1">
      <c r="A782" s="22" t="s">
        <v>1447</v>
      </c>
      <c r="B782" s="22" t="s">
        <v>938</v>
      </c>
      <c r="C782" s="22" t="s">
        <v>1491</v>
      </c>
      <c r="D782" s="22" t="s">
        <v>61</v>
      </c>
      <c r="E782" s="22" t="s">
        <v>1454</v>
      </c>
      <c r="F782" s="22" t="s">
        <v>1451</v>
      </c>
      <c r="G782" s="23">
        <v>2023.0</v>
      </c>
      <c r="H782" s="23">
        <v>61.0</v>
      </c>
      <c r="I782" s="23">
        <v>817.0</v>
      </c>
      <c r="J782" s="24" t="str">
        <f>'1. Base de donnée HILIN MU CM2 '!$G782&amp;"-"&amp;'1. Base de donnée HILIN MU CM2 '!$H782&amp;"-"&amp;'1. Base de donnée HILIN MU CM2 '!$I782</f>
        <v>2023-61-817</v>
      </c>
      <c r="K782" s="23">
        <f t="shared" si="1"/>
        <v>775</v>
      </c>
      <c r="L782" s="24" t="s">
        <v>31</v>
      </c>
      <c r="M782" s="24"/>
      <c r="N782" s="24"/>
      <c r="O782" s="22">
        <v>10.0</v>
      </c>
      <c r="P782" s="22">
        <v>4.5</v>
      </c>
      <c r="Q782" s="22">
        <f>SUM('1. Base de donnée HILIN MU CM2 '!$O782+'1. Base de donnée HILIN MU CM2 '!$P782)/2</f>
        <v>7.25</v>
      </c>
      <c r="R782" s="22">
        <v>18.75</v>
      </c>
      <c r="S782" s="22">
        <v>18.75</v>
      </c>
      <c r="T782" s="22">
        <f>('1. Base de donnée HILIN MU CM2 '!$R782+'1. Base de donnée HILIN MU CM2 '!$S782)/2</f>
        <v>18.75</v>
      </c>
      <c r="U782" s="25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</row>
    <row r="783" ht="14.25" hidden="1" customHeight="1">
      <c r="A783" s="27" t="s">
        <v>1447</v>
      </c>
      <c r="B783" s="27" t="s">
        <v>938</v>
      </c>
      <c r="C783" s="27" t="s">
        <v>1492</v>
      </c>
      <c r="D783" s="27" t="s">
        <v>1493</v>
      </c>
      <c r="E783" s="27" t="s">
        <v>1454</v>
      </c>
      <c r="F783" s="27" t="s">
        <v>1457</v>
      </c>
      <c r="G783" s="28">
        <v>2023.0</v>
      </c>
      <c r="H783" s="28">
        <v>61.0</v>
      </c>
      <c r="I783" s="28">
        <v>818.0</v>
      </c>
      <c r="J783" s="29" t="str">
        <f>'1. Base de donnée HILIN MU CM2 '!$G783&amp;"-"&amp;'1. Base de donnée HILIN MU CM2 '!$H783&amp;"-"&amp;'1. Base de donnée HILIN MU CM2 '!$I783</f>
        <v>2023-61-818</v>
      </c>
      <c r="K783" s="28">
        <f t="shared" si="1"/>
        <v>776</v>
      </c>
      <c r="L783" s="29" t="s">
        <v>31</v>
      </c>
      <c r="M783" s="29"/>
      <c r="N783" s="29"/>
      <c r="O783" s="27">
        <v>6.5</v>
      </c>
      <c r="P783" s="27">
        <v>1.75</v>
      </c>
      <c r="Q783" s="27">
        <f>SUM('1. Base de donnée HILIN MU CM2 '!$O783+'1. Base de donnée HILIN MU CM2 '!$P783)/2</f>
        <v>4.125</v>
      </c>
      <c r="R783" s="27">
        <v>16.0</v>
      </c>
      <c r="S783" s="27">
        <v>18.5</v>
      </c>
      <c r="T783" s="27">
        <f>('1. Base de donnée HILIN MU CM2 '!$R783+'1. Base de donnée HILIN MU CM2 '!$S783)/2</f>
        <v>17.25</v>
      </c>
      <c r="U783" s="30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</row>
    <row r="784" ht="14.25" hidden="1" customHeight="1">
      <c r="A784" s="22" t="s">
        <v>1447</v>
      </c>
      <c r="B784" s="22" t="s">
        <v>938</v>
      </c>
      <c r="C784" s="22" t="s">
        <v>149</v>
      </c>
      <c r="D784" s="22" t="s">
        <v>1494</v>
      </c>
      <c r="E784" s="22" t="s">
        <v>1454</v>
      </c>
      <c r="F784" s="22" t="s">
        <v>1451</v>
      </c>
      <c r="G784" s="23">
        <v>2023.0</v>
      </c>
      <c r="H784" s="23">
        <v>61.0</v>
      </c>
      <c r="I784" s="23">
        <v>819.0</v>
      </c>
      <c r="J784" s="24" t="str">
        <f>'1. Base de donnée HILIN MU CM2 '!$G784&amp;"-"&amp;'1. Base de donnée HILIN MU CM2 '!$H784&amp;"-"&amp;'1. Base de donnée HILIN MU CM2 '!$I784</f>
        <v>2023-61-819</v>
      </c>
      <c r="K784" s="23">
        <f t="shared" si="1"/>
        <v>777</v>
      </c>
      <c r="L784" s="24" t="s">
        <v>31</v>
      </c>
      <c r="M784" s="24"/>
      <c r="N784" s="24"/>
      <c r="O784" s="22">
        <v>10.5</v>
      </c>
      <c r="P784" s="22">
        <v>3.0</v>
      </c>
      <c r="Q784" s="22">
        <f>SUM('1. Base de donnée HILIN MU CM2 '!$O784+'1. Base de donnée HILIN MU CM2 '!$P784)/2</f>
        <v>6.75</v>
      </c>
      <c r="R784" s="22">
        <v>17.5</v>
      </c>
      <c r="S784" s="22">
        <v>15.75</v>
      </c>
      <c r="T784" s="22">
        <f>('1. Base de donnée HILIN MU CM2 '!$R784+'1. Base de donnée HILIN MU CM2 '!$S784)/2</f>
        <v>16.625</v>
      </c>
      <c r="U784" s="25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</row>
    <row r="785" ht="14.25" hidden="1" customHeight="1">
      <c r="A785" s="27" t="s">
        <v>1447</v>
      </c>
      <c r="B785" s="27" t="s">
        <v>938</v>
      </c>
      <c r="C785" s="27" t="s">
        <v>1495</v>
      </c>
      <c r="D785" s="27" t="s">
        <v>825</v>
      </c>
      <c r="E785" s="27" t="s">
        <v>1454</v>
      </c>
      <c r="F785" s="27" t="s">
        <v>1451</v>
      </c>
      <c r="G785" s="28">
        <v>2023.0</v>
      </c>
      <c r="H785" s="28">
        <v>61.0</v>
      </c>
      <c r="I785" s="28">
        <v>870.0</v>
      </c>
      <c r="J785" s="29" t="str">
        <f>'1. Base de donnée HILIN MU CM2 '!$G785&amp;"-"&amp;'1. Base de donnée HILIN MU CM2 '!$H785&amp;"-"&amp;'1. Base de donnée HILIN MU CM2 '!$I785</f>
        <v>2023-61-870</v>
      </c>
      <c r="K785" s="28">
        <f t="shared" si="1"/>
        <v>778</v>
      </c>
      <c r="L785" s="29" t="s">
        <v>31</v>
      </c>
      <c r="M785" s="29"/>
      <c r="N785" s="29"/>
      <c r="O785" s="27">
        <v>4.75</v>
      </c>
      <c r="P785" s="27">
        <v>1.25</v>
      </c>
      <c r="Q785" s="27">
        <f>SUM('1. Base de donnée HILIN MU CM2 '!$O785+'1. Base de donnée HILIN MU CM2 '!$P785)/2</f>
        <v>3</v>
      </c>
      <c r="R785" s="27">
        <v>13.0</v>
      </c>
      <c r="S785" s="27">
        <v>13.5</v>
      </c>
      <c r="T785" s="27">
        <f>('1. Base de donnée HILIN MU CM2 '!$R785+'1. Base de donnée HILIN MU CM2 '!$S785)/2</f>
        <v>13.25</v>
      </c>
      <c r="U785" s="30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</row>
    <row r="786" ht="14.25" hidden="1" customHeight="1">
      <c r="A786" s="22" t="s">
        <v>1447</v>
      </c>
      <c r="B786" s="22" t="s">
        <v>938</v>
      </c>
      <c r="C786" s="22" t="s">
        <v>1496</v>
      </c>
      <c r="D786" s="22" t="s">
        <v>1497</v>
      </c>
      <c r="E786" s="22" t="s">
        <v>1454</v>
      </c>
      <c r="F786" s="22" t="s">
        <v>1457</v>
      </c>
      <c r="G786" s="23">
        <v>2023.0</v>
      </c>
      <c r="H786" s="23">
        <v>61.0</v>
      </c>
      <c r="I786" s="23">
        <v>871.0</v>
      </c>
      <c r="J786" s="24" t="str">
        <f>'1. Base de donnée HILIN MU CM2 '!$G786&amp;"-"&amp;'1. Base de donnée HILIN MU CM2 '!$H786&amp;"-"&amp;'1. Base de donnée HILIN MU CM2 '!$I786</f>
        <v>2023-61-871</v>
      </c>
      <c r="K786" s="23">
        <f t="shared" si="1"/>
        <v>779</v>
      </c>
      <c r="L786" s="24" t="s">
        <v>31</v>
      </c>
      <c r="M786" s="24"/>
      <c r="N786" s="24"/>
      <c r="O786" s="22">
        <v>7.0</v>
      </c>
      <c r="P786" s="22">
        <v>0.5</v>
      </c>
      <c r="Q786" s="22">
        <f>SUM('1. Base de donnée HILIN MU CM2 '!$O786+'1. Base de donnée HILIN MU CM2 '!$P786)/2</f>
        <v>3.75</v>
      </c>
      <c r="R786" s="22">
        <v>14.5</v>
      </c>
      <c r="S786" s="22">
        <v>14.0</v>
      </c>
      <c r="T786" s="22">
        <f>('1. Base de donnée HILIN MU CM2 '!$R786+'1. Base de donnée HILIN MU CM2 '!$S786)/2</f>
        <v>14.25</v>
      </c>
      <c r="U786" s="25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</row>
    <row r="787" ht="14.25" hidden="1" customHeight="1">
      <c r="A787" s="27" t="s">
        <v>1447</v>
      </c>
      <c r="B787" s="27" t="s">
        <v>938</v>
      </c>
      <c r="C787" s="27" t="s">
        <v>1498</v>
      </c>
      <c r="D787" s="27" t="s">
        <v>221</v>
      </c>
      <c r="E787" s="27" t="s">
        <v>1454</v>
      </c>
      <c r="F787" s="27" t="s">
        <v>1457</v>
      </c>
      <c r="G787" s="28">
        <v>2023.0</v>
      </c>
      <c r="H787" s="28">
        <v>61.0</v>
      </c>
      <c r="I787" s="28">
        <v>872.0</v>
      </c>
      <c r="J787" s="29" t="str">
        <f>'1. Base de donnée HILIN MU CM2 '!$G787&amp;"-"&amp;'1. Base de donnée HILIN MU CM2 '!$H787&amp;"-"&amp;'1. Base de donnée HILIN MU CM2 '!$I787</f>
        <v>2023-61-872</v>
      </c>
      <c r="K787" s="28">
        <f t="shared" si="1"/>
        <v>780</v>
      </c>
      <c r="L787" s="29" t="s">
        <v>31</v>
      </c>
      <c r="M787" s="29"/>
      <c r="N787" s="29"/>
      <c r="O787" s="27">
        <v>1.0</v>
      </c>
      <c r="P787" s="27">
        <v>5.0</v>
      </c>
      <c r="Q787" s="27">
        <f>SUM('1. Base de donnée HILIN MU CM2 '!$O787+'1. Base de donnée HILIN MU CM2 '!$P787)/2</f>
        <v>3</v>
      </c>
      <c r="R787" s="27">
        <v>12.5</v>
      </c>
      <c r="S787" s="27">
        <v>12.0</v>
      </c>
      <c r="T787" s="27">
        <f>('1. Base de donnée HILIN MU CM2 '!$R787+'1. Base de donnée HILIN MU CM2 '!$S787)/2</f>
        <v>12.25</v>
      </c>
      <c r="U787" s="30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</row>
    <row r="788" ht="14.25" hidden="1" customHeight="1">
      <c r="A788" s="22" t="s">
        <v>1447</v>
      </c>
      <c r="B788" s="22" t="s">
        <v>938</v>
      </c>
      <c r="C788" s="22" t="s">
        <v>1499</v>
      </c>
      <c r="D788" s="22" t="s">
        <v>1500</v>
      </c>
      <c r="E788" s="22" t="s">
        <v>1454</v>
      </c>
      <c r="F788" s="22" t="s">
        <v>1451</v>
      </c>
      <c r="G788" s="23">
        <v>2023.0</v>
      </c>
      <c r="H788" s="23">
        <v>61.0</v>
      </c>
      <c r="I788" s="23">
        <v>874.0</v>
      </c>
      <c r="J788" s="24" t="str">
        <f>'1. Base de donnée HILIN MU CM2 '!$G788&amp;"-"&amp;'1. Base de donnée HILIN MU CM2 '!$H788&amp;"-"&amp;'1. Base de donnée HILIN MU CM2 '!$I788</f>
        <v>2023-61-874</v>
      </c>
      <c r="K788" s="23">
        <f t="shared" si="1"/>
        <v>781</v>
      </c>
      <c r="L788" s="24" t="s">
        <v>31</v>
      </c>
      <c r="M788" s="24"/>
      <c r="N788" s="24"/>
      <c r="O788" s="22">
        <v>5.0</v>
      </c>
      <c r="P788" s="22">
        <v>2.5</v>
      </c>
      <c r="Q788" s="22">
        <f>SUM('1. Base de donnée HILIN MU CM2 '!$O788+'1. Base de donnée HILIN MU CM2 '!$P788)/2</f>
        <v>3.75</v>
      </c>
      <c r="R788" s="22">
        <v>15.0</v>
      </c>
      <c r="S788" s="22">
        <v>15.0</v>
      </c>
      <c r="T788" s="22">
        <f>('1. Base de donnée HILIN MU CM2 '!$R788+'1. Base de donnée HILIN MU CM2 '!$S788)/2</f>
        <v>15</v>
      </c>
      <c r="U788" s="25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</row>
    <row r="789" ht="14.25" hidden="1" customHeight="1">
      <c r="A789" s="27" t="s">
        <v>1447</v>
      </c>
      <c r="B789" s="27" t="s">
        <v>938</v>
      </c>
      <c r="C789" s="27" t="s">
        <v>1501</v>
      </c>
      <c r="D789" s="27" t="s">
        <v>289</v>
      </c>
      <c r="E789" s="27" t="s">
        <v>1454</v>
      </c>
      <c r="F789" s="27" t="s">
        <v>1457</v>
      </c>
      <c r="G789" s="28">
        <v>2023.0</v>
      </c>
      <c r="H789" s="28">
        <v>61.0</v>
      </c>
      <c r="I789" s="28">
        <v>875.0</v>
      </c>
      <c r="J789" s="29" t="str">
        <f>'1. Base de donnée HILIN MU CM2 '!$G789&amp;"-"&amp;'1. Base de donnée HILIN MU CM2 '!$H789&amp;"-"&amp;'1. Base de donnée HILIN MU CM2 '!$I789</f>
        <v>2023-61-875</v>
      </c>
      <c r="K789" s="28">
        <f t="shared" si="1"/>
        <v>782</v>
      </c>
      <c r="L789" s="29" t="s">
        <v>31</v>
      </c>
      <c r="M789" s="29"/>
      <c r="N789" s="29"/>
      <c r="O789" s="27">
        <v>5.25</v>
      </c>
      <c r="P789" s="27">
        <v>1.5</v>
      </c>
      <c r="Q789" s="27">
        <f>SUM('1. Base de donnée HILIN MU CM2 '!$O789+'1. Base de donnée HILIN MU CM2 '!$P789)/2</f>
        <v>3.375</v>
      </c>
      <c r="R789" s="27">
        <v>13.0</v>
      </c>
      <c r="S789" s="27">
        <v>11.5</v>
      </c>
      <c r="T789" s="27">
        <f>('1. Base de donnée HILIN MU CM2 '!$R789+'1. Base de donnée HILIN MU CM2 '!$S789)/2</f>
        <v>12.25</v>
      </c>
      <c r="U789" s="30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</row>
    <row r="790" ht="14.25" hidden="1" customHeight="1">
      <c r="A790" s="22" t="s">
        <v>1502</v>
      </c>
      <c r="B790" s="22" t="s">
        <v>26</v>
      </c>
      <c r="C790" s="22" t="s">
        <v>1503</v>
      </c>
      <c r="D790" s="22" t="s">
        <v>1504</v>
      </c>
      <c r="E790" s="22" t="s">
        <v>1505</v>
      </c>
      <c r="F790" s="22" t="s">
        <v>1506</v>
      </c>
      <c r="G790" s="23">
        <v>2023.0</v>
      </c>
      <c r="H790" s="23">
        <v>13.0</v>
      </c>
      <c r="I790" s="23">
        <v>820.0</v>
      </c>
      <c r="J790" s="24" t="str">
        <f>'1. Base de donnée HILIN MU CM2 '!$G790&amp;"-"&amp;'1. Base de donnée HILIN MU CM2 '!$H790&amp;"-"&amp;'1. Base de donnée HILIN MU CM2 '!$I790</f>
        <v>2023-13-820</v>
      </c>
      <c r="K790" s="23">
        <f t="shared" si="1"/>
        <v>783</v>
      </c>
      <c r="L790" s="24" t="s">
        <v>31</v>
      </c>
      <c r="M790" s="24"/>
      <c r="N790" s="24"/>
      <c r="O790" s="22">
        <v>9.0</v>
      </c>
      <c r="P790" s="22">
        <v>9.25</v>
      </c>
      <c r="Q790" s="22">
        <f>SUM('1. Base de donnée HILIN MU CM2 '!$O790+'1. Base de donnée HILIN MU CM2 '!$P790)/2</f>
        <v>9.125</v>
      </c>
      <c r="R790" s="22">
        <v>16.0</v>
      </c>
      <c r="S790" s="22">
        <v>15.0</v>
      </c>
      <c r="T790" s="22">
        <f>('1. Base de donnée HILIN MU CM2 '!$R790+'1. Base de donnée HILIN MU CM2 '!$S790)/2</f>
        <v>15.5</v>
      </c>
      <c r="U790" s="25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</row>
    <row r="791" ht="14.25" hidden="1" customHeight="1">
      <c r="A791" s="27" t="s">
        <v>1502</v>
      </c>
      <c r="B791" s="27" t="s">
        <v>26</v>
      </c>
      <c r="C791" s="27" t="s">
        <v>1507</v>
      </c>
      <c r="D791" s="27" t="s">
        <v>1508</v>
      </c>
      <c r="E791" s="27" t="s">
        <v>1505</v>
      </c>
      <c r="F791" s="27" t="s">
        <v>1509</v>
      </c>
      <c r="G791" s="28">
        <v>2023.0</v>
      </c>
      <c r="H791" s="28">
        <v>13.0</v>
      </c>
      <c r="I791" s="28">
        <v>821.0</v>
      </c>
      <c r="J791" s="29" t="str">
        <f>'1. Base de donnée HILIN MU CM2 '!$G791&amp;"-"&amp;'1. Base de donnée HILIN MU CM2 '!$H791&amp;"-"&amp;'1. Base de donnée HILIN MU CM2 '!$I791</f>
        <v>2023-13-821</v>
      </c>
      <c r="K791" s="28">
        <f t="shared" si="1"/>
        <v>784</v>
      </c>
      <c r="L791" s="29" t="s">
        <v>31</v>
      </c>
      <c r="M791" s="29"/>
      <c r="N791" s="29"/>
      <c r="O791" s="27">
        <v>11.0</v>
      </c>
      <c r="P791" s="27">
        <v>4.5</v>
      </c>
      <c r="Q791" s="27">
        <f>SUM('1. Base de donnée HILIN MU CM2 '!$O791+'1. Base de donnée HILIN MU CM2 '!$P791)/2</f>
        <v>7.75</v>
      </c>
      <c r="R791" s="27">
        <v>19.0</v>
      </c>
      <c r="S791" s="27">
        <v>13.25</v>
      </c>
      <c r="T791" s="27">
        <f>('1. Base de donnée HILIN MU CM2 '!$R791+'1. Base de donnée HILIN MU CM2 '!$S791)/2</f>
        <v>16.125</v>
      </c>
      <c r="U791" s="30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</row>
    <row r="792" ht="14.25" hidden="1" customHeight="1">
      <c r="A792" s="22" t="s">
        <v>1502</v>
      </c>
      <c r="B792" s="22" t="s">
        <v>26</v>
      </c>
      <c r="C792" s="22" t="s">
        <v>948</v>
      </c>
      <c r="D792" s="22" t="s">
        <v>1137</v>
      </c>
      <c r="E792" s="22" t="s">
        <v>1505</v>
      </c>
      <c r="F792" s="22" t="s">
        <v>1506</v>
      </c>
      <c r="G792" s="23">
        <v>2023.0</v>
      </c>
      <c r="H792" s="23">
        <v>13.0</v>
      </c>
      <c r="I792" s="23">
        <v>822.0</v>
      </c>
      <c r="J792" s="24" t="str">
        <f>'1. Base de donnée HILIN MU CM2 '!$G792&amp;"-"&amp;'1. Base de donnée HILIN MU CM2 '!$H792&amp;"-"&amp;'1. Base de donnée HILIN MU CM2 '!$I792</f>
        <v>2023-13-822</v>
      </c>
      <c r="K792" s="23">
        <f t="shared" si="1"/>
        <v>785</v>
      </c>
      <c r="L792" s="24" t="s">
        <v>31</v>
      </c>
      <c r="M792" s="24"/>
      <c r="N792" s="24"/>
      <c r="O792" s="22">
        <v>11.5</v>
      </c>
      <c r="P792" s="22">
        <v>12.5</v>
      </c>
      <c r="Q792" s="22">
        <f>SUM('1. Base de donnée HILIN MU CM2 '!$O792+'1. Base de donnée HILIN MU CM2 '!$P792)/2</f>
        <v>12</v>
      </c>
      <c r="R792" s="22">
        <v>19.0</v>
      </c>
      <c r="S792" s="22">
        <v>19.5</v>
      </c>
      <c r="T792" s="22">
        <f>('1. Base de donnée HILIN MU CM2 '!$R792+'1. Base de donnée HILIN MU CM2 '!$S792)/2</f>
        <v>19.25</v>
      </c>
      <c r="U792" s="25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</row>
    <row r="793" ht="14.25" hidden="1" customHeight="1">
      <c r="A793" s="27" t="s">
        <v>1502</v>
      </c>
      <c r="B793" s="27" t="s">
        <v>26</v>
      </c>
      <c r="C793" s="27" t="s">
        <v>1510</v>
      </c>
      <c r="D793" s="27" t="s">
        <v>1511</v>
      </c>
      <c r="E793" s="27" t="s">
        <v>1505</v>
      </c>
      <c r="F793" s="27" t="s">
        <v>1509</v>
      </c>
      <c r="G793" s="28">
        <v>2023.0</v>
      </c>
      <c r="H793" s="28">
        <v>13.0</v>
      </c>
      <c r="I793" s="28">
        <v>823.0</v>
      </c>
      <c r="J793" s="29" t="str">
        <f>'1. Base de donnée HILIN MU CM2 '!$G793&amp;"-"&amp;'1. Base de donnée HILIN MU CM2 '!$H793&amp;"-"&amp;'1. Base de donnée HILIN MU CM2 '!$I793</f>
        <v>2023-13-823</v>
      </c>
      <c r="K793" s="28">
        <f t="shared" si="1"/>
        <v>786</v>
      </c>
      <c r="L793" s="29" t="s">
        <v>31</v>
      </c>
      <c r="M793" s="29"/>
      <c r="N793" s="29"/>
      <c r="O793" s="27">
        <v>2.0</v>
      </c>
      <c r="P793" s="27">
        <v>17.25</v>
      </c>
      <c r="Q793" s="27">
        <f>SUM('1. Base de donnée HILIN MU CM2 '!$O793+'1. Base de donnée HILIN MU CM2 '!$P793)/2</f>
        <v>9.625</v>
      </c>
      <c r="R793" s="27">
        <v>19.0</v>
      </c>
      <c r="S793" s="27">
        <v>20.0</v>
      </c>
      <c r="T793" s="27">
        <f>('1. Base de donnée HILIN MU CM2 '!$R793+'1. Base de donnée HILIN MU CM2 '!$S793)/2</f>
        <v>19.5</v>
      </c>
      <c r="U793" s="30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</row>
    <row r="794" ht="14.25" hidden="1" customHeight="1">
      <c r="A794" s="22" t="s">
        <v>1502</v>
      </c>
      <c r="B794" s="22" t="s">
        <v>26</v>
      </c>
      <c r="C794" s="22" t="s">
        <v>1512</v>
      </c>
      <c r="D794" s="22" t="s">
        <v>1513</v>
      </c>
      <c r="E794" s="22" t="s">
        <v>1505</v>
      </c>
      <c r="F794" s="22" t="s">
        <v>1506</v>
      </c>
      <c r="G794" s="23">
        <v>2023.0</v>
      </c>
      <c r="H794" s="23">
        <v>13.0</v>
      </c>
      <c r="I794" s="23">
        <v>824.0</v>
      </c>
      <c r="J794" s="24" t="str">
        <f>'1. Base de donnée HILIN MU CM2 '!$G794&amp;"-"&amp;'1. Base de donnée HILIN MU CM2 '!$H794&amp;"-"&amp;'1. Base de donnée HILIN MU CM2 '!$I794</f>
        <v>2023-13-824</v>
      </c>
      <c r="K794" s="23">
        <f t="shared" si="1"/>
        <v>787</v>
      </c>
      <c r="L794" s="24" t="s">
        <v>31</v>
      </c>
      <c r="M794" s="24"/>
      <c r="N794" s="24"/>
      <c r="O794" s="22">
        <v>10.0</v>
      </c>
      <c r="P794" s="22">
        <v>5.5</v>
      </c>
      <c r="Q794" s="22">
        <f>SUM('1. Base de donnée HILIN MU CM2 '!$O794+'1. Base de donnée HILIN MU CM2 '!$P794)/2</f>
        <v>7.75</v>
      </c>
      <c r="R794" s="22">
        <v>15.0</v>
      </c>
      <c r="S794" s="22">
        <v>15.0</v>
      </c>
      <c r="T794" s="22">
        <f>('1. Base de donnée HILIN MU CM2 '!$R794+'1. Base de donnée HILIN MU CM2 '!$S794)/2</f>
        <v>15</v>
      </c>
      <c r="U794" s="25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</row>
    <row r="795" ht="14.25" hidden="1" customHeight="1">
      <c r="A795" s="27" t="s">
        <v>1502</v>
      </c>
      <c r="B795" s="27" t="s">
        <v>26</v>
      </c>
      <c r="C795" s="27" t="s">
        <v>1514</v>
      </c>
      <c r="D795" s="27" t="s">
        <v>1504</v>
      </c>
      <c r="E795" s="27" t="s">
        <v>1505</v>
      </c>
      <c r="F795" s="27" t="s">
        <v>1509</v>
      </c>
      <c r="G795" s="28">
        <v>2023.0</v>
      </c>
      <c r="H795" s="28">
        <v>13.0</v>
      </c>
      <c r="I795" s="28">
        <v>825.0</v>
      </c>
      <c r="J795" s="29" t="str">
        <f>'1. Base de donnée HILIN MU CM2 '!$G795&amp;"-"&amp;'1. Base de donnée HILIN MU CM2 '!$H795&amp;"-"&amp;'1. Base de donnée HILIN MU CM2 '!$I795</f>
        <v>2023-13-825</v>
      </c>
      <c r="K795" s="28">
        <f t="shared" si="1"/>
        <v>788</v>
      </c>
      <c r="L795" s="29" t="s">
        <v>31</v>
      </c>
      <c r="M795" s="29"/>
      <c r="N795" s="29"/>
      <c r="O795" s="27">
        <v>6.5</v>
      </c>
      <c r="P795" s="27">
        <v>4.75</v>
      </c>
      <c r="Q795" s="27">
        <f>SUM('1. Base de donnée HILIN MU CM2 '!$O795+'1. Base de donnée HILIN MU CM2 '!$P795)/2</f>
        <v>5.625</v>
      </c>
      <c r="R795" s="27">
        <v>18.0</v>
      </c>
      <c r="S795" s="27">
        <v>13.75</v>
      </c>
      <c r="T795" s="27">
        <f>('1. Base de donnée HILIN MU CM2 '!$R795+'1. Base de donnée HILIN MU CM2 '!$S795)/2</f>
        <v>15.875</v>
      </c>
      <c r="U795" s="30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</row>
    <row r="796" ht="14.25" hidden="1" customHeight="1">
      <c r="A796" s="22" t="s">
        <v>1502</v>
      </c>
      <c r="B796" s="22" t="s">
        <v>26</v>
      </c>
      <c r="C796" s="22" t="s">
        <v>1515</v>
      </c>
      <c r="D796" s="22" t="s">
        <v>1516</v>
      </c>
      <c r="E796" s="22" t="s">
        <v>1517</v>
      </c>
      <c r="F796" s="22" t="s">
        <v>1506</v>
      </c>
      <c r="G796" s="23">
        <v>2023.0</v>
      </c>
      <c r="H796" s="23">
        <v>13.0</v>
      </c>
      <c r="I796" s="23">
        <v>826.0</v>
      </c>
      <c r="J796" s="24" t="str">
        <f>'1. Base de donnée HILIN MU CM2 '!$G796&amp;"-"&amp;'1. Base de donnée HILIN MU CM2 '!$H796&amp;"-"&amp;'1. Base de donnée HILIN MU CM2 '!$I796</f>
        <v>2023-13-826</v>
      </c>
      <c r="K796" s="23">
        <f t="shared" si="1"/>
        <v>789</v>
      </c>
      <c r="L796" s="24" t="s">
        <v>31</v>
      </c>
      <c r="M796" s="24"/>
      <c r="N796" s="24"/>
      <c r="O796" s="22">
        <v>7.75</v>
      </c>
      <c r="P796" s="22">
        <v>5.25</v>
      </c>
      <c r="Q796" s="22">
        <f>SUM('1. Base de donnée HILIN MU CM2 '!$O796+'1. Base de donnée HILIN MU CM2 '!$P796)/2</f>
        <v>6.5</v>
      </c>
      <c r="R796" s="22">
        <v>16.0</v>
      </c>
      <c r="S796" s="22">
        <v>10.5</v>
      </c>
      <c r="T796" s="22">
        <f>('1. Base de donnée HILIN MU CM2 '!$R796+'1. Base de donnée HILIN MU CM2 '!$S796)/2</f>
        <v>13.25</v>
      </c>
      <c r="U796" s="25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</row>
    <row r="797" ht="14.25" hidden="1" customHeight="1">
      <c r="A797" s="27" t="s">
        <v>1502</v>
      </c>
      <c r="B797" s="27" t="s">
        <v>26</v>
      </c>
      <c r="C797" s="27" t="s">
        <v>1518</v>
      </c>
      <c r="D797" s="27" t="s">
        <v>1519</v>
      </c>
      <c r="E797" s="27" t="s">
        <v>1517</v>
      </c>
      <c r="F797" s="27" t="s">
        <v>1506</v>
      </c>
      <c r="G797" s="28">
        <v>2023.0</v>
      </c>
      <c r="H797" s="28">
        <v>13.0</v>
      </c>
      <c r="I797" s="28">
        <v>827.0</v>
      </c>
      <c r="J797" s="29" t="str">
        <f>'1. Base de donnée HILIN MU CM2 '!$G797&amp;"-"&amp;'1. Base de donnée HILIN MU CM2 '!$H797&amp;"-"&amp;'1. Base de donnée HILIN MU CM2 '!$I797</f>
        <v>2023-13-827</v>
      </c>
      <c r="K797" s="28">
        <f t="shared" si="1"/>
        <v>790</v>
      </c>
      <c r="L797" s="29" t="s">
        <v>31</v>
      </c>
      <c r="M797" s="29"/>
      <c r="N797" s="29"/>
      <c r="O797" s="27">
        <v>7.75</v>
      </c>
      <c r="P797" s="27">
        <v>4.75</v>
      </c>
      <c r="Q797" s="27">
        <f>SUM('1. Base de donnée HILIN MU CM2 '!$O797+'1. Base de donnée HILIN MU CM2 '!$P797)/2</f>
        <v>6.25</v>
      </c>
      <c r="R797" s="27">
        <v>16.0</v>
      </c>
      <c r="S797" s="27">
        <v>14.0</v>
      </c>
      <c r="T797" s="27">
        <f>('1. Base de donnée HILIN MU CM2 '!$R797+'1. Base de donnée HILIN MU CM2 '!$S797)/2</f>
        <v>15</v>
      </c>
      <c r="U797" s="30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</row>
    <row r="798" ht="14.25" hidden="1" customHeight="1">
      <c r="A798" s="22" t="s">
        <v>1502</v>
      </c>
      <c r="B798" s="22" t="s">
        <v>26</v>
      </c>
      <c r="C798" s="22" t="s">
        <v>1520</v>
      </c>
      <c r="D798" s="22" t="s">
        <v>1521</v>
      </c>
      <c r="E798" s="22" t="s">
        <v>1517</v>
      </c>
      <c r="F798" s="22" t="s">
        <v>1509</v>
      </c>
      <c r="G798" s="23">
        <v>2023.0</v>
      </c>
      <c r="H798" s="23">
        <v>13.0</v>
      </c>
      <c r="I798" s="23">
        <v>828.0</v>
      </c>
      <c r="J798" s="24" t="str">
        <f>'1. Base de donnée HILIN MU CM2 '!$G798&amp;"-"&amp;'1. Base de donnée HILIN MU CM2 '!$H798&amp;"-"&amp;'1. Base de donnée HILIN MU CM2 '!$I798</f>
        <v>2023-13-828</v>
      </c>
      <c r="K798" s="23">
        <f t="shared" si="1"/>
        <v>791</v>
      </c>
      <c r="L798" s="24" t="s">
        <v>31</v>
      </c>
      <c r="M798" s="24"/>
      <c r="N798" s="24"/>
      <c r="O798" s="22">
        <v>7.0</v>
      </c>
      <c r="P798" s="22">
        <v>7.25</v>
      </c>
      <c r="Q798" s="22">
        <f>SUM('1. Base de donnée HILIN MU CM2 '!$O798+'1. Base de donnée HILIN MU CM2 '!$P798)/2</f>
        <v>7.125</v>
      </c>
      <c r="R798" s="22">
        <v>13.0</v>
      </c>
      <c r="S798" s="22">
        <v>16.0</v>
      </c>
      <c r="T798" s="22">
        <f>('1. Base de donnée HILIN MU CM2 '!$R798+'1. Base de donnée HILIN MU CM2 '!$S798)/2</f>
        <v>14.5</v>
      </c>
      <c r="U798" s="25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</row>
    <row r="799" ht="14.25" hidden="1" customHeight="1">
      <c r="A799" s="27" t="s">
        <v>1502</v>
      </c>
      <c r="B799" s="27" t="s">
        <v>26</v>
      </c>
      <c r="C799" s="27" t="s">
        <v>1522</v>
      </c>
      <c r="D799" s="27" t="s">
        <v>438</v>
      </c>
      <c r="E799" s="27" t="s">
        <v>1517</v>
      </c>
      <c r="F799" s="27" t="s">
        <v>1509</v>
      </c>
      <c r="G799" s="28">
        <v>2023.0</v>
      </c>
      <c r="H799" s="28">
        <v>13.0</v>
      </c>
      <c r="I799" s="28">
        <v>829.0</v>
      </c>
      <c r="J799" s="29" t="str">
        <f>'1. Base de donnée HILIN MU CM2 '!$G799&amp;"-"&amp;'1. Base de donnée HILIN MU CM2 '!$H799&amp;"-"&amp;'1. Base de donnée HILIN MU CM2 '!$I799</f>
        <v>2023-13-829</v>
      </c>
      <c r="K799" s="28">
        <f t="shared" si="1"/>
        <v>792</v>
      </c>
      <c r="L799" s="29" t="s">
        <v>31</v>
      </c>
      <c r="M799" s="29"/>
      <c r="N799" s="29"/>
      <c r="O799" s="27">
        <v>0.0</v>
      </c>
      <c r="P799" s="27">
        <v>8.75</v>
      </c>
      <c r="Q799" s="27">
        <f>SUM('1. Base de donnée HILIN MU CM2 '!$O799+'1. Base de donnée HILIN MU CM2 '!$P799)/2</f>
        <v>4.375</v>
      </c>
      <c r="R799" s="27">
        <v>17.5</v>
      </c>
      <c r="S799" s="27">
        <v>14.25</v>
      </c>
      <c r="T799" s="27">
        <f>('1. Base de donnée HILIN MU CM2 '!$R799+'1. Base de donnée HILIN MU CM2 '!$S799)/2</f>
        <v>15.875</v>
      </c>
      <c r="U799" s="30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</row>
    <row r="800" ht="14.25" hidden="1" customHeight="1">
      <c r="A800" s="22" t="s">
        <v>1502</v>
      </c>
      <c r="B800" s="22" t="s">
        <v>26</v>
      </c>
      <c r="C800" s="22" t="s">
        <v>1523</v>
      </c>
      <c r="D800" s="22" t="s">
        <v>1524</v>
      </c>
      <c r="E800" s="22" t="s">
        <v>1517</v>
      </c>
      <c r="F800" s="22" t="s">
        <v>1506</v>
      </c>
      <c r="G800" s="23">
        <v>2023.0</v>
      </c>
      <c r="H800" s="23">
        <v>13.0</v>
      </c>
      <c r="I800" s="23">
        <v>830.0</v>
      </c>
      <c r="J800" s="24" t="str">
        <f>'1. Base de donnée HILIN MU CM2 '!$G800&amp;"-"&amp;'1. Base de donnée HILIN MU CM2 '!$H800&amp;"-"&amp;'1. Base de donnée HILIN MU CM2 '!$I800</f>
        <v>2023-13-830</v>
      </c>
      <c r="K800" s="23">
        <f t="shared" si="1"/>
        <v>793</v>
      </c>
      <c r="L800" s="24" t="s">
        <v>31</v>
      </c>
      <c r="M800" s="24"/>
      <c r="N800" s="24"/>
      <c r="O800" s="22">
        <v>12.0</v>
      </c>
      <c r="P800" s="22">
        <v>5.5</v>
      </c>
      <c r="Q800" s="22">
        <f>SUM('1. Base de donnée HILIN MU CM2 '!$O800+'1. Base de donnée HILIN MU CM2 '!$P800)/2</f>
        <v>8.75</v>
      </c>
      <c r="R800" s="22">
        <v>15.0</v>
      </c>
      <c r="S800" s="22">
        <v>13.0</v>
      </c>
      <c r="T800" s="22">
        <f>('1. Base de donnée HILIN MU CM2 '!$R800+'1. Base de donnée HILIN MU CM2 '!$S800)/2</f>
        <v>14</v>
      </c>
      <c r="U800" s="25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</row>
    <row r="801" ht="14.25" hidden="1" customHeight="1">
      <c r="A801" s="27" t="s">
        <v>1502</v>
      </c>
      <c r="B801" s="27" t="s">
        <v>26</v>
      </c>
      <c r="C801" s="27" t="s">
        <v>1525</v>
      </c>
      <c r="D801" s="27" t="s">
        <v>1526</v>
      </c>
      <c r="E801" s="27" t="s">
        <v>1517</v>
      </c>
      <c r="F801" s="27" t="s">
        <v>1509</v>
      </c>
      <c r="G801" s="28">
        <v>2023.0</v>
      </c>
      <c r="H801" s="28">
        <v>13.0</v>
      </c>
      <c r="I801" s="28">
        <v>831.0</v>
      </c>
      <c r="J801" s="29" t="str">
        <f>'1. Base de donnée HILIN MU CM2 '!$G801&amp;"-"&amp;'1. Base de donnée HILIN MU CM2 '!$H801&amp;"-"&amp;'1. Base de donnée HILIN MU CM2 '!$I801</f>
        <v>2023-13-831</v>
      </c>
      <c r="K801" s="28">
        <f t="shared" si="1"/>
        <v>794</v>
      </c>
      <c r="L801" s="29" t="s">
        <v>31</v>
      </c>
      <c r="M801" s="29"/>
      <c r="N801" s="29"/>
      <c r="O801" s="27">
        <v>6.5</v>
      </c>
      <c r="P801" s="27">
        <v>8.75</v>
      </c>
      <c r="Q801" s="27">
        <f>SUM('1. Base de donnée HILIN MU CM2 '!$O801+'1. Base de donnée HILIN MU CM2 '!$P801)/2</f>
        <v>7.625</v>
      </c>
      <c r="R801" s="27">
        <v>19.0</v>
      </c>
      <c r="S801" s="27">
        <v>16.0</v>
      </c>
      <c r="T801" s="27">
        <f>('1. Base de donnée HILIN MU CM2 '!$R801+'1. Base de donnée HILIN MU CM2 '!$S801)/2</f>
        <v>17.5</v>
      </c>
      <c r="U801" s="30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</row>
    <row r="802" ht="14.25" hidden="1" customHeight="1">
      <c r="A802" s="22" t="s">
        <v>1502</v>
      </c>
      <c r="B802" s="22" t="s">
        <v>26</v>
      </c>
      <c r="C802" s="22" t="s">
        <v>333</v>
      </c>
      <c r="D802" s="22" t="s">
        <v>1527</v>
      </c>
      <c r="E802" s="22" t="s">
        <v>1517</v>
      </c>
      <c r="F802" s="22" t="s">
        <v>1506</v>
      </c>
      <c r="G802" s="23">
        <v>2023.0</v>
      </c>
      <c r="H802" s="23">
        <v>13.0</v>
      </c>
      <c r="I802" s="23">
        <v>833.0</v>
      </c>
      <c r="J802" s="24" t="str">
        <f>'1. Base de donnée HILIN MU CM2 '!$G802&amp;"-"&amp;'1. Base de donnée HILIN MU CM2 '!$H802&amp;"-"&amp;'1. Base de donnée HILIN MU CM2 '!$I802</f>
        <v>2023-13-833</v>
      </c>
      <c r="K802" s="23">
        <f t="shared" si="1"/>
        <v>795</v>
      </c>
      <c r="L802" s="24" t="s">
        <v>31</v>
      </c>
      <c r="M802" s="24"/>
      <c r="N802" s="24"/>
      <c r="O802" s="22">
        <v>7.5</v>
      </c>
      <c r="P802" s="22">
        <v>15.5</v>
      </c>
      <c r="Q802" s="22">
        <f>SUM('1. Base de donnée HILIN MU CM2 '!$O802+'1. Base de donnée HILIN MU CM2 '!$P802)/2</f>
        <v>11.5</v>
      </c>
      <c r="R802" s="22">
        <v>14.0</v>
      </c>
      <c r="S802" s="22">
        <v>19.5</v>
      </c>
      <c r="T802" s="22">
        <f>('1. Base de donnée HILIN MU CM2 '!$R802+'1. Base de donnée HILIN MU CM2 '!$S802)/2</f>
        <v>16.75</v>
      </c>
      <c r="U802" s="25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</row>
    <row r="803" ht="14.25" hidden="1" customHeight="1">
      <c r="A803" s="27" t="s">
        <v>1502</v>
      </c>
      <c r="B803" s="27" t="s">
        <v>26</v>
      </c>
      <c r="C803" s="27" t="s">
        <v>1528</v>
      </c>
      <c r="D803" s="27" t="s">
        <v>1529</v>
      </c>
      <c r="E803" s="27" t="s">
        <v>1517</v>
      </c>
      <c r="F803" s="27" t="s">
        <v>1506</v>
      </c>
      <c r="G803" s="28">
        <v>2023.0</v>
      </c>
      <c r="H803" s="28">
        <v>13.0</v>
      </c>
      <c r="I803" s="28">
        <v>834.0</v>
      </c>
      <c r="J803" s="29" t="str">
        <f>'1. Base de donnée HILIN MU CM2 '!$G803&amp;"-"&amp;'1. Base de donnée HILIN MU CM2 '!$H803&amp;"-"&amp;'1. Base de donnée HILIN MU CM2 '!$I803</f>
        <v>2023-13-834</v>
      </c>
      <c r="K803" s="28">
        <f t="shared" si="1"/>
        <v>796</v>
      </c>
      <c r="L803" s="29" t="s">
        <v>31</v>
      </c>
      <c r="M803" s="29"/>
      <c r="N803" s="29"/>
      <c r="O803" s="27">
        <v>11.5</v>
      </c>
      <c r="P803" s="27">
        <v>15.5</v>
      </c>
      <c r="Q803" s="27">
        <f>SUM('1. Base de donnée HILIN MU CM2 '!$O803+'1. Base de donnée HILIN MU CM2 '!$P803)/2</f>
        <v>13.5</v>
      </c>
      <c r="R803" s="27">
        <v>20.0</v>
      </c>
      <c r="S803" s="27">
        <v>19.5</v>
      </c>
      <c r="T803" s="27">
        <f>('1. Base de donnée HILIN MU CM2 '!$R803+'1. Base de donnée HILIN MU CM2 '!$S803)/2</f>
        <v>19.75</v>
      </c>
      <c r="U803" s="30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</row>
    <row r="804" ht="14.25" hidden="1" customHeight="1">
      <c r="A804" s="22" t="s">
        <v>1502</v>
      </c>
      <c r="B804" s="22" t="s">
        <v>26</v>
      </c>
      <c r="C804" s="22" t="s">
        <v>1530</v>
      </c>
      <c r="D804" s="22" t="s">
        <v>1531</v>
      </c>
      <c r="E804" s="22" t="s">
        <v>1517</v>
      </c>
      <c r="F804" s="22" t="s">
        <v>1509</v>
      </c>
      <c r="G804" s="23">
        <v>2023.0</v>
      </c>
      <c r="H804" s="23">
        <v>13.0</v>
      </c>
      <c r="I804" s="23">
        <v>835.0</v>
      </c>
      <c r="J804" s="24" t="str">
        <f>'1. Base de donnée HILIN MU CM2 '!$G804&amp;"-"&amp;'1. Base de donnée HILIN MU CM2 '!$H804&amp;"-"&amp;'1. Base de donnée HILIN MU CM2 '!$I804</f>
        <v>2023-13-835</v>
      </c>
      <c r="K804" s="23">
        <f t="shared" si="1"/>
        <v>797</v>
      </c>
      <c r="L804" s="24" t="s">
        <v>31</v>
      </c>
      <c r="M804" s="24"/>
      <c r="N804" s="24"/>
      <c r="O804" s="22">
        <v>8.5</v>
      </c>
      <c r="P804" s="22">
        <v>9.75</v>
      </c>
      <c r="Q804" s="22">
        <f>SUM('1. Base de donnée HILIN MU CM2 '!$O804+'1. Base de donnée HILIN MU CM2 '!$P804)/2</f>
        <v>9.125</v>
      </c>
      <c r="R804" s="22">
        <v>17.5</v>
      </c>
      <c r="S804" s="22">
        <v>12.0</v>
      </c>
      <c r="T804" s="22">
        <f>('1. Base de donnée HILIN MU CM2 '!$R804+'1. Base de donnée HILIN MU CM2 '!$S804)/2</f>
        <v>14.75</v>
      </c>
      <c r="U804" s="25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</row>
    <row r="805" ht="14.25" hidden="1" customHeight="1">
      <c r="A805" s="27" t="s">
        <v>1502</v>
      </c>
      <c r="B805" s="27" t="s">
        <v>26</v>
      </c>
      <c r="C805" s="27" t="s">
        <v>1532</v>
      </c>
      <c r="D805" s="27" t="s">
        <v>1533</v>
      </c>
      <c r="E805" s="27" t="s">
        <v>1517</v>
      </c>
      <c r="F805" s="27" t="s">
        <v>1509</v>
      </c>
      <c r="G805" s="28">
        <v>2023.0</v>
      </c>
      <c r="H805" s="28">
        <v>13.0</v>
      </c>
      <c r="I805" s="28">
        <v>836.0</v>
      </c>
      <c r="J805" s="29" t="str">
        <f>'1. Base de donnée HILIN MU CM2 '!$G805&amp;"-"&amp;'1. Base de donnée HILIN MU CM2 '!$H805&amp;"-"&amp;'1. Base de donnée HILIN MU CM2 '!$I805</f>
        <v>2023-13-836</v>
      </c>
      <c r="K805" s="28">
        <f t="shared" si="1"/>
        <v>798</v>
      </c>
      <c r="L805" s="29" t="s">
        <v>31</v>
      </c>
      <c r="M805" s="29"/>
      <c r="N805" s="29"/>
      <c r="O805" s="27">
        <v>7.5</v>
      </c>
      <c r="P805" s="27">
        <v>5.0</v>
      </c>
      <c r="Q805" s="27">
        <f>SUM('1. Base de donnée HILIN MU CM2 '!$O805+'1. Base de donnée HILIN MU CM2 '!$P805)/2</f>
        <v>6.25</v>
      </c>
      <c r="R805" s="27">
        <v>19.0</v>
      </c>
      <c r="S805" s="27">
        <v>17.25</v>
      </c>
      <c r="T805" s="27">
        <f>('1. Base de donnée HILIN MU CM2 '!$R805+'1. Base de donnée HILIN MU CM2 '!$S805)/2</f>
        <v>18.125</v>
      </c>
      <c r="U805" s="30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</row>
    <row r="806" ht="14.25" hidden="1" customHeight="1">
      <c r="A806" s="22" t="s">
        <v>1502</v>
      </c>
      <c r="B806" s="22" t="s">
        <v>26</v>
      </c>
      <c r="C806" s="22" t="s">
        <v>1534</v>
      </c>
      <c r="D806" s="22" t="s">
        <v>1535</v>
      </c>
      <c r="E806" s="22" t="s">
        <v>1517</v>
      </c>
      <c r="F806" s="22" t="s">
        <v>1506</v>
      </c>
      <c r="G806" s="23">
        <v>2023.0</v>
      </c>
      <c r="H806" s="23">
        <v>13.0</v>
      </c>
      <c r="I806" s="23">
        <v>837.0</v>
      </c>
      <c r="J806" s="24" t="str">
        <f>'1. Base de donnée HILIN MU CM2 '!$G806&amp;"-"&amp;'1. Base de donnée HILIN MU CM2 '!$H806&amp;"-"&amp;'1. Base de donnée HILIN MU CM2 '!$I806</f>
        <v>2023-13-837</v>
      </c>
      <c r="K806" s="23">
        <f t="shared" si="1"/>
        <v>799</v>
      </c>
      <c r="L806" s="24" t="s">
        <v>31</v>
      </c>
      <c r="M806" s="24"/>
      <c r="N806" s="24"/>
      <c r="O806" s="22">
        <v>8.5</v>
      </c>
      <c r="P806" s="22">
        <v>2.25</v>
      </c>
      <c r="Q806" s="22">
        <f>SUM('1. Base de donnée HILIN MU CM2 '!$O806+'1. Base de donnée HILIN MU CM2 '!$P806)/2</f>
        <v>5.375</v>
      </c>
      <c r="R806" s="22">
        <v>18.0</v>
      </c>
      <c r="S806" s="22">
        <v>10.5</v>
      </c>
      <c r="T806" s="22">
        <f>('1. Base de donnée HILIN MU CM2 '!$R806+'1. Base de donnée HILIN MU CM2 '!$S806)/2</f>
        <v>14.25</v>
      </c>
      <c r="U806" s="25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</row>
    <row r="807" ht="14.25" hidden="1" customHeight="1">
      <c r="A807" s="27" t="s">
        <v>1502</v>
      </c>
      <c r="B807" s="27" t="s">
        <v>26</v>
      </c>
      <c r="C807" s="27" t="s">
        <v>1536</v>
      </c>
      <c r="D807" s="27" t="s">
        <v>1537</v>
      </c>
      <c r="E807" s="27" t="s">
        <v>1517</v>
      </c>
      <c r="F807" s="27" t="s">
        <v>1506</v>
      </c>
      <c r="G807" s="28">
        <v>2023.0</v>
      </c>
      <c r="H807" s="28">
        <v>13.0</v>
      </c>
      <c r="I807" s="28">
        <v>838.0</v>
      </c>
      <c r="J807" s="29" t="str">
        <f>'1. Base de donnée HILIN MU CM2 '!$G807&amp;"-"&amp;'1. Base de donnée HILIN MU CM2 '!$H807&amp;"-"&amp;'1. Base de donnée HILIN MU CM2 '!$I807</f>
        <v>2023-13-838</v>
      </c>
      <c r="K807" s="28">
        <f t="shared" si="1"/>
        <v>800</v>
      </c>
      <c r="L807" s="29" t="s">
        <v>31</v>
      </c>
      <c r="M807" s="29"/>
      <c r="N807" s="29"/>
      <c r="O807" s="27">
        <v>7.0</v>
      </c>
      <c r="P807" s="27">
        <v>7.25</v>
      </c>
      <c r="Q807" s="27">
        <f>SUM('1. Base de donnée HILIN MU CM2 '!$O807+'1. Base de donnée HILIN MU CM2 '!$P807)/2</f>
        <v>7.125</v>
      </c>
      <c r="R807" s="27">
        <v>19.0</v>
      </c>
      <c r="S807" s="27">
        <v>18.25</v>
      </c>
      <c r="T807" s="27">
        <f>('1. Base de donnée HILIN MU CM2 '!$R807+'1. Base de donnée HILIN MU CM2 '!$S807)/2</f>
        <v>18.625</v>
      </c>
      <c r="U807" s="30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</row>
    <row r="808" ht="14.25" hidden="1" customHeight="1">
      <c r="A808" s="22" t="s">
        <v>1502</v>
      </c>
      <c r="B808" s="22" t="s">
        <v>26</v>
      </c>
      <c r="C808" s="22" t="s">
        <v>1538</v>
      </c>
      <c r="D808" s="22" t="s">
        <v>1539</v>
      </c>
      <c r="E808" s="22" t="s">
        <v>1517</v>
      </c>
      <c r="F808" s="22" t="s">
        <v>1506</v>
      </c>
      <c r="G808" s="23">
        <v>2023.0</v>
      </c>
      <c r="H808" s="23">
        <v>13.0</v>
      </c>
      <c r="I808" s="23">
        <v>839.0</v>
      </c>
      <c r="J808" s="24" t="str">
        <f>'1. Base de donnée HILIN MU CM2 '!$G808&amp;"-"&amp;'1. Base de donnée HILIN MU CM2 '!$H808&amp;"-"&amp;'1. Base de donnée HILIN MU CM2 '!$I808</f>
        <v>2023-13-839</v>
      </c>
      <c r="K808" s="23">
        <f t="shared" si="1"/>
        <v>801</v>
      </c>
      <c r="L808" s="24" t="s">
        <v>31</v>
      </c>
      <c r="M808" s="24"/>
      <c r="N808" s="24"/>
      <c r="O808" s="22">
        <v>7.0</v>
      </c>
      <c r="P808" s="22">
        <v>8.25</v>
      </c>
      <c r="Q808" s="22">
        <f>SUM('1. Base de donnée HILIN MU CM2 '!$O808+'1. Base de donnée HILIN MU CM2 '!$P808)/2</f>
        <v>7.625</v>
      </c>
      <c r="R808" s="22">
        <v>12.0</v>
      </c>
      <c r="S808" s="22">
        <v>13.5</v>
      </c>
      <c r="T808" s="22">
        <f>('1. Base de donnée HILIN MU CM2 '!$R808+'1. Base de donnée HILIN MU CM2 '!$S808)/2</f>
        <v>12.75</v>
      </c>
      <c r="U808" s="25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</row>
    <row r="809" ht="14.25" hidden="1" customHeight="1">
      <c r="A809" s="27" t="s">
        <v>1502</v>
      </c>
      <c r="B809" s="27" t="s">
        <v>26</v>
      </c>
      <c r="C809" s="27" t="s">
        <v>1540</v>
      </c>
      <c r="D809" s="27" t="s">
        <v>1541</v>
      </c>
      <c r="E809" s="27" t="s">
        <v>1517</v>
      </c>
      <c r="F809" s="27" t="s">
        <v>1509</v>
      </c>
      <c r="G809" s="28">
        <v>2023.0</v>
      </c>
      <c r="H809" s="28">
        <v>13.0</v>
      </c>
      <c r="I809" s="28">
        <v>840.0</v>
      </c>
      <c r="J809" s="29" t="str">
        <f>'1. Base de donnée HILIN MU CM2 '!$G809&amp;"-"&amp;'1. Base de donnée HILIN MU CM2 '!$H809&amp;"-"&amp;'1. Base de donnée HILIN MU CM2 '!$I809</f>
        <v>2023-13-840</v>
      </c>
      <c r="K809" s="28">
        <f t="shared" si="1"/>
        <v>802</v>
      </c>
      <c r="L809" s="29" t="s">
        <v>31</v>
      </c>
      <c r="M809" s="29"/>
      <c r="N809" s="29"/>
      <c r="O809" s="27">
        <v>9.0</v>
      </c>
      <c r="P809" s="27">
        <v>7.75</v>
      </c>
      <c r="Q809" s="27">
        <f>SUM('1. Base de donnée HILIN MU CM2 '!$O809+'1. Base de donnée HILIN MU CM2 '!$P809)/2</f>
        <v>8.375</v>
      </c>
      <c r="R809" s="27">
        <v>15.0</v>
      </c>
      <c r="S809" s="27">
        <v>20.0</v>
      </c>
      <c r="T809" s="27">
        <f>('1. Base de donnée HILIN MU CM2 '!$R809+'1. Base de donnée HILIN MU CM2 '!$S809)/2</f>
        <v>17.5</v>
      </c>
      <c r="U809" s="30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</row>
    <row r="810" ht="14.25" hidden="1" customHeight="1">
      <c r="A810" s="22" t="s">
        <v>1502</v>
      </c>
      <c r="B810" s="22" t="s">
        <v>26</v>
      </c>
      <c r="C810" s="22" t="s">
        <v>1542</v>
      </c>
      <c r="D810" s="22" t="s">
        <v>1543</v>
      </c>
      <c r="E810" s="22" t="s">
        <v>1517</v>
      </c>
      <c r="F810" s="22" t="s">
        <v>1509</v>
      </c>
      <c r="G810" s="23">
        <v>2023.0</v>
      </c>
      <c r="H810" s="23">
        <v>13.0</v>
      </c>
      <c r="I810" s="23">
        <v>841.0</v>
      </c>
      <c r="J810" s="24" t="str">
        <f>'1. Base de donnée HILIN MU CM2 '!$G810&amp;"-"&amp;'1. Base de donnée HILIN MU CM2 '!$H810&amp;"-"&amp;'1. Base de donnée HILIN MU CM2 '!$I810</f>
        <v>2023-13-841</v>
      </c>
      <c r="K810" s="23">
        <f t="shared" si="1"/>
        <v>803</v>
      </c>
      <c r="L810" s="24" t="s">
        <v>31</v>
      </c>
      <c r="M810" s="24"/>
      <c r="N810" s="24"/>
      <c r="O810" s="22">
        <v>8.0</v>
      </c>
      <c r="P810" s="22">
        <v>13.5</v>
      </c>
      <c r="Q810" s="22">
        <f>SUM('1. Base de donnée HILIN MU CM2 '!$O810+'1. Base de donnée HILIN MU CM2 '!$P810)/2</f>
        <v>10.75</v>
      </c>
      <c r="R810" s="22">
        <v>19.0</v>
      </c>
      <c r="S810" s="22">
        <v>19.75</v>
      </c>
      <c r="T810" s="22">
        <f>('1. Base de donnée HILIN MU CM2 '!$R810+'1. Base de donnée HILIN MU CM2 '!$S810)/2</f>
        <v>19.375</v>
      </c>
      <c r="U810" s="25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</row>
    <row r="811" ht="14.25" hidden="1" customHeight="1">
      <c r="A811" s="27" t="s">
        <v>1502</v>
      </c>
      <c r="B811" s="27" t="s">
        <v>26</v>
      </c>
      <c r="C811" s="27" t="s">
        <v>1544</v>
      </c>
      <c r="D811" s="27" t="s">
        <v>1545</v>
      </c>
      <c r="E811" s="27" t="s">
        <v>1517</v>
      </c>
      <c r="F811" s="27" t="s">
        <v>1506</v>
      </c>
      <c r="G811" s="28">
        <v>2023.0</v>
      </c>
      <c r="H811" s="28">
        <v>13.0</v>
      </c>
      <c r="I811" s="28">
        <v>842.0</v>
      </c>
      <c r="J811" s="29" t="str">
        <f>'1. Base de donnée HILIN MU CM2 '!$G811&amp;"-"&amp;'1. Base de donnée HILIN MU CM2 '!$H811&amp;"-"&amp;'1. Base de donnée HILIN MU CM2 '!$I811</f>
        <v>2023-13-842</v>
      </c>
      <c r="K811" s="28">
        <f t="shared" si="1"/>
        <v>804</v>
      </c>
      <c r="L811" s="29" t="s">
        <v>31</v>
      </c>
      <c r="M811" s="29"/>
      <c r="N811" s="29"/>
      <c r="O811" s="27">
        <v>6.0</v>
      </c>
      <c r="P811" s="27">
        <v>10.75</v>
      </c>
      <c r="Q811" s="27">
        <f>SUM('1. Base de donnée HILIN MU CM2 '!$O811+'1. Base de donnée HILIN MU CM2 '!$P811)/2</f>
        <v>8.375</v>
      </c>
      <c r="R811" s="27">
        <v>16.0</v>
      </c>
      <c r="S811" s="27">
        <v>13.0</v>
      </c>
      <c r="T811" s="27">
        <f>('1. Base de donnée HILIN MU CM2 '!$R811+'1. Base de donnée HILIN MU CM2 '!$S811)/2</f>
        <v>14.5</v>
      </c>
      <c r="U811" s="30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</row>
    <row r="812" ht="14.25" hidden="1" customHeight="1">
      <c r="A812" s="22" t="s">
        <v>1502</v>
      </c>
      <c r="B812" s="22" t="s">
        <v>26</v>
      </c>
      <c r="C812" s="22" t="s">
        <v>1546</v>
      </c>
      <c r="D812" s="22" t="s">
        <v>1547</v>
      </c>
      <c r="E812" s="22" t="s">
        <v>1517</v>
      </c>
      <c r="F812" s="22" t="s">
        <v>1509</v>
      </c>
      <c r="G812" s="23">
        <v>2023.0</v>
      </c>
      <c r="H812" s="23">
        <v>13.0</v>
      </c>
      <c r="I812" s="23">
        <v>843.0</v>
      </c>
      <c r="J812" s="24" t="str">
        <f>'1. Base de donnée HILIN MU CM2 '!$G812&amp;"-"&amp;'1. Base de donnée HILIN MU CM2 '!$H812&amp;"-"&amp;'1. Base de donnée HILIN MU CM2 '!$I812</f>
        <v>2023-13-843</v>
      </c>
      <c r="K812" s="23">
        <f t="shared" si="1"/>
        <v>805</v>
      </c>
      <c r="L812" s="24" t="s">
        <v>31</v>
      </c>
      <c r="M812" s="24"/>
      <c r="N812" s="24"/>
      <c r="O812" s="22">
        <v>12.0</v>
      </c>
      <c r="P812" s="22">
        <v>5.0</v>
      </c>
      <c r="Q812" s="22">
        <f>SUM('1. Base de donnée HILIN MU CM2 '!$O812+'1. Base de donnée HILIN MU CM2 '!$P812)/2</f>
        <v>8.5</v>
      </c>
      <c r="R812" s="22">
        <v>18.0</v>
      </c>
      <c r="S812" s="22">
        <v>19.0</v>
      </c>
      <c r="T812" s="22">
        <f>('1. Base de donnée HILIN MU CM2 '!$R812+'1. Base de donnée HILIN MU CM2 '!$S812)/2</f>
        <v>18.5</v>
      </c>
      <c r="U812" s="25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</row>
    <row r="813" ht="14.25" hidden="1" customHeight="1">
      <c r="A813" s="27" t="s">
        <v>1502</v>
      </c>
      <c r="B813" s="27" t="s">
        <v>26</v>
      </c>
      <c r="C813" s="27" t="s">
        <v>1548</v>
      </c>
      <c r="D813" s="27" t="s">
        <v>1549</v>
      </c>
      <c r="E813" s="27" t="s">
        <v>1517</v>
      </c>
      <c r="F813" s="27" t="s">
        <v>1506</v>
      </c>
      <c r="G813" s="28">
        <v>2023.0</v>
      </c>
      <c r="H813" s="28">
        <v>13.0</v>
      </c>
      <c r="I813" s="28">
        <v>844.0</v>
      </c>
      <c r="J813" s="29" t="str">
        <f>'1. Base de donnée HILIN MU CM2 '!$G813&amp;"-"&amp;'1. Base de donnée HILIN MU CM2 '!$H813&amp;"-"&amp;'1. Base de donnée HILIN MU CM2 '!$I813</f>
        <v>2023-13-844</v>
      </c>
      <c r="K813" s="28">
        <f t="shared" si="1"/>
        <v>806</v>
      </c>
      <c r="L813" s="29" t="s">
        <v>31</v>
      </c>
      <c r="M813" s="29"/>
      <c r="N813" s="29"/>
      <c r="O813" s="27">
        <v>6.0</v>
      </c>
      <c r="P813" s="27">
        <v>3.75</v>
      </c>
      <c r="Q813" s="27">
        <f>SUM('1. Base de donnée HILIN MU CM2 '!$O813+'1. Base de donnée HILIN MU CM2 '!$P813)/2</f>
        <v>4.875</v>
      </c>
      <c r="R813" s="27">
        <v>15.5</v>
      </c>
      <c r="S813" s="27">
        <v>14.25</v>
      </c>
      <c r="T813" s="27">
        <f>('1. Base de donnée HILIN MU CM2 '!$R813+'1. Base de donnée HILIN MU CM2 '!$S813)/2</f>
        <v>14.875</v>
      </c>
      <c r="U813" s="30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</row>
    <row r="814" ht="14.25" hidden="1" customHeight="1">
      <c r="A814" s="22" t="s">
        <v>1502</v>
      </c>
      <c r="B814" s="22" t="s">
        <v>26</v>
      </c>
      <c r="C814" s="22" t="s">
        <v>1550</v>
      </c>
      <c r="D814" s="22" t="s">
        <v>556</v>
      </c>
      <c r="E814" s="22" t="s">
        <v>1517</v>
      </c>
      <c r="F814" s="22" t="s">
        <v>1506</v>
      </c>
      <c r="G814" s="23">
        <v>2023.0</v>
      </c>
      <c r="H814" s="23">
        <v>13.0</v>
      </c>
      <c r="I814" s="23">
        <v>845.0</v>
      </c>
      <c r="J814" s="24" t="str">
        <f>'1. Base de donnée HILIN MU CM2 '!$G814&amp;"-"&amp;'1. Base de donnée HILIN MU CM2 '!$H814&amp;"-"&amp;'1. Base de donnée HILIN MU CM2 '!$I814</f>
        <v>2023-13-845</v>
      </c>
      <c r="K814" s="23">
        <f t="shared" si="1"/>
        <v>807</v>
      </c>
      <c r="L814" s="24" t="s">
        <v>31</v>
      </c>
      <c r="M814" s="24"/>
      <c r="N814" s="24"/>
      <c r="O814" s="22">
        <v>4.0</v>
      </c>
      <c r="P814" s="22">
        <v>2.5</v>
      </c>
      <c r="Q814" s="22">
        <f>SUM('1. Base de donnée HILIN MU CM2 '!$O814+'1. Base de donnée HILIN MU CM2 '!$P814)/2</f>
        <v>3.25</v>
      </c>
      <c r="R814" s="22">
        <v>14.5</v>
      </c>
      <c r="S814" s="22">
        <v>10.5</v>
      </c>
      <c r="T814" s="22">
        <f>('1. Base de donnée HILIN MU CM2 '!$R814+'1. Base de donnée HILIN MU CM2 '!$S814)/2</f>
        <v>12.5</v>
      </c>
      <c r="U814" s="25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</row>
    <row r="815" ht="14.25" hidden="1" customHeight="1">
      <c r="A815" s="27" t="s">
        <v>1502</v>
      </c>
      <c r="B815" s="27" t="s">
        <v>26</v>
      </c>
      <c r="C815" s="27" t="s">
        <v>1551</v>
      </c>
      <c r="D815" s="27" t="s">
        <v>1552</v>
      </c>
      <c r="E815" s="27" t="s">
        <v>1517</v>
      </c>
      <c r="F815" s="27" t="s">
        <v>1509</v>
      </c>
      <c r="G815" s="28">
        <v>2023.0</v>
      </c>
      <c r="H815" s="28">
        <v>13.0</v>
      </c>
      <c r="I815" s="28">
        <v>846.0</v>
      </c>
      <c r="J815" s="29" t="str">
        <f>'1. Base de donnée HILIN MU CM2 '!$G815&amp;"-"&amp;'1. Base de donnée HILIN MU CM2 '!$H815&amp;"-"&amp;'1. Base de donnée HILIN MU CM2 '!$I815</f>
        <v>2023-13-846</v>
      </c>
      <c r="K815" s="28">
        <f t="shared" si="1"/>
        <v>808</v>
      </c>
      <c r="L815" s="29" t="s">
        <v>31</v>
      </c>
      <c r="M815" s="29"/>
      <c r="N815" s="29"/>
      <c r="O815" s="27">
        <v>5.0</v>
      </c>
      <c r="P815" s="27">
        <v>4.5</v>
      </c>
      <c r="Q815" s="27">
        <f>SUM('1. Base de donnée HILIN MU CM2 '!$O815+'1. Base de donnée HILIN MU CM2 '!$P815)/2</f>
        <v>4.75</v>
      </c>
      <c r="R815" s="27">
        <v>18.0</v>
      </c>
      <c r="S815" s="27">
        <v>13.0</v>
      </c>
      <c r="T815" s="27">
        <f>('1. Base de donnée HILIN MU CM2 '!$R815+'1. Base de donnée HILIN MU CM2 '!$S815)/2</f>
        <v>15.5</v>
      </c>
      <c r="U815" s="30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</row>
    <row r="816" ht="14.25" hidden="1" customHeight="1">
      <c r="A816" s="22" t="s">
        <v>1502</v>
      </c>
      <c r="B816" s="22" t="s">
        <v>26</v>
      </c>
      <c r="C816" s="22" t="s">
        <v>1553</v>
      </c>
      <c r="D816" s="22" t="s">
        <v>1554</v>
      </c>
      <c r="E816" s="22" t="s">
        <v>1517</v>
      </c>
      <c r="F816" s="22" t="s">
        <v>1509</v>
      </c>
      <c r="G816" s="23">
        <v>2023.0</v>
      </c>
      <c r="H816" s="23">
        <v>13.0</v>
      </c>
      <c r="I816" s="23">
        <v>847.0</v>
      </c>
      <c r="J816" s="24" t="str">
        <f>'1. Base de donnée HILIN MU CM2 '!$G816&amp;"-"&amp;'1. Base de donnée HILIN MU CM2 '!$H816&amp;"-"&amp;'1. Base de donnée HILIN MU CM2 '!$I816</f>
        <v>2023-13-847</v>
      </c>
      <c r="K816" s="23">
        <f t="shared" si="1"/>
        <v>809</v>
      </c>
      <c r="L816" s="24" t="s">
        <v>31</v>
      </c>
      <c r="M816" s="24"/>
      <c r="N816" s="24"/>
      <c r="O816" s="22">
        <v>10.5</v>
      </c>
      <c r="P816" s="22">
        <v>8.75</v>
      </c>
      <c r="Q816" s="22">
        <f>SUM('1. Base de donnée HILIN MU CM2 '!$O816+'1. Base de donnée HILIN MU CM2 '!$P816)/2</f>
        <v>9.625</v>
      </c>
      <c r="R816" s="22">
        <v>20.0</v>
      </c>
      <c r="S816" s="22">
        <v>17.75</v>
      </c>
      <c r="T816" s="22">
        <f>('1. Base de donnée HILIN MU CM2 '!$R816+'1. Base de donnée HILIN MU CM2 '!$S816)/2</f>
        <v>18.875</v>
      </c>
      <c r="U816" s="25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</row>
    <row r="817" ht="14.25" hidden="1" customHeight="1">
      <c r="A817" s="27" t="s">
        <v>1502</v>
      </c>
      <c r="B817" s="27" t="s">
        <v>26</v>
      </c>
      <c r="C817" s="27" t="s">
        <v>1555</v>
      </c>
      <c r="D817" s="27" t="s">
        <v>1556</v>
      </c>
      <c r="E817" s="27" t="s">
        <v>1517</v>
      </c>
      <c r="F817" s="27" t="s">
        <v>1506</v>
      </c>
      <c r="G817" s="28">
        <v>2023.0</v>
      </c>
      <c r="H817" s="28">
        <v>13.0</v>
      </c>
      <c r="I817" s="28">
        <v>848.0</v>
      </c>
      <c r="J817" s="29" t="str">
        <f>'1. Base de donnée HILIN MU CM2 '!$G817&amp;"-"&amp;'1. Base de donnée HILIN MU CM2 '!$H817&amp;"-"&amp;'1. Base de donnée HILIN MU CM2 '!$I817</f>
        <v>2023-13-848</v>
      </c>
      <c r="K817" s="28">
        <f t="shared" si="1"/>
        <v>810</v>
      </c>
      <c r="L817" s="29" t="s">
        <v>31</v>
      </c>
      <c r="M817" s="29"/>
      <c r="N817" s="29"/>
      <c r="O817" s="27">
        <v>4.0</v>
      </c>
      <c r="P817" s="27">
        <v>10.0</v>
      </c>
      <c r="Q817" s="27">
        <f>SUM('1. Base de donnée HILIN MU CM2 '!$O817+'1. Base de donnée HILIN MU CM2 '!$P817)/2</f>
        <v>7</v>
      </c>
      <c r="R817" s="27">
        <v>18.0</v>
      </c>
      <c r="S817" s="27">
        <v>13.5</v>
      </c>
      <c r="T817" s="27">
        <f>('1. Base de donnée HILIN MU CM2 '!$R817+'1. Base de donnée HILIN MU CM2 '!$S817)/2</f>
        <v>15.75</v>
      </c>
      <c r="U817" s="30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</row>
    <row r="818" ht="14.25" hidden="1" customHeight="1">
      <c r="A818" s="22" t="s">
        <v>1502</v>
      </c>
      <c r="B818" s="22" t="s">
        <v>26</v>
      </c>
      <c r="C818" s="22" t="s">
        <v>1557</v>
      </c>
      <c r="D818" s="22" t="s">
        <v>323</v>
      </c>
      <c r="E818" s="22" t="s">
        <v>1517</v>
      </c>
      <c r="F818" s="22" t="s">
        <v>1509</v>
      </c>
      <c r="G818" s="23">
        <v>2023.0</v>
      </c>
      <c r="H818" s="23">
        <v>13.0</v>
      </c>
      <c r="I818" s="23">
        <v>850.0</v>
      </c>
      <c r="J818" s="24" t="str">
        <f>'1. Base de donnée HILIN MU CM2 '!$G818&amp;"-"&amp;'1. Base de donnée HILIN MU CM2 '!$H818&amp;"-"&amp;'1. Base de donnée HILIN MU CM2 '!$I818</f>
        <v>2023-13-850</v>
      </c>
      <c r="K818" s="23">
        <f t="shared" si="1"/>
        <v>811</v>
      </c>
      <c r="L818" s="24" t="s">
        <v>31</v>
      </c>
      <c r="M818" s="24"/>
      <c r="N818" s="24"/>
      <c r="O818" s="22">
        <v>8.5</v>
      </c>
      <c r="P818" s="22">
        <v>4.75</v>
      </c>
      <c r="Q818" s="22">
        <f>SUM('1. Base de donnée HILIN MU CM2 '!$O818+'1. Base de donnée HILIN MU CM2 '!$P818)/2</f>
        <v>6.625</v>
      </c>
      <c r="R818" s="22">
        <v>18.0</v>
      </c>
      <c r="S818" s="22">
        <v>14.0</v>
      </c>
      <c r="T818" s="22">
        <f>('1. Base de donnée HILIN MU CM2 '!$R818+'1. Base de donnée HILIN MU CM2 '!$S818)/2</f>
        <v>16</v>
      </c>
      <c r="U818" s="25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</row>
    <row r="819" ht="14.25" hidden="1" customHeight="1">
      <c r="A819" s="27" t="s">
        <v>1502</v>
      </c>
      <c r="B819" s="27" t="s">
        <v>26</v>
      </c>
      <c r="C819" s="27" t="s">
        <v>1558</v>
      </c>
      <c r="D819" s="27" t="s">
        <v>476</v>
      </c>
      <c r="E819" s="27" t="s">
        <v>1517</v>
      </c>
      <c r="F819" s="27" t="s">
        <v>1506</v>
      </c>
      <c r="G819" s="28">
        <v>2023.0</v>
      </c>
      <c r="H819" s="28">
        <v>13.0</v>
      </c>
      <c r="I819" s="28">
        <v>851.0</v>
      </c>
      <c r="J819" s="29" t="str">
        <f>'1. Base de donnée HILIN MU CM2 '!$G819&amp;"-"&amp;'1. Base de donnée HILIN MU CM2 '!$H819&amp;"-"&amp;'1. Base de donnée HILIN MU CM2 '!$I819</f>
        <v>2023-13-851</v>
      </c>
      <c r="K819" s="28">
        <f t="shared" si="1"/>
        <v>812</v>
      </c>
      <c r="L819" s="29" t="s">
        <v>31</v>
      </c>
      <c r="M819" s="29"/>
      <c r="N819" s="29"/>
      <c r="O819" s="27">
        <v>9.5</v>
      </c>
      <c r="P819" s="27">
        <v>5.75</v>
      </c>
      <c r="Q819" s="27">
        <f>SUM('1. Base de donnée HILIN MU CM2 '!$O819+'1. Base de donnée HILIN MU CM2 '!$P819)/2</f>
        <v>7.625</v>
      </c>
      <c r="R819" s="27">
        <v>16.0</v>
      </c>
      <c r="S819" s="27">
        <v>15.5</v>
      </c>
      <c r="T819" s="27">
        <f>('1. Base de donnée HILIN MU CM2 '!$R819+'1. Base de donnée HILIN MU CM2 '!$S819)/2</f>
        <v>15.75</v>
      </c>
      <c r="U819" s="30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</row>
    <row r="820" ht="14.25" hidden="1" customHeight="1">
      <c r="A820" s="22" t="s">
        <v>1502</v>
      </c>
      <c r="B820" s="22" t="s">
        <v>26</v>
      </c>
      <c r="C820" s="22" t="s">
        <v>1559</v>
      </c>
      <c r="D820" s="22" t="s">
        <v>289</v>
      </c>
      <c r="E820" s="22" t="s">
        <v>1517</v>
      </c>
      <c r="F820" s="22" t="s">
        <v>1506</v>
      </c>
      <c r="G820" s="23">
        <v>2023.0</v>
      </c>
      <c r="H820" s="23">
        <v>13.0</v>
      </c>
      <c r="I820" s="23">
        <v>852.0</v>
      </c>
      <c r="J820" s="24" t="str">
        <f>'1. Base de donnée HILIN MU CM2 '!$G820&amp;"-"&amp;'1. Base de donnée HILIN MU CM2 '!$H820&amp;"-"&amp;'1. Base de donnée HILIN MU CM2 '!$I820</f>
        <v>2023-13-852</v>
      </c>
      <c r="K820" s="23">
        <f t="shared" si="1"/>
        <v>813</v>
      </c>
      <c r="L820" s="24" t="s">
        <v>31</v>
      </c>
      <c r="M820" s="24"/>
      <c r="N820" s="24"/>
      <c r="O820" s="22">
        <v>19.0</v>
      </c>
      <c r="P820" s="22">
        <v>5.25</v>
      </c>
      <c r="Q820" s="22">
        <f>SUM('1. Base de donnée HILIN MU CM2 '!$O820+'1. Base de donnée HILIN MU CM2 '!$P820)/2</f>
        <v>12.125</v>
      </c>
      <c r="R820" s="22">
        <v>18.0</v>
      </c>
      <c r="S820" s="22">
        <v>18.5</v>
      </c>
      <c r="T820" s="22">
        <f>('1. Base de donnée HILIN MU CM2 '!$R820+'1. Base de donnée HILIN MU CM2 '!$S820)/2</f>
        <v>18.25</v>
      </c>
      <c r="U820" s="25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</row>
    <row r="821" ht="14.25" hidden="1" customHeight="1">
      <c r="A821" s="27" t="s">
        <v>1502</v>
      </c>
      <c r="B821" s="27" t="s">
        <v>26</v>
      </c>
      <c r="C821" s="27" t="s">
        <v>1560</v>
      </c>
      <c r="D821" s="27" t="s">
        <v>332</v>
      </c>
      <c r="E821" s="27" t="s">
        <v>1517</v>
      </c>
      <c r="F821" s="27" t="s">
        <v>1509</v>
      </c>
      <c r="G821" s="28">
        <v>2023.0</v>
      </c>
      <c r="H821" s="28">
        <v>13.0</v>
      </c>
      <c r="I821" s="28">
        <v>853.0</v>
      </c>
      <c r="J821" s="29" t="str">
        <f>'1. Base de donnée HILIN MU CM2 '!$G821&amp;"-"&amp;'1. Base de donnée HILIN MU CM2 '!$H821&amp;"-"&amp;'1. Base de donnée HILIN MU CM2 '!$I821</f>
        <v>2023-13-853</v>
      </c>
      <c r="K821" s="28">
        <f t="shared" si="1"/>
        <v>814</v>
      </c>
      <c r="L821" s="29" t="s">
        <v>31</v>
      </c>
      <c r="M821" s="29"/>
      <c r="N821" s="29"/>
      <c r="O821" s="27">
        <v>7.0</v>
      </c>
      <c r="P821" s="27">
        <v>3.25</v>
      </c>
      <c r="Q821" s="27">
        <f>SUM('1. Base de donnée HILIN MU CM2 '!$O821+'1. Base de donnée HILIN MU CM2 '!$P821)/2</f>
        <v>5.125</v>
      </c>
      <c r="R821" s="27">
        <v>9.5</v>
      </c>
      <c r="S821" s="27">
        <v>11.25</v>
      </c>
      <c r="T821" s="27">
        <f>('1. Base de donnée HILIN MU CM2 '!$R821+'1. Base de donnée HILIN MU CM2 '!$S821)/2</f>
        <v>10.375</v>
      </c>
      <c r="U821" s="30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</row>
    <row r="822" ht="14.25" hidden="1" customHeight="1">
      <c r="A822" s="35"/>
      <c r="B822" s="41"/>
      <c r="C822" s="41"/>
      <c r="D822" s="35"/>
      <c r="E822" s="42"/>
      <c r="F822" s="43"/>
      <c r="G822" s="24"/>
      <c r="H822" s="24"/>
      <c r="I822" s="23"/>
      <c r="J822" s="44" t="s">
        <v>1561</v>
      </c>
      <c r="K822" s="44"/>
      <c r="L822" s="44"/>
      <c r="M822" s="44"/>
      <c r="N822" s="44"/>
      <c r="O822" s="45">
        <f t="shared" ref="O822:T822" si="2">AVERAGE(O8,O821)</f>
        <v>5.25</v>
      </c>
      <c r="P822" s="45">
        <f t="shared" si="2"/>
        <v>4.625</v>
      </c>
      <c r="Q822" s="45">
        <f t="shared" si="2"/>
        <v>4.9375</v>
      </c>
      <c r="R822" s="45">
        <f t="shared" si="2"/>
        <v>12.25</v>
      </c>
      <c r="S822" s="45">
        <f t="shared" si="2"/>
        <v>15.125</v>
      </c>
      <c r="T822" s="45">
        <f t="shared" si="2"/>
        <v>13.6875</v>
      </c>
      <c r="U822" s="25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</row>
    <row r="823" ht="14.25" hidden="1" customHeight="1">
      <c r="A823" s="46"/>
      <c r="B823" s="46"/>
      <c r="C823" s="46"/>
      <c r="D823" s="46"/>
      <c r="E823" s="46"/>
      <c r="F823" s="47"/>
      <c r="G823" s="47"/>
      <c r="H823" s="47"/>
      <c r="I823" s="47"/>
      <c r="J823" s="39"/>
      <c r="K823" s="39"/>
      <c r="L823" s="39"/>
      <c r="M823" s="39"/>
      <c r="N823" s="39"/>
      <c r="O823" s="39"/>
      <c r="P823" s="39"/>
      <c r="Q823" s="39">
        <f>(O822+P822)/2</f>
        <v>4.9375</v>
      </c>
      <c r="R823" s="39"/>
      <c r="S823" s="39"/>
      <c r="T823" s="47">
        <f>(R822+S822)/2</f>
        <v>13.6875</v>
      </c>
      <c r="U823" s="30"/>
      <c r="V823" s="48"/>
      <c r="W823" s="48"/>
      <c r="X823" s="48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</row>
    <row r="824" ht="14.25" hidden="1" customHeight="1">
      <c r="J824" s="2"/>
      <c r="K824" s="2"/>
      <c r="L824" s="2"/>
      <c r="M824" s="2"/>
      <c r="N824" s="2"/>
      <c r="O824" s="2"/>
      <c r="P824" s="2"/>
      <c r="Q824" s="2"/>
      <c r="R824" s="2"/>
      <c r="S824" s="2"/>
      <c r="U824" s="2"/>
      <c r="V824" s="2"/>
      <c r="W824" s="2"/>
      <c r="X824" s="2"/>
    </row>
    <row r="825" ht="14.25" hidden="1" customHeight="1">
      <c r="I825" s="49" t="s">
        <v>1562</v>
      </c>
      <c r="J825" s="50"/>
      <c r="K825" s="51"/>
      <c r="L825" s="51"/>
      <c r="M825" s="2"/>
      <c r="N825" s="2"/>
      <c r="O825" s="2"/>
      <c r="P825" s="2"/>
      <c r="Q825" s="2"/>
      <c r="R825" s="2"/>
      <c r="S825" s="2"/>
      <c r="U825" s="2"/>
      <c r="V825" s="2"/>
      <c r="W825" s="2"/>
      <c r="X825" s="2"/>
    </row>
    <row r="826" ht="14.25" hidden="1" customHeight="1">
      <c r="I826" s="49" t="s">
        <v>1563</v>
      </c>
      <c r="J826" s="50"/>
      <c r="K826" s="51"/>
      <c r="L826" s="51"/>
      <c r="M826" s="2"/>
      <c r="N826" s="2"/>
      <c r="O826" s="2"/>
      <c r="P826" s="2"/>
      <c r="Q826" s="2"/>
      <c r="R826" s="2"/>
      <c r="S826" s="2"/>
      <c r="U826" s="2"/>
      <c r="V826" s="2"/>
      <c r="W826" s="2"/>
      <c r="X826" s="2"/>
    </row>
    <row r="827" ht="14.25" hidden="1" customHeight="1">
      <c r="I827" s="49" t="s">
        <v>1564</v>
      </c>
      <c r="J827" s="50"/>
      <c r="K827" s="51"/>
      <c r="L827" s="51"/>
      <c r="M827" s="2"/>
      <c r="N827" s="2"/>
      <c r="O827" s="2"/>
      <c r="P827" s="2"/>
      <c r="Q827" s="2"/>
      <c r="R827" s="2"/>
      <c r="S827" s="2"/>
      <c r="U827" s="2"/>
      <c r="V827" s="2"/>
      <c r="W827" s="2"/>
      <c r="X827" s="2"/>
    </row>
  </sheetData>
  <autoFilter ref="$A$1:$AO$827">
    <filterColumn colId="1">
      <filters>
        <filter val="Sae Saboua"/>
      </filters>
    </filterColumn>
  </autoFilter>
  <mergeCells count="3">
    <mergeCell ref="J6:P6"/>
    <mergeCell ref="Q6:S6"/>
    <mergeCell ref="T6:AO6"/>
  </mergeCells>
  <printOptions/>
  <pageMargins bottom="1.0" footer="0.0" header="0.0" left="1.0" right="1.0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2019-11-19T10:35:22Z</dcterms:created>
  <dc:creator>Utilisateur Windows;LFF</dc:creator>
</cp:coreProperties>
</file>