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e intervention CM1" sheetId="1" r:id="rId4"/>
    <sheet state="visible" name="Groupe controle CM1" sheetId="2" r:id="rId5"/>
    <sheet state="visible" name="Groupe intervention CM2" sheetId="3" r:id="rId6"/>
    <sheet state="visible" name="Groupe controle CM2" sheetId="4" r:id="rId7"/>
    <sheet state="visible" name="Graphiques" sheetId="5" r:id="rId8"/>
  </sheets>
  <definedNames>
    <definedName hidden="1" localSheetId="3" name="_xlnm._FilterDatabase">'Groupe controle CM2'!$A$4:$Z$10</definedName>
  </definedNames>
  <calcPr/>
  <extLst>
    <ext uri="GoogleSheetsCustomDataVersion2">
      <go:sheetsCustomData xmlns:go="http://customooxmlschemas.google.com/" r:id="rId9" roundtripDataChecksum="H0kh5vZOFYZamDAXA4ERnkLNy5LqH2pkstxb5zb23Yg="/>
    </ext>
  </extLst>
</workbook>
</file>

<file path=xl/sharedStrings.xml><?xml version="1.0" encoding="utf-8"?>
<sst xmlns="http://schemas.openxmlformats.org/spreadsheetml/2006/main" count="2870" uniqueCount="771">
  <si>
    <t>IEPP de Tibiri 2</t>
  </si>
  <si>
    <t>N°</t>
  </si>
  <si>
    <t>Noms et prénoms</t>
  </si>
  <si>
    <t>Ecole</t>
  </si>
  <si>
    <t>classe</t>
  </si>
  <si>
    <t>1ère note</t>
  </si>
  <si>
    <t>2ème note</t>
  </si>
  <si>
    <t>3ème note</t>
  </si>
  <si>
    <t>Moy générale</t>
  </si>
  <si>
    <t>Situation finale</t>
  </si>
  <si>
    <t xml:space="preserve">Passe </t>
  </si>
  <si>
    <t>Rédouble</t>
  </si>
  <si>
    <t>Abandon</t>
  </si>
  <si>
    <t>Décès et transfère</t>
  </si>
  <si>
    <t>Nafissa Issoufou</t>
  </si>
  <si>
    <t>Kataré 1</t>
  </si>
  <si>
    <t>CM1 A</t>
  </si>
  <si>
    <t>Redouble</t>
  </si>
  <si>
    <t>Moustahida Harouna</t>
  </si>
  <si>
    <t>passe</t>
  </si>
  <si>
    <t>Sahala Kassoum</t>
  </si>
  <si>
    <t xml:space="preserve">Halimatou Saminou </t>
  </si>
  <si>
    <t>Houssina Kassimou</t>
  </si>
  <si>
    <t xml:space="preserve">Assamaou Issaka </t>
  </si>
  <si>
    <t>Oumeira Saadou</t>
  </si>
  <si>
    <t>Ramatou Falalou</t>
  </si>
  <si>
    <t xml:space="preserve">Assia Samaïla </t>
  </si>
  <si>
    <t>Salima Abdou</t>
  </si>
  <si>
    <t>Roukayya Salissou</t>
  </si>
  <si>
    <t xml:space="preserve">Rabila Saidou </t>
  </si>
  <si>
    <t>Habsatou  Falalou</t>
  </si>
  <si>
    <t>Roukaya Illia</t>
  </si>
  <si>
    <t>CM1 B</t>
  </si>
  <si>
    <t xml:space="preserve">Fatouma Ibrahim </t>
  </si>
  <si>
    <t>Rakiaya Hassan</t>
  </si>
  <si>
    <t>Sakina Abass</t>
  </si>
  <si>
    <t>Habsatou Aboubacar</t>
  </si>
  <si>
    <t>Mariama Sani</t>
  </si>
  <si>
    <t>Fati Aminou</t>
  </si>
  <si>
    <t>Faouzia Siraji</t>
  </si>
  <si>
    <t>Hadjara laouali</t>
  </si>
  <si>
    <t>Nana Ousseina Souley</t>
  </si>
  <si>
    <t>Farida Maazou</t>
  </si>
  <si>
    <t xml:space="preserve">Fati Salissou </t>
  </si>
  <si>
    <t>Nisseiba Laouali</t>
  </si>
  <si>
    <t>Kairiya Laouali</t>
  </si>
  <si>
    <t>Amira Yahouza</t>
  </si>
  <si>
    <t>Faouzia Aminou</t>
  </si>
  <si>
    <t>Hasatou Halilou</t>
  </si>
  <si>
    <t>Fatiya Aminou</t>
  </si>
  <si>
    <t>Soura 1</t>
  </si>
  <si>
    <t>Chaouma Salissou</t>
  </si>
  <si>
    <t>Oumalkhair Rabiou</t>
  </si>
  <si>
    <t>Kadidja Ibrahim</t>
  </si>
  <si>
    <t xml:space="preserve">Fati Saidou </t>
  </si>
  <si>
    <t>Machawila Sani</t>
  </si>
  <si>
    <t>Salamatou Moustapha</t>
  </si>
  <si>
    <t>Nabila Nassirou</t>
  </si>
  <si>
    <t>Koubra Rabiou</t>
  </si>
  <si>
    <t>Na’ima Hamissou</t>
  </si>
  <si>
    <t>Malika Laouali</t>
  </si>
  <si>
    <t>Fadila Sabiou</t>
  </si>
  <si>
    <t>Saparaâtou Souleymane</t>
  </si>
  <si>
    <t>Mounawari Ali</t>
  </si>
  <si>
    <t>Houmeira Hassan</t>
  </si>
  <si>
    <t>Naima Aminou</t>
  </si>
  <si>
    <t>Amira Laouali</t>
  </si>
  <si>
    <t>Fatiha Salissou</t>
  </si>
  <si>
    <t>Rabila Hachimou</t>
  </si>
  <si>
    <t>Chamsiya Laouali</t>
  </si>
  <si>
    <t>Malika Nassirou</t>
  </si>
  <si>
    <t>Mouniba Hassan</t>
  </si>
  <si>
    <t>Hassana Adamou</t>
  </si>
  <si>
    <t>Roukaya Aboubacar</t>
  </si>
  <si>
    <t>Zaharia Salissou</t>
  </si>
  <si>
    <t>Oumma Boureima</t>
  </si>
  <si>
    <t>Mariam Rabiou</t>
  </si>
  <si>
    <t>Farida Laouali</t>
  </si>
  <si>
    <t>Mafida Sabiou</t>
  </si>
  <si>
    <t>Roufaida Mamouda</t>
  </si>
  <si>
    <t>Soumaya Souley</t>
  </si>
  <si>
    <t>Soura 2</t>
  </si>
  <si>
    <t>CM1</t>
  </si>
  <si>
    <t>Sourayya Laouali</t>
  </si>
  <si>
    <t>Nana Firdaoussi Moutaka</t>
  </si>
  <si>
    <t>Nazifa Sabiou</t>
  </si>
  <si>
    <t>Fati Sabiou</t>
  </si>
  <si>
    <t>Madina Kadda</t>
  </si>
  <si>
    <t>Hassana Aboubacar</t>
  </si>
  <si>
    <t>Fati Saidou</t>
  </si>
  <si>
    <t>Faiza Yacouba</t>
  </si>
  <si>
    <t>Firdaoussi Ousseini</t>
  </si>
  <si>
    <t>Kadidja Abdou</t>
  </si>
  <si>
    <t>Rissala Tassiou</t>
  </si>
  <si>
    <t>Yasmina Rabé</t>
  </si>
  <si>
    <t>Halimatou Hamissou</t>
  </si>
  <si>
    <t>Nabila Saminou</t>
  </si>
  <si>
    <t>Maâroufa Salissou</t>
  </si>
  <si>
    <t>Moustahida</t>
  </si>
  <si>
    <t>Maryam Kané</t>
  </si>
  <si>
    <t>Maryam Tassiou</t>
  </si>
  <si>
    <t>Nana Hadiza Idi</t>
  </si>
  <si>
    <t>Nafissa Laouali</t>
  </si>
  <si>
    <t>Rabia Laouali</t>
  </si>
  <si>
    <t>Marwa Salissou</t>
  </si>
  <si>
    <t>Kadija Kabirou</t>
  </si>
  <si>
    <t>Baraâtou Sabiou</t>
  </si>
  <si>
    <t>Amira Bello</t>
  </si>
  <si>
    <t>Fati  Tsalha</t>
  </si>
  <si>
    <t>Soura 3</t>
  </si>
  <si>
    <t>Raihane Souleymane</t>
  </si>
  <si>
    <t>Roufaida Sani</t>
  </si>
  <si>
    <t>Firdaoussi Mahamadou</t>
  </si>
  <si>
    <t>Hassana Harouna</t>
  </si>
  <si>
    <t>Nisseiba Sani</t>
  </si>
  <si>
    <t>Ramatou Laouali</t>
  </si>
  <si>
    <t>Ousseina Hamissou</t>
  </si>
  <si>
    <t>Manifa Labo</t>
  </si>
  <si>
    <t>Mariama Garba</t>
  </si>
  <si>
    <t>Roumaissaou Illia</t>
  </si>
  <si>
    <t>Soumaya Salissou</t>
  </si>
  <si>
    <t>Mariam Hassan</t>
  </si>
  <si>
    <t>Aichatou Moutari</t>
  </si>
  <si>
    <t>Chapa Salissou</t>
  </si>
  <si>
    <t xml:space="preserve">Fati Ayouba </t>
  </si>
  <si>
    <t>Mouniba Maazou</t>
  </si>
  <si>
    <t>Kadidja Yahaya</t>
  </si>
  <si>
    <t>Azima Sani</t>
  </si>
  <si>
    <t>Moufida Issoufou</t>
  </si>
  <si>
    <t>Chamsia Laouali</t>
  </si>
  <si>
    <t>Haouaou Zabeirou</t>
  </si>
  <si>
    <t>Saâdatou Aboubacar</t>
  </si>
  <si>
    <t>Mariama Moutari</t>
  </si>
  <si>
    <t>Siyama Hassan</t>
  </si>
  <si>
    <t>Roufaida Issoufou</t>
  </si>
  <si>
    <t>Habsatou Oumarou</t>
  </si>
  <si>
    <t>Habsatou Labo</t>
  </si>
  <si>
    <t>Raouda Issoufou</t>
  </si>
  <si>
    <t>Soura Sarkin Galma1</t>
  </si>
  <si>
    <t>Zoulfaou Tassiou</t>
  </si>
  <si>
    <t>Youssoura Amadou</t>
  </si>
  <si>
    <t>Mahibatou Hamissou</t>
  </si>
  <si>
    <t>Chapiya Ibrahim</t>
  </si>
  <si>
    <t>Ikilima Laouali</t>
  </si>
  <si>
    <t>Nazifa Ousmane</t>
  </si>
  <si>
    <t>Yasmina Souley</t>
  </si>
  <si>
    <t>Salamatou Sada</t>
  </si>
  <si>
    <t>Kadidja Aboubacar</t>
  </si>
  <si>
    <t>Fatouma Yaou</t>
  </si>
  <si>
    <t>Faika Ibrahim</t>
  </si>
  <si>
    <t>Yasmina Dodo</t>
  </si>
  <si>
    <t>Naima Hanafi</t>
  </si>
  <si>
    <t>Ikilima Idi</t>
  </si>
  <si>
    <t>Razina Sabiou</t>
  </si>
  <si>
    <t>Kadija Hadi</t>
  </si>
  <si>
    <t>Salima Bachar</t>
  </si>
  <si>
    <t>Youssira Sanoussi</t>
  </si>
  <si>
    <t>Mariam Habibou</t>
  </si>
  <si>
    <t>Fatouma Zara Maman Hadi</t>
  </si>
  <si>
    <t>Habsatou Rabiou</t>
  </si>
  <si>
    <t>Djamila Souleymane</t>
  </si>
  <si>
    <t>Halimatou Habibou</t>
  </si>
  <si>
    <t>Moufida Laouali</t>
  </si>
  <si>
    <t>Soumaya Rabiou</t>
  </si>
  <si>
    <t xml:space="preserve">Faouzia Salissou </t>
  </si>
  <si>
    <t>Ousseina Kabirou</t>
  </si>
  <si>
    <t>Safiya Kabirou</t>
  </si>
  <si>
    <t>Oumaya Ayouba</t>
  </si>
  <si>
    <t>Zeinab Habibou</t>
  </si>
  <si>
    <t xml:space="preserve">Nana Firdaoussi Maman </t>
  </si>
  <si>
    <t xml:space="preserve">Roukaya Jafar </t>
  </si>
  <si>
    <t>Rabia sani</t>
  </si>
  <si>
    <t>Nafissa Salissou</t>
  </si>
  <si>
    <t>Nabila Rabiou</t>
  </si>
  <si>
    <t xml:space="preserve">Ramatou Mahamadou </t>
  </si>
  <si>
    <t>Salima Sa'adou</t>
  </si>
  <si>
    <t>Exclue</t>
  </si>
  <si>
    <t>Rapia Hamissou</t>
  </si>
  <si>
    <t xml:space="preserve">Zoubeida Chaibou </t>
  </si>
  <si>
    <t xml:space="preserve">Nana Mariama Chaibou </t>
  </si>
  <si>
    <t xml:space="preserve">Fati Adamou </t>
  </si>
  <si>
    <t xml:space="preserve">Kadidja Saminou </t>
  </si>
  <si>
    <t xml:space="preserve">Bassira Issaka </t>
  </si>
  <si>
    <t xml:space="preserve">Balkissa Illa </t>
  </si>
  <si>
    <t xml:space="preserve">Kadidja Hamza </t>
  </si>
  <si>
    <t xml:space="preserve">Nazifa Ousmane </t>
  </si>
  <si>
    <t xml:space="preserve">Fatima sani </t>
  </si>
  <si>
    <t xml:space="preserve">Khadija issoufou </t>
  </si>
  <si>
    <t xml:space="preserve">Siyama Issoufou </t>
  </si>
  <si>
    <t xml:space="preserve">Zeinabou Rabiou </t>
  </si>
  <si>
    <t xml:space="preserve">Faika Ibrahim </t>
  </si>
  <si>
    <t>Fadila Mohamed</t>
  </si>
  <si>
    <t>Assama laouali</t>
  </si>
  <si>
    <t>Roukaya Sani</t>
  </si>
  <si>
    <t>Saratou Abdou</t>
  </si>
  <si>
    <t>Malika Issoufou</t>
  </si>
  <si>
    <t>Zeinabou Abou</t>
  </si>
  <si>
    <t>Aminatou Habibou</t>
  </si>
  <si>
    <t>Soura Sarkin Galma2</t>
  </si>
  <si>
    <t>Fatima  Kader</t>
  </si>
  <si>
    <t>Fatimatou Hachimou</t>
  </si>
  <si>
    <t>Firdaoussi Hamissou</t>
  </si>
  <si>
    <t>Hadia Saminou</t>
  </si>
  <si>
    <t>Kadidja Tassiou</t>
  </si>
  <si>
    <t>Mariama Abdoulaye</t>
  </si>
  <si>
    <t>Maram Sani</t>
  </si>
  <si>
    <t>Nafissa Hadi Adamou</t>
  </si>
  <si>
    <t>Nafissa Abdoul Hadi Oumarou</t>
  </si>
  <si>
    <t>Nana Aicha Abdoulaye</t>
  </si>
  <si>
    <t>Nana Bassira Aweissou</t>
  </si>
  <si>
    <t>Sadika Ibrahim</t>
  </si>
  <si>
    <t>Mastoura Gonda</t>
  </si>
  <si>
    <t>Kaoussar Sabiou</t>
  </si>
  <si>
    <t>Aminatou Aboubacar</t>
  </si>
  <si>
    <t>Fadila Inoussa</t>
  </si>
  <si>
    <t>Fassouma Salissou</t>
  </si>
  <si>
    <t>Houssouna Mahamadou</t>
  </si>
  <si>
    <t>Kadidja Bassirou</t>
  </si>
  <si>
    <t>Halissa Sani</t>
  </si>
  <si>
    <t>Ouneiza Tassiou</t>
  </si>
  <si>
    <t>Ramlatou Sani</t>
  </si>
  <si>
    <t>Firdaussi Issa</t>
  </si>
  <si>
    <t>Rakiya Sabiou</t>
  </si>
  <si>
    <t>Saadiya Harouna</t>
  </si>
  <si>
    <t>Halima Adamou</t>
  </si>
  <si>
    <t>Maimouna Tanimoune</t>
  </si>
  <si>
    <t>Massaouda Maâzou</t>
  </si>
  <si>
    <t>Soura Saraki</t>
  </si>
  <si>
    <t>Habsatou Nassirou</t>
  </si>
  <si>
    <t>Souraya Samaila</t>
  </si>
  <si>
    <t>Maryam Yaou</t>
  </si>
  <si>
    <t>Djafaria Abdoul Rachid</t>
  </si>
  <si>
    <t>Nafissa Yacouba</t>
  </si>
  <si>
    <t>Aichatou Illa</t>
  </si>
  <si>
    <t>Djafaria Abdoul Moumouni</t>
  </si>
  <si>
    <t>Amira Rabiou</t>
  </si>
  <si>
    <t>Massaouda Sabiou</t>
  </si>
  <si>
    <t>Hajara Ousmane</t>
  </si>
  <si>
    <t>Hamida Issaka</t>
  </si>
  <si>
    <t>Kadidja Moussa</t>
  </si>
  <si>
    <t>Fatima Souley</t>
  </si>
  <si>
    <t>Fatima Hadi</t>
  </si>
  <si>
    <t>Ousseina Rabiou</t>
  </si>
  <si>
    <t>Marwa Ali</t>
  </si>
  <si>
    <t>Faiza Abdou</t>
  </si>
  <si>
    <t>Aminatou Rabiou</t>
  </si>
  <si>
    <t>Chamsia Achirou</t>
  </si>
  <si>
    <t>Zeinab Mountari</t>
  </si>
  <si>
    <t>Rachida Ali</t>
  </si>
  <si>
    <t>Rabi Achirou</t>
  </si>
  <si>
    <t>Nazira Abdou</t>
  </si>
  <si>
    <t>Fatima Issa</t>
  </si>
  <si>
    <t>Nadiya Habibou</t>
  </si>
  <si>
    <t>Aicha Salissou</t>
  </si>
  <si>
    <t>Nasseiba  Harouna</t>
  </si>
  <si>
    <t>Zeitouna Tsahirou</t>
  </si>
  <si>
    <t>Bachariya Habibou</t>
  </si>
  <si>
    <t>Fatima Abdoul-Hadi</t>
  </si>
  <si>
    <t>Housseina Nassirou</t>
  </si>
  <si>
    <t>Zeinab Mourtala</t>
  </si>
  <si>
    <t>Foureira Hassan</t>
  </si>
  <si>
    <t>Oumaira Hamza</t>
  </si>
  <si>
    <t>Kataré 2</t>
  </si>
  <si>
    <t>Passe</t>
  </si>
  <si>
    <t>Nazifa Alkasoum</t>
  </si>
  <si>
    <t xml:space="preserve">Fatouma Zara Abou Soufiane </t>
  </si>
  <si>
    <t>Haoulatou Ali</t>
  </si>
  <si>
    <t>Roukaya Souradji</t>
  </si>
  <si>
    <t>Nisseiba Kabirou</t>
  </si>
  <si>
    <t>Aichatou Mahamadou</t>
  </si>
  <si>
    <t xml:space="preserve">Soumaya Larwana </t>
  </si>
  <si>
    <t xml:space="preserve">Choukouria Bassira </t>
  </si>
  <si>
    <t>Wassila Illia</t>
  </si>
  <si>
    <t xml:space="preserve">Nazira Yacouba </t>
  </si>
  <si>
    <t>Mariam Salha</t>
  </si>
  <si>
    <t xml:space="preserve">Najaatou Aboubacar </t>
  </si>
  <si>
    <t>Fatima Zara Sanoussi</t>
  </si>
  <si>
    <t>Chapaatou Salissou</t>
  </si>
  <si>
    <t>Nisseiba Abdoul Aziz</t>
  </si>
  <si>
    <t>Ikilima Sani</t>
  </si>
  <si>
    <t>Roufeida Mousbahou</t>
  </si>
  <si>
    <t>Fati Sanoussi</t>
  </si>
  <si>
    <t>Rahila Issaka</t>
  </si>
  <si>
    <t>Roubeika Issaka</t>
  </si>
  <si>
    <t>Nana Fatima Maazou</t>
  </si>
  <si>
    <t>Tibiri 2 CM1 Intervention</t>
  </si>
  <si>
    <t>Total inscrit</t>
  </si>
  <si>
    <t>Passe au CM2</t>
  </si>
  <si>
    <t>Redouble CM1</t>
  </si>
  <si>
    <t>Nombre d'abandon</t>
  </si>
  <si>
    <t>Taux de transition (passage au CM2)</t>
  </si>
  <si>
    <t>Taux d'abandon</t>
  </si>
  <si>
    <t>Taux de rédoublement</t>
  </si>
  <si>
    <t>IEPP de Tibirir 2</t>
  </si>
  <si>
    <t>Nana Fatima Badamassi</t>
  </si>
  <si>
    <t>Maza Tsayé 1</t>
  </si>
  <si>
    <t>Mariam Saminou</t>
  </si>
  <si>
    <t>Nana Fatima Zakari Yaou</t>
  </si>
  <si>
    <t>Nana Silbiya Habibou</t>
  </si>
  <si>
    <t>Naima Abdoulahi</t>
  </si>
  <si>
    <t>Zeinab Tsayabou</t>
  </si>
  <si>
    <t>Aminatou Moussa</t>
  </si>
  <si>
    <t>Mariama Kabirou</t>
  </si>
  <si>
    <t>Kadidja Souleymane</t>
  </si>
  <si>
    <t>Badariya</t>
  </si>
  <si>
    <t>Youssira Noura</t>
  </si>
  <si>
    <t>Fati Kabirou</t>
  </si>
  <si>
    <t>Mouhoussina Hamissou</t>
  </si>
  <si>
    <t>Harira Sani</t>
  </si>
  <si>
    <t>Soumaya Bachar</t>
  </si>
  <si>
    <t>Zeinab Maman</t>
  </si>
  <si>
    <t>Nabila Hamissou</t>
  </si>
  <si>
    <t>Kadidja Nazirou</t>
  </si>
  <si>
    <t>Mariam Ousseini</t>
  </si>
  <si>
    <t>Fatima Rabiou</t>
  </si>
  <si>
    <t>Aicha Abdou</t>
  </si>
  <si>
    <t>Sahiba Maharazou</t>
  </si>
  <si>
    <t>Sahiba</t>
  </si>
  <si>
    <t>Nijaâtou Nouhou</t>
  </si>
  <si>
    <t>Yassira Idrissa</t>
  </si>
  <si>
    <t>Oumaissa Ibrahim</t>
  </si>
  <si>
    <t>Habiba Laouali</t>
  </si>
  <si>
    <t>Fadila Souley</t>
  </si>
  <si>
    <t>Nisseiba Chaibou</t>
  </si>
  <si>
    <t>//</t>
  </si>
  <si>
    <t>Kadidja Idi</t>
  </si>
  <si>
    <t>Fatima Chapiou</t>
  </si>
  <si>
    <t>Mariama Ayouba</t>
  </si>
  <si>
    <t>Youssoura Zabeirou</t>
  </si>
  <si>
    <t>Kadidja Harouna</t>
  </si>
  <si>
    <t>Habsatou Yahaya</t>
  </si>
  <si>
    <t>Nija Rabé</t>
  </si>
  <si>
    <t>Zeinab Bassirou</t>
  </si>
  <si>
    <t>Aichatou Salissou</t>
  </si>
  <si>
    <t>Fatima Souleymane</t>
  </si>
  <si>
    <t>Aicha Maman</t>
  </si>
  <si>
    <t>Amira Issa</t>
  </si>
  <si>
    <t>Nafissa Sabiou</t>
  </si>
  <si>
    <t>Nazifa Kabirou</t>
  </si>
  <si>
    <t>Charifa Aminou</t>
  </si>
  <si>
    <t>Kadidja Maman</t>
  </si>
  <si>
    <t>Farida Illa</t>
  </si>
  <si>
    <t>Hamida Sani</t>
  </si>
  <si>
    <t>Khadidja Salissou</t>
  </si>
  <si>
    <t>Malika Sani</t>
  </si>
  <si>
    <t>Hamida Gambo</t>
  </si>
  <si>
    <t>Zeinab Bachir</t>
  </si>
  <si>
    <t>Fatima Sani</t>
  </si>
  <si>
    <t>Soumaya Sani</t>
  </si>
  <si>
    <t>Maza Tsayé 2</t>
  </si>
  <si>
    <t>Zeinab Abdoulaye</t>
  </si>
  <si>
    <t>Halima Wahabou</t>
  </si>
  <si>
    <t>Soumaya Chaibou</t>
  </si>
  <si>
    <t>Abondon</t>
  </si>
  <si>
    <t>Ramatou Mourtala</t>
  </si>
  <si>
    <t>Kadidja Habibou</t>
  </si>
  <si>
    <t>Saadiya Salissou</t>
  </si>
  <si>
    <t>Nazifa Nouhou</t>
  </si>
  <si>
    <t>Yasmina Salissou</t>
  </si>
  <si>
    <t>Maryama Yahaya</t>
  </si>
  <si>
    <t>Hafiza Ibrahim</t>
  </si>
  <si>
    <t>Ousseina Illia</t>
  </si>
  <si>
    <t>Zaraou Oumarou</t>
  </si>
  <si>
    <t>Moufida Moussa</t>
  </si>
  <si>
    <t>Hanifa Oumara</t>
  </si>
  <si>
    <r>
      <rPr>
        <rFont val="Calibri"/>
        <color theme="1"/>
        <sz val="11.0"/>
      </rPr>
      <t>Fatima Zara G</t>
    </r>
    <r>
      <rPr>
        <rFont val="Calibri"/>
        <b/>
        <color theme="1"/>
        <sz val="11.0"/>
      </rPr>
      <t>arba</t>
    </r>
  </si>
  <si>
    <t>Fatima Yacouba</t>
  </si>
  <si>
    <t>Nazifa Illa</t>
  </si>
  <si>
    <t>Zouératou Laouali</t>
  </si>
  <si>
    <t>Hassana Illia</t>
  </si>
  <si>
    <t>Chamsia Idrissa</t>
  </si>
  <si>
    <t>Mouniratou Siradji</t>
  </si>
  <si>
    <t>Latifa Aboubacar</t>
  </si>
  <si>
    <t>Hamraou Tassiou Ibrahim</t>
  </si>
  <si>
    <t>Rachida Rabilou</t>
  </si>
  <si>
    <t>Nana Aicha Maman</t>
  </si>
  <si>
    <t>Bacharia Laouali</t>
  </si>
  <si>
    <t>--</t>
  </si>
  <si>
    <t>Décédé</t>
  </si>
  <si>
    <t>Biba Moussa</t>
  </si>
  <si>
    <t>Mansoura Abdou</t>
  </si>
  <si>
    <t>Nana Yassira Rabiou</t>
  </si>
  <si>
    <t>Nana Charifa Abdou</t>
  </si>
  <si>
    <t>Habsat Ousmane</t>
  </si>
  <si>
    <t>Fati Moussa</t>
  </si>
  <si>
    <t>Karakara 1</t>
  </si>
  <si>
    <t>Zakia Maman</t>
  </si>
  <si>
    <t>Fatoumazara Tassiou</t>
  </si>
  <si>
    <t>Mouhoussina Abdoulaye</t>
  </si>
  <si>
    <t>Zeinab Saâdou</t>
  </si>
  <si>
    <t>Nana Annifa Hamza</t>
  </si>
  <si>
    <t>Nana Malik Sani</t>
  </si>
  <si>
    <t>Kadidja Baraou</t>
  </si>
  <si>
    <t>Fati Amadou</t>
  </si>
  <si>
    <t>Kadija Idrissa</t>
  </si>
  <si>
    <t>Nafissa Moussa</t>
  </si>
  <si>
    <t>Aminatou Chaibou</t>
  </si>
  <si>
    <t>Yasmina Yaou</t>
  </si>
  <si>
    <t>Ramatou Ibrahim</t>
  </si>
  <si>
    <t>Khadija Nassirou</t>
  </si>
  <si>
    <t>Farida Adamou</t>
  </si>
  <si>
    <t>Halimatou Sadissou</t>
  </si>
  <si>
    <t>Nisseiba Moussa</t>
  </si>
  <si>
    <t>Choukouriya Bachar</t>
  </si>
  <si>
    <t>Mariam Mahamadou</t>
  </si>
  <si>
    <t>Ouzeifa Rabiou</t>
  </si>
  <si>
    <t>Lawissa Moutari</t>
  </si>
  <si>
    <t xml:space="preserve">Habsat Mahamadou </t>
  </si>
  <si>
    <t>Mariam Sabiou</t>
  </si>
  <si>
    <t>Karakara 2</t>
  </si>
  <si>
    <t>Nafissa Sani</t>
  </si>
  <si>
    <t>Youssira Amadou</t>
  </si>
  <si>
    <t>Saoudatou Salissou</t>
  </si>
  <si>
    <t>Kadija Idi</t>
  </si>
  <si>
    <t>Farida Aboubacar</t>
  </si>
  <si>
    <t>Najaatou Ichaou</t>
  </si>
  <si>
    <t>Kadija Moutari</t>
  </si>
  <si>
    <t>Rissala Adamou</t>
  </si>
  <si>
    <t>Balkissa Ousmane</t>
  </si>
  <si>
    <t>Mariama Amadou</t>
  </si>
  <si>
    <t>Mariama Yaou</t>
  </si>
  <si>
    <t>Roumaissaou Ibrahim</t>
  </si>
  <si>
    <t>Marssiya Laouali</t>
  </si>
  <si>
    <t>Fatima Rabé</t>
  </si>
  <si>
    <t>Fatima Zara Hassane</t>
  </si>
  <si>
    <t xml:space="preserve">Fadila Nassirou </t>
  </si>
  <si>
    <t>Oumal Kairou Moussa</t>
  </si>
  <si>
    <t>Zeinab Sani Oumarou</t>
  </si>
  <si>
    <t>Kadidja Samaila</t>
  </si>
  <si>
    <t>Ihssane Sani Oumarou</t>
  </si>
  <si>
    <t>Hanifa Bouzou</t>
  </si>
  <si>
    <t>Farida Badamassi</t>
  </si>
  <si>
    <t>Na'ima Hachimou</t>
  </si>
  <si>
    <t>Farida Nouhou</t>
  </si>
  <si>
    <t>Nafissa Oumarou</t>
  </si>
  <si>
    <t>Youssra Inoussa</t>
  </si>
  <si>
    <t>Haouaou Oumarou</t>
  </si>
  <si>
    <t>Mariama Halidou</t>
  </si>
  <si>
    <t>Aichatou Garba</t>
  </si>
  <si>
    <t xml:space="preserve">Ihssane Sani </t>
  </si>
  <si>
    <t>Mariama Baraou</t>
  </si>
  <si>
    <t>Ousseina Harouna</t>
  </si>
  <si>
    <t>Haou Kadri</t>
  </si>
  <si>
    <t>Manssoura Abdou</t>
  </si>
  <si>
    <t>Nabihat Sanoussi</t>
  </si>
  <si>
    <t>Chappa Hamza</t>
  </si>
  <si>
    <t>Zeinab Aboubacar</t>
  </si>
  <si>
    <t>Nana Rachida Maman</t>
  </si>
  <si>
    <t>Na'ima Ibrahim</t>
  </si>
  <si>
    <t>Majida Kabirou</t>
  </si>
  <si>
    <t>Kadidja Abdoul Rachid</t>
  </si>
  <si>
    <t>Mariam kabirou</t>
  </si>
  <si>
    <t>Roumaissaou Idrissa</t>
  </si>
  <si>
    <t>Ousseina Sabiou</t>
  </si>
  <si>
    <t>Raouda Bouzou</t>
  </si>
  <si>
    <t>Yousra Laouali</t>
  </si>
  <si>
    <t>Djamila Chaibou</t>
  </si>
  <si>
    <t>Halimatou Rabiou</t>
  </si>
  <si>
    <t>Mariam Yahouza</t>
  </si>
  <si>
    <t>Karakara 3</t>
  </si>
  <si>
    <t>Amira Sani</t>
  </si>
  <si>
    <t xml:space="preserve">Roukaya Moustapha </t>
  </si>
  <si>
    <t>Nana Soumaya Hamza</t>
  </si>
  <si>
    <t>Charifa Sani</t>
  </si>
  <si>
    <t>Fatouma Zara Illa</t>
  </si>
  <si>
    <t>Choukouriya Ibrahim</t>
  </si>
  <si>
    <t xml:space="preserve">Amira Sani </t>
  </si>
  <si>
    <t xml:space="preserve">Nana kadidja Ousmane </t>
  </si>
  <si>
    <t>Oumou Aymane Adamou</t>
  </si>
  <si>
    <t>Mariama Ibrahim</t>
  </si>
  <si>
    <t>Fatima Mamane</t>
  </si>
  <si>
    <t>Salima Bassirou</t>
  </si>
  <si>
    <t>Fati Issa</t>
  </si>
  <si>
    <t>Soueïba Ali</t>
  </si>
  <si>
    <t>Haouaou Hamissou</t>
  </si>
  <si>
    <t>Ihsan Mountaka</t>
  </si>
  <si>
    <t>Kadidja Kabirou</t>
  </si>
  <si>
    <t>Baraâtou Yahouza</t>
  </si>
  <si>
    <t>Habsatou Hamza</t>
  </si>
  <si>
    <t xml:space="preserve">Maryam Abdoullahi </t>
  </si>
  <si>
    <t>Rafi’a Kamalou</t>
  </si>
  <si>
    <t xml:space="preserve">Aïcha Saïdou </t>
  </si>
  <si>
    <t>Fatima Zara Mahamadou</t>
  </si>
  <si>
    <t>Nana Nassiba Laouali</t>
  </si>
  <si>
    <t xml:space="preserve">Housseina Abdourahmane </t>
  </si>
  <si>
    <t>Hannifa Habou</t>
  </si>
  <si>
    <t>Haouaou Farouk</t>
  </si>
  <si>
    <t>Kadidja Siradji</t>
  </si>
  <si>
    <t>Nafissa Mahamadou</t>
  </si>
  <si>
    <t>Souraya Oumarou</t>
  </si>
  <si>
    <t>Garin Magé</t>
  </si>
  <si>
    <t>Kadidja Kassoumou</t>
  </si>
  <si>
    <t>Zeynabou Zabeirou</t>
  </si>
  <si>
    <t>Hassia Yahaya</t>
  </si>
  <si>
    <t>Fati Mani</t>
  </si>
  <si>
    <t>Décedé</t>
  </si>
  <si>
    <t xml:space="preserve">Oubeida Yahaya </t>
  </si>
  <si>
    <t>Soumaya Abdou</t>
  </si>
  <si>
    <t>Roufaida Mani</t>
  </si>
  <si>
    <t xml:space="preserve">Chamsia Kassoumou </t>
  </si>
  <si>
    <t>Fatchima charébou</t>
  </si>
  <si>
    <t>Mariama Bassirou</t>
  </si>
  <si>
    <t>Firdaoussi mountari</t>
  </si>
  <si>
    <t>Azima Diradji</t>
  </si>
  <si>
    <t>Nana Rachida Mansour</t>
  </si>
  <si>
    <t>Imbelbelou 3</t>
  </si>
  <si>
    <t>Adama Samaila</t>
  </si>
  <si>
    <t>Siraya Barou</t>
  </si>
  <si>
    <t>Oumal Khairi Achirou</t>
  </si>
  <si>
    <t>Rafia  Souley</t>
  </si>
  <si>
    <t>Fatima Zara Mamoudou</t>
  </si>
  <si>
    <t>Fatchima Souleymane</t>
  </si>
  <si>
    <t>Fatima Yahaya</t>
  </si>
  <si>
    <t>Maimouna Idi</t>
  </si>
  <si>
    <t>Oumal Kairi Maman Noura</t>
  </si>
  <si>
    <t>Nisseiba Rabiou</t>
  </si>
  <si>
    <t>Nisseiba Tsayabou</t>
  </si>
  <si>
    <t>Massaouda Nouhou</t>
  </si>
  <si>
    <t>Nana Mariama Souley</t>
  </si>
  <si>
    <t>Mariama Soyley</t>
  </si>
  <si>
    <t>Mariama Moussa</t>
  </si>
  <si>
    <t>Na'ima Ousmana</t>
  </si>
  <si>
    <t>Housna Abdoul Hadi</t>
  </si>
  <si>
    <t>Nadia Abdoul Aziz</t>
  </si>
  <si>
    <t>Kadidja Ousmane</t>
  </si>
  <si>
    <t>Badariya Yahaya</t>
  </si>
  <si>
    <t>Kadidja Abdoul karim</t>
  </si>
  <si>
    <t>Habsate Salissou</t>
  </si>
  <si>
    <t>Yousra Ichaou</t>
  </si>
  <si>
    <t>Kadidja Sabiou</t>
  </si>
  <si>
    <t>Fatima Saminou</t>
  </si>
  <si>
    <t>Fatima Adamou</t>
  </si>
  <si>
    <t>Soultana Mama</t>
  </si>
  <si>
    <t>Charifa Souley</t>
  </si>
  <si>
    <t>Tibiri 2 CM1 Controle</t>
  </si>
  <si>
    <t>Moy CFEPD</t>
  </si>
  <si>
    <t>Admise</t>
  </si>
  <si>
    <t>rédouble</t>
  </si>
  <si>
    <t>Rachida Mahamadou</t>
  </si>
  <si>
    <t>CM2 A</t>
  </si>
  <si>
    <t>Charifa Illia</t>
  </si>
  <si>
    <t>Admise CEG</t>
  </si>
  <si>
    <t>Fadila Oumarou</t>
  </si>
  <si>
    <t>Zeinab Hassan</t>
  </si>
  <si>
    <t>Aicha Aliou</t>
  </si>
  <si>
    <t>Amira Sadissou</t>
  </si>
  <si>
    <t>Firdaoussi Abou</t>
  </si>
  <si>
    <t>Nana Nassoussa Issa</t>
  </si>
  <si>
    <t>Ouma Djamila Moussa</t>
  </si>
  <si>
    <t>Kadidji Salissou</t>
  </si>
  <si>
    <t>Baraâtou Daouda</t>
  </si>
  <si>
    <t>Firdaoussi Ousmane</t>
  </si>
  <si>
    <t>Soumayya Laouali</t>
  </si>
  <si>
    <t>Nijaâtou Rachidou</t>
  </si>
  <si>
    <t>Habsatou Laouali</t>
  </si>
  <si>
    <t>Mahafouza Idi</t>
  </si>
  <si>
    <t>Rafia Sabiou</t>
  </si>
  <si>
    <t>Nana Aichatou Moustapha</t>
  </si>
  <si>
    <t xml:space="preserve">Firdaoussi Yahouza </t>
  </si>
  <si>
    <t>Azima Baraou</t>
  </si>
  <si>
    <t>Oumoul Kair Zabeirou</t>
  </si>
  <si>
    <t>Fadila Moussa</t>
  </si>
  <si>
    <t>Aichtou Ousmane</t>
  </si>
  <si>
    <t>Oumaira Oumarou</t>
  </si>
  <si>
    <t>Nafissa Rabiou</t>
  </si>
  <si>
    <t>Mariama Salissou</t>
  </si>
  <si>
    <t>Haoua Illa</t>
  </si>
  <si>
    <t>Naima Hassane</t>
  </si>
  <si>
    <t>Fatchima Salissou</t>
  </si>
  <si>
    <t>Zoubeida Chaibou</t>
  </si>
  <si>
    <t>Naima Hannafi</t>
  </si>
  <si>
    <t>Salima Saâdou</t>
  </si>
  <si>
    <t>Nassiba Rabiou</t>
  </si>
  <si>
    <t>Soumaya Moussa</t>
  </si>
  <si>
    <t>Ramatou Moussa</t>
  </si>
  <si>
    <t>Azima Ichaou</t>
  </si>
  <si>
    <t>CM2</t>
  </si>
  <si>
    <t>Zeinab Tassiou</t>
  </si>
  <si>
    <t>Roufaida Hannafi</t>
  </si>
  <si>
    <t>Bassira Jadi</t>
  </si>
  <si>
    <t xml:space="preserve">Firdaoussi Nouhou </t>
  </si>
  <si>
    <t>Mariam Moussa</t>
  </si>
  <si>
    <t>Hanifa Sadissou</t>
  </si>
  <si>
    <t>Cherifa Aboubacar</t>
  </si>
  <si>
    <t>Nabiyatou Yacouba</t>
  </si>
  <si>
    <t>Rouweida Tsahirou</t>
  </si>
  <si>
    <t>Aichatou Noura</t>
  </si>
  <si>
    <t>Aminatou Moustapha</t>
  </si>
  <si>
    <t>Ainaou Sabiou</t>
  </si>
  <si>
    <t>Housna Mhamadou</t>
  </si>
  <si>
    <t>Zeinabou Issa</t>
  </si>
  <si>
    <t>Bassira Awaissou</t>
  </si>
  <si>
    <t>Rahamatou Issaka</t>
  </si>
  <si>
    <t>Fati Ibrahim</t>
  </si>
  <si>
    <t>Kadidja Salissou</t>
  </si>
  <si>
    <t>Hawaou Hamissou</t>
  </si>
  <si>
    <t>Roumeissaou Hamissou</t>
  </si>
  <si>
    <t>Kadidja Mamane</t>
  </si>
  <si>
    <t>Hawaou Amadou</t>
  </si>
  <si>
    <t>Faiza Yahaya</t>
  </si>
  <si>
    <t>Yassira Sani</t>
  </si>
  <si>
    <t>Nana Balkissa Rabiou</t>
  </si>
  <si>
    <t>Tibiri 2 CM2 Intervention</t>
  </si>
  <si>
    <t>Passe 6ème</t>
  </si>
  <si>
    <t>Redouble CM2</t>
  </si>
  <si>
    <t>Taux de transition secondaire (passage en 6ème )</t>
  </si>
  <si>
    <t>Roukaya Zabeirou</t>
  </si>
  <si>
    <t>Guigamaoua</t>
  </si>
  <si>
    <t>Fatima Moussa</t>
  </si>
  <si>
    <t>Hadjara Maman</t>
  </si>
  <si>
    <t>Ramatou Hamissou</t>
  </si>
  <si>
    <t>Admise  CEG</t>
  </si>
  <si>
    <t>Firdaoussi Sanoussi</t>
  </si>
  <si>
    <t>Nabila Sani</t>
  </si>
  <si>
    <t>Farida Sani</t>
  </si>
  <si>
    <t>Rabi ousmane</t>
  </si>
  <si>
    <t>Assamaou Rabiou</t>
  </si>
  <si>
    <t>Haouaou Moustapha</t>
  </si>
  <si>
    <t>Mahafouza Illa</t>
  </si>
  <si>
    <t>Nana Firdaousi Issa</t>
  </si>
  <si>
    <t>Mamounatou Yahaya</t>
  </si>
  <si>
    <t>Roufaida Moussa</t>
  </si>
  <si>
    <t>Farida Mansour</t>
  </si>
  <si>
    <t>Hadiza Amani</t>
  </si>
  <si>
    <t>Hannatou Sani</t>
  </si>
  <si>
    <t>Sahiba Rabiou</t>
  </si>
  <si>
    <t>Ouma Djamila Adamou</t>
  </si>
  <si>
    <t>Soumaya Inoussa</t>
  </si>
  <si>
    <t>Nana Faiza Siradji</t>
  </si>
  <si>
    <t>Faiza Laouali</t>
  </si>
  <si>
    <t>Lantana Saidou</t>
  </si>
  <si>
    <t>CFM</t>
  </si>
  <si>
    <t>Hassina Ibrahim </t>
  </si>
  <si>
    <t>Mourdja Soumaila</t>
  </si>
  <si>
    <t>Kadija Malam Yacouba</t>
  </si>
  <si>
    <t>Badariya Yaou</t>
  </si>
  <si>
    <t>Mariam Tassiou</t>
  </si>
  <si>
    <t>CM2 B</t>
  </si>
  <si>
    <t>Fatima Haladou</t>
  </si>
  <si>
    <t>Kadidja Zouladeini</t>
  </si>
  <si>
    <t>Chappa Aminou</t>
  </si>
  <si>
    <t>Fadila Oumar</t>
  </si>
  <si>
    <t>Safaraou Souley</t>
  </si>
  <si>
    <t>Fatima Achirou</t>
  </si>
  <si>
    <t>Zeinab Yahaya</t>
  </si>
  <si>
    <t>-</t>
  </si>
  <si>
    <t>Mariam Oumarou</t>
  </si>
  <si>
    <t>Ounaissa Salissou</t>
  </si>
  <si>
    <t>Safia Oumarou</t>
  </si>
  <si>
    <t>Nana Bassira Moutari</t>
  </si>
  <si>
    <t>Maryam Achirou</t>
  </si>
  <si>
    <t>Zeinabou Aboubacar</t>
  </si>
  <si>
    <t>Hadiza Issa</t>
  </si>
  <si>
    <t>Yassmina Laouali</t>
  </si>
  <si>
    <t>Mariama Adamou</t>
  </si>
  <si>
    <t xml:space="preserve">Mariam Tanimoune </t>
  </si>
  <si>
    <t>Silbiya Tanimoune</t>
  </si>
  <si>
    <t>Halimatou Sama'ila</t>
  </si>
  <si>
    <t>Aichatou Hassane</t>
  </si>
  <si>
    <t>Aicha Boukari</t>
  </si>
  <si>
    <t>Rouhaimatou Awal</t>
  </si>
  <si>
    <t>Nana Hamida Salissou</t>
  </si>
  <si>
    <t>Karkara 1</t>
  </si>
  <si>
    <t>Maniratou Saminou</t>
  </si>
  <si>
    <t>Aminatou Laouali</t>
  </si>
  <si>
    <t>Fatouma Zara Laouali</t>
  </si>
  <si>
    <t>Zeinab M Nazirou</t>
  </si>
  <si>
    <t>Zeinab Ibrahim</t>
  </si>
  <si>
    <t>Roufaida Souleymane</t>
  </si>
  <si>
    <t>Mouchtahida Yahaya</t>
  </si>
  <si>
    <t xml:space="preserve">Nouratou Houda </t>
  </si>
  <si>
    <t>Nana Aicha Djibril</t>
  </si>
  <si>
    <t>Zeinabou Abdou</t>
  </si>
  <si>
    <t>Kadija Adamou</t>
  </si>
  <si>
    <t>Salima Boukari</t>
  </si>
  <si>
    <t>Nazifa Soumane</t>
  </si>
  <si>
    <t>Aicha Yahaya</t>
  </si>
  <si>
    <t>Fati Hamissou</t>
  </si>
  <si>
    <t>Faiza Abdoul Karim</t>
  </si>
  <si>
    <t>Hadjara Ali</t>
  </si>
  <si>
    <t>Habsat Salissou</t>
  </si>
  <si>
    <t>Malika Boubari</t>
  </si>
  <si>
    <t>Nana Rakiya Bachir</t>
  </si>
  <si>
    <t>Ouma Djamila Aboubacar</t>
  </si>
  <si>
    <t>Nana Kadidja Almoustapha</t>
  </si>
  <si>
    <t>Rachida Hamissou</t>
  </si>
  <si>
    <t>Souraya Laouali</t>
  </si>
  <si>
    <t>Zeitouna Ammani</t>
  </si>
  <si>
    <t>Fadila Sani</t>
  </si>
  <si>
    <t>Nana Mansoura Kadiri</t>
  </si>
  <si>
    <t>Amira Saidou</t>
  </si>
  <si>
    <t>Fatima Mahamadou</t>
  </si>
  <si>
    <t>Salamatou Abdoulaye</t>
  </si>
  <si>
    <t>Fatima Halilou</t>
  </si>
  <si>
    <t>Ihsane Moudi</t>
  </si>
  <si>
    <t>Kaousar Sani</t>
  </si>
  <si>
    <t xml:space="preserve">Fatimazara Oumarou </t>
  </si>
  <si>
    <t>Nana Fatchima Djamilou</t>
  </si>
  <si>
    <t>Marfoua Salissou</t>
  </si>
  <si>
    <t>Firdaoussi Abdou</t>
  </si>
  <si>
    <t>Ouma Salma Illiassou</t>
  </si>
  <si>
    <t>Ouma Djamila Amani</t>
  </si>
  <si>
    <t>Ousseina Salissou</t>
  </si>
  <si>
    <t xml:space="preserve">Yasmina Souley </t>
  </si>
  <si>
    <t>Nadia Ibrahim</t>
  </si>
  <si>
    <t>Ouma Maman Wa Illou</t>
  </si>
  <si>
    <t>Zeinab Idrissa</t>
  </si>
  <si>
    <t>Zytouna Sabiou</t>
  </si>
  <si>
    <t>Zeinab Nassirou</t>
  </si>
  <si>
    <t>Kadidja Sadissou</t>
  </si>
  <si>
    <t>Habsat Laouali</t>
  </si>
  <si>
    <t>Farida Ila</t>
  </si>
  <si>
    <t>Fatima Ibrahim</t>
  </si>
  <si>
    <t>Nana Mariama Samaila</t>
  </si>
  <si>
    <t>Ramlatou Mourtala</t>
  </si>
  <si>
    <t>Zouleyhatou Souley</t>
  </si>
  <si>
    <t>Nana Aicha Siradji</t>
  </si>
  <si>
    <t>Ouma Hani Abdoul Hadi</t>
  </si>
  <si>
    <t>Azimiza Abdoul Kader</t>
  </si>
  <si>
    <t>Haouaou Ichaou</t>
  </si>
  <si>
    <t>Nafissa Abdoul Aziz</t>
  </si>
  <si>
    <t>Kadidja Massaoudou</t>
  </si>
  <si>
    <t>Fatouma Zara Abdoul Karim</t>
  </si>
  <si>
    <t>Fatima Noura</t>
  </si>
  <si>
    <t>Nana Aicha Tsayabou</t>
  </si>
  <si>
    <t>Amina Hassan</t>
  </si>
  <si>
    <t>Chappaâtou Rabiou</t>
  </si>
  <si>
    <t>Yassira Almoustapha</t>
  </si>
  <si>
    <t>Madja Ziya Abdou</t>
  </si>
  <si>
    <t xml:space="preserve">Mariam Ousmane </t>
  </si>
  <si>
    <t>Fadila Hamza</t>
  </si>
  <si>
    <t>Zeinab Samaila</t>
  </si>
  <si>
    <t>Ramatou Abdoulahi</t>
  </si>
  <si>
    <t>Harira Amadou</t>
  </si>
  <si>
    <t>Bibata Idrissa</t>
  </si>
  <si>
    <t>Zeinab Laouali</t>
  </si>
  <si>
    <t>Soureiya Abass</t>
  </si>
  <si>
    <t>Ramatou Kabirou</t>
  </si>
  <si>
    <t>Nana Kadidja Yacouba</t>
  </si>
  <si>
    <t>Ainaou Chaibou</t>
  </si>
  <si>
    <t>Kadidja Saidou</t>
  </si>
  <si>
    <t>Soumaya Harouna</t>
  </si>
  <si>
    <t>Salima Mourtala</t>
  </si>
  <si>
    <t>Ramatou Zakari</t>
  </si>
  <si>
    <t>Nana Houmaira Amadou</t>
  </si>
  <si>
    <t>Salima Issoufou</t>
  </si>
  <si>
    <t>Nadia Mahamadou</t>
  </si>
  <si>
    <t>Mansoura Ousman</t>
  </si>
  <si>
    <t>Yasmina Hamissou</t>
  </si>
  <si>
    <t>Farissa Noura</t>
  </si>
  <si>
    <t>Mabarouka Ibrahim</t>
  </si>
  <si>
    <t>Aziza Salissou</t>
  </si>
  <si>
    <t>Fatima zara Ali</t>
  </si>
  <si>
    <t>Nana Naima Habibou</t>
  </si>
  <si>
    <t>Mariam Ousmane</t>
  </si>
  <si>
    <t>Parissa Noura</t>
  </si>
  <si>
    <t>Rachida Maman</t>
  </si>
  <si>
    <t>Kadidja Tsayabou</t>
  </si>
  <si>
    <t>Tibiri 2 CM2 controle</t>
  </si>
  <si>
    <t>Ecoles d'intervention CM2</t>
  </si>
  <si>
    <t>Ecoles d'intervention CM1</t>
  </si>
  <si>
    <t xml:space="preserve">ecole </t>
  </si>
  <si>
    <t>effectifs</t>
  </si>
  <si>
    <t>admissions</t>
  </si>
  <si>
    <t>pourcentage</t>
  </si>
  <si>
    <t>redouble</t>
  </si>
  <si>
    <t>passage</t>
  </si>
  <si>
    <t>Soura Sarki Galma 1</t>
  </si>
  <si>
    <t>Soura Sarki Galma 2</t>
  </si>
  <si>
    <t>Ecoles de Contrôle CM2</t>
  </si>
  <si>
    <t>Ecoles de Contrôle CM1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</si>
</sst>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sz val="11.0"/>
      <color rgb="FF1D1B10"/>
      <name val="Calibri"/>
    </font>
    <font>
      <sz val="11.0"/>
      <color rgb="FF000000"/>
      <name val="Arial"/>
    </font>
    <font>
      <sz val="11.0"/>
      <color rgb="FFFF0000"/>
      <name val="Calibri"/>
    </font>
    <font>
      <sz val="12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</fills>
  <borders count="2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rgb="FF000000"/>
      </top>
    </border>
    <border>
      <left style="thin">
        <color rgb="FF000000"/>
      </left>
      <right style="thin">
        <color rgb="FF000000"/>
      </right>
    </border>
    <border>
      <left/>
      <right/>
      <top/>
      <bottom style="thin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  <border>
      <right style="thin">
        <color rgb="FF000000"/>
      </right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2" fillId="0" fontId="2" numFmtId="0" xfId="0" applyAlignment="1" applyBorder="1" applyFont="1">
      <alignment horizontal="left" shrinkToFit="0" vertical="top" wrapText="1"/>
    </xf>
    <xf borderId="1" fillId="0" fontId="4" numFmtId="0" xfId="0" applyBorder="1" applyFont="1"/>
    <xf borderId="3" fillId="0" fontId="2" numFmtId="0" xfId="0" applyAlignment="1" applyBorder="1" applyFont="1">
      <alignment shrinkToFit="0" vertical="top" wrapText="1"/>
    </xf>
    <xf borderId="3" fillId="0" fontId="5" numFmtId="2" xfId="0" applyAlignment="1" applyBorder="1" applyFont="1" applyNumberFormat="1">
      <alignment shrinkToFit="0" vertical="top" wrapText="1"/>
    </xf>
    <xf borderId="3" fillId="0" fontId="2" numFmtId="2" xfId="0" applyAlignment="1" applyBorder="1" applyFont="1" applyNumberFormat="1">
      <alignment shrinkToFit="0" vertical="top" wrapText="1"/>
    </xf>
    <xf borderId="3" fillId="0" fontId="6" numFmtId="0" xfId="0" applyAlignment="1" applyBorder="1" applyFont="1">
      <alignment shrinkToFit="0" vertical="top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0" fillId="0" fontId="1" numFmtId="10" xfId="0" applyAlignment="1" applyFont="1" applyNumberFormat="1">
      <alignment readingOrder="0"/>
    </xf>
    <xf borderId="0" fillId="0" fontId="1" numFmtId="10" xfId="0" applyFont="1" applyNumberFormat="1"/>
    <xf borderId="4" fillId="0" fontId="2" numFmtId="0" xfId="0" applyAlignment="1" applyBorder="1" applyFont="1">
      <alignment shrinkToFit="0" vertical="top" wrapText="1"/>
    </xf>
    <xf borderId="5" fillId="0" fontId="2" numFmtId="2" xfId="0" applyAlignment="1" applyBorder="1" applyFont="1" applyNumberFormat="1">
      <alignment shrinkToFit="0" vertical="top" wrapText="1"/>
    </xf>
    <xf borderId="6" fillId="0" fontId="6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2" xfId="0" applyAlignment="1" applyFont="1" applyNumberFormat="1">
      <alignment shrinkToFit="0" vertical="top" wrapText="1"/>
    </xf>
    <xf borderId="5" fillId="0" fontId="2" numFmtId="0" xfId="0" applyAlignment="1" applyBorder="1" applyFont="1">
      <alignment shrinkToFit="0" vertical="top" wrapText="1"/>
    </xf>
    <xf borderId="7" fillId="0" fontId="2" numFmtId="0" xfId="0" applyAlignment="1" applyBorder="1" applyFont="1">
      <alignment horizontal="left" shrinkToFit="0" vertical="top" wrapText="1"/>
    </xf>
    <xf borderId="6" fillId="0" fontId="2" numFmtId="0" xfId="0" applyAlignment="1" applyBorder="1" applyFont="1">
      <alignment horizontal="left" shrinkToFit="0" vertical="top" wrapText="1"/>
    </xf>
    <xf borderId="8" fillId="0" fontId="7" numFmtId="0" xfId="0" applyAlignment="1" applyBorder="1" applyFont="1">
      <alignment horizontal="left"/>
    </xf>
    <xf borderId="0" fillId="0" fontId="2" numFmtId="0" xfId="0" applyAlignment="1" applyFont="1">
      <alignment horizontal="left" shrinkToFit="0" vertical="top" wrapText="1"/>
    </xf>
    <xf borderId="5" fillId="0" fontId="2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/>
    </xf>
    <xf borderId="0" fillId="0" fontId="7" numFmtId="0" xfId="0" applyAlignment="1" applyFont="1">
      <alignment horizontal="left"/>
    </xf>
    <xf borderId="4" fillId="0" fontId="6" numFmtId="0" xfId="0" applyAlignment="1" applyBorder="1" applyFont="1">
      <alignment shrinkToFit="0" vertical="top" wrapText="1"/>
    </xf>
    <xf borderId="4" fillId="0" fontId="2" numFmtId="2" xfId="0" applyAlignment="1" applyBorder="1" applyFont="1" applyNumberForma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0" fillId="0" fontId="4" numFmtId="0" xfId="0" applyFont="1"/>
    <xf borderId="6" fillId="0" fontId="2" numFmtId="0" xfId="0" applyAlignment="1" applyBorder="1" applyFont="1">
      <alignment shrinkToFit="0" vertical="top" wrapText="1"/>
    </xf>
    <xf borderId="1" fillId="2" fontId="2" numFmtId="0" xfId="0" applyAlignment="1" applyBorder="1" applyFill="1" applyFont="1">
      <alignment horizontal="left"/>
    </xf>
    <xf borderId="7" fillId="0" fontId="2" numFmtId="0" xfId="0" applyAlignment="1" applyBorder="1" applyFont="1">
      <alignment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2" xfId="0" applyAlignment="1" applyBorder="1" applyFont="1" applyNumberFormat="1">
      <alignment readingOrder="0" shrinkToFit="0" vertical="top" wrapText="1"/>
    </xf>
    <xf borderId="1" fillId="0" fontId="2" numFmtId="2" xfId="0" applyAlignment="1" applyBorder="1" applyFont="1" applyNumberFormat="1">
      <alignment shrinkToFit="0" vertical="top" wrapText="1"/>
    </xf>
    <xf borderId="9" fillId="0" fontId="2" numFmtId="0" xfId="0" applyBorder="1" applyFont="1"/>
    <xf borderId="6" fillId="2" fontId="4" numFmtId="0" xfId="0" applyAlignment="1" applyBorder="1" applyFont="1">
      <alignment horizontal="left"/>
    </xf>
    <xf borderId="6" fillId="0" fontId="2" numFmtId="0" xfId="0" applyBorder="1" applyFont="1"/>
    <xf borderId="6" fillId="0" fontId="2" numFmtId="2" xfId="0" applyAlignment="1" applyBorder="1" applyFont="1" applyNumberFormat="1">
      <alignment shrinkToFit="0" vertical="top" wrapText="1"/>
    </xf>
    <xf borderId="6" fillId="2" fontId="4" numFmtId="0" xfId="0" applyBorder="1" applyFont="1"/>
    <xf borderId="10" fillId="0" fontId="2" numFmtId="0" xfId="0" applyBorder="1" applyFont="1"/>
    <xf borderId="6" fillId="2" fontId="2" numFmtId="0" xfId="0" applyAlignment="1" applyBorder="1" applyFont="1">
      <alignment horizontal="left"/>
    </xf>
    <xf borderId="11" fillId="2" fontId="2" numFmtId="0" xfId="0" applyAlignment="1" applyBorder="1" applyFont="1">
      <alignment horizontal="left"/>
    </xf>
    <xf borderId="12" fillId="3" fontId="2" numFmtId="0" xfId="0" applyAlignment="1" applyBorder="1" applyFill="1" applyFont="1">
      <alignment shrinkToFit="0" vertical="top" wrapText="1"/>
    </xf>
    <xf borderId="13" fillId="0" fontId="2" numFmtId="0" xfId="0" applyAlignment="1" applyBorder="1" applyFont="1">
      <alignment shrinkToFit="0" vertical="top" wrapText="1"/>
    </xf>
    <xf quotePrefix="1" borderId="3" fillId="0" fontId="2" numFmtId="2" xfId="0" applyAlignment="1" applyBorder="1" applyFont="1" applyNumberFormat="1">
      <alignment shrinkToFit="0" vertical="top" wrapText="1"/>
    </xf>
    <xf borderId="3" fillId="3" fontId="2" numFmtId="0" xfId="0" applyAlignment="1" applyBorder="1" applyFont="1">
      <alignment shrinkToFit="0" vertical="top" wrapText="1"/>
    </xf>
    <xf borderId="13" fillId="0" fontId="2" numFmtId="0" xfId="0" applyAlignment="1" applyBorder="1" applyFont="1">
      <alignment horizontal="left" shrinkToFit="0" vertical="top" wrapText="1"/>
    </xf>
    <xf borderId="14" fillId="0" fontId="2" numFmtId="0" xfId="0" applyAlignment="1" applyBorder="1" applyFont="1">
      <alignment horizontal="left" shrinkToFit="0" vertical="top" wrapText="1"/>
    </xf>
    <xf borderId="15" fillId="0" fontId="2" numFmtId="0" xfId="0" applyBorder="1" applyFont="1"/>
    <xf borderId="16" fillId="0" fontId="2" numFmtId="2" xfId="0" applyAlignment="1" applyBorder="1" applyFont="1" applyNumberFormat="1">
      <alignment shrinkToFit="0" vertical="top" wrapText="1"/>
    </xf>
    <xf borderId="17" fillId="0" fontId="2" numFmtId="0" xfId="0" applyBorder="1" applyFont="1"/>
    <xf borderId="1" fillId="0" fontId="2" numFmtId="0" xfId="0" applyBorder="1" applyFont="1"/>
    <xf borderId="16" fillId="0" fontId="2" numFmtId="0" xfId="0" applyAlignment="1" applyBorder="1" applyFont="1">
      <alignment shrinkToFit="0" vertical="top" wrapText="1"/>
    </xf>
    <xf borderId="18" fillId="0" fontId="2" numFmtId="0" xfId="0" applyBorder="1" applyFont="1"/>
    <xf borderId="6" fillId="0" fontId="2" numFmtId="2" xfId="0" applyAlignment="1" applyBorder="1" applyFont="1" applyNumberFormat="1">
      <alignment vertical="top"/>
    </xf>
    <xf borderId="14" fillId="0" fontId="2" numFmtId="0" xfId="0" applyAlignment="1" applyBorder="1" applyFont="1">
      <alignment shrinkToFit="0" vertical="top" wrapText="1"/>
    </xf>
    <xf borderId="9" fillId="0" fontId="2" numFmtId="0" xfId="0" applyAlignment="1" applyBorder="1" applyFont="1">
      <alignment shrinkToFit="0" vertical="top" wrapText="1"/>
    </xf>
    <xf borderId="0" fillId="0" fontId="2" numFmtId="0" xfId="0" applyFont="1"/>
    <xf borderId="19" fillId="3" fontId="2" numFmtId="0" xfId="0" applyAlignment="1" applyBorder="1" applyFont="1">
      <alignment horizontal="center"/>
    </xf>
    <xf borderId="20" fillId="0" fontId="8" numFmtId="0" xfId="0" applyBorder="1" applyFont="1"/>
    <xf borderId="21" fillId="0" fontId="8" numFmtId="0" xfId="0" applyBorder="1" applyFont="1"/>
    <xf borderId="0" fillId="0" fontId="2" numFmtId="10" xfId="0" applyFont="1" applyNumberFormat="1"/>
    <xf borderId="0" fillId="0" fontId="2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Soura Sarki Galma 1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Graphiques!$C$5:$E$5</c:f>
            </c:strRef>
          </c:cat>
          <c:val>
            <c:numRef>
              <c:f>Graphiques!$C$6:$E$6</c:f>
              <c:numCache/>
            </c:numRef>
          </c:val>
        </c:ser>
        <c:ser>
          <c:idx val="1"/>
          <c:order val="1"/>
          <c:tx>
            <c:v>Soura Sarki Galma 2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Graphiques!$C$5:$E$5</c:f>
            </c:strRef>
          </c:cat>
          <c:val>
            <c:numRef>
              <c:f>Graphiques!$C$7:$E$7</c:f>
              <c:numCache/>
            </c:numRef>
          </c:val>
        </c:ser>
        <c:axId val="1802418972"/>
        <c:axId val="20292294"/>
      </c:barChart>
      <c:catAx>
        <c:axId val="18024189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0292294"/>
      </c:catAx>
      <c:valAx>
        <c:axId val="202922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802418972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Graphiques!$B$22:$B$26</c:f>
            </c:strRef>
          </c:cat>
          <c:val>
            <c:numRef>
              <c:f>Graphiques!$C$22:$C$26</c:f>
              <c:numCache/>
            </c:numRef>
          </c:val>
        </c:ser>
        <c:ser>
          <c:idx val="1"/>
          <c:order val="1"/>
          <c:tx>
            <c:v>admissions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Graphiques!$B$22:$B$26</c:f>
            </c:strRef>
          </c:cat>
          <c:val>
            <c:numRef>
              <c:f>Graphiques!$D$22:$D$26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Graphiques!$B$22:$B$26</c:f>
            </c:strRef>
          </c:cat>
          <c:val>
            <c:numRef>
              <c:f>Graphiques!$E$22:$E$26</c:f>
              <c:numCache/>
            </c:numRef>
          </c:val>
        </c:ser>
        <c:axId val="1522581764"/>
        <c:axId val="1521943711"/>
      </c:barChart>
      <c:catAx>
        <c:axId val="15225817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1943711"/>
      </c:catAx>
      <c:valAx>
        <c:axId val="15219437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522581764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Graphiques!$N$6:$N$13</c:f>
            </c:strRef>
          </c:cat>
          <c:val>
            <c:numRef>
              <c:f>Graphiques!$O$6:$O$13</c:f>
              <c:numCache/>
            </c:numRef>
          </c:val>
        </c:ser>
        <c:ser>
          <c:idx val="1"/>
          <c:order val="1"/>
          <c:tx>
            <c:v>passage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Graphiques!$N$6:$N$13</c:f>
            </c:strRef>
          </c:cat>
          <c:val>
            <c:numRef>
              <c:f>Graphiques!$Q$6:$Q$13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Graphiques!$N$6:$N$13</c:f>
            </c:strRef>
          </c:cat>
          <c:val>
            <c:numRef>
              <c:f>Graphiques!$R$6:$R$13</c:f>
              <c:numCache/>
            </c:numRef>
          </c:val>
        </c:ser>
        <c:axId val="1607988879"/>
        <c:axId val="2144745986"/>
      </c:barChart>
      <c:catAx>
        <c:axId val="16079888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2144745986"/>
      </c:catAx>
      <c:valAx>
        <c:axId val="21447459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607988879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effectifs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Graphiques!$N$22:$N$28</c:f>
            </c:strRef>
          </c:cat>
          <c:val>
            <c:numRef>
              <c:f>Graphiques!$O$22:$O$28</c:f>
              <c:numCache/>
            </c:numRef>
          </c:val>
        </c:ser>
        <c:ser>
          <c:idx val="1"/>
          <c:order val="1"/>
          <c:tx>
            <c:v>passage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Graphiques!$N$22:$N$28</c:f>
            </c:strRef>
          </c:cat>
          <c:val>
            <c:numRef>
              <c:f>Graphiques!$Q$22:$Q$28</c:f>
              <c:numCache/>
            </c:numRef>
          </c:val>
        </c:ser>
        <c:ser>
          <c:idx val="2"/>
          <c:order val="2"/>
          <c:tx>
            <c:v>pourcentage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Graphiques!$N$22:$N$28</c:f>
            </c:strRef>
          </c:cat>
          <c:val>
            <c:numRef>
              <c:f>Graphiques!$R$22:$R$28</c:f>
              <c:numCache/>
            </c:numRef>
          </c:val>
        </c:ser>
        <c:axId val="1110664466"/>
        <c:axId val="942502690"/>
      </c:barChart>
      <c:catAx>
        <c:axId val="11106644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942502690"/>
      </c:catAx>
      <c:valAx>
        <c:axId val="9425026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+mn-lt"/>
              </a:defRPr>
            </a:pPr>
          </a:p>
        </c:txPr>
        <c:crossAx val="1110664466"/>
      </c:valAx>
    </c:plotArea>
    <c:legend>
      <c:legendPos val="b"/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428625</xdr:colOff>
      <xdr:row>1</xdr:row>
      <xdr:rowOff>57150</xdr:rowOff>
    </xdr:from>
    <xdr:ext cx="4286250" cy="2609850"/>
    <xdr:graphicFrame>
      <xdr:nvGraphicFramePr>
        <xdr:cNvPr id="2123401183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438150</xdr:colOff>
      <xdr:row>16</xdr:row>
      <xdr:rowOff>28575</xdr:rowOff>
    </xdr:from>
    <xdr:ext cx="4286250" cy="2609850"/>
    <xdr:graphicFrame>
      <xdr:nvGraphicFramePr>
        <xdr:cNvPr id="1596512015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18</xdr:col>
      <xdr:colOff>161925</xdr:colOff>
      <xdr:row>2</xdr:row>
      <xdr:rowOff>47625</xdr:rowOff>
    </xdr:from>
    <xdr:ext cx="4286250" cy="2609850"/>
    <xdr:graphicFrame>
      <xdr:nvGraphicFramePr>
        <xdr:cNvPr id="152907894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18</xdr:col>
      <xdr:colOff>142875</xdr:colOff>
      <xdr:row>17</xdr:row>
      <xdr:rowOff>38100</xdr:rowOff>
    </xdr:from>
    <xdr:ext cx="4286250" cy="2609850"/>
    <xdr:graphicFrame>
      <xdr:nvGraphicFramePr>
        <xdr:cNvPr id="1368082539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0.57"/>
    <col customWidth="1" min="3" max="26" width="10.71"/>
  </cols>
  <sheetData>
    <row r="1" ht="14.25" customHeight="1">
      <c r="A1" s="1" t="s">
        <v>0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3" t="s">
        <v>10</v>
      </c>
      <c r="K3" s="4" t="s">
        <v>11</v>
      </c>
      <c r="L3" s="4" t="s">
        <v>12</v>
      </c>
      <c r="M3" s="5" t="s">
        <v>13</v>
      </c>
    </row>
    <row r="4" ht="14.25" customHeight="1">
      <c r="A4" s="6">
        <v>1.0</v>
      </c>
      <c r="B4" s="7" t="s">
        <v>14</v>
      </c>
      <c r="C4" s="8" t="s">
        <v>15</v>
      </c>
      <c r="D4" s="8" t="s">
        <v>16</v>
      </c>
      <c r="E4" s="9">
        <v>2.85</v>
      </c>
      <c r="F4" s="9">
        <v>1.95</v>
      </c>
      <c r="G4" s="9">
        <v>2.0</v>
      </c>
      <c r="H4" s="10">
        <f>((E4+F4+J4)/3)</f>
        <v>1.6</v>
      </c>
      <c r="I4" s="11" t="s">
        <v>17</v>
      </c>
      <c r="K4" s="12">
        <v>1.0</v>
      </c>
    </row>
    <row r="5" ht="14.25" customHeight="1">
      <c r="A5" s="6">
        <v>2.0</v>
      </c>
      <c r="B5" s="7" t="s">
        <v>18</v>
      </c>
      <c r="C5" s="8" t="s">
        <v>15</v>
      </c>
      <c r="D5" s="8" t="s">
        <v>16</v>
      </c>
      <c r="E5" s="10">
        <v>4.36</v>
      </c>
      <c r="F5" s="10">
        <v>4.98</v>
      </c>
      <c r="G5" s="10">
        <v>6.58</v>
      </c>
      <c r="H5" s="10">
        <f t="shared" ref="H5:H33" si="1">((E5+F5+G5)/3)</f>
        <v>5.306666667</v>
      </c>
      <c r="I5" s="8" t="s">
        <v>19</v>
      </c>
      <c r="J5" s="12">
        <v>1.0</v>
      </c>
    </row>
    <row r="6" ht="14.25" customHeight="1">
      <c r="A6" s="6">
        <v>3.0</v>
      </c>
      <c r="B6" s="7" t="s">
        <v>20</v>
      </c>
      <c r="C6" s="8" t="s">
        <v>15</v>
      </c>
      <c r="D6" s="8" t="s">
        <v>16</v>
      </c>
      <c r="E6" s="10">
        <v>5.47</v>
      </c>
      <c r="F6" s="10">
        <v>5.69</v>
      </c>
      <c r="G6" s="10">
        <v>4.74</v>
      </c>
      <c r="H6" s="10">
        <f t="shared" si="1"/>
        <v>5.3</v>
      </c>
      <c r="I6" s="8" t="s">
        <v>19</v>
      </c>
      <c r="J6" s="12">
        <v>1.0</v>
      </c>
    </row>
    <row r="7" ht="14.25" customHeight="1">
      <c r="A7" s="6">
        <v>4.0</v>
      </c>
      <c r="B7" s="7" t="s">
        <v>21</v>
      </c>
      <c r="C7" s="8" t="s">
        <v>15</v>
      </c>
      <c r="D7" s="8" t="s">
        <v>16</v>
      </c>
      <c r="E7" s="10">
        <v>4.89</v>
      </c>
      <c r="F7" s="10">
        <v>4.25</v>
      </c>
      <c r="G7" s="10">
        <v>5.87</v>
      </c>
      <c r="H7" s="10">
        <f t="shared" si="1"/>
        <v>5.003333333</v>
      </c>
      <c r="I7" s="8" t="s">
        <v>19</v>
      </c>
      <c r="J7" s="12">
        <v>1.0</v>
      </c>
    </row>
    <row r="8" ht="14.25" customHeight="1">
      <c r="A8" s="6">
        <v>5.0</v>
      </c>
      <c r="B8" s="7" t="s">
        <v>22</v>
      </c>
      <c r="C8" s="8" t="s">
        <v>15</v>
      </c>
      <c r="D8" s="8" t="s">
        <v>16</v>
      </c>
      <c r="E8" s="10">
        <v>2.46</v>
      </c>
      <c r="F8" s="10">
        <v>3.0</v>
      </c>
      <c r="G8" s="10">
        <v>3.63</v>
      </c>
      <c r="H8" s="10">
        <f t="shared" si="1"/>
        <v>3.03</v>
      </c>
      <c r="I8" s="11" t="s">
        <v>17</v>
      </c>
      <c r="K8" s="12">
        <v>1.0</v>
      </c>
    </row>
    <row r="9" ht="14.25" customHeight="1">
      <c r="A9" s="6">
        <v>6.0</v>
      </c>
      <c r="B9" s="7" t="s">
        <v>23</v>
      </c>
      <c r="C9" s="8" t="s">
        <v>15</v>
      </c>
      <c r="D9" s="8" t="s">
        <v>16</v>
      </c>
      <c r="E9" s="10">
        <v>5.87</v>
      </c>
      <c r="F9" s="10">
        <v>6.98</v>
      </c>
      <c r="G9" s="10">
        <v>5.79</v>
      </c>
      <c r="H9" s="10">
        <f t="shared" si="1"/>
        <v>6.213333333</v>
      </c>
      <c r="I9" s="8" t="s">
        <v>19</v>
      </c>
      <c r="J9" s="12">
        <v>1.0</v>
      </c>
    </row>
    <row r="10" ht="14.25" customHeight="1">
      <c r="A10" s="6">
        <v>7.0</v>
      </c>
      <c r="B10" s="7" t="s">
        <v>24</v>
      </c>
      <c r="C10" s="8" t="s">
        <v>15</v>
      </c>
      <c r="D10" s="8" t="s">
        <v>16</v>
      </c>
      <c r="E10" s="10">
        <v>4.89</v>
      </c>
      <c r="F10" s="10">
        <v>5.02</v>
      </c>
      <c r="G10" s="10">
        <v>5.33</v>
      </c>
      <c r="H10" s="10">
        <f t="shared" si="1"/>
        <v>5.08</v>
      </c>
      <c r="I10" s="8" t="s">
        <v>19</v>
      </c>
      <c r="J10" s="12">
        <v>1.0</v>
      </c>
    </row>
    <row r="11" ht="14.25" customHeight="1">
      <c r="A11" s="6">
        <v>8.0</v>
      </c>
      <c r="B11" s="7" t="s">
        <v>25</v>
      </c>
      <c r="C11" s="8" t="s">
        <v>15</v>
      </c>
      <c r="D11" s="8" t="s">
        <v>16</v>
      </c>
      <c r="E11" s="10">
        <v>5.89</v>
      </c>
      <c r="F11" s="10">
        <v>4.25</v>
      </c>
      <c r="G11" s="10">
        <v>4.06</v>
      </c>
      <c r="H11" s="10">
        <f t="shared" si="1"/>
        <v>4.733333333</v>
      </c>
      <c r="I11" s="8" t="s">
        <v>19</v>
      </c>
      <c r="J11" s="12">
        <v>1.0</v>
      </c>
    </row>
    <row r="12" ht="14.25" customHeight="1">
      <c r="A12" s="6">
        <v>9.0</v>
      </c>
      <c r="B12" s="7" t="s">
        <v>26</v>
      </c>
      <c r="C12" s="8" t="s">
        <v>15</v>
      </c>
      <c r="D12" s="8" t="s">
        <v>16</v>
      </c>
      <c r="E12" s="10">
        <v>6.67</v>
      </c>
      <c r="F12" s="10">
        <v>5.12</v>
      </c>
      <c r="G12" s="10">
        <v>5.56</v>
      </c>
      <c r="H12" s="10">
        <f t="shared" si="1"/>
        <v>5.783333333</v>
      </c>
      <c r="I12" s="8" t="s">
        <v>19</v>
      </c>
      <c r="J12" s="12">
        <v>1.0</v>
      </c>
    </row>
    <row r="13" ht="14.25" customHeight="1">
      <c r="A13" s="6">
        <v>10.0</v>
      </c>
      <c r="B13" s="7" t="s">
        <v>27</v>
      </c>
      <c r="C13" s="8" t="s">
        <v>15</v>
      </c>
      <c r="D13" s="8" t="s">
        <v>16</v>
      </c>
      <c r="E13" s="10">
        <v>4.37</v>
      </c>
      <c r="F13" s="10">
        <v>4.82</v>
      </c>
      <c r="G13" s="10">
        <v>4.96</v>
      </c>
      <c r="H13" s="10">
        <f t="shared" si="1"/>
        <v>4.716666667</v>
      </c>
      <c r="I13" s="8" t="s">
        <v>19</v>
      </c>
      <c r="J13" s="12">
        <v>1.0</v>
      </c>
    </row>
    <row r="14" ht="14.25" customHeight="1">
      <c r="A14" s="6">
        <v>11.0</v>
      </c>
      <c r="B14" s="7" t="s">
        <v>28</v>
      </c>
      <c r="C14" s="8" t="s">
        <v>15</v>
      </c>
      <c r="D14" s="8" t="s">
        <v>16</v>
      </c>
      <c r="E14" s="10">
        <v>5.12</v>
      </c>
      <c r="F14" s="10">
        <v>6.92</v>
      </c>
      <c r="G14" s="10">
        <v>6.33</v>
      </c>
      <c r="H14" s="10">
        <f t="shared" si="1"/>
        <v>6.123333333</v>
      </c>
      <c r="I14" s="8" t="s">
        <v>19</v>
      </c>
      <c r="J14" s="12">
        <v>1.0</v>
      </c>
    </row>
    <row r="15" ht="14.25" customHeight="1">
      <c r="A15" s="6">
        <v>12.0</v>
      </c>
      <c r="B15" s="7" t="s">
        <v>29</v>
      </c>
      <c r="C15" s="8" t="s">
        <v>15</v>
      </c>
      <c r="D15" s="8" t="s">
        <v>16</v>
      </c>
      <c r="E15" s="10">
        <v>4.12</v>
      </c>
      <c r="F15" s="10">
        <v>4.37</v>
      </c>
      <c r="G15" s="10">
        <v>5.47</v>
      </c>
      <c r="H15" s="10">
        <f t="shared" si="1"/>
        <v>4.653333333</v>
      </c>
      <c r="I15" s="8" t="s">
        <v>19</v>
      </c>
      <c r="J15" s="12">
        <v>1.0</v>
      </c>
    </row>
    <row r="16" ht="14.25" customHeight="1">
      <c r="A16" s="6">
        <v>13.0</v>
      </c>
      <c r="B16" s="7" t="s">
        <v>30</v>
      </c>
      <c r="C16" s="8" t="s">
        <v>15</v>
      </c>
      <c r="D16" s="8" t="s">
        <v>16</v>
      </c>
      <c r="E16" s="10">
        <v>3.02</v>
      </c>
      <c r="F16" s="10">
        <v>3.7</v>
      </c>
      <c r="G16" s="10">
        <v>3.78</v>
      </c>
      <c r="H16" s="10">
        <f t="shared" si="1"/>
        <v>3.5</v>
      </c>
      <c r="I16" s="11" t="s">
        <v>17</v>
      </c>
      <c r="K16" s="12">
        <v>1.0</v>
      </c>
    </row>
    <row r="17" ht="14.25" customHeight="1">
      <c r="A17" s="6">
        <v>14.0</v>
      </c>
      <c r="B17" s="7" t="s">
        <v>31</v>
      </c>
      <c r="C17" s="8" t="s">
        <v>15</v>
      </c>
      <c r="D17" s="8" t="s">
        <v>32</v>
      </c>
      <c r="E17" s="10">
        <v>6.0</v>
      </c>
      <c r="F17" s="10">
        <v>5.46</v>
      </c>
      <c r="G17" s="10">
        <v>4.28</v>
      </c>
      <c r="H17" s="10">
        <f t="shared" si="1"/>
        <v>5.246666667</v>
      </c>
      <c r="I17" s="8" t="s">
        <v>19</v>
      </c>
      <c r="J17" s="12">
        <v>1.0</v>
      </c>
    </row>
    <row r="18" ht="14.25" customHeight="1">
      <c r="A18" s="6">
        <v>15.0</v>
      </c>
      <c r="B18" s="7" t="s">
        <v>33</v>
      </c>
      <c r="C18" s="8" t="s">
        <v>15</v>
      </c>
      <c r="D18" s="8" t="s">
        <v>32</v>
      </c>
      <c r="E18" s="10">
        <v>3.04</v>
      </c>
      <c r="F18" s="10">
        <v>4.87</v>
      </c>
      <c r="G18" s="10">
        <v>5.7</v>
      </c>
      <c r="H18" s="10">
        <f t="shared" si="1"/>
        <v>4.536666667</v>
      </c>
      <c r="I18" s="8" t="s">
        <v>19</v>
      </c>
      <c r="J18" s="12">
        <v>1.0</v>
      </c>
    </row>
    <row r="19" ht="14.25" customHeight="1">
      <c r="A19" s="6">
        <v>16.0</v>
      </c>
      <c r="B19" s="7" t="s">
        <v>34</v>
      </c>
      <c r="C19" s="8" t="s">
        <v>15</v>
      </c>
      <c r="D19" s="8" t="s">
        <v>32</v>
      </c>
      <c r="E19" s="10">
        <v>3.68</v>
      </c>
      <c r="F19" s="10">
        <v>5.86</v>
      </c>
      <c r="G19" s="10">
        <v>4.91</v>
      </c>
      <c r="H19" s="10">
        <f t="shared" si="1"/>
        <v>4.816666667</v>
      </c>
      <c r="I19" s="8" t="s">
        <v>19</v>
      </c>
      <c r="J19" s="12">
        <v>1.0</v>
      </c>
    </row>
    <row r="20" ht="14.25" customHeight="1">
      <c r="A20" s="6">
        <v>17.0</v>
      </c>
      <c r="B20" s="7" t="s">
        <v>35</v>
      </c>
      <c r="C20" s="8" t="s">
        <v>15</v>
      </c>
      <c r="D20" s="8" t="s">
        <v>32</v>
      </c>
      <c r="E20" s="10">
        <v>4.64</v>
      </c>
      <c r="F20" s="10">
        <v>5.0</v>
      </c>
      <c r="G20" s="10">
        <v>5.78</v>
      </c>
      <c r="H20" s="10">
        <f t="shared" si="1"/>
        <v>5.14</v>
      </c>
      <c r="I20" s="8" t="s">
        <v>19</v>
      </c>
      <c r="J20" s="12">
        <v>1.0</v>
      </c>
    </row>
    <row r="21" ht="14.25" customHeight="1">
      <c r="A21" s="6">
        <v>18.0</v>
      </c>
      <c r="B21" s="7" t="s">
        <v>36</v>
      </c>
      <c r="C21" s="8" t="s">
        <v>15</v>
      </c>
      <c r="D21" s="8" t="s">
        <v>32</v>
      </c>
      <c r="E21" s="10">
        <v>3.87</v>
      </c>
      <c r="F21" s="10">
        <v>4.3</v>
      </c>
      <c r="G21" s="10">
        <v>4.52</v>
      </c>
      <c r="H21" s="10">
        <f t="shared" si="1"/>
        <v>4.23</v>
      </c>
      <c r="I21" s="11" t="s">
        <v>17</v>
      </c>
      <c r="K21" s="12">
        <v>1.0</v>
      </c>
    </row>
    <row r="22" ht="14.25" customHeight="1">
      <c r="A22" s="6">
        <v>19.0</v>
      </c>
      <c r="B22" s="7" t="s">
        <v>37</v>
      </c>
      <c r="C22" s="8" t="s">
        <v>15</v>
      </c>
      <c r="D22" s="8" t="s">
        <v>32</v>
      </c>
      <c r="E22" s="10">
        <v>5.46</v>
      </c>
      <c r="F22" s="10">
        <v>4.47</v>
      </c>
      <c r="G22" s="10">
        <v>5.01</v>
      </c>
      <c r="H22" s="10">
        <f t="shared" si="1"/>
        <v>4.98</v>
      </c>
      <c r="I22" s="8" t="s">
        <v>19</v>
      </c>
      <c r="J22" s="12">
        <v>1.0</v>
      </c>
    </row>
    <row r="23" ht="14.25" customHeight="1">
      <c r="A23" s="6">
        <v>20.0</v>
      </c>
      <c r="B23" s="7" t="s">
        <v>38</v>
      </c>
      <c r="C23" s="8" t="s">
        <v>15</v>
      </c>
      <c r="D23" s="8" t="s">
        <v>32</v>
      </c>
      <c r="E23" s="10">
        <v>3.23</v>
      </c>
      <c r="F23" s="10">
        <v>4.86</v>
      </c>
      <c r="G23" s="10">
        <v>5.83</v>
      </c>
      <c r="H23" s="10">
        <f t="shared" si="1"/>
        <v>4.64</v>
      </c>
      <c r="I23" s="8" t="s">
        <v>19</v>
      </c>
      <c r="J23" s="12">
        <v>1.0</v>
      </c>
    </row>
    <row r="24" ht="14.25" customHeight="1">
      <c r="A24" s="6">
        <v>21.0</v>
      </c>
      <c r="B24" s="7" t="s">
        <v>39</v>
      </c>
      <c r="C24" s="8" t="s">
        <v>15</v>
      </c>
      <c r="D24" s="8" t="s">
        <v>32</v>
      </c>
      <c r="E24" s="10">
        <v>4.87</v>
      </c>
      <c r="F24" s="10">
        <v>4.86</v>
      </c>
      <c r="G24" s="10">
        <v>4.91</v>
      </c>
      <c r="H24" s="10">
        <f t="shared" si="1"/>
        <v>4.88</v>
      </c>
      <c r="I24" s="8" t="s">
        <v>19</v>
      </c>
      <c r="J24" s="12">
        <v>1.0</v>
      </c>
    </row>
    <row r="25" ht="14.25" customHeight="1">
      <c r="A25" s="6">
        <v>22.0</v>
      </c>
      <c r="B25" s="7" t="s">
        <v>40</v>
      </c>
      <c r="C25" s="8" t="s">
        <v>15</v>
      </c>
      <c r="D25" s="8" t="s">
        <v>32</v>
      </c>
      <c r="E25" s="10">
        <v>2.69</v>
      </c>
      <c r="F25" s="10">
        <v>3.47</v>
      </c>
      <c r="G25" s="10">
        <v>3.83</v>
      </c>
      <c r="H25" s="10">
        <f t="shared" si="1"/>
        <v>3.33</v>
      </c>
      <c r="I25" s="11" t="s">
        <v>17</v>
      </c>
      <c r="K25" s="12">
        <v>1.0</v>
      </c>
    </row>
    <row r="26" ht="14.25" customHeight="1">
      <c r="A26" s="6">
        <v>23.0</v>
      </c>
      <c r="B26" s="13" t="s">
        <v>41</v>
      </c>
      <c r="C26" s="8" t="s">
        <v>15</v>
      </c>
      <c r="D26" s="8" t="s">
        <v>32</v>
      </c>
      <c r="E26" s="10">
        <v>4.36</v>
      </c>
      <c r="F26" s="10">
        <v>5.06</v>
      </c>
      <c r="G26" s="10">
        <v>5.85</v>
      </c>
      <c r="H26" s="10">
        <f t="shared" si="1"/>
        <v>5.09</v>
      </c>
      <c r="I26" s="8" t="s">
        <v>19</v>
      </c>
      <c r="J26" s="12">
        <v>1.0</v>
      </c>
    </row>
    <row r="27" ht="14.25" customHeight="1">
      <c r="A27" s="6">
        <v>24.0</v>
      </c>
      <c r="B27" s="13" t="s">
        <v>42</v>
      </c>
      <c r="C27" s="8" t="s">
        <v>15</v>
      </c>
      <c r="D27" s="8" t="s">
        <v>32</v>
      </c>
      <c r="E27" s="10">
        <v>5.0</v>
      </c>
      <c r="F27" s="10">
        <v>6.12</v>
      </c>
      <c r="G27" s="10">
        <v>6.68</v>
      </c>
      <c r="H27" s="10">
        <f t="shared" si="1"/>
        <v>5.933333333</v>
      </c>
      <c r="I27" s="8" t="s">
        <v>19</v>
      </c>
      <c r="J27" s="12">
        <v>1.0</v>
      </c>
    </row>
    <row r="28" ht="14.25" customHeight="1">
      <c r="A28" s="6">
        <v>25.0</v>
      </c>
      <c r="B28" s="13" t="s">
        <v>43</v>
      </c>
      <c r="C28" s="8" t="s">
        <v>15</v>
      </c>
      <c r="D28" s="8" t="s">
        <v>32</v>
      </c>
      <c r="E28" s="10">
        <v>2.87</v>
      </c>
      <c r="F28" s="10">
        <v>3.59</v>
      </c>
      <c r="G28" s="10">
        <v>4.37</v>
      </c>
      <c r="H28" s="10">
        <f t="shared" si="1"/>
        <v>3.61</v>
      </c>
      <c r="I28" s="11" t="s">
        <v>17</v>
      </c>
      <c r="K28" s="12">
        <v>1.0</v>
      </c>
    </row>
    <row r="29" ht="14.25" customHeight="1">
      <c r="A29" s="6">
        <v>26.0</v>
      </c>
      <c r="B29" s="13" t="s">
        <v>44</v>
      </c>
      <c r="C29" s="8" t="s">
        <v>15</v>
      </c>
      <c r="D29" s="8" t="s">
        <v>32</v>
      </c>
      <c r="E29" s="10">
        <v>1.48</v>
      </c>
      <c r="F29" s="10">
        <v>2.15</v>
      </c>
      <c r="G29" s="10">
        <v>3.33</v>
      </c>
      <c r="H29" s="10">
        <f t="shared" si="1"/>
        <v>2.32</v>
      </c>
      <c r="I29" s="11" t="s">
        <v>17</v>
      </c>
      <c r="K29" s="12">
        <v>1.0</v>
      </c>
    </row>
    <row r="30" ht="14.25" customHeight="1">
      <c r="A30" s="6">
        <v>27.0</v>
      </c>
      <c r="B30" s="13" t="s">
        <v>45</v>
      </c>
      <c r="C30" s="8" t="s">
        <v>15</v>
      </c>
      <c r="D30" s="8" t="s">
        <v>32</v>
      </c>
      <c r="E30" s="10">
        <v>3.67</v>
      </c>
      <c r="F30" s="10">
        <v>4.91</v>
      </c>
      <c r="G30" s="10">
        <v>4.92</v>
      </c>
      <c r="H30" s="10">
        <f t="shared" si="1"/>
        <v>4.5</v>
      </c>
      <c r="I30" s="8" t="s">
        <v>19</v>
      </c>
      <c r="J30" s="12">
        <v>1.0</v>
      </c>
    </row>
    <row r="31" ht="14.25" customHeight="1">
      <c r="A31" s="6">
        <v>28.0</v>
      </c>
      <c r="B31" s="13" t="s">
        <v>46</v>
      </c>
      <c r="C31" s="8" t="s">
        <v>15</v>
      </c>
      <c r="D31" s="8" t="s">
        <v>32</v>
      </c>
      <c r="E31" s="10">
        <v>5.12</v>
      </c>
      <c r="F31" s="10">
        <v>6.37</v>
      </c>
      <c r="G31" s="10">
        <v>5.94</v>
      </c>
      <c r="H31" s="10">
        <f t="shared" si="1"/>
        <v>5.81</v>
      </c>
      <c r="I31" s="8" t="s">
        <v>19</v>
      </c>
      <c r="J31" s="12">
        <v>1.0</v>
      </c>
    </row>
    <row r="32" ht="14.25" customHeight="1">
      <c r="A32" s="6">
        <v>29.0</v>
      </c>
      <c r="B32" s="13" t="s">
        <v>47</v>
      </c>
      <c r="C32" s="8" t="s">
        <v>15</v>
      </c>
      <c r="D32" s="8" t="s">
        <v>32</v>
      </c>
      <c r="E32" s="9">
        <v>3.85</v>
      </c>
      <c r="F32" s="9">
        <v>4.95</v>
      </c>
      <c r="G32" s="9">
        <v>5.11</v>
      </c>
      <c r="H32" s="10">
        <f t="shared" si="1"/>
        <v>4.636666667</v>
      </c>
      <c r="I32" s="8" t="s">
        <v>19</v>
      </c>
      <c r="J32" s="12">
        <v>1.0</v>
      </c>
    </row>
    <row r="33" ht="14.25" customHeight="1">
      <c r="A33" s="6">
        <v>30.0</v>
      </c>
      <c r="B33" s="13" t="s">
        <v>48</v>
      </c>
      <c r="C33" s="8" t="s">
        <v>15</v>
      </c>
      <c r="D33" s="8" t="s">
        <v>32</v>
      </c>
      <c r="E33" s="10">
        <v>4.48</v>
      </c>
      <c r="F33" s="10">
        <v>5.15</v>
      </c>
      <c r="G33" s="10">
        <v>4.58</v>
      </c>
      <c r="H33" s="10">
        <f t="shared" si="1"/>
        <v>4.736666667</v>
      </c>
      <c r="I33" s="8" t="s">
        <v>19</v>
      </c>
      <c r="J33" s="12">
        <v>1.0</v>
      </c>
    </row>
    <row r="34" ht="14.25" customHeight="1">
      <c r="A34" s="6"/>
      <c r="B34" s="14"/>
      <c r="C34" s="8"/>
      <c r="D34" s="8"/>
      <c r="E34" s="10"/>
      <c r="F34" s="10"/>
      <c r="G34" s="10"/>
      <c r="H34" s="10"/>
      <c r="I34" s="8"/>
      <c r="J34" s="12">
        <f t="shared" ref="J34:K34" si="2">SUM(J4:J33)</f>
        <v>23</v>
      </c>
      <c r="K34" s="1">
        <f t="shared" si="2"/>
        <v>7</v>
      </c>
    </row>
    <row r="35" ht="14.25" customHeight="1">
      <c r="A35" s="6"/>
      <c r="B35" s="14"/>
      <c r="C35" s="8"/>
      <c r="D35" s="8"/>
      <c r="E35" s="10"/>
      <c r="F35" s="10"/>
      <c r="G35" s="10"/>
      <c r="H35" s="10"/>
      <c r="I35" s="8"/>
      <c r="J35" s="15">
        <f>J34/A33</f>
        <v>0.7666666667</v>
      </c>
      <c r="K35" s="16">
        <f>K34/A33</f>
        <v>0.2333333333</v>
      </c>
    </row>
    <row r="36" ht="14.25" customHeight="1">
      <c r="A36" s="6"/>
      <c r="B36" s="14"/>
      <c r="C36" s="8"/>
      <c r="D36" s="8"/>
      <c r="E36" s="10"/>
      <c r="F36" s="10"/>
      <c r="G36" s="10"/>
      <c r="H36" s="10"/>
      <c r="I36" s="8"/>
      <c r="J36" s="12"/>
    </row>
    <row r="37" ht="14.25" customHeight="1">
      <c r="A37" s="6">
        <v>1.0</v>
      </c>
      <c r="B37" s="8" t="s">
        <v>49</v>
      </c>
      <c r="C37" s="8" t="s">
        <v>50</v>
      </c>
      <c r="D37" s="8" t="s">
        <v>16</v>
      </c>
      <c r="E37" s="10">
        <v>5.6</v>
      </c>
      <c r="F37" s="10">
        <v>4.5</v>
      </c>
      <c r="G37" s="10">
        <v>4.63</v>
      </c>
      <c r="H37" s="10">
        <f t="shared" ref="H37:H66" si="3">((E37+F37+G37)/3)</f>
        <v>4.91</v>
      </c>
      <c r="I37" s="8" t="s">
        <v>19</v>
      </c>
      <c r="J37" s="12">
        <v>1.0</v>
      </c>
    </row>
    <row r="38" ht="14.25" customHeight="1">
      <c r="A38" s="6">
        <v>2.0</v>
      </c>
      <c r="B38" s="8" t="s">
        <v>51</v>
      </c>
      <c r="C38" s="8" t="s">
        <v>50</v>
      </c>
      <c r="D38" s="8" t="s">
        <v>16</v>
      </c>
      <c r="E38" s="10">
        <v>4.76</v>
      </c>
      <c r="F38" s="10">
        <v>3.95</v>
      </c>
      <c r="G38" s="10">
        <v>5.97</v>
      </c>
      <c r="H38" s="10">
        <f t="shared" si="3"/>
        <v>4.893333333</v>
      </c>
      <c r="I38" s="8" t="s">
        <v>19</v>
      </c>
      <c r="J38" s="12">
        <v>1.0</v>
      </c>
    </row>
    <row r="39" ht="14.25" customHeight="1">
      <c r="A39" s="6">
        <v>3.0</v>
      </c>
      <c r="B39" s="8" t="s">
        <v>52</v>
      </c>
      <c r="C39" s="8" t="s">
        <v>50</v>
      </c>
      <c r="D39" s="8" t="s">
        <v>16</v>
      </c>
      <c r="E39" s="10">
        <v>3.92</v>
      </c>
      <c r="F39" s="10">
        <v>4.7</v>
      </c>
      <c r="G39" s="10">
        <v>4.87</v>
      </c>
      <c r="H39" s="10">
        <f t="shared" si="3"/>
        <v>4.496666667</v>
      </c>
      <c r="I39" s="8" t="s">
        <v>19</v>
      </c>
      <c r="J39" s="12">
        <v>1.0</v>
      </c>
    </row>
    <row r="40" ht="14.25" customHeight="1">
      <c r="A40" s="6">
        <v>4.0</v>
      </c>
      <c r="B40" s="8" t="s">
        <v>53</v>
      </c>
      <c r="C40" s="8" t="s">
        <v>50</v>
      </c>
      <c r="D40" s="8" t="s">
        <v>16</v>
      </c>
      <c r="E40" s="10">
        <v>4.81</v>
      </c>
      <c r="F40" s="10">
        <v>5.85</v>
      </c>
      <c r="G40" s="10">
        <v>5.1</v>
      </c>
      <c r="H40" s="10">
        <f t="shared" si="3"/>
        <v>5.253333333</v>
      </c>
      <c r="I40" s="8" t="s">
        <v>19</v>
      </c>
      <c r="J40" s="12">
        <v>1.0</v>
      </c>
    </row>
    <row r="41" ht="14.25" customHeight="1">
      <c r="A41" s="6">
        <v>5.0</v>
      </c>
      <c r="B41" s="8" t="s">
        <v>54</v>
      </c>
      <c r="C41" s="8" t="s">
        <v>50</v>
      </c>
      <c r="D41" s="8" t="s">
        <v>16</v>
      </c>
      <c r="E41" s="10">
        <v>5.1</v>
      </c>
      <c r="F41" s="10">
        <v>4.09</v>
      </c>
      <c r="G41" s="10">
        <v>4.55</v>
      </c>
      <c r="H41" s="10">
        <f t="shared" si="3"/>
        <v>4.58</v>
      </c>
      <c r="I41" s="8" t="s">
        <v>19</v>
      </c>
      <c r="J41" s="12">
        <v>1.0</v>
      </c>
    </row>
    <row r="42" ht="14.25" customHeight="1">
      <c r="A42" s="6">
        <v>6.0</v>
      </c>
      <c r="B42" s="8" t="s">
        <v>55</v>
      </c>
      <c r="C42" s="8" t="s">
        <v>50</v>
      </c>
      <c r="D42" s="8" t="s">
        <v>16</v>
      </c>
      <c r="E42" s="10">
        <v>4.6</v>
      </c>
      <c r="F42" s="10">
        <v>5.75</v>
      </c>
      <c r="G42" s="10">
        <v>5.8</v>
      </c>
      <c r="H42" s="10">
        <f t="shared" si="3"/>
        <v>5.383333333</v>
      </c>
      <c r="I42" s="8" t="s">
        <v>19</v>
      </c>
      <c r="J42" s="12">
        <v>1.0</v>
      </c>
    </row>
    <row r="43" ht="14.25" customHeight="1">
      <c r="A43" s="6">
        <v>7.0</v>
      </c>
      <c r="B43" s="8" t="s">
        <v>56</v>
      </c>
      <c r="C43" s="8" t="s">
        <v>50</v>
      </c>
      <c r="D43" s="8" t="s">
        <v>16</v>
      </c>
      <c r="E43" s="10">
        <v>6.15</v>
      </c>
      <c r="F43" s="10">
        <v>4.18</v>
      </c>
      <c r="G43" s="10">
        <v>5.5</v>
      </c>
      <c r="H43" s="10">
        <f t="shared" si="3"/>
        <v>5.276666667</v>
      </c>
      <c r="I43" s="8" t="s">
        <v>19</v>
      </c>
      <c r="J43" s="12">
        <v>1.0</v>
      </c>
    </row>
    <row r="44" ht="14.25" customHeight="1">
      <c r="A44" s="6">
        <v>8.0</v>
      </c>
      <c r="B44" s="8" t="s">
        <v>57</v>
      </c>
      <c r="C44" s="8" t="s">
        <v>50</v>
      </c>
      <c r="D44" s="8" t="s">
        <v>16</v>
      </c>
      <c r="E44" s="10">
        <v>5.14</v>
      </c>
      <c r="F44" s="10">
        <v>6.35</v>
      </c>
      <c r="G44" s="10">
        <v>6.4</v>
      </c>
      <c r="H44" s="10">
        <f t="shared" si="3"/>
        <v>5.963333333</v>
      </c>
      <c r="I44" s="8" t="s">
        <v>19</v>
      </c>
      <c r="J44" s="12">
        <v>1.0</v>
      </c>
    </row>
    <row r="45" ht="14.25" customHeight="1">
      <c r="A45" s="6">
        <v>9.0</v>
      </c>
      <c r="B45" s="8" t="s">
        <v>58</v>
      </c>
      <c r="C45" s="8" t="s">
        <v>50</v>
      </c>
      <c r="D45" s="8" t="s">
        <v>16</v>
      </c>
      <c r="E45" s="10">
        <v>3.14</v>
      </c>
      <c r="F45" s="10">
        <v>4.2</v>
      </c>
      <c r="G45" s="10">
        <v>5.65</v>
      </c>
      <c r="H45" s="10">
        <f t="shared" si="3"/>
        <v>4.33</v>
      </c>
      <c r="I45" s="11" t="s">
        <v>17</v>
      </c>
      <c r="K45" s="12">
        <v>1.0</v>
      </c>
    </row>
    <row r="46" ht="14.25" customHeight="1">
      <c r="A46" s="6">
        <v>10.0</v>
      </c>
      <c r="B46" s="8" t="s">
        <v>59</v>
      </c>
      <c r="C46" s="8" t="s">
        <v>50</v>
      </c>
      <c r="D46" s="8" t="s">
        <v>16</v>
      </c>
      <c r="E46" s="10">
        <v>4.15</v>
      </c>
      <c r="F46" s="10">
        <v>5.25</v>
      </c>
      <c r="G46" s="10">
        <v>6.8</v>
      </c>
      <c r="H46" s="10">
        <f t="shared" si="3"/>
        <v>5.4</v>
      </c>
      <c r="I46" s="17" t="s">
        <v>19</v>
      </c>
      <c r="J46" s="12">
        <v>1.0</v>
      </c>
    </row>
    <row r="47" ht="14.25" customHeight="1">
      <c r="A47" s="6">
        <v>11.0</v>
      </c>
      <c r="B47" s="8" t="s">
        <v>60</v>
      </c>
      <c r="C47" s="8" t="s">
        <v>50</v>
      </c>
      <c r="D47" s="8" t="s">
        <v>16</v>
      </c>
      <c r="E47" s="10">
        <v>3.58</v>
      </c>
      <c r="F47" s="10">
        <v>4.94</v>
      </c>
      <c r="G47" s="10">
        <v>3.0</v>
      </c>
      <c r="H47" s="18">
        <f t="shared" si="3"/>
        <v>3.84</v>
      </c>
      <c r="I47" s="19" t="s">
        <v>17</v>
      </c>
      <c r="K47" s="12">
        <v>1.0</v>
      </c>
    </row>
    <row r="48" ht="14.25" customHeight="1">
      <c r="A48" s="6">
        <v>12.0</v>
      </c>
      <c r="B48" s="8" t="s">
        <v>61</v>
      </c>
      <c r="C48" s="8" t="s">
        <v>50</v>
      </c>
      <c r="D48" s="8" t="s">
        <v>16</v>
      </c>
      <c r="E48" s="10">
        <v>6.2</v>
      </c>
      <c r="F48" s="10">
        <v>6.8</v>
      </c>
      <c r="G48" s="10">
        <v>5.95</v>
      </c>
      <c r="H48" s="10">
        <f t="shared" si="3"/>
        <v>6.316666667</v>
      </c>
      <c r="I48" s="8" t="s">
        <v>19</v>
      </c>
      <c r="J48" s="12">
        <v>1.0</v>
      </c>
    </row>
    <row r="49" ht="14.25" customHeight="1">
      <c r="A49" s="6">
        <v>13.0</v>
      </c>
      <c r="B49" s="8" t="s">
        <v>62</v>
      </c>
      <c r="C49" s="8" t="s">
        <v>50</v>
      </c>
      <c r="D49" s="8" t="s">
        <v>16</v>
      </c>
      <c r="E49" s="10">
        <v>3.05</v>
      </c>
      <c r="F49" s="10">
        <v>4.15</v>
      </c>
      <c r="G49" s="10">
        <v>4.98</v>
      </c>
      <c r="H49" s="10">
        <f t="shared" si="3"/>
        <v>4.06</v>
      </c>
      <c r="I49" s="11" t="s">
        <v>17</v>
      </c>
      <c r="K49" s="12">
        <v>1.0</v>
      </c>
    </row>
    <row r="50" ht="14.25" customHeight="1">
      <c r="A50" s="6">
        <v>14.0</v>
      </c>
      <c r="B50" s="8" t="s">
        <v>63</v>
      </c>
      <c r="C50" s="8" t="s">
        <v>50</v>
      </c>
      <c r="D50" s="8" t="s">
        <v>16</v>
      </c>
      <c r="E50" s="10">
        <v>4.95</v>
      </c>
      <c r="F50" s="10">
        <v>4.01</v>
      </c>
      <c r="G50" s="10">
        <v>4.91</v>
      </c>
      <c r="H50" s="10">
        <f t="shared" si="3"/>
        <v>4.623333333</v>
      </c>
      <c r="I50" s="8" t="s">
        <v>19</v>
      </c>
      <c r="J50" s="12">
        <v>1.0</v>
      </c>
    </row>
    <row r="51" ht="14.25" customHeight="1">
      <c r="A51" s="6">
        <v>15.0</v>
      </c>
      <c r="B51" s="8" t="s">
        <v>64</v>
      </c>
      <c r="C51" s="8" t="s">
        <v>50</v>
      </c>
      <c r="D51" s="8" t="s">
        <v>16</v>
      </c>
      <c r="E51" s="10">
        <v>4.26</v>
      </c>
      <c r="F51" s="10">
        <v>4.0</v>
      </c>
      <c r="G51" s="10">
        <v>4.15</v>
      </c>
      <c r="H51" s="10">
        <f t="shared" si="3"/>
        <v>4.136666667</v>
      </c>
      <c r="I51" s="11" t="s">
        <v>17</v>
      </c>
      <c r="K51" s="12">
        <v>1.0</v>
      </c>
    </row>
    <row r="52" ht="14.25" customHeight="1">
      <c r="A52" s="6">
        <v>16.0</v>
      </c>
      <c r="B52" s="8" t="s">
        <v>65</v>
      </c>
      <c r="C52" s="8" t="s">
        <v>50</v>
      </c>
      <c r="D52" s="8" t="s">
        <v>32</v>
      </c>
      <c r="E52" s="10">
        <v>4.48</v>
      </c>
      <c r="F52" s="10">
        <v>5.0</v>
      </c>
      <c r="G52" s="10">
        <v>6.36</v>
      </c>
      <c r="H52" s="10">
        <f t="shared" si="3"/>
        <v>5.28</v>
      </c>
      <c r="I52" s="8" t="s">
        <v>19</v>
      </c>
      <c r="J52" s="12">
        <v>1.0</v>
      </c>
    </row>
    <row r="53" ht="14.25" customHeight="1">
      <c r="A53" s="6">
        <v>17.0</v>
      </c>
      <c r="B53" s="8" t="s">
        <v>66</v>
      </c>
      <c r="C53" s="8" t="s">
        <v>50</v>
      </c>
      <c r="D53" s="8" t="s">
        <v>32</v>
      </c>
      <c r="E53" s="10">
        <v>3.94</v>
      </c>
      <c r="F53" s="10">
        <v>4.86</v>
      </c>
      <c r="G53" s="10">
        <v>5.0</v>
      </c>
      <c r="H53" s="10">
        <f t="shared" si="3"/>
        <v>4.6</v>
      </c>
      <c r="I53" s="8" t="s">
        <v>19</v>
      </c>
      <c r="J53" s="12">
        <v>1.0</v>
      </c>
    </row>
    <row r="54" ht="14.25" customHeight="1">
      <c r="A54" s="6">
        <v>18.0</v>
      </c>
      <c r="B54" s="8" t="s">
        <v>67</v>
      </c>
      <c r="C54" s="8" t="s">
        <v>50</v>
      </c>
      <c r="D54" s="8" t="s">
        <v>32</v>
      </c>
      <c r="E54" s="10">
        <v>5.34</v>
      </c>
      <c r="F54" s="10">
        <v>3.58</v>
      </c>
      <c r="G54" s="10">
        <v>4.85</v>
      </c>
      <c r="H54" s="10">
        <f t="shared" si="3"/>
        <v>4.59</v>
      </c>
      <c r="I54" s="8" t="s">
        <v>19</v>
      </c>
      <c r="J54" s="12">
        <v>1.0</v>
      </c>
    </row>
    <row r="55" ht="14.25" customHeight="1">
      <c r="A55" s="6">
        <v>19.0</v>
      </c>
      <c r="B55" s="8" t="s">
        <v>68</v>
      </c>
      <c r="C55" s="8" t="s">
        <v>50</v>
      </c>
      <c r="D55" s="8" t="s">
        <v>32</v>
      </c>
      <c r="E55" s="10">
        <v>6.0</v>
      </c>
      <c r="F55" s="10">
        <v>5.94</v>
      </c>
      <c r="G55" s="10">
        <v>7.05</v>
      </c>
      <c r="H55" s="10">
        <f t="shared" si="3"/>
        <v>6.33</v>
      </c>
      <c r="I55" s="8" t="s">
        <v>19</v>
      </c>
      <c r="J55" s="12">
        <v>1.0</v>
      </c>
    </row>
    <row r="56" ht="14.25" customHeight="1">
      <c r="A56" s="6">
        <v>20.0</v>
      </c>
      <c r="B56" s="8" t="s">
        <v>69</v>
      </c>
      <c r="C56" s="8" t="s">
        <v>50</v>
      </c>
      <c r="D56" s="8" t="s">
        <v>32</v>
      </c>
      <c r="E56" s="10">
        <v>2.45</v>
      </c>
      <c r="F56" s="10">
        <v>3.59</v>
      </c>
      <c r="G56" s="10">
        <v>4.0</v>
      </c>
      <c r="H56" s="10">
        <f t="shared" si="3"/>
        <v>3.346666667</v>
      </c>
      <c r="I56" s="11" t="s">
        <v>17</v>
      </c>
      <c r="K56" s="12">
        <v>1.0</v>
      </c>
    </row>
    <row r="57" ht="14.25" customHeight="1">
      <c r="A57" s="6">
        <v>21.0</v>
      </c>
      <c r="B57" s="8" t="s">
        <v>70</v>
      </c>
      <c r="C57" s="8" t="s">
        <v>50</v>
      </c>
      <c r="D57" s="8" t="s">
        <v>32</v>
      </c>
      <c r="E57" s="10">
        <v>6.18</v>
      </c>
      <c r="F57" s="10">
        <v>7.35</v>
      </c>
      <c r="G57" s="10">
        <v>6.6</v>
      </c>
      <c r="H57" s="10">
        <f t="shared" si="3"/>
        <v>6.71</v>
      </c>
      <c r="I57" s="8" t="s">
        <v>19</v>
      </c>
      <c r="J57" s="12">
        <v>1.0</v>
      </c>
    </row>
    <row r="58" ht="14.25" customHeight="1">
      <c r="A58" s="6">
        <v>22.0</v>
      </c>
      <c r="B58" s="8" t="s">
        <v>71</v>
      </c>
      <c r="C58" s="8" t="s">
        <v>50</v>
      </c>
      <c r="D58" s="8" t="s">
        <v>32</v>
      </c>
      <c r="E58" s="10">
        <v>7.36</v>
      </c>
      <c r="F58" s="10">
        <v>5.0</v>
      </c>
      <c r="G58" s="10">
        <v>5.3</v>
      </c>
      <c r="H58" s="10">
        <f t="shared" si="3"/>
        <v>5.886666667</v>
      </c>
      <c r="I58" s="8" t="s">
        <v>19</v>
      </c>
      <c r="J58" s="12">
        <v>1.0</v>
      </c>
    </row>
    <row r="59" ht="14.25" customHeight="1">
      <c r="A59" s="6">
        <v>23.0</v>
      </c>
      <c r="B59" s="8" t="s">
        <v>72</v>
      </c>
      <c r="C59" s="8" t="s">
        <v>50</v>
      </c>
      <c r="D59" s="8" t="s">
        <v>32</v>
      </c>
      <c r="E59" s="10">
        <v>5.32</v>
      </c>
      <c r="F59" s="10">
        <v>6.6</v>
      </c>
      <c r="G59" s="10">
        <v>4.07</v>
      </c>
      <c r="H59" s="10">
        <f t="shared" si="3"/>
        <v>5.33</v>
      </c>
      <c r="I59" s="8" t="s">
        <v>19</v>
      </c>
      <c r="J59" s="12">
        <v>1.0</v>
      </c>
    </row>
    <row r="60" ht="14.25" customHeight="1">
      <c r="A60" s="6">
        <v>24.0</v>
      </c>
      <c r="B60" s="8" t="s">
        <v>73</v>
      </c>
      <c r="C60" s="8" t="s">
        <v>50</v>
      </c>
      <c r="D60" s="8" t="s">
        <v>32</v>
      </c>
      <c r="E60" s="10">
        <v>4.49</v>
      </c>
      <c r="F60" s="10">
        <v>4.93</v>
      </c>
      <c r="G60" s="10">
        <v>5.0</v>
      </c>
      <c r="H60" s="10">
        <f t="shared" si="3"/>
        <v>4.806666667</v>
      </c>
      <c r="I60" s="8" t="s">
        <v>19</v>
      </c>
      <c r="J60" s="12">
        <v>1.0</v>
      </c>
    </row>
    <row r="61" ht="14.25" customHeight="1">
      <c r="A61" s="6">
        <v>25.0</v>
      </c>
      <c r="B61" s="8" t="s">
        <v>74</v>
      </c>
      <c r="C61" s="8" t="s">
        <v>50</v>
      </c>
      <c r="D61" s="8" t="s">
        <v>32</v>
      </c>
      <c r="E61" s="10">
        <v>3.87</v>
      </c>
      <c r="F61" s="10">
        <v>5.48</v>
      </c>
      <c r="G61" s="10">
        <v>4.48</v>
      </c>
      <c r="H61" s="10">
        <f t="shared" si="3"/>
        <v>4.61</v>
      </c>
      <c r="I61" s="8" t="s">
        <v>19</v>
      </c>
      <c r="J61" s="12">
        <v>1.0</v>
      </c>
    </row>
    <row r="62" ht="14.25" customHeight="1">
      <c r="A62" s="6">
        <v>26.0</v>
      </c>
      <c r="B62" s="8" t="s">
        <v>75</v>
      </c>
      <c r="C62" s="8" t="s">
        <v>50</v>
      </c>
      <c r="D62" s="8" t="s">
        <v>32</v>
      </c>
      <c r="E62" s="10">
        <v>5.81</v>
      </c>
      <c r="F62" s="10">
        <v>4.9</v>
      </c>
      <c r="G62" s="10">
        <v>4.98</v>
      </c>
      <c r="H62" s="10">
        <f t="shared" si="3"/>
        <v>5.23</v>
      </c>
      <c r="I62" s="8" t="s">
        <v>19</v>
      </c>
      <c r="J62" s="12">
        <v>1.0</v>
      </c>
    </row>
    <row r="63" ht="14.25" customHeight="1">
      <c r="A63" s="6">
        <v>27.0</v>
      </c>
      <c r="B63" s="8" t="s">
        <v>76</v>
      </c>
      <c r="C63" s="8" t="s">
        <v>50</v>
      </c>
      <c r="D63" s="8" t="s">
        <v>32</v>
      </c>
      <c r="E63" s="10">
        <v>1.69</v>
      </c>
      <c r="F63" s="10">
        <v>2.84</v>
      </c>
      <c r="G63" s="10">
        <v>3.46</v>
      </c>
      <c r="H63" s="10">
        <f t="shared" si="3"/>
        <v>2.663333333</v>
      </c>
      <c r="I63" s="11" t="s">
        <v>17</v>
      </c>
      <c r="K63" s="12">
        <v>1.0</v>
      </c>
    </row>
    <row r="64" ht="14.25" customHeight="1">
      <c r="A64" s="6">
        <v>28.0</v>
      </c>
      <c r="B64" s="8" t="s">
        <v>77</v>
      </c>
      <c r="C64" s="8" t="s">
        <v>50</v>
      </c>
      <c r="D64" s="8" t="s">
        <v>32</v>
      </c>
      <c r="E64" s="10">
        <v>3.27</v>
      </c>
      <c r="F64" s="10">
        <v>4.95</v>
      </c>
      <c r="G64" s="10">
        <v>5.27</v>
      </c>
      <c r="H64" s="10">
        <f t="shared" si="3"/>
        <v>4.496666667</v>
      </c>
      <c r="I64" s="8" t="s">
        <v>19</v>
      </c>
      <c r="J64" s="12">
        <v>1.0</v>
      </c>
    </row>
    <row r="65" ht="14.25" customHeight="1">
      <c r="A65" s="6">
        <v>29.0</v>
      </c>
      <c r="B65" s="8" t="s">
        <v>78</v>
      </c>
      <c r="C65" s="8" t="s">
        <v>50</v>
      </c>
      <c r="D65" s="8" t="s">
        <v>32</v>
      </c>
      <c r="E65" s="10">
        <v>4.22</v>
      </c>
      <c r="F65" s="10">
        <v>5.28</v>
      </c>
      <c r="G65" s="10">
        <v>4.93</v>
      </c>
      <c r="H65" s="10">
        <f t="shared" si="3"/>
        <v>4.81</v>
      </c>
      <c r="I65" s="8" t="s">
        <v>19</v>
      </c>
      <c r="J65" s="12">
        <v>1.0</v>
      </c>
    </row>
    <row r="66" ht="14.25" customHeight="1">
      <c r="A66" s="6">
        <v>30.0</v>
      </c>
      <c r="B66" s="8" t="s">
        <v>79</v>
      </c>
      <c r="C66" s="8" t="s">
        <v>50</v>
      </c>
      <c r="D66" s="8" t="s">
        <v>32</v>
      </c>
      <c r="E66" s="10">
        <v>3.83</v>
      </c>
      <c r="F66" s="10">
        <v>4.99</v>
      </c>
      <c r="G66" s="10">
        <v>5.0</v>
      </c>
      <c r="H66" s="10">
        <f t="shared" si="3"/>
        <v>4.606666667</v>
      </c>
      <c r="I66" s="8" t="s">
        <v>19</v>
      </c>
      <c r="J66" s="12">
        <v>1.0</v>
      </c>
    </row>
    <row r="67" ht="14.25" customHeight="1">
      <c r="A67" s="20"/>
      <c r="B67" s="20"/>
      <c r="C67" s="20"/>
      <c r="D67" s="20"/>
      <c r="E67" s="21"/>
      <c r="F67" s="21"/>
      <c r="G67" s="21"/>
      <c r="H67" s="20"/>
      <c r="I67" s="20"/>
      <c r="J67" s="1">
        <f t="shared" ref="J67:K67" si="4">SUM(J37:J66)</f>
        <v>24</v>
      </c>
      <c r="K67" s="1">
        <f t="shared" si="4"/>
        <v>6</v>
      </c>
    </row>
    <row r="68" ht="14.25" customHeight="1">
      <c r="A68" s="22"/>
      <c r="B68" s="22"/>
      <c r="C68" s="22"/>
      <c r="D68" s="22"/>
      <c r="E68" s="18"/>
      <c r="F68" s="18"/>
      <c r="G68" s="18"/>
      <c r="H68" s="22"/>
      <c r="I68" s="22"/>
      <c r="J68" s="16">
        <f>J67/A66</f>
        <v>0.8</v>
      </c>
      <c r="K68" s="16">
        <f>K67/A66</f>
        <v>0.2</v>
      </c>
    </row>
    <row r="69" ht="14.25" customHeight="1">
      <c r="A69" s="22"/>
      <c r="B69" s="22"/>
      <c r="C69" s="22"/>
      <c r="D69" s="22"/>
      <c r="E69" s="18"/>
      <c r="F69" s="18"/>
      <c r="G69" s="18"/>
      <c r="H69" s="22"/>
      <c r="I69" s="22"/>
    </row>
    <row r="70" ht="14.25" customHeight="1">
      <c r="A70" s="22"/>
      <c r="B70" s="22"/>
      <c r="C70" s="22"/>
      <c r="D70" s="22"/>
      <c r="E70" s="18"/>
      <c r="F70" s="18"/>
      <c r="G70" s="18"/>
      <c r="H70" s="22"/>
      <c r="I70" s="22"/>
    </row>
    <row r="71" ht="14.25" customHeight="1">
      <c r="A71" s="22"/>
      <c r="B71" s="22"/>
      <c r="C71" s="22"/>
      <c r="D71" s="22"/>
      <c r="E71" s="18"/>
      <c r="F71" s="18"/>
      <c r="G71" s="18"/>
      <c r="H71" s="22"/>
      <c r="I71" s="22"/>
    </row>
    <row r="72" ht="14.25" customHeight="1">
      <c r="A72" s="6">
        <v>1.0</v>
      </c>
      <c r="B72" s="8" t="s">
        <v>80</v>
      </c>
      <c r="C72" s="8" t="s">
        <v>81</v>
      </c>
      <c r="D72" s="8" t="s">
        <v>82</v>
      </c>
      <c r="E72" s="10">
        <v>3.85</v>
      </c>
      <c r="F72" s="10">
        <v>4.78</v>
      </c>
      <c r="G72" s="10">
        <v>4.95</v>
      </c>
      <c r="H72" s="10">
        <f t="shared" ref="H72:H97" si="5">((E72+F72+G72)/3)</f>
        <v>4.526666667</v>
      </c>
      <c r="I72" s="8" t="s">
        <v>19</v>
      </c>
      <c r="J72" s="12">
        <v>1.0</v>
      </c>
    </row>
    <row r="73" ht="14.25" customHeight="1">
      <c r="A73" s="6">
        <v>2.0</v>
      </c>
      <c r="B73" s="8" t="s">
        <v>83</v>
      </c>
      <c r="C73" s="8" t="s">
        <v>81</v>
      </c>
      <c r="D73" s="8" t="s">
        <v>82</v>
      </c>
      <c r="E73" s="10">
        <v>4.65</v>
      </c>
      <c r="F73" s="10">
        <v>5.85</v>
      </c>
      <c r="G73" s="10">
        <v>5.0</v>
      </c>
      <c r="H73" s="10">
        <f t="shared" si="5"/>
        <v>5.166666667</v>
      </c>
      <c r="I73" s="8" t="s">
        <v>19</v>
      </c>
      <c r="J73" s="12">
        <v>1.0</v>
      </c>
    </row>
    <row r="74" ht="14.25" customHeight="1">
      <c r="A74" s="6">
        <v>3.0</v>
      </c>
      <c r="B74" s="8" t="s">
        <v>84</v>
      </c>
      <c r="C74" s="8" t="s">
        <v>81</v>
      </c>
      <c r="D74" s="8" t="s">
        <v>82</v>
      </c>
      <c r="E74" s="10">
        <v>3.95</v>
      </c>
      <c r="F74" s="10">
        <v>5.96</v>
      </c>
      <c r="G74" s="10">
        <v>4.85</v>
      </c>
      <c r="H74" s="10">
        <f t="shared" si="5"/>
        <v>4.92</v>
      </c>
      <c r="I74" s="8" t="s">
        <v>19</v>
      </c>
      <c r="J74" s="12">
        <v>1.0</v>
      </c>
    </row>
    <row r="75" ht="14.25" customHeight="1">
      <c r="A75" s="6">
        <v>4.0</v>
      </c>
      <c r="B75" s="8" t="s">
        <v>85</v>
      </c>
      <c r="C75" s="8" t="s">
        <v>81</v>
      </c>
      <c r="D75" s="8" t="s">
        <v>82</v>
      </c>
      <c r="E75" s="10">
        <v>5.85</v>
      </c>
      <c r="F75" s="10">
        <v>6.95</v>
      </c>
      <c r="G75" s="10">
        <v>5.5</v>
      </c>
      <c r="H75" s="10">
        <f t="shared" si="5"/>
        <v>6.1</v>
      </c>
      <c r="I75" s="8" t="s">
        <v>19</v>
      </c>
      <c r="J75" s="12">
        <v>1.0</v>
      </c>
    </row>
    <row r="76" ht="14.25" customHeight="1">
      <c r="A76" s="6">
        <v>5.0</v>
      </c>
      <c r="B76" s="8" t="s">
        <v>86</v>
      </c>
      <c r="C76" s="8" t="s">
        <v>81</v>
      </c>
      <c r="D76" s="8" t="s">
        <v>82</v>
      </c>
      <c r="E76" s="10">
        <v>4.98</v>
      </c>
      <c r="F76" s="10">
        <v>5.78</v>
      </c>
      <c r="G76" s="10">
        <v>6.97</v>
      </c>
      <c r="H76" s="10">
        <f t="shared" si="5"/>
        <v>5.91</v>
      </c>
      <c r="I76" s="8" t="s">
        <v>19</v>
      </c>
      <c r="J76" s="12">
        <v>1.0</v>
      </c>
    </row>
    <row r="77" ht="14.25" customHeight="1">
      <c r="A77" s="6">
        <v>6.0</v>
      </c>
      <c r="B77" s="8" t="s">
        <v>87</v>
      </c>
      <c r="C77" s="8" t="s">
        <v>81</v>
      </c>
      <c r="D77" s="8" t="s">
        <v>82</v>
      </c>
      <c r="E77" s="10">
        <v>3.45</v>
      </c>
      <c r="F77" s="10">
        <v>4.58</v>
      </c>
      <c r="G77" s="10">
        <v>5.5</v>
      </c>
      <c r="H77" s="10">
        <f t="shared" si="5"/>
        <v>4.51</v>
      </c>
      <c r="I77" s="8" t="s">
        <v>19</v>
      </c>
      <c r="J77" s="12">
        <v>1.0</v>
      </c>
    </row>
    <row r="78" ht="14.25" customHeight="1">
      <c r="A78" s="6">
        <v>7.0</v>
      </c>
      <c r="B78" s="8" t="s">
        <v>88</v>
      </c>
      <c r="C78" s="8" t="s">
        <v>81</v>
      </c>
      <c r="D78" s="8" t="s">
        <v>82</v>
      </c>
      <c r="E78" s="10">
        <v>4.75</v>
      </c>
      <c r="F78" s="10">
        <v>5.5</v>
      </c>
      <c r="G78" s="10">
        <v>5.87</v>
      </c>
      <c r="H78" s="10">
        <f t="shared" si="5"/>
        <v>5.373333333</v>
      </c>
      <c r="I78" s="8" t="s">
        <v>19</v>
      </c>
      <c r="J78" s="12">
        <v>1.0</v>
      </c>
    </row>
    <row r="79" ht="14.25" customHeight="1">
      <c r="A79" s="6">
        <v>8.0</v>
      </c>
      <c r="B79" s="8" t="s">
        <v>89</v>
      </c>
      <c r="C79" s="8" t="s">
        <v>81</v>
      </c>
      <c r="D79" s="8" t="s">
        <v>82</v>
      </c>
      <c r="E79" s="10">
        <v>6.75</v>
      </c>
      <c r="F79" s="10">
        <v>6.22</v>
      </c>
      <c r="G79" s="10">
        <v>7.83</v>
      </c>
      <c r="H79" s="10">
        <f t="shared" si="5"/>
        <v>6.933333333</v>
      </c>
      <c r="I79" s="8" t="s">
        <v>19</v>
      </c>
      <c r="J79" s="12">
        <v>1.0</v>
      </c>
    </row>
    <row r="80" ht="14.25" customHeight="1">
      <c r="A80" s="6">
        <v>9.0</v>
      </c>
      <c r="B80" s="8" t="s">
        <v>90</v>
      </c>
      <c r="C80" s="8" t="s">
        <v>81</v>
      </c>
      <c r="D80" s="8" t="s">
        <v>82</v>
      </c>
      <c r="E80" s="10">
        <v>4.25</v>
      </c>
      <c r="F80" s="10">
        <v>5.5</v>
      </c>
      <c r="G80" s="10">
        <v>5.5</v>
      </c>
      <c r="H80" s="10">
        <f t="shared" si="5"/>
        <v>5.083333333</v>
      </c>
      <c r="I80" s="8" t="s">
        <v>19</v>
      </c>
      <c r="J80" s="12">
        <v>1.0</v>
      </c>
    </row>
    <row r="81" ht="14.25" customHeight="1">
      <c r="A81" s="6">
        <v>10.0</v>
      </c>
      <c r="B81" s="8" t="s">
        <v>91</v>
      </c>
      <c r="C81" s="8" t="s">
        <v>81</v>
      </c>
      <c r="D81" s="8" t="s">
        <v>82</v>
      </c>
      <c r="E81" s="10">
        <v>3.72</v>
      </c>
      <c r="F81" s="10">
        <v>4.32</v>
      </c>
      <c r="G81" s="10">
        <v>6.86</v>
      </c>
      <c r="H81" s="10">
        <f t="shared" si="5"/>
        <v>4.966666667</v>
      </c>
      <c r="I81" s="8" t="s">
        <v>19</v>
      </c>
      <c r="J81" s="12">
        <v>1.0</v>
      </c>
    </row>
    <row r="82" ht="14.25" customHeight="1">
      <c r="A82" s="6">
        <v>11.0</v>
      </c>
      <c r="B82" s="8" t="s">
        <v>92</v>
      </c>
      <c r="C82" s="8" t="s">
        <v>81</v>
      </c>
      <c r="D82" s="8" t="s">
        <v>82</v>
      </c>
      <c r="E82" s="10">
        <v>6.5</v>
      </c>
      <c r="F82" s="10">
        <v>5.95</v>
      </c>
      <c r="G82" s="10">
        <v>5.82</v>
      </c>
      <c r="H82" s="10">
        <f t="shared" si="5"/>
        <v>6.09</v>
      </c>
      <c r="I82" s="8" t="s">
        <v>19</v>
      </c>
      <c r="J82" s="12">
        <v>1.0</v>
      </c>
    </row>
    <row r="83" ht="14.25" customHeight="1">
      <c r="A83" s="6">
        <v>12.0</v>
      </c>
      <c r="B83" s="8" t="s">
        <v>93</v>
      </c>
      <c r="C83" s="8" t="s">
        <v>81</v>
      </c>
      <c r="D83" s="8" t="s">
        <v>82</v>
      </c>
      <c r="E83" s="10">
        <v>3.84</v>
      </c>
      <c r="F83" s="10">
        <v>4.75</v>
      </c>
      <c r="G83" s="10">
        <v>4.97</v>
      </c>
      <c r="H83" s="10">
        <f t="shared" si="5"/>
        <v>4.52</v>
      </c>
      <c r="I83" s="8" t="s">
        <v>19</v>
      </c>
      <c r="J83" s="12">
        <v>1.0</v>
      </c>
    </row>
    <row r="84" ht="14.25" customHeight="1">
      <c r="A84" s="6">
        <v>13.0</v>
      </c>
      <c r="B84" s="8" t="s">
        <v>94</v>
      </c>
      <c r="C84" s="8" t="s">
        <v>81</v>
      </c>
      <c r="D84" s="8" t="s">
        <v>82</v>
      </c>
      <c r="E84" s="10">
        <v>4.0</v>
      </c>
      <c r="F84" s="10">
        <v>5.48</v>
      </c>
      <c r="G84" s="10">
        <v>5.9</v>
      </c>
      <c r="H84" s="10">
        <f t="shared" si="5"/>
        <v>5.126666667</v>
      </c>
      <c r="I84" s="8" t="s">
        <v>19</v>
      </c>
      <c r="J84" s="12">
        <v>1.0</v>
      </c>
    </row>
    <row r="85" ht="14.25" customHeight="1">
      <c r="A85" s="6">
        <v>14.0</v>
      </c>
      <c r="B85" s="8" t="s">
        <v>95</v>
      </c>
      <c r="C85" s="8" t="s">
        <v>81</v>
      </c>
      <c r="D85" s="8" t="s">
        <v>82</v>
      </c>
      <c r="E85" s="10">
        <v>5.72</v>
      </c>
      <c r="F85" s="10">
        <v>4.35</v>
      </c>
      <c r="G85" s="10">
        <v>5.0</v>
      </c>
      <c r="H85" s="10">
        <f t="shared" si="5"/>
        <v>5.023333333</v>
      </c>
      <c r="I85" s="8" t="s">
        <v>19</v>
      </c>
      <c r="J85" s="12">
        <v>1.0</v>
      </c>
    </row>
    <row r="86" ht="14.25" customHeight="1">
      <c r="A86" s="6">
        <v>15.0</v>
      </c>
      <c r="B86" s="8" t="s">
        <v>96</v>
      </c>
      <c r="C86" s="8" t="s">
        <v>81</v>
      </c>
      <c r="D86" s="8" t="s">
        <v>82</v>
      </c>
      <c r="E86" s="10">
        <v>3.26</v>
      </c>
      <c r="F86" s="10">
        <v>4.84</v>
      </c>
      <c r="G86" s="10">
        <v>2.92</v>
      </c>
      <c r="H86" s="10">
        <f t="shared" si="5"/>
        <v>3.673333333</v>
      </c>
      <c r="I86" s="11" t="s">
        <v>17</v>
      </c>
      <c r="K86" s="12">
        <v>1.0</v>
      </c>
    </row>
    <row r="87" ht="14.25" customHeight="1">
      <c r="A87" s="6">
        <v>16.0</v>
      </c>
      <c r="B87" s="8" t="s">
        <v>97</v>
      </c>
      <c r="C87" s="8" t="s">
        <v>81</v>
      </c>
      <c r="D87" s="8" t="s">
        <v>82</v>
      </c>
      <c r="E87" s="10">
        <v>2.12</v>
      </c>
      <c r="F87" s="10">
        <v>3.14</v>
      </c>
      <c r="G87" s="10">
        <v>4.95</v>
      </c>
      <c r="H87" s="10">
        <f t="shared" si="5"/>
        <v>3.403333333</v>
      </c>
      <c r="I87" s="11" t="s">
        <v>17</v>
      </c>
      <c r="K87" s="12">
        <v>1.0</v>
      </c>
    </row>
    <row r="88" ht="14.25" customHeight="1">
      <c r="A88" s="6">
        <v>17.0</v>
      </c>
      <c r="B88" s="8" t="s">
        <v>98</v>
      </c>
      <c r="C88" s="8" t="s">
        <v>81</v>
      </c>
      <c r="D88" s="8" t="s">
        <v>82</v>
      </c>
      <c r="E88" s="10">
        <v>3.12</v>
      </c>
      <c r="F88" s="10">
        <v>2.5</v>
      </c>
      <c r="G88" s="10">
        <v>2.97</v>
      </c>
      <c r="H88" s="10">
        <f t="shared" si="5"/>
        <v>2.863333333</v>
      </c>
      <c r="I88" s="11" t="s">
        <v>17</v>
      </c>
      <c r="K88" s="12">
        <v>1.0</v>
      </c>
    </row>
    <row r="89" ht="14.25" customHeight="1">
      <c r="A89" s="6">
        <v>18.0</v>
      </c>
      <c r="B89" s="8" t="s">
        <v>99</v>
      </c>
      <c r="C89" s="8" t="s">
        <v>81</v>
      </c>
      <c r="D89" s="8" t="s">
        <v>82</v>
      </c>
      <c r="E89" s="10">
        <v>5.22</v>
      </c>
      <c r="F89" s="10">
        <v>5.0</v>
      </c>
      <c r="G89" s="10">
        <v>5.97</v>
      </c>
      <c r="H89" s="10">
        <f t="shared" si="5"/>
        <v>5.396666667</v>
      </c>
      <c r="I89" s="8" t="s">
        <v>19</v>
      </c>
      <c r="J89" s="12">
        <v>1.0</v>
      </c>
    </row>
    <row r="90" ht="14.25" customHeight="1">
      <c r="A90" s="6">
        <v>19.0</v>
      </c>
      <c r="B90" s="8" t="s">
        <v>100</v>
      </c>
      <c r="C90" s="8" t="s">
        <v>81</v>
      </c>
      <c r="D90" s="8" t="s">
        <v>82</v>
      </c>
      <c r="E90" s="10">
        <v>3.25</v>
      </c>
      <c r="F90" s="10">
        <v>2.92</v>
      </c>
      <c r="G90" s="10">
        <v>3.5</v>
      </c>
      <c r="H90" s="10">
        <f t="shared" si="5"/>
        <v>3.223333333</v>
      </c>
      <c r="I90" s="11" t="s">
        <v>17</v>
      </c>
      <c r="K90" s="12">
        <v>1.0</v>
      </c>
    </row>
    <row r="91" ht="14.25" customHeight="1">
      <c r="A91" s="6">
        <v>20.0</v>
      </c>
      <c r="B91" s="8" t="s">
        <v>101</v>
      </c>
      <c r="C91" s="8" t="s">
        <v>81</v>
      </c>
      <c r="D91" s="8" t="s">
        <v>82</v>
      </c>
      <c r="E91" s="10">
        <v>4.85</v>
      </c>
      <c r="F91" s="10">
        <v>5.86</v>
      </c>
      <c r="G91" s="10">
        <v>5.97</v>
      </c>
      <c r="H91" s="10">
        <f t="shared" si="5"/>
        <v>5.56</v>
      </c>
      <c r="I91" s="8" t="s">
        <v>19</v>
      </c>
      <c r="J91" s="12">
        <v>1.0</v>
      </c>
    </row>
    <row r="92" ht="14.25" customHeight="1">
      <c r="A92" s="23">
        <v>21.0</v>
      </c>
      <c r="B92" s="8" t="s">
        <v>102</v>
      </c>
      <c r="C92" s="8" t="s">
        <v>81</v>
      </c>
      <c r="D92" s="8" t="s">
        <v>82</v>
      </c>
      <c r="E92" s="10">
        <v>5.65</v>
      </c>
      <c r="F92" s="10">
        <v>6.22</v>
      </c>
      <c r="G92" s="10">
        <v>7.5</v>
      </c>
      <c r="H92" s="10">
        <f t="shared" si="5"/>
        <v>6.456666667</v>
      </c>
      <c r="I92" s="8" t="s">
        <v>19</v>
      </c>
      <c r="J92" s="12">
        <v>1.0</v>
      </c>
    </row>
    <row r="93" ht="14.25" customHeight="1">
      <c r="A93" s="24">
        <v>22.0</v>
      </c>
      <c r="B93" s="25" t="s">
        <v>103</v>
      </c>
      <c r="C93" s="8" t="s">
        <v>81</v>
      </c>
      <c r="D93" s="8" t="s">
        <v>82</v>
      </c>
      <c r="E93" s="10">
        <v>3.86</v>
      </c>
      <c r="F93" s="10">
        <v>4.698</v>
      </c>
      <c r="G93" s="10">
        <v>5.0</v>
      </c>
      <c r="H93" s="10">
        <f t="shared" si="5"/>
        <v>4.519333333</v>
      </c>
      <c r="I93" s="8" t="s">
        <v>19</v>
      </c>
      <c r="J93" s="12">
        <v>1.0</v>
      </c>
    </row>
    <row r="94" ht="14.25" customHeight="1">
      <c r="A94" s="24">
        <v>23.0</v>
      </c>
      <c r="B94" s="25" t="s">
        <v>104</v>
      </c>
      <c r="C94" s="8" t="s">
        <v>81</v>
      </c>
      <c r="D94" s="8" t="s">
        <v>82</v>
      </c>
      <c r="E94" s="10">
        <v>4.0</v>
      </c>
      <c r="F94" s="10">
        <v>5.23</v>
      </c>
      <c r="G94" s="10">
        <v>6.64</v>
      </c>
      <c r="H94" s="10">
        <f t="shared" si="5"/>
        <v>5.29</v>
      </c>
      <c r="I94" s="8" t="s">
        <v>19</v>
      </c>
      <c r="J94" s="12">
        <v>1.0</v>
      </c>
    </row>
    <row r="95" ht="14.25" customHeight="1">
      <c r="A95" s="24">
        <v>24.0</v>
      </c>
      <c r="B95" s="25" t="s">
        <v>105</v>
      </c>
      <c r="C95" s="8" t="s">
        <v>81</v>
      </c>
      <c r="D95" s="8" t="s">
        <v>82</v>
      </c>
      <c r="E95" s="10">
        <v>5.02</v>
      </c>
      <c r="F95" s="10">
        <v>4.57</v>
      </c>
      <c r="G95" s="10">
        <v>4.87</v>
      </c>
      <c r="H95" s="10">
        <f t="shared" si="5"/>
        <v>4.82</v>
      </c>
      <c r="I95" s="8" t="s">
        <v>19</v>
      </c>
      <c r="J95" s="12">
        <v>1.0</v>
      </c>
    </row>
    <row r="96" ht="14.25" customHeight="1">
      <c r="A96" s="24">
        <v>25.0</v>
      </c>
      <c r="B96" s="8" t="s">
        <v>106</v>
      </c>
      <c r="C96" s="8" t="s">
        <v>81</v>
      </c>
      <c r="D96" s="8" t="s">
        <v>82</v>
      </c>
      <c r="E96" s="10">
        <v>3.25</v>
      </c>
      <c r="F96" s="10">
        <v>5.85</v>
      </c>
      <c r="G96" s="10">
        <v>6.5</v>
      </c>
      <c r="H96" s="10">
        <f t="shared" si="5"/>
        <v>5.2</v>
      </c>
      <c r="I96" s="8" t="s">
        <v>19</v>
      </c>
      <c r="J96" s="12">
        <v>1.0</v>
      </c>
    </row>
    <row r="97" ht="14.25" customHeight="1">
      <c r="A97" s="6">
        <v>26.0</v>
      </c>
      <c r="B97" s="8" t="s">
        <v>107</v>
      </c>
      <c r="C97" s="8" t="s">
        <v>81</v>
      </c>
      <c r="D97" s="8" t="s">
        <v>82</v>
      </c>
      <c r="E97" s="10">
        <v>5.75</v>
      </c>
      <c r="F97" s="10">
        <v>6.22</v>
      </c>
      <c r="G97" s="10">
        <v>6.55</v>
      </c>
      <c r="H97" s="10">
        <f t="shared" si="5"/>
        <v>6.173333333</v>
      </c>
      <c r="I97" s="8" t="s">
        <v>19</v>
      </c>
      <c r="J97" s="12">
        <v>1.0</v>
      </c>
    </row>
    <row r="98" ht="14.25" customHeight="1">
      <c r="A98" s="26"/>
      <c r="B98" s="20"/>
      <c r="C98" s="20"/>
      <c r="D98" s="20"/>
      <c r="E98" s="21"/>
      <c r="F98" s="21"/>
      <c r="G98" s="21"/>
      <c r="H98" s="20"/>
      <c r="I98" s="20"/>
      <c r="J98" s="1">
        <f t="shared" ref="J98:K98" si="6">SUM(J72:J97)</f>
        <v>22</v>
      </c>
      <c r="K98" s="1">
        <f t="shared" si="6"/>
        <v>4</v>
      </c>
    </row>
    <row r="99" ht="14.25" customHeight="1">
      <c r="A99" s="27"/>
      <c r="B99" s="22"/>
      <c r="C99" s="22"/>
      <c r="D99" s="22"/>
      <c r="E99" s="18"/>
      <c r="F99" s="18"/>
      <c r="G99" s="18"/>
      <c r="H99" s="22"/>
      <c r="I99" s="22"/>
      <c r="J99" s="16">
        <f>J98/A97</f>
        <v>0.8461538462</v>
      </c>
      <c r="K99" s="16">
        <f>K98/A97</f>
        <v>0.1538461538</v>
      </c>
    </row>
    <row r="100" ht="14.25" customHeight="1">
      <c r="A100" s="27"/>
      <c r="B100" s="22"/>
      <c r="C100" s="22"/>
      <c r="D100" s="22"/>
      <c r="E100" s="18"/>
      <c r="F100" s="18"/>
      <c r="G100" s="18"/>
      <c r="H100" s="22"/>
      <c r="I100" s="22"/>
    </row>
    <row r="101" ht="14.25" customHeight="1">
      <c r="A101" s="27"/>
      <c r="B101" s="22"/>
      <c r="C101" s="22"/>
      <c r="D101" s="22"/>
      <c r="E101" s="18"/>
      <c r="F101" s="18"/>
      <c r="G101" s="18"/>
      <c r="H101" s="22"/>
      <c r="I101" s="22"/>
    </row>
    <row r="102" ht="14.25" customHeight="1">
      <c r="A102" s="27"/>
      <c r="B102" s="22"/>
      <c r="C102" s="22"/>
      <c r="D102" s="22"/>
      <c r="E102" s="18"/>
      <c r="F102" s="18"/>
      <c r="G102" s="18"/>
      <c r="H102" s="22"/>
      <c r="I102" s="22"/>
    </row>
    <row r="103" ht="14.25" customHeight="1">
      <c r="A103" s="6">
        <v>1.0</v>
      </c>
      <c r="B103" s="8" t="s">
        <v>108</v>
      </c>
      <c r="C103" s="8" t="s">
        <v>109</v>
      </c>
      <c r="D103" s="8" t="s">
        <v>16</v>
      </c>
      <c r="E103" s="10">
        <v>4.28</v>
      </c>
      <c r="F103" s="10">
        <v>4.62</v>
      </c>
      <c r="G103" s="10">
        <v>5.75</v>
      </c>
      <c r="H103" s="10">
        <f t="shared" ref="H103:H130" si="7">((E103+F103+G103)/3)</f>
        <v>4.883333333</v>
      </c>
      <c r="I103" s="8" t="s">
        <v>19</v>
      </c>
      <c r="J103" s="12">
        <v>1.0</v>
      </c>
    </row>
    <row r="104" ht="14.25" customHeight="1">
      <c r="A104" s="6">
        <v>2.0</v>
      </c>
      <c r="B104" s="8" t="s">
        <v>110</v>
      </c>
      <c r="C104" s="8" t="s">
        <v>109</v>
      </c>
      <c r="D104" s="8" t="s">
        <v>16</v>
      </c>
      <c r="E104" s="10">
        <v>5.07</v>
      </c>
      <c r="F104" s="10">
        <v>3.47</v>
      </c>
      <c r="G104" s="10">
        <v>4.81</v>
      </c>
      <c r="H104" s="10">
        <f t="shared" si="7"/>
        <v>4.45</v>
      </c>
      <c r="I104" s="8" t="s">
        <v>19</v>
      </c>
      <c r="J104" s="12">
        <v>1.0</v>
      </c>
    </row>
    <row r="105" ht="14.25" customHeight="1">
      <c r="A105" s="6">
        <v>3.0</v>
      </c>
      <c r="B105" s="8" t="s">
        <v>111</v>
      </c>
      <c r="C105" s="8" t="s">
        <v>109</v>
      </c>
      <c r="D105" s="8" t="s">
        <v>16</v>
      </c>
      <c r="E105" s="10">
        <v>4.28</v>
      </c>
      <c r="F105" s="10">
        <v>5.82</v>
      </c>
      <c r="G105" s="10">
        <v>6.3</v>
      </c>
      <c r="H105" s="10">
        <f t="shared" si="7"/>
        <v>5.466666667</v>
      </c>
      <c r="I105" s="8" t="s">
        <v>19</v>
      </c>
      <c r="J105" s="12">
        <v>1.0</v>
      </c>
    </row>
    <row r="106" ht="14.25" customHeight="1">
      <c r="A106" s="6">
        <v>4.0</v>
      </c>
      <c r="B106" s="8" t="s">
        <v>112</v>
      </c>
      <c r="C106" s="8" t="s">
        <v>109</v>
      </c>
      <c r="D106" s="8" t="s">
        <v>16</v>
      </c>
      <c r="E106" s="10">
        <v>3.84</v>
      </c>
      <c r="F106" s="10">
        <v>4.82</v>
      </c>
      <c r="G106" s="10">
        <v>5.7</v>
      </c>
      <c r="H106" s="10">
        <f t="shared" si="7"/>
        <v>4.786666667</v>
      </c>
      <c r="I106" s="8" t="s">
        <v>19</v>
      </c>
      <c r="J106" s="12">
        <v>1.0</v>
      </c>
    </row>
    <row r="107" ht="14.25" customHeight="1">
      <c r="A107" s="6">
        <v>5.0</v>
      </c>
      <c r="B107" s="8" t="s">
        <v>113</v>
      </c>
      <c r="C107" s="8" t="s">
        <v>109</v>
      </c>
      <c r="D107" s="8" t="s">
        <v>16</v>
      </c>
      <c r="E107" s="10">
        <v>4.71</v>
      </c>
      <c r="F107" s="10">
        <v>5.67</v>
      </c>
      <c r="G107" s="10">
        <v>6.0</v>
      </c>
      <c r="H107" s="10">
        <f t="shared" si="7"/>
        <v>5.46</v>
      </c>
      <c r="I107" s="8" t="s">
        <v>19</v>
      </c>
      <c r="J107" s="12">
        <v>1.0</v>
      </c>
    </row>
    <row r="108" ht="14.25" customHeight="1">
      <c r="A108" s="6">
        <v>6.0</v>
      </c>
      <c r="B108" s="8" t="s">
        <v>114</v>
      </c>
      <c r="C108" s="8" t="s">
        <v>109</v>
      </c>
      <c r="D108" s="8" t="s">
        <v>16</v>
      </c>
      <c r="E108" s="10">
        <v>4.0</v>
      </c>
      <c r="F108" s="10">
        <v>5.14</v>
      </c>
      <c r="G108" s="10">
        <v>5.89</v>
      </c>
      <c r="H108" s="10">
        <f t="shared" si="7"/>
        <v>5.01</v>
      </c>
      <c r="I108" s="8" t="s">
        <v>19</v>
      </c>
      <c r="J108" s="12">
        <v>1.0</v>
      </c>
    </row>
    <row r="109" ht="14.25" customHeight="1">
      <c r="A109" s="6">
        <v>7.0</v>
      </c>
      <c r="B109" s="8" t="s">
        <v>115</v>
      </c>
      <c r="C109" s="8" t="s">
        <v>109</v>
      </c>
      <c r="D109" s="8" t="s">
        <v>16</v>
      </c>
      <c r="E109" s="10">
        <v>5.5</v>
      </c>
      <c r="F109" s="10">
        <v>4.0</v>
      </c>
      <c r="G109" s="10">
        <v>5.01</v>
      </c>
      <c r="H109" s="10">
        <f t="shared" si="7"/>
        <v>4.836666667</v>
      </c>
      <c r="I109" s="8" t="s">
        <v>19</v>
      </c>
      <c r="J109" s="12">
        <v>1.0</v>
      </c>
    </row>
    <row r="110" ht="14.25" customHeight="1">
      <c r="A110" s="6">
        <v>8.0</v>
      </c>
      <c r="B110" s="8" t="s">
        <v>116</v>
      </c>
      <c r="C110" s="8" t="s">
        <v>109</v>
      </c>
      <c r="D110" s="8" t="s">
        <v>16</v>
      </c>
      <c r="E110" s="10">
        <v>3.64</v>
      </c>
      <c r="F110" s="10">
        <v>3.71</v>
      </c>
      <c r="G110" s="10">
        <v>4.5</v>
      </c>
      <c r="H110" s="10">
        <f t="shared" si="7"/>
        <v>3.95</v>
      </c>
      <c r="I110" s="11" t="s">
        <v>17</v>
      </c>
      <c r="K110" s="12">
        <v>1.0</v>
      </c>
    </row>
    <row r="111" ht="14.25" customHeight="1">
      <c r="A111" s="6">
        <v>9.0</v>
      </c>
      <c r="B111" s="8" t="s">
        <v>117</v>
      </c>
      <c r="C111" s="8" t="s">
        <v>109</v>
      </c>
      <c r="D111" s="8" t="s">
        <v>16</v>
      </c>
      <c r="E111" s="10">
        <v>2.82</v>
      </c>
      <c r="F111" s="10">
        <v>1.28</v>
      </c>
      <c r="G111" s="10">
        <v>2.17</v>
      </c>
      <c r="H111" s="10">
        <f t="shared" si="7"/>
        <v>2.09</v>
      </c>
      <c r="I111" s="11" t="s">
        <v>17</v>
      </c>
      <c r="K111" s="12">
        <v>1.0</v>
      </c>
    </row>
    <row r="112" ht="14.25" customHeight="1">
      <c r="A112" s="6">
        <v>10.0</v>
      </c>
      <c r="B112" s="8" t="s">
        <v>118</v>
      </c>
      <c r="C112" s="8" t="s">
        <v>109</v>
      </c>
      <c r="D112" s="8" t="s">
        <v>16</v>
      </c>
      <c r="E112" s="10">
        <v>2.11</v>
      </c>
      <c r="F112" s="10">
        <v>2.32</v>
      </c>
      <c r="G112" s="10">
        <v>3.32</v>
      </c>
      <c r="H112" s="10">
        <f t="shared" si="7"/>
        <v>2.583333333</v>
      </c>
      <c r="I112" s="11" t="s">
        <v>17</v>
      </c>
      <c r="K112" s="12">
        <v>1.0</v>
      </c>
    </row>
    <row r="113" ht="14.25" customHeight="1">
      <c r="A113" s="6">
        <v>11.0</v>
      </c>
      <c r="B113" s="8" t="s">
        <v>119</v>
      </c>
      <c r="C113" s="8" t="s">
        <v>109</v>
      </c>
      <c r="D113" s="8" t="s">
        <v>16</v>
      </c>
      <c r="E113" s="10">
        <v>4.85</v>
      </c>
      <c r="F113" s="10">
        <v>5.35</v>
      </c>
      <c r="G113" s="10">
        <v>4.51</v>
      </c>
      <c r="H113" s="10">
        <f t="shared" si="7"/>
        <v>4.903333333</v>
      </c>
      <c r="I113" s="8" t="s">
        <v>19</v>
      </c>
      <c r="J113" s="12">
        <v>1.0</v>
      </c>
    </row>
    <row r="114" ht="14.25" customHeight="1">
      <c r="A114" s="6">
        <v>12.0</v>
      </c>
      <c r="B114" s="8" t="s">
        <v>120</v>
      </c>
      <c r="C114" s="8" t="s">
        <v>109</v>
      </c>
      <c r="D114" s="8" t="s">
        <v>16</v>
      </c>
      <c r="E114" s="10">
        <v>3.85</v>
      </c>
      <c r="F114" s="10">
        <v>4.21</v>
      </c>
      <c r="G114" s="10">
        <v>5.74</v>
      </c>
      <c r="H114" s="10">
        <f t="shared" si="7"/>
        <v>4.6</v>
      </c>
      <c r="I114" s="8" t="s">
        <v>19</v>
      </c>
      <c r="J114" s="12">
        <v>1.0</v>
      </c>
    </row>
    <row r="115" ht="14.25" customHeight="1">
      <c r="A115" s="6">
        <v>13.0</v>
      </c>
      <c r="B115" s="8" t="s">
        <v>121</v>
      </c>
      <c r="C115" s="8" t="s">
        <v>109</v>
      </c>
      <c r="D115" s="8" t="s">
        <v>16</v>
      </c>
      <c r="E115" s="10">
        <v>5.71</v>
      </c>
      <c r="F115" s="10">
        <v>5.5</v>
      </c>
      <c r="G115" s="10">
        <v>6.89</v>
      </c>
      <c r="H115" s="10">
        <f t="shared" si="7"/>
        <v>6.033333333</v>
      </c>
      <c r="I115" s="8" t="s">
        <v>19</v>
      </c>
      <c r="J115" s="12">
        <v>1.0</v>
      </c>
    </row>
    <row r="116" ht="14.25" customHeight="1">
      <c r="A116" s="6">
        <v>14.0</v>
      </c>
      <c r="B116" s="8" t="s">
        <v>122</v>
      </c>
      <c r="C116" s="8" t="s">
        <v>109</v>
      </c>
      <c r="D116" s="8" t="s">
        <v>16</v>
      </c>
      <c r="E116" s="10">
        <v>5.35</v>
      </c>
      <c r="F116" s="10">
        <v>4.1</v>
      </c>
      <c r="G116" s="10">
        <v>4.51</v>
      </c>
      <c r="H116" s="10">
        <f t="shared" si="7"/>
        <v>4.653333333</v>
      </c>
      <c r="I116" s="8" t="s">
        <v>19</v>
      </c>
      <c r="J116" s="12">
        <v>1.0</v>
      </c>
    </row>
    <row r="117" ht="14.25" customHeight="1">
      <c r="A117" s="6">
        <v>15.0</v>
      </c>
      <c r="B117" s="8" t="s">
        <v>123</v>
      </c>
      <c r="C117" s="8" t="s">
        <v>109</v>
      </c>
      <c r="D117" s="8" t="s">
        <v>16</v>
      </c>
      <c r="E117" s="10">
        <v>3.14</v>
      </c>
      <c r="F117" s="10">
        <v>5.14</v>
      </c>
      <c r="G117" s="10">
        <v>5.47</v>
      </c>
      <c r="H117" s="10">
        <f t="shared" si="7"/>
        <v>4.583333333</v>
      </c>
      <c r="I117" s="8" t="s">
        <v>19</v>
      </c>
      <c r="J117" s="12">
        <v>1.0</v>
      </c>
    </row>
    <row r="118" ht="14.25" customHeight="1">
      <c r="A118" s="6">
        <v>16.0</v>
      </c>
      <c r="B118" s="8" t="s">
        <v>124</v>
      </c>
      <c r="C118" s="8" t="s">
        <v>109</v>
      </c>
      <c r="D118" s="8" t="s">
        <v>16</v>
      </c>
      <c r="E118" s="10">
        <v>1.35</v>
      </c>
      <c r="F118" s="10">
        <v>2.0</v>
      </c>
      <c r="G118" s="10">
        <v>1.05</v>
      </c>
      <c r="H118" s="10">
        <f t="shared" si="7"/>
        <v>1.466666667</v>
      </c>
      <c r="I118" s="11" t="s">
        <v>17</v>
      </c>
      <c r="K118" s="12">
        <v>1.0</v>
      </c>
    </row>
    <row r="119" ht="14.25" customHeight="1">
      <c r="A119" s="6">
        <v>17.0</v>
      </c>
      <c r="B119" s="8" t="s">
        <v>125</v>
      </c>
      <c r="C119" s="8" t="s">
        <v>109</v>
      </c>
      <c r="D119" s="8" t="s">
        <v>32</v>
      </c>
      <c r="E119" s="10">
        <v>5.46</v>
      </c>
      <c r="F119" s="10">
        <v>6.75</v>
      </c>
      <c r="G119" s="10">
        <v>6.94</v>
      </c>
      <c r="H119" s="10">
        <f t="shared" si="7"/>
        <v>6.383333333</v>
      </c>
      <c r="I119" s="8" t="s">
        <v>19</v>
      </c>
      <c r="J119" s="12">
        <v>1.0</v>
      </c>
    </row>
    <row r="120" ht="14.25" customHeight="1">
      <c r="A120" s="6">
        <v>18.0</v>
      </c>
      <c r="B120" s="8" t="s">
        <v>126</v>
      </c>
      <c r="C120" s="8" t="s">
        <v>109</v>
      </c>
      <c r="D120" s="8" t="s">
        <v>32</v>
      </c>
      <c r="E120" s="10">
        <v>4.96</v>
      </c>
      <c r="F120" s="10">
        <v>6.1</v>
      </c>
      <c r="G120" s="10">
        <v>7.59</v>
      </c>
      <c r="H120" s="10">
        <f t="shared" si="7"/>
        <v>6.216666667</v>
      </c>
      <c r="I120" s="8" t="s">
        <v>19</v>
      </c>
      <c r="J120" s="12">
        <v>1.0</v>
      </c>
    </row>
    <row r="121" ht="14.25" customHeight="1">
      <c r="A121" s="6">
        <v>19.0</v>
      </c>
      <c r="B121" s="8" t="s">
        <v>127</v>
      </c>
      <c r="C121" s="8" t="s">
        <v>109</v>
      </c>
      <c r="D121" s="8" t="s">
        <v>32</v>
      </c>
      <c r="E121" s="10">
        <v>5.0</v>
      </c>
      <c r="F121" s="10">
        <v>6.39</v>
      </c>
      <c r="G121" s="10">
        <v>7.41</v>
      </c>
      <c r="H121" s="10">
        <f t="shared" si="7"/>
        <v>6.266666667</v>
      </c>
      <c r="I121" s="8" t="s">
        <v>19</v>
      </c>
      <c r="J121" s="12">
        <v>1.0</v>
      </c>
    </row>
    <row r="122" ht="14.25" customHeight="1">
      <c r="A122" s="6">
        <v>20.0</v>
      </c>
      <c r="B122" s="8" t="s">
        <v>128</v>
      </c>
      <c r="C122" s="8" t="s">
        <v>109</v>
      </c>
      <c r="D122" s="8" t="s">
        <v>32</v>
      </c>
      <c r="E122" s="10">
        <v>4.0</v>
      </c>
      <c r="F122" s="10">
        <v>6.5</v>
      </c>
      <c r="G122" s="10">
        <v>6.71</v>
      </c>
      <c r="H122" s="10">
        <f t="shared" si="7"/>
        <v>5.736666667</v>
      </c>
      <c r="I122" s="8" t="s">
        <v>19</v>
      </c>
      <c r="J122" s="12">
        <v>1.0</v>
      </c>
    </row>
    <row r="123" ht="14.25" customHeight="1">
      <c r="A123" s="6">
        <v>21.0</v>
      </c>
      <c r="B123" s="8" t="s">
        <v>129</v>
      </c>
      <c r="C123" s="8" t="s">
        <v>109</v>
      </c>
      <c r="D123" s="8" t="s">
        <v>32</v>
      </c>
      <c r="E123" s="10">
        <v>4.5</v>
      </c>
      <c r="F123" s="10">
        <v>5.0</v>
      </c>
      <c r="G123" s="10">
        <v>5.21</v>
      </c>
      <c r="H123" s="10">
        <f t="shared" si="7"/>
        <v>4.903333333</v>
      </c>
      <c r="I123" s="8" t="s">
        <v>19</v>
      </c>
      <c r="J123" s="12">
        <v>1.0</v>
      </c>
    </row>
    <row r="124" ht="14.25" customHeight="1">
      <c r="A124" s="6">
        <v>22.0</v>
      </c>
      <c r="B124" s="8" t="s">
        <v>130</v>
      </c>
      <c r="C124" s="8" t="s">
        <v>109</v>
      </c>
      <c r="D124" s="8" t="s">
        <v>32</v>
      </c>
      <c r="E124" s="10">
        <v>5.2</v>
      </c>
      <c r="F124" s="10">
        <v>6.14</v>
      </c>
      <c r="G124" s="10">
        <v>5.45</v>
      </c>
      <c r="H124" s="10">
        <f t="shared" si="7"/>
        <v>5.596666667</v>
      </c>
      <c r="I124" s="8" t="s">
        <v>19</v>
      </c>
      <c r="J124" s="12">
        <v>1.0</v>
      </c>
    </row>
    <row r="125" ht="14.25" customHeight="1">
      <c r="A125" s="6">
        <v>23.0</v>
      </c>
      <c r="B125" s="8" t="s">
        <v>131</v>
      </c>
      <c r="C125" s="8" t="s">
        <v>109</v>
      </c>
      <c r="D125" s="8" t="s">
        <v>32</v>
      </c>
      <c r="E125" s="10">
        <v>6.4</v>
      </c>
      <c r="F125" s="10">
        <v>5.12</v>
      </c>
      <c r="G125" s="10">
        <v>5.92</v>
      </c>
      <c r="H125" s="10">
        <f t="shared" si="7"/>
        <v>5.813333333</v>
      </c>
      <c r="I125" s="8" t="s">
        <v>19</v>
      </c>
      <c r="J125" s="12">
        <v>1.0</v>
      </c>
    </row>
    <row r="126" ht="14.25" customHeight="1">
      <c r="A126" s="6">
        <v>24.0</v>
      </c>
      <c r="B126" s="13" t="s">
        <v>132</v>
      </c>
      <c r="C126" s="8" t="s">
        <v>109</v>
      </c>
      <c r="D126" s="8" t="s">
        <v>32</v>
      </c>
      <c r="E126" s="10">
        <v>3.86</v>
      </c>
      <c r="F126" s="10">
        <v>4.94</v>
      </c>
      <c r="G126" s="10">
        <v>4.74</v>
      </c>
      <c r="H126" s="10">
        <f t="shared" si="7"/>
        <v>4.513333333</v>
      </c>
      <c r="I126" s="8" t="s">
        <v>19</v>
      </c>
      <c r="J126" s="12">
        <v>1.0</v>
      </c>
    </row>
    <row r="127" ht="14.25" customHeight="1">
      <c r="A127" s="6">
        <v>25.0</v>
      </c>
      <c r="B127" s="28" t="s">
        <v>133</v>
      </c>
      <c r="C127" s="8" t="s">
        <v>109</v>
      </c>
      <c r="D127" s="8" t="s">
        <v>32</v>
      </c>
      <c r="E127" s="10">
        <v>4.6</v>
      </c>
      <c r="F127" s="10">
        <v>5.52</v>
      </c>
      <c r="G127" s="10">
        <v>3.82</v>
      </c>
      <c r="H127" s="10">
        <f t="shared" si="7"/>
        <v>4.646666667</v>
      </c>
      <c r="I127" s="8" t="s">
        <v>19</v>
      </c>
      <c r="J127" s="12">
        <v>1.0</v>
      </c>
    </row>
    <row r="128" ht="14.25" customHeight="1">
      <c r="A128" s="6">
        <v>26.0</v>
      </c>
      <c r="B128" s="8" t="s">
        <v>134</v>
      </c>
      <c r="C128" s="8" t="s">
        <v>109</v>
      </c>
      <c r="D128" s="8" t="s">
        <v>32</v>
      </c>
      <c r="E128" s="10">
        <v>5.43</v>
      </c>
      <c r="F128" s="10">
        <v>4.78</v>
      </c>
      <c r="G128" s="10">
        <v>4.19</v>
      </c>
      <c r="H128" s="10">
        <f t="shared" si="7"/>
        <v>4.8</v>
      </c>
      <c r="I128" s="8" t="s">
        <v>19</v>
      </c>
      <c r="J128" s="12">
        <v>1.0</v>
      </c>
    </row>
    <row r="129" ht="14.25" customHeight="1">
      <c r="A129" s="6">
        <v>27.0</v>
      </c>
      <c r="B129" s="8" t="s">
        <v>135</v>
      </c>
      <c r="C129" s="8" t="s">
        <v>109</v>
      </c>
      <c r="D129" s="8" t="s">
        <v>32</v>
      </c>
      <c r="E129" s="10">
        <v>6.0</v>
      </c>
      <c r="F129" s="10">
        <v>5.48</v>
      </c>
      <c r="G129" s="10">
        <v>5.05</v>
      </c>
      <c r="H129" s="10">
        <f t="shared" si="7"/>
        <v>5.51</v>
      </c>
      <c r="I129" s="8" t="s">
        <v>19</v>
      </c>
      <c r="J129" s="12">
        <v>1.0</v>
      </c>
    </row>
    <row r="130" ht="14.25" customHeight="1">
      <c r="A130" s="6">
        <v>28.0</v>
      </c>
      <c r="B130" s="28" t="s">
        <v>136</v>
      </c>
      <c r="C130" s="8" t="s">
        <v>109</v>
      </c>
      <c r="D130" s="8" t="s">
        <v>32</v>
      </c>
      <c r="E130" s="10">
        <v>4.13</v>
      </c>
      <c r="F130" s="10">
        <v>4.634</v>
      </c>
      <c r="G130" s="10">
        <v>4.94</v>
      </c>
      <c r="H130" s="10">
        <f t="shared" si="7"/>
        <v>4.568</v>
      </c>
      <c r="I130" s="8" t="s">
        <v>19</v>
      </c>
      <c r="J130" s="12">
        <v>1.0</v>
      </c>
    </row>
    <row r="131" ht="14.25" customHeight="1">
      <c r="A131" s="6"/>
      <c r="B131" s="29"/>
      <c r="C131" s="8"/>
      <c r="D131" s="8"/>
      <c r="E131" s="10"/>
      <c r="F131" s="10"/>
      <c r="G131" s="10"/>
      <c r="H131" s="10"/>
      <c r="I131" s="8"/>
      <c r="J131" s="1">
        <f t="shared" ref="J131:K131" si="8">SUM(J103:J130)</f>
        <v>24</v>
      </c>
      <c r="K131" s="1">
        <f t="shared" si="8"/>
        <v>4</v>
      </c>
    </row>
    <row r="132" ht="14.25" customHeight="1">
      <c r="A132" s="6"/>
      <c r="B132" s="29"/>
      <c r="C132" s="8"/>
      <c r="D132" s="8"/>
      <c r="E132" s="10"/>
      <c r="F132" s="10"/>
      <c r="G132" s="10"/>
      <c r="H132" s="10"/>
      <c r="I132" s="8"/>
      <c r="J132" s="16">
        <f>J131/A130</f>
        <v>0.8571428571</v>
      </c>
      <c r="K132" s="16">
        <f>K131/A130</f>
        <v>0.1428571429</v>
      </c>
    </row>
    <row r="133" ht="14.25" customHeight="1">
      <c r="A133" s="6"/>
      <c r="B133" s="29"/>
      <c r="C133" s="8"/>
      <c r="D133" s="8"/>
      <c r="E133" s="10"/>
      <c r="F133" s="10"/>
      <c r="G133" s="10"/>
      <c r="H133" s="10"/>
      <c r="I133" s="8"/>
    </row>
    <row r="134" ht="14.25" customHeight="1">
      <c r="A134" s="6">
        <v>1.0</v>
      </c>
      <c r="B134" s="8" t="s">
        <v>137</v>
      </c>
      <c r="C134" s="8" t="s">
        <v>138</v>
      </c>
      <c r="D134" s="8" t="s">
        <v>16</v>
      </c>
      <c r="E134" s="10">
        <v>5.58</v>
      </c>
      <c r="F134" s="10">
        <v>6.88</v>
      </c>
      <c r="G134" s="10">
        <v>5.82</v>
      </c>
      <c r="H134" s="10">
        <f t="shared" ref="H134:H191" si="9">((E134+F134+G134)/3)</f>
        <v>6.093333333</v>
      </c>
      <c r="I134" s="8" t="s">
        <v>19</v>
      </c>
      <c r="J134" s="12">
        <v>1.0</v>
      </c>
    </row>
    <row r="135" ht="14.25" customHeight="1">
      <c r="A135" s="6">
        <v>2.0</v>
      </c>
      <c r="B135" s="8" t="s">
        <v>139</v>
      </c>
      <c r="C135" s="8" t="s">
        <v>138</v>
      </c>
      <c r="D135" s="8" t="s">
        <v>16</v>
      </c>
      <c r="E135" s="10">
        <v>4.34</v>
      </c>
      <c r="F135" s="10">
        <v>5.52</v>
      </c>
      <c r="G135" s="10">
        <v>4.92</v>
      </c>
      <c r="H135" s="10">
        <f t="shared" si="9"/>
        <v>4.926666667</v>
      </c>
      <c r="I135" s="8" t="s">
        <v>19</v>
      </c>
      <c r="J135" s="12">
        <v>1.0</v>
      </c>
    </row>
    <row r="136" ht="14.25" customHeight="1">
      <c r="A136" s="6">
        <v>3.0</v>
      </c>
      <c r="B136" s="8" t="s">
        <v>140</v>
      </c>
      <c r="C136" s="8" t="s">
        <v>138</v>
      </c>
      <c r="D136" s="8" t="s">
        <v>16</v>
      </c>
      <c r="E136" s="10">
        <v>3.99</v>
      </c>
      <c r="F136" s="10">
        <v>4.6</v>
      </c>
      <c r="G136" s="10">
        <v>5.02</v>
      </c>
      <c r="H136" s="10">
        <f t="shared" si="9"/>
        <v>4.536666667</v>
      </c>
      <c r="I136" s="8" t="s">
        <v>19</v>
      </c>
      <c r="J136" s="12">
        <v>1.0</v>
      </c>
    </row>
    <row r="137" ht="14.25" customHeight="1">
      <c r="A137" s="6">
        <v>4.0</v>
      </c>
      <c r="B137" s="8" t="s">
        <v>141</v>
      </c>
      <c r="C137" s="8" t="s">
        <v>138</v>
      </c>
      <c r="D137" s="8" t="s">
        <v>16</v>
      </c>
      <c r="E137" s="10">
        <v>4.97</v>
      </c>
      <c r="F137" s="10">
        <v>3.83</v>
      </c>
      <c r="G137" s="10">
        <v>4.84</v>
      </c>
      <c r="H137" s="10">
        <f t="shared" si="9"/>
        <v>4.546666667</v>
      </c>
      <c r="I137" s="8" t="s">
        <v>19</v>
      </c>
      <c r="J137" s="12">
        <v>1.0</v>
      </c>
    </row>
    <row r="138" ht="14.25" customHeight="1">
      <c r="A138" s="6">
        <v>5.0</v>
      </c>
      <c r="B138" s="8" t="s">
        <v>142</v>
      </c>
      <c r="C138" s="8" t="s">
        <v>138</v>
      </c>
      <c r="D138" s="8" t="s">
        <v>16</v>
      </c>
      <c r="E138" s="10">
        <v>5.8</v>
      </c>
      <c r="F138" s="10">
        <v>6.46</v>
      </c>
      <c r="G138" s="10">
        <v>5.97</v>
      </c>
      <c r="H138" s="10">
        <f t="shared" si="9"/>
        <v>6.076666667</v>
      </c>
      <c r="I138" s="8" t="s">
        <v>19</v>
      </c>
      <c r="J138" s="12">
        <v>1.0</v>
      </c>
    </row>
    <row r="139" ht="14.25" customHeight="1">
      <c r="A139" s="6">
        <v>6.0</v>
      </c>
      <c r="B139" s="8" t="s">
        <v>143</v>
      </c>
      <c r="C139" s="8" t="s">
        <v>138</v>
      </c>
      <c r="D139" s="8" t="s">
        <v>16</v>
      </c>
      <c r="E139" s="10">
        <v>6.5</v>
      </c>
      <c r="F139" s="10">
        <v>5.5</v>
      </c>
      <c r="G139" s="10">
        <v>5.8</v>
      </c>
      <c r="H139" s="10">
        <f t="shared" si="9"/>
        <v>5.933333333</v>
      </c>
      <c r="I139" s="8" t="s">
        <v>19</v>
      </c>
      <c r="J139" s="12">
        <v>1.0</v>
      </c>
    </row>
    <row r="140" ht="14.25" customHeight="1">
      <c r="A140" s="6">
        <v>7.0</v>
      </c>
      <c r="B140" s="8" t="s">
        <v>144</v>
      </c>
      <c r="C140" s="8" t="s">
        <v>138</v>
      </c>
      <c r="D140" s="8" t="s">
        <v>16</v>
      </c>
      <c r="E140" s="10">
        <v>5.74</v>
      </c>
      <c r="F140" s="10">
        <v>4.83</v>
      </c>
      <c r="G140" s="10">
        <v>6.52</v>
      </c>
      <c r="H140" s="10">
        <f t="shared" si="9"/>
        <v>5.696666667</v>
      </c>
      <c r="I140" s="8" t="s">
        <v>19</v>
      </c>
      <c r="J140" s="12">
        <v>1.0</v>
      </c>
    </row>
    <row r="141" ht="14.25" customHeight="1">
      <c r="A141" s="6">
        <v>8.0</v>
      </c>
      <c r="B141" s="8" t="s">
        <v>145</v>
      </c>
      <c r="C141" s="8" t="s">
        <v>138</v>
      </c>
      <c r="D141" s="8" t="s">
        <v>16</v>
      </c>
      <c r="E141" s="10">
        <v>3.48</v>
      </c>
      <c r="F141" s="10">
        <v>5.0</v>
      </c>
      <c r="G141" s="10">
        <v>5.94</v>
      </c>
      <c r="H141" s="10">
        <f t="shared" si="9"/>
        <v>4.806666667</v>
      </c>
      <c r="I141" s="8" t="s">
        <v>19</v>
      </c>
      <c r="J141" s="12">
        <v>1.0</v>
      </c>
    </row>
    <row r="142" ht="14.25" customHeight="1">
      <c r="A142" s="6">
        <v>9.0</v>
      </c>
      <c r="B142" s="8" t="s">
        <v>146</v>
      </c>
      <c r="C142" s="8" t="s">
        <v>138</v>
      </c>
      <c r="D142" s="8" t="s">
        <v>16</v>
      </c>
      <c r="E142" s="10">
        <v>5.25</v>
      </c>
      <c r="F142" s="10">
        <v>6.05</v>
      </c>
      <c r="G142" s="10">
        <v>7.02</v>
      </c>
      <c r="H142" s="10">
        <f t="shared" si="9"/>
        <v>6.106666667</v>
      </c>
      <c r="I142" s="8" t="s">
        <v>19</v>
      </c>
      <c r="J142" s="12">
        <v>1.0</v>
      </c>
    </row>
    <row r="143" ht="14.25" customHeight="1">
      <c r="A143" s="6">
        <v>10.0</v>
      </c>
      <c r="B143" s="8" t="s">
        <v>147</v>
      </c>
      <c r="C143" s="8" t="s">
        <v>138</v>
      </c>
      <c r="D143" s="8" t="s">
        <v>16</v>
      </c>
      <c r="E143" s="10">
        <v>2.32</v>
      </c>
      <c r="F143" s="10">
        <v>1.3</v>
      </c>
      <c r="G143" s="10">
        <v>1.59</v>
      </c>
      <c r="H143" s="10">
        <f t="shared" si="9"/>
        <v>1.736666667</v>
      </c>
      <c r="I143" s="11" t="s">
        <v>17</v>
      </c>
      <c r="K143" s="12">
        <v>1.0</v>
      </c>
    </row>
    <row r="144" ht="14.25" customHeight="1">
      <c r="A144" s="6">
        <v>11.0</v>
      </c>
      <c r="B144" s="8" t="s">
        <v>148</v>
      </c>
      <c r="C144" s="8" t="s">
        <v>138</v>
      </c>
      <c r="D144" s="8" t="s">
        <v>16</v>
      </c>
      <c r="E144" s="10">
        <v>4.42</v>
      </c>
      <c r="F144" s="10">
        <v>6.36</v>
      </c>
      <c r="G144" s="10">
        <v>6.11</v>
      </c>
      <c r="H144" s="10">
        <f t="shared" si="9"/>
        <v>5.63</v>
      </c>
      <c r="I144" s="8" t="s">
        <v>19</v>
      </c>
      <c r="J144" s="12">
        <v>1.0</v>
      </c>
    </row>
    <row r="145" ht="14.25" customHeight="1">
      <c r="A145" s="6">
        <v>12.0</v>
      </c>
      <c r="B145" s="8" t="s">
        <v>149</v>
      </c>
      <c r="C145" s="8" t="s">
        <v>138</v>
      </c>
      <c r="D145" s="8" t="s">
        <v>16</v>
      </c>
      <c r="E145" s="10">
        <v>1.38</v>
      </c>
      <c r="F145" s="10">
        <v>3.0</v>
      </c>
      <c r="G145" s="10">
        <v>2.94</v>
      </c>
      <c r="H145" s="10">
        <f t="shared" si="9"/>
        <v>2.44</v>
      </c>
      <c r="I145" s="11" t="s">
        <v>17</v>
      </c>
      <c r="K145" s="12">
        <v>1.0</v>
      </c>
    </row>
    <row r="146" ht="14.25" customHeight="1">
      <c r="A146" s="6">
        <v>13.0</v>
      </c>
      <c r="B146" s="8" t="s">
        <v>150</v>
      </c>
      <c r="C146" s="8" t="s">
        <v>138</v>
      </c>
      <c r="D146" s="8" t="s">
        <v>16</v>
      </c>
      <c r="E146" s="10">
        <v>3.32</v>
      </c>
      <c r="F146" s="10">
        <v>2.94</v>
      </c>
      <c r="G146" s="10">
        <v>3.49</v>
      </c>
      <c r="H146" s="10">
        <f t="shared" si="9"/>
        <v>3.25</v>
      </c>
      <c r="I146" s="11" t="s">
        <v>17</v>
      </c>
      <c r="K146" s="12">
        <v>1.0</v>
      </c>
    </row>
    <row r="147" ht="14.25" customHeight="1">
      <c r="A147" s="6">
        <v>14.0</v>
      </c>
      <c r="B147" s="8" t="s">
        <v>151</v>
      </c>
      <c r="C147" s="8" t="s">
        <v>138</v>
      </c>
      <c r="D147" s="8" t="s">
        <v>16</v>
      </c>
      <c r="E147" s="10">
        <v>4.74</v>
      </c>
      <c r="F147" s="10">
        <v>5.0</v>
      </c>
      <c r="G147" s="10">
        <v>6.11</v>
      </c>
      <c r="H147" s="10">
        <f t="shared" si="9"/>
        <v>5.283333333</v>
      </c>
      <c r="I147" s="8" t="s">
        <v>19</v>
      </c>
      <c r="J147" s="12">
        <v>1.0</v>
      </c>
    </row>
    <row r="148" ht="14.25" customHeight="1">
      <c r="A148" s="6">
        <v>15.0</v>
      </c>
      <c r="B148" s="8" t="s">
        <v>152</v>
      </c>
      <c r="C148" s="8" t="s">
        <v>138</v>
      </c>
      <c r="D148" s="8" t="s">
        <v>16</v>
      </c>
      <c r="E148" s="10">
        <v>3.88</v>
      </c>
      <c r="F148" s="10">
        <v>4.91</v>
      </c>
      <c r="G148" s="10">
        <v>5.0</v>
      </c>
      <c r="H148" s="10">
        <f t="shared" si="9"/>
        <v>4.596666667</v>
      </c>
      <c r="I148" s="8" t="s">
        <v>19</v>
      </c>
      <c r="J148" s="12">
        <v>1.0</v>
      </c>
    </row>
    <row r="149" ht="14.25" customHeight="1">
      <c r="A149" s="6">
        <v>16.0</v>
      </c>
      <c r="B149" s="8" t="s">
        <v>153</v>
      </c>
      <c r="C149" s="8" t="s">
        <v>138</v>
      </c>
      <c r="D149" s="8" t="s">
        <v>16</v>
      </c>
      <c r="E149" s="10">
        <v>2.782</v>
      </c>
      <c r="F149" s="10">
        <v>3.0</v>
      </c>
      <c r="G149" s="10">
        <v>4.22</v>
      </c>
      <c r="H149" s="10">
        <f t="shared" si="9"/>
        <v>3.334</v>
      </c>
      <c r="I149" s="11" t="s">
        <v>17</v>
      </c>
      <c r="K149" s="12">
        <v>1.0</v>
      </c>
    </row>
    <row r="150" ht="14.25" customHeight="1">
      <c r="A150" s="6">
        <v>17.0</v>
      </c>
      <c r="B150" s="8" t="s">
        <v>154</v>
      </c>
      <c r="C150" s="8" t="s">
        <v>138</v>
      </c>
      <c r="D150" s="8" t="s">
        <v>16</v>
      </c>
      <c r="E150" s="10">
        <v>1.3</v>
      </c>
      <c r="F150" s="10">
        <v>2.93</v>
      </c>
      <c r="G150" s="10">
        <v>3.48</v>
      </c>
      <c r="H150" s="10">
        <f t="shared" si="9"/>
        <v>2.57</v>
      </c>
      <c r="I150" s="11" t="s">
        <v>17</v>
      </c>
      <c r="K150" s="12">
        <v>1.0</v>
      </c>
    </row>
    <row r="151" ht="14.25" customHeight="1">
      <c r="A151" s="6">
        <v>18.0</v>
      </c>
      <c r="B151" s="8" t="s">
        <v>155</v>
      </c>
      <c r="C151" s="8" t="s">
        <v>138</v>
      </c>
      <c r="D151" s="8" t="s">
        <v>16</v>
      </c>
      <c r="E151" s="10">
        <v>5.38</v>
      </c>
      <c r="F151" s="10">
        <v>4.92</v>
      </c>
      <c r="G151" s="10">
        <v>4.71</v>
      </c>
      <c r="H151" s="10">
        <f t="shared" si="9"/>
        <v>5.003333333</v>
      </c>
      <c r="I151" s="8" t="s">
        <v>19</v>
      </c>
      <c r="J151" s="12">
        <v>1.0</v>
      </c>
    </row>
    <row r="152" ht="14.25" customHeight="1">
      <c r="A152" s="6">
        <v>19.0</v>
      </c>
      <c r="B152" s="8" t="s">
        <v>156</v>
      </c>
      <c r="C152" s="8" t="s">
        <v>138</v>
      </c>
      <c r="D152" s="8" t="s">
        <v>32</v>
      </c>
      <c r="E152" s="10">
        <v>4.79</v>
      </c>
      <c r="F152" s="10">
        <v>3.86</v>
      </c>
      <c r="G152" s="10">
        <v>4.99</v>
      </c>
      <c r="H152" s="10">
        <f t="shared" si="9"/>
        <v>4.546666667</v>
      </c>
      <c r="I152" s="8" t="s">
        <v>19</v>
      </c>
      <c r="J152" s="12">
        <v>1.0</v>
      </c>
    </row>
    <row r="153" ht="14.25" customHeight="1">
      <c r="A153" s="6">
        <v>20.0</v>
      </c>
      <c r="B153" s="8" t="s">
        <v>157</v>
      </c>
      <c r="C153" s="8" t="s">
        <v>138</v>
      </c>
      <c r="D153" s="8" t="s">
        <v>32</v>
      </c>
      <c r="E153" s="10">
        <v>2.65</v>
      </c>
      <c r="F153" s="10">
        <v>1.74</v>
      </c>
      <c r="G153" s="10">
        <v>2.0</v>
      </c>
      <c r="H153" s="10">
        <f t="shared" si="9"/>
        <v>2.13</v>
      </c>
      <c r="I153" s="11" t="s">
        <v>17</v>
      </c>
      <c r="K153" s="12">
        <v>1.0</v>
      </c>
    </row>
    <row r="154" ht="14.25" customHeight="1">
      <c r="A154" s="6">
        <v>21.0</v>
      </c>
      <c r="B154" s="8" t="s">
        <v>158</v>
      </c>
      <c r="C154" s="8" t="s">
        <v>138</v>
      </c>
      <c r="D154" s="8" t="s">
        <v>32</v>
      </c>
      <c r="E154" s="10">
        <v>6.17</v>
      </c>
      <c r="F154" s="10">
        <v>5.29</v>
      </c>
      <c r="G154" s="10">
        <v>7.28</v>
      </c>
      <c r="H154" s="10">
        <f t="shared" si="9"/>
        <v>6.246666667</v>
      </c>
      <c r="I154" s="8" t="s">
        <v>19</v>
      </c>
      <c r="J154" s="12">
        <v>1.0</v>
      </c>
    </row>
    <row r="155" ht="14.25" customHeight="1">
      <c r="A155" s="6">
        <v>22.0</v>
      </c>
      <c r="B155" s="8" t="s">
        <v>159</v>
      </c>
      <c r="C155" s="8" t="s">
        <v>138</v>
      </c>
      <c r="D155" s="8" t="s">
        <v>32</v>
      </c>
      <c r="E155" s="10">
        <v>5.22</v>
      </c>
      <c r="F155" s="10">
        <v>4.48</v>
      </c>
      <c r="G155" s="10">
        <v>4.96</v>
      </c>
      <c r="H155" s="10">
        <f t="shared" si="9"/>
        <v>4.886666667</v>
      </c>
      <c r="I155" s="8" t="s">
        <v>19</v>
      </c>
      <c r="J155" s="12">
        <v>1.0</v>
      </c>
    </row>
    <row r="156" ht="14.25" customHeight="1">
      <c r="A156" s="6">
        <v>23.0</v>
      </c>
      <c r="B156" s="8" t="s">
        <v>160</v>
      </c>
      <c r="C156" s="8" t="s">
        <v>138</v>
      </c>
      <c r="D156" s="8" t="s">
        <v>32</v>
      </c>
      <c r="E156" s="10">
        <v>4.52</v>
      </c>
      <c r="F156" s="10">
        <v>5.62</v>
      </c>
      <c r="G156" s="10">
        <v>6.53</v>
      </c>
      <c r="H156" s="10">
        <f t="shared" si="9"/>
        <v>5.556666667</v>
      </c>
      <c r="I156" s="8" t="s">
        <v>19</v>
      </c>
      <c r="J156" s="12">
        <v>1.0</v>
      </c>
    </row>
    <row r="157" ht="14.25" customHeight="1">
      <c r="A157" s="6">
        <v>24.0</v>
      </c>
      <c r="B157" s="8" t="s">
        <v>161</v>
      </c>
      <c r="C157" s="8" t="s">
        <v>138</v>
      </c>
      <c r="D157" s="8" t="s">
        <v>32</v>
      </c>
      <c r="E157" s="10">
        <v>5.31</v>
      </c>
      <c r="F157" s="10">
        <v>5.74</v>
      </c>
      <c r="G157" s="10">
        <v>6.5</v>
      </c>
      <c r="H157" s="10">
        <f t="shared" si="9"/>
        <v>5.85</v>
      </c>
      <c r="I157" s="8" t="s">
        <v>19</v>
      </c>
      <c r="J157" s="12">
        <v>1.0</v>
      </c>
    </row>
    <row r="158" ht="14.25" customHeight="1">
      <c r="A158" s="6">
        <v>25.0</v>
      </c>
      <c r="B158" s="7" t="s">
        <v>162</v>
      </c>
      <c r="C158" s="8" t="s">
        <v>138</v>
      </c>
      <c r="D158" s="8" t="s">
        <v>32</v>
      </c>
      <c r="E158" s="10">
        <v>3.23</v>
      </c>
      <c r="F158" s="10">
        <v>5.52</v>
      </c>
      <c r="G158" s="10">
        <v>7.25</v>
      </c>
      <c r="H158" s="10">
        <f t="shared" si="9"/>
        <v>5.333333333</v>
      </c>
      <c r="I158" s="8" t="s">
        <v>19</v>
      </c>
      <c r="J158" s="12">
        <v>1.0</v>
      </c>
    </row>
    <row r="159" ht="14.25" customHeight="1">
      <c r="A159" s="6">
        <v>26.0</v>
      </c>
      <c r="B159" s="7" t="s">
        <v>163</v>
      </c>
      <c r="C159" s="8" t="s">
        <v>138</v>
      </c>
      <c r="D159" s="8" t="s">
        <v>32</v>
      </c>
      <c r="E159" s="10">
        <v>4.22</v>
      </c>
      <c r="F159" s="10">
        <v>5.79</v>
      </c>
      <c r="G159" s="10">
        <v>5.57</v>
      </c>
      <c r="H159" s="10">
        <f t="shared" si="9"/>
        <v>5.193333333</v>
      </c>
      <c r="I159" s="8" t="s">
        <v>19</v>
      </c>
      <c r="J159" s="12">
        <v>1.0</v>
      </c>
    </row>
    <row r="160" ht="14.25" customHeight="1">
      <c r="A160" s="6">
        <v>27.0</v>
      </c>
      <c r="B160" s="7" t="s">
        <v>164</v>
      </c>
      <c r="C160" s="8" t="s">
        <v>138</v>
      </c>
      <c r="D160" s="8" t="s">
        <v>32</v>
      </c>
      <c r="E160" s="10">
        <v>5.22</v>
      </c>
      <c r="F160" s="10">
        <v>4.34</v>
      </c>
      <c r="G160" s="10">
        <v>6.8</v>
      </c>
      <c r="H160" s="10">
        <f t="shared" si="9"/>
        <v>5.453333333</v>
      </c>
      <c r="I160" s="8" t="s">
        <v>19</v>
      </c>
      <c r="J160" s="12">
        <v>1.0</v>
      </c>
    </row>
    <row r="161" ht="14.25" customHeight="1">
      <c r="A161" s="6">
        <v>28.0</v>
      </c>
      <c r="B161" s="8" t="s">
        <v>165</v>
      </c>
      <c r="C161" s="8" t="s">
        <v>138</v>
      </c>
      <c r="D161" s="8" t="s">
        <v>32</v>
      </c>
      <c r="E161" s="10">
        <v>4.62</v>
      </c>
      <c r="F161" s="10">
        <v>4.98</v>
      </c>
      <c r="G161" s="10">
        <v>5.64</v>
      </c>
      <c r="H161" s="10">
        <f t="shared" si="9"/>
        <v>5.08</v>
      </c>
      <c r="I161" s="8" t="s">
        <v>19</v>
      </c>
      <c r="J161" s="12">
        <v>1.0</v>
      </c>
    </row>
    <row r="162" ht="14.25" customHeight="1">
      <c r="A162" s="6">
        <v>29.0</v>
      </c>
      <c r="B162" s="8" t="s">
        <v>166</v>
      </c>
      <c r="C162" s="8" t="s">
        <v>138</v>
      </c>
      <c r="D162" s="8" t="s">
        <v>32</v>
      </c>
      <c r="E162" s="10">
        <v>4.08</v>
      </c>
      <c r="F162" s="10">
        <v>5.94</v>
      </c>
      <c r="G162" s="10">
        <v>5.0</v>
      </c>
      <c r="H162" s="10">
        <f t="shared" si="9"/>
        <v>5.006666667</v>
      </c>
      <c r="I162" s="8" t="s">
        <v>19</v>
      </c>
      <c r="J162" s="12">
        <v>1.0</v>
      </c>
    </row>
    <row r="163" ht="14.25" customHeight="1">
      <c r="A163" s="6">
        <v>30.0</v>
      </c>
      <c r="B163" s="7" t="s">
        <v>167</v>
      </c>
      <c r="C163" s="8" t="s">
        <v>138</v>
      </c>
      <c r="D163" s="8" t="s">
        <v>32</v>
      </c>
      <c r="E163" s="10">
        <v>6.0</v>
      </c>
      <c r="F163" s="10">
        <v>3.92</v>
      </c>
      <c r="G163" s="10">
        <v>4.57</v>
      </c>
      <c r="H163" s="10">
        <f t="shared" si="9"/>
        <v>4.83</v>
      </c>
      <c r="I163" s="8" t="s">
        <v>19</v>
      </c>
      <c r="J163" s="12">
        <v>1.0</v>
      </c>
    </row>
    <row r="164" ht="14.25" customHeight="1">
      <c r="A164" s="6">
        <v>31.0</v>
      </c>
      <c r="B164" s="8" t="s">
        <v>168</v>
      </c>
      <c r="C164" s="8" t="s">
        <v>138</v>
      </c>
      <c r="D164" s="8" t="s">
        <v>32</v>
      </c>
      <c r="E164" s="10">
        <v>3.86</v>
      </c>
      <c r="F164" s="10">
        <v>4.91</v>
      </c>
      <c r="G164" s="10">
        <v>5.0</v>
      </c>
      <c r="H164" s="10">
        <f t="shared" si="9"/>
        <v>4.59</v>
      </c>
      <c r="I164" s="8" t="s">
        <v>19</v>
      </c>
      <c r="J164" s="12">
        <v>1.0</v>
      </c>
    </row>
    <row r="165" ht="14.25" customHeight="1">
      <c r="A165" s="6">
        <v>32.0</v>
      </c>
      <c r="B165" s="7" t="s">
        <v>169</v>
      </c>
      <c r="C165" s="8" t="s">
        <v>138</v>
      </c>
      <c r="D165" s="8" t="s">
        <v>32</v>
      </c>
      <c r="E165" s="10">
        <v>5.455</v>
      </c>
      <c r="F165" s="10">
        <v>6.0</v>
      </c>
      <c r="G165" s="10">
        <v>6.51</v>
      </c>
      <c r="H165" s="10">
        <f t="shared" si="9"/>
        <v>5.988333333</v>
      </c>
      <c r="I165" s="8" t="s">
        <v>19</v>
      </c>
      <c r="J165" s="12">
        <v>1.0</v>
      </c>
    </row>
    <row r="166" ht="14.25" customHeight="1">
      <c r="A166" s="6">
        <v>33.0</v>
      </c>
      <c r="B166" s="7" t="s">
        <v>170</v>
      </c>
      <c r="C166" s="8" t="s">
        <v>138</v>
      </c>
      <c r="D166" s="8" t="s">
        <v>32</v>
      </c>
      <c r="E166" s="10">
        <v>3.83</v>
      </c>
      <c r="F166" s="10">
        <v>4.99</v>
      </c>
      <c r="G166" s="10">
        <v>5.376</v>
      </c>
      <c r="H166" s="10">
        <f t="shared" si="9"/>
        <v>4.732</v>
      </c>
      <c r="I166" s="8" t="s">
        <v>19</v>
      </c>
      <c r="J166" s="12">
        <v>1.0</v>
      </c>
    </row>
    <row r="167" ht="14.25" customHeight="1">
      <c r="A167" s="6">
        <v>34.0</v>
      </c>
      <c r="B167" s="7" t="s">
        <v>171</v>
      </c>
      <c r="C167" s="8" t="s">
        <v>138</v>
      </c>
      <c r="D167" s="8" t="s">
        <v>32</v>
      </c>
      <c r="E167" s="10">
        <v>6.0</v>
      </c>
      <c r="F167" s="10">
        <v>5.47</v>
      </c>
      <c r="G167" s="10">
        <v>4.85</v>
      </c>
      <c r="H167" s="10">
        <f t="shared" si="9"/>
        <v>5.44</v>
      </c>
      <c r="I167" s="8" t="s">
        <v>19</v>
      </c>
      <c r="J167" s="12">
        <v>1.0</v>
      </c>
    </row>
    <row r="168" ht="14.25" customHeight="1">
      <c r="A168" s="6">
        <v>35.0</v>
      </c>
      <c r="B168" s="8" t="s">
        <v>172</v>
      </c>
      <c r="C168" s="8" t="s">
        <v>138</v>
      </c>
      <c r="D168" s="8" t="s">
        <v>32</v>
      </c>
      <c r="E168" s="10">
        <v>5.82</v>
      </c>
      <c r="F168" s="10">
        <v>4.29</v>
      </c>
      <c r="G168" s="10">
        <v>5.0</v>
      </c>
      <c r="H168" s="10">
        <f t="shared" si="9"/>
        <v>5.036666667</v>
      </c>
      <c r="I168" s="8" t="s">
        <v>19</v>
      </c>
      <c r="J168" s="12">
        <v>1.0</v>
      </c>
    </row>
    <row r="169" ht="14.25" customHeight="1">
      <c r="A169" s="6">
        <v>36.0</v>
      </c>
      <c r="B169" s="8" t="s">
        <v>173</v>
      </c>
      <c r="C169" s="8" t="s">
        <v>138</v>
      </c>
      <c r="D169" s="8" t="s">
        <v>32</v>
      </c>
      <c r="E169" s="10">
        <v>3.84</v>
      </c>
      <c r="F169" s="10">
        <v>5.85</v>
      </c>
      <c r="G169" s="10">
        <v>6.0</v>
      </c>
      <c r="H169" s="10">
        <f t="shared" si="9"/>
        <v>5.23</v>
      </c>
      <c r="I169" s="8" t="s">
        <v>19</v>
      </c>
      <c r="J169" s="12">
        <v>1.0</v>
      </c>
    </row>
    <row r="170" ht="14.25" customHeight="1">
      <c r="A170" s="6">
        <v>37.0</v>
      </c>
      <c r="B170" s="7" t="s">
        <v>174</v>
      </c>
      <c r="C170" s="8" t="s">
        <v>138</v>
      </c>
      <c r="D170" s="8" t="s">
        <v>32</v>
      </c>
      <c r="E170" s="10">
        <v>6.02</v>
      </c>
      <c r="F170" s="10">
        <v>6.27</v>
      </c>
      <c r="G170" s="10">
        <v>7.32</v>
      </c>
      <c r="H170" s="10">
        <f t="shared" si="9"/>
        <v>6.536666667</v>
      </c>
      <c r="I170" s="8" t="s">
        <v>19</v>
      </c>
      <c r="J170" s="12">
        <v>1.0</v>
      </c>
    </row>
    <row r="171" ht="14.25" customHeight="1">
      <c r="A171" s="6">
        <v>38.0</v>
      </c>
      <c r="B171" s="7" t="s">
        <v>175</v>
      </c>
      <c r="C171" s="8" t="s">
        <v>138</v>
      </c>
      <c r="D171" s="8" t="s">
        <v>32</v>
      </c>
      <c r="E171" s="10">
        <v>2.87</v>
      </c>
      <c r="F171" s="10">
        <v>3.31</v>
      </c>
      <c r="G171" s="10">
        <v>2.0</v>
      </c>
      <c r="H171" s="10">
        <f t="shared" si="9"/>
        <v>2.726666667</v>
      </c>
      <c r="I171" s="8" t="s">
        <v>176</v>
      </c>
    </row>
    <row r="172" ht="14.25" customHeight="1">
      <c r="A172" s="6">
        <v>39.0</v>
      </c>
      <c r="B172" s="8" t="s">
        <v>177</v>
      </c>
      <c r="C172" s="8" t="s">
        <v>138</v>
      </c>
      <c r="D172" s="8" t="s">
        <v>32</v>
      </c>
      <c r="E172" s="10">
        <v>1.91</v>
      </c>
      <c r="F172" s="10">
        <v>2.0</v>
      </c>
      <c r="G172" s="10">
        <v>1.83</v>
      </c>
      <c r="H172" s="10">
        <f t="shared" si="9"/>
        <v>1.913333333</v>
      </c>
      <c r="I172" s="8" t="s">
        <v>176</v>
      </c>
    </row>
    <row r="173" ht="14.25" customHeight="1">
      <c r="A173" s="6">
        <v>40.0</v>
      </c>
      <c r="B173" s="7" t="s">
        <v>178</v>
      </c>
      <c r="C173" s="8" t="s">
        <v>138</v>
      </c>
      <c r="D173" s="8" t="s">
        <v>32</v>
      </c>
      <c r="E173" s="10">
        <v>6.38</v>
      </c>
      <c r="F173" s="10">
        <v>5.92</v>
      </c>
      <c r="G173" s="10">
        <v>5.71</v>
      </c>
      <c r="H173" s="10">
        <f t="shared" si="9"/>
        <v>6.003333333</v>
      </c>
      <c r="I173" s="8" t="s">
        <v>19</v>
      </c>
      <c r="J173" s="12">
        <v>1.0</v>
      </c>
    </row>
    <row r="174" ht="14.25" customHeight="1">
      <c r="A174" s="6">
        <v>41.0</v>
      </c>
      <c r="B174" s="7" t="s">
        <v>179</v>
      </c>
      <c r="C174" s="8" t="s">
        <v>138</v>
      </c>
      <c r="D174" s="8" t="s">
        <v>32</v>
      </c>
      <c r="E174" s="10">
        <v>5.79</v>
      </c>
      <c r="F174" s="10">
        <v>3.86</v>
      </c>
      <c r="G174" s="10">
        <v>4.99</v>
      </c>
      <c r="H174" s="10">
        <f t="shared" si="9"/>
        <v>4.88</v>
      </c>
      <c r="I174" s="8" t="s">
        <v>19</v>
      </c>
      <c r="J174" s="12">
        <v>1.0</v>
      </c>
    </row>
    <row r="175" ht="14.25" customHeight="1">
      <c r="A175" s="6">
        <v>42.0</v>
      </c>
      <c r="B175" s="7" t="s">
        <v>180</v>
      </c>
      <c r="C175" s="8" t="s">
        <v>138</v>
      </c>
      <c r="D175" s="8" t="s">
        <v>32</v>
      </c>
      <c r="E175" s="10">
        <v>2.65</v>
      </c>
      <c r="F175" s="10">
        <v>1.74</v>
      </c>
      <c r="G175" s="10">
        <v>2.0</v>
      </c>
      <c r="H175" s="10">
        <f t="shared" si="9"/>
        <v>2.13</v>
      </c>
      <c r="I175" s="30" t="s">
        <v>17</v>
      </c>
      <c r="K175" s="12">
        <v>1.0</v>
      </c>
    </row>
    <row r="176" ht="14.25" customHeight="1">
      <c r="A176" s="6">
        <v>43.0</v>
      </c>
      <c r="B176" s="7" t="s">
        <v>181</v>
      </c>
      <c r="C176" s="8" t="s">
        <v>138</v>
      </c>
      <c r="D176" s="8" t="s">
        <v>32</v>
      </c>
      <c r="E176" s="10">
        <v>4.17</v>
      </c>
      <c r="F176" s="10">
        <v>5.29</v>
      </c>
      <c r="G176" s="10">
        <v>6.28</v>
      </c>
      <c r="H176" s="10">
        <f t="shared" si="9"/>
        <v>5.246666667</v>
      </c>
      <c r="I176" s="8" t="s">
        <v>19</v>
      </c>
      <c r="J176" s="12">
        <v>1.0</v>
      </c>
    </row>
    <row r="177" ht="14.25" customHeight="1">
      <c r="A177" s="6">
        <v>44.0</v>
      </c>
      <c r="B177" s="7" t="s">
        <v>182</v>
      </c>
      <c r="C177" s="8" t="s">
        <v>138</v>
      </c>
      <c r="D177" s="8" t="s">
        <v>32</v>
      </c>
      <c r="E177" s="10">
        <v>5.22</v>
      </c>
      <c r="F177" s="10">
        <v>4.48</v>
      </c>
      <c r="G177" s="10">
        <v>4.96</v>
      </c>
      <c r="H177" s="10">
        <f t="shared" si="9"/>
        <v>4.886666667</v>
      </c>
      <c r="I177" s="8" t="s">
        <v>19</v>
      </c>
      <c r="J177" s="12">
        <v>1.0</v>
      </c>
    </row>
    <row r="178" ht="14.25" customHeight="1">
      <c r="A178" s="6">
        <v>45.0</v>
      </c>
      <c r="B178" s="7" t="s">
        <v>183</v>
      </c>
      <c r="C178" s="8" t="s">
        <v>138</v>
      </c>
      <c r="D178" s="8" t="s">
        <v>32</v>
      </c>
      <c r="E178" s="10">
        <v>5.52</v>
      </c>
      <c r="F178" s="10">
        <v>5.62</v>
      </c>
      <c r="G178" s="10">
        <v>6.53</v>
      </c>
      <c r="H178" s="10">
        <f t="shared" si="9"/>
        <v>5.89</v>
      </c>
      <c r="I178" s="8" t="s">
        <v>19</v>
      </c>
      <c r="J178" s="12">
        <v>1.0</v>
      </c>
    </row>
    <row r="179" ht="14.25" customHeight="1">
      <c r="A179" s="6">
        <v>46.0</v>
      </c>
      <c r="B179" s="7" t="s">
        <v>184</v>
      </c>
      <c r="C179" s="8" t="s">
        <v>138</v>
      </c>
      <c r="D179" s="8" t="s">
        <v>32</v>
      </c>
      <c r="E179" s="10">
        <v>3.81</v>
      </c>
      <c r="F179" s="10">
        <v>4.74</v>
      </c>
      <c r="G179" s="10">
        <v>5.5</v>
      </c>
      <c r="H179" s="10">
        <f t="shared" si="9"/>
        <v>4.683333333</v>
      </c>
      <c r="I179" s="8" t="s">
        <v>19</v>
      </c>
      <c r="J179" s="12">
        <v>1.0</v>
      </c>
    </row>
    <row r="180" ht="14.25" customHeight="1">
      <c r="A180" s="6">
        <v>47.0</v>
      </c>
      <c r="B180" s="7" t="s">
        <v>185</v>
      </c>
      <c r="C180" s="8" t="s">
        <v>138</v>
      </c>
      <c r="D180" s="8" t="s">
        <v>32</v>
      </c>
      <c r="E180" s="10">
        <v>4.99</v>
      </c>
      <c r="F180" s="10">
        <v>5.25</v>
      </c>
      <c r="G180" s="10">
        <v>6.05</v>
      </c>
      <c r="H180" s="10">
        <f t="shared" si="9"/>
        <v>5.43</v>
      </c>
      <c r="I180" s="8" t="s">
        <v>19</v>
      </c>
      <c r="J180" s="12">
        <v>1.0</v>
      </c>
    </row>
    <row r="181" ht="14.25" customHeight="1">
      <c r="A181" s="6">
        <v>48.0</v>
      </c>
      <c r="B181" s="7" t="s">
        <v>186</v>
      </c>
      <c r="C181" s="8" t="s">
        <v>138</v>
      </c>
      <c r="D181" s="8" t="s">
        <v>32</v>
      </c>
      <c r="E181" s="10">
        <v>2.0</v>
      </c>
      <c r="F181" s="10">
        <v>2.32</v>
      </c>
      <c r="G181" s="10">
        <v>1.3</v>
      </c>
      <c r="H181" s="10">
        <f t="shared" si="9"/>
        <v>1.873333333</v>
      </c>
      <c r="I181" s="30" t="s">
        <v>17</v>
      </c>
      <c r="K181" s="12">
        <v>1.0</v>
      </c>
    </row>
    <row r="182" ht="14.25" customHeight="1">
      <c r="A182" s="6">
        <v>49.0</v>
      </c>
      <c r="B182" s="7" t="s">
        <v>187</v>
      </c>
      <c r="C182" s="8" t="s">
        <v>138</v>
      </c>
      <c r="D182" s="8" t="s">
        <v>32</v>
      </c>
      <c r="E182" s="10">
        <v>7.28</v>
      </c>
      <c r="F182" s="10">
        <v>4.42</v>
      </c>
      <c r="G182" s="10">
        <v>6.36</v>
      </c>
      <c r="H182" s="10">
        <f t="shared" si="9"/>
        <v>6.02</v>
      </c>
      <c r="I182" s="8" t="s">
        <v>19</v>
      </c>
      <c r="J182" s="12">
        <v>1.0</v>
      </c>
    </row>
    <row r="183" ht="14.25" customHeight="1">
      <c r="A183" s="6">
        <v>50.0</v>
      </c>
      <c r="B183" s="7" t="s">
        <v>188</v>
      </c>
      <c r="C183" s="8" t="s">
        <v>138</v>
      </c>
      <c r="D183" s="8" t="s">
        <v>32</v>
      </c>
      <c r="E183" s="10">
        <v>4.96</v>
      </c>
      <c r="F183" s="10">
        <v>5.38</v>
      </c>
      <c r="G183" s="10">
        <v>4.0</v>
      </c>
      <c r="H183" s="10">
        <f t="shared" si="9"/>
        <v>4.78</v>
      </c>
      <c r="I183" s="8" t="s">
        <v>19</v>
      </c>
      <c r="J183" s="12">
        <v>1.0</v>
      </c>
    </row>
    <row r="184" ht="14.25" customHeight="1">
      <c r="A184" s="6">
        <v>51.0</v>
      </c>
      <c r="B184" s="7" t="s">
        <v>189</v>
      </c>
      <c r="C184" s="8" t="s">
        <v>138</v>
      </c>
      <c r="D184" s="8" t="s">
        <v>32</v>
      </c>
      <c r="E184" s="10">
        <v>6.53</v>
      </c>
      <c r="F184" s="10">
        <v>4.32</v>
      </c>
      <c r="G184" s="10">
        <v>5.94</v>
      </c>
      <c r="H184" s="10">
        <f t="shared" si="9"/>
        <v>5.596666667</v>
      </c>
      <c r="I184" s="8" t="s">
        <v>19</v>
      </c>
      <c r="J184" s="12">
        <v>1.0</v>
      </c>
    </row>
    <row r="185" ht="14.25" customHeight="1">
      <c r="A185" s="6">
        <v>52.0</v>
      </c>
      <c r="B185" s="7" t="s">
        <v>190</v>
      </c>
      <c r="C185" s="8" t="s">
        <v>138</v>
      </c>
      <c r="D185" s="8" t="s">
        <v>32</v>
      </c>
      <c r="E185" s="10">
        <v>4.5</v>
      </c>
      <c r="F185" s="10">
        <v>5.74</v>
      </c>
      <c r="G185" s="10">
        <v>5.0</v>
      </c>
      <c r="H185" s="10">
        <f t="shared" si="9"/>
        <v>5.08</v>
      </c>
      <c r="I185" s="8" t="s">
        <v>19</v>
      </c>
      <c r="J185" s="12">
        <v>1.0</v>
      </c>
    </row>
    <row r="186" ht="14.25" customHeight="1">
      <c r="A186" s="6">
        <v>53.0</v>
      </c>
      <c r="B186" s="13" t="s">
        <v>191</v>
      </c>
      <c r="C186" s="8" t="s">
        <v>138</v>
      </c>
      <c r="D186" s="8" t="s">
        <v>32</v>
      </c>
      <c r="E186" s="31">
        <v>5.0</v>
      </c>
      <c r="F186" s="10">
        <v>3.88</v>
      </c>
      <c r="G186" s="10">
        <v>4.91</v>
      </c>
      <c r="H186" s="10">
        <f t="shared" si="9"/>
        <v>4.596666667</v>
      </c>
      <c r="I186" s="8" t="s">
        <v>19</v>
      </c>
      <c r="J186" s="12">
        <v>1.0</v>
      </c>
    </row>
    <row r="187" ht="14.25" customHeight="1">
      <c r="A187" s="6">
        <v>54.0</v>
      </c>
      <c r="B187" s="13" t="s">
        <v>192</v>
      </c>
      <c r="C187" s="8" t="s">
        <v>138</v>
      </c>
      <c r="D187" s="8" t="s">
        <v>32</v>
      </c>
      <c r="E187" s="10">
        <v>6.17</v>
      </c>
      <c r="F187" s="10">
        <v>5.29</v>
      </c>
      <c r="G187" s="10">
        <v>5.28</v>
      </c>
      <c r="H187" s="10">
        <f t="shared" si="9"/>
        <v>5.58</v>
      </c>
      <c r="I187" s="8" t="s">
        <v>19</v>
      </c>
      <c r="J187" s="12">
        <v>1.0</v>
      </c>
    </row>
    <row r="188" ht="14.25" customHeight="1">
      <c r="A188" s="6">
        <v>55.0</v>
      </c>
      <c r="B188" s="13" t="s">
        <v>193</v>
      </c>
      <c r="C188" s="8" t="s">
        <v>138</v>
      </c>
      <c r="D188" s="8" t="s">
        <v>32</v>
      </c>
      <c r="E188" s="10">
        <v>4.22</v>
      </c>
      <c r="F188" s="10">
        <v>4.48</v>
      </c>
      <c r="G188" s="10">
        <v>6.96</v>
      </c>
      <c r="H188" s="10">
        <f t="shared" si="9"/>
        <v>5.22</v>
      </c>
      <c r="I188" s="8" t="s">
        <v>19</v>
      </c>
      <c r="J188" s="12">
        <v>1.0</v>
      </c>
    </row>
    <row r="189" ht="14.25" customHeight="1">
      <c r="A189" s="6">
        <v>56.0</v>
      </c>
      <c r="B189" s="13" t="s">
        <v>194</v>
      </c>
      <c r="C189" s="8" t="s">
        <v>138</v>
      </c>
      <c r="D189" s="8" t="s">
        <v>32</v>
      </c>
      <c r="E189" s="10">
        <v>5.52</v>
      </c>
      <c r="F189" s="10">
        <v>6.62</v>
      </c>
      <c r="G189" s="10">
        <v>5.03</v>
      </c>
      <c r="H189" s="10">
        <f t="shared" si="9"/>
        <v>5.723333333</v>
      </c>
      <c r="I189" s="8" t="s">
        <v>19</v>
      </c>
      <c r="J189" s="12">
        <v>1.0</v>
      </c>
    </row>
    <row r="190" ht="14.25" customHeight="1">
      <c r="A190" s="6">
        <v>57.0</v>
      </c>
      <c r="B190" s="13" t="s">
        <v>195</v>
      </c>
      <c r="C190" s="8" t="s">
        <v>138</v>
      </c>
      <c r="D190" s="8" t="s">
        <v>32</v>
      </c>
      <c r="E190" s="10">
        <v>4.31</v>
      </c>
      <c r="F190" s="10">
        <v>5.74</v>
      </c>
      <c r="G190" s="10">
        <v>6.5</v>
      </c>
      <c r="H190" s="10">
        <f t="shared" si="9"/>
        <v>5.516666667</v>
      </c>
      <c r="I190" s="8" t="s">
        <v>19</v>
      </c>
      <c r="J190" s="12">
        <v>1.0</v>
      </c>
    </row>
    <row r="191" ht="14.25" customHeight="1">
      <c r="A191" s="6">
        <v>58.0</v>
      </c>
      <c r="B191" s="13" t="s">
        <v>196</v>
      </c>
      <c r="C191" s="8" t="s">
        <v>138</v>
      </c>
      <c r="D191" s="8" t="s">
        <v>32</v>
      </c>
      <c r="E191" s="10">
        <v>5.23</v>
      </c>
      <c r="F191" s="10">
        <v>4.52</v>
      </c>
      <c r="G191" s="10">
        <v>5.25</v>
      </c>
      <c r="H191" s="10">
        <f t="shared" si="9"/>
        <v>5</v>
      </c>
      <c r="I191" s="8" t="s">
        <v>19</v>
      </c>
      <c r="J191" s="12">
        <v>1.0</v>
      </c>
    </row>
    <row r="192" ht="14.25" customHeight="1">
      <c r="A192" s="6"/>
      <c r="B192" s="14"/>
      <c r="C192" s="8"/>
      <c r="D192" s="8"/>
      <c r="E192" s="10"/>
      <c r="F192" s="10"/>
      <c r="G192" s="10"/>
      <c r="H192" s="10"/>
      <c r="I192" s="8"/>
      <c r="J192" s="1">
        <f t="shared" ref="J192:K192" si="10">SUM(J134:J191)</f>
        <v>48</v>
      </c>
      <c r="K192" s="1">
        <f t="shared" si="10"/>
        <v>8</v>
      </c>
    </row>
    <row r="193" ht="14.25" customHeight="1">
      <c r="A193" s="6"/>
      <c r="B193" s="14"/>
      <c r="C193" s="8"/>
      <c r="D193" s="8"/>
      <c r="E193" s="10"/>
      <c r="F193" s="10"/>
      <c r="G193" s="10"/>
      <c r="H193" s="10"/>
      <c r="I193" s="8"/>
      <c r="J193" s="16">
        <f>J192/A191</f>
        <v>0.8275862069</v>
      </c>
      <c r="K193" s="16">
        <f>K192/A191</f>
        <v>0.1379310345</v>
      </c>
    </row>
    <row r="194" ht="14.25" customHeight="1">
      <c r="A194" s="6"/>
      <c r="B194" s="14"/>
      <c r="C194" s="8"/>
      <c r="D194" s="8"/>
      <c r="E194" s="10"/>
      <c r="F194" s="10"/>
      <c r="G194" s="10"/>
      <c r="H194" s="10"/>
      <c r="I194" s="8"/>
    </row>
    <row r="195" ht="14.25" customHeight="1">
      <c r="A195" s="32">
        <v>1.0</v>
      </c>
      <c r="B195" s="8" t="s">
        <v>197</v>
      </c>
      <c r="C195" s="8" t="s">
        <v>198</v>
      </c>
      <c r="D195" s="8" t="s">
        <v>82</v>
      </c>
      <c r="E195" s="10">
        <v>4.59</v>
      </c>
      <c r="F195" s="10">
        <v>4.3</v>
      </c>
      <c r="G195" s="10">
        <v>4.93</v>
      </c>
      <c r="H195" s="10">
        <f t="shared" ref="H195:H222" si="11">((E195+F195+G195)/3)</f>
        <v>4.606666667</v>
      </c>
      <c r="I195" s="8" t="s">
        <v>19</v>
      </c>
      <c r="J195" s="12">
        <v>1.0</v>
      </c>
    </row>
    <row r="196" ht="14.25" customHeight="1">
      <c r="A196" s="32">
        <v>2.0</v>
      </c>
      <c r="B196" s="8" t="s">
        <v>199</v>
      </c>
      <c r="C196" s="8" t="s">
        <v>198</v>
      </c>
      <c r="D196" s="8" t="s">
        <v>82</v>
      </c>
      <c r="E196" s="10">
        <v>5.71</v>
      </c>
      <c r="F196" s="10">
        <v>4.0</v>
      </c>
      <c r="G196" s="10">
        <v>4.1</v>
      </c>
      <c r="H196" s="10">
        <f t="shared" si="11"/>
        <v>4.603333333</v>
      </c>
      <c r="I196" s="8" t="s">
        <v>19</v>
      </c>
      <c r="J196" s="12">
        <v>1.0</v>
      </c>
    </row>
    <row r="197" ht="14.25" customHeight="1">
      <c r="A197" s="32">
        <v>3.0</v>
      </c>
      <c r="B197" s="8" t="s">
        <v>200</v>
      </c>
      <c r="C197" s="8" t="s">
        <v>198</v>
      </c>
      <c r="D197" s="8" t="s">
        <v>82</v>
      </c>
      <c r="E197" s="10">
        <v>3.67</v>
      </c>
      <c r="F197" s="10">
        <v>5.2</v>
      </c>
      <c r="G197" s="10">
        <v>5.13</v>
      </c>
      <c r="H197" s="10">
        <f t="shared" si="11"/>
        <v>4.666666667</v>
      </c>
      <c r="I197" s="8" t="s">
        <v>19</v>
      </c>
      <c r="J197" s="12">
        <v>1.0</v>
      </c>
    </row>
    <row r="198" ht="14.25" customHeight="1">
      <c r="A198" s="32">
        <v>4.0</v>
      </c>
      <c r="B198" s="8" t="s">
        <v>201</v>
      </c>
      <c r="C198" s="8" t="s">
        <v>198</v>
      </c>
      <c r="D198" s="8" t="s">
        <v>82</v>
      </c>
      <c r="E198" s="10">
        <v>4.6</v>
      </c>
      <c r="F198" s="10">
        <v>4.5</v>
      </c>
      <c r="G198" s="10">
        <v>4.76</v>
      </c>
      <c r="H198" s="10">
        <f t="shared" si="11"/>
        <v>4.62</v>
      </c>
      <c r="I198" s="8" t="s">
        <v>19</v>
      </c>
      <c r="J198" s="12">
        <v>1.0</v>
      </c>
    </row>
    <row r="199" ht="14.25" customHeight="1">
      <c r="A199" s="32">
        <v>5.0</v>
      </c>
      <c r="B199" s="8" t="s">
        <v>202</v>
      </c>
      <c r="C199" s="8" t="s">
        <v>198</v>
      </c>
      <c r="D199" s="8" t="s">
        <v>82</v>
      </c>
      <c r="E199" s="10">
        <v>5.6</v>
      </c>
      <c r="F199" s="10">
        <v>6.5</v>
      </c>
      <c r="G199" s="10">
        <v>5.83</v>
      </c>
      <c r="H199" s="10">
        <f t="shared" si="11"/>
        <v>5.976666667</v>
      </c>
      <c r="I199" s="8" t="s">
        <v>19</v>
      </c>
      <c r="J199" s="12">
        <v>1.0</v>
      </c>
    </row>
    <row r="200" ht="14.25" customHeight="1">
      <c r="A200" s="32">
        <v>6.0</v>
      </c>
      <c r="B200" s="8" t="s">
        <v>203</v>
      </c>
      <c r="C200" s="8" t="s">
        <v>198</v>
      </c>
      <c r="D200" s="8" t="s">
        <v>82</v>
      </c>
      <c r="E200" s="10">
        <v>3.7</v>
      </c>
      <c r="F200" s="10">
        <v>4.87</v>
      </c>
      <c r="G200" s="10">
        <v>5.96</v>
      </c>
      <c r="H200" s="10">
        <f t="shared" si="11"/>
        <v>4.843333333</v>
      </c>
      <c r="I200" s="8" t="s">
        <v>19</v>
      </c>
      <c r="J200" s="12">
        <v>1.0</v>
      </c>
    </row>
    <row r="201" ht="14.25" customHeight="1">
      <c r="A201" s="32">
        <v>7.0</v>
      </c>
      <c r="B201" s="8" t="s">
        <v>204</v>
      </c>
      <c r="C201" s="8" t="s">
        <v>198</v>
      </c>
      <c r="D201" s="8" t="s">
        <v>82</v>
      </c>
      <c r="E201" s="10">
        <v>4.83</v>
      </c>
      <c r="F201" s="10">
        <v>5.01</v>
      </c>
      <c r="G201" s="10">
        <v>6.2</v>
      </c>
      <c r="H201" s="10">
        <f t="shared" si="11"/>
        <v>5.346666667</v>
      </c>
      <c r="I201" s="8" t="s">
        <v>19</v>
      </c>
      <c r="J201" s="12">
        <v>1.0</v>
      </c>
    </row>
    <row r="202" ht="14.25" customHeight="1">
      <c r="A202" s="32">
        <v>8.0</v>
      </c>
      <c r="B202" s="8" t="s">
        <v>205</v>
      </c>
      <c r="C202" s="8" t="s">
        <v>198</v>
      </c>
      <c r="D202" s="8" t="s">
        <v>82</v>
      </c>
      <c r="E202" s="10">
        <v>3.0</v>
      </c>
      <c r="F202" s="10">
        <v>4.3</v>
      </c>
      <c r="G202" s="10">
        <v>4.5</v>
      </c>
      <c r="H202" s="10">
        <f t="shared" si="11"/>
        <v>3.933333333</v>
      </c>
      <c r="I202" s="11" t="s">
        <v>17</v>
      </c>
      <c r="K202" s="12">
        <v>1.0</v>
      </c>
    </row>
    <row r="203" ht="14.25" customHeight="1">
      <c r="A203" s="32">
        <v>9.0</v>
      </c>
      <c r="B203" s="8" t="s">
        <v>206</v>
      </c>
      <c r="C203" s="8" t="s">
        <v>198</v>
      </c>
      <c r="D203" s="8" t="s">
        <v>82</v>
      </c>
      <c r="E203" s="10">
        <v>4.02</v>
      </c>
      <c r="F203" s="10">
        <v>5.34</v>
      </c>
      <c r="G203" s="10">
        <v>5.1</v>
      </c>
      <c r="H203" s="10">
        <f t="shared" si="11"/>
        <v>4.82</v>
      </c>
      <c r="I203" s="8" t="s">
        <v>19</v>
      </c>
      <c r="J203" s="12">
        <v>1.0</v>
      </c>
    </row>
    <row r="204" ht="14.25" customHeight="1">
      <c r="A204" s="32">
        <v>10.0</v>
      </c>
      <c r="B204" s="8" t="s">
        <v>207</v>
      </c>
      <c r="C204" s="8" t="s">
        <v>198</v>
      </c>
      <c r="D204" s="8" t="s">
        <v>82</v>
      </c>
      <c r="E204" s="10">
        <v>5.1</v>
      </c>
      <c r="F204" s="10">
        <v>5.0</v>
      </c>
      <c r="G204" s="10">
        <v>6.0</v>
      </c>
      <c r="H204" s="10">
        <f t="shared" si="11"/>
        <v>5.366666667</v>
      </c>
      <c r="I204" s="8" t="s">
        <v>19</v>
      </c>
      <c r="J204" s="12">
        <v>1.0</v>
      </c>
    </row>
    <row r="205" ht="14.25" customHeight="1">
      <c r="A205" s="32">
        <v>11.0</v>
      </c>
      <c r="B205" s="8" t="s">
        <v>208</v>
      </c>
      <c r="C205" s="8" t="s">
        <v>198</v>
      </c>
      <c r="D205" s="8" t="s">
        <v>82</v>
      </c>
      <c r="E205" s="10">
        <v>6.03</v>
      </c>
      <c r="F205" s="10">
        <v>4.47</v>
      </c>
      <c r="G205" s="10">
        <v>5.4</v>
      </c>
      <c r="H205" s="10">
        <f t="shared" si="11"/>
        <v>5.3</v>
      </c>
      <c r="I205" s="8" t="s">
        <v>19</v>
      </c>
      <c r="J205" s="12">
        <v>1.0</v>
      </c>
    </row>
    <row r="206" ht="14.25" customHeight="1">
      <c r="A206" s="32">
        <v>12.0</v>
      </c>
      <c r="B206" s="8" t="s">
        <v>209</v>
      </c>
      <c r="C206" s="8" t="s">
        <v>198</v>
      </c>
      <c r="D206" s="8" t="s">
        <v>82</v>
      </c>
      <c r="E206" s="10">
        <v>3.0</v>
      </c>
      <c r="F206" s="10">
        <v>3.04</v>
      </c>
      <c r="G206" s="10">
        <v>3.07</v>
      </c>
      <c r="H206" s="10">
        <f t="shared" si="11"/>
        <v>3.036666667</v>
      </c>
      <c r="I206" s="11" t="s">
        <v>17</v>
      </c>
      <c r="K206" s="12">
        <v>1.0</v>
      </c>
    </row>
    <row r="207" ht="14.25" customHeight="1">
      <c r="A207" s="32">
        <v>13.0</v>
      </c>
      <c r="B207" s="8" t="s">
        <v>210</v>
      </c>
      <c r="C207" s="8" t="s">
        <v>198</v>
      </c>
      <c r="D207" s="8" t="s">
        <v>82</v>
      </c>
      <c r="E207" s="10">
        <v>5.32</v>
      </c>
      <c r="F207" s="10">
        <v>6.08</v>
      </c>
      <c r="G207" s="10">
        <v>7.23</v>
      </c>
      <c r="H207" s="10">
        <f t="shared" si="11"/>
        <v>6.21</v>
      </c>
      <c r="I207" s="8" t="s">
        <v>19</v>
      </c>
      <c r="J207" s="12">
        <v>1.0</v>
      </c>
    </row>
    <row r="208" ht="14.25" customHeight="1">
      <c r="A208" s="32">
        <v>14.0</v>
      </c>
      <c r="B208" s="8" t="s">
        <v>211</v>
      </c>
      <c r="C208" s="8" t="s">
        <v>198</v>
      </c>
      <c r="D208" s="8" t="s">
        <v>82</v>
      </c>
      <c r="E208" s="10">
        <v>3.0</v>
      </c>
      <c r="F208" s="10">
        <v>3.02</v>
      </c>
      <c r="G208" s="10">
        <v>3.03</v>
      </c>
      <c r="H208" s="10">
        <f t="shared" si="11"/>
        <v>3.016666667</v>
      </c>
      <c r="I208" s="11" t="s">
        <v>17</v>
      </c>
      <c r="K208" s="12">
        <v>1.0</v>
      </c>
    </row>
    <row r="209" ht="14.25" customHeight="1">
      <c r="A209" s="32">
        <v>15.0</v>
      </c>
      <c r="B209" s="8" t="s">
        <v>212</v>
      </c>
      <c r="C209" s="8" t="s">
        <v>198</v>
      </c>
      <c r="D209" s="8" t="s">
        <v>82</v>
      </c>
      <c r="E209" s="10">
        <v>2.5</v>
      </c>
      <c r="F209" s="10">
        <v>1.6</v>
      </c>
      <c r="G209" s="10">
        <v>3.86</v>
      </c>
      <c r="H209" s="10">
        <f t="shared" si="11"/>
        <v>2.653333333</v>
      </c>
      <c r="I209" s="11" t="s">
        <v>17</v>
      </c>
      <c r="K209" s="12">
        <v>1.0</v>
      </c>
    </row>
    <row r="210" ht="14.25" customHeight="1">
      <c r="A210" s="32">
        <v>16.0</v>
      </c>
      <c r="B210" s="8" t="s">
        <v>213</v>
      </c>
      <c r="C210" s="8" t="s">
        <v>198</v>
      </c>
      <c r="D210" s="8" t="s">
        <v>82</v>
      </c>
      <c r="E210" s="10">
        <v>3.08</v>
      </c>
      <c r="F210" s="10">
        <v>2.1</v>
      </c>
      <c r="G210" s="10">
        <v>3.32</v>
      </c>
      <c r="H210" s="10">
        <f t="shared" si="11"/>
        <v>2.833333333</v>
      </c>
      <c r="I210" s="11" t="s">
        <v>17</v>
      </c>
      <c r="K210" s="12">
        <v>1.0</v>
      </c>
    </row>
    <row r="211" ht="14.25" customHeight="1">
      <c r="A211" s="32">
        <v>17.0</v>
      </c>
      <c r="B211" s="8" t="s">
        <v>214</v>
      </c>
      <c r="C211" s="8" t="s">
        <v>198</v>
      </c>
      <c r="D211" s="8" t="s">
        <v>82</v>
      </c>
      <c r="E211" s="10">
        <v>4.74</v>
      </c>
      <c r="F211" s="10">
        <v>5.05</v>
      </c>
      <c r="G211" s="10">
        <v>4.93</v>
      </c>
      <c r="H211" s="10">
        <f t="shared" si="11"/>
        <v>4.906666667</v>
      </c>
      <c r="I211" s="8" t="s">
        <v>19</v>
      </c>
      <c r="J211" s="12">
        <v>1.0</v>
      </c>
    </row>
    <row r="212" ht="14.25" customHeight="1">
      <c r="A212" s="32">
        <v>18.0</v>
      </c>
      <c r="B212" s="8" t="s">
        <v>215</v>
      </c>
      <c r="C212" s="8" t="s">
        <v>198</v>
      </c>
      <c r="D212" s="8" t="s">
        <v>82</v>
      </c>
      <c r="E212" s="10">
        <v>5.1</v>
      </c>
      <c r="F212" s="10">
        <v>4.93</v>
      </c>
      <c r="G212" s="10">
        <v>5.0</v>
      </c>
      <c r="H212" s="10">
        <f t="shared" si="11"/>
        <v>5.01</v>
      </c>
      <c r="I212" s="8" t="s">
        <v>19</v>
      </c>
      <c r="J212" s="12">
        <v>1.0</v>
      </c>
    </row>
    <row r="213" ht="14.25" customHeight="1">
      <c r="A213" s="32">
        <v>19.0</v>
      </c>
      <c r="B213" s="8" t="s">
        <v>216</v>
      </c>
      <c r="C213" s="8" t="s">
        <v>198</v>
      </c>
      <c r="D213" s="8" t="s">
        <v>82</v>
      </c>
      <c r="E213" s="10">
        <v>4.75</v>
      </c>
      <c r="F213" s="10">
        <v>4.86</v>
      </c>
      <c r="G213" s="10">
        <v>3.96</v>
      </c>
      <c r="H213" s="10">
        <f t="shared" si="11"/>
        <v>4.523333333</v>
      </c>
      <c r="I213" s="8" t="s">
        <v>19</v>
      </c>
      <c r="J213" s="12">
        <v>1.0</v>
      </c>
    </row>
    <row r="214" ht="14.25" customHeight="1">
      <c r="A214" s="32">
        <v>20.0</v>
      </c>
      <c r="B214" s="8" t="s">
        <v>217</v>
      </c>
      <c r="C214" s="8" t="s">
        <v>198</v>
      </c>
      <c r="D214" s="8" t="s">
        <v>82</v>
      </c>
      <c r="E214" s="10">
        <v>6.0</v>
      </c>
      <c r="F214" s="10">
        <v>5.4</v>
      </c>
      <c r="G214" s="10">
        <v>4.82</v>
      </c>
      <c r="H214" s="10">
        <f t="shared" si="11"/>
        <v>5.406666667</v>
      </c>
      <c r="I214" s="8" t="s">
        <v>19</v>
      </c>
      <c r="J214" s="12">
        <v>1.0</v>
      </c>
    </row>
    <row r="215" ht="14.25" customHeight="1">
      <c r="A215" s="32">
        <v>21.0</v>
      </c>
      <c r="B215" s="8" t="s">
        <v>218</v>
      </c>
      <c r="C215" s="8" t="s">
        <v>198</v>
      </c>
      <c r="D215" s="8" t="s">
        <v>82</v>
      </c>
      <c r="E215" s="10">
        <v>4.43</v>
      </c>
      <c r="F215" s="10">
        <v>4.92</v>
      </c>
      <c r="G215" s="10">
        <v>5.0</v>
      </c>
      <c r="H215" s="10">
        <f t="shared" si="11"/>
        <v>4.783333333</v>
      </c>
      <c r="I215" s="8" t="s">
        <v>19</v>
      </c>
      <c r="J215" s="12">
        <v>1.0</v>
      </c>
    </row>
    <row r="216" ht="14.25" customHeight="1">
      <c r="A216" s="32">
        <v>22.0</v>
      </c>
      <c r="B216" s="8" t="s">
        <v>219</v>
      </c>
      <c r="C216" s="8" t="s">
        <v>198</v>
      </c>
      <c r="D216" s="8" t="s">
        <v>82</v>
      </c>
      <c r="E216" s="10">
        <v>5.0</v>
      </c>
      <c r="F216" s="10">
        <v>6.23</v>
      </c>
      <c r="G216" s="10">
        <v>7.09</v>
      </c>
      <c r="H216" s="10">
        <f t="shared" si="11"/>
        <v>6.106666667</v>
      </c>
      <c r="I216" s="8" t="s">
        <v>19</v>
      </c>
      <c r="J216" s="12">
        <v>1.0</v>
      </c>
    </row>
    <row r="217" ht="14.25" customHeight="1">
      <c r="A217" s="32">
        <v>23.0</v>
      </c>
      <c r="B217" s="8" t="s">
        <v>220</v>
      </c>
      <c r="C217" s="8" t="s">
        <v>198</v>
      </c>
      <c r="D217" s="8" t="s">
        <v>82</v>
      </c>
      <c r="E217" s="10">
        <v>3.92</v>
      </c>
      <c r="F217" s="10">
        <v>4.0</v>
      </c>
      <c r="G217" s="10">
        <v>5.72</v>
      </c>
      <c r="H217" s="10">
        <f t="shared" si="11"/>
        <v>4.546666667</v>
      </c>
      <c r="I217" s="8" t="s">
        <v>19</v>
      </c>
      <c r="J217" s="12">
        <v>1.0</v>
      </c>
    </row>
    <row r="218" ht="14.25" customHeight="1">
      <c r="A218" s="32">
        <v>24.0</v>
      </c>
      <c r="B218" s="33" t="s">
        <v>221</v>
      </c>
      <c r="C218" s="8" t="s">
        <v>198</v>
      </c>
      <c r="D218" s="8" t="s">
        <v>82</v>
      </c>
      <c r="E218" s="10">
        <v>5.47</v>
      </c>
      <c r="F218" s="10">
        <v>3.76</v>
      </c>
      <c r="G218" s="10">
        <v>4.55</v>
      </c>
      <c r="H218" s="10">
        <f t="shared" si="11"/>
        <v>4.593333333</v>
      </c>
      <c r="I218" s="8" t="s">
        <v>19</v>
      </c>
      <c r="J218" s="12">
        <v>1.0</v>
      </c>
    </row>
    <row r="219" ht="14.25" customHeight="1">
      <c r="A219" s="32">
        <v>25.0</v>
      </c>
      <c r="B219" s="13" t="s">
        <v>222</v>
      </c>
      <c r="C219" s="8" t="s">
        <v>198</v>
      </c>
      <c r="D219" s="8" t="s">
        <v>82</v>
      </c>
      <c r="E219" s="10">
        <v>3.657</v>
      </c>
      <c r="F219" s="10">
        <v>4.92</v>
      </c>
      <c r="G219" s="10">
        <v>5.0</v>
      </c>
      <c r="H219" s="10">
        <f t="shared" si="11"/>
        <v>4.525666667</v>
      </c>
      <c r="I219" s="8" t="s">
        <v>19</v>
      </c>
      <c r="J219" s="12">
        <v>1.0</v>
      </c>
    </row>
    <row r="220" ht="14.25" customHeight="1">
      <c r="A220" s="32">
        <v>26.0</v>
      </c>
      <c r="B220" s="13" t="s">
        <v>223</v>
      </c>
      <c r="C220" s="8" t="s">
        <v>198</v>
      </c>
      <c r="D220" s="8" t="s">
        <v>82</v>
      </c>
      <c r="E220" s="10">
        <v>3.47</v>
      </c>
      <c r="F220" s="10">
        <v>5.93</v>
      </c>
      <c r="G220" s="10">
        <v>6.56</v>
      </c>
      <c r="H220" s="10">
        <f t="shared" si="11"/>
        <v>5.32</v>
      </c>
      <c r="I220" s="8" t="s">
        <v>19</v>
      </c>
      <c r="J220" s="12">
        <v>1.0</v>
      </c>
    </row>
    <row r="221" ht="14.25" customHeight="1">
      <c r="A221" s="32">
        <v>27.0</v>
      </c>
      <c r="B221" s="13" t="s">
        <v>224</v>
      </c>
      <c r="C221" s="8" t="s">
        <v>198</v>
      </c>
      <c r="D221" s="8" t="s">
        <v>82</v>
      </c>
      <c r="E221" s="10">
        <v>5.47</v>
      </c>
      <c r="F221" s="10">
        <v>4.49</v>
      </c>
      <c r="G221" s="10">
        <v>4.65</v>
      </c>
      <c r="H221" s="10">
        <f t="shared" si="11"/>
        <v>4.87</v>
      </c>
      <c r="I221" s="8" t="s">
        <v>19</v>
      </c>
      <c r="J221" s="12">
        <v>1.0</v>
      </c>
    </row>
    <row r="222" ht="14.25" customHeight="1">
      <c r="A222" s="32">
        <v>28.0</v>
      </c>
      <c r="B222" s="13" t="s">
        <v>225</v>
      </c>
      <c r="C222" s="8" t="s">
        <v>198</v>
      </c>
      <c r="D222" s="8" t="s">
        <v>82</v>
      </c>
      <c r="E222" s="10">
        <v>1.47</v>
      </c>
      <c r="F222" s="10">
        <v>3.72</v>
      </c>
      <c r="G222" s="10"/>
      <c r="H222" s="10">
        <f t="shared" si="11"/>
        <v>1.73</v>
      </c>
      <c r="I222" s="8" t="s">
        <v>19</v>
      </c>
      <c r="J222" s="12">
        <v>1.0</v>
      </c>
    </row>
    <row r="223" ht="14.25" customHeight="1">
      <c r="A223" s="32"/>
      <c r="B223" s="14"/>
      <c r="C223" s="8"/>
      <c r="D223" s="8"/>
      <c r="E223" s="10"/>
      <c r="F223" s="10"/>
      <c r="G223" s="10"/>
      <c r="H223" s="18"/>
      <c r="I223" s="8"/>
      <c r="J223" s="1">
        <f t="shared" ref="J223:K223" si="12">SUM(J195:J222)</f>
        <v>23</v>
      </c>
      <c r="K223" s="1">
        <f t="shared" si="12"/>
        <v>5</v>
      </c>
    </row>
    <row r="224" ht="14.25" customHeight="1">
      <c r="A224" s="32"/>
      <c r="B224" s="14"/>
      <c r="C224" s="8"/>
      <c r="D224" s="8"/>
      <c r="E224" s="10"/>
      <c r="F224" s="10"/>
      <c r="G224" s="10"/>
      <c r="H224" s="18"/>
      <c r="I224" s="8"/>
      <c r="J224" s="16">
        <f>J223/A222</f>
        <v>0.8214285714</v>
      </c>
      <c r="K224" s="16">
        <f>K223/A222</f>
        <v>0.1785714286</v>
      </c>
    </row>
    <row r="225" ht="14.25" customHeight="1">
      <c r="A225" s="32"/>
      <c r="B225" s="14"/>
      <c r="C225" s="8"/>
      <c r="D225" s="8"/>
      <c r="E225" s="10"/>
      <c r="F225" s="10"/>
      <c r="G225" s="10"/>
      <c r="H225" s="18"/>
      <c r="I225" s="8"/>
    </row>
    <row r="226" ht="14.25" customHeight="1">
      <c r="A226" s="32">
        <v>1.0</v>
      </c>
      <c r="B226" s="8" t="s">
        <v>226</v>
      </c>
      <c r="C226" s="8" t="s">
        <v>227</v>
      </c>
      <c r="D226" s="8" t="s">
        <v>82</v>
      </c>
      <c r="E226" s="10">
        <v>6.7</v>
      </c>
      <c r="F226" s="10">
        <v>5.36</v>
      </c>
      <c r="G226" s="10">
        <v>6.89</v>
      </c>
      <c r="H226" s="18">
        <f t="shared" ref="H226:H239" si="13">((E226+F226+G226)/3)</f>
        <v>6.316666667</v>
      </c>
      <c r="I226" s="34" t="s">
        <v>19</v>
      </c>
      <c r="J226" s="12">
        <v>1.0</v>
      </c>
    </row>
    <row r="227" ht="14.25" customHeight="1">
      <c r="A227" s="32">
        <v>2.0</v>
      </c>
      <c r="B227" s="8" t="s">
        <v>228</v>
      </c>
      <c r="C227" s="8" t="s">
        <v>227</v>
      </c>
      <c r="D227" s="8" t="s">
        <v>82</v>
      </c>
      <c r="E227" s="10">
        <v>5.1</v>
      </c>
      <c r="F227" s="10">
        <v>4.85</v>
      </c>
      <c r="G227" s="10">
        <v>4.89</v>
      </c>
      <c r="H227" s="10">
        <f t="shared" si="13"/>
        <v>4.946666667</v>
      </c>
      <c r="I227" s="8" t="s">
        <v>19</v>
      </c>
      <c r="J227" s="12">
        <v>1.0</v>
      </c>
    </row>
    <row r="228" ht="14.25" customHeight="1">
      <c r="A228" s="32">
        <v>3.0</v>
      </c>
      <c r="B228" s="8" t="s">
        <v>229</v>
      </c>
      <c r="C228" s="8" t="s">
        <v>227</v>
      </c>
      <c r="D228" s="8" t="s">
        <v>82</v>
      </c>
      <c r="E228" s="10">
        <v>4.15</v>
      </c>
      <c r="F228" s="10">
        <v>5.73</v>
      </c>
      <c r="G228" s="10">
        <v>6.0</v>
      </c>
      <c r="H228" s="10">
        <f t="shared" si="13"/>
        <v>5.293333333</v>
      </c>
      <c r="I228" s="8" t="s">
        <v>19</v>
      </c>
      <c r="J228" s="12">
        <v>1.0</v>
      </c>
    </row>
    <row r="229" ht="14.25" customHeight="1">
      <c r="A229" s="32">
        <v>4.0</v>
      </c>
      <c r="B229" s="8" t="s">
        <v>230</v>
      </c>
      <c r="C229" s="8" t="s">
        <v>227</v>
      </c>
      <c r="D229" s="8" t="s">
        <v>82</v>
      </c>
      <c r="E229" s="10">
        <v>3.94</v>
      </c>
      <c r="F229" s="10">
        <v>4.77</v>
      </c>
      <c r="G229" s="10">
        <v>5.53</v>
      </c>
      <c r="H229" s="10">
        <f t="shared" si="13"/>
        <v>4.746666667</v>
      </c>
      <c r="I229" s="8" t="s">
        <v>19</v>
      </c>
      <c r="J229" s="12">
        <v>1.0</v>
      </c>
    </row>
    <row r="230" ht="14.25" customHeight="1">
      <c r="A230" s="32">
        <v>5.0</v>
      </c>
      <c r="B230" s="8" t="s">
        <v>231</v>
      </c>
      <c r="C230" s="8" t="s">
        <v>227</v>
      </c>
      <c r="D230" s="8" t="s">
        <v>82</v>
      </c>
      <c r="E230" s="10">
        <v>5.5</v>
      </c>
      <c r="F230" s="10">
        <v>6.5</v>
      </c>
      <c r="G230" s="10">
        <v>7.0</v>
      </c>
      <c r="H230" s="10">
        <f t="shared" si="13"/>
        <v>6.333333333</v>
      </c>
      <c r="I230" s="8" t="s">
        <v>19</v>
      </c>
      <c r="J230" s="12">
        <v>1.0</v>
      </c>
    </row>
    <row r="231" ht="14.25" customHeight="1">
      <c r="A231" s="32">
        <v>6.0</v>
      </c>
      <c r="B231" s="8" t="s">
        <v>232</v>
      </c>
      <c r="C231" s="8" t="s">
        <v>227</v>
      </c>
      <c r="D231" s="8" t="s">
        <v>82</v>
      </c>
      <c r="E231" s="10">
        <v>4.25</v>
      </c>
      <c r="F231" s="10">
        <v>5.8</v>
      </c>
      <c r="G231" s="10">
        <v>5.99</v>
      </c>
      <c r="H231" s="10">
        <f t="shared" si="13"/>
        <v>5.346666667</v>
      </c>
      <c r="I231" s="8" t="s">
        <v>19</v>
      </c>
      <c r="J231" s="12">
        <v>1.0</v>
      </c>
    </row>
    <row r="232" ht="14.25" customHeight="1">
      <c r="A232" s="32">
        <v>7.0</v>
      </c>
      <c r="B232" s="8" t="s">
        <v>233</v>
      </c>
      <c r="C232" s="8" t="s">
        <v>227</v>
      </c>
      <c r="D232" s="8" t="s">
        <v>82</v>
      </c>
      <c r="E232" s="10">
        <v>3.72</v>
      </c>
      <c r="F232" s="10">
        <v>4.94</v>
      </c>
      <c r="G232" s="10">
        <v>6.01</v>
      </c>
      <c r="H232" s="10">
        <f t="shared" si="13"/>
        <v>4.89</v>
      </c>
      <c r="I232" s="8" t="s">
        <v>19</v>
      </c>
      <c r="J232" s="12">
        <v>1.0</v>
      </c>
    </row>
    <row r="233" ht="14.25" customHeight="1">
      <c r="A233" s="32">
        <v>8.0</v>
      </c>
      <c r="B233" s="8" t="s">
        <v>234</v>
      </c>
      <c r="C233" s="8" t="s">
        <v>227</v>
      </c>
      <c r="D233" s="8" t="s">
        <v>82</v>
      </c>
      <c r="E233" s="10">
        <v>5.73</v>
      </c>
      <c r="F233" s="10">
        <v>5.8</v>
      </c>
      <c r="G233" s="10">
        <v>5.7</v>
      </c>
      <c r="H233" s="10">
        <f t="shared" si="13"/>
        <v>5.743333333</v>
      </c>
      <c r="I233" s="8" t="s">
        <v>19</v>
      </c>
      <c r="J233" s="12">
        <v>1.0</v>
      </c>
    </row>
    <row r="234" ht="14.25" customHeight="1">
      <c r="A234" s="32">
        <v>9.0</v>
      </c>
      <c r="B234" s="8" t="s">
        <v>235</v>
      </c>
      <c r="C234" s="8" t="s">
        <v>227</v>
      </c>
      <c r="D234" s="8" t="s">
        <v>82</v>
      </c>
      <c r="E234" s="10">
        <v>3.87</v>
      </c>
      <c r="F234" s="10">
        <v>2.37</v>
      </c>
      <c r="G234" s="10">
        <v>2.99</v>
      </c>
      <c r="H234" s="10">
        <f t="shared" si="13"/>
        <v>3.076666667</v>
      </c>
      <c r="I234" s="11" t="s">
        <v>17</v>
      </c>
      <c r="K234" s="12">
        <v>1.0</v>
      </c>
    </row>
    <row r="235" ht="14.25" customHeight="1">
      <c r="A235" s="32">
        <v>10.0</v>
      </c>
      <c r="B235" s="8" t="s">
        <v>236</v>
      </c>
      <c r="C235" s="8" t="s">
        <v>227</v>
      </c>
      <c r="D235" s="8" t="s">
        <v>82</v>
      </c>
      <c r="E235" s="10">
        <v>4.62</v>
      </c>
      <c r="F235" s="10">
        <v>4.46</v>
      </c>
      <c r="G235" s="10">
        <v>5.9</v>
      </c>
      <c r="H235" s="10">
        <f t="shared" si="13"/>
        <v>4.993333333</v>
      </c>
      <c r="I235" s="8" t="s">
        <v>19</v>
      </c>
      <c r="J235" s="12">
        <v>1.0</v>
      </c>
    </row>
    <row r="236" ht="14.25" customHeight="1">
      <c r="A236" s="32">
        <v>11.0</v>
      </c>
      <c r="B236" s="35" t="s">
        <v>237</v>
      </c>
      <c r="C236" s="8" t="s">
        <v>227</v>
      </c>
      <c r="D236" s="8" t="s">
        <v>82</v>
      </c>
      <c r="E236" s="10">
        <v>4.5</v>
      </c>
      <c r="F236" s="10">
        <v>5.1</v>
      </c>
      <c r="G236" s="10">
        <v>6.1</v>
      </c>
      <c r="H236" s="10">
        <f t="shared" si="13"/>
        <v>5.233333333</v>
      </c>
      <c r="I236" s="8" t="s">
        <v>19</v>
      </c>
      <c r="J236" s="12">
        <v>1.0</v>
      </c>
    </row>
    <row r="237" ht="14.25" customHeight="1">
      <c r="A237" s="32">
        <v>12.0</v>
      </c>
      <c r="B237" s="8" t="s">
        <v>238</v>
      </c>
      <c r="C237" s="8" t="s">
        <v>227</v>
      </c>
      <c r="D237" s="8" t="s">
        <v>82</v>
      </c>
      <c r="E237" s="10">
        <v>2.34</v>
      </c>
      <c r="F237" s="10">
        <v>3.3</v>
      </c>
      <c r="G237" s="10">
        <v>4.0</v>
      </c>
      <c r="H237" s="10">
        <f t="shared" si="13"/>
        <v>3.213333333</v>
      </c>
      <c r="I237" s="11" t="s">
        <v>17</v>
      </c>
      <c r="K237" s="12">
        <v>1.0</v>
      </c>
    </row>
    <row r="238" ht="14.25" customHeight="1">
      <c r="A238" s="32">
        <v>13.0</v>
      </c>
      <c r="B238" s="8" t="s">
        <v>239</v>
      </c>
      <c r="C238" s="8" t="s">
        <v>227</v>
      </c>
      <c r="D238" s="8" t="s">
        <v>82</v>
      </c>
      <c r="E238" s="10">
        <v>1.73</v>
      </c>
      <c r="F238" s="10">
        <v>2.94</v>
      </c>
      <c r="G238" s="10">
        <v>3.23</v>
      </c>
      <c r="H238" s="10">
        <f t="shared" si="13"/>
        <v>2.633333333</v>
      </c>
      <c r="I238" s="11" t="s">
        <v>17</v>
      </c>
      <c r="K238" s="12">
        <v>1.0</v>
      </c>
    </row>
    <row r="239" ht="14.25" customHeight="1">
      <c r="A239" s="36">
        <v>14.0</v>
      </c>
      <c r="B239" s="17" t="s">
        <v>240</v>
      </c>
      <c r="C239" s="17" t="s">
        <v>227</v>
      </c>
      <c r="D239" s="17" t="s">
        <v>82</v>
      </c>
      <c r="E239" s="31">
        <v>4.0</v>
      </c>
      <c r="F239" s="31">
        <v>4.99</v>
      </c>
      <c r="G239" s="31">
        <v>5.5</v>
      </c>
      <c r="H239" s="31">
        <f t="shared" si="13"/>
        <v>4.83</v>
      </c>
      <c r="I239" s="17" t="s">
        <v>19</v>
      </c>
      <c r="J239" s="12">
        <v>1.0</v>
      </c>
    </row>
    <row r="240" ht="14.25" customHeight="1">
      <c r="A240" s="37">
        <v>15.0</v>
      </c>
      <c r="B240" s="37" t="s">
        <v>27</v>
      </c>
      <c r="C240" s="37" t="s">
        <v>227</v>
      </c>
      <c r="D240" s="37" t="s">
        <v>82</v>
      </c>
      <c r="E240" s="38">
        <v>7.28</v>
      </c>
      <c r="F240" s="38">
        <v>6.42</v>
      </c>
      <c r="G240" s="38">
        <v>6.36</v>
      </c>
      <c r="H240" s="38">
        <v>6.69</v>
      </c>
      <c r="I240" s="37" t="s">
        <v>19</v>
      </c>
      <c r="J240" s="12">
        <v>1.0</v>
      </c>
    </row>
    <row r="241" ht="14.25" customHeight="1">
      <c r="A241" s="37">
        <v>16.0</v>
      </c>
      <c r="B241" s="37" t="s">
        <v>241</v>
      </c>
      <c r="C241" s="37" t="s">
        <v>227</v>
      </c>
      <c r="D241" s="37" t="s">
        <v>82</v>
      </c>
      <c r="E241" s="38">
        <v>4.96</v>
      </c>
      <c r="F241" s="38">
        <v>5.38</v>
      </c>
      <c r="G241" s="38">
        <v>5.0</v>
      </c>
      <c r="H241" s="38">
        <v>5.11</v>
      </c>
      <c r="I241" s="37" t="s">
        <v>19</v>
      </c>
      <c r="J241" s="12">
        <v>1.0</v>
      </c>
    </row>
    <row r="242" ht="14.25" customHeight="1">
      <c r="A242" s="37">
        <v>17.0</v>
      </c>
      <c r="B242" s="37" t="s">
        <v>242</v>
      </c>
      <c r="C242" s="37" t="s">
        <v>227</v>
      </c>
      <c r="D242" s="37" t="s">
        <v>82</v>
      </c>
      <c r="E242" s="38">
        <v>6.53</v>
      </c>
      <c r="F242" s="38">
        <v>4.32</v>
      </c>
      <c r="G242" s="38">
        <v>6.94</v>
      </c>
      <c r="H242" s="38">
        <v>5.93</v>
      </c>
      <c r="I242" s="37" t="s">
        <v>19</v>
      </c>
      <c r="J242" s="12">
        <v>1.0</v>
      </c>
    </row>
    <row r="243" ht="14.25" customHeight="1">
      <c r="A243" s="37">
        <v>18.0</v>
      </c>
      <c r="B243" s="37" t="s">
        <v>243</v>
      </c>
      <c r="C243" s="37" t="s">
        <v>227</v>
      </c>
      <c r="D243" s="37" t="s">
        <v>82</v>
      </c>
      <c r="E243" s="38">
        <v>4.5</v>
      </c>
      <c r="F243" s="38">
        <v>5.74</v>
      </c>
      <c r="G243" s="38">
        <v>5.0</v>
      </c>
      <c r="H243" s="38">
        <v>5.08</v>
      </c>
      <c r="I243" s="37" t="s">
        <v>19</v>
      </c>
      <c r="J243" s="12">
        <v>1.0</v>
      </c>
    </row>
    <row r="244" ht="14.25" customHeight="1">
      <c r="A244" s="37">
        <v>19.0</v>
      </c>
      <c r="B244" s="37" t="s">
        <v>244</v>
      </c>
      <c r="C244" s="37" t="s">
        <v>227</v>
      </c>
      <c r="D244" s="37" t="s">
        <v>82</v>
      </c>
      <c r="E244" s="38">
        <v>5.0</v>
      </c>
      <c r="F244" s="38">
        <v>4.88</v>
      </c>
      <c r="G244" s="38">
        <v>4.91</v>
      </c>
      <c r="H244" s="38">
        <v>4.93</v>
      </c>
      <c r="I244" s="37" t="s">
        <v>19</v>
      </c>
      <c r="J244" s="12">
        <v>1.0</v>
      </c>
    </row>
    <row r="245" ht="14.25" customHeight="1">
      <c r="A245" s="37">
        <v>20.0</v>
      </c>
      <c r="B245" s="37" t="s">
        <v>245</v>
      </c>
      <c r="C245" s="37" t="s">
        <v>227</v>
      </c>
      <c r="D245" s="37" t="s">
        <v>82</v>
      </c>
      <c r="E245" s="38">
        <v>6.17</v>
      </c>
      <c r="F245" s="38">
        <v>3.29</v>
      </c>
      <c r="G245" s="38">
        <v>5.28</v>
      </c>
      <c r="H245" s="38">
        <v>4.91</v>
      </c>
      <c r="I245" s="37" t="s">
        <v>19</v>
      </c>
      <c r="J245" s="12">
        <v>1.0</v>
      </c>
    </row>
    <row r="246" ht="14.25" customHeight="1">
      <c r="A246" s="37">
        <v>21.0</v>
      </c>
      <c r="B246" s="37" t="s">
        <v>246</v>
      </c>
      <c r="C246" s="37" t="s">
        <v>227</v>
      </c>
      <c r="D246" s="37" t="s">
        <v>82</v>
      </c>
      <c r="E246" s="38">
        <v>4.22</v>
      </c>
      <c r="F246" s="38">
        <v>4.48</v>
      </c>
      <c r="G246" s="38">
        <v>6.96</v>
      </c>
      <c r="H246" s="38">
        <v>5.22</v>
      </c>
      <c r="I246" s="37" t="s">
        <v>19</v>
      </c>
      <c r="J246" s="12">
        <v>1.0</v>
      </c>
    </row>
    <row r="247" ht="14.25" customHeight="1">
      <c r="A247" s="37">
        <v>22.0</v>
      </c>
      <c r="B247" s="37" t="s">
        <v>247</v>
      </c>
      <c r="C247" s="37" t="s">
        <v>227</v>
      </c>
      <c r="D247" s="37" t="s">
        <v>82</v>
      </c>
      <c r="E247" s="38">
        <v>5.52</v>
      </c>
      <c r="F247" s="38">
        <v>6.62</v>
      </c>
      <c r="G247" s="38">
        <v>7.03</v>
      </c>
      <c r="H247" s="38">
        <v>6.39</v>
      </c>
      <c r="I247" s="37" t="s">
        <v>19</v>
      </c>
      <c r="J247" s="12">
        <v>1.0</v>
      </c>
    </row>
    <row r="248" ht="14.25" customHeight="1">
      <c r="A248" s="37">
        <v>23.0</v>
      </c>
      <c r="B248" s="37" t="s">
        <v>248</v>
      </c>
      <c r="C248" s="37" t="s">
        <v>227</v>
      </c>
      <c r="D248" s="37" t="s">
        <v>82</v>
      </c>
      <c r="E248" s="38">
        <v>4.31</v>
      </c>
      <c r="F248" s="38">
        <v>5.74</v>
      </c>
      <c r="G248" s="38">
        <v>6.5</v>
      </c>
      <c r="H248" s="38">
        <v>5.52</v>
      </c>
      <c r="I248" s="37" t="s">
        <v>19</v>
      </c>
      <c r="J248" s="12">
        <v>1.0</v>
      </c>
    </row>
    <row r="249" ht="14.25" customHeight="1">
      <c r="A249" s="37">
        <v>24.0</v>
      </c>
      <c r="B249" s="37" t="s">
        <v>249</v>
      </c>
      <c r="C249" s="37" t="s">
        <v>227</v>
      </c>
      <c r="D249" s="37" t="s">
        <v>82</v>
      </c>
      <c r="E249" s="38">
        <v>5.23</v>
      </c>
      <c r="F249" s="38">
        <v>4.52</v>
      </c>
      <c r="G249" s="38">
        <v>4.25</v>
      </c>
      <c r="H249" s="38">
        <v>4.67</v>
      </c>
      <c r="I249" s="37" t="s">
        <v>19</v>
      </c>
      <c r="J249" s="12">
        <v>1.0</v>
      </c>
    </row>
    <row r="250" ht="14.25" customHeight="1">
      <c r="A250" s="37">
        <v>25.0</v>
      </c>
      <c r="B250" s="37" t="s">
        <v>250</v>
      </c>
      <c r="C250" s="37" t="s">
        <v>227</v>
      </c>
      <c r="D250" s="37" t="s">
        <v>82</v>
      </c>
      <c r="E250" s="38">
        <v>4.59</v>
      </c>
      <c r="F250" s="38">
        <v>5.3</v>
      </c>
      <c r="G250" s="38">
        <v>6.03</v>
      </c>
      <c r="H250" s="38">
        <v>5.31</v>
      </c>
      <c r="I250" s="37" t="s">
        <v>19</v>
      </c>
      <c r="J250" s="12">
        <v>1.0</v>
      </c>
    </row>
    <row r="251" ht="14.25" customHeight="1">
      <c r="A251" s="37">
        <v>26.0</v>
      </c>
      <c r="B251" s="37" t="s">
        <v>251</v>
      </c>
      <c r="C251" s="37" t="s">
        <v>227</v>
      </c>
      <c r="D251" s="37" t="s">
        <v>82</v>
      </c>
      <c r="E251" s="38">
        <v>5.71</v>
      </c>
      <c r="F251" s="38">
        <v>4.0</v>
      </c>
      <c r="G251" s="38">
        <v>4.1</v>
      </c>
      <c r="H251" s="38">
        <v>4.6</v>
      </c>
      <c r="I251" s="37" t="s">
        <v>19</v>
      </c>
      <c r="J251" s="12">
        <v>1.0</v>
      </c>
    </row>
    <row r="252" ht="14.25" customHeight="1">
      <c r="A252" s="37">
        <v>27.0</v>
      </c>
      <c r="B252" s="37" t="s">
        <v>252</v>
      </c>
      <c r="C252" s="37" t="s">
        <v>227</v>
      </c>
      <c r="D252" s="37" t="s">
        <v>82</v>
      </c>
      <c r="E252" s="38">
        <v>3.67</v>
      </c>
      <c r="F252" s="38">
        <v>5.2</v>
      </c>
      <c r="G252" s="38">
        <v>5.13</v>
      </c>
      <c r="H252" s="38">
        <v>4.67</v>
      </c>
      <c r="I252" s="37" t="s">
        <v>19</v>
      </c>
      <c r="J252" s="12">
        <v>1.0</v>
      </c>
    </row>
    <row r="253" ht="14.25" customHeight="1">
      <c r="A253" s="37">
        <v>28.0</v>
      </c>
      <c r="B253" s="37" t="s">
        <v>253</v>
      </c>
      <c r="C253" s="37" t="s">
        <v>227</v>
      </c>
      <c r="D253" s="37" t="s">
        <v>82</v>
      </c>
      <c r="E253" s="38">
        <v>4.6</v>
      </c>
      <c r="F253" s="38">
        <v>4.5</v>
      </c>
      <c r="G253" s="38">
        <v>4.76</v>
      </c>
      <c r="H253" s="38">
        <v>4.62</v>
      </c>
      <c r="I253" s="37" t="s">
        <v>19</v>
      </c>
      <c r="J253" s="12">
        <v>1.0</v>
      </c>
    </row>
    <row r="254" ht="14.25" customHeight="1">
      <c r="A254" s="37">
        <v>29.0</v>
      </c>
      <c r="B254" s="37" t="s">
        <v>254</v>
      </c>
      <c r="C254" s="37" t="s">
        <v>227</v>
      </c>
      <c r="D254" s="37" t="s">
        <v>82</v>
      </c>
      <c r="E254" s="38">
        <v>5.6</v>
      </c>
      <c r="F254" s="38">
        <v>6.5</v>
      </c>
      <c r="G254" s="38">
        <v>5.83</v>
      </c>
      <c r="H254" s="38">
        <v>5.98</v>
      </c>
      <c r="I254" s="37" t="s">
        <v>19</v>
      </c>
      <c r="J254" s="12">
        <v>1.0</v>
      </c>
    </row>
    <row r="255" ht="14.25" customHeight="1">
      <c r="A255" s="37">
        <v>30.0</v>
      </c>
      <c r="B255" s="37" t="s">
        <v>255</v>
      </c>
      <c r="C255" s="37" t="s">
        <v>227</v>
      </c>
      <c r="D255" s="37" t="s">
        <v>82</v>
      </c>
      <c r="E255" s="38">
        <v>3.7</v>
      </c>
      <c r="F255" s="38">
        <v>4.87</v>
      </c>
      <c r="G255" s="38">
        <v>5.96</v>
      </c>
      <c r="H255" s="38">
        <v>4.84</v>
      </c>
      <c r="I255" s="37" t="s">
        <v>19</v>
      </c>
      <c r="J255" s="12">
        <v>1.0</v>
      </c>
    </row>
    <row r="256" ht="14.25" customHeight="1">
      <c r="A256" s="37">
        <v>31.0</v>
      </c>
      <c r="B256" s="37" t="s">
        <v>256</v>
      </c>
      <c r="C256" s="37" t="s">
        <v>227</v>
      </c>
      <c r="D256" s="37" t="s">
        <v>82</v>
      </c>
      <c r="E256" s="38">
        <v>5.22</v>
      </c>
      <c r="F256" s="38">
        <v>4.34</v>
      </c>
      <c r="G256" s="38">
        <v>4.8</v>
      </c>
      <c r="H256" s="38">
        <v>4.79</v>
      </c>
      <c r="I256" s="37" t="s">
        <v>19</v>
      </c>
      <c r="J256" s="12">
        <v>1.0</v>
      </c>
    </row>
    <row r="257" ht="14.25" customHeight="1">
      <c r="A257" s="37">
        <v>32.0</v>
      </c>
      <c r="B257" s="37" t="s">
        <v>257</v>
      </c>
      <c r="C257" s="37" t="s">
        <v>227</v>
      </c>
      <c r="D257" s="37" t="s">
        <v>82</v>
      </c>
      <c r="E257" s="38">
        <v>4.62</v>
      </c>
      <c r="F257" s="38">
        <v>4.98</v>
      </c>
      <c r="G257" s="38">
        <v>5.64</v>
      </c>
      <c r="H257" s="38">
        <v>5.08</v>
      </c>
      <c r="I257" s="37" t="s">
        <v>19</v>
      </c>
      <c r="J257" s="12">
        <v>1.0</v>
      </c>
    </row>
    <row r="258" ht="14.25" customHeight="1">
      <c r="A258" s="37">
        <v>33.0</v>
      </c>
      <c r="B258" s="37" t="s">
        <v>258</v>
      </c>
      <c r="C258" s="37" t="s">
        <v>227</v>
      </c>
      <c r="D258" s="37" t="s">
        <v>82</v>
      </c>
      <c r="E258" s="38">
        <v>3.78</v>
      </c>
      <c r="F258" s="38">
        <v>5.94</v>
      </c>
      <c r="G258" s="38">
        <v>5.0</v>
      </c>
      <c r="H258" s="38">
        <v>4.91</v>
      </c>
      <c r="I258" s="37" t="s">
        <v>19</v>
      </c>
      <c r="J258" s="12">
        <v>1.0</v>
      </c>
    </row>
    <row r="259" ht="14.25" customHeight="1">
      <c r="A259" s="37">
        <v>34.0</v>
      </c>
      <c r="B259" s="37" t="s">
        <v>259</v>
      </c>
      <c r="C259" s="37" t="s">
        <v>227</v>
      </c>
      <c r="D259" s="37" t="s">
        <v>82</v>
      </c>
      <c r="E259" s="38">
        <v>6.0</v>
      </c>
      <c r="F259" s="38">
        <v>4.92</v>
      </c>
      <c r="G259" s="38">
        <v>4.57</v>
      </c>
      <c r="H259" s="38">
        <v>5.16</v>
      </c>
      <c r="I259" s="37" t="s">
        <v>19</v>
      </c>
      <c r="J259" s="12">
        <v>1.0</v>
      </c>
    </row>
    <row r="260" ht="14.25" customHeight="1">
      <c r="A260" s="37">
        <v>35.0</v>
      </c>
      <c r="B260" s="37" t="s">
        <v>260</v>
      </c>
      <c r="C260" s="37" t="s">
        <v>227</v>
      </c>
      <c r="D260" s="37" t="s">
        <v>82</v>
      </c>
      <c r="E260" s="38">
        <v>4.86</v>
      </c>
      <c r="F260" s="38">
        <v>3.91</v>
      </c>
      <c r="G260" s="38">
        <v>5.25</v>
      </c>
      <c r="H260" s="38">
        <v>4.67</v>
      </c>
      <c r="I260" s="37" t="s">
        <v>19</v>
      </c>
      <c r="J260" s="12">
        <v>1.0</v>
      </c>
    </row>
    <row r="261" ht="14.25" customHeight="1">
      <c r="A261" s="2"/>
      <c r="B261" s="2"/>
      <c r="C261" s="2"/>
      <c r="D261" s="2"/>
      <c r="E261" s="39"/>
      <c r="F261" s="39"/>
      <c r="G261" s="39"/>
      <c r="H261" s="39"/>
      <c r="I261" s="2"/>
      <c r="J261" s="12"/>
    </row>
    <row r="262" ht="14.25" customHeight="1">
      <c r="A262" s="20"/>
      <c r="B262" s="20"/>
      <c r="C262" s="20"/>
      <c r="D262" s="20"/>
      <c r="E262" s="21"/>
      <c r="F262" s="21"/>
      <c r="G262" s="21"/>
      <c r="H262" s="21"/>
      <c r="I262" s="20"/>
      <c r="J262" s="12"/>
    </row>
    <row r="263" ht="14.25" customHeight="1">
      <c r="H263" s="21"/>
      <c r="I263" s="40"/>
      <c r="J263" s="1">
        <f t="shared" ref="J263:K263" si="14">SUM(J226:J260)</f>
        <v>32</v>
      </c>
      <c r="K263" s="1">
        <f t="shared" si="14"/>
        <v>3</v>
      </c>
    </row>
    <row r="264" ht="14.25" customHeight="1">
      <c r="H264" s="21"/>
      <c r="J264" s="16">
        <f>J263/A260</f>
        <v>0.9142857143</v>
      </c>
      <c r="K264" s="16">
        <f>K263/A260</f>
        <v>0.08571428571</v>
      </c>
    </row>
    <row r="265" ht="14.25" customHeight="1">
      <c r="H265" s="21"/>
    </row>
    <row r="266" ht="14.25" customHeight="1">
      <c r="A266" s="34">
        <v>1.0</v>
      </c>
      <c r="B266" s="41" t="s">
        <v>261</v>
      </c>
      <c r="C266" s="42" t="s">
        <v>262</v>
      </c>
      <c r="D266" s="42" t="s">
        <v>82</v>
      </c>
      <c r="E266" s="43">
        <v>5.74</v>
      </c>
      <c r="F266" s="43">
        <v>5.05</v>
      </c>
      <c r="G266" s="43">
        <v>4.93</v>
      </c>
      <c r="H266" s="43">
        <f t="shared" ref="H266:H287" si="15">((E266+F266+G266)/3)</f>
        <v>5.24</v>
      </c>
      <c r="I266" s="42" t="s">
        <v>263</v>
      </c>
      <c r="J266" s="12">
        <v>1.0</v>
      </c>
    </row>
    <row r="267" ht="14.25" customHeight="1">
      <c r="A267" s="34">
        <v>2.0</v>
      </c>
      <c r="B267" s="44" t="s">
        <v>264</v>
      </c>
      <c r="C267" s="42" t="s">
        <v>262</v>
      </c>
      <c r="D267" s="42" t="s">
        <v>82</v>
      </c>
      <c r="E267" s="10">
        <v>3.57</v>
      </c>
      <c r="F267" s="10">
        <v>4.93</v>
      </c>
      <c r="G267" s="10">
        <v>5.0</v>
      </c>
      <c r="H267" s="18">
        <f t="shared" si="15"/>
        <v>4.5</v>
      </c>
      <c r="I267" s="42" t="s">
        <v>263</v>
      </c>
      <c r="J267" s="12">
        <v>1.0</v>
      </c>
    </row>
    <row r="268" ht="14.25" customHeight="1">
      <c r="A268" s="34">
        <v>3.0</v>
      </c>
      <c r="B268" s="44" t="s">
        <v>265</v>
      </c>
      <c r="C268" s="42" t="s">
        <v>262</v>
      </c>
      <c r="D268" s="42" t="s">
        <v>82</v>
      </c>
      <c r="E268" s="10">
        <v>4.75</v>
      </c>
      <c r="F268" s="10">
        <v>4.86</v>
      </c>
      <c r="G268" s="10">
        <v>4.96</v>
      </c>
      <c r="H268" s="18">
        <f t="shared" si="15"/>
        <v>4.856666667</v>
      </c>
      <c r="I268" s="42" t="s">
        <v>263</v>
      </c>
      <c r="J268" s="12">
        <v>1.0</v>
      </c>
    </row>
    <row r="269" ht="14.25" customHeight="1">
      <c r="A269" s="34">
        <v>4.0</v>
      </c>
      <c r="B269" s="44" t="s">
        <v>266</v>
      </c>
      <c r="C269" s="42" t="s">
        <v>262</v>
      </c>
      <c r="D269" s="42" t="s">
        <v>82</v>
      </c>
      <c r="E269" s="10">
        <v>6.17</v>
      </c>
      <c r="F269" s="10">
        <v>5.29</v>
      </c>
      <c r="G269" s="10">
        <v>5.28</v>
      </c>
      <c r="H269" s="18">
        <f t="shared" si="15"/>
        <v>5.58</v>
      </c>
      <c r="I269" s="42" t="s">
        <v>263</v>
      </c>
      <c r="J269" s="12">
        <v>1.0</v>
      </c>
    </row>
    <row r="270" ht="14.25" customHeight="1">
      <c r="A270" s="34">
        <v>5.0</v>
      </c>
      <c r="B270" s="44" t="s">
        <v>267</v>
      </c>
      <c r="C270" s="42" t="s">
        <v>262</v>
      </c>
      <c r="D270" s="42" t="s">
        <v>82</v>
      </c>
      <c r="E270" s="10">
        <v>4.22</v>
      </c>
      <c r="F270" s="10">
        <v>4.48</v>
      </c>
      <c r="G270" s="10">
        <v>6.96</v>
      </c>
      <c r="H270" s="10">
        <f t="shared" si="15"/>
        <v>5.22</v>
      </c>
      <c r="I270" s="45" t="s">
        <v>263</v>
      </c>
      <c r="J270" s="12">
        <v>1.0</v>
      </c>
    </row>
    <row r="271" ht="14.25" customHeight="1">
      <c r="A271" s="34">
        <v>6.0</v>
      </c>
      <c r="B271" s="44" t="s">
        <v>268</v>
      </c>
      <c r="C271" s="42" t="s">
        <v>262</v>
      </c>
      <c r="D271" s="42" t="s">
        <v>82</v>
      </c>
      <c r="E271" s="10">
        <v>5.52</v>
      </c>
      <c r="F271" s="10">
        <v>6.62</v>
      </c>
      <c r="G271" s="10">
        <v>5.03</v>
      </c>
      <c r="H271" s="18">
        <f t="shared" si="15"/>
        <v>5.723333333</v>
      </c>
      <c r="I271" s="42" t="s">
        <v>263</v>
      </c>
      <c r="J271" s="12">
        <v>1.0</v>
      </c>
    </row>
    <row r="272" ht="14.25" customHeight="1">
      <c r="A272" s="34">
        <v>7.0</v>
      </c>
      <c r="B272" s="44" t="s">
        <v>269</v>
      </c>
      <c r="C272" s="42" t="s">
        <v>262</v>
      </c>
      <c r="D272" s="42" t="s">
        <v>82</v>
      </c>
      <c r="E272" s="10">
        <v>4.31</v>
      </c>
      <c r="F272" s="10">
        <v>5.74</v>
      </c>
      <c r="G272" s="10">
        <v>6.5</v>
      </c>
      <c r="H272" s="18">
        <f t="shared" si="15"/>
        <v>5.516666667</v>
      </c>
      <c r="I272" s="42" t="s">
        <v>263</v>
      </c>
      <c r="J272" s="12">
        <v>1.0</v>
      </c>
    </row>
    <row r="273" ht="14.25" customHeight="1">
      <c r="A273" s="34">
        <v>8.0</v>
      </c>
      <c r="B273" s="44" t="s">
        <v>270</v>
      </c>
      <c r="C273" s="42" t="s">
        <v>262</v>
      </c>
      <c r="D273" s="42" t="s">
        <v>82</v>
      </c>
      <c r="E273" s="10">
        <v>3.23</v>
      </c>
      <c r="F273" s="10">
        <v>4.52</v>
      </c>
      <c r="G273" s="10">
        <v>5.25</v>
      </c>
      <c r="H273" s="18">
        <f t="shared" si="15"/>
        <v>4.333333333</v>
      </c>
      <c r="I273" s="42" t="s">
        <v>263</v>
      </c>
      <c r="J273" s="12">
        <v>1.0</v>
      </c>
    </row>
    <row r="274" ht="14.25" customHeight="1">
      <c r="A274" s="34">
        <v>9.0</v>
      </c>
      <c r="B274" s="44" t="s">
        <v>271</v>
      </c>
      <c r="C274" s="42" t="s">
        <v>262</v>
      </c>
      <c r="D274" s="42" t="s">
        <v>82</v>
      </c>
      <c r="E274" s="10">
        <v>4.22</v>
      </c>
      <c r="F274" s="10">
        <v>5.79</v>
      </c>
      <c r="G274" s="10">
        <v>6.57</v>
      </c>
      <c r="H274" s="18">
        <f t="shared" si="15"/>
        <v>5.526666667</v>
      </c>
      <c r="I274" s="42" t="s">
        <v>263</v>
      </c>
      <c r="J274" s="12">
        <v>1.0</v>
      </c>
    </row>
    <row r="275" ht="14.25" customHeight="1">
      <c r="A275" s="34">
        <v>10.0</v>
      </c>
      <c r="B275" s="44" t="s">
        <v>272</v>
      </c>
      <c r="C275" s="1" t="s">
        <v>262</v>
      </c>
      <c r="D275" s="42" t="s">
        <v>82</v>
      </c>
      <c r="E275" s="10">
        <v>5.22</v>
      </c>
      <c r="F275" s="10">
        <v>4.34</v>
      </c>
      <c r="G275" s="10">
        <v>4.8</v>
      </c>
      <c r="H275" s="18">
        <f t="shared" si="15"/>
        <v>4.786666667</v>
      </c>
      <c r="I275" s="42" t="s">
        <v>263</v>
      </c>
      <c r="J275" s="12">
        <v>1.0</v>
      </c>
    </row>
    <row r="276" ht="14.25" customHeight="1">
      <c r="A276" s="34">
        <v>11.0</v>
      </c>
      <c r="B276" s="44" t="s">
        <v>273</v>
      </c>
      <c r="C276" s="42" t="s">
        <v>262</v>
      </c>
      <c r="D276" s="42" t="s">
        <v>82</v>
      </c>
      <c r="E276" s="10">
        <v>4.62</v>
      </c>
      <c r="F276" s="10">
        <v>4.98</v>
      </c>
      <c r="G276" s="10">
        <v>5.64</v>
      </c>
      <c r="H276" s="18">
        <f t="shared" si="15"/>
        <v>5.08</v>
      </c>
      <c r="I276" s="42" t="s">
        <v>263</v>
      </c>
      <c r="J276" s="12">
        <v>1.0</v>
      </c>
    </row>
    <row r="277" ht="14.25" customHeight="1">
      <c r="A277" s="34">
        <v>12.0</v>
      </c>
      <c r="B277" s="44" t="s">
        <v>274</v>
      </c>
      <c r="C277" s="42" t="s">
        <v>262</v>
      </c>
      <c r="D277" s="42" t="s">
        <v>82</v>
      </c>
      <c r="E277" s="10">
        <v>3.78</v>
      </c>
      <c r="F277" s="10">
        <v>5.94</v>
      </c>
      <c r="G277" s="10">
        <v>5.0</v>
      </c>
      <c r="H277" s="18">
        <f t="shared" si="15"/>
        <v>4.906666667</v>
      </c>
      <c r="I277" s="42" t="s">
        <v>263</v>
      </c>
      <c r="J277" s="12">
        <v>1.0</v>
      </c>
    </row>
    <row r="278" ht="14.25" customHeight="1">
      <c r="A278" s="34">
        <v>13.0</v>
      </c>
      <c r="B278" s="44" t="s">
        <v>275</v>
      </c>
      <c r="C278" s="1" t="s">
        <v>262</v>
      </c>
      <c r="D278" s="42" t="s">
        <v>82</v>
      </c>
      <c r="E278" s="10">
        <v>6.0</v>
      </c>
      <c r="F278" s="10">
        <v>4.92</v>
      </c>
      <c r="G278" s="10">
        <v>4.57</v>
      </c>
      <c r="H278" s="18">
        <f t="shared" si="15"/>
        <v>5.163333333</v>
      </c>
      <c r="I278" s="42" t="s">
        <v>263</v>
      </c>
      <c r="J278" s="12">
        <v>1.0</v>
      </c>
    </row>
    <row r="279" ht="14.25" customHeight="1">
      <c r="A279" s="34">
        <v>14.0</v>
      </c>
      <c r="B279" s="44" t="s">
        <v>276</v>
      </c>
      <c r="C279" s="42" t="s">
        <v>262</v>
      </c>
      <c r="D279" s="42" t="s">
        <v>82</v>
      </c>
      <c r="E279" s="10">
        <v>4.86</v>
      </c>
      <c r="F279" s="10">
        <v>3.91</v>
      </c>
      <c r="G279" s="10">
        <v>5.25</v>
      </c>
      <c r="H279" s="18">
        <f t="shared" si="15"/>
        <v>4.673333333</v>
      </c>
      <c r="I279" s="42" t="s">
        <v>263</v>
      </c>
      <c r="J279" s="12">
        <v>1.0</v>
      </c>
    </row>
    <row r="280" ht="14.25" customHeight="1">
      <c r="A280" s="34">
        <v>15.0</v>
      </c>
      <c r="B280" s="46" t="s">
        <v>277</v>
      </c>
      <c r="C280" s="1" t="s">
        <v>262</v>
      </c>
      <c r="D280" s="42" t="s">
        <v>82</v>
      </c>
      <c r="E280" s="10">
        <v>5.455</v>
      </c>
      <c r="F280" s="10">
        <v>6.0</v>
      </c>
      <c r="G280" s="10">
        <v>7.51</v>
      </c>
      <c r="H280" s="18">
        <f t="shared" si="15"/>
        <v>6.321666667</v>
      </c>
      <c r="I280" s="42" t="s">
        <v>263</v>
      </c>
      <c r="J280" s="12">
        <v>1.0</v>
      </c>
    </row>
    <row r="281" ht="14.25" customHeight="1">
      <c r="A281" s="34">
        <v>16.0</v>
      </c>
      <c r="B281" s="46" t="s">
        <v>278</v>
      </c>
      <c r="C281" s="42" t="s">
        <v>262</v>
      </c>
      <c r="D281" s="42" t="s">
        <v>82</v>
      </c>
      <c r="E281" s="10">
        <v>3.85</v>
      </c>
      <c r="F281" s="10">
        <v>4.78</v>
      </c>
      <c r="G281" s="10">
        <v>4.95</v>
      </c>
      <c r="H281" s="18">
        <f t="shared" si="15"/>
        <v>4.526666667</v>
      </c>
      <c r="I281" s="42" t="s">
        <v>263</v>
      </c>
      <c r="J281" s="12">
        <v>1.0</v>
      </c>
    </row>
    <row r="282" ht="14.25" customHeight="1">
      <c r="A282" s="34">
        <v>17.0</v>
      </c>
      <c r="B282" s="46" t="s">
        <v>279</v>
      </c>
      <c r="C282" s="42" t="s">
        <v>262</v>
      </c>
      <c r="D282" s="42" t="s">
        <v>82</v>
      </c>
      <c r="E282" s="10">
        <v>4.65</v>
      </c>
      <c r="F282" s="10">
        <v>5.85</v>
      </c>
      <c r="G282" s="10">
        <v>6.0</v>
      </c>
      <c r="H282" s="18">
        <f t="shared" si="15"/>
        <v>5.5</v>
      </c>
      <c r="I282" s="42" t="s">
        <v>263</v>
      </c>
      <c r="J282" s="12">
        <v>1.0</v>
      </c>
    </row>
    <row r="283" ht="14.25" customHeight="1">
      <c r="A283" s="34">
        <v>18.0</v>
      </c>
      <c r="B283" s="46" t="s">
        <v>280</v>
      </c>
      <c r="C283" s="42" t="s">
        <v>262</v>
      </c>
      <c r="D283" s="42" t="s">
        <v>82</v>
      </c>
      <c r="E283" s="10">
        <v>3.95</v>
      </c>
      <c r="F283" s="10">
        <v>4.96</v>
      </c>
      <c r="G283" s="10">
        <v>4.85</v>
      </c>
      <c r="H283" s="18">
        <f t="shared" si="15"/>
        <v>4.586666667</v>
      </c>
      <c r="I283" s="42" t="s">
        <v>263</v>
      </c>
      <c r="J283" s="12">
        <v>1.0</v>
      </c>
    </row>
    <row r="284" ht="14.25" customHeight="1">
      <c r="A284" s="34">
        <v>19.0</v>
      </c>
      <c r="B284" s="46" t="s">
        <v>281</v>
      </c>
      <c r="C284" s="42" t="s">
        <v>262</v>
      </c>
      <c r="D284" s="42" t="s">
        <v>82</v>
      </c>
      <c r="E284" s="10">
        <v>5.85</v>
      </c>
      <c r="F284" s="10">
        <v>3.95</v>
      </c>
      <c r="G284" s="10">
        <v>5.5</v>
      </c>
      <c r="H284" s="18">
        <f t="shared" si="15"/>
        <v>5.1</v>
      </c>
      <c r="I284" s="42" t="s">
        <v>263</v>
      </c>
      <c r="J284" s="12">
        <v>1.0</v>
      </c>
    </row>
    <row r="285" ht="14.25" customHeight="1">
      <c r="A285" s="34">
        <v>20.0</v>
      </c>
      <c r="B285" s="46" t="s">
        <v>282</v>
      </c>
      <c r="C285" s="42" t="s">
        <v>262</v>
      </c>
      <c r="D285" s="42" t="s">
        <v>82</v>
      </c>
      <c r="E285" s="10">
        <v>4.98</v>
      </c>
      <c r="F285" s="10">
        <v>5.78</v>
      </c>
      <c r="G285" s="10">
        <v>6.97</v>
      </c>
      <c r="H285" s="18">
        <f t="shared" si="15"/>
        <v>5.91</v>
      </c>
      <c r="I285" s="42" t="s">
        <v>263</v>
      </c>
      <c r="J285" s="12">
        <v>1.0</v>
      </c>
    </row>
    <row r="286" ht="14.25" customHeight="1">
      <c r="A286" s="34">
        <v>21.0</v>
      </c>
      <c r="B286" s="46" t="s">
        <v>283</v>
      </c>
      <c r="C286" s="42" t="s">
        <v>262</v>
      </c>
      <c r="D286" s="42" t="s">
        <v>82</v>
      </c>
      <c r="E286" s="31">
        <v>3.45</v>
      </c>
      <c r="F286" s="31">
        <v>4.58</v>
      </c>
      <c r="G286" s="31">
        <v>5.5</v>
      </c>
      <c r="H286" s="21">
        <f t="shared" si="15"/>
        <v>4.51</v>
      </c>
      <c r="I286" s="42" t="s">
        <v>263</v>
      </c>
      <c r="J286" s="12">
        <v>1.0</v>
      </c>
    </row>
    <row r="287" ht="14.25" customHeight="1">
      <c r="A287" s="34">
        <v>22.0</v>
      </c>
      <c r="B287" s="47" t="s">
        <v>284</v>
      </c>
      <c r="C287" s="42" t="s">
        <v>262</v>
      </c>
      <c r="D287" s="42" t="s">
        <v>82</v>
      </c>
      <c r="E287" s="43">
        <v>4.75</v>
      </c>
      <c r="F287" s="43">
        <v>5.5</v>
      </c>
      <c r="G287" s="43">
        <v>4.87</v>
      </c>
      <c r="H287" s="43">
        <f t="shared" si="15"/>
        <v>5.04</v>
      </c>
      <c r="I287" s="42" t="s">
        <v>263</v>
      </c>
      <c r="J287" s="12">
        <v>1.0</v>
      </c>
    </row>
    <row r="288" ht="14.25" customHeight="1">
      <c r="J288" s="1">
        <f>SUM(J266:J287)</f>
        <v>22</v>
      </c>
    </row>
    <row r="289" ht="14.25" customHeight="1">
      <c r="J289" s="16">
        <f>J288/A287</f>
        <v>1</v>
      </c>
    </row>
    <row r="290" ht="14.25" customHeight="1">
      <c r="M290" s="3" t="s">
        <v>285</v>
      </c>
      <c r="N290" s="4" t="s">
        <v>286</v>
      </c>
      <c r="O290" s="3" t="s">
        <v>287</v>
      </c>
      <c r="P290" s="3" t="s">
        <v>288</v>
      </c>
      <c r="Q290" s="4" t="s">
        <v>289</v>
      </c>
      <c r="R290" s="3" t="s">
        <v>290</v>
      </c>
      <c r="S290" s="4" t="s">
        <v>291</v>
      </c>
      <c r="T290" s="4" t="s">
        <v>292</v>
      </c>
    </row>
    <row r="291" ht="14.25" customHeight="1">
      <c r="N291" s="1">
        <f>A287+A260+A222+A191+A130+A97+A66+A33</f>
        <v>257</v>
      </c>
      <c r="O291" s="1">
        <f t="shared" ref="O291:Q291" si="16">J288+J263+J223+J192+J131+J98+J67+J34</f>
        <v>218</v>
      </c>
      <c r="P291" s="1">
        <f t="shared" si="16"/>
        <v>37</v>
      </c>
      <c r="Q291" s="1">
        <f t="shared" si="16"/>
        <v>0</v>
      </c>
      <c r="R291" s="16">
        <f>O291/N291</f>
        <v>0.8482490272</v>
      </c>
      <c r="S291" s="16">
        <f>Q291/N291</f>
        <v>0</v>
      </c>
      <c r="T291" s="16">
        <f>P291/N291</f>
        <v>0.1439688716</v>
      </c>
    </row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  <row r="1040" ht="14.25" customHeight="1"/>
    <row r="1041" ht="14.25" customHeight="1"/>
    <row r="1042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29"/>
    <col customWidth="1" min="2" max="2" width="30.86"/>
    <col customWidth="1" min="3" max="3" width="26.29"/>
    <col customWidth="1" min="4" max="4" width="5.43"/>
    <col customWidth="1" min="5" max="5" width="4.86"/>
    <col customWidth="1" min="6" max="6" width="5.43"/>
    <col customWidth="1" min="7" max="7" width="4.71"/>
    <col customWidth="1" min="8" max="26" width="10.71"/>
  </cols>
  <sheetData>
    <row r="1" ht="14.25" customHeight="1">
      <c r="A1" s="1" t="s">
        <v>293</v>
      </c>
    </row>
    <row r="2" ht="14.25" customHeight="1"/>
    <row r="3" ht="14.25" customHeight="1">
      <c r="A3" s="2" t="s">
        <v>1</v>
      </c>
      <c r="B3" s="2" t="s">
        <v>2</v>
      </c>
      <c r="C3" s="2" t="s">
        <v>3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3" t="s">
        <v>10</v>
      </c>
      <c r="J3" s="4" t="s">
        <v>11</v>
      </c>
      <c r="K3" s="4" t="s">
        <v>12</v>
      </c>
      <c r="L3" s="5" t="s">
        <v>13</v>
      </c>
    </row>
    <row r="4" ht="14.25" customHeight="1">
      <c r="A4" s="32">
        <v>1.0</v>
      </c>
      <c r="B4" s="8" t="s">
        <v>294</v>
      </c>
      <c r="C4" s="8" t="s">
        <v>295</v>
      </c>
      <c r="D4" s="10">
        <v>5.09</v>
      </c>
      <c r="E4" s="10">
        <v>4.87</v>
      </c>
      <c r="F4" s="10">
        <v>4.0</v>
      </c>
      <c r="G4" s="10">
        <f t="shared" ref="G4:G31" si="1">((D4+E4+F4)/3)</f>
        <v>4.653333333</v>
      </c>
      <c r="H4" s="8" t="s">
        <v>263</v>
      </c>
      <c r="I4" s="12">
        <v>1.0</v>
      </c>
    </row>
    <row r="5" ht="14.25" customHeight="1">
      <c r="A5" s="32">
        <v>2.0</v>
      </c>
      <c r="B5" s="8" t="s">
        <v>296</v>
      </c>
      <c r="C5" s="8" t="s">
        <v>295</v>
      </c>
      <c r="D5" s="10">
        <v>4.95</v>
      </c>
      <c r="E5" s="10">
        <v>5.7</v>
      </c>
      <c r="F5" s="10">
        <v>5.56</v>
      </c>
      <c r="G5" s="10">
        <f t="shared" si="1"/>
        <v>5.403333333</v>
      </c>
      <c r="H5" s="8" t="s">
        <v>263</v>
      </c>
      <c r="I5" s="12">
        <v>1.0</v>
      </c>
    </row>
    <row r="6" ht="14.25" customHeight="1">
      <c r="A6" s="32">
        <v>3.0</v>
      </c>
      <c r="B6" s="8" t="s">
        <v>297</v>
      </c>
      <c r="C6" s="8" t="s">
        <v>295</v>
      </c>
      <c r="D6" s="10">
        <v>6.0</v>
      </c>
      <c r="E6" s="10">
        <v>4.5</v>
      </c>
      <c r="F6" s="10">
        <v>4.92</v>
      </c>
      <c r="G6" s="10">
        <f t="shared" si="1"/>
        <v>5.14</v>
      </c>
      <c r="H6" s="8" t="s">
        <v>263</v>
      </c>
      <c r="I6" s="12">
        <v>1.0</v>
      </c>
    </row>
    <row r="7" ht="14.25" customHeight="1">
      <c r="A7" s="32">
        <v>4.0</v>
      </c>
      <c r="B7" s="8" t="s">
        <v>298</v>
      </c>
      <c r="C7" s="8" t="s">
        <v>295</v>
      </c>
      <c r="D7" s="10">
        <v>3.93</v>
      </c>
      <c r="E7" s="10">
        <v>5.82</v>
      </c>
      <c r="F7" s="10">
        <v>5.0</v>
      </c>
      <c r="G7" s="10">
        <f t="shared" si="1"/>
        <v>4.916666667</v>
      </c>
      <c r="H7" s="8" t="s">
        <v>263</v>
      </c>
      <c r="I7" s="12">
        <v>1.0</v>
      </c>
    </row>
    <row r="8" ht="14.25" customHeight="1">
      <c r="A8" s="32">
        <v>5.0</v>
      </c>
      <c r="B8" s="8" t="s">
        <v>299</v>
      </c>
      <c r="C8" s="8" t="s">
        <v>295</v>
      </c>
      <c r="D8" s="10">
        <v>4.47</v>
      </c>
      <c r="E8" s="10">
        <v>6.03</v>
      </c>
      <c r="F8" s="10">
        <v>6.81</v>
      </c>
      <c r="G8" s="10">
        <f t="shared" si="1"/>
        <v>5.77</v>
      </c>
      <c r="H8" s="8" t="s">
        <v>263</v>
      </c>
      <c r="I8" s="12">
        <v>1.0</v>
      </c>
    </row>
    <row r="9" ht="14.25" customHeight="1">
      <c r="A9" s="32">
        <v>6.0</v>
      </c>
      <c r="B9" s="8" t="s">
        <v>300</v>
      </c>
      <c r="C9" s="8" t="s">
        <v>295</v>
      </c>
      <c r="D9" s="10">
        <v>3.72</v>
      </c>
      <c r="E9" s="10">
        <v>4.89</v>
      </c>
      <c r="F9" s="10">
        <v>5.0</v>
      </c>
      <c r="G9" s="10">
        <f t="shared" si="1"/>
        <v>4.536666667</v>
      </c>
      <c r="H9" s="8" t="s">
        <v>263</v>
      </c>
      <c r="I9" s="12">
        <v>1.0</v>
      </c>
    </row>
    <row r="10" ht="14.25" customHeight="1">
      <c r="A10" s="32">
        <v>7.0</v>
      </c>
      <c r="B10" s="8" t="s">
        <v>301</v>
      </c>
      <c r="C10" s="8" t="s">
        <v>295</v>
      </c>
      <c r="D10" s="10">
        <v>4.31</v>
      </c>
      <c r="E10" s="10">
        <v>5.0</v>
      </c>
      <c r="F10" s="10">
        <v>5.38</v>
      </c>
      <c r="G10" s="10">
        <f t="shared" si="1"/>
        <v>4.896666667</v>
      </c>
      <c r="H10" s="8" t="s">
        <v>263</v>
      </c>
      <c r="I10" s="12">
        <v>1.0</v>
      </c>
    </row>
    <row r="11" ht="14.25" customHeight="1">
      <c r="A11" s="32">
        <v>8.0</v>
      </c>
      <c r="B11" s="8" t="s">
        <v>302</v>
      </c>
      <c r="C11" s="8" t="s">
        <v>295</v>
      </c>
      <c r="D11" s="10">
        <v>2.23</v>
      </c>
      <c r="E11" s="10">
        <v>3.0</v>
      </c>
      <c r="F11" s="10">
        <v>2.82</v>
      </c>
      <c r="G11" s="10">
        <f t="shared" si="1"/>
        <v>2.683333333</v>
      </c>
      <c r="H11" s="11" t="s">
        <v>17</v>
      </c>
      <c r="J11" s="12">
        <v>1.0</v>
      </c>
    </row>
    <row r="12" ht="14.25" customHeight="1">
      <c r="A12" s="32">
        <v>9.0</v>
      </c>
      <c r="B12" s="8" t="s">
        <v>303</v>
      </c>
      <c r="C12" s="8" t="s">
        <v>295</v>
      </c>
      <c r="D12" s="10">
        <v>1.387</v>
      </c>
      <c r="E12" s="10">
        <v>2.62</v>
      </c>
      <c r="F12" s="10">
        <v>2.0</v>
      </c>
      <c r="G12" s="10">
        <f t="shared" si="1"/>
        <v>2.002333333</v>
      </c>
      <c r="H12" s="11" t="s">
        <v>17</v>
      </c>
      <c r="J12" s="12">
        <v>1.0</v>
      </c>
    </row>
    <row r="13" ht="14.25" customHeight="1">
      <c r="A13" s="32">
        <v>10.0</v>
      </c>
      <c r="B13" s="8" t="s">
        <v>304</v>
      </c>
      <c r="C13" s="8" t="s">
        <v>295</v>
      </c>
      <c r="D13" s="10">
        <v>4.2</v>
      </c>
      <c r="E13" s="10">
        <v>5.0</v>
      </c>
      <c r="F13" s="10">
        <v>5.55</v>
      </c>
      <c r="G13" s="10">
        <f t="shared" si="1"/>
        <v>4.916666667</v>
      </c>
      <c r="H13" s="8" t="s">
        <v>263</v>
      </c>
      <c r="I13" s="12">
        <v>1.0</v>
      </c>
    </row>
    <row r="14" ht="14.25" customHeight="1">
      <c r="A14" s="32">
        <v>11.0</v>
      </c>
      <c r="B14" s="8" t="s">
        <v>305</v>
      </c>
      <c r="C14" s="8" t="s">
        <v>295</v>
      </c>
      <c r="D14" s="10">
        <v>6.22</v>
      </c>
      <c r="E14" s="10">
        <v>4.12</v>
      </c>
      <c r="F14" s="10">
        <v>3.0</v>
      </c>
      <c r="G14" s="10">
        <f t="shared" si="1"/>
        <v>4.446666667</v>
      </c>
      <c r="H14" s="11" t="s">
        <v>17</v>
      </c>
      <c r="J14" s="12">
        <v>1.0</v>
      </c>
    </row>
    <row r="15" ht="14.25" customHeight="1">
      <c r="A15" s="32">
        <v>12.0</v>
      </c>
      <c r="B15" s="8" t="s">
        <v>306</v>
      </c>
      <c r="C15" s="8" t="s">
        <v>295</v>
      </c>
      <c r="D15" s="10">
        <v>5.36</v>
      </c>
      <c r="E15" s="10">
        <v>5.58</v>
      </c>
      <c r="F15" s="10">
        <v>6.0</v>
      </c>
      <c r="G15" s="10">
        <f t="shared" si="1"/>
        <v>5.646666667</v>
      </c>
      <c r="H15" s="8" t="s">
        <v>263</v>
      </c>
      <c r="I15" s="12">
        <v>1.0</v>
      </c>
    </row>
    <row r="16" ht="14.25" customHeight="1">
      <c r="A16" s="32">
        <v>13.0</v>
      </c>
      <c r="B16" s="8" t="s">
        <v>307</v>
      </c>
      <c r="C16" s="8" t="s">
        <v>295</v>
      </c>
      <c r="D16" s="10">
        <v>5.31</v>
      </c>
      <c r="E16" s="10">
        <v>5.16</v>
      </c>
      <c r="F16" s="10">
        <v>4.62</v>
      </c>
      <c r="G16" s="10">
        <f t="shared" si="1"/>
        <v>5.03</v>
      </c>
      <c r="H16" s="8" t="s">
        <v>263</v>
      </c>
      <c r="I16" s="12">
        <v>1.0</v>
      </c>
    </row>
    <row r="17" ht="14.25" customHeight="1">
      <c r="A17" s="32">
        <v>14.0</v>
      </c>
      <c r="B17" s="8" t="s">
        <v>308</v>
      </c>
      <c r="C17" s="8" t="s">
        <v>295</v>
      </c>
      <c r="D17" s="10">
        <v>4.77</v>
      </c>
      <c r="E17" s="10">
        <v>4.45</v>
      </c>
      <c r="F17" s="10">
        <v>5.11</v>
      </c>
      <c r="G17" s="10">
        <f t="shared" si="1"/>
        <v>4.776666667</v>
      </c>
      <c r="H17" s="8" t="s">
        <v>263</v>
      </c>
      <c r="I17" s="12">
        <v>1.0</v>
      </c>
    </row>
    <row r="18" ht="14.25" customHeight="1">
      <c r="A18" s="32">
        <v>15.0</v>
      </c>
      <c r="B18" s="8" t="s">
        <v>309</v>
      </c>
      <c r="C18" s="8" t="s">
        <v>295</v>
      </c>
      <c r="D18" s="10">
        <v>3.59</v>
      </c>
      <c r="E18" s="10">
        <v>3.45</v>
      </c>
      <c r="F18" s="10">
        <v>4.0</v>
      </c>
      <c r="G18" s="10">
        <f t="shared" si="1"/>
        <v>3.68</v>
      </c>
      <c r="H18" s="11" t="s">
        <v>17</v>
      </c>
      <c r="J18" s="12">
        <v>1.0</v>
      </c>
    </row>
    <row r="19" ht="14.25" customHeight="1">
      <c r="A19" s="32">
        <v>16.0</v>
      </c>
      <c r="B19" s="8" t="s">
        <v>310</v>
      </c>
      <c r="C19" s="8" t="s">
        <v>295</v>
      </c>
      <c r="D19" s="10">
        <v>4.12</v>
      </c>
      <c r="E19" s="10">
        <v>4.79</v>
      </c>
      <c r="F19" s="10">
        <v>5.0</v>
      </c>
      <c r="G19" s="10">
        <f t="shared" si="1"/>
        <v>4.636666667</v>
      </c>
      <c r="H19" s="8" t="s">
        <v>263</v>
      </c>
      <c r="I19" s="12">
        <v>1.0</v>
      </c>
    </row>
    <row r="20" ht="14.25" customHeight="1">
      <c r="A20" s="32">
        <v>17.0</v>
      </c>
      <c r="B20" s="8" t="s">
        <v>311</v>
      </c>
      <c r="C20" s="8" t="s">
        <v>295</v>
      </c>
      <c r="D20" s="10">
        <v>5.22</v>
      </c>
      <c r="E20" s="10">
        <v>5.5</v>
      </c>
      <c r="F20" s="10">
        <v>6.0</v>
      </c>
      <c r="G20" s="10">
        <f t="shared" si="1"/>
        <v>5.573333333</v>
      </c>
      <c r="H20" s="8" t="s">
        <v>263</v>
      </c>
      <c r="I20" s="12">
        <v>1.0</v>
      </c>
    </row>
    <row r="21" ht="14.25" customHeight="1">
      <c r="A21" s="32">
        <v>18.0</v>
      </c>
      <c r="B21" s="8" t="s">
        <v>312</v>
      </c>
      <c r="C21" s="8" t="s">
        <v>295</v>
      </c>
      <c r="D21" s="10">
        <v>2.77</v>
      </c>
      <c r="E21" s="10">
        <v>1.37</v>
      </c>
      <c r="F21" s="10">
        <v>3.35</v>
      </c>
      <c r="G21" s="10">
        <f t="shared" si="1"/>
        <v>2.496666667</v>
      </c>
      <c r="H21" s="11" t="s">
        <v>17</v>
      </c>
      <c r="J21" s="12">
        <v>1.0</v>
      </c>
    </row>
    <row r="22" ht="14.25" customHeight="1">
      <c r="A22" s="32">
        <v>19.0</v>
      </c>
      <c r="B22" s="8" t="s">
        <v>313</v>
      </c>
      <c r="C22" s="8" t="s">
        <v>295</v>
      </c>
      <c r="D22" s="10">
        <v>4.81</v>
      </c>
      <c r="E22" s="10">
        <v>5.29</v>
      </c>
      <c r="F22" s="10">
        <v>6.0</v>
      </c>
      <c r="G22" s="10">
        <f t="shared" si="1"/>
        <v>5.366666667</v>
      </c>
      <c r="H22" s="8" t="s">
        <v>263</v>
      </c>
      <c r="I22" s="12">
        <v>1.0</v>
      </c>
    </row>
    <row r="23" ht="14.25" customHeight="1">
      <c r="A23" s="32">
        <v>20.0</v>
      </c>
      <c r="B23" s="8" t="s">
        <v>314</v>
      </c>
      <c r="C23" s="8" t="s">
        <v>295</v>
      </c>
      <c r="D23" s="10">
        <v>3.12</v>
      </c>
      <c r="E23" s="10">
        <v>4.81</v>
      </c>
      <c r="F23" s="10">
        <v>5.42</v>
      </c>
      <c r="G23" s="10">
        <f t="shared" si="1"/>
        <v>4.45</v>
      </c>
      <c r="H23" s="11" t="s">
        <v>17</v>
      </c>
      <c r="J23" s="12">
        <v>1.0</v>
      </c>
    </row>
    <row r="24" ht="14.25" customHeight="1">
      <c r="A24" s="32">
        <v>21.0</v>
      </c>
      <c r="B24" s="8" t="s">
        <v>315</v>
      </c>
      <c r="C24" s="8" t="s">
        <v>295</v>
      </c>
      <c r="D24" s="10">
        <v>4.75</v>
      </c>
      <c r="E24" s="10">
        <v>5.12</v>
      </c>
      <c r="F24" s="10">
        <v>5.64</v>
      </c>
      <c r="G24" s="10">
        <f t="shared" si="1"/>
        <v>5.17</v>
      </c>
      <c r="H24" s="8" t="s">
        <v>263</v>
      </c>
      <c r="I24" s="12">
        <v>1.0</v>
      </c>
    </row>
    <row r="25" ht="14.25" customHeight="1">
      <c r="A25" s="32">
        <v>22.0</v>
      </c>
      <c r="B25" s="8" t="s">
        <v>316</v>
      </c>
      <c r="C25" s="8" t="s">
        <v>295</v>
      </c>
      <c r="D25" s="10">
        <v>1.72</v>
      </c>
      <c r="E25" s="10">
        <v>2.7</v>
      </c>
      <c r="F25" s="10">
        <v>3.0</v>
      </c>
      <c r="G25" s="10">
        <f t="shared" si="1"/>
        <v>2.473333333</v>
      </c>
      <c r="H25" s="11" t="s">
        <v>17</v>
      </c>
      <c r="J25" s="12">
        <v>1.0</v>
      </c>
    </row>
    <row r="26" ht="14.25" customHeight="1">
      <c r="A26" s="32">
        <v>23.0</v>
      </c>
      <c r="B26" s="8" t="s">
        <v>317</v>
      </c>
      <c r="C26" s="8" t="s">
        <v>295</v>
      </c>
      <c r="D26" s="10">
        <v>2.09</v>
      </c>
      <c r="E26" s="10">
        <v>1.5</v>
      </c>
      <c r="F26" s="10">
        <v>2.32</v>
      </c>
      <c r="G26" s="10">
        <f t="shared" si="1"/>
        <v>1.97</v>
      </c>
      <c r="H26" s="11" t="s">
        <v>17</v>
      </c>
      <c r="J26" s="12">
        <v>1.0</v>
      </c>
    </row>
    <row r="27" ht="14.25" customHeight="1">
      <c r="A27" s="32">
        <v>24.0</v>
      </c>
      <c r="B27" s="8" t="s">
        <v>318</v>
      </c>
      <c r="C27" s="8" t="s">
        <v>295</v>
      </c>
      <c r="D27" s="10">
        <v>1.85</v>
      </c>
      <c r="E27" s="10">
        <v>2.66</v>
      </c>
      <c r="F27" s="10">
        <v>3.05</v>
      </c>
      <c r="G27" s="10">
        <f t="shared" si="1"/>
        <v>2.52</v>
      </c>
      <c r="H27" s="11" t="s">
        <v>17</v>
      </c>
      <c r="J27" s="12">
        <v>1.0</v>
      </c>
    </row>
    <row r="28" ht="14.25" customHeight="1">
      <c r="A28" s="32">
        <v>25.0</v>
      </c>
      <c r="B28" s="8" t="s">
        <v>319</v>
      </c>
      <c r="C28" s="8" t="s">
        <v>295</v>
      </c>
      <c r="D28" s="10">
        <v>5.12</v>
      </c>
      <c r="E28" s="10">
        <v>4.51</v>
      </c>
      <c r="F28" s="10">
        <v>4.0</v>
      </c>
      <c r="G28" s="10">
        <f t="shared" si="1"/>
        <v>4.543333333</v>
      </c>
      <c r="H28" s="8" t="s">
        <v>263</v>
      </c>
      <c r="I28" s="12">
        <v>1.0</v>
      </c>
    </row>
    <row r="29" ht="14.25" customHeight="1">
      <c r="A29" s="32">
        <v>26.0</v>
      </c>
      <c r="B29" s="8" t="s">
        <v>320</v>
      </c>
      <c r="C29" s="8" t="s">
        <v>295</v>
      </c>
      <c r="D29" s="10">
        <v>3.22</v>
      </c>
      <c r="E29" s="10">
        <v>2.25</v>
      </c>
      <c r="F29" s="10">
        <v>2.11</v>
      </c>
      <c r="G29" s="10">
        <f t="shared" si="1"/>
        <v>2.526666667</v>
      </c>
      <c r="H29" s="11" t="s">
        <v>17</v>
      </c>
      <c r="J29" s="12">
        <v>1.0</v>
      </c>
    </row>
    <row r="30" ht="14.25" customHeight="1">
      <c r="A30" s="32">
        <v>27.0</v>
      </c>
      <c r="B30" s="8" t="s">
        <v>321</v>
      </c>
      <c r="C30" s="8" t="s">
        <v>295</v>
      </c>
      <c r="D30" s="10">
        <v>1.34</v>
      </c>
      <c r="E30" s="10">
        <v>1.58</v>
      </c>
      <c r="F30" s="10">
        <v>3.42</v>
      </c>
      <c r="G30" s="10">
        <f t="shared" si="1"/>
        <v>2.113333333</v>
      </c>
      <c r="H30" s="11" t="s">
        <v>17</v>
      </c>
      <c r="J30" s="12">
        <v>1.0</v>
      </c>
    </row>
    <row r="31" ht="14.25" customHeight="1">
      <c r="A31" s="32">
        <v>28.0</v>
      </c>
      <c r="B31" s="8" t="s">
        <v>322</v>
      </c>
      <c r="C31" s="8" t="s">
        <v>295</v>
      </c>
      <c r="D31" s="10">
        <v>2.77</v>
      </c>
      <c r="E31" s="10">
        <v>3.7</v>
      </c>
      <c r="F31" s="10">
        <v>4.0</v>
      </c>
      <c r="G31" s="10">
        <f t="shared" si="1"/>
        <v>3.49</v>
      </c>
      <c r="H31" s="11" t="s">
        <v>17</v>
      </c>
      <c r="J31" s="12">
        <v>1.0</v>
      </c>
    </row>
    <row r="32" ht="14.25" customHeight="1">
      <c r="A32" s="32">
        <v>29.0</v>
      </c>
      <c r="B32" s="8" t="s">
        <v>323</v>
      </c>
      <c r="C32" s="8" t="s">
        <v>295</v>
      </c>
      <c r="D32" s="10">
        <v>1.05</v>
      </c>
      <c r="E32" s="10">
        <v>1.98</v>
      </c>
      <c r="F32" s="10" t="s">
        <v>324</v>
      </c>
      <c r="G32" s="10">
        <f t="shared" ref="G32:G33" si="2">((D32+E32)/3)</f>
        <v>1.01</v>
      </c>
      <c r="H32" s="48" t="s">
        <v>12</v>
      </c>
      <c r="K32" s="12">
        <v>1.0</v>
      </c>
    </row>
    <row r="33" ht="14.25" customHeight="1">
      <c r="A33" s="32">
        <v>30.0</v>
      </c>
      <c r="B33" s="8" t="s">
        <v>325</v>
      </c>
      <c r="C33" s="8" t="s">
        <v>295</v>
      </c>
      <c r="D33" s="10">
        <v>2.42</v>
      </c>
      <c r="E33" s="10">
        <v>2.0</v>
      </c>
      <c r="F33" s="10" t="s">
        <v>324</v>
      </c>
      <c r="G33" s="10">
        <f t="shared" si="2"/>
        <v>1.473333333</v>
      </c>
      <c r="H33" s="48" t="s">
        <v>12</v>
      </c>
      <c r="K33" s="12">
        <v>1.0</v>
      </c>
    </row>
    <row r="34" ht="14.25" customHeight="1">
      <c r="A34" s="32">
        <v>31.0</v>
      </c>
      <c r="B34" s="8" t="s">
        <v>326</v>
      </c>
      <c r="C34" s="8" t="s">
        <v>295</v>
      </c>
      <c r="D34" s="10">
        <v>3.0</v>
      </c>
      <c r="E34" s="10">
        <v>3.57</v>
      </c>
      <c r="F34" s="10">
        <v>4.0</v>
      </c>
      <c r="G34" s="10">
        <f t="shared" ref="G34:G57" si="3">((D34+E34+F34)/3)</f>
        <v>3.523333333</v>
      </c>
      <c r="H34" s="11" t="s">
        <v>17</v>
      </c>
      <c r="J34" s="12">
        <v>1.0</v>
      </c>
    </row>
    <row r="35" ht="14.25" customHeight="1">
      <c r="A35" s="32">
        <v>32.0</v>
      </c>
      <c r="B35" s="8" t="s">
        <v>327</v>
      </c>
      <c r="C35" s="8" t="s">
        <v>295</v>
      </c>
      <c r="D35" s="10">
        <v>4.86</v>
      </c>
      <c r="E35" s="10">
        <v>5.5</v>
      </c>
      <c r="F35" s="10">
        <v>6.28</v>
      </c>
      <c r="G35" s="10">
        <f t="shared" si="3"/>
        <v>5.546666667</v>
      </c>
      <c r="H35" s="8" t="s">
        <v>263</v>
      </c>
      <c r="I35" s="12">
        <v>1.0</v>
      </c>
    </row>
    <row r="36" ht="14.25" customHeight="1">
      <c r="A36" s="32">
        <v>33.0</v>
      </c>
      <c r="B36" s="8" t="s">
        <v>328</v>
      </c>
      <c r="C36" s="8" t="s">
        <v>295</v>
      </c>
      <c r="D36" s="10">
        <v>5.86</v>
      </c>
      <c r="E36" s="10">
        <v>6.85</v>
      </c>
      <c r="F36" s="10">
        <v>7.25</v>
      </c>
      <c r="G36" s="10">
        <f t="shared" si="3"/>
        <v>6.653333333</v>
      </c>
      <c r="H36" s="8" t="s">
        <v>263</v>
      </c>
      <c r="I36" s="12">
        <v>1.0</v>
      </c>
    </row>
    <row r="37" ht="14.25" customHeight="1">
      <c r="A37" s="32">
        <v>34.0</v>
      </c>
      <c r="B37" s="8" t="s">
        <v>329</v>
      </c>
      <c r="C37" s="8" t="s">
        <v>295</v>
      </c>
      <c r="D37" s="10">
        <v>4.67</v>
      </c>
      <c r="E37" s="10">
        <v>5.86</v>
      </c>
      <c r="F37" s="10">
        <v>6.0</v>
      </c>
      <c r="G37" s="10">
        <f t="shared" si="3"/>
        <v>5.51</v>
      </c>
      <c r="H37" s="8" t="s">
        <v>263</v>
      </c>
      <c r="I37" s="12">
        <v>1.0</v>
      </c>
    </row>
    <row r="38" ht="14.25" customHeight="1">
      <c r="A38" s="32">
        <v>35.0</v>
      </c>
      <c r="B38" s="8" t="s">
        <v>330</v>
      </c>
      <c r="C38" s="8" t="s">
        <v>295</v>
      </c>
      <c r="D38" s="10">
        <v>5.68</v>
      </c>
      <c r="E38" s="10">
        <v>4.67</v>
      </c>
      <c r="F38" s="10">
        <v>4.6</v>
      </c>
      <c r="G38" s="10">
        <f t="shared" si="3"/>
        <v>4.983333333</v>
      </c>
      <c r="H38" s="8" t="s">
        <v>263</v>
      </c>
      <c r="I38" s="12">
        <v>1.0</v>
      </c>
    </row>
    <row r="39" ht="14.25" customHeight="1">
      <c r="A39" s="32">
        <v>36.0</v>
      </c>
      <c r="B39" s="8" t="s">
        <v>331</v>
      </c>
      <c r="C39" s="8" t="s">
        <v>295</v>
      </c>
      <c r="D39" s="10">
        <v>2.22</v>
      </c>
      <c r="E39" s="10">
        <v>4.53</v>
      </c>
      <c r="F39" s="10">
        <v>4.42</v>
      </c>
      <c r="G39" s="10">
        <f t="shared" si="3"/>
        <v>3.723333333</v>
      </c>
      <c r="H39" s="11" t="s">
        <v>17</v>
      </c>
      <c r="J39" s="12">
        <v>1.0</v>
      </c>
    </row>
    <row r="40" ht="14.25" customHeight="1">
      <c r="A40" s="32">
        <v>37.0</v>
      </c>
      <c r="B40" s="8" t="s">
        <v>332</v>
      </c>
      <c r="C40" s="8" t="s">
        <v>295</v>
      </c>
      <c r="D40" s="10">
        <v>1.96</v>
      </c>
      <c r="E40" s="10">
        <v>2.3</v>
      </c>
      <c r="F40" s="10">
        <v>4.39</v>
      </c>
      <c r="G40" s="10">
        <f t="shared" si="3"/>
        <v>2.883333333</v>
      </c>
      <c r="H40" s="11" t="s">
        <v>17</v>
      </c>
      <c r="J40" s="12">
        <v>1.0</v>
      </c>
    </row>
    <row r="41" ht="14.25" customHeight="1">
      <c r="A41" s="32">
        <v>38.0</v>
      </c>
      <c r="B41" s="8" t="s">
        <v>333</v>
      </c>
      <c r="C41" s="8" t="s">
        <v>295</v>
      </c>
      <c r="D41" s="10">
        <v>5.81</v>
      </c>
      <c r="E41" s="10">
        <v>3.85</v>
      </c>
      <c r="F41" s="10">
        <v>4.25</v>
      </c>
      <c r="G41" s="10">
        <f t="shared" si="3"/>
        <v>4.636666667</v>
      </c>
      <c r="H41" s="8" t="s">
        <v>263</v>
      </c>
      <c r="I41" s="12">
        <v>1.0</v>
      </c>
    </row>
    <row r="42" ht="14.25" customHeight="1">
      <c r="A42" s="32">
        <v>39.0</v>
      </c>
      <c r="B42" s="8" t="s">
        <v>334</v>
      </c>
      <c r="C42" s="8" t="s">
        <v>295</v>
      </c>
      <c r="D42" s="10">
        <v>4.68</v>
      </c>
      <c r="E42" s="10">
        <v>3.64</v>
      </c>
      <c r="F42" s="10">
        <v>5.67</v>
      </c>
      <c r="G42" s="10">
        <f t="shared" si="3"/>
        <v>4.663333333</v>
      </c>
      <c r="H42" s="8" t="s">
        <v>263</v>
      </c>
      <c r="I42" s="12">
        <v>1.0</v>
      </c>
    </row>
    <row r="43" ht="14.25" customHeight="1">
      <c r="A43" s="32">
        <v>40.0</v>
      </c>
      <c r="B43" s="8" t="s">
        <v>335</v>
      </c>
      <c r="C43" s="8" t="s">
        <v>295</v>
      </c>
      <c r="D43" s="10">
        <v>1.95</v>
      </c>
      <c r="E43" s="10">
        <v>3.5</v>
      </c>
      <c r="F43" s="10">
        <v>3.57</v>
      </c>
      <c r="G43" s="10">
        <f t="shared" si="3"/>
        <v>3.006666667</v>
      </c>
      <c r="H43" s="11" t="s">
        <v>17</v>
      </c>
      <c r="J43" s="12">
        <v>1.0</v>
      </c>
    </row>
    <row r="44" ht="14.25" customHeight="1">
      <c r="A44" s="32">
        <v>41.0</v>
      </c>
      <c r="B44" s="8" t="s">
        <v>132</v>
      </c>
      <c r="C44" s="8" t="s">
        <v>295</v>
      </c>
      <c r="D44" s="10">
        <v>3.92</v>
      </c>
      <c r="E44" s="10">
        <v>4.77</v>
      </c>
      <c r="F44" s="10">
        <v>4.89</v>
      </c>
      <c r="G44" s="10">
        <f t="shared" si="3"/>
        <v>4.526666667</v>
      </c>
      <c r="H44" s="8" t="s">
        <v>263</v>
      </c>
      <c r="I44" s="12">
        <v>1.0</v>
      </c>
    </row>
    <row r="45" ht="14.25" customHeight="1">
      <c r="A45" s="32">
        <v>42.0</v>
      </c>
      <c r="B45" s="8" t="s">
        <v>336</v>
      </c>
      <c r="C45" s="8" t="s">
        <v>295</v>
      </c>
      <c r="D45" s="10">
        <v>2.31</v>
      </c>
      <c r="E45" s="10">
        <v>3.07</v>
      </c>
      <c r="F45" s="10">
        <v>3.21</v>
      </c>
      <c r="G45" s="10">
        <f t="shared" si="3"/>
        <v>2.863333333</v>
      </c>
      <c r="H45" s="11" t="s">
        <v>17</v>
      </c>
      <c r="J45" s="12">
        <v>1.0</v>
      </c>
    </row>
    <row r="46" ht="14.25" customHeight="1">
      <c r="A46" s="32">
        <v>43.0</v>
      </c>
      <c r="B46" s="8" t="s">
        <v>337</v>
      </c>
      <c r="C46" s="8" t="s">
        <v>295</v>
      </c>
      <c r="D46" s="10">
        <v>4.63</v>
      </c>
      <c r="E46" s="10">
        <v>5.25</v>
      </c>
      <c r="F46" s="10">
        <v>4.65</v>
      </c>
      <c r="G46" s="10">
        <f t="shared" si="3"/>
        <v>4.843333333</v>
      </c>
      <c r="H46" s="8" t="s">
        <v>263</v>
      </c>
      <c r="I46" s="12">
        <v>1.0</v>
      </c>
    </row>
    <row r="47" ht="14.25" customHeight="1">
      <c r="A47" s="32">
        <v>44.0</v>
      </c>
      <c r="B47" s="8" t="s">
        <v>338</v>
      </c>
      <c r="C47" s="8" t="s">
        <v>295</v>
      </c>
      <c r="D47" s="10">
        <v>5.86</v>
      </c>
      <c r="E47" s="10">
        <v>4.21</v>
      </c>
      <c r="F47" s="10">
        <v>3.89</v>
      </c>
      <c r="G47" s="10">
        <f t="shared" si="3"/>
        <v>4.653333333</v>
      </c>
      <c r="H47" s="8" t="s">
        <v>263</v>
      </c>
      <c r="I47" s="12">
        <v>1.0</v>
      </c>
    </row>
    <row r="48" ht="14.25" customHeight="1">
      <c r="A48" s="32">
        <v>45.0</v>
      </c>
      <c r="B48" s="8" t="s">
        <v>339</v>
      </c>
      <c r="C48" s="8" t="s">
        <v>295</v>
      </c>
      <c r="D48" s="10">
        <v>6.09</v>
      </c>
      <c r="E48" s="10">
        <v>4.57</v>
      </c>
      <c r="F48" s="10">
        <v>5.0</v>
      </c>
      <c r="G48" s="10">
        <f t="shared" si="3"/>
        <v>5.22</v>
      </c>
      <c r="H48" s="8" t="s">
        <v>263</v>
      </c>
      <c r="I48" s="12">
        <v>1.0</v>
      </c>
    </row>
    <row r="49" ht="14.25" customHeight="1">
      <c r="A49" s="32">
        <v>46.0</v>
      </c>
      <c r="B49" s="8" t="s">
        <v>340</v>
      </c>
      <c r="C49" s="8" t="s">
        <v>295</v>
      </c>
      <c r="D49" s="10">
        <v>4.18</v>
      </c>
      <c r="E49" s="10">
        <v>5.03</v>
      </c>
      <c r="F49" s="10">
        <v>6.67</v>
      </c>
      <c r="G49" s="10">
        <f t="shared" si="3"/>
        <v>5.293333333</v>
      </c>
      <c r="H49" s="8" t="s">
        <v>263</v>
      </c>
      <c r="I49" s="12">
        <v>1.0</v>
      </c>
    </row>
    <row r="50" ht="14.25" customHeight="1">
      <c r="A50" s="32">
        <v>47.0</v>
      </c>
      <c r="B50" s="8" t="s">
        <v>341</v>
      </c>
      <c r="C50" s="8" t="s">
        <v>295</v>
      </c>
      <c r="D50" s="10">
        <v>3.72</v>
      </c>
      <c r="E50" s="10">
        <v>4.73</v>
      </c>
      <c r="F50" s="10">
        <v>5.8</v>
      </c>
      <c r="G50" s="10">
        <f t="shared" si="3"/>
        <v>4.75</v>
      </c>
      <c r="H50" s="8" t="s">
        <v>263</v>
      </c>
      <c r="I50" s="12">
        <v>1.0</v>
      </c>
    </row>
    <row r="51" ht="14.25" customHeight="1">
      <c r="A51" s="32">
        <v>48.0</v>
      </c>
      <c r="B51" s="8" t="s">
        <v>342</v>
      </c>
      <c r="C51" s="8" t="s">
        <v>295</v>
      </c>
      <c r="D51" s="10">
        <v>5.95</v>
      </c>
      <c r="E51" s="10">
        <v>3.95</v>
      </c>
      <c r="F51" s="10">
        <v>4.089</v>
      </c>
      <c r="G51" s="10">
        <f t="shared" si="3"/>
        <v>4.663</v>
      </c>
      <c r="H51" s="8" t="s">
        <v>263</v>
      </c>
      <c r="I51" s="12">
        <v>1.0</v>
      </c>
    </row>
    <row r="52" ht="14.25" customHeight="1">
      <c r="A52" s="32">
        <v>49.0</v>
      </c>
      <c r="B52" s="8" t="s">
        <v>343</v>
      </c>
      <c r="C52" s="8" t="s">
        <v>295</v>
      </c>
      <c r="D52" s="10">
        <v>6.0</v>
      </c>
      <c r="E52" s="10">
        <v>6.14</v>
      </c>
      <c r="F52" s="10">
        <v>5.35</v>
      </c>
      <c r="G52" s="10">
        <f t="shared" si="3"/>
        <v>5.83</v>
      </c>
      <c r="H52" s="8" t="s">
        <v>263</v>
      </c>
      <c r="I52" s="12">
        <v>1.0</v>
      </c>
    </row>
    <row r="53" ht="14.25" customHeight="1">
      <c r="A53" s="32">
        <v>50.0</v>
      </c>
      <c r="B53" s="8" t="s">
        <v>332</v>
      </c>
      <c r="C53" s="8" t="s">
        <v>295</v>
      </c>
      <c r="D53" s="10">
        <v>2.0</v>
      </c>
      <c r="E53" s="10">
        <v>2.14</v>
      </c>
      <c r="F53" s="10">
        <v>1.75</v>
      </c>
      <c r="G53" s="10">
        <f t="shared" si="3"/>
        <v>1.963333333</v>
      </c>
      <c r="H53" s="11" t="s">
        <v>17</v>
      </c>
      <c r="J53" s="12">
        <v>1.0</v>
      </c>
    </row>
    <row r="54" ht="14.25" customHeight="1">
      <c r="A54" s="32">
        <v>51.0</v>
      </c>
      <c r="B54" s="8" t="s">
        <v>344</v>
      </c>
      <c r="C54" s="8" t="s">
        <v>295</v>
      </c>
      <c r="D54" s="10">
        <v>4.613</v>
      </c>
      <c r="E54" s="10">
        <v>5.14</v>
      </c>
      <c r="F54" s="10">
        <v>6.75</v>
      </c>
      <c r="G54" s="10">
        <f t="shared" si="3"/>
        <v>5.501</v>
      </c>
      <c r="H54" s="8" t="s">
        <v>263</v>
      </c>
      <c r="I54" s="12">
        <v>1.0</v>
      </c>
    </row>
    <row r="55" ht="14.25" customHeight="1">
      <c r="A55" s="32">
        <v>52.0</v>
      </c>
      <c r="B55" s="8" t="s">
        <v>345</v>
      </c>
      <c r="C55" s="8" t="s">
        <v>295</v>
      </c>
      <c r="D55" s="10">
        <v>3.9</v>
      </c>
      <c r="E55" s="10">
        <v>4.83</v>
      </c>
      <c r="F55" s="10">
        <v>4.79</v>
      </c>
      <c r="G55" s="10">
        <f t="shared" si="3"/>
        <v>4.506666667</v>
      </c>
      <c r="H55" s="8" t="s">
        <v>263</v>
      </c>
      <c r="I55" s="12">
        <v>1.0</v>
      </c>
    </row>
    <row r="56" ht="14.25" customHeight="1">
      <c r="A56" s="32">
        <v>53.0</v>
      </c>
      <c r="B56" s="8" t="s">
        <v>346</v>
      </c>
      <c r="C56" s="8" t="s">
        <v>295</v>
      </c>
      <c r="D56" s="10">
        <v>2.13</v>
      </c>
      <c r="E56" s="10">
        <v>1.71</v>
      </c>
      <c r="F56" s="10">
        <v>1.53</v>
      </c>
      <c r="G56" s="10">
        <f t="shared" si="3"/>
        <v>1.79</v>
      </c>
      <c r="H56" s="11" t="s">
        <v>17</v>
      </c>
      <c r="J56" s="12">
        <v>1.0</v>
      </c>
    </row>
    <row r="57" ht="14.25" customHeight="1">
      <c r="A57" s="32">
        <v>54.0</v>
      </c>
      <c r="B57" s="8" t="s">
        <v>347</v>
      </c>
      <c r="C57" s="8" t="s">
        <v>295</v>
      </c>
      <c r="D57" s="10">
        <v>3.48</v>
      </c>
      <c r="E57" s="10">
        <v>4.64</v>
      </c>
      <c r="F57" s="10">
        <v>5.42</v>
      </c>
      <c r="G57" s="10">
        <f t="shared" si="3"/>
        <v>4.513333333</v>
      </c>
      <c r="H57" s="8" t="s">
        <v>263</v>
      </c>
      <c r="I57" s="12">
        <v>1.0</v>
      </c>
    </row>
    <row r="58" ht="14.25" customHeight="1">
      <c r="A58" s="20"/>
      <c r="B58" s="20"/>
      <c r="C58" s="20"/>
      <c r="D58" s="20"/>
      <c r="E58" s="20"/>
      <c r="F58" s="20"/>
      <c r="G58" s="20"/>
      <c r="H58" s="20"/>
      <c r="I58" s="1">
        <f t="shared" ref="I58:K58" si="4">SUM(I4:I57)</f>
        <v>33</v>
      </c>
      <c r="J58" s="1">
        <f t="shared" si="4"/>
        <v>19</v>
      </c>
      <c r="K58" s="1">
        <f t="shared" si="4"/>
        <v>2</v>
      </c>
    </row>
    <row r="59" ht="14.25" customHeight="1">
      <c r="A59" s="22"/>
      <c r="B59" s="22"/>
      <c r="C59" s="22"/>
      <c r="D59" s="22"/>
      <c r="E59" s="22"/>
      <c r="F59" s="22"/>
      <c r="G59" s="22"/>
      <c r="H59" s="22"/>
      <c r="I59" s="16">
        <f>I58/A57</f>
        <v>0.6111111111</v>
      </c>
      <c r="J59" s="16">
        <f>J58/A57</f>
        <v>0.3518518519</v>
      </c>
      <c r="K59" s="16">
        <f>K58/A57</f>
        <v>0.03703703704</v>
      </c>
    </row>
    <row r="60" ht="14.25" customHeight="1">
      <c r="A60" s="22"/>
      <c r="B60" s="22"/>
      <c r="C60" s="22"/>
      <c r="D60" s="22"/>
      <c r="E60" s="22"/>
      <c r="F60" s="22"/>
      <c r="G60" s="22"/>
      <c r="H60" s="22"/>
    </row>
    <row r="61" ht="14.25" customHeight="1">
      <c r="A61" s="22"/>
      <c r="B61" s="22"/>
      <c r="C61" s="22"/>
      <c r="D61" s="22"/>
      <c r="E61" s="22"/>
      <c r="F61" s="22"/>
      <c r="G61" s="22"/>
      <c r="H61" s="22"/>
    </row>
    <row r="62" ht="14.25" customHeight="1">
      <c r="A62" s="49">
        <v>1.0</v>
      </c>
      <c r="B62" s="42" t="s">
        <v>348</v>
      </c>
      <c r="C62" s="8" t="s">
        <v>349</v>
      </c>
      <c r="D62" s="10">
        <v>4.11</v>
      </c>
      <c r="E62" s="10">
        <v>5.49</v>
      </c>
      <c r="F62" s="10">
        <v>4.11</v>
      </c>
      <c r="G62" s="10">
        <f t="shared" ref="G62:G79" si="5">((D62+E62+F62)/3)</f>
        <v>4.57</v>
      </c>
      <c r="H62" s="8" t="s">
        <v>263</v>
      </c>
      <c r="I62" s="12">
        <v>1.0</v>
      </c>
    </row>
    <row r="63" ht="14.25" customHeight="1">
      <c r="A63" s="49">
        <v>2.0</v>
      </c>
      <c r="B63" s="42" t="s">
        <v>350</v>
      </c>
      <c r="C63" s="8" t="s">
        <v>349</v>
      </c>
      <c r="D63" s="10">
        <v>2.76</v>
      </c>
      <c r="E63" s="10">
        <v>4.56</v>
      </c>
      <c r="F63" s="10">
        <v>3.76</v>
      </c>
      <c r="G63" s="10">
        <f t="shared" si="5"/>
        <v>3.693333333</v>
      </c>
      <c r="H63" s="11" t="s">
        <v>17</v>
      </c>
      <c r="J63" s="12">
        <v>1.0</v>
      </c>
    </row>
    <row r="64" ht="14.25" customHeight="1">
      <c r="A64" s="49">
        <v>3.0</v>
      </c>
      <c r="B64" s="42" t="s">
        <v>351</v>
      </c>
      <c r="C64" s="8" t="s">
        <v>349</v>
      </c>
      <c r="D64" s="10">
        <v>4.53</v>
      </c>
      <c r="E64" s="10">
        <v>5.47</v>
      </c>
      <c r="F64" s="10">
        <v>4.03</v>
      </c>
      <c r="G64" s="10">
        <f t="shared" si="5"/>
        <v>4.676666667</v>
      </c>
      <c r="H64" s="8" t="s">
        <v>263</v>
      </c>
      <c r="I64" s="12">
        <v>1.0</v>
      </c>
    </row>
    <row r="65" ht="14.25" customHeight="1">
      <c r="A65" s="49">
        <v>4.0</v>
      </c>
      <c r="B65" s="42" t="s">
        <v>352</v>
      </c>
      <c r="C65" s="8" t="s">
        <v>349</v>
      </c>
      <c r="D65" s="10">
        <v>3.92</v>
      </c>
      <c r="E65" s="10">
        <v>5.66</v>
      </c>
      <c r="F65" s="10">
        <v>3.72</v>
      </c>
      <c r="G65" s="10">
        <f t="shared" si="5"/>
        <v>4.433333333</v>
      </c>
      <c r="H65" s="48" t="s">
        <v>353</v>
      </c>
      <c r="K65" s="12">
        <v>1.0</v>
      </c>
    </row>
    <row r="66" ht="14.25" customHeight="1">
      <c r="A66" s="49">
        <v>5.0</v>
      </c>
      <c r="B66" s="42" t="s">
        <v>354</v>
      </c>
      <c r="C66" s="8" t="s">
        <v>349</v>
      </c>
      <c r="D66" s="10">
        <v>2.32</v>
      </c>
      <c r="E66" s="10">
        <v>3.97</v>
      </c>
      <c r="F66" s="10">
        <v>3.32</v>
      </c>
      <c r="G66" s="10">
        <f t="shared" si="5"/>
        <v>3.203333333</v>
      </c>
      <c r="H66" s="11" t="s">
        <v>17</v>
      </c>
      <c r="J66" s="12">
        <v>1.0</v>
      </c>
    </row>
    <row r="67" ht="14.25" customHeight="1">
      <c r="A67" s="49">
        <v>6.0</v>
      </c>
      <c r="B67" s="42" t="s">
        <v>355</v>
      </c>
      <c r="C67" s="8" t="s">
        <v>349</v>
      </c>
      <c r="D67" s="10">
        <v>5.0</v>
      </c>
      <c r="E67" s="10">
        <v>6.32</v>
      </c>
      <c r="F67" s="10">
        <v>4.0</v>
      </c>
      <c r="G67" s="10">
        <f t="shared" si="5"/>
        <v>5.106666667</v>
      </c>
      <c r="H67" s="8" t="s">
        <v>263</v>
      </c>
      <c r="I67" s="12">
        <v>1.0</v>
      </c>
    </row>
    <row r="68" ht="14.25" customHeight="1">
      <c r="A68" s="49">
        <v>7.0</v>
      </c>
      <c r="B68" s="42" t="s">
        <v>356</v>
      </c>
      <c r="C68" s="8" t="s">
        <v>349</v>
      </c>
      <c r="D68" s="10">
        <v>4.04</v>
      </c>
      <c r="E68" s="10">
        <v>4.4</v>
      </c>
      <c r="F68" s="10">
        <v>3.86</v>
      </c>
      <c r="G68" s="10">
        <f t="shared" si="5"/>
        <v>4.1</v>
      </c>
      <c r="H68" s="11" t="s">
        <v>17</v>
      </c>
      <c r="J68" s="12">
        <v>1.0</v>
      </c>
    </row>
    <row r="69" ht="14.25" customHeight="1">
      <c r="A69" s="32">
        <v>8.0</v>
      </c>
      <c r="B69" s="1" t="s">
        <v>357</v>
      </c>
      <c r="C69" s="8" t="s">
        <v>349</v>
      </c>
      <c r="D69" s="10">
        <v>2.25</v>
      </c>
      <c r="E69" s="10">
        <v>1.52</v>
      </c>
      <c r="F69" s="10">
        <v>2.53</v>
      </c>
      <c r="G69" s="10">
        <f t="shared" si="5"/>
        <v>2.1</v>
      </c>
      <c r="H69" s="11" t="s">
        <v>17</v>
      </c>
      <c r="J69" s="12">
        <v>1.0</v>
      </c>
    </row>
    <row r="70" ht="14.25" customHeight="1">
      <c r="A70" s="49">
        <v>9.0</v>
      </c>
      <c r="B70" s="42" t="s">
        <v>358</v>
      </c>
      <c r="C70" s="8" t="s">
        <v>349</v>
      </c>
      <c r="D70" s="10">
        <v>4.17</v>
      </c>
      <c r="E70" s="10">
        <v>4.71</v>
      </c>
      <c r="F70" s="10">
        <v>6.11</v>
      </c>
      <c r="G70" s="10">
        <f t="shared" si="5"/>
        <v>4.996666667</v>
      </c>
      <c r="H70" s="8" t="s">
        <v>263</v>
      </c>
      <c r="I70" s="12">
        <v>1.0</v>
      </c>
    </row>
    <row r="71" ht="14.25" customHeight="1">
      <c r="A71" s="49">
        <v>10.0</v>
      </c>
      <c r="B71" s="42" t="s">
        <v>359</v>
      </c>
      <c r="C71" s="8" t="s">
        <v>349</v>
      </c>
      <c r="D71" s="10">
        <v>5.65</v>
      </c>
      <c r="E71" s="10">
        <v>6.95</v>
      </c>
      <c r="F71" s="10">
        <v>5.83</v>
      </c>
      <c r="G71" s="10">
        <f t="shared" si="5"/>
        <v>6.143333333</v>
      </c>
      <c r="H71" s="8" t="s">
        <v>263</v>
      </c>
      <c r="I71" s="12">
        <v>1.0</v>
      </c>
    </row>
    <row r="72" ht="14.25" customHeight="1">
      <c r="A72" s="49">
        <v>11.0</v>
      </c>
      <c r="B72" s="42" t="s">
        <v>360</v>
      </c>
      <c r="C72" s="8" t="s">
        <v>349</v>
      </c>
      <c r="D72" s="10">
        <v>4.16</v>
      </c>
      <c r="E72" s="10">
        <v>4.61</v>
      </c>
      <c r="F72" s="10">
        <v>3.88</v>
      </c>
      <c r="G72" s="10">
        <f t="shared" si="5"/>
        <v>4.216666667</v>
      </c>
      <c r="H72" s="11" t="s">
        <v>17</v>
      </c>
      <c r="J72" s="12">
        <v>1.0</v>
      </c>
    </row>
    <row r="73" ht="14.25" customHeight="1">
      <c r="A73" s="49">
        <v>12.0</v>
      </c>
      <c r="B73" s="42" t="s">
        <v>361</v>
      </c>
      <c r="C73" s="8" t="s">
        <v>349</v>
      </c>
      <c r="D73" s="10">
        <v>3.47</v>
      </c>
      <c r="E73" s="10">
        <v>5.47</v>
      </c>
      <c r="F73" s="10">
        <v>5.53</v>
      </c>
      <c r="G73" s="10">
        <f t="shared" si="5"/>
        <v>4.823333333</v>
      </c>
      <c r="H73" s="8" t="s">
        <v>263</v>
      </c>
      <c r="I73" s="12">
        <v>1.0</v>
      </c>
    </row>
    <row r="74" ht="14.25" customHeight="1">
      <c r="A74" s="49">
        <v>13.0</v>
      </c>
      <c r="B74" s="42" t="s">
        <v>362</v>
      </c>
      <c r="C74" s="8" t="s">
        <v>349</v>
      </c>
      <c r="D74" s="10">
        <v>5.25</v>
      </c>
      <c r="E74" s="10">
        <v>6.29</v>
      </c>
      <c r="F74" s="10">
        <v>6.16</v>
      </c>
      <c r="G74" s="10">
        <f t="shared" si="5"/>
        <v>5.9</v>
      </c>
      <c r="H74" s="8" t="s">
        <v>263</v>
      </c>
      <c r="I74" s="12">
        <v>1.0</v>
      </c>
    </row>
    <row r="75" ht="14.25" customHeight="1">
      <c r="A75" s="49">
        <v>14.0</v>
      </c>
      <c r="B75" s="42" t="s">
        <v>363</v>
      </c>
      <c r="C75" s="8" t="s">
        <v>349</v>
      </c>
      <c r="D75" s="10">
        <v>6.44</v>
      </c>
      <c r="E75" s="10">
        <v>6.84</v>
      </c>
      <c r="F75" s="10">
        <v>7.83</v>
      </c>
      <c r="G75" s="10">
        <f t="shared" si="5"/>
        <v>7.036666667</v>
      </c>
      <c r="H75" s="8" t="s">
        <v>263</v>
      </c>
      <c r="I75" s="12">
        <v>1.0</v>
      </c>
    </row>
    <row r="76" ht="14.25" customHeight="1">
      <c r="A76" s="49">
        <v>15.0</v>
      </c>
      <c r="B76" s="42" t="s">
        <v>364</v>
      </c>
      <c r="C76" s="8" t="s">
        <v>349</v>
      </c>
      <c r="D76" s="10">
        <v>2.14</v>
      </c>
      <c r="E76" s="10">
        <v>1.41</v>
      </c>
      <c r="F76" s="10">
        <v>1.47</v>
      </c>
      <c r="G76" s="10">
        <f t="shared" si="5"/>
        <v>1.673333333</v>
      </c>
      <c r="H76" s="11" t="s">
        <v>17</v>
      </c>
      <c r="J76" s="12">
        <v>1.0</v>
      </c>
    </row>
    <row r="77" ht="14.25" customHeight="1">
      <c r="A77" s="49">
        <v>16.0</v>
      </c>
      <c r="B77" s="42" t="s">
        <v>365</v>
      </c>
      <c r="C77" s="8" t="s">
        <v>349</v>
      </c>
      <c r="D77" s="10">
        <v>5.97</v>
      </c>
      <c r="E77" s="10">
        <v>4.96</v>
      </c>
      <c r="F77" s="10">
        <v>5.06</v>
      </c>
      <c r="G77" s="10">
        <f t="shared" si="5"/>
        <v>5.33</v>
      </c>
      <c r="H77" s="8" t="s">
        <v>263</v>
      </c>
      <c r="I77" s="12">
        <v>1.0</v>
      </c>
    </row>
    <row r="78" ht="14.25" customHeight="1">
      <c r="A78" s="49">
        <v>17.0</v>
      </c>
      <c r="B78" s="42" t="s">
        <v>366</v>
      </c>
      <c r="C78" s="8" t="s">
        <v>349</v>
      </c>
      <c r="D78" s="10">
        <v>3.9</v>
      </c>
      <c r="E78" s="10">
        <v>2.09</v>
      </c>
      <c r="F78" s="10">
        <v>2.86</v>
      </c>
      <c r="G78" s="10">
        <f t="shared" si="5"/>
        <v>2.95</v>
      </c>
      <c r="H78" s="11" t="s">
        <v>17</v>
      </c>
      <c r="J78" s="12">
        <v>1.0</v>
      </c>
    </row>
    <row r="79" ht="14.25" customHeight="1">
      <c r="A79" s="49">
        <v>18.0</v>
      </c>
      <c r="B79" s="42" t="s">
        <v>367</v>
      </c>
      <c r="C79" s="8" t="s">
        <v>349</v>
      </c>
      <c r="D79" s="10">
        <v>5.14</v>
      </c>
      <c r="E79" s="10">
        <v>6.41</v>
      </c>
      <c r="F79" s="10">
        <v>4.76</v>
      </c>
      <c r="G79" s="10">
        <f t="shared" si="5"/>
        <v>5.436666667</v>
      </c>
      <c r="H79" s="8" t="s">
        <v>263</v>
      </c>
      <c r="I79" s="12">
        <v>1.0</v>
      </c>
    </row>
    <row r="80" ht="14.25" customHeight="1">
      <c r="A80" s="49">
        <v>19.0</v>
      </c>
      <c r="B80" s="42" t="s">
        <v>368</v>
      </c>
      <c r="C80" s="8" t="s">
        <v>349</v>
      </c>
      <c r="D80" s="10">
        <v>1.04</v>
      </c>
      <c r="E80" s="10">
        <v>2.4</v>
      </c>
      <c r="F80" s="10" t="s">
        <v>324</v>
      </c>
      <c r="G80" s="10">
        <f>((D80+E80)/3)</f>
        <v>1.146666667</v>
      </c>
      <c r="H80" s="48" t="s">
        <v>353</v>
      </c>
      <c r="K80" s="12">
        <v>1.0</v>
      </c>
    </row>
    <row r="81" ht="14.25" customHeight="1">
      <c r="A81" s="49">
        <v>20.0</v>
      </c>
      <c r="B81" s="42" t="s">
        <v>369</v>
      </c>
      <c r="C81" s="8" t="s">
        <v>349</v>
      </c>
      <c r="D81" s="10">
        <v>6.07</v>
      </c>
      <c r="E81" s="10">
        <v>7.07</v>
      </c>
      <c r="F81" s="10">
        <v>5.07</v>
      </c>
      <c r="G81" s="10">
        <f t="shared" ref="G81:G83" si="6">((D81+E81+F81)/3)</f>
        <v>6.07</v>
      </c>
      <c r="H81" s="8" t="s">
        <v>263</v>
      </c>
      <c r="I81" s="12">
        <v>1.0</v>
      </c>
    </row>
    <row r="82" ht="14.25" customHeight="1">
      <c r="A82" s="49">
        <v>21.0</v>
      </c>
      <c r="B82" s="42" t="s">
        <v>147</v>
      </c>
      <c r="C82" s="8" t="s">
        <v>349</v>
      </c>
      <c r="D82" s="10">
        <v>5.76</v>
      </c>
      <c r="E82" s="10">
        <v>6.67</v>
      </c>
      <c r="F82" s="10">
        <v>4.76</v>
      </c>
      <c r="G82" s="10">
        <f t="shared" si="6"/>
        <v>5.73</v>
      </c>
      <c r="H82" s="8" t="s">
        <v>263</v>
      </c>
      <c r="I82" s="12">
        <v>1.0</v>
      </c>
    </row>
    <row r="83" ht="14.25" customHeight="1">
      <c r="A83" s="49">
        <v>22.0</v>
      </c>
      <c r="B83" s="42" t="s">
        <v>370</v>
      </c>
      <c r="C83" s="8" t="s">
        <v>349</v>
      </c>
      <c r="D83" s="10">
        <v>3.0</v>
      </c>
      <c r="E83" s="10">
        <v>4.66</v>
      </c>
      <c r="F83" s="10">
        <v>4.0</v>
      </c>
      <c r="G83" s="10">
        <f t="shared" si="6"/>
        <v>3.886666667</v>
      </c>
      <c r="H83" s="11" t="s">
        <v>17</v>
      </c>
      <c r="J83" s="12">
        <v>1.0</v>
      </c>
    </row>
    <row r="84" ht="14.25" customHeight="1">
      <c r="A84" s="49">
        <v>23.0</v>
      </c>
      <c r="B84" s="42" t="s">
        <v>371</v>
      </c>
      <c r="C84" s="8" t="s">
        <v>349</v>
      </c>
      <c r="D84" s="10">
        <v>2.84</v>
      </c>
      <c r="E84" s="10">
        <v>3.42</v>
      </c>
      <c r="F84" s="10" t="s">
        <v>324</v>
      </c>
      <c r="G84" s="10">
        <f t="shared" ref="G84:G85" si="7">((D84+E84)/3)</f>
        <v>2.086666667</v>
      </c>
      <c r="H84" s="48" t="s">
        <v>353</v>
      </c>
      <c r="K84" s="12">
        <v>1.0</v>
      </c>
    </row>
    <row r="85" ht="14.25" customHeight="1">
      <c r="A85" s="32">
        <v>24.0</v>
      </c>
      <c r="B85" s="1" t="s">
        <v>372</v>
      </c>
      <c r="C85" s="8" t="s">
        <v>349</v>
      </c>
      <c r="D85" s="10">
        <v>4.15</v>
      </c>
      <c r="E85" s="10">
        <v>2.68</v>
      </c>
      <c r="F85" s="10" t="s">
        <v>324</v>
      </c>
      <c r="G85" s="10">
        <f t="shared" si="7"/>
        <v>2.276666667</v>
      </c>
      <c r="H85" s="48" t="s">
        <v>353</v>
      </c>
      <c r="K85" s="12">
        <v>1.0</v>
      </c>
    </row>
    <row r="86" ht="14.25" customHeight="1">
      <c r="A86" s="49">
        <v>25.0</v>
      </c>
      <c r="B86" s="42" t="s">
        <v>373</v>
      </c>
      <c r="C86" s="8" t="s">
        <v>349</v>
      </c>
      <c r="D86" s="10">
        <v>3.69</v>
      </c>
      <c r="E86" s="10">
        <v>4.49</v>
      </c>
      <c r="F86" s="10">
        <v>5.69</v>
      </c>
      <c r="G86" s="10">
        <f t="shared" ref="G86:G88" si="8">((D86+E86+F86)/3)</f>
        <v>4.623333333</v>
      </c>
      <c r="H86" s="8" t="s">
        <v>263</v>
      </c>
      <c r="I86" s="12">
        <v>1.0</v>
      </c>
    </row>
    <row r="87" ht="14.25" customHeight="1">
      <c r="A87" s="49">
        <v>26.0</v>
      </c>
      <c r="B87" s="42" t="s">
        <v>374</v>
      </c>
      <c r="C87" s="8" t="s">
        <v>349</v>
      </c>
      <c r="D87" s="10">
        <v>4.26</v>
      </c>
      <c r="E87" s="10">
        <v>4.98</v>
      </c>
      <c r="F87" s="10">
        <v>6.26</v>
      </c>
      <c r="G87" s="10">
        <f t="shared" si="8"/>
        <v>5.166666667</v>
      </c>
      <c r="H87" s="8" t="s">
        <v>263</v>
      </c>
      <c r="I87" s="12">
        <v>1.0</v>
      </c>
    </row>
    <row r="88" ht="14.25" customHeight="1">
      <c r="A88" s="49">
        <v>27.0</v>
      </c>
      <c r="B88" s="42" t="s">
        <v>375</v>
      </c>
      <c r="C88" s="8" t="s">
        <v>349</v>
      </c>
      <c r="D88" s="10">
        <v>3.26</v>
      </c>
      <c r="E88" s="10">
        <v>4.88</v>
      </c>
      <c r="F88" s="10">
        <v>6.03</v>
      </c>
      <c r="G88" s="10">
        <f t="shared" si="8"/>
        <v>4.723333333</v>
      </c>
      <c r="H88" s="8" t="s">
        <v>263</v>
      </c>
      <c r="I88" s="12">
        <v>1.0</v>
      </c>
    </row>
    <row r="89" ht="14.25" customHeight="1">
      <c r="A89" s="49">
        <v>28.0</v>
      </c>
      <c r="B89" s="42" t="s">
        <v>376</v>
      </c>
      <c r="C89" s="8" t="s">
        <v>349</v>
      </c>
      <c r="D89" s="50" t="s">
        <v>377</v>
      </c>
      <c r="E89" s="50" t="s">
        <v>377</v>
      </c>
      <c r="F89" s="50" t="s">
        <v>377</v>
      </c>
      <c r="G89" s="50" t="s">
        <v>377</v>
      </c>
      <c r="H89" s="11" t="s">
        <v>378</v>
      </c>
      <c r="L89" s="12">
        <v>1.0</v>
      </c>
    </row>
    <row r="90" ht="14.25" customHeight="1">
      <c r="A90" s="49">
        <v>29.0</v>
      </c>
      <c r="B90" s="42" t="s">
        <v>379</v>
      </c>
      <c r="C90" s="8" t="s">
        <v>349</v>
      </c>
      <c r="D90" s="10">
        <v>2.43</v>
      </c>
      <c r="E90" s="10">
        <v>3.0</v>
      </c>
      <c r="F90" s="10">
        <v>3.13</v>
      </c>
      <c r="G90" s="10">
        <f t="shared" ref="G90:G94" si="9">((D90+E90+F90)/3)</f>
        <v>2.853333333</v>
      </c>
      <c r="H90" s="11" t="s">
        <v>17</v>
      </c>
      <c r="J90" s="12">
        <v>1.0</v>
      </c>
    </row>
    <row r="91" ht="14.25" customHeight="1">
      <c r="A91" s="49">
        <v>30.0</v>
      </c>
      <c r="B91" s="42" t="s">
        <v>380</v>
      </c>
      <c r="C91" s="8" t="s">
        <v>349</v>
      </c>
      <c r="D91" s="10">
        <v>4.84</v>
      </c>
      <c r="E91" s="10">
        <v>5.94</v>
      </c>
      <c r="F91" s="10">
        <v>4.69</v>
      </c>
      <c r="G91" s="10">
        <f t="shared" si="9"/>
        <v>5.156666667</v>
      </c>
      <c r="H91" s="8" t="s">
        <v>263</v>
      </c>
      <c r="I91" s="12">
        <v>1.0</v>
      </c>
    </row>
    <row r="92" ht="14.25" customHeight="1">
      <c r="A92" s="49">
        <v>31.0</v>
      </c>
      <c r="B92" s="42" t="s">
        <v>381</v>
      </c>
      <c r="C92" s="8" t="s">
        <v>349</v>
      </c>
      <c r="D92" s="10">
        <v>3.861</v>
      </c>
      <c r="E92" s="10">
        <v>4.72</v>
      </c>
      <c r="F92" s="10">
        <v>5.69</v>
      </c>
      <c r="G92" s="10">
        <f t="shared" si="9"/>
        <v>4.757</v>
      </c>
      <c r="H92" s="8" t="s">
        <v>263</v>
      </c>
      <c r="I92" s="12">
        <v>1.0</v>
      </c>
    </row>
    <row r="93" ht="14.25" customHeight="1">
      <c r="A93" s="49">
        <v>32.0</v>
      </c>
      <c r="B93" s="42" t="s">
        <v>382</v>
      </c>
      <c r="C93" s="8" t="s">
        <v>349</v>
      </c>
      <c r="D93" s="10">
        <v>5.0</v>
      </c>
      <c r="E93" s="10">
        <v>5.32</v>
      </c>
      <c r="F93" s="10">
        <v>4.94</v>
      </c>
      <c r="G93" s="10">
        <f t="shared" si="9"/>
        <v>5.086666667</v>
      </c>
      <c r="H93" s="8" t="s">
        <v>263</v>
      </c>
      <c r="I93" s="12">
        <v>1.0</v>
      </c>
    </row>
    <row r="94" ht="14.25" customHeight="1">
      <c r="A94" s="49">
        <v>33.0</v>
      </c>
      <c r="B94" s="42" t="s">
        <v>383</v>
      </c>
      <c r="C94" s="8" t="s">
        <v>349</v>
      </c>
      <c r="D94" s="10">
        <v>4.61</v>
      </c>
      <c r="E94" s="10">
        <v>3.92</v>
      </c>
      <c r="F94" s="10">
        <v>5.61</v>
      </c>
      <c r="G94" s="10">
        <f t="shared" si="9"/>
        <v>4.713333333</v>
      </c>
      <c r="H94" s="8" t="s">
        <v>263</v>
      </c>
      <c r="I94" s="12">
        <v>1.0</v>
      </c>
    </row>
    <row r="95" ht="14.25" customHeight="1">
      <c r="A95" s="49">
        <v>34.0</v>
      </c>
      <c r="B95" s="42" t="s">
        <v>384</v>
      </c>
      <c r="C95" s="8" t="s">
        <v>349</v>
      </c>
      <c r="D95" s="10">
        <v>2.5</v>
      </c>
      <c r="E95" s="10">
        <v>3.98</v>
      </c>
      <c r="F95" s="10" t="s">
        <v>324</v>
      </c>
      <c r="G95" s="10">
        <f>((D95+E95)/3)</f>
        <v>2.16</v>
      </c>
      <c r="H95" s="48" t="s">
        <v>353</v>
      </c>
      <c r="K95" s="12">
        <v>1.0</v>
      </c>
    </row>
    <row r="96" ht="14.25" customHeight="1">
      <c r="A96" s="49"/>
      <c r="B96" s="42"/>
      <c r="C96" s="8"/>
      <c r="D96" s="10"/>
      <c r="E96" s="10"/>
      <c r="F96" s="10"/>
      <c r="G96" s="10"/>
      <c r="H96" s="51"/>
      <c r="I96" s="1">
        <f t="shared" ref="I96:K96" si="10">SUM(I62:I95)</f>
        <v>19</v>
      </c>
      <c r="J96" s="1">
        <f t="shared" si="10"/>
        <v>9</v>
      </c>
      <c r="K96" s="1">
        <f t="shared" si="10"/>
        <v>5</v>
      </c>
    </row>
    <row r="97" ht="14.25" customHeight="1">
      <c r="A97" s="49"/>
      <c r="B97" s="42"/>
      <c r="C97" s="8"/>
      <c r="D97" s="10"/>
      <c r="E97" s="10"/>
      <c r="F97" s="10"/>
      <c r="G97" s="10"/>
      <c r="H97" s="51"/>
      <c r="I97" s="16">
        <f>I96/A95</f>
        <v>0.5588235294</v>
      </c>
      <c r="J97" s="16">
        <f>J96/A95</f>
        <v>0.2647058824</v>
      </c>
      <c r="K97" s="16">
        <f>K96/A95</f>
        <v>0.1470588235</v>
      </c>
    </row>
    <row r="98" ht="14.25" customHeight="1">
      <c r="A98" s="49"/>
      <c r="B98" s="42"/>
      <c r="C98" s="8"/>
      <c r="D98" s="10"/>
      <c r="E98" s="10"/>
      <c r="F98" s="10"/>
      <c r="G98" s="10"/>
      <c r="H98" s="51"/>
    </row>
    <row r="99" ht="14.25" customHeight="1">
      <c r="A99" s="49">
        <v>1.0</v>
      </c>
      <c r="B99" s="34" t="s">
        <v>129</v>
      </c>
      <c r="C99" s="8" t="s">
        <v>385</v>
      </c>
      <c r="D99" s="10">
        <v>4.59</v>
      </c>
      <c r="E99" s="10">
        <v>4.89</v>
      </c>
      <c r="F99" s="10">
        <v>5.06</v>
      </c>
      <c r="G99" s="10">
        <f t="shared" ref="G99:G108" si="11">((D99+E99+F99)/3)</f>
        <v>4.846666667</v>
      </c>
      <c r="H99" s="8" t="s">
        <v>263</v>
      </c>
      <c r="I99" s="12">
        <v>1.0</v>
      </c>
    </row>
    <row r="100" ht="14.25" customHeight="1">
      <c r="A100" s="49">
        <v>2.0</v>
      </c>
      <c r="B100" s="34" t="s">
        <v>386</v>
      </c>
      <c r="C100" s="8" t="s">
        <v>385</v>
      </c>
      <c r="D100" s="10">
        <v>5.81</v>
      </c>
      <c r="E100" s="10">
        <v>4.03</v>
      </c>
      <c r="F100" s="10">
        <v>5.03</v>
      </c>
      <c r="G100" s="10">
        <f t="shared" si="11"/>
        <v>4.956666667</v>
      </c>
      <c r="H100" s="8" t="s">
        <v>263</v>
      </c>
      <c r="I100" s="12">
        <v>1.0</v>
      </c>
    </row>
    <row r="101" ht="14.25" customHeight="1">
      <c r="A101" s="49">
        <v>3.0</v>
      </c>
      <c r="B101" s="34" t="s">
        <v>387</v>
      </c>
      <c r="C101" s="8" t="s">
        <v>385</v>
      </c>
      <c r="D101" s="10">
        <v>5.5</v>
      </c>
      <c r="E101" s="10">
        <v>5.38</v>
      </c>
      <c r="F101" s="10">
        <v>6.0</v>
      </c>
      <c r="G101" s="10">
        <f t="shared" si="11"/>
        <v>5.626666667</v>
      </c>
      <c r="H101" s="8" t="s">
        <v>263</v>
      </c>
      <c r="I101" s="12">
        <v>1.0</v>
      </c>
    </row>
    <row r="102" ht="14.25" customHeight="1">
      <c r="A102" s="49">
        <v>4.0</v>
      </c>
      <c r="B102" s="34" t="s">
        <v>388</v>
      </c>
      <c r="C102" s="8" t="s">
        <v>385</v>
      </c>
      <c r="D102" s="10">
        <v>3.71</v>
      </c>
      <c r="E102" s="10">
        <v>4.96</v>
      </c>
      <c r="F102" s="10">
        <v>5.66</v>
      </c>
      <c r="G102" s="10">
        <f t="shared" si="11"/>
        <v>4.776666667</v>
      </c>
      <c r="H102" s="8" t="s">
        <v>263</v>
      </c>
      <c r="I102" s="12">
        <v>1.0</v>
      </c>
    </row>
    <row r="103" ht="14.25" customHeight="1">
      <c r="A103" s="49">
        <v>5.0</v>
      </c>
      <c r="B103" s="34" t="s">
        <v>389</v>
      </c>
      <c r="C103" s="8" t="s">
        <v>385</v>
      </c>
      <c r="D103" s="10">
        <v>2.06</v>
      </c>
      <c r="E103" s="10">
        <v>1.53</v>
      </c>
      <c r="F103" s="10">
        <v>2.32</v>
      </c>
      <c r="G103" s="10">
        <f t="shared" si="11"/>
        <v>1.97</v>
      </c>
      <c r="H103" s="11" t="s">
        <v>17</v>
      </c>
      <c r="J103" s="12">
        <v>1.0</v>
      </c>
    </row>
    <row r="104" ht="14.25" customHeight="1">
      <c r="A104" s="49">
        <v>6.0</v>
      </c>
      <c r="B104" s="34" t="s">
        <v>390</v>
      </c>
      <c r="C104" s="8" t="s">
        <v>385</v>
      </c>
      <c r="D104" s="10">
        <v>5.93</v>
      </c>
      <c r="E104" s="10">
        <v>3.84</v>
      </c>
      <c r="F104" s="10">
        <v>3.78</v>
      </c>
      <c r="G104" s="10">
        <f t="shared" si="11"/>
        <v>4.516666667</v>
      </c>
      <c r="H104" s="8" t="s">
        <v>263</v>
      </c>
      <c r="I104" s="12">
        <v>1.0</v>
      </c>
    </row>
    <row r="105" ht="14.25" customHeight="1">
      <c r="A105" s="32">
        <v>7.0</v>
      </c>
      <c r="B105" s="8" t="s">
        <v>391</v>
      </c>
      <c r="C105" s="8" t="s">
        <v>385</v>
      </c>
      <c r="D105" s="10">
        <v>4.62</v>
      </c>
      <c r="E105" s="10">
        <v>5.84</v>
      </c>
      <c r="F105" s="10">
        <v>4.67</v>
      </c>
      <c r="G105" s="10">
        <f t="shared" si="11"/>
        <v>5.043333333</v>
      </c>
      <c r="H105" s="8" t="s">
        <v>263</v>
      </c>
      <c r="I105" s="12">
        <v>1.0</v>
      </c>
    </row>
    <row r="106" ht="14.25" customHeight="1">
      <c r="A106" s="32">
        <v>8.0</v>
      </c>
      <c r="B106" s="8" t="s">
        <v>392</v>
      </c>
      <c r="C106" s="8" t="s">
        <v>385</v>
      </c>
      <c r="D106" s="10">
        <v>3.0</v>
      </c>
      <c r="E106" s="10">
        <v>1.53</v>
      </c>
      <c r="F106" s="10">
        <v>3.33</v>
      </c>
      <c r="G106" s="10">
        <f t="shared" si="11"/>
        <v>2.62</v>
      </c>
      <c r="H106" s="11" t="s">
        <v>17</v>
      </c>
      <c r="J106" s="12">
        <v>1.0</v>
      </c>
    </row>
    <row r="107" ht="14.25" customHeight="1">
      <c r="A107" s="32">
        <v>9.0</v>
      </c>
      <c r="B107" s="8" t="s">
        <v>393</v>
      </c>
      <c r="C107" s="8" t="s">
        <v>385</v>
      </c>
      <c r="D107" s="10">
        <v>5.03</v>
      </c>
      <c r="E107" s="10">
        <v>4.84</v>
      </c>
      <c r="F107" s="10">
        <v>5.06</v>
      </c>
      <c r="G107" s="10">
        <f t="shared" si="11"/>
        <v>4.976666667</v>
      </c>
      <c r="H107" s="8" t="s">
        <v>263</v>
      </c>
      <c r="I107" s="12">
        <v>1.0</v>
      </c>
    </row>
    <row r="108" ht="14.25" customHeight="1">
      <c r="A108" s="32">
        <v>10.0</v>
      </c>
      <c r="B108" s="8" t="s">
        <v>394</v>
      </c>
      <c r="C108" s="8" t="s">
        <v>385</v>
      </c>
      <c r="D108" s="10">
        <v>3.71</v>
      </c>
      <c r="E108" s="10">
        <v>3.38</v>
      </c>
      <c r="F108" s="10">
        <v>2.69</v>
      </c>
      <c r="G108" s="10">
        <f t="shared" si="11"/>
        <v>3.26</v>
      </c>
      <c r="H108" s="11" t="s">
        <v>17</v>
      </c>
      <c r="J108" s="12">
        <v>1.0</v>
      </c>
    </row>
    <row r="109" ht="14.25" customHeight="1">
      <c r="A109" s="32">
        <v>11.0</v>
      </c>
      <c r="B109" s="8" t="s">
        <v>395</v>
      </c>
      <c r="C109" s="8" t="s">
        <v>385</v>
      </c>
      <c r="D109" s="10">
        <v>2.76</v>
      </c>
      <c r="E109" s="10">
        <v>2.33</v>
      </c>
      <c r="F109" s="10" t="s">
        <v>324</v>
      </c>
      <c r="G109" s="10">
        <f>((D109+E109)/3)</f>
        <v>1.696666667</v>
      </c>
      <c r="H109" s="48" t="s">
        <v>353</v>
      </c>
      <c r="K109" s="12">
        <v>1.0</v>
      </c>
    </row>
    <row r="110" ht="14.25" customHeight="1">
      <c r="A110" s="32">
        <v>12.0</v>
      </c>
      <c r="B110" s="8" t="s">
        <v>396</v>
      </c>
      <c r="C110" s="8" t="s">
        <v>385</v>
      </c>
      <c r="D110" s="10">
        <v>1.93</v>
      </c>
      <c r="E110" s="10">
        <v>2.07</v>
      </c>
      <c r="F110" s="10">
        <v>1.73</v>
      </c>
      <c r="G110" s="10">
        <f t="shared" ref="G110:G122" si="12">((D110+E110+F110)/3)</f>
        <v>1.91</v>
      </c>
      <c r="H110" s="11" t="s">
        <v>17</v>
      </c>
      <c r="J110" s="12">
        <v>1.0</v>
      </c>
    </row>
    <row r="111" ht="14.25" customHeight="1">
      <c r="A111" s="32">
        <v>13.0</v>
      </c>
      <c r="B111" s="8" t="s">
        <v>60</v>
      </c>
      <c r="C111" s="8" t="s">
        <v>385</v>
      </c>
      <c r="D111" s="10">
        <v>3.5</v>
      </c>
      <c r="E111" s="10">
        <v>2.35</v>
      </c>
      <c r="F111" s="10">
        <v>2.53</v>
      </c>
      <c r="G111" s="10">
        <f t="shared" si="12"/>
        <v>2.793333333</v>
      </c>
      <c r="H111" s="11" t="s">
        <v>17</v>
      </c>
      <c r="J111" s="12">
        <v>1.0</v>
      </c>
    </row>
    <row r="112" ht="14.25" customHeight="1">
      <c r="A112" s="32">
        <v>14.0</v>
      </c>
      <c r="B112" s="8" t="s">
        <v>397</v>
      </c>
      <c r="C112" s="8" t="s">
        <v>385</v>
      </c>
      <c r="D112" s="10">
        <v>1.25</v>
      </c>
      <c r="E112" s="10">
        <v>2.84</v>
      </c>
      <c r="F112" s="10">
        <v>3.26</v>
      </c>
      <c r="G112" s="10">
        <f t="shared" si="12"/>
        <v>2.45</v>
      </c>
      <c r="H112" s="11" t="s">
        <v>17</v>
      </c>
      <c r="J112" s="12">
        <v>1.0</v>
      </c>
    </row>
    <row r="113" ht="14.25" customHeight="1">
      <c r="A113" s="32">
        <v>15.0</v>
      </c>
      <c r="B113" s="8" t="s">
        <v>398</v>
      </c>
      <c r="C113" s="8" t="s">
        <v>385</v>
      </c>
      <c r="D113" s="10">
        <v>2.53</v>
      </c>
      <c r="E113" s="10">
        <v>3.0</v>
      </c>
      <c r="F113" s="10">
        <v>1.64</v>
      </c>
      <c r="G113" s="10">
        <f t="shared" si="12"/>
        <v>2.39</v>
      </c>
      <c r="H113" s="11" t="s">
        <v>17</v>
      </c>
      <c r="J113" s="12">
        <v>1.0</v>
      </c>
    </row>
    <row r="114" ht="14.25" customHeight="1">
      <c r="A114" s="32">
        <v>16.0</v>
      </c>
      <c r="B114" s="8" t="s">
        <v>399</v>
      </c>
      <c r="C114" s="8" t="s">
        <v>385</v>
      </c>
      <c r="D114" s="10">
        <v>5.85</v>
      </c>
      <c r="E114" s="10">
        <v>6.46</v>
      </c>
      <c r="F114" s="10">
        <v>5.39</v>
      </c>
      <c r="G114" s="10">
        <f t="shared" si="12"/>
        <v>5.9</v>
      </c>
      <c r="H114" s="8" t="s">
        <v>263</v>
      </c>
      <c r="I114" s="12">
        <v>1.0</v>
      </c>
    </row>
    <row r="115" ht="14.25" customHeight="1">
      <c r="A115" s="32">
        <v>17.0</v>
      </c>
      <c r="B115" s="8" t="s">
        <v>400</v>
      </c>
      <c r="C115" s="8" t="s">
        <v>385</v>
      </c>
      <c r="D115" s="10">
        <v>6.78</v>
      </c>
      <c r="E115" s="10">
        <v>4.86</v>
      </c>
      <c r="F115" s="10">
        <v>4.54</v>
      </c>
      <c r="G115" s="10">
        <f t="shared" si="12"/>
        <v>5.393333333</v>
      </c>
      <c r="H115" s="8" t="s">
        <v>263</v>
      </c>
      <c r="I115" s="12">
        <v>1.0</v>
      </c>
    </row>
    <row r="116" ht="14.25" customHeight="1">
      <c r="A116" s="32">
        <v>18.0</v>
      </c>
      <c r="B116" s="8" t="s">
        <v>401</v>
      </c>
      <c r="C116" s="8" t="s">
        <v>385</v>
      </c>
      <c r="D116" s="10">
        <v>5.75</v>
      </c>
      <c r="E116" s="10">
        <v>3.13</v>
      </c>
      <c r="F116" s="10">
        <v>5.1</v>
      </c>
      <c r="G116" s="10">
        <f t="shared" si="12"/>
        <v>4.66</v>
      </c>
      <c r="H116" s="8" t="s">
        <v>263</v>
      </c>
      <c r="I116" s="12">
        <v>1.0</v>
      </c>
    </row>
    <row r="117" ht="14.25" customHeight="1">
      <c r="A117" s="32">
        <v>19.0</v>
      </c>
      <c r="B117" s="8" t="s">
        <v>402</v>
      </c>
      <c r="C117" s="8" t="s">
        <v>385</v>
      </c>
      <c r="D117" s="10">
        <v>4.07</v>
      </c>
      <c r="E117" s="10">
        <v>5.33</v>
      </c>
      <c r="F117" s="10">
        <v>4.07</v>
      </c>
      <c r="G117" s="10">
        <f t="shared" si="12"/>
        <v>4.49</v>
      </c>
      <c r="H117" s="11" t="s">
        <v>17</v>
      </c>
      <c r="J117" s="12">
        <v>1.0</v>
      </c>
    </row>
    <row r="118" ht="14.25" customHeight="1">
      <c r="A118" s="32">
        <v>20.0</v>
      </c>
      <c r="B118" s="8" t="s">
        <v>403</v>
      </c>
      <c r="C118" s="8" t="s">
        <v>385</v>
      </c>
      <c r="D118" s="10">
        <v>6.53</v>
      </c>
      <c r="E118" s="10">
        <v>6.53</v>
      </c>
      <c r="F118" s="10">
        <v>5.96</v>
      </c>
      <c r="G118" s="10">
        <f t="shared" si="12"/>
        <v>6.34</v>
      </c>
      <c r="H118" s="8" t="s">
        <v>263</v>
      </c>
      <c r="I118" s="12">
        <v>1.0</v>
      </c>
    </row>
    <row r="119" ht="14.25" customHeight="1">
      <c r="A119" s="32">
        <v>21.0</v>
      </c>
      <c r="B119" s="8" t="s">
        <v>404</v>
      </c>
      <c r="C119" s="8" t="s">
        <v>385</v>
      </c>
      <c r="D119" s="10">
        <v>3.0</v>
      </c>
      <c r="E119" s="10">
        <v>2.99</v>
      </c>
      <c r="F119" s="10">
        <v>4.05</v>
      </c>
      <c r="G119" s="10">
        <f t="shared" si="12"/>
        <v>3.346666667</v>
      </c>
      <c r="H119" s="11" t="s">
        <v>17</v>
      </c>
      <c r="J119" s="12">
        <v>1.0</v>
      </c>
    </row>
    <row r="120" ht="14.25" customHeight="1">
      <c r="A120" s="32">
        <v>22.0</v>
      </c>
      <c r="B120" s="8" t="s">
        <v>405</v>
      </c>
      <c r="C120" s="8" t="s">
        <v>385</v>
      </c>
      <c r="D120" s="10">
        <v>4.81</v>
      </c>
      <c r="E120" s="10">
        <v>3.79</v>
      </c>
      <c r="F120" s="10">
        <v>5.0</v>
      </c>
      <c r="G120" s="10">
        <f t="shared" si="12"/>
        <v>4.533333333</v>
      </c>
      <c r="H120" s="8" t="s">
        <v>263</v>
      </c>
      <c r="I120" s="12">
        <v>1.0</v>
      </c>
    </row>
    <row r="121" ht="14.25" customHeight="1">
      <c r="A121" s="32">
        <v>23.0</v>
      </c>
      <c r="B121" s="8" t="s">
        <v>406</v>
      </c>
      <c r="C121" s="8" t="s">
        <v>385</v>
      </c>
      <c r="D121" s="10">
        <v>2.35</v>
      </c>
      <c r="E121" s="10">
        <v>3.36</v>
      </c>
      <c r="F121" s="10">
        <v>1.67</v>
      </c>
      <c r="G121" s="10">
        <f t="shared" si="12"/>
        <v>2.46</v>
      </c>
      <c r="H121" s="11" t="s">
        <v>17</v>
      </c>
      <c r="J121" s="12">
        <v>1.0</v>
      </c>
    </row>
    <row r="122" ht="14.25" customHeight="1">
      <c r="A122" s="32">
        <v>24.0</v>
      </c>
      <c r="B122" s="17" t="s">
        <v>407</v>
      </c>
      <c r="C122" s="8" t="s">
        <v>385</v>
      </c>
      <c r="D122" s="10">
        <v>2.35</v>
      </c>
      <c r="E122" s="10">
        <v>1.56</v>
      </c>
      <c r="F122" s="10">
        <v>3.435</v>
      </c>
      <c r="G122" s="10">
        <f t="shared" si="12"/>
        <v>2.448333333</v>
      </c>
      <c r="H122" s="11" t="s">
        <v>17</v>
      </c>
      <c r="J122" s="12">
        <v>1.0</v>
      </c>
    </row>
    <row r="123" ht="14.25" customHeight="1">
      <c r="A123" s="49"/>
      <c r="B123" s="17"/>
      <c r="C123" s="8"/>
      <c r="D123" s="10"/>
      <c r="E123" s="10"/>
      <c r="F123" s="10"/>
      <c r="G123" s="10"/>
      <c r="H123" s="11"/>
      <c r="I123" s="1">
        <f t="shared" ref="I123:K123" si="13">SUM(I99:I122)</f>
        <v>12</v>
      </c>
      <c r="J123" s="1">
        <f t="shared" si="13"/>
        <v>11</v>
      </c>
      <c r="K123" s="1">
        <f t="shared" si="13"/>
        <v>1</v>
      </c>
    </row>
    <row r="124" ht="14.25" customHeight="1">
      <c r="A124" s="49"/>
      <c r="B124" s="17"/>
      <c r="C124" s="8"/>
      <c r="D124" s="10"/>
      <c r="E124" s="10"/>
      <c r="F124" s="10"/>
      <c r="G124" s="10"/>
      <c r="H124" s="11"/>
      <c r="I124" s="16">
        <f>I123/A122</f>
        <v>0.5</v>
      </c>
      <c r="J124" s="16">
        <f>J123/A122</f>
        <v>0.4583333333</v>
      </c>
      <c r="K124" s="16">
        <f>K123/A122</f>
        <v>0.04166666667</v>
      </c>
    </row>
    <row r="125" ht="14.25" customHeight="1">
      <c r="A125" s="49"/>
      <c r="B125" s="17"/>
      <c r="C125" s="8"/>
      <c r="D125" s="10"/>
      <c r="E125" s="10"/>
      <c r="F125" s="10"/>
      <c r="G125" s="10"/>
      <c r="H125" s="11"/>
    </row>
    <row r="126" ht="14.25" customHeight="1">
      <c r="A126" s="49">
        <v>1.0</v>
      </c>
      <c r="B126" s="42" t="s">
        <v>408</v>
      </c>
      <c r="C126" s="8" t="s">
        <v>409</v>
      </c>
      <c r="D126" s="10">
        <v>4.6</v>
      </c>
      <c r="E126" s="10">
        <v>4.71</v>
      </c>
      <c r="F126" s="10">
        <v>5.11</v>
      </c>
      <c r="G126" s="10">
        <f t="shared" ref="G126:G150" si="14">((D126+E126+F126)/3)</f>
        <v>4.806666667</v>
      </c>
      <c r="H126" s="8" t="s">
        <v>263</v>
      </c>
      <c r="I126" s="12">
        <v>1.0</v>
      </c>
    </row>
    <row r="127" ht="14.25" customHeight="1">
      <c r="A127" s="49">
        <v>2.0</v>
      </c>
      <c r="B127" s="42" t="s">
        <v>410</v>
      </c>
      <c r="C127" s="8" t="s">
        <v>409</v>
      </c>
      <c r="D127" s="10">
        <v>5.55</v>
      </c>
      <c r="E127" s="10">
        <v>6.48</v>
      </c>
      <c r="F127" s="10">
        <v>4.85</v>
      </c>
      <c r="G127" s="10">
        <f t="shared" si="14"/>
        <v>5.626666667</v>
      </c>
      <c r="H127" s="8" t="s">
        <v>263</v>
      </c>
      <c r="I127" s="12">
        <v>1.0</v>
      </c>
    </row>
    <row r="128" ht="14.25" customHeight="1">
      <c r="A128" s="49">
        <v>3.0</v>
      </c>
      <c r="B128" s="42" t="s">
        <v>411</v>
      </c>
      <c r="C128" s="8" t="s">
        <v>409</v>
      </c>
      <c r="D128" s="10">
        <v>3.96</v>
      </c>
      <c r="E128" s="10">
        <v>4.74</v>
      </c>
      <c r="F128" s="10">
        <v>5.11</v>
      </c>
      <c r="G128" s="10">
        <f t="shared" si="14"/>
        <v>4.603333333</v>
      </c>
      <c r="H128" s="8" t="s">
        <v>263</v>
      </c>
      <c r="I128" s="12">
        <v>1.0</v>
      </c>
    </row>
    <row r="129" ht="14.25" customHeight="1">
      <c r="A129" s="49">
        <v>4.0</v>
      </c>
      <c r="B129" s="42" t="s">
        <v>412</v>
      </c>
      <c r="C129" s="8" t="s">
        <v>409</v>
      </c>
      <c r="D129" s="10">
        <v>5.35</v>
      </c>
      <c r="E129" s="10">
        <v>5.66</v>
      </c>
      <c r="F129" s="10">
        <v>6.26</v>
      </c>
      <c r="G129" s="10">
        <f t="shared" si="14"/>
        <v>5.756666667</v>
      </c>
      <c r="H129" s="8" t="s">
        <v>263</v>
      </c>
      <c r="I129" s="12">
        <v>1.0</v>
      </c>
    </row>
    <row r="130" ht="14.25" customHeight="1">
      <c r="A130" s="49">
        <v>5.0</v>
      </c>
      <c r="B130" s="42" t="s">
        <v>413</v>
      </c>
      <c r="C130" s="8" t="s">
        <v>409</v>
      </c>
      <c r="D130" s="10">
        <v>4.46</v>
      </c>
      <c r="E130" s="10">
        <v>6.36</v>
      </c>
      <c r="F130" s="10">
        <v>7.96</v>
      </c>
      <c r="G130" s="10">
        <f t="shared" si="14"/>
        <v>6.26</v>
      </c>
      <c r="H130" s="8" t="s">
        <v>263</v>
      </c>
      <c r="I130" s="12">
        <v>1.0</v>
      </c>
    </row>
    <row r="131" ht="14.25" customHeight="1">
      <c r="A131" s="49">
        <v>6.0</v>
      </c>
      <c r="B131" s="42" t="s">
        <v>414</v>
      </c>
      <c r="C131" s="8" t="s">
        <v>409</v>
      </c>
      <c r="D131" s="10">
        <v>5.25</v>
      </c>
      <c r="E131" s="10">
        <v>4.6</v>
      </c>
      <c r="F131" s="10">
        <v>4.96</v>
      </c>
      <c r="G131" s="10">
        <f t="shared" si="14"/>
        <v>4.936666667</v>
      </c>
      <c r="H131" s="8" t="s">
        <v>263</v>
      </c>
      <c r="I131" s="12">
        <v>1.0</v>
      </c>
    </row>
    <row r="132" ht="14.25" customHeight="1">
      <c r="A132" s="49">
        <v>7.0</v>
      </c>
      <c r="B132" s="42" t="s">
        <v>415</v>
      </c>
      <c r="C132" s="8" t="s">
        <v>409</v>
      </c>
      <c r="D132" s="10">
        <v>3.98</v>
      </c>
      <c r="E132" s="10">
        <v>5.63</v>
      </c>
      <c r="F132" s="10">
        <v>6.2</v>
      </c>
      <c r="G132" s="10">
        <f t="shared" si="14"/>
        <v>5.27</v>
      </c>
      <c r="H132" s="8" t="s">
        <v>263</v>
      </c>
      <c r="I132" s="12">
        <v>1.0</v>
      </c>
    </row>
    <row r="133" ht="14.25" customHeight="1">
      <c r="A133" s="49">
        <v>8.0</v>
      </c>
      <c r="B133" s="42" t="s">
        <v>416</v>
      </c>
      <c r="C133" s="8" t="s">
        <v>409</v>
      </c>
      <c r="D133" s="10">
        <v>5.71</v>
      </c>
      <c r="E133" s="10">
        <v>6.13</v>
      </c>
      <c r="F133" s="10">
        <v>4.853</v>
      </c>
      <c r="G133" s="10">
        <f t="shared" si="14"/>
        <v>5.564333333</v>
      </c>
      <c r="H133" s="8" t="s">
        <v>263</v>
      </c>
      <c r="I133" s="12">
        <v>1.0</v>
      </c>
    </row>
    <row r="134" ht="14.25" customHeight="1">
      <c r="A134" s="49">
        <v>9.0</v>
      </c>
      <c r="B134" s="42" t="s">
        <v>417</v>
      </c>
      <c r="C134" s="8" t="s">
        <v>409</v>
      </c>
      <c r="D134" s="10">
        <v>2.07</v>
      </c>
      <c r="E134" s="10">
        <v>1.94</v>
      </c>
      <c r="F134" s="10">
        <v>3.0</v>
      </c>
      <c r="G134" s="10">
        <f t="shared" si="14"/>
        <v>2.336666667</v>
      </c>
      <c r="H134" s="11" t="s">
        <v>17</v>
      </c>
      <c r="J134" s="12">
        <v>1.0</v>
      </c>
    </row>
    <row r="135" ht="14.25" customHeight="1">
      <c r="A135" s="49">
        <v>10.0</v>
      </c>
      <c r="B135" s="42" t="s">
        <v>92</v>
      </c>
      <c r="C135" s="8" t="s">
        <v>409</v>
      </c>
      <c r="D135" s="10">
        <v>4.9</v>
      </c>
      <c r="E135" s="10">
        <v>6.4</v>
      </c>
      <c r="F135" s="10">
        <v>5.12</v>
      </c>
      <c r="G135" s="10">
        <f t="shared" si="14"/>
        <v>5.473333333</v>
      </c>
      <c r="H135" s="8" t="s">
        <v>263</v>
      </c>
      <c r="I135" s="12">
        <v>1.0</v>
      </c>
    </row>
    <row r="136" ht="14.25" customHeight="1">
      <c r="A136" s="49">
        <v>11.0</v>
      </c>
      <c r="B136" s="42" t="s">
        <v>418</v>
      </c>
      <c r="C136" s="8" t="s">
        <v>409</v>
      </c>
      <c r="D136" s="10">
        <v>7.39</v>
      </c>
      <c r="E136" s="10">
        <v>4.4</v>
      </c>
      <c r="F136" s="10">
        <v>4.92</v>
      </c>
      <c r="G136" s="10">
        <f t="shared" si="14"/>
        <v>5.57</v>
      </c>
      <c r="H136" s="8" t="s">
        <v>263</v>
      </c>
      <c r="I136" s="12">
        <v>1.0</v>
      </c>
    </row>
    <row r="137" ht="14.25" customHeight="1">
      <c r="A137" s="49">
        <v>12.0</v>
      </c>
      <c r="B137" s="42" t="s">
        <v>419</v>
      </c>
      <c r="C137" s="8" t="s">
        <v>409</v>
      </c>
      <c r="D137" s="10">
        <v>4.42</v>
      </c>
      <c r="E137" s="10">
        <v>5.2</v>
      </c>
      <c r="F137" s="10">
        <v>5.0</v>
      </c>
      <c r="G137" s="10">
        <f t="shared" si="14"/>
        <v>4.873333333</v>
      </c>
      <c r="H137" s="8" t="s">
        <v>263</v>
      </c>
      <c r="I137" s="12">
        <v>1.0</v>
      </c>
    </row>
    <row r="138" ht="14.25" customHeight="1">
      <c r="A138" s="49">
        <v>13.0</v>
      </c>
      <c r="B138" s="42" t="s">
        <v>420</v>
      </c>
      <c r="C138" s="8" t="s">
        <v>409</v>
      </c>
      <c r="D138" s="10">
        <v>5.25</v>
      </c>
      <c r="E138" s="10">
        <v>6.02</v>
      </c>
      <c r="F138" s="10">
        <v>7.5</v>
      </c>
      <c r="G138" s="10">
        <f t="shared" si="14"/>
        <v>6.256666667</v>
      </c>
      <c r="H138" s="8" t="s">
        <v>263</v>
      </c>
      <c r="I138" s="12">
        <v>1.0</v>
      </c>
    </row>
    <row r="139" ht="14.25" customHeight="1">
      <c r="A139" s="49">
        <v>14.0</v>
      </c>
      <c r="B139" s="42" t="s">
        <v>421</v>
      </c>
      <c r="C139" s="8" t="s">
        <v>409</v>
      </c>
      <c r="D139" s="10">
        <v>3.91</v>
      </c>
      <c r="E139" s="10">
        <v>4.96</v>
      </c>
      <c r="F139" s="10">
        <v>6.0</v>
      </c>
      <c r="G139" s="10">
        <f t="shared" si="14"/>
        <v>4.956666667</v>
      </c>
      <c r="H139" s="8" t="s">
        <v>263</v>
      </c>
      <c r="I139" s="12">
        <v>1.0</v>
      </c>
    </row>
    <row r="140" ht="14.25" customHeight="1">
      <c r="A140" s="49">
        <v>15.0</v>
      </c>
      <c r="B140" s="42" t="s">
        <v>422</v>
      </c>
      <c r="C140" s="8" t="s">
        <v>409</v>
      </c>
      <c r="D140" s="10">
        <v>6.5</v>
      </c>
      <c r="E140" s="10">
        <v>6.53</v>
      </c>
      <c r="F140" s="10">
        <v>6.06</v>
      </c>
      <c r="G140" s="10">
        <f t="shared" si="14"/>
        <v>6.363333333</v>
      </c>
      <c r="H140" s="8" t="s">
        <v>263</v>
      </c>
      <c r="I140" s="12">
        <v>1.0</v>
      </c>
    </row>
    <row r="141" ht="14.25" customHeight="1">
      <c r="A141" s="49">
        <v>16.0</v>
      </c>
      <c r="B141" s="42" t="s">
        <v>423</v>
      </c>
      <c r="C141" s="8" t="s">
        <v>409</v>
      </c>
      <c r="D141" s="10">
        <v>4.5</v>
      </c>
      <c r="E141" s="10">
        <v>4.69</v>
      </c>
      <c r="F141" s="10">
        <v>5.5</v>
      </c>
      <c r="G141" s="10">
        <f t="shared" si="14"/>
        <v>4.896666667</v>
      </c>
      <c r="H141" s="8" t="s">
        <v>263</v>
      </c>
      <c r="I141" s="12">
        <v>1.0</v>
      </c>
    </row>
    <row r="142" ht="14.25" customHeight="1">
      <c r="A142" s="49">
        <v>17.0</v>
      </c>
      <c r="B142" s="42" t="s">
        <v>424</v>
      </c>
      <c r="C142" s="8" t="s">
        <v>409</v>
      </c>
      <c r="D142" s="10">
        <v>2.53</v>
      </c>
      <c r="E142" s="10">
        <v>3.9</v>
      </c>
      <c r="F142" s="10">
        <v>4.53</v>
      </c>
      <c r="G142" s="10">
        <f t="shared" si="14"/>
        <v>3.653333333</v>
      </c>
      <c r="H142" s="11" t="s">
        <v>17</v>
      </c>
      <c r="J142" s="12">
        <v>1.0</v>
      </c>
    </row>
    <row r="143" ht="14.25" customHeight="1">
      <c r="A143" s="49">
        <v>18.0</v>
      </c>
      <c r="B143" s="42" t="s">
        <v>425</v>
      </c>
      <c r="C143" s="8" t="s">
        <v>409</v>
      </c>
      <c r="D143" s="10">
        <v>5.1</v>
      </c>
      <c r="E143" s="10">
        <v>4.03</v>
      </c>
      <c r="F143" s="10">
        <v>5.6</v>
      </c>
      <c r="G143" s="10">
        <f t="shared" si="14"/>
        <v>4.91</v>
      </c>
      <c r="H143" s="8" t="s">
        <v>263</v>
      </c>
      <c r="I143" s="12">
        <v>1.0</v>
      </c>
    </row>
    <row r="144" ht="14.25" customHeight="1">
      <c r="A144" s="49">
        <v>19.0</v>
      </c>
      <c r="B144" s="42" t="s">
        <v>426</v>
      </c>
      <c r="C144" s="8" t="s">
        <v>409</v>
      </c>
      <c r="D144" s="10">
        <v>5.55</v>
      </c>
      <c r="E144" s="10">
        <v>5.0</v>
      </c>
      <c r="F144" s="10">
        <v>6.0</v>
      </c>
      <c r="G144" s="10">
        <f t="shared" si="14"/>
        <v>5.516666667</v>
      </c>
      <c r="H144" s="8" t="s">
        <v>263</v>
      </c>
      <c r="I144" s="12">
        <v>1.0</v>
      </c>
    </row>
    <row r="145" ht="14.25" customHeight="1">
      <c r="A145" s="49">
        <v>20.0</v>
      </c>
      <c r="B145" s="42" t="s">
        <v>427</v>
      </c>
      <c r="C145" s="8" t="s">
        <v>409</v>
      </c>
      <c r="D145" s="10">
        <v>6.32</v>
      </c>
      <c r="E145" s="10">
        <v>5.23</v>
      </c>
      <c r="F145" s="10">
        <v>5.26</v>
      </c>
      <c r="G145" s="10">
        <f t="shared" si="14"/>
        <v>5.603333333</v>
      </c>
      <c r="H145" s="8" t="s">
        <v>263</v>
      </c>
      <c r="I145" s="12">
        <v>1.0</v>
      </c>
    </row>
    <row r="146" ht="14.25" customHeight="1">
      <c r="A146" s="49">
        <v>21.0</v>
      </c>
      <c r="B146" s="42" t="s">
        <v>428</v>
      </c>
      <c r="C146" s="8" t="s">
        <v>409</v>
      </c>
      <c r="D146" s="10">
        <v>1.67</v>
      </c>
      <c r="E146" s="10">
        <v>2.75</v>
      </c>
      <c r="F146" s="10">
        <v>2.01</v>
      </c>
      <c r="G146" s="10">
        <f t="shared" si="14"/>
        <v>2.143333333</v>
      </c>
      <c r="H146" s="11" t="s">
        <v>17</v>
      </c>
      <c r="J146" s="12">
        <v>1.0</v>
      </c>
    </row>
    <row r="147" ht="14.25" customHeight="1">
      <c r="A147" s="49">
        <v>22.0</v>
      </c>
      <c r="B147" s="42" t="s">
        <v>429</v>
      </c>
      <c r="C147" s="8" t="s">
        <v>409</v>
      </c>
      <c r="D147" s="10">
        <v>2.5</v>
      </c>
      <c r="E147" s="10">
        <v>3.34</v>
      </c>
      <c r="F147" s="10">
        <v>2.17</v>
      </c>
      <c r="G147" s="10">
        <f t="shared" si="14"/>
        <v>2.67</v>
      </c>
      <c r="H147" s="11" t="s">
        <v>17</v>
      </c>
      <c r="J147" s="12">
        <v>1.0</v>
      </c>
    </row>
    <row r="148" ht="14.25" customHeight="1">
      <c r="A148" s="49">
        <v>23.0</v>
      </c>
      <c r="B148" s="42" t="s">
        <v>430</v>
      </c>
      <c r="C148" s="8" t="s">
        <v>409</v>
      </c>
      <c r="D148" s="10">
        <v>4.67</v>
      </c>
      <c r="E148" s="10">
        <v>5.1</v>
      </c>
      <c r="F148" s="10">
        <v>4.13</v>
      </c>
      <c r="G148" s="10">
        <f t="shared" si="14"/>
        <v>4.633333333</v>
      </c>
      <c r="H148" s="8" t="s">
        <v>263</v>
      </c>
      <c r="I148" s="12">
        <v>1.0</v>
      </c>
    </row>
    <row r="149" ht="14.25" customHeight="1">
      <c r="A149" s="49">
        <v>24.0</v>
      </c>
      <c r="B149" s="42" t="s">
        <v>431</v>
      </c>
      <c r="C149" s="8" t="s">
        <v>409</v>
      </c>
      <c r="D149" s="10">
        <v>5.35</v>
      </c>
      <c r="E149" s="10">
        <v>6.06</v>
      </c>
      <c r="F149" s="10">
        <v>4.33</v>
      </c>
      <c r="G149" s="10">
        <f t="shared" si="14"/>
        <v>5.246666667</v>
      </c>
      <c r="H149" s="8" t="s">
        <v>263</v>
      </c>
      <c r="I149" s="12">
        <v>1.0</v>
      </c>
    </row>
    <row r="150" ht="14.25" customHeight="1">
      <c r="A150" s="49">
        <v>25.0</v>
      </c>
      <c r="B150" s="42" t="s">
        <v>432</v>
      </c>
      <c r="C150" s="8" t="s">
        <v>409</v>
      </c>
      <c r="D150" s="10">
        <v>3.76</v>
      </c>
      <c r="E150" s="10">
        <v>4.86</v>
      </c>
      <c r="F150" s="10">
        <v>5.7</v>
      </c>
      <c r="G150" s="10">
        <f t="shared" si="14"/>
        <v>4.773333333</v>
      </c>
      <c r="H150" s="8" t="s">
        <v>263</v>
      </c>
      <c r="I150" s="12">
        <v>1.0</v>
      </c>
    </row>
    <row r="151" ht="14.25" customHeight="1">
      <c r="A151" s="49">
        <v>26.0</v>
      </c>
      <c r="B151" s="42" t="s">
        <v>433</v>
      </c>
      <c r="C151" s="8" t="s">
        <v>409</v>
      </c>
      <c r="D151" s="10">
        <v>1.92</v>
      </c>
      <c r="E151" s="10">
        <v>1.03</v>
      </c>
      <c r="F151" s="10" t="s">
        <v>324</v>
      </c>
      <c r="G151" s="10">
        <f>((D151+E151)/3)</f>
        <v>0.9833333333</v>
      </c>
      <c r="H151" s="48" t="s">
        <v>353</v>
      </c>
      <c r="K151" s="12">
        <v>1.0</v>
      </c>
    </row>
    <row r="152" ht="14.25" customHeight="1">
      <c r="A152" s="49">
        <v>27.0</v>
      </c>
      <c r="B152" s="42" t="s">
        <v>434</v>
      </c>
      <c r="C152" s="8" t="s">
        <v>409</v>
      </c>
      <c r="D152" s="10">
        <v>3.0</v>
      </c>
      <c r="E152" s="10">
        <v>2.95</v>
      </c>
      <c r="F152" s="10">
        <v>2.75</v>
      </c>
      <c r="G152" s="10">
        <f t="shared" ref="G152:G158" si="15">((D152+E152+F152)/3)</f>
        <v>2.9</v>
      </c>
      <c r="H152" s="11" t="s">
        <v>17</v>
      </c>
      <c r="J152" s="12">
        <v>1.0</v>
      </c>
    </row>
    <row r="153" ht="14.25" customHeight="1">
      <c r="A153" s="49">
        <v>28.0</v>
      </c>
      <c r="B153" s="42" t="s">
        <v>435</v>
      </c>
      <c r="C153" s="8" t="s">
        <v>409</v>
      </c>
      <c r="D153" s="10">
        <v>4.25</v>
      </c>
      <c r="E153" s="10">
        <v>1.32</v>
      </c>
      <c r="F153" s="10">
        <v>3.25</v>
      </c>
      <c r="G153" s="10">
        <f t="shared" si="15"/>
        <v>2.94</v>
      </c>
      <c r="H153" s="11" t="s">
        <v>17</v>
      </c>
      <c r="J153" s="12">
        <v>1.0</v>
      </c>
    </row>
    <row r="154" ht="14.25" customHeight="1">
      <c r="A154" s="49">
        <v>29.0</v>
      </c>
      <c r="B154" s="42" t="s">
        <v>436</v>
      </c>
      <c r="C154" s="8" t="s">
        <v>409</v>
      </c>
      <c r="D154" s="10">
        <v>1.3</v>
      </c>
      <c r="E154" s="10">
        <v>3.01</v>
      </c>
      <c r="F154" s="10">
        <v>4.3</v>
      </c>
      <c r="G154" s="10">
        <f t="shared" si="15"/>
        <v>2.87</v>
      </c>
      <c r="H154" s="11" t="s">
        <v>17</v>
      </c>
      <c r="J154" s="12">
        <v>1.0</v>
      </c>
    </row>
    <row r="155" ht="14.25" customHeight="1">
      <c r="A155" s="49">
        <v>30.0</v>
      </c>
      <c r="B155" s="42" t="s">
        <v>437</v>
      </c>
      <c r="C155" s="8" t="s">
        <v>409</v>
      </c>
      <c r="D155" s="10">
        <v>3.75</v>
      </c>
      <c r="E155" s="10">
        <v>4.73</v>
      </c>
      <c r="F155" s="10">
        <v>3.66</v>
      </c>
      <c r="G155" s="10">
        <f t="shared" si="15"/>
        <v>4.046666667</v>
      </c>
      <c r="H155" s="11" t="s">
        <v>17</v>
      </c>
      <c r="J155" s="12">
        <v>1.0</v>
      </c>
    </row>
    <row r="156" ht="14.25" customHeight="1">
      <c r="A156" s="49">
        <v>31.0</v>
      </c>
      <c r="B156" s="42" t="s">
        <v>438</v>
      </c>
      <c r="C156" s="8" t="s">
        <v>409</v>
      </c>
      <c r="D156" s="10">
        <v>3.0</v>
      </c>
      <c r="E156" s="10">
        <v>2.97</v>
      </c>
      <c r="F156" s="10">
        <v>4.0</v>
      </c>
      <c r="G156" s="10">
        <f t="shared" si="15"/>
        <v>3.323333333</v>
      </c>
      <c r="H156" s="11" t="s">
        <v>17</v>
      </c>
      <c r="J156" s="12">
        <v>1.0</v>
      </c>
    </row>
    <row r="157" ht="14.25" customHeight="1">
      <c r="A157" s="49">
        <v>32.0</v>
      </c>
      <c r="B157" s="42" t="s">
        <v>439</v>
      </c>
      <c r="C157" s="8" t="s">
        <v>409</v>
      </c>
      <c r="D157" s="10">
        <v>2.97</v>
      </c>
      <c r="E157" s="10">
        <v>3.8</v>
      </c>
      <c r="F157" s="10">
        <v>3.13</v>
      </c>
      <c r="G157" s="10">
        <f t="shared" si="15"/>
        <v>3.3</v>
      </c>
      <c r="H157" s="11" t="s">
        <v>17</v>
      </c>
      <c r="J157" s="12">
        <v>1.0</v>
      </c>
    </row>
    <row r="158" ht="14.25" customHeight="1">
      <c r="A158" s="49">
        <v>33.0</v>
      </c>
      <c r="B158" s="42" t="s">
        <v>440</v>
      </c>
      <c r="C158" s="8" t="s">
        <v>409</v>
      </c>
      <c r="D158" s="10">
        <v>4.06</v>
      </c>
      <c r="E158" s="10">
        <v>3.72</v>
      </c>
      <c r="F158" s="10">
        <v>3.86</v>
      </c>
      <c r="G158" s="10">
        <f t="shared" si="15"/>
        <v>3.88</v>
      </c>
      <c r="H158" s="11" t="s">
        <v>17</v>
      </c>
      <c r="J158" s="12">
        <v>1.0</v>
      </c>
    </row>
    <row r="159" ht="14.25" customHeight="1">
      <c r="A159" s="49">
        <v>34.0</v>
      </c>
      <c r="B159" s="42" t="s">
        <v>441</v>
      </c>
      <c r="C159" s="8" t="s">
        <v>409</v>
      </c>
      <c r="D159" s="10">
        <v>3.1</v>
      </c>
      <c r="E159" s="10">
        <v>4.0</v>
      </c>
      <c r="F159" s="10" t="s">
        <v>324</v>
      </c>
      <c r="G159" s="10">
        <f>((D159+E159)/3)</f>
        <v>2.366666667</v>
      </c>
      <c r="H159" s="48" t="s">
        <v>353</v>
      </c>
      <c r="K159" s="12">
        <v>1.0</v>
      </c>
    </row>
    <row r="160" ht="14.25" customHeight="1">
      <c r="A160" s="49">
        <v>35.0</v>
      </c>
      <c r="B160" s="42" t="s">
        <v>442</v>
      </c>
      <c r="C160" s="8" t="s">
        <v>409</v>
      </c>
      <c r="D160" s="10">
        <v>3.0</v>
      </c>
      <c r="E160" s="10">
        <v>3.88</v>
      </c>
      <c r="F160" s="10">
        <v>4.0</v>
      </c>
      <c r="G160" s="10">
        <f t="shared" ref="G160:G176" si="16">((D160+E160+F160)/3)</f>
        <v>3.626666667</v>
      </c>
      <c r="H160" s="11" t="s">
        <v>17</v>
      </c>
      <c r="J160" s="12">
        <v>1.0</v>
      </c>
    </row>
    <row r="161" ht="14.25" customHeight="1">
      <c r="A161" s="49">
        <v>36.0</v>
      </c>
      <c r="B161" s="42" t="s">
        <v>443</v>
      </c>
      <c r="C161" s="8" t="s">
        <v>409</v>
      </c>
      <c r="D161" s="10">
        <v>4.0</v>
      </c>
      <c r="E161" s="10">
        <v>3.8</v>
      </c>
      <c r="F161" s="10">
        <v>2.32</v>
      </c>
      <c r="G161" s="10">
        <f t="shared" si="16"/>
        <v>3.373333333</v>
      </c>
      <c r="H161" s="11" t="s">
        <v>17</v>
      </c>
      <c r="J161" s="12">
        <v>1.0</v>
      </c>
    </row>
    <row r="162" ht="14.25" customHeight="1">
      <c r="A162" s="34">
        <v>37.0</v>
      </c>
      <c r="B162" s="42" t="s">
        <v>248</v>
      </c>
      <c r="C162" s="8" t="s">
        <v>409</v>
      </c>
      <c r="D162" s="10">
        <v>6.43</v>
      </c>
      <c r="E162" s="10">
        <v>6.34</v>
      </c>
      <c r="F162" s="10">
        <v>5.0</v>
      </c>
      <c r="G162" s="10">
        <f t="shared" si="16"/>
        <v>5.923333333</v>
      </c>
      <c r="H162" s="8" t="s">
        <v>263</v>
      </c>
      <c r="I162" s="12">
        <v>1.0</v>
      </c>
    </row>
    <row r="163" ht="14.25" customHeight="1">
      <c r="A163" s="34">
        <v>38.0</v>
      </c>
      <c r="B163" s="42" t="s">
        <v>444</v>
      </c>
      <c r="C163" s="8" t="s">
        <v>409</v>
      </c>
      <c r="D163" s="10">
        <v>3.93</v>
      </c>
      <c r="E163" s="10">
        <v>3.39</v>
      </c>
      <c r="F163" s="10">
        <v>2.93</v>
      </c>
      <c r="G163" s="10">
        <f t="shared" si="16"/>
        <v>3.416666667</v>
      </c>
      <c r="H163" s="11" t="s">
        <v>17</v>
      </c>
      <c r="J163" s="12">
        <v>1.0</v>
      </c>
    </row>
    <row r="164" ht="14.25" customHeight="1">
      <c r="A164" s="34">
        <v>39.0</v>
      </c>
      <c r="B164" s="42" t="s">
        <v>445</v>
      </c>
      <c r="C164" s="8" t="s">
        <v>409</v>
      </c>
      <c r="D164" s="10">
        <v>4.49</v>
      </c>
      <c r="E164" s="10">
        <v>6.97</v>
      </c>
      <c r="F164" s="10">
        <v>5.16</v>
      </c>
      <c r="G164" s="10">
        <f t="shared" si="16"/>
        <v>5.54</v>
      </c>
      <c r="H164" s="8" t="s">
        <v>263</v>
      </c>
      <c r="I164" s="12">
        <v>1.0</v>
      </c>
    </row>
    <row r="165" ht="14.25" customHeight="1">
      <c r="A165" s="34">
        <v>40.0</v>
      </c>
      <c r="B165" s="42" t="s">
        <v>446</v>
      </c>
      <c r="C165" s="8" t="s">
        <v>409</v>
      </c>
      <c r="D165" s="10">
        <v>7.16</v>
      </c>
      <c r="E165" s="10">
        <v>7.65</v>
      </c>
      <c r="F165" s="10">
        <v>6.13</v>
      </c>
      <c r="G165" s="10">
        <f t="shared" si="16"/>
        <v>6.98</v>
      </c>
      <c r="H165" s="8" t="s">
        <v>263</v>
      </c>
      <c r="I165" s="12">
        <v>1.0</v>
      </c>
    </row>
    <row r="166" ht="14.25" customHeight="1">
      <c r="A166" s="34">
        <v>41.0</v>
      </c>
      <c r="B166" s="42" t="s">
        <v>447</v>
      </c>
      <c r="C166" s="8" t="s">
        <v>409</v>
      </c>
      <c r="D166" s="10">
        <v>3.83</v>
      </c>
      <c r="E166" s="10">
        <v>4.38</v>
      </c>
      <c r="F166" s="10">
        <v>2.83</v>
      </c>
      <c r="G166" s="10">
        <f t="shared" si="16"/>
        <v>3.68</v>
      </c>
      <c r="H166" s="11" t="s">
        <v>17</v>
      </c>
      <c r="J166" s="12">
        <v>1.0</v>
      </c>
    </row>
    <row r="167" ht="14.25" customHeight="1">
      <c r="A167" s="34">
        <v>42.0</v>
      </c>
      <c r="B167" s="42" t="s">
        <v>448</v>
      </c>
      <c r="C167" s="8" t="s">
        <v>409</v>
      </c>
      <c r="D167" s="10">
        <v>4.13</v>
      </c>
      <c r="E167" s="10">
        <v>4.31</v>
      </c>
      <c r="F167" s="10">
        <v>5.0</v>
      </c>
      <c r="G167" s="10">
        <f t="shared" si="16"/>
        <v>4.48</v>
      </c>
      <c r="H167" s="11" t="s">
        <v>17</v>
      </c>
      <c r="J167" s="12">
        <v>1.0</v>
      </c>
    </row>
    <row r="168" ht="14.25" customHeight="1">
      <c r="A168" s="34">
        <v>43.0</v>
      </c>
      <c r="B168" s="42" t="s">
        <v>449</v>
      </c>
      <c r="C168" s="8" t="s">
        <v>409</v>
      </c>
      <c r="D168" s="10">
        <v>3.14</v>
      </c>
      <c r="E168" s="10">
        <v>2.14</v>
      </c>
      <c r="F168" s="10">
        <v>1.96</v>
      </c>
      <c r="G168" s="10">
        <f t="shared" si="16"/>
        <v>2.413333333</v>
      </c>
      <c r="H168" s="11" t="s">
        <v>17</v>
      </c>
      <c r="J168" s="12">
        <v>1.0</v>
      </c>
    </row>
    <row r="169" ht="14.25" customHeight="1">
      <c r="A169" s="34">
        <v>44.0</v>
      </c>
      <c r="B169" s="42" t="s">
        <v>450</v>
      </c>
      <c r="C169" s="8" t="s">
        <v>409</v>
      </c>
      <c r="D169" s="10">
        <v>1.33</v>
      </c>
      <c r="E169" s="10">
        <v>1.69</v>
      </c>
      <c r="F169" s="10">
        <v>3.43</v>
      </c>
      <c r="G169" s="10">
        <f t="shared" si="16"/>
        <v>2.15</v>
      </c>
      <c r="H169" s="11" t="s">
        <v>17</v>
      </c>
      <c r="J169" s="12">
        <v>1.0</v>
      </c>
    </row>
    <row r="170" ht="14.25" customHeight="1">
      <c r="A170" s="34">
        <v>45.0</v>
      </c>
      <c r="B170" s="42" t="s">
        <v>451</v>
      </c>
      <c r="C170" s="8" t="s">
        <v>409</v>
      </c>
      <c r="D170" s="10">
        <v>4.04</v>
      </c>
      <c r="E170" s="10">
        <v>2.4</v>
      </c>
      <c r="F170" s="10">
        <v>3.23</v>
      </c>
      <c r="G170" s="10">
        <f t="shared" si="16"/>
        <v>3.223333333</v>
      </c>
      <c r="H170" s="11" t="s">
        <v>17</v>
      </c>
      <c r="J170" s="12">
        <v>1.0</v>
      </c>
    </row>
    <row r="171" ht="14.25" customHeight="1">
      <c r="A171" s="34">
        <v>46.0</v>
      </c>
      <c r="B171" s="42" t="s">
        <v>452</v>
      </c>
      <c r="C171" s="8" t="s">
        <v>409</v>
      </c>
      <c r="D171" s="10">
        <v>3.25</v>
      </c>
      <c r="E171" s="10">
        <v>4.52</v>
      </c>
      <c r="F171" s="10">
        <v>2.96</v>
      </c>
      <c r="G171" s="10">
        <f t="shared" si="16"/>
        <v>3.576666667</v>
      </c>
      <c r="H171" s="11" t="s">
        <v>17</v>
      </c>
      <c r="J171" s="12">
        <v>1.0</v>
      </c>
    </row>
    <row r="172" ht="14.25" customHeight="1">
      <c r="A172" s="34">
        <v>47.0</v>
      </c>
      <c r="B172" s="42" t="s">
        <v>453</v>
      </c>
      <c r="C172" s="8" t="s">
        <v>409</v>
      </c>
      <c r="D172" s="10">
        <v>4.17</v>
      </c>
      <c r="E172" s="10">
        <v>4.71</v>
      </c>
      <c r="F172" s="10">
        <v>5.96</v>
      </c>
      <c r="G172" s="10">
        <f t="shared" si="16"/>
        <v>4.946666667</v>
      </c>
      <c r="H172" s="8" t="s">
        <v>263</v>
      </c>
      <c r="I172" s="12">
        <v>1.0</v>
      </c>
    </row>
    <row r="173" ht="14.25" customHeight="1">
      <c r="A173" s="34">
        <v>48.0</v>
      </c>
      <c r="B173" s="42" t="s">
        <v>454</v>
      </c>
      <c r="C173" s="8" t="s">
        <v>409</v>
      </c>
      <c r="D173" s="10">
        <v>6.65</v>
      </c>
      <c r="E173" s="10">
        <v>5.95</v>
      </c>
      <c r="F173" s="10">
        <v>7.4</v>
      </c>
      <c r="G173" s="10">
        <f t="shared" si="16"/>
        <v>6.666666667</v>
      </c>
      <c r="H173" s="8" t="s">
        <v>263</v>
      </c>
      <c r="I173" s="12">
        <v>1.0</v>
      </c>
    </row>
    <row r="174" ht="14.25" customHeight="1">
      <c r="A174" s="34">
        <v>49.0</v>
      </c>
      <c r="B174" s="42" t="s">
        <v>455</v>
      </c>
      <c r="C174" s="8" t="s">
        <v>409</v>
      </c>
      <c r="D174" s="10">
        <v>4.16</v>
      </c>
      <c r="E174" s="10">
        <v>6.61</v>
      </c>
      <c r="F174" s="10">
        <v>5.0</v>
      </c>
      <c r="G174" s="10">
        <f t="shared" si="16"/>
        <v>5.256666667</v>
      </c>
      <c r="H174" s="8" t="s">
        <v>263</v>
      </c>
      <c r="I174" s="12">
        <v>1.0</v>
      </c>
    </row>
    <row r="175" ht="14.25" customHeight="1">
      <c r="A175" s="34">
        <v>50.0</v>
      </c>
      <c r="B175" s="42" t="s">
        <v>456</v>
      </c>
      <c r="C175" s="8" t="s">
        <v>409</v>
      </c>
      <c r="D175" s="10">
        <v>6.47</v>
      </c>
      <c r="E175" s="10">
        <v>6.47</v>
      </c>
      <c r="F175" s="10">
        <v>6.25</v>
      </c>
      <c r="G175" s="10">
        <f t="shared" si="16"/>
        <v>6.396666667</v>
      </c>
      <c r="H175" s="8" t="s">
        <v>263</v>
      </c>
      <c r="I175" s="12">
        <v>1.0</v>
      </c>
    </row>
    <row r="176" ht="14.25" customHeight="1">
      <c r="A176" s="34">
        <v>51.0</v>
      </c>
      <c r="B176" s="42" t="s">
        <v>457</v>
      </c>
      <c r="C176" s="8" t="s">
        <v>409</v>
      </c>
      <c r="D176" s="10">
        <v>5.25</v>
      </c>
      <c r="E176" s="10">
        <v>6.29</v>
      </c>
      <c r="F176" s="10">
        <v>4.86</v>
      </c>
      <c r="G176" s="10">
        <f t="shared" si="16"/>
        <v>5.466666667</v>
      </c>
      <c r="H176" s="8" t="s">
        <v>263</v>
      </c>
      <c r="I176" s="12">
        <v>1.0</v>
      </c>
    </row>
    <row r="177" ht="14.25" customHeight="1">
      <c r="A177" s="22"/>
      <c r="B177" s="22"/>
      <c r="C177" s="22"/>
      <c r="D177" s="22"/>
      <c r="E177" s="22"/>
      <c r="F177" s="22"/>
      <c r="G177" s="22"/>
      <c r="H177" s="22"/>
      <c r="I177" s="1">
        <f t="shared" ref="I177:K177" si="17">SUM(I126:I176)</f>
        <v>29</v>
      </c>
      <c r="J177" s="1">
        <f t="shared" si="17"/>
        <v>20</v>
      </c>
      <c r="K177" s="1">
        <f t="shared" si="17"/>
        <v>2</v>
      </c>
    </row>
    <row r="178" ht="14.25" customHeight="1">
      <c r="A178" s="22"/>
      <c r="B178" s="22"/>
      <c r="C178" s="22"/>
      <c r="D178" s="22"/>
      <c r="E178" s="22"/>
      <c r="F178" s="22"/>
      <c r="G178" s="22"/>
      <c r="H178" s="22"/>
      <c r="I178" s="16">
        <f>I177/A176</f>
        <v>0.568627451</v>
      </c>
      <c r="J178" s="16">
        <f>J177/A176</f>
        <v>0.3921568627</v>
      </c>
      <c r="K178" s="16">
        <f>K177/A176</f>
        <v>0.03921568627</v>
      </c>
    </row>
    <row r="179" ht="14.25" customHeight="1">
      <c r="A179" s="22"/>
      <c r="B179" s="22"/>
      <c r="C179" s="22"/>
      <c r="D179" s="22"/>
      <c r="E179" s="22"/>
      <c r="F179" s="22"/>
      <c r="G179" s="22"/>
      <c r="H179" s="22"/>
    </row>
    <row r="180" ht="14.25" customHeight="1">
      <c r="A180" s="49">
        <v>1.0</v>
      </c>
      <c r="B180" s="42" t="s">
        <v>458</v>
      </c>
      <c r="C180" s="8" t="s">
        <v>459</v>
      </c>
      <c r="D180" s="10">
        <v>5.1</v>
      </c>
      <c r="E180" s="10">
        <v>4.32</v>
      </c>
      <c r="F180" s="10">
        <v>6.25</v>
      </c>
      <c r="G180" s="10">
        <f t="shared" ref="G180:G210" si="18">((D180+E180+F180)/3)</f>
        <v>5.223333333</v>
      </c>
      <c r="H180" s="8" t="s">
        <v>263</v>
      </c>
      <c r="I180" s="12">
        <v>1.0</v>
      </c>
    </row>
    <row r="181" ht="14.25" customHeight="1">
      <c r="A181" s="49">
        <v>2.0</v>
      </c>
      <c r="B181" s="42" t="s">
        <v>460</v>
      </c>
      <c r="C181" s="8" t="s">
        <v>459</v>
      </c>
      <c r="D181" s="10">
        <v>7.75</v>
      </c>
      <c r="E181" s="10">
        <v>5.14</v>
      </c>
      <c r="F181" s="10">
        <v>5.17</v>
      </c>
      <c r="G181" s="10">
        <f t="shared" si="18"/>
        <v>6.02</v>
      </c>
      <c r="H181" s="8" t="s">
        <v>263</v>
      </c>
      <c r="I181" s="12">
        <v>1.0</v>
      </c>
    </row>
    <row r="182" ht="14.25" customHeight="1">
      <c r="A182" s="49">
        <v>3.0</v>
      </c>
      <c r="B182" s="42" t="s">
        <v>461</v>
      </c>
      <c r="C182" s="8" t="s">
        <v>459</v>
      </c>
      <c r="D182" s="10">
        <v>4.5</v>
      </c>
      <c r="E182" s="10">
        <v>6.89</v>
      </c>
      <c r="F182" s="10">
        <v>4.67</v>
      </c>
      <c r="G182" s="10">
        <f t="shared" si="18"/>
        <v>5.353333333</v>
      </c>
      <c r="H182" s="8" t="s">
        <v>263</v>
      </c>
      <c r="I182" s="12">
        <v>1.0</v>
      </c>
    </row>
    <row r="183" ht="14.25" customHeight="1">
      <c r="A183" s="49">
        <v>4.0</v>
      </c>
      <c r="B183" s="42" t="s">
        <v>462</v>
      </c>
      <c r="C183" s="8" t="s">
        <v>459</v>
      </c>
      <c r="D183" s="10">
        <v>6.39</v>
      </c>
      <c r="E183" s="10">
        <v>4.5</v>
      </c>
      <c r="F183" s="10">
        <v>5.88</v>
      </c>
      <c r="G183" s="10">
        <f t="shared" si="18"/>
        <v>5.59</v>
      </c>
      <c r="H183" s="8" t="s">
        <v>263</v>
      </c>
      <c r="I183" s="12">
        <v>1.0</v>
      </c>
    </row>
    <row r="184" ht="14.25" customHeight="1">
      <c r="A184" s="49">
        <v>5.0</v>
      </c>
      <c r="B184" s="42" t="s">
        <v>463</v>
      </c>
      <c r="C184" s="8" t="s">
        <v>459</v>
      </c>
      <c r="D184" s="10">
        <v>3.95</v>
      </c>
      <c r="E184" s="10">
        <v>5.32</v>
      </c>
      <c r="F184" s="10">
        <v>4.14</v>
      </c>
      <c r="G184" s="10">
        <f t="shared" si="18"/>
        <v>4.47</v>
      </c>
      <c r="H184" s="11" t="s">
        <v>17</v>
      </c>
      <c r="J184" s="12">
        <v>1.0</v>
      </c>
    </row>
    <row r="185" ht="14.25" customHeight="1">
      <c r="A185" s="49">
        <v>6.0</v>
      </c>
      <c r="B185" s="42" t="s">
        <v>464</v>
      </c>
      <c r="C185" s="8" t="s">
        <v>459</v>
      </c>
      <c r="D185" s="10">
        <v>2.5</v>
      </c>
      <c r="E185" s="10">
        <v>1.2</v>
      </c>
      <c r="F185" s="10">
        <v>1.64</v>
      </c>
      <c r="G185" s="10">
        <f t="shared" si="18"/>
        <v>1.78</v>
      </c>
      <c r="H185" s="11" t="s">
        <v>17</v>
      </c>
      <c r="J185" s="12">
        <v>1.0</v>
      </c>
    </row>
    <row r="186" ht="14.25" customHeight="1">
      <c r="A186" s="49">
        <v>7.0</v>
      </c>
      <c r="B186" s="42" t="s">
        <v>465</v>
      </c>
      <c r="C186" s="8" t="s">
        <v>459</v>
      </c>
      <c r="D186" s="10">
        <v>3.46</v>
      </c>
      <c r="E186" s="10">
        <v>2.6</v>
      </c>
      <c r="F186" s="10">
        <v>2.0</v>
      </c>
      <c r="G186" s="10">
        <f t="shared" si="18"/>
        <v>2.686666667</v>
      </c>
      <c r="H186" s="11" t="s">
        <v>17</v>
      </c>
      <c r="J186" s="12">
        <v>1.0</v>
      </c>
    </row>
    <row r="187" ht="14.25" customHeight="1">
      <c r="A187" s="49">
        <v>8.0</v>
      </c>
      <c r="B187" s="42" t="s">
        <v>466</v>
      </c>
      <c r="C187" s="8" t="s">
        <v>459</v>
      </c>
      <c r="D187" s="10">
        <v>5.0</v>
      </c>
      <c r="E187" s="10">
        <v>5.57</v>
      </c>
      <c r="F187" s="10">
        <v>4.67</v>
      </c>
      <c r="G187" s="10">
        <f t="shared" si="18"/>
        <v>5.08</v>
      </c>
      <c r="H187" s="8" t="s">
        <v>263</v>
      </c>
      <c r="I187" s="12">
        <v>1.0</v>
      </c>
    </row>
    <row r="188" ht="14.25" customHeight="1">
      <c r="A188" s="49">
        <v>9.0</v>
      </c>
      <c r="B188" s="42" t="s">
        <v>467</v>
      </c>
      <c r="C188" s="8" t="s">
        <v>459</v>
      </c>
      <c r="D188" s="10">
        <v>4.46</v>
      </c>
      <c r="E188" s="10">
        <v>4.03</v>
      </c>
      <c r="F188" s="10">
        <v>6.78</v>
      </c>
      <c r="G188" s="10">
        <f t="shared" si="18"/>
        <v>5.09</v>
      </c>
      <c r="H188" s="8" t="s">
        <v>263</v>
      </c>
      <c r="I188" s="12">
        <v>1.0</v>
      </c>
    </row>
    <row r="189" ht="14.25" customHeight="1">
      <c r="A189" s="49">
        <v>10.0</v>
      </c>
      <c r="B189" s="42" t="s">
        <v>468</v>
      </c>
      <c r="C189" s="8" t="s">
        <v>459</v>
      </c>
      <c r="D189" s="10">
        <v>2.78</v>
      </c>
      <c r="E189" s="10">
        <v>1.0</v>
      </c>
      <c r="F189" s="10">
        <v>3.92</v>
      </c>
      <c r="G189" s="10">
        <f t="shared" si="18"/>
        <v>2.566666667</v>
      </c>
      <c r="H189" s="11" t="s">
        <v>17</v>
      </c>
      <c r="J189" s="12">
        <v>1.0</v>
      </c>
    </row>
    <row r="190" ht="14.25" customHeight="1">
      <c r="A190" s="49">
        <v>11.0</v>
      </c>
      <c r="B190" s="42" t="s">
        <v>469</v>
      </c>
      <c r="C190" s="8" t="s">
        <v>459</v>
      </c>
      <c r="D190" s="10">
        <v>3.64</v>
      </c>
      <c r="E190" s="10">
        <v>2.07</v>
      </c>
      <c r="F190" s="10">
        <v>2.68</v>
      </c>
      <c r="G190" s="10">
        <f t="shared" si="18"/>
        <v>2.796666667</v>
      </c>
      <c r="H190" s="11" t="s">
        <v>17</v>
      </c>
      <c r="J190" s="12">
        <v>1.0</v>
      </c>
    </row>
    <row r="191" ht="14.25" customHeight="1">
      <c r="A191" s="49">
        <v>12.0</v>
      </c>
      <c r="B191" s="42" t="s">
        <v>470</v>
      </c>
      <c r="C191" s="8" t="s">
        <v>459</v>
      </c>
      <c r="D191" s="10">
        <v>1.57</v>
      </c>
      <c r="E191" s="10">
        <v>3.64</v>
      </c>
      <c r="F191" s="10">
        <v>2.07</v>
      </c>
      <c r="G191" s="10">
        <f t="shared" si="18"/>
        <v>2.426666667</v>
      </c>
      <c r="H191" s="11" t="s">
        <v>17</v>
      </c>
      <c r="J191" s="12">
        <v>1.0</v>
      </c>
    </row>
    <row r="192" ht="14.25" customHeight="1">
      <c r="A192" s="49">
        <v>13.0</v>
      </c>
      <c r="B192" s="42" t="s">
        <v>471</v>
      </c>
      <c r="C192" s="8" t="s">
        <v>459</v>
      </c>
      <c r="D192" s="10">
        <v>3.25</v>
      </c>
      <c r="E192" s="10">
        <v>3.28</v>
      </c>
      <c r="F192" s="10">
        <v>4.0</v>
      </c>
      <c r="G192" s="10">
        <f t="shared" si="18"/>
        <v>3.51</v>
      </c>
      <c r="H192" s="11" t="s">
        <v>17</v>
      </c>
      <c r="J192" s="12">
        <v>1.0</v>
      </c>
    </row>
    <row r="193" ht="14.25" customHeight="1">
      <c r="A193" s="49">
        <v>14.0</v>
      </c>
      <c r="B193" s="42" t="s">
        <v>472</v>
      </c>
      <c r="C193" s="8" t="s">
        <v>459</v>
      </c>
      <c r="D193" s="10">
        <v>5.6</v>
      </c>
      <c r="E193" s="10">
        <v>4.0</v>
      </c>
      <c r="F193" s="10">
        <v>4.34</v>
      </c>
      <c r="G193" s="10">
        <f t="shared" si="18"/>
        <v>4.646666667</v>
      </c>
      <c r="H193" s="8" t="s">
        <v>263</v>
      </c>
      <c r="I193" s="12">
        <v>1.0</v>
      </c>
    </row>
    <row r="194" ht="14.25" customHeight="1">
      <c r="A194" s="49">
        <v>15.0</v>
      </c>
      <c r="B194" s="42" t="s">
        <v>473</v>
      </c>
      <c r="C194" s="8" t="s">
        <v>459</v>
      </c>
      <c r="D194" s="10">
        <v>3.85</v>
      </c>
      <c r="E194" s="10">
        <v>5.89</v>
      </c>
      <c r="F194" s="10">
        <v>5.91</v>
      </c>
      <c r="G194" s="10">
        <f t="shared" si="18"/>
        <v>5.216666667</v>
      </c>
      <c r="H194" s="8" t="s">
        <v>263</v>
      </c>
      <c r="I194" s="12">
        <v>1.0</v>
      </c>
    </row>
    <row r="195" ht="14.25" customHeight="1">
      <c r="A195" s="49">
        <v>16.0</v>
      </c>
      <c r="B195" s="42" t="s">
        <v>474</v>
      </c>
      <c r="C195" s="8" t="s">
        <v>459</v>
      </c>
      <c r="D195" s="10">
        <v>2.53</v>
      </c>
      <c r="E195" s="10">
        <v>2.82</v>
      </c>
      <c r="F195" s="10">
        <v>1.74</v>
      </c>
      <c r="G195" s="10">
        <f t="shared" si="18"/>
        <v>2.363333333</v>
      </c>
      <c r="H195" s="11" t="s">
        <v>17</v>
      </c>
      <c r="J195" s="12">
        <v>1.0</v>
      </c>
    </row>
    <row r="196" ht="14.25" customHeight="1">
      <c r="A196" s="49">
        <v>17.0</v>
      </c>
      <c r="B196" s="42" t="s">
        <v>475</v>
      </c>
      <c r="C196" s="8" t="s">
        <v>459</v>
      </c>
      <c r="D196" s="10">
        <v>4.5</v>
      </c>
      <c r="E196" s="10">
        <v>5.0</v>
      </c>
      <c r="F196" s="10">
        <v>6.07</v>
      </c>
      <c r="G196" s="10">
        <f t="shared" si="18"/>
        <v>5.19</v>
      </c>
      <c r="H196" s="8" t="s">
        <v>263</v>
      </c>
      <c r="I196" s="12">
        <v>1.0</v>
      </c>
    </row>
    <row r="197" ht="14.25" customHeight="1">
      <c r="A197" s="49">
        <v>18.0</v>
      </c>
      <c r="B197" s="42" t="s">
        <v>476</v>
      </c>
      <c r="C197" s="8" t="s">
        <v>459</v>
      </c>
      <c r="D197" s="10">
        <v>6.65</v>
      </c>
      <c r="E197" s="10">
        <v>6.95</v>
      </c>
      <c r="F197" s="10">
        <v>7.4</v>
      </c>
      <c r="G197" s="10">
        <f t="shared" si="18"/>
        <v>7</v>
      </c>
      <c r="H197" s="8" t="s">
        <v>263</v>
      </c>
      <c r="I197" s="12">
        <v>1.0</v>
      </c>
    </row>
    <row r="198" ht="14.25" customHeight="1">
      <c r="A198" s="49">
        <v>19.0</v>
      </c>
      <c r="B198" s="42" t="s">
        <v>477</v>
      </c>
      <c r="C198" s="8" t="s">
        <v>459</v>
      </c>
      <c r="D198" s="10">
        <v>3.86</v>
      </c>
      <c r="E198" s="10">
        <v>4.71</v>
      </c>
      <c r="F198" s="10">
        <v>5.0</v>
      </c>
      <c r="G198" s="10">
        <f t="shared" si="18"/>
        <v>4.523333333</v>
      </c>
      <c r="H198" s="8" t="s">
        <v>263</v>
      </c>
      <c r="I198" s="12">
        <v>1.0</v>
      </c>
    </row>
    <row r="199" ht="14.25" customHeight="1">
      <c r="A199" s="49">
        <v>20.0</v>
      </c>
      <c r="B199" s="42" t="s">
        <v>478</v>
      </c>
      <c r="C199" s="8" t="s">
        <v>459</v>
      </c>
      <c r="D199" s="10">
        <v>5.47</v>
      </c>
      <c r="E199" s="10">
        <v>5.7</v>
      </c>
      <c r="F199" s="10">
        <v>6.0</v>
      </c>
      <c r="G199" s="10">
        <f t="shared" si="18"/>
        <v>5.723333333</v>
      </c>
      <c r="H199" s="8" t="s">
        <v>263</v>
      </c>
      <c r="I199" s="12">
        <v>1.0</v>
      </c>
    </row>
    <row r="200" ht="14.25" customHeight="1">
      <c r="A200" s="49">
        <v>21.0</v>
      </c>
      <c r="B200" s="42" t="s">
        <v>479</v>
      </c>
      <c r="C200" s="8" t="s">
        <v>459</v>
      </c>
      <c r="D200" s="10">
        <v>3.25</v>
      </c>
      <c r="E200" s="10">
        <v>4.89</v>
      </c>
      <c r="F200" s="10">
        <v>5.75</v>
      </c>
      <c r="G200" s="10">
        <f t="shared" si="18"/>
        <v>4.63</v>
      </c>
      <c r="H200" s="8" t="s">
        <v>263</v>
      </c>
      <c r="I200" s="12">
        <v>1.0</v>
      </c>
    </row>
    <row r="201" ht="14.25" customHeight="1">
      <c r="A201" s="49">
        <v>22.0</v>
      </c>
      <c r="B201" s="42" t="s">
        <v>480</v>
      </c>
      <c r="C201" s="8" t="s">
        <v>459</v>
      </c>
      <c r="D201" s="10">
        <v>5.61</v>
      </c>
      <c r="E201" s="10">
        <v>3.25</v>
      </c>
      <c r="F201" s="10">
        <v>5.02</v>
      </c>
      <c r="G201" s="10">
        <f t="shared" si="18"/>
        <v>4.626666667</v>
      </c>
      <c r="H201" s="8" t="s">
        <v>263</v>
      </c>
      <c r="I201" s="12">
        <v>1.0</v>
      </c>
    </row>
    <row r="202" ht="14.25" customHeight="1">
      <c r="A202" s="49">
        <v>23.0</v>
      </c>
      <c r="B202" s="42" t="s">
        <v>481</v>
      </c>
      <c r="C202" s="8" t="s">
        <v>459</v>
      </c>
      <c r="D202" s="10">
        <v>4.65</v>
      </c>
      <c r="E202" s="10">
        <v>5.71</v>
      </c>
      <c r="F202" s="10">
        <v>4.13</v>
      </c>
      <c r="G202" s="10">
        <f t="shared" si="18"/>
        <v>4.83</v>
      </c>
      <c r="H202" s="8" t="s">
        <v>263</v>
      </c>
      <c r="I202" s="12">
        <v>1.0</v>
      </c>
    </row>
    <row r="203" ht="14.25" customHeight="1">
      <c r="A203" s="49">
        <v>24.0</v>
      </c>
      <c r="B203" s="42" t="s">
        <v>482</v>
      </c>
      <c r="C203" s="8" t="s">
        <v>459</v>
      </c>
      <c r="D203" s="10">
        <v>6.19</v>
      </c>
      <c r="E203" s="10">
        <v>4.14</v>
      </c>
      <c r="F203" s="10">
        <v>5.18</v>
      </c>
      <c r="G203" s="10">
        <f t="shared" si="18"/>
        <v>5.17</v>
      </c>
      <c r="H203" s="8" t="s">
        <v>263</v>
      </c>
      <c r="I203" s="12">
        <v>1.0</v>
      </c>
    </row>
    <row r="204" ht="14.25" customHeight="1">
      <c r="A204" s="49">
        <v>25.0</v>
      </c>
      <c r="B204" s="42" t="s">
        <v>37</v>
      </c>
      <c r="C204" s="8" t="s">
        <v>459</v>
      </c>
      <c r="D204" s="10">
        <v>6.03</v>
      </c>
      <c r="E204" s="10">
        <v>6.64</v>
      </c>
      <c r="F204" s="10">
        <v>6.72</v>
      </c>
      <c r="G204" s="10">
        <f t="shared" si="18"/>
        <v>6.463333333</v>
      </c>
      <c r="H204" s="8" t="s">
        <v>263</v>
      </c>
      <c r="I204" s="12">
        <v>1.0</v>
      </c>
    </row>
    <row r="205" ht="14.25" customHeight="1">
      <c r="A205" s="49">
        <v>26.0</v>
      </c>
      <c r="B205" s="42" t="s">
        <v>483</v>
      </c>
      <c r="C205" s="8" t="s">
        <v>459</v>
      </c>
      <c r="D205" s="10">
        <v>5.96</v>
      </c>
      <c r="E205" s="10">
        <v>7.92</v>
      </c>
      <c r="F205" s="10">
        <v>5.97</v>
      </c>
      <c r="G205" s="10">
        <f t="shared" si="18"/>
        <v>6.616666667</v>
      </c>
      <c r="H205" s="8" t="s">
        <v>263</v>
      </c>
      <c r="I205" s="12">
        <v>1.0</v>
      </c>
    </row>
    <row r="206" ht="14.25" customHeight="1">
      <c r="A206" s="49">
        <v>27.0</v>
      </c>
      <c r="B206" s="42" t="s">
        <v>484</v>
      </c>
      <c r="C206" s="8" t="s">
        <v>459</v>
      </c>
      <c r="D206" s="10">
        <v>2.69</v>
      </c>
      <c r="E206" s="10">
        <v>3.28</v>
      </c>
      <c r="F206" s="10">
        <v>3.0</v>
      </c>
      <c r="G206" s="10">
        <f t="shared" si="18"/>
        <v>2.99</v>
      </c>
      <c r="H206" s="11" t="s">
        <v>17</v>
      </c>
      <c r="J206" s="12">
        <v>1.0</v>
      </c>
    </row>
    <row r="207" ht="14.25" customHeight="1">
      <c r="A207" s="49">
        <v>28.0</v>
      </c>
      <c r="B207" s="42" t="s">
        <v>485</v>
      </c>
      <c r="C207" s="8" t="s">
        <v>459</v>
      </c>
      <c r="D207" s="10">
        <v>4.92</v>
      </c>
      <c r="E207" s="10">
        <v>5.57</v>
      </c>
      <c r="F207" s="10">
        <v>6.67</v>
      </c>
      <c r="G207" s="10">
        <f t="shared" si="18"/>
        <v>5.72</v>
      </c>
      <c r="H207" s="8" t="s">
        <v>263</v>
      </c>
      <c r="I207" s="12">
        <v>1.0</v>
      </c>
    </row>
    <row r="208" ht="14.25" customHeight="1">
      <c r="A208" s="49">
        <v>29.0</v>
      </c>
      <c r="B208" s="42" t="s">
        <v>486</v>
      </c>
      <c r="C208" s="8" t="s">
        <v>459</v>
      </c>
      <c r="D208" s="10">
        <v>3.61</v>
      </c>
      <c r="E208" s="10">
        <v>2.0</v>
      </c>
      <c r="F208" s="10">
        <v>2.45</v>
      </c>
      <c r="G208" s="10">
        <f t="shared" si="18"/>
        <v>2.686666667</v>
      </c>
      <c r="H208" s="11" t="s">
        <v>17</v>
      </c>
      <c r="J208" s="12">
        <v>1.0</v>
      </c>
    </row>
    <row r="209" ht="14.25" customHeight="1">
      <c r="A209" s="49">
        <v>30.0</v>
      </c>
      <c r="B209" s="42" t="s">
        <v>487</v>
      </c>
      <c r="C209" s="8" t="s">
        <v>459</v>
      </c>
      <c r="D209" s="10">
        <v>4.96</v>
      </c>
      <c r="E209" s="10">
        <v>6.64</v>
      </c>
      <c r="F209" s="10">
        <v>5.98</v>
      </c>
      <c r="G209" s="10">
        <f t="shared" si="18"/>
        <v>5.86</v>
      </c>
      <c r="H209" s="8" t="s">
        <v>263</v>
      </c>
      <c r="I209" s="12">
        <v>1.0</v>
      </c>
    </row>
    <row r="210" ht="14.25" customHeight="1">
      <c r="A210" s="49">
        <v>31.0</v>
      </c>
      <c r="B210" s="42" t="s">
        <v>488</v>
      </c>
      <c r="C210" s="8" t="s">
        <v>459</v>
      </c>
      <c r="D210" s="10">
        <v>6.88</v>
      </c>
      <c r="E210" s="10">
        <v>5.0</v>
      </c>
      <c r="F210" s="10">
        <v>7.92</v>
      </c>
      <c r="G210" s="10">
        <f t="shared" si="18"/>
        <v>6.6</v>
      </c>
      <c r="H210" s="8" t="s">
        <v>263</v>
      </c>
      <c r="I210" s="12">
        <v>1.0</v>
      </c>
    </row>
    <row r="211" ht="14.25" customHeight="1">
      <c r="A211" s="20"/>
      <c r="B211" s="20"/>
      <c r="C211" s="20"/>
      <c r="D211" s="20"/>
      <c r="E211" s="20"/>
      <c r="F211" s="20"/>
      <c r="G211" s="20"/>
      <c r="H211" s="20"/>
      <c r="I211" s="1">
        <f t="shared" ref="I211:K211" si="19">SUM(I180:I210)</f>
        <v>21</v>
      </c>
      <c r="J211" s="1">
        <f t="shared" si="19"/>
        <v>10</v>
      </c>
      <c r="K211" s="1">
        <f t="shared" si="19"/>
        <v>0</v>
      </c>
    </row>
    <row r="212" ht="14.25" customHeight="1">
      <c r="A212" s="20"/>
      <c r="B212" s="20"/>
      <c r="C212" s="20"/>
      <c r="D212" s="20"/>
      <c r="E212" s="20"/>
      <c r="F212" s="20"/>
      <c r="G212" s="20"/>
      <c r="H212" s="20"/>
      <c r="I212" s="16">
        <f>I211/A210</f>
        <v>0.6774193548</v>
      </c>
      <c r="J212" s="16">
        <f>J211/A210</f>
        <v>0.3225806452</v>
      </c>
    </row>
    <row r="213" ht="14.25" customHeight="1">
      <c r="A213" s="22"/>
      <c r="B213" s="22"/>
      <c r="C213" s="22"/>
      <c r="D213" s="22"/>
      <c r="E213" s="22"/>
      <c r="F213" s="22"/>
      <c r="G213" s="22"/>
      <c r="H213" s="22"/>
    </row>
    <row r="214" ht="14.25" customHeight="1">
      <c r="A214" s="22"/>
      <c r="B214" s="22"/>
      <c r="C214" s="22"/>
      <c r="D214" s="22"/>
      <c r="E214" s="22"/>
      <c r="F214" s="22"/>
      <c r="G214" s="22"/>
      <c r="H214" s="22"/>
    </row>
    <row r="215" ht="14.25" customHeight="1">
      <c r="A215" s="49">
        <v>1.0</v>
      </c>
      <c r="B215" s="42" t="s">
        <v>489</v>
      </c>
      <c r="C215" s="8" t="s">
        <v>490</v>
      </c>
      <c r="D215" s="10">
        <v>2.0</v>
      </c>
      <c r="E215" s="10">
        <v>1.36</v>
      </c>
      <c r="F215" s="10">
        <v>2.69</v>
      </c>
      <c r="G215" s="10">
        <f t="shared" ref="G215:G216" si="20">((D215+E215+F215)/3)</f>
        <v>2.016666667</v>
      </c>
      <c r="H215" s="11" t="s">
        <v>17</v>
      </c>
      <c r="J215" s="12">
        <v>1.0</v>
      </c>
    </row>
    <row r="216" ht="14.25" customHeight="1">
      <c r="A216" s="32">
        <v>2.0</v>
      </c>
      <c r="B216" s="45" t="s">
        <v>491</v>
      </c>
      <c r="C216" s="8" t="s">
        <v>490</v>
      </c>
      <c r="D216" s="10">
        <v>3.25</v>
      </c>
      <c r="E216" s="10">
        <v>2.65</v>
      </c>
      <c r="F216" s="10">
        <v>1.05</v>
      </c>
      <c r="G216" s="10">
        <f t="shared" si="20"/>
        <v>2.316666667</v>
      </c>
      <c r="H216" s="11" t="s">
        <v>17</v>
      </c>
      <c r="J216" s="12">
        <v>1.0</v>
      </c>
    </row>
    <row r="217" ht="14.25" customHeight="1">
      <c r="A217" s="49">
        <v>3.0</v>
      </c>
      <c r="B217" s="42" t="s">
        <v>492</v>
      </c>
      <c r="C217" s="8" t="s">
        <v>490</v>
      </c>
      <c r="D217" s="10">
        <v>1.3</v>
      </c>
      <c r="E217" s="10">
        <v>1.65</v>
      </c>
      <c r="F217" s="10" t="s">
        <v>324</v>
      </c>
      <c r="G217" s="10">
        <f>((D217+E217)/3)</f>
        <v>0.9833333333</v>
      </c>
      <c r="H217" s="48" t="s">
        <v>12</v>
      </c>
      <c r="K217" s="12">
        <v>1.0</v>
      </c>
    </row>
    <row r="218" ht="14.25" customHeight="1">
      <c r="A218" s="32">
        <v>4.0</v>
      </c>
      <c r="B218" s="45" t="s">
        <v>493</v>
      </c>
      <c r="C218" s="8" t="s">
        <v>490</v>
      </c>
      <c r="D218" s="10">
        <v>4.93</v>
      </c>
      <c r="E218" s="10">
        <v>3.3</v>
      </c>
      <c r="F218" s="10">
        <v>3.92</v>
      </c>
      <c r="G218" s="10">
        <f>((D218+E218+F218)/3)</f>
        <v>4.05</v>
      </c>
      <c r="H218" s="11" t="s">
        <v>17</v>
      </c>
      <c r="J218" s="12">
        <v>1.0</v>
      </c>
    </row>
    <row r="219" ht="14.25" customHeight="1">
      <c r="A219" s="49">
        <v>5.0</v>
      </c>
      <c r="B219" s="42" t="s">
        <v>494</v>
      </c>
      <c r="C219" s="8" t="s">
        <v>490</v>
      </c>
      <c r="D219" s="50" t="s">
        <v>377</v>
      </c>
      <c r="E219" s="50" t="s">
        <v>377</v>
      </c>
      <c r="F219" s="50" t="s">
        <v>377</v>
      </c>
      <c r="G219" s="50" t="s">
        <v>377</v>
      </c>
      <c r="H219" s="48" t="s">
        <v>495</v>
      </c>
      <c r="L219" s="12">
        <v>1.0</v>
      </c>
    </row>
    <row r="220" ht="14.25" customHeight="1">
      <c r="A220" s="49">
        <v>6.0</v>
      </c>
      <c r="B220" s="42" t="s">
        <v>496</v>
      </c>
      <c r="C220" s="8" t="s">
        <v>490</v>
      </c>
      <c r="D220" s="10">
        <v>1.25</v>
      </c>
      <c r="E220" s="10">
        <v>2.67</v>
      </c>
      <c r="F220" s="10">
        <v>1.45</v>
      </c>
      <c r="G220" s="10">
        <f t="shared" ref="G220:G227" si="21">((D220+E220+F220)/3)</f>
        <v>1.79</v>
      </c>
      <c r="H220" s="11" t="s">
        <v>17</v>
      </c>
      <c r="J220" s="12">
        <v>1.0</v>
      </c>
    </row>
    <row r="221" ht="14.25" customHeight="1">
      <c r="A221" s="49">
        <v>7.0</v>
      </c>
      <c r="B221" s="42" t="s">
        <v>497</v>
      </c>
      <c r="C221" s="8" t="s">
        <v>490</v>
      </c>
      <c r="D221" s="10">
        <v>0.5</v>
      </c>
      <c r="E221" s="10">
        <v>1.2</v>
      </c>
      <c r="F221" s="10">
        <v>1.71</v>
      </c>
      <c r="G221" s="10">
        <f t="shared" si="21"/>
        <v>1.136666667</v>
      </c>
      <c r="H221" s="11" t="s">
        <v>17</v>
      </c>
      <c r="J221" s="12">
        <v>1.0</v>
      </c>
    </row>
    <row r="222" ht="14.25" customHeight="1">
      <c r="A222" s="49">
        <v>8.0</v>
      </c>
      <c r="B222" s="42" t="s">
        <v>498</v>
      </c>
      <c r="C222" s="8" t="s">
        <v>490</v>
      </c>
      <c r="D222" s="10">
        <v>4.75</v>
      </c>
      <c r="E222" s="10">
        <v>5.7</v>
      </c>
      <c r="F222" s="10">
        <v>5.0</v>
      </c>
      <c r="G222" s="10">
        <f t="shared" si="21"/>
        <v>5.15</v>
      </c>
      <c r="H222" s="8" t="s">
        <v>263</v>
      </c>
      <c r="I222" s="12">
        <v>1.0</v>
      </c>
    </row>
    <row r="223" ht="14.25" customHeight="1">
      <c r="A223" s="32">
        <v>9.0</v>
      </c>
      <c r="B223" s="45" t="s">
        <v>499</v>
      </c>
      <c r="C223" s="8" t="s">
        <v>490</v>
      </c>
      <c r="D223" s="10">
        <v>3.0</v>
      </c>
      <c r="E223" s="10">
        <v>3.95</v>
      </c>
      <c r="F223" s="10">
        <v>5.05</v>
      </c>
      <c r="G223" s="10">
        <f t="shared" si="21"/>
        <v>4</v>
      </c>
      <c r="H223" s="11" t="s">
        <v>17</v>
      </c>
      <c r="J223" s="12">
        <v>1.0</v>
      </c>
    </row>
    <row r="224" ht="14.25" customHeight="1">
      <c r="A224" s="49">
        <v>10.0</v>
      </c>
      <c r="B224" s="42" t="s">
        <v>500</v>
      </c>
      <c r="C224" s="8" t="s">
        <v>490</v>
      </c>
      <c r="D224" s="10">
        <v>5.5</v>
      </c>
      <c r="E224" s="10">
        <v>6.38</v>
      </c>
      <c r="F224" s="10">
        <v>7.62</v>
      </c>
      <c r="G224" s="10">
        <f t="shared" si="21"/>
        <v>6.5</v>
      </c>
      <c r="H224" s="8" t="s">
        <v>263</v>
      </c>
      <c r="I224" s="12">
        <v>1.0</v>
      </c>
    </row>
    <row r="225" ht="14.25" customHeight="1">
      <c r="A225" s="49">
        <v>11.0</v>
      </c>
      <c r="B225" s="42" t="s">
        <v>501</v>
      </c>
      <c r="C225" s="8" t="s">
        <v>490</v>
      </c>
      <c r="D225" s="10">
        <v>4.31</v>
      </c>
      <c r="E225" s="10">
        <v>5.8</v>
      </c>
      <c r="F225" s="10">
        <v>6.3</v>
      </c>
      <c r="G225" s="10">
        <f t="shared" si="21"/>
        <v>5.47</v>
      </c>
      <c r="H225" s="8" t="s">
        <v>263</v>
      </c>
      <c r="I225" s="12">
        <v>1.0</v>
      </c>
    </row>
    <row r="226" ht="14.25" customHeight="1">
      <c r="A226" s="49">
        <v>12.0</v>
      </c>
      <c r="B226" s="42" t="s">
        <v>502</v>
      </c>
      <c r="C226" s="8" t="s">
        <v>490</v>
      </c>
      <c r="D226" s="10">
        <v>4.16</v>
      </c>
      <c r="E226" s="10">
        <v>5.61</v>
      </c>
      <c r="F226" s="10">
        <v>4.16</v>
      </c>
      <c r="G226" s="10">
        <f t="shared" si="21"/>
        <v>4.643333333</v>
      </c>
      <c r="H226" s="8" t="s">
        <v>263</v>
      </c>
      <c r="I226" s="12">
        <v>1.0</v>
      </c>
    </row>
    <row r="227" ht="14.25" customHeight="1">
      <c r="A227" s="49">
        <v>13.0</v>
      </c>
      <c r="B227" s="42" t="s">
        <v>503</v>
      </c>
      <c r="C227" s="8" t="s">
        <v>490</v>
      </c>
      <c r="D227" s="10">
        <v>3.54</v>
      </c>
      <c r="E227" s="10">
        <v>4.45</v>
      </c>
      <c r="F227" s="10">
        <v>1.83</v>
      </c>
      <c r="G227" s="10">
        <f t="shared" si="21"/>
        <v>3.273333333</v>
      </c>
      <c r="H227" s="11" t="s">
        <v>17</v>
      </c>
      <c r="J227" s="12">
        <v>1.0</v>
      </c>
    </row>
    <row r="228" ht="14.25" customHeight="1">
      <c r="A228" s="49"/>
      <c r="B228" s="42"/>
      <c r="C228" s="8"/>
      <c r="D228" s="10"/>
      <c r="E228" s="10"/>
      <c r="F228" s="10"/>
      <c r="G228" s="10"/>
      <c r="H228" s="11"/>
      <c r="I228" s="1">
        <f t="shared" ref="I228:K228" si="22">SUM(I215:I227)</f>
        <v>4</v>
      </c>
      <c r="J228" s="1">
        <f t="shared" si="22"/>
        <v>7</v>
      </c>
      <c r="K228" s="1">
        <f t="shared" si="22"/>
        <v>1</v>
      </c>
    </row>
    <row r="229" ht="14.25" customHeight="1">
      <c r="A229" s="49"/>
      <c r="B229" s="42"/>
      <c r="C229" s="8"/>
      <c r="D229" s="10"/>
      <c r="E229" s="10"/>
      <c r="F229" s="10"/>
      <c r="G229" s="10"/>
      <c r="H229" s="11"/>
      <c r="I229" s="16">
        <f>I228/A227</f>
        <v>0.3076923077</v>
      </c>
      <c r="J229" s="16">
        <f>J228/A227</f>
        <v>0.5384615385</v>
      </c>
      <c r="K229" s="16">
        <f>K228/A227</f>
        <v>0.07692307692</v>
      </c>
    </row>
    <row r="230" ht="14.25" customHeight="1">
      <c r="A230" s="49"/>
      <c r="B230" s="42"/>
      <c r="C230" s="8"/>
      <c r="D230" s="10"/>
      <c r="E230" s="10"/>
      <c r="F230" s="10"/>
      <c r="G230" s="10"/>
      <c r="H230" s="11"/>
    </row>
    <row r="231" ht="14.25" customHeight="1">
      <c r="A231" s="49">
        <v>1.0</v>
      </c>
      <c r="B231" s="42" t="s">
        <v>504</v>
      </c>
      <c r="C231" s="8" t="s">
        <v>505</v>
      </c>
      <c r="D231" s="10">
        <v>4.82</v>
      </c>
      <c r="E231" s="10">
        <v>5.96</v>
      </c>
      <c r="F231" s="10">
        <v>5.96</v>
      </c>
      <c r="G231" s="10">
        <f>((D231+E231+F231)/3)</f>
        <v>5.58</v>
      </c>
      <c r="H231" s="8" t="s">
        <v>263</v>
      </c>
      <c r="I231" s="12">
        <v>1.0</v>
      </c>
    </row>
    <row r="232" ht="14.25" customHeight="1">
      <c r="A232" s="49">
        <v>2.0</v>
      </c>
      <c r="B232" s="42" t="s">
        <v>506</v>
      </c>
      <c r="C232" s="8" t="s">
        <v>505</v>
      </c>
      <c r="D232" s="10">
        <v>1.94</v>
      </c>
      <c r="E232" s="10">
        <v>3.06</v>
      </c>
      <c r="F232" s="10" t="s">
        <v>324</v>
      </c>
      <c r="G232" s="10">
        <f>((D232+E232)/3)</f>
        <v>1.666666667</v>
      </c>
      <c r="H232" s="48" t="s">
        <v>12</v>
      </c>
      <c r="K232" s="12">
        <v>1.0</v>
      </c>
    </row>
    <row r="233" ht="14.25" customHeight="1">
      <c r="A233" s="49">
        <v>3.0</v>
      </c>
      <c r="B233" s="42" t="s">
        <v>507</v>
      </c>
      <c r="C233" s="8" t="s">
        <v>505</v>
      </c>
      <c r="D233" s="10">
        <v>6.21</v>
      </c>
      <c r="E233" s="10">
        <v>5.86</v>
      </c>
      <c r="F233" s="10">
        <v>7.8</v>
      </c>
      <c r="G233" s="10">
        <f t="shared" ref="G233:G235" si="23">((D233+E233+F233)/3)</f>
        <v>6.623333333</v>
      </c>
      <c r="H233" s="8" t="s">
        <v>263</v>
      </c>
      <c r="I233" s="12">
        <v>1.0</v>
      </c>
    </row>
    <row r="234" ht="14.25" customHeight="1">
      <c r="A234" s="49">
        <v>4.0</v>
      </c>
      <c r="B234" s="42" t="s">
        <v>508</v>
      </c>
      <c r="C234" s="8" t="s">
        <v>505</v>
      </c>
      <c r="D234" s="10">
        <v>6.0</v>
      </c>
      <c r="E234" s="10">
        <v>7.66</v>
      </c>
      <c r="F234" s="10">
        <v>5.66</v>
      </c>
      <c r="G234" s="10">
        <f t="shared" si="23"/>
        <v>6.44</v>
      </c>
      <c r="H234" s="8" t="s">
        <v>263</v>
      </c>
      <c r="I234" s="12">
        <v>1.0</v>
      </c>
    </row>
    <row r="235" ht="14.25" customHeight="1">
      <c r="A235" s="49">
        <v>5.0</v>
      </c>
      <c r="B235" s="42" t="s">
        <v>509</v>
      </c>
      <c r="C235" s="8" t="s">
        <v>505</v>
      </c>
      <c r="D235" s="10">
        <v>4.13</v>
      </c>
      <c r="E235" s="10">
        <v>5.26</v>
      </c>
      <c r="F235" s="10">
        <v>6.26</v>
      </c>
      <c r="G235" s="10">
        <f t="shared" si="23"/>
        <v>5.216666667</v>
      </c>
      <c r="H235" s="8" t="s">
        <v>263</v>
      </c>
      <c r="I235" s="12">
        <v>1.0</v>
      </c>
    </row>
    <row r="236" ht="14.25" customHeight="1">
      <c r="A236" s="49">
        <v>6.0</v>
      </c>
      <c r="B236" s="42" t="s">
        <v>510</v>
      </c>
      <c r="C236" s="8" t="s">
        <v>505</v>
      </c>
      <c r="D236" s="10">
        <v>2.28</v>
      </c>
      <c r="E236" s="10">
        <v>3.66</v>
      </c>
      <c r="F236" s="10" t="s">
        <v>324</v>
      </c>
      <c r="G236" s="10">
        <f>((D236+E236)/3)</f>
        <v>1.98</v>
      </c>
      <c r="H236" s="48" t="s">
        <v>12</v>
      </c>
      <c r="K236" s="12">
        <v>1.0</v>
      </c>
    </row>
    <row r="237" ht="14.25" customHeight="1">
      <c r="A237" s="49">
        <v>7.0</v>
      </c>
      <c r="B237" s="42" t="s">
        <v>511</v>
      </c>
      <c r="C237" s="8" t="s">
        <v>505</v>
      </c>
      <c r="D237" s="10">
        <v>5.85</v>
      </c>
      <c r="E237" s="10">
        <v>6.2</v>
      </c>
      <c r="F237" s="10">
        <v>6.2</v>
      </c>
      <c r="G237" s="10">
        <f>((D237+E237+F237)/3)</f>
        <v>6.083333333</v>
      </c>
      <c r="H237" s="8" t="s">
        <v>263</v>
      </c>
      <c r="I237" s="12">
        <v>1.0</v>
      </c>
    </row>
    <row r="238" ht="14.25" customHeight="1">
      <c r="A238" s="49">
        <v>8.0</v>
      </c>
      <c r="B238" s="42" t="s">
        <v>512</v>
      </c>
      <c r="C238" s="8" t="s">
        <v>505</v>
      </c>
      <c r="D238" s="10">
        <v>3.1</v>
      </c>
      <c r="E238" s="10">
        <v>2.3</v>
      </c>
      <c r="F238" s="10" t="s">
        <v>324</v>
      </c>
      <c r="G238" s="10">
        <f>((D238+E238)/3)</f>
        <v>1.8</v>
      </c>
      <c r="H238" s="48" t="s">
        <v>12</v>
      </c>
      <c r="K238" s="12">
        <v>1.0</v>
      </c>
    </row>
    <row r="239" ht="14.25" customHeight="1">
      <c r="A239" s="49">
        <v>9.0</v>
      </c>
      <c r="B239" s="42" t="s">
        <v>513</v>
      </c>
      <c r="C239" s="8" t="s">
        <v>505</v>
      </c>
      <c r="D239" s="10">
        <v>2.21</v>
      </c>
      <c r="E239" s="10">
        <v>3.5</v>
      </c>
      <c r="F239" s="10">
        <v>4.21</v>
      </c>
      <c r="G239" s="10">
        <f t="shared" ref="G239:G244" si="24">((D239+E239+F239)/3)</f>
        <v>3.306666667</v>
      </c>
      <c r="H239" s="11" t="s">
        <v>17</v>
      </c>
      <c r="J239" s="12">
        <v>1.0</v>
      </c>
    </row>
    <row r="240" ht="14.25" customHeight="1">
      <c r="A240" s="49">
        <v>10.0</v>
      </c>
      <c r="B240" s="42" t="s">
        <v>514</v>
      </c>
      <c r="C240" s="8" t="s">
        <v>505</v>
      </c>
      <c r="D240" s="10">
        <v>4.5</v>
      </c>
      <c r="E240" s="10">
        <v>5.1</v>
      </c>
      <c r="F240" s="10">
        <v>6.5</v>
      </c>
      <c r="G240" s="10">
        <f t="shared" si="24"/>
        <v>5.366666667</v>
      </c>
      <c r="H240" s="8" t="s">
        <v>263</v>
      </c>
      <c r="I240" s="12">
        <v>1.0</v>
      </c>
    </row>
    <row r="241" ht="14.25" customHeight="1">
      <c r="A241" s="49">
        <v>11.0</v>
      </c>
      <c r="B241" s="42" t="s">
        <v>515</v>
      </c>
      <c r="C241" s="8" t="s">
        <v>505</v>
      </c>
      <c r="D241" s="10">
        <v>3.35</v>
      </c>
      <c r="E241" s="10">
        <v>6.3</v>
      </c>
      <c r="F241" s="10">
        <v>5.3</v>
      </c>
      <c r="G241" s="10">
        <f t="shared" si="24"/>
        <v>4.983333333</v>
      </c>
      <c r="H241" s="8" t="s">
        <v>263</v>
      </c>
      <c r="I241" s="12">
        <v>1.0</v>
      </c>
    </row>
    <row r="242" ht="14.25" customHeight="1">
      <c r="A242" s="49">
        <v>12.0</v>
      </c>
      <c r="B242" s="42" t="s">
        <v>516</v>
      </c>
      <c r="C242" s="8" t="s">
        <v>505</v>
      </c>
      <c r="D242" s="10">
        <v>3.96</v>
      </c>
      <c r="E242" s="10">
        <v>3.73</v>
      </c>
      <c r="F242" s="10">
        <v>4.2</v>
      </c>
      <c r="G242" s="10">
        <f t="shared" si="24"/>
        <v>3.963333333</v>
      </c>
      <c r="H242" s="11" t="s">
        <v>17</v>
      </c>
      <c r="J242" s="12">
        <v>1.0</v>
      </c>
    </row>
    <row r="243" ht="14.25" customHeight="1">
      <c r="A243" s="49">
        <v>13.0</v>
      </c>
      <c r="B243" s="42" t="s">
        <v>517</v>
      </c>
      <c r="C243" s="8" t="s">
        <v>505</v>
      </c>
      <c r="D243" s="10">
        <v>2.35</v>
      </c>
      <c r="E243" s="10">
        <v>3.43</v>
      </c>
      <c r="F243" s="10">
        <v>3.43</v>
      </c>
      <c r="G243" s="10">
        <f t="shared" si="24"/>
        <v>3.07</v>
      </c>
      <c r="H243" s="11" t="s">
        <v>17</v>
      </c>
      <c r="J243" s="12">
        <v>1.0</v>
      </c>
    </row>
    <row r="244" ht="14.25" customHeight="1">
      <c r="A244" s="49">
        <v>14.0</v>
      </c>
      <c r="B244" s="42" t="s">
        <v>518</v>
      </c>
      <c r="C244" s="8" t="s">
        <v>505</v>
      </c>
      <c r="D244" s="10">
        <v>3.1</v>
      </c>
      <c r="E244" s="10">
        <v>2.9</v>
      </c>
      <c r="F244" s="10">
        <v>3.9</v>
      </c>
      <c r="G244" s="10">
        <f t="shared" si="24"/>
        <v>3.3</v>
      </c>
      <c r="H244" s="11" t="s">
        <v>17</v>
      </c>
      <c r="J244" s="12">
        <v>1.0</v>
      </c>
    </row>
    <row r="245" ht="14.25" customHeight="1">
      <c r="A245" s="49">
        <v>15.0</v>
      </c>
      <c r="B245" s="42" t="s">
        <v>519</v>
      </c>
      <c r="C245" s="8" t="s">
        <v>505</v>
      </c>
      <c r="D245" s="10">
        <v>3.0</v>
      </c>
      <c r="E245" s="10">
        <v>2.93</v>
      </c>
      <c r="F245" s="10" t="s">
        <v>324</v>
      </c>
      <c r="G245" s="10">
        <f>((D245+E245)/3)</f>
        <v>1.976666667</v>
      </c>
      <c r="H245" s="48" t="s">
        <v>12</v>
      </c>
      <c r="K245" s="12">
        <v>1.0</v>
      </c>
    </row>
    <row r="246" ht="14.25" customHeight="1">
      <c r="A246" s="49">
        <v>16.0</v>
      </c>
      <c r="B246" s="42" t="s">
        <v>520</v>
      </c>
      <c r="C246" s="8" t="s">
        <v>505</v>
      </c>
      <c r="D246" s="8">
        <v>1.92</v>
      </c>
      <c r="E246" s="8">
        <v>1.83</v>
      </c>
      <c r="F246" s="8">
        <v>1.53</v>
      </c>
      <c r="G246" s="10">
        <f t="shared" ref="G246:G249" si="25">((D246+E246+F246)/3)</f>
        <v>1.76</v>
      </c>
      <c r="H246" s="11" t="s">
        <v>17</v>
      </c>
      <c r="J246" s="12">
        <v>1.0</v>
      </c>
    </row>
    <row r="247" ht="14.25" customHeight="1">
      <c r="A247" s="49">
        <v>17.0</v>
      </c>
      <c r="B247" s="42" t="s">
        <v>521</v>
      </c>
      <c r="C247" s="17" t="s">
        <v>505</v>
      </c>
      <c r="D247" s="10">
        <v>4.91</v>
      </c>
      <c r="E247" s="10">
        <v>5.16</v>
      </c>
      <c r="F247" s="10">
        <v>6.5</v>
      </c>
      <c r="G247" s="10">
        <f t="shared" si="25"/>
        <v>5.523333333</v>
      </c>
      <c r="H247" s="8" t="s">
        <v>263</v>
      </c>
      <c r="I247" s="12">
        <v>1.0</v>
      </c>
    </row>
    <row r="248" ht="14.25" customHeight="1">
      <c r="A248" s="32">
        <v>18.0</v>
      </c>
      <c r="B248" s="1" t="s">
        <v>522</v>
      </c>
      <c r="C248" s="34" t="s">
        <v>505</v>
      </c>
      <c r="D248" s="10">
        <v>5.12</v>
      </c>
      <c r="E248" s="10">
        <v>6.3</v>
      </c>
      <c r="F248" s="10">
        <v>7.93</v>
      </c>
      <c r="G248" s="10">
        <f t="shared" si="25"/>
        <v>6.45</v>
      </c>
      <c r="H248" s="8" t="s">
        <v>263</v>
      </c>
      <c r="I248" s="12">
        <v>1.0</v>
      </c>
    </row>
    <row r="249" ht="14.25" customHeight="1">
      <c r="A249" s="49">
        <v>19.0</v>
      </c>
      <c r="B249" s="42" t="s">
        <v>523</v>
      </c>
      <c r="C249" s="34" t="s">
        <v>505</v>
      </c>
      <c r="D249" s="10">
        <v>4.58</v>
      </c>
      <c r="E249" s="10">
        <v>5.76</v>
      </c>
      <c r="F249" s="10">
        <v>6.23</v>
      </c>
      <c r="G249" s="10">
        <f t="shared" si="25"/>
        <v>5.523333333</v>
      </c>
      <c r="H249" s="8" t="s">
        <v>263</v>
      </c>
      <c r="I249" s="12">
        <v>1.0</v>
      </c>
    </row>
    <row r="250" ht="14.25" customHeight="1">
      <c r="A250" s="32">
        <v>20.0</v>
      </c>
      <c r="B250" s="1" t="s">
        <v>524</v>
      </c>
      <c r="C250" s="34" t="s">
        <v>505</v>
      </c>
      <c r="D250" s="10">
        <v>3.37</v>
      </c>
      <c r="E250" s="10">
        <v>4.56</v>
      </c>
      <c r="F250" s="10" t="s">
        <v>324</v>
      </c>
      <c r="G250" s="10">
        <f>((D250+E250)/3)</f>
        <v>2.643333333</v>
      </c>
      <c r="H250" s="48" t="s">
        <v>12</v>
      </c>
      <c r="K250" s="12">
        <v>1.0</v>
      </c>
    </row>
    <row r="251" ht="14.25" customHeight="1">
      <c r="A251" s="49">
        <v>21.0</v>
      </c>
      <c r="B251" s="42" t="s">
        <v>525</v>
      </c>
      <c r="C251" s="34" t="s">
        <v>505</v>
      </c>
      <c r="D251" s="8">
        <v>3.79</v>
      </c>
      <c r="E251" s="8">
        <v>2.83</v>
      </c>
      <c r="F251" s="8">
        <v>2.83</v>
      </c>
      <c r="G251" s="10">
        <f t="shared" ref="G251:G255" si="26">((D251+E251+F251)/3)</f>
        <v>3.15</v>
      </c>
      <c r="H251" s="11" t="s">
        <v>17</v>
      </c>
      <c r="J251" s="12">
        <v>1.0</v>
      </c>
    </row>
    <row r="252" ht="14.25" customHeight="1">
      <c r="A252" s="32">
        <v>22.0</v>
      </c>
      <c r="B252" s="1" t="s">
        <v>526</v>
      </c>
      <c r="C252" s="34" t="s">
        <v>505</v>
      </c>
      <c r="D252" s="10">
        <v>4.91</v>
      </c>
      <c r="E252" s="10">
        <v>4.56</v>
      </c>
      <c r="F252" s="10">
        <v>4.33</v>
      </c>
      <c r="G252" s="10">
        <f t="shared" si="26"/>
        <v>4.6</v>
      </c>
      <c r="H252" s="8" t="s">
        <v>263</v>
      </c>
      <c r="I252" s="12">
        <v>1.0</v>
      </c>
    </row>
    <row r="253" ht="14.25" customHeight="1">
      <c r="A253" s="49">
        <v>23.0</v>
      </c>
      <c r="B253" s="42" t="s">
        <v>527</v>
      </c>
      <c r="C253" s="8" t="s">
        <v>505</v>
      </c>
      <c r="D253" s="10">
        <v>2.58</v>
      </c>
      <c r="E253" s="10">
        <v>1.9</v>
      </c>
      <c r="F253" s="10">
        <v>3.53</v>
      </c>
      <c r="G253" s="10">
        <f t="shared" si="26"/>
        <v>2.67</v>
      </c>
      <c r="H253" s="11" t="s">
        <v>17</v>
      </c>
      <c r="J253" s="12">
        <v>1.0</v>
      </c>
    </row>
    <row r="254" ht="14.25" customHeight="1">
      <c r="A254" s="49">
        <v>24.0</v>
      </c>
      <c r="B254" s="42" t="s">
        <v>528</v>
      </c>
      <c r="C254" s="8" t="s">
        <v>505</v>
      </c>
      <c r="D254" s="10">
        <v>1.37</v>
      </c>
      <c r="E254" s="10">
        <v>3.36</v>
      </c>
      <c r="F254" s="10">
        <v>3.16</v>
      </c>
      <c r="G254" s="10">
        <f t="shared" si="26"/>
        <v>2.63</v>
      </c>
      <c r="H254" s="11" t="s">
        <v>17</v>
      </c>
      <c r="J254" s="12">
        <v>1.0</v>
      </c>
    </row>
    <row r="255" ht="14.25" customHeight="1">
      <c r="A255" s="49">
        <v>25.0</v>
      </c>
      <c r="B255" s="42" t="s">
        <v>529</v>
      </c>
      <c r="C255" s="17" t="s">
        <v>505</v>
      </c>
      <c r="D255" s="10">
        <v>2.33</v>
      </c>
      <c r="E255" s="10">
        <v>2.46</v>
      </c>
      <c r="F255" s="10">
        <v>4.56</v>
      </c>
      <c r="G255" s="10">
        <f t="shared" si="26"/>
        <v>3.116666667</v>
      </c>
      <c r="H255" s="11" t="s">
        <v>17</v>
      </c>
      <c r="J255" s="12">
        <v>1.0</v>
      </c>
    </row>
    <row r="256" ht="14.25" customHeight="1">
      <c r="A256" s="32">
        <v>26.0</v>
      </c>
      <c r="B256" s="1" t="s">
        <v>530</v>
      </c>
      <c r="C256" s="34" t="s">
        <v>505</v>
      </c>
      <c r="D256" s="10">
        <v>1.7</v>
      </c>
      <c r="E256" s="10">
        <v>3.76</v>
      </c>
      <c r="F256" s="10" t="s">
        <v>324</v>
      </c>
      <c r="G256" s="10">
        <f t="shared" ref="G256:G257" si="27">((D256+E256)/3)</f>
        <v>1.82</v>
      </c>
      <c r="H256" s="48" t="s">
        <v>12</v>
      </c>
      <c r="K256" s="12">
        <v>1.0</v>
      </c>
    </row>
    <row r="257" ht="14.25" customHeight="1">
      <c r="A257" s="49">
        <v>27.0</v>
      </c>
      <c r="B257" s="42" t="s">
        <v>531</v>
      </c>
      <c r="C257" s="8" t="s">
        <v>505</v>
      </c>
      <c r="D257" s="10">
        <v>3.0</v>
      </c>
      <c r="E257" s="10">
        <v>2.38</v>
      </c>
      <c r="F257" s="10" t="s">
        <v>324</v>
      </c>
      <c r="G257" s="10">
        <f t="shared" si="27"/>
        <v>1.793333333</v>
      </c>
      <c r="H257" s="48" t="s">
        <v>12</v>
      </c>
      <c r="K257" s="12">
        <v>1.0</v>
      </c>
    </row>
    <row r="258" ht="14.25" customHeight="1">
      <c r="A258" s="49">
        <v>28.0</v>
      </c>
      <c r="B258" s="42" t="s">
        <v>532</v>
      </c>
      <c r="C258" s="8" t="s">
        <v>505</v>
      </c>
      <c r="D258" s="10">
        <v>2.0</v>
      </c>
      <c r="E258" s="10">
        <v>1.93</v>
      </c>
      <c r="F258" s="10">
        <v>1.6</v>
      </c>
      <c r="G258" s="10">
        <f t="shared" ref="G258:G259" si="28">((D258+E258+F258)/3)</f>
        <v>1.843333333</v>
      </c>
      <c r="H258" s="11" t="s">
        <v>17</v>
      </c>
      <c r="J258" s="12">
        <v>1.0</v>
      </c>
    </row>
    <row r="259" ht="14.25" customHeight="1">
      <c r="A259" s="49">
        <v>29.0</v>
      </c>
      <c r="B259" s="42" t="s">
        <v>533</v>
      </c>
      <c r="C259" s="8" t="s">
        <v>505</v>
      </c>
      <c r="D259" s="10">
        <v>1.33</v>
      </c>
      <c r="E259" s="10">
        <v>2.0</v>
      </c>
      <c r="F259" s="10">
        <v>3.56</v>
      </c>
      <c r="G259" s="10">
        <f t="shared" si="28"/>
        <v>2.296666667</v>
      </c>
      <c r="H259" s="11" t="s">
        <v>17</v>
      </c>
      <c r="J259" s="12">
        <v>1.0</v>
      </c>
    </row>
    <row r="260" ht="14.25" customHeight="1">
      <c r="I260" s="1">
        <f t="shared" ref="I260:K260" si="29">SUM(I231:I259)</f>
        <v>11</v>
      </c>
      <c r="J260" s="1">
        <f t="shared" si="29"/>
        <v>11</v>
      </c>
      <c r="K260" s="1">
        <f t="shared" si="29"/>
        <v>7</v>
      </c>
      <c r="L260" s="1">
        <f>L89+L219</f>
        <v>2</v>
      </c>
    </row>
    <row r="261" ht="14.25" customHeight="1">
      <c r="I261" s="16">
        <f>I260/A259</f>
        <v>0.3793103448</v>
      </c>
      <c r="J261" s="16">
        <f>J260/A259</f>
        <v>0.3793103448</v>
      </c>
      <c r="K261" s="16">
        <f>K260/A259</f>
        <v>0.2413793103</v>
      </c>
    </row>
    <row r="262" ht="14.25" customHeight="1">
      <c r="M262" s="3" t="s">
        <v>534</v>
      </c>
      <c r="N262" s="4" t="s">
        <v>286</v>
      </c>
      <c r="O262" s="3" t="s">
        <v>287</v>
      </c>
      <c r="P262" s="3" t="s">
        <v>288</v>
      </c>
      <c r="Q262" s="4" t="s">
        <v>289</v>
      </c>
      <c r="R262" s="3" t="s">
        <v>290</v>
      </c>
      <c r="S262" s="4" t="s">
        <v>291</v>
      </c>
      <c r="T262" s="4" t="s">
        <v>292</v>
      </c>
    </row>
    <row r="263" ht="14.25" customHeight="1">
      <c r="N263" s="1">
        <f>A259+A227+A210+A176+A122+A95+A57</f>
        <v>236</v>
      </c>
      <c r="O263" s="1">
        <f t="shared" ref="O263:Q263" si="30">I260+I228+I211+I177+I123+I96+I58</f>
        <v>129</v>
      </c>
      <c r="P263" s="1">
        <f t="shared" si="30"/>
        <v>87</v>
      </c>
      <c r="Q263" s="1">
        <f t="shared" si="30"/>
        <v>18</v>
      </c>
      <c r="R263" s="16">
        <f>O263/N263</f>
        <v>0.5466101695</v>
      </c>
      <c r="S263" s="16">
        <f>Q263/N263</f>
        <v>0.07627118644</v>
      </c>
      <c r="T263" s="16">
        <f>P263/N263</f>
        <v>0.3686440678</v>
      </c>
    </row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20.86"/>
    <col customWidth="1" min="3" max="26" width="10.71"/>
  </cols>
  <sheetData>
    <row r="1" ht="14.25" customHeight="1">
      <c r="A1" s="1" t="s">
        <v>0</v>
      </c>
    </row>
    <row r="2" ht="14.25" customHeight="1">
      <c r="A2" s="34" t="s">
        <v>1</v>
      </c>
      <c r="B2" s="34" t="s">
        <v>2</v>
      </c>
      <c r="C2" s="34" t="s">
        <v>3</v>
      </c>
      <c r="D2" s="34" t="s">
        <v>4</v>
      </c>
      <c r="E2" s="34" t="s">
        <v>5</v>
      </c>
      <c r="F2" s="34" t="s">
        <v>6</v>
      </c>
      <c r="G2" s="34" t="s">
        <v>7</v>
      </c>
      <c r="H2" s="34" t="s">
        <v>535</v>
      </c>
      <c r="I2" s="34" t="s">
        <v>9</v>
      </c>
      <c r="J2" s="12" t="s">
        <v>536</v>
      </c>
      <c r="K2" s="12" t="s">
        <v>537</v>
      </c>
      <c r="L2" s="12" t="s">
        <v>12</v>
      </c>
      <c r="M2" s="5" t="s">
        <v>13</v>
      </c>
    </row>
    <row r="3" ht="14.25" customHeight="1">
      <c r="A3" s="24">
        <v>1.0</v>
      </c>
      <c r="B3" s="42" t="s">
        <v>538</v>
      </c>
      <c r="C3" s="8" t="s">
        <v>138</v>
      </c>
      <c r="D3" s="8" t="s">
        <v>539</v>
      </c>
      <c r="E3" s="8">
        <v>1.32</v>
      </c>
      <c r="F3" s="8">
        <v>3.0</v>
      </c>
      <c r="G3" s="8"/>
      <c r="H3" s="10">
        <f t="shared" ref="H3:H38" si="1">((E3+F3)/2)</f>
        <v>2.16</v>
      </c>
      <c r="I3" s="19" t="s">
        <v>17</v>
      </c>
      <c r="K3" s="12">
        <v>1.0</v>
      </c>
    </row>
    <row r="4" ht="14.25" customHeight="1">
      <c r="A4" s="24">
        <v>2.0</v>
      </c>
      <c r="B4" s="42" t="s">
        <v>540</v>
      </c>
      <c r="C4" s="8" t="s">
        <v>138</v>
      </c>
      <c r="D4" s="8" t="s">
        <v>539</v>
      </c>
      <c r="E4" s="8">
        <v>6.08</v>
      </c>
      <c r="F4" s="8">
        <v>7.88</v>
      </c>
      <c r="G4" s="8"/>
      <c r="H4" s="10">
        <f t="shared" si="1"/>
        <v>6.98</v>
      </c>
      <c r="I4" s="34" t="s">
        <v>541</v>
      </c>
      <c r="J4" s="12">
        <v>1.0</v>
      </c>
    </row>
    <row r="5" ht="14.25" customHeight="1">
      <c r="A5" s="52">
        <v>3.0</v>
      </c>
      <c r="B5" s="42" t="s">
        <v>542</v>
      </c>
      <c r="C5" s="8" t="s">
        <v>138</v>
      </c>
      <c r="D5" s="8" t="s">
        <v>539</v>
      </c>
      <c r="E5" s="8">
        <v>4.3</v>
      </c>
      <c r="F5" s="17">
        <v>5.12</v>
      </c>
      <c r="G5" s="8"/>
      <c r="H5" s="10">
        <f t="shared" si="1"/>
        <v>4.71</v>
      </c>
      <c r="I5" s="17" t="s">
        <v>541</v>
      </c>
      <c r="J5" s="12">
        <v>1.0</v>
      </c>
    </row>
    <row r="6" ht="14.25" customHeight="1">
      <c r="A6" s="6">
        <v>4.0</v>
      </c>
      <c r="B6" s="42" t="s">
        <v>543</v>
      </c>
      <c r="C6" s="8" t="s">
        <v>138</v>
      </c>
      <c r="D6" s="8" t="s">
        <v>539</v>
      </c>
      <c r="E6" s="22">
        <v>4.48</v>
      </c>
      <c r="F6" s="34">
        <v>4.9</v>
      </c>
      <c r="G6" s="22"/>
      <c r="H6" s="43">
        <f t="shared" si="1"/>
        <v>4.69</v>
      </c>
      <c r="I6" s="34" t="s">
        <v>541</v>
      </c>
      <c r="J6" s="12">
        <v>1.0</v>
      </c>
    </row>
    <row r="7" ht="14.25" customHeight="1">
      <c r="A7" s="53">
        <v>5.0</v>
      </c>
      <c r="B7" s="42" t="s">
        <v>544</v>
      </c>
      <c r="C7" s="8" t="s">
        <v>138</v>
      </c>
      <c r="D7" s="8" t="s">
        <v>539</v>
      </c>
      <c r="E7" s="8">
        <v>5.58</v>
      </c>
      <c r="F7" s="8">
        <v>4.63</v>
      </c>
      <c r="G7" s="8"/>
      <c r="H7" s="10">
        <f t="shared" si="1"/>
        <v>5.105</v>
      </c>
      <c r="I7" s="8" t="s">
        <v>541</v>
      </c>
      <c r="J7" s="12">
        <v>1.0</v>
      </c>
    </row>
    <row r="8" ht="14.25" customHeight="1">
      <c r="A8" s="24">
        <v>6.0</v>
      </c>
      <c r="B8" s="42" t="s">
        <v>545</v>
      </c>
      <c r="C8" s="8" t="s">
        <v>138</v>
      </c>
      <c r="D8" s="8" t="s">
        <v>539</v>
      </c>
      <c r="E8" s="8">
        <v>2.43</v>
      </c>
      <c r="F8" s="8">
        <v>3.73</v>
      </c>
      <c r="G8" s="8"/>
      <c r="H8" s="10">
        <f t="shared" si="1"/>
        <v>3.08</v>
      </c>
      <c r="I8" s="11" t="s">
        <v>17</v>
      </c>
      <c r="K8" s="12">
        <v>1.0</v>
      </c>
    </row>
    <row r="9" ht="14.25" customHeight="1">
      <c r="A9" s="24">
        <v>7.0</v>
      </c>
      <c r="B9" s="42" t="s">
        <v>546</v>
      </c>
      <c r="C9" s="8" t="s">
        <v>138</v>
      </c>
      <c r="D9" s="8" t="s">
        <v>539</v>
      </c>
      <c r="E9" s="8">
        <v>4.52</v>
      </c>
      <c r="F9" s="8">
        <v>5.28</v>
      </c>
      <c r="G9" s="8"/>
      <c r="H9" s="10">
        <f t="shared" si="1"/>
        <v>4.9</v>
      </c>
      <c r="I9" s="17" t="s">
        <v>541</v>
      </c>
      <c r="J9" s="12">
        <v>1.0</v>
      </c>
    </row>
    <row r="10" ht="14.25" customHeight="1">
      <c r="A10" s="24">
        <v>8.0</v>
      </c>
      <c r="B10" s="42" t="s">
        <v>547</v>
      </c>
      <c r="C10" s="8" t="s">
        <v>138</v>
      </c>
      <c r="D10" s="17" t="s">
        <v>539</v>
      </c>
      <c r="E10" s="8">
        <v>5.25</v>
      </c>
      <c r="F10" s="17">
        <v>6.45</v>
      </c>
      <c r="G10" s="17"/>
      <c r="H10" s="10">
        <f t="shared" si="1"/>
        <v>5.85</v>
      </c>
      <c r="I10" s="34" t="s">
        <v>541</v>
      </c>
      <c r="J10" s="12">
        <v>1.0</v>
      </c>
    </row>
    <row r="11" ht="14.25" customHeight="1">
      <c r="A11" s="24">
        <v>9.0</v>
      </c>
      <c r="B11" s="42" t="s">
        <v>548</v>
      </c>
      <c r="C11" s="34" t="s">
        <v>138</v>
      </c>
      <c r="D11" s="34" t="s">
        <v>539</v>
      </c>
      <c r="E11" s="20">
        <v>2.2</v>
      </c>
      <c r="F11" s="34">
        <v>3.83</v>
      </c>
      <c r="G11" s="34"/>
      <c r="H11" s="43">
        <f t="shared" si="1"/>
        <v>3.015</v>
      </c>
      <c r="I11" s="11" t="s">
        <v>17</v>
      </c>
      <c r="K11" s="12">
        <v>1.0</v>
      </c>
    </row>
    <row r="12" ht="14.25" customHeight="1">
      <c r="A12" s="24">
        <v>10.0</v>
      </c>
      <c r="B12" s="42" t="s">
        <v>549</v>
      </c>
      <c r="C12" s="34" t="s">
        <v>138</v>
      </c>
      <c r="D12" s="34" t="s">
        <v>539</v>
      </c>
      <c r="E12" s="34">
        <v>3.84</v>
      </c>
      <c r="F12" s="34">
        <v>5.53</v>
      </c>
      <c r="G12" s="34"/>
      <c r="H12" s="43">
        <f t="shared" si="1"/>
        <v>4.685</v>
      </c>
      <c r="I12" s="34" t="s">
        <v>541</v>
      </c>
      <c r="J12" s="12">
        <v>1.0</v>
      </c>
    </row>
    <row r="13" ht="14.25" customHeight="1">
      <c r="A13" s="24">
        <v>11.0</v>
      </c>
      <c r="B13" s="54" t="s">
        <v>550</v>
      </c>
      <c r="C13" s="8" t="s">
        <v>138</v>
      </c>
      <c r="D13" s="20" t="s">
        <v>539</v>
      </c>
      <c r="E13" s="34">
        <v>3.2</v>
      </c>
      <c r="F13" s="17">
        <v>4.25</v>
      </c>
      <c r="G13" s="17"/>
      <c r="H13" s="10">
        <f t="shared" si="1"/>
        <v>3.725</v>
      </c>
      <c r="I13" s="11" t="s">
        <v>17</v>
      </c>
      <c r="K13" s="12">
        <v>1.0</v>
      </c>
    </row>
    <row r="14" ht="14.25" customHeight="1">
      <c r="A14" s="24">
        <v>12.0</v>
      </c>
      <c r="B14" s="42" t="s">
        <v>551</v>
      </c>
      <c r="C14" s="34" t="s">
        <v>138</v>
      </c>
      <c r="D14" s="34" t="s">
        <v>539</v>
      </c>
      <c r="E14" s="34">
        <v>1.33</v>
      </c>
      <c r="F14" s="34">
        <v>2.4</v>
      </c>
      <c r="G14" s="34"/>
      <c r="H14" s="43">
        <f t="shared" si="1"/>
        <v>1.865</v>
      </c>
      <c r="I14" s="11" t="s">
        <v>17</v>
      </c>
      <c r="K14" s="12">
        <v>1.0</v>
      </c>
    </row>
    <row r="15" ht="14.25" customHeight="1">
      <c r="A15" s="24">
        <v>13.0</v>
      </c>
      <c r="B15" s="42" t="s">
        <v>149</v>
      </c>
      <c r="C15" s="34" t="s">
        <v>138</v>
      </c>
      <c r="D15" s="8" t="s">
        <v>539</v>
      </c>
      <c r="E15" s="10">
        <v>2.05</v>
      </c>
      <c r="F15" s="10">
        <v>4.11</v>
      </c>
      <c r="G15" s="34"/>
      <c r="H15" s="43">
        <f t="shared" si="1"/>
        <v>3.08</v>
      </c>
      <c r="I15" s="11" t="s">
        <v>17</v>
      </c>
      <c r="K15" s="12">
        <v>1.0</v>
      </c>
    </row>
    <row r="16" ht="14.25" customHeight="1">
      <c r="A16" s="24">
        <v>14.0</v>
      </c>
      <c r="B16" s="42" t="s">
        <v>552</v>
      </c>
      <c r="C16" s="34" t="s">
        <v>138</v>
      </c>
      <c r="D16" s="8" t="s">
        <v>539</v>
      </c>
      <c r="E16" s="10">
        <v>6.68</v>
      </c>
      <c r="F16" s="10">
        <v>4.97</v>
      </c>
      <c r="G16" s="34"/>
      <c r="H16" s="43">
        <f t="shared" si="1"/>
        <v>5.825</v>
      </c>
      <c r="I16" s="34" t="s">
        <v>541</v>
      </c>
      <c r="J16" s="12">
        <v>1.0</v>
      </c>
    </row>
    <row r="17" ht="14.25" customHeight="1">
      <c r="A17" s="24">
        <v>15.0</v>
      </c>
      <c r="B17" s="42" t="s">
        <v>553</v>
      </c>
      <c r="C17" s="8" t="s">
        <v>138</v>
      </c>
      <c r="D17" s="8" t="s">
        <v>539</v>
      </c>
      <c r="E17" s="10">
        <v>4.87</v>
      </c>
      <c r="F17" s="10">
        <v>5.0</v>
      </c>
      <c r="G17" s="34"/>
      <c r="H17" s="43">
        <f t="shared" si="1"/>
        <v>4.935</v>
      </c>
      <c r="I17" s="34" t="s">
        <v>541</v>
      </c>
      <c r="J17" s="12">
        <v>1.0</v>
      </c>
    </row>
    <row r="18" ht="14.25" customHeight="1">
      <c r="A18" s="24">
        <v>16.0</v>
      </c>
      <c r="B18" s="42" t="s">
        <v>554</v>
      </c>
      <c r="C18" s="34" t="s">
        <v>138</v>
      </c>
      <c r="D18" s="8" t="s">
        <v>539</v>
      </c>
      <c r="E18" s="10">
        <v>6.5</v>
      </c>
      <c r="F18" s="10">
        <v>3.78</v>
      </c>
      <c r="G18" s="34"/>
      <c r="H18" s="43">
        <f t="shared" si="1"/>
        <v>5.14</v>
      </c>
      <c r="I18" s="34" t="s">
        <v>541</v>
      </c>
      <c r="J18" s="12">
        <v>1.0</v>
      </c>
    </row>
    <row r="19" ht="14.25" customHeight="1">
      <c r="A19" s="24">
        <v>17.0</v>
      </c>
      <c r="B19" s="42" t="s">
        <v>555</v>
      </c>
      <c r="C19" s="34" t="s">
        <v>138</v>
      </c>
      <c r="D19" s="8" t="s">
        <v>539</v>
      </c>
      <c r="E19" s="10">
        <v>3.92</v>
      </c>
      <c r="F19" s="10">
        <v>2.27</v>
      </c>
      <c r="G19" s="34"/>
      <c r="H19" s="43">
        <f t="shared" si="1"/>
        <v>3.095</v>
      </c>
      <c r="I19" s="11" t="s">
        <v>17</v>
      </c>
      <c r="K19" s="12">
        <v>1.0</v>
      </c>
    </row>
    <row r="20" ht="14.25" customHeight="1">
      <c r="A20" s="24">
        <v>18.0</v>
      </c>
      <c r="B20" s="42" t="s">
        <v>556</v>
      </c>
      <c r="C20" s="34" t="s">
        <v>138</v>
      </c>
      <c r="D20" s="8" t="s">
        <v>539</v>
      </c>
      <c r="E20" s="55">
        <v>1.49</v>
      </c>
      <c r="F20" s="10">
        <v>3.0</v>
      </c>
      <c r="G20" s="34"/>
      <c r="H20" s="43">
        <f t="shared" si="1"/>
        <v>2.245</v>
      </c>
      <c r="I20" s="19" t="s">
        <v>17</v>
      </c>
      <c r="K20" s="12">
        <v>1.0</v>
      </c>
    </row>
    <row r="21" ht="14.25" customHeight="1">
      <c r="A21" s="24">
        <v>19.0</v>
      </c>
      <c r="B21" s="42" t="s">
        <v>557</v>
      </c>
      <c r="C21" s="34" t="s">
        <v>138</v>
      </c>
      <c r="D21" s="8" t="s">
        <v>539</v>
      </c>
      <c r="E21" s="10">
        <v>6.23</v>
      </c>
      <c r="F21" s="10">
        <v>4.51</v>
      </c>
      <c r="G21" s="34"/>
      <c r="H21" s="43">
        <f t="shared" si="1"/>
        <v>5.37</v>
      </c>
      <c r="I21" s="34" t="s">
        <v>541</v>
      </c>
      <c r="J21" s="12">
        <v>1.0</v>
      </c>
    </row>
    <row r="22" ht="14.25" customHeight="1">
      <c r="A22" s="24">
        <v>20.0</v>
      </c>
      <c r="B22" s="42" t="s">
        <v>558</v>
      </c>
      <c r="C22" s="34" t="s">
        <v>138</v>
      </c>
      <c r="D22" s="17" t="s">
        <v>539</v>
      </c>
      <c r="E22" s="10">
        <v>4.46</v>
      </c>
      <c r="F22" s="10">
        <v>4.87</v>
      </c>
      <c r="G22" s="34"/>
      <c r="H22" s="43">
        <f t="shared" si="1"/>
        <v>4.665</v>
      </c>
      <c r="I22" s="34" t="s">
        <v>541</v>
      </c>
      <c r="J22" s="12">
        <v>1.0</v>
      </c>
    </row>
    <row r="23" ht="14.25" customHeight="1">
      <c r="A23" s="24">
        <v>21.0</v>
      </c>
      <c r="B23" s="42" t="s">
        <v>559</v>
      </c>
      <c r="C23" s="34" t="s">
        <v>138</v>
      </c>
      <c r="D23" s="34" t="s">
        <v>539</v>
      </c>
      <c r="E23" s="10">
        <v>2.0</v>
      </c>
      <c r="F23" s="10">
        <v>3.45</v>
      </c>
      <c r="G23" s="34"/>
      <c r="H23" s="43">
        <f t="shared" si="1"/>
        <v>2.725</v>
      </c>
      <c r="I23" s="19" t="s">
        <v>17</v>
      </c>
      <c r="K23" s="12">
        <v>1.0</v>
      </c>
    </row>
    <row r="24" ht="14.25" customHeight="1">
      <c r="A24" s="24">
        <v>22.0</v>
      </c>
      <c r="B24" s="42" t="s">
        <v>560</v>
      </c>
      <c r="C24" s="34" t="s">
        <v>138</v>
      </c>
      <c r="D24" s="34" t="s">
        <v>539</v>
      </c>
      <c r="E24" s="10">
        <v>3.06</v>
      </c>
      <c r="F24" s="10">
        <v>2.42</v>
      </c>
      <c r="G24" s="34"/>
      <c r="H24" s="43">
        <f t="shared" si="1"/>
        <v>2.74</v>
      </c>
      <c r="I24" s="19" t="s">
        <v>17</v>
      </c>
      <c r="K24" s="12">
        <v>1.0</v>
      </c>
    </row>
    <row r="25" ht="14.25" customHeight="1">
      <c r="A25" s="24">
        <v>23.0</v>
      </c>
      <c r="B25" s="42" t="s">
        <v>561</v>
      </c>
      <c r="C25" s="34" t="s">
        <v>138</v>
      </c>
      <c r="D25" s="34" t="s">
        <v>539</v>
      </c>
      <c r="E25" s="55">
        <v>5.0</v>
      </c>
      <c r="F25" s="55">
        <v>5.49</v>
      </c>
      <c r="G25" s="34"/>
      <c r="H25" s="43">
        <f t="shared" si="1"/>
        <v>5.245</v>
      </c>
      <c r="I25" s="34" t="s">
        <v>541</v>
      </c>
      <c r="J25" s="12">
        <v>1.0</v>
      </c>
    </row>
    <row r="26" ht="14.25" customHeight="1">
      <c r="A26" s="24">
        <v>24.0</v>
      </c>
      <c r="B26" s="42" t="s">
        <v>562</v>
      </c>
      <c r="C26" s="34" t="s">
        <v>138</v>
      </c>
      <c r="D26" s="34" t="s">
        <v>539</v>
      </c>
      <c r="E26" s="10">
        <v>1.56</v>
      </c>
      <c r="F26" s="10">
        <v>2.23</v>
      </c>
      <c r="G26" s="34"/>
      <c r="H26" s="43">
        <f t="shared" si="1"/>
        <v>1.895</v>
      </c>
      <c r="I26" s="19" t="s">
        <v>17</v>
      </c>
      <c r="K26" s="12">
        <v>1.0</v>
      </c>
    </row>
    <row r="27" ht="14.25" customHeight="1">
      <c r="A27" s="24">
        <v>25.0</v>
      </c>
      <c r="B27" s="42" t="s">
        <v>563</v>
      </c>
      <c r="C27" s="34" t="s">
        <v>138</v>
      </c>
      <c r="D27" s="8" t="s">
        <v>539</v>
      </c>
      <c r="E27" s="10">
        <v>3.65</v>
      </c>
      <c r="F27" s="10">
        <v>3.0</v>
      </c>
      <c r="G27" s="34"/>
      <c r="H27" s="43">
        <f t="shared" si="1"/>
        <v>3.325</v>
      </c>
      <c r="I27" s="19" t="s">
        <v>17</v>
      </c>
      <c r="K27" s="12">
        <v>1.0</v>
      </c>
    </row>
    <row r="28" ht="14.25" customHeight="1">
      <c r="A28" s="24">
        <v>26.0</v>
      </c>
      <c r="B28" s="42" t="s">
        <v>564</v>
      </c>
      <c r="C28" s="34" t="s">
        <v>138</v>
      </c>
      <c r="D28" s="8" t="s">
        <v>539</v>
      </c>
      <c r="E28" s="10">
        <v>2.75</v>
      </c>
      <c r="F28" s="10">
        <v>1.34</v>
      </c>
      <c r="G28" s="34"/>
      <c r="H28" s="43">
        <f t="shared" si="1"/>
        <v>2.045</v>
      </c>
      <c r="I28" s="19" t="s">
        <v>17</v>
      </c>
      <c r="K28" s="12">
        <v>1.0</v>
      </c>
    </row>
    <row r="29" ht="14.25" customHeight="1">
      <c r="A29" s="24">
        <v>27.0</v>
      </c>
      <c r="B29" s="42" t="s">
        <v>565</v>
      </c>
      <c r="C29" s="34" t="s">
        <v>138</v>
      </c>
      <c r="D29" s="8" t="s">
        <v>539</v>
      </c>
      <c r="E29" s="10">
        <v>5.01</v>
      </c>
      <c r="F29" s="10">
        <v>5.06</v>
      </c>
      <c r="G29" s="34"/>
      <c r="H29" s="43">
        <f t="shared" si="1"/>
        <v>5.035</v>
      </c>
      <c r="I29" s="34" t="s">
        <v>541</v>
      </c>
      <c r="J29" s="12">
        <v>1.0</v>
      </c>
    </row>
    <row r="30" ht="14.25" customHeight="1">
      <c r="A30" s="24">
        <v>28.0</v>
      </c>
      <c r="B30" s="42" t="s">
        <v>566</v>
      </c>
      <c r="C30" s="34" t="s">
        <v>138</v>
      </c>
      <c r="D30" s="8" t="s">
        <v>539</v>
      </c>
      <c r="E30" s="10">
        <v>2.0</v>
      </c>
      <c r="F30" s="10">
        <v>2.77</v>
      </c>
      <c r="G30" s="34"/>
      <c r="H30" s="43">
        <f t="shared" si="1"/>
        <v>2.385</v>
      </c>
      <c r="I30" s="19" t="s">
        <v>17</v>
      </c>
      <c r="K30" s="12">
        <v>1.0</v>
      </c>
    </row>
    <row r="31" ht="14.25" customHeight="1">
      <c r="A31" s="24">
        <v>29.0</v>
      </c>
      <c r="B31" s="42" t="s">
        <v>567</v>
      </c>
      <c r="C31" s="8" t="s">
        <v>138</v>
      </c>
      <c r="D31" s="8" t="s">
        <v>539</v>
      </c>
      <c r="E31" s="10">
        <v>4.71</v>
      </c>
      <c r="F31" s="10">
        <v>5.05</v>
      </c>
      <c r="G31" s="34"/>
      <c r="H31" s="43">
        <f t="shared" si="1"/>
        <v>4.88</v>
      </c>
      <c r="I31" s="34" t="s">
        <v>541</v>
      </c>
      <c r="J31" s="12">
        <v>1.0</v>
      </c>
    </row>
    <row r="32" ht="14.25" customHeight="1">
      <c r="A32" s="24">
        <v>30.0</v>
      </c>
      <c r="B32" s="42" t="s">
        <v>568</v>
      </c>
      <c r="C32" s="34" t="s">
        <v>138</v>
      </c>
      <c r="D32" s="8" t="s">
        <v>539</v>
      </c>
      <c r="E32" s="10">
        <v>6.7</v>
      </c>
      <c r="F32" s="10">
        <v>7.12</v>
      </c>
      <c r="G32" s="34"/>
      <c r="H32" s="43">
        <f t="shared" si="1"/>
        <v>6.91</v>
      </c>
      <c r="I32" s="34" t="s">
        <v>541</v>
      </c>
      <c r="J32" s="12">
        <v>1.0</v>
      </c>
    </row>
    <row r="33" ht="14.25" customHeight="1">
      <c r="A33" s="24">
        <v>31.0</v>
      </c>
      <c r="B33" s="42" t="s">
        <v>569</v>
      </c>
      <c r="C33" s="8" t="s">
        <v>138</v>
      </c>
      <c r="D33" s="8" t="s">
        <v>539</v>
      </c>
      <c r="E33" s="10">
        <v>3.69</v>
      </c>
      <c r="F33" s="10">
        <v>4.6</v>
      </c>
      <c r="G33" s="34"/>
      <c r="H33" s="43">
        <f t="shared" si="1"/>
        <v>4.145</v>
      </c>
      <c r="I33" s="11" t="s">
        <v>17</v>
      </c>
      <c r="K33" s="12">
        <v>1.0</v>
      </c>
    </row>
    <row r="34" ht="14.25" customHeight="1">
      <c r="A34" s="24">
        <v>32.0</v>
      </c>
      <c r="B34" s="42" t="s">
        <v>570</v>
      </c>
      <c r="C34" s="8" t="s">
        <v>138</v>
      </c>
      <c r="D34" s="17" t="s">
        <v>539</v>
      </c>
      <c r="E34" s="31">
        <v>2.5</v>
      </c>
      <c r="F34" s="31">
        <v>3.59</v>
      </c>
      <c r="G34" s="34"/>
      <c r="H34" s="43">
        <f t="shared" si="1"/>
        <v>3.045</v>
      </c>
      <c r="I34" s="11" t="s">
        <v>17</v>
      </c>
      <c r="K34" s="12">
        <v>1.0</v>
      </c>
    </row>
    <row r="35" ht="14.25" customHeight="1">
      <c r="A35" s="24">
        <v>33.0</v>
      </c>
      <c r="B35" s="42" t="s">
        <v>571</v>
      </c>
      <c r="C35" s="8" t="s">
        <v>138</v>
      </c>
      <c r="D35" s="34" t="s">
        <v>539</v>
      </c>
      <c r="E35" s="43">
        <v>6.79</v>
      </c>
      <c r="F35" s="43">
        <v>7.0</v>
      </c>
      <c r="G35" s="34"/>
      <c r="H35" s="43">
        <f t="shared" si="1"/>
        <v>6.895</v>
      </c>
      <c r="I35" s="34" t="s">
        <v>541</v>
      </c>
      <c r="J35" s="12">
        <v>1.0</v>
      </c>
    </row>
    <row r="36" ht="14.25" customHeight="1">
      <c r="A36" s="24">
        <v>34.0</v>
      </c>
      <c r="B36" s="42" t="s">
        <v>572</v>
      </c>
      <c r="C36" s="34" t="s">
        <v>138</v>
      </c>
      <c r="D36" s="34" t="s">
        <v>539</v>
      </c>
      <c r="E36" s="10">
        <v>4.56</v>
      </c>
      <c r="F36" s="10">
        <v>6.23</v>
      </c>
      <c r="G36" s="34"/>
      <c r="H36" s="43">
        <f t="shared" si="1"/>
        <v>5.395</v>
      </c>
      <c r="I36" s="34" t="s">
        <v>541</v>
      </c>
      <c r="J36" s="12">
        <v>1.0</v>
      </c>
    </row>
    <row r="37" ht="14.25" customHeight="1">
      <c r="A37" s="24">
        <v>35.0</v>
      </c>
      <c r="B37" s="42" t="s">
        <v>573</v>
      </c>
      <c r="C37" s="34" t="s">
        <v>138</v>
      </c>
      <c r="D37" s="34" t="s">
        <v>539</v>
      </c>
      <c r="E37" s="10">
        <v>5.98</v>
      </c>
      <c r="F37" s="10">
        <v>4.0</v>
      </c>
      <c r="G37" s="34"/>
      <c r="H37" s="43">
        <f t="shared" si="1"/>
        <v>4.99</v>
      </c>
      <c r="I37" s="34" t="s">
        <v>541</v>
      </c>
      <c r="J37" s="12">
        <v>1.0</v>
      </c>
    </row>
    <row r="38" ht="14.25" customHeight="1">
      <c r="A38" s="24">
        <v>36.0</v>
      </c>
      <c r="B38" s="56" t="s">
        <v>574</v>
      </c>
      <c r="C38" s="34" t="s">
        <v>138</v>
      </c>
      <c r="D38" s="34" t="s">
        <v>539</v>
      </c>
      <c r="E38" s="10">
        <v>4.75</v>
      </c>
      <c r="F38" s="10">
        <v>3.35</v>
      </c>
      <c r="G38" s="34"/>
      <c r="H38" s="43">
        <f t="shared" si="1"/>
        <v>4.05</v>
      </c>
      <c r="I38" s="11" t="s">
        <v>17</v>
      </c>
      <c r="K38" s="12">
        <v>1.0</v>
      </c>
    </row>
    <row r="39" ht="14.25" customHeight="1">
      <c r="A39" s="6"/>
      <c r="B39" s="56"/>
      <c r="C39" s="8"/>
      <c r="D39" s="8"/>
      <c r="E39" s="31"/>
      <c r="F39" s="31"/>
      <c r="G39" s="17"/>
      <c r="H39" s="10"/>
      <c r="I39" s="11"/>
      <c r="J39" s="1">
        <f t="shared" ref="J39:L39" si="2">SUM(J3:J38)</f>
        <v>19</v>
      </c>
      <c r="K39" s="1">
        <f t="shared" si="2"/>
        <v>17</v>
      </c>
      <c r="L39" s="1">
        <f t="shared" si="2"/>
        <v>0</v>
      </c>
    </row>
    <row r="40" ht="14.25" customHeight="1">
      <c r="A40" s="6"/>
      <c r="B40" s="56"/>
      <c r="C40" s="8"/>
      <c r="D40" s="8"/>
      <c r="E40" s="31"/>
      <c r="F40" s="31"/>
      <c r="G40" s="17"/>
      <c r="H40" s="10"/>
      <c r="I40" s="11"/>
      <c r="J40" s="16">
        <f>J39/A38</f>
        <v>0.5277777778</v>
      </c>
      <c r="K40" s="16">
        <f>K39/A38</f>
        <v>0.4722222222</v>
      </c>
    </row>
    <row r="41" ht="14.25" customHeight="1">
      <c r="A41" s="6"/>
      <c r="B41" s="56"/>
      <c r="C41" s="8"/>
      <c r="D41" s="8"/>
      <c r="E41" s="31"/>
      <c r="F41" s="31"/>
      <c r="G41" s="17"/>
      <c r="H41" s="10"/>
      <c r="I41" s="11"/>
    </row>
    <row r="42" ht="14.25" customHeight="1">
      <c r="A42" s="32">
        <v>1.0</v>
      </c>
      <c r="B42" s="57" t="s">
        <v>575</v>
      </c>
      <c r="C42" s="8" t="s">
        <v>198</v>
      </c>
      <c r="D42" s="8" t="s">
        <v>576</v>
      </c>
      <c r="E42" s="31">
        <v>5.42</v>
      </c>
      <c r="F42" s="31">
        <v>4.32</v>
      </c>
      <c r="G42" s="31">
        <v>5.0</v>
      </c>
      <c r="H42" s="10">
        <f>((E42+F42+G42)/3)</f>
        <v>4.913333333</v>
      </c>
      <c r="I42" s="34" t="s">
        <v>541</v>
      </c>
      <c r="J42" s="12">
        <v>1.0</v>
      </c>
    </row>
    <row r="43" ht="14.25" customHeight="1">
      <c r="A43" s="32">
        <v>2.0</v>
      </c>
      <c r="B43" s="57" t="s">
        <v>577</v>
      </c>
      <c r="C43" s="8" t="s">
        <v>198</v>
      </c>
      <c r="D43" s="22" t="s">
        <v>576</v>
      </c>
      <c r="E43" s="43">
        <v>1.34</v>
      </c>
      <c r="F43" s="43">
        <v>3.05</v>
      </c>
      <c r="G43" s="42" t="s">
        <v>324</v>
      </c>
      <c r="H43" s="10">
        <f>((E59+F59)/3)</f>
        <v>2.82</v>
      </c>
      <c r="I43" s="48" t="s">
        <v>12</v>
      </c>
      <c r="L43" s="12">
        <v>1.0</v>
      </c>
    </row>
    <row r="44" ht="14.25" customHeight="1">
      <c r="A44" s="32">
        <v>3.0</v>
      </c>
      <c r="B44" s="57" t="s">
        <v>578</v>
      </c>
      <c r="C44" s="8" t="s">
        <v>198</v>
      </c>
      <c r="D44" s="8" t="s">
        <v>576</v>
      </c>
      <c r="E44" s="10">
        <v>2.5</v>
      </c>
      <c r="F44" s="10">
        <v>1.68</v>
      </c>
      <c r="G44" s="10">
        <v>3.68</v>
      </c>
      <c r="H44" s="10">
        <f t="shared" ref="H44:H74" si="3">((E44+F44+G44)/3)</f>
        <v>2.62</v>
      </c>
      <c r="I44" s="11" t="s">
        <v>17</v>
      </c>
      <c r="K44" s="12">
        <v>1.0</v>
      </c>
    </row>
    <row r="45" ht="14.25" customHeight="1">
      <c r="A45" s="32">
        <v>4.0</v>
      </c>
      <c r="B45" s="57" t="s">
        <v>579</v>
      </c>
      <c r="C45" s="8" t="s">
        <v>198</v>
      </c>
      <c r="D45" s="8" t="s">
        <v>576</v>
      </c>
      <c r="E45" s="10">
        <v>4.38</v>
      </c>
      <c r="F45" s="10">
        <v>5.5</v>
      </c>
      <c r="G45" s="10">
        <v>4.87</v>
      </c>
      <c r="H45" s="10">
        <f t="shared" si="3"/>
        <v>4.916666667</v>
      </c>
      <c r="I45" s="34" t="s">
        <v>541</v>
      </c>
      <c r="J45" s="12">
        <v>1.0</v>
      </c>
    </row>
    <row r="46" ht="14.25" customHeight="1">
      <c r="A46" s="32">
        <v>5.0</v>
      </c>
      <c r="B46" s="57" t="s">
        <v>580</v>
      </c>
      <c r="C46" s="8" t="s">
        <v>198</v>
      </c>
      <c r="D46" s="8" t="s">
        <v>576</v>
      </c>
      <c r="E46" s="10">
        <v>5.3</v>
      </c>
      <c r="F46" s="10">
        <v>4.5</v>
      </c>
      <c r="G46" s="10">
        <v>6.5</v>
      </c>
      <c r="H46" s="10">
        <f t="shared" si="3"/>
        <v>5.433333333</v>
      </c>
      <c r="I46" s="34" t="s">
        <v>541</v>
      </c>
      <c r="J46" s="12">
        <v>1.0</v>
      </c>
    </row>
    <row r="47" ht="14.25" customHeight="1">
      <c r="A47" s="32">
        <v>6.0</v>
      </c>
      <c r="B47" s="57" t="s">
        <v>581</v>
      </c>
      <c r="C47" s="8" t="s">
        <v>198</v>
      </c>
      <c r="D47" s="8" t="s">
        <v>576</v>
      </c>
      <c r="E47" s="10">
        <v>2.21</v>
      </c>
      <c r="F47" s="10">
        <v>1.94</v>
      </c>
      <c r="G47" s="10">
        <v>3.0</v>
      </c>
      <c r="H47" s="10">
        <f t="shared" si="3"/>
        <v>2.383333333</v>
      </c>
      <c r="I47" s="11" t="s">
        <v>17</v>
      </c>
      <c r="K47" s="12">
        <v>1.0</v>
      </c>
    </row>
    <row r="48" ht="14.25" customHeight="1">
      <c r="A48" s="34">
        <v>7.0</v>
      </c>
      <c r="B48" s="57" t="s">
        <v>582</v>
      </c>
      <c r="C48" s="58" t="s">
        <v>198</v>
      </c>
      <c r="D48" s="58" t="s">
        <v>576</v>
      </c>
      <c r="E48" s="55">
        <v>4.59</v>
      </c>
      <c r="F48" s="55">
        <v>5.0</v>
      </c>
      <c r="G48" s="55">
        <v>5.49</v>
      </c>
      <c r="H48" s="10">
        <f t="shared" si="3"/>
        <v>5.026666667</v>
      </c>
      <c r="I48" s="34" t="s">
        <v>541</v>
      </c>
      <c r="J48" s="12">
        <v>1.0</v>
      </c>
    </row>
    <row r="49" ht="14.25" customHeight="1">
      <c r="A49" s="32">
        <v>8.0</v>
      </c>
      <c r="B49" s="57" t="s">
        <v>583</v>
      </c>
      <c r="C49" s="8" t="s">
        <v>198</v>
      </c>
      <c r="D49" s="8" t="s">
        <v>576</v>
      </c>
      <c r="E49" s="10">
        <v>3.95</v>
      </c>
      <c r="F49" s="10">
        <v>4.56</v>
      </c>
      <c r="G49" s="10">
        <v>6.23</v>
      </c>
      <c r="H49" s="10">
        <f t="shared" si="3"/>
        <v>4.913333333</v>
      </c>
      <c r="I49" s="34" t="s">
        <v>541</v>
      </c>
      <c r="J49" s="12">
        <v>1.0</v>
      </c>
    </row>
    <row r="50" ht="14.25" customHeight="1">
      <c r="A50" s="32">
        <v>9.0</v>
      </c>
      <c r="B50" s="57" t="s">
        <v>584</v>
      </c>
      <c r="C50" s="8" t="s">
        <v>198</v>
      </c>
      <c r="D50" s="8" t="s">
        <v>576</v>
      </c>
      <c r="E50" s="10">
        <v>5.5</v>
      </c>
      <c r="F50" s="10">
        <v>3.65</v>
      </c>
      <c r="G50" s="10">
        <v>4.46</v>
      </c>
      <c r="H50" s="10">
        <f t="shared" si="3"/>
        <v>4.536666667</v>
      </c>
      <c r="I50" s="34" t="s">
        <v>541</v>
      </c>
      <c r="J50" s="12">
        <v>1.0</v>
      </c>
    </row>
    <row r="51" ht="14.25" customHeight="1">
      <c r="A51" s="32">
        <v>10.0</v>
      </c>
      <c r="B51" s="57" t="s">
        <v>585</v>
      </c>
      <c r="C51" s="8" t="s">
        <v>198</v>
      </c>
      <c r="D51" s="8" t="s">
        <v>576</v>
      </c>
      <c r="E51" s="10">
        <v>1.45</v>
      </c>
      <c r="F51" s="10">
        <v>2.75</v>
      </c>
      <c r="G51" s="10">
        <v>1.576</v>
      </c>
      <c r="H51" s="10">
        <f t="shared" si="3"/>
        <v>1.925333333</v>
      </c>
      <c r="I51" s="11" t="s">
        <v>17</v>
      </c>
      <c r="K51" s="12">
        <v>1.0</v>
      </c>
    </row>
    <row r="52" ht="14.25" customHeight="1">
      <c r="A52" s="32">
        <v>11.0</v>
      </c>
      <c r="B52" s="57" t="s">
        <v>586</v>
      </c>
      <c r="C52" s="8" t="s">
        <v>198</v>
      </c>
      <c r="D52" s="8" t="s">
        <v>576</v>
      </c>
      <c r="E52" s="10">
        <v>3.0</v>
      </c>
      <c r="F52" s="10">
        <v>3.51</v>
      </c>
      <c r="G52" s="10">
        <v>2.66</v>
      </c>
      <c r="H52" s="10">
        <f t="shared" si="3"/>
        <v>3.056666667</v>
      </c>
      <c r="I52" s="11" t="s">
        <v>17</v>
      </c>
      <c r="K52" s="12">
        <v>1.0</v>
      </c>
    </row>
    <row r="53" ht="14.25" customHeight="1">
      <c r="A53" s="32">
        <v>12.0</v>
      </c>
      <c r="B53" s="57" t="s">
        <v>587</v>
      </c>
      <c r="C53" s="8" t="s">
        <v>198</v>
      </c>
      <c r="D53" s="8" t="s">
        <v>576</v>
      </c>
      <c r="E53" s="10">
        <v>2.46</v>
      </c>
      <c r="F53" s="10">
        <v>2.0</v>
      </c>
      <c r="G53" s="10">
        <v>2.77</v>
      </c>
      <c r="H53" s="10">
        <f t="shared" si="3"/>
        <v>2.41</v>
      </c>
      <c r="I53" s="11" t="s">
        <v>17</v>
      </c>
      <c r="K53" s="12">
        <v>1.0</v>
      </c>
    </row>
    <row r="54" ht="14.25" customHeight="1">
      <c r="A54" s="32">
        <v>13.0</v>
      </c>
      <c r="B54" s="57" t="s">
        <v>588</v>
      </c>
      <c r="C54" s="8" t="s">
        <v>198</v>
      </c>
      <c r="D54" s="8" t="s">
        <v>576</v>
      </c>
      <c r="E54" s="10">
        <v>3.0</v>
      </c>
      <c r="F54" s="10">
        <v>3.01</v>
      </c>
      <c r="G54" s="10">
        <v>3.05</v>
      </c>
      <c r="H54" s="10">
        <f t="shared" si="3"/>
        <v>3.02</v>
      </c>
      <c r="I54" s="11" t="s">
        <v>17</v>
      </c>
      <c r="K54" s="12">
        <v>1.0</v>
      </c>
    </row>
    <row r="55" ht="14.25" customHeight="1">
      <c r="A55" s="32">
        <v>14.0</v>
      </c>
      <c r="B55" s="57" t="s">
        <v>589</v>
      </c>
      <c r="C55" s="8" t="s">
        <v>198</v>
      </c>
      <c r="D55" s="8" t="s">
        <v>576</v>
      </c>
      <c r="E55" s="10">
        <v>1.04</v>
      </c>
      <c r="F55" s="10">
        <v>1.7</v>
      </c>
      <c r="G55" s="10">
        <v>1.12</v>
      </c>
      <c r="H55" s="10">
        <f t="shared" si="3"/>
        <v>1.286666667</v>
      </c>
      <c r="I55" s="11" t="s">
        <v>17</v>
      </c>
      <c r="K55" s="12">
        <v>1.0</v>
      </c>
    </row>
    <row r="56" ht="14.25" customHeight="1">
      <c r="A56" s="32">
        <v>15.0</v>
      </c>
      <c r="B56" s="57" t="s">
        <v>590</v>
      </c>
      <c r="C56" s="8" t="s">
        <v>198</v>
      </c>
      <c r="D56" s="8" t="s">
        <v>576</v>
      </c>
      <c r="E56" s="31">
        <v>4.01</v>
      </c>
      <c r="F56" s="10">
        <v>4.69</v>
      </c>
      <c r="G56" s="10">
        <v>5.6</v>
      </c>
      <c r="H56" s="10">
        <f t="shared" si="3"/>
        <v>4.766666667</v>
      </c>
      <c r="I56" s="34" t="s">
        <v>541</v>
      </c>
      <c r="J56" s="12">
        <v>1.0</v>
      </c>
    </row>
    <row r="57" ht="14.25" customHeight="1">
      <c r="A57" s="32">
        <v>16.0</v>
      </c>
      <c r="B57" s="57" t="s">
        <v>27</v>
      </c>
      <c r="C57" s="8" t="s">
        <v>198</v>
      </c>
      <c r="D57" s="22" t="s">
        <v>576</v>
      </c>
      <c r="E57" s="43">
        <v>5.5</v>
      </c>
      <c r="F57" s="31">
        <v>5.5</v>
      </c>
      <c r="G57" s="10">
        <v>5.59</v>
      </c>
      <c r="H57" s="10">
        <f t="shared" si="3"/>
        <v>5.53</v>
      </c>
      <c r="I57" s="34" t="s">
        <v>541</v>
      </c>
      <c r="J57" s="12">
        <v>1.0</v>
      </c>
    </row>
    <row r="58" ht="14.25" customHeight="1">
      <c r="A58" s="36">
        <v>17.0</v>
      </c>
      <c r="B58" s="59" t="s">
        <v>591</v>
      </c>
      <c r="C58" s="17" t="s">
        <v>198</v>
      </c>
      <c r="D58" s="20" t="s">
        <v>576</v>
      </c>
      <c r="E58" s="43">
        <v>1.2</v>
      </c>
      <c r="F58" s="43">
        <v>2.03</v>
      </c>
      <c r="G58" s="31">
        <v>1.34</v>
      </c>
      <c r="H58" s="10">
        <f t="shared" si="3"/>
        <v>1.523333333</v>
      </c>
      <c r="I58" s="11" t="s">
        <v>17</v>
      </c>
      <c r="K58" s="12">
        <v>1.0</v>
      </c>
    </row>
    <row r="59" ht="14.25" customHeight="1">
      <c r="A59" s="34">
        <v>18.0</v>
      </c>
      <c r="B59" s="42" t="s">
        <v>592</v>
      </c>
      <c r="C59" s="34" t="s">
        <v>198</v>
      </c>
      <c r="D59" s="34" t="s">
        <v>576</v>
      </c>
      <c r="E59" s="43">
        <v>4.0</v>
      </c>
      <c r="F59" s="43">
        <v>4.46</v>
      </c>
      <c r="G59" s="43">
        <v>5.05</v>
      </c>
      <c r="H59" s="10">
        <f t="shared" si="3"/>
        <v>4.503333333</v>
      </c>
      <c r="I59" s="34" t="s">
        <v>541</v>
      </c>
      <c r="J59" s="12">
        <v>1.0</v>
      </c>
    </row>
    <row r="60" ht="14.25" customHeight="1">
      <c r="A60" s="34">
        <v>19.0</v>
      </c>
      <c r="B60" s="42" t="s">
        <v>593</v>
      </c>
      <c r="C60" s="8" t="s">
        <v>198</v>
      </c>
      <c r="D60" s="22" t="s">
        <v>576</v>
      </c>
      <c r="E60" s="60">
        <v>3.567</v>
      </c>
      <c r="F60" s="60">
        <v>1.37</v>
      </c>
      <c r="G60" s="60">
        <v>2.87</v>
      </c>
      <c r="H60" s="10">
        <f t="shared" si="3"/>
        <v>2.602333333</v>
      </c>
      <c r="I60" s="11" t="s">
        <v>17</v>
      </c>
      <c r="K60" s="12">
        <v>1.0</v>
      </c>
    </row>
    <row r="61" ht="14.25" customHeight="1">
      <c r="A61" s="34">
        <v>20.0</v>
      </c>
      <c r="B61" s="42" t="s">
        <v>208</v>
      </c>
      <c r="C61" s="8" t="s">
        <v>198</v>
      </c>
      <c r="D61" s="22" t="s">
        <v>576</v>
      </c>
      <c r="E61" s="60">
        <v>5.0</v>
      </c>
      <c r="F61" s="60">
        <v>4.78</v>
      </c>
      <c r="G61" s="60">
        <v>4.89</v>
      </c>
      <c r="H61" s="10">
        <f t="shared" si="3"/>
        <v>4.89</v>
      </c>
      <c r="I61" s="34" t="s">
        <v>541</v>
      </c>
      <c r="J61" s="12">
        <v>1.0</v>
      </c>
    </row>
    <row r="62" ht="14.25" customHeight="1">
      <c r="A62" s="34">
        <v>21.0</v>
      </c>
      <c r="B62" s="42" t="s">
        <v>594</v>
      </c>
      <c r="C62" s="8" t="s">
        <v>198</v>
      </c>
      <c r="D62" s="22" t="s">
        <v>576</v>
      </c>
      <c r="E62" s="60">
        <v>2.31</v>
      </c>
      <c r="F62" s="60">
        <v>1.47</v>
      </c>
      <c r="G62" s="60">
        <v>2.78</v>
      </c>
      <c r="H62" s="10">
        <f t="shared" si="3"/>
        <v>2.186666667</v>
      </c>
      <c r="I62" s="11" t="s">
        <v>17</v>
      </c>
      <c r="K62" s="12">
        <v>1.0</v>
      </c>
    </row>
    <row r="63" ht="14.25" customHeight="1">
      <c r="A63" s="61">
        <v>22.0</v>
      </c>
      <c r="B63" s="42" t="s">
        <v>595</v>
      </c>
      <c r="C63" s="17" t="s">
        <v>198</v>
      </c>
      <c r="D63" s="22" t="s">
        <v>576</v>
      </c>
      <c r="E63" s="60">
        <v>3.98</v>
      </c>
      <c r="F63" s="60">
        <v>2.21</v>
      </c>
      <c r="G63" s="60">
        <v>2.0</v>
      </c>
      <c r="H63" s="10">
        <f t="shared" si="3"/>
        <v>2.73</v>
      </c>
      <c r="I63" s="11" t="s">
        <v>17</v>
      </c>
      <c r="K63" s="12">
        <v>1.0</v>
      </c>
    </row>
    <row r="64" ht="14.25" customHeight="1">
      <c r="A64" s="34">
        <v>23.0</v>
      </c>
      <c r="B64" s="42" t="s">
        <v>596</v>
      </c>
      <c r="C64" s="34" t="s">
        <v>198</v>
      </c>
      <c r="D64" s="22" t="s">
        <v>576</v>
      </c>
      <c r="E64" s="60">
        <v>1.45</v>
      </c>
      <c r="F64" s="60">
        <v>3.87</v>
      </c>
      <c r="G64" s="60">
        <v>3.08</v>
      </c>
      <c r="H64" s="10">
        <f t="shared" si="3"/>
        <v>2.8</v>
      </c>
      <c r="I64" s="11" t="s">
        <v>17</v>
      </c>
      <c r="K64" s="12">
        <v>1.0</v>
      </c>
    </row>
    <row r="65" ht="14.25" customHeight="1">
      <c r="A65" s="34">
        <v>24.0</v>
      </c>
      <c r="B65" s="42" t="s">
        <v>212</v>
      </c>
      <c r="C65" s="34" t="s">
        <v>198</v>
      </c>
      <c r="D65" s="62" t="s">
        <v>576</v>
      </c>
      <c r="E65" s="60">
        <v>2.0</v>
      </c>
      <c r="F65" s="60">
        <v>1.85</v>
      </c>
      <c r="G65" s="60">
        <v>2.66</v>
      </c>
      <c r="H65" s="10">
        <f t="shared" si="3"/>
        <v>2.17</v>
      </c>
      <c r="I65" s="11" t="s">
        <v>17</v>
      </c>
      <c r="K65" s="12">
        <v>1.0</v>
      </c>
    </row>
    <row r="66" ht="14.25" customHeight="1">
      <c r="A66" s="34">
        <v>25.0</v>
      </c>
      <c r="B66" s="42" t="s">
        <v>597</v>
      </c>
      <c r="C66" s="34" t="s">
        <v>198</v>
      </c>
      <c r="D66" s="34" t="s">
        <v>576</v>
      </c>
      <c r="E66" s="43">
        <v>3.5</v>
      </c>
      <c r="F66" s="43">
        <v>4.68</v>
      </c>
      <c r="G66" s="10">
        <v>6.68</v>
      </c>
      <c r="H66" s="10">
        <f t="shared" si="3"/>
        <v>4.953333333</v>
      </c>
      <c r="I66" s="34" t="s">
        <v>541</v>
      </c>
      <c r="J66" s="12">
        <v>1.0</v>
      </c>
    </row>
    <row r="67" ht="14.25" customHeight="1">
      <c r="A67" s="34">
        <v>26.0</v>
      </c>
      <c r="B67" s="42" t="s">
        <v>214</v>
      </c>
      <c r="C67" s="34" t="s">
        <v>198</v>
      </c>
      <c r="D67" s="34" t="s">
        <v>576</v>
      </c>
      <c r="E67" s="43">
        <v>2.38</v>
      </c>
      <c r="F67" s="43">
        <v>3.5</v>
      </c>
      <c r="G67" s="10">
        <v>4.87</v>
      </c>
      <c r="H67" s="10">
        <f t="shared" si="3"/>
        <v>3.583333333</v>
      </c>
      <c r="I67" s="11" t="s">
        <v>17</v>
      </c>
      <c r="K67" s="12">
        <v>1.0</v>
      </c>
    </row>
    <row r="68" ht="14.25" customHeight="1">
      <c r="A68" s="34">
        <v>27.0</v>
      </c>
      <c r="B68" s="42" t="s">
        <v>598</v>
      </c>
      <c r="C68" s="34" t="s">
        <v>198</v>
      </c>
      <c r="D68" s="34" t="s">
        <v>576</v>
      </c>
      <c r="E68" s="43">
        <v>3.73</v>
      </c>
      <c r="F68" s="43">
        <v>2.5</v>
      </c>
      <c r="G68" s="10">
        <v>2.55</v>
      </c>
      <c r="H68" s="10">
        <f t="shared" si="3"/>
        <v>2.926666667</v>
      </c>
      <c r="I68" s="11" t="s">
        <v>17</v>
      </c>
      <c r="K68" s="12">
        <v>1.0</v>
      </c>
    </row>
    <row r="69" ht="14.25" customHeight="1">
      <c r="A69" s="34">
        <v>28.0</v>
      </c>
      <c r="B69" s="42" t="s">
        <v>599</v>
      </c>
      <c r="C69" s="34" t="s">
        <v>198</v>
      </c>
      <c r="D69" s="34" t="s">
        <v>576</v>
      </c>
      <c r="E69" s="43">
        <v>6.01</v>
      </c>
      <c r="F69" s="43">
        <v>4.69</v>
      </c>
      <c r="G69" s="10">
        <v>5.6</v>
      </c>
      <c r="H69" s="10">
        <f t="shared" si="3"/>
        <v>5.433333333</v>
      </c>
      <c r="I69" s="34" t="s">
        <v>541</v>
      </c>
      <c r="J69" s="12">
        <v>1.0</v>
      </c>
    </row>
    <row r="70" ht="14.25" customHeight="1">
      <c r="A70" s="34">
        <v>29.0</v>
      </c>
      <c r="B70" s="42" t="s">
        <v>220</v>
      </c>
      <c r="C70" s="34" t="s">
        <v>198</v>
      </c>
      <c r="D70" s="34" t="s">
        <v>576</v>
      </c>
      <c r="E70" s="43">
        <v>2.5</v>
      </c>
      <c r="F70" s="31">
        <v>1.5</v>
      </c>
      <c r="G70" s="10">
        <v>3.59</v>
      </c>
      <c r="H70" s="10">
        <f t="shared" si="3"/>
        <v>2.53</v>
      </c>
      <c r="I70" s="11" t="s">
        <v>17</v>
      </c>
      <c r="K70" s="12">
        <v>1.0</v>
      </c>
    </row>
    <row r="71" ht="14.25" customHeight="1">
      <c r="A71" s="34">
        <v>30.0</v>
      </c>
      <c r="B71" s="42" t="s">
        <v>600</v>
      </c>
      <c r="C71" s="34" t="s">
        <v>198</v>
      </c>
      <c r="D71" s="20" t="s">
        <v>576</v>
      </c>
      <c r="E71" s="43">
        <v>3.2</v>
      </c>
      <c r="F71" s="43">
        <v>3.03</v>
      </c>
      <c r="G71" s="31">
        <v>2.34</v>
      </c>
      <c r="H71" s="31">
        <f t="shared" si="3"/>
        <v>2.856666667</v>
      </c>
      <c r="I71" s="11" t="s">
        <v>17</v>
      </c>
      <c r="K71" s="12">
        <v>1.0</v>
      </c>
    </row>
    <row r="72" ht="14.25" customHeight="1">
      <c r="A72" s="34">
        <v>31.0</v>
      </c>
      <c r="B72" s="42" t="s">
        <v>200</v>
      </c>
      <c r="C72" s="34" t="s">
        <v>198</v>
      </c>
      <c r="D72" s="34" t="s">
        <v>576</v>
      </c>
      <c r="E72" s="43">
        <v>4.0</v>
      </c>
      <c r="F72" s="43">
        <v>5.46</v>
      </c>
      <c r="G72" s="43">
        <v>5.05</v>
      </c>
      <c r="H72" s="43">
        <f t="shared" si="3"/>
        <v>4.836666667</v>
      </c>
      <c r="I72" s="34" t="s">
        <v>541</v>
      </c>
      <c r="J72" s="12">
        <v>1.0</v>
      </c>
    </row>
    <row r="73" ht="14.25" customHeight="1">
      <c r="A73" s="34">
        <v>32.0</v>
      </c>
      <c r="B73" s="63" t="s">
        <v>601</v>
      </c>
      <c r="C73" s="34" t="s">
        <v>198</v>
      </c>
      <c r="D73" s="20" t="s">
        <v>576</v>
      </c>
      <c r="E73" s="60">
        <v>2.465</v>
      </c>
      <c r="F73" s="60">
        <v>3.0</v>
      </c>
      <c r="G73" s="60">
        <v>3.23</v>
      </c>
      <c r="H73" s="31">
        <f t="shared" si="3"/>
        <v>2.898333333</v>
      </c>
      <c r="I73" s="11" t="s">
        <v>17</v>
      </c>
      <c r="K73" s="12">
        <v>1.0</v>
      </c>
    </row>
    <row r="74" ht="14.25" customHeight="1">
      <c r="A74" s="34">
        <v>33.0</v>
      </c>
      <c r="B74" s="42" t="s">
        <v>201</v>
      </c>
      <c r="C74" s="22" t="s">
        <v>198</v>
      </c>
      <c r="D74" s="34" t="s">
        <v>576</v>
      </c>
      <c r="E74" s="60">
        <v>4.78</v>
      </c>
      <c r="F74" s="60">
        <v>2.21</v>
      </c>
      <c r="G74" s="60">
        <v>1.0</v>
      </c>
      <c r="H74" s="43">
        <f t="shared" si="3"/>
        <v>2.663333333</v>
      </c>
      <c r="I74" s="11" t="s">
        <v>17</v>
      </c>
      <c r="K74" s="12">
        <v>1.0</v>
      </c>
    </row>
    <row r="75" ht="14.25" customHeight="1">
      <c r="D75" s="20"/>
      <c r="J75" s="1">
        <f t="shared" ref="J75:L75" si="4">SUM(J42:J74)</f>
        <v>13</v>
      </c>
      <c r="K75" s="1">
        <f t="shared" si="4"/>
        <v>19</v>
      </c>
      <c r="L75" s="1">
        <f t="shared" si="4"/>
        <v>1</v>
      </c>
    </row>
    <row r="76" ht="14.25" customHeight="1">
      <c r="J76" s="16">
        <f>J75/A74</f>
        <v>0.3939393939</v>
      </c>
      <c r="K76" s="16">
        <f>K75/A74</f>
        <v>0.5757575758</v>
      </c>
      <c r="L76" s="16">
        <f>L75/A74</f>
        <v>0.0303030303</v>
      </c>
    </row>
    <row r="77" ht="14.25" customHeight="1">
      <c r="O77" s="3" t="s">
        <v>602</v>
      </c>
      <c r="P77" s="4" t="s">
        <v>286</v>
      </c>
      <c r="Q77" s="4" t="s">
        <v>603</v>
      </c>
      <c r="R77" s="3" t="s">
        <v>604</v>
      </c>
      <c r="S77" s="4" t="s">
        <v>289</v>
      </c>
      <c r="T77" s="4" t="s">
        <v>605</v>
      </c>
      <c r="U77" s="4" t="s">
        <v>291</v>
      </c>
      <c r="V77" s="4" t="s">
        <v>292</v>
      </c>
    </row>
    <row r="78" ht="14.25" customHeight="1">
      <c r="P78" s="1">
        <f>A74+A38</f>
        <v>69</v>
      </c>
      <c r="Q78" s="1">
        <f t="shared" ref="Q78:S78" si="5">J75+J39</f>
        <v>32</v>
      </c>
      <c r="R78" s="1">
        <f t="shared" si="5"/>
        <v>36</v>
      </c>
      <c r="S78" s="1">
        <f t="shared" si="5"/>
        <v>1</v>
      </c>
      <c r="T78" s="16">
        <f>Q78/P78</f>
        <v>0.4637681159</v>
      </c>
      <c r="U78" s="16">
        <f>S78/P78</f>
        <v>0.01449275362</v>
      </c>
      <c r="V78" s="16">
        <f>R78/P78</f>
        <v>0.5217391304</v>
      </c>
    </row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4.29"/>
    <col customWidth="1" min="3" max="3" width="17.43"/>
    <col customWidth="1" min="4" max="26" width="10.71"/>
  </cols>
  <sheetData>
    <row r="1" ht="14.25" customHeight="1">
      <c r="A1" s="1" t="s">
        <v>0</v>
      </c>
    </row>
    <row r="2" ht="14.25" customHeight="1"/>
    <row r="3" ht="14.25" customHeight="1"/>
    <row r="4" ht="14.25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535</v>
      </c>
      <c r="I4" s="2" t="s">
        <v>9</v>
      </c>
      <c r="J4" s="12" t="s">
        <v>536</v>
      </c>
      <c r="K4" s="12" t="s">
        <v>537</v>
      </c>
      <c r="L4" s="12" t="s">
        <v>12</v>
      </c>
      <c r="M4" s="5" t="s">
        <v>13</v>
      </c>
    </row>
    <row r="5" ht="14.25" customHeight="1">
      <c r="A5" s="32">
        <v>1.0</v>
      </c>
      <c r="B5" s="8" t="s">
        <v>606</v>
      </c>
      <c r="C5" s="8" t="s">
        <v>607</v>
      </c>
      <c r="D5" s="8" t="s">
        <v>576</v>
      </c>
      <c r="E5" s="10">
        <v>5.75</v>
      </c>
      <c r="F5" s="10">
        <v>5.3</v>
      </c>
      <c r="G5" s="10">
        <v>5.65</v>
      </c>
      <c r="H5" s="10">
        <v>6.88</v>
      </c>
      <c r="I5" s="8" t="s">
        <v>541</v>
      </c>
      <c r="J5" s="12">
        <v>1.0</v>
      </c>
    </row>
    <row r="6" ht="14.25" customHeight="1">
      <c r="A6" s="32">
        <v>2.0</v>
      </c>
      <c r="B6" s="8" t="s">
        <v>608</v>
      </c>
      <c r="C6" s="8" t="s">
        <v>607</v>
      </c>
      <c r="D6" s="8" t="s">
        <v>576</v>
      </c>
      <c r="E6" s="10">
        <v>3.27</v>
      </c>
      <c r="F6" s="10">
        <v>4.96</v>
      </c>
      <c r="G6" s="10">
        <v>3.26</v>
      </c>
      <c r="H6" s="10">
        <v>4.16</v>
      </c>
      <c r="I6" s="11" t="s">
        <v>17</v>
      </c>
      <c r="K6" s="12">
        <v>1.0</v>
      </c>
    </row>
    <row r="7" ht="14.25" customHeight="1">
      <c r="A7" s="32">
        <v>3.0</v>
      </c>
      <c r="B7" s="8" t="s">
        <v>609</v>
      </c>
      <c r="C7" s="8" t="s">
        <v>607</v>
      </c>
      <c r="D7" s="8" t="s">
        <v>576</v>
      </c>
      <c r="E7" s="10">
        <v>4.56</v>
      </c>
      <c r="F7" s="10">
        <v>5.3</v>
      </c>
      <c r="G7" s="10">
        <v>5.65</v>
      </c>
      <c r="H7" s="10">
        <v>4.33</v>
      </c>
      <c r="I7" s="11" t="s">
        <v>17</v>
      </c>
      <c r="K7" s="12">
        <v>1.0</v>
      </c>
    </row>
    <row r="8" ht="14.25" customHeight="1">
      <c r="A8" s="32">
        <v>4.0</v>
      </c>
      <c r="B8" s="8" t="s">
        <v>610</v>
      </c>
      <c r="C8" s="8" t="s">
        <v>607</v>
      </c>
      <c r="D8" s="8" t="s">
        <v>576</v>
      </c>
      <c r="E8" s="10">
        <v>5.0</v>
      </c>
      <c r="F8" s="10">
        <v>5.37</v>
      </c>
      <c r="G8" s="10">
        <v>6.43</v>
      </c>
      <c r="H8" s="10">
        <v>5.41</v>
      </c>
      <c r="I8" s="8" t="s">
        <v>611</v>
      </c>
      <c r="J8" s="12">
        <v>1.0</v>
      </c>
    </row>
    <row r="9" ht="14.25" customHeight="1">
      <c r="A9" s="32"/>
      <c r="B9" s="8"/>
      <c r="C9" s="8"/>
      <c r="D9" s="8"/>
      <c r="E9" s="10"/>
      <c r="F9" s="10"/>
      <c r="G9" s="10"/>
      <c r="H9" s="10"/>
      <c r="I9" s="8"/>
      <c r="J9" s="1">
        <f t="shared" ref="J9:L9" si="1">SUM(J5:J8)</f>
        <v>2</v>
      </c>
      <c r="K9" s="1">
        <f t="shared" si="1"/>
        <v>2</v>
      </c>
      <c r="L9" s="1">
        <f t="shared" si="1"/>
        <v>0</v>
      </c>
    </row>
    <row r="10" ht="14.25" customHeight="1">
      <c r="A10" s="32"/>
      <c r="B10" s="8"/>
      <c r="C10" s="8"/>
      <c r="D10" s="8"/>
      <c r="E10" s="10"/>
      <c r="F10" s="10"/>
      <c r="G10" s="10"/>
      <c r="H10" s="10"/>
      <c r="I10" s="8"/>
      <c r="J10" s="16">
        <f>J9/A8</f>
        <v>0.5</v>
      </c>
      <c r="K10" s="16">
        <f>K9/A8</f>
        <v>0.5</v>
      </c>
    </row>
    <row r="11" ht="14.25" customHeight="1">
      <c r="A11" s="32"/>
      <c r="B11" s="8"/>
      <c r="C11" s="8"/>
      <c r="D11" s="8"/>
      <c r="E11" s="10"/>
      <c r="F11" s="10"/>
      <c r="G11" s="10"/>
      <c r="H11" s="10"/>
      <c r="I11" s="8"/>
    </row>
    <row r="12" ht="14.25" customHeight="1">
      <c r="A12" s="32">
        <v>1.0</v>
      </c>
      <c r="B12" s="8" t="s">
        <v>612</v>
      </c>
      <c r="C12" s="8" t="s">
        <v>295</v>
      </c>
      <c r="D12" s="8" t="s">
        <v>539</v>
      </c>
      <c r="E12" s="10">
        <v>4.08</v>
      </c>
      <c r="F12" s="10">
        <v>4.38</v>
      </c>
      <c r="G12" s="10">
        <v>5.76</v>
      </c>
      <c r="H12" s="10">
        <v>6.73</v>
      </c>
      <c r="I12" s="8" t="s">
        <v>541</v>
      </c>
      <c r="J12" s="12">
        <v>1.0</v>
      </c>
    </row>
    <row r="13" ht="14.25" customHeight="1">
      <c r="A13" s="32">
        <v>2.0</v>
      </c>
      <c r="B13" s="8" t="s">
        <v>613</v>
      </c>
      <c r="C13" s="8" t="s">
        <v>295</v>
      </c>
      <c r="D13" s="8" t="s">
        <v>539</v>
      </c>
      <c r="E13" s="10">
        <v>6.26</v>
      </c>
      <c r="F13" s="10">
        <v>4.76</v>
      </c>
      <c r="G13" s="10">
        <v>6.76</v>
      </c>
      <c r="H13" s="10">
        <v>5.59</v>
      </c>
      <c r="I13" s="8" t="s">
        <v>541</v>
      </c>
      <c r="J13" s="12">
        <v>1.0</v>
      </c>
    </row>
    <row r="14" ht="14.25" customHeight="1">
      <c r="A14" s="32">
        <v>3.0</v>
      </c>
      <c r="B14" s="8" t="s">
        <v>614</v>
      </c>
      <c r="C14" s="8" t="s">
        <v>295</v>
      </c>
      <c r="D14" s="8" t="s">
        <v>539</v>
      </c>
      <c r="E14" s="10">
        <v>4.52</v>
      </c>
      <c r="F14" s="10">
        <v>5.87</v>
      </c>
      <c r="G14" s="10">
        <v>6.7</v>
      </c>
      <c r="H14" s="10">
        <v>4.83</v>
      </c>
      <c r="I14" s="8" t="s">
        <v>541</v>
      </c>
      <c r="J14" s="12">
        <v>1.0</v>
      </c>
    </row>
    <row r="15" ht="14.25" customHeight="1">
      <c r="A15" s="32">
        <v>4.0</v>
      </c>
      <c r="B15" s="8" t="s">
        <v>615</v>
      </c>
      <c r="C15" s="8" t="s">
        <v>295</v>
      </c>
      <c r="D15" s="8" t="s">
        <v>539</v>
      </c>
      <c r="E15" s="10">
        <v>6.26</v>
      </c>
      <c r="F15" s="10">
        <v>7.25</v>
      </c>
      <c r="G15" s="10">
        <v>7.0</v>
      </c>
      <c r="H15" s="10">
        <v>6.1</v>
      </c>
      <c r="I15" s="8" t="s">
        <v>541</v>
      </c>
      <c r="J15" s="12">
        <v>1.0</v>
      </c>
    </row>
    <row r="16" ht="14.25" customHeight="1">
      <c r="A16" s="32">
        <v>5.0</v>
      </c>
      <c r="B16" s="8" t="s">
        <v>616</v>
      </c>
      <c r="C16" s="8" t="s">
        <v>295</v>
      </c>
      <c r="D16" s="8" t="s">
        <v>539</v>
      </c>
      <c r="E16" s="10">
        <v>2.91</v>
      </c>
      <c r="F16" s="10">
        <v>3.14</v>
      </c>
      <c r="G16" s="10">
        <v>3.97</v>
      </c>
      <c r="H16" s="10">
        <v>4.34</v>
      </c>
      <c r="I16" s="11" t="s">
        <v>17</v>
      </c>
      <c r="K16" s="12">
        <v>1.0</v>
      </c>
    </row>
    <row r="17" ht="14.25" customHeight="1">
      <c r="A17" s="32">
        <v>6.0</v>
      </c>
      <c r="B17" s="8" t="s">
        <v>617</v>
      </c>
      <c r="C17" s="8" t="s">
        <v>295</v>
      </c>
      <c r="D17" s="8" t="s">
        <v>539</v>
      </c>
      <c r="E17" s="10">
        <v>3.77</v>
      </c>
      <c r="F17" s="10">
        <v>4.88</v>
      </c>
      <c r="G17" s="10">
        <v>5.17</v>
      </c>
      <c r="H17" s="10">
        <v>4.62</v>
      </c>
      <c r="I17" s="8" t="s">
        <v>541</v>
      </c>
      <c r="J17" s="12">
        <v>1.0</v>
      </c>
    </row>
    <row r="18" ht="14.25" customHeight="1">
      <c r="A18" s="32">
        <v>7.0</v>
      </c>
      <c r="B18" s="8" t="s">
        <v>618</v>
      </c>
      <c r="C18" s="8" t="s">
        <v>295</v>
      </c>
      <c r="D18" s="8" t="s">
        <v>539</v>
      </c>
      <c r="E18" s="10">
        <v>6.55</v>
      </c>
      <c r="F18" s="10">
        <v>5.41</v>
      </c>
      <c r="G18" s="10">
        <v>5.11</v>
      </c>
      <c r="H18" s="10">
        <v>6.17</v>
      </c>
      <c r="I18" s="8" t="s">
        <v>541</v>
      </c>
      <c r="J18" s="12">
        <v>1.0</v>
      </c>
    </row>
    <row r="19" ht="14.25" customHeight="1">
      <c r="A19" s="32">
        <v>8.0</v>
      </c>
      <c r="B19" s="8" t="s">
        <v>619</v>
      </c>
      <c r="C19" s="8" t="s">
        <v>295</v>
      </c>
      <c r="D19" s="8" t="s">
        <v>539</v>
      </c>
      <c r="E19" s="10">
        <v>2.0</v>
      </c>
      <c r="F19" s="10">
        <v>1.38</v>
      </c>
      <c r="G19" s="10">
        <v>2.7</v>
      </c>
      <c r="H19" s="10" t="s">
        <v>324</v>
      </c>
      <c r="I19" s="48" t="s">
        <v>353</v>
      </c>
      <c r="L19" s="12">
        <v>1.0</v>
      </c>
    </row>
    <row r="20" ht="14.25" customHeight="1">
      <c r="A20" s="32">
        <v>9.0</v>
      </c>
      <c r="B20" s="8" t="s">
        <v>620</v>
      </c>
      <c r="C20" s="8" t="s">
        <v>295</v>
      </c>
      <c r="D20" s="8" t="s">
        <v>539</v>
      </c>
      <c r="E20" s="10">
        <v>4.44</v>
      </c>
      <c r="F20" s="10">
        <v>5.5</v>
      </c>
      <c r="G20" s="10">
        <v>4.79</v>
      </c>
      <c r="H20" s="10">
        <v>5.5</v>
      </c>
      <c r="I20" s="8" t="s">
        <v>541</v>
      </c>
      <c r="J20" s="12">
        <v>1.0</v>
      </c>
    </row>
    <row r="21" ht="14.25" customHeight="1">
      <c r="A21" s="32">
        <v>10.0</v>
      </c>
      <c r="B21" s="8" t="s">
        <v>621</v>
      </c>
      <c r="C21" s="8" t="s">
        <v>295</v>
      </c>
      <c r="D21" s="8" t="s">
        <v>539</v>
      </c>
      <c r="E21" s="10">
        <v>2.23</v>
      </c>
      <c r="F21" s="10">
        <v>3.65</v>
      </c>
      <c r="G21" s="10">
        <v>2.29</v>
      </c>
      <c r="H21" s="10">
        <v>4.03</v>
      </c>
      <c r="I21" s="11" t="s">
        <v>17</v>
      </c>
      <c r="K21" s="12">
        <v>1.0</v>
      </c>
    </row>
    <row r="22" ht="14.25" customHeight="1">
      <c r="A22" s="32">
        <v>11.0</v>
      </c>
      <c r="B22" s="8" t="s">
        <v>622</v>
      </c>
      <c r="C22" s="8" t="s">
        <v>295</v>
      </c>
      <c r="D22" s="8" t="s">
        <v>539</v>
      </c>
      <c r="E22" s="10">
        <v>1.58</v>
      </c>
      <c r="F22" s="10">
        <v>4.05</v>
      </c>
      <c r="G22" s="10">
        <v>3.55</v>
      </c>
      <c r="H22" s="10">
        <v>3.01</v>
      </c>
      <c r="I22" s="11" t="s">
        <v>17</v>
      </c>
      <c r="K22" s="12">
        <v>1.0</v>
      </c>
    </row>
    <row r="23" ht="14.25" customHeight="1">
      <c r="A23" s="32">
        <v>12.0</v>
      </c>
      <c r="B23" s="8" t="s">
        <v>623</v>
      </c>
      <c r="C23" s="8" t="s">
        <v>295</v>
      </c>
      <c r="D23" s="8" t="s">
        <v>539</v>
      </c>
      <c r="E23" s="10">
        <v>2.35</v>
      </c>
      <c r="F23" s="10">
        <v>1.14</v>
      </c>
      <c r="G23" s="10">
        <v>1.02</v>
      </c>
      <c r="H23" s="10">
        <v>2.8</v>
      </c>
      <c r="I23" s="11" t="s">
        <v>17</v>
      </c>
      <c r="K23" s="12">
        <v>1.0</v>
      </c>
    </row>
    <row r="24" ht="14.25" customHeight="1">
      <c r="A24" s="32">
        <v>13.0</v>
      </c>
      <c r="B24" s="1" t="s">
        <v>624</v>
      </c>
      <c r="C24" s="8" t="s">
        <v>295</v>
      </c>
      <c r="D24" s="8" t="s">
        <v>539</v>
      </c>
      <c r="E24" s="10">
        <v>3.2</v>
      </c>
      <c r="F24" s="10">
        <v>4.73</v>
      </c>
      <c r="G24" s="10">
        <v>3.26</v>
      </c>
      <c r="H24" s="10">
        <v>3.6</v>
      </c>
      <c r="I24" s="11" t="s">
        <v>17</v>
      </c>
      <c r="K24" s="12">
        <v>1.0</v>
      </c>
    </row>
    <row r="25" ht="14.25" customHeight="1">
      <c r="A25" s="32">
        <v>14.0</v>
      </c>
      <c r="B25" s="17" t="s">
        <v>104</v>
      </c>
      <c r="C25" s="8" t="s">
        <v>295</v>
      </c>
      <c r="D25" s="8" t="s">
        <v>539</v>
      </c>
      <c r="E25" s="10">
        <v>4.61</v>
      </c>
      <c r="F25" s="10">
        <v>5.61</v>
      </c>
      <c r="G25" s="10">
        <v>6.32</v>
      </c>
      <c r="H25" s="10">
        <v>7.19</v>
      </c>
      <c r="I25" s="8" t="s">
        <v>541</v>
      </c>
      <c r="J25" s="12">
        <v>1.0</v>
      </c>
    </row>
    <row r="26" ht="14.25" customHeight="1">
      <c r="A26" s="49">
        <v>15.0</v>
      </c>
      <c r="B26" s="42" t="s">
        <v>625</v>
      </c>
      <c r="C26" s="8" t="s">
        <v>295</v>
      </c>
      <c r="D26" s="8" t="s">
        <v>539</v>
      </c>
      <c r="E26" s="10">
        <v>6.94</v>
      </c>
      <c r="F26" s="10">
        <v>6.58</v>
      </c>
      <c r="G26" s="10">
        <v>5.55</v>
      </c>
      <c r="H26" s="10">
        <v>6.07</v>
      </c>
      <c r="I26" s="8" t="s">
        <v>541</v>
      </c>
      <c r="J26" s="12">
        <v>1.0</v>
      </c>
    </row>
    <row r="27" ht="14.25" customHeight="1">
      <c r="A27" s="32">
        <v>16.0</v>
      </c>
      <c r="B27" s="17" t="s">
        <v>626</v>
      </c>
      <c r="C27" s="8" t="s">
        <v>295</v>
      </c>
      <c r="D27" s="8" t="s">
        <v>539</v>
      </c>
      <c r="E27" s="10">
        <v>5.29</v>
      </c>
      <c r="F27" s="10">
        <v>6.7</v>
      </c>
      <c r="G27" s="10">
        <v>4.73</v>
      </c>
      <c r="H27" s="10">
        <v>5.89</v>
      </c>
      <c r="I27" s="8" t="s">
        <v>541</v>
      </c>
      <c r="J27" s="12">
        <v>1.0</v>
      </c>
    </row>
    <row r="28" ht="14.25" customHeight="1">
      <c r="A28" s="49">
        <v>17.0</v>
      </c>
      <c r="B28" s="34" t="s">
        <v>627</v>
      </c>
      <c r="C28" s="8" t="s">
        <v>295</v>
      </c>
      <c r="D28" s="8" t="s">
        <v>539</v>
      </c>
      <c r="E28" s="10">
        <v>3.52</v>
      </c>
      <c r="F28" s="10">
        <v>2.02</v>
      </c>
      <c r="G28" s="10">
        <v>3.79</v>
      </c>
      <c r="H28" s="10">
        <v>1.88</v>
      </c>
      <c r="I28" s="11" t="s">
        <v>17</v>
      </c>
      <c r="K28" s="12">
        <v>1.0</v>
      </c>
    </row>
    <row r="29" ht="14.25" customHeight="1">
      <c r="A29" s="32">
        <v>18.0</v>
      </c>
      <c r="B29" s="8" t="s">
        <v>628</v>
      </c>
      <c r="C29" s="8" t="s">
        <v>295</v>
      </c>
      <c r="D29" s="8" t="s">
        <v>539</v>
      </c>
      <c r="E29" s="10">
        <v>4.88</v>
      </c>
      <c r="F29" s="10">
        <v>5.61</v>
      </c>
      <c r="G29" s="10">
        <v>5.05</v>
      </c>
      <c r="H29" s="10">
        <v>4.67</v>
      </c>
      <c r="I29" s="8" t="s">
        <v>541</v>
      </c>
      <c r="J29" s="12">
        <v>1.0</v>
      </c>
    </row>
    <row r="30" ht="14.25" customHeight="1">
      <c r="A30" s="32">
        <v>19.0</v>
      </c>
      <c r="B30" s="8" t="s">
        <v>629</v>
      </c>
      <c r="C30" s="8" t="s">
        <v>295</v>
      </c>
      <c r="D30" s="8" t="s">
        <v>539</v>
      </c>
      <c r="E30" s="10">
        <v>5.97</v>
      </c>
      <c r="F30" s="10">
        <v>4.79</v>
      </c>
      <c r="G30" s="10">
        <v>5.64</v>
      </c>
      <c r="H30" s="10">
        <v>5.86</v>
      </c>
      <c r="I30" s="8" t="s">
        <v>541</v>
      </c>
      <c r="J30" s="12">
        <v>1.0</v>
      </c>
    </row>
    <row r="31" ht="14.25" customHeight="1">
      <c r="A31" s="32">
        <v>20.0</v>
      </c>
      <c r="B31" s="17" t="s">
        <v>630</v>
      </c>
      <c r="C31" s="8" t="s">
        <v>295</v>
      </c>
      <c r="D31" s="8" t="s">
        <v>539</v>
      </c>
      <c r="E31" s="10">
        <v>2.82</v>
      </c>
      <c r="F31" s="10">
        <v>3.75</v>
      </c>
      <c r="G31" s="10">
        <v>2.79</v>
      </c>
      <c r="H31" s="10">
        <v>3.99</v>
      </c>
      <c r="I31" s="8" t="s">
        <v>631</v>
      </c>
    </row>
    <row r="32" ht="14.25" customHeight="1">
      <c r="A32" s="49">
        <v>21.0</v>
      </c>
      <c r="B32" s="42" t="s">
        <v>586</v>
      </c>
      <c r="C32" s="8" t="s">
        <v>295</v>
      </c>
      <c r="D32" s="8" t="s">
        <v>539</v>
      </c>
      <c r="E32" s="10">
        <v>2.05</v>
      </c>
      <c r="F32" s="10">
        <v>2.55</v>
      </c>
      <c r="G32" s="10">
        <v>1.26</v>
      </c>
      <c r="H32" s="10">
        <v>1.83</v>
      </c>
      <c r="I32" s="8" t="s">
        <v>631</v>
      </c>
    </row>
    <row r="33" ht="14.25" customHeight="1">
      <c r="A33" s="49">
        <v>22.0</v>
      </c>
      <c r="B33" s="34" t="s">
        <v>632</v>
      </c>
      <c r="C33" s="8" t="s">
        <v>295</v>
      </c>
      <c r="D33" s="8" t="s">
        <v>539</v>
      </c>
      <c r="E33" s="10">
        <v>1.58</v>
      </c>
      <c r="F33" s="10">
        <v>3.85</v>
      </c>
      <c r="G33" s="10">
        <v>2.23</v>
      </c>
      <c r="H33" s="10">
        <v>3.82</v>
      </c>
      <c r="I33" s="8" t="s">
        <v>631</v>
      </c>
    </row>
    <row r="34" ht="14.25" customHeight="1">
      <c r="A34" s="32">
        <v>23.0</v>
      </c>
      <c r="B34" s="8" t="s">
        <v>633</v>
      </c>
      <c r="C34" s="8" t="s">
        <v>295</v>
      </c>
      <c r="D34" s="8" t="s">
        <v>539</v>
      </c>
      <c r="E34" s="10">
        <v>2.35</v>
      </c>
      <c r="F34" s="10">
        <v>4.83</v>
      </c>
      <c r="G34" s="10">
        <v>3.11</v>
      </c>
      <c r="H34" s="10">
        <v>4.36</v>
      </c>
      <c r="I34" s="11" t="s">
        <v>17</v>
      </c>
      <c r="K34" s="12">
        <v>1.0</v>
      </c>
    </row>
    <row r="35" ht="14.25" customHeight="1">
      <c r="A35" s="32">
        <v>24.0</v>
      </c>
      <c r="B35" s="8" t="s">
        <v>634</v>
      </c>
      <c r="C35" s="8" t="s">
        <v>295</v>
      </c>
      <c r="D35" s="8" t="s">
        <v>539</v>
      </c>
      <c r="E35" s="10">
        <v>1.94</v>
      </c>
      <c r="F35" s="10">
        <v>2.0</v>
      </c>
      <c r="G35" s="10">
        <v>2.65</v>
      </c>
      <c r="H35" s="10">
        <v>3.66</v>
      </c>
      <c r="I35" s="8" t="s">
        <v>631</v>
      </c>
    </row>
    <row r="36" ht="14.25" customHeight="1">
      <c r="A36" s="32">
        <v>25.0</v>
      </c>
      <c r="B36" s="8" t="s">
        <v>635</v>
      </c>
      <c r="C36" s="8" t="s">
        <v>295</v>
      </c>
      <c r="D36" s="8" t="s">
        <v>539</v>
      </c>
      <c r="E36" s="10">
        <v>2.64</v>
      </c>
      <c r="F36" s="10">
        <v>3.31</v>
      </c>
      <c r="G36" s="10">
        <v>2.09</v>
      </c>
      <c r="H36" s="10">
        <v>3.05</v>
      </c>
      <c r="I36" s="48" t="s">
        <v>353</v>
      </c>
      <c r="L36" s="12">
        <v>1.0</v>
      </c>
    </row>
    <row r="37" ht="14.25" customHeight="1">
      <c r="A37" s="32">
        <v>26.0</v>
      </c>
      <c r="B37" s="8" t="s">
        <v>636</v>
      </c>
      <c r="C37" s="8" t="s">
        <v>295</v>
      </c>
      <c r="D37" s="8" t="s">
        <v>637</v>
      </c>
      <c r="E37" s="10">
        <v>3.29</v>
      </c>
      <c r="F37" s="10">
        <v>4.23</v>
      </c>
      <c r="G37" s="10">
        <v>5.14</v>
      </c>
      <c r="H37" s="10">
        <v>6.81</v>
      </c>
      <c r="I37" s="8" t="s">
        <v>541</v>
      </c>
      <c r="J37" s="12">
        <v>1.0</v>
      </c>
    </row>
    <row r="38" ht="14.25" customHeight="1">
      <c r="A38" s="32">
        <v>27.0</v>
      </c>
      <c r="B38" s="8" t="s">
        <v>638</v>
      </c>
      <c r="C38" s="8" t="s">
        <v>295</v>
      </c>
      <c r="D38" s="8" t="s">
        <v>637</v>
      </c>
      <c r="E38" s="10">
        <v>2.2</v>
      </c>
      <c r="F38" s="10">
        <v>3.2</v>
      </c>
      <c r="G38" s="10">
        <v>4.25</v>
      </c>
      <c r="H38" s="10">
        <v>4.35</v>
      </c>
      <c r="I38" s="11" t="s">
        <v>17</v>
      </c>
      <c r="K38" s="12">
        <v>1.0</v>
      </c>
    </row>
    <row r="39" ht="14.25" customHeight="1">
      <c r="A39" s="32">
        <v>28.0</v>
      </c>
      <c r="B39" s="17" t="s">
        <v>639</v>
      </c>
      <c r="C39" s="8" t="s">
        <v>295</v>
      </c>
      <c r="D39" s="8" t="s">
        <v>637</v>
      </c>
      <c r="E39" s="10">
        <v>5.14</v>
      </c>
      <c r="F39" s="10">
        <v>6.58</v>
      </c>
      <c r="G39" s="10">
        <v>5.6</v>
      </c>
      <c r="H39" s="10">
        <v>5.95</v>
      </c>
      <c r="I39" s="8" t="s">
        <v>541</v>
      </c>
      <c r="J39" s="12">
        <v>1.0</v>
      </c>
    </row>
    <row r="40" ht="14.25" customHeight="1">
      <c r="A40" s="49">
        <v>29.0</v>
      </c>
      <c r="B40" s="42" t="s">
        <v>640</v>
      </c>
      <c r="C40" s="8" t="s">
        <v>295</v>
      </c>
      <c r="D40" s="8" t="s">
        <v>637</v>
      </c>
      <c r="E40" s="10">
        <v>4.31</v>
      </c>
      <c r="F40" s="10">
        <v>5.29</v>
      </c>
      <c r="G40" s="10">
        <v>5.39</v>
      </c>
      <c r="H40" s="10">
        <v>4.648</v>
      </c>
      <c r="I40" s="8" t="s">
        <v>541</v>
      </c>
      <c r="J40" s="12">
        <v>1.0</v>
      </c>
    </row>
    <row r="41" ht="14.25" customHeight="1">
      <c r="A41" s="49">
        <v>30.0</v>
      </c>
      <c r="B41" s="42" t="s">
        <v>641</v>
      </c>
      <c r="C41" s="8" t="s">
        <v>295</v>
      </c>
      <c r="D41" s="8" t="s">
        <v>637</v>
      </c>
      <c r="E41" s="10">
        <v>5.17</v>
      </c>
      <c r="F41" s="10">
        <v>6.41</v>
      </c>
      <c r="G41" s="10">
        <v>4.96</v>
      </c>
      <c r="H41" s="10">
        <v>5.96</v>
      </c>
      <c r="I41" s="8" t="s">
        <v>541</v>
      </c>
      <c r="J41" s="12">
        <v>1.0</v>
      </c>
    </row>
    <row r="42" ht="14.25" customHeight="1">
      <c r="A42" s="49">
        <v>31.0</v>
      </c>
      <c r="B42" s="34" t="s">
        <v>642</v>
      </c>
      <c r="C42" s="8" t="s">
        <v>295</v>
      </c>
      <c r="D42" s="8" t="s">
        <v>637</v>
      </c>
      <c r="E42" s="10">
        <v>4.32</v>
      </c>
      <c r="F42" s="10">
        <v>4.5</v>
      </c>
      <c r="G42" s="10">
        <v>4.15</v>
      </c>
      <c r="H42" s="10">
        <v>4.835</v>
      </c>
      <c r="I42" s="8" t="s">
        <v>541</v>
      </c>
      <c r="J42" s="12">
        <v>1.0</v>
      </c>
    </row>
    <row r="43" ht="14.25" customHeight="1">
      <c r="A43" s="49">
        <v>32.0</v>
      </c>
      <c r="B43" s="34" t="s">
        <v>643</v>
      </c>
      <c r="C43" s="8" t="s">
        <v>295</v>
      </c>
      <c r="D43" s="8" t="s">
        <v>637</v>
      </c>
      <c r="E43" s="10">
        <v>2.2</v>
      </c>
      <c r="F43" s="10">
        <v>1.67</v>
      </c>
      <c r="G43" s="10">
        <v>3.42</v>
      </c>
      <c r="H43" s="10">
        <v>3.54</v>
      </c>
      <c r="I43" s="11" t="s">
        <v>17</v>
      </c>
      <c r="K43" s="12">
        <v>1.0</v>
      </c>
    </row>
    <row r="44" ht="14.25" customHeight="1">
      <c r="A44" s="49">
        <v>33.0</v>
      </c>
      <c r="B44" s="34" t="s">
        <v>644</v>
      </c>
      <c r="C44" s="8" t="s">
        <v>295</v>
      </c>
      <c r="D44" s="8" t="s">
        <v>637</v>
      </c>
      <c r="E44" s="10">
        <v>3.0</v>
      </c>
      <c r="F44" s="10" t="s">
        <v>645</v>
      </c>
      <c r="G44" s="10" t="s">
        <v>645</v>
      </c>
      <c r="H44" s="10" t="s">
        <v>645</v>
      </c>
      <c r="I44" s="48" t="s">
        <v>353</v>
      </c>
      <c r="L44" s="12">
        <v>1.0</v>
      </c>
    </row>
    <row r="45" ht="14.25" customHeight="1">
      <c r="A45" s="32">
        <v>34.0</v>
      </c>
      <c r="B45" s="8" t="s">
        <v>253</v>
      </c>
      <c r="C45" s="8" t="s">
        <v>295</v>
      </c>
      <c r="D45" s="8" t="s">
        <v>637</v>
      </c>
      <c r="E45" s="10">
        <v>2.58</v>
      </c>
      <c r="F45" s="10">
        <v>3.05</v>
      </c>
      <c r="G45" s="10" t="s">
        <v>645</v>
      </c>
      <c r="H45" s="10" t="s">
        <v>645</v>
      </c>
      <c r="I45" s="48" t="s">
        <v>353</v>
      </c>
      <c r="L45" s="12">
        <v>1.0</v>
      </c>
    </row>
    <row r="46" ht="14.25" customHeight="1">
      <c r="A46" s="32">
        <v>35.0</v>
      </c>
      <c r="B46" s="8" t="s">
        <v>646</v>
      </c>
      <c r="C46" s="8" t="s">
        <v>295</v>
      </c>
      <c r="D46" s="8" t="s">
        <v>637</v>
      </c>
      <c r="E46" s="10">
        <v>1.32</v>
      </c>
      <c r="F46" s="10" t="s">
        <v>645</v>
      </c>
      <c r="G46" s="10" t="s">
        <v>645</v>
      </c>
      <c r="H46" s="10" t="s">
        <v>645</v>
      </c>
      <c r="I46" s="48" t="s">
        <v>353</v>
      </c>
      <c r="L46" s="12">
        <v>1.0</v>
      </c>
    </row>
    <row r="47" ht="14.25" customHeight="1">
      <c r="A47" s="32">
        <v>36.0</v>
      </c>
      <c r="B47" s="17" t="s">
        <v>647</v>
      </c>
      <c r="C47" s="8" t="s">
        <v>295</v>
      </c>
      <c r="D47" s="8" t="s">
        <v>637</v>
      </c>
      <c r="E47" s="10">
        <v>3.58</v>
      </c>
      <c r="F47" s="10">
        <v>3.55</v>
      </c>
      <c r="G47" s="10">
        <v>4.05</v>
      </c>
      <c r="H47" s="10">
        <v>3.83</v>
      </c>
      <c r="I47" s="11" t="s">
        <v>17</v>
      </c>
      <c r="K47" s="12">
        <v>1.0</v>
      </c>
    </row>
    <row r="48" ht="14.25" customHeight="1">
      <c r="A48" s="49">
        <v>37.0</v>
      </c>
      <c r="B48" s="42" t="s">
        <v>648</v>
      </c>
      <c r="C48" s="8" t="s">
        <v>295</v>
      </c>
      <c r="D48" s="8" t="s">
        <v>637</v>
      </c>
      <c r="E48" s="10">
        <v>1.73</v>
      </c>
      <c r="F48" s="10">
        <v>2.61</v>
      </c>
      <c r="G48" s="10">
        <v>2.39</v>
      </c>
      <c r="H48" s="10">
        <v>2.78</v>
      </c>
      <c r="I48" s="11" t="s">
        <v>17</v>
      </c>
      <c r="K48" s="12">
        <v>1.0</v>
      </c>
    </row>
    <row r="49" ht="14.25" customHeight="1">
      <c r="A49" s="49">
        <v>38.0</v>
      </c>
      <c r="B49" s="42" t="s">
        <v>649</v>
      </c>
      <c r="C49" s="8" t="s">
        <v>295</v>
      </c>
      <c r="D49" s="8" t="s">
        <v>637</v>
      </c>
      <c r="E49" s="10">
        <v>3.88</v>
      </c>
      <c r="F49" s="10">
        <v>1.61</v>
      </c>
      <c r="G49" s="10">
        <v>1.05</v>
      </c>
      <c r="H49" s="10">
        <v>1.49</v>
      </c>
      <c r="I49" s="8" t="s">
        <v>631</v>
      </c>
    </row>
    <row r="50" ht="14.25" customHeight="1">
      <c r="A50" s="32">
        <v>39.0</v>
      </c>
      <c r="B50" s="1" t="s">
        <v>650</v>
      </c>
      <c r="C50" s="8" t="s">
        <v>295</v>
      </c>
      <c r="D50" s="8" t="s">
        <v>637</v>
      </c>
      <c r="E50" s="10">
        <v>2.97</v>
      </c>
      <c r="F50" s="10">
        <v>3.79</v>
      </c>
      <c r="G50" s="10">
        <v>1.64</v>
      </c>
      <c r="H50" s="10">
        <v>2.069</v>
      </c>
      <c r="I50" s="8" t="s">
        <v>631</v>
      </c>
    </row>
    <row r="51" ht="14.25" customHeight="1">
      <c r="A51" s="49">
        <v>40.0</v>
      </c>
      <c r="B51" s="42" t="s">
        <v>651</v>
      </c>
      <c r="C51" s="8" t="s">
        <v>295</v>
      </c>
      <c r="D51" s="8" t="s">
        <v>637</v>
      </c>
      <c r="E51" s="10">
        <v>1.0</v>
      </c>
      <c r="F51" s="10">
        <v>3.75</v>
      </c>
      <c r="G51" s="10">
        <v>2.79</v>
      </c>
      <c r="H51" s="10" t="s">
        <v>645</v>
      </c>
      <c r="I51" s="48" t="s">
        <v>353</v>
      </c>
      <c r="L51" s="12">
        <v>1.0</v>
      </c>
    </row>
    <row r="52" ht="14.25" customHeight="1">
      <c r="A52" s="49">
        <v>41.0</v>
      </c>
      <c r="B52" s="42" t="s">
        <v>652</v>
      </c>
      <c r="C52" s="8" t="s">
        <v>295</v>
      </c>
      <c r="D52" s="8" t="s">
        <v>637</v>
      </c>
      <c r="E52" s="10">
        <v>2.05</v>
      </c>
      <c r="F52" s="10">
        <v>2.55</v>
      </c>
      <c r="G52" s="10" t="s">
        <v>645</v>
      </c>
      <c r="H52" s="10" t="s">
        <v>645</v>
      </c>
      <c r="I52" s="48" t="s">
        <v>353</v>
      </c>
      <c r="L52" s="12">
        <v>1.0</v>
      </c>
    </row>
    <row r="53" ht="14.25" customHeight="1">
      <c r="A53" s="49">
        <v>42.0</v>
      </c>
      <c r="B53" s="42" t="s">
        <v>653</v>
      </c>
      <c r="C53" s="8" t="s">
        <v>295</v>
      </c>
      <c r="D53" s="8" t="s">
        <v>637</v>
      </c>
      <c r="E53" s="10">
        <v>1.58</v>
      </c>
      <c r="F53" s="10">
        <v>2.85</v>
      </c>
      <c r="G53" s="10">
        <v>2.23</v>
      </c>
      <c r="H53" s="10">
        <v>1.53</v>
      </c>
      <c r="I53" s="8" t="s">
        <v>631</v>
      </c>
    </row>
    <row r="54" ht="14.25" customHeight="1">
      <c r="A54" s="49">
        <v>43.0</v>
      </c>
      <c r="B54" s="34" t="s">
        <v>654</v>
      </c>
      <c r="C54" s="8" t="s">
        <v>295</v>
      </c>
      <c r="D54" s="8" t="s">
        <v>637</v>
      </c>
      <c r="E54" s="10" t="s">
        <v>645</v>
      </c>
      <c r="F54" s="10" t="s">
        <v>645</v>
      </c>
      <c r="G54" s="10" t="s">
        <v>645</v>
      </c>
      <c r="H54" s="10" t="s">
        <v>645</v>
      </c>
      <c r="I54" s="48" t="s">
        <v>353</v>
      </c>
      <c r="L54" s="12">
        <v>1.0</v>
      </c>
    </row>
    <row r="55" ht="14.25" customHeight="1">
      <c r="A55" s="49">
        <v>44.0</v>
      </c>
      <c r="B55" s="42" t="s">
        <v>655</v>
      </c>
      <c r="C55" s="8" t="s">
        <v>295</v>
      </c>
      <c r="D55" s="8" t="s">
        <v>637</v>
      </c>
      <c r="E55" s="10">
        <v>2.94</v>
      </c>
      <c r="F55" s="10">
        <v>3.22</v>
      </c>
      <c r="G55" s="10">
        <v>2.05</v>
      </c>
      <c r="H55" s="10">
        <v>3.76</v>
      </c>
      <c r="I55" s="11" t="s">
        <v>17</v>
      </c>
      <c r="K55" s="12">
        <v>1.0</v>
      </c>
    </row>
    <row r="56" ht="14.25" customHeight="1">
      <c r="A56" s="49">
        <v>45.0</v>
      </c>
      <c r="B56" s="42" t="s">
        <v>656</v>
      </c>
      <c r="C56" s="8" t="s">
        <v>295</v>
      </c>
      <c r="D56" s="8" t="s">
        <v>637</v>
      </c>
      <c r="E56" s="10">
        <v>3.64</v>
      </c>
      <c r="F56" s="10">
        <v>4.31</v>
      </c>
      <c r="G56" s="10">
        <v>2.09</v>
      </c>
      <c r="H56" s="10">
        <v>2.92</v>
      </c>
      <c r="I56" s="11" t="s">
        <v>17</v>
      </c>
      <c r="K56" s="12">
        <v>1.0</v>
      </c>
    </row>
    <row r="57" ht="14.25" customHeight="1">
      <c r="A57" s="49">
        <v>46.0</v>
      </c>
      <c r="B57" s="42" t="s">
        <v>657</v>
      </c>
      <c r="C57" s="8" t="s">
        <v>295</v>
      </c>
      <c r="D57" s="8" t="s">
        <v>637</v>
      </c>
      <c r="E57" s="10">
        <v>1.29</v>
      </c>
      <c r="F57" s="10">
        <v>1.3</v>
      </c>
      <c r="G57" s="10">
        <v>3.14</v>
      </c>
      <c r="H57" s="10">
        <v>3.67</v>
      </c>
      <c r="I57" s="11" t="s">
        <v>17</v>
      </c>
      <c r="K57" s="12">
        <v>1.0</v>
      </c>
    </row>
    <row r="58" ht="14.25" customHeight="1">
      <c r="A58" s="49">
        <v>47.0</v>
      </c>
      <c r="B58" s="42" t="s">
        <v>658</v>
      </c>
      <c r="C58" s="8" t="s">
        <v>295</v>
      </c>
      <c r="D58" s="8" t="s">
        <v>637</v>
      </c>
      <c r="E58" s="10">
        <v>6.2</v>
      </c>
      <c r="F58" s="10">
        <v>7.2</v>
      </c>
      <c r="G58" s="10">
        <v>7.25</v>
      </c>
      <c r="H58" s="10">
        <v>6.0</v>
      </c>
      <c r="I58" s="8" t="s">
        <v>541</v>
      </c>
      <c r="J58" s="12">
        <v>1.0</v>
      </c>
    </row>
    <row r="59" ht="14.25" customHeight="1">
      <c r="A59" s="49">
        <v>48.0</v>
      </c>
      <c r="B59" s="42" t="s">
        <v>659</v>
      </c>
      <c r="C59" s="8" t="s">
        <v>295</v>
      </c>
      <c r="D59" s="8" t="s">
        <v>637</v>
      </c>
      <c r="E59" s="10">
        <v>2.14</v>
      </c>
      <c r="F59" s="10">
        <v>2.58</v>
      </c>
      <c r="G59" s="10">
        <v>3.6</v>
      </c>
      <c r="H59" s="10">
        <v>3.9</v>
      </c>
      <c r="I59" s="8" t="s">
        <v>631</v>
      </c>
    </row>
    <row r="60" ht="14.25" customHeight="1">
      <c r="A60" s="49">
        <v>49.0</v>
      </c>
      <c r="B60" s="42" t="s">
        <v>660</v>
      </c>
      <c r="C60" s="8" t="s">
        <v>295</v>
      </c>
      <c r="D60" s="8" t="s">
        <v>637</v>
      </c>
      <c r="E60" s="10">
        <v>5.31</v>
      </c>
      <c r="F60" s="10">
        <v>5.29</v>
      </c>
      <c r="G60" s="10">
        <v>5.39</v>
      </c>
      <c r="H60" s="10">
        <v>6.0</v>
      </c>
      <c r="I60" s="8" t="s">
        <v>541</v>
      </c>
      <c r="J60" s="12">
        <v>1.0</v>
      </c>
    </row>
    <row r="61" ht="14.25" customHeight="1">
      <c r="A61" s="22"/>
      <c r="B61" s="22"/>
      <c r="C61" s="22"/>
      <c r="D61" s="22"/>
      <c r="E61" s="22"/>
      <c r="F61" s="22"/>
      <c r="G61" s="22"/>
      <c r="H61" s="22"/>
      <c r="I61" s="22"/>
      <c r="J61" s="1">
        <f t="shared" ref="J61:L61" si="2">SUM(J12:J60)</f>
        <v>19</v>
      </c>
      <c r="K61" s="1">
        <f t="shared" si="2"/>
        <v>14</v>
      </c>
      <c r="L61" s="1">
        <f t="shared" si="2"/>
        <v>8</v>
      </c>
    </row>
    <row r="62" ht="14.25" customHeight="1">
      <c r="A62" s="22"/>
      <c r="B62" s="22"/>
      <c r="C62" s="22"/>
      <c r="D62" s="22"/>
      <c r="E62" s="22"/>
      <c r="F62" s="22"/>
      <c r="G62" s="22"/>
      <c r="H62" s="22"/>
      <c r="I62" s="22"/>
      <c r="J62" s="16">
        <f>J61/A60</f>
        <v>0.387755102</v>
      </c>
      <c r="K62" s="16">
        <f>K61/A60</f>
        <v>0.2857142857</v>
      </c>
      <c r="L62" s="16">
        <f>L61/A60</f>
        <v>0.1632653061</v>
      </c>
    </row>
    <row r="63" ht="14.25" customHeight="1">
      <c r="A63" s="22"/>
      <c r="B63" s="22"/>
      <c r="C63" s="22"/>
      <c r="D63" s="22"/>
      <c r="E63" s="22"/>
      <c r="F63" s="22"/>
      <c r="G63" s="22"/>
      <c r="H63" s="22"/>
      <c r="I63" s="22"/>
    </row>
    <row r="64" ht="14.25" customHeight="1">
      <c r="A64" s="32">
        <v>1.0</v>
      </c>
      <c r="B64" s="8" t="s">
        <v>661</v>
      </c>
      <c r="C64" s="8" t="s">
        <v>662</v>
      </c>
      <c r="D64" s="8" t="s">
        <v>539</v>
      </c>
      <c r="E64" s="10">
        <v>4.02</v>
      </c>
      <c r="F64" s="10">
        <v>4.8</v>
      </c>
      <c r="G64" s="10"/>
      <c r="H64" s="10">
        <v>5.41</v>
      </c>
      <c r="I64" s="8" t="s">
        <v>541</v>
      </c>
      <c r="J64" s="12">
        <v>1.0</v>
      </c>
    </row>
    <row r="65" ht="14.25" customHeight="1">
      <c r="A65" s="32">
        <v>2.0</v>
      </c>
      <c r="B65" s="8" t="s">
        <v>663</v>
      </c>
      <c r="C65" s="8" t="s">
        <v>662</v>
      </c>
      <c r="D65" s="8" t="s">
        <v>539</v>
      </c>
      <c r="E65" s="10">
        <v>5.27</v>
      </c>
      <c r="F65" s="10">
        <v>6.27</v>
      </c>
      <c r="G65" s="10"/>
      <c r="H65" s="10">
        <v>7.0</v>
      </c>
      <c r="I65" s="8" t="s">
        <v>541</v>
      </c>
      <c r="J65" s="12">
        <v>1.0</v>
      </c>
    </row>
    <row r="66" ht="14.25" customHeight="1">
      <c r="A66" s="32">
        <v>3.0</v>
      </c>
      <c r="B66" s="8" t="s">
        <v>664</v>
      </c>
      <c r="C66" s="8" t="s">
        <v>662</v>
      </c>
      <c r="D66" s="8" t="s">
        <v>539</v>
      </c>
      <c r="E66" s="10">
        <v>3.33</v>
      </c>
      <c r="F66" s="10">
        <v>2.42</v>
      </c>
      <c r="G66" s="10"/>
      <c r="H66" s="10">
        <v>3.66</v>
      </c>
      <c r="I66" s="11" t="s">
        <v>17</v>
      </c>
      <c r="K66" s="12">
        <v>1.0</v>
      </c>
    </row>
    <row r="67" ht="14.25" customHeight="1">
      <c r="A67" s="32">
        <v>4.0</v>
      </c>
      <c r="B67" s="8" t="s">
        <v>665</v>
      </c>
      <c r="C67" s="8" t="s">
        <v>662</v>
      </c>
      <c r="D67" s="8" t="s">
        <v>539</v>
      </c>
      <c r="E67" s="10">
        <v>2.52</v>
      </c>
      <c r="F67" s="10">
        <v>3.98</v>
      </c>
      <c r="G67" s="10"/>
      <c r="H67" s="10">
        <v>2.25</v>
      </c>
      <c r="I67" s="11" t="s">
        <v>17</v>
      </c>
      <c r="K67" s="12">
        <v>1.0</v>
      </c>
    </row>
    <row r="68" ht="14.25" customHeight="1">
      <c r="A68" s="32">
        <v>5.0</v>
      </c>
      <c r="B68" s="8" t="s">
        <v>666</v>
      </c>
      <c r="C68" s="8" t="s">
        <v>662</v>
      </c>
      <c r="D68" s="8" t="s">
        <v>539</v>
      </c>
      <c r="E68" s="10">
        <v>3.77</v>
      </c>
      <c r="F68" s="10">
        <v>3.927</v>
      </c>
      <c r="G68" s="10"/>
      <c r="H68" s="10">
        <v>4.02</v>
      </c>
      <c r="I68" s="11" t="s">
        <v>17</v>
      </c>
      <c r="K68" s="12">
        <v>1.0</v>
      </c>
    </row>
    <row r="69" ht="14.25" customHeight="1">
      <c r="A69" s="32">
        <v>6.0</v>
      </c>
      <c r="B69" s="8" t="s">
        <v>667</v>
      </c>
      <c r="C69" s="8" t="s">
        <v>662</v>
      </c>
      <c r="D69" s="8" t="s">
        <v>539</v>
      </c>
      <c r="E69" s="10">
        <v>5.88</v>
      </c>
      <c r="F69" s="10">
        <v>4.35</v>
      </c>
      <c r="G69" s="10"/>
      <c r="H69" s="10">
        <v>4.61</v>
      </c>
      <c r="I69" s="8" t="s">
        <v>541</v>
      </c>
      <c r="J69" s="12">
        <v>1.0</v>
      </c>
    </row>
    <row r="70" ht="14.25" customHeight="1">
      <c r="A70" s="32">
        <v>7.0</v>
      </c>
      <c r="B70" s="8" t="s">
        <v>668</v>
      </c>
      <c r="C70" s="8" t="s">
        <v>662</v>
      </c>
      <c r="D70" s="8" t="s">
        <v>539</v>
      </c>
      <c r="E70" s="10">
        <v>6.27</v>
      </c>
      <c r="F70" s="10">
        <v>7.27</v>
      </c>
      <c r="G70" s="10"/>
      <c r="H70" s="10">
        <v>6.27</v>
      </c>
      <c r="I70" s="8" t="s">
        <v>541</v>
      </c>
      <c r="J70" s="12">
        <v>1.0</v>
      </c>
    </row>
    <row r="71" ht="14.25" customHeight="1">
      <c r="A71" s="32">
        <v>8.0</v>
      </c>
      <c r="B71" s="8" t="s">
        <v>669</v>
      </c>
      <c r="C71" s="8" t="s">
        <v>662</v>
      </c>
      <c r="D71" s="8" t="s">
        <v>539</v>
      </c>
      <c r="E71" s="10">
        <v>3.61</v>
      </c>
      <c r="F71" s="10">
        <v>3.16</v>
      </c>
      <c r="G71" s="10"/>
      <c r="H71" s="10">
        <v>3.38</v>
      </c>
      <c r="I71" s="11" t="s">
        <v>17</v>
      </c>
      <c r="K71" s="12">
        <v>1.0</v>
      </c>
    </row>
    <row r="72" ht="14.25" customHeight="1">
      <c r="A72" s="32">
        <v>9.0</v>
      </c>
      <c r="B72" s="8" t="s">
        <v>670</v>
      </c>
      <c r="C72" s="8" t="s">
        <v>662</v>
      </c>
      <c r="D72" s="8" t="s">
        <v>539</v>
      </c>
      <c r="E72" s="10">
        <v>4.66</v>
      </c>
      <c r="F72" s="10">
        <v>5.1</v>
      </c>
      <c r="G72" s="10"/>
      <c r="H72" s="10">
        <v>4.88</v>
      </c>
      <c r="I72" s="8" t="s">
        <v>541</v>
      </c>
      <c r="J72" s="12">
        <v>1.0</v>
      </c>
    </row>
    <row r="73" ht="14.25" customHeight="1">
      <c r="A73" s="32">
        <v>10.0</v>
      </c>
      <c r="B73" s="8" t="s">
        <v>671</v>
      </c>
      <c r="C73" s="8" t="s">
        <v>662</v>
      </c>
      <c r="D73" s="8" t="s">
        <v>539</v>
      </c>
      <c r="E73" s="10">
        <v>3.88</v>
      </c>
      <c r="F73" s="10">
        <v>4.38</v>
      </c>
      <c r="G73" s="10"/>
      <c r="H73" s="10">
        <v>4.13</v>
      </c>
      <c r="I73" s="11" t="s">
        <v>17</v>
      </c>
      <c r="K73" s="12">
        <v>1.0</v>
      </c>
    </row>
    <row r="74" ht="14.25" customHeight="1">
      <c r="A74" s="32">
        <v>11.0</v>
      </c>
      <c r="B74" s="8" t="s">
        <v>672</v>
      </c>
      <c r="C74" s="8" t="s">
        <v>662</v>
      </c>
      <c r="D74" s="8" t="s">
        <v>539</v>
      </c>
      <c r="E74" s="10">
        <v>2.34</v>
      </c>
      <c r="F74" s="10">
        <v>0.66</v>
      </c>
      <c r="G74" s="10"/>
      <c r="H74" s="10">
        <v>1.5</v>
      </c>
      <c r="I74" s="11" t="s">
        <v>17</v>
      </c>
      <c r="K74" s="12">
        <v>1.0</v>
      </c>
    </row>
    <row r="75" ht="14.25" customHeight="1">
      <c r="A75" s="32">
        <v>12.0</v>
      </c>
      <c r="B75" s="8" t="s">
        <v>673</v>
      </c>
      <c r="C75" s="8" t="s">
        <v>662</v>
      </c>
      <c r="D75" s="8" t="s">
        <v>539</v>
      </c>
      <c r="E75" s="10">
        <v>3.5</v>
      </c>
      <c r="F75" s="10">
        <v>1.75</v>
      </c>
      <c r="G75" s="10"/>
      <c r="H75" s="10">
        <v>2.61</v>
      </c>
      <c r="I75" s="11" t="s">
        <v>17</v>
      </c>
      <c r="K75" s="12">
        <v>1.0</v>
      </c>
    </row>
    <row r="76" ht="14.25" customHeight="1">
      <c r="A76" s="32">
        <v>13.0</v>
      </c>
      <c r="B76" s="8" t="s">
        <v>674</v>
      </c>
      <c r="C76" s="8" t="s">
        <v>662</v>
      </c>
      <c r="D76" s="8" t="s">
        <v>539</v>
      </c>
      <c r="E76" s="10">
        <v>2.5</v>
      </c>
      <c r="F76" s="10">
        <v>2.82</v>
      </c>
      <c r="G76" s="10"/>
      <c r="H76" s="10">
        <v>2.66</v>
      </c>
      <c r="I76" s="11" t="s">
        <v>17</v>
      </c>
      <c r="K76" s="12">
        <v>1.0</v>
      </c>
    </row>
    <row r="77" ht="14.25" customHeight="1">
      <c r="A77" s="32">
        <v>14.0</v>
      </c>
      <c r="B77" s="8" t="s">
        <v>675</v>
      </c>
      <c r="C77" s="8" t="s">
        <v>662</v>
      </c>
      <c r="D77" s="8" t="s">
        <v>539</v>
      </c>
      <c r="E77" s="10">
        <v>4.0</v>
      </c>
      <c r="F77" s="10">
        <v>3.89</v>
      </c>
      <c r="G77" s="10"/>
      <c r="H77" s="10">
        <v>4.93</v>
      </c>
      <c r="I77" s="8" t="s">
        <v>541</v>
      </c>
      <c r="J77" s="12">
        <v>1.0</v>
      </c>
    </row>
    <row r="78" ht="14.25" customHeight="1">
      <c r="A78" s="32">
        <v>15.0</v>
      </c>
      <c r="B78" s="8" t="s">
        <v>193</v>
      </c>
      <c r="C78" s="8" t="s">
        <v>662</v>
      </c>
      <c r="D78" s="8" t="s">
        <v>539</v>
      </c>
      <c r="E78" s="10">
        <v>1.93</v>
      </c>
      <c r="F78" s="10">
        <v>2.25</v>
      </c>
      <c r="G78" s="10"/>
      <c r="H78" s="10">
        <v>2.83</v>
      </c>
      <c r="I78" s="8" t="s">
        <v>631</v>
      </c>
    </row>
    <row r="79" ht="14.25" customHeight="1">
      <c r="A79" s="32">
        <v>16.0</v>
      </c>
      <c r="B79" s="8" t="s">
        <v>676</v>
      </c>
      <c r="C79" s="8" t="s">
        <v>385</v>
      </c>
      <c r="D79" s="8" t="s">
        <v>637</v>
      </c>
      <c r="E79" s="10">
        <v>5.19</v>
      </c>
      <c r="F79" s="10">
        <v>5.17</v>
      </c>
      <c r="G79" s="10"/>
      <c r="H79" s="10">
        <v>5.18</v>
      </c>
      <c r="I79" s="8" t="s">
        <v>541</v>
      </c>
      <c r="J79" s="12">
        <v>1.0</v>
      </c>
    </row>
    <row r="80" ht="14.25" customHeight="1">
      <c r="A80" s="32">
        <v>17.0</v>
      </c>
      <c r="B80" s="8" t="s">
        <v>677</v>
      </c>
      <c r="C80" s="8" t="s">
        <v>385</v>
      </c>
      <c r="D80" s="8" t="s">
        <v>637</v>
      </c>
      <c r="E80" s="10">
        <v>6.61</v>
      </c>
      <c r="F80" s="10">
        <v>6.34</v>
      </c>
      <c r="G80" s="10"/>
      <c r="H80" s="10">
        <v>7.47</v>
      </c>
      <c r="I80" s="8" t="s">
        <v>541</v>
      </c>
      <c r="J80" s="12">
        <v>1.0</v>
      </c>
    </row>
    <row r="81" ht="14.25" customHeight="1">
      <c r="A81" s="32">
        <v>18.0</v>
      </c>
      <c r="B81" s="8" t="s">
        <v>678</v>
      </c>
      <c r="C81" s="8" t="s">
        <v>385</v>
      </c>
      <c r="D81" s="8" t="s">
        <v>637</v>
      </c>
      <c r="E81" s="10">
        <v>3.69</v>
      </c>
      <c r="F81" s="10">
        <v>2.25</v>
      </c>
      <c r="G81" s="10"/>
      <c r="H81" s="10">
        <v>4.47</v>
      </c>
      <c r="I81" s="11" t="s">
        <v>17</v>
      </c>
      <c r="K81" s="12">
        <v>1.0</v>
      </c>
    </row>
    <row r="82" ht="14.25" customHeight="1">
      <c r="A82" s="32">
        <v>19.0</v>
      </c>
      <c r="B82" s="8" t="s">
        <v>679</v>
      </c>
      <c r="C82" s="8" t="s">
        <v>385</v>
      </c>
      <c r="D82" s="8" t="s">
        <v>637</v>
      </c>
      <c r="E82" s="10">
        <v>2.61</v>
      </c>
      <c r="F82" s="10">
        <v>4.33</v>
      </c>
      <c r="G82" s="10"/>
      <c r="H82" s="10">
        <v>3.22</v>
      </c>
      <c r="I82" s="11" t="s">
        <v>17</v>
      </c>
      <c r="K82" s="12">
        <v>1.0</v>
      </c>
    </row>
    <row r="83" ht="14.25" customHeight="1">
      <c r="A83" s="32">
        <v>20.0</v>
      </c>
      <c r="B83" s="8" t="s">
        <v>680</v>
      </c>
      <c r="C83" s="8" t="s">
        <v>385</v>
      </c>
      <c r="D83" s="8" t="s">
        <v>637</v>
      </c>
      <c r="E83" s="10">
        <v>4.27</v>
      </c>
      <c r="F83" s="10">
        <v>5.18</v>
      </c>
      <c r="G83" s="10"/>
      <c r="H83" s="10">
        <v>5.72</v>
      </c>
      <c r="I83" s="8" t="s">
        <v>541</v>
      </c>
      <c r="J83" s="12">
        <v>1.0</v>
      </c>
    </row>
    <row r="84" ht="14.25" customHeight="1">
      <c r="A84" s="32">
        <v>21.0</v>
      </c>
      <c r="B84" s="8" t="s">
        <v>681</v>
      </c>
      <c r="C84" s="8" t="s">
        <v>385</v>
      </c>
      <c r="D84" s="8" t="s">
        <v>637</v>
      </c>
      <c r="E84" s="10">
        <v>5.0</v>
      </c>
      <c r="F84" s="10">
        <v>6.15</v>
      </c>
      <c r="G84" s="10"/>
      <c r="H84" s="10">
        <v>5.57</v>
      </c>
      <c r="I84" s="8" t="s">
        <v>541</v>
      </c>
      <c r="J84" s="12">
        <v>1.0</v>
      </c>
    </row>
    <row r="85" ht="14.25" customHeight="1">
      <c r="A85" s="32">
        <v>22.0</v>
      </c>
      <c r="B85" s="8" t="s">
        <v>682</v>
      </c>
      <c r="C85" s="8" t="s">
        <v>385</v>
      </c>
      <c r="D85" s="8" t="s">
        <v>637</v>
      </c>
      <c r="E85" s="10">
        <v>4.1</v>
      </c>
      <c r="F85" s="10">
        <v>3.24</v>
      </c>
      <c r="G85" s="10"/>
      <c r="H85" s="10">
        <v>4.17</v>
      </c>
      <c r="I85" s="11" t="s">
        <v>17</v>
      </c>
      <c r="K85" s="12">
        <v>1.0</v>
      </c>
    </row>
    <row r="86" ht="14.25" customHeight="1">
      <c r="A86" s="32">
        <v>23.0</v>
      </c>
      <c r="B86" s="8" t="s">
        <v>683</v>
      </c>
      <c r="C86" s="8" t="s">
        <v>385</v>
      </c>
      <c r="D86" s="8" t="s">
        <v>637</v>
      </c>
      <c r="E86" s="10">
        <v>5.47</v>
      </c>
      <c r="F86" s="10">
        <v>6.22</v>
      </c>
      <c r="G86" s="10"/>
      <c r="H86" s="10">
        <v>6.84</v>
      </c>
      <c r="I86" s="8" t="s">
        <v>541</v>
      </c>
      <c r="J86" s="12">
        <v>1.0</v>
      </c>
    </row>
    <row r="87" ht="14.25" customHeight="1">
      <c r="A87" s="32">
        <v>24.0</v>
      </c>
      <c r="B87" s="8" t="s">
        <v>684</v>
      </c>
      <c r="C87" s="8" t="s">
        <v>385</v>
      </c>
      <c r="D87" s="8" t="s">
        <v>637</v>
      </c>
      <c r="E87" s="10">
        <v>4.33</v>
      </c>
      <c r="F87" s="10">
        <v>5.73</v>
      </c>
      <c r="G87" s="10"/>
      <c r="H87" s="10">
        <v>5.53</v>
      </c>
      <c r="I87" s="8" t="s">
        <v>541</v>
      </c>
      <c r="J87" s="12">
        <v>1.0</v>
      </c>
    </row>
    <row r="88" ht="14.25" customHeight="1">
      <c r="A88" s="32">
        <v>25.0</v>
      </c>
      <c r="B88" s="8" t="s">
        <v>685</v>
      </c>
      <c r="C88" s="8" t="s">
        <v>385</v>
      </c>
      <c r="D88" s="8" t="s">
        <v>637</v>
      </c>
      <c r="E88" s="10">
        <v>2.8</v>
      </c>
      <c r="F88" s="10">
        <v>3.88</v>
      </c>
      <c r="G88" s="10"/>
      <c r="H88" s="10">
        <v>4.34</v>
      </c>
      <c r="I88" s="11" t="s">
        <v>17</v>
      </c>
      <c r="K88" s="12">
        <v>1.0</v>
      </c>
    </row>
    <row r="89" ht="14.25" customHeight="1">
      <c r="A89" s="32">
        <v>26.0</v>
      </c>
      <c r="B89" s="8" t="s">
        <v>686</v>
      </c>
      <c r="C89" s="8" t="s">
        <v>385</v>
      </c>
      <c r="D89" s="8" t="s">
        <v>637</v>
      </c>
      <c r="E89" s="10">
        <v>1.88</v>
      </c>
      <c r="F89" s="10">
        <v>2.64</v>
      </c>
      <c r="G89" s="10"/>
      <c r="H89" s="10">
        <v>2.56</v>
      </c>
      <c r="I89" s="11" t="s">
        <v>17</v>
      </c>
      <c r="K89" s="12">
        <v>1.0</v>
      </c>
    </row>
    <row r="90" ht="14.25" customHeight="1">
      <c r="A90" s="32">
        <v>27.0</v>
      </c>
      <c r="B90" s="8" t="s">
        <v>687</v>
      </c>
      <c r="C90" s="8" t="s">
        <v>385</v>
      </c>
      <c r="D90" s="8" t="s">
        <v>637</v>
      </c>
      <c r="E90" s="10">
        <v>2.27</v>
      </c>
      <c r="F90" s="10">
        <v>2.42</v>
      </c>
      <c r="G90" s="10"/>
      <c r="H90" s="10">
        <v>2.34</v>
      </c>
      <c r="I90" s="11" t="s">
        <v>17</v>
      </c>
      <c r="K90" s="12">
        <v>1.0</v>
      </c>
    </row>
    <row r="91" ht="14.25" customHeight="1">
      <c r="A91" s="32">
        <v>28.0</v>
      </c>
      <c r="B91" s="8" t="s">
        <v>688</v>
      </c>
      <c r="C91" s="8" t="s">
        <v>385</v>
      </c>
      <c r="D91" s="8" t="s">
        <v>637</v>
      </c>
      <c r="E91" s="10">
        <v>1.88</v>
      </c>
      <c r="F91" s="10">
        <v>3.96</v>
      </c>
      <c r="G91" s="10"/>
      <c r="H91" s="10">
        <v>3.92</v>
      </c>
      <c r="I91" s="8" t="s">
        <v>631</v>
      </c>
    </row>
    <row r="92" ht="14.25" customHeight="1">
      <c r="A92" s="32">
        <v>29.0</v>
      </c>
      <c r="B92" s="8" t="s">
        <v>689</v>
      </c>
      <c r="C92" s="8" t="s">
        <v>385</v>
      </c>
      <c r="D92" s="8" t="s">
        <v>637</v>
      </c>
      <c r="E92" s="10">
        <v>3.16</v>
      </c>
      <c r="F92" s="10">
        <v>2.2</v>
      </c>
      <c r="G92" s="10"/>
      <c r="H92" s="10">
        <v>1.968</v>
      </c>
      <c r="I92" s="8" t="s">
        <v>631</v>
      </c>
    </row>
    <row r="93" ht="14.25" customHeight="1">
      <c r="A93" s="32">
        <v>30.0</v>
      </c>
      <c r="B93" s="8" t="s">
        <v>686</v>
      </c>
      <c r="C93" s="8" t="s">
        <v>385</v>
      </c>
      <c r="D93" s="8" t="s">
        <v>637</v>
      </c>
      <c r="E93" s="10">
        <v>5.5</v>
      </c>
      <c r="F93" s="10">
        <v>4.0</v>
      </c>
      <c r="G93" s="10"/>
      <c r="H93" s="10">
        <v>4.65</v>
      </c>
      <c r="I93" s="8" t="s">
        <v>541</v>
      </c>
      <c r="J93" s="12">
        <v>1.0</v>
      </c>
    </row>
    <row r="94" ht="14.25" customHeight="1">
      <c r="A94" s="32"/>
      <c r="B94" s="8"/>
      <c r="C94" s="8"/>
      <c r="D94" s="8"/>
      <c r="E94" s="10"/>
      <c r="F94" s="10"/>
      <c r="G94" s="10"/>
      <c r="H94" s="10"/>
      <c r="I94" s="8"/>
      <c r="J94" s="1">
        <f t="shared" ref="J94:L94" si="3">SUM(J64:J93)</f>
        <v>13</v>
      </c>
      <c r="K94" s="1">
        <f t="shared" si="3"/>
        <v>14</v>
      </c>
      <c r="L94" s="1">
        <f t="shared" si="3"/>
        <v>0</v>
      </c>
    </row>
    <row r="95" ht="14.25" customHeight="1">
      <c r="A95" s="32"/>
      <c r="B95" s="8"/>
      <c r="C95" s="8"/>
      <c r="D95" s="8"/>
      <c r="E95" s="10"/>
      <c r="F95" s="10"/>
      <c r="G95" s="10"/>
      <c r="H95" s="10"/>
      <c r="I95" s="8"/>
      <c r="J95" s="16">
        <f>J94/A93</f>
        <v>0.4333333333</v>
      </c>
      <c r="K95" s="16">
        <f>K94/A93</f>
        <v>0.4666666667</v>
      </c>
    </row>
    <row r="96" ht="14.25" customHeight="1">
      <c r="A96" s="32"/>
      <c r="B96" s="8"/>
      <c r="C96" s="8"/>
      <c r="D96" s="8"/>
      <c r="E96" s="10"/>
      <c r="F96" s="10"/>
      <c r="G96" s="10"/>
      <c r="H96" s="10"/>
      <c r="I96" s="8"/>
    </row>
    <row r="97" ht="14.25" customHeight="1">
      <c r="A97" s="32">
        <v>1.0</v>
      </c>
      <c r="B97" s="8" t="s">
        <v>664</v>
      </c>
      <c r="C97" s="8" t="s">
        <v>409</v>
      </c>
      <c r="D97" s="8" t="s">
        <v>539</v>
      </c>
      <c r="E97" s="10">
        <v>4.52</v>
      </c>
      <c r="F97" s="10">
        <v>5.82</v>
      </c>
      <c r="G97" s="10">
        <v>4.67</v>
      </c>
      <c r="H97" s="10">
        <v>4.59</v>
      </c>
      <c r="I97" s="8" t="s">
        <v>541</v>
      </c>
      <c r="J97" s="12">
        <v>1.0</v>
      </c>
    </row>
    <row r="98" ht="14.25" customHeight="1">
      <c r="A98" s="32">
        <v>2.0</v>
      </c>
      <c r="B98" s="8" t="s">
        <v>690</v>
      </c>
      <c r="C98" s="8" t="s">
        <v>409</v>
      </c>
      <c r="D98" s="8" t="s">
        <v>539</v>
      </c>
      <c r="E98" s="10">
        <v>2.94</v>
      </c>
      <c r="F98" s="10">
        <v>3.46</v>
      </c>
      <c r="G98" s="10">
        <v>3.2</v>
      </c>
      <c r="H98" s="10">
        <v>2.45</v>
      </c>
      <c r="I98" s="11" t="s">
        <v>17</v>
      </c>
      <c r="K98" s="12">
        <v>1.0</v>
      </c>
    </row>
    <row r="99" ht="14.25" customHeight="1">
      <c r="A99" s="32">
        <v>3.0</v>
      </c>
      <c r="B99" s="8" t="s">
        <v>691</v>
      </c>
      <c r="C99" s="8" t="s">
        <v>409</v>
      </c>
      <c r="D99" s="8" t="s">
        <v>539</v>
      </c>
      <c r="E99" s="10">
        <v>3.35</v>
      </c>
      <c r="F99" s="10">
        <v>4.99</v>
      </c>
      <c r="G99" s="10">
        <v>6.67</v>
      </c>
      <c r="H99" s="10">
        <v>5.73</v>
      </c>
      <c r="I99" s="8" t="s">
        <v>541</v>
      </c>
      <c r="J99" s="12">
        <v>1.0</v>
      </c>
    </row>
    <row r="100" ht="14.25" customHeight="1">
      <c r="A100" s="32">
        <v>4.0</v>
      </c>
      <c r="B100" s="8" t="s">
        <v>636</v>
      </c>
      <c r="C100" s="8" t="s">
        <v>409</v>
      </c>
      <c r="D100" s="8" t="s">
        <v>539</v>
      </c>
      <c r="E100" s="10">
        <v>5.35</v>
      </c>
      <c r="F100" s="10">
        <v>5.05</v>
      </c>
      <c r="G100" s="10">
        <v>5.2</v>
      </c>
      <c r="H100" s="10">
        <v>4.68</v>
      </c>
      <c r="I100" s="8" t="s">
        <v>541</v>
      </c>
      <c r="J100" s="12">
        <v>1.0</v>
      </c>
    </row>
    <row r="101" ht="14.25" customHeight="1">
      <c r="A101" s="32">
        <v>5.0</v>
      </c>
      <c r="B101" s="8" t="s">
        <v>692</v>
      </c>
      <c r="C101" s="8" t="s">
        <v>409</v>
      </c>
      <c r="D101" s="8" t="s">
        <v>539</v>
      </c>
      <c r="E101" s="10">
        <v>3.91</v>
      </c>
      <c r="F101" s="10">
        <v>2.49</v>
      </c>
      <c r="G101" s="10">
        <v>3.2</v>
      </c>
      <c r="H101" s="10">
        <v>4.05</v>
      </c>
      <c r="I101" s="11" t="s">
        <v>17</v>
      </c>
      <c r="K101" s="12">
        <v>1.0</v>
      </c>
    </row>
    <row r="102" ht="14.25" customHeight="1">
      <c r="A102" s="32">
        <v>6.0</v>
      </c>
      <c r="B102" s="8" t="s">
        <v>693</v>
      </c>
      <c r="C102" s="8" t="s">
        <v>409</v>
      </c>
      <c r="D102" s="8" t="s">
        <v>539</v>
      </c>
      <c r="E102" s="10">
        <v>2.79</v>
      </c>
      <c r="F102" s="10">
        <v>1.03</v>
      </c>
      <c r="G102" s="10">
        <v>1.91</v>
      </c>
      <c r="H102" s="10">
        <v>2.09</v>
      </c>
      <c r="I102" s="11" t="s">
        <v>17</v>
      </c>
      <c r="K102" s="12">
        <v>1.0</v>
      </c>
    </row>
    <row r="103" ht="14.25" customHeight="1">
      <c r="A103" s="32">
        <v>7.0</v>
      </c>
      <c r="B103" s="8" t="s">
        <v>694</v>
      </c>
      <c r="C103" s="8" t="s">
        <v>409</v>
      </c>
      <c r="D103" s="8" t="s">
        <v>539</v>
      </c>
      <c r="E103" s="10">
        <v>3.32</v>
      </c>
      <c r="F103" s="10">
        <v>2.32</v>
      </c>
      <c r="G103" s="10">
        <v>2.32</v>
      </c>
      <c r="H103" s="10">
        <v>3.63</v>
      </c>
      <c r="I103" s="11" t="s">
        <v>17</v>
      </c>
      <c r="K103" s="12">
        <v>1.0</v>
      </c>
    </row>
    <row r="104" ht="14.25" customHeight="1">
      <c r="A104" s="32">
        <v>8.0</v>
      </c>
      <c r="B104" s="8" t="s">
        <v>91</v>
      </c>
      <c r="C104" s="8" t="s">
        <v>409</v>
      </c>
      <c r="D104" s="8" t="s">
        <v>539</v>
      </c>
      <c r="E104" s="10">
        <v>5.88</v>
      </c>
      <c r="F104" s="10">
        <v>4.22</v>
      </c>
      <c r="G104" s="10">
        <v>4.05</v>
      </c>
      <c r="H104" s="10">
        <v>4.92</v>
      </c>
      <c r="I104" s="8" t="s">
        <v>541</v>
      </c>
      <c r="J104" s="12">
        <v>1.0</v>
      </c>
    </row>
    <row r="105" ht="14.25" customHeight="1">
      <c r="A105" s="32">
        <v>9.0</v>
      </c>
      <c r="B105" s="8" t="s">
        <v>695</v>
      </c>
      <c r="C105" s="8" t="s">
        <v>409</v>
      </c>
      <c r="D105" s="8" t="s">
        <v>539</v>
      </c>
      <c r="E105" s="10">
        <v>4.2</v>
      </c>
      <c r="F105" s="10">
        <v>2.74</v>
      </c>
      <c r="G105" s="10">
        <v>3.97</v>
      </c>
      <c r="H105" s="10">
        <v>3.54</v>
      </c>
      <c r="I105" s="11" t="s">
        <v>17</v>
      </c>
      <c r="K105" s="12">
        <v>1.0</v>
      </c>
    </row>
    <row r="106" ht="14.25" customHeight="1">
      <c r="A106" s="32">
        <v>10.0</v>
      </c>
      <c r="B106" s="8" t="s">
        <v>696</v>
      </c>
      <c r="C106" s="8" t="s">
        <v>409</v>
      </c>
      <c r="D106" s="8" t="s">
        <v>539</v>
      </c>
      <c r="E106" s="10">
        <v>1.94</v>
      </c>
      <c r="F106" s="10" t="s">
        <v>645</v>
      </c>
      <c r="G106" s="10" t="s">
        <v>645</v>
      </c>
      <c r="H106" s="10" t="s">
        <v>645</v>
      </c>
      <c r="I106" s="48" t="s">
        <v>353</v>
      </c>
      <c r="L106" s="12">
        <v>1.0</v>
      </c>
    </row>
    <row r="107" ht="14.25" customHeight="1">
      <c r="A107" s="32">
        <v>11.0</v>
      </c>
      <c r="B107" s="8" t="s">
        <v>697</v>
      </c>
      <c r="C107" s="8" t="s">
        <v>409</v>
      </c>
      <c r="D107" s="8" t="s">
        <v>539</v>
      </c>
      <c r="E107" s="10">
        <v>5.5</v>
      </c>
      <c r="F107" s="10">
        <v>5.96</v>
      </c>
      <c r="G107" s="10">
        <v>6.23</v>
      </c>
      <c r="H107" s="10">
        <v>7.42</v>
      </c>
      <c r="I107" s="8" t="s">
        <v>541</v>
      </c>
      <c r="J107" s="12">
        <v>1.0</v>
      </c>
    </row>
    <row r="108" ht="14.25" customHeight="1">
      <c r="A108" s="32">
        <v>12.0</v>
      </c>
      <c r="B108" s="8" t="s">
        <v>114</v>
      </c>
      <c r="C108" s="8" t="s">
        <v>409</v>
      </c>
      <c r="D108" s="8" t="s">
        <v>539</v>
      </c>
      <c r="E108" s="10">
        <v>7.73</v>
      </c>
      <c r="F108" s="10">
        <v>5.67</v>
      </c>
      <c r="G108" s="10">
        <v>4.7</v>
      </c>
      <c r="H108" s="10">
        <v>4.87</v>
      </c>
      <c r="I108" s="8" t="s">
        <v>541</v>
      </c>
      <c r="J108" s="12">
        <v>1.0</v>
      </c>
    </row>
    <row r="109" ht="14.25" customHeight="1">
      <c r="A109" s="32">
        <v>13.0</v>
      </c>
      <c r="B109" s="8" t="s">
        <v>698</v>
      </c>
      <c r="C109" s="8" t="s">
        <v>409</v>
      </c>
      <c r="D109" s="8" t="s">
        <v>539</v>
      </c>
      <c r="E109" s="10">
        <v>2.94</v>
      </c>
      <c r="F109" s="10">
        <v>3.64</v>
      </c>
      <c r="G109" s="10">
        <v>3.29</v>
      </c>
      <c r="H109" s="10">
        <v>2.42</v>
      </c>
      <c r="I109" s="11" t="s">
        <v>17</v>
      </c>
      <c r="K109" s="12">
        <v>1.0</v>
      </c>
    </row>
    <row r="110" ht="14.25" customHeight="1">
      <c r="A110" s="32">
        <v>14.0</v>
      </c>
      <c r="B110" s="8" t="s">
        <v>699</v>
      </c>
      <c r="C110" s="8" t="s">
        <v>409</v>
      </c>
      <c r="D110" s="8" t="s">
        <v>539</v>
      </c>
      <c r="E110" s="10">
        <v>1.97</v>
      </c>
      <c r="F110" s="10">
        <v>3.55</v>
      </c>
      <c r="G110" s="10">
        <v>2.26</v>
      </c>
      <c r="H110" s="10">
        <v>1.97</v>
      </c>
      <c r="I110" s="11" t="s">
        <v>17</v>
      </c>
      <c r="K110" s="12">
        <v>1.0</v>
      </c>
    </row>
    <row r="111" ht="14.25" customHeight="1">
      <c r="A111" s="32">
        <v>15.0</v>
      </c>
      <c r="B111" s="8" t="s">
        <v>700</v>
      </c>
      <c r="C111" s="8" t="s">
        <v>409</v>
      </c>
      <c r="D111" s="8" t="s">
        <v>539</v>
      </c>
      <c r="E111" s="10">
        <v>4.67</v>
      </c>
      <c r="F111" s="10">
        <v>3.73</v>
      </c>
      <c r="G111" s="10">
        <v>4.29</v>
      </c>
      <c r="H111" s="10">
        <v>4.56</v>
      </c>
      <c r="I111" s="8" t="s">
        <v>541</v>
      </c>
      <c r="J111" s="12">
        <v>1.0</v>
      </c>
    </row>
    <row r="112" ht="14.25" customHeight="1">
      <c r="A112" s="32">
        <v>16.0</v>
      </c>
      <c r="B112" s="8" t="s">
        <v>701</v>
      </c>
      <c r="C112" s="8" t="s">
        <v>409</v>
      </c>
      <c r="D112" s="8" t="s">
        <v>539</v>
      </c>
      <c r="E112" s="10">
        <v>3.85</v>
      </c>
      <c r="F112" s="10">
        <v>2.73</v>
      </c>
      <c r="G112" s="10">
        <v>2.11</v>
      </c>
      <c r="H112" s="10">
        <v>1.78</v>
      </c>
      <c r="I112" s="11" t="s">
        <v>17</v>
      </c>
      <c r="K112" s="12">
        <v>1.0</v>
      </c>
    </row>
    <row r="113" ht="14.25" customHeight="1">
      <c r="A113" s="32">
        <v>17.0</v>
      </c>
      <c r="B113" s="8" t="s">
        <v>702</v>
      </c>
      <c r="C113" s="8" t="s">
        <v>409</v>
      </c>
      <c r="D113" s="8" t="s">
        <v>539</v>
      </c>
      <c r="E113" s="10">
        <v>1.7</v>
      </c>
      <c r="F113" s="10">
        <v>2.7</v>
      </c>
      <c r="G113" s="10">
        <v>3.7</v>
      </c>
      <c r="H113" s="10">
        <v>3.34</v>
      </c>
      <c r="I113" s="11" t="s">
        <v>17</v>
      </c>
      <c r="K113" s="12">
        <v>1.0</v>
      </c>
    </row>
    <row r="114" ht="14.25" customHeight="1">
      <c r="A114" s="32">
        <v>18.0</v>
      </c>
      <c r="B114" s="8" t="s">
        <v>703</v>
      </c>
      <c r="C114" s="8" t="s">
        <v>409</v>
      </c>
      <c r="D114" s="8" t="s">
        <v>539</v>
      </c>
      <c r="E114" s="10">
        <v>6.91</v>
      </c>
      <c r="F114" s="10">
        <v>6.91</v>
      </c>
      <c r="G114" s="10">
        <v>7.91</v>
      </c>
      <c r="H114" s="10">
        <v>5.78</v>
      </c>
      <c r="I114" s="8" t="s">
        <v>541</v>
      </c>
      <c r="J114" s="12">
        <v>1.0</v>
      </c>
    </row>
    <row r="115" ht="14.25" customHeight="1">
      <c r="A115" s="32">
        <v>19.0</v>
      </c>
      <c r="B115" s="8" t="s">
        <v>208</v>
      </c>
      <c r="C115" s="8" t="s">
        <v>409</v>
      </c>
      <c r="D115" s="8" t="s">
        <v>539</v>
      </c>
      <c r="E115" s="10">
        <v>1.76</v>
      </c>
      <c r="F115" s="10">
        <v>1.82</v>
      </c>
      <c r="G115" s="10">
        <v>1.79</v>
      </c>
      <c r="H115" s="10">
        <v>2.67</v>
      </c>
      <c r="I115" s="11" t="s">
        <v>17</v>
      </c>
      <c r="K115" s="12">
        <v>1.0</v>
      </c>
    </row>
    <row r="116" ht="14.25" customHeight="1">
      <c r="A116" s="32">
        <v>20.0</v>
      </c>
      <c r="B116" s="8" t="s">
        <v>704</v>
      </c>
      <c r="C116" s="8" t="s">
        <v>409</v>
      </c>
      <c r="D116" s="8" t="s">
        <v>539</v>
      </c>
      <c r="E116" s="10">
        <v>7.08</v>
      </c>
      <c r="F116" s="10">
        <v>5.86</v>
      </c>
      <c r="G116" s="10">
        <v>6.47</v>
      </c>
      <c r="H116" s="10">
        <v>6.0</v>
      </c>
      <c r="I116" s="8" t="s">
        <v>541</v>
      </c>
      <c r="J116" s="12">
        <v>1.0</v>
      </c>
    </row>
    <row r="117" ht="14.25" customHeight="1">
      <c r="A117" s="32">
        <v>21.0</v>
      </c>
      <c r="B117" s="8" t="s">
        <v>705</v>
      </c>
      <c r="C117" s="8" t="s">
        <v>409</v>
      </c>
      <c r="D117" s="8" t="s">
        <v>539</v>
      </c>
      <c r="E117" s="10">
        <v>3.55</v>
      </c>
      <c r="F117" s="10">
        <v>3.09</v>
      </c>
      <c r="G117" s="10" t="s">
        <v>645</v>
      </c>
      <c r="H117" s="10" t="s">
        <v>645</v>
      </c>
      <c r="I117" s="48" t="s">
        <v>353</v>
      </c>
      <c r="L117" s="12">
        <v>1.0</v>
      </c>
    </row>
    <row r="118" ht="14.25" customHeight="1">
      <c r="A118" s="32">
        <v>22.0</v>
      </c>
      <c r="B118" s="8" t="s">
        <v>706</v>
      </c>
      <c r="C118" s="8" t="s">
        <v>409</v>
      </c>
      <c r="D118" s="8" t="s">
        <v>539</v>
      </c>
      <c r="E118" s="10">
        <v>4.02</v>
      </c>
      <c r="F118" s="10">
        <v>5.2</v>
      </c>
      <c r="G118" s="10">
        <v>6.61</v>
      </c>
      <c r="H118" s="10">
        <v>7.04</v>
      </c>
      <c r="I118" s="8" t="s">
        <v>541</v>
      </c>
      <c r="J118" s="12">
        <v>1.0</v>
      </c>
    </row>
    <row r="119" ht="14.25" customHeight="1">
      <c r="A119" s="32">
        <v>23.0</v>
      </c>
      <c r="B119" s="8" t="s">
        <v>707</v>
      </c>
      <c r="C119" s="8" t="s">
        <v>409</v>
      </c>
      <c r="D119" s="8" t="s">
        <v>539</v>
      </c>
      <c r="E119" s="10">
        <v>3.02</v>
      </c>
      <c r="F119" s="10">
        <v>2.62</v>
      </c>
      <c r="G119" s="10">
        <v>2.82</v>
      </c>
      <c r="H119" s="10">
        <v>1.0</v>
      </c>
      <c r="I119" s="11" t="s">
        <v>17</v>
      </c>
      <c r="K119" s="12">
        <v>1.0</v>
      </c>
    </row>
    <row r="120" ht="14.25" customHeight="1">
      <c r="A120" s="32">
        <v>24.0</v>
      </c>
      <c r="B120" s="8" t="s">
        <v>708</v>
      </c>
      <c r="C120" s="8" t="s">
        <v>409</v>
      </c>
      <c r="D120" s="8" t="s">
        <v>539</v>
      </c>
      <c r="E120" s="10">
        <v>3.02</v>
      </c>
      <c r="F120" s="10">
        <v>2.62</v>
      </c>
      <c r="G120" s="10" t="s">
        <v>645</v>
      </c>
      <c r="H120" s="10" t="s">
        <v>645</v>
      </c>
      <c r="I120" s="48" t="s">
        <v>353</v>
      </c>
      <c r="L120" s="12">
        <v>1.0</v>
      </c>
    </row>
    <row r="121" ht="14.25" customHeight="1">
      <c r="A121" s="32">
        <v>25.0</v>
      </c>
      <c r="B121" s="8" t="s">
        <v>709</v>
      </c>
      <c r="C121" s="8" t="s">
        <v>409</v>
      </c>
      <c r="D121" s="8" t="s">
        <v>539</v>
      </c>
      <c r="E121" s="10">
        <v>5.56</v>
      </c>
      <c r="F121" s="10">
        <v>5.94</v>
      </c>
      <c r="G121" s="10">
        <v>4.84</v>
      </c>
      <c r="H121" s="10">
        <v>4.62</v>
      </c>
      <c r="I121" s="8" t="s">
        <v>541</v>
      </c>
      <c r="J121" s="12">
        <v>1.0</v>
      </c>
    </row>
    <row r="122" ht="14.25" customHeight="1">
      <c r="A122" s="32">
        <v>26.0</v>
      </c>
      <c r="B122" s="8" t="s">
        <v>710</v>
      </c>
      <c r="C122" s="8" t="s">
        <v>409</v>
      </c>
      <c r="D122" s="8" t="s">
        <v>539</v>
      </c>
      <c r="E122" s="10">
        <v>2.02</v>
      </c>
      <c r="F122" s="10">
        <v>3.92</v>
      </c>
      <c r="G122" s="10">
        <v>3.97</v>
      </c>
      <c r="H122" s="10">
        <v>4.37</v>
      </c>
      <c r="I122" s="8" t="s">
        <v>631</v>
      </c>
    </row>
    <row r="123" ht="14.25" customHeight="1">
      <c r="A123" s="32">
        <v>27.0</v>
      </c>
      <c r="B123" s="8" t="s">
        <v>711</v>
      </c>
      <c r="C123" s="8" t="s">
        <v>409</v>
      </c>
      <c r="D123" s="8" t="s">
        <v>637</v>
      </c>
      <c r="E123" s="10">
        <v>4.39</v>
      </c>
      <c r="F123" s="10">
        <v>5.19</v>
      </c>
      <c r="G123" s="10">
        <v>5.29</v>
      </c>
      <c r="H123" s="10">
        <v>6.0</v>
      </c>
      <c r="I123" s="8" t="s">
        <v>541</v>
      </c>
      <c r="J123" s="12">
        <v>1.0</v>
      </c>
    </row>
    <row r="124" ht="14.25" customHeight="1">
      <c r="A124" s="32">
        <v>28.0</v>
      </c>
      <c r="B124" s="8" t="s">
        <v>712</v>
      </c>
      <c r="C124" s="8" t="s">
        <v>409</v>
      </c>
      <c r="D124" s="8" t="s">
        <v>637</v>
      </c>
      <c r="E124" s="10">
        <v>1.26</v>
      </c>
      <c r="F124" s="10">
        <v>2.0</v>
      </c>
      <c r="G124" s="10">
        <v>3.56</v>
      </c>
      <c r="H124" s="10">
        <v>4.35</v>
      </c>
      <c r="I124" s="11" t="s">
        <v>17</v>
      </c>
      <c r="K124" s="12">
        <v>1.0</v>
      </c>
    </row>
    <row r="125" ht="14.25" customHeight="1">
      <c r="A125" s="32">
        <v>29.0</v>
      </c>
      <c r="B125" s="8" t="s">
        <v>713</v>
      </c>
      <c r="C125" s="8" t="s">
        <v>409</v>
      </c>
      <c r="D125" s="8" t="s">
        <v>637</v>
      </c>
      <c r="E125" s="10" t="s">
        <v>645</v>
      </c>
      <c r="F125" s="10" t="s">
        <v>645</v>
      </c>
      <c r="G125" s="10" t="s">
        <v>645</v>
      </c>
      <c r="H125" s="10" t="s">
        <v>645</v>
      </c>
      <c r="I125" s="48" t="s">
        <v>353</v>
      </c>
      <c r="L125" s="12">
        <v>1.0</v>
      </c>
    </row>
    <row r="126" ht="14.25" customHeight="1">
      <c r="A126" s="32">
        <v>30.0</v>
      </c>
      <c r="B126" s="8" t="s">
        <v>714</v>
      </c>
      <c r="C126" s="8" t="s">
        <v>409</v>
      </c>
      <c r="D126" s="8" t="s">
        <v>637</v>
      </c>
      <c r="E126" s="10">
        <v>2.5</v>
      </c>
      <c r="F126" s="10">
        <v>3.14</v>
      </c>
      <c r="G126" s="10">
        <v>2.32</v>
      </c>
      <c r="H126" s="10">
        <v>1.89</v>
      </c>
      <c r="I126" s="11" t="s">
        <v>17</v>
      </c>
      <c r="K126" s="12">
        <v>1.0</v>
      </c>
    </row>
    <row r="127" ht="14.25" customHeight="1">
      <c r="A127" s="32">
        <v>31.0</v>
      </c>
      <c r="B127" s="8" t="s">
        <v>692</v>
      </c>
      <c r="C127" s="8" t="s">
        <v>409</v>
      </c>
      <c r="D127" s="8" t="s">
        <v>637</v>
      </c>
      <c r="E127" s="10">
        <v>5.71</v>
      </c>
      <c r="F127" s="10">
        <v>4.11</v>
      </c>
      <c r="G127" s="10">
        <v>4.41</v>
      </c>
      <c r="H127" s="10">
        <v>5.24</v>
      </c>
      <c r="I127" s="8" t="s">
        <v>541</v>
      </c>
      <c r="J127" s="12">
        <v>1.0</v>
      </c>
    </row>
    <row r="128" ht="14.25" customHeight="1">
      <c r="A128" s="32">
        <v>32.0</v>
      </c>
      <c r="B128" s="8" t="s">
        <v>715</v>
      </c>
      <c r="C128" s="8" t="s">
        <v>409</v>
      </c>
      <c r="D128" s="8" t="s">
        <v>637</v>
      </c>
      <c r="E128" s="10">
        <v>3.32</v>
      </c>
      <c r="F128" s="10">
        <v>4.08</v>
      </c>
      <c r="G128" s="10">
        <v>4.2</v>
      </c>
      <c r="H128" s="10">
        <v>3.95</v>
      </c>
      <c r="I128" s="8" t="s">
        <v>631</v>
      </c>
    </row>
    <row r="129" ht="14.25" customHeight="1">
      <c r="A129" s="32"/>
      <c r="B129" s="8"/>
      <c r="C129" s="8"/>
      <c r="D129" s="8"/>
      <c r="E129" s="10"/>
      <c r="F129" s="10"/>
      <c r="G129" s="10"/>
      <c r="H129" s="10"/>
      <c r="I129" s="8"/>
      <c r="J129" s="1">
        <f t="shared" ref="J129:L129" si="4">SUM(J97:J128)</f>
        <v>13</v>
      </c>
      <c r="K129" s="1">
        <f t="shared" si="4"/>
        <v>13</v>
      </c>
      <c r="L129" s="1">
        <f t="shared" si="4"/>
        <v>4</v>
      </c>
    </row>
    <row r="130" ht="14.25" customHeight="1">
      <c r="A130" s="32"/>
      <c r="B130" s="8"/>
      <c r="C130" s="8"/>
      <c r="D130" s="8"/>
      <c r="E130" s="10"/>
      <c r="F130" s="10"/>
      <c r="G130" s="10"/>
      <c r="H130" s="10"/>
      <c r="I130" s="8"/>
      <c r="J130" s="16">
        <f>J129/A128</f>
        <v>0.40625</v>
      </c>
      <c r="K130" s="16">
        <f>K129/A128</f>
        <v>0.40625</v>
      </c>
      <c r="L130" s="16">
        <f>L129/A128</f>
        <v>0.125</v>
      </c>
    </row>
    <row r="131" ht="14.25" customHeight="1">
      <c r="A131" s="32"/>
      <c r="B131" s="8"/>
      <c r="C131" s="8"/>
      <c r="D131" s="8"/>
      <c r="E131" s="10"/>
      <c r="F131" s="10"/>
      <c r="G131" s="10"/>
      <c r="H131" s="10"/>
      <c r="I131" s="8"/>
    </row>
    <row r="132" ht="14.25" customHeight="1">
      <c r="A132" s="32">
        <v>1.0</v>
      </c>
      <c r="B132" s="8" t="s">
        <v>716</v>
      </c>
      <c r="C132" s="8" t="s">
        <v>505</v>
      </c>
      <c r="D132" s="8" t="s">
        <v>539</v>
      </c>
      <c r="E132" s="10">
        <v>4.83</v>
      </c>
      <c r="F132" s="10">
        <v>5.83</v>
      </c>
      <c r="G132" s="10">
        <v>5.86</v>
      </c>
      <c r="H132" s="10">
        <v>6.0</v>
      </c>
      <c r="I132" s="8" t="s">
        <v>541</v>
      </c>
      <c r="J132" s="12">
        <v>1.0</v>
      </c>
    </row>
    <row r="133" ht="14.25" customHeight="1">
      <c r="A133" s="32">
        <v>2.0</v>
      </c>
      <c r="B133" s="8" t="s">
        <v>717</v>
      </c>
      <c r="C133" s="8" t="s">
        <v>505</v>
      </c>
      <c r="D133" s="8" t="s">
        <v>539</v>
      </c>
      <c r="E133" s="10">
        <v>1.28</v>
      </c>
      <c r="F133" s="10" t="s">
        <v>645</v>
      </c>
      <c r="G133" s="10" t="s">
        <v>645</v>
      </c>
      <c r="H133" s="10" t="s">
        <v>645</v>
      </c>
      <c r="I133" s="48" t="s">
        <v>353</v>
      </c>
      <c r="L133" s="12">
        <v>1.0</v>
      </c>
    </row>
    <row r="134" ht="14.25" customHeight="1">
      <c r="A134" s="32">
        <v>3.0</v>
      </c>
      <c r="B134" s="8" t="s">
        <v>718</v>
      </c>
      <c r="C134" s="8" t="s">
        <v>505</v>
      </c>
      <c r="D134" s="8" t="s">
        <v>539</v>
      </c>
      <c r="E134" s="10">
        <v>3.75</v>
      </c>
      <c r="F134" s="10">
        <v>5.5</v>
      </c>
      <c r="G134" s="10">
        <v>4.0</v>
      </c>
      <c r="H134" s="10">
        <v>4.52</v>
      </c>
      <c r="I134" s="8" t="s">
        <v>541</v>
      </c>
      <c r="J134" s="12">
        <v>1.0</v>
      </c>
    </row>
    <row r="135" ht="14.25" customHeight="1">
      <c r="A135" s="32">
        <v>4.0</v>
      </c>
      <c r="B135" s="8" t="s">
        <v>719</v>
      </c>
      <c r="C135" s="8" t="s">
        <v>505</v>
      </c>
      <c r="D135" s="8" t="s">
        <v>539</v>
      </c>
      <c r="E135" s="10">
        <v>2.53</v>
      </c>
      <c r="F135" s="10" t="s">
        <v>645</v>
      </c>
      <c r="G135" s="10" t="s">
        <v>645</v>
      </c>
      <c r="H135" s="10" t="s">
        <v>645</v>
      </c>
      <c r="I135" s="48" t="s">
        <v>353</v>
      </c>
      <c r="L135" s="12">
        <v>1.0</v>
      </c>
    </row>
    <row r="136" ht="14.25" customHeight="1">
      <c r="A136" s="32">
        <v>5.0</v>
      </c>
      <c r="B136" s="8" t="s">
        <v>720</v>
      </c>
      <c r="C136" s="8" t="s">
        <v>505</v>
      </c>
      <c r="D136" s="8" t="s">
        <v>539</v>
      </c>
      <c r="E136" s="10">
        <v>5.08</v>
      </c>
      <c r="F136" s="10">
        <v>4.82</v>
      </c>
      <c r="G136" s="10">
        <v>4.25</v>
      </c>
      <c r="H136" s="10">
        <v>5.41</v>
      </c>
      <c r="I136" s="8" t="s">
        <v>541</v>
      </c>
      <c r="J136" s="12">
        <v>1.0</v>
      </c>
    </row>
    <row r="137" ht="14.25" customHeight="1">
      <c r="A137" s="32">
        <v>6.0</v>
      </c>
      <c r="B137" s="8" t="s">
        <v>721</v>
      </c>
      <c r="C137" s="8" t="s">
        <v>505</v>
      </c>
      <c r="D137" s="8" t="s">
        <v>539</v>
      </c>
      <c r="E137" s="10">
        <v>4.25</v>
      </c>
      <c r="F137" s="10">
        <v>6.45</v>
      </c>
      <c r="G137" s="10">
        <v>5.46</v>
      </c>
      <c r="H137" s="10">
        <v>4.58</v>
      </c>
      <c r="I137" s="8" t="s">
        <v>541</v>
      </c>
      <c r="J137" s="12">
        <v>1.0</v>
      </c>
    </row>
    <row r="138" ht="14.25" customHeight="1">
      <c r="A138" s="32">
        <v>7.0</v>
      </c>
      <c r="B138" s="8" t="s">
        <v>722</v>
      </c>
      <c r="C138" s="8" t="s">
        <v>505</v>
      </c>
      <c r="D138" s="8" t="s">
        <v>539</v>
      </c>
      <c r="E138" s="10">
        <v>2.1</v>
      </c>
      <c r="F138" s="10">
        <v>2.5</v>
      </c>
      <c r="G138" s="10">
        <v>3.41</v>
      </c>
      <c r="H138" s="10">
        <v>2.34</v>
      </c>
      <c r="I138" s="11" t="s">
        <v>17</v>
      </c>
      <c r="K138" s="12">
        <v>1.0</v>
      </c>
    </row>
    <row r="139" ht="14.25" customHeight="1">
      <c r="A139" s="32">
        <v>8.0</v>
      </c>
      <c r="B139" s="8" t="s">
        <v>723</v>
      </c>
      <c r="C139" s="8" t="s">
        <v>505</v>
      </c>
      <c r="D139" s="8" t="s">
        <v>539</v>
      </c>
      <c r="E139" s="10">
        <v>3.8</v>
      </c>
      <c r="F139" s="10">
        <v>1.8</v>
      </c>
      <c r="G139" s="10">
        <v>2.08</v>
      </c>
      <c r="H139" s="10">
        <v>3.42</v>
      </c>
      <c r="I139" s="11" t="s">
        <v>17</v>
      </c>
      <c r="K139" s="12">
        <v>1.0</v>
      </c>
    </row>
    <row r="140" ht="14.25" customHeight="1">
      <c r="A140" s="32">
        <v>9.0</v>
      </c>
      <c r="B140" s="8" t="s">
        <v>724</v>
      </c>
      <c r="C140" s="8" t="s">
        <v>505</v>
      </c>
      <c r="D140" s="8" t="s">
        <v>539</v>
      </c>
      <c r="E140" s="10">
        <v>1.04</v>
      </c>
      <c r="F140" s="10">
        <v>2.8</v>
      </c>
      <c r="G140" s="10">
        <v>3.08</v>
      </c>
      <c r="H140" s="10">
        <v>4.21</v>
      </c>
      <c r="I140" s="11" t="s">
        <v>17</v>
      </c>
      <c r="K140" s="12">
        <v>1.0</v>
      </c>
    </row>
    <row r="141" ht="14.25" customHeight="1">
      <c r="A141" s="32">
        <v>10.0</v>
      </c>
      <c r="B141" s="8" t="s">
        <v>725</v>
      </c>
      <c r="C141" s="8" t="s">
        <v>505</v>
      </c>
      <c r="D141" s="8" t="s">
        <v>539</v>
      </c>
      <c r="E141" s="10">
        <v>3.64</v>
      </c>
      <c r="F141" s="10">
        <v>1.0</v>
      </c>
      <c r="G141" s="10">
        <v>2.45</v>
      </c>
      <c r="H141" s="10">
        <v>3.76</v>
      </c>
      <c r="I141" s="11" t="s">
        <v>17</v>
      </c>
      <c r="K141" s="12">
        <v>1.0</v>
      </c>
    </row>
    <row r="142" ht="14.25" customHeight="1">
      <c r="A142" s="32">
        <v>11.0</v>
      </c>
      <c r="B142" s="8" t="s">
        <v>726</v>
      </c>
      <c r="C142" s="8" t="s">
        <v>505</v>
      </c>
      <c r="D142" s="8" t="s">
        <v>539</v>
      </c>
      <c r="E142" s="10">
        <v>4.0</v>
      </c>
      <c r="F142" s="10">
        <v>2.8</v>
      </c>
      <c r="G142" s="10" t="s">
        <v>645</v>
      </c>
      <c r="H142" s="10" t="s">
        <v>645</v>
      </c>
      <c r="I142" s="48" t="s">
        <v>353</v>
      </c>
      <c r="L142" s="12">
        <v>1.0</v>
      </c>
    </row>
    <row r="143" ht="14.25" customHeight="1">
      <c r="A143" s="32">
        <v>12.0</v>
      </c>
      <c r="B143" s="8" t="s">
        <v>727</v>
      </c>
      <c r="C143" s="8" t="s">
        <v>505</v>
      </c>
      <c r="D143" s="8" t="s">
        <v>539</v>
      </c>
      <c r="E143" s="10">
        <v>2.0</v>
      </c>
      <c r="F143" s="10">
        <v>2.0</v>
      </c>
      <c r="G143" s="10">
        <v>1.96</v>
      </c>
      <c r="H143" s="10">
        <v>2.54</v>
      </c>
      <c r="I143" s="11" t="s">
        <v>17</v>
      </c>
      <c r="K143" s="12">
        <v>1.0</v>
      </c>
    </row>
    <row r="144" ht="14.25" customHeight="1">
      <c r="A144" s="32">
        <v>13.0</v>
      </c>
      <c r="B144" s="8" t="s">
        <v>728</v>
      </c>
      <c r="C144" s="8" t="s">
        <v>505</v>
      </c>
      <c r="D144" s="8" t="s">
        <v>539</v>
      </c>
      <c r="E144" s="10">
        <v>1.83</v>
      </c>
      <c r="F144" s="10">
        <v>3.8</v>
      </c>
      <c r="G144" s="10">
        <v>2.0</v>
      </c>
      <c r="H144" s="10">
        <v>3.64</v>
      </c>
      <c r="I144" s="11" t="s">
        <v>17</v>
      </c>
      <c r="K144" s="12">
        <v>1.0</v>
      </c>
    </row>
    <row r="145" ht="14.25" customHeight="1">
      <c r="A145" s="32">
        <v>14.0</v>
      </c>
      <c r="B145" s="8" t="s">
        <v>729</v>
      </c>
      <c r="C145" s="8" t="s">
        <v>505</v>
      </c>
      <c r="D145" s="8" t="s">
        <v>539</v>
      </c>
      <c r="E145" s="10">
        <v>2.0</v>
      </c>
      <c r="F145" s="10">
        <v>4.3</v>
      </c>
      <c r="G145" s="10">
        <v>1.5</v>
      </c>
      <c r="H145" s="10">
        <v>2.53</v>
      </c>
      <c r="I145" s="11" t="s">
        <v>17</v>
      </c>
      <c r="K145" s="12">
        <v>1.0</v>
      </c>
    </row>
    <row r="146" ht="14.25" customHeight="1">
      <c r="A146" s="32">
        <v>15.0</v>
      </c>
      <c r="B146" s="8" t="s">
        <v>730</v>
      </c>
      <c r="C146" s="8" t="s">
        <v>505</v>
      </c>
      <c r="D146" s="8" t="s">
        <v>539</v>
      </c>
      <c r="E146" s="10" t="s">
        <v>645</v>
      </c>
      <c r="F146" s="10" t="s">
        <v>645</v>
      </c>
      <c r="G146" s="10" t="s">
        <v>645</v>
      </c>
      <c r="H146" s="10" t="s">
        <v>645</v>
      </c>
      <c r="I146" s="48" t="s">
        <v>353</v>
      </c>
      <c r="L146" s="12">
        <v>1.0</v>
      </c>
    </row>
    <row r="147" ht="14.25" customHeight="1">
      <c r="A147" s="32">
        <v>16.0</v>
      </c>
      <c r="B147" s="8" t="s">
        <v>333</v>
      </c>
      <c r="C147" s="8" t="s">
        <v>505</v>
      </c>
      <c r="D147" s="8" t="s">
        <v>539</v>
      </c>
      <c r="E147" s="10">
        <v>6.5</v>
      </c>
      <c r="F147" s="10">
        <v>6.53</v>
      </c>
      <c r="G147" s="10">
        <v>6.46</v>
      </c>
      <c r="H147" s="10">
        <v>7.0</v>
      </c>
      <c r="I147" s="8" t="s">
        <v>541</v>
      </c>
      <c r="J147" s="12">
        <v>1.0</v>
      </c>
    </row>
    <row r="148" ht="14.25" customHeight="1">
      <c r="A148" s="32">
        <v>17.0</v>
      </c>
      <c r="B148" s="8" t="s">
        <v>731</v>
      </c>
      <c r="C148" s="8" t="s">
        <v>505</v>
      </c>
      <c r="D148" s="8" t="s">
        <v>539</v>
      </c>
      <c r="E148" s="10">
        <v>1.5</v>
      </c>
      <c r="F148" s="10">
        <v>3.53</v>
      </c>
      <c r="G148" s="10">
        <v>4.46</v>
      </c>
      <c r="H148" s="10">
        <v>3.93</v>
      </c>
      <c r="I148" s="8" t="s">
        <v>631</v>
      </c>
    </row>
    <row r="149" ht="14.25" customHeight="1">
      <c r="A149" s="32">
        <v>18.0</v>
      </c>
      <c r="B149" s="8" t="s">
        <v>120</v>
      </c>
      <c r="C149" s="8" t="s">
        <v>505</v>
      </c>
      <c r="D149" s="8" t="s">
        <v>539</v>
      </c>
      <c r="E149" s="10">
        <v>2.83</v>
      </c>
      <c r="F149" s="10">
        <v>2.8</v>
      </c>
      <c r="G149" s="10">
        <v>3.33</v>
      </c>
      <c r="H149" s="10">
        <v>4.0</v>
      </c>
      <c r="I149" s="8" t="s">
        <v>631</v>
      </c>
    </row>
    <row r="150" ht="14.25" customHeight="1">
      <c r="A150" s="32">
        <v>19.0</v>
      </c>
      <c r="B150" s="8" t="s">
        <v>732</v>
      </c>
      <c r="C150" s="8" t="s">
        <v>505</v>
      </c>
      <c r="D150" s="8" t="s">
        <v>539</v>
      </c>
      <c r="E150" s="10">
        <v>3.22</v>
      </c>
      <c r="F150" s="10">
        <v>2.5</v>
      </c>
      <c r="G150" s="10">
        <v>1.42</v>
      </c>
      <c r="H150" s="10">
        <v>3.93</v>
      </c>
      <c r="I150" s="8" t="s">
        <v>631</v>
      </c>
    </row>
    <row r="151" ht="14.25" customHeight="1">
      <c r="A151" s="32">
        <v>20.0</v>
      </c>
      <c r="B151" s="8" t="s">
        <v>733</v>
      </c>
      <c r="C151" s="8" t="s">
        <v>505</v>
      </c>
      <c r="D151" s="8" t="s">
        <v>539</v>
      </c>
      <c r="E151" s="10">
        <v>2.25</v>
      </c>
      <c r="F151" s="10">
        <v>4.0</v>
      </c>
      <c r="G151" s="10">
        <v>3.96</v>
      </c>
      <c r="H151" s="10">
        <v>4.42</v>
      </c>
      <c r="I151" s="8" t="s">
        <v>631</v>
      </c>
    </row>
    <row r="152" ht="14.25" customHeight="1">
      <c r="A152" s="32">
        <v>21.0</v>
      </c>
      <c r="B152" s="8" t="s">
        <v>734</v>
      </c>
      <c r="C152" s="8" t="s">
        <v>505</v>
      </c>
      <c r="D152" s="8" t="s">
        <v>539</v>
      </c>
      <c r="E152" s="10">
        <v>4.0</v>
      </c>
      <c r="F152" s="10">
        <v>4.5</v>
      </c>
      <c r="G152" s="10">
        <v>4.83</v>
      </c>
      <c r="H152" s="10">
        <v>5.0</v>
      </c>
      <c r="I152" s="8" t="s">
        <v>541</v>
      </c>
      <c r="J152" s="12">
        <v>1.0</v>
      </c>
    </row>
    <row r="153" ht="14.25" customHeight="1">
      <c r="A153" s="32">
        <v>22.0</v>
      </c>
      <c r="B153" s="8" t="s">
        <v>126</v>
      </c>
      <c r="C153" s="8" t="s">
        <v>505</v>
      </c>
      <c r="D153" s="8" t="s">
        <v>539</v>
      </c>
      <c r="E153" s="10">
        <v>2.0</v>
      </c>
      <c r="F153" s="10">
        <v>2.2</v>
      </c>
      <c r="G153" s="10">
        <v>3.33</v>
      </c>
      <c r="H153" s="10">
        <v>3.87</v>
      </c>
      <c r="I153" s="48" t="s">
        <v>353</v>
      </c>
      <c r="L153" s="12">
        <v>1.0</v>
      </c>
    </row>
    <row r="154" ht="14.25" customHeight="1">
      <c r="A154" s="32">
        <v>23.0</v>
      </c>
      <c r="B154" s="8" t="s">
        <v>735</v>
      </c>
      <c r="C154" s="8" t="s">
        <v>505</v>
      </c>
      <c r="D154" s="8" t="s">
        <v>539</v>
      </c>
      <c r="E154" s="10">
        <v>3.55</v>
      </c>
      <c r="F154" s="10">
        <v>1.95</v>
      </c>
      <c r="G154" s="10">
        <v>3.36</v>
      </c>
      <c r="H154" s="10">
        <v>2.5</v>
      </c>
      <c r="I154" s="8" t="s">
        <v>631</v>
      </c>
    </row>
    <row r="155" ht="14.25" customHeight="1">
      <c r="A155" s="32">
        <v>24.0</v>
      </c>
      <c r="B155" s="8" t="s">
        <v>736</v>
      </c>
      <c r="C155" s="8" t="s">
        <v>505</v>
      </c>
      <c r="D155" s="8" t="s">
        <v>539</v>
      </c>
      <c r="E155" s="10">
        <v>2.25</v>
      </c>
      <c r="F155" s="10">
        <v>2.0</v>
      </c>
      <c r="G155" s="10">
        <v>2.0</v>
      </c>
      <c r="H155" s="10">
        <v>3.46</v>
      </c>
      <c r="I155" s="8" t="s">
        <v>631</v>
      </c>
    </row>
    <row r="156" ht="14.25" customHeight="1">
      <c r="A156" s="32">
        <v>25.0</v>
      </c>
      <c r="B156" s="8" t="s">
        <v>737</v>
      </c>
      <c r="C156" s="8" t="s">
        <v>505</v>
      </c>
      <c r="D156" s="8" t="s">
        <v>539</v>
      </c>
      <c r="E156" s="10">
        <v>3.81</v>
      </c>
      <c r="F156" s="10">
        <v>4.05</v>
      </c>
      <c r="G156" s="10">
        <v>4.61</v>
      </c>
      <c r="H156" s="10">
        <v>5.0</v>
      </c>
      <c r="I156" s="8" t="s">
        <v>541</v>
      </c>
      <c r="J156" s="12">
        <v>1.0</v>
      </c>
    </row>
    <row r="157" ht="14.25" customHeight="1">
      <c r="A157" s="32">
        <v>26.0</v>
      </c>
      <c r="B157" s="8" t="s">
        <v>738</v>
      </c>
      <c r="C157" s="8" t="s">
        <v>505</v>
      </c>
      <c r="D157" s="8" t="s">
        <v>637</v>
      </c>
      <c r="E157" s="10">
        <v>4.21</v>
      </c>
      <c r="F157" s="10">
        <v>5.16</v>
      </c>
      <c r="G157" s="10">
        <v>5.25</v>
      </c>
      <c r="H157" s="10">
        <v>4.84</v>
      </c>
      <c r="I157" s="8" t="s">
        <v>541</v>
      </c>
      <c r="J157" s="12">
        <v>1.0</v>
      </c>
    </row>
    <row r="158" ht="14.25" customHeight="1">
      <c r="A158" s="32">
        <v>27.0</v>
      </c>
      <c r="B158" s="8" t="s">
        <v>739</v>
      </c>
      <c r="C158" s="8" t="s">
        <v>505</v>
      </c>
      <c r="D158" s="8" t="s">
        <v>637</v>
      </c>
      <c r="E158" s="10">
        <v>6.81</v>
      </c>
      <c r="F158" s="10">
        <v>4.05</v>
      </c>
      <c r="G158" s="10">
        <v>4.61</v>
      </c>
      <c r="H158" s="10">
        <v>5.0</v>
      </c>
      <c r="I158" s="8" t="s">
        <v>541</v>
      </c>
      <c r="J158" s="12">
        <v>1.0</v>
      </c>
    </row>
    <row r="159" ht="14.25" customHeight="1">
      <c r="A159" s="32">
        <v>28.0</v>
      </c>
      <c r="B159" s="8" t="s">
        <v>740</v>
      </c>
      <c r="C159" s="8" t="s">
        <v>505</v>
      </c>
      <c r="D159" s="8" t="s">
        <v>637</v>
      </c>
      <c r="E159" s="10">
        <v>3.0</v>
      </c>
      <c r="F159" s="10">
        <v>2.643</v>
      </c>
      <c r="G159" s="10" t="s">
        <v>645</v>
      </c>
      <c r="H159" s="10" t="s">
        <v>645</v>
      </c>
      <c r="I159" s="48" t="s">
        <v>353</v>
      </c>
      <c r="L159" s="12">
        <v>1.0</v>
      </c>
    </row>
    <row r="160" ht="14.25" customHeight="1">
      <c r="A160" s="32">
        <v>29.0</v>
      </c>
      <c r="B160" s="8" t="s">
        <v>741</v>
      </c>
      <c r="C160" s="8" t="s">
        <v>505</v>
      </c>
      <c r="D160" s="8" t="s">
        <v>637</v>
      </c>
      <c r="E160" s="10">
        <v>2.15</v>
      </c>
      <c r="F160" s="10">
        <v>3.29</v>
      </c>
      <c r="G160" s="10">
        <v>3.63</v>
      </c>
      <c r="H160" s="10">
        <v>4.12</v>
      </c>
      <c r="I160" s="11" t="s">
        <v>17</v>
      </c>
      <c r="K160" s="12">
        <v>1.0</v>
      </c>
    </row>
    <row r="161" ht="14.25" customHeight="1">
      <c r="A161" s="32">
        <v>30.0</v>
      </c>
      <c r="B161" s="8" t="s">
        <v>742</v>
      </c>
      <c r="C161" s="8" t="s">
        <v>505</v>
      </c>
      <c r="D161" s="8" t="s">
        <v>637</v>
      </c>
      <c r="E161" s="10">
        <v>3.85</v>
      </c>
      <c r="F161" s="10">
        <v>4.0</v>
      </c>
      <c r="G161" s="10">
        <v>3.52</v>
      </c>
      <c r="H161" s="10">
        <v>3.0</v>
      </c>
      <c r="I161" s="11" t="s">
        <v>17</v>
      </c>
      <c r="K161" s="12">
        <v>1.0</v>
      </c>
    </row>
    <row r="162" ht="14.25" customHeight="1">
      <c r="A162" s="32">
        <v>31.0</v>
      </c>
      <c r="B162" s="8" t="s">
        <v>743</v>
      </c>
      <c r="C162" s="8" t="s">
        <v>505</v>
      </c>
      <c r="D162" s="8" t="s">
        <v>637</v>
      </c>
      <c r="E162" s="10">
        <v>1.23</v>
      </c>
      <c r="F162" s="10">
        <v>2.13</v>
      </c>
      <c r="G162" s="10">
        <v>2.53</v>
      </c>
      <c r="H162" s="10">
        <v>2.79</v>
      </c>
      <c r="I162" s="11" t="s">
        <v>17</v>
      </c>
      <c r="K162" s="12">
        <v>1.0</v>
      </c>
    </row>
    <row r="163" ht="14.25" customHeight="1">
      <c r="A163" s="32">
        <v>32.0</v>
      </c>
      <c r="B163" s="8" t="s">
        <v>744</v>
      </c>
      <c r="C163" s="8" t="s">
        <v>505</v>
      </c>
      <c r="D163" s="8" t="s">
        <v>637</v>
      </c>
      <c r="E163" s="10">
        <v>3.41</v>
      </c>
      <c r="F163" s="10">
        <v>3.55</v>
      </c>
      <c r="G163" s="10">
        <v>2.48</v>
      </c>
      <c r="H163" s="10">
        <v>3.63</v>
      </c>
      <c r="I163" s="11" t="s">
        <v>17</v>
      </c>
      <c r="K163" s="12">
        <v>1.0</v>
      </c>
    </row>
    <row r="164" ht="14.25" customHeight="1">
      <c r="A164" s="32">
        <v>33.0</v>
      </c>
      <c r="B164" s="8" t="s">
        <v>745</v>
      </c>
      <c r="C164" s="8" t="s">
        <v>505</v>
      </c>
      <c r="D164" s="8" t="s">
        <v>637</v>
      </c>
      <c r="E164" s="10">
        <v>2.61</v>
      </c>
      <c r="F164" s="10">
        <v>3.31</v>
      </c>
      <c r="G164" s="10">
        <v>1.47</v>
      </c>
      <c r="H164" s="10">
        <v>2.63</v>
      </c>
      <c r="I164" s="11" t="s">
        <v>17</v>
      </c>
      <c r="K164" s="12">
        <v>1.0</v>
      </c>
    </row>
    <row r="165" ht="14.25" customHeight="1">
      <c r="A165" s="32">
        <v>34.0</v>
      </c>
      <c r="B165" s="8" t="s">
        <v>203</v>
      </c>
      <c r="C165" s="8" t="s">
        <v>505</v>
      </c>
      <c r="D165" s="8" t="s">
        <v>637</v>
      </c>
      <c r="E165" s="10">
        <v>4.2</v>
      </c>
      <c r="F165" s="10">
        <v>4.0</v>
      </c>
      <c r="G165" s="10">
        <v>3.2</v>
      </c>
      <c r="H165" s="10">
        <v>3.54</v>
      </c>
      <c r="I165" s="11" t="s">
        <v>17</v>
      </c>
      <c r="K165" s="12">
        <v>1.0</v>
      </c>
    </row>
    <row r="166" ht="14.25" customHeight="1">
      <c r="A166" s="32">
        <v>35.0</v>
      </c>
      <c r="B166" s="8" t="s">
        <v>487</v>
      </c>
      <c r="C166" s="8" t="s">
        <v>505</v>
      </c>
      <c r="D166" s="8" t="s">
        <v>637</v>
      </c>
      <c r="E166" s="10">
        <v>2.47</v>
      </c>
      <c r="F166" s="10">
        <v>3.21</v>
      </c>
      <c r="G166" s="10">
        <v>4.06</v>
      </c>
      <c r="H166" s="10">
        <v>4.42</v>
      </c>
      <c r="I166" s="11" t="s">
        <v>17</v>
      </c>
      <c r="K166" s="12">
        <v>1.0</v>
      </c>
    </row>
    <row r="167" ht="14.25" customHeight="1">
      <c r="A167" s="32">
        <v>36.0</v>
      </c>
      <c r="B167" s="8" t="s">
        <v>746</v>
      </c>
      <c r="C167" s="8" t="s">
        <v>505</v>
      </c>
      <c r="D167" s="8" t="s">
        <v>637</v>
      </c>
      <c r="E167" s="10">
        <v>3.15</v>
      </c>
      <c r="F167" s="10">
        <v>2.0</v>
      </c>
      <c r="G167" s="10">
        <v>3.35</v>
      </c>
      <c r="H167" s="10">
        <v>3.0</v>
      </c>
      <c r="I167" s="11" t="s">
        <v>17</v>
      </c>
      <c r="K167" s="12">
        <v>1.0</v>
      </c>
    </row>
    <row r="168" ht="14.25" customHeight="1">
      <c r="A168" s="32">
        <v>37.0</v>
      </c>
      <c r="B168" s="8" t="s">
        <v>747</v>
      </c>
      <c r="C168" s="8" t="s">
        <v>505</v>
      </c>
      <c r="D168" s="8" t="s">
        <v>637</v>
      </c>
      <c r="E168" s="10">
        <v>2.91</v>
      </c>
      <c r="F168" s="10">
        <v>1.0</v>
      </c>
      <c r="G168" s="10">
        <v>2.94</v>
      </c>
      <c r="H168" s="10">
        <v>3.52</v>
      </c>
      <c r="I168" s="11" t="s">
        <v>17</v>
      </c>
      <c r="K168" s="12">
        <v>1.0</v>
      </c>
    </row>
    <row r="169" ht="14.25" customHeight="1">
      <c r="A169" s="32">
        <v>38.0</v>
      </c>
      <c r="B169" s="8" t="s">
        <v>748</v>
      </c>
      <c r="C169" s="8" t="s">
        <v>505</v>
      </c>
      <c r="D169" s="8" t="s">
        <v>637</v>
      </c>
      <c r="E169" s="10">
        <v>4.11</v>
      </c>
      <c r="F169" s="10">
        <v>3.13</v>
      </c>
      <c r="G169" s="10">
        <v>2.15</v>
      </c>
      <c r="H169" s="10">
        <v>1.95</v>
      </c>
      <c r="I169" s="48" t="s">
        <v>353</v>
      </c>
      <c r="L169" s="12">
        <v>1.0</v>
      </c>
    </row>
    <row r="170" ht="14.25" customHeight="1">
      <c r="A170" s="32">
        <v>39.0</v>
      </c>
      <c r="B170" s="8" t="s">
        <v>749</v>
      </c>
      <c r="C170" s="8" t="s">
        <v>505</v>
      </c>
      <c r="D170" s="8" t="s">
        <v>637</v>
      </c>
      <c r="E170" s="10">
        <v>6.23</v>
      </c>
      <c r="F170" s="10">
        <v>5.29</v>
      </c>
      <c r="G170" s="10">
        <v>6.09</v>
      </c>
      <c r="H170" s="10">
        <v>4.64</v>
      </c>
      <c r="I170" s="8" t="s">
        <v>541</v>
      </c>
      <c r="J170" s="12">
        <v>1.0</v>
      </c>
    </row>
    <row r="171" ht="14.25" customHeight="1">
      <c r="A171" s="32">
        <v>40.0</v>
      </c>
      <c r="B171" s="8" t="s">
        <v>750</v>
      </c>
      <c r="C171" s="8" t="s">
        <v>505</v>
      </c>
      <c r="D171" s="8" t="s">
        <v>637</v>
      </c>
      <c r="E171" s="10">
        <v>5.17</v>
      </c>
      <c r="F171" s="10">
        <v>5.0</v>
      </c>
      <c r="G171" s="10">
        <v>5.22</v>
      </c>
      <c r="H171" s="10">
        <v>4.87</v>
      </c>
      <c r="I171" s="8" t="s">
        <v>541</v>
      </c>
      <c r="J171" s="12">
        <v>1.0</v>
      </c>
    </row>
    <row r="172" ht="14.25" customHeight="1">
      <c r="A172" s="32">
        <v>41.0</v>
      </c>
      <c r="B172" s="8" t="s">
        <v>751</v>
      </c>
      <c r="C172" s="8" t="s">
        <v>505</v>
      </c>
      <c r="D172" s="8" t="s">
        <v>637</v>
      </c>
      <c r="E172" s="10">
        <v>4.23</v>
      </c>
      <c r="F172" s="10">
        <v>4.29</v>
      </c>
      <c r="G172" s="10">
        <v>6.52</v>
      </c>
      <c r="H172" s="10">
        <v>6.64</v>
      </c>
      <c r="I172" s="8" t="s">
        <v>541</v>
      </c>
      <c r="J172" s="12">
        <v>1.0</v>
      </c>
    </row>
    <row r="173" ht="14.25" customHeight="1">
      <c r="A173" s="32">
        <v>42.0</v>
      </c>
      <c r="B173" s="8" t="s">
        <v>752</v>
      </c>
      <c r="C173" s="8" t="s">
        <v>505</v>
      </c>
      <c r="D173" s="8" t="s">
        <v>637</v>
      </c>
      <c r="E173" s="10">
        <v>3.61</v>
      </c>
      <c r="F173" s="10">
        <v>5.33</v>
      </c>
      <c r="G173" s="10">
        <v>5.75</v>
      </c>
      <c r="H173" s="10">
        <v>6.0</v>
      </c>
      <c r="I173" s="8" t="s">
        <v>541</v>
      </c>
      <c r="J173" s="12">
        <v>1.0</v>
      </c>
    </row>
    <row r="174" ht="14.25" customHeight="1">
      <c r="A174" s="32">
        <v>43.0</v>
      </c>
      <c r="B174" s="8" t="s">
        <v>753</v>
      </c>
      <c r="C174" s="8" t="s">
        <v>505</v>
      </c>
      <c r="D174" s="8" t="s">
        <v>637</v>
      </c>
      <c r="E174" s="10">
        <v>3.26</v>
      </c>
      <c r="F174" s="10">
        <v>3.06</v>
      </c>
      <c r="G174" s="10">
        <v>3.2</v>
      </c>
      <c r="H174" s="10">
        <v>2.75</v>
      </c>
      <c r="I174" s="11" t="s">
        <v>17</v>
      </c>
      <c r="K174" s="12">
        <v>1.0</v>
      </c>
    </row>
    <row r="175" ht="14.25" customHeight="1">
      <c r="A175" s="32">
        <v>44.0</v>
      </c>
      <c r="B175" s="8" t="s">
        <v>754</v>
      </c>
      <c r="C175" s="8" t="s">
        <v>505</v>
      </c>
      <c r="D175" s="8" t="s">
        <v>637</v>
      </c>
      <c r="E175" s="10">
        <v>3.02</v>
      </c>
      <c r="F175" s="10">
        <v>2.07</v>
      </c>
      <c r="G175" s="10">
        <v>2.5</v>
      </c>
      <c r="H175" s="10">
        <v>1.84</v>
      </c>
      <c r="I175" s="11" t="s">
        <v>17</v>
      </c>
      <c r="K175" s="12">
        <v>1.0</v>
      </c>
    </row>
    <row r="176" ht="14.25" customHeight="1">
      <c r="A176" s="32">
        <v>45.0</v>
      </c>
      <c r="B176" s="8" t="s">
        <v>755</v>
      </c>
      <c r="C176" s="8" t="s">
        <v>505</v>
      </c>
      <c r="D176" s="8" t="s">
        <v>637</v>
      </c>
      <c r="E176" s="10">
        <v>6.0</v>
      </c>
      <c r="F176" s="10">
        <v>6.69</v>
      </c>
      <c r="G176" s="10">
        <v>5.69</v>
      </c>
      <c r="H176" s="10">
        <v>5.85</v>
      </c>
      <c r="I176" s="8" t="s">
        <v>541</v>
      </c>
      <c r="J176" s="12">
        <v>1.0</v>
      </c>
    </row>
    <row r="177" ht="14.25" customHeight="1">
      <c r="A177" s="32">
        <v>46.0</v>
      </c>
      <c r="B177" s="8" t="s">
        <v>735</v>
      </c>
      <c r="C177" s="8" t="s">
        <v>505</v>
      </c>
      <c r="D177" s="8" t="s">
        <v>637</v>
      </c>
      <c r="E177" s="10">
        <v>4.25</v>
      </c>
      <c r="F177" s="10">
        <v>4.0</v>
      </c>
      <c r="G177" s="10">
        <v>2.25</v>
      </c>
      <c r="H177" s="10">
        <v>3.645</v>
      </c>
      <c r="I177" s="11" t="s">
        <v>17</v>
      </c>
      <c r="K177" s="12">
        <v>1.0</v>
      </c>
    </row>
    <row r="178" ht="14.25" customHeight="1">
      <c r="A178" s="32">
        <v>47.0</v>
      </c>
      <c r="B178" s="8" t="s">
        <v>756</v>
      </c>
      <c r="C178" s="8" t="s">
        <v>505</v>
      </c>
      <c r="D178" s="8" t="s">
        <v>637</v>
      </c>
      <c r="E178" s="10">
        <v>1.76</v>
      </c>
      <c r="F178" s="10">
        <v>2.27</v>
      </c>
      <c r="G178" s="10" t="s">
        <v>645</v>
      </c>
      <c r="H178" s="10" t="s">
        <v>645</v>
      </c>
      <c r="I178" s="48" t="s">
        <v>353</v>
      </c>
      <c r="L178" s="12">
        <v>1.0</v>
      </c>
    </row>
    <row r="179" ht="14.25" customHeight="1">
      <c r="A179" s="32">
        <v>48.0</v>
      </c>
      <c r="B179" s="8" t="s">
        <v>757</v>
      </c>
      <c r="C179" s="8" t="s">
        <v>505</v>
      </c>
      <c r="D179" s="8" t="s">
        <v>637</v>
      </c>
      <c r="E179" s="10">
        <v>2.52</v>
      </c>
      <c r="F179" s="10">
        <v>4.41</v>
      </c>
      <c r="G179" s="10" t="s">
        <v>645</v>
      </c>
      <c r="H179" s="10" t="s">
        <v>645</v>
      </c>
      <c r="I179" s="48" t="s">
        <v>353</v>
      </c>
      <c r="L179" s="12">
        <v>1.0</v>
      </c>
    </row>
    <row r="180" ht="14.25" customHeight="1">
      <c r="J180" s="1">
        <f t="shared" ref="J180:L180" si="5">SUM(J132:J179)</f>
        <v>14</v>
      </c>
      <c r="K180" s="1">
        <f t="shared" si="5"/>
        <v>19</v>
      </c>
      <c r="L180" s="1">
        <f t="shared" si="5"/>
        <v>9</v>
      </c>
    </row>
    <row r="181" ht="14.25" customHeight="1">
      <c r="J181" s="16">
        <f>J180/A179</f>
        <v>0.2916666667</v>
      </c>
      <c r="K181" s="16">
        <f>K180/A179</f>
        <v>0.3958333333</v>
      </c>
      <c r="L181" s="16">
        <f>L180/A179</f>
        <v>0.1875</v>
      </c>
    </row>
    <row r="182" ht="14.25" customHeight="1">
      <c r="N182" s="3" t="s">
        <v>758</v>
      </c>
      <c r="O182" s="4" t="s">
        <v>286</v>
      </c>
      <c r="P182" s="4" t="s">
        <v>603</v>
      </c>
      <c r="Q182" s="3" t="s">
        <v>604</v>
      </c>
      <c r="R182" s="4" t="s">
        <v>289</v>
      </c>
      <c r="S182" s="4" t="s">
        <v>605</v>
      </c>
      <c r="T182" s="4" t="s">
        <v>291</v>
      </c>
      <c r="U182" s="4" t="s">
        <v>292</v>
      </c>
    </row>
    <row r="183" ht="14.25" customHeight="1">
      <c r="O183" s="1">
        <f>A179+A128+A93+A60+A8</f>
        <v>163</v>
      </c>
      <c r="P183" s="1">
        <f t="shared" ref="P183:R183" si="6">J180+J129+J94+J61+J9</f>
        <v>61</v>
      </c>
      <c r="Q183" s="1">
        <f t="shared" si="6"/>
        <v>62</v>
      </c>
      <c r="R183" s="1">
        <f t="shared" si="6"/>
        <v>21</v>
      </c>
      <c r="S183" s="16">
        <f>P183/O183</f>
        <v>0.3742331288</v>
      </c>
      <c r="T183" s="16">
        <f>R183/O183</f>
        <v>0.1288343558</v>
      </c>
      <c r="U183" s="16">
        <f>Q183/O183</f>
        <v>0.3803680982</v>
      </c>
    </row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</sheetData>
  <autoFilter ref="$A$4:$Z$10"/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7.14"/>
    <col customWidth="1" min="3" max="12" width="10.71"/>
    <col customWidth="1" min="13" max="13" width="8.14"/>
    <col customWidth="1" min="14" max="14" width="13.43"/>
    <col customWidth="1" min="15" max="26" width="10.71"/>
  </cols>
  <sheetData>
    <row r="1" ht="14.25" customHeight="1"/>
    <row r="2" ht="14.25" customHeight="1"/>
    <row r="3" ht="14.25" customHeight="1"/>
    <row r="4" ht="14.25" customHeight="1">
      <c r="B4" s="64" t="s">
        <v>759</v>
      </c>
      <c r="C4" s="65"/>
      <c r="D4" s="66"/>
      <c r="N4" s="64" t="s">
        <v>760</v>
      </c>
      <c r="O4" s="65"/>
      <c r="P4" s="66"/>
    </row>
    <row r="5" ht="14.25" customHeight="1">
      <c r="A5" s="1" t="s">
        <v>1</v>
      </c>
      <c r="B5" s="1" t="s">
        <v>761</v>
      </c>
      <c r="C5" s="1" t="s">
        <v>762</v>
      </c>
      <c r="D5" s="1" t="s">
        <v>763</v>
      </c>
      <c r="E5" s="1" t="s">
        <v>764</v>
      </c>
      <c r="M5" s="1" t="s">
        <v>1</v>
      </c>
      <c r="N5" s="1" t="s">
        <v>761</v>
      </c>
      <c r="O5" s="1" t="s">
        <v>762</v>
      </c>
      <c r="P5" s="1" t="s">
        <v>765</v>
      </c>
      <c r="Q5" s="1" t="s">
        <v>766</v>
      </c>
      <c r="R5" s="1" t="s">
        <v>764</v>
      </c>
    </row>
    <row r="6" ht="14.25" customHeight="1">
      <c r="A6" s="1">
        <v>1.0</v>
      </c>
      <c r="B6" s="1" t="s">
        <v>767</v>
      </c>
      <c r="C6" s="1">
        <v>36.0</v>
      </c>
      <c r="D6" s="1">
        <v>19.0</v>
      </c>
      <c r="E6" s="67">
        <v>0.5277</v>
      </c>
      <c r="M6" s="1">
        <v>1.0</v>
      </c>
      <c r="N6" s="1" t="s">
        <v>15</v>
      </c>
      <c r="O6" s="1">
        <v>30.0</v>
      </c>
      <c r="P6" s="1">
        <v>7.0</v>
      </c>
      <c r="Q6" s="1">
        <v>23.0</v>
      </c>
      <c r="R6" s="67">
        <v>0.7666</v>
      </c>
    </row>
    <row r="7" ht="14.25" customHeight="1">
      <c r="A7" s="1">
        <v>2.0</v>
      </c>
      <c r="B7" s="1" t="s">
        <v>768</v>
      </c>
      <c r="C7" s="1">
        <v>33.0</v>
      </c>
      <c r="D7" s="1">
        <v>13.0</v>
      </c>
      <c r="E7" s="67">
        <v>0.4062</v>
      </c>
      <c r="M7" s="1">
        <v>2.0</v>
      </c>
      <c r="N7" s="1" t="s">
        <v>50</v>
      </c>
      <c r="O7" s="1">
        <v>30.0</v>
      </c>
      <c r="P7" s="1">
        <v>6.0</v>
      </c>
      <c r="Q7" s="1">
        <v>24.0</v>
      </c>
      <c r="R7" s="67">
        <v>0.8</v>
      </c>
    </row>
    <row r="8" ht="14.25" customHeight="1">
      <c r="E8" s="67"/>
      <c r="M8" s="1">
        <v>3.0</v>
      </c>
      <c r="N8" s="1" t="s">
        <v>81</v>
      </c>
      <c r="O8" s="1">
        <v>26.0</v>
      </c>
      <c r="P8" s="1">
        <v>4.0</v>
      </c>
      <c r="Q8" s="1">
        <v>22.0</v>
      </c>
      <c r="R8" s="67">
        <v>0.8461</v>
      </c>
    </row>
    <row r="9" ht="14.25" customHeight="1">
      <c r="E9" s="68"/>
      <c r="M9" s="1">
        <v>4.0</v>
      </c>
      <c r="N9" s="1" t="s">
        <v>109</v>
      </c>
      <c r="O9" s="1">
        <v>28.0</v>
      </c>
      <c r="P9" s="1">
        <v>4.0</v>
      </c>
      <c r="Q9" s="1">
        <v>24.0</v>
      </c>
      <c r="R9" s="67">
        <v>0.8571</v>
      </c>
    </row>
    <row r="10" ht="14.25" customHeight="1">
      <c r="M10" s="1">
        <v>5.0</v>
      </c>
      <c r="N10" s="1" t="s">
        <v>767</v>
      </c>
      <c r="O10" s="1">
        <v>58.0</v>
      </c>
      <c r="P10" s="1">
        <v>8.0</v>
      </c>
      <c r="Q10" s="1">
        <v>48.0</v>
      </c>
      <c r="R10" s="67">
        <v>0.8571</v>
      </c>
    </row>
    <row r="11" ht="14.25" customHeight="1">
      <c r="M11" s="1">
        <v>6.0</v>
      </c>
      <c r="N11" s="1" t="s">
        <v>768</v>
      </c>
      <c r="O11" s="1">
        <v>28.0</v>
      </c>
      <c r="P11" s="1">
        <v>5.0</v>
      </c>
      <c r="Q11" s="1">
        <v>23.0</v>
      </c>
      <c r="R11" s="67">
        <v>0.8214</v>
      </c>
    </row>
    <row r="12" ht="14.25" customHeight="1">
      <c r="M12" s="1">
        <v>7.0</v>
      </c>
      <c r="N12" s="1" t="s">
        <v>227</v>
      </c>
      <c r="O12" s="1">
        <v>14.0</v>
      </c>
      <c r="P12" s="1">
        <v>3.0</v>
      </c>
      <c r="Q12" s="1">
        <v>11.0</v>
      </c>
      <c r="R12" s="67">
        <v>0.7857</v>
      </c>
    </row>
    <row r="13" ht="14.25" customHeight="1">
      <c r="M13" s="1">
        <v>8.0</v>
      </c>
      <c r="N13" s="1" t="s">
        <v>262</v>
      </c>
      <c r="O13" s="1">
        <v>22.0</v>
      </c>
      <c r="P13" s="1">
        <v>0.0</v>
      </c>
      <c r="Q13" s="1">
        <v>100.0</v>
      </c>
      <c r="R13" s="67">
        <v>1.0</v>
      </c>
    </row>
    <row r="14" ht="14.25" customHeight="1">
      <c r="R14" s="67"/>
    </row>
    <row r="15" ht="14.25" customHeight="1">
      <c r="R15" s="68"/>
    </row>
    <row r="16" ht="14.25" customHeight="1"/>
    <row r="17" ht="14.25" customHeight="1"/>
    <row r="18" ht="14.25" customHeight="1"/>
    <row r="19" ht="14.25" customHeight="1"/>
    <row r="20" ht="14.25" customHeight="1">
      <c r="B20" s="64" t="s">
        <v>769</v>
      </c>
      <c r="C20" s="65"/>
      <c r="D20" s="66"/>
      <c r="N20" s="64" t="s">
        <v>770</v>
      </c>
      <c r="O20" s="65"/>
      <c r="P20" s="66"/>
    </row>
    <row r="21" ht="14.25" customHeight="1">
      <c r="A21" s="1" t="s">
        <v>1</v>
      </c>
      <c r="B21" s="1" t="s">
        <v>761</v>
      </c>
      <c r="C21" s="1" t="s">
        <v>762</v>
      </c>
      <c r="D21" s="1" t="s">
        <v>763</v>
      </c>
      <c r="E21" s="1" t="s">
        <v>764</v>
      </c>
      <c r="M21" s="1" t="s">
        <v>1</v>
      </c>
      <c r="N21" s="1" t="s">
        <v>761</v>
      </c>
      <c r="O21" s="1" t="s">
        <v>762</v>
      </c>
      <c r="P21" s="1" t="s">
        <v>765</v>
      </c>
      <c r="Q21" s="1" t="s">
        <v>766</v>
      </c>
      <c r="R21" s="1" t="s">
        <v>764</v>
      </c>
    </row>
    <row r="22" ht="14.25" customHeight="1">
      <c r="A22" s="1">
        <v>1.0</v>
      </c>
      <c r="B22" s="20" t="s">
        <v>607</v>
      </c>
      <c r="C22" s="1">
        <v>4.0</v>
      </c>
      <c r="D22" s="1">
        <v>2.0</v>
      </c>
      <c r="E22" s="68">
        <v>0.5</v>
      </c>
      <c r="M22" s="1">
        <v>1.0</v>
      </c>
      <c r="N22" s="1" t="s">
        <v>295</v>
      </c>
      <c r="O22" s="1">
        <v>54.0</v>
      </c>
      <c r="P22" s="1">
        <v>19.0</v>
      </c>
      <c r="Q22" s="1">
        <v>33.0</v>
      </c>
      <c r="R22" s="67">
        <v>0.6346</v>
      </c>
    </row>
    <row r="23" ht="14.25" customHeight="1">
      <c r="A23" s="1">
        <v>2.0</v>
      </c>
      <c r="B23" s="20" t="s">
        <v>295</v>
      </c>
      <c r="C23" s="1">
        <v>49.0</v>
      </c>
      <c r="D23" s="1">
        <v>19.0</v>
      </c>
      <c r="E23" s="67">
        <v>0.4634</v>
      </c>
      <c r="M23" s="1">
        <v>2.0</v>
      </c>
      <c r="N23" s="1" t="s">
        <v>349</v>
      </c>
      <c r="O23" s="1">
        <v>34.0</v>
      </c>
      <c r="P23" s="1">
        <v>9.0</v>
      </c>
      <c r="Q23" s="1">
        <v>19.0</v>
      </c>
      <c r="R23" s="67">
        <v>0.6785</v>
      </c>
    </row>
    <row r="24" ht="14.25" customHeight="1">
      <c r="A24" s="1">
        <v>3.0</v>
      </c>
      <c r="B24" s="20" t="s">
        <v>662</v>
      </c>
      <c r="C24" s="1">
        <v>30.0</v>
      </c>
      <c r="D24" s="1">
        <v>13.0</v>
      </c>
      <c r="E24" s="67">
        <v>0.4333</v>
      </c>
      <c r="M24" s="1">
        <v>3.0</v>
      </c>
      <c r="N24" s="1" t="s">
        <v>385</v>
      </c>
      <c r="O24" s="1">
        <v>24.0</v>
      </c>
      <c r="P24" s="1">
        <v>11.0</v>
      </c>
      <c r="Q24" s="1">
        <v>12.0</v>
      </c>
      <c r="R24" s="67">
        <v>0.5217</v>
      </c>
    </row>
    <row r="25" ht="14.25" customHeight="1">
      <c r="A25" s="1">
        <v>4.0</v>
      </c>
      <c r="B25" s="20" t="s">
        <v>409</v>
      </c>
      <c r="C25" s="1">
        <v>32.0</v>
      </c>
      <c r="D25" s="1">
        <v>13.0</v>
      </c>
      <c r="E25" s="67">
        <v>0.4642</v>
      </c>
      <c r="M25" s="1">
        <v>4.0</v>
      </c>
      <c r="N25" s="20" t="s">
        <v>409</v>
      </c>
      <c r="O25" s="1">
        <v>51.0</v>
      </c>
      <c r="P25" s="1">
        <v>20.0</v>
      </c>
      <c r="Q25" s="1">
        <v>29.0</v>
      </c>
      <c r="R25" s="67">
        <v>0.5918</v>
      </c>
    </row>
    <row r="26" ht="14.25" customHeight="1">
      <c r="A26" s="1">
        <v>5.0</v>
      </c>
      <c r="B26" s="20" t="s">
        <v>505</v>
      </c>
      <c r="C26" s="1">
        <v>48.0</v>
      </c>
      <c r="D26" s="1">
        <v>14.0</v>
      </c>
      <c r="E26" s="67">
        <v>0.3589</v>
      </c>
      <c r="M26" s="1">
        <v>5.0</v>
      </c>
      <c r="N26" s="20" t="s">
        <v>459</v>
      </c>
      <c r="O26" s="1">
        <v>31.0</v>
      </c>
      <c r="P26" s="1">
        <v>10.0</v>
      </c>
      <c r="Q26" s="1">
        <v>21.0</v>
      </c>
      <c r="R26" s="67">
        <v>0.6774</v>
      </c>
    </row>
    <row r="27" ht="14.25" customHeight="1">
      <c r="E27" s="67"/>
      <c r="M27" s="1">
        <v>6.0</v>
      </c>
      <c r="N27" s="20" t="s">
        <v>490</v>
      </c>
      <c r="O27" s="1">
        <v>13.0</v>
      </c>
      <c r="P27" s="1">
        <v>7.0</v>
      </c>
      <c r="Q27" s="1">
        <v>4.0</v>
      </c>
      <c r="R27" s="67">
        <v>0.3636</v>
      </c>
    </row>
    <row r="28" ht="14.25" customHeight="1">
      <c r="E28" s="68"/>
      <c r="M28" s="1">
        <v>7.0</v>
      </c>
      <c r="N28" s="20" t="s">
        <v>505</v>
      </c>
      <c r="O28" s="1">
        <v>29.0</v>
      </c>
      <c r="P28" s="1">
        <v>11.0</v>
      </c>
      <c r="Q28" s="1">
        <v>11.0</v>
      </c>
      <c r="R28" s="68">
        <v>0.5</v>
      </c>
    </row>
    <row r="29" ht="14.25" customHeight="1">
      <c r="R29" s="67"/>
    </row>
    <row r="30" ht="14.25" customHeight="1">
      <c r="R30" s="68"/>
    </row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4:D4"/>
    <mergeCell ref="N4:P4"/>
    <mergeCell ref="B20:D20"/>
    <mergeCell ref="N20:P20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2025-08-15T15:58:27Z</dcterms:created>
  <dc:creator>LFF</dc:creator>
</cp:coreProperties>
</file>