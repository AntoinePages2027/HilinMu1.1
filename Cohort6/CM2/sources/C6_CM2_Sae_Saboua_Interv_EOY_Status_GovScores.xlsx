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1" sheetId="1" r:id="rId4"/>
    <sheet state="visible" name="CM2" sheetId="2" r:id="rId5"/>
    <sheet state="visible" name="CM1 &amp; CM2 Metrics" sheetId="3" r:id="rId6"/>
  </sheets>
  <definedNames>
    <definedName hidden="1" localSheetId="0" name="_xlnm._FilterDatabase">'CM1'!$A$8:$E$148</definedName>
  </definedNames>
  <calcPr/>
  <extLst>
    <ext uri="GoogleSheetsCustomDataVersion2">
      <go:sheetsCustomData xmlns:go="http://customooxmlschemas.google.com/" r:id="rId7" roundtripDataChecksum="2lumU62t/86dMtbs2bi2dt0v3m5rk45YrZPf0C1twR4="/>
    </ext>
  </extLst>
</workbook>
</file>

<file path=xl/sharedStrings.xml><?xml version="1.0" encoding="utf-8"?>
<sst xmlns="http://schemas.openxmlformats.org/spreadsheetml/2006/main" count="1364" uniqueCount="473">
  <si>
    <t>REPUBLIQUE DU NIGER</t>
  </si>
  <si>
    <t>REGION DE MARADI</t>
  </si>
  <si>
    <t>DREN MARADI</t>
  </si>
  <si>
    <t>IEPP SAE SABOUA</t>
  </si>
  <si>
    <t>LISTE DES ELEVES FILLES DU CM1</t>
  </si>
  <si>
    <t>N°</t>
  </si>
  <si>
    <t>ECOLE</t>
  </si>
  <si>
    <t>NOM ET PRENOMS</t>
  </si>
  <si>
    <t>MOYENNE</t>
  </si>
  <si>
    <t>OBSERVATION</t>
  </si>
  <si>
    <t>Mallamaî Saboua</t>
  </si>
  <si>
    <t>Absiya Hamissou</t>
  </si>
  <si>
    <t>Passe au CM2</t>
  </si>
  <si>
    <t>Azoumiya Souley</t>
  </si>
  <si>
    <t>Anissa Sani</t>
  </si>
  <si>
    <t>Bassira Moussa</t>
  </si>
  <si>
    <t>Bassira Yacouba</t>
  </si>
  <si>
    <t>Chaâbiya Halilou</t>
  </si>
  <si>
    <t>Chamsiya Iro</t>
  </si>
  <si>
    <t>Charifa Idrissa</t>
  </si>
  <si>
    <t>Djamila Oumarou</t>
  </si>
  <si>
    <t>Fatima Abou</t>
  </si>
  <si>
    <t>Houéla Hassan</t>
  </si>
  <si>
    <t>Harissa Bassirou</t>
  </si>
  <si>
    <t>Lamira Harouna</t>
  </si>
  <si>
    <t>Marfoua Chaïbou</t>
  </si>
  <si>
    <t>Massaouda Idi</t>
  </si>
  <si>
    <t>Moufida Oumarou</t>
  </si>
  <si>
    <t>Mabarouka Ayouba</t>
  </si>
  <si>
    <t>Nadia Maman</t>
  </si>
  <si>
    <t>Nahida Oumarou</t>
  </si>
  <si>
    <t>Nana Fatchima</t>
  </si>
  <si>
    <t>Razida Abdoul Rachid</t>
  </si>
  <si>
    <t>Souèba Issoufou</t>
  </si>
  <si>
    <t>Yasmina Chaïbou</t>
  </si>
  <si>
    <t>Yousra Hamza</t>
  </si>
  <si>
    <t>Zeinab Saïdou</t>
  </si>
  <si>
    <t>Zeinab Maârou</t>
  </si>
  <si>
    <t>Aïcha Achirou</t>
  </si>
  <si>
    <t>Najaâtou Yahaya</t>
  </si>
  <si>
    <t>Rakia Adamou</t>
  </si>
  <si>
    <t>Humaira Salissou</t>
  </si>
  <si>
    <t>Kadata</t>
  </si>
  <si>
    <t>Maâroufa Ayouba</t>
  </si>
  <si>
    <t>Rachida Moussa</t>
  </si>
  <si>
    <t>Ramatou Achirou</t>
  </si>
  <si>
    <t>SouwébaAyouba</t>
  </si>
  <si>
    <t>Fati Mousrapha</t>
  </si>
  <si>
    <t>Neisseiba Lawali</t>
  </si>
  <si>
    <t>Fatsuma Boukari</t>
  </si>
  <si>
    <t>Badariya Yahaya</t>
  </si>
  <si>
    <t>Mayya Mamane</t>
  </si>
  <si>
    <t>Chamsiya Garba</t>
  </si>
  <si>
    <t>Balkissa Zabeirou</t>
  </si>
  <si>
    <t>Chamsiya Tassiou</t>
  </si>
  <si>
    <t>Habiba Boukari</t>
  </si>
  <si>
    <t>Aicha Achirou</t>
  </si>
  <si>
    <t>Habsatou Aboubacar</t>
  </si>
  <si>
    <t>Fatsuma Mamane</t>
  </si>
  <si>
    <t>Chappa Tsahirou</t>
  </si>
  <si>
    <t>Latifa Abdoulaye</t>
  </si>
  <si>
    <t>Mariam Attahir</t>
  </si>
  <si>
    <t>Samira Mamane</t>
  </si>
  <si>
    <t>Fati Mamane</t>
  </si>
  <si>
    <t>Chamsiya Achirou</t>
  </si>
  <si>
    <t>Rabila AbdoulMoumouni</t>
  </si>
  <si>
    <t>Kadigaoua</t>
  </si>
  <si>
    <t>Amina Chiitou</t>
  </si>
  <si>
    <t>Kadidja Saddi</t>
  </si>
  <si>
    <t>Nana Firdaoussi Abdoul Aziz</t>
  </si>
  <si>
    <t>Salima Chiitou</t>
  </si>
  <si>
    <t>Ramatou Ousman</t>
  </si>
  <si>
    <t>Bachariya Yacouba</t>
  </si>
  <si>
    <t>Saïba Hamza</t>
  </si>
  <si>
    <t>Kadidja Moumouni</t>
  </si>
  <si>
    <t>Nazira Noura</t>
  </si>
  <si>
    <t>Zahariya Nouhou</t>
  </si>
  <si>
    <t>Hassana Saïda</t>
  </si>
  <si>
    <t>Nana Firdaoussi Malam Issaka</t>
  </si>
  <si>
    <t>Moutarou Barmo</t>
  </si>
  <si>
    <t>Bassira Issaka</t>
  </si>
  <si>
    <t>Chamsia Ousseini</t>
  </si>
  <si>
    <t>Kadidja Sani</t>
  </si>
  <si>
    <t>Madiha Zayya</t>
  </si>
  <si>
    <t>Manira Inoussa</t>
  </si>
  <si>
    <t>Nazifa Souley</t>
  </si>
  <si>
    <t>Oumaira Rabiou</t>
  </si>
  <si>
    <t>Rahamatou Ousseini</t>
  </si>
  <si>
    <t>Rahamatou Rabiou</t>
  </si>
  <si>
    <t>Roufaïda Saïdou</t>
  </si>
  <si>
    <t>Siraya Aboubacar</t>
  </si>
  <si>
    <t>Zeinab Sabiou</t>
  </si>
  <si>
    <t>Louloubi Publique</t>
  </si>
  <si>
    <t>Balki Zabetrou</t>
  </si>
  <si>
    <t>Farida Ali</t>
  </si>
  <si>
    <t>Farida Chaïbou</t>
  </si>
  <si>
    <t>Faiza Chaibou</t>
  </si>
  <si>
    <t>Habsatou Mani</t>
  </si>
  <si>
    <t>Habsatou Hamidin</t>
  </si>
  <si>
    <t>Jafara Ali</t>
  </si>
  <si>
    <t>Kadija Habibou</t>
  </si>
  <si>
    <t>Nafissa Maliki</t>
  </si>
  <si>
    <t>Naima Amadou</t>
  </si>
  <si>
    <t>Ramatou Abdou</t>
  </si>
  <si>
    <t>Razina Haladou</t>
  </si>
  <si>
    <t>Safiya Amadou</t>
  </si>
  <si>
    <t>Soumayya Hchimou</t>
  </si>
  <si>
    <t>Saâdatou Malaki</t>
  </si>
  <si>
    <t>Zainabou Adamou</t>
  </si>
  <si>
    <t>Zanaibou Illiya</t>
  </si>
  <si>
    <t>Oubandawaki Alfacha</t>
  </si>
  <si>
    <t>Barira Ibrahim</t>
  </si>
  <si>
    <t>Barira Chaibou</t>
  </si>
  <si>
    <t>Mariama Saidou</t>
  </si>
  <si>
    <t>Farida Tsahirou</t>
  </si>
  <si>
    <t>Amina Saidou</t>
  </si>
  <si>
    <t>Habiba Tassiou</t>
  </si>
  <si>
    <t>Farida Daouda</t>
  </si>
  <si>
    <t>Amina Hamissou</t>
  </si>
  <si>
    <t>Firdaoussi Hamidine</t>
  </si>
  <si>
    <t>Hassira Saâdou</t>
  </si>
  <si>
    <t>Hadiza Ibrahim</t>
  </si>
  <si>
    <t>Saïmaou Saminou</t>
  </si>
  <si>
    <t>Balki Chaibou</t>
  </si>
  <si>
    <t>Malika Souley</t>
  </si>
  <si>
    <t>Manira Abou</t>
  </si>
  <si>
    <t>Nafissa Issaka</t>
  </si>
  <si>
    <t>Bassira Salissou</t>
  </si>
  <si>
    <t>Fadila Salissou</t>
  </si>
  <si>
    <t>Ramatou Illa</t>
  </si>
  <si>
    <t>Rafia Mourtala</t>
  </si>
  <si>
    <t>Massatoura Ibrahim</t>
  </si>
  <si>
    <t>Roufaida Issa</t>
  </si>
  <si>
    <t>Amira Issoufou</t>
  </si>
  <si>
    <t>Roukaya Salissou</t>
  </si>
  <si>
    <t>Redouble au CM1</t>
  </si>
  <si>
    <t>Hadiza Abdou</t>
  </si>
  <si>
    <t>Mariama Oumarou</t>
  </si>
  <si>
    <t>Wassila Sadi</t>
  </si>
  <si>
    <t>Fadila Daouda</t>
  </si>
  <si>
    <t>Roukaya Issoufou</t>
  </si>
  <si>
    <t>Yousra Oumarou</t>
  </si>
  <si>
    <t>Barouana</t>
  </si>
  <si>
    <t>Aïcha Issaka</t>
  </si>
  <si>
    <t>Aziza Oumarou</t>
  </si>
  <si>
    <t>Balki Saminou</t>
  </si>
  <si>
    <t>Fatchima Abdou</t>
  </si>
  <si>
    <t>Haouaou Saadou</t>
  </si>
  <si>
    <t>Malika Oumarou</t>
  </si>
  <si>
    <t>Mariama Sanoussi</t>
  </si>
  <si>
    <t>Mabarouka Ousmane</t>
  </si>
  <si>
    <t>Oumeira Almou</t>
  </si>
  <si>
    <t>Rabila Illa</t>
  </si>
  <si>
    <t>Saïda Sani</t>
  </si>
  <si>
    <t>Zina Harouna</t>
  </si>
  <si>
    <t>Kadidja Salissou</t>
  </si>
  <si>
    <t>Nadia Illa</t>
  </si>
  <si>
    <t>Zeinab Abdou</t>
  </si>
  <si>
    <t>Total</t>
  </si>
  <si>
    <t>Aminatou Abdou</t>
  </si>
  <si>
    <t>Redouble au CM2</t>
  </si>
  <si>
    <t>Zoubeida Hamissou</t>
  </si>
  <si>
    <t>Charifa Ibrahim</t>
  </si>
  <si>
    <t>Assamaou Hassan</t>
  </si>
  <si>
    <t>Fatiha Illiyassou</t>
  </si>
  <si>
    <t>Mardiya Ousseini</t>
  </si>
  <si>
    <t>Soueba Almou</t>
  </si>
  <si>
    <t>Rafi'a Illa</t>
  </si>
  <si>
    <t>Chamsiya Sanoussi</t>
  </si>
  <si>
    <t>Firdaoussi Halilou</t>
  </si>
  <si>
    <t>Laritou Abdou</t>
  </si>
  <si>
    <t>Rayya Abdou</t>
  </si>
  <si>
    <t>Aissara Tsayabou</t>
  </si>
  <si>
    <t>Firdaoussi Harouna</t>
  </si>
  <si>
    <t>Zeinabou Almou</t>
  </si>
  <si>
    <t>Soumaya Aboubacar</t>
  </si>
  <si>
    <t>Barira Abdou</t>
  </si>
  <si>
    <t>Ousseina Harouna</t>
  </si>
  <si>
    <t>Nafissa Salissou</t>
  </si>
  <si>
    <t>Passe au CEG</t>
  </si>
  <si>
    <t>Maraliya Ousman</t>
  </si>
  <si>
    <t>Zahariya Abdou Aziz</t>
  </si>
  <si>
    <t>Zaharaou Maman Binia</t>
  </si>
  <si>
    <t>Zaharaou Abdou Karim</t>
  </si>
  <si>
    <t>Bassira Issa</t>
  </si>
  <si>
    <t>Karima Maman</t>
  </si>
  <si>
    <t>Soueba Illa</t>
  </si>
  <si>
    <t>Lawissa Harouna</t>
  </si>
  <si>
    <t>Dan Gamdji</t>
  </si>
  <si>
    <t>Bassira Kassimou</t>
  </si>
  <si>
    <t>Massaouda Issoufou</t>
  </si>
  <si>
    <t>Fadimatou Sani</t>
  </si>
  <si>
    <t>Aïcha Samaïla</t>
  </si>
  <si>
    <t>Nana Roufaida Amadou</t>
  </si>
  <si>
    <t>Nana Zalika Souley</t>
  </si>
  <si>
    <t>Farida Halilou</t>
  </si>
  <si>
    <t>Mariama Moussa</t>
  </si>
  <si>
    <t>Nana Amira Oumarou</t>
  </si>
  <si>
    <t>Badia Nassirou</t>
  </si>
  <si>
    <t>Fatoumatou Zara Tsahirou</t>
  </si>
  <si>
    <t>Firdaoussi Haladou</t>
  </si>
  <si>
    <t>Samira Samaila</t>
  </si>
  <si>
    <t>Silbbiya Ibrahim</t>
  </si>
  <si>
    <t>Nana Mansoura Laouali</t>
  </si>
  <si>
    <t>Saadiya Sani</t>
  </si>
  <si>
    <t>Chariffa Illa</t>
  </si>
  <si>
    <t>Choukouria Abdou</t>
  </si>
  <si>
    <t>Nana Haouaou Illa</t>
  </si>
  <si>
    <t>Nazifa Habibou</t>
  </si>
  <si>
    <t>Zeinab Daouda</t>
  </si>
  <si>
    <t>Nana Haouaou Sadikou</t>
  </si>
  <si>
    <t>Fadimatou Maman Sani</t>
  </si>
  <si>
    <t>Nana Chémaou Issoufou</t>
  </si>
  <si>
    <t>Faouziya Bouhari</t>
  </si>
  <si>
    <t>Chaawa Sani</t>
  </si>
  <si>
    <t>Nana Zeitouna Zabeirou</t>
  </si>
  <si>
    <t>Aïcha Bouhari</t>
  </si>
  <si>
    <t>Safra Yaou</t>
  </si>
  <si>
    <t>Malika Idi</t>
  </si>
  <si>
    <t>Manira Ibrahim</t>
  </si>
  <si>
    <t>Mariama Bahari</t>
  </si>
  <si>
    <t>Chaawa Illa</t>
  </si>
  <si>
    <t>Nana Rabila Aboubacar</t>
  </si>
  <si>
    <t>Oubeida Ousmane</t>
  </si>
  <si>
    <t>Zeinab Mahaman</t>
  </si>
  <si>
    <t>Ouma Haladou</t>
  </si>
  <si>
    <t>Safraou Sani</t>
  </si>
  <si>
    <t>Bacharia Laouali Hassan</t>
  </si>
  <si>
    <t>Mouhoussina Bouhari</t>
  </si>
  <si>
    <t>Nana Rapi'a Abdoul Wahab</t>
  </si>
  <si>
    <t>Faïza Zabeirou</t>
  </si>
  <si>
    <t>Rapi'a Yahouza</t>
  </si>
  <si>
    <t>Nisseiba Laouali</t>
  </si>
  <si>
    <t>Soumayya Zabeirou</t>
  </si>
  <si>
    <t>Nana Abida Hamidou</t>
  </si>
  <si>
    <t>Fadimatou Sadikou</t>
  </si>
  <si>
    <t>Haouaou Habibou</t>
  </si>
  <si>
    <t>Karima Abdou Batouré</t>
  </si>
  <si>
    <t>Nana Fatouma Idi</t>
  </si>
  <si>
    <t>Charifa Sabiou</t>
  </si>
  <si>
    <t>Hassan Abdoul Moumouni</t>
  </si>
  <si>
    <t>Charifa Tsahirou</t>
  </si>
  <si>
    <t>Chamsia Saâdou</t>
  </si>
  <si>
    <t>Fatima Aboubacar</t>
  </si>
  <si>
    <t>Safina Kabirou</t>
  </si>
  <si>
    <t>Halimatou Saâdiya Adamou</t>
  </si>
  <si>
    <t>Rabila Saàdou</t>
  </si>
  <si>
    <t>Fati Sani</t>
  </si>
  <si>
    <t>Laria Habibou</t>
  </si>
  <si>
    <t>Ousseina Abdoul Moumouni</t>
  </si>
  <si>
    <t>Aïchatou Zabeirou</t>
  </si>
  <si>
    <t>Yasmina Maman</t>
  </si>
  <si>
    <t>Bassira Garba</t>
  </si>
  <si>
    <t>Badariya Hachimou</t>
  </si>
  <si>
    <t>Mabarouka Garba</t>
  </si>
  <si>
    <t>Rabi Amadou</t>
  </si>
  <si>
    <t>Kadija Laouali</t>
  </si>
  <si>
    <t>Naïma Sabiou</t>
  </si>
  <si>
    <t>Massaouda Mahamadou</t>
  </si>
  <si>
    <t>Ikilima Sani</t>
  </si>
  <si>
    <t>Hakama Mahamadou</t>
  </si>
  <si>
    <t>Mariama Sani</t>
  </si>
  <si>
    <t>Rabila Sabiou</t>
  </si>
  <si>
    <t>Souéba Moussa</t>
  </si>
  <si>
    <t>Karima Inoussa</t>
  </si>
  <si>
    <t>Abida Hamza</t>
  </si>
  <si>
    <t>Karima Adamou</t>
  </si>
  <si>
    <t>Hamida Inoussa</t>
  </si>
  <si>
    <t>Nazifa Chaïbou</t>
  </si>
  <si>
    <t>Ousseina Saïdou</t>
  </si>
  <si>
    <t>Saparaou Moumouni</t>
  </si>
  <si>
    <t>Nafissa Ayouba</t>
  </si>
  <si>
    <t>Nana Kadija Moussa</t>
  </si>
  <si>
    <t>Siraya Moussa</t>
  </si>
  <si>
    <t>Azima Saminou</t>
  </si>
  <si>
    <t>Samira Yaou</t>
  </si>
  <si>
    <t>Oumma Inoussa</t>
  </si>
  <si>
    <t>Nazifa Kassimou</t>
  </si>
  <si>
    <t>Aïcha Djadi</t>
  </si>
  <si>
    <t>Charifa Almou</t>
  </si>
  <si>
    <t>Aïcha Hamza</t>
  </si>
  <si>
    <t>Yassira Saddi</t>
  </si>
  <si>
    <t>Kountarou Mairairai</t>
  </si>
  <si>
    <t>Zeinab Saidou</t>
  </si>
  <si>
    <t>Aissara Laouali</t>
  </si>
  <si>
    <t>Choukouriya Yazid</t>
  </si>
  <si>
    <t>Saïda Garba</t>
  </si>
  <si>
    <t>Amira Aboubacar</t>
  </si>
  <si>
    <t>Mourdja Issaka</t>
  </si>
  <si>
    <t>Zahara Abdou</t>
  </si>
  <si>
    <t>Mansoura Laouali</t>
  </si>
  <si>
    <t>Zeinab Mamane</t>
  </si>
  <si>
    <t>Mariama Garba</t>
  </si>
  <si>
    <t>Kalifa Boubacar</t>
  </si>
  <si>
    <t>Oubeida Abdou</t>
  </si>
  <si>
    <t>Soubeila Boukari</t>
  </si>
  <si>
    <t>Roumaissaou Oumarou</t>
  </si>
  <si>
    <t>Kadija Adamou</t>
  </si>
  <si>
    <t>Habsatou Garba</t>
  </si>
  <si>
    <t>Hassiya Oumarou</t>
  </si>
  <si>
    <t>Mouhoussina Hamidine</t>
  </si>
  <si>
    <t>Yesmina Moutari</t>
  </si>
  <si>
    <t>Azima Allassane</t>
  </si>
  <si>
    <t>Passe au CFM</t>
  </si>
  <si>
    <t>Noussaiba Saâdou Ousmane</t>
  </si>
  <si>
    <t>Choukouriya Sanoussi</t>
  </si>
  <si>
    <t>Loubabatou Yacouba</t>
  </si>
  <si>
    <t>Noussaiba Saâdou Balla</t>
  </si>
  <si>
    <t>Fatiha Abdou Salam</t>
  </si>
  <si>
    <t>Chaâwanatou Abdou Salam</t>
  </si>
  <si>
    <t>Nafissa Adamou</t>
  </si>
  <si>
    <t>Naima Haladou</t>
  </si>
  <si>
    <t>Halima Harouna</t>
  </si>
  <si>
    <t>Habiba Aliou</t>
  </si>
  <si>
    <t>Hadiza Oumarou</t>
  </si>
  <si>
    <t>Nafissa Oumarou</t>
  </si>
  <si>
    <t>Isra Sanoussi</t>
  </si>
  <si>
    <t>Fatchima Ibrahim</t>
  </si>
  <si>
    <t>Rapia Oumarou</t>
  </si>
  <si>
    <t>Manira Saâdou</t>
  </si>
  <si>
    <t>Souèba Moussa</t>
  </si>
  <si>
    <t>Aïcha Sanoussi</t>
  </si>
  <si>
    <t>Raya Oumarou</t>
  </si>
  <si>
    <t>Bassira Yaou</t>
  </si>
  <si>
    <t>Aïcha Laouali</t>
  </si>
  <si>
    <t>Ramatou Oumarou</t>
  </si>
  <si>
    <t>Yousra Aboubacar</t>
  </si>
  <si>
    <t>Mariama Ibrahim</t>
  </si>
  <si>
    <t>Ousseina Maâzou</t>
  </si>
  <si>
    <t xml:space="preserve">Farida Saâdou </t>
  </si>
  <si>
    <t>Azima Idi</t>
  </si>
  <si>
    <t>Ramatou Abdoul Karim</t>
  </si>
  <si>
    <t>Razina Sani</t>
  </si>
  <si>
    <t>Ramatou Yahaya</t>
  </si>
  <si>
    <t>Mallamai Saboua</t>
  </si>
  <si>
    <t>Bassira Malam Chaibou</t>
  </si>
  <si>
    <t>Aicha Salissou</t>
  </si>
  <si>
    <t>Firdaoussi Ousmane</t>
  </si>
  <si>
    <t>Bacharia Issa</t>
  </si>
  <si>
    <t>Macha-ouna Sani</t>
  </si>
  <si>
    <t>Fatouma Zara Mamane</t>
  </si>
  <si>
    <t>Badaria Yahaya</t>
  </si>
  <si>
    <t>Chapia Ali</t>
  </si>
  <si>
    <t>Kadija Mamane</t>
  </si>
  <si>
    <t>Mourjanatou Mamane</t>
  </si>
  <si>
    <t>Nafissa Ali</t>
  </si>
  <si>
    <t>Hanifa Souley</t>
  </si>
  <si>
    <t>Kadija Aboubacar</t>
  </si>
  <si>
    <t>Kouboura Yahaya</t>
  </si>
  <si>
    <t>Sariha Souley</t>
  </si>
  <si>
    <t>Harfou'a Saminou</t>
  </si>
  <si>
    <t>Nabsia Salissou</t>
  </si>
  <si>
    <t>Kadija Salissou</t>
  </si>
  <si>
    <t>Balkissa Salissou</t>
  </si>
  <si>
    <t>Souraya Halilou</t>
  </si>
  <si>
    <t>Mountarou Barmo</t>
  </si>
  <si>
    <t>Massaouda Nouhou</t>
  </si>
  <si>
    <t>Haouaou Moussa</t>
  </si>
  <si>
    <t>Hassana Moussa</t>
  </si>
  <si>
    <t>Assamaou Abdou</t>
  </si>
  <si>
    <t>Bassira Samaïla</t>
  </si>
  <si>
    <t>Rayanatou Moussa</t>
  </si>
  <si>
    <t>Aïchatou Laouali</t>
  </si>
  <si>
    <t>Sahanatou Aboubacar</t>
  </si>
  <si>
    <t>Chappaâtou Tsayabou</t>
  </si>
  <si>
    <t>Haouaou Saïdou</t>
  </si>
  <si>
    <t>Khadidja Malam Abdou</t>
  </si>
  <si>
    <t>Khadidja Achirou</t>
  </si>
  <si>
    <t>Samira Salissou</t>
  </si>
  <si>
    <t>Nana Samira Mamane</t>
  </si>
  <si>
    <t>Nana Bassira Souley</t>
  </si>
  <si>
    <t>Rapi'a Sabaraou</t>
  </si>
  <si>
    <t>Rabila Salissou</t>
  </si>
  <si>
    <t>Amira Mani</t>
  </si>
  <si>
    <t>Rapi'a Abdoul Malik</t>
  </si>
  <si>
    <t>Malika Sanoussi</t>
  </si>
  <si>
    <t>Bassira Idi</t>
  </si>
  <si>
    <t>Fati Ali</t>
  </si>
  <si>
    <t>Bassira AbdouRahamane</t>
  </si>
  <si>
    <t>Païza Haladou</t>
  </si>
  <si>
    <t>Choukouriya Laouali</t>
  </si>
  <si>
    <t>Yassimina Ayouba</t>
  </si>
  <si>
    <t>Najaâtou Issoufou</t>
  </si>
  <si>
    <t>Kadija Ali</t>
  </si>
  <si>
    <t>Nisseba Maâzou</t>
  </si>
  <si>
    <t>Aïcha Abdou Salam</t>
  </si>
  <si>
    <t>Samira Abdou Rahamane</t>
  </si>
  <si>
    <t>Manira Abdou</t>
  </si>
  <si>
    <t>Farida Souley</t>
  </si>
  <si>
    <t>Ikilima Ali</t>
  </si>
  <si>
    <t>Farida Aboubacar</t>
  </si>
  <si>
    <t>Roukaya Moumouni</t>
  </si>
  <si>
    <t>Saé Saboua Publique 1</t>
  </si>
  <si>
    <t>Naïma Garba</t>
  </si>
  <si>
    <t>Rachida Zabeirou</t>
  </si>
  <si>
    <t>Ousseina Saâdou</t>
  </si>
  <si>
    <t>Liyaâtou Tsayabou</t>
  </si>
  <si>
    <t>Alawiya Alka</t>
  </si>
  <si>
    <t>Yassira Zabeirou</t>
  </si>
  <si>
    <t>Mafida Rabiou</t>
  </si>
  <si>
    <t>Mouhssina Tsayabou</t>
  </si>
  <si>
    <t>Aminatou Moussa Labo</t>
  </si>
  <si>
    <t>Ramatou Hamza</t>
  </si>
  <si>
    <t>Halimatou Inoussa</t>
  </si>
  <si>
    <t>Samira Boukari</t>
  </si>
  <si>
    <t>Nana Mariama Oumarou</t>
  </si>
  <si>
    <t>Yasmina Boukari</t>
  </si>
  <si>
    <t>Oumaïmatou Hassan</t>
  </si>
  <si>
    <t>Madjida Issaka</t>
  </si>
  <si>
    <t>Ouma Kalsoum Sabiou</t>
  </si>
  <si>
    <t>Ouma Kaltoum Ibrahim</t>
  </si>
  <si>
    <t>Rissalatou Ibrahim</t>
  </si>
  <si>
    <t>Hassana Saâdou</t>
  </si>
  <si>
    <t>Darajatou Hamza</t>
  </si>
  <si>
    <t>nana saminou</t>
  </si>
  <si>
    <t>Najaâtou Soulé</t>
  </si>
  <si>
    <t>Salima Aboubacar</t>
  </si>
  <si>
    <t>Naïma Illia</t>
  </si>
  <si>
    <t>Halimatou Moussa Labo</t>
  </si>
  <si>
    <t>Malika Daouda</t>
  </si>
  <si>
    <t>Batoula Souley</t>
  </si>
  <si>
    <t>Rouweida Hamissou</t>
  </si>
  <si>
    <t>Firdaoussi Hassan</t>
  </si>
  <si>
    <t>Mahafouza Moussa</t>
  </si>
  <si>
    <t>Naïma Baraou</t>
  </si>
  <si>
    <t>Safiya Ibrahim</t>
  </si>
  <si>
    <t>Habsatou Hamza</t>
  </si>
  <si>
    <t>Nassaifa Kabirou</t>
  </si>
  <si>
    <t>Nouriya Moutari</t>
  </si>
  <si>
    <t>Roumaissaou Inoussa</t>
  </si>
  <si>
    <t xml:space="preserve"> Charifa Kabirou</t>
  </si>
  <si>
    <t>Tagaza</t>
  </si>
  <si>
    <t>Oumalkhair Rabiou</t>
  </si>
  <si>
    <t>Faïza Abdoul Salam</t>
  </si>
  <si>
    <t>Souraya Nouhou</t>
  </si>
  <si>
    <t>Naima Abdou</t>
  </si>
  <si>
    <t xml:space="preserve"> Bassira Sani</t>
  </si>
  <si>
    <t>Kadidja Zabeirou</t>
  </si>
  <si>
    <t>Chappa Hachimou</t>
  </si>
  <si>
    <t>Mabachara Almoustapha</t>
  </si>
  <si>
    <t>Nafissa Mamane</t>
  </si>
  <si>
    <t>Wassila Ayouba</t>
  </si>
  <si>
    <t>Kadidja Halilou</t>
  </si>
  <si>
    <t>lamsiya Mamane</t>
  </si>
  <si>
    <t>Amira Sani</t>
  </si>
  <si>
    <t>Mastoura  Mamane</t>
  </si>
  <si>
    <t>Naima Ousmane</t>
  </si>
  <si>
    <t>Chapi'a Abdoulahi</t>
  </si>
  <si>
    <t>Amira Kabirou</t>
  </si>
  <si>
    <t>Nafissa Haladou</t>
  </si>
  <si>
    <t>Fati Harouna</t>
  </si>
  <si>
    <t>Hapiza  Moussa</t>
  </si>
  <si>
    <t>Roukaya Hamidine</t>
  </si>
  <si>
    <t>Sahanatou Haladou</t>
  </si>
  <si>
    <t>Nadia Abdoul Karim</t>
  </si>
  <si>
    <t>Safaraou Harouna</t>
  </si>
  <si>
    <t>Wassila Mamane</t>
  </si>
  <si>
    <t>Yassira Adamou</t>
  </si>
  <si>
    <t>Naima Salissou Saley</t>
  </si>
  <si>
    <t>Wassila Saidou</t>
  </si>
  <si>
    <t>CM1</t>
  </si>
  <si>
    <t>Ecole</t>
  </si>
  <si>
    <t>Insrites</t>
  </si>
  <si>
    <t>Abandonee #</t>
  </si>
  <si>
    <t>Presentes</t>
  </si>
  <si>
    <t>Admises #</t>
  </si>
  <si>
    <t>Non Admise #</t>
  </si>
  <si>
    <t>Abandonee %</t>
  </si>
  <si>
    <t>Admises %</t>
  </si>
  <si>
    <t>Non Admise %</t>
  </si>
  <si>
    <t>Comments</t>
  </si>
  <si>
    <t>No Abandon metric</t>
  </si>
  <si>
    <t>CM2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</si>
</sst>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C0C0C"/>
      <name val="Calibri"/>
    </font>
    <font>
      <sz val="12.0"/>
      <color theme="1"/>
      <name val="Calibri"/>
    </font>
    <font>
      <sz val="12.0"/>
      <color rgb="FFFF0000"/>
      <name val="Calibri"/>
    </font>
    <font>
      <sz val="11.0"/>
      <color rgb="FFFF0000"/>
      <name val="Calibri"/>
    </font>
    <font>
      <sz val="12.0"/>
      <color rgb="FFFF0000"/>
      <name val="Times New Roman"/>
    </font>
    <font>
      <b/>
      <sz val="12.0"/>
      <color theme="0"/>
      <name val="Calibri"/>
    </font>
    <font>
      <b/>
      <sz val="11.0"/>
      <color theme="0"/>
      <name val="Calibri"/>
    </font>
    <font>
      <b/>
      <sz val="20.0"/>
      <color theme="1"/>
      <name val="Calibri"/>
    </font>
    <font>
      <b/>
      <sz val="12.0"/>
      <color rgb="FFFFFFFF"/>
      <name val="Calibri"/>
    </font>
    <font>
      <b/>
      <sz val="11.0"/>
      <color theme="1"/>
      <name val="Calibri"/>
    </font>
    <font>
      <b/>
      <sz val="16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B8CCE4"/>
        <bgColor rgb="FFB8CCE4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4F81BD"/>
        <bgColor rgb="FF4F81BD"/>
      </patternFill>
    </fill>
  </fills>
  <borders count="22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95B3D7"/>
      </bottom>
    </border>
    <border>
      <left/>
      <right/>
      <top style="thin">
        <color rgb="FF95B3D7"/>
      </top>
      <bottom style="thin">
        <color rgb="FF95B3D7"/>
      </bottom>
    </border>
    <border>
      <left/>
      <right style="thin">
        <color rgb="FF95B3D7"/>
      </right>
      <top/>
      <bottom style="thin">
        <color rgb="FF95B3D7"/>
      </bottom>
    </border>
    <border>
      <left/>
      <right style="thin">
        <color rgb="FF95B3D7"/>
      </right>
      <top style="thin">
        <color rgb="FF95B3D7"/>
      </top>
      <bottom style="thin">
        <color rgb="FF95B3D7"/>
      </bottom>
    </border>
    <border>
      <top style="thin">
        <color rgb="FF95B3D7"/>
      </top>
      <bottom style="thin">
        <color rgb="FF95B3D7"/>
      </bottom>
    </border>
    <border>
      <right style="thin">
        <color rgb="FF95B3D7"/>
      </right>
      <top style="thin">
        <color rgb="FF95B3D7"/>
      </top>
      <bottom style="thin">
        <color rgb="FF95B3D7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2" fontId="2" numFmtId="0" xfId="0" applyBorder="1" applyFont="1"/>
    <xf borderId="3" fillId="2" fontId="2" numFmtId="0" xfId="0" applyBorder="1" applyFont="1"/>
    <xf borderId="4" fillId="3" fontId="2" numFmtId="0" xfId="0" applyBorder="1" applyFill="1" applyFont="1"/>
    <xf borderId="5" fillId="3" fontId="2" numFmtId="0" xfId="0" applyBorder="1" applyFont="1"/>
    <xf borderId="6" fillId="3" fontId="2" numFmtId="0" xfId="0" applyBorder="1" applyFont="1"/>
    <xf borderId="4" fillId="4" fontId="2" numFmtId="0" xfId="0" applyBorder="1" applyFill="1" applyFont="1"/>
    <xf borderId="5" fillId="4" fontId="2" numFmtId="0" xfId="0" applyBorder="1" applyFont="1"/>
    <xf borderId="6" fillId="4" fontId="2" numFmtId="0" xfId="0" applyBorder="1" applyFont="1"/>
    <xf borderId="7" fillId="3" fontId="2" numFmtId="0" xfId="0" applyBorder="1" applyFont="1"/>
    <xf borderId="8" fillId="3" fontId="2" numFmtId="0" xfId="0" applyBorder="1" applyFont="1"/>
    <xf borderId="9" fillId="3" fontId="2" numFmtId="0" xfId="0" applyBorder="1" applyFont="1"/>
    <xf borderId="10" fillId="2" fontId="2" numFmtId="0" xfId="0" applyBorder="1" applyFont="1"/>
    <xf borderId="11" fillId="2" fontId="2" numFmtId="0" xfId="0" applyBorder="1" applyFont="1"/>
    <xf borderId="11" fillId="2" fontId="2" numFmtId="2" xfId="0" applyBorder="1" applyFont="1" applyNumberFormat="1"/>
    <xf borderId="12" fillId="2" fontId="2" numFmtId="0" xfId="0" applyBorder="1" applyFont="1"/>
    <xf borderId="13" fillId="5" fontId="2" numFmtId="0" xfId="0" applyBorder="1" applyFill="1" applyFont="1"/>
    <xf borderId="1" fillId="0" fontId="3" numFmtId="0" xfId="0" applyBorder="1" applyFont="1"/>
    <xf borderId="2" fillId="0" fontId="3" numFmtId="0" xfId="0" applyBorder="1" applyFont="1"/>
    <xf borderId="3" fillId="0" fontId="3" numFmtId="0" xfId="0" applyBorder="1" applyFont="1"/>
    <xf borderId="14" fillId="2" fontId="4" numFmtId="0" xfId="0" applyAlignment="1" applyBorder="1" applyFont="1">
      <alignment horizontal="left"/>
    </xf>
    <xf borderId="5" fillId="2" fontId="4" numFmtId="0" xfId="0" applyAlignment="1" applyBorder="1" applyFont="1">
      <alignment horizontal="left"/>
    </xf>
    <xf borderId="5" fillId="2" fontId="2" numFmtId="2" xfId="0" applyBorder="1" applyFont="1" applyNumberFormat="1"/>
    <xf borderId="15" fillId="2" fontId="2" numFmtId="0" xfId="0" applyBorder="1" applyFont="1"/>
    <xf borderId="14" fillId="2" fontId="5" numFmtId="0" xfId="0" applyAlignment="1" applyBorder="1" applyFont="1">
      <alignment horizontal="left"/>
    </xf>
    <xf borderId="5" fillId="2" fontId="5" numFmtId="0" xfId="0" applyAlignment="1" applyBorder="1" applyFont="1">
      <alignment horizontal="left"/>
    </xf>
    <xf borderId="5" fillId="2" fontId="6" numFmtId="2" xfId="0" applyBorder="1" applyFont="1" applyNumberFormat="1"/>
    <xf borderId="15" fillId="2" fontId="6" numFmtId="0" xfId="0" applyBorder="1" applyFont="1"/>
    <xf borderId="5" fillId="2" fontId="7" numFmtId="0" xfId="0" applyAlignment="1" applyBorder="1" applyFont="1">
      <alignment horizontal="left"/>
    </xf>
    <xf borderId="14" fillId="2" fontId="6" numFmtId="0" xfId="0" applyBorder="1" applyFont="1"/>
    <xf borderId="0" fillId="0" fontId="2" numFmtId="0" xfId="0" applyFont="1"/>
    <xf borderId="14" fillId="2" fontId="2" numFmtId="0" xfId="0" applyBorder="1" applyFont="1"/>
    <xf borderId="14" fillId="2" fontId="4" numFmtId="0" xfId="0" applyBorder="1" applyFont="1"/>
    <xf borderId="5" fillId="2" fontId="4" numFmtId="0" xfId="0" applyAlignment="1" applyBorder="1" applyFont="1">
      <alignment horizontal="left" shrinkToFit="0" vertical="top" wrapText="1"/>
    </xf>
    <xf borderId="14" fillId="2" fontId="5" numFmtId="0" xfId="0" applyBorder="1" applyFont="1"/>
    <xf borderId="5" fillId="2" fontId="5" numFmtId="0" xfId="0" applyAlignment="1" applyBorder="1" applyFont="1">
      <alignment horizontal="left" shrinkToFit="0" vertical="top" wrapText="1"/>
    </xf>
    <xf borderId="5" fillId="2" fontId="7" numFmtId="0" xfId="0" applyAlignment="1" applyBorder="1" applyFont="1">
      <alignment horizontal="left" shrinkToFit="0" vertical="top" wrapText="1"/>
    </xf>
    <xf borderId="14" fillId="6" fontId="4" numFmtId="0" xfId="0" applyBorder="1" applyFill="1" applyFont="1"/>
    <xf borderId="5" fillId="6" fontId="4" numFmtId="0" xfId="0" applyAlignment="1" applyBorder="1" applyFont="1">
      <alignment horizontal="left"/>
    </xf>
    <xf borderId="5" fillId="6" fontId="2" numFmtId="2" xfId="0" applyBorder="1" applyFont="1" applyNumberFormat="1"/>
    <xf borderId="15" fillId="6" fontId="2" numFmtId="0" xfId="0" applyBorder="1" applyFont="1"/>
    <xf borderId="15" fillId="2" fontId="4" numFmtId="0" xfId="0" applyAlignment="1" applyBorder="1" applyFont="1">
      <alignment horizontal="left"/>
    </xf>
    <xf borderId="15" fillId="2" fontId="5" numFmtId="0" xfId="0" applyAlignment="1" applyBorder="1" applyFont="1">
      <alignment horizontal="left"/>
    </xf>
    <xf borderId="0" fillId="0" fontId="6" numFmtId="0" xfId="0" applyFont="1"/>
    <xf borderId="5" fillId="2" fontId="6" numFmtId="0" xfId="0" applyAlignment="1" applyBorder="1" applyFont="1">
      <alignment horizontal="left" shrinkToFit="0" vertical="top" wrapText="1"/>
    </xf>
    <xf borderId="5" fillId="2" fontId="2" numFmtId="0" xfId="0" applyAlignment="1" applyBorder="1" applyFont="1">
      <alignment horizontal="left" shrinkToFit="0" vertical="top" wrapText="1"/>
    </xf>
    <xf borderId="15" fillId="2" fontId="2" numFmtId="0" xfId="0" applyAlignment="1" applyBorder="1" applyFont="1">
      <alignment horizontal="left" shrinkToFit="0" vertical="top" wrapText="1"/>
    </xf>
    <xf borderId="15" fillId="2" fontId="6" numFmtId="0" xfId="0" applyAlignment="1" applyBorder="1" applyFont="1">
      <alignment horizontal="left" shrinkToFit="0" vertical="top" wrapText="1"/>
    </xf>
    <xf borderId="10" fillId="2" fontId="5" numFmtId="0" xfId="0" applyBorder="1" applyFont="1"/>
    <xf borderId="11" fillId="2" fontId="6" numFmtId="0" xfId="0" applyAlignment="1" applyBorder="1" applyFont="1">
      <alignment horizontal="left" shrinkToFit="0" vertical="top" wrapText="1"/>
    </xf>
    <xf borderId="11" fillId="2" fontId="6" numFmtId="2" xfId="0" applyBorder="1" applyFont="1" applyNumberFormat="1"/>
    <xf borderId="12" fillId="2" fontId="6" numFmtId="0" xfId="0" applyAlignment="1" applyBorder="1" applyFont="1">
      <alignment horizontal="left" shrinkToFit="0" vertical="top" wrapText="1"/>
    </xf>
    <xf borderId="10" fillId="5" fontId="8" numFmtId="0" xfId="0" applyBorder="1" applyFont="1"/>
    <xf borderId="11" fillId="5" fontId="9" numFmtId="0" xfId="0" applyAlignment="1" applyBorder="1" applyFont="1">
      <alignment horizontal="left" shrinkToFit="0" vertical="top" wrapText="1"/>
    </xf>
    <xf borderId="11" fillId="5" fontId="9" numFmtId="2" xfId="0" applyBorder="1" applyFont="1" applyNumberFormat="1"/>
    <xf borderId="12" fillId="5" fontId="9" numFmtId="0" xfId="0" applyAlignment="1" applyBorder="1" applyFont="1">
      <alignment horizontal="left" shrinkToFit="0" vertical="top" wrapText="1"/>
    </xf>
    <xf borderId="0" fillId="0" fontId="4" numFmtId="0" xfId="0" applyFont="1"/>
    <xf borderId="0" fillId="0" fontId="10" numFmtId="0" xfId="0" applyAlignment="1" applyFont="1">
      <alignment horizontal="center" vertical="center"/>
    </xf>
    <xf borderId="16" fillId="7" fontId="8" numFmtId="0" xfId="0" applyAlignment="1" applyBorder="1" applyFill="1" applyFont="1">
      <alignment horizontal="center"/>
    </xf>
    <xf borderId="17" fillId="8" fontId="11" numFmtId="0" xfId="0" applyAlignment="1" applyBorder="1" applyFill="1" applyFont="1">
      <alignment horizontal="center"/>
    </xf>
    <xf borderId="18" fillId="7" fontId="8" numFmtId="0" xfId="0" applyAlignment="1" applyBorder="1" applyFont="1">
      <alignment horizontal="center" shrinkToFit="0" vertical="center" wrapText="1"/>
    </xf>
    <xf borderId="17" fillId="3" fontId="12" numFmtId="0" xfId="0" applyAlignment="1" applyBorder="1" applyFont="1">
      <alignment horizontal="left"/>
    </xf>
    <xf borderId="17" fillId="3" fontId="2" numFmtId="0" xfId="0" applyAlignment="1" applyBorder="1" applyFont="1">
      <alignment horizontal="right"/>
    </xf>
    <xf borderId="17" fillId="3" fontId="2" numFmtId="1" xfId="0" applyAlignment="1" applyBorder="1" applyFont="1" applyNumberFormat="1">
      <alignment horizontal="right"/>
    </xf>
    <xf borderId="17" fillId="3" fontId="2" numFmtId="9" xfId="0" applyAlignment="1" applyBorder="1" applyFont="1" applyNumberFormat="1">
      <alignment horizontal="right"/>
    </xf>
    <xf borderId="17" fillId="3" fontId="2" numFmtId="10" xfId="0" applyBorder="1" applyFont="1" applyNumberFormat="1"/>
    <xf borderId="0" fillId="0" fontId="13" numFmtId="0" xfId="0" applyFont="1"/>
    <xf borderId="17" fillId="3" fontId="12" numFmtId="0" xfId="0" applyBorder="1" applyFont="1"/>
    <xf borderId="19" fillId="3" fontId="2" numFmtId="0" xfId="0" applyBorder="1" applyFont="1"/>
    <xf borderId="20" fillId="0" fontId="12" numFmtId="0" xfId="0" applyBorder="1" applyFont="1"/>
    <xf borderId="20" fillId="0" fontId="2" numFmtId="0" xfId="0" applyAlignment="1" applyBorder="1" applyFont="1">
      <alignment horizontal="right"/>
    </xf>
    <xf borderId="20" fillId="0" fontId="2" numFmtId="1" xfId="0" applyAlignment="1" applyBorder="1" applyFont="1" applyNumberFormat="1">
      <alignment horizontal="right"/>
    </xf>
    <xf borderId="20" fillId="0" fontId="2" numFmtId="10" xfId="0" applyBorder="1" applyFont="1" applyNumberFormat="1"/>
    <xf borderId="0" fillId="0" fontId="1" numFmtId="0" xfId="0" applyFont="1"/>
    <xf borderId="20" fillId="0" fontId="2" numFmtId="0" xfId="0" applyBorder="1" applyFont="1"/>
    <xf borderId="20" fillId="0" fontId="2" numFmtId="1" xfId="0" applyBorder="1" applyFont="1" applyNumberFormat="1"/>
    <xf borderId="17" fillId="3" fontId="2" numFmtId="0" xfId="0" applyBorder="1" applyFont="1"/>
    <xf borderId="17" fillId="3" fontId="2" numFmtId="1" xfId="0" applyBorder="1" applyFont="1" applyNumberFormat="1"/>
    <xf borderId="13" fillId="5" fontId="2" numFmtId="0" xfId="0" applyBorder="1" applyFont="1"/>
    <xf borderId="13" fillId="5" fontId="2" numFmtId="1" xfId="0" applyBorder="1" applyFont="1" applyNumberFormat="1"/>
    <xf borderId="13" fillId="5" fontId="2" numFmtId="10" xfId="0" applyBorder="1" applyFont="1" applyNumberFormat="1"/>
    <xf borderId="17" fillId="3" fontId="2" numFmtId="10" xfId="0" applyAlignment="1" applyBorder="1" applyFont="1" applyNumberFormat="1">
      <alignment horizontal="right"/>
    </xf>
    <xf borderId="19" fillId="3" fontId="13" numFmtId="0" xfId="0" applyBorder="1" applyFont="1"/>
    <xf borderId="20" fillId="0" fontId="2" numFmtId="10" xfId="0" applyAlignment="1" applyBorder="1" applyFont="1" applyNumberFormat="1">
      <alignment horizontal="right"/>
    </xf>
    <xf borderId="21" fillId="0" fontId="2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4" pivot="0" name="CM2-style">
      <tableStyleElement dxfId="1" type="headerRow"/>
      <tableStyleElement dxfId="2" type="firstRowStripe"/>
      <tableStyleElement dxfId="3" type="secondRowStripe"/>
      <tableStyleElement dxfId="1" type="totalRow"/>
    </tableStyle>
    <tableStyle count="4" pivot="0" name="CM1 &amp; CM2 Metrics-style">
      <tableStyleElement dxfId="4" type="headerRow"/>
      <tableStyleElement dxfId="2" type="firstRowStripe"/>
      <tableStyleElement dxfId="3" type="secondRowStripe"/>
      <tableStyleElement dxfId="4" type="totalRow"/>
    </tableStyle>
    <tableStyle count="4" pivot="0" name="CM1 &amp; CM2 Metrics-style 2">
      <tableStyleElement dxfId="4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8:D305" displayName="Table_1" name="Table_1" id="1">
  <tableColumns count="4">
    <tableColumn name="ECOLE" id="1"/>
    <tableColumn name="NOM ET PRENOMS" id="2"/>
    <tableColumn name="MOYENNE" id="3"/>
    <tableColumn name="OBSERVATION" id="4"/>
  </tableColumns>
  <tableStyleInfo name="CM2-style" showColumnStripes="0" showFirstColumn="1" showLastColumn="1" showRowStripes="1"/>
</table>
</file>

<file path=xl/tables/table2.xml><?xml version="1.0" encoding="utf-8"?>
<table xmlns="http://schemas.openxmlformats.org/spreadsheetml/2006/main" ref="A3:J11" displayName="Table_2" name="Table_2" id="2">
  <tableColumns count="10">
    <tableColumn name="Ecole" id="1"/>
    <tableColumn name="Insrites" id="2"/>
    <tableColumn name="Abandonee #" id="3"/>
    <tableColumn name="Presentes" id="4"/>
    <tableColumn name="Admises #" id="5"/>
    <tableColumn name="Non Admise #" id="6"/>
    <tableColumn name="Abandonee %" id="7"/>
    <tableColumn name="Admises %" id="8"/>
    <tableColumn name="Non Admise %" id="9"/>
    <tableColumn name="Comments" id="10"/>
  </tableColumns>
  <tableStyleInfo name="CM1 &amp; CM2 Metrics-style" showColumnStripes="0" showFirstColumn="1" showLastColumn="1" showRowStripes="1"/>
</table>
</file>

<file path=xl/tables/table3.xml><?xml version="1.0" encoding="utf-8"?>
<table xmlns="http://schemas.openxmlformats.org/spreadsheetml/2006/main" ref="A19:J31" displayName="Table_3" name="Table_3" id="3">
  <tableColumns count="10">
    <tableColumn name="Ecole" id="1"/>
    <tableColumn name="Insrites" id="2"/>
    <tableColumn name="Abandonee #" id="3"/>
    <tableColumn name="Presentes" id="4"/>
    <tableColumn name="Admises #" id="5"/>
    <tableColumn name="Non Admise #" id="6"/>
    <tableColumn name="Abandonee %" id="7"/>
    <tableColumn name="Admises %" id="8"/>
    <tableColumn name="Non Admise %" id="9"/>
    <tableColumn name="Comments" id="10"/>
  </tableColumns>
  <tableStyleInfo name="CM1 &amp; CM2 Metric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21.0"/>
    <col customWidth="1" min="3" max="3" width="27.43"/>
    <col customWidth="1" min="4" max="4" width="11.43"/>
    <col customWidth="1" min="5" max="5" width="16.43"/>
    <col customWidth="1" min="6" max="26" width="10.86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</row>
    <row r="4" ht="14.25" customHeight="1">
      <c r="A4" s="1" t="s">
        <v>3</v>
      </c>
    </row>
    <row r="5" ht="14.25" customHeight="1"/>
    <row r="6" ht="14.25" customHeight="1">
      <c r="A6" s="1" t="s">
        <v>4</v>
      </c>
    </row>
    <row r="7" ht="14.25" customHeight="1"/>
    <row r="8" ht="14.25" customHeight="1">
      <c r="A8" s="2" t="s">
        <v>5</v>
      </c>
      <c r="B8" s="3" t="s">
        <v>6</v>
      </c>
      <c r="C8" s="3" t="s">
        <v>7</v>
      </c>
      <c r="D8" s="3" t="s">
        <v>8</v>
      </c>
      <c r="E8" s="4" t="s">
        <v>9</v>
      </c>
    </row>
    <row r="9" ht="14.25" customHeight="1">
      <c r="A9" s="5">
        <v>1.0</v>
      </c>
      <c r="B9" s="6" t="s">
        <v>10</v>
      </c>
      <c r="C9" s="6" t="s">
        <v>11</v>
      </c>
      <c r="D9" s="6">
        <v>6.75</v>
      </c>
      <c r="E9" s="7" t="s">
        <v>12</v>
      </c>
    </row>
    <row r="10" ht="14.25" customHeight="1">
      <c r="A10" s="8">
        <v>2.0</v>
      </c>
      <c r="B10" s="9" t="s">
        <v>10</v>
      </c>
      <c r="C10" s="9" t="s">
        <v>13</v>
      </c>
      <c r="D10" s="9">
        <v>5.25</v>
      </c>
      <c r="E10" s="10" t="s">
        <v>12</v>
      </c>
    </row>
    <row r="11" ht="14.25" customHeight="1">
      <c r="A11" s="5">
        <v>3.0</v>
      </c>
      <c r="B11" s="6" t="s">
        <v>10</v>
      </c>
      <c r="C11" s="6" t="s">
        <v>14</v>
      </c>
      <c r="D11" s="6">
        <v>5.25</v>
      </c>
      <c r="E11" s="7" t="s">
        <v>12</v>
      </c>
    </row>
    <row r="12" ht="14.25" customHeight="1">
      <c r="A12" s="8">
        <v>4.0</v>
      </c>
      <c r="B12" s="9" t="s">
        <v>10</v>
      </c>
      <c r="C12" s="9" t="s">
        <v>15</v>
      </c>
      <c r="D12" s="9">
        <v>5.56</v>
      </c>
      <c r="E12" s="10" t="s">
        <v>12</v>
      </c>
    </row>
    <row r="13" ht="14.25" customHeight="1">
      <c r="A13" s="5">
        <v>5.0</v>
      </c>
      <c r="B13" s="6" t="s">
        <v>10</v>
      </c>
      <c r="C13" s="6" t="s">
        <v>16</v>
      </c>
      <c r="D13" s="6">
        <v>5.43</v>
      </c>
      <c r="E13" s="7" t="s">
        <v>12</v>
      </c>
    </row>
    <row r="14" ht="14.25" customHeight="1">
      <c r="A14" s="8">
        <v>6.0</v>
      </c>
      <c r="B14" s="9" t="s">
        <v>10</v>
      </c>
      <c r="C14" s="9" t="s">
        <v>17</v>
      </c>
      <c r="D14" s="9">
        <v>5.12</v>
      </c>
      <c r="E14" s="10" t="s">
        <v>12</v>
      </c>
    </row>
    <row r="15" ht="14.25" customHeight="1">
      <c r="A15" s="5">
        <v>7.0</v>
      </c>
      <c r="B15" s="6" t="s">
        <v>10</v>
      </c>
      <c r="C15" s="6" t="s">
        <v>18</v>
      </c>
      <c r="D15" s="6">
        <v>6.12</v>
      </c>
      <c r="E15" s="7" t="s">
        <v>12</v>
      </c>
    </row>
    <row r="16" ht="14.25" customHeight="1">
      <c r="A16" s="8">
        <v>8.0</v>
      </c>
      <c r="B16" s="9" t="s">
        <v>10</v>
      </c>
      <c r="C16" s="9" t="s">
        <v>19</v>
      </c>
      <c r="D16" s="9">
        <v>8.06</v>
      </c>
      <c r="E16" s="10" t="s">
        <v>12</v>
      </c>
    </row>
    <row r="17" ht="14.25" customHeight="1">
      <c r="A17" s="5">
        <v>9.0</v>
      </c>
      <c r="B17" s="6" t="s">
        <v>10</v>
      </c>
      <c r="C17" s="6" t="s">
        <v>20</v>
      </c>
      <c r="D17" s="6">
        <v>5.37</v>
      </c>
      <c r="E17" s="7" t="s">
        <v>12</v>
      </c>
    </row>
    <row r="18" ht="14.25" customHeight="1">
      <c r="A18" s="8">
        <v>10.0</v>
      </c>
      <c r="B18" s="9" t="s">
        <v>10</v>
      </c>
      <c r="C18" s="9" t="s">
        <v>21</v>
      </c>
      <c r="D18" s="9">
        <v>6.68</v>
      </c>
      <c r="E18" s="10" t="s">
        <v>12</v>
      </c>
    </row>
    <row r="19" ht="14.25" customHeight="1">
      <c r="A19" s="5">
        <v>11.0</v>
      </c>
      <c r="B19" s="6" t="s">
        <v>10</v>
      </c>
      <c r="C19" s="6" t="s">
        <v>22</v>
      </c>
      <c r="D19" s="6">
        <v>8.68</v>
      </c>
      <c r="E19" s="7" t="s">
        <v>12</v>
      </c>
    </row>
    <row r="20" ht="14.25" customHeight="1">
      <c r="A20" s="8">
        <v>12.0</v>
      </c>
      <c r="B20" s="9" t="s">
        <v>10</v>
      </c>
      <c r="C20" s="9" t="s">
        <v>23</v>
      </c>
      <c r="D20" s="9">
        <v>4.5</v>
      </c>
      <c r="E20" s="10" t="s">
        <v>12</v>
      </c>
    </row>
    <row r="21" ht="14.25" customHeight="1">
      <c r="A21" s="5">
        <v>13.0</v>
      </c>
      <c r="B21" s="6" t="s">
        <v>10</v>
      </c>
      <c r="C21" s="6" t="s">
        <v>24</v>
      </c>
      <c r="D21" s="6">
        <v>4.56</v>
      </c>
      <c r="E21" s="7" t="s">
        <v>12</v>
      </c>
    </row>
    <row r="22" ht="14.25" customHeight="1">
      <c r="A22" s="8">
        <v>14.0</v>
      </c>
      <c r="B22" s="9" t="s">
        <v>10</v>
      </c>
      <c r="C22" s="9" t="s">
        <v>25</v>
      </c>
      <c r="D22" s="9">
        <v>8.31</v>
      </c>
      <c r="E22" s="10" t="s">
        <v>12</v>
      </c>
    </row>
    <row r="23" ht="14.25" customHeight="1">
      <c r="A23" s="5">
        <v>15.0</v>
      </c>
      <c r="B23" s="6" t="s">
        <v>10</v>
      </c>
      <c r="C23" s="6" t="s">
        <v>26</v>
      </c>
      <c r="D23" s="6">
        <v>6.62</v>
      </c>
      <c r="E23" s="7" t="s">
        <v>12</v>
      </c>
    </row>
    <row r="24" ht="14.25" customHeight="1">
      <c r="A24" s="8">
        <v>16.0</v>
      </c>
      <c r="B24" s="9" t="s">
        <v>10</v>
      </c>
      <c r="C24" s="9" t="s">
        <v>27</v>
      </c>
      <c r="D24" s="9">
        <v>5.0</v>
      </c>
      <c r="E24" s="10" t="s">
        <v>12</v>
      </c>
    </row>
    <row r="25" ht="14.25" customHeight="1">
      <c r="A25" s="5">
        <v>17.0</v>
      </c>
      <c r="B25" s="6" t="s">
        <v>10</v>
      </c>
      <c r="C25" s="6" t="s">
        <v>28</v>
      </c>
      <c r="D25" s="6">
        <v>5.0</v>
      </c>
      <c r="E25" s="7" t="s">
        <v>12</v>
      </c>
    </row>
    <row r="26" ht="14.25" customHeight="1">
      <c r="A26" s="8">
        <v>18.0</v>
      </c>
      <c r="B26" s="9" t="s">
        <v>10</v>
      </c>
      <c r="C26" s="9" t="s">
        <v>29</v>
      </c>
      <c r="D26" s="9">
        <v>5.18</v>
      </c>
      <c r="E26" s="10" t="s">
        <v>12</v>
      </c>
    </row>
    <row r="27" ht="14.25" customHeight="1">
      <c r="A27" s="5">
        <v>19.0</v>
      </c>
      <c r="B27" s="6" t="s">
        <v>10</v>
      </c>
      <c r="C27" s="6" t="s">
        <v>30</v>
      </c>
      <c r="D27" s="6">
        <v>5.25</v>
      </c>
      <c r="E27" s="7" t="s">
        <v>12</v>
      </c>
    </row>
    <row r="28" ht="14.25" customHeight="1">
      <c r="A28" s="8">
        <v>20.0</v>
      </c>
      <c r="B28" s="9" t="s">
        <v>10</v>
      </c>
      <c r="C28" s="9" t="s">
        <v>31</v>
      </c>
      <c r="D28" s="9">
        <v>5.0</v>
      </c>
      <c r="E28" s="10" t="s">
        <v>12</v>
      </c>
    </row>
    <row r="29" ht="14.25" customHeight="1">
      <c r="A29" s="5">
        <v>21.0</v>
      </c>
      <c r="B29" s="6" t="s">
        <v>10</v>
      </c>
      <c r="C29" s="6" t="s">
        <v>32</v>
      </c>
      <c r="D29" s="6">
        <v>7.4</v>
      </c>
      <c r="E29" s="7" t="s">
        <v>12</v>
      </c>
    </row>
    <row r="30" ht="14.25" customHeight="1">
      <c r="A30" s="8">
        <v>22.0</v>
      </c>
      <c r="B30" s="9" t="s">
        <v>10</v>
      </c>
      <c r="C30" s="9" t="s">
        <v>33</v>
      </c>
      <c r="D30" s="9">
        <v>8.53</v>
      </c>
      <c r="E30" s="10" t="s">
        <v>12</v>
      </c>
    </row>
    <row r="31" ht="14.25" customHeight="1">
      <c r="A31" s="5">
        <v>23.0</v>
      </c>
      <c r="B31" s="6" t="s">
        <v>10</v>
      </c>
      <c r="C31" s="6" t="s">
        <v>34</v>
      </c>
      <c r="D31" s="6">
        <v>6.75</v>
      </c>
      <c r="E31" s="7" t="s">
        <v>12</v>
      </c>
    </row>
    <row r="32" ht="14.25" customHeight="1">
      <c r="A32" s="8">
        <v>24.0</v>
      </c>
      <c r="B32" s="9" t="s">
        <v>10</v>
      </c>
      <c r="C32" s="9" t="s">
        <v>35</v>
      </c>
      <c r="D32" s="9">
        <v>6.75</v>
      </c>
      <c r="E32" s="10" t="s">
        <v>12</v>
      </c>
    </row>
    <row r="33" ht="14.25" customHeight="1">
      <c r="A33" s="5">
        <v>25.0</v>
      </c>
      <c r="B33" s="6" t="s">
        <v>10</v>
      </c>
      <c r="C33" s="6" t="s">
        <v>36</v>
      </c>
      <c r="D33" s="6">
        <v>7.96</v>
      </c>
      <c r="E33" s="7" t="s">
        <v>12</v>
      </c>
    </row>
    <row r="34" ht="14.25" customHeight="1">
      <c r="A34" s="8">
        <v>26.0</v>
      </c>
      <c r="B34" s="9" t="s">
        <v>10</v>
      </c>
      <c r="C34" s="9" t="s">
        <v>37</v>
      </c>
      <c r="D34" s="9">
        <v>8.18</v>
      </c>
      <c r="E34" s="10" t="s">
        <v>12</v>
      </c>
    </row>
    <row r="35" ht="14.25" customHeight="1">
      <c r="A35" s="5">
        <v>27.0</v>
      </c>
      <c r="B35" s="6" t="s">
        <v>10</v>
      </c>
      <c r="C35" s="6" t="s">
        <v>38</v>
      </c>
      <c r="D35" s="6">
        <v>5.0</v>
      </c>
      <c r="E35" s="7" t="s">
        <v>12</v>
      </c>
    </row>
    <row r="36" ht="14.25" customHeight="1">
      <c r="A36" s="8">
        <v>28.0</v>
      </c>
      <c r="B36" s="9" t="s">
        <v>10</v>
      </c>
      <c r="C36" s="9" t="s">
        <v>39</v>
      </c>
      <c r="D36" s="9">
        <v>4.68</v>
      </c>
      <c r="E36" s="10" t="s">
        <v>12</v>
      </c>
    </row>
    <row r="37" ht="14.25" customHeight="1">
      <c r="A37" s="5">
        <v>29.0</v>
      </c>
      <c r="B37" s="6" t="s">
        <v>10</v>
      </c>
      <c r="C37" s="6" t="s">
        <v>40</v>
      </c>
      <c r="D37" s="6">
        <v>4.53</v>
      </c>
      <c r="E37" s="7" t="s">
        <v>12</v>
      </c>
    </row>
    <row r="38" ht="14.25" customHeight="1">
      <c r="A38" s="8">
        <v>30.0</v>
      </c>
      <c r="B38" s="9" t="s">
        <v>10</v>
      </c>
      <c r="C38" s="9" t="s">
        <v>41</v>
      </c>
      <c r="D38" s="9">
        <v>4.68</v>
      </c>
      <c r="E38" s="10" t="s">
        <v>12</v>
      </c>
    </row>
    <row r="39" ht="14.25" customHeight="1">
      <c r="A39" s="5">
        <v>67.0</v>
      </c>
      <c r="B39" s="6" t="s">
        <v>42</v>
      </c>
      <c r="C39" s="6" t="s">
        <v>43</v>
      </c>
      <c r="D39" s="6">
        <v>9.85</v>
      </c>
      <c r="E39" s="7" t="s">
        <v>12</v>
      </c>
    </row>
    <row r="40" ht="14.25" customHeight="1">
      <c r="A40" s="8">
        <v>68.0</v>
      </c>
      <c r="B40" s="9" t="s">
        <v>42</v>
      </c>
      <c r="C40" s="9" t="s">
        <v>44</v>
      </c>
      <c r="D40" s="9">
        <v>8.67</v>
      </c>
      <c r="E40" s="10" t="s">
        <v>12</v>
      </c>
    </row>
    <row r="41" ht="14.25" customHeight="1">
      <c r="A41" s="5">
        <v>69.0</v>
      </c>
      <c r="B41" s="6" t="s">
        <v>42</v>
      </c>
      <c r="C41" s="6" t="s">
        <v>45</v>
      </c>
      <c r="D41" s="6">
        <v>7.0</v>
      </c>
      <c r="E41" s="7" t="s">
        <v>12</v>
      </c>
    </row>
    <row r="42" ht="14.25" customHeight="1">
      <c r="A42" s="8">
        <v>70.0</v>
      </c>
      <c r="B42" s="9" t="s">
        <v>42</v>
      </c>
      <c r="C42" s="9" t="s">
        <v>46</v>
      </c>
      <c r="D42" s="9">
        <v>6.71</v>
      </c>
      <c r="E42" s="10" t="s">
        <v>12</v>
      </c>
    </row>
    <row r="43" ht="14.25" customHeight="1">
      <c r="A43" s="5">
        <v>71.0</v>
      </c>
      <c r="B43" s="6" t="s">
        <v>42</v>
      </c>
      <c r="C43" s="6" t="s">
        <v>47</v>
      </c>
      <c r="D43" s="6">
        <v>6.0</v>
      </c>
      <c r="E43" s="7" t="s">
        <v>12</v>
      </c>
    </row>
    <row r="44" ht="14.25" customHeight="1">
      <c r="A44" s="8">
        <v>72.0</v>
      </c>
      <c r="B44" s="9" t="s">
        <v>42</v>
      </c>
      <c r="C44" s="9" t="s">
        <v>48</v>
      </c>
      <c r="D44" s="9">
        <v>6.0</v>
      </c>
      <c r="E44" s="10" t="s">
        <v>12</v>
      </c>
    </row>
    <row r="45" ht="14.25" customHeight="1">
      <c r="A45" s="5">
        <v>73.0</v>
      </c>
      <c r="B45" s="6" t="s">
        <v>42</v>
      </c>
      <c r="C45" s="6" t="s">
        <v>49</v>
      </c>
      <c r="D45" s="6">
        <v>5.96</v>
      </c>
      <c r="E45" s="7" t="s">
        <v>12</v>
      </c>
    </row>
    <row r="46" ht="14.25" customHeight="1">
      <c r="A46" s="8">
        <v>74.0</v>
      </c>
      <c r="B46" s="9" t="s">
        <v>42</v>
      </c>
      <c r="C46" s="9" t="s">
        <v>50</v>
      </c>
      <c r="D46" s="9">
        <v>5.92</v>
      </c>
      <c r="E46" s="10" t="s">
        <v>12</v>
      </c>
    </row>
    <row r="47" ht="14.25" customHeight="1">
      <c r="A47" s="5">
        <v>75.0</v>
      </c>
      <c r="B47" s="6" t="s">
        <v>42</v>
      </c>
      <c r="C47" s="6" t="s">
        <v>51</v>
      </c>
      <c r="D47" s="6">
        <v>5.21</v>
      </c>
      <c r="E47" s="7" t="s">
        <v>12</v>
      </c>
    </row>
    <row r="48" ht="14.25" customHeight="1">
      <c r="A48" s="8">
        <v>76.0</v>
      </c>
      <c r="B48" s="9" t="s">
        <v>42</v>
      </c>
      <c r="C48" s="9" t="s">
        <v>52</v>
      </c>
      <c r="D48" s="9">
        <v>5.2</v>
      </c>
      <c r="E48" s="10" t="s">
        <v>12</v>
      </c>
    </row>
    <row r="49" ht="14.25" customHeight="1">
      <c r="A49" s="5">
        <v>77.0</v>
      </c>
      <c r="B49" s="6" t="s">
        <v>42</v>
      </c>
      <c r="C49" s="6" t="s">
        <v>53</v>
      </c>
      <c r="D49" s="6">
        <v>5.14</v>
      </c>
      <c r="E49" s="7" t="s">
        <v>12</v>
      </c>
    </row>
    <row r="50" ht="14.25" customHeight="1">
      <c r="A50" s="8">
        <v>78.0</v>
      </c>
      <c r="B50" s="9" t="s">
        <v>42</v>
      </c>
      <c r="C50" s="9" t="s">
        <v>54</v>
      </c>
      <c r="D50" s="9">
        <v>5.1</v>
      </c>
      <c r="E50" s="10" t="s">
        <v>12</v>
      </c>
    </row>
    <row r="51" ht="14.25" customHeight="1">
      <c r="A51" s="5">
        <v>79.0</v>
      </c>
      <c r="B51" s="6" t="s">
        <v>42</v>
      </c>
      <c r="C51" s="6" t="s">
        <v>55</v>
      </c>
      <c r="D51" s="6">
        <v>5.07</v>
      </c>
      <c r="E51" s="7" t="s">
        <v>12</v>
      </c>
    </row>
    <row r="52" ht="14.25" customHeight="1">
      <c r="A52" s="8">
        <v>80.0</v>
      </c>
      <c r="B52" s="9" t="s">
        <v>42</v>
      </c>
      <c r="C52" s="9" t="s">
        <v>56</v>
      </c>
      <c r="D52" s="9">
        <v>5.07</v>
      </c>
      <c r="E52" s="10" t="s">
        <v>12</v>
      </c>
    </row>
    <row r="53" ht="14.25" customHeight="1">
      <c r="A53" s="5">
        <v>81.0</v>
      </c>
      <c r="B53" s="6" t="s">
        <v>42</v>
      </c>
      <c r="C53" s="6" t="s">
        <v>57</v>
      </c>
      <c r="D53" s="6">
        <v>5.05</v>
      </c>
      <c r="E53" s="7" t="s">
        <v>12</v>
      </c>
    </row>
    <row r="54" ht="14.25" customHeight="1">
      <c r="A54" s="8">
        <v>82.0</v>
      </c>
      <c r="B54" s="9" t="s">
        <v>42</v>
      </c>
      <c r="C54" s="9" t="s">
        <v>58</v>
      </c>
      <c r="D54" s="9">
        <v>5.0</v>
      </c>
      <c r="E54" s="10" t="s">
        <v>12</v>
      </c>
    </row>
    <row r="55" ht="14.25" customHeight="1">
      <c r="A55" s="5">
        <v>83.0</v>
      </c>
      <c r="B55" s="6" t="s">
        <v>42</v>
      </c>
      <c r="C55" s="6" t="s">
        <v>59</v>
      </c>
      <c r="D55" s="6">
        <v>5.0</v>
      </c>
      <c r="E55" s="7" t="s">
        <v>12</v>
      </c>
    </row>
    <row r="56" ht="14.25" customHeight="1">
      <c r="A56" s="8">
        <v>84.0</v>
      </c>
      <c r="B56" s="9" t="s">
        <v>42</v>
      </c>
      <c r="C56" s="9" t="s">
        <v>60</v>
      </c>
      <c r="D56" s="9">
        <v>4.97</v>
      </c>
      <c r="E56" s="10" t="s">
        <v>12</v>
      </c>
    </row>
    <row r="57" ht="14.25" customHeight="1">
      <c r="A57" s="5">
        <v>85.0</v>
      </c>
      <c r="B57" s="6" t="s">
        <v>42</v>
      </c>
      <c r="C57" s="6" t="s">
        <v>61</v>
      </c>
      <c r="D57" s="6">
        <v>4.9</v>
      </c>
      <c r="E57" s="7" t="s">
        <v>12</v>
      </c>
    </row>
    <row r="58" ht="14.25" customHeight="1">
      <c r="A58" s="8">
        <v>86.0</v>
      </c>
      <c r="B58" s="9" t="s">
        <v>42</v>
      </c>
      <c r="C58" s="9" t="s">
        <v>62</v>
      </c>
      <c r="D58" s="9">
        <v>4.8</v>
      </c>
      <c r="E58" s="10" t="s">
        <v>12</v>
      </c>
    </row>
    <row r="59" ht="14.25" customHeight="1">
      <c r="A59" s="5">
        <v>87.0</v>
      </c>
      <c r="B59" s="6" t="s">
        <v>42</v>
      </c>
      <c r="C59" s="6" t="s">
        <v>63</v>
      </c>
      <c r="D59" s="6">
        <v>4.5</v>
      </c>
      <c r="E59" s="7" t="s">
        <v>12</v>
      </c>
    </row>
    <row r="60" ht="14.25" customHeight="1">
      <c r="A60" s="8">
        <v>88.0</v>
      </c>
      <c r="B60" s="9" t="s">
        <v>42</v>
      </c>
      <c r="C60" s="9" t="s">
        <v>64</v>
      </c>
      <c r="D60" s="9">
        <v>4.5</v>
      </c>
      <c r="E60" s="10" t="s">
        <v>12</v>
      </c>
    </row>
    <row r="61" ht="14.25" customHeight="1">
      <c r="A61" s="5">
        <v>89.0</v>
      </c>
      <c r="B61" s="6" t="s">
        <v>42</v>
      </c>
      <c r="C61" s="6" t="s">
        <v>65</v>
      </c>
      <c r="D61" s="6">
        <v>4.5</v>
      </c>
      <c r="E61" s="7" t="s">
        <v>12</v>
      </c>
    </row>
    <row r="62" ht="14.25" customHeight="1">
      <c r="A62" s="8">
        <v>90.0</v>
      </c>
      <c r="B62" s="9" t="s">
        <v>66</v>
      </c>
      <c r="C62" s="9" t="s">
        <v>67</v>
      </c>
      <c r="D62" s="9">
        <v>8.1</v>
      </c>
      <c r="E62" s="10" t="s">
        <v>12</v>
      </c>
    </row>
    <row r="63" ht="14.25" customHeight="1">
      <c r="A63" s="5">
        <v>91.0</v>
      </c>
      <c r="B63" s="6" t="s">
        <v>66</v>
      </c>
      <c r="C63" s="6" t="s">
        <v>68</v>
      </c>
      <c r="D63" s="6">
        <v>8.08</v>
      </c>
      <c r="E63" s="7" t="s">
        <v>12</v>
      </c>
    </row>
    <row r="64" ht="14.25" customHeight="1">
      <c r="A64" s="8">
        <v>92.0</v>
      </c>
      <c r="B64" s="9" t="s">
        <v>66</v>
      </c>
      <c r="C64" s="9" t="s">
        <v>69</v>
      </c>
      <c r="D64" s="9">
        <v>7.62</v>
      </c>
      <c r="E64" s="10" t="s">
        <v>12</v>
      </c>
    </row>
    <row r="65" ht="14.25" customHeight="1">
      <c r="A65" s="5">
        <v>93.0</v>
      </c>
      <c r="B65" s="6" t="s">
        <v>66</v>
      </c>
      <c r="C65" s="6" t="s">
        <v>70</v>
      </c>
      <c r="D65" s="6">
        <v>6.5</v>
      </c>
      <c r="E65" s="7" t="s">
        <v>12</v>
      </c>
    </row>
    <row r="66" ht="14.25" customHeight="1">
      <c r="A66" s="8">
        <v>94.0</v>
      </c>
      <c r="B66" s="9" t="s">
        <v>66</v>
      </c>
      <c r="C66" s="9" t="s">
        <v>71</v>
      </c>
      <c r="D66" s="9">
        <v>6.44</v>
      </c>
      <c r="E66" s="10" t="s">
        <v>12</v>
      </c>
    </row>
    <row r="67" ht="14.25" customHeight="1">
      <c r="A67" s="5">
        <v>95.0</v>
      </c>
      <c r="B67" s="6" t="s">
        <v>66</v>
      </c>
      <c r="C67" s="6" t="s">
        <v>72</v>
      </c>
      <c r="D67" s="6">
        <v>6.33</v>
      </c>
      <c r="E67" s="7" t="s">
        <v>12</v>
      </c>
    </row>
    <row r="68" ht="14.25" customHeight="1">
      <c r="A68" s="8">
        <v>96.0</v>
      </c>
      <c r="B68" s="9" t="s">
        <v>66</v>
      </c>
      <c r="C68" s="9" t="s">
        <v>73</v>
      </c>
      <c r="D68" s="9">
        <v>4.98</v>
      </c>
      <c r="E68" s="10" t="s">
        <v>12</v>
      </c>
    </row>
    <row r="69" ht="14.25" customHeight="1">
      <c r="A69" s="5">
        <v>97.0</v>
      </c>
      <c r="B69" s="6" t="s">
        <v>66</v>
      </c>
      <c r="C69" s="6" t="s">
        <v>74</v>
      </c>
      <c r="D69" s="6">
        <v>4.5</v>
      </c>
      <c r="E69" s="7" t="s">
        <v>12</v>
      </c>
    </row>
    <row r="70" ht="14.25" customHeight="1">
      <c r="A70" s="8">
        <v>98.0</v>
      </c>
      <c r="B70" s="9" t="s">
        <v>66</v>
      </c>
      <c r="C70" s="9" t="s">
        <v>75</v>
      </c>
      <c r="D70" s="9">
        <v>4.51</v>
      </c>
      <c r="E70" s="10" t="s">
        <v>12</v>
      </c>
    </row>
    <row r="71" ht="14.25" customHeight="1">
      <c r="A71" s="5">
        <v>99.0</v>
      </c>
      <c r="B71" s="6" t="s">
        <v>66</v>
      </c>
      <c r="C71" s="6" t="s">
        <v>76</v>
      </c>
      <c r="D71" s="6">
        <v>4.73</v>
      </c>
      <c r="E71" s="7" t="s">
        <v>12</v>
      </c>
    </row>
    <row r="72" ht="14.25" customHeight="1">
      <c r="A72" s="8">
        <v>100.0</v>
      </c>
      <c r="B72" s="9" t="s">
        <v>66</v>
      </c>
      <c r="C72" s="9" t="s">
        <v>77</v>
      </c>
      <c r="D72" s="9">
        <v>4.55</v>
      </c>
      <c r="E72" s="10" t="s">
        <v>12</v>
      </c>
    </row>
    <row r="73" ht="14.25" customHeight="1">
      <c r="A73" s="5">
        <v>101.0</v>
      </c>
      <c r="B73" s="6" t="s">
        <v>66</v>
      </c>
      <c r="C73" s="6" t="s">
        <v>78</v>
      </c>
      <c r="D73" s="6">
        <v>4.5</v>
      </c>
      <c r="E73" s="7" t="s">
        <v>12</v>
      </c>
    </row>
    <row r="74" ht="14.25" customHeight="1">
      <c r="A74" s="8">
        <v>102.0</v>
      </c>
      <c r="B74" s="9" t="s">
        <v>79</v>
      </c>
      <c r="C74" s="9" t="s">
        <v>80</v>
      </c>
      <c r="D74" s="9">
        <v>6.75</v>
      </c>
      <c r="E74" s="10" t="s">
        <v>12</v>
      </c>
    </row>
    <row r="75" ht="14.25" customHeight="1">
      <c r="A75" s="5">
        <v>103.0</v>
      </c>
      <c r="B75" s="6" t="s">
        <v>79</v>
      </c>
      <c r="C75" s="6" t="s">
        <v>81</v>
      </c>
      <c r="D75" s="6">
        <v>7.85</v>
      </c>
      <c r="E75" s="7" t="s">
        <v>12</v>
      </c>
    </row>
    <row r="76" ht="14.25" customHeight="1">
      <c r="A76" s="8">
        <v>104.0</v>
      </c>
      <c r="B76" s="9" t="s">
        <v>79</v>
      </c>
      <c r="C76" s="9" t="s">
        <v>82</v>
      </c>
      <c r="D76" s="9">
        <v>5.05</v>
      </c>
      <c r="E76" s="10" t="s">
        <v>12</v>
      </c>
    </row>
    <row r="77" ht="14.25" customHeight="1">
      <c r="A77" s="5">
        <v>105.0</v>
      </c>
      <c r="B77" s="6" t="s">
        <v>79</v>
      </c>
      <c r="C77" s="6" t="s">
        <v>83</v>
      </c>
      <c r="D77" s="6">
        <v>5.77</v>
      </c>
      <c r="E77" s="7" t="s">
        <v>12</v>
      </c>
    </row>
    <row r="78" ht="14.25" customHeight="1">
      <c r="A78" s="8">
        <v>106.0</v>
      </c>
      <c r="B78" s="9" t="s">
        <v>79</v>
      </c>
      <c r="C78" s="9" t="s">
        <v>84</v>
      </c>
      <c r="D78" s="9">
        <v>5.0</v>
      </c>
      <c r="E78" s="10" t="s">
        <v>12</v>
      </c>
    </row>
    <row r="79" ht="14.25" customHeight="1">
      <c r="A79" s="5">
        <v>107.0</v>
      </c>
      <c r="B79" s="6" t="s">
        <v>79</v>
      </c>
      <c r="C79" s="6" t="s">
        <v>85</v>
      </c>
      <c r="D79" s="6">
        <v>4.58</v>
      </c>
      <c r="E79" s="7" t="s">
        <v>12</v>
      </c>
    </row>
    <row r="80" ht="14.25" customHeight="1">
      <c r="A80" s="8">
        <v>108.0</v>
      </c>
      <c r="B80" s="9" t="s">
        <v>79</v>
      </c>
      <c r="C80" s="9" t="s">
        <v>86</v>
      </c>
      <c r="D80" s="9">
        <v>6.58</v>
      </c>
      <c r="E80" s="10" t="s">
        <v>12</v>
      </c>
    </row>
    <row r="81" ht="14.25" customHeight="1">
      <c r="A81" s="5">
        <v>109.0</v>
      </c>
      <c r="B81" s="6" t="s">
        <v>79</v>
      </c>
      <c r="C81" s="6" t="s">
        <v>87</v>
      </c>
      <c r="D81" s="6">
        <v>5.43</v>
      </c>
      <c r="E81" s="7" t="s">
        <v>12</v>
      </c>
    </row>
    <row r="82" ht="14.25" customHeight="1">
      <c r="A82" s="8">
        <v>110.0</v>
      </c>
      <c r="B82" s="9" t="s">
        <v>79</v>
      </c>
      <c r="C82" s="9" t="s">
        <v>88</v>
      </c>
      <c r="D82" s="9">
        <v>4.99</v>
      </c>
      <c r="E82" s="10" t="s">
        <v>12</v>
      </c>
    </row>
    <row r="83" ht="14.25" customHeight="1">
      <c r="A83" s="5">
        <v>111.0</v>
      </c>
      <c r="B83" s="6" t="s">
        <v>79</v>
      </c>
      <c r="C83" s="6" t="s">
        <v>89</v>
      </c>
      <c r="D83" s="6">
        <v>7.0</v>
      </c>
      <c r="E83" s="7" t="s">
        <v>12</v>
      </c>
    </row>
    <row r="84" ht="14.25" customHeight="1">
      <c r="A84" s="8">
        <v>112.0</v>
      </c>
      <c r="B84" s="9" t="s">
        <v>79</v>
      </c>
      <c r="C84" s="9" t="s">
        <v>90</v>
      </c>
      <c r="D84" s="9">
        <v>4.9</v>
      </c>
      <c r="E84" s="10" t="s">
        <v>12</v>
      </c>
    </row>
    <row r="85" ht="14.25" customHeight="1">
      <c r="A85" s="5">
        <v>113.0</v>
      </c>
      <c r="B85" s="6" t="s">
        <v>79</v>
      </c>
      <c r="C85" s="6" t="s">
        <v>91</v>
      </c>
      <c r="D85" s="6">
        <v>6.23</v>
      </c>
      <c r="E85" s="7" t="s">
        <v>12</v>
      </c>
    </row>
    <row r="86" ht="14.25" customHeight="1">
      <c r="A86" s="8">
        <v>114.0</v>
      </c>
      <c r="B86" s="9" t="s">
        <v>92</v>
      </c>
      <c r="C86" s="9" t="s">
        <v>93</v>
      </c>
      <c r="D86" s="9">
        <v>5.3</v>
      </c>
      <c r="E86" s="10" t="s">
        <v>12</v>
      </c>
    </row>
    <row r="87" ht="14.25" customHeight="1">
      <c r="A87" s="5">
        <v>115.0</v>
      </c>
      <c r="B87" s="6" t="s">
        <v>92</v>
      </c>
      <c r="C87" s="6" t="s">
        <v>94</v>
      </c>
      <c r="D87" s="6">
        <v>6.65</v>
      </c>
      <c r="E87" s="7" t="s">
        <v>12</v>
      </c>
    </row>
    <row r="88" ht="14.25" customHeight="1">
      <c r="A88" s="8">
        <v>116.0</v>
      </c>
      <c r="B88" s="9" t="s">
        <v>92</v>
      </c>
      <c r="C88" s="9" t="s">
        <v>95</v>
      </c>
      <c r="D88" s="9">
        <v>5.1</v>
      </c>
      <c r="E88" s="10" t="s">
        <v>12</v>
      </c>
    </row>
    <row r="89" ht="14.25" customHeight="1">
      <c r="A89" s="5">
        <v>117.0</v>
      </c>
      <c r="B89" s="6" t="s">
        <v>92</v>
      </c>
      <c r="C89" s="6" t="s">
        <v>96</v>
      </c>
      <c r="D89" s="6">
        <v>8.96</v>
      </c>
      <c r="E89" s="7" t="s">
        <v>12</v>
      </c>
    </row>
    <row r="90" ht="14.25" customHeight="1">
      <c r="A90" s="8">
        <v>118.0</v>
      </c>
      <c r="B90" s="9" t="s">
        <v>92</v>
      </c>
      <c r="C90" s="9" t="s">
        <v>97</v>
      </c>
      <c r="D90" s="9">
        <v>6.15</v>
      </c>
      <c r="E90" s="10" t="s">
        <v>12</v>
      </c>
    </row>
    <row r="91" ht="14.25" customHeight="1">
      <c r="A91" s="5">
        <v>119.0</v>
      </c>
      <c r="B91" s="6" t="s">
        <v>92</v>
      </c>
      <c r="C91" s="6" t="s">
        <v>98</v>
      </c>
      <c r="D91" s="6">
        <v>6.84</v>
      </c>
      <c r="E91" s="7" t="s">
        <v>12</v>
      </c>
    </row>
    <row r="92" ht="14.25" customHeight="1">
      <c r="A92" s="8">
        <v>120.0</v>
      </c>
      <c r="B92" s="9" t="s">
        <v>92</v>
      </c>
      <c r="C92" s="9" t="s">
        <v>99</v>
      </c>
      <c r="D92" s="9">
        <v>6.11</v>
      </c>
      <c r="E92" s="10" t="s">
        <v>12</v>
      </c>
    </row>
    <row r="93" ht="14.25" customHeight="1">
      <c r="A93" s="5">
        <v>121.0</v>
      </c>
      <c r="B93" s="6" t="s">
        <v>92</v>
      </c>
      <c r="C93" s="6" t="s">
        <v>100</v>
      </c>
      <c r="D93" s="6">
        <v>5.96</v>
      </c>
      <c r="E93" s="7" t="s">
        <v>12</v>
      </c>
    </row>
    <row r="94" ht="14.25" customHeight="1">
      <c r="A94" s="8">
        <v>122.0</v>
      </c>
      <c r="B94" s="9" t="s">
        <v>92</v>
      </c>
      <c r="C94" s="9" t="s">
        <v>101</v>
      </c>
      <c r="D94" s="9">
        <v>4.84</v>
      </c>
      <c r="E94" s="10" t="s">
        <v>12</v>
      </c>
    </row>
    <row r="95" ht="14.25" customHeight="1">
      <c r="A95" s="5">
        <v>123.0</v>
      </c>
      <c r="B95" s="6" t="s">
        <v>92</v>
      </c>
      <c r="C95" s="6" t="s">
        <v>102</v>
      </c>
      <c r="D95" s="6">
        <v>8.42</v>
      </c>
      <c r="E95" s="7" t="s">
        <v>12</v>
      </c>
    </row>
    <row r="96" ht="14.25" customHeight="1">
      <c r="A96" s="8">
        <v>124.0</v>
      </c>
      <c r="B96" s="9" t="s">
        <v>92</v>
      </c>
      <c r="C96" s="9" t="s">
        <v>103</v>
      </c>
      <c r="D96" s="9">
        <v>4.84</v>
      </c>
      <c r="E96" s="10" t="s">
        <v>12</v>
      </c>
    </row>
    <row r="97" ht="14.25" customHeight="1">
      <c r="A97" s="5">
        <v>125.0</v>
      </c>
      <c r="B97" s="6" t="s">
        <v>92</v>
      </c>
      <c r="C97" s="6" t="s">
        <v>104</v>
      </c>
      <c r="D97" s="6">
        <v>4.56</v>
      </c>
      <c r="E97" s="7" t="s">
        <v>12</v>
      </c>
    </row>
    <row r="98" ht="14.25" customHeight="1">
      <c r="A98" s="8">
        <v>126.0</v>
      </c>
      <c r="B98" s="9" t="s">
        <v>92</v>
      </c>
      <c r="C98" s="9" t="s">
        <v>105</v>
      </c>
      <c r="D98" s="9">
        <v>4.51</v>
      </c>
      <c r="E98" s="10" t="s">
        <v>12</v>
      </c>
    </row>
    <row r="99" ht="14.25" customHeight="1">
      <c r="A99" s="5">
        <v>127.0</v>
      </c>
      <c r="B99" s="6" t="s">
        <v>92</v>
      </c>
      <c r="C99" s="6" t="s">
        <v>106</v>
      </c>
      <c r="D99" s="6">
        <v>8.19</v>
      </c>
      <c r="E99" s="7" t="s">
        <v>12</v>
      </c>
    </row>
    <row r="100" ht="14.25" customHeight="1">
      <c r="A100" s="8">
        <v>128.0</v>
      </c>
      <c r="B100" s="9" t="s">
        <v>92</v>
      </c>
      <c r="C100" s="9" t="s">
        <v>107</v>
      </c>
      <c r="D100" s="9">
        <v>8.73</v>
      </c>
      <c r="E100" s="10" t="s">
        <v>12</v>
      </c>
    </row>
    <row r="101" ht="14.25" customHeight="1">
      <c r="A101" s="5">
        <v>129.0</v>
      </c>
      <c r="B101" s="6" t="s">
        <v>92</v>
      </c>
      <c r="C101" s="6" t="s">
        <v>108</v>
      </c>
      <c r="D101" s="6">
        <v>7.0</v>
      </c>
      <c r="E101" s="7" t="s">
        <v>12</v>
      </c>
    </row>
    <row r="102" ht="14.25" customHeight="1">
      <c r="A102" s="8">
        <v>130.0</v>
      </c>
      <c r="B102" s="9" t="s">
        <v>92</v>
      </c>
      <c r="C102" s="9" t="s">
        <v>109</v>
      </c>
      <c r="D102" s="9">
        <v>5.57</v>
      </c>
      <c r="E102" s="10" t="s">
        <v>12</v>
      </c>
    </row>
    <row r="103" ht="14.25" customHeight="1">
      <c r="A103" s="5">
        <v>131.0</v>
      </c>
      <c r="B103" s="6" t="s">
        <v>110</v>
      </c>
      <c r="C103" s="6" t="s">
        <v>111</v>
      </c>
      <c r="D103" s="6">
        <v>7.75</v>
      </c>
      <c r="E103" s="7" t="s">
        <v>12</v>
      </c>
    </row>
    <row r="104" ht="14.25" customHeight="1">
      <c r="A104" s="8">
        <v>132.0</v>
      </c>
      <c r="B104" s="9" t="s">
        <v>110</v>
      </c>
      <c r="C104" s="9" t="s">
        <v>112</v>
      </c>
      <c r="D104" s="9">
        <v>7.55</v>
      </c>
      <c r="E104" s="10" t="s">
        <v>12</v>
      </c>
    </row>
    <row r="105" ht="14.25" customHeight="1">
      <c r="A105" s="5">
        <v>133.0</v>
      </c>
      <c r="B105" s="6" t="s">
        <v>110</v>
      </c>
      <c r="C105" s="6" t="s">
        <v>113</v>
      </c>
      <c r="D105" s="6">
        <v>7.32</v>
      </c>
      <c r="E105" s="7" t="s">
        <v>12</v>
      </c>
    </row>
    <row r="106" ht="14.25" customHeight="1">
      <c r="A106" s="8">
        <v>134.0</v>
      </c>
      <c r="B106" s="9" t="s">
        <v>110</v>
      </c>
      <c r="C106" s="9" t="s">
        <v>114</v>
      </c>
      <c r="D106" s="9">
        <v>6.35</v>
      </c>
      <c r="E106" s="10" t="s">
        <v>12</v>
      </c>
    </row>
    <row r="107" ht="14.25" customHeight="1">
      <c r="A107" s="5">
        <v>135.0</v>
      </c>
      <c r="B107" s="6" t="s">
        <v>110</v>
      </c>
      <c r="C107" s="6" t="s">
        <v>115</v>
      </c>
      <c r="D107" s="6">
        <v>6.12</v>
      </c>
      <c r="E107" s="7" t="s">
        <v>12</v>
      </c>
    </row>
    <row r="108" ht="14.25" customHeight="1">
      <c r="A108" s="8">
        <v>136.0</v>
      </c>
      <c r="B108" s="9" t="s">
        <v>110</v>
      </c>
      <c r="C108" s="9" t="s">
        <v>116</v>
      </c>
      <c r="D108" s="9">
        <v>6.08</v>
      </c>
      <c r="E108" s="10" t="s">
        <v>12</v>
      </c>
    </row>
    <row r="109" ht="14.25" customHeight="1">
      <c r="A109" s="5">
        <v>137.0</v>
      </c>
      <c r="B109" s="6" t="s">
        <v>110</v>
      </c>
      <c r="C109" s="6" t="s">
        <v>117</v>
      </c>
      <c r="D109" s="6">
        <v>6.05</v>
      </c>
      <c r="E109" s="7" t="s">
        <v>12</v>
      </c>
    </row>
    <row r="110" ht="14.25" customHeight="1">
      <c r="A110" s="8">
        <v>138.0</v>
      </c>
      <c r="B110" s="9" t="s">
        <v>110</v>
      </c>
      <c r="C110" s="9" t="s">
        <v>118</v>
      </c>
      <c r="D110" s="9">
        <v>5.65</v>
      </c>
      <c r="E110" s="10" t="s">
        <v>12</v>
      </c>
    </row>
    <row r="111" ht="14.25" customHeight="1">
      <c r="A111" s="5">
        <v>139.0</v>
      </c>
      <c r="B111" s="6" t="s">
        <v>110</v>
      </c>
      <c r="C111" s="6" t="s">
        <v>119</v>
      </c>
      <c r="D111" s="6">
        <v>5.52</v>
      </c>
      <c r="E111" s="7" t="s">
        <v>12</v>
      </c>
    </row>
    <row r="112" ht="14.25" customHeight="1">
      <c r="A112" s="8">
        <v>140.0</v>
      </c>
      <c r="B112" s="9" t="s">
        <v>110</v>
      </c>
      <c r="C112" s="9" t="s">
        <v>120</v>
      </c>
      <c r="D112" s="9">
        <v>5.46</v>
      </c>
      <c r="E112" s="10" t="s">
        <v>12</v>
      </c>
    </row>
    <row r="113" ht="14.25" customHeight="1">
      <c r="A113" s="5">
        <v>141.0</v>
      </c>
      <c r="B113" s="6" t="s">
        <v>110</v>
      </c>
      <c r="C113" s="6" t="s">
        <v>121</v>
      </c>
      <c r="D113" s="6">
        <v>5.43</v>
      </c>
      <c r="E113" s="7" t="s">
        <v>12</v>
      </c>
    </row>
    <row r="114" ht="14.25" customHeight="1">
      <c r="A114" s="8">
        <v>142.0</v>
      </c>
      <c r="B114" s="9" t="s">
        <v>110</v>
      </c>
      <c r="C114" s="9" t="s">
        <v>122</v>
      </c>
      <c r="D114" s="9">
        <v>5.25</v>
      </c>
      <c r="E114" s="10" t="s">
        <v>12</v>
      </c>
    </row>
    <row r="115" ht="14.25" customHeight="1">
      <c r="A115" s="5">
        <v>143.0</v>
      </c>
      <c r="B115" s="6" t="s">
        <v>110</v>
      </c>
      <c r="C115" s="6" t="s">
        <v>123</v>
      </c>
      <c r="D115" s="6">
        <v>5.23</v>
      </c>
      <c r="E115" s="7" t="s">
        <v>12</v>
      </c>
    </row>
    <row r="116" ht="14.25" customHeight="1">
      <c r="A116" s="8">
        <v>144.0</v>
      </c>
      <c r="B116" s="9" t="s">
        <v>110</v>
      </c>
      <c r="C116" s="9" t="s">
        <v>124</v>
      </c>
      <c r="D116" s="9">
        <v>5.19</v>
      </c>
      <c r="E116" s="10" t="s">
        <v>12</v>
      </c>
    </row>
    <row r="117" ht="14.25" customHeight="1">
      <c r="A117" s="5">
        <v>145.0</v>
      </c>
      <c r="B117" s="6" t="s">
        <v>110</v>
      </c>
      <c r="C117" s="6" t="s">
        <v>125</v>
      </c>
      <c r="D117" s="6">
        <v>4.94</v>
      </c>
      <c r="E117" s="7" t="s">
        <v>12</v>
      </c>
    </row>
    <row r="118" ht="14.25" customHeight="1">
      <c r="A118" s="8">
        <v>146.0</v>
      </c>
      <c r="B118" s="9" t="s">
        <v>110</v>
      </c>
      <c r="C118" s="9" t="s">
        <v>126</v>
      </c>
      <c r="D118" s="9">
        <v>4.57</v>
      </c>
      <c r="E118" s="10" t="s">
        <v>12</v>
      </c>
    </row>
    <row r="119" ht="14.25" customHeight="1">
      <c r="A119" s="5">
        <v>147.0</v>
      </c>
      <c r="B119" s="6" t="s">
        <v>110</v>
      </c>
      <c r="C119" s="6" t="s">
        <v>127</v>
      </c>
      <c r="D119" s="6">
        <v>4.5</v>
      </c>
      <c r="E119" s="7" t="s">
        <v>12</v>
      </c>
    </row>
    <row r="120" ht="14.25" customHeight="1">
      <c r="A120" s="8">
        <v>148.0</v>
      </c>
      <c r="B120" s="9" t="s">
        <v>110</v>
      </c>
      <c r="C120" s="9" t="s">
        <v>128</v>
      </c>
      <c r="D120" s="9">
        <v>4.5</v>
      </c>
      <c r="E120" s="10" t="s">
        <v>12</v>
      </c>
    </row>
    <row r="121" ht="14.25" customHeight="1">
      <c r="A121" s="5">
        <v>149.0</v>
      </c>
      <c r="B121" s="6" t="s">
        <v>110</v>
      </c>
      <c r="C121" s="6" t="s">
        <v>129</v>
      </c>
      <c r="D121" s="6">
        <v>4.94</v>
      </c>
      <c r="E121" s="7" t="s">
        <v>12</v>
      </c>
    </row>
    <row r="122" ht="14.25" customHeight="1">
      <c r="A122" s="8">
        <v>150.0</v>
      </c>
      <c r="B122" s="9" t="s">
        <v>110</v>
      </c>
      <c r="C122" s="9" t="s">
        <v>130</v>
      </c>
      <c r="D122" s="9">
        <v>4.76</v>
      </c>
      <c r="E122" s="10" t="s">
        <v>12</v>
      </c>
    </row>
    <row r="123" ht="14.25" customHeight="1">
      <c r="A123" s="5">
        <v>151.0</v>
      </c>
      <c r="B123" s="6" t="s">
        <v>110</v>
      </c>
      <c r="C123" s="6" t="s">
        <v>131</v>
      </c>
      <c r="D123" s="6">
        <v>4.45</v>
      </c>
      <c r="E123" s="7" t="s">
        <v>12</v>
      </c>
    </row>
    <row r="124" ht="14.25" customHeight="1">
      <c r="A124" s="8">
        <v>152.0</v>
      </c>
      <c r="B124" s="9" t="s">
        <v>110</v>
      </c>
      <c r="C124" s="9" t="s">
        <v>132</v>
      </c>
      <c r="D124" s="9">
        <v>4.5</v>
      </c>
      <c r="E124" s="10" t="s">
        <v>12</v>
      </c>
    </row>
    <row r="125" ht="14.25" customHeight="1">
      <c r="A125" s="5">
        <v>153.0</v>
      </c>
      <c r="B125" s="6" t="s">
        <v>110</v>
      </c>
      <c r="C125" s="6" t="s">
        <v>133</v>
      </c>
      <c r="D125" s="6">
        <v>4.94</v>
      </c>
      <c r="E125" s="7" t="s">
        <v>12</v>
      </c>
    </row>
    <row r="126" ht="14.25" hidden="1" customHeight="1">
      <c r="A126" s="8">
        <v>154.0</v>
      </c>
      <c r="B126" s="9" t="s">
        <v>110</v>
      </c>
      <c r="C126" s="9" t="s">
        <v>134</v>
      </c>
      <c r="D126" s="9">
        <v>1.76</v>
      </c>
      <c r="E126" s="10" t="s">
        <v>135</v>
      </c>
    </row>
    <row r="127" ht="14.25" hidden="1" customHeight="1">
      <c r="A127" s="5">
        <v>155.0</v>
      </c>
      <c r="B127" s="6" t="s">
        <v>110</v>
      </c>
      <c r="C127" s="6" t="s">
        <v>136</v>
      </c>
      <c r="D127" s="6">
        <v>1.73</v>
      </c>
      <c r="E127" s="7" t="s">
        <v>135</v>
      </c>
    </row>
    <row r="128" ht="14.25" hidden="1" customHeight="1">
      <c r="A128" s="8">
        <v>156.0</v>
      </c>
      <c r="B128" s="9" t="s">
        <v>110</v>
      </c>
      <c r="C128" s="9" t="s">
        <v>137</v>
      </c>
      <c r="D128" s="9">
        <v>1.7</v>
      </c>
      <c r="E128" s="10" t="s">
        <v>135</v>
      </c>
    </row>
    <row r="129" ht="14.25" hidden="1" customHeight="1">
      <c r="A129" s="5">
        <v>157.0</v>
      </c>
      <c r="B129" s="6" t="s">
        <v>110</v>
      </c>
      <c r="C129" s="6" t="s">
        <v>138</v>
      </c>
      <c r="D129" s="6">
        <v>1.63</v>
      </c>
      <c r="E129" s="7" t="s">
        <v>135</v>
      </c>
    </row>
    <row r="130" ht="14.25" hidden="1" customHeight="1">
      <c r="A130" s="8">
        <v>158.0</v>
      </c>
      <c r="B130" s="9" t="s">
        <v>110</v>
      </c>
      <c r="C130" s="9" t="s">
        <v>139</v>
      </c>
      <c r="D130" s="9">
        <v>1.55</v>
      </c>
      <c r="E130" s="10" t="s">
        <v>135</v>
      </c>
    </row>
    <row r="131" ht="14.25" hidden="1" customHeight="1">
      <c r="A131" s="5">
        <v>159.0</v>
      </c>
      <c r="B131" s="6" t="s">
        <v>110</v>
      </c>
      <c r="C131" s="6" t="s">
        <v>140</v>
      </c>
      <c r="D131" s="6">
        <v>1.51</v>
      </c>
      <c r="E131" s="7" t="s">
        <v>135</v>
      </c>
    </row>
    <row r="132" ht="14.25" hidden="1" customHeight="1">
      <c r="A132" s="8">
        <v>160.0</v>
      </c>
      <c r="B132" s="9" t="s">
        <v>110</v>
      </c>
      <c r="C132" s="9" t="s">
        <v>141</v>
      </c>
      <c r="D132" s="9">
        <v>1.43</v>
      </c>
      <c r="E132" s="10" t="s">
        <v>135</v>
      </c>
    </row>
    <row r="133" ht="14.25" customHeight="1">
      <c r="A133" s="5">
        <v>161.0</v>
      </c>
      <c r="B133" s="6" t="s">
        <v>142</v>
      </c>
      <c r="C133" s="6" t="s">
        <v>143</v>
      </c>
      <c r="D133" s="6">
        <v>7.7</v>
      </c>
      <c r="E133" s="7" t="s">
        <v>12</v>
      </c>
    </row>
    <row r="134" ht="14.25" customHeight="1">
      <c r="A134" s="8">
        <v>162.0</v>
      </c>
      <c r="B134" s="9" t="s">
        <v>142</v>
      </c>
      <c r="C134" s="9" t="s">
        <v>144</v>
      </c>
      <c r="D134" s="9">
        <v>8.0</v>
      </c>
      <c r="E134" s="10" t="s">
        <v>12</v>
      </c>
    </row>
    <row r="135" ht="14.25" customHeight="1">
      <c r="A135" s="5">
        <v>163.0</v>
      </c>
      <c r="B135" s="6" t="s">
        <v>142</v>
      </c>
      <c r="C135" s="6" t="s">
        <v>145</v>
      </c>
      <c r="D135" s="6">
        <v>5.0</v>
      </c>
      <c r="E135" s="7" t="s">
        <v>12</v>
      </c>
    </row>
    <row r="136" ht="14.25" customHeight="1">
      <c r="A136" s="8">
        <v>164.0</v>
      </c>
      <c r="B136" s="9" t="s">
        <v>142</v>
      </c>
      <c r="C136" s="9" t="s">
        <v>146</v>
      </c>
      <c r="D136" s="9">
        <v>6.1</v>
      </c>
      <c r="E136" s="10" t="s">
        <v>12</v>
      </c>
    </row>
    <row r="137" ht="14.25" customHeight="1">
      <c r="A137" s="5">
        <v>165.0</v>
      </c>
      <c r="B137" s="6" t="s">
        <v>142</v>
      </c>
      <c r="C137" s="6" t="s">
        <v>147</v>
      </c>
      <c r="D137" s="6">
        <v>8.0</v>
      </c>
      <c r="E137" s="7" t="s">
        <v>12</v>
      </c>
    </row>
    <row r="138" ht="14.25" customHeight="1">
      <c r="A138" s="8">
        <v>166.0</v>
      </c>
      <c r="B138" s="9" t="s">
        <v>142</v>
      </c>
      <c r="C138" s="9" t="s">
        <v>148</v>
      </c>
      <c r="D138" s="9">
        <v>5.62</v>
      </c>
      <c r="E138" s="10" t="s">
        <v>12</v>
      </c>
    </row>
    <row r="139" ht="14.25" customHeight="1">
      <c r="A139" s="5">
        <v>167.0</v>
      </c>
      <c r="B139" s="6" t="s">
        <v>142</v>
      </c>
      <c r="C139" s="6" t="s">
        <v>149</v>
      </c>
      <c r="D139" s="6">
        <v>5.0</v>
      </c>
      <c r="E139" s="7" t="s">
        <v>12</v>
      </c>
    </row>
    <row r="140" ht="14.25" customHeight="1">
      <c r="A140" s="8">
        <v>168.0</v>
      </c>
      <c r="B140" s="9" t="s">
        <v>142</v>
      </c>
      <c r="C140" s="9" t="s">
        <v>150</v>
      </c>
      <c r="D140" s="9">
        <v>6.3</v>
      </c>
      <c r="E140" s="10" t="s">
        <v>12</v>
      </c>
    </row>
    <row r="141" ht="14.25" customHeight="1">
      <c r="A141" s="5">
        <v>169.0</v>
      </c>
      <c r="B141" s="6" t="s">
        <v>142</v>
      </c>
      <c r="C141" s="6" t="s">
        <v>151</v>
      </c>
      <c r="D141" s="6">
        <v>7.3</v>
      </c>
      <c r="E141" s="7" t="s">
        <v>12</v>
      </c>
    </row>
    <row r="142" ht="14.25" customHeight="1">
      <c r="A142" s="8">
        <v>170.0</v>
      </c>
      <c r="B142" s="9" t="s">
        <v>142</v>
      </c>
      <c r="C142" s="9" t="s">
        <v>152</v>
      </c>
      <c r="D142" s="9">
        <v>5.0</v>
      </c>
      <c r="E142" s="10" t="s">
        <v>12</v>
      </c>
    </row>
    <row r="143" ht="14.25" customHeight="1">
      <c r="A143" s="5">
        <v>171.0</v>
      </c>
      <c r="B143" s="6" t="s">
        <v>142</v>
      </c>
      <c r="C143" s="6" t="s">
        <v>153</v>
      </c>
      <c r="D143" s="6">
        <v>7.11</v>
      </c>
      <c r="E143" s="7" t="s">
        <v>12</v>
      </c>
    </row>
    <row r="144" ht="14.25" customHeight="1">
      <c r="A144" s="8">
        <v>172.0</v>
      </c>
      <c r="B144" s="9" t="s">
        <v>142</v>
      </c>
      <c r="C144" s="9" t="s">
        <v>154</v>
      </c>
      <c r="D144" s="9">
        <v>7.7</v>
      </c>
      <c r="E144" s="10" t="s">
        <v>12</v>
      </c>
    </row>
    <row r="145" ht="14.25" customHeight="1">
      <c r="A145" s="5">
        <v>173.0</v>
      </c>
      <c r="B145" s="6" t="s">
        <v>142</v>
      </c>
      <c r="C145" s="6" t="s">
        <v>155</v>
      </c>
      <c r="D145" s="6">
        <v>7.5</v>
      </c>
      <c r="E145" s="7" t="s">
        <v>12</v>
      </c>
    </row>
    <row r="146" ht="14.25" customHeight="1">
      <c r="A146" s="8">
        <v>174.0</v>
      </c>
      <c r="B146" s="9" t="s">
        <v>142</v>
      </c>
      <c r="C146" s="9" t="s">
        <v>156</v>
      </c>
      <c r="D146" s="9">
        <v>5.25</v>
      </c>
      <c r="E146" s="10" t="s">
        <v>12</v>
      </c>
    </row>
    <row r="147" ht="14.25" customHeight="1">
      <c r="A147" s="11">
        <v>175.0</v>
      </c>
      <c r="B147" s="12" t="s">
        <v>142</v>
      </c>
      <c r="C147" s="12" t="s">
        <v>157</v>
      </c>
      <c r="D147" s="12">
        <v>5.2</v>
      </c>
      <c r="E147" s="13" t="s">
        <v>12</v>
      </c>
    </row>
    <row r="148" ht="14.25" customHeight="1">
      <c r="A148" s="14" t="s">
        <v>158</v>
      </c>
      <c r="B148" s="15">
        <f>SUBTOTAL(103,'CM1'!$B$9:$B$147)</f>
        <v>132</v>
      </c>
      <c r="C148" s="15"/>
      <c r="D148" s="16">
        <f>SUBTOTAL(101,'CM1'!$D$9:$D$147)</f>
        <v>5.945454545</v>
      </c>
      <c r="E148" s="17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8:$E$148">
    <filterColumn colId="4">
      <filters blank="1">
        <filter val="Passe au CM2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28.43"/>
    <col customWidth="1" min="3" max="3" width="11.43"/>
    <col customWidth="1" min="4" max="4" width="17.43"/>
    <col customWidth="1" min="5" max="26" width="10.86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>
      <c r="A8" s="19" t="s">
        <v>6</v>
      </c>
      <c r="B8" s="20" t="s">
        <v>7</v>
      </c>
      <c r="C8" s="20" t="s">
        <v>8</v>
      </c>
      <c r="D8" s="21" t="s">
        <v>9</v>
      </c>
    </row>
    <row r="9" ht="14.25" customHeight="1">
      <c r="A9" s="22" t="s">
        <v>142</v>
      </c>
      <c r="B9" s="23" t="s">
        <v>159</v>
      </c>
      <c r="C9" s="24">
        <v>1.0</v>
      </c>
      <c r="D9" s="25" t="s">
        <v>160</v>
      </c>
    </row>
    <row r="10" ht="14.25" customHeight="1">
      <c r="A10" s="22" t="s">
        <v>142</v>
      </c>
      <c r="B10" s="23" t="s">
        <v>161</v>
      </c>
      <c r="C10" s="24">
        <v>0.32142857142857145</v>
      </c>
      <c r="D10" s="25" t="s">
        <v>160</v>
      </c>
    </row>
    <row r="11" ht="14.25" customHeight="1">
      <c r="A11" s="22" t="s">
        <v>142</v>
      </c>
      <c r="B11" s="23" t="s">
        <v>162</v>
      </c>
      <c r="C11" s="24">
        <v>0.4642857142857143</v>
      </c>
      <c r="D11" s="25" t="s">
        <v>160</v>
      </c>
    </row>
    <row r="12" ht="14.25" customHeight="1">
      <c r="A12" s="22" t="s">
        <v>142</v>
      </c>
      <c r="B12" s="23" t="s">
        <v>163</v>
      </c>
      <c r="C12" s="24">
        <v>0.5</v>
      </c>
      <c r="D12" s="25" t="s">
        <v>160</v>
      </c>
    </row>
    <row r="13" ht="14.25" customHeight="1">
      <c r="A13" s="22" t="s">
        <v>142</v>
      </c>
      <c r="B13" s="23" t="s">
        <v>164</v>
      </c>
      <c r="C13" s="24">
        <v>0.6071428571428571</v>
      </c>
      <c r="D13" s="25" t="s">
        <v>160</v>
      </c>
    </row>
    <row r="14" ht="14.25" customHeight="1">
      <c r="A14" s="22" t="s">
        <v>142</v>
      </c>
      <c r="B14" s="23" t="s">
        <v>165</v>
      </c>
      <c r="C14" s="24">
        <v>0.75</v>
      </c>
      <c r="D14" s="25" t="s">
        <v>160</v>
      </c>
    </row>
    <row r="15" ht="14.25" customHeight="1">
      <c r="A15" s="22" t="s">
        <v>142</v>
      </c>
      <c r="B15" s="23" t="s">
        <v>166</v>
      </c>
      <c r="C15" s="24">
        <v>0.9285714285714286</v>
      </c>
      <c r="D15" s="25" t="s">
        <v>160</v>
      </c>
    </row>
    <row r="16" ht="14.25" customHeight="1">
      <c r="A16" s="22" t="s">
        <v>142</v>
      </c>
      <c r="B16" s="23" t="s">
        <v>167</v>
      </c>
      <c r="C16" s="24">
        <v>1.0357142857142858</v>
      </c>
      <c r="D16" s="25" t="s">
        <v>160</v>
      </c>
    </row>
    <row r="17" ht="14.25" customHeight="1">
      <c r="A17" s="22" t="s">
        <v>142</v>
      </c>
      <c r="B17" s="23" t="s">
        <v>168</v>
      </c>
      <c r="C17" s="24">
        <v>1.0714285714285714</v>
      </c>
      <c r="D17" s="25" t="s">
        <v>160</v>
      </c>
    </row>
    <row r="18" ht="14.25" customHeight="1">
      <c r="A18" s="22" t="s">
        <v>142</v>
      </c>
      <c r="B18" s="23" t="s">
        <v>169</v>
      </c>
      <c r="C18" s="24">
        <v>1.1428571428571428</v>
      </c>
      <c r="D18" s="25" t="s">
        <v>160</v>
      </c>
    </row>
    <row r="19" ht="14.25" customHeight="1">
      <c r="A19" s="22" t="s">
        <v>142</v>
      </c>
      <c r="B19" s="23" t="s">
        <v>170</v>
      </c>
      <c r="C19" s="24">
        <v>1.3571428571428572</v>
      </c>
      <c r="D19" s="25" t="s">
        <v>160</v>
      </c>
    </row>
    <row r="20" ht="14.25" customHeight="1">
      <c r="A20" s="22" t="s">
        <v>142</v>
      </c>
      <c r="B20" s="23" t="s">
        <v>171</v>
      </c>
      <c r="C20" s="24">
        <v>1.375</v>
      </c>
      <c r="D20" s="25" t="s">
        <v>160</v>
      </c>
    </row>
    <row r="21" ht="14.25" customHeight="1">
      <c r="A21" s="22" t="s">
        <v>142</v>
      </c>
      <c r="B21" s="23" t="s">
        <v>172</v>
      </c>
      <c r="C21" s="24">
        <v>1.3928571428571428</v>
      </c>
      <c r="D21" s="25" t="s">
        <v>160</v>
      </c>
    </row>
    <row r="22" ht="14.25" customHeight="1">
      <c r="A22" s="22" t="s">
        <v>142</v>
      </c>
      <c r="B22" s="23" t="s">
        <v>173</v>
      </c>
      <c r="C22" s="24">
        <v>1.5357142857142858</v>
      </c>
      <c r="D22" s="25" t="s">
        <v>160</v>
      </c>
    </row>
    <row r="23" ht="14.25" customHeight="1">
      <c r="A23" s="22" t="s">
        <v>142</v>
      </c>
      <c r="B23" s="23" t="s">
        <v>174</v>
      </c>
      <c r="C23" s="24">
        <v>1.5357142857142858</v>
      </c>
      <c r="D23" s="25" t="s">
        <v>160</v>
      </c>
    </row>
    <row r="24" ht="14.25" customHeight="1">
      <c r="A24" s="22" t="s">
        <v>142</v>
      </c>
      <c r="B24" s="23" t="s">
        <v>175</v>
      </c>
      <c r="C24" s="24">
        <v>1.5535714285714286</v>
      </c>
      <c r="D24" s="25" t="s">
        <v>160</v>
      </c>
    </row>
    <row r="25" ht="14.25" customHeight="1">
      <c r="A25" s="22" t="s">
        <v>142</v>
      </c>
      <c r="B25" s="23" t="s">
        <v>176</v>
      </c>
      <c r="C25" s="24">
        <v>1.6071428571428572</v>
      </c>
      <c r="D25" s="25" t="s">
        <v>160</v>
      </c>
    </row>
    <row r="26" ht="14.25" customHeight="1">
      <c r="A26" s="22" t="s">
        <v>142</v>
      </c>
      <c r="B26" s="23" t="s">
        <v>177</v>
      </c>
      <c r="C26" s="24">
        <v>1.6607142857142858</v>
      </c>
      <c r="D26" s="25" t="s">
        <v>160</v>
      </c>
    </row>
    <row r="27" ht="14.25" customHeight="1">
      <c r="A27" s="26" t="s">
        <v>142</v>
      </c>
      <c r="B27" s="27" t="s">
        <v>178</v>
      </c>
      <c r="C27" s="28">
        <v>4.53214285714286</v>
      </c>
      <c r="D27" s="29" t="s">
        <v>179</v>
      </c>
    </row>
    <row r="28" ht="14.25" customHeight="1">
      <c r="A28" s="26" t="s">
        <v>142</v>
      </c>
      <c r="B28" s="27" t="s">
        <v>180</v>
      </c>
      <c r="C28" s="28">
        <v>4.53714285714286</v>
      </c>
      <c r="D28" s="29" t="s">
        <v>179</v>
      </c>
    </row>
    <row r="29" ht="14.25" customHeight="1">
      <c r="A29" s="26" t="s">
        <v>142</v>
      </c>
      <c r="B29" s="27" t="s">
        <v>181</v>
      </c>
      <c r="C29" s="28">
        <v>4.55</v>
      </c>
      <c r="D29" s="29" t="s">
        <v>179</v>
      </c>
    </row>
    <row r="30" ht="14.25" customHeight="1">
      <c r="A30" s="26" t="s">
        <v>142</v>
      </c>
      <c r="B30" s="27" t="s">
        <v>182</v>
      </c>
      <c r="C30" s="28">
        <v>4.55</v>
      </c>
      <c r="D30" s="29" t="s">
        <v>179</v>
      </c>
    </row>
    <row r="31" ht="14.25" customHeight="1">
      <c r="A31" s="26" t="s">
        <v>142</v>
      </c>
      <c r="B31" s="27" t="s">
        <v>183</v>
      </c>
      <c r="C31" s="28">
        <v>4.60714285714286</v>
      </c>
      <c r="D31" s="29" t="s">
        <v>179</v>
      </c>
    </row>
    <row r="32" ht="14.25" customHeight="1">
      <c r="A32" s="26" t="s">
        <v>142</v>
      </c>
      <c r="B32" s="27" t="s">
        <v>184</v>
      </c>
      <c r="C32" s="28">
        <v>4.67857142857143</v>
      </c>
      <c r="D32" s="29" t="s">
        <v>179</v>
      </c>
    </row>
    <row r="33" ht="14.25" customHeight="1">
      <c r="A33" s="26" t="s">
        <v>142</v>
      </c>
      <c r="B33" s="27" t="s">
        <v>185</v>
      </c>
      <c r="C33" s="28">
        <v>4.78571428571429</v>
      </c>
      <c r="D33" s="29" t="s">
        <v>179</v>
      </c>
    </row>
    <row r="34" ht="14.25" customHeight="1">
      <c r="A34" s="26" t="s">
        <v>142</v>
      </c>
      <c r="B34" s="30" t="s">
        <v>186</v>
      </c>
      <c r="C34" s="28">
        <v>5.928571428571429</v>
      </c>
      <c r="D34" s="29" t="s">
        <v>179</v>
      </c>
    </row>
    <row r="35" ht="14.25" customHeight="1">
      <c r="A35" s="26" t="s">
        <v>142</v>
      </c>
      <c r="B35" s="30" t="s">
        <v>187</v>
      </c>
      <c r="C35" s="28">
        <v>6.196428571428571</v>
      </c>
      <c r="D35" s="29" t="s">
        <v>179</v>
      </c>
    </row>
    <row r="36" ht="14.25" customHeight="1">
      <c r="A36" s="31" t="s">
        <v>188</v>
      </c>
      <c r="B36" s="30" t="s">
        <v>189</v>
      </c>
      <c r="C36" s="28">
        <v>5.25</v>
      </c>
      <c r="D36" s="29" t="s">
        <v>179</v>
      </c>
    </row>
    <row r="37" ht="14.25" customHeight="1">
      <c r="A37" s="31" t="s">
        <v>188</v>
      </c>
      <c r="B37" s="30" t="s">
        <v>190</v>
      </c>
      <c r="C37" s="28">
        <v>5.857142857142857</v>
      </c>
      <c r="D37" s="29" t="s">
        <v>179</v>
      </c>
    </row>
    <row r="38" ht="14.25" customHeight="1">
      <c r="A38" s="31" t="s">
        <v>188</v>
      </c>
      <c r="B38" s="30" t="s">
        <v>191</v>
      </c>
      <c r="C38" s="28">
        <v>5.892857142857143</v>
      </c>
      <c r="D38" s="29" t="s">
        <v>179</v>
      </c>
    </row>
    <row r="39" ht="14.25" customHeight="1">
      <c r="A39" s="31" t="s">
        <v>188</v>
      </c>
      <c r="B39" s="30" t="s">
        <v>192</v>
      </c>
      <c r="C39" s="28">
        <v>6.142857142857143</v>
      </c>
      <c r="D39" s="29" t="s">
        <v>179</v>
      </c>
    </row>
    <row r="40" ht="14.25" customHeight="1">
      <c r="A40" s="31" t="s">
        <v>188</v>
      </c>
      <c r="B40" s="30" t="s">
        <v>193</v>
      </c>
      <c r="C40" s="28">
        <v>6.285714285714286</v>
      </c>
      <c r="D40" s="29" t="s">
        <v>179</v>
      </c>
    </row>
    <row r="41" ht="14.25" customHeight="1">
      <c r="A41" s="31" t="s">
        <v>188</v>
      </c>
      <c r="B41" s="30" t="s">
        <v>194</v>
      </c>
      <c r="C41" s="28">
        <v>6.642857142857143</v>
      </c>
      <c r="D41" s="29" t="s">
        <v>179</v>
      </c>
    </row>
    <row r="42" ht="14.25" customHeight="1">
      <c r="A42" s="31" t="s">
        <v>188</v>
      </c>
      <c r="B42" s="30" t="s">
        <v>195</v>
      </c>
      <c r="C42" s="28">
        <v>6.785714285714286</v>
      </c>
      <c r="D42" s="29" t="s">
        <v>179</v>
      </c>
    </row>
    <row r="43" ht="14.25" customHeight="1">
      <c r="A43" s="31" t="s">
        <v>188</v>
      </c>
      <c r="B43" s="30" t="s">
        <v>196</v>
      </c>
      <c r="C43" s="28">
        <v>7.107142857142857</v>
      </c>
      <c r="D43" s="29" t="s">
        <v>179</v>
      </c>
    </row>
    <row r="44" ht="14.25" customHeight="1">
      <c r="A44" s="31" t="s">
        <v>188</v>
      </c>
      <c r="B44" s="30" t="s">
        <v>197</v>
      </c>
      <c r="C44" s="28">
        <v>8.464285714285714</v>
      </c>
      <c r="D44" s="29" t="s">
        <v>179</v>
      </c>
    </row>
    <row r="45" ht="14.25" customHeight="1">
      <c r="A45" s="31" t="s">
        <v>188</v>
      </c>
      <c r="B45" s="27" t="s">
        <v>198</v>
      </c>
      <c r="C45" s="28">
        <v>5.51</v>
      </c>
      <c r="D45" s="29" t="s">
        <v>179</v>
      </c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4.25" customHeight="1">
      <c r="A46" s="31" t="s">
        <v>188</v>
      </c>
      <c r="B46" s="27" t="s">
        <v>199</v>
      </c>
      <c r="C46" s="28">
        <v>5.52</v>
      </c>
      <c r="D46" s="29" t="s">
        <v>179</v>
      </c>
    </row>
    <row r="47" ht="14.25" customHeight="1">
      <c r="A47" s="31" t="s">
        <v>188</v>
      </c>
      <c r="B47" s="27" t="s">
        <v>200</v>
      </c>
      <c r="C47" s="28">
        <v>4.53</v>
      </c>
      <c r="D47" s="29" t="s">
        <v>179</v>
      </c>
    </row>
    <row r="48" ht="14.25" customHeight="1">
      <c r="A48" s="31" t="s">
        <v>188</v>
      </c>
      <c r="B48" s="27" t="s">
        <v>201</v>
      </c>
      <c r="C48" s="28">
        <v>4.53</v>
      </c>
      <c r="D48" s="29" t="s">
        <v>179</v>
      </c>
    </row>
    <row r="49" ht="14.25" customHeight="1">
      <c r="A49" s="31" t="s">
        <v>188</v>
      </c>
      <c r="B49" s="27" t="s">
        <v>202</v>
      </c>
      <c r="C49" s="28">
        <v>4.54571428571428</v>
      </c>
      <c r="D49" s="29" t="s">
        <v>179</v>
      </c>
    </row>
    <row r="50" ht="14.25" customHeight="1">
      <c r="A50" s="31" t="s">
        <v>188</v>
      </c>
      <c r="B50" s="27" t="s">
        <v>203</v>
      </c>
      <c r="C50" s="28">
        <v>4.54428571428571</v>
      </c>
      <c r="D50" s="29" t="s">
        <v>179</v>
      </c>
    </row>
    <row r="51" ht="14.25" customHeight="1">
      <c r="A51" s="31" t="s">
        <v>188</v>
      </c>
      <c r="B51" s="27" t="s">
        <v>204</v>
      </c>
      <c r="C51" s="28">
        <v>4.52714285714285</v>
      </c>
      <c r="D51" s="29" t="s">
        <v>179</v>
      </c>
    </row>
    <row r="52" ht="14.25" customHeight="1">
      <c r="A52" s="31" t="s">
        <v>188</v>
      </c>
      <c r="B52" s="27" t="s">
        <v>205</v>
      </c>
      <c r="C52" s="28">
        <v>4.51285714285714</v>
      </c>
      <c r="D52" s="29" t="s">
        <v>179</v>
      </c>
    </row>
    <row r="53" ht="14.25" customHeight="1">
      <c r="A53" s="31" t="s">
        <v>188</v>
      </c>
      <c r="B53" s="27" t="s">
        <v>206</v>
      </c>
      <c r="C53" s="28">
        <v>4.50857142857142</v>
      </c>
      <c r="D53" s="29" t="s">
        <v>179</v>
      </c>
    </row>
    <row r="54" ht="14.25" customHeight="1">
      <c r="A54" s="31" t="s">
        <v>188</v>
      </c>
      <c r="B54" s="27" t="s">
        <v>207</v>
      </c>
      <c r="C54" s="28">
        <v>4.50071428571429</v>
      </c>
      <c r="D54" s="29" t="s">
        <v>179</v>
      </c>
    </row>
    <row r="55" ht="14.25" customHeight="1">
      <c r="A55" s="33" t="s">
        <v>188</v>
      </c>
      <c r="B55" s="23" t="s">
        <v>208</v>
      </c>
      <c r="C55" s="24">
        <v>1.0357142857142858</v>
      </c>
      <c r="D55" s="25" t="s">
        <v>160</v>
      </c>
    </row>
    <row r="56" ht="14.25" customHeight="1">
      <c r="A56" s="33" t="s">
        <v>188</v>
      </c>
      <c r="B56" s="23" t="s">
        <v>209</v>
      </c>
      <c r="C56" s="24">
        <v>1.0357142857142858</v>
      </c>
      <c r="D56" s="25" t="s">
        <v>160</v>
      </c>
    </row>
    <row r="57" ht="14.25" customHeight="1">
      <c r="A57" s="33" t="s">
        <v>188</v>
      </c>
      <c r="B57" s="23" t="s">
        <v>210</v>
      </c>
      <c r="C57" s="24">
        <v>1.1071428571428572</v>
      </c>
      <c r="D57" s="25" t="s">
        <v>160</v>
      </c>
    </row>
    <row r="58" ht="14.25" customHeight="1">
      <c r="A58" s="33" t="s">
        <v>188</v>
      </c>
      <c r="B58" s="23" t="s">
        <v>211</v>
      </c>
      <c r="C58" s="24">
        <v>1.1785714285714286</v>
      </c>
      <c r="D58" s="25" t="s">
        <v>160</v>
      </c>
    </row>
    <row r="59" ht="14.25" customHeight="1">
      <c r="A59" s="33" t="s">
        <v>188</v>
      </c>
      <c r="B59" s="23" t="s">
        <v>212</v>
      </c>
      <c r="C59" s="24">
        <v>1.25</v>
      </c>
      <c r="D59" s="25" t="s">
        <v>160</v>
      </c>
    </row>
    <row r="60" ht="14.25" customHeight="1">
      <c r="A60" s="33" t="s">
        <v>188</v>
      </c>
      <c r="B60" s="23" t="s">
        <v>213</v>
      </c>
      <c r="C60" s="24">
        <v>1.2857142857142858</v>
      </c>
      <c r="D60" s="25" t="s">
        <v>160</v>
      </c>
    </row>
    <row r="61" ht="14.25" customHeight="1">
      <c r="A61" s="33" t="s">
        <v>188</v>
      </c>
      <c r="B61" s="23" t="s">
        <v>214</v>
      </c>
      <c r="C61" s="24">
        <v>1.3928571428571428</v>
      </c>
      <c r="D61" s="25" t="s">
        <v>160</v>
      </c>
    </row>
    <row r="62" ht="14.25" customHeight="1">
      <c r="A62" s="33" t="s">
        <v>188</v>
      </c>
      <c r="B62" s="23" t="s">
        <v>215</v>
      </c>
      <c r="C62" s="24">
        <v>1.4285714285714286</v>
      </c>
      <c r="D62" s="25" t="s">
        <v>160</v>
      </c>
    </row>
    <row r="63" ht="14.25" customHeight="1">
      <c r="A63" s="33" t="s">
        <v>188</v>
      </c>
      <c r="B63" s="23" t="s">
        <v>216</v>
      </c>
      <c r="C63" s="24">
        <v>1.4642857142857142</v>
      </c>
      <c r="D63" s="25" t="s">
        <v>160</v>
      </c>
    </row>
    <row r="64" ht="14.25" customHeight="1">
      <c r="A64" s="33" t="s">
        <v>188</v>
      </c>
      <c r="B64" s="23" t="s">
        <v>217</v>
      </c>
      <c r="C64" s="24">
        <v>1.5</v>
      </c>
      <c r="D64" s="25" t="s">
        <v>160</v>
      </c>
    </row>
    <row r="65" ht="14.25" customHeight="1">
      <c r="A65" s="33" t="s">
        <v>188</v>
      </c>
      <c r="B65" s="23" t="s">
        <v>218</v>
      </c>
      <c r="C65" s="24">
        <v>1.5357142857142858</v>
      </c>
      <c r="D65" s="25" t="s">
        <v>160</v>
      </c>
    </row>
    <row r="66" ht="14.25" customHeight="1">
      <c r="A66" s="33" t="s">
        <v>188</v>
      </c>
      <c r="B66" s="23" t="s">
        <v>219</v>
      </c>
      <c r="C66" s="24">
        <v>1.6071428571428572</v>
      </c>
      <c r="D66" s="25" t="s">
        <v>160</v>
      </c>
    </row>
    <row r="67" ht="14.25" customHeight="1">
      <c r="A67" s="33" t="s">
        <v>188</v>
      </c>
      <c r="B67" s="23" t="s">
        <v>220</v>
      </c>
      <c r="C67" s="24">
        <v>1.6071428571428572</v>
      </c>
      <c r="D67" s="25" t="s">
        <v>160</v>
      </c>
    </row>
    <row r="68" ht="14.25" customHeight="1">
      <c r="A68" s="33" t="s">
        <v>188</v>
      </c>
      <c r="B68" s="23" t="s">
        <v>221</v>
      </c>
      <c r="C68" s="24">
        <v>1.75</v>
      </c>
      <c r="D68" s="25" t="s">
        <v>160</v>
      </c>
    </row>
    <row r="69" ht="14.25" customHeight="1">
      <c r="A69" s="33" t="s">
        <v>188</v>
      </c>
      <c r="B69" s="23" t="s">
        <v>222</v>
      </c>
      <c r="C69" s="24">
        <v>1.7857142857142858</v>
      </c>
      <c r="D69" s="25" t="s">
        <v>160</v>
      </c>
    </row>
    <row r="70" ht="14.25" customHeight="1">
      <c r="A70" s="33" t="s">
        <v>188</v>
      </c>
      <c r="B70" s="23" t="s">
        <v>223</v>
      </c>
      <c r="C70" s="24">
        <v>1.9285714285714286</v>
      </c>
      <c r="D70" s="25" t="s">
        <v>160</v>
      </c>
    </row>
    <row r="71" ht="14.25" customHeight="1">
      <c r="A71" s="33" t="s">
        <v>188</v>
      </c>
      <c r="B71" s="23" t="s">
        <v>224</v>
      </c>
      <c r="C71" s="24">
        <v>1.9285714285714286</v>
      </c>
      <c r="D71" s="25" t="s">
        <v>160</v>
      </c>
    </row>
    <row r="72" ht="14.25" customHeight="1">
      <c r="A72" s="33" t="s">
        <v>188</v>
      </c>
      <c r="B72" s="23" t="s">
        <v>225</v>
      </c>
      <c r="C72" s="24">
        <v>2.0</v>
      </c>
      <c r="D72" s="25" t="s">
        <v>160</v>
      </c>
    </row>
    <row r="73" ht="14.25" customHeight="1">
      <c r="A73" s="33" t="s">
        <v>188</v>
      </c>
      <c r="B73" s="23" t="s">
        <v>226</v>
      </c>
      <c r="C73" s="24">
        <v>2.0</v>
      </c>
      <c r="D73" s="25" t="s">
        <v>160</v>
      </c>
    </row>
    <row r="74" ht="14.25" customHeight="1">
      <c r="A74" s="33" t="s">
        <v>188</v>
      </c>
      <c r="B74" s="23" t="s">
        <v>227</v>
      </c>
      <c r="C74" s="24">
        <v>2.017857142857143</v>
      </c>
      <c r="D74" s="25" t="s">
        <v>160</v>
      </c>
    </row>
    <row r="75" ht="14.25" customHeight="1">
      <c r="A75" s="33" t="s">
        <v>188</v>
      </c>
      <c r="B75" s="23" t="s">
        <v>228</v>
      </c>
      <c r="C75" s="24">
        <v>2.3214285714285716</v>
      </c>
      <c r="D75" s="25" t="s">
        <v>160</v>
      </c>
    </row>
    <row r="76" ht="14.25" customHeight="1">
      <c r="A76" s="33" t="s">
        <v>188</v>
      </c>
      <c r="B76" s="23" t="s">
        <v>229</v>
      </c>
      <c r="C76" s="24">
        <v>2.4285714285714284</v>
      </c>
      <c r="D76" s="25" t="s">
        <v>160</v>
      </c>
    </row>
    <row r="77" ht="14.25" customHeight="1">
      <c r="A77" s="33" t="s">
        <v>188</v>
      </c>
      <c r="B77" s="23" t="s">
        <v>230</v>
      </c>
      <c r="C77" s="24">
        <v>2.75</v>
      </c>
      <c r="D77" s="25" t="s">
        <v>160</v>
      </c>
    </row>
    <row r="78" ht="14.25" customHeight="1">
      <c r="A78" s="33" t="s">
        <v>188</v>
      </c>
      <c r="B78" s="23" t="s">
        <v>231</v>
      </c>
      <c r="C78" s="24">
        <v>2.857142857142857</v>
      </c>
      <c r="D78" s="25" t="s">
        <v>160</v>
      </c>
    </row>
    <row r="79" ht="14.25" customHeight="1">
      <c r="A79" s="33" t="s">
        <v>188</v>
      </c>
      <c r="B79" s="23" t="s">
        <v>232</v>
      </c>
      <c r="C79" s="24">
        <v>3.1607142857142856</v>
      </c>
      <c r="D79" s="25" t="s">
        <v>160</v>
      </c>
    </row>
    <row r="80" ht="14.25" customHeight="1">
      <c r="A80" s="33" t="s">
        <v>188</v>
      </c>
      <c r="B80" s="23" t="s">
        <v>233</v>
      </c>
      <c r="C80" s="24">
        <v>3.2142857142857144</v>
      </c>
      <c r="D80" s="25" t="s">
        <v>160</v>
      </c>
    </row>
    <row r="81" ht="14.25" customHeight="1">
      <c r="A81" s="33" t="s">
        <v>188</v>
      </c>
      <c r="B81" s="23" t="s">
        <v>234</v>
      </c>
      <c r="C81" s="24">
        <v>3.375</v>
      </c>
      <c r="D81" s="25" t="s">
        <v>160</v>
      </c>
    </row>
    <row r="82" ht="14.25" customHeight="1">
      <c r="A82" s="33" t="s">
        <v>188</v>
      </c>
      <c r="B82" s="23" t="s">
        <v>235</v>
      </c>
      <c r="C82" s="24">
        <v>3.4285714285714284</v>
      </c>
      <c r="D82" s="25" t="s">
        <v>160</v>
      </c>
    </row>
    <row r="83" ht="14.25" customHeight="1">
      <c r="A83" s="33" t="s">
        <v>188</v>
      </c>
      <c r="B83" s="23" t="s">
        <v>236</v>
      </c>
      <c r="C83" s="24">
        <v>3.4285714285714284</v>
      </c>
      <c r="D83" s="25" t="s">
        <v>160</v>
      </c>
    </row>
    <row r="84" ht="14.25" customHeight="1">
      <c r="A84" s="33" t="s">
        <v>188</v>
      </c>
      <c r="B84" s="23" t="s">
        <v>237</v>
      </c>
      <c r="C84" s="24">
        <v>3.642857142857143</v>
      </c>
      <c r="D84" s="25" t="s">
        <v>160</v>
      </c>
    </row>
    <row r="85" ht="14.25" customHeight="1">
      <c r="A85" s="33" t="s">
        <v>188</v>
      </c>
      <c r="B85" s="23" t="s">
        <v>238</v>
      </c>
      <c r="C85" s="24">
        <v>3.732142857142857</v>
      </c>
      <c r="D85" s="25" t="s">
        <v>160</v>
      </c>
    </row>
    <row r="86" ht="14.25" customHeight="1">
      <c r="A86" s="34" t="s">
        <v>42</v>
      </c>
      <c r="B86" s="35" t="s">
        <v>239</v>
      </c>
      <c r="C86" s="24">
        <v>0.2857142857142857</v>
      </c>
      <c r="D86" s="25" t="s">
        <v>160</v>
      </c>
    </row>
    <row r="87" ht="14.25" customHeight="1">
      <c r="A87" s="34" t="s">
        <v>42</v>
      </c>
      <c r="B87" s="35" t="s">
        <v>240</v>
      </c>
      <c r="C87" s="24">
        <v>0.35714285714285715</v>
      </c>
      <c r="D87" s="25" t="s">
        <v>160</v>
      </c>
    </row>
    <row r="88" ht="14.25" customHeight="1">
      <c r="A88" s="34" t="s">
        <v>42</v>
      </c>
      <c r="B88" s="35" t="s">
        <v>241</v>
      </c>
      <c r="C88" s="24">
        <v>0.5</v>
      </c>
      <c r="D88" s="25" t="s">
        <v>160</v>
      </c>
    </row>
    <row r="89" ht="14.25" customHeight="1">
      <c r="A89" s="34" t="s">
        <v>42</v>
      </c>
      <c r="B89" s="35" t="s">
        <v>242</v>
      </c>
      <c r="C89" s="24">
        <v>0.7857142857142857</v>
      </c>
      <c r="D89" s="25" t="s">
        <v>160</v>
      </c>
    </row>
    <row r="90" ht="14.25" customHeight="1">
      <c r="A90" s="34" t="s">
        <v>42</v>
      </c>
      <c r="B90" s="35" t="s">
        <v>243</v>
      </c>
      <c r="C90" s="24">
        <v>0.8928571428571429</v>
      </c>
      <c r="D90" s="25" t="s">
        <v>160</v>
      </c>
    </row>
    <row r="91" ht="14.25" customHeight="1">
      <c r="A91" s="34" t="s">
        <v>42</v>
      </c>
      <c r="B91" s="35" t="s">
        <v>244</v>
      </c>
      <c r="C91" s="24">
        <v>0.9642857142857143</v>
      </c>
      <c r="D91" s="25" t="s">
        <v>160</v>
      </c>
    </row>
    <row r="92" ht="14.25" customHeight="1">
      <c r="A92" s="34" t="s">
        <v>42</v>
      </c>
      <c r="B92" s="35" t="s">
        <v>245</v>
      </c>
      <c r="C92" s="24">
        <v>1.1785714285714286</v>
      </c>
      <c r="D92" s="25" t="s">
        <v>160</v>
      </c>
    </row>
    <row r="93" ht="14.25" customHeight="1">
      <c r="A93" s="34" t="s">
        <v>42</v>
      </c>
      <c r="B93" s="35" t="s">
        <v>246</v>
      </c>
      <c r="C93" s="24">
        <v>1.3214285714285714</v>
      </c>
      <c r="D93" s="25" t="s">
        <v>160</v>
      </c>
    </row>
    <row r="94" ht="14.25" customHeight="1">
      <c r="A94" s="34" t="s">
        <v>42</v>
      </c>
      <c r="B94" s="35" t="s">
        <v>247</v>
      </c>
      <c r="C94" s="24">
        <v>1.5</v>
      </c>
      <c r="D94" s="25" t="s">
        <v>160</v>
      </c>
    </row>
    <row r="95" ht="14.25" customHeight="1">
      <c r="A95" s="34" t="s">
        <v>42</v>
      </c>
      <c r="B95" s="35" t="s">
        <v>248</v>
      </c>
      <c r="C95" s="24">
        <v>1.5</v>
      </c>
      <c r="D95" s="25" t="s">
        <v>160</v>
      </c>
    </row>
    <row r="96" ht="14.25" customHeight="1">
      <c r="A96" s="34" t="s">
        <v>42</v>
      </c>
      <c r="B96" s="35" t="s">
        <v>249</v>
      </c>
      <c r="C96" s="24">
        <v>2.4642857142857144</v>
      </c>
      <c r="D96" s="25" t="s">
        <v>160</v>
      </c>
    </row>
    <row r="97" ht="14.25" customHeight="1">
      <c r="A97" s="34" t="s">
        <v>42</v>
      </c>
      <c r="B97" s="35" t="s">
        <v>250</v>
      </c>
      <c r="C97" s="24">
        <v>2.6785714285714284</v>
      </c>
      <c r="D97" s="25" t="s">
        <v>160</v>
      </c>
    </row>
    <row r="98" ht="14.25" customHeight="1">
      <c r="A98" s="34" t="s">
        <v>42</v>
      </c>
      <c r="B98" s="35" t="s">
        <v>251</v>
      </c>
      <c r="C98" s="24">
        <v>2.9107142857142856</v>
      </c>
      <c r="D98" s="25" t="s">
        <v>160</v>
      </c>
    </row>
    <row r="99" ht="14.25" customHeight="1">
      <c r="A99" s="34" t="s">
        <v>42</v>
      </c>
      <c r="B99" s="35" t="s">
        <v>252</v>
      </c>
      <c r="C99" s="24">
        <v>3.4285714285714284</v>
      </c>
      <c r="D99" s="25" t="s">
        <v>160</v>
      </c>
    </row>
    <row r="100" ht="14.25" customHeight="1">
      <c r="A100" s="36" t="s">
        <v>42</v>
      </c>
      <c r="B100" s="37" t="s">
        <v>253</v>
      </c>
      <c r="C100" s="28">
        <v>4.52471428571429</v>
      </c>
      <c r="D100" s="29" t="s">
        <v>179</v>
      </c>
    </row>
    <row r="101" ht="14.25" customHeight="1">
      <c r="A101" s="36" t="s">
        <v>42</v>
      </c>
      <c r="B101" s="37" t="s">
        <v>254</v>
      </c>
      <c r="C101" s="28">
        <v>4.52428571428571</v>
      </c>
      <c r="D101" s="29" t="s">
        <v>179</v>
      </c>
    </row>
    <row r="102" ht="14.25" customHeight="1">
      <c r="A102" s="36" t="s">
        <v>42</v>
      </c>
      <c r="B102" s="37" t="s">
        <v>255</v>
      </c>
      <c r="C102" s="28">
        <v>4.52142857142857</v>
      </c>
      <c r="D102" s="29" t="s">
        <v>179</v>
      </c>
    </row>
    <row r="103" ht="14.25" customHeight="1">
      <c r="A103" s="36" t="s">
        <v>42</v>
      </c>
      <c r="B103" s="37" t="s">
        <v>256</v>
      </c>
      <c r="C103" s="28">
        <v>4.53571428571429</v>
      </c>
      <c r="D103" s="29" t="s">
        <v>179</v>
      </c>
    </row>
    <row r="104" ht="14.25" customHeight="1">
      <c r="A104" s="36" t="s">
        <v>42</v>
      </c>
      <c r="B104" s="37" t="s">
        <v>257</v>
      </c>
      <c r="C104" s="28">
        <v>4.56428571428571</v>
      </c>
      <c r="D104" s="29" t="s">
        <v>179</v>
      </c>
    </row>
    <row r="105" ht="14.25" customHeight="1">
      <c r="A105" s="36" t="s">
        <v>42</v>
      </c>
      <c r="B105" s="38" t="s">
        <v>258</v>
      </c>
      <c r="C105" s="28">
        <v>4.607142857142857</v>
      </c>
      <c r="D105" s="29" t="s">
        <v>179</v>
      </c>
    </row>
    <row r="106" ht="14.25" customHeight="1">
      <c r="A106" s="36" t="s">
        <v>42</v>
      </c>
      <c r="B106" s="38" t="s">
        <v>259</v>
      </c>
      <c r="C106" s="28">
        <v>4.892857142857143</v>
      </c>
      <c r="D106" s="29" t="s">
        <v>179</v>
      </c>
    </row>
    <row r="107" ht="14.25" customHeight="1">
      <c r="A107" s="36" t="s">
        <v>42</v>
      </c>
      <c r="B107" s="38" t="s">
        <v>260</v>
      </c>
      <c r="C107" s="28">
        <v>4.928571428571429</v>
      </c>
      <c r="D107" s="29" t="s">
        <v>179</v>
      </c>
    </row>
    <row r="108" ht="14.25" customHeight="1">
      <c r="A108" s="36" t="s">
        <v>42</v>
      </c>
      <c r="B108" s="38" t="s">
        <v>261</v>
      </c>
      <c r="C108" s="28">
        <v>4.928571428571429</v>
      </c>
      <c r="D108" s="29" t="s">
        <v>179</v>
      </c>
    </row>
    <row r="109" ht="14.25" customHeight="1">
      <c r="A109" s="36" t="s">
        <v>42</v>
      </c>
      <c r="B109" s="38" t="s">
        <v>262</v>
      </c>
      <c r="C109" s="28">
        <v>6.696428571428571</v>
      </c>
      <c r="D109" s="29" t="s">
        <v>179</v>
      </c>
    </row>
    <row r="110" ht="14.25" customHeight="1">
      <c r="A110" s="36" t="s">
        <v>42</v>
      </c>
      <c r="B110" s="38" t="s">
        <v>263</v>
      </c>
      <c r="C110" s="28">
        <v>6.75</v>
      </c>
      <c r="D110" s="29" t="s">
        <v>179</v>
      </c>
    </row>
    <row r="111" ht="14.25" customHeight="1">
      <c r="A111" s="34" t="s">
        <v>66</v>
      </c>
      <c r="B111" s="23" t="s">
        <v>264</v>
      </c>
      <c r="C111" s="24">
        <v>2.0357142857142856</v>
      </c>
      <c r="D111" s="25" t="s">
        <v>160</v>
      </c>
    </row>
    <row r="112" ht="14.25" customHeight="1">
      <c r="A112" s="34" t="s">
        <v>66</v>
      </c>
      <c r="B112" s="23" t="s">
        <v>265</v>
      </c>
      <c r="C112" s="24">
        <v>2.4642857142857144</v>
      </c>
      <c r="D112" s="25" t="s">
        <v>160</v>
      </c>
    </row>
    <row r="113" ht="14.25" customHeight="1">
      <c r="A113" s="34" t="s">
        <v>66</v>
      </c>
      <c r="B113" s="23" t="s">
        <v>266</v>
      </c>
      <c r="C113" s="24">
        <v>3.0</v>
      </c>
      <c r="D113" s="25" t="s">
        <v>160</v>
      </c>
    </row>
    <row r="114" ht="14.25" customHeight="1">
      <c r="A114" s="34" t="s">
        <v>66</v>
      </c>
      <c r="B114" s="23" t="s">
        <v>267</v>
      </c>
      <c r="C114" s="24">
        <v>3.0357142857142856</v>
      </c>
      <c r="D114" s="25" t="s">
        <v>160</v>
      </c>
    </row>
    <row r="115" ht="14.25" customHeight="1">
      <c r="A115" s="34" t="s">
        <v>66</v>
      </c>
      <c r="B115" s="23" t="s">
        <v>268</v>
      </c>
      <c r="C115" s="24">
        <v>3.142857142857143</v>
      </c>
      <c r="D115" s="25" t="s">
        <v>160</v>
      </c>
    </row>
    <row r="116" ht="14.25" customHeight="1">
      <c r="A116" s="34" t="s">
        <v>66</v>
      </c>
      <c r="B116" s="23" t="s">
        <v>269</v>
      </c>
      <c r="C116" s="24">
        <v>3.857142857142857</v>
      </c>
      <c r="D116" s="25" t="s">
        <v>160</v>
      </c>
    </row>
    <row r="117" ht="14.25" customHeight="1">
      <c r="A117" s="34" t="s">
        <v>66</v>
      </c>
      <c r="B117" s="23" t="s">
        <v>270</v>
      </c>
      <c r="C117" s="24">
        <v>4.43428571428571</v>
      </c>
      <c r="D117" s="25" t="s">
        <v>160</v>
      </c>
    </row>
    <row r="118" ht="14.25" customHeight="1">
      <c r="A118" s="34" t="s">
        <v>66</v>
      </c>
      <c r="B118" s="23" t="s">
        <v>271</v>
      </c>
      <c r="C118" s="24">
        <v>4.2</v>
      </c>
      <c r="D118" s="25" t="s">
        <v>160</v>
      </c>
    </row>
    <row r="119" ht="15.75" customHeight="1">
      <c r="A119" s="36" t="s">
        <v>66</v>
      </c>
      <c r="B119" s="30" t="s">
        <v>272</v>
      </c>
      <c r="C119" s="28">
        <v>4.821428571428571</v>
      </c>
      <c r="D119" s="29" t="s">
        <v>179</v>
      </c>
    </row>
    <row r="120" ht="15.75" customHeight="1">
      <c r="A120" s="36" t="s">
        <v>66</v>
      </c>
      <c r="B120" s="30" t="s">
        <v>273</v>
      </c>
      <c r="C120" s="28">
        <v>4.857142857142857</v>
      </c>
      <c r="D120" s="29" t="s">
        <v>179</v>
      </c>
    </row>
    <row r="121" ht="15.75" customHeight="1">
      <c r="A121" s="36" t="s">
        <v>66</v>
      </c>
      <c r="B121" s="30" t="s">
        <v>274</v>
      </c>
      <c r="C121" s="28">
        <v>5.089285714285714</v>
      </c>
      <c r="D121" s="29" t="s">
        <v>179</v>
      </c>
    </row>
    <row r="122" ht="15.75" customHeight="1">
      <c r="A122" s="36" t="s">
        <v>66</v>
      </c>
      <c r="B122" s="30" t="s">
        <v>275</v>
      </c>
      <c r="C122" s="28">
        <v>5.607142857142857</v>
      </c>
      <c r="D122" s="29" t="s">
        <v>179</v>
      </c>
    </row>
    <row r="123" ht="15.75" customHeight="1">
      <c r="A123" s="36" t="s">
        <v>66</v>
      </c>
      <c r="B123" s="30" t="s">
        <v>276</v>
      </c>
      <c r="C123" s="28">
        <v>6.178571428571429</v>
      </c>
      <c r="D123" s="29" t="s">
        <v>179</v>
      </c>
    </row>
    <row r="124" ht="15.75" customHeight="1">
      <c r="A124" s="36" t="s">
        <v>66</v>
      </c>
      <c r="B124" s="30" t="s">
        <v>277</v>
      </c>
      <c r="C124" s="28">
        <v>6.214285714285714</v>
      </c>
      <c r="D124" s="29" t="s">
        <v>179</v>
      </c>
    </row>
    <row r="125" ht="15.75" customHeight="1">
      <c r="A125" s="36" t="s">
        <v>66</v>
      </c>
      <c r="B125" s="30" t="s">
        <v>278</v>
      </c>
      <c r="C125" s="28">
        <v>6.357142857142857</v>
      </c>
      <c r="D125" s="29" t="s">
        <v>179</v>
      </c>
    </row>
    <row r="126" ht="15.75" customHeight="1">
      <c r="A126" s="36" t="s">
        <v>66</v>
      </c>
      <c r="B126" s="30" t="s">
        <v>279</v>
      </c>
      <c r="C126" s="28">
        <v>6.375</v>
      </c>
      <c r="D126" s="29" t="s">
        <v>179</v>
      </c>
    </row>
    <row r="127" ht="15.75" customHeight="1">
      <c r="A127" s="36" t="s">
        <v>66</v>
      </c>
      <c r="B127" s="30" t="s">
        <v>280</v>
      </c>
      <c r="C127" s="28">
        <v>6.428571428571429</v>
      </c>
      <c r="D127" s="29" t="s">
        <v>179</v>
      </c>
    </row>
    <row r="128" ht="15.75" customHeight="1">
      <c r="A128" s="36" t="s">
        <v>66</v>
      </c>
      <c r="B128" s="30" t="s">
        <v>281</v>
      </c>
      <c r="C128" s="28">
        <v>7.107142857142857</v>
      </c>
      <c r="D128" s="29" t="s">
        <v>179</v>
      </c>
    </row>
    <row r="129" ht="15.75" customHeight="1">
      <c r="A129" s="39" t="s">
        <v>282</v>
      </c>
      <c r="B129" s="40" t="s">
        <v>283</v>
      </c>
      <c r="C129" s="41">
        <v>0.0</v>
      </c>
      <c r="D129" s="42" t="s">
        <v>160</v>
      </c>
    </row>
    <row r="130" ht="15.75" customHeight="1">
      <c r="A130" s="34" t="s">
        <v>282</v>
      </c>
      <c r="B130" s="23" t="s">
        <v>284</v>
      </c>
      <c r="C130" s="24">
        <v>1.0892857142857142</v>
      </c>
      <c r="D130" s="25" t="s">
        <v>160</v>
      </c>
    </row>
    <row r="131" ht="15.75" customHeight="1">
      <c r="A131" s="34" t="s">
        <v>282</v>
      </c>
      <c r="B131" s="23" t="s">
        <v>285</v>
      </c>
      <c r="C131" s="24">
        <v>1.2142857142857142</v>
      </c>
      <c r="D131" s="25" t="s">
        <v>160</v>
      </c>
    </row>
    <row r="132" ht="15.75" customHeight="1">
      <c r="A132" s="34" t="s">
        <v>282</v>
      </c>
      <c r="B132" s="23" t="s">
        <v>286</v>
      </c>
      <c r="C132" s="24">
        <v>1.3928571428571428</v>
      </c>
      <c r="D132" s="25" t="s">
        <v>160</v>
      </c>
    </row>
    <row r="133" ht="15.75" customHeight="1">
      <c r="A133" s="34" t="s">
        <v>282</v>
      </c>
      <c r="B133" s="23" t="s">
        <v>287</v>
      </c>
      <c r="C133" s="24">
        <v>1.4285714285714286</v>
      </c>
      <c r="D133" s="25" t="s">
        <v>160</v>
      </c>
    </row>
    <row r="134" ht="15.75" customHeight="1">
      <c r="A134" s="34" t="s">
        <v>282</v>
      </c>
      <c r="B134" s="23" t="s">
        <v>288</v>
      </c>
      <c r="C134" s="24">
        <v>1.4285714285714286</v>
      </c>
      <c r="D134" s="25" t="s">
        <v>160</v>
      </c>
    </row>
    <row r="135" ht="15.75" customHeight="1">
      <c r="A135" s="34" t="s">
        <v>282</v>
      </c>
      <c r="B135" s="23" t="s">
        <v>289</v>
      </c>
      <c r="C135" s="24">
        <v>1.4285714285714286</v>
      </c>
      <c r="D135" s="25" t="s">
        <v>160</v>
      </c>
    </row>
    <row r="136" ht="15.75" customHeight="1">
      <c r="A136" s="34" t="s">
        <v>282</v>
      </c>
      <c r="B136" s="23" t="s">
        <v>290</v>
      </c>
      <c r="C136" s="24">
        <v>1.4642857142857142</v>
      </c>
      <c r="D136" s="25" t="s">
        <v>160</v>
      </c>
    </row>
    <row r="137" ht="15.75" customHeight="1">
      <c r="A137" s="34" t="s">
        <v>282</v>
      </c>
      <c r="B137" s="23" t="s">
        <v>291</v>
      </c>
      <c r="C137" s="24">
        <v>1.5714285714285714</v>
      </c>
      <c r="D137" s="25" t="s">
        <v>160</v>
      </c>
    </row>
    <row r="138" ht="15.75" customHeight="1">
      <c r="A138" s="34" t="s">
        <v>282</v>
      </c>
      <c r="B138" s="23" t="s">
        <v>292</v>
      </c>
      <c r="C138" s="24">
        <v>1.6071428571428572</v>
      </c>
      <c r="D138" s="25" t="s">
        <v>160</v>
      </c>
    </row>
    <row r="139" ht="15.75" customHeight="1">
      <c r="A139" s="34" t="s">
        <v>282</v>
      </c>
      <c r="B139" s="23" t="s">
        <v>293</v>
      </c>
      <c r="C139" s="24">
        <v>1.6785714285714286</v>
      </c>
      <c r="D139" s="25" t="s">
        <v>160</v>
      </c>
    </row>
    <row r="140" ht="15.75" customHeight="1">
      <c r="A140" s="34" t="s">
        <v>282</v>
      </c>
      <c r="B140" s="23" t="s">
        <v>294</v>
      </c>
      <c r="C140" s="24">
        <v>1.7857142857142858</v>
      </c>
      <c r="D140" s="25" t="s">
        <v>160</v>
      </c>
    </row>
    <row r="141" ht="15.75" customHeight="1">
      <c r="A141" s="34" t="s">
        <v>282</v>
      </c>
      <c r="B141" s="23" t="s">
        <v>295</v>
      </c>
      <c r="C141" s="24">
        <v>1.8571428571428572</v>
      </c>
      <c r="D141" s="25" t="s">
        <v>160</v>
      </c>
    </row>
    <row r="142" ht="15.75" customHeight="1">
      <c r="A142" s="34" t="s">
        <v>282</v>
      </c>
      <c r="B142" s="23" t="s">
        <v>296</v>
      </c>
      <c r="C142" s="24">
        <v>2.517857142857143</v>
      </c>
      <c r="D142" s="25" t="s">
        <v>160</v>
      </c>
    </row>
    <row r="143" ht="15.75" customHeight="1">
      <c r="A143" s="34" t="s">
        <v>282</v>
      </c>
      <c r="B143" s="23" t="s">
        <v>297</v>
      </c>
      <c r="C143" s="24">
        <v>2.9285714285714284</v>
      </c>
      <c r="D143" s="25" t="s">
        <v>160</v>
      </c>
    </row>
    <row r="144" ht="15.75" customHeight="1">
      <c r="A144" s="36" t="s">
        <v>282</v>
      </c>
      <c r="B144" s="27" t="s">
        <v>298</v>
      </c>
      <c r="C144" s="28">
        <v>4.57142857142857</v>
      </c>
      <c r="D144" s="29" t="s">
        <v>179</v>
      </c>
    </row>
    <row r="145" ht="15.75" customHeight="1">
      <c r="A145" s="36" t="s">
        <v>282</v>
      </c>
      <c r="B145" s="27" t="s">
        <v>299</v>
      </c>
      <c r="C145" s="28">
        <v>4.57142857142857</v>
      </c>
      <c r="D145" s="29" t="s">
        <v>179</v>
      </c>
    </row>
    <row r="146" ht="15.75" customHeight="1">
      <c r="A146" s="36" t="s">
        <v>282</v>
      </c>
      <c r="B146" s="27" t="s">
        <v>300</v>
      </c>
      <c r="C146" s="28">
        <v>4.51571428571429</v>
      </c>
      <c r="D146" s="29" t="s">
        <v>179</v>
      </c>
    </row>
    <row r="147" ht="15.75" customHeight="1">
      <c r="A147" s="36" t="s">
        <v>282</v>
      </c>
      <c r="B147" s="27" t="s">
        <v>301</v>
      </c>
      <c r="C147" s="28">
        <v>4.53142857142857</v>
      </c>
      <c r="D147" s="29" t="s">
        <v>179</v>
      </c>
    </row>
    <row r="148" ht="15.75" customHeight="1">
      <c r="A148" s="39" t="s">
        <v>92</v>
      </c>
      <c r="B148" s="40" t="s">
        <v>302</v>
      </c>
      <c r="C148" s="41">
        <v>0.0</v>
      </c>
      <c r="D148" s="42" t="s">
        <v>303</v>
      </c>
    </row>
    <row r="149" ht="15.75" customHeight="1">
      <c r="A149" s="39" t="s">
        <v>92</v>
      </c>
      <c r="B149" s="40" t="s">
        <v>304</v>
      </c>
      <c r="C149" s="41">
        <v>0.0</v>
      </c>
      <c r="D149" s="42" t="s">
        <v>303</v>
      </c>
    </row>
    <row r="150" ht="15.75" customHeight="1">
      <c r="A150" s="34" t="s">
        <v>92</v>
      </c>
      <c r="B150" s="23" t="s">
        <v>305</v>
      </c>
      <c r="C150" s="24">
        <v>0.6071428571428571</v>
      </c>
      <c r="D150" s="25" t="s">
        <v>160</v>
      </c>
    </row>
    <row r="151" ht="15.75" customHeight="1">
      <c r="A151" s="34" t="s">
        <v>92</v>
      </c>
      <c r="B151" s="23" t="s">
        <v>306</v>
      </c>
      <c r="C151" s="24">
        <v>0.8571428571428571</v>
      </c>
      <c r="D151" s="25" t="s">
        <v>160</v>
      </c>
    </row>
    <row r="152" ht="15.75" customHeight="1">
      <c r="A152" s="34" t="s">
        <v>92</v>
      </c>
      <c r="B152" s="23" t="s">
        <v>307</v>
      </c>
      <c r="C152" s="24">
        <v>0.8571428571428571</v>
      </c>
      <c r="D152" s="25" t="s">
        <v>160</v>
      </c>
    </row>
    <row r="153" ht="15.75" customHeight="1">
      <c r="A153" s="34" t="s">
        <v>92</v>
      </c>
      <c r="B153" s="23" t="s">
        <v>308</v>
      </c>
      <c r="C153" s="24">
        <v>0.8928571428571429</v>
      </c>
      <c r="D153" s="25" t="s">
        <v>160</v>
      </c>
    </row>
    <row r="154" ht="15.75" customHeight="1">
      <c r="A154" s="34" t="s">
        <v>92</v>
      </c>
      <c r="B154" s="23" t="s">
        <v>309</v>
      </c>
      <c r="C154" s="24">
        <v>0.9285714285714286</v>
      </c>
      <c r="D154" s="25" t="s">
        <v>160</v>
      </c>
    </row>
    <row r="155" ht="15.75" customHeight="1">
      <c r="A155" s="34" t="s">
        <v>92</v>
      </c>
      <c r="B155" s="23" t="s">
        <v>310</v>
      </c>
      <c r="C155" s="24">
        <v>0.9285714285714286</v>
      </c>
      <c r="D155" s="25" t="s">
        <v>160</v>
      </c>
    </row>
    <row r="156" ht="15.75" customHeight="1">
      <c r="A156" s="34" t="s">
        <v>92</v>
      </c>
      <c r="B156" s="23" t="s">
        <v>311</v>
      </c>
      <c r="C156" s="24">
        <v>1.0357142857142858</v>
      </c>
      <c r="D156" s="25" t="s">
        <v>160</v>
      </c>
    </row>
    <row r="157" ht="15.75" customHeight="1">
      <c r="A157" s="34" t="s">
        <v>92</v>
      </c>
      <c r="B157" s="23" t="s">
        <v>312</v>
      </c>
      <c r="C157" s="24">
        <v>1.25</v>
      </c>
      <c r="D157" s="25" t="s">
        <v>160</v>
      </c>
    </row>
    <row r="158" ht="15.75" customHeight="1">
      <c r="A158" s="34" t="s">
        <v>92</v>
      </c>
      <c r="B158" s="23" t="s">
        <v>313</v>
      </c>
      <c r="C158" s="24">
        <v>1.2857142857142858</v>
      </c>
      <c r="D158" s="25" t="s">
        <v>303</v>
      </c>
    </row>
    <row r="159" ht="15.75" customHeight="1">
      <c r="A159" s="34" t="s">
        <v>92</v>
      </c>
      <c r="B159" s="23" t="s">
        <v>314</v>
      </c>
      <c r="C159" s="24">
        <v>1.6428571428571428</v>
      </c>
      <c r="D159" s="25" t="s">
        <v>160</v>
      </c>
    </row>
    <row r="160" ht="15.75" customHeight="1">
      <c r="A160" s="34" t="s">
        <v>92</v>
      </c>
      <c r="B160" s="23" t="s">
        <v>175</v>
      </c>
      <c r="C160" s="24">
        <v>1.6428571428571428</v>
      </c>
      <c r="D160" s="25" t="s">
        <v>160</v>
      </c>
    </row>
    <row r="161" ht="15.75" customHeight="1">
      <c r="A161" s="34" t="s">
        <v>92</v>
      </c>
      <c r="B161" s="23" t="s">
        <v>315</v>
      </c>
      <c r="C161" s="24">
        <v>1.8214285714285714</v>
      </c>
      <c r="D161" s="25" t="s">
        <v>303</v>
      </c>
    </row>
    <row r="162" ht="15.75" customHeight="1">
      <c r="A162" s="34" t="s">
        <v>92</v>
      </c>
      <c r="B162" s="23" t="s">
        <v>316</v>
      </c>
      <c r="C162" s="24">
        <v>2.642857142857143</v>
      </c>
      <c r="D162" s="25" t="s">
        <v>160</v>
      </c>
    </row>
    <row r="163" ht="15.75" customHeight="1">
      <c r="A163" s="34" t="s">
        <v>92</v>
      </c>
      <c r="B163" s="23" t="s">
        <v>317</v>
      </c>
      <c r="C163" s="24">
        <v>2.6785714285714284</v>
      </c>
      <c r="D163" s="25" t="s">
        <v>303</v>
      </c>
    </row>
    <row r="164" ht="15.75" customHeight="1">
      <c r="A164" s="34" t="s">
        <v>92</v>
      </c>
      <c r="B164" s="23" t="s">
        <v>318</v>
      </c>
      <c r="C164" s="24">
        <v>2.6785714285714284</v>
      </c>
      <c r="D164" s="25" t="s">
        <v>160</v>
      </c>
    </row>
    <row r="165" ht="14.25" customHeight="1">
      <c r="A165" s="34" t="s">
        <v>92</v>
      </c>
      <c r="B165" s="23" t="s">
        <v>319</v>
      </c>
      <c r="C165" s="24">
        <v>2.7142857142857144</v>
      </c>
      <c r="D165" s="25" t="s">
        <v>160</v>
      </c>
    </row>
    <row r="166" ht="14.25" customHeight="1">
      <c r="A166" s="34" t="s">
        <v>92</v>
      </c>
      <c r="B166" s="23" t="s">
        <v>320</v>
      </c>
      <c r="C166" s="24">
        <v>2.7142857142857144</v>
      </c>
      <c r="D166" s="25" t="s">
        <v>160</v>
      </c>
    </row>
    <row r="167" ht="14.25" customHeight="1">
      <c r="A167" s="34" t="s">
        <v>92</v>
      </c>
      <c r="B167" s="23" t="s">
        <v>321</v>
      </c>
      <c r="C167" s="24">
        <v>3.357142857142857</v>
      </c>
      <c r="D167" s="25" t="s">
        <v>160</v>
      </c>
    </row>
    <row r="168" ht="14.25" customHeight="1">
      <c r="A168" s="34" t="s">
        <v>92</v>
      </c>
      <c r="B168" s="23" t="s">
        <v>322</v>
      </c>
      <c r="C168" s="24">
        <v>3.357142857142857</v>
      </c>
      <c r="D168" s="25" t="s">
        <v>160</v>
      </c>
    </row>
    <row r="169" ht="14.25" customHeight="1">
      <c r="A169" s="36" t="s">
        <v>92</v>
      </c>
      <c r="B169" s="27" t="s">
        <v>323</v>
      </c>
      <c r="C169" s="28">
        <v>4.52428571428571</v>
      </c>
      <c r="D169" s="29" t="s">
        <v>179</v>
      </c>
    </row>
    <row r="170" ht="14.25" customHeight="1">
      <c r="A170" s="36" t="s">
        <v>92</v>
      </c>
      <c r="B170" s="27" t="s">
        <v>324</v>
      </c>
      <c r="C170" s="28">
        <v>4.53142857142857</v>
      </c>
      <c r="D170" s="29" t="s">
        <v>179</v>
      </c>
    </row>
    <row r="171" ht="14.25" customHeight="1">
      <c r="A171" s="36" t="s">
        <v>92</v>
      </c>
      <c r="B171" s="27" t="s">
        <v>325</v>
      </c>
      <c r="C171" s="28">
        <v>4.52571428571429</v>
      </c>
      <c r="D171" s="29" t="s">
        <v>179</v>
      </c>
    </row>
    <row r="172" ht="14.25" customHeight="1">
      <c r="A172" s="36" t="s">
        <v>92</v>
      </c>
      <c r="B172" s="27" t="s">
        <v>326</v>
      </c>
      <c r="C172" s="28">
        <v>4.55</v>
      </c>
      <c r="D172" s="29" t="s">
        <v>179</v>
      </c>
    </row>
    <row r="173" ht="14.25" customHeight="1">
      <c r="A173" s="36" t="s">
        <v>92</v>
      </c>
      <c r="B173" s="27" t="s">
        <v>327</v>
      </c>
      <c r="C173" s="28">
        <v>4.80571428571429</v>
      </c>
      <c r="D173" s="29" t="s">
        <v>179</v>
      </c>
    </row>
    <row r="174" ht="14.25" customHeight="1">
      <c r="A174" s="36" t="s">
        <v>92</v>
      </c>
      <c r="B174" s="27" t="s">
        <v>328</v>
      </c>
      <c r="C174" s="28">
        <v>4.81571428571429</v>
      </c>
      <c r="D174" s="29" t="s">
        <v>179</v>
      </c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4.25" customHeight="1">
      <c r="A175" s="36" t="s">
        <v>92</v>
      </c>
      <c r="B175" s="27" t="s">
        <v>329</v>
      </c>
      <c r="C175" s="28">
        <v>4.82857142857143</v>
      </c>
      <c r="D175" s="29" t="s">
        <v>179</v>
      </c>
    </row>
    <row r="176" ht="14.25" customHeight="1">
      <c r="A176" s="36" t="s">
        <v>92</v>
      </c>
      <c r="B176" s="30" t="s">
        <v>330</v>
      </c>
      <c r="C176" s="28">
        <v>4.892857142857143</v>
      </c>
      <c r="D176" s="29" t="s">
        <v>179</v>
      </c>
    </row>
    <row r="177" ht="14.25" customHeight="1">
      <c r="A177" s="36" t="s">
        <v>92</v>
      </c>
      <c r="B177" s="30" t="s">
        <v>331</v>
      </c>
      <c r="C177" s="28">
        <v>4.982142857142857</v>
      </c>
      <c r="D177" s="29" t="s">
        <v>179</v>
      </c>
    </row>
    <row r="178" ht="14.25" customHeight="1">
      <c r="A178" s="36" t="s">
        <v>92</v>
      </c>
      <c r="B178" s="30" t="s">
        <v>332</v>
      </c>
      <c r="C178" s="28">
        <v>5.142857142857143</v>
      </c>
      <c r="D178" s="29" t="s">
        <v>179</v>
      </c>
    </row>
    <row r="179" ht="14.25" customHeight="1">
      <c r="A179" s="36" t="s">
        <v>92</v>
      </c>
      <c r="B179" s="30" t="s">
        <v>333</v>
      </c>
      <c r="C179" s="28">
        <v>5.464285714285714</v>
      </c>
      <c r="D179" s="29" t="s">
        <v>179</v>
      </c>
    </row>
    <row r="180" ht="14.25" customHeight="1">
      <c r="A180" s="36" t="s">
        <v>334</v>
      </c>
      <c r="B180" s="30" t="s">
        <v>335</v>
      </c>
      <c r="C180" s="28">
        <v>5.178571428571429</v>
      </c>
      <c r="D180" s="29" t="s">
        <v>179</v>
      </c>
    </row>
    <row r="181" ht="14.25" customHeight="1">
      <c r="A181" s="36" t="s">
        <v>334</v>
      </c>
      <c r="B181" s="30" t="s">
        <v>336</v>
      </c>
      <c r="C181" s="28">
        <v>5.214285714285714</v>
      </c>
      <c r="D181" s="29" t="s">
        <v>179</v>
      </c>
    </row>
    <row r="182" ht="14.25" customHeight="1">
      <c r="A182" s="36" t="s">
        <v>334</v>
      </c>
      <c r="B182" s="30" t="s">
        <v>337</v>
      </c>
      <c r="C182" s="28">
        <v>5.696428571428571</v>
      </c>
      <c r="D182" s="29" t="s">
        <v>179</v>
      </c>
    </row>
    <row r="183" ht="14.25" customHeight="1">
      <c r="A183" s="34" t="s">
        <v>334</v>
      </c>
      <c r="B183" s="23" t="s">
        <v>338</v>
      </c>
      <c r="C183" s="24">
        <v>0.07142857142857142</v>
      </c>
      <c r="D183" s="25" t="s">
        <v>160</v>
      </c>
    </row>
    <row r="184" ht="14.25" customHeight="1">
      <c r="A184" s="34" t="s">
        <v>334</v>
      </c>
      <c r="B184" s="23" t="s">
        <v>339</v>
      </c>
      <c r="C184" s="24">
        <v>0.17857142857142858</v>
      </c>
      <c r="D184" s="25" t="s">
        <v>303</v>
      </c>
    </row>
    <row r="185" ht="14.25" customHeight="1">
      <c r="A185" s="34" t="s">
        <v>334</v>
      </c>
      <c r="B185" s="23" t="s">
        <v>340</v>
      </c>
      <c r="C185" s="24">
        <v>0.9285714285714286</v>
      </c>
      <c r="D185" s="25" t="s">
        <v>160</v>
      </c>
    </row>
    <row r="186" ht="14.25" customHeight="1">
      <c r="A186" s="34" t="s">
        <v>334</v>
      </c>
      <c r="B186" s="23" t="s">
        <v>341</v>
      </c>
      <c r="C186" s="24">
        <v>1.0</v>
      </c>
      <c r="D186" s="25" t="s">
        <v>160</v>
      </c>
    </row>
    <row r="187" ht="14.25" customHeight="1">
      <c r="A187" s="34" t="s">
        <v>334</v>
      </c>
      <c r="B187" s="23" t="s">
        <v>342</v>
      </c>
      <c r="C187" s="24">
        <v>1.0714285714285714</v>
      </c>
      <c r="D187" s="25" t="s">
        <v>160</v>
      </c>
    </row>
    <row r="188" ht="14.25" customHeight="1">
      <c r="A188" s="34" t="s">
        <v>334</v>
      </c>
      <c r="B188" s="23" t="s">
        <v>343</v>
      </c>
      <c r="C188" s="24">
        <v>2.0714285714285716</v>
      </c>
      <c r="D188" s="25" t="s">
        <v>303</v>
      </c>
    </row>
    <row r="189" ht="14.25" customHeight="1">
      <c r="A189" s="34" t="s">
        <v>334</v>
      </c>
      <c r="B189" s="23" t="s">
        <v>344</v>
      </c>
      <c r="C189" s="24">
        <v>2.0714285714285716</v>
      </c>
      <c r="D189" s="25" t="s">
        <v>160</v>
      </c>
    </row>
    <row r="190" ht="14.25" customHeight="1">
      <c r="A190" s="34" t="s">
        <v>334</v>
      </c>
      <c r="B190" s="23" t="s">
        <v>345</v>
      </c>
      <c r="C190" s="24">
        <v>2.142857142857143</v>
      </c>
      <c r="D190" s="25" t="s">
        <v>160</v>
      </c>
    </row>
    <row r="191" ht="14.25" customHeight="1">
      <c r="A191" s="34" t="s">
        <v>334</v>
      </c>
      <c r="B191" s="23" t="s">
        <v>346</v>
      </c>
      <c r="C191" s="24">
        <v>2.2857142857142856</v>
      </c>
      <c r="D191" s="25" t="s">
        <v>160</v>
      </c>
    </row>
    <row r="192" ht="14.25" customHeight="1">
      <c r="A192" s="34" t="s">
        <v>334</v>
      </c>
      <c r="B192" s="23" t="s">
        <v>347</v>
      </c>
      <c r="C192" s="24">
        <v>2.4642857142857144</v>
      </c>
      <c r="D192" s="25" t="s">
        <v>160</v>
      </c>
    </row>
    <row r="193" ht="14.25" customHeight="1">
      <c r="A193" s="34" t="s">
        <v>334</v>
      </c>
      <c r="B193" s="23" t="s">
        <v>27</v>
      </c>
      <c r="C193" s="24">
        <v>2.5714285714285716</v>
      </c>
      <c r="D193" s="25" t="s">
        <v>160</v>
      </c>
    </row>
    <row r="194" ht="14.25" customHeight="1">
      <c r="A194" s="34" t="s">
        <v>334</v>
      </c>
      <c r="B194" s="23" t="s">
        <v>348</v>
      </c>
      <c r="C194" s="24">
        <v>2.7857142857142856</v>
      </c>
      <c r="D194" s="25" t="s">
        <v>303</v>
      </c>
    </row>
    <row r="195" ht="14.25" customHeight="1">
      <c r="A195" s="36" t="s">
        <v>334</v>
      </c>
      <c r="B195" s="27" t="s">
        <v>349</v>
      </c>
      <c r="C195" s="28">
        <v>4.53714285714286</v>
      </c>
      <c r="D195" s="29" t="s">
        <v>179</v>
      </c>
    </row>
    <row r="196" ht="14.25" customHeight="1">
      <c r="A196" s="36" t="s">
        <v>334</v>
      </c>
      <c r="B196" s="27" t="s">
        <v>350</v>
      </c>
      <c r="C196" s="28">
        <v>4.55571428571429</v>
      </c>
      <c r="D196" s="29" t="s">
        <v>179</v>
      </c>
    </row>
    <row r="197" ht="14.25" customHeight="1">
      <c r="A197" s="36" t="s">
        <v>334</v>
      </c>
      <c r="B197" s="27" t="s">
        <v>351</v>
      </c>
      <c r="C197" s="28">
        <v>4.5571428571429</v>
      </c>
      <c r="D197" s="29" t="s">
        <v>179</v>
      </c>
    </row>
    <row r="198" ht="14.25" customHeight="1">
      <c r="A198" s="36" t="s">
        <v>334</v>
      </c>
      <c r="B198" s="30" t="s">
        <v>352</v>
      </c>
      <c r="C198" s="28">
        <v>4.60285714285714</v>
      </c>
      <c r="D198" s="29" t="s">
        <v>179</v>
      </c>
    </row>
    <row r="199" ht="14.25" customHeight="1">
      <c r="A199" s="36" t="s">
        <v>334</v>
      </c>
      <c r="B199" s="30" t="s">
        <v>353</v>
      </c>
      <c r="C199" s="28">
        <v>4.62571428571429</v>
      </c>
      <c r="D199" s="29" t="s">
        <v>179</v>
      </c>
    </row>
    <row r="200" ht="14.25" customHeight="1">
      <c r="A200" s="36" t="s">
        <v>334</v>
      </c>
      <c r="B200" s="30" t="s">
        <v>354</v>
      </c>
      <c r="C200" s="28">
        <v>4.82857142857143</v>
      </c>
      <c r="D200" s="29" t="s">
        <v>179</v>
      </c>
    </row>
    <row r="201" ht="14.25" customHeight="1">
      <c r="A201" s="34" t="s">
        <v>355</v>
      </c>
      <c r="B201" s="23" t="s">
        <v>356</v>
      </c>
      <c r="C201" s="24">
        <v>2.0</v>
      </c>
      <c r="D201" s="25" t="s">
        <v>160</v>
      </c>
    </row>
    <row r="202" ht="14.25" customHeight="1">
      <c r="A202" s="34" t="s">
        <v>355</v>
      </c>
      <c r="B202" s="23" t="s">
        <v>357</v>
      </c>
      <c r="C202" s="24">
        <v>2.4642857142857144</v>
      </c>
      <c r="D202" s="25" t="s">
        <v>160</v>
      </c>
    </row>
    <row r="203" ht="14.25" customHeight="1">
      <c r="A203" s="34" t="s">
        <v>355</v>
      </c>
      <c r="B203" s="23" t="s">
        <v>358</v>
      </c>
      <c r="C203" s="24">
        <v>2.892857142857143</v>
      </c>
      <c r="D203" s="25" t="s">
        <v>160</v>
      </c>
    </row>
    <row r="204" ht="14.25" customHeight="1">
      <c r="A204" s="34" t="s">
        <v>355</v>
      </c>
      <c r="B204" s="23" t="s">
        <v>359</v>
      </c>
      <c r="C204" s="24">
        <v>3.0714285714285716</v>
      </c>
      <c r="D204" s="25" t="s">
        <v>160</v>
      </c>
    </row>
    <row r="205" ht="14.25" customHeight="1">
      <c r="A205" s="34" t="s">
        <v>355</v>
      </c>
      <c r="B205" s="23" t="s">
        <v>360</v>
      </c>
      <c r="C205" s="24">
        <v>3.25</v>
      </c>
      <c r="D205" s="25" t="s">
        <v>160</v>
      </c>
    </row>
    <row r="206" ht="14.25" customHeight="1">
      <c r="A206" s="34" t="s">
        <v>355</v>
      </c>
      <c r="B206" s="23" t="s">
        <v>361</v>
      </c>
      <c r="C206" s="24">
        <v>3.642857142857143</v>
      </c>
      <c r="D206" s="25" t="s">
        <v>160</v>
      </c>
    </row>
    <row r="207" ht="14.25" customHeight="1">
      <c r="A207" s="34" t="s">
        <v>355</v>
      </c>
      <c r="B207" s="23" t="s">
        <v>362</v>
      </c>
      <c r="C207" s="24">
        <v>3.9285714285714284</v>
      </c>
      <c r="D207" s="25" t="s">
        <v>160</v>
      </c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4.25" customHeight="1">
      <c r="A208" s="36" t="s">
        <v>355</v>
      </c>
      <c r="B208" s="27" t="s">
        <v>363</v>
      </c>
      <c r="C208" s="28">
        <v>4.52642857142857</v>
      </c>
      <c r="D208" s="29" t="s">
        <v>179</v>
      </c>
    </row>
    <row r="209" ht="14.25" customHeight="1">
      <c r="A209" s="36" t="s">
        <v>355</v>
      </c>
      <c r="B209" s="27" t="s">
        <v>364</v>
      </c>
      <c r="C209" s="28">
        <v>4.53</v>
      </c>
      <c r="D209" s="29" t="s">
        <v>179</v>
      </c>
    </row>
    <row r="210" ht="14.25" customHeight="1">
      <c r="A210" s="36" t="s">
        <v>355</v>
      </c>
      <c r="B210" s="27" t="s">
        <v>365</v>
      </c>
      <c r="C210" s="28">
        <v>4.54571428571429</v>
      </c>
      <c r="D210" s="29" t="s">
        <v>179</v>
      </c>
    </row>
    <row r="211" ht="14.25" customHeight="1">
      <c r="A211" s="36" t="s">
        <v>355</v>
      </c>
      <c r="B211" s="27" t="s">
        <v>366</v>
      </c>
      <c r="C211" s="28">
        <v>4.55</v>
      </c>
      <c r="D211" s="29" t="s">
        <v>179</v>
      </c>
    </row>
    <row r="212" ht="14.25" customHeight="1">
      <c r="A212" s="36" t="s">
        <v>355</v>
      </c>
      <c r="B212" s="30" t="s">
        <v>367</v>
      </c>
      <c r="C212" s="28">
        <v>4.821428571428571</v>
      </c>
      <c r="D212" s="29" t="s">
        <v>179</v>
      </c>
    </row>
    <row r="213" ht="14.25" customHeight="1">
      <c r="A213" s="36" t="s">
        <v>355</v>
      </c>
      <c r="B213" s="30" t="s">
        <v>368</v>
      </c>
      <c r="C213" s="28">
        <v>5.107142857142857</v>
      </c>
      <c r="D213" s="29" t="s">
        <v>179</v>
      </c>
    </row>
    <row r="214" ht="14.25" customHeight="1">
      <c r="A214" s="36" t="s">
        <v>355</v>
      </c>
      <c r="B214" s="30" t="s">
        <v>369</v>
      </c>
      <c r="C214" s="28">
        <v>5.321428571428571</v>
      </c>
      <c r="D214" s="29" t="s">
        <v>179</v>
      </c>
    </row>
    <row r="215" ht="14.25" customHeight="1">
      <c r="A215" s="36" t="s">
        <v>355</v>
      </c>
      <c r="B215" s="30" t="s">
        <v>370</v>
      </c>
      <c r="C215" s="28">
        <v>5.392857142857143</v>
      </c>
      <c r="D215" s="29" t="s">
        <v>179</v>
      </c>
    </row>
    <row r="216" ht="14.25" customHeight="1">
      <c r="A216" s="36" t="s">
        <v>355</v>
      </c>
      <c r="B216" s="30" t="s">
        <v>371</v>
      </c>
      <c r="C216" s="28">
        <v>5.571428571428571</v>
      </c>
      <c r="D216" s="29" t="s">
        <v>179</v>
      </c>
    </row>
    <row r="217" ht="14.25" customHeight="1">
      <c r="A217" s="36" t="s">
        <v>355</v>
      </c>
      <c r="B217" s="30" t="s">
        <v>372</v>
      </c>
      <c r="C217" s="28">
        <v>5.821428571428571</v>
      </c>
      <c r="D217" s="29" t="s">
        <v>179</v>
      </c>
    </row>
    <row r="218" ht="14.25" customHeight="1">
      <c r="A218" s="36" t="s">
        <v>355</v>
      </c>
      <c r="B218" s="30" t="s">
        <v>373</v>
      </c>
      <c r="C218" s="28">
        <v>5.892857142857143</v>
      </c>
      <c r="D218" s="29" t="s">
        <v>179</v>
      </c>
    </row>
    <row r="219" ht="14.25" customHeight="1">
      <c r="A219" s="36" t="s">
        <v>355</v>
      </c>
      <c r="B219" s="30" t="s">
        <v>374</v>
      </c>
      <c r="C219" s="28">
        <v>5.892857142857143</v>
      </c>
      <c r="D219" s="29" t="s">
        <v>179</v>
      </c>
    </row>
    <row r="220" ht="14.25" customHeight="1">
      <c r="A220" s="36" t="s">
        <v>355</v>
      </c>
      <c r="B220" s="30" t="s">
        <v>375</v>
      </c>
      <c r="C220" s="28">
        <v>6.142857142857143</v>
      </c>
      <c r="D220" s="29" t="s">
        <v>179</v>
      </c>
    </row>
    <row r="221" ht="14.25" customHeight="1">
      <c r="A221" s="34" t="s">
        <v>110</v>
      </c>
      <c r="B221" s="23" t="s">
        <v>376</v>
      </c>
      <c r="C221" s="24">
        <v>1.8571428571428572</v>
      </c>
      <c r="D221" s="25" t="s">
        <v>160</v>
      </c>
    </row>
    <row r="222" ht="14.25" customHeight="1">
      <c r="A222" s="34" t="s">
        <v>110</v>
      </c>
      <c r="B222" s="23" t="s">
        <v>377</v>
      </c>
      <c r="C222" s="24">
        <v>2.142857142857143</v>
      </c>
      <c r="D222" s="25" t="s">
        <v>160</v>
      </c>
    </row>
    <row r="223" ht="14.25" customHeight="1">
      <c r="A223" s="34" t="s">
        <v>110</v>
      </c>
      <c r="B223" s="23" t="s">
        <v>378</v>
      </c>
      <c r="C223" s="24">
        <v>3.7142857142857144</v>
      </c>
      <c r="D223" s="25" t="s">
        <v>160</v>
      </c>
    </row>
    <row r="224" ht="14.25" customHeight="1">
      <c r="A224" s="34" t="s">
        <v>110</v>
      </c>
      <c r="B224" s="23" t="s">
        <v>379</v>
      </c>
      <c r="C224" s="24">
        <v>3.892857142857143</v>
      </c>
      <c r="D224" s="25" t="s">
        <v>160</v>
      </c>
    </row>
    <row r="225" ht="14.25" customHeight="1">
      <c r="A225" s="34" t="s">
        <v>110</v>
      </c>
      <c r="B225" s="23" t="s">
        <v>157</v>
      </c>
      <c r="C225" s="24">
        <v>3.9285714285714284</v>
      </c>
      <c r="D225" s="25" t="s">
        <v>160</v>
      </c>
    </row>
    <row r="226" ht="14.25" customHeight="1">
      <c r="A226" s="34" t="s">
        <v>110</v>
      </c>
      <c r="B226" s="23" t="s">
        <v>380</v>
      </c>
      <c r="C226" s="24">
        <v>4.25</v>
      </c>
      <c r="D226" s="25" t="s">
        <v>160</v>
      </c>
    </row>
    <row r="227" ht="14.25" customHeight="1">
      <c r="A227" s="36" t="s">
        <v>110</v>
      </c>
      <c r="B227" s="30" t="s">
        <v>381</v>
      </c>
      <c r="C227" s="28">
        <v>4.75</v>
      </c>
      <c r="D227" s="29" t="s">
        <v>179</v>
      </c>
    </row>
    <row r="228" ht="14.25" customHeight="1">
      <c r="A228" s="36" t="s">
        <v>110</v>
      </c>
      <c r="B228" s="30" t="s">
        <v>382</v>
      </c>
      <c r="C228" s="28">
        <v>5.142857142857143</v>
      </c>
      <c r="D228" s="29" t="s">
        <v>179</v>
      </c>
    </row>
    <row r="229" ht="14.25" customHeight="1">
      <c r="A229" s="36" t="s">
        <v>110</v>
      </c>
      <c r="B229" s="30" t="s">
        <v>383</v>
      </c>
      <c r="C229" s="28">
        <v>5.392857142857143</v>
      </c>
      <c r="D229" s="29" t="s">
        <v>179</v>
      </c>
    </row>
    <row r="230" ht="14.25" customHeight="1">
      <c r="A230" s="36" t="s">
        <v>110</v>
      </c>
      <c r="B230" s="30" t="s">
        <v>384</v>
      </c>
      <c r="C230" s="28">
        <v>6.571428571428571</v>
      </c>
      <c r="D230" s="29" t="s">
        <v>179</v>
      </c>
    </row>
    <row r="231" ht="14.25" customHeight="1">
      <c r="A231" s="36" t="s">
        <v>110</v>
      </c>
      <c r="B231" s="30" t="s">
        <v>385</v>
      </c>
      <c r="C231" s="28">
        <v>6.857142857142857</v>
      </c>
      <c r="D231" s="29" t="s">
        <v>179</v>
      </c>
    </row>
    <row r="232" ht="14.25" customHeight="1">
      <c r="A232" s="36" t="s">
        <v>110</v>
      </c>
      <c r="B232" s="30" t="s">
        <v>386</v>
      </c>
      <c r="C232" s="28">
        <v>7.035714285714286</v>
      </c>
      <c r="D232" s="29" t="s">
        <v>179</v>
      </c>
    </row>
    <row r="233" ht="14.25" customHeight="1">
      <c r="A233" s="36" t="s">
        <v>110</v>
      </c>
      <c r="B233" s="30" t="s">
        <v>387</v>
      </c>
      <c r="C233" s="28">
        <v>7.678571428571429</v>
      </c>
      <c r="D233" s="29" t="s">
        <v>179</v>
      </c>
    </row>
    <row r="234" ht="14.25" customHeight="1">
      <c r="A234" s="36" t="s">
        <v>110</v>
      </c>
      <c r="B234" s="30" t="s">
        <v>388</v>
      </c>
      <c r="C234" s="28">
        <v>8.142857142857142</v>
      </c>
      <c r="D234" s="29" t="s">
        <v>179</v>
      </c>
    </row>
    <row r="235" ht="14.25" customHeight="1">
      <c r="A235" s="36" t="s">
        <v>110</v>
      </c>
      <c r="B235" s="30" t="s">
        <v>389</v>
      </c>
      <c r="C235" s="28">
        <v>8.392857142857142</v>
      </c>
      <c r="D235" s="29" t="s">
        <v>179</v>
      </c>
    </row>
    <row r="236" ht="14.25" customHeight="1">
      <c r="A236" s="36" t="s">
        <v>110</v>
      </c>
      <c r="B236" s="30" t="s">
        <v>390</v>
      </c>
      <c r="C236" s="28">
        <v>8.571428571428571</v>
      </c>
      <c r="D236" s="29" t="s">
        <v>179</v>
      </c>
    </row>
    <row r="237" ht="14.25" customHeight="1">
      <c r="A237" s="36" t="s">
        <v>110</v>
      </c>
      <c r="B237" s="30" t="s">
        <v>391</v>
      </c>
      <c r="C237" s="28">
        <v>9.321428571428571</v>
      </c>
      <c r="D237" s="29" t="s">
        <v>179</v>
      </c>
    </row>
    <row r="238" ht="14.25" customHeight="1">
      <c r="A238" s="36" t="s">
        <v>392</v>
      </c>
      <c r="B238" s="30" t="s">
        <v>393</v>
      </c>
      <c r="C238" s="28">
        <v>5.017857142857143</v>
      </c>
      <c r="D238" s="29" t="s">
        <v>179</v>
      </c>
    </row>
    <row r="239" ht="14.25" customHeight="1">
      <c r="A239" s="36" t="s">
        <v>392</v>
      </c>
      <c r="B239" s="30" t="s">
        <v>394</v>
      </c>
      <c r="C239" s="28">
        <v>5.107142857142857</v>
      </c>
      <c r="D239" s="29" t="s">
        <v>179</v>
      </c>
    </row>
    <row r="240" ht="14.25" customHeight="1">
      <c r="A240" s="36" t="s">
        <v>392</v>
      </c>
      <c r="B240" s="30" t="s">
        <v>395</v>
      </c>
      <c r="C240" s="28">
        <v>5.142857142857143</v>
      </c>
      <c r="D240" s="29" t="s">
        <v>179</v>
      </c>
    </row>
    <row r="241" ht="14.25" customHeight="1">
      <c r="A241" s="36" t="s">
        <v>392</v>
      </c>
      <c r="B241" s="30" t="s">
        <v>396</v>
      </c>
      <c r="C241" s="28">
        <v>7.035714285714286</v>
      </c>
      <c r="D241" s="29" t="s">
        <v>179</v>
      </c>
      <c r="G241" s="1">
        <v>9.0</v>
      </c>
    </row>
    <row r="242" ht="14.25" customHeight="1">
      <c r="A242" s="36" t="s">
        <v>392</v>
      </c>
      <c r="B242" s="30" t="s">
        <v>397</v>
      </c>
      <c r="C242" s="28">
        <v>7.535714285714286</v>
      </c>
      <c r="D242" s="29" t="s">
        <v>179</v>
      </c>
    </row>
    <row r="243" ht="14.25" customHeight="1">
      <c r="A243" s="36" t="s">
        <v>392</v>
      </c>
      <c r="B243" s="30" t="s">
        <v>398</v>
      </c>
      <c r="C243" s="28">
        <v>7.875</v>
      </c>
      <c r="D243" s="29" t="s">
        <v>179</v>
      </c>
    </row>
    <row r="244" ht="14.25" customHeight="1">
      <c r="A244" s="36" t="s">
        <v>392</v>
      </c>
      <c r="B244" s="30" t="s">
        <v>399</v>
      </c>
      <c r="C244" s="28">
        <v>8.107142857142858</v>
      </c>
      <c r="D244" s="29" t="s">
        <v>179</v>
      </c>
    </row>
    <row r="245" ht="14.25" customHeight="1">
      <c r="A245" s="36" t="s">
        <v>392</v>
      </c>
      <c r="B245" s="30" t="s">
        <v>400</v>
      </c>
      <c r="C245" s="28">
        <v>8.571428571428571</v>
      </c>
      <c r="D245" s="29" t="s">
        <v>179</v>
      </c>
    </row>
    <row r="246" ht="14.25" customHeight="1">
      <c r="A246" s="36" t="s">
        <v>392</v>
      </c>
      <c r="B246" s="30" t="s">
        <v>401</v>
      </c>
      <c r="C246" s="28">
        <v>8.714285714285714</v>
      </c>
      <c r="D246" s="29" t="s">
        <v>179</v>
      </c>
    </row>
    <row r="247" ht="14.25" customHeight="1">
      <c r="A247" s="34" t="s">
        <v>392</v>
      </c>
      <c r="B247" s="23" t="s">
        <v>402</v>
      </c>
      <c r="C247" s="24">
        <v>0.7142857142857143</v>
      </c>
      <c r="D247" s="43" t="s">
        <v>160</v>
      </c>
    </row>
    <row r="248" ht="14.25" customHeight="1">
      <c r="A248" s="34" t="s">
        <v>392</v>
      </c>
      <c r="B248" s="23" t="s">
        <v>403</v>
      </c>
      <c r="C248" s="24">
        <v>1.0</v>
      </c>
      <c r="D248" s="43" t="s">
        <v>160</v>
      </c>
    </row>
    <row r="249" ht="14.25" customHeight="1">
      <c r="A249" s="34" t="s">
        <v>392</v>
      </c>
      <c r="B249" s="23" t="s">
        <v>404</v>
      </c>
      <c r="C249" s="24">
        <v>1.1964285714285714</v>
      </c>
      <c r="D249" s="43" t="s">
        <v>160</v>
      </c>
    </row>
    <row r="250" ht="14.25" customHeight="1">
      <c r="A250" s="34" t="s">
        <v>392</v>
      </c>
      <c r="B250" s="23" t="s">
        <v>405</v>
      </c>
      <c r="C250" s="24">
        <v>1.2857142857142858</v>
      </c>
      <c r="D250" s="43" t="s">
        <v>160</v>
      </c>
    </row>
    <row r="251" ht="14.25" customHeight="1">
      <c r="A251" s="34" t="s">
        <v>392</v>
      </c>
      <c r="B251" s="23" t="s">
        <v>406</v>
      </c>
      <c r="C251" s="24">
        <v>1.3571428571428572</v>
      </c>
      <c r="D251" s="43" t="s">
        <v>303</v>
      </c>
    </row>
    <row r="252" ht="14.25" customHeight="1">
      <c r="A252" s="34" t="s">
        <v>392</v>
      </c>
      <c r="B252" s="23" t="s">
        <v>407</v>
      </c>
      <c r="C252" s="24">
        <v>1.6428571428571428</v>
      </c>
      <c r="D252" s="43" t="s">
        <v>160</v>
      </c>
    </row>
    <row r="253" ht="14.25" customHeight="1">
      <c r="A253" s="34" t="s">
        <v>392</v>
      </c>
      <c r="B253" s="23" t="s">
        <v>408</v>
      </c>
      <c r="C253" s="24">
        <v>1.7142857142857142</v>
      </c>
      <c r="D253" s="43" t="s">
        <v>160</v>
      </c>
    </row>
    <row r="254" ht="14.25" customHeight="1">
      <c r="A254" s="34" t="s">
        <v>392</v>
      </c>
      <c r="B254" s="23" t="s">
        <v>409</v>
      </c>
      <c r="C254" s="24">
        <v>1.8392857142857142</v>
      </c>
      <c r="D254" s="43" t="s">
        <v>160</v>
      </c>
    </row>
    <row r="255" ht="14.25" customHeight="1">
      <c r="A255" s="34" t="s">
        <v>392</v>
      </c>
      <c r="B255" s="23" t="s">
        <v>410</v>
      </c>
      <c r="C255" s="24">
        <v>1.8571428571428572</v>
      </c>
      <c r="D255" s="43" t="s">
        <v>160</v>
      </c>
    </row>
    <row r="256" ht="14.25" customHeight="1">
      <c r="A256" s="34" t="s">
        <v>392</v>
      </c>
      <c r="B256" s="23" t="s">
        <v>411</v>
      </c>
      <c r="C256" s="24">
        <v>1.9285714285714286</v>
      </c>
      <c r="D256" s="43" t="s">
        <v>160</v>
      </c>
    </row>
    <row r="257" ht="14.25" customHeight="1">
      <c r="A257" s="34" t="s">
        <v>392</v>
      </c>
      <c r="B257" s="23" t="s">
        <v>412</v>
      </c>
      <c r="C257" s="24">
        <v>2.25</v>
      </c>
      <c r="D257" s="43" t="s">
        <v>160</v>
      </c>
    </row>
    <row r="258" ht="14.25" customHeight="1">
      <c r="A258" s="34" t="s">
        <v>392</v>
      </c>
      <c r="B258" s="23" t="s">
        <v>413</v>
      </c>
      <c r="C258" s="24">
        <v>2.3214285714285716</v>
      </c>
      <c r="D258" s="43" t="s">
        <v>160</v>
      </c>
    </row>
    <row r="259" ht="14.25" customHeight="1">
      <c r="A259" s="34" t="s">
        <v>392</v>
      </c>
      <c r="B259" s="23" t="s">
        <v>414</v>
      </c>
      <c r="C259" s="24">
        <v>2.607142857142857</v>
      </c>
      <c r="D259" s="43" t="s">
        <v>303</v>
      </c>
    </row>
    <row r="260" ht="14.25" customHeight="1">
      <c r="A260" s="34" t="s">
        <v>392</v>
      </c>
      <c r="B260" s="23" t="s">
        <v>415</v>
      </c>
      <c r="C260" s="24">
        <v>2.642857142857143</v>
      </c>
      <c r="D260" s="43" t="s">
        <v>160</v>
      </c>
    </row>
    <row r="261" ht="14.25" customHeight="1">
      <c r="A261" s="34" t="s">
        <v>392</v>
      </c>
      <c r="B261" s="23" t="s">
        <v>416</v>
      </c>
      <c r="C261" s="24">
        <v>2.6785714285714284</v>
      </c>
      <c r="D261" s="43" t="s">
        <v>160</v>
      </c>
    </row>
    <row r="262" ht="14.25" customHeight="1">
      <c r="A262" s="34" t="s">
        <v>392</v>
      </c>
      <c r="B262" s="23" t="s">
        <v>417</v>
      </c>
      <c r="C262" s="24">
        <v>2.6964285714285716</v>
      </c>
      <c r="D262" s="43" t="s">
        <v>303</v>
      </c>
    </row>
    <row r="263" ht="14.25" customHeight="1">
      <c r="A263" s="34" t="s">
        <v>392</v>
      </c>
      <c r="B263" s="23" t="s">
        <v>418</v>
      </c>
      <c r="C263" s="24">
        <v>2.7857142857142856</v>
      </c>
      <c r="D263" s="43" t="s">
        <v>160</v>
      </c>
    </row>
    <row r="264" ht="14.25" customHeight="1">
      <c r="A264" s="34" t="s">
        <v>392</v>
      </c>
      <c r="B264" s="23" t="s">
        <v>419</v>
      </c>
      <c r="C264" s="24">
        <v>2.8214285714285716</v>
      </c>
      <c r="D264" s="43" t="s">
        <v>160</v>
      </c>
    </row>
    <row r="265" ht="14.25" customHeight="1">
      <c r="A265" s="34" t="s">
        <v>392</v>
      </c>
      <c r="B265" s="23" t="s">
        <v>420</v>
      </c>
      <c r="C265" s="24">
        <v>2.892857142857143</v>
      </c>
      <c r="D265" s="43" t="s">
        <v>160</v>
      </c>
    </row>
    <row r="266" ht="14.25" customHeight="1">
      <c r="A266" s="34" t="s">
        <v>392</v>
      </c>
      <c r="B266" s="23" t="s">
        <v>421</v>
      </c>
      <c r="C266" s="24">
        <v>2.9464285714285716</v>
      </c>
      <c r="D266" s="43" t="s">
        <v>160</v>
      </c>
    </row>
    <row r="267" ht="14.25" customHeight="1">
      <c r="A267" s="34" t="s">
        <v>392</v>
      </c>
      <c r="B267" s="23" t="s">
        <v>422</v>
      </c>
      <c r="C267" s="24">
        <v>3.0</v>
      </c>
      <c r="D267" s="43" t="s">
        <v>160</v>
      </c>
    </row>
    <row r="268" ht="15.75" customHeight="1">
      <c r="A268" s="34" t="s">
        <v>392</v>
      </c>
      <c r="B268" s="23" t="s">
        <v>423</v>
      </c>
      <c r="C268" s="24">
        <v>3.142857142857143</v>
      </c>
      <c r="D268" s="43" t="s">
        <v>160</v>
      </c>
    </row>
    <row r="269" ht="15.75" customHeight="1">
      <c r="A269" s="34" t="s">
        <v>392</v>
      </c>
      <c r="B269" s="23" t="s">
        <v>424</v>
      </c>
      <c r="C269" s="24">
        <v>3.375</v>
      </c>
      <c r="D269" s="43" t="s">
        <v>303</v>
      </c>
    </row>
    <row r="270" ht="15.75" customHeight="1">
      <c r="A270" s="36" t="s">
        <v>392</v>
      </c>
      <c r="B270" s="27" t="s">
        <v>425</v>
      </c>
      <c r="C270" s="28">
        <v>4.66428571428571</v>
      </c>
      <c r="D270" s="44" t="s">
        <v>179</v>
      </c>
    </row>
    <row r="271" ht="15.75" customHeight="1">
      <c r="A271" s="36" t="s">
        <v>392</v>
      </c>
      <c r="B271" s="27" t="s">
        <v>426</v>
      </c>
      <c r="C271" s="28">
        <v>4.58571428571429</v>
      </c>
      <c r="D271" s="44" t="s">
        <v>179</v>
      </c>
    </row>
    <row r="272" ht="15.75" customHeight="1">
      <c r="A272" s="36" t="s">
        <v>392</v>
      </c>
      <c r="B272" s="27" t="s">
        <v>427</v>
      </c>
      <c r="C272" s="28">
        <v>4.57142857142857</v>
      </c>
      <c r="D272" s="44" t="s">
        <v>179</v>
      </c>
    </row>
    <row r="273" ht="15.75" customHeight="1">
      <c r="A273" s="36" t="s">
        <v>392</v>
      </c>
      <c r="B273" s="30" t="s">
        <v>428</v>
      </c>
      <c r="C273" s="28">
        <v>4.57142857142857</v>
      </c>
      <c r="D273" s="44" t="s">
        <v>179</v>
      </c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15.75" customHeight="1">
      <c r="A274" s="36" t="s">
        <v>392</v>
      </c>
      <c r="B274" s="30" t="s">
        <v>429</v>
      </c>
      <c r="C274" s="28">
        <v>4.52857142857143</v>
      </c>
      <c r="D274" s="44" t="s">
        <v>179</v>
      </c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15.75" customHeight="1">
      <c r="A275" s="36" t="s">
        <v>392</v>
      </c>
      <c r="B275" s="30" t="s">
        <v>430</v>
      </c>
      <c r="C275" s="28">
        <v>4.50428571428571</v>
      </c>
      <c r="D275" s="44" t="s">
        <v>179</v>
      </c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15.75" customHeight="1">
      <c r="A276" s="36" t="s">
        <v>431</v>
      </c>
      <c r="B276" s="38" t="s">
        <v>432</v>
      </c>
      <c r="C276" s="28">
        <v>5.0</v>
      </c>
      <c r="D276" s="29" t="s">
        <v>179</v>
      </c>
    </row>
    <row r="277" ht="15.75" customHeight="1">
      <c r="A277" s="36" t="s">
        <v>431</v>
      </c>
      <c r="B277" s="38" t="s">
        <v>63</v>
      </c>
      <c r="C277" s="28">
        <v>5.017857142857143</v>
      </c>
      <c r="D277" s="29" t="s">
        <v>179</v>
      </c>
    </row>
    <row r="278" ht="15.75" customHeight="1">
      <c r="A278" s="36" t="s">
        <v>431</v>
      </c>
      <c r="B278" s="38" t="s">
        <v>433</v>
      </c>
      <c r="C278" s="28">
        <v>5.017857142857143</v>
      </c>
      <c r="D278" s="29" t="s">
        <v>179</v>
      </c>
    </row>
    <row r="279" ht="15.75" customHeight="1">
      <c r="A279" s="36" t="s">
        <v>431</v>
      </c>
      <c r="B279" s="46" t="s">
        <v>434</v>
      </c>
      <c r="C279" s="28">
        <v>5.035714285714286</v>
      </c>
      <c r="D279" s="29" t="s">
        <v>179</v>
      </c>
      <c r="G279" s="1">
        <v>6.0</v>
      </c>
    </row>
    <row r="280" ht="15.75" customHeight="1">
      <c r="A280" s="36" t="s">
        <v>431</v>
      </c>
      <c r="B280" s="38" t="s">
        <v>435</v>
      </c>
      <c r="C280" s="28">
        <v>5.035714285714286</v>
      </c>
      <c r="D280" s="29" t="s">
        <v>179</v>
      </c>
    </row>
    <row r="281" ht="15.75" customHeight="1">
      <c r="A281" s="36" t="s">
        <v>431</v>
      </c>
      <c r="B281" s="38" t="s">
        <v>436</v>
      </c>
      <c r="C281" s="28">
        <v>5.285714285714286</v>
      </c>
      <c r="D281" s="29" t="s">
        <v>179</v>
      </c>
    </row>
    <row r="282" ht="15.75" customHeight="1">
      <c r="A282" s="34" t="s">
        <v>431</v>
      </c>
      <c r="B282" s="47" t="s">
        <v>437</v>
      </c>
      <c r="C282" s="24">
        <v>1.0</v>
      </c>
      <c r="D282" s="48" t="s">
        <v>160</v>
      </c>
    </row>
    <row r="283" ht="15.75" customHeight="1">
      <c r="A283" s="34" t="s">
        <v>431</v>
      </c>
      <c r="B283" s="47" t="s">
        <v>438</v>
      </c>
      <c r="C283" s="24">
        <v>1.0357142857142858</v>
      </c>
      <c r="D283" s="48" t="s">
        <v>160</v>
      </c>
    </row>
    <row r="284" ht="15.75" customHeight="1">
      <c r="A284" s="34" t="s">
        <v>431</v>
      </c>
      <c r="B284" s="47" t="s">
        <v>439</v>
      </c>
      <c r="C284" s="24">
        <v>1.0714285714285714</v>
      </c>
      <c r="D284" s="48" t="s">
        <v>160</v>
      </c>
    </row>
    <row r="285" ht="15.75" customHeight="1">
      <c r="A285" s="34" t="s">
        <v>431</v>
      </c>
      <c r="B285" s="47" t="s">
        <v>440</v>
      </c>
      <c r="C285" s="24">
        <v>1.4285714285714286</v>
      </c>
      <c r="D285" s="48" t="s">
        <v>160</v>
      </c>
    </row>
    <row r="286" ht="15.75" customHeight="1">
      <c r="A286" s="34" t="s">
        <v>431</v>
      </c>
      <c r="B286" s="47" t="s">
        <v>441</v>
      </c>
      <c r="C286" s="24">
        <v>1.5178571428571428</v>
      </c>
      <c r="D286" s="48" t="s">
        <v>160</v>
      </c>
    </row>
    <row r="287" ht="15.75" customHeight="1">
      <c r="A287" s="34" t="s">
        <v>431</v>
      </c>
      <c r="B287" s="47" t="s">
        <v>442</v>
      </c>
      <c r="C287" s="24">
        <v>1.5357142857142858</v>
      </c>
      <c r="D287" s="48" t="s">
        <v>160</v>
      </c>
    </row>
    <row r="288" ht="15.75" customHeight="1">
      <c r="A288" s="34" t="s">
        <v>431</v>
      </c>
      <c r="B288" s="47" t="s">
        <v>443</v>
      </c>
      <c r="C288" s="24">
        <v>1.5357142857142858</v>
      </c>
      <c r="D288" s="48" t="s">
        <v>160</v>
      </c>
    </row>
    <row r="289" ht="15.75" customHeight="1">
      <c r="A289" s="34" t="s">
        <v>431</v>
      </c>
      <c r="B289" s="47" t="s">
        <v>444</v>
      </c>
      <c r="C289" s="24">
        <v>1.5714285714285714</v>
      </c>
      <c r="D289" s="48" t="s">
        <v>160</v>
      </c>
    </row>
    <row r="290" ht="15.75" customHeight="1">
      <c r="A290" s="34" t="s">
        <v>431</v>
      </c>
      <c r="B290" s="47" t="s">
        <v>445</v>
      </c>
      <c r="C290" s="24">
        <v>1.5714285714285714</v>
      </c>
      <c r="D290" s="48" t="s">
        <v>160</v>
      </c>
    </row>
    <row r="291" ht="15.75" customHeight="1">
      <c r="A291" s="34" t="s">
        <v>431</v>
      </c>
      <c r="B291" s="47" t="s">
        <v>446</v>
      </c>
      <c r="C291" s="24">
        <v>1.5714285714285714</v>
      </c>
      <c r="D291" s="48" t="s">
        <v>160</v>
      </c>
    </row>
    <row r="292" ht="15.75" customHeight="1">
      <c r="A292" s="34" t="s">
        <v>431</v>
      </c>
      <c r="B292" s="47" t="s">
        <v>447</v>
      </c>
      <c r="C292" s="24">
        <v>1.6428571428571428</v>
      </c>
      <c r="D292" s="48" t="s">
        <v>160</v>
      </c>
    </row>
    <row r="293" ht="15.75" customHeight="1">
      <c r="A293" s="34" t="s">
        <v>431</v>
      </c>
      <c r="B293" s="47" t="s">
        <v>448</v>
      </c>
      <c r="C293" s="24">
        <v>1.75</v>
      </c>
      <c r="D293" s="48" t="s">
        <v>160</v>
      </c>
    </row>
    <row r="294" ht="15.75" customHeight="1">
      <c r="A294" s="34" t="s">
        <v>431</v>
      </c>
      <c r="B294" s="47" t="s">
        <v>449</v>
      </c>
      <c r="C294" s="24">
        <v>1.75</v>
      </c>
      <c r="D294" s="48" t="s">
        <v>303</v>
      </c>
    </row>
    <row r="295" ht="15.75" customHeight="1">
      <c r="A295" s="34" t="s">
        <v>431</v>
      </c>
      <c r="B295" s="47" t="s">
        <v>450</v>
      </c>
      <c r="C295" s="24">
        <v>1.7857142857142858</v>
      </c>
      <c r="D295" s="48" t="s">
        <v>160</v>
      </c>
    </row>
    <row r="296" ht="15.75" customHeight="1">
      <c r="A296" s="34" t="s">
        <v>431</v>
      </c>
      <c r="B296" s="47" t="s">
        <v>451</v>
      </c>
      <c r="C296" s="24">
        <v>1.9107142857142858</v>
      </c>
      <c r="D296" s="48" t="s">
        <v>160</v>
      </c>
    </row>
    <row r="297" ht="15.75" customHeight="1">
      <c r="A297" s="34" t="s">
        <v>431</v>
      </c>
      <c r="B297" s="47" t="s">
        <v>452</v>
      </c>
      <c r="C297" s="24">
        <v>2.107142857142857</v>
      </c>
      <c r="D297" s="48" t="s">
        <v>160</v>
      </c>
    </row>
    <row r="298" ht="15.75" customHeight="1">
      <c r="A298" s="34" t="s">
        <v>431</v>
      </c>
      <c r="B298" s="47" t="s">
        <v>453</v>
      </c>
      <c r="C298" s="24">
        <v>2.2142857142857144</v>
      </c>
      <c r="D298" s="48" t="s">
        <v>160</v>
      </c>
    </row>
    <row r="299" ht="15.75" customHeight="1">
      <c r="A299" s="36" t="s">
        <v>431</v>
      </c>
      <c r="B299" s="46" t="s">
        <v>454</v>
      </c>
      <c r="C299" s="28">
        <v>4.5</v>
      </c>
      <c r="D299" s="49" t="s">
        <v>179</v>
      </c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ht="15.75" customHeight="1">
      <c r="A300" s="36" t="s">
        <v>431</v>
      </c>
      <c r="B300" s="46" t="s">
        <v>455</v>
      </c>
      <c r="C300" s="28">
        <v>4.55714285714286</v>
      </c>
      <c r="D300" s="49" t="s">
        <v>179</v>
      </c>
    </row>
    <row r="301" ht="15.75" customHeight="1">
      <c r="A301" s="36" t="s">
        <v>431</v>
      </c>
      <c r="B301" s="46" t="s">
        <v>456</v>
      </c>
      <c r="C301" s="28">
        <v>4.62857142857143</v>
      </c>
      <c r="D301" s="49" t="s">
        <v>179</v>
      </c>
    </row>
    <row r="302" ht="15.75" customHeight="1">
      <c r="A302" s="36" t="s">
        <v>431</v>
      </c>
      <c r="B302" s="46" t="s">
        <v>457</v>
      </c>
      <c r="C302" s="28">
        <v>4.85714285714286</v>
      </c>
      <c r="D302" s="49" t="s">
        <v>179</v>
      </c>
    </row>
    <row r="303" ht="15.75" customHeight="1">
      <c r="A303" s="36" t="s">
        <v>431</v>
      </c>
      <c r="B303" s="46" t="s">
        <v>458</v>
      </c>
      <c r="C303" s="28">
        <v>4.89285714285714</v>
      </c>
      <c r="D303" s="49" t="s">
        <v>179</v>
      </c>
    </row>
    <row r="304" ht="15.75" customHeight="1">
      <c r="A304" s="50" t="s">
        <v>431</v>
      </c>
      <c r="B304" s="51" t="s">
        <v>459</v>
      </c>
      <c r="C304" s="52">
        <v>4.94785714285714</v>
      </c>
      <c r="D304" s="53" t="s">
        <v>179</v>
      </c>
    </row>
    <row r="305" ht="15.75" customHeight="1">
      <c r="A305" s="54" t="s">
        <v>158</v>
      </c>
      <c r="B305" s="55">
        <f>SUBTOTAL(103,'CM2'!$B$9:$B$304)</f>
        <v>296</v>
      </c>
      <c r="C305" s="56">
        <f>SUBTOTAL(101,'CM2'!$C$9:$C$304)</f>
        <v>3.386765444</v>
      </c>
      <c r="D305" s="57">
        <f>SUBTOTAL(103,'CM2'!$D$9:$D$304)</f>
        <v>296</v>
      </c>
    </row>
    <row r="306" ht="15.75" customHeight="1">
      <c r="A306" s="58"/>
      <c r="B306" s="58"/>
    </row>
    <row r="307" ht="15.75" customHeight="1">
      <c r="A307" s="58"/>
      <c r="B307" s="58"/>
    </row>
    <row r="308" ht="15.75" customHeight="1">
      <c r="A308" s="58"/>
      <c r="B308" s="58"/>
    </row>
    <row r="309" ht="15.75" customHeight="1">
      <c r="A309" s="58"/>
      <c r="B309" s="58"/>
    </row>
    <row r="310" ht="15.75" customHeight="1">
      <c r="A310" s="58"/>
      <c r="B310" s="58"/>
    </row>
    <row r="311" ht="15.75" customHeight="1">
      <c r="A311" s="58"/>
      <c r="B311" s="58"/>
    </row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12.14"/>
    <col customWidth="1" min="3" max="3" width="16.86"/>
    <col customWidth="1" min="4" max="4" width="14.43"/>
    <col customWidth="1" min="5" max="5" width="15.14"/>
    <col customWidth="1" min="6" max="6" width="35.14"/>
    <col customWidth="1" min="7" max="7" width="33.57"/>
    <col customWidth="1" min="8" max="8" width="53.43"/>
    <col customWidth="1" min="9" max="10" width="24.0"/>
    <col customWidth="1" min="11" max="26" width="10.86"/>
  </cols>
  <sheetData>
    <row r="1" ht="14.25" customHeight="1"/>
    <row r="2" ht="14.25" customHeight="1">
      <c r="E2" s="59" t="s">
        <v>460</v>
      </c>
    </row>
    <row r="3" ht="14.25" customHeight="1">
      <c r="A3" s="60" t="s">
        <v>461</v>
      </c>
      <c r="B3" s="60" t="s">
        <v>462</v>
      </c>
      <c r="C3" s="61" t="s">
        <v>463</v>
      </c>
      <c r="D3" s="60" t="s">
        <v>464</v>
      </c>
      <c r="E3" s="60" t="s">
        <v>465</v>
      </c>
      <c r="F3" s="60" t="s">
        <v>466</v>
      </c>
      <c r="G3" s="60" t="s">
        <v>467</v>
      </c>
      <c r="H3" s="60" t="s">
        <v>468</v>
      </c>
      <c r="I3" s="60" t="s">
        <v>469</v>
      </c>
      <c r="J3" s="62" t="s">
        <v>470</v>
      </c>
    </row>
    <row r="4" ht="14.25" customHeight="1">
      <c r="A4" s="63" t="s">
        <v>142</v>
      </c>
      <c r="B4" s="64">
        <v>15.0</v>
      </c>
      <c r="C4" s="64">
        <v>0.0</v>
      </c>
      <c r="D4" s="64">
        <v>15.0</v>
      </c>
      <c r="E4" s="65">
        <v>15.0</v>
      </c>
      <c r="F4" s="64">
        <v>0.0</v>
      </c>
      <c r="G4" s="66">
        <v>0.0</v>
      </c>
      <c r="H4" s="67">
        <f>'CM1 &amp; CM2 Metrics'!$E4/'CM1 &amp; CM2 Metrics'!$D4</f>
        <v>1</v>
      </c>
      <c r="I4" s="67">
        <f>'CM1 &amp; CM2 Metrics'!$F4/'CM1 &amp; CM2 Metrics'!$B4</f>
        <v>0</v>
      </c>
      <c r="J4" s="68" t="s">
        <v>471</v>
      </c>
    </row>
    <row r="5" ht="14.25" customHeight="1">
      <c r="A5" s="69" t="s">
        <v>42</v>
      </c>
      <c r="B5" s="64">
        <v>23.0</v>
      </c>
      <c r="C5" s="64">
        <v>0.0</v>
      </c>
      <c r="D5" s="64">
        <v>23.0</v>
      </c>
      <c r="E5" s="65">
        <v>23.0</v>
      </c>
      <c r="F5" s="64">
        <v>0.0</v>
      </c>
      <c r="G5" s="66">
        <v>0.0</v>
      </c>
      <c r="H5" s="67">
        <f>'CM1 &amp; CM2 Metrics'!$E5/'CM1 &amp; CM2 Metrics'!$D5</f>
        <v>1</v>
      </c>
      <c r="I5" s="67">
        <f>'CM1 &amp; CM2 Metrics'!$F5/'CM1 &amp; CM2 Metrics'!$B5</f>
        <v>0</v>
      </c>
      <c r="J5" s="70"/>
    </row>
    <row r="6" ht="14.25" customHeight="1">
      <c r="A6" s="71" t="s">
        <v>66</v>
      </c>
      <c r="B6" s="72">
        <v>12.0</v>
      </c>
      <c r="C6" s="64">
        <v>0.0</v>
      </c>
      <c r="D6" s="72">
        <v>12.0</v>
      </c>
      <c r="E6" s="73">
        <v>12.0</v>
      </c>
      <c r="F6" s="72">
        <v>0.0</v>
      </c>
      <c r="G6" s="66">
        <v>0.0</v>
      </c>
      <c r="H6" s="74">
        <f>'CM1 &amp; CM2 Metrics'!$E6/'CM1 &amp; CM2 Metrics'!$D6</f>
        <v>1</v>
      </c>
      <c r="I6" s="67">
        <f>'CM1 &amp; CM2 Metrics'!$F6/'CM1 &amp; CM2 Metrics'!$B6</f>
        <v>0</v>
      </c>
      <c r="J6" s="75"/>
    </row>
    <row r="7" ht="14.25" customHeight="1">
      <c r="A7" s="71" t="s">
        <v>92</v>
      </c>
      <c r="B7" s="72">
        <v>17.0</v>
      </c>
      <c r="C7" s="64">
        <v>0.0</v>
      </c>
      <c r="D7" s="72">
        <v>17.0</v>
      </c>
      <c r="E7" s="73">
        <v>17.0</v>
      </c>
      <c r="F7" s="72">
        <v>0.0</v>
      </c>
      <c r="G7" s="66">
        <v>0.0</v>
      </c>
      <c r="H7" s="74">
        <f>'CM1 &amp; CM2 Metrics'!$E7/'CM1 &amp; CM2 Metrics'!$D7</f>
        <v>1</v>
      </c>
      <c r="I7" s="67">
        <f>'CM1 &amp; CM2 Metrics'!$F7/'CM1 &amp; CM2 Metrics'!$B7</f>
        <v>0</v>
      </c>
      <c r="J7" s="75"/>
    </row>
    <row r="8" ht="14.25" customHeight="1">
      <c r="A8" s="69" t="s">
        <v>334</v>
      </c>
      <c r="B8" s="64">
        <v>30.0</v>
      </c>
      <c r="C8" s="64">
        <v>0.0</v>
      </c>
      <c r="D8" s="64">
        <v>30.0</v>
      </c>
      <c r="E8" s="65">
        <v>30.0</v>
      </c>
      <c r="F8" s="64">
        <v>0.0</v>
      </c>
      <c r="G8" s="66">
        <v>0.0</v>
      </c>
      <c r="H8" s="67">
        <f>'CM1 &amp; CM2 Metrics'!$E8/'CM1 &amp; CM2 Metrics'!$D8</f>
        <v>1</v>
      </c>
      <c r="I8" s="67">
        <f>'CM1 &amp; CM2 Metrics'!$F8/'CM1 &amp; CM2 Metrics'!$B8</f>
        <v>0</v>
      </c>
      <c r="J8" s="75"/>
    </row>
    <row r="9" ht="14.25" customHeight="1">
      <c r="A9" s="71" t="s">
        <v>355</v>
      </c>
      <c r="B9" s="76">
        <v>12.0</v>
      </c>
      <c r="C9" s="64">
        <v>0.0</v>
      </c>
      <c r="D9" s="76">
        <v>12.0</v>
      </c>
      <c r="E9" s="77">
        <v>12.0</v>
      </c>
      <c r="F9" s="76">
        <v>0.0</v>
      </c>
      <c r="G9" s="66">
        <v>0.0</v>
      </c>
      <c r="H9" s="74">
        <f>'CM1 &amp; CM2 Metrics'!$E9/'CM1 &amp; CM2 Metrics'!$D9</f>
        <v>1</v>
      </c>
      <c r="I9" s="74">
        <f>'CM1 &amp; CM2 Metrics'!$F9/'CM1 &amp; CM2 Metrics'!$B9</f>
        <v>0</v>
      </c>
      <c r="J9" s="75"/>
    </row>
    <row r="10" ht="14.25" customHeight="1">
      <c r="A10" s="69" t="s">
        <v>110</v>
      </c>
      <c r="B10" s="78">
        <v>30.0</v>
      </c>
      <c r="C10" s="64">
        <v>0.0</v>
      </c>
      <c r="D10" s="78">
        <v>30.0</v>
      </c>
      <c r="E10" s="79">
        <v>23.0</v>
      </c>
      <c r="F10" s="78">
        <v>7.0</v>
      </c>
      <c r="G10" s="66">
        <v>0.0</v>
      </c>
      <c r="H10" s="67">
        <f>'CM1 &amp; CM2 Metrics'!$E10/'CM1 &amp; CM2 Metrics'!$D10</f>
        <v>0.7666666667</v>
      </c>
      <c r="I10" s="67">
        <f>'CM1 &amp; CM2 Metrics'!$F10/'CM1 &amp; CM2 Metrics'!$B10</f>
        <v>0.2333333333</v>
      </c>
      <c r="J10" s="75"/>
    </row>
    <row r="11" ht="14.25" customHeight="1">
      <c r="A11" s="80" t="s">
        <v>158</v>
      </c>
      <c r="B11" s="80">
        <f>SUBTOTAL(109,'CM1 &amp; CM2 Metrics'!$B$4:$B$10)</f>
        <v>139</v>
      </c>
      <c r="C11" s="80">
        <f>SUBTOTAL(109,'CM1 &amp; CM2 Metrics'!$C$4:$C$10)</f>
        <v>0</v>
      </c>
      <c r="D11" s="80">
        <f>SUBTOTAL(109,'CM1 &amp; CM2 Metrics'!$D$4:$D$10)</f>
        <v>139</v>
      </c>
      <c r="E11" s="81">
        <f>SUBTOTAL(109,'CM1 &amp; CM2 Metrics'!$E$4:$E$10)</f>
        <v>132</v>
      </c>
      <c r="F11" s="80">
        <f>SUBTOTAL(109,'CM1 &amp; CM2 Metrics'!$F$4:$F$10)</f>
        <v>7</v>
      </c>
      <c r="G11" s="80"/>
      <c r="H11" s="82">
        <f>'CM1 &amp; CM2 Metrics'!$E$11/'CM1 &amp; CM2 Metrics'!$D$11</f>
        <v>0.9496402878</v>
      </c>
      <c r="I11" s="82">
        <f>'CM1 &amp; CM2 Metrics'!$F$11/'CM1 &amp; CM2 Metrics'!$D$11</f>
        <v>0.05035971223</v>
      </c>
      <c r="J11" s="80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>
      <c r="E18" s="59" t="s">
        <v>472</v>
      </c>
    </row>
    <row r="19" ht="14.25" customHeight="1">
      <c r="A19" s="60" t="s">
        <v>461</v>
      </c>
      <c r="B19" s="60" t="s">
        <v>462</v>
      </c>
      <c r="C19" s="61" t="s">
        <v>463</v>
      </c>
      <c r="D19" s="60" t="s">
        <v>464</v>
      </c>
      <c r="E19" s="60" t="s">
        <v>465</v>
      </c>
      <c r="F19" s="60" t="s">
        <v>466</v>
      </c>
      <c r="G19" s="60" t="s">
        <v>467</v>
      </c>
      <c r="H19" s="60" t="s">
        <v>468</v>
      </c>
      <c r="I19" s="60" t="s">
        <v>469</v>
      </c>
      <c r="J19" s="62" t="s">
        <v>470</v>
      </c>
    </row>
    <row r="20" ht="14.25" customHeight="1">
      <c r="A20" s="63" t="s">
        <v>142</v>
      </c>
      <c r="B20" s="64">
        <v>27.0</v>
      </c>
      <c r="C20" s="64">
        <v>0.0</v>
      </c>
      <c r="D20" s="64">
        <v>27.0</v>
      </c>
      <c r="E20" s="65">
        <v>9.0</v>
      </c>
      <c r="F20" s="65">
        <f>'CM1 &amp; CM2 Metrics'!$D20-'CM1 &amp; CM2 Metrics'!$E20</f>
        <v>18</v>
      </c>
      <c r="G20" s="83">
        <v>0.0</v>
      </c>
      <c r="H20" s="74">
        <f>'CM1 &amp; CM2 Metrics'!$E20/'CM1 &amp; CM2 Metrics'!$D20</f>
        <v>0.3333333333</v>
      </c>
      <c r="I20" s="67">
        <f>'CM1 &amp; CM2 Metrics'!$F20/'CM1 &amp; CM2 Metrics'!$B20</f>
        <v>0.6666666667</v>
      </c>
      <c r="J20" s="84"/>
    </row>
    <row r="21" ht="14.25" customHeight="1">
      <c r="A21" s="71" t="s">
        <v>188</v>
      </c>
      <c r="B21" s="72">
        <v>50.0</v>
      </c>
      <c r="C21" s="72">
        <v>0.0</v>
      </c>
      <c r="D21" s="72">
        <v>50.0</v>
      </c>
      <c r="E21" s="73">
        <v>19.0</v>
      </c>
      <c r="F21" s="73">
        <f>'CM1 &amp; CM2 Metrics'!$D21-'CM1 &amp; CM2 Metrics'!$E21</f>
        <v>31</v>
      </c>
      <c r="G21" s="85">
        <v>0.0</v>
      </c>
      <c r="H21" s="67">
        <f>'CM1 &amp; CM2 Metrics'!$E21/'CM1 &amp; CM2 Metrics'!$D21</f>
        <v>0.38</v>
      </c>
      <c r="I21" s="74">
        <f>'CM1 &amp; CM2 Metrics'!$F21/'CM1 &amp; CM2 Metrics'!$B21</f>
        <v>0.62</v>
      </c>
      <c r="J21" s="86"/>
    </row>
    <row r="22" ht="14.25" customHeight="1">
      <c r="A22" s="69" t="s">
        <v>42</v>
      </c>
      <c r="B22" s="64">
        <v>25.0</v>
      </c>
      <c r="C22" s="64">
        <v>0.0</v>
      </c>
      <c r="D22" s="64">
        <v>25.0</v>
      </c>
      <c r="E22" s="65">
        <v>11.0</v>
      </c>
      <c r="F22" s="65">
        <f>'CM1 &amp; CM2 Metrics'!$D22-'CM1 &amp; CM2 Metrics'!$E22</f>
        <v>14</v>
      </c>
      <c r="G22" s="83">
        <v>0.0</v>
      </c>
      <c r="H22" s="67">
        <f>'CM1 &amp; CM2 Metrics'!$E22/'CM1 &amp; CM2 Metrics'!$D22</f>
        <v>0.44</v>
      </c>
      <c r="I22" s="67">
        <f>'CM1 &amp; CM2 Metrics'!$F22/'CM1 &amp; CM2 Metrics'!$B22</f>
        <v>0.56</v>
      </c>
      <c r="J22" s="70"/>
    </row>
    <row r="23" ht="14.25" customHeight="1">
      <c r="A23" s="71" t="s">
        <v>66</v>
      </c>
      <c r="B23" s="72">
        <v>18.0</v>
      </c>
      <c r="C23" s="72">
        <v>0.0</v>
      </c>
      <c r="D23" s="72">
        <v>18.0</v>
      </c>
      <c r="E23" s="73">
        <v>10.0</v>
      </c>
      <c r="F23" s="73">
        <f>'CM1 &amp; CM2 Metrics'!$D23-'CM1 &amp; CM2 Metrics'!$E23</f>
        <v>8</v>
      </c>
      <c r="G23" s="85">
        <v>0.0</v>
      </c>
      <c r="H23" s="74">
        <f>'CM1 &amp; CM2 Metrics'!$E23/'CM1 &amp; CM2 Metrics'!$D23</f>
        <v>0.5555555556</v>
      </c>
      <c r="I23" s="67">
        <f>'CM1 &amp; CM2 Metrics'!$F23/'CM1 &amp; CM2 Metrics'!$B23</f>
        <v>0.4444444444</v>
      </c>
      <c r="J23" s="75"/>
    </row>
    <row r="24" ht="14.25" customHeight="1">
      <c r="A24" s="69" t="s">
        <v>282</v>
      </c>
      <c r="B24" s="64">
        <v>19.0</v>
      </c>
      <c r="C24" s="64">
        <v>1.0</v>
      </c>
      <c r="D24" s="64">
        <v>18.0</v>
      </c>
      <c r="E24" s="65">
        <v>4.0</v>
      </c>
      <c r="F24" s="65">
        <f>'CM1 &amp; CM2 Metrics'!$D24-'CM1 &amp; CM2 Metrics'!$E24</f>
        <v>14</v>
      </c>
      <c r="G24" s="83">
        <f>'CM1 &amp; CM2 Metrics'!$C24/'CM1 &amp; CM2 Metrics'!$B24</f>
        <v>0.05263157895</v>
      </c>
      <c r="H24" s="67">
        <f>'CM1 &amp; CM2 Metrics'!$E24/'CM1 &amp; CM2 Metrics'!$D24</f>
        <v>0.2222222222</v>
      </c>
      <c r="I24" s="74">
        <f>'CM1 &amp; CM2 Metrics'!$F24/'CM1 &amp; CM2 Metrics'!$B24</f>
        <v>0.7368421053</v>
      </c>
      <c r="J24" s="75"/>
    </row>
    <row r="25" ht="14.25" customHeight="1">
      <c r="A25" s="71" t="s">
        <v>92</v>
      </c>
      <c r="B25" s="72">
        <v>32.0</v>
      </c>
      <c r="C25" s="72">
        <v>2.0</v>
      </c>
      <c r="D25" s="72">
        <v>30.0</v>
      </c>
      <c r="E25" s="73">
        <v>11.0</v>
      </c>
      <c r="F25" s="73">
        <f>'CM1 &amp; CM2 Metrics'!$D25-'CM1 &amp; CM2 Metrics'!$E25</f>
        <v>19</v>
      </c>
      <c r="G25" s="85">
        <f>'CM1 &amp; CM2 Metrics'!$C25/'CM1 &amp; CM2 Metrics'!$B25</f>
        <v>0.0625</v>
      </c>
      <c r="H25" s="74">
        <f>'CM1 &amp; CM2 Metrics'!$E25/'CM1 &amp; CM2 Metrics'!$D25</f>
        <v>0.3666666667</v>
      </c>
      <c r="I25" s="67">
        <f>'CM1 &amp; CM2 Metrics'!$F25/'CM1 &amp; CM2 Metrics'!$B25</f>
        <v>0.59375</v>
      </c>
      <c r="J25" s="75"/>
    </row>
    <row r="26" ht="14.25" customHeight="1">
      <c r="A26" s="69" t="s">
        <v>334</v>
      </c>
      <c r="B26" s="64">
        <v>21.0</v>
      </c>
      <c r="C26" s="64">
        <v>0.0</v>
      </c>
      <c r="D26" s="64">
        <v>21.0</v>
      </c>
      <c r="E26" s="65">
        <v>9.0</v>
      </c>
      <c r="F26" s="65">
        <f>'CM1 &amp; CM2 Metrics'!$D26-'CM1 &amp; CM2 Metrics'!$E26</f>
        <v>12</v>
      </c>
      <c r="G26" s="83">
        <v>0.0</v>
      </c>
      <c r="H26" s="67">
        <f>'CM1 &amp; CM2 Metrics'!$E26/'CM1 &amp; CM2 Metrics'!$D26</f>
        <v>0.4285714286</v>
      </c>
      <c r="I26" s="67">
        <f>'CM1 &amp; CM2 Metrics'!$F26/'CM1 &amp; CM2 Metrics'!$B26</f>
        <v>0.5714285714</v>
      </c>
      <c r="J26" s="75"/>
    </row>
    <row r="27" ht="14.25" customHeight="1">
      <c r="A27" s="71" t="s">
        <v>355</v>
      </c>
      <c r="B27" s="76">
        <v>20.0</v>
      </c>
      <c r="C27" s="76">
        <v>0.0</v>
      </c>
      <c r="D27" s="76">
        <v>20.0</v>
      </c>
      <c r="E27" s="77">
        <v>13.0</v>
      </c>
      <c r="F27" s="77">
        <f>'CM1 &amp; CM2 Metrics'!$D27-'CM1 &amp; CM2 Metrics'!$E27</f>
        <v>7</v>
      </c>
      <c r="G27" s="74">
        <v>0.0</v>
      </c>
      <c r="H27" s="74">
        <f>'CM1 &amp; CM2 Metrics'!$E27/'CM1 &amp; CM2 Metrics'!$D27</f>
        <v>0.65</v>
      </c>
      <c r="I27" s="74">
        <f>'CM1 &amp; CM2 Metrics'!$F27/'CM1 &amp; CM2 Metrics'!$B27</f>
        <v>0.35</v>
      </c>
      <c r="J27" s="75"/>
    </row>
    <row r="28" ht="14.25" customHeight="1">
      <c r="A28" s="69" t="s">
        <v>110</v>
      </c>
      <c r="B28" s="78">
        <v>17.0</v>
      </c>
      <c r="C28" s="78">
        <v>0.0</v>
      </c>
      <c r="D28" s="78">
        <v>17.0</v>
      </c>
      <c r="E28" s="79">
        <v>11.0</v>
      </c>
      <c r="F28" s="79">
        <f>'CM1 &amp; CM2 Metrics'!$D28-'CM1 &amp; CM2 Metrics'!$E28</f>
        <v>6</v>
      </c>
      <c r="G28" s="67">
        <v>0.0</v>
      </c>
      <c r="H28" s="67">
        <f>'CM1 &amp; CM2 Metrics'!$E28/'CM1 &amp; CM2 Metrics'!$D28</f>
        <v>0.6470588235</v>
      </c>
      <c r="I28" s="67">
        <f>'CM1 &amp; CM2 Metrics'!$F28/'CM1 &amp; CM2 Metrics'!$B28</f>
        <v>0.3529411765</v>
      </c>
      <c r="J28" s="75"/>
    </row>
    <row r="29" ht="14.25" customHeight="1">
      <c r="A29" s="71" t="s">
        <v>392</v>
      </c>
      <c r="B29" s="76">
        <v>38.0</v>
      </c>
      <c r="C29" s="76">
        <v>0.0</v>
      </c>
      <c r="D29" s="76">
        <v>38.0</v>
      </c>
      <c r="E29" s="77">
        <v>15.0</v>
      </c>
      <c r="F29" s="77">
        <f>'CM1 &amp; CM2 Metrics'!$D29-'CM1 &amp; CM2 Metrics'!$E29</f>
        <v>23</v>
      </c>
      <c r="G29" s="74">
        <v>0.0</v>
      </c>
      <c r="H29" s="74">
        <f>'CM1 &amp; CM2 Metrics'!$E29/'CM1 &amp; CM2 Metrics'!$D29</f>
        <v>0.3947368421</v>
      </c>
      <c r="I29" s="67">
        <f>'CM1 &amp; CM2 Metrics'!$F29/'CM1 &amp; CM2 Metrics'!$B29</f>
        <v>0.6052631579</v>
      </c>
      <c r="J29" s="75"/>
    </row>
    <row r="30" ht="14.25" customHeight="1">
      <c r="A30" s="69" t="s">
        <v>431</v>
      </c>
      <c r="B30" s="78">
        <v>29.0</v>
      </c>
      <c r="C30" s="78">
        <v>0.0</v>
      </c>
      <c r="D30" s="78">
        <v>29.0</v>
      </c>
      <c r="E30" s="79">
        <v>12.0</v>
      </c>
      <c r="F30" s="79">
        <f>'CM1 &amp; CM2 Metrics'!$D30-'CM1 &amp; CM2 Metrics'!$E30</f>
        <v>17</v>
      </c>
      <c r="G30" s="67">
        <v>0.0</v>
      </c>
      <c r="H30" s="67">
        <f>'CM1 &amp; CM2 Metrics'!$E30/'CM1 &amp; CM2 Metrics'!$D30</f>
        <v>0.4137931034</v>
      </c>
      <c r="I30" s="74">
        <f>'CM1 &amp; CM2 Metrics'!$F30/'CM1 &amp; CM2 Metrics'!$B30</f>
        <v>0.5862068966</v>
      </c>
      <c r="J30" s="75"/>
    </row>
    <row r="31" ht="14.25" customHeight="1">
      <c r="A31" s="80" t="s">
        <v>158</v>
      </c>
      <c r="B31" s="80">
        <f>SUBTOTAL(109,'CM1 &amp; CM2 Metrics'!$B$20:$B$30)</f>
        <v>296</v>
      </c>
      <c r="C31" s="80">
        <f>SUBTOTAL(109,'CM1 &amp; CM2 Metrics'!$C$20:$C$30)</f>
        <v>3</v>
      </c>
      <c r="D31" s="80">
        <f>SUBTOTAL(109,'CM1 &amp; CM2 Metrics'!$D$20:$D$30)</f>
        <v>293</v>
      </c>
      <c r="E31" s="81">
        <f>SUBTOTAL(109,'CM1 &amp; CM2 Metrics'!$E$20:$E$30)</f>
        <v>124</v>
      </c>
      <c r="F31" s="80">
        <f>SUBTOTAL(109,'CM1 &amp; CM2 Metrics'!$F$20:$F$30)</f>
        <v>169</v>
      </c>
      <c r="G31" s="82">
        <f>'CM1 &amp; CM2 Metrics'!$C$31/'CM1 &amp; CM2 Metrics'!$B$31</f>
        <v>0.01013513514</v>
      </c>
      <c r="H31" s="82">
        <f>'CM1 &amp; CM2 Metrics'!$E$31/'CM1 &amp; CM2 Metrics'!$D$31</f>
        <v>0.4232081911</v>
      </c>
      <c r="I31" s="82">
        <f>'CM1 &amp; CM2 Metrics'!$F$31/'CM1 &amp; CM2 Metrics'!$D$31</f>
        <v>0.5767918089</v>
      </c>
      <c r="J31" s="80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E2:F2"/>
    <mergeCell ref="E18:F18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2024-07-22T15:46:49Z</dcterms:created>
  <dc:creator>USER</dc:creator>
</cp:coreProperties>
</file>