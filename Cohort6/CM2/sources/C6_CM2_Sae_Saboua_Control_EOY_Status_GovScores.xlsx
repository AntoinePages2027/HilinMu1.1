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1" sheetId="1" r:id="rId4"/>
    <sheet state="visible" name="CM2" sheetId="2" r:id="rId5"/>
    <sheet state="visible" name="CM1 &amp; CM2 Metrics" sheetId="3" r:id="rId6"/>
  </sheets>
  <definedNames>
    <definedName hidden="1" localSheetId="0" name="_xlnm._FilterDatabase">'CM1'!$A$8:$E$160</definedName>
  </definedNames>
  <calcPr/>
  <extLst>
    <ext uri="GoogleSheetsCustomDataVersion2">
      <go:sheetsCustomData xmlns:go="http://customooxmlschemas.google.com/" r:id="rId7" roundtripDataChecksum="w7KvvPAh4vqN6WFHok6YDde0h6c28OwBuY2iAnxsBlA="/>
    </ext>
  </extLst>
</workbook>
</file>

<file path=xl/sharedStrings.xml><?xml version="1.0" encoding="utf-8"?>
<sst xmlns="http://schemas.openxmlformats.org/spreadsheetml/2006/main" count="1498" uniqueCount="521">
  <si>
    <t>REPUBLIQUE DU NIGER</t>
  </si>
  <si>
    <t>REGION DE MARADI</t>
  </si>
  <si>
    <t>DREN MARADI</t>
  </si>
  <si>
    <t>IEPP SAE SABOUA</t>
  </si>
  <si>
    <t>LISTE DES ELEVES FILLES DU CM1 DES ECOLES TEMOINS LFF</t>
  </si>
  <si>
    <t>N°</t>
  </si>
  <si>
    <t>ECOLE</t>
  </si>
  <si>
    <t>NOM ET PRENOMS</t>
  </si>
  <si>
    <t>MOYENNE</t>
  </si>
  <si>
    <t>OBSERVATION</t>
  </si>
  <si>
    <t>Mallamai Salifou</t>
  </si>
  <si>
    <t>Amatoulahi Badamassi</t>
  </si>
  <si>
    <t>Passe au CM2</t>
  </si>
  <si>
    <t>Charifa Amadou</t>
  </si>
  <si>
    <t>Cha'awanatou Yahouza</t>
  </si>
  <si>
    <t>Faïza Rabiou</t>
  </si>
  <si>
    <t>Faouzia Salissou</t>
  </si>
  <si>
    <t>Fati Inoussa</t>
  </si>
  <si>
    <t>Fati Abdou</t>
  </si>
  <si>
    <t>Redouble le CM1</t>
  </si>
  <si>
    <t>Hassana Hamidine</t>
  </si>
  <si>
    <t>Moufida Saïdou</t>
  </si>
  <si>
    <t>Nachira Sani</t>
  </si>
  <si>
    <t>Nadiya Laminou</t>
  </si>
  <si>
    <t>Nana Sadika Zabeirou</t>
  </si>
  <si>
    <t>Nassiba Harouna</t>
  </si>
  <si>
    <t>Rassiya Tassiou</t>
  </si>
  <si>
    <t>Safaraou Boukari</t>
  </si>
  <si>
    <t>Safin Garba</t>
  </si>
  <si>
    <t>Sahiba Saddi</t>
  </si>
  <si>
    <t>Salima Idi</t>
  </si>
  <si>
    <t>Walida Mamane</t>
  </si>
  <si>
    <t>Youssira Sanoussi</t>
  </si>
  <si>
    <t>Zeinabou Moussa</t>
  </si>
  <si>
    <t>Latifa Soumaila</t>
  </si>
  <si>
    <t>Roufaida A. Moumouni</t>
  </si>
  <si>
    <t>Dan Bako</t>
  </si>
  <si>
    <t>Aicha Ayouba</t>
  </si>
  <si>
    <t>Badariya Oumarou</t>
  </si>
  <si>
    <t>Balki Moussa</t>
  </si>
  <si>
    <t>Baraatou Tassiou</t>
  </si>
  <si>
    <t>Faiza Adamou</t>
  </si>
  <si>
    <t>Fati Ibrahim</t>
  </si>
  <si>
    <t>Hafiza Aboubacar</t>
  </si>
  <si>
    <t>Hassana Aboubacar</t>
  </si>
  <si>
    <t>Kadija Illa</t>
  </si>
  <si>
    <t>Karima Maman</t>
  </si>
  <si>
    <t>Kadija Souley</t>
  </si>
  <si>
    <t>Latifa Ali</t>
  </si>
  <si>
    <t>Mansoura Haladou</t>
  </si>
  <si>
    <t>Makka Laouali</t>
  </si>
  <si>
    <t>Mansoura Mato</t>
  </si>
  <si>
    <t>Naima Mani</t>
  </si>
  <si>
    <t>Ousseina Bassirou</t>
  </si>
  <si>
    <t>Oumal Kair Mahaman</t>
  </si>
  <si>
    <t>Ouzeifa Maman</t>
  </si>
  <si>
    <t>Ousseina Moussa</t>
  </si>
  <si>
    <t>Ramatou Baraou</t>
  </si>
  <si>
    <t>Roubaika Illia</t>
  </si>
  <si>
    <t>Souèba Illia</t>
  </si>
  <si>
    <t>Safina Djio</t>
  </si>
  <si>
    <t>Farida Tsahirou</t>
  </si>
  <si>
    <t>Rouweida Saadou</t>
  </si>
  <si>
    <t>Nafissa Salissou</t>
  </si>
  <si>
    <t>Ramdiya Idi</t>
  </si>
  <si>
    <t>Chamsiya Saley</t>
  </si>
  <si>
    <t>Oubaida Hassan</t>
  </si>
  <si>
    <t>Hassana Maman</t>
  </si>
  <si>
    <t>Hassana Mani</t>
  </si>
  <si>
    <t>Darsiya Adamou</t>
  </si>
  <si>
    <t>Azima Ali</t>
  </si>
  <si>
    <t>Nafissa Sahirou</t>
  </si>
  <si>
    <t>Dan Gara</t>
  </si>
  <si>
    <t>Badaria Moussa</t>
  </si>
  <si>
    <t>Balkissa Hamissou</t>
  </si>
  <si>
    <t>Bassira Laouali</t>
  </si>
  <si>
    <t>Charifa Abdoul Karim</t>
  </si>
  <si>
    <t>Charifa Moussa</t>
  </si>
  <si>
    <t>Choukouria Issaka</t>
  </si>
  <si>
    <t>Choukouria Sani</t>
  </si>
  <si>
    <t>Choukouria Abdoul Karim</t>
  </si>
  <si>
    <t>Chamsiya Gambo</t>
  </si>
  <si>
    <t>Faouziya Abdoul Karim</t>
  </si>
  <si>
    <t>Hassira Siradji</t>
  </si>
  <si>
    <t>Iklima Ibrahim</t>
  </si>
  <si>
    <t>Kadidja Chitou</t>
  </si>
  <si>
    <t>Majidda Ibrahim</t>
  </si>
  <si>
    <t>Maimouna Issaka</t>
  </si>
  <si>
    <t>Mariama Bassirou</t>
  </si>
  <si>
    <t>Mariama Aboubacar</t>
  </si>
  <si>
    <t>Mariama Moustapha</t>
  </si>
  <si>
    <t>Nazifa Oumarou</t>
  </si>
  <si>
    <t>Nazifa Moussa</t>
  </si>
  <si>
    <t>Ouma Saidou</t>
  </si>
  <si>
    <t>Ramatou Yacouba</t>
  </si>
  <si>
    <t>Rachida Harouna</t>
  </si>
  <si>
    <t>Roukaya Ibrahim</t>
  </si>
  <si>
    <t>Rakia Saminou</t>
  </si>
  <si>
    <t>Siyama Ibrahim</t>
  </si>
  <si>
    <t>Silbia Chaibou</t>
  </si>
  <si>
    <t>Soumaya Massaoudou</t>
  </si>
  <si>
    <t>Zoubaida Abdou</t>
  </si>
  <si>
    <t>Zeinabou Alassan</t>
  </si>
  <si>
    <t>Yan Doto Garin Malam</t>
  </si>
  <si>
    <t>Badaria Yaou</t>
  </si>
  <si>
    <t>Haouaou Abdou Raouf</t>
  </si>
  <si>
    <t>Mabarouka Baraou</t>
  </si>
  <si>
    <t>Massaouda Halarou</t>
  </si>
  <si>
    <t>Kadija Tsahirou</t>
  </si>
  <si>
    <t>Nana Malika</t>
  </si>
  <si>
    <t>Najaatou Idrissa</t>
  </si>
  <si>
    <t>Najaatou Maaroufi</t>
  </si>
  <si>
    <t>Oulma Khair Idrissa</t>
  </si>
  <si>
    <t>Saâdia Adamou</t>
  </si>
  <si>
    <t>Safiya Amadou</t>
  </si>
  <si>
    <t>Saâdia Salissou</t>
  </si>
  <si>
    <t>Salima Yaou</t>
  </si>
  <si>
    <t>Zeinabou Abou</t>
  </si>
  <si>
    <t>Zeinab Tsahirou</t>
  </si>
  <si>
    <t>Wassila Mamoudou</t>
  </si>
  <si>
    <t>Fatima Tsahirou Yacouba</t>
  </si>
  <si>
    <t xml:space="preserve">Fatima Tsahirou </t>
  </si>
  <si>
    <t>Fatima Souleymane</t>
  </si>
  <si>
    <t>Roufaida Hakilou</t>
  </si>
  <si>
    <t>Salima Saïdou</t>
  </si>
  <si>
    <t>Zoulaha Abou</t>
  </si>
  <si>
    <t>Mata Milki</t>
  </si>
  <si>
    <t>Aïchatou Nouhou</t>
  </si>
  <si>
    <t>Annifa Issaka</t>
  </si>
  <si>
    <t>Abdou Rahamane Yaou</t>
  </si>
  <si>
    <t>Choukouriya Mountari</t>
  </si>
  <si>
    <t>Zaharaou Moussa</t>
  </si>
  <si>
    <t>Soumaya Oumarou</t>
  </si>
  <si>
    <t>Roumassaou Issaka</t>
  </si>
  <si>
    <t>Yaness Kassoumou</t>
  </si>
  <si>
    <t>Bouchira Illa</t>
  </si>
  <si>
    <t>Badaria Sani</t>
  </si>
  <si>
    <t>Chamsiya Issoufou</t>
  </si>
  <si>
    <t>Charifa Garba</t>
  </si>
  <si>
    <t>Mouhoussina Baraou</t>
  </si>
  <si>
    <t>Nisseiba Soufiya</t>
  </si>
  <si>
    <t>Nisseiba Yahouza</t>
  </si>
  <si>
    <t>Nadiya Hamissou</t>
  </si>
  <si>
    <t>Soueiba Rabiou</t>
  </si>
  <si>
    <t>Farida Adamou</t>
  </si>
  <si>
    <t>Mabarouka Boukari</t>
  </si>
  <si>
    <t>Nisseiba Inoussa</t>
  </si>
  <si>
    <t>Zaharaou Abaché</t>
  </si>
  <si>
    <t>Balkissa Hachimou</t>
  </si>
  <si>
    <t>Farida Lawali</t>
  </si>
  <si>
    <t>Faouzia Ibrahim</t>
  </si>
  <si>
    <t>Marliya Yahaya</t>
  </si>
  <si>
    <t>Rayanatou Moussa</t>
  </si>
  <si>
    <t>Rafia Lawali</t>
  </si>
  <si>
    <t>Roubeila Yaou</t>
  </si>
  <si>
    <t>Badia Bacharou</t>
  </si>
  <si>
    <t>Badaria Tsahirou</t>
  </si>
  <si>
    <t>Hadiza Sani</t>
  </si>
  <si>
    <t>Faiza Balla</t>
  </si>
  <si>
    <t>Charifa Yahaya</t>
  </si>
  <si>
    <t>Mansoura Nafiou</t>
  </si>
  <si>
    <t>Rafia Issaka</t>
  </si>
  <si>
    <t>Rachida Abdou</t>
  </si>
  <si>
    <t>Habsatou Laouali</t>
  </si>
  <si>
    <t>Farida Mamane</t>
  </si>
  <si>
    <t>Nazifa Abdoulahi</t>
  </si>
  <si>
    <t>Souéba Daouda</t>
  </si>
  <si>
    <t>SITUATION  DES ELEVES FILLES DU CM2 DES ECOLES TEMOINS LFF</t>
  </si>
  <si>
    <t>MOYENNE GENERALE DE CLASSE</t>
  </si>
  <si>
    <t>ECOLE DAN GARA</t>
  </si>
  <si>
    <t>Aïnaou Yaou</t>
  </si>
  <si>
    <t>Redouble le CM2</t>
  </si>
  <si>
    <t>Amira Laouali</t>
  </si>
  <si>
    <t>Passe au CFM</t>
  </si>
  <si>
    <t>Azima Harouna</t>
  </si>
  <si>
    <t>Baraâtou Oumarou</t>
  </si>
  <si>
    <t>Barira Djadi</t>
  </si>
  <si>
    <t>Chamsia Harouna</t>
  </si>
  <si>
    <t>Chamsia Saminou</t>
  </si>
  <si>
    <t>Charifa Harouna</t>
  </si>
  <si>
    <t>Choukouria Laouali</t>
  </si>
  <si>
    <t>Faïza Abdou Rahamane</t>
  </si>
  <si>
    <t>Farida Chaibou</t>
  </si>
  <si>
    <t>Haouaou Adamou</t>
  </si>
  <si>
    <t>Hassana Ibrahim</t>
  </si>
  <si>
    <t>Kadidjatou Ibrahim</t>
  </si>
  <si>
    <t>Kassira Sani</t>
  </si>
  <si>
    <t>Laouissa Chaïbou</t>
  </si>
  <si>
    <t>Larmatou Sani</t>
  </si>
  <si>
    <t>Maraliya Sani</t>
  </si>
  <si>
    <t>Nafissa Abdou</t>
  </si>
  <si>
    <t>Najaâtou Chaîbou</t>
  </si>
  <si>
    <t>Najaâtou Ibrahim</t>
  </si>
  <si>
    <t>Nana Latifa Saley</t>
  </si>
  <si>
    <t>Nazifa Abou</t>
  </si>
  <si>
    <t>Nisseiba Idi</t>
  </si>
  <si>
    <t>Nisseifa Adamou</t>
  </si>
  <si>
    <t>Oumma Allassan</t>
  </si>
  <si>
    <t>Roufaida Oumarou</t>
  </si>
  <si>
    <t>Saâdia Issoufou</t>
  </si>
  <si>
    <t>Sadika Moustapha</t>
  </si>
  <si>
    <t>Sahiba Hamissou</t>
  </si>
  <si>
    <t>Salamatou Ali</t>
  </si>
  <si>
    <t>Salamatou Issoufou</t>
  </si>
  <si>
    <t>Salbia Adamou</t>
  </si>
  <si>
    <t>Salima Issoufou</t>
  </si>
  <si>
    <t>Sansibila Hamissou</t>
  </si>
  <si>
    <t>Walida Saley</t>
  </si>
  <si>
    <t>Youssoura Aboubacar</t>
  </si>
  <si>
    <t>Zeinabou Idi</t>
  </si>
  <si>
    <t>Zeinabou Rabe</t>
  </si>
  <si>
    <t>ECOLE DAN BAKO</t>
  </si>
  <si>
    <t>Amara Djibo</t>
  </si>
  <si>
    <t>Anifa Halilou</t>
  </si>
  <si>
    <t>Ara'a Idi</t>
  </si>
  <si>
    <t>Assibi Moussa</t>
  </si>
  <si>
    <t>Aziza Salissou</t>
  </si>
  <si>
    <t>Baraâtou Halilou</t>
  </si>
  <si>
    <t>Baraâtou Maâzou</t>
  </si>
  <si>
    <t>Bassira Illa</t>
  </si>
  <si>
    <t>Binta Issaka</t>
  </si>
  <si>
    <t>Chaffa Harouna</t>
  </si>
  <si>
    <t>Chaffaiya Almou</t>
  </si>
  <si>
    <t>Passe au CEG</t>
  </si>
  <si>
    <t>Chamsiya Abou</t>
  </si>
  <si>
    <t>Chamsiya Garba</t>
  </si>
  <si>
    <t>Chamsiya Ibrahim</t>
  </si>
  <si>
    <t>Faïza Yahaya</t>
  </si>
  <si>
    <t>Farida Hamidan</t>
  </si>
  <si>
    <t>Farida Illia</t>
  </si>
  <si>
    <t>Farida Issaka</t>
  </si>
  <si>
    <t>Farida Mani</t>
  </si>
  <si>
    <t>Farida Souleymane</t>
  </si>
  <si>
    <t>Fati Illa</t>
  </si>
  <si>
    <t>Fatiha Nouhou</t>
  </si>
  <si>
    <t>Habsatou Mani</t>
  </si>
  <si>
    <t>Hafiza Mamane</t>
  </si>
  <si>
    <t>Halimatou Badamassi</t>
  </si>
  <si>
    <t>Halimatou Mamane</t>
  </si>
  <si>
    <t xml:space="preserve">Kadija Issaka  </t>
  </si>
  <si>
    <t>Kadija Issaka Kakalé</t>
  </si>
  <si>
    <t>Makka Daouda</t>
  </si>
  <si>
    <t xml:space="preserve">Mariam Issaka </t>
  </si>
  <si>
    <t>Massaouda Abou</t>
  </si>
  <si>
    <t>Moufida Halilou</t>
  </si>
  <si>
    <t>Mourja Yaou</t>
  </si>
  <si>
    <t>Nafissa Daouda</t>
  </si>
  <si>
    <t>Nafissa Kané</t>
  </si>
  <si>
    <t>Nafissa Mamane</t>
  </si>
  <si>
    <t>Naïma Laouali</t>
  </si>
  <si>
    <t>Nana Macharafa Mamane</t>
  </si>
  <si>
    <t>Nana Saïdou</t>
  </si>
  <si>
    <t>Nazifa Issaka</t>
  </si>
  <si>
    <t>Nousseifa Ibrahim</t>
  </si>
  <si>
    <t>Oumal Kairi Mamane</t>
  </si>
  <si>
    <t>Rabi Souley</t>
  </si>
  <si>
    <t>Rahila Saâdou</t>
  </si>
  <si>
    <t>Rakia Oumarou</t>
  </si>
  <si>
    <t>Roueda Tsahirou</t>
  </si>
  <si>
    <t>Roumanatou Mahamane</t>
  </si>
  <si>
    <t>Safaraou Hamidan</t>
  </si>
  <si>
    <t>Sahanatou Rabé</t>
  </si>
  <si>
    <t>Sahanatou Saâdou</t>
  </si>
  <si>
    <t>Sahiba Ibrahim</t>
  </si>
  <si>
    <t>Sahiba Ichaou</t>
  </si>
  <si>
    <t>Sahiba Salélé</t>
  </si>
  <si>
    <t>Saïda Moustapha</t>
  </si>
  <si>
    <t>Saïda Sabiou</t>
  </si>
  <si>
    <t>Saïma Almou</t>
  </si>
  <si>
    <t>Saratou Salissou</t>
  </si>
  <si>
    <t>Souraya Sani</t>
  </si>
  <si>
    <t>Yasmina Illia</t>
  </si>
  <si>
    <t>Zaïtouna Moussa</t>
  </si>
  <si>
    <t>Zaneib Bassirou</t>
  </si>
  <si>
    <t>Zoubeida Garba</t>
  </si>
  <si>
    <t>Zoubeida Issoufou</t>
  </si>
  <si>
    <t>ECOLE ALSAWA</t>
  </si>
  <si>
    <t>Alsawa</t>
  </si>
  <si>
    <t>Aïcha Issaka</t>
  </si>
  <si>
    <t>Chamsiya Habibou</t>
  </si>
  <si>
    <t>Faouzia Saidou</t>
  </si>
  <si>
    <t>Fatiha Laouali</t>
  </si>
  <si>
    <t>Firdaoussi Ibrahim</t>
  </si>
  <si>
    <t>Habsatou Illa</t>
  </si>
  <si>
    <t>Lawissa yaou</t>
  </si>
  <si>
    <t>Saratou Adamou</t>
  </si>
  <si>
    <t>Zaharia Saidou</t>
  </si>
  <si>
    <t>Zara Issaka</t>
  </si>
  <si>
    <t>Zoulaha Rabiou</t>
  </si>
  <si>
    <t>Redouble le CM3</t>
  </si>
  <si>
    <t>Aissara Tsayabou</t>
  </si>
  <si>
    <t>ECOLE YAN DOTO BALLA</t>
  </si>
  <si>
    <t>Yan Doto Balla</t>
  </si>
  <si>
    <t>Afida Abou</t>
  </si>
  <si>
    <t>Aïcha Tsayabou</t>
  </si>
  <si>
    <t>Aïnaou Adamou</t>
  </si>
  <si>
    <t>Amira Adamou</t>
  </si>
  <si>
    <t>Amira Boukari</t>
  </si>
  <si>
    <t>Azima Chapiou</t>
  </si>
  <si>
    <t>Azima yaou</t>
  </si>
  <si>
    <t>Bassira Moussa Nafiou</t>
  </si>
  <si>
    <t>Chamsia Haladou</t>
  </si>
  <si>
    <t>Chamsia Salissou</t>
  </si>
  <si>
    <t>Chappa Abdou</t>
  </si>
  <si>
    <t>Charifa Elh Souley</t>
  </si>
  <si>
    <t>Charifa Ousmane</t>
  </si>
  <si>
    <t>Daoussia Abou</t>
  </si>
  <si>
    <t>Fadima Inoussa</t>
  </si>
  <si>
    <t>Faïza Tassiou</t>
  </si>
  <si>
    <t>Faouziya Yaou</t>
  </si>
  <si>
    <t>Farida Haladou</t>
  </si>
  <si>
    <t>Fatima Idi</t>
  </si>
  <si>
    <t>Fatima Yahaya</t>
  </si>
  <si>
    <t>Firdaoussi Almou</t>
  </si>
  <si>
    <t>Habsatou Aminou</t>
  </si>
  <si>
    <t>Habsatou Baraou</t>
  </si>
  <si>
    <t>Hadiza Zabeirou</t>
  </si>
  <si>
    <t>Hassana Abdoul Malik</t>
  </si>
  <si>
    <t>Housseina Abdoul Malik</t>
  </si>
  <si>
    <t>kadidja Aboubacar</t>
  </si>
  <si>
    <t>Manira Almou</t>
  </si>
  <si>
    <t>Manira Haladou</t>
  </si>
  <si>
    <t>Manira Tsayabou</t>
  </si>
  <si>
    <t>Mansoura Bodo</t>
  </si>
  <si>
    <t>Mariam Salissou</t>
  </si>
  <si>
    <t>Nana Daoussia Abdou</t>
  </si>
  <si>
    <t>Nana Mariama Abdou</t>
  </si>
  <si>
    <t>Nana Mourdjanatou Saïdou</t>
  </si>
  <si>
    <t>Nana Nafissa Haladou</t>
  </si>
  <si>
    <t>Nana Roufaida Laouali</t>
  </si>
  <si>
    <t>Rafia Inoussa</t>
  </si>
  <si>
    <t>Raïna Abou Soufiane</t>
  </si>
  <si>
    <t>Rakiya Oumarou</t>
  </si>
  <si>
    <t>Raliya Abou</t>
  </si>
  <si>
    <t>Ramlatou Ibrahim</t>
  </si>
  <si>
    <t>Razina Idi</t>
  </si>
  <si>
    <t>Soumaya Halilou</t>
  </si>
  <si>
    <t>Soumaya Moussa</t>
  </si>
  <si>
    <t>Soumaya Zabeirou</t>
  </si>
  <si>
    <t>Zalbaou Amadou</t>
  </si>
  <si>
    <t>Zouwera Chaïbou</t>
  </si>
  <si>
    <t>ECOLE YAN DOTO GARIN MALAM</t>
  </si>
  <si>
    <t>Amina Illia</t>
  </si>
  <si>
    <t>Assama Noura</t>
  </si>
  <si>
    <t>Bacharia Ayouba</t>
  </si>
  <si>
    <t>Badaria Abdou Illa</t>
  </si>
  <si>
    <t>Bari'a Salissou</t>
  </si>
  <si>
    <t>Chamsia Abdou Rahaman</t>
  </si>
  <si>
    <t>Farida Yahaya</t>
  </si>
  <si>
    <t>Hapiza Mamoudou</t>
  </si>
  <si>
    <t>Manira Illa</t>
  </si>
  <si>
    <t>Massaouda Ali</t>
  </si>
  <si>
    <t>Nafissa Yacouba</t>
  </si>
  <si>
    <t>Nahawiya Yahaya</t>
  </si>
  <si>
    <t>Naïma Mani</t>
  </si>
  <si>
    <t>Najaâtou Ali</t>
  </si>
  <si>
    <t>Nana Badi'a Badamassi</t>
  </si>
  <si>
    <t>Nana Charifa Saâdou</t>
  </si>
  <si>
    <t>Nana Fadila Salissou</t>
  </si>
  <si>
    <t>Nana Hadiza Saminou</t>
  </si>
  <si>
    <t>Nana Kadija Amadou</t>
  </si>
  <si>
    <t>Nana Malika Abdoullahi</t>
  </si>
  <si>
    <t>Nana Nazira Haladou</t>
  </si>
  <si>
    <t>Nana Soumaya Saddi</t>
  </si>
  <si>
    <t>Nana Souraya Aminou</t>
  </si>
  <si>
    <t>Nazifa Harouna</t>
  </si>
  <si>
    <t>Nousseiba Nassirou</t>
  </si>
  <si>
    <t>Saratou illiassou</t>
  </si>
  <si>
    <t>Wassila Abdou Madalabi</t>
  </si>
  <si>
    <t>Wassila Sallé</t>
  </si>
  <si>
    <t>Zaharaou Ali</t>
  </si>
  <si>
    <t>ECOLE KARANBI SOFOUA</t>
  </si>
  <si>
    <t>Karambi Sofoua</t>
  </si>
  <si>
    <t>Aïcha Haladou</t>
  </si>
  <si>
    <t>Chamsiya Moutari</t>
  </si>
  <si>
    <t>Chapaatou Idrissa</t>
  </si>
  <si>
    <t>Laouratou Abdou</t>
  </si>
  <si>
    <t>Mariama Mamouda</t>
  </si>
  <si>
    <t>Rakia M Nassirou</t>
  </si>
  <si>
    <t>Ramatou Idrissa</t>
  </si>
  <si>
    <t>Safia Maâzou</t>
  </si>
  <si>
    <t>Souèba Yacouba</t>
  </si>
  <si>
    <t>Tsaluba Nouhou</t>
  </si>
  <si>
    <t>ECOLE MALLAMAI SALIFOU</t>
  </si>
  <si>
    <t>Mallamaï Salifou</t>
  </si>
  <si>
    <t>Aziza Issa</t>
  </si>
  <si>
    <t>Bacharia Laminou</t>
  </si>
  <si>
    <t>Bassira Abdoul Kadri</t>
  </si>
  <si>
    <t>Chamsiya Abdou</t>
  </si>
  <si>
    <t>Faïza Maman</t>
  </si>
  <si>
    <t>Habsatou Tsahirou</t>
  </si>
  <si>
    <t>Halimatou Laouali</t>
  </si>
  <si>
    <t>Hannatou Sabiou</t>
  </si>
  <si>
    <t>Hariya Moussa</t>
  </si>
  <si>
    <t>Houssouna Abdou</t>
  </si>
  <si>
    <t>Kadija Salissou</t>
  </si>
  <si>
    <t>Lantana Maharazou</t>
  </si>
  <si>
    <t>Mourja Lasseini</t>
  </si>
  <si>
    <t>Moustahida Tassiou</t>
  </si>
  <si>
    <t>Nafissa Souley</t>
  </si>
  <si>
    <t>Nana Chamaou Hamidine</t>
  </si>
  <si>
    <t>Ouma Maman</t>
  </si>
  <si>
    <t>Oumaima Boukari</t>
  </si>
  <si>
    <t>Rachida Salissou</t>
  </si>
  <si>
    <t>Rahiba Garba</t>
  </si>
  <si>
    <t>Ramlatou Abdoul Karim</t>
  </si>
  <si>
    <t>Sahiba Abdou</t>
  </si>
  <si>
    <t>Salima Mani</t>
  </si>
  <si>
    <t>Samira Moussa</t>
  </si>
  <si>
    <t>Saoudia Rabiou</t>
  </si>
  <si>
    <t>Soukouriya Issoufou</t>
  </si>
  <si>
    <t>Soumaya Salissou</t>
  </si>
  <si>
    <t>Souraya Abdoul Aziz</t>
  </si>
  <si>
    <t>Zahariya Adhama</t>
  </si>
  <si>
    <t>Zina Garba</t>
  </si>
  <si>
    <t>Zoubeida Souley</t>
  </si>
  <si>
    <t>ECOLE MATA MILKI</t>
  </si>
  <si>
    <t>Aïcha Inoussa</t>
  </si>
  <si>
    <t>Aïcha Yacouba</t>
  </si>
  <si>
    <t>Amira Amadou</t>
  </si>
  <si>
    <t>Amira Mamane</t>
  </si>
  <si>
    <t>Azima Issoufou</t>
  </si>
  <si>
    <t>Badia Issaka</t>
  </si>
  <si>
    <t>Redouble CM2</t>
  </si>
  <si>
    <t>Bahaira Tsahirou</t>
  </si>
  <si>
    <t>Bassira Rabé</t>
  </si>
  <si>
    <t>Chamsiya Adamou</t>
  </si>
  <si>
    <t>Chamsiya Illia</t>
  </si>
  <si>
    <t>Darsiya Hamissou</t>
  </si>
  <si>
    <t>Fadila Abou Soufiane</t>
  </si>
  <si>
    <t>Faoussiya Issoufou</t>
  </si>
  <si>
    <t>Farida Harouna</t>
  </si>
  <si>
    <t>Farida Moutari</t>
  </si>
  <si>
    <t>Fatouma Balla</t>
  </si>
  <si>
    <t>Fatouma Zara Aboubacar</t>
  </si>
  <si>
    <t>Fatouma Zara Saley</t>
  </si>
  <si>
    <t>Firdaoussi Ali</t>
  </si>
  <si>
    <t>Firdaoussi Nouhou</t>
  </si>
  <si>
    <t>Firdaoussi Sani</t>
  </si>
  <si>
    <t>Haoualatou Souley</t>
  </si>
  <si>
    <t>Kadija Issaka</t>
  </si>
  <si>
    <t>Mabarouka Abdou</t>
  </si>
  <si>
    <t>Mabarouka Ichéou</t>
  </si>
  <si>
    <t>Mariama Ousmane</t>
  </si>
  <si>
    <t>Marliya Habibou</t>
  </si>
  <si>
    <t>Naïma Baraou</t>
  </si>
  <si>
    <t>Nana Mourdjanatou Ousmane</t>
  </si>
  <si>
    <t>Oumaira Habibou</t>
  </si>
  <si>
    <t>Ousseina Boukari</t>
  </si>
  <si>
    <t>Ousseina Issaka</t>
  </si>
  <si>
    <t>Rawanatou Achirou</t>
  </si>
  <si>
    <t>Rayya Idi</t>
  </si>
  <si>
    <t>Roufaida Hamissou</t>
  </si>
  <si>
    <t>Roufaida Mati</t>
  </si>
  <si>
    <t>Roufaida Yahouza</t>
  </si>
  <si>
    <t>Saadiya Tsahirou</t>
  </si>
  <si>
    <t>Safia Allassane</t>
  </si>
  <si>
    <t>Sakina Chitou</t>
  </si>
  <si>
    <t>Salima Aminou</t>
  </si>
  <si>
    <t>Soumayya Tidjani</t>
  </si>
  <si>
    <t>Sourayya Saddi</t>
  </si>
  <si>
    <t>Yasmina Moussa</t>
  </si>
  <si>
    <t>Yousra Djamilou</t>
  </si>
  <si>
    <t>ECOLE TOUZZA</t>
  </si>
  <si>
    <t>Touzza</t>
  </si>
  <si>
    <t>Amira Harouna</t>
  </si>
  <si>
    <t>Assamaou Aboubacar</t>
  </si>
  <si>
    <t>Baraâtou Hamidou</t>
  </si>
  <si>
    <t>Chamsia Saïdou</t>
  </si>
  <si>
    <t>Chapaâtou Haladou</t>
  </si>
  <si>
    <t>Chapaâtou Issaka</t>
  </si>
  <si>
    <t>Dalila Yacouba</t>
  </si>
  <si>
    <t>Farida Chitou</t>
  </si>
  <si>
    <t>Fatchima Laouali</t>
  </si>
  <si>
    <t>Habiba Bara</t>
  </si>
  <si>
    <t>Manira Saïdou</t>
  </si>
  <si>
    <t>Rafia Abdou</t>
  </si>
  <si>
    <t>Rafia Sabiou</t>
  </si>
  <si>
    <t>Ramlatou Saïdou</t>
  </si>
  <si>
    <t>Roufaida Hassan</t>
  </si>
  <si>
    <t>Roukaya Chaïbou</t>
  </si>
  <si>
    <t>Wassila Moussa</t>
  </si>
  <si>
    <t>Yassira Kassoumou</t>
  </si>
  <si>
    <t>Zeinab Hakilou</t>
  </si>
  <si>
    <t>ECOLE TSANNA</t>
  </si>
  <si>
    <t>Tsanna</t>
  </si>
  <si>
    <t>Aïchatou Harouna</t>
  </si>
  <si>
    <t>Aïchatou Saâdou</t>
  </si>
  <si>
    <t>Azima Oumarou</t>
  </si>
  <si>
    <t>Chaffa Saâdou</t>
  </si>
  <si>
    <t>Chaffaâtou Abou</t>
  </si>
  <si>
    <t>Faouzia Saâdou</t>
  </si>
  <si>
    <t>Fatima Harouna</t>
  </si>
  <si>
    <t>Habsatou Abdou</t>
  </si>
  <si>
    <t>Hanna Saâdou</t>
  </si>
  <si>
    <t>Kadidja Mamouda</t>
  </si>
  <si>
    <t>Mafida Illia</t>
  </si>
  <si>
    <t>Marfoua Chaïbou</t>
  </si>
  <si>
    <t>Mariama Ibrahim</t>
  </si>
  <si>
    <t>Mariama Laouali</t>
  </si>
  <si>
    <t>Nana Nabila Salissou</t>
  </si>
  <si>
    <t>Nazifa Mamouda</t>
  </si>
  <si>
    <t>Rachida Adamou</t>
  </si>
  <si>
    <t>Ramatou Salissou</t>
  </si>
  <si>
    <t>Souéba Moumouni</t>
  </si>
  <si>
    <t>Yassimina Issoufou</t>
  </si>
  <si>
    <t>Zeinab Laouali</t>
  </si>
  <si>
    <t>Zeinab Maâzou</t>
  </si>
  <si>
    <t>CM1</t>
  </si>
  <si>
    <t>Ecole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</si>
  <si>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</si>
  <si>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</si>
  <si>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</si>
  <si>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</si>
  <si>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</si>
  <si>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</si>
  <si>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</si>
  <si>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</si>
  <si>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Comments</t>
  </si>
  <si>
    <t>CM2</t>
  </si>
  <si>
    <t>Presentes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</si>
</sst>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b/>
      <sz val="16.0"/>
      <color rgb="FFFF0000"/>
      <name val="Calibri"/>
    </font>
    <font>
      <b/>
      <sz val="11.0"/>
      <color theme="1"/>
      <name val="Calibri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2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3" fontId="2" numFmtId="0" xfId="0" applyBorder="1" applyFill="1" applyFont="1"/>
    <xf borderId="5" fillId="3" fontId="2" numFmtId="0" xfId="0" applyBorder="1" applyFont="1"/>
    <xf borderId="6" fillId="3" fontId="2" numFmtId="0" xfId="0" applyBorder="1" applyFont="1"/>
    <xf borderId="4" fillId="4" fontId="2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7" fillId="4" fontId="2" numFmtId="0" xfId="0" applyBorder="1" applyFont="1"/>
    <xf borderId="8" fillId="4" fontId="2" numFmtId="0" xfId="0" applyBorder="1" applyFont="1"/>
    <xf borderId="9" fillId="5" fontId="2" numFmtId="0" xfId="0" applyBorder="1" applyFill="1" applyFont="1"/>
    <xf borderId="10" fillId="3" fontId="2" numFmtId="0" xfId="0" applyBorder="1" applyFont="1"/>
    <xf borderId="11" fillId="3" fontId="2" numFmtId="0" xfId="0" applyBorder="1" applyFont="1"/>
    <xf borderId="12" fillId="3" fontId="2" numFmtId="0" xfId="0" applyBorder="1" applyFont="1"/>
    <xf borderId="10" fillId="2" fontId="2" numFmtId="0" xfId="0" applyBorder="1" applyFont="1"/>
    <xf borderId="11" fillId="2" fontId="2" numFmtId="0" xfId="0" applyBorder="1" applyFont="1"/>
    <xf borderId="12" fillId="2" fontId="2" numFmtId="0" xfId="0" applyBorder="1" applyFont="1"/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shrinkToFit="0" wrapText="1"/>
    </xf>
    <xf borderId="3" fillId="0" fontId="2" numFmtId="0" xfId="0" applyBorder="1" applyFont="1"/>
    <xf borderId="7" fillId="6" fontId="2" numFmtId="0" xfId="0" applyBorder="1" applyFill="1" applyFont="1"/>
    <xf borderId="5" fillId="6" fontId="2" numFmtId="0" xfId="0" applyBorder="1" applyFont="1"/>
    <xf borderId="8" fillId="6" fontId="2" numFmtId="0" xfId="0" applyBorder="1" applyFont="1"/>
    <xf borderId="9" fillId="6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0" fontId="3" numFmtId="0" xfId="0" applyAlignment="1" applyBorder="1" applyFont="1">
      <alignment shrinkToFit="0" vertical="top" wrapText="1"/>
    </xf>
    <xf borderId="5" fillId="0" fontId="2" numFmtId="2" xfId="0" applyAlignment="1" applyBorder="1" applyFont="1" applyNumberFormat="1">
      <alignment horizontal="center"/>
    </xf>
    <xf borderId="6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7" fillId="7" fontId="2" numFmtId="0" xfId="0" applyBorder="1" applyFill="1" applyFont="1"/>
    <xf borderId="5" fillId="7" fontId="2" numFmtId="0" xfId="0" applyBorder="1" applyFont="1"/>
    <xf borderId="5" fillId="7" fontId="3" numFmtId="0" xfId="0" applyAlignment="1" applyBorder="1" applyFont="1">
      <alignment shrinkToFit="0" vertical="top" wrapText="1"/>
    </xf>
    <xf borderId="5" fillId="7" fontId="2" numFmtId="2" xfId="0" applyAlignment="1" applyBorder="1" applyFont="1" applyNumberFormat="1">
      <alignment horizontal="center"/>
    </xf>
    <xf borderId="8" fillId="7" fontId="2" numFmtId="0" xfId="0" applyBorder="1" applyFont="1"/>
    <xf borderId="0" fillId="0" fontId="3" numFmtId="0" xfId="0" applyAlignment="1" applyFont="1">
      <alignment horizontal="left"/>
    </xf>
    <xf borderId="5" fillId="6" fontId="3" numFmtId="0" xfId="0" applyAlignment="1" applyBorder="1" applyFont="1">
      <alignment shrinkToFit="0" vertical="top" wrapText="1"/>
    </xf>
    <xf borderId="5" fillId="6" fontId="2" numFmtId="2" xfId="0" applyAlignment="1" applyBorder="1" applyFont="1" applyNumberFormat="1">
      <alignment horizontal="center"/>
    </xf>
    <xf borderId="5" fillId="0" fontId="3" numFmtId="0" xfId="0" applyBorder="1" applyFont="1"/>
    <xf borderId="5" fillId="6" fontId="3" numFmtId="0" xfId="0" applyBorder="1" applyFont="1"/>
    <xf borderId="7" fillId="7" fontId="3" numFmtId="0" xfId="0" applyAlignment="1" applyBorder="1" applyFont="1">
      <alignment vertical="top"/>
    </xf>
    <xf borderId="5" fillId="7" fontId="3" numFmtId="0" xfId="0" applyBorder="1" applyFont="1"/>
    <xf borderId="4" fillId="0" fontId="3" numFmtId="0" xfId="0" applyAlignment="1" applyBorder="1" applyFont="1">
      <alignment vertical="top"/>
    </xf>
    <xf borderId="9" fillId="6" fontId="3" numFmtId="0" xfId="0" applyAlignment="1" applyBorder="1" applyFont="1">
      <alignment horizontal="left"/>
    </xf>
    <xf borderId="0" fillId="0" fontId="3" numFmtId="0" xfId="0" applyAlignment="1" applyFont="1">
      <alignment horizontal="left" vertical="center"/>
    </xf>
    <xf borderId="4" fillId="0" fontId="2" numFmtId="0" xfId="0" applyAlignment="1" applyBorder="1" applyFont="1">
      <alignment horizontal="right" vertical="top"/>
    </xf>
    <xf borderId="7" fillId="7" fontId="2" numFmtId="0" xfId="0" applyAlignment="1" applyBorder="1" applyFont="1">
      <alignment horizontal="right" vertical="top"/>
    </xf>
    <xf borderId="13" fillId="7" fontId="2" numFmtId="0" xfId="0" applyAlignment="1" applyBorder="1" applyFont="1">
      <alignment horizontal="right" vertical="top"/>
    </xf>
    <xf borderId="14" fillId="7" fontId="3" numFmtId="0" xfId="0" applyBorder="1" applyFont="1"/>
    <xf borderId="14" fillId="7" fontId="2" numFmtId="2" xfId="0" applyAlignment="1" applyBorder="1" applyFont="1" applyNumberFormat="1">
      <alignment horizontal="center"/>
    </xf>
    <xf borderId="15" fillId="7" fontId="2" numFmtId="0" xfId="0" applyBorder="1" applyFont="1"/>
    <xf borderId="10" fillId="0" fontId="2" numFmtId="0" xfId="0" applyAlignment="1" applyBorder="1" applyFont="1">
      <alignment horizontal="right" vertical="top"/>
    </xf>
    <xf borderId="11" fillId="0" fontId="3" numFmtId="0" xfId="0" applyBorder="1" applyFont="1"/>
    <xf borderId="11" fillId="0" fontId="2" numFmtId="0" xfId="0" applyAlignment="1" applyBorder="1" applyFont="1">
      <alignment horizontal="center"/>
    </xf>
    <xf borderId="12" fillId="0" fontId="2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6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17" fillId="3" fontId="2" numFmtId="0" xfId="0" applyBorder="1" applyFont="1"/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10" xfId="0" applyFont="1" applyNumberFormat="1"/>
    <xf borderId="0" fillId="0" fontId="7" numFmtId="0" xfId="0" applyFont="1"/>
    <xf borderId="5" fillId="0" fontId="8" numFmtId="0" xfId="0" applyBorder="1" applyFont="1"/>
    <xf borderId="18" fillId="0" fontId="2" numFmtId="0" xfId="0" applyBorder="1" applyFont="1"/>
    <xf borderId="5" fillId="3" fontId="8" numFmtId="0" xfId="0" applyBorder="1" applyFont="1"/>
    <xf borderId="19" fillId="6" fontId="8" numFmtId="0" xfId="0" applyBorder="1" applyFont="1"/>
    <xf borderId="9" fillId="6" fontId="2" numFmtId="0" xfId="0" applyBorder="1" applyFont="1"/>
    <xf borderId="9" fillId="6" fontId="2" numFmtId="10" xfId="0" applyBorder="1" applyFont="1" applyNumberFormat="1"/>
    <xf borderId="0" fillId="0" fontId="9" numFmtId="0" xfId="0" applyAlignment="1" applyFont="1">
      <alignment vertical="center"/>
    </xf>
    <xf borderId="0" fillId="0" fontId="5" numFmtId="10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2" numFmtId="10" xfId="0" applyAlignment="1" applyFont="1" applyNumberForma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4" pivot="0" name="CM2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CM1 &amp; CM2 Metric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M1 &amp; CM2 Metrics-style 2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8:E345" displayName="Table_1" name="Table_1" id="1">
  <tableColumns count="5">
    <tableColumn totalsRowFunction="custom" name="N°" id="1"/>
    <tableColumn name="ECOLE" id="2"/>
    <tableColumn name="NOM ET PRENOMS" id="3"/>
    <tableColumn name="MOYENNE GENERALE DE CLASSE" id="4"/>
    <tableColumn totalsRowFunction="custom" name="OBSERVATION" id="5"/>
  </tableColumns>
  <tableStyleInfo name="CM2-style" showColumnStripes="0" showFirstColumn="1" showLastColumn="1" showRowStripes="1"/>
</table>
</file>

<file path=xl/tables/table2.xml><?xml version="1.0" encoding="utf-8"?>
<table xmlns="http://schemas.openxmlformats.org/spreadsheetml/2006/main" totalsRowCount="1" ref="A6:J12" displayName="Table_2" name="Table_2" id="2">
  <tableColumns count="10">
    <tableColumn name="Ecole" id="1"/>
    <tableColumn totalsRowFunction="custom" name="Insrites" id="2"/>
    <tableColumn totalsRowFunction="custom" name="Abandonee #" id="3"/>
    <tableColumn totalsRowFunction="custom" name="Presentes" id="4"/>
    <tableColumn totalsRowFunction="custom" name="Admises #" id="5"/>
    <tableColumn totalsRowFunction="custom" name="Non Admise #" id="6"/>
    <tableColumn name="Abandonee %" id="7"/>
    <tableColumn totalsRowFunction="custom" name="Admises %" id="8"/>
    <tableColumn totalsRowFunction="custom" name="Non Admise %" id="9"/>
    <tableColumn name="Comments" id="10"/>
  </tableColumns>
  <tableStyleInfo name="CM1 &amp; CM2 Metrics-style" showColumnStripes="0" showFirstColumn="1" showLastColumn="1" showRowStripes="1"/>
</table>
</file>

<file path=xl/tables/table3.xml><?xml version="1.0" encoding="utf-8"?>
<table xmlns="http://schemas.openxmlformats.org/spreadsheetml/2006/main" totalsRowCount="1" ref="A14:J25" displayName="Table_3" name="Table_3" id="3">
  <tableColumns count="10">
    <tableColumn name="Ecole" id="1"/>
    <tableColumn totalsRowFunction="custom" name="Insrites" id="2"/>
    <tableColumn totalsRowFunction="custom" name="Abandonee #" id="3"/>
    <tableColumn totalsRowFunction="custom" name="Presentes #" id="4"/>
    <tableColumn totalsRowFunction="custom" name="Admises #" id="5"/>
    <tableColumn totalsRowFunction="custom" name="Non Admise #" id="6"/>
    <tableColumn totalsRowFunction="custom" name="Abandonee %" id="7"/>
    <tableColumn totalsRowFunction="custom" name="Admises %" id="8"/>
    <tableColumn totalsRowFunction="custom" name="Non Admise %" id="9"/>
    <tableColumn name="Comments" id="10"/>
  </tableColumns>
  <tableStyleInfo name="CM1 &amp; CM2 Metric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43"/>
    <col customWidth="1" min="3" max="3" width="23.86"/>
    <col customWidth="1" min="4" max="4" width="11.43"/>
    <col customWidth="1" min="5" max="5" width="16.14"/>
    <col customWidth="1" min="6" max="26" width="10.86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/>
    <row r="6" ht="14.25" customHeight="1">
      <c r="A6" s="1" t="s">
        <v>4</v>
      </c>
    </row>
    <row r="7" ht="14.25" customHeight="1"/>
    <row r="8" ht="14.25" customHeight="1">
      <c r="A8" s="2" t="s">
        <v>5</v>
      </c>
      <c r="B8" s="3" t="s">
        <v>6</v>
      </c>
      <c r="C8" s="3" t="s">
        <v>7</v>
      </c>
      <c r="D8" s="3" t="s">
        <v>8</v>
      </c>
      <c r="E8" s="4" t="s">
        <v>9</v>
      </c>
    </row>
    <row r="9" ht="14.25" customHeight="1">
      <c r="A9" s="5">
        <v>1.0</v>
      </c>
      <c r="B9" s="6" t="s">
        <v>10</v>
      </c>
      <c r="C9" s="6" t="s">
        <v>11</v>
      </c>
      <c r="D9" s="6">
        <v>6.34</v>
      </c>
      <c r="E9" s="7" t="s">
        <v>12</v>
      </c>
    </row>
    <row r="10" ht="14.25" customHeight="1">
      <c r="A10" s="8">
        <v>2.0</v>
      </c>
      <c r="B10" s="9" t="s">
        <v>10</v>
      </c>
      <c r="C10" s="9" t="s">
        <v>13</v>
      </c>
      <c r="D10" s="9">
        <v>9.46</v>
      </c>
      <c r="E10" s="10" t="s">
        <v>12</v>
      </c>
    </row>
    <row r="11" ht="14.25" customHeight="1">
      <c r="A11" s="5">
        <v>3.0</v>
      </c>
      <c r="B11" s="6" t="s">
        <v>10</v>
      </c>
      <c r="C11" s="6" t="s">
        <v>14</v>
      </c>
      <c r="D11" s="6">
        <v>7.67</v>
      </c>
      <c r="E11" s="7" t="s">
        <v>12</v>
      </c>
    </row>
    <row r="12" ht="14.25" customHeight="1">
      <c r="A12" s="8">
        <v>4.0</v>
      </c>
      <c r="B12" s="9" t="s">
        <v>10</v>
      </c>
      <c r="C12" s="9" t="s">
        <v>15</v>
      </c>
      <c r="D12" s="9">
        <v>5.27</v>
      </c>
      <c r="E12" s="10" t="s">
        <v>12</v>
      </c>
    </row>
    <row r="13" ht="14.25" customHeight="1">
      <c r="A13" s="5">
        <v>5.0</v>
      </c>
      <c r="B13" s="6" t="s">
        <v>10</v>
      </c>
      <c r="C13" s="6" t="s">
        <v>16</v>
      </c>
      <c r="D13" s="6">
        <v>4.57</v>
      </c>
      <c r="E13" s="7" t="s">
        <v>12</v>
      </c>
    </row>
    <row r="14" ht="14.25" customHeight="1">
      <c r="A14" s="8">
        <v>6.0</v>
      </c>
      <c r="B14" s="9" t="s">
        <v>10</v>
      </c>
      <c r="C14" s="9" t="s">
        <v>17</v>
      </c>
      <c r="D14" s="9">
        <v>5.31</v>
      </c>
      <c r="E14" s="10" t="s">
        <v>12</v>
      </c>
    </row>
    <row r="15" ht="14.25" customHeight="1">
      <c r="A15" s="5">
        <v>7.0</v>
      </c>
      <c r="B15" s="6" t="s">
        <v>10</v>
      </c>
      <c r="C15" s="6" t="s">
        <v>18</v>
      </c>
      <c r="D15" s="6">
        <v>3.51</v>
      </c>
      <c r="E15" s="7" t="s">
        <v>19</v>
      </c>
    </row>
    <row r="16" ht="14.25" customHeight="1">
      <c r="A16" s="8">
        <v>8.0</v>
      </c>
      <c r="B16" s="9" t="s">
        <v>10</v>
      </c>
      <c r="C16" s="9" t="s">
        <v>20</v>
      </c>
      <c r="D16" s="9">
        <v>3.68</v>
      </c>
      <c r="E16" s="10" t="s">
        <v>19</v>
      </c>
    </row>
    <row r="17" ht="14.25" customHeight="1">
      <c r="A17" s="5">
        <v>9.0</v>
      </c>
      <c r="B17" s="6" t="s">
        <v>10</v>
      </c>
      <c r="C17" s="6" t="s">
        <v>21</v>
      </c>
      <c r="D17" s="6">
        <v>4.58</v>
      </c>
      <c r="E17" s="7" t="s">
        <v>12</v>
      </c>
    </row>
    <row r="18" ht="14.25" customHeight="1">
      <c r="A18" s="8">
        <v>10.0</v>
      </c>
      <c r="B18" s="9" t="s">
        <v>10</v>
      </c>
      <c r="C18" s="9" t="s">
        <v>22</v>
      </c>
      <c r="D18" s="9">
        <v>4.56</v>
      </c>
      <c r="E18" s="10" t="s">
        <v>12</v>
      </c>
    </row>
    <row r="19" ht="14.25" customHeight="1">
      <c r="A19" s="5">
        <v>11.0</v>
      </c>
      <c r="B19" s="6" t="s">
        <v>10</v>
      </c>
      <c r="C19" s="6" t="s">
        <v>23</v>
      </c>
      <c r="D19" s="6">
        <v>7.45</v>
      </c>
      <c r="E19" s="7" t="s">
        <v>12</v>
      </c>
    </row>
    <row r="20" ht="14.25" customHeight="1">
      <c r="A20" s="8">
        <v>12.0</v>
      </c>
      <c r="B20" s="9" t="s">
        <v>10</v>
      </c>
      <c r="C20" s="9" t="s">
        <v>24</v>
      </c>
      <c r="D20" s="9">
        <v>3.8</v>
      </c>
      <c r="E20" s="10" t="s">
        <v>19</v>
      </c>
    </row>
    <row r="21" ht="14.25" customHeight="1">
      <c r="A21" s="5">
        <v>13.0</v>
      </c>
      <c r="B21" s="6" t="s">
        <v>10</v>
      </c>
      <c r="C21" s="6" t="s">
        <v>25</v>
      </c>
      <c r="D21" s="6">
        <v>3.66</v>
      </c>
      <c r="E21" s="7" t="s">
        <v>19</v>
      </c>
    </row>
    <row r="22" ht="14.25" customHeight="1">
      <c r="A22" s="8">
        <v>14.0</v>
      </c>
      <c r="B22" s="9" t="s">
        <v>10</v>
      </c>
      <c r="C22" s="9" t="s">
        <v>26</v>
      </c>
      <c r="D22" s="9">
        <v>3.5</v>
      </c>
      <c r="E22" s="10" t="s">
        <v>19</v>
      </c>
    </row>
    <row r="23" ht="14.25" customHeight="1">
      <c r="A23" s="5">
        <v>15.0</v>
      </c>
      <c r="B23" s="6" t="s">
        <v>10</v>
      </c>
      <c r="C23" s="6" t="s">
        <v>27</v>
      </c>
      <c r="D23" s="6">
        <v>8.51</v>
      </c>
      <c r="E23" s="7" t="s">
        <v>12</v>
      </c>
    </row>
    <row r="24" ht="14.25" customHeight="1">
      <c r="A24" s="8">
        <v>16.0</v>
      </c>
      <c r="B24" s="9" t="s">
        <v>10</v>
      </c>
      <c r="C24" s="9" t="s">
        <v>28</v>
      </c>
      <c r="D24" s="9">
        <v>4.78</v>
      </c>
      <c r="E24" s="10" t="s">
        <v>12</v>
      </c>
    </row>
    <row r="25" ht="14.25" customHeight="1">
      <c r="A25" s="5">
        <v>17.0</v>
      </c>
      <c r="B25" s="6" t="s">
        <v>10</v>
      </c>
      <c r="C25" s="6" t="s">
        <v>29</v>
      </c>
      <c r="D25" s="6">
        <v>4.85</v>
      </c>
      <c r="E25" s="7" t="s">
        <v>12</v>
      </c>
    </row>
    <row r="26" ht="14.25" customHeight="1">
      <c r="A26" s="8">
        <v>18.0</v>
      </c>
      <c r="B26" s="9" t="s">
        <v>10</v>
      </c>
      <c r="C26" s="9" t="s">
        <v>30</v>
      </c>
      <c r="D26" s="9">
        <v>4.9</v>
      </c>
      <c r="E26" s="10" t="s">
        <v>12</v>
      </c>
    </row>
    <row r="27" ht="14.25" customHeight="1">
      <c r="A27" s="5">
        <v>19.0</v>
      </c>
      <c r="B27" s="6" t="s">
        <v>10</v>
      </c>
      <c r="C27" s="6" t="s">
        <v>31</v>
      </c>
      <c r="D27" s="6">
        <v>4.69</v>
      </c>
      <c r="E27" s="7" t="s">
        <v>12</v>
      </c>
    </row>
    <row r="28" ht="14.25" customHeight="1">
      <c r="A28" s="8">
        <v>20.0</v>
      </c>
      <c r="B28" s="9" t="s">
        <v>10</v>
      </c>
      <c r="C28" s="9" t="s">
        <v>32</v>
      </c>
      <c r="D28" s="9">
        <v>3.4</v>
      </c>
      <c r="E28" s="10" t="s">
        <v>19</v>
      </c>
    </row>
    <row r="29" ht="14.25" customHeight="1">
      <c r="A29" s="5">
        <v>21.0</v>
      </c>
      <c r="B29" s="6" t="s">
        <v>10</v>
      </c>
      <c r="C29" s="6" t="s">
        <v>33</v>
      </c>
      <c r="D29" s="6">
        <v>6.07</v>
      </c>
      <c r="E29" s="7" t="s">
        <v>12</v>
      </c>
    </row>
    <row r="30" ht="14.25" customHeight="1">
      <c r="A30" s="8">
        <v>22.0</v>
      </c>
      <c r="B30" s="9" t="s">
        <v>10</v>
      </c>
      <c r="C30" s="9" t="s">
        <v>34</v>
      </c>
      <c r="D30" s="9">
        <v>3.42</v>
      </c>
      <c r="E30" s="10" t="s">
        <v>19</v>
      </c>
    </row>
    <row r="31" ht="14.25" customHeight="1">
      <c r="A31" s="5">
        <v>23.0</v>
      </c>
      <c r="B31" s="6" t="s">
        <v>10</v>
      </c>
      <c r="C31" s="6" t="s">
        <v>35</v>
      </c>
      <c r="D31" s="6">
        <v>2.8</v>
      </c>
      <c r="E31" s="7" t="s">
        <v>19</v>
      </c>
    </row>
    <row r="32" ht="14.25" customHeight="1">
      <c r="A32" s="8">
        <v>24.0</v>
      </c>
      <c r="B32" s="9" t="s">
        <v>36</v>
      </c>
      <c r="C32" s="9" t="s">
        <v>37</v>
      </c>
      <c r="D32" s="9">
        <v>5.44</v>
      </c>
      <c r="E32" s="10" t="s">
        <v>12</v>
      </c>
    </row>
    <row r="33" ht="14.25" customHeight="1">
      <c r="A33" s="5">
        <v>25.0</v>
      </c>
      <c r="B33" s="6" t="s">
        <v>36</v>
      </c>
      <c r="C33" s="6" t="s">
        <v>38</v>
      </c>
      <c r="D33" s="6">
        <v>8.76</v>
      </c>
      <c r="E33" s="7" t="s">
        <v>12</v>
      </c>
    </row>
    <row r="34" ht="14.25" customHeight="1">
      <c r="A34" s="8">
        <v>26.0</v>
      </c>
      <c r="B34" s="9" t="s">
        <v>36</v>
      </c>
      <c r="C34" s="9" t="s">
        <v>39</v>
      </c>
      <c r="D34" s="9">
        <v>4.55</v>
      </c>
      <c r="E34" s="10" t="s">
        <v>12</v>
      </c>
    </row>
    <row r="35" ht="14.25" customHeight="1">
      <c r="A35" s="5">
        <v>27.0</v>
      </c>
      <c r="B35" s="6" t="s">
        <v>36</v>
      </c>
      <c r="C35" s="6" t="s">
        <v>40</v>
      </c>
      <c r="D35" s="6">
        <v>6.32</v>
      </c>
      <c r="E35" s="7" t="s">
        <v>12</v>
      </c>
    </row>
    <row r="36" ht="14.25" customHeight="1">
      <c r="A36" s="8">
        <v>28.0</v>
      </c>
      <c r="B36" s="9" t="s">
        <v>36</v>
      </c>
      <c r="C36" s="9" t="s">
        <v>18</v>
      </c>
      <c r="D36" s="9">
        <v>6.35</v>
      </c>
      <c r="E36" s="10" t="s">
        <v>12</v>
      </c>
    </row>
    <row r="37" ht="14.25" customHeight="1">
      <c r="A37" s="5">
        <v>29.0</v>
      </c>
      <c r="B37" s="6" t="s">
        <v>36</v>
      </c>
      <c r="C37" s="6" t="s">
        <v>41</v>
      </c>
      <c r="D37" s="6">
        <v>5.05</v>
      </c>
      <c r="E37" s="7" t="s">
        <v>12</v>
      </c>
    </row>
    <row r="38" ht="14.25" customHeight="1">
      <c r="A38" s="8">
        <v>30.0</v>
      </c>
      <c r="B38" s="9" t="s">
        <v>36</v>
      </c>
      <c r="C38" s="9" t="s">
        <v>42</v>
      </c>
      <c r="D38" s="9">
        <v>4.7</v>
      </c>
      <c r="E38" s="10" t="s">
        <v>12</v>
      </c>
    </row>
    <row r="39" ht="14.25" customHeight="1">
      <c r="A39" s="5">
        <v>31.0</v>
      </c>
      <c r="B39" s="6" t="s">
        <v>36</v>
      </c>
      <c r="C39" s="6" t="s">
        <v>43</v>
      </c>
      <c r="D39" s="6">
        <v>3.85</v>
      </c>
      <c r="E39" s="7" t="s">
        <v>19</v>
      </c>
    </row>
    <row r="40" ht="14.25" customHeight="1">
      <c r="A40" s="8">
        <v>32.0</v>
      </c>
      <c r="B40" s="9" t="s">
        <v>36</v>
      </c>
      <c r="C40" s="9" t="s">
        <v>44</v>
      </c>
      <c r="D40" s="9">
        <v>3.85</v>
      </c>
      <c r="E40" s="10" t="s">
        <v>19</v>
      </c>
    </row>
    <row r="41" ht="14.25" customHeight="1">
      <c r="A41" s="5">
        <v>33.0</v>
      </c>
      <c r="B41" s="6" t="s">
        <v>36</v>
      </c>
      <c r="C41" s="6" t="s">
        <v>45</v>
      </c>
      <c r="D41" s="6">
        <v>9.67</v>
      </c>
      <c r="E41" s="7" t="s">
        <v>12</v>
      </c>
    </row>
    <row r="42" ht="14.25" customHeight="1">
      <c r="A42" s="8">
        <v>34.0</v>
      </c>
      <c r="B42" s="9" t="s">
        <v>36</v>
      </c>
      <c r="C42" s="9" t="s">
        <v>46</v>
      </c>
      <c r="D42" s="9">
        <v>6.47</v>
      </c>
      <c r="E42" s="10" t="s">
        <v>12</v>
      </c>
    </row>
    <row r="43" ht="14.25" customHeight="1">
      <c r="A43" s="5">
        <v>35.0</v>
      </c>
      <c r="B43" s="6" t="s">
        <v>36</v>
      </c>
      <c r="C43" s="6" t="s">
        <v>47</v>
      </c>
      <c r="D43" s="6">
        <v>5.52</v>
      </c>
      <c r="E43" s="7" t="s">
        <v>12</v>
      </c>
    </row>
    <row r="44" ht="14.25" customHeight="1">
      <c r="A44" s="8">
        <v>36.0</v>
      </c>
      <c r="B44" s="9" t="s">
        <v>36</v>
      </c>
      <c r="C44" s="9" t="s">
        <v>48</v>
      </c>
      <c r="D44" s="9">
        <v>5.11</v>
      </c>
      <c r="E44" s="10" t="s">
        <v>12</v>
      </c>
    </row>
    <row r="45" ht="14.25" customHeight="1">
      <c r="A45" s="5">
        <v>37.0</v>
      </c>
      <c r="B45" s="6" t="s">
        <v>36</v>
      </c>
      <c r="C45" s="6" t="s">
        <v>49</v>
      </c>
      <c r="D45" s="6">
        <v>9.23</v>
      </c>
      <c r="E45" s="7" t="s">
        <v>12</v>
      </c>
    </row>
    <row r="46" ht="14.25" customHeight="1">
      <c r="A46" s="8">
        <v>38.0</v>
      </c>
      <c r="B46" s="9" t="s">
        <v>36</v>
      </c>
      <c r="C46" s="9" t="s">
        <v>50</v>
      </c>
      <c r="D46" s="9">
        <v>6.35</v>
      </c>
      <c r="E46" s="10" t="s">
        <v>12</v>
      </c>
    </row>
    <row r="47" ht="14.25" customHeight="1">
      <c r="A47" s="5">
        <v>39.0</v>
      </c>
      <c r="B47" s="6" t="s">
        <v>36</v>
      </c>
      <c r="C47" s="6" t="s">
        <v>51</v>
      </c>
      <c r="D47" s="6">
        <v>4.58</v>
      </c>
      <c r="E47" s="7" t="s">
        <v>12</v>
      </c>
    </row>
    <row r="48" ht="14.25" customHeight="1">
      <c r="A48" s="8">
        <v>40.0</v>
      </c>
      <c r="B48" s="9" t="s">
        <v>36</v>
      </c>
      <c r="C48" s="9" t="s">
        <v>52</v>
      </c>
      <c r="D48" s="9">
        <v>3.94</v>
      </c>
      <c r="E48" s="10" t="s">
        <v>19</v>
      </c>
    </row>
    <row r="49" ht="14.25" customHeight="1">
      <c r="A49" s="5">
        <v>41.0</v>
      </c>
      <c r="B49" s="6" t="s">
        <v>36</v>
      </c>
      <c r="C49" s="6" t="s">
        <v>53</v>
      </c>
      <c r="D49" s="6">
        <v>5.02</v>
      </c>
      <c r="E49" s="7" t="s">
        <v>12</v>
      </c>
    </row>
    <row r="50" ht="14.25" customHeight="1">
      <c r="A50" s="8">
        <v>42.0</v>
      </c>
      <c r="B50" s="9" t="s">
        <v>36</v>
      </c>
      <c r="C50" s="9" t="s">
        <v>54</v>
      </c>
      <c r="D50" s="9">
        <v>9.82</v>
      </c>
      <c r="E50" s="10" t="s">
        <v>12</v>
      </c>
    </row>
    <row r="51" ht="14.25" customHeight="1">
      <c r="A51" s="5">
        <v>43.0</v>
      </c>
      <c r="B51" s="6" t="s">
        <v>36</v>
      </c>
      <c r="C51" s="6" t="s">
        <v>55</v>
      </c>
      <c r="D51" s="6">
        <v>5.94</v>
      </c>
      <c r="E51" s="7" t="s">
        <v>12</v>
      </c>
    </row>
    <row r="52" ht="14.25" customHeight="1">
      <c r="A52" s="8">
        <v>44.0</v>
      </c>
      <c r="B52" s="9" t="s">
        <v>36</v>
      </c>
      <c r="C52" s="9" t="s">
        <v>56</v>
      </c>
      <c r="D52" s="9">
        <v>3.35</v>
      </c>
      <c r="E52" s="10" t="s">
        <v>19</v>
      </c>
    </row>
    <row r="53" ht="14.25" customHeight="1">
      <c r="A53" s="5">
        <v>45.0</v>
      </c>
      <c r="B53" s="6" t="s">
        <v>36</v>
      </c>
      <c r="C53" s="6" t="s">
        <v>57</v>
      </c>
      <c r="D53" s="6">
        <v>8.17</v>
      </c>
      <c r="E53" s="7" t="s">
        <v>12</v>
      </c>
    </row>
    <row r="54" ht="14.25" customHeight="1">
      <c r="A54" s="8">
        <v>46.0</v>
      </c>
      <c r="B54" s="9" t="s">
        <v>36</v>
      </c>
      <c r="C54" s="9" t="s">
        <v>58</v>
      </c>
      <c r="D54" s="9">
        <v>6.08</v>
      </c>
      <c r="E54" s="10" t="s">
        <v>12</v>
      </c>
    </row>
    <row r="55" ht="14.25" customHeight="1">
      <c r="A55" s="5">
        <v>47.0</v>
      </c>
      <c r="B55" s="6" t="s">
        <v>36</v>
      </c>
      <c r="C55" s="6" t="s">
        <v>59</v>
      </c>
      <c r="D55" s="6">
        <v>5.11</v>
      </c>
      <c r="E55" s="7" t="s">
        <v>12</v>
      </c>
    </row>
    <row r="56" ht="14.25" customHeight="1">
      <c r="A56" s="8">
        <v>48.0</v>
      </c>
      <c r="B56" s="9" t="s">
        <v>36</v>
      </c>
      <c r="C56" s="9" t="s">
        <v>60</v>
      </c>
      <c r="D56" s="9">
        <v>4.55</v>
      </c>
      <c r="E56" s="10" t="s">
        <v>12</v>
      </c>
    </row>
    <row r="57" ht="14.25" customHeight="1">
      <c r="A57" s="5">
        <v>49.0</v>
      </c>
      <c r="B57" s="6" t="s">
        <v>36</v>
      </c>
      <c r="C57" s="6" t="s">
        <v>61</v>
      </c>
      <c r="D57" s="6">
        <v>3.9</v>
      </c>
      <c r="E57" s="7" t="s">
        <v>19</v>
      </c>
    </row>
    <row r="58" ht="14.25" customHeight="1">
      <c r="A58" s="8">
        <v>50.0</v>
      </c>
      <c r="B58" s="9" t="s">
        <v>36</v>
      </c>
      <c r="C58" s="9" t="s">
        <v>62</v>
      </c>
      <c r="D58" s="9">
        <v>3.7</v>
      </c>
      <c r="E58" s="10" t="s">
        <v>19</v>
      </c>
    </row>
    <row r="59" ht="14.25" customHeight="1">
      <c r="A59" s="5">
        <v>51.0</v>
      </c>
      <c r="B59" s="6" t="s">
        <v>36</v>
      </c>
      <c r="C59" s="6" t="s">
        <v>63</v>
      </c>
      <c r="D59" s="6">
        <v>3.7</v>
      </c>
      <c r="E59" s="7" t="s">
        <v>19</v>
      </c>
    </row>
    <row r="60" ht="14.25" customHeight="1">
      <c r="A60" s="8">
        <v>52.0</v>
      </c>
      <c r="B60" s="9" t="s">
        <v>36</v>
      </c>
      <c r="C60" s="9" t="s">
        <v>64</v>
      </c>
      <c r="D60" s="9">
        <v>4.5</v>
      </c>
      <c r="E60" s="10" t="s">
        <v>12</v>
      </c>
    </row>
    <row r="61" ht="14.25" customHeight="1">
      <c r="A61" s="5">
        <v>53.0</v>
      </c>
      <c r="B61" s="6" t="s">
        <v>36</v>
      </c>
      <c r="C61" s="6" t="s">
        <v>65</v>
      </c>
      <c r="D61" s="6">
        <v>3.46</v>
      </c>
      <c r="E61" s="7" t="s">
        <v>19</v>
      </c>
    </row>
    <row r="62" ht="14.25" customHeight="1">
      <c r="A62" s="8">
        <v>54.0</v>
      </c>
      <c r="B62" s="9" t="s">
        <v>36</v>
      </c>
      <c r="C62" s="9" t="s">
        <v>66</v>
      </c>
      <c r="D62" s="9">
        <v>4.52</v>
      </c>
      <c r="E62" s="10" t="s">
        <v>12</v>
      </c>
    </row>
    <row r="63" ht="14.25" customHeight="1">
      <c r="A63" s="5">
        <v>55.0</v>
      </c>
      <c r="B63" s="6" t="s">
        <v>36</v>
      </c>
      <c r="C63" s="6" t="s">
        <v>67</v>
      </c>
      <c r="D63" s="6">
        <v>3.4</v>
      </c>
      <c r="E63" s="7" t="s">
        <v>19</v>
      </c>
    </row>
    <row r="64" ht="14.25" customHeight="1">
      <c r="A64" s="8">
        <v>56.0</v>
      </c>
      <c r="B64" s="9" t="s">
        <v>36</v>
      </c>
      <c r="C64" s="9" t="s">
        <v>68</v>
      </c>
      <c r="D64" s="9">
        <v>3.35</v>
      </c>
      <c r="E64" s="10" t="s">
        <v>19</v>
      </c>
    </row>
    <row r="65" ht="14.25" customHeight="1">
      <c r="A65" s="5">
        <v>57.0</v>
      </c>
      <c r="B65" s="6" t="s">
        <v>36</v>
      </c>
      <c r="C65" s="6" t="s">
        <v>69</v>
      </c>
      <c r="D65" s="6">
        <v>3.3</v>
      </c>
      <c r="E65" s="7" t="s">
        <v>19</v>
      </c>
    </row>
    <row r="66" ht="14.25" customHeight="1">
      <c r="A66" s="8">
        <v>58.0</v>
      </c>
      <c r="B66" s="9" t="s">
        <v>36</v>
      </c>
      <c r="C66" s="9" t="s">
        <v>70</v>
      </c>
      <c r="D66" s="9">
        <v>3.27</v>
      </c>
      <c r="E66" s="10" t="s">
        <v>19</v>
      </c>
    </row>
    <row r="67" ht="14.25" customHeight="1">
      <c r="A67" s="5">
        <v>59.0</v>
      </c>
      <c r="B67" s="6" t="s">
        <v>36</v>
      </c>
      <c r="C67" s="6" t="s">
        <v>71</v>
      </c>
      <c r="D67" s="6">
        <v>3.2</v>
      </c>
      <c r="E67" s="7" t="s">
        <v>19</v>
      </c>
    </row>
    <row r="68" ht="14.25" customHeight="1">
      <c r="A68" s="8">
        <v>60.0</v>
      </c>
      <c r="B68" s="9" t="s">
        <v>72</v>
      </c>
      <c r="C68" s="9" t="s">
        <v>73</v>
      </c>
      <c r="D68" s="9">
        <v>4.06</v>
      </c>
      <c r="E68" s="10" t="s">
        <v>19</v>
      </c>
    </row>
    <row r="69" ht="14.25" customHeight="1">
      <c r="A69" s="5">
        <v>61.0</v>
      </c>
      <c r="B69" s="6" t="s">
        <v>72</v>
      </c>
      <c r="C69" s="6" t="s">
        <v>74</v>
      </c>
      <c r="D69" s="6">
        <v>1.6</v>
      </c>
      <c r="E69" s="7" t="s">
        <v>19</v>
      </c>
    </row>
    <row r="70" ht="14.25" customHeight="1">
      <c r="A70" s="8">
        <v>62.0</v>
      </c>
      <c r="B70" s="9" t="s">
        <v>72</v>
      </c>
      <c r="C70" s="9" t="s">
        <v>75</v>
      </c>
      <c r="D70" s="9">
        <v>4.53</v>
      </c>
      <c r="E70" s="10" t="s">
        <v>12</v>
      </c>
    </row>
    <row r="71" ht="14.25" customHeight="1">
      <c r="A71" s="5">
        <v>63.0</v>
      </c>
      <c r="B71" s="6" t="s">
        <v>72</v>
      </c>
      <c r="C71" s="6" t="s">
        <v>76</v>
      </c>
      <c r="D71" s="6">
        <v>8.53</v>
      </c>
      <c r="E71" s="7" t="s">
        <v>12</v>
      </c>
    </row>
    <row r="72" ht="14.25" customHeight="1">
      <c r="A72" s="8">
        <v>64.0</v>
      </c>
      <c r="B72" s="9" t="s">
        <v>72</v>
      </c>
      <c r="C72" s="9" t="s">
        <v>77</v>
      </c>
      <c r="D72" s="9">
        <v>3.86</v>
      </c>
      <c r="E72" s="10" t="s">
        <v>19</v>
      </c>
    </row>
    <row r="73" ht="14.25" customHeight="1">
      <c r="A73" s="5">
        <v>65.0</v>
      </c>
      <c r="B73" s="6" t="s">
        <v>72</v>
      </c>
      <c r="C73" s="6" t="s">
        <v>78</v>
      </c>
      <c r="D73" s="6">
        <v>4.53</v>
      </c>
      <c r="E73" s="7" t="s">
        <v>12</v>
      </c>
    </row>
    <row r="74" ht="14.25" customHeight="1">
      <c r="A74" s="8">
        <v>66.0</v>
      </c>
      <c r="B74" s="9" t="s">
        <v>72</v>
      </c>
      <c r="C74" s="9" t="s">
        <v>79</v>
      </c>
      <c r="D74" s="9">
        <v>4.93</v>
      </c>
      <c r="E74" s="10" t="s">
        <v>12</v>
      </c>
    </row>
    <row r="75" ht="14.25" customHeight="1">
      <c r="A75" s="5">
        <v>67.0</v>
      </c>
      <c r="B75" s="6" t="s">
        <v>72</v>
      </c>
      <c r="C75" s="6" t="s">
        <v>80</v>
      </c>
      <c r="D75" s="6">
        <v>4.8</v>
      </c>
      <c r="E75" s="7" t="s">
        <v>12</v>
      </c>
    </row>
    <row r="76" ht="14.25" customHeight="1">
      <c r="A76" s="8">
        <v>68.0</v>
      </c>
      <c r="B76" s="9" t="s">
        <v>72</v>
      </c>
      <c r="C76" s="9" t="s">
        <v>81</v>
      </c>
      <c r="D76" s="9">
        <v>4.56</v>
      </c>
      <c r="E76" s="10" t="s">
        <v>12</v>
      </c>
    </row>
    <row r="77" ht="14.25" customHeight="1">
      <c r="A77" s="5">
        <v>69.0</v>
      </c>
      <c r="B77" s="6" t="s">
        <v>72</v>
      </c>
      <c r="C77" s="6" t="s">
        <v>82</v>
      </c>
      <c r="D77" s="6">
        <v>5.33</v>
      </c>
      <c r="E77" s="7" t="s">
        <v>12</v>
      </c>
    </row>
    <row r="78" ht="14.25" customHeight="1">
      <c r="A78" s="8">
        <v>70.0</v>
      </c>
      <c r="B78" s="9" t="s">
        <v>72</v>
      </c>
      <c r="C78" s="9" t="s">
        <v>83</v>
      </c>
      <c r="D78" s="9">
        <v>4.73</v>
      </c>
      <c r="E78" s="10" t="s">
        <v>12</v>
      </c>
    </row>
    <row r="79" ht="14.25" customHeight="1">
      <c r="A79" s="5">
        <v>71.0</v>
      </c>
      <c r="B79" s="6" t="s">
        <v>72</v>
      </c>
      <c r="C79" s="6" t="s">
        <v>84</v>
      </c>
      <c r="D79" s="6">
        <v>4.8</v>
      </c>
      <c r="E79" s="7" t="s">
        <v>12</v>
      </c>
    </row>
    <row r="80" ht="14.25" customHeight="1">
      <c r="A80" s="8">
        <v>72.0</v>
      </c>
      <c r="B80" s="9" t="s">
        <v>72</v>
      </c>
      <c r="C80" s="9" t="s">
        <v>85</v>
      </c>
      <c r="D80" s="9">
        <v>3.53</v>
      </c>
      <c r="E80" s="10" t="s">
        <v>19</v>
      </c>
    </row>
    <row r="81" ht="14.25" customHeight="1">
      <c r="A81" s="5">
        <v>73.0</v>
      </c>
      <c r="B81" s="6" t="s">
        <v>72</v>
      </c>
      <c r="C81" s="6" t="s">
        <v>86</v>
      </c>
      <c r="D81" s="6">
        <v>5.01</v>
      </c>
      <c r="E81" s="7" t="s">
        <v>12</v>
      </c>
    </row>
    <row r="82" ht="14.25" customHeight="1">
      <c r="A82" s="8">
        <v>74.0</v>
      </c>
      <c r="B82" s="9" t="s">
        <v>72</v>
      </c>
      <c r="C82" s="9" t="s">
        <v>87</v>
      </c>
      <c r="D82" s="9">
        <v>4.56</v>
      </c>
      <c r="E82" s="10" t="s">
        <v>12</v>
      </c>
    </row>
    <row r="83" ht="14.25" customHeight="1">
      <c r="A83" s="5">
        <v>75.0</v>
      </c>
      <c r="B83" s="6" t="s">
        <v>72</v>
      </c>
      <c r="C83" s="6" t="s">
        <v>88</v>
      </c>
      <c r="D83" s="6">
        <v>4.52</v>
      </c>
      <c r="E83" s="7" t="s">
        <v>12</v>
      </c>
    </row>
    <row r="84" ht="14.25" customHeight="1">
      <c r="A84" s="8">
        <v>76.0</v>
      </c>
      <c r="B84" s="9" t="s">
        <v>72</v>
      </c>
      <c r="C84" s="9" t="s">
        <v>89</v>
      </c>
      <c r="D84" s="9">
        <v>4.54</v>
      </c>
      <c r="E84" s="10" t="s">
        <v>12</v>
      </c>
    </row>
    <row r="85" ht="14.25" customHeight="1">
      <c r="A85" s="5">
        <v>77.0</v>
      </c>
      <c r="B85" s="6" t="s">
        <v>72</v>
      </c>
      <c r="C85" s="6" t="s">
        <v>90</v>
      </c>
      <c r="D85" s="6">
        <v>4.86</v>
      </c>
      <c r="E85" s="7" t="s">
        <v>12</v>
      </c>
    </row>
    <row r="86" ht="14.25" customHeight="1">
      <c r="A86" s="8">
        <v>78.0</v>
      </c>
      <c r="B86" s="9" t="s">
        <v>72</v>
      </c>
      <c r="C86" s="9" t="s">
        <v>91</v>
      </c>
      <c r="D86" s="9">
        <v>4.6</v>
      </c>
      <c r="E86" s="10" t="s">
        <v>12</v>
      </c>
    </row>
    <row r="87" ht="14.25" customHeight="1">
      <c r="A87" s="5">
        <v>79.0</v>
      </c>
      <c r="B87" s="6" t="s">
        <v>72</v>
      </c>
      <c r="C87" s="6" t="s">
        <v>92</v>
      </c>
      <c r="D87" s="6">
        <v>7.8</v>
      </c>
      <c r="E87" s="7" t="s">
        <v>12</v>
      </c>
    </row>
    <row r="88" ht="14.25" customHeight="1">
      <c r="A88" s="8">
        <v>80.0</v>
      </c>
      <c r="B88" s="9" t="s">
        <v>72</v>
      </c>
      <c r="C88" s="9" t="s">
        <v>93</v>
      </c>
      <c r="D88" s="9">
        <v>9.13</v>
      </c>
      <c r="E88" s="10" t="s">
        <v>12</v>
      </c>
    </row>
    <row r="89" ht="14.25" customHeight="1">
      <c r="A89" s="5">
        <v>81.0</v>
      </c>
      <c r="B89" s="6" t="s">
        <v>72</v>
      </c>
      <c r="C89" s="6" t="s">
        <v>94</v>
      </c>
      <c r="D89" s="6">
        <v>3.53</v>
      </c>
      <c r="E89" s="7" t="s">
        <v>19</v>
      </c>
    </row>
    <row r="90" ht="14.25" customHeight="1">
      <c r="A90" s="8">
        <v>82.0</v>
      </c>
      <c r="B90" s="9" t="s">
        <v>72</v>
      </c>
      <c r="C90" s="9" t="s">
        <v>95</v>
      </c>
      <c r="D90" s="9">
        <v>3.26</v>
      </c>
      <c r="E90" s="10" t="s">
        <v>12</v>
      </c>
    </row>
    <row r="91" ht="14.25" customHeight="1">
      <c r="A91" s="5">
        <v>83.0</v>
      </c>
      <c r="B91" s="6" t="s">
        <v>72</v>
      </c>
      <c r="C91" s="6" t="s">
        <v>96</v>
      </c>
      <c r="D91" s="6">
        <v>4.66</v>
      </c>
      <c r="E91" s="7" t="s">
        <v>12</v>
      </c>
    </row>
    <row r="92" ht="14.25" customHeight="1">
      <c r="A92" s="8">
        <v>84.0</v>
      </c>
      <c r="B92" s="9" t="s">
        <v>72</v>
      </c>
      <c r="C92" s="9" t="s">
        <v>97</v>
      </c>
      <c r="D92" s="9">
        <v>3.53</v>
      </c>
      <c r="E92" s="10" t="s">
        <v>19</v>
      </c>
    </row>
    <row r="93" ht="14.25" customHeight="1">
      <c r="A93" s="5">
        <v>85.0</v>
      </c>
      <c r="B93" s="6" t="s">
        <v>72</v>
      </c>
      <c r="C93" s="6" t="s">
        <v>98</v>
      </c>
      <c r="D93" s="6">
        <v>7.66</v>
      </c>
      <c r="E93" s="7" t="s">
        <v>12</v>
      </c>
    </row>
    <row r="94" ht="14.25" customHeight="1">
      <c r="A94" s="8">
        <v>86.0</v>
      </c>
      <c r="B94" s="9" t="s">
        <v>72</v>
      </c>
      <c r="C94" s="9" t="s">
        <v>99</v>
      </c>
      <c r="D94" s="9">
        <v>8.86</v>
      </c>
      <c r="E94" s="10" t="s">
        <v>12</v>
      </c>
    </row>
    <row r="95" ht="14.25" customHeight="1">
      <c r="A95" s="5">
        <v>87.0</v>
      </c>
      <c r="B95" s="6" t="s">
        <v>72</v>
      </c>
      <c r="C95" s="6" t="s">
        <v>100</v>
      </c>
      <c r="D95" s="6">
        <v>5.73</v>
      </c>
      <c r="E95" s="7" t="s">
        <v>12</v>
      </c>
    </row>
    <row r="96" ht="14.25" customHeight="1">
      <c r="A96" s="8">
        <v>88.0</v>
      </c>
      <c r="B96" s="9" t="s">
        <v>72</v>
      </c>
      <c r="C96" s="9" t="s">
        <v>101</v>
      </c>
      <c r="D96" s="9">
        <v>4.8</v>
      </c>
      <c r="E96" s="10" t="s">
        <v>12</v>
      </c>
    </row>
    <row r="97" ht="14.25" customHeight="1">
      <c r="A97" s="5">
        <v>89.0</v>
      </c>
      <c r="B97" s="6" t="s">
        <v>72</v>
      </c>
      <c r="C97" s="6" t="s">
        <v>102</v>
      </c>
      <c r="D97" s="6">
        <v>3.66</v>
      </c>
      <c r="E97" s="7" t="s">
        <v>19</v>
      </c>
    </row>
    <row r="98" ht="14.25" customHeight="1">
      <c r="A98" s="11">
        <v>90.0</v>
      </c>
      <c r="B98" s="9" t="s">
        <v>103</v>
      </c>
      <c r="C98" s="9" t="s">
        <v>104</v>
      </c>
      <c r="D98" s="9">
        <v>6.68</v>
      </c>
      <c r="E98" s="12" t="s">
        <v>12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5">
        <v>91.0</v>
      </c>
      <c r="B99" s="6" t="s">
        <v>103</v>
      </c>
      <c r="C99" s="6" t="s">
        <v>105</v>
      </c>
      <c r="D99" s="6">
        <v>6.13</v>
      </c>
      <c r="E99" s="7" t="s">
        <v>12</v>
      </c>
    </row>
    <row r="100" ht="14.25" customHeight="1">
      <c r="A100" s="8">
        <v>92.0</v>
      </c>
      <c r="B100" s="9" t="s">
        <v>103</v>
      </c>
      <c r="C100" s="9" t="s">
        <v>106</v>
      </c>
      <c r="D100" s="9">
        <v>4.77</v>
      </c>
      <c r="E100" s="10" t="s">
        <v>12</v>
      </c>
    </row>
    <row r="101" ht="14.25" customHeight="1">
      <c r="A101" s="5">
        <v>93.0</v>
      </c>
      <c r="B101" s="6" t="s">
        <v>103</v>
      </c>
      <c r="C101" s="6" t="s">
        <v>107</v>
      </c>
      <c r="D101" s="6">
        <v>4.59</v>
      </c>
      <c r="E101" s="7" t="s">
        <v>12</v>
      </c>
    </row>
    <row r="102" ht="14.25" customHeight="1">
      <c r="A102" s="8">
        <v>94.0</v>
      </c>
      <c r="B102" s="9" t="s">
        <v>103</v>
      </c>
      <c r="C102" s="9" t="s">
        <v>108</v>
      </c>
      <c r="D102" s="9">
        <v>3.57</v>
      </c>
      <c r="E102" s="10" t="s">
        <v>19</v>
      </c>
    </row>
    <row r="103" ht="14.25" customHeight="1">
      <c r="A103" s="5">
        <v>95.0</v>
      </c>
      <c r="B103" s="6" t="s">
        <v>103</v>
      </c>
      <c r="C103" s="6" t="s">
        <v>109</v>
      </c>
      <c r="D103" s="6">
        <v>3.9</v>
      </c>
      <c r="E103" s="7" t="s">
        <v>19</v>
      </c>
    </row>
    <row r="104" ht="14.25" customHeight="1">
      <c r="A104" s="8">
        <v>96.0</v>
      </c>
      <c r="B104" s="9" t="s">
        <v>103</v>
      </c>
      <c r="C104" s="9" t="s">
        <v>110</v>
      </c>
      <c r="D104" s="9">
        <v>5.0</v>
      </c>
      <c r="E104" s="10" t="s">
        <v>12</v>
      </c>
    </row>
    <row r="105" ht="14.25" customHeight="1">
      <c r="A105" s="5">
        <v>97.0</v>
      </c>
      <c r="B105" s="6" t="s">
        <v>103</v>
      </c>
      <c r="C105" s="6" t="s">
        <v>111</v>
      </c>
      <c r="D105" s="6">
        <v>8.95</v>
      </c>
      <c r="E105" s="7" t="s">
        <v>12</v>
      </c>
    </row>
    <row r="106" ht="14.25" customHeight="1">
      <c r="A106" s="8">
        <v>98.0</v>
      </c>
      <c r="B106" s="9" t="s">
        <v>103</v>
      </c>
      <c r="C106" s="9" t="s">
        <v>112</v>
      </c>
      <c r="D106" s="9">
        <v>6.72</v>
      </c>
      <c r="E106" s="10" t="s">
        <v>12</v>
      </c>
    </row>
    <row r="107" ht="14.25" customHeight="1">
      <c r="A107" s="5">
        <v>99.0</v>
      </c>
      <c r="B107" s="6" t="s">
        <v>103</v>
      </c>
      <c r="C107" s="6" t="s">
        <v>113</v>
      </c>
      <c r="D107" s="6">
        <v>3.5</v>
      </c>
      <c r="E107" s="7" t="s">
        <v>19</v>
      </c>
    </row>
    <row r="108" ht="14.25" customHeight="1">
      <c r="A108" s="8">
        <v>100.0</v>
      </c>
      <c r="B108" s="9" t="s">
        <v>103</v>
      </c>
      <c r="C108" s="9" t="s">
        <v>114</v>
      </c>
      <c r="D108" s="9">
        <v>5.55</v>
      </c>
      <c r="E108" s="10" t="s">
        <v>12</v>
      </c>
    </row>
    <row r="109" ht="14.25" customHeight="1">
      <c r="A109" s="5">
        <v>101.0</v>
      </c>
      <c r="B109" s="6" t="s">
        <v>103</v>
      </c>
      <c r="C109" s="6" t="s">
        <v>115</v>
      </c>
      <c r="D109" s="6">
        <v>6.77</v>
      </c>
      <c r="E109" s="7" t="s">
        <v>12</v>
      </c>
    </row>
    <row r="110" ht="14.25" customHeight="1">
      <c r="A110" s="8">
        <v>102.0</v>
      </c>
      <c r="B110" s="9" t="s">
        <v>103</v>
      </c>
      <c r="C110" s="9" t="s">
        <v>116</v>
      </c>
      <c r="D110" s="9">
        <v>3.81</v>
      </c>
      <c r="E110" s="10" t="s">
        <v>19</v>
      </c>
    </row>
    <row r="111" ht="14.25" customHeight="1">
      <c r="A111" s="5">
        <v>103.0</v>
      </c>
      <c r="B111" s="6" t="s">
        <v>103</v>
      </c>
      <c r="C111" s="6" t="s">
        <v>117</v>
      </c>
      <c r="D111" s="6">
        <v>5.63</v>
      </c>
      <c r="E111" s="7" t="s">
        <v>12</v>
      </c>
    </row>
    <row r="112" ht="14.25" customHeight="1">
      <c r="A112" s="8">
        <v>104.0</v>
      </c>
      <c r="B112" s="9" t="s">
        <v>103</v>
      </c>
      <c r="C112" s="9" t="s">
        <v>118</v>
      </c>
      <c r="D112" s="9">
        <v>3.9</v>
      </c>
      <c r="E112" s="10" t="s">
        <v>19</v>
      </c>
    </row>
    <row r="113" ht="14.25" customHeight="1">
      <c r="A113" s="5">
        <v>105.0</v>
      </c>
      <c r="B113" s="6" t="s">
        <v>103</v>
      </c>
      <c r="C113" s="6" t="s">
        <v>119</v>
      </c>
      <c r="D113" s="6">
        <v>4.77</v>
      </c>
      <c r="E113" s="7" t="s">
        <v>12</v>
      </c>
    </row>
    <row r="114" ht="14.25" customHeight="1">
      <c r="A114" s="8">
        <v>106.0</v>
      </c>
      <c r="B114" s="9" t="s">
        <v>103</v>
      </c>
      <c r="C114" s="9" t="s">
        <v>120</v>
      </c>
      <c r="D114" s="9">
        <v>7.18</v>
      </c>
      <c r="E114" s="10" t="s">
        <v>12</v>
      </c>
    </row>
    <row r="115" ht="14.25" customHeight="1">
      <c r="A115" s="5">
        <v>107.0</v>
      </c>
      <c r="B115" s="6" t="s">
        <v>103</v>
      </c>
      <c r="C115" s="6" t="s">
        <v>121</v>
      </c>
      <c r="D115" s="6">
        <v>4.95</v>
      </c>
      <c r="E115" s="7" t="s">
        <v>12</v>
      </c>
    </row>
    <row r="116" ht="14.25" customHeight="1">
      <c r="A116" s="8">
        <v>108.0</v>
      </c>
      <c r="B116" s="9" t="s">
        <v>103</v>
      </c>
      <c r="C116" s="9" t="s">
        <v>122</v>
      </c>
      <c r="D116" s="9">
        <v>3.52</v>
      </c>
      <c r="E116" s="10" t="s">
        <v>19</v>
      </c>
    </row>
    <row r="117" ht="14.25" customHeight="1">
      <c r="A117" s="5">
        <v>109.0</v>
      </c>
      <c r="B117" s="6" t="s">
        <v>103</v>
      </c>
      <c r="C117" s="6" t="s">
        <v>123</v>
      </c>
      <c r="D117" s="6">
        <v>3.68</v>
      </c>
      <c r="E117" s="7" t="s">
        <v>19</v>
      </c>
    </row>
    <row r="118" ht="14.25" customHeight="1">
      <c r="A118" s="8">
        <v>110.0</v>
      </c>
      <c r="B118" s="9" t="s">
        <v>103</v>
      </c>
      <c r="C118" s="9" t="s">
        <v>124</v>
      </c>
      <c r="D118" s="9">
        <v>1.95</v>
      </c>
      <c r="E118" s="10" t="s">
        <v>19</v>
      </c>
    </row>
    <row r="119" ht="14.25" customHeight="1">
      <c r="A119" s="5">
        <v>111.0</v>
      </c>
      <c r="B119" s="6" t="s">
        <v>103</v>
      </c>
      <c r="C119" s="6" t="s">
        <v>125</v>
      </c>
      <c r="D119" s="6">
        <v>0.0</v>
      </c>
      <c r="E119" s="7" t="s">
        <v>19</v>
      </c>
    </row>
    <row r="120" ht="14.25" customHeight="1">
      <c r="A120" s="8">
        <v>112.0</v>
      </c>
      <c r="B120" s="9" t="s">
        <v>126</v>
      </c>
      <c r="C120" s="9" t="s">
        <v>127</v>
      </c>
      <c r="D120" s="9">
        <v>8.79</v>
      </c>
      <c r="E120" s="10" t="s">
        <v>12</v>
      </c>
    </row>
    <row r="121" ht="14.25" customHeight="1">
      <c r="A121" s="5">
        <v>113.0</v>
      </c>
      <c r="B121" s="6" t="s">
        <v>126</v>
      </c>
      <c r="C121" s="6" t="s">
        <v>128</v>
      </c>
      <c r="D121" s="6">
        <v>6.16</v>
      </c>
      <c r="E121" s="7" t="s">
        <v>12</v>
      </c>
    </row>
    <row r="122" ht="14.25" customHeight="1">
      <c r="A122" s="8">
        <v>114.0</v>
      </c>
      <c r="B122" s="9" t="s">
        <v>126</v>
      </c>
      <c r="C122" s="9" t="s">
        <v>129</v>
      </c>
      <c r="D122" s="9">
        <v>6.62</v>
      </c>
      <c r="E122" s="10" t="s">
        <v>12</v>
      </c>
    </row>
    <row r="123" ht="14.25" customHeight="1">
      <c r="A123" s="5">
        <v>115.0</v>
      </c>
      <c r="B123" s="6" t="s">
        <v>126</v>
      </c>
      <c r="C123" s="6" t="s">
        <v>130</v>
      </c>
      <c r="D123" s="6">
        <v>3.14</v>
      </c>
      <c r="E123" s="7" t="s">
        <v>19</v>
      </c>
    </row>
    <row r="124" ht="14.25" customHeight="1">
      <c r="A124" s="8">
        <v>116.0</v>
      </c>
      <c r="B124" s="9" t="s">
        <v>126</v>
      </c>
      <c r="C124" s="9" t="s">
        <v>131</v>
      </c>
      <c r="D124" s="9">
        <v>6.72</v>
      </c>
      <c r="E124" s="10" t="s">
        <v>12</v>
      </c>
    </row>
    <row r="125" ht="14.25" customHeight="1">
      <c r="A125" s="5">
        <v>117.0</v>
      </c>
      <c r="B125" s="6" t="s">
        <v>126</v>
      </c>
      <c r="C125" s="6" t="s">
        <v>132</v>
      </c>
      <c r="D125" s="6">
        <v>5.26</v>
      </c>
      <c r="E125" s="7" t="s">
        <v>12</v>
      </c>
    </row>
    <row r="126" ht="14.25" customHeight="1">
      <c r="A126" s="8">
        <v>118.0</v>
      </c>
      <c r="B126" s="9" t="s">
        <v>126</v>
      </c>
      <c r="C126" s="9" t="s">
        <v>133</v>
      </c>
      <c r="D126" s="9">
        <v>5.34</v>
      </c>
      <c r="E126" s="10" t="s">
        <v>12</v>
      </c>
    </row>
    <row r="127" ht="14.25" customHeight="1">
      <c r="A127" s="5">
        <v>119.0</v>
      </c>
      <c r="B127" s="6" t="s">
        <v>126</v>
      </c>
      <c r="C127" s="6" t="s">
        <v>134</v>
      </c>
      <c r="D127" s="6">
        <v>3.09</v>
      </c>
      <c r="E127" s="7" t="s">
        <v>19</v>
      </c>
    </row>
    <row r="128" ht="14.25" customHeight="1">
      <c r="A128" s="8">
        <v>120.0</v>
      </c>
      <c r="B128" s="9" t="s">
        <v>126</v>
      </c>
      <c r="C128" s="9" t="s">
        <v>135</v>
      </c>
      <c r="D128" s="9">
        <v>4.72</v>
      </c>
      <c r="E128" s="10" t="s">
        <v>12</v>
      </c>
    </row>
    <row r="129" ht="14.25" customHeight="1">
      <c r="A129" s="5">
        <v>121.0</v>
      </c>
      <c r="B129" s="6" t="s">
        <v>126</v>
      </c>
      <c r="C129" s="6" t="s">
        <v>136</v>
      </c>
      <c r="D129" s="6">
        <v>4.58</v>
      </c>
      <c r="E129" s="7" t="s">
        <v>12</v>
      </c>
    </row>
    <row r="130" ht="14.25" customHeight="1">
      <c r="A130" s="8">
        <v>122.0</v>
      </c>
      <c r="B130" s="9" t="s">
        <v>126</v>
      </c>
      <c r="C130" s="9" t="s">
        <v>137</v>
      </c>
      <c r="D130" s="9">
        <v>3.08</v>
      </c>
      <c r="E130" s="10" t="s">
        <v>19</v>
      </c>
    </row>
    <row r="131" ht="14.25" customHeight="1">
      <c r="A131" s="5">
        <v>123.0</v>
      </c>
      <c r="B131" s="6" t="s">
        <v>126</v>
      </c>
      <c r="C131" s="6" t="s">
        <v>138</v>
      </c>
      <c r="D131" s="6">
        <v>4.7</v>
      </c>
      <c r="E131" s="7" t="s">
        <v>12</v>
      </c>
    </row>
    <row r="132" ht="14.25" customHeight="1">
      <c r="A132" s="8">
        <v>124.0</v>
      </c>
      <c r="B132" s="9" t="s">
        <v>126</v>
      </c>
      <c r="C132" s="9" t="s">
        <v>139</v>
      </c>
      <c r="D132" s="9">
        <v>4.98</v>
      </c>
      <c r="E132" s="10" t="s">
        <v>12</v>
      </c>
    </row>
    <row r="133" ht="14.25" customHeight="1">
      <c r="A133" s="5">
        <v>125.0</v>
      </c>
      <c r="B133" s="6" t="s">
        <v>126</v>
      </c>
      <c r="C133" s="6" t="s">
        <v>140</v>
      </c>
      <c r="D133" s="6">
        <v>4.67</v>
      </c>
      <c r="E133" s="7" t="s">
        <v>12</v>
      </c>
    </row>
    <row r="134" ht="14.25" customHeight="1">
      <c r="A134" s="8">
        <v>126.0</v>
      </c>
      <c r="B134" s="9" t="s">
        <v>126</v>
      </c>
      <c r="C134" s="9" t="s">
        <v>141</v>
      </c>
      <c r="D134" s="9">
        <v>3.37</v>
      </c>
      <c r="E134" s="10" t="s">
        <v>19</v>
      </c>
    </row>
    <row r="135" ht="14.25" customHeight="1">
      <c r="A135" s="5">
        <v>127.0</v>
      </c>
      <c r="B135" s="6" t="s">
        <v>126</v>
      </c>
      <c r="C135" s="6" t="s">
        <v>142</v>
      </c>
      <c r="D135" s="6">
        <v>3.3</v>
      </c>
      <c r="E135" s="7" t="s">
        <v>19</v>
      </c>
    </row>
    <row r="136" ht="14.25" customHeight="1">
      <c r="A136" s="8">
        <v>128.0</v>
      </c>
      <c r="B136" s="9" t="s">
        <v>126</v>
      </c>
      <c r="C136" s="9" t="s">
        <v>143</v>
      </c>
      <c r="D136" s="9">
        <v>3.6</v>
      </c>
      <c r="E136" s="10" t="s">
        <v>12</v>
      </c>
    </row>
    <row r="137" ht="14.25" customHeight="1">
      <c r="A137" s="5">
        <v>129.0</v>
      </c>
      <c r="B137" s="6" t="s">
        <v>126</v>
      </c>
      <c r="C137" s="6" t="s">
        <v>144</v>
      </c>
      <c r="D137" s="6">
        <v>2.23</v>
      </c>
      <c r="E137" s="7" t="s">
        <v>19</v>
      </c>
    </row>
    <row r="138" ht="14.25" customHeight="1">
      <c r="A138" s="8">
        <v>130.0</v>
      </c>
      <c r="B138" s="9" t="s">
        <v>126</v>
      </c>
      <c r="C138" s="9" t="s">
        <v>145</v>
      </c>
      <c r="D138" s="9">
        <v>2.81</v>
      </c>
      <c r="E138" s="10" t="s">
        <v>19</v>
      </c>
    </row>
    <row r="139" ht="14.25" customHeight="1">
      <c r="A139" s="5">
        <v>131.0</v>
      </c>
      <c r="B139" s="6" t="s">
        <v>126</v>
      </c>
      <c r="C139" s="6" t="s">
        <v>146</v>
      </c>
      <c r="D139" s="6">
        <v>2.29</v>
      </c>
      <c r="E139" s="7" t="s">
        <v>19</v>
      </c>
    </row>
    <row r="140" ht="14.25" customHeight="1">
      <c r="A140" s="8">
        <v>132.0</v>
      </c>
      <c r="B140" s="9" t="s">
        <v>126</v>
      </c>
      <c r="C140" s="9" t="s">
        <v>147</v>
      </c>
      <c r="D140" s="9">
        <v>4.73</v>
      </c>
      <c r="E140" s="10" t="s">
        <v>12</v>
      </c>
    </row>
    <row r="141" ht="14.25" customHeight="1">
      <c r="A141" s="5">
        <v>133.0</v>
      </c>
      <c r="B141" s="6" t="s">
        <v>126</v>
      </c>
      <c r="C141" s="6" t="s">
        <v>148</v>
      </c>
      <c r="D141" s="6">
        <v>5.04</v>
      </c>
      <c r="E141" s="7" t="s">
        <v>12</v>
      </c>
    </row>
    <row r="142" ht="14.25" customHeight="1">
      <c r="A142" s="8">
        <v>134.0</v>
      </c>
      <c r="B142" s="9" t="s">
        <v>126</v>
      </c>
      <c r="C142" s="9" t="s">
        <v>149</v>
      </c>
      <c r="D142" s="9">
        <v>6.09</v>
      </c>
      <c r="E142" s="10" t="s">
        <v>12</v>
      </c>
    </row>
    <row r="143" ht="14.25" customHeight="1">
      <c r="A143" s="5">
        <v>135.0</v>
      </c>
      <c r="B143" s="6" t="s">
        <v>126</v>
      </c>
      <c r="C143" s="6" t="s">
        <v>150</v>
      </c>
      <c r="D143" s="6">
        <v>6.19</v>
      </c>
      <c r="E143" s="7" t="s">
        <v>12</v>
      </c>
    </row>
    <row r="144" ht="14.25" customHeight="1">
      <c r="A144" s="8">
        <v>136.0</v>
      </c>
      <c r="B144" s="9" t="s">
        <v>126</v>
      </c>
      <c r="C144" s="9" t="s">
        <v>151</v>
      </c>
      <c r="D144" s="9">
        <v>7.94</v>
      </c>
      <c r="E144" s="10" t="s">
        <v>12</v>
      </c>
    </row>
    <row r="145" ht="14.25" customHeight="1">
      <c r="A145" s="5">
        <v>137.0</v>
      </c>
      <c r="B145" s="6" t="s">
        <v>126</v>
      </c>
      <c r="C145" s="6" t="s">
        <v>152</v>
      </c>
      <c r="D145" s="6">
        <v>5.94</v>
      </c>
      <c r="E145" s="7" t="s">
        <v>12</v>
      </c>
    </row>
    <row r="146" ht="14.25" customHeight="1">
      <c r="A146" s="8">
        <v>138.0</v>
      </c>
      <c r="B146" s="9" t="s">
        <v>126</v>
      </c>
      <c r="C146" s="9" t="s">
        <v>153</v>
      </c>
      <c r="D146" s="9">
        <v>6.12</v>
      </c>
      <c r="E146" s="10" t="s">
        <v>12</v>
      </c>
    </row>
    <row r="147" ht="14.25" customHeight="1">
      <c r="A147" s="5">
        <v>139.0</v>
      </c>
      <c r="B147" s="6" t="s">
        <v>126</v>
      </c>
      <c r="C147" s="6" t="s">
        <v>154</v>
      </c>
      <c r="D147" s="6">
        <v>4.1</v>
      </c>
      <c r="E147" s="7" t="s">
        <v>19</v>
      </c>
    </row>
    <row r="148" ht="14.25" customHeight="1">
      <c r="A148" s="8">
        <v>140.0</v>
      </c>
      <c r="B148" s="9" t="s">
        <v>126</v>
      </c>
      <c r="C148" s="9" t="s">
        <v>155</v>
      </c>
      <c r="D148" s="9">
        <v>3.14</v>
      </c>
      <c r="E148" s="10" t="s">
        <v>19</v>
      </c>
    </row>
    <row r="149" ht="14.25" customHeight="1">
      <c r="A149" s="5">
        <v>141.0</v>
      </c>
      <c r="B149" s="6" t="s">
        <v>126</v>
      </c>
      <c r="C149" s="6" t="s">
        <v>156</v>
      </c>
      <c r="D149" s="6">
        <v>3.0</v>
      </c>
      <c r="E149" s="7" t="s">
        <v>19</v>
      </c>
    </row>
    <row r="150" ht="14.25" customHeight="1">
      <c r="A150" s="8">
        <v>142.0</v>
      </c>
      <c r="B150" s="9" t="s">
        <v>126</v>
      </c>
      <c r="C150" s="9" t="s">
        <v>157</v>
      </c>
      <c r="D150" s="9">
        <v>4.51</v>
      </c>
      <c r="E150" s="10" t="s">
        <v>12</v>
      </c>
    </row>
    <row r="151" ht="14.25" customHeight="1">
      <c r="A151" s="5">
        <v>143.0</v>
      </c>
      <c r="B151" s="6" t="s">
        <v>126</v>
      </c>
      <c r="C151" s="6" t="s">
        <v>158</v>
      </c>
      <c r="D151" s="6">
        <v>5.12</v>
      </c>
      <c r="E151" s="7" t="s">
        <v>12</v>
      </c>
    </row>
    <row r="152" ht="14.25" customHeight="1">
      <c r="A152" s="8">
        <v>144.0</v>
      </c>
      <c r="B152" s="9" t="s">
        <v>126</v>
      </c>
      <c r="C152" s="9" t="s">
        <v>159</v>
      </c>
      <c r="D152" s="9">
        <v>3.85</v>
      </c>
      <c r="E152" s="10" t="s">
        <v>19</v>
      </c>
    </row>
    <row r="153" ht="14.25" customHeight="1">
      <c r="A153" s="5">
        <v>145.0</v>
      </c>
      <c r="B153" s="6" t="s">
        <v>126</v>
      </c>
      <c r="C153" s="6" t="s">
        <v>160</v>
      </c>
      <c r="D153" s="6">
        <v>3.98</v>
      </c>
      <c r="E153" s="7" t="s">
        <v>19</v>
      </c>
    </row>
    <row r="154" ht="14.25" customHeight="1">
      <c r="A154" s="8">
        <v>146.0</v>
      </c>
      <c r="B154" s="9" t="s">
        <v>126</v>
      </c>
      <c r="C154" s="9" t="s">
        <v>161</v>
      </c>
      <c r="D154" s="9">
        <v>3.14</v>
      </c>
      <c r="E154" s="10" t="s">
        <v>19</v>
      </c>
    </row>
    <row r="155" ht="14.25" customHeight="1">
      <c r="A155" s="5">
        <v>147.0</v>
      </c>
      <c r="B155" s="6" t="s">
        <v>126</v>
      </c>
      <c r="C155" s="6" t="s">
        <v>162</v>
      </c>
      <c r="D155" s="6">
        <v>5.15</v>
      </c>
      <c r="E155" s="7" t="s">
        <v>12</v>
      </c>
    </row>
    <row r="156" ht="14.25" customHeight="1">
      <c r="A156" s="8">
        <v>148.0</v>
      </c>
      <c r="B156" s="9" t="s">
        <v>126</v>
      </c>
      <c r="C156" s="9" t="s">
        <v>163</v>
      </c>
      <c r="D156" s="9">
        <v>5.08</v>
      </c>
      <c r="E156" s="10" t="s">
        <v>12</v>
      </c>
    </row>
    <row r="157" ht="14.25" customHeight="1">
      <c r="A157" s="5">
        <v>149.0</v>
      </c>
      <c r="B157" s="6" t="s">
        <v>126</v>
      </c>
      <c r="C157" s="6" t="s">
        <v>164</v>
      </c>
      <c r="D157" s="6">
        <v>5.02</v>
      </c>
      <c r="E157" s="7" t="s">
        <v>12</v>
      </c>
    </row>
    <row r="158" ht="14.25" customHeight="1">
      <c r="A158" s="8">
        <v>150.0</v>
      </c>
      <c r="B158" s="9" t="s">
        <v>126</v>
      </c>
      <c r="C158" s="9" t="s">
        <v>165</v>
      </c>
      <c r="D158" s="9">
        <v>2.32</v>
      </c>
      <c r="E158" s="10" t="s">
        <v>19</v>
      </c>
    </row>
    <row r="159" ht="14.25" customHeight="1">
      <c r="A159" s="14">
        <v>151.0</v>
      </c>
      <c r="B159" s="15" t="s">
        <v>126</v>
      </c>
      <c r="C159" s="15" t="s">
        <v>166</v>
      </c>
      <c r="D159" s="15">
        <v>1.52</v>
      </c>
      <c r="E159" s="16" t="s">
        <v>19</v>
      </c>
    </row>
    <row r="160" ht="14.25" customHeight="1">
      <c r="A160" s="17">
        <f>SUBTOTAL(102,'CM1'!$A$9:$A$159)</f>
        <v>151</v>
      </c>
      <c r="B160" s="18"/>
      <c r="C160" s="18"/>
      <c r="D160" s="18"/>
      <c r="E160" s="19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8:$E$16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0.43"/>
    <col customWidth="1" min="3" max="3" width="29.43"/>
    <col customWidth="1" min="4" max="4" width="27.57"/>
    <col customWidth="1" min="5" max="5" width="16.14"/>
    <col customWidth="1" min="6" max="6" width="10.86"/>
    <col customWidth="1" min="7" max="7" width="22.86"/>
    <col customWidth="1" min="8" max="26" width="10.86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/>
    <row r="6" ht="14.25" customHeight="1">
      <c r="A6" s="1" t="s">
        <v>167</v>
      </c>
    </row>
    <row r="7" ht="14.25" customHeight="1"/>
    <row r="8" ht="14.25" customHeight="1">
      <c r="A8" s="20" t="s">
        <v>5</v>
      </c>
      <c r="B8" s="21" t="s">
        <v>6</v>
      </c>
      <c r="C8" s="21" t="s">
        <v>7</v>
      </c>
      <c r="D8" s="22" t="s">
        <v>168</v>
      </c>
      <c r="E8" s="23" t="s">
        <v>9</v>
      </c>
    </row>
    <row r="9" ht="14.25" customHeight="1">
      <c r="A9" s="24"/>
      <c r="B9" s="25" t="s">
        <v>169</v>
      </c>
      <c r="C9" s="25"/>
      <c r="D9" s="25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>
        <v>1.0</v>
      </c>
      <c r="B10" s="29" t="s">
        <v>72</v>
      </c>
      <c r="C10" s="30" t="s">
        <v>170</v>
      </c>
      <c r="D10" s="31">
        <v>2.83</v>
      </c>
      <c r="E10" s="32" t="s">
        <v>171</v>
      </c>
      <c r="G10" s="33"/>
    </row>
    <row r="11" ht="15.75" customHeight="1">
      <c r="A11" s="28">
        <v>2.0</v>
      </c>
      <c r="B11" s="29" t="s">
        <v>72</v>
      </c>
      <c r="C11" s="30" t="s">
        <v>172</v>
      </c>
      <c r="D11" s="31">
        <v>4.345</v>
      </c>
      <c r="E11" s="32" t="s">
        <v>173</v>
      </c>
      <c r="G11" s="33"/>
    </row>
    <row r="12" ht="15.75" customHeight="1">
      <c r="A12" s="34">
        <v>3.0</v>
      </c>
      <c r="B12" s="35" t="s">
        <v>72</v>
      </c>
      <c r="C12" s="36" t="s">
        <v>174</v>
      </c>
      <c r="D12" s="37">
        <v>0.0</v>
      </c>
      <c r="E12" s="38" t="s">
        <v>173</v>
      </c>
      <c r="G12" s="33"/>
    </row>
    <row r="13" ht="15.75" customHeight="1">
      <c r="A13" s="28">
        <v>4.0</v>
      </c>
      <c r="B13" s="29" t="s">
        <v>72</v>
      </c>
      <c r="C13" s="30" t="s">
        <v>175</v>
      </c>
      <c r="D13" s="31">
        <v>6.26</v>
      </c>
      <c r="E13" s="32" t="s">
        <v>171</v>
      </c>
      <c r="G13" s="33"/>
    </row>
    <row r="14" ht="15.75" customHeight="1">
      <c r="A14" s="28">
        <v>5.0</v>
      </c>
      <c r="B14" s="29" t="s">
        <v>72</v>
      </c>
      <c r="C14" s="30" t="s">
        <v>176</v>
      </c>
      <c r="D14" s="31">
        <v>6.555</v>
      </c>
      <c r="E14" s="32" t="s">
        <v>171</v>
      </c>
      <c r="G14" s="33"/>
    </row>
    <row r="15" ht="15.75" customHeight="1">
      <c r="A15" s="34">
        <v>6.0</v>
      </c>
      <c r="B15" s="35" t="s">
        <v>72</v>
      </c>
      <c r="C15" s="36" t="s">
        <v>177</v>
      </c>
      <c r="D15" s="37">
        <v>0.0</v>
      </c>
      <c r="E15" s="38" t="s">
        <v>171</v>
      </c>
      <c r="G15" s="33"/>
    </row>
    <row r="16" ht="15.75" customHeight="1">
      <c r="A16" s="28">
        <v>7.0</v>
      </c>
      <c r="B16" s="29" t="s">
        <v>72</v>
      </c>
      <c r="C16" s="30" t="s">
        <v>178</v>
      </c>
      <c r="D16" s="31">
        <v>7.065</v>
      </c>
      <c r="E16" s="32" t="s">
        <v>171</v>
      </c>
      <c r="G16" s="33"/>
    </row>
    <row r="17" ht="15.75" customHeight="1">
      <c r="A17" s="28">
        <v>8.0</v>
      </c>
      <c r="B17" s="29" t="s">
        <v>72</v>
      </c>
      <c r="C17" s="30" t="s">
        <v>179</v>
      </c>
      <c r="D17" s="31">
        <v>6.425</v>
      </c>
      <c r="E17" s="32" t="s">
        <v>171</v>
      </c>
      <c r="G17" s="33"/>
    </row>
    <row r="18" ht="15.75" customHeight="1">
      <c r="A18" s="28">
        <v>9.0</v>
      </c>
      <c r="B18" s="29" t="s">
        <v>72</v>
      </c>
      <c r="C18" s="30" t="s">
        <v>180</v>
      </c>
      <c r="D18" s="31">
        <v>4.32</v>
      </c>
      <c r="E18" s="32" t="s">
        <v>173</v>
      </c>
      <c r="G18" s="33"/>
    </row>
    <row r="19" ht="15.75" customHeight="1">
      <c r="A19" s="28">
        <v>10.0</v>
      </c>
      <c r="B19" s="29" t="s">
        <v>72</v>
      </c>
      <c r="C19" s="30" t="s">
        <v>181</v>
      </c>
      <c r="D19" s="31">
        <v>3.685</v>
      </c>
      <c r="E19" s="32" t="s">
        <v>173</v>
      </c>
      <c r="G19" s="33"/>
    </row>
    <row r="20" ht="15.75" customHeight="1">
      <c r="A20" s="28">
        <v>11.0</v>
      </c>
      <c r="B20" s="29" t="s">
        <v>72</v>
      </c>
      <c r="C20" s="30" t="s">
        <v>182</v>
      </c>
      <c r="D20" s="31">
        <v>3.585</v>
      </c>
      <c r="E20" s="32" t="s">
        <v>173</v>
      </c>
      <c r="G20" s="39"/>
    </row>
    <row r="21" ht="15.75" customHeight="1">
      <c r="A21" s="28">
        <v>12.0</v>
      </c>
      <c r="B21" s="29" t="s">
        <v>72</v>
      </c>
      <c r="C21" s="30" t="s">
        <v>183</v>
      </c>
      <c r="D21" s="31">
        <v>4.365</v>
      </c>
      <c r="E21" s="32" t="s">
        <v>173</v>
      </c>
      <c r="G21" s="33"/>
    </row>
    <row r="22" ht="15.75" customHeight="1">
      <c r="A22" s="28">
        <v>13.0</v>
      </c>
      <c r="B22" s="29" t="s">
        <v>72</v>
      </c>
      <c r="C22" s="30" t="s">
        <v>184</v>
      </c>
      <c r="D22" s="31">
        <v>3.26</v>
      </c>
      <c r="E22" s="32" t="s">
        <v>171</v>
      </c>
      <c r="G22" s="33"/>
    </row>
    <row r="23" ht="14.25" customHeight="1">
      <c r="A23" s="28">
        <v>14.0</v>
      </c>
      <c r="B23" s="29" t="s">
        <v>72</v>
      </c>
      <c r="C23" s="30" t="s">
        <v>185</v>
      </c>
      <c r="D23" s="31">
        <v>6.395</v>
      </c>
      <c r="E23" s="32" t="s">
        <v>171</v>
      </c>
    </row>
    <row r="24" ht="14.25" customHeight="1">
      <c r="A24" s="28">
        <v>15.0</v>
      </c>
      <c r="B24" s="29" t="s">
        <v>72</v>
      </c>
      <c r="C24" s="30" t="s">
        <v>186</v>
      </c>
      <c r="D24" s="31">
        <v>3.675</v>
      </c>
      <c r="E24" s="32" t="s">
        <v>173</v>
      </c>
    </row>
    <row r="25" ht="14.25" customHeight="1">
      <c r="A25" s="28">
        <v>16.0</v>
      </c>
      <c r="B25" s="29" t="s">
        <v>72</v>
      </c>
      <c r="C25" s="30" t="s">
        <v>187</v>
      </c>
      <c r="D25" s="31">
        <v>6.26</v>
      </c>
      <c r="E25" s="32" t="s">
        <v>171</v>
      </c>
    </row>
    <row r="26" ht="14.25" customHeight="1">
      <c r="A26" s="28">
        <v>17.0</v>
      </c>
      <c r="B26" s="29" t="s">
        <v>72</v>
      </c>
      <c r="C26" s="30" t="s">
        <v>188</v>
      </c>
      <c r="D26" s="31">
        <v>3.5549999999999997</v>
      </c>
      <c r="E26" s="32" t="s">
        <v>171</v>
      </c>
    </row>
    <row r="27" ht="14.25" customHeight="1">
      <c r="A27" s="28">
        <v>18.0</v>
      </c>
      <c r="B27" s="29" t="s">
        <v>72</v>
      </c>
      <c r="C27" s="30" t="s">
        <v>189</v>
      </c>
      <c r="D27" s="31">
        <v>7.465</v>
      </c>
      <c r="E27" s="32" t="s">
        <v>171</v>
      </c>
    </row>
    <row r="28" ht="14.25" customHeight="1">
      <c r="A28" s="28">
        <v>19.0</v>
      </c>
      <c r="B28" s="29" t="s">
        <v>72</v>
      </c>
      <c r="C28" s="30" t="s">
        <v>190</v>
      </c>
      <c r="D28" s="31">
        <v>4.275</v>
      </c>
      <c r="E28" s="32" t="s">
        <v>173</v>
      </c>
    </row>
    <row r="29" ht="14.25" customHeight="1">
      <c r="A29" s="28">
        <v>20.0</v>
      </c>
      <c r="B29" s="29" t="s">
        <v>72</v>
      </c>
      <c r="C29" s="30" t="s">
        <v>191</v>
      </c>
      <c r="D29" s="31">
        <v>3.835</v>
      </c>
      <c r="E29" s="32" t="s">
        <v>173</v>
      </c>
    </row>
    <row r="30" ht="14.25" customHeight="1">
      <c r="A30" s="28">
        <v>21.0</v>
      </c>
      <c r="B30" s="29" t="s">
        <v>72</v>
      </c>
      <c r="C30" s="30" t="s">
        <v>192</v>
      </c>
      <c r="D30" s="31">
        <v>3.91</v>
      </c>
      <c r="E30" s="32" t="s">
        <v>171</v>
      </c>
    </row>
    <row r="31" ht="14.25" customHeight="1">
      <c r="A31" s="28">
        <v>22.0</v>
      </c>
      <c r="B31" s="29" t="s">
        <v>72</v>
      </c>
      <c r="C31" s="30" t="s">
        <v>193</v>
      </c>
      <c r="D31" s="31">
        <v>3.61</v>
      </c>
      <c r="E31" s="32" t="s">
        <v>171</v>
      </c>
    </row>
    <row r="32" ht="14.25" customHeight="1">
      <c r="A32" s="28">
        <v>23.0</v>
      </c>
      <c r="B32" s="29" t="s">
        <v>72</v>
      </c>
      <c r="C32" s="30" t="s">
        <v>194</v>
      </c>
      <c r="D32" s="31">
        <v>4.395</v>
      </c>
      <c r="E32" s="32" t="s">
        <v>173</v>
      </c>
    </row>
    <row r="33" ht="14.25" customHeight="1">
      <c r="A33" s="28">
        <v>24.0</v>
      </c>
      <c r="B33" s="29" t="s">
        <v>72</v>
      </c>
      <c r="C33" s="30" t="s">
        <v>195</v>
      </c>
      <c r="D33" s="31">
        <v>4.305</v>
      </c>
      <c r="E33" s="32" t="s">
        <v>171</v>
      </c>
    </row>
    <row r="34" ht="14.25" customHeight="1">
      <c r="A34" s="28">
        <v>25.0</v>
      </c>
      <c r="B34" s="29" t="s">
        <v>72</v>
      </c>
      <c r="C34" s="30" t="s">
        <v>196</v>
      </c>
      <c r="D34" s="31">
        <v>5.95</v>
      </c>
      <c r="E34" s="32" t="s">
        <v>171</v>
      </c>
    </row>
    <row r="35" ht="14.25" customHeight="1">
      <c r="A35" s="28">
        <v>26.0</v>
      </c>
      <c r="B35" s="29" t="s">
        <v>72</v>
      </c>
      <c r="C35" s="30" t="s">
        <v>197</v>
      </c>
      <c r="D35" s="31">
        <v>6.859999999999999</v>
      </c>
      <c r="E35" s="32" t="s">
        <v>171</v>
      </c>
    </row>
    <row r="36" ht="14.25" customHeight="1">
      <c r="A36" s="34">
        <v>27.0</v>
      </c>
      <c r="B36" s="35" t="s">
        <v>72</v>
      </c>
      <c r="C36" s="36" t="s">
        <v>198</v>
      </c>
      <c r="D36" s="37">
        <v>0.0</v>
      </c>
      <c r="E36" s="38" t="s">
        <v>171</v>
      </c>
    </row>
    <row r="37" ht="14.25" customHeight="1">
      <c r="A37" s="28">
        <v>28.0</v>
      </c>
      <c r="B37" s="29" t="s">
        <v>72</v>
      </c>
      <c r="C37" s="30" t="s">
        <v>199</v>
      </c>
      <c r="D37" s="31">
        <v>8.434999999999999</v>
      </c>
      <c r="E37" s="32" t="s">
        <v>171</v>
      </c>
    </row>
    <row r="38" ht="14.25" customHeight="1">
      <c r="A38" s="28">
        <v>29.0</v>
      </c>
      <c r="B38" s="29" t="s">
        <v>72</v>
      </c>
      <c r="C38" s="30" t="s">
        <v>200</v>
      </c>
      <c r="D38" s="31">
        <v>6.6</v>
      </c>
      <c r="E38" s="32" t="s">
        <v>171</v>
      </c>
    </row>
    <row r="39" ht="14.25" customHeight="1">
      <c r="A39" s="28">
        <v>30.0</v>
      </c>
      <c r="B39" s="29" t="s">
        <v>72</v>
      </c>
      <c r="C39" s="30" t="s">
        <v>201</v>
      </c>
      <c r="D39" s="31">
        <v>7.395</v>
      </c>
      <c r="E39" s="32" t="s">
        <v>171</v>
      </c>
    </row>
    <row r="40" ht="14.25" customHeight="1">
      <c r="A40" s="28">
        <v>31.0</v>
      </c>
      <c r="B40" s="29" t="s">
        <v>72</v>
      </c>
      <c r="C40" s="30" t="s">
        <v>202</v>
      </c>
      <c r="D40" s="31">
        <v>6.390000000000001</v>
      </c>
      <c r="E40" s="32" t="s">
        <v>171</v>
      </c>
    </row>
    <row r="41" ht="14.25" customHeight="1">
      <c r="A41" s="28">
        <v>32.0</v>
      </c>
      <c r="B41" s="29" t="s">
        <v>72</v>
      </c>
      <c r="C41" s="30" t="s">
        <v>203</v>
      </c>
      <c r="D41" s="31">
        <v>6.89</v>
      </c>
      <c r="E41" s="32" t="s">
        <v>171</v>
      </c>
    </row>
    <row r="42" ht="14.25" customHeight="1">
      <c r="A42" s="28">
        <v>33.0</v>
      </c>
      <c r="B42" s="29" t="s">
        <v>72</v>
      </c>
      <c r="C42" s="30" t="s">
        <v>204</v>
      </c>
      <c r="D42" s="31">
        <v>3.615</v>
      </c>
      <c r="E42" s="32" t="s">
        <v>173</v>
      </c>
    </row>
    <row r="43" ht="14.25" customHeight="1">
      <c r="A43" s="34">
        <v>34.0</v>
      </c>
      <c r="B43" s="35" t="s">
        <v>72</v>
      </c>
      <c r="C43" s="36" t="s">
        <v>205</v>
      </c>
      <c r="D43" s="37">
        <v>0.0</v>
      </c>
      <c r="E43" s="38" t="s">
        <v>171</v>
      </c>
    </row>
    <row r="44" ht="14.25" customHeight="1">
      <c r="A44" s="28">
        <v>35.0</v>
      </c>
      <c r="B44" s="29" t="s">
        <v>72</v>
      </c>
      <c r="C44" s="30" t="s">
        <v>206</v>
      </c>
      <c r="D44" s="31">
        <v>4.16</v>
      </c>
      <c r="E44" s="32" t="s">
        <v>171</v>
      </c>
    </row>
    <row r="45" ht="14.25" customHeight="1">
      <c r="A45" s="28">
        <v>36.0</v>
      </c>
      <c r="B45" s="29" t="s">
        <v>72</v>
      </c>
      <c r="C45" s="30" t="s">
        <v>207</v>
      </c>
      <c r="D45" s="31">
        <v>4.07</v>
      </c>
      <c r="E45" s="32" t="s">
        <v>173</v>
      </c>
    </row>
    <row r="46" ht="14.25" customHeight="1">
      <c r="A46" s="28">
        <v>37.0</v>
      </c>
      <c r="B46" s="29" t="s">
        <v>72</v>
      </c>
      <c r="C46" s="30" t="s">
        <v>208</v>
      </c>
      <c r="D46" s="31">
        <v>1.585</v>
      </c>
      <c r="E46" s="32" t="s">
        <v>171</v>
      </c>
    </row>
    <row r="47" ht="14.25" customHeight="1">
      <c r="A47" s="28">
        <v>38.0</v>
      </c>
      <c r="B47" s="29" t="s">
        <v>72</v>
      </c>
      <c r="C47" s="30" t="s">
        <v>209</v>
      </c>
      <c r="D47" s="31">
        <v>4.115</v>
      </c>
      <c r="E47" s="32" t="s">
        <v>171</v>
      </c>
    </row>
    <row r="48" ht="14.25" customHeight="1">
      <c r="A48" s="28">
        <v>39.0</v>
      </c>
      <c r="B48" s="29" t="s">
        <v>72</v>
      </c>
      <c r="C48" s="30" t="s">
        <v>210</v>
      </c>
      <c r="D48" s="31">
        <v>4.085</v>
      </c>
      <c r="E48" s="32" t="s">
        <v>171</v>
      </c>
    </row>
    <row r="49" ht="14.25" customHeight="1">
      <c r="A49" s="24"/>
      <c r="B49" s="25" t="s">
        <v>211</v>
      </c>
      <c r="C49" s="40"/>
      <c r="D49" s="41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8">
        <v>1.0</v>
      </c>
      <c r="B50" s="29" t="s">
        <v>36</v>
      </c>
      <c r="C50" s="42" t="s">
        <v>212</v>
      </c>
      <c r="D50" s="31">
        <v>3.91</v>
      </c>
      <c r="E50" s="32" t="s">
        <v>171</v>
      </c>
    </row>
    <row r="51" ht="14.25" customHeight="1">
      <c r="A51" s="28">
        <v>2.0</v>
      </c>
      <c r="B51" s="29" t="s">
        <v>36</v>
      </c>
      <c r="C51" s="42" t="s">
        <v>213</v>
      </c>
      <c r="D51" s="31">
        <v>6.58</v>
      </c>
      <c r="E51" s="32" t="s">
        <v>171</v>
      </c>
    </row>
    <row r="52" ht="14.25" customHeight="1">
      <c r="A52" s="28">
        <v>3.0</v>
      </c>
      <c r="B52" s="29" t="s">
        <v>36</v>
      </c>
      <c r="C52" s="42" t="s">
        <v>214</v>
      </c>
      <c r="D52" s="31">
        <v>6.494999999999999</v>
      </c>
      <c r="E52" s="32" t="s">
        <v>171</v>
      </c>
      <c r="G52" s="39"/>
    </row>
    <row r="53" ht="14.25" customHeight="1">
      <c r="A53" s="28">
        <v>4.0</v>
      </c>
      <c r="B53" s="29" t="s">
        <v>36</v>
      </c>
      <c r="C53" s="42" t="s">
        <v>215</v>
      </c>
      <c r="D53" s="31">
        <v>5.9350000000000005</v>
      </c>
      <c r="E53" s="32" t="s">
        <v>171</v>
      </c>
      <c r="G53" s="39"/>
    </row>
    <row r="54" ht="14.25" customHeight="1">
      <c r="A54" s="28">
        <v>5.0</v>
      </c>
      <c r="B54" s="29" t="s">
        <v>36</v>
      </c>
      <c r="C54" s="42" t="s">
        <v>216</v>
      </c>
      <c r="D54" s="31">
        <v>7.11</v>
      </c>
      <c r="E54" s="32" t="s">
        <v>171</v>
      </c>
      <c r="G54" s="39"/>
    </row>
    <row r="55" ht="14.25" customHeight="1">
      <c r="A55" s="28">
        <v>6.0</v>
      </c>
      <c r="B55" s="29" t="s">
        <v>36</v>
      </c>
      <c r="C55" s="42" t="s">
        <v>217</v>
      </c>
      <c r="D55" s="31">
        <v>5.109999999999999</v>
      </c>
      <c r="E55" s="32" t="s">
        <v>171</v>
      </c>
      <c r="G55" s="39"/>
    </row>
    <row r="56" ht="14.25" customHeight="1">
      <c r="A56" s="28">
        <v>7.0</v>
      </c>
      <c r="B56" s="29" t="s">
        <v>36</v>
      </c>
      <c r="C56" s="42" t="s">
        <v>218</v>
      </c>
      <c r="D56" s="31">
        <v>3.6399999999999997</v>
      </c>
      <c r="E56" s="32" t="s">
        <v>171</v>
      </c>
      <c r="G56" s="39"/>
    </row>
    <row r="57" ht="14.25" customHeight="1">
      <c r="A57" s="28">
        <v>8.0</v>
      </c>
      <c r="B57" s="29" t="s">
        <v>36</v>
      </c>
      <c r="C57" s="42" t="s">
        <v>219</v>
      </c>
      <c r="D57" s="31">
        <v>3.6399999999999997</v>
      </c>
      <c r="E57" s="32" t="s">
        <v>171</v>
      </c>
      <c r="G57" s="39"/>
    </row>
    <row r="58" ht="14.25" customHeight="1">
      <c r="A58" s="28">
        <v>9.0</v>
      </c>
      <c r="B58" s="29" t="s">
        <v>36</v>
      </c>
      <c r="C58" s="42" t="s">
        <v>220</v>
      </c>
      <c r="D58" s="31">
        <v>5.82</v>
      </c>
      <c r="E58" s="32" t="s">
        <v>171</v>
      </c>
      <c r="G58" s="39"/>
    </row>
    <row r="59" ht="14.25" customHeight="1">
      <c r="A59" s="28">
        <v>10.0</v>
      </c>
      <c r="B59" s="29" t="s">
        <v>36</v>
      </c>
      <c r="C59" s="42" t="s">
        <v>221</v>
      </c>
      <c r="D59" s="31">
        <v>4.0</v>
      </c>
      <c r="E59" s="32" t="s">
        <v>171</v>
      </c>
    </row>
    <row r="60" ht="14.25" customHeight="1">
      <c r="A60" s="28">
        <v>11.0</v>
      </c>
      <c r="B60" s="29" t="s">
        <v>36</v>
      </c>
      <c r="C60" s="42" t="s">
        <v>222</v>
      </c>
      <c r="D60" s="31">
        <v>8.615</v>
      </c>
      <c r="E60" s="32" t="s">
        <v>223</v>
      </c>
    </row>
    <row r="61" ht="14.25" customHeight="1">
      <c r="A61" s="28">
        <v>12.0</v>
      </c>
      <c r="B61" s="29" t="s">
        <v>36</v>
      </c>
      <c r="C61" s="42" t="s">
        <v>224</v>
      </c>
      <c r="D61" s="31">
        <v>4.715</v>
      </c>
      <c r="E61" s="32" t="s">
        <v>171</v>
      </c>
    </row>
    <row r="62" ht="14.25" customHeight="1">
      <c r="A62" s="28">
        <v>13.0</v>
      </c>
      <c r="B62" s="29" t="s">
        <v>36</v>
      </c>
      <c r="C62" s="42" t="s">
        <v>225</v>
      </c>
      <c r="D62" s="31">
        <v>8.26</v>
      </c>
      <c r="E62" s="32" t="s">
        <v>223</v>
      </c>
    </row>
    <row r="63" ht="14.25" customHeight="1">
      <c r="A63" s="28">
        <v>14.0</v>
      </c>
      <c r="B63" s="29" t="s">
        <v>36</v>
      </c>
      <c r="C63" s="42" t="s">
        <v>226</v>
      </c>
      <c r="D63" s="31">
        <v>8.245000000000001</v>
      </c>
      <c r="E63" s="32" t="s">
        <v>223</v>
      </c>
    </row>
    <row r="64" ht="14.25" customHeight="1">
      <c r="A64" s="28">
        <v>15.0</v>
      </c>
      <c r="B64" s="29" t="s">
        <v>36</v>
      </c>
      <c r="C64" s="42" t="s">
        <v>227</v>
      </c>
      <c r="D64" s="31">
        <v>4.175</v>
      </c>
      <c r="E64" s="32" t="s">
        <v>171</v>
      </c>
    </row>
    <row r="65" ht="14.25" customHeight="1">
      <c r="A65" s="28">
        <v>16.0</v>
      </c>
      <c r="B65" s="29" t="s">
        <v>36</v>
      </c>
      <c r="C65" s="42" t="s">
        <v>228</v>
      </c>
      <c r="D65" s="31">
        <v>1.76</v>
      </c>
      <c r="E65" s="32" t="s">
        <v>171</v>
      </c>
    </row>
    <row r="66" ht="14.25" customHeight="1">
      <c r="A66" s="28">
        <v>17.0</v>
      </c>
      <c r="B66" s="29" t="s">
        <v>36</v>
      </c>
      <c r="C66" s="42" t="s">
        <v>229</v>
      </c>
      <c r="D66" s="31">
        <v>3.7350000000000003</v>
      </c>
      <c r="E66" s="32" t="s">
        <v>171</v>
      </c>
    </row>
    <row r="67" ht="14.25" customHeight="1">
      <c r="A67" s="28">
        <v>18.0</v>
      </c>
      <c r="B67" s="29" t="s">
        <v>36</v>
      </c>
      <c r="C67" s="42" t="s">
        <v>230</v>
      </c>
      <c r="D67" s="31">
        <v>5.85</v>
      </c>
      <c r="E67" s="32" t="s">
        <v>171</v>
      </c>
    </row>
    <row r="68" ht="14.25" customHeight="1">
      <c r="A68" s="28">
        <v>19.0</v>
      </c>
      <c r="B68" s="29" t="s">
        <v>36</v>
      </c>
      <c r="C68" s="42" t="s">
        <v>231</v>
      </c>
      <c r="D68" s="31">
        <v>7.4350000000000005</v>
      </c>
      <c r="E68" s="32" t="s">
        <v>223</v>
      </c>
    </row>
    <row r="69" ht="14.25" customHeight="1">
      <c r="A69" s="28">
        <v>20.0</v>
      </c>
      <c r="B69" s="29" t="s">
        <v>36</v>
      </c>
      <c r="C69" s="42" t="s">
        <v>232</v>
      </c>
      <c r="D69" s="31">
        <v>3.97</v>
      </c>
      <c r="E69" s="32" t="s">
        <v>171</v>
      </c>
    </row>
    <row r="70" ht="14.25" customHeight="1">
      <c r="A70" s="28">
        <v>21.0</v>
      </c>
      <c r="B70" s="29" t="s">
        <v>36</v>
      </c>
      <c r="C70" s="42" t="s">
        <v>233</v>
      </c>
      <c r="D70" s="31">
        <v>2.64</v>
      </c>
      <c r="E70" s="32" t="s">
        <v>171</v>
      </c>
    </row>
    <row r="71" ht="14.25" customHeight="1">
      <c r="A71" s="28">
        <v>22.0</v>
      </c>
      <c r="B71" s="29" t="s">
        <v>36</v>
      </c>
      <c r="C71" s="42" t="s">
        <v>234</v>
      </c>
      <c r="D71" s="31">
        <v>3.375</v>
      </c>
      <c r="E71" s="32" t="s">
        <v>171</v>
      </c>
    </row>
    <row r="72" ht="14.25" customHeight="1">
      <c r="A72" s="28">
        <v>23.0</v>
      </c>
      <c r="B72" s="29" t="s">
        <v>36</v>
      </c>
      <c r="C72" s="42" t="s">
        <v>235</v>
      </c>
      <c r="D72" s="31">
        <v>4.85</v>
      </c>
      <c r="E72" s="32" t="s">
        <v>171</v>
      </c>
    </row>
    <row r="73" ht="14.25" customHeight="1">
      <c r="A73" s="28">
        <v>24.0</v>
      </c>
      <c r="B73" s="29" t="s">
        <v>36</v>
      </c>
      <c r="C73" s="42" t="s">
        <v>236</v>
      </c>
      <c r="D73" s="31">
        <v>5.494999999999999</v>
      </c>
      <c r="E73" s="32" t="s">
        <v>171</v>
      </c>
    </row>
    <row r="74" ht="14.25" customHeight="1">
      <c r="A74" s="28">
        <v>25.0</v>
      </c>
      <c r="B74" s="29" t="s">
        <v>36</v>
      </c>
      <c r="C74" s="42" t="s">
        <v>237</v>
      </c>
      <c r="D74" s="31">
        <v>9.094999999999999</v>
      </c>
      <c r="E74" s="32" t="s">
        <v>171</v>
      </c>
    </row>
    <row r="75" ht="14.25" customHeight="1">
      <c r="A75" s="28">
        <v>26.0</v>
      </c>
      <c r="B75" s="29" t="s">
        <v>36</v>
      </c>
      <c r="C75" s="42" t="s">
        <v>238</v>
      </c>
      <c r="D75" s="31">
        <v>9.395</v>
      </c>
      <c r="E75" s="32" t="s">
        <v>223</v>
      </c>
    </row>
    <row r="76" ht="14.25" customHeight="1">
      <c r="A76" s="28">
        <v>27.0</v>
      </c>
      <c r="B76" s="29" t="s">
        <v>36</v>
      </c>
      <c r="C76" s="42" t="s">
        <v>239</v>
      </c>
      <c r="D76" s="31">
        <v>4.08</v>
      </c>
      <c r="E76" s="32" t="s">
        <v>171</v>
      </c>
    </row>
    <row r="77" ht="14.25" customHeight="1">
      <c r="A77" s="28">
        <v>28.0</v>
      </c>
      <c r="B77" s="29" t="s">
        <v>36</v>
      </c>
      <c r="C77" s="42" t="s">
        <v>240</v>
      </c>
      <c r="D77" s="31">
        <v>3.585</v>
      </c>
      <c r="E77" s="32" t="s">
        <v>171</v>
      </c>
    </row>
    <row r="78" ht="14.25" customHeight="1">
      <c r="A78" s="28">
        <v>29.0</v>
      </c>
      <c r="B78" s="29" t="s">
        <v>36</v>
      </c>
      <c r="C78" s="42" t="s">
        <v>241</v>
      </c>
      <c r="D78" s="31">
        <v>3.025</v>
      </c>
      <c r="E78" s="32" t="s">
        <v>171</v>
      </c>
    </row>
    <row r="79" ht="14.25" customHeight="1">
      <c r="A79" s="28">
        <v>30.0</v>
      </c>
      <c r="B79" s="29" t="s">
        <v>36</v>
      </c>
      <c r="C79" s="42" t="s">
        <v>242</v>
      </c>
      <c r="D79" s="31">
        <v>6.404999999999999</v>
      </c>
      <c r="E79" s="32" t="s">
        <v>223</v>
      </c>
    </row>
    <row r="80" ht="14.25" customHeight="1">
      <c r="A80" s="28">
        <v>31.0</v>
      </c>
      <c r="B80" s="29" t="s">
        <v>36</v>
      </c>
      <c r="C80" s="42" t="s">
        <v>243</v>
      </c>
      <c r="D80" s="31">
        <v>2.73</v>
      </c>
      <c r="E80" s="32" t="s">
        <v>171</v>
      </c>
    </row>
    <row r="81" ht="14.25" customHeight="1">
      <c r="A81" s="28">
        <v>32.0</v>
      </c>
      <c r="B81" s="29" t="s">
        <v>36</v>
      </c>
      <c r="C81" s="42" t="s">
        <v>244</v>
      </c>
      <c r="D81" s="31">
        <v>4.845000000000001</v>
      </c>
      <c r="E81" s="32" t="s">
        <v>171</v>
      </c>
    </row>
    <row r="82" ht="14.25" customHeight="1">
      <c r="A82" s="28">
        <v>33.0</v>
      </c>
      <c r="B82" s="29" t="s">
        <v>36</v>
      </c>
      <c r="C82" s="42" t="s">
        <v>245</v>
      </c>
      <c r="D82" s="31">
        <v>2.5549999999999997</v>
      </c>
      <c r="E82" s="32" t="s">
        <v>171</v>
      </c>
    </row>
    <row r="83" ht="14.25" customHeight="1">
      <c r="A83" s="28">
        <v>34.0</v>
      </c>
      <c r="B83" s="29" t="s">
        <v>36</v>
      </c>
      <c r="C83" s="42" t="s">
        <v>246</v>
      </c>
      <c r="D83" s="31">
        <v>3.8449999999999998</v>
      </c>
      <c r="E83" s="32" t="s">
        <v>171</v>
      </c>
    </row>
    <row r="84" ht="14.25" customHeight="1">
      <c r="A84" s="28">
        <v>35.0</v>
      </c>
      <c r="B84" s="29" t="s">
        <v>36</v>
      </c>
      <c r="C84" s="42" t="s">
        <v>247</v>
      </c>
      <c r="D84" s="31">
        <v>3.26</v>
      </c>
      <c r="E84" s="32" t="s">
        <v>171</v>
      </c>
    </row>
    <row r="85" ht="14.25" customHeight="1">
      <c r="A85" s="28">
        <v>36.0</v>
      </c>
      <c r="B85" s="29" t="s">
        <v>36</v>
      </c>
      <c r="C85" s="42" t="s">
        <v>248</v>
      </c>
      <c r="D85" s="31">
        <v>4.14</v>
      </c>
      <c r="E85" s="32" t="s">
        <v>171</v>
      </c>
    </row>
    <row r="86" ht="14.25" customHeight="1">
      <c r="A86" s="28">
        <v>37.0</v>
      </c>
      <c r="B86" s="29" t="s">
        <v>36</v>
      </c>
      <c r="C86" s="42" t="s">
        <v>63</v>
      </c>
      <c r="D86" s="31">
        <v>3.625</v>
      </c>
      <c r="E86" s="32" t="s">
        <v>171</v>
      </c>
    </row>
    <row r="87" ht="14.25" customHeight="1">
      <c r="A87" s="28">
        <v>38.0</v>
      </c>
      <c r="B87" s="29" t="s">
        <v>36</v>
      </c>
      <c r="C87" s="42" t="s">
        <v>249</v>
      </c>
      <c r="D87" s="31">
        <v>4.615</v>
      </c>
      <c r="E87" s="32" t="s">
        <v>171</v>
      </c>
    </row>
    <row r="88" ht="14.25" customHeight="1">
      <c r="A88" s="28">
        <v>38.0</v>
      </c>
      <c r="B88" s="29" t="s">
        <v>36</v>
      </c>
      <c r="C88" s="42" t="s">
        <v>250</v>
      </c>
      <c r="D88" s="31">
        <v>6.965</v>
      </c>
      <c r="E88" s="32" t="s">
        <v>171</v>
      </c>
    </row>
    <row r="89" ht="14.25" customHeight="1">
      <c r="A89" s="28">
        <v>40.0</v>
      </c>
      <c r="B89" s="29" t="s">
        <v>36</v>
      </c>
      <c r="C89" s="42" t="s">
        <v>251</v>
      </c>
      <c r="D89" s="31">
        <v>2.82</v>
      </c>
      <c r="E89" s="32" t="s">
        <v>171</v>
      </c>
    </row>
    <row r="90" ht="14.25" customHeight="1">
      <c r="A90" s="28">
        <v>41.0</v>
      </c>
      <c r="B90" s="29" t="s">
        <v>36</v>
      </c>
      <c r="C90" s="42" t="s">
        <v>252</v>
      </c>
      <c r="D90" s="31">
        <v>5.26</v>
      </c>
      <c r="E90" s="32" t="s">
        <v>171</v>
      </c>
    </row>
    <row r="91" ht="14.25" customHeight="1">
      <c r="A91" s="28">
        <v>42.0</v>
      </c>
      <c r="B91" s="29" t="s">
        <v>36</v>
      </c>
      <c r="C91" s="42" t="s">
        <v>253</v>
      </c>
      <c r="D91" s="31">
        <v>3.495</v>
      </c>
      <c r="E91" s="32" t="s">
        <v>171</v>
      </c>
    </row>
    <row r="92" ht="14.25" customHeight="1">
      <c r="A92" s="28">
        <v>43.0</v>
      </c>
      <c r="B92" s="29" t="s">
        <v>36</v>
      </c>
      <c r="C92" s="42" t="s">
        <v>254</v>
      </c>
      <c r="D92" s="31">
        <v>4.51</v>
      </c>
      <c r="E92" s="32" t="s">
        <v>171</v>
      </c>
    </row>
    <row r="93" ht="14.25" customHeight="1">
      <c r="A93" s="28">
        <v>44.0</v>
      </c>
      <c r="B93" s="29" t="s">
        <v>36</v>
      </c>
      <c r="C93" s="42" t="s">
        <v>255</v>
      </c>
      <c r="D93" s="31">
        <v>4.845000000000001</v>
      </c>
      <c r="E93" s="32" t="s">
        <v>171</v>
      </c>
    </row>
    <row r="94" ht="14.25" customHeight="1">
      <c r="A94" s="28">
        <v>45.0</v>
      </c>
      <c r="B94" s="29" t="s">
        <v>36</v>
      </c>
      <c r="C94" s="42" t="s">
        <v>256</v>
      </c>
      <c r="D94" s="31">
        <v>4.4350000000000005</v>
      </c>
      <c r="E94" s="32" t="s">
        <v>171</v>
      </c>
    </row>
    <row r="95" ht="14.25" customHeight="1">
      <c r="A95" s="28">
        <v>46.0</v>
      </c>
      <c r="B95" s="29" t="s">
        <v>36</v>
      </c>
      <c r="C95" s="42" t="s">
        <v>257</v>
      </c>
      <c r="D95" s="31">
        <v>3.35</v>
      </c>
      <c r="E95" s="32" t="s">
        <v>171</v>
      </c>
    </row>
    <row r="96" ht="14.25" customHeight="1">
      <c r="A96" s="28">
        <v>47.0</v>
      </c>
      <c r="B96" s="29" t="s">
        <v>36</v>
      </c>
      <c r="C96" s="42" t="s">
        <v>258</v>
      </c>
      <c r="D96" s="31">
        <v>3.2</v>
      </c>
      <c r="E96" s="32" t="s">
        <v>171</v>
      </c>
    </row>
    <row r="97" ht="14.25" customHeight="1">
      <c r="A97" s="28">
        <v>48.0</v>
      </c>
      <c r="B97" s="29" t="s">
        <v>36</v>
      </c>
      <c r="C97" s="42" t="s">
        <v>259</v>
      </c>
      <c r="D97" s="31">
        <v>6.465</v>
      </c>
      <c r="E97" s="32" t="s">
        <v>171</v>
      </c>
    </row>
    <row r="98" ht="14.25" customHeight="1">
      <c r="A98" s="28">
        <v>49.0</v>
      </c>
      <c r="B98" s="29" t="s">
        <v>36</v>
      </c>
      <c r="C98" s="42" t="s">
        <v>260</v>
      </c>
      <c r="D98" s="31">
        <v>3.1700000000000004</v>
      </c>
      <c r="E98" s="32" t="s">
        <v>171</v>
      </c>
    </row>
    <row r="99" ht="14.25" customHeight="1">
      <c r="A99" s="28">
        <v>50.0</v>
      </c>
      <c r="B99" s="29" t="s">
        <v>36</v>
      </c>
      <c r="C99" s="42" t="s">
        <v>261</v>
      </c>
      <c r="D99" s="31">
        <v>4.465</v>
      </c>
      <c r="E99" s="32" t="s">
        <v>171</v>
      </c>
    </row>
    <row r="100" ht="14.25" customHeight="1">
      <c r="A100" s="28">
        <v>51.0</v>
      </c>
      <c r="B100" s="29" t="s">
        <v>36</v>
      </c>
      <c r="C100" s="42" t="s">
        <v>262</v>
      </c>
      <c r="D100" s="31">
        <v>5.82</v>
      </c>
      <c r="E100" s="32" t="s">
        <v>171</v>
      </c>
    </row>
    <row r="101" ht="14.25" customHeight="1">
      <c r="A101" s="28">
        <v>52.0</v>
      </c>
      <c r="B101" s="29" t="s">
        <v>36</v>
      </c>
      <c r="C101" s="42" t="s">
        <v>263</v>
      </c>
      <c r="D101" s="31">
        <v>3.38</v>
      </c>
      <c r="E101" s="32" t="s">
        <v>171</v>
      </c>
    </row>
    <row r="102" ht="14.25" customHeight="1">
      <c r="A102" s="28">
        <v>53.0</v>
      </c>
      <c r="B102" s="29" t="s">
        <v>36</v>
      </c>
      <c r="C102" s="42" t="s">
        <v>264</v>
      </c>
      <c r="D102" s="31">
        <v>5.26</v>
      </c>
      <c r="E102" s="32" t="s">
        <v>171</v>
      </c>
    </row>
    <row r="103" ht="14.25" customHeight="1">
      <c r="A103" s="28">
        <v>54.0</v>
      </c>
      <c r="B103" s="29" t="s">
        <v>36</v>
      </c>
      <c r="C103" s="42" t="s">
        <v>265</v>
      </c>
      <c r="D103" s="31">
        <v>4.465</v>
      </c>
      <c r="E103" s="32" t="s">
        <v>171</v>
      </c>
    </row>
    <row r="104" ht="14.25" customHeight="1">
      <c r="A104" s="28">
        <v>55.0</v>
      </c>
      <c r="B104" s="29" t="s">
        <v>36</v>
      </c>
      <c r="C104" s="42" t="s">
        <v>266</v>
      </c>
      <c r="D104" s="31">
        <v>0.585</v>
      </c>
      <c r="E104" s="32" t="s">
        <v>171</v>
      </c>
    </row>
    <row r="105" ht="14.25" customHeight="1">
      <c r="A105" s="28">
        <v>56.0</v>
      </c>
      <c r="B105" s="29" t="s">
        <v>36</v>
      </c>
      <c r="C105" s="42" t="s">
        <v>267</v>
      </c>
      <c r="D105" s="31">
        <v>8.17</v>
      </c>
      <c r="E105" s="32" t="s">
        <v>223</v>
      </c>
    </row>
    <row r="106" ht="14.25" customHeight="1">
      <c r="A106" s="28">
        <v>57.0</v>
      </c>
      <c r="B106" s="29" t="s">
        <v>36</v>
      </c>
      <c r="C106" s="42" t="s">
        <v>268</v>
      </c>
      <c r="D106" s="31">
        <v>6.994999999999999</v>
      </c>
      <c r="E106" s="32" t="s">
        <v>171</v>
      </c>
    </row>
    <row r="107" ht="14.25" customHeight="1">
      <c r="A107" s="28">
        <v>58.0</v>
      </c>
      <c r="B107" s="29" t="s">
        <v>36</v>
      </c>
      <c r="C107" s="42" t="s">
        <v>269</v>
      </c>
      <c r="D107" s="31">
        <v>7.41</v>
      </c>
      <c r="E107" s="32" t="s">
        <v>171</v>
      </c>
    </row>
    <row r="108" ht="14.25" customHeight="1">
      <c r="A108" s="28">
        <v>59.0</v>
      </c>
      <c r="B108" s="29" t="s">
        <v>36</v>
      </c>
      <c r="C108" s="42" t="s">
        <v>270</v>
      </c>
      <c r="D108" s="31">
        <v>4.115</v>
      </c>
      <c r="E108" s="32" t="s">
        <v>171</v>
      </c>
    </row>
    <row r="109" ht="14.25" customHeight="1">
      <c r="A109" s="28">
        <v>60.0</v>
      </c>
      <c r="B109" s="29" t="s">
        <v>36</v>
      </c>
      <c r="C109" s="42" t="s">
        <v>271</v>
      </c>
      <c r="D109" s="31">
        <v>2.9650000000000003</v>
      </c>
      <c r="E109" s="32" t="s">
        <v>171</v>
      </c>
    </row>
    <row r="110" ht="14.25" customHeight="1">
      <c r="A110" s="28">
        <v>61.0</v>
      </c>
      <c r="B110" s="29" t="s">
        <v>36</v>
      </c>
      <c r="C110" s="42" t="s">
        <v>272</v>
      </c>
      <c r="D110" s="31">
        <v>4.08</v>
      </c>
      <c r="E110" s="32" t="s">
        <v>171</v>
      </c>
    </row>
    <row r="111" ht="14.25" customHeight="1">
      <c r="A111" s="28">
        <v>62.0</v>
      </c>
      <c r="B111" s="29" t="s">
        <v>36</v>
      </c>
      <c r="C111" s="42" t="s">
        <v>273</v>
      </c>
      <c r="D111" s="31">
        <v>4.85</v>
      </c>
      <c r="E111" s="32" t="s">
        <v>171</v>
      </c>
    </row>
    <row r="112" ht="14.25" customHeight="1">
      <c r="A112" s="28">
        <v>63.0</v>
      </c>
      <c r="B112" s="29" t="s">
        <v>36</v>
      </c>
      <c r="C112" s="42" t="s">
        <v>274</v>
      </c>
      <c r="D112" s="31">
        <v>2.1399999999999997</v>
      </c>
      <c r="E112" s="32" t="s">
        <v>171</v>
      </c>
    </row>
    <row r="113" ht="14.25" customHeight="1">
      <c r="A113" s="28">
        <v>64.0</v>
      </c>
      <c r="B113" s="29" t="s">
        <v>36</v>
      </c>
      <c r="C113" s="42" t="s">
        <v>275</v>
      </c>
      <c r="D113" s="31">
        <v>2.615</v>
      </c>
      <c r="E113" s="32" t="s">
        <v>171</v>
      </c>
    </row>
    <row r="114" ht="14.25" customHeight="1">
      <c r="A114" s="24"/>
      <c r="B114" s="25" t="s">
        <v>276</v>
      </c>
      <c r="C114" s="43"/>
      <c r="D114" s="41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8">
        <v>1.0</v>
      </c>
      <c r="B115" s="29" t="s">
        <v>277</v>
      </c>
      <c r="C115" s="42" t="s">
        <v>278</v>
      </c>
      <c r="D115" s="31">
        <v>5.275</v>
      </c>
      <c r="E115" s="32" t="s">
        <v>171</v>
      </c>
    </row>
    <row r="116" ht="14.25" customHeight="1">
      <c r="A116" s="28">
        <v>2.0</v>
      </c>
      <c r="B116" s="29" t="s">
        <v>277</v>
      </c>
      <c r="C116" s="42" t="s">
        <v>279</v>
      </c>
      <c r="D116" s="31">
        <v>5.985</v>
      </c>
      <c r="E116" s="32" t="s">
        <v>223</v>
      </c>
      <c r="G116" s="39"/>
    </row>
    <row r="117" ht="14.25" customHeight="1">
      <c r="A117" s="28">
        <v>3.0</v>
      </c>
      <c r="B117" s="29" t="s">
        <v>277</v>
      </c>
      <c r="C117" s="42" t="s">
        <v>280</v>
      </c>
      <c r="D117" s="31">
        <v>8.285</v>
      </c>
      <c r="E117" s="32" t="s">
        <v>223</v>
      </c>
      <c r="G117" s="39"/>
    </row>
    <row r="118" ht="14.25" customHeight="1">
      <c r="A118" s="28">
        <v>4.0</v>
      </c>
      <c r="B118" s="29" t="s">
        <v>277</v>
      </c>
      <c r="C118" s="42" t="s">
        <v>281</v>
      </c>
      <c r="D118" s="31">
        <v>7.8149999999999995</v>
      </c>
      <c r="E118" s="32" t="s">
        <v>223</v>
      </c>
      <c r="G118" s="39"/>
    </row>
    <row r="119" ht="14.25" customHeight="1">
      <c r="A119" s="28">
        <v>5.0</v>
      </c>
      <c r="B119" s="29" t="s">
        <v>277</v>
      </c>
      <c r="C119" s="42" t="s">
        <v>282</v>
      </c>
      <c r="D119" s="31">
        <v>3.0599999999999996</v>
      </c>
      <c r="E119" s="32" t="s">
        <v>171</v>
      </c>
      <c r="G119" s="39"/>
    </row>
    <row r="120" ht="14.25" customHeight="1">
      <c r="A120" s="28">
        <v>6.0</v>
      </c>
      <c r="B120" s="29" t="s">
        <v>277</v>
      </c>
      <c r="C120" s="42" t="s">
        <v>283</v>
      </c>
      <c r="D120" s="31">
        <v>1.755</v>
      </c>
      <c r="E120" s="32" t="s">
        <v>171</v>
      </c>
      <c r="G120" s="39"/>
    </row>
    <row r="121" ht="14.25" customHeight="1">
      <c r="A121" s="28">
        <v>7.0</v>
      </c>
      <c r="B121" s="29" t="s">
        <v>277</v>
      </c>
      <c r="C121" s="42" t="s">
        <v>284</v>
      </c>
      <c r="D121" s="31">
        <v>5.115</v>
      </c>
      <c r="E121" s="32" t="s">
        <v>223</v>
      </c>
      <c r="G121" s="39"/>
    </row>
    <row r="122" ht="14.25" customHeight="1">
      <c r="A122" s="28">
        <v>8.0</v>
      </c>
      <c r="B122" s="29" t="s">
        <v>277</v>
      </c>
      <c r="C122" s="42" t="s">
        <v>285</v>
      </c>
      <c r="D122" s="31">
        <v>7.49</v>
      </c>
      <c r="E122" s="32" t="s">
        <v>223</v>
      </c>
      <c r="G122" s="39"/>
    </row>
    <row r="123" ht="14.25" customHeight="1">
      <c r="A123" s="28">
        <v>9.0</v>
      </c>
      <c r="B123" s="29" t="s">
        <v>277</v>
      </c>
      <c r="C123" s="42" t="s">
        <v>286</v>
      </c>
      <c r="D123" s="31">
        <v>4.27</v>
      </c>
      <c r="E123" s="32" t="s">
        <v>171</v>
      </c>
    </row>
    <row r="124" ht="14.25" customHeight="1">
      <c r="A124" s="28">
        <v>10.0</v>
      </c>
      <c r="B124" s="29" t="s">
        <v>277</v>
      </c>
      <c r="C124" s="42" t="s">
        <v>287</v>
      </c>
      <c r="D124" s="31">
        <v>3.09</v>
      </c>
      <c r="E124" s="32" t="s">
        <v>171</v>
      </c>
    </row>
    <row r="125" ht="14.25" customHeight="1">
      <c r="A125" s="28">
        <v>11.0</v>
      </c>
      <c r="B125" s="29" t="s">
        <v>277</v>
      </c>
      <c r="C125" s="42" t="s">
        <v>288</v>
      </c>
      <c r="D125" s="31">
        <v>5.98</v>
      </c>
      <c r="E125" s="32" t="s">
        <v>289</v>
      </c>
    </row>
    <row r="126" ht="14.25" customHeight="1">
      <c r="A126" s="28">
        <v>12.0</v>
      </c>
      <c r="B126" s="29" t="s">
        <v>277</v>
      </c>
      <c r="C126" s="42" t="s">
        <v>290</v>
      </c>
      <c r="D126" s="31">
        <v>3.835</v>
      </c>
      <c r="E126" s="32" t="s">
        <v>171</v>
      </c>
    </row>
    <row r="127" ht="14.25" customHeight="1">
      <c r="A127" s="24"/>
      <c r="B127" s="25" t="s">
        <v>291</v>
      </c>
      <c r="C127" s="43"/>
      <c r="D127" s="41"/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44">
        <v>1.0</v>
      </c>
      <c r="B128" s="35" t="s">
        <v>292</v>
      </c>
      <c r="C128" s="45" t="s">
        <v>293</v>
      </c>
      <c r="D128" s="37">
        <v>0.0</v>
      </c>
      <c r="E128" s="38" t="s">
        <v>171</v>
      </c>
    </row>
    <row r="129" ht="14.25" customHeight="1">
      <c r="A129" s="44">
        <v>2.0</v>
      </c>
      <c r="B129" s="35" t="s">
        <v>292</v>
      </c>
      <c r="C129" s="45" t="s">
        <v>294</v>
      </c>
      <c r="D129" s="37">
        <v>0.0</v>
      </c>
      <c r="E129" s="38" t="s">
        <v>171</v>
      </c>
    </row>
    <row r="130" ht="14.25" customHeight="1">
      <c r="A130" s="46">
        <v>3.0</v>
      </c>
      <c r="B130" s="29" t="s">
        <v>292</v>
      </c>
      <c r="C130" s="42" t="s">
        <v>295</v>
      </c>
      <c r="D130" s="31">
        <v>5.9350000000000005</v>
      </c>
      <c r="E130" s="32" t="s">
        <v>171</v>
      </c>
    </row>
    <row r="131" ht="14.25" customHeight="1">
      <c r="A131" s="46">
        <v>4.0</v>
      </c>
      <c r="B131" s="29" t="s">
        <v>292</v>
      </c>
      <c r="C131" s="42" t="s">
        <v>296</v>
      </c>
      <c r="D131" s="31">
        <v>5.109999999999999</v>
      </c>
      <c r="E131" s="32" t="s">
        <v>171</v>
      </c>
    </row>
    <row r="132" ht="14.25" customHeight="1">
      <c r="A132" s="28">
        <v>5.0</v>
      </c>
      <c r="B132" s="29" t="s">
        <v>292</v>
      </c>
      <c r="C132" s="42" t="s">
        <v>297</v>
      </c>
      <c r="D132" s="31">
        <v>2.79</v>
      </c>
      <c r="E132" s="32" t="s">
        <v>171</v>
      </c>
    </row>
    <row r="133" ht="14.25" customHeight="1">
      <c r="A133" s="34">
        <v>6.0</v>
      </c>
      <c r="B133" s="35" t="s">
        <v>292</v>
      </c>
      <c r="C133" s="45" t="s">
        <v>298</v>
      </c>
      <c r="D133" s="37">
        <v>0.0</v>
      </c>
      <c r="E133" s="38" t="s">
        <v>171</v>
      </c>
    </row>
    <row r="134" ht="14.25" customHeight="1">
      <c r="A134" s="28">
        <v>7.0</v>
      </c>
      <c r="B134" s="29" t="s">
        <v>292</v>
      </c>
      <c r="C134" s="42" t="s">
        <v>299</v>
      </c>
      <c r="D134" s="31">
        <v>4.275</v>
      </c>
      <c r="E134" s="32" t="s">
        <v>171</v>
      </c>
    </row>
    <row r="135" ht="14.25" customHeight="1">
      <c r="A135" s="28">
        <v>8.0</v>
      </c>
      <c r="B135" s="29" t="s">
        <v>292</v>
      </c>
      <c r="C135" s="42" t="s">
        <v>300</v>
      </c>
      <c r="D135" s="31">
        <v>2.29</v>
      </c>
      <c r="E135" s="32" t="s">
        <v>171</v>
      </c>
    </row>
    <row r="136" ht="14.25" customHeight="1">
      <c r="A136" s="28">
        <v>9.0</v>
      </c>
      <c r="B136" s="29" t="s">
        <v>292</v>
      </c>
      <c r="C136" s="42" t="s">
        <v>301</v>
      </c>
      <c r="D136" s="31">
        <v>2.395</v>
      </c>
      <c r="E136" s="32" t="s">
        <v>171</v>
      </c>
    </row>
    <row r="137" ht="14.25" customHeight="1">
      <c r="A137" s="34">
        <v>10.0</v>
      </c>
      <c r="B137" s="35" t="s">
        <v>292</v>
      </c>
      <c r="C137" s="45" t="s">
        <v>302</v>
      </c>
      <c r="D137" s="37">
        <v>0.0</v>
      </c>
      <c r="E137" s="38" t="s">
        <v>171</v>
      </c>
    </row>
    <row r="138" ht="14.25" customHeight="1">
      <c r="A138" s="28">
        <v>11.0</v>
      </c>
      <c r="B138" s="29" t="s">
        <v>292</v>
      </c>
      <c r="C138" s="42" t="s">
        <v>303</v>
      </c>
      <c r="D138" s="31">
        <v>6.465</v>
      </c>
      <c r="E138" s="32" t="s">
        <v>171</v>
      </c>
    </row>
    <row r="139" ht="14.25" customHeight="1">
      <c r="A139" s="28">
        <v>12.0</v>
      </c>
      <c r="B139" s="29" t="s">
        <v>292</v>
      </c>
      <c r="C139" s="42" t="s">
        <v>304</v>
      </c>
      <c r="D139" s="31">
        <v>5.675</v>
      </c>
      <c r="E139" s="32" t="s">
        <v>171</v>
      </c>
    </row>
    <row r="140" ht="14.25" customHeight="1">
      <c r="A140" s="28">
        <v>13.0</v>
      </c>
      <c r="B140" s="29" t="s">
        <v>292</v>
      </c>
      <c r="C140" s="42" t="s">
        <v>305</v>
      </c>
      <c r="D140" s="31">
        <v>4.04</v>
      </c>
      <c r="E140" s="32" t="s">
        <v>171</v>
      </c>
    </row>
    <row r="141" ht="14.25" customHeight="1">
      <c r="A141" s="28">
        <v>14.0</v>
      </c>
      <c r="B141" s="29" t="s">
        <v>292</v>
      </c>
      <c r="C141" s="42" t="s">
        <v>306</v>
      </c>
      <c r="D141" s="31">
        <v>9.05</v>
      </c>
      <c r="E141" s="32" t="s">
        <v>223</v>
      </c>
    </row>
    <row r="142" ht="14.25" customHeight="1">
      <c r="A142" s="28">
        <v>15.0</v>
      </c>
      <c r="B142" s="29" t="s">
        <v>292</v>
      </c>
      <c r="C142" s="42" t="s">
        <v>307</v>
      </c>
      <c r="D142" s="31">
        <v>6.9350000000000005</v>
      </c>
      <c r="E142" s="32" t="s">
        <v>223</v>
      </c>
    </row>
    <row r="143" ht="14.25" customHeight="1">
      <c r="A143" s="28">
        <v>16.0</v>
      </c>
      <c r="B143" s="29" t="s">
        <v>292</v>
      </c>
      <c r="C143" s="42" t="s">
        <v>308</v>
      </c>
      <c r="D143" s="31">
        <v>4.245</v>
      </c>
      <c r="E143" s="32" t="s">
        <v>171</v>
      </c>
    </row>
    <row r="144" ht="14.25" customHeight="1">
      <c r="A144" s="28">
        <v>17.0</v>
      </c>
      <c r="B144" s="29" t="s">
        <v>292</v>
      </c>
      <c r="C144" s="42" t="s">
        <v>309</v>
      </c>
      <c r="D144" s="31">
        <v>4.025</v>
      </c>
      <c r="E144" s="32" t="s">
        <v>171</v>
      </c>
    </row>
    <row r="145" ht="14.25" customHeight="1">
      <c r="A145" s="28">
        <v>18.0</v>
      </c>
      <c r="B145" s="29" t="s">
        <v>292</v>
      </c>
      <c r="C145" s="42" t="s">
        <v>310</v>
      </c>
      <c r="D145" s="31">
        <v>6.33</v>
      </c>
      <c r="E145" s="32" t="s">
        <v>171</v>
      </c>
    </row>
    <row r="146" ht="14.25" customHeight="1">
      <c r="A146" s="28">
        <v>19.0</v>
      </c>
      <c r="B146" s="29" t="s">
        <v>292</v>
      </c>
      <c r="C146" s="42" t="s">
        <v>311</v>
      </c>
      <c r="D146" s="31">
        <v>4.949999999999999</v>
      </c>
      <c r="E146" s="32" t="s">
        <v>171</v>
      </c>
    </row>
    <row r="147" ht="14.25" customHeight="1">
      <c r="A147" s="28">
        <v>20.0</v>
      </c>
      <c r="B147" s="29" t="s">
        <v>292</v>
      </c>
      <c r="C147" s="42" t="s">
        <v>312</v>
      </c>
      <c r="D147" s="31">
        <v>4.175</v>
      </c>
      <c r="E147" s="32" t="s">
        <v>171</v>
      </c>
    </row>
    <row r="148" ht="14.25" customHeight="1">
      <c r="A148" s="28">
        <v>21.0</v>
      </c>
      <c r="B148" s="29" t="s">
        <v>292</v>
      </c>
      <c r="C148" s="42" t="s">
        <v>313</v>
      </c>
      <c r="D148" s="31">
        <v>8.215</v>
      </c>
      <c r="E148" s="32" t="s">
        <v>223</v>
      </c>
    </row>
    <row r="149" ht="14.25" customHeight="1">
      <c r="A149" s="28">
        <v>22.0</v>
      </c>
      <c r="B149" s="29" t="s">
        <v>292</v>
      </c>
      <c r="C149" s="42" t="s">
        <v>314</v>
      </c>
      <c r="D149" s="31">
        <v>4.359999999999999</v>
      </c>
      <c r="E149" s="32" t="s">
        <v>171</v>
      </c>
    </row>
    <row r="150" ht="14.25" customHeight="1">
      <c r="A150" s="28">
        <v>23.0</v>
      </c>
      <c r="B150" s="29" t="s">
        <v>292</v>
      </c>
      <c r="C150" s="42" t="s">
        <v>315</v>
      </c>
      <c r="D150" s="31">
        <v>3.04</v>
      </c>
      <c r="E150" s="32" t="s">
        <v>171</v>
      </c>
    </row>
    <row r="151" ht="14.25" customHeight="1">
      <c r="A151" s="28">
        <v>24.0</v>
      </c>
      <c r="B151" s="29" t="s">
        <v>292</v>
      </c>
      <c r="C151" s="42" t="s">
        <v>316</v>
      </c>
      <c r="D151" s="31">
        <v>8.2</v>
      </c>
      <c r="E151" s="32" t="s">
        <v>223</v>
      </c>
    </row>
    <row r="152" ht="14.25" customHeight="1">
      <c r="A152" s="28">
        <v>25.0</v>
      </c>
      <c r="B152" s="29" t="s">
        <v>292</v>
      </c>
      <c r="C152" s="42" t="s">
        <v>317</v>
      </c>
      <c r="D152" s="31">
        <v>3.615</v>
      </c>
      <c r="E152" s="32" t="s">
        <v>171</v>
      </c>
    </row>
    <row r="153" ht="14.25" customHeight="1">
      <c r="A153" s="28">
        <v>26.0</v>
      </c>
      <c r="B153" s="29" t="s">
        <v>292</v>
      </c>
      <c r="C153" s="42" t="s">
        <v>318</v>
      </c>
      <c r="D153" s="31">
        <v>7.404999999999999</v>
      </c>
      <c r="E153" s="32" t="s">
        <v>223</v>
      </c>
    </row>
    <row r="154" ht="14.25" customHeight="1">
      <c r="A154" s="28">
        <v>27.0</v>
      </c>
      <c r="B154" s="29" t="s">
        <v>292</v>
      </c>
      <c r="C154" s="42" t="s">
        <v>319</v>
      </c>
      <c r="D154" s="31">
        <v>3.41</v>
      </c>
      <c r="E154" s="32" t="s">
        <v>171</v>
      </c>
    </row>
    <row r="155" ht="14.25" customHeight="1">
      <c r="A155" s="28">
        <v>28.0</v>
      </c>
      <c r="B155" s="29" t="s">
        <v>292</v>
      </c>
      <c r="C155" s="42" t="s">
        <v>320</v>
      </c>
      <c r="D155" s="31">
        <v>3.1</v>
      </c>
      <c r="E155" s="32" t="s">
        <v>171</v>
      </c>
    </row>
    <row r="156" ht="14.25" customHeight="1">
      <c r="A156" s="28">
        <v>29.0</v>
      </c>
      <c r="B156" s="29" t="s">
        <v>292</v>
      </c>
      <c r="C156" s="42" t="s">
        <v>321</v>
      </c>
      <c r="D156" s="31">
        <v>2.8200000000000003</v>
      </c>
      <c r="E156" s="32" t="s">
        <v>171</v>
      </c>
    </row>
    <row r="157" ht="14.25" customHeight="1">
      <c r="A157" s="34">
        <v>30.0</v>
      </c>
      <c r="B157" s="35" t="s">
        <v>292</v>
      </c>
      <c r="C157" s="45" t="s">
        <v>322</v>
      </c>
      <c r="D157" s="37">
        <v>0.0</v>
      </c>
      <c r="E157" s="38" t="s">
        <v>171</v>
      </c>
    </row>
    <row r="158" ht="14.25" customHeight="1">
      <c r="A158" s="28">
        <v>31.0</v>
      </c>
      <c r="B158" s="29" t="s">
        <v>292</v>
      </c>
      <c r="C158" s="42" t="s">
        <v>323</v>
      </c>
      <c r="D158" s="31">
        <v>6.4350000000000005</v>
      </c>
      <c r="E158" s="32" t="s">
        <v>171</v>
      </c>
    </row>
    <row r="159" ht="14.25" customHeight="1">
      <c r="A159" s="28">
        <v>32.0</v>
      </c>
      <c r="B159" s="29" t="s">
        <v>292</v>
      </c>
      <c r="C159" s="42" t="s">
        <v>324</v>
      </c>
      <c r="D159" s="31">
        <v>3.965</v>
      </c>
      <c r="E159" s="32" t="s">
        <v>171</v>
      </c>
    </row>
    <row r="160" ht="14.25" customHeight="1">
      <c r="A160" s="28">
        <v>33.0</v>
      </c>
      <c r="B160" s="29" t="s">
        <v>292</v>
      </c>
      <c r="C160" s="42" t="s">
        <v>325</v>
      </c>
      <c r="D160" s="31">
        <v>2.685</v>
      </c>
      <c r="E160" s="32" t="s">
        <v>171</v>
      </c>
    </row>
    <row r="161" ht="14.25" customHeight="1">
      <c r="A161" s="28">
        <v>34.0</v>
      </c>
      <c r="B161" s="29" t="s">
        <v>292</v>
      </c>
      <c r="C161" s="42" t="s">
        <v>326</v>
      </c>
      <c r="D161" s="31">
        <v>3.3</v>
      </c>
      <c r="E161" s="32" t="s">
        <v>171</v>
      </c>
    </row>
    <row r="162" ht="14.25" customHeight="1">
      <c r="A162" s="28">
        <v>35.0</v>
      </c>
      <c r="B162" s="29" t="s">
        <v>292</v>
      </c>
      <c r="C162" s="42" t="s">
        <v>327</v>
      </c>
      <c r="D162" s="31">
        <v>5.63</v>
      </c>
      <c r="E162" s="32" t="s">
        <v>171</v>
      </c>
    </row>
    <row r="163" ht="14.25" customHeight="1">
      <c r="A163" s="28">
        <v>36.0</v>
      </c>
      <c r="B163" s="29" t="s">
        <v>292</v>
      </c>
      <c r="C163" s="42" t="s">
        <v>328</v>
      </c>
      <c r="D163" s="31">
        <v>3.245</v>
      </c>
      <c r="E163" s="32" t="s">
        <v>171</v>
      </c>
    </row>
    <row r="164" ht="14.25" customHeight="1">
      <c r="A164" s="28">
        <v>37.0</v>
      </c>
      <c r="B164" s="29" t="s">
        <v>292</v>
      </c>
      <c r="C164" s="42" t="s">
        <v>329</v>
      </c>
      <c r="D164" s="31">
        <v>3.835</v>
      </c>
      <c r="E164" s="32" t="s">
        <v>171</v>
      </c>
    </row>
    <row r="165" ht="14.25" customHeight="1">
      <c r="A165" s="28">
        <v>38.0</v>
      </c>
      <c r="B165" s="29" t="s">
        <v>292</v>
      </c>
      <c r="C165" s="42" t="s">
        <v>330</v>
      </c>
      <c r="D165" s="31">
        <v>8.535</v>
      </c>
      <c r="E165" s="32" t="s">
        <v>223</v>
      </c>
    </row>
    <row r="166" ht="14.25" customHeight="1">
      <c r="A166" s="28">
        <v>39.0</v>
      </c>
      <c r="B166" s="29" t="s">
        <v>292</v>
      </c>
      <c r="C166" s="42" t="s">
        <v>331</v>
      </c>
      <c r="D166" s="31">
        <v>5.025</v>
      </c>
      <c r="E166" s="32" t="s">
        <v>171</v>
      </c>
      <c r="G166" s="39"/>
    </row>
    <row r="167" ht="14.25" customHeight="1">
      <c r="A167" s="28">
        <v>40.0</v>
      </c>
      <c r="B167" s="29" t="s">
        <v>292</v>
      </c>
      <c r="C167" s="42" t="s">
        <v>332</v>
      </c>
      <c r="D167" s="31">
        <v>5.715</v>
      </c>
      <c r="E167" s="32" t="s">
        <v>223</v>
      </c>
      <c r="G167" s="39"/>
    </row>
    <row r="168" ht="14.25" customHeight="1">
      <c r="A168" s="28">
        <v>41.0</v>
      </c>
      <c r="B168" s="29" t="s">
        <v>292</v>
      </c>
      <c r="C168" s="42" t="s">
        <v>333</v>
      </c>
      <c r="D168" s="31">
        <v>4.04</v>
      </c>
      <c r="E168" s="32" t="s">
        <v>171</v>
      </c>
      <c r="G168" s="39"/>
    </row>
    <row r="169" ht="14.25" customHeight="1">
      <c r="A169" s="28">
        <v>42.0</v>
      </c>
      <c r="B169" s="29" t="s">
        <v>292</v>
      </c>
      <c r="C169" s="42" t="s">
        <v>334</v>
      </c>
      <c r="D169" s="31">
        <v>4.609999999999999</v>
      </c>
      <c r="E169" s="32" t="s">
        <v>171</v>
      </c>
      <c r="G169" s="39"/>
    </row>
    <row r="170" ht="14.25" customHeight="1">
      <c r="A170" s="28">
        <v>43.0</v>
      </c>
      <c r="B170" s="29" t="s">
        <v>292</v>
      </c>
      <c r="C170" s="42" t="s">
        <v>335</v>
      </c>
      <c r="D170" s="31">
        <v>3.715</v>
      </c>
      <c r="E170" s="32" t="s">
        <v>171</v>
      </c>
      <c r="G170" s="39"/>
    </row>
    <row r="171" ht="14.25" customHeight="1">
      <c r="A171" s="28">
        <v>44.0</v>
      </c>
      <c r="B171" s="29" t="s">
        <v>292</v>
      </c>
      <c r="C171" s="42" t="s">
        <v>336</v>
      </c>
      <c r="D171" s="31">
        <v>3.26</v>
      </c>
      <c r="E171" s="32" t="s">
        <v>171</v>
      </c>
      <c r="G171" s="39"/>
    </row>
    <row r="172" ht="14.25" customHeight="1">
      <c r="A172" s="28">
        <v>45.0</v>
      </c>
      <c r="B172" s="29" t="s">
        <v>292</v>
      </c>
      <c r="C172" s="42" t="s">
        <v>337</v>
      </c>
      <c r="D172" s="31">
        <v>3.26</v>
      </c>
      <c r="E172" s="32" t="s">
        <v>171</v>
      </c>
      <c r="G172" s="39"/>
    </row>
    <row r="173" ht="14.25" customHeight="1">
      <c r="A173" s="28">
        <v>46.0</v>
      </c>
      <c r="B173" s="29" t="s">
        <v>292</v>
      </c>
      <c r="C173" s="42" t="s">
        <v>338</v>
      </c>
      <c r="D173" s="31">
        <v>2.425</v>
      </c>
      <c r="E173" s="32" t="s">
        <v>171</v>
      </c>
      <c r="G173" s="39"/>
    </row>
    <row r="174" ht="14.25" customHeight="1">
      <c r="A174" s="28">
        <v>47.0</v>
      </c>
      <c r="B174" s="29" t="s">
        <v>292</v>
      </c>
      <c r="C174" s="42" t="s">
        <v>339</v>
      </c>
      <c r="D174" s="31">
        <v>4.79</v>
      </c>
      <c r="E174" s="32" t="s">
        <v>171</v>
      </c>
      <c r="G174" s="39"/>
    </row>
    <row r="175" ht="14.25" customHeight="1">
      <c r="A175" s="34">
        <v>48.0</v>
      </c>
      <c r="B175" s="35" t="s">
        <v>292</v>
      </c>
      <c r="C175" s="45" t="s">
        <v>340</v>
      </c>
      <c r="D175" s="37">
        <v>0.0</v>
      </c>
      <c r="E175" s="38" t="s">
        <v>171</v>
      </c>
      <c r="G175" s="39"/>
    </row>
    <row r="176" ht="14.25" customHeight="1">
      <c r="A176" s="24"/>
      <c r="B176" s="25" t="s">
        <v>341</v>
      </c>
      <c r="C176" s="43"/>
      <c r="D176" s="41"/>
      <c r="E176" s="26"/>
      <c r="F176" s="27"/>
      <c r="G176" s="4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8">
        <v>1.0</v>
      </c>
      <c r="B177" s="29" t="s">
        <v>103</v>
      </c>
      <c r="C177" s="42" t="s">
        <v>342</v>
      </c>
      <c r="D177" s="31">
        <v>0.65</v>
      </c>
      <c r="E177" s="32" t="s">
        <v>171</v>
      </c>
      <c r="G177" s="39"/>
    </row>
    <row r="178" ht="14.25" customHeight="1">
      <c r="A178" s="28">
        <v>2.0</v>
      </c>
      <c r="B178" s="29" t="s">
        <v>103</v>
      </c>
      <c r="C178" s="42" t="s">
        <v>343</v>
      </c>
      <c r="D178" s="31">
        <v>2.26</v>
      </c>
      <c r="E178" s="32" t="s">
        <v>171</v>
      </c>
      <c r="G178" s="39"/>
    </row>
    <row r="179" ht="14.25" customHeight="1">
      <c r="A179" s="28">
        <v>3.0</v>
      </c>
      <c r="B179" s="29" t="s">
        <v>103</v>
      </c>
      <c r="C179" s="42" t="s">
        <v>344</v>
      </c>
      <c r="D179" s="31">
        <v>3.785</v>
      </c>
      <c r="E179" s="32" t="s">
        <v>171</v>
      </c>
      <c r="G179" s="39"/>
    </row>
    <row r="180" ht="14.25" customHeight="1">
      <c r="A180" s="28">
        <v>4.0</v>
      </c>
      <c r="B180" s="29" t="s">
        <v>103</v>
      </c>
      <c r="C180" s="42" t="s">
        <v>345</v>
      </c>
      <c r="D180" s="31">
        <v>3.235</v>
      </c>
      <c r="E180" s="32" t="s">
        <v>171</v>
      </c>
      <c r="G180" s="39"/>
    </row>
    <row r="181" ht="14.25" customHeight="1">
      <c r="A181" s="28">
        <v>5.0</v>
      </c>
      <c r="B181" s="29" t="s">
        <v>103</v>
      </c>
      <c r="C181" s="42" t="s">
        <v>346</v>
      </c>
      <c r="D181" s="31">
        <v>3.115</v>
      </c>
      <c r="E181" s="32" t="s">
        <v>171</v>
      </c>
    </row>
    <row r="182" ht="14.25" customHeight="1">
      <c r="A182" s="28">
        <v>6.0</v>
      </c>
      <c r="B182" s="29" t="s">
        <v>103</v>
      </c>
      <c r="C182" s="42" t="s">
        <v>347</v>
      </c>
      <c r="D182" s="31">
        <v>4.17</v>
      </c>
      <c r="E182" s="32" t="s">
        <v>171</v>
      </c>
    </row>
    <row r="183" ht="14.25" customHeight="1">
      <c r="A183" s="28">
        <v>7.0</v>
      </c>
      <c r="B183" s="29" t="s">
        <v>103</v>
      </c>
      <c r="C183" s="42" t="s">
        <v>348</v>
      </c>
      <c r="D183" s="31">
        <v>2.63</v>
      </c>
      <c r="E183" s="32" t="s">
        <v>171</v>
      </c>
    </row>
    <row r="184" ht="14.25" customHeight="1">
      <c r="A184" s="28">
        <v>8.0</v>
      </c>
      <c r="B184" s="29" t="s">
        <v>103</v>
      </c>
      <c r="C184" s="42" t="s">
        <v>349</v>
      </c>
      <c r="D184" s="31">
        <v>3.4400000000000004</v>
      </c>
      <c r="E184" s="32" t="s">
        <v>171</v>
      </c>
    </row>
    <row r="185" ht="14.25" customHeight="1">
      <c r="A185" s="28">
        <v>9.0</v>
      </c>
      <c r="B185" s="29" t="s">
        <v>103</v>
      </c>
      <c r="C185" s="42" t="s">
        <v>350</v>
      </c>
      <c r="D185" s="31">
        <v>2.975</v>
      </c>
      <c r="E185" s="32" t="s">
        <v>171</v>
      </c>
    </row>
    <row r="186" ht="14.25" customHeight="1">
      <c r="A186" s="28">
        <v>10.0</v>
      </c>
      <c r="B186" s="29" t="s">
        <v>103</v>
      </c>
      <c r="C186" s="42" t="s">
        <v>351</v>
      </c>
      <c r="D186" s="31">
        <v>3.185</v>
      </c>
      <c r="E186" s="32" t="s">
        <v>171</v>
      </c>
    </row>
    <row r="187" ht="14.25" customHeight="1">
      <c r="A187" s="28">
        <v>11.0</v>
      </c>
      <c r="B187" s="29" t="s">
        <v>103</v>
      </c>
      <c r="C187" s="42" t="s">
        <v>352</v>
      </c>
      <c r="D187" s="31">
        <v>3.025</v>
      </c>
      <c r="E187" s="32" t="s">
        <v>171</v>
      </c>
    </row>
    <row r="188" ht="14.25" customHeight="1">
      <c r="A188" s="28">
        <v>12.0</v>
      </c>
      <c r="B188" s="29" t="s">
        <v>103</v>
      </c>
      <c r="C188" s="42" t="s">
        <v>353</v>
      </c>
      <c r="D188" s="31">
        <v>3.625</v>
      </c>
      <c r="E188" s="32" t="s">
        <v>171</v>
      </c>
    </row>
    <row r="189" ht="14.25" customHeight="1">
      <c r="A189" s="28">
        <v>13.0</v>
      </c>
      <c r="B189" s="29" t="s">
        <v>103</v>
      </c>
      <c r="C189" s="42" t="s">
        <v>354</v>
      </c>
      <c r="D189" s="31">
        <v>3.045</v>
      </c>
      <c r="E189" s="32" t="s">
        <v>171</v>
      </c>
    </row>
    <row r="190" ht="14.25" customHeight="1">
      <c r="A190" s="28">
        <v>14.0</v>
      </c>
      <c r="B190" s="29" t="s">
        <v>103</v>
      </c>
      <c r="C190" s="42" t="s">
        <v>355</v>
      </c>
      <c r="D190" s="31">
        <v>5.86</v>
      </c>
      <c r="E190" s="32" t="s">
        <v>223</v>
      </c>
    </row>
    <row r="191" ht="14.25" customHeight="1">
      <c r="A191" s="28">
        <v>15.0</v>
      </c>
      <c r="B191" s="29" t="s">
        <v>103</v>
      </c>
      <c r="C191" s="42" t="s">
        <v>356</v>
      </c>
      <c r="D191" s="31">
        <v>2.4299999999999997</v>
      </c>
      <c r="E191" s="32" t="s">
        <v>171</v>
      </c>
    </row>
    <row r="192" ht="14.25" customHeight="1">
      <c r="A192" s="28">
        <v>16.0</v>
      </c>
      <c r="B192" s="29" t="s">
        <v>103</v>
      </c>
      <c r="C192" s="42" t="s">
        <v>357</v>
      </c>
      <c r="D192" s="31">
        <v>5.52</v>
      </c>
      <c r="E192" s="32" t="s">
        <v>223</v>
      </c>
    </row>
    <row r="193" ht="14.25" customHeight="1">
      <c r="A193" s="28">
        <v>17.0</v>
      </c>
      <c r="B193" s="29" t="s">
        <v>103</v>
      </c>
      <c r="C193" s="42" t="s">
        <v>358</v>
      </c>
      <c r="D193" s="31">
        <v>1.81</v>
      </c>
      <c r="E193" s="32" t="s">
        <v>171</v>
      </c>
    </row>
    <row r="194" ht="14.25" customHeight="1">
      <c r="A194" s="28">
        <v>18.0</v>
      </c>
      <c r="B194" s="29" t="s">
        <v>103</v>
      </c>
      <c r="C194" s="42" t="s">
        <v>359</v>
      </c>
      <c r="D194" s="31">
        <v>3.605</v>
      </c>
      <c r="E194" s="32" t="s">
        <v>171</v>
      </c>
    </row>
    <row r="195" ht="14.25" customHeight="1">
      <c r="A195" s="28">
        <v>19.0</v>
      </c>
      <c r="B195" s="29" t="s">
        <v>103</v>
      </c>
      <c r="C195" s="42" t="s">
        <v>360</v>
      </c>
      <c r="D195" s="31">
        <v>3.12</v>
      </c>
      <c r="E195" s="32" t="s">
        <v>171</v>
      </c>
    </row>
    <row r="196" ht="14.25" customHeight="1">
      <c r="A196" s="28">
        <v>20.0</v>
      </c>
      <c r="B196" s="29" t="s">
        <v>103</v>
      </c>
      <c r="C196" s="42" t="s">
        <v>361</v>
      </c>
      <c r="D196" s="31">
        <v>3.81</v>
      </c>
      <c r="E196" s="32" t="s">
        <v>171</v>
      </c>
    </row>
    <row r="197" ht="14.25" customHeight="1">
      <c r="A197" s="28">
        <v>21.0</v>
      </c>
      <c r="B197" s="29" t="s">
        <v>103</v>
      </c>
      <c r="C197" s="42" t="s">
        <v>362</v>
      </c>
      <c r="D197" s="31">
        <v>1.93</v>
      </c>
      <c r="E197" s="32" t="s">
        <v>171</v>
      </c>
    </row>
    <row r="198" ht="14.25" customHeight="1">
      <c r="A198" s="28">
        <v>22.0</v>
      </c>
      <c r="B198" s="29" t="s">
        <v>103</v>
      </c>
      <c r="C198" s="42" t="s">
        <v>363</v>
      </c>
      <c r="D198" s="31">
        <v>2.615</v>
      </c>
      <c r="E198" s="32" t="s">
        <v>171</v>
      </c>
    </row>
    <row r="199" ht="14.25" customHeight="1">
      <c r="A199" s="28">
        <v>23.0</v>
      </c>
      <c r="B199" s="29" t="s">
        <v>103</v>
      </c>
      <c r="C199" s="42" t="s">
        <v>364</v>
      </c>
      <c r="D199" s="31">
        <v>3.98</v>
      </c>
      <c r="E199" s="32" t="s">
        <v>171</v>
      </c>
    </row>
    <row r="200" ht="14.25" customHeight="1">
      <c r="A200" s="28">
        <v>24.0</v>
      </c>
      <c r="B200" s="29" t="s">
        <v>103</v>
      </c>
      <c r="C200" s="42" t="s">
        <v>365</v>
      </c>
      <c r="D200" s="31">
        <v>3.375</v>
      </c>
      <c r="E200" s="32" t="s">
        <v>171</v>
      </c>
    </row>
    <row r="201" ht="14.25" customHeight="1">
      <c r="A201" s="28">
        <v>25.0</v>
      </c>
      <c r="B201" s="29" t="s">
        <v>103</v>
      </c>
      <c r="C201" s="42" t="s">
        <v>366</v>
      </c>
      <c r="D201" s="31">
        <v>6.555</v>
      </c>
      <c r="E201" s="32" t="s">
        <v>223</v>
      </c>
    </row>
    <row r="202" ht="14.25" customHeight="1">
      <c r="A202" s="28">
        <v>26.0</v>
      </c>
      <c r="B202" s="29" t="s">
        <v>103</v>
      </c>
      <c r="C202" s="42" t="s">
        <v>113</v>
      </c>
      <c r="D202" s="31">
        <v>7.635</v>
      </c>
      <c r="E202" s="32" t="s">
        <v>223</v>
      </c>
    </row>
    <row r="203" ht="14.25" customHeight="1">
      <c r="A203" s="28">
        <v>27.0</v>
      </c>
      <c r="B203" s="29" t="s">
        <v>103</v>
      </c>
      <c r="C203" s="42" t="s">
        <v>367</v>
      </c>
      <c r="D203" s="31">
        <v>3.1900000000000004</v>
      </c>
      <c r="E203" s="32" t="s">
        <v>171</v>
      </c>
    </row>
    <row r="204" ht="14.25" customHeight="1">
      <c r="A204" s="28">
        <v>28.0</v>
      </c>
      <c r="B204" s="29" t="s">
        <v>103</v>
      </c>
      <c r="C204" s="42" t="s">
        <v>368</v>
      </c>
      <c r="D204" s="31">
        <v>6.65</v>
      </c>
      <c r="E204" s="32" t="s">
        <v>223</v>
      </c>
    </row>
    <row r="205" ht="14.25" customHeight="1">
      <c r="A205" s="28">
        <v>29.0</v>
      </c>
      <c r="B205" s="29" t="s">
        <v>103</v>
      </c>
      <c r="C205" s="42" t="s">
        <v>369</v>
      </c>
      <c r="D205" s="31">
        <v>2.025</v>
      </c>
      <c r="E205" s="32" t="s">
        <v>171</v>
      </c>
    </row>
    <row r="206" ht="14.25" customHeight="1">
      <c r="A206" s="28">
        <v>30.0</v>
      </c>
      <c r="B206" s="29" t="s">
        <v>103</v>
      </c>
      <c r="C206" s="42" t="s">
        <v>370</v>
      </c>
      <c r="D206" s="31">
        <v>3.52</v>
      </c>
      <c r="E206" s="32" t="s">
        <v>223</v>
      </c>
    </row>
    <row r="207" ht="14.25" customHeight="1">
      <c r="A207" s="24"/>
      <c r="B207" s="25" t="s">
        <v>371</v>
      </c>
      <c r="C207" s="43"/>
      <c r="D207" s="41"/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8">
        <v>1.0</v>
      </c>
      <c r="B208" s="42" t="s">
        <v>372</v>
      </c>
      <c r="C208" s="42" t="s">
        <v>373</v>
      </c>
      <c r="D208" s="31">
        <v>5.51</v>
      </c>
      <c r="E208" s="32" t="s">
        <v>223</v>
      </c>
      <c r="G208" s="39"/>
    </row>
    <row r="209" ht="14.25" customHeight="1">
      <c r="A209" s="28">
        <v>2.0</v>
      </c>
      <c r="B209" s="42" t="s">
        <v>372</v>
      </c>
      <c r="C209" s="42" t="s">
        <v>374</v>
      </c>
      <c r="D209" s="31">
        <v>6.275</v>
      </c>
      <c r="E209" s="32" t="s">
        <v>223</v>
      </c>
      <c r="G209" s="39"/>
    </row>
    <row r="210" ht="14.25" customHeight="1">
      <c r="A210" s="28">
        <v>3.0</v>
      </c>
      <c r="B210" s="42" t="s">
        <v>372</v>
      </c>
      <c r="C210" s="42" t="s">
        <v>375</v>
      </c>
      <c r="D210" s="31">
        <v>6.245</v>
      </c>
      <c r="E210" s="32" t="s">
        <v>223</v>
      </c>
      <c r="G210" s="39"/>
    </row>
    <row r="211" ht="14.25" customHeight="1">
      <c r="A211" s="28">
        <v>4.0</v>
      </c>
      <c r="B211" s="42" t="s">
        <v>372</v>
      </c>
      <c r="C211" s="42" t="s">
        <v>376</v>
      </c>
      <c r="D211" s="31">
        <v>5.54</v>
      </c>
      <c r="E211" s="32" t="s">
        <v>223</v>
      </c>
      <c r="G211" s="39"/>
    </row>
    <row r="212" ht="14.25" customHeight="1">
      <c r="A212" s="28">
        <v>5.0</v>
      </c>
      <c r="B212" s="42" t="s">
        <v>372</v>
      </c>
      <c r="C212" s="42" t="s">
        <v>377</v>
      </c>
      <c r="D212" s="31">
        <v>4.33</v>
      </c>
      <c r="E212" s="32" t="s">
        <v>223</v>
      </c>
      <c r="G212" s="39"/>
    </row>
    <row r="213" ht="14.25" customHeight="1">
      <c r="A213" s="28">
        <v>6.0</v>
      </c>
      <c r="B213" s="42" t="s">
        <v>372</v>
      </c>
      <c r="C213" s="42" t="s">
        <v>378</v>
      </c>
      <c r="D213" s="31">
        <v>2.955</v>
      </c>
      <c r="E213" s="32" t="s">
        <v>173</v>
      </c>
      <c r="G213" s="48"/>
    </row>
    <row r="214" ht="14.25" customHeight="1">
      <c r="A214" s="28">
        <v>7.0</v>
      </c>
      <c r="B214" s="42" t="s">
        <v>372</v>
      </c>
      <c r="C214" s="42" t="s">
        <v>379</v>
      </c>
      <c r="D214" s="31">
        <v>4.109999999999999</v>
      </c>
      <c r="E214" s="32" t="s">
        <v>173</v>
      </c>
      <c r="G214" s="48"/>
    </row>
    <row r="215" ht="14.25" customHeight="1">
      <c r="A215" s="28">
        <v>8.0</v>
      </c>
      <c r="B215" s="42" t="s">
        <v>372</v>
      </c>
      <c r="C215" s="42" t="s">
        <v>380</v>
      </c>
      <c r="D215" s="31">
        <v>3.69</v>
      </c>
      <c r="E215" s="32" t="s">
        <v>171</v>
      </c>
      <c r="G215" s="48"/>
    </row>
    <row r="216" ht="14.25" customHeight="1">
      <c r="A216" s="28">
        <v>9.0</v>
      </c>
      <c r="B216" s="42" t="s">
        <v>372</v>
      </c>
      <c r="C216" s="42" t="s">
        <v>381</v>
      </c>
      <c r="D216" s="31">
        <v>4.3549999999999995</v>
      </c>
      <c r="E216" s="32" t="s">
        <v>171</v>
      </c>
      <c r="G216" s="48"/>
    </row>
    <row r="217" ht="14.25" customHeight="1">
      <c r="A217" s="28">
        <v>10.0</v>
      </c>
      <c r="B217" s="42" t="s">
        <v>372</v>
      </c>
      <c r="C217" s="42" t="s">
        <v>382</v>
      </c>
      <c r="D217" s="31">
        <v>4.345000000000001</v>
      </c>
      <c r="E217" s="32" t="s">
        <v>171</v>
      </c>
      <c r="G217" s="39"/>
    </row>
    <row r="218" ht="14.25" customHeight="1">
      <c r="A218" s="24"/>
      <c r="B218" s="43" t="s">
        <v>383</v>
      </c>
      <c r="C218" s="43"/>
      <c r="D218" s="41"/>
      <c r="E218" s="26"/>
      <c r="F218" s="27"/>
      <c r="G218" s="4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34">
        <v>1.0</v>
      </c>
      <c r="B219" s="45" t="s">
        <v>384</v>
      </c>
      <c r="C219" s="45" t="s">
        <v>385</v>
      </c>
      <c r="D219" s="37">
        <v>0.0</v>
      </c>
      <c r="E219" s="38" t="s">
        <v>171</v>
      </c>
      <c r="G219" s="39"/>
    </row>
    <row r="220" ht="14.25" customHeight="1">
      <c r="A220" s="28">
        <v>2.0</v>
      </c>
      <c r="B220" s="42" t="s">
        <v>384</v>
      </c>
      <c r="C220" s="42" t="s">
        <v>386</v>
      </c>
      <c r="D220" s="31">
        <v>6.09</v>
      </c>
      <c r="E220" s="32" t="s">
        <v>171</v>
      </c>
      <c r="G220" s="39"/>
    </row>
    <row r="221" ht="14.25" customHeight="1">
      <c r="A221" s="28">
        <v>3.0</v>
      </c>
      <c r="B221" s="42" t="s">
        <v>384</v>
      </c>
      <c r="C221" s="42" t="s">
        <v>387</v>
      </c>
      <c r="D221" s="31">
        <v>5.84</v>
      </c>
      <c r="E221" s="32" t="s">
        <v>171</v>
      </c>
      <c r="G221" s="39"/>
    </row>
    <row r="222" ht="14.25" customHeight="1">
      <c r="A222" s="28">
        <v>4.0</v>
      </c>
      <c r="B222" s="42" t="s">
        <v>384</v>
      </c>
      <c r="C222" s="42" t="s">
        <v>388</v>
      </c>
      <c r="D222" s="31">
        <v>5.375</v>
      </c>
      <c r="E222" s="32" t="s">
        <v>171</v>
      </c>
      <c r="G222" s="39"/>
    </row>
    <row r="223" ht="14.25" customHeight="1">
      <c r="A223" s="28">
        <v>5.0</v>
      </c>
      <c r="B223" s="42" t="s">
        <v>384</v>
      </c>
      <c r="C223" s="42" t="s">
        <v>389</v>
      </c>
      <c r="D223" s="31">
        <v>5.525</v>
      </c>
      <c r="E223" s="32" t="s">
        <v>171</v>
      </c>
    </row>
    <row r="224" ht="14.25" customHeight="1">
      <c r="A224" s="28">
        <v>6.0</v>
      </c>
      <c r="B224" s="42" t="s">
        <v>384</v>
      </c>
      <c r="C224" s="42" t="s">
        <v>18</v>
      </c>
      <c r="D224" s="31">
        <v>4.175</v>
      </c>
      <c r="E224" s="32" t="s">
        <v>171</v>
      </c>
    </row>
    <row r="225" ht="14.25" customHeight="1">
      <c r="A225" s="28">
        <v>7.0</v>
      </c>
      <c r="B225" s="42" t="s">
        <v>384</v>
      </c>
      <c r="C225" s="42" t="s">
        <v>390</v>
      </c>
      <c r="D225" s="31">
        <v>6.41</v>
      </c>
      <c r="E225" s="32" t="s">
        <v>171</v>
      </c>
    </row>
    <row r="226" ht="14.25" customHeight="1">
      <c r="A226" s="28">
        <v>8.0</v>
      </c>
      <c r="B226" s="42" t="s">
        <v>384</v>
      </c>
      <c r="C226" s="42" t="s">
        <v>391</v>
      </c>
      <c r="D226" s="31">
        <v>6.245</v>
      </c>
      <c r="E226" s="32" t="s">
        <v>171</v>
      </c>
    </row>
    <row r="227" ht="14.25" customHeight="1">
      <c r="A227" s="28">
        <v>9.0</v>
      </c>
      <c r="B227" s="42" t="s">
        <v>384</v>
      </c>
      <c r="C227" s="42" t="s">
        <v>392</v>
      </c>
      <c r="D227" s="31">
        <v>3.19</v>
      </c>
      <c r="E227" s="32" t="s">
        <v>171</v>
      </c>
    </row>
    <row r="228" ht="14.25" customHeight="1">
      <c r="A228" s="28">
        <v>10.0</v>
      </c>
      <c r="B228" s="42" t="s">
        <v>384</v>
      </c>
      <c r="C228" s="42" t="s">
        <v>393</v>
      </c>
      <c r="D228" s="31">
        <v>8.33</v>
      </c>
      <c r="E228" s="32" t="s">
        <v>223</v>
      </c>
    </row>
    <row r="229" ht="14.25" customHeight="1">
      <c r="A229" s="28">
        <v>11.0</v>
      </c>
      <c r="B229" s="42" t="s">
        <v>384</v>
      </c>
      <c r="C229" s="42" t="s">
        <v>394</v>
      </c>
      <c r="D229" s="31">
        <v>1.735</v>
      </c>
      <c r="E229" s="32" t="s">
        <v>171</v>
      </c>
    </row>
    <row r="230" ht="14.25" customHeight="1">
      <c r="A230" s="28">
        <v>12.0</v>
      </c>
      <c r="B230" s="42" t="s">
        <v>384</v>
      </c>
      <c r="C230" s="42" t="s">
        <v>395</v>
      </c>
      <c r="D230" s="31">
        <v>3.83</v>
      </c>
      <c r="E230" s="32" t="s">
        <v>171</v>
      </c>
    </row>
    <row r="231" ht="14.25" customHeight="1">
      <c r="A231" s="28">
        <v>13.0</v>
      </c>
      <c r="B231" s="42" t="s">
        <v>384</v>
      </c>
      <c r="C231" s="42" t="s">
        <v>396</v>
      </c>
      <c r="D231" s="31">
        <v>6.01</v>
      </c>
      <c r="E231" s="32" t="s">
        <v>171</v>
      </c>
    </row>
    <row r="232" ht="14.25" customHeight="1">
      <c r="A232" s="28">
        <v>14.0</v>
      </c>
      <c r="B232" s="42" t="s">
        <v>384</v>
      </c>
      <c r="C232" s="42" t="s">
        <v>397</v>
      </c>
      <c r="D232" s="31">
        <v>6.525</v>
      </c>
      <c r="E232" s="32" t="s">
        <v>171</v>
      </c>
    </row>
    <row r="233" ht="14.25" customHeight="1">
      <c r="A233" s="28">
        <v>15.0</v>
      </c>
      <c r="B233" s="42" t="s">
        <v>384</v>
      </c>
      <c r="C233" s="42" t="s">
        <v>398</v>
      </c>
      <c r="D233" s="31">
        <v>5.26</v>
      </c>
      <c r="E233" s="32" t="s">
        <v>171</v>
      </c>
    </row>
    <row r="234" ht="14.25" customHeight="1">
      <c r="A234" s="28">
        <v>16.0</v>
      </c>
      <c r="B234" s="42" t="s">
        <v>384</v>
      </c>
      <c r="C234" s="42" t="s">
        <v>399</v>
      </c>
      <c r="D234" s="31">
        <v>5.535</v>
      </c>
      <c r="E234" s="32" t="s">
        <v>171</v>
      </c>
    </row>
    <row r="235" ht="14.25" customHeight="1">
      <c r="A235" s="28">
        <v>17.0</v>
      </c>
      <c r="B235" s="42" t="s">
        <v>384</v>
      </c>
      <c r="C235" s="42" t="s">
        <v>400</v>
      </c>
      <c r="D235" s="31">
        <v>3.01</v>
      </c>
      <c r="E235" s="32" t="s">
        <v>171</v>
      </c>
    </row>
    <row r="236" ht="14.25" customHeight="1">
      <c r="A236" s="28">
        <v>18.0</v>
      </c>
      <c r="B236" s="42" t="s">
        <v>384</v>
      </c>
      <c r="C236" s="42" t="s">
        <v>401</v>
      </c>
      <c r="D236" s="31">
        <v>3.3</v>
      </c>
      <c r="E236" s="32" t="s">
        <v>171</v>
      </c>
    </row>
    <row r="237" ht="14.25" customHeight="1">
      <c r="A237" s="28">
        <v>19.0</v>
      </c>
      <c r="B237" s="42" t="s">
        <v>384</v>
      </c>
      <c r="C237" s="42" t="s">
        <v>402</v>
      </c>
      <c r="D237" s="31">
        <v>6.025</v>
      </c>
      <c r="E237" s="32" t="s">
        <v>171</v>
      </c>
    </row>
    <row r="238" ht="14.25" customHeight="1">
      <c r="A238" s="28">
        <v>20.0</v>
      </c>
      <c r="B238" s="42" t="s">
        <v>384</v>
      </c>
      <c r="C238" s="42" t="s">
        <v>403</v>
      </c>
      <c r="D238" s="31">
        <v>7.425000000000001</v>
      </c>
      <c r="E238" s="32" t="s">
        <v>171</v>
      </c>
    </row>
    <row r="239" ht="14.25" customHeight="1">
      <c r="A239" s="28">
        <v>21.0</v>
      </c>
      <c r="B239" s="42" t="s">
        <v>384</v>
      </c>
      <c r="C239" s="42" t="s">
        <v>404</v>
      </c>
      <c r="D239" s="31">
        <v>2.605</v>
      </c>
      <c r="E239" s="32" t="s">
        <v>171</v>
      </c>
    </row>
    <row r="240" ht="14.25" customHeight="1">
      <c r="A240" s="28">
        <v>22.0</v>
      </c>
      <c r="B240" s="42" t="s">
        <v>384</v>
      </c>
      <c r="C240" s="42" t="s">
        <v>405</v>
      </c>
      <c r="D240" s="31">
        <v>8.565000000000001</v>
      </c>
      <c r="E240" s="32" t="s">
        <v>171</v>
      </c>
    </row>
    <row r="241" ht="14.25" customHeight="1">
      <c r="A241" s="34">
        <v>23.0</v>
      </c>
      <c r="B241" s="45" t="s">
        <v>384</v>
      </c>
      <c r="C241" s="45" t="s">
        <v>406</v>
      </c>
      <c r="D241" s="37">
        <v>0.0</v>
      </c>
      <c r="E241" s="38" t="s">
        <v>171</v>
      </c>
    </row>
    <row r="242" ht="14.25" customHeight="1">
      <c r="A242" s="28">
        <v>24.0</v>
      </c>
      <c r="B242" s="42" t="s">
        <v>384</v>
      </c>
      <c r="C242" s="42" t="s">
        <v>407</v>
      </c>
      <c r="D242" s="31">
        <v>3.705</v>
      </c>
      <c r="E242" s="32" t="s">
        <v>171</v>
      </c>
    </row>
    <row r="243" ht="14.25" customHeight="1">
      <c r="A243" s="28">
        <v>25.0</v>
      </c>
      <c r="B243" s="42" t="s">
        <v>384</v>
      </c>
      <c r="C243" s="42" t="s">
        <v>408</v>
      </c>
      <c r="D243" s="31">
        <v>9.565000000000001</v>
      </c>
      <c r="E243" s="32" t="s">
        <v>223</v>
      </c>
    </row>
    <row r="244" ht="14.25" customHeight="1">
      <c r="A244" s="28">
        <v>26.0</v>
      </c>
      <c r="B244" s="42" t="s">
        <v>384</v>
      </c>
      <c r="C244" s="42" t="s">
        <v>409</v>
      </c>
      <c r="D244" s="31">
        <v>8.135</v>
      </c>
      <c r="E244" s="32" t="s">
        <v>171</v>
      </c>
    </row>
    <row r="245" ht="14.25" customHeight="1">
      <c r="A245" s="28">
        <v>27.0</v>
      </c>
      <c r="B245" s="42" t="s">
        <v>384</v>
      </c>
      <c r="C245" s="42" t="s">
        <v>410</v>
      </c>
      <c r="D245" s="31">
        <v>6.48</v>
      </c>
      <c r="E245" s="32" t="s">
        <v>223</v>
      </c>
    </row>
    <row r="246" ht="14.25" customHeight="1">
      <c r="A246" s="28">
        <v>28.0</v>
      </c>
      <c r="B246" s="42" t="s">
        <v>384</v>
      </c>
      <c r="C246" s="42" t="s">
        <v>411</v>
      </c>
      <c r="D246" s="31">
        <v>3.565</v>
      </c>
      <c r="E246" s="32" t="s">
        <v>171</v>
      </c>
    </row>
    <row r="247" ht="14.25" customHeight="1">
      <c r="A247" s="28">
        <v>29.0</v>
      </c>
      <c r="B247" s="42" t="s">
        <v>384</v>
      </c>
      <c r="C247" s="42" t="s">
        <v>412</v>
      </c>
      <c r="D247" s="31">
        <v>5.505</v>
      </c>
      <c r="E247" s="32" t="s">
        <v>171</v>
      </c>
    </row>
    <row r="248" ht="14.25" customHeight="1">
      <c r="A248" s="28">
        <v>30.0</v>
      </c>
      <c r="B248" s="42" t="s">
        <v>384</v>
      </c>
      <c r="C248" s="42" t="s">
        <v>413</v>
      </c>
      <c r="D248" s="31">
        <v>6.105</v>
      </c>
      <c r="E248" s="32" t="s">
        <v>171</v>
      </c>
    </row>
    <row r="249" ht="14.25" customHeight="1">
      <c r="A249" s="28">
        <v>31.0</v>
      </c>
      <c r="B249" s="42" t="s">
        <v>384</v>
      </c>
      <c r="C249" s="42" t="s">
        <v>414</v>
      </c>
      <c r="D249" s="31">
        <v>5.869999999999999</v>
      </c>
      <c r="E249" s="32" t="s">
        <v>171</v>
      </c>
    </row>
    <row r="250" ht="14.25" customHeight="1">
      <c r="A250" s="28">
        <v>32.0</v>
      </c>
      <c r="B250" s="42" t="s">
        <v>384</v>
      </c>
      <c r="C250" s="42" t="s">
        <v>415</v>
      </c>
      <c r="D250" s="31">
        <v>4.345000000000001</v>
      </c>
      <c r="E250" s="32" t="s">
        <v>171</v>
      </c>
    </row>
    <row r="251" ht="14.25" customHeight="1">
      <c r="A251" s="24"/>
      <c r="B251" s="43" t="s">
        <v>416</v>
      </c>
      <c r="C251" s="43"/>
      <c r="D251" s="41"/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8">
        <v>1.0</v>
      </c>
      <c r="B252" s="42" t="s">
        <v>126</v>
      </c>
      <c r="C252" s="42" t="s">
        <v>417</v>
      </c>
      <c r="D252" s="31">
        <v>5.76</v>
      </c>
      <c r="E252" s="32" t="s">
        <v>171</v>
      </c>
      <c r="G252" s="39"/>
    </row>
    <row r="253" ht="14.25" customHeight="1">
      <c r="A253" s="28">
        <v>2.0</v>
      </c>
      <c r="B253" s="42" t="s">
        <v>126</v>
      </c>
      <c r="C253" s="42" t="s">
        <v>418</v>
      </c>
      <c r="D253" s="31">
        <v>3.705</v>
      </c>
      <c r="E253" s="32" t="s">
        <v>171</v>
      </c>
      <c r="G253" s="39"/>
    </row>
    <row r="254" ht="14.25" customHeight="1">
      <c r="A254" s="28">
        <v>3.0</v>
      </c>
      <c r="B254" s="42" t="s">
        <v>126</v>
      </c>
      <c r="C254" s="42" t="s">
        <v>419</v>
      </c>
      <c r="D254" s="31">
        <v>1.875</v>
      </c>
      <c r="E254" s="32" t="s">
        <v>171</v>
      </c>
      <c r="G254" s="39"/>
    </row>
    <row r="255" ht="14.25" customHeight="1">
      <c r="A255" s="28">
        <v>4.0</v>
      </c>
      <c r="B255" s="42" t="s">
        <v>126</v>
      </c>
      <c r="C255" s="42" t="s">
        <v>420</v>
      </c>
      <c r="D255" s="31">
        <v>4.984999999999999</v>
      </c>
      <c r="E255" s="32" t="s">
        <v>171</v>
      </c>
      <c r="G255" s="39"/>
    </row>
    <row r="256" ht="14.25" customHeight="1">
      <c r="A256" s="28">
        <v>5.0</v>
      </c>
      <c r="B256" s="42" t="s">
        <v>126</v>
      </c>
      <c r="C256" s="42" t="s">
        <v>421</v>
      </c>
      <c r="D256" s="31">
        <v>9.135</v>
      </c>
      <c r="E256" s="32" t="s">
        <v>223</v>
      </c>
      <c r="G256" s="39"/>
    </row>
    <row r="257" ht="14.25" customHeight="1">
      <c r="A257" s="28">
        <v>6.0</v>
      </c>
      <c r="B257" s="42" t="s">
        <v>126</v>
      </c>
      <c r="C257" s="42" t="s">
        <v>422</v>
      </c>
      <c r="D257" s="31">
        <v>5.0649999999999995</v>
      </c>
      <c r="E257" s="32" t="s">
        <v>423</v>
      </c>
      <c r="G257" s="39"/>
    </row>
    <row r="258" ht="14.25" customHeight="1">
      <c r="A258" s="28">
        <v>7.0</v>
      </c>
      <c r="B258" s="42" t="s">
        <v>126</v>
      </c>
      <c r="C258" s="42" t="s">
        <v>424</v>
      </c>
      <c r="D258" s="31">
        <v>6.33</v>
      </c>
      <c r="E258" s="32" t="s">
        <v>423</v>
      </c>
      <c r="G258" s="39"/>
    </row>
    <row r="259" ht="14.25" customHeight="1">
      <c r="A259" s="28">
        <v>8.0</v>
      </c>
      <c r="B259" s="42" t="s">
        <v>126</v>
      </c>
      <c r="C259" s="42" t="s">
        <v>425</v>
      </c>
      <c r="D259" s="31">
        <v>3.75</v>
      </c>
      <c r="E259" s="32" t="s">
        <v>423</v>
      </c>
      <c r="G259" s="39"/>
    </row>
    <row r="260" ht="14.25" customHeight="1">
      <c r="A260" s="28">
        <v>9.0</v>
      </c>
      <c r="B260" s="42" t="s">
        <v>126</v>
      </c>
      <c r="C260" s="42" t="s">
        <v>426</v>
      </c>
      <c r="D260" s="31">
        <v>5.585</v>
      </c>
      <c r="E260" s="32" t="s">
        <v>423</v>
      </c>
      <c r="G260" s="39"/>
    </row>
    <row r="261" ht="14.25" customHeight="1">
      <c r="A261" s="28">
        <v>10.0</v>
      </c>
      <c r="B261" s="42" t="s">
        <v>126</v>
      </c>
      <c r="C261" s="42" t="s">
        <v>427</v>
      </c>
      <c r="D261" s="31">
        <v>4.25</v>
      </c>
      <c r="E261" s="32" t="s">
        <v>423</v>
      </c>
      <c r="G261" s="39"/>
    </row>
    <row r="262" ht="14.25" customHeight="1">
      <c r="A262" s="28">
        <v>11.0</v>
      </c>
      <c r="B262" s="42" t="s">
        <v>126</v>
      </c>
      <c r="C262" s="42" t="s">
        <v>428</v>
      </c>
      <c r="D262" s="31">
        <v>5.395</v>
      </c>
      <c r="E262" s="32" t="s">
        <v>223</v>
      </c>
      <c r="G262" s="39"/>
    </row>
    <row r="263" ht="14.25" customHeight="1">
      <c r="A263" s="28">
        <v>12.0</v>
      </c>
      <c r="B263" s="42" t="s">
        <v>126</v>
      </c>
      <c r="C263" s="42" t="s">
        <v>429</v>
      </c>
      <c r="D263" s="31">
        <v>3.9850000000000003</v>
      </c>
      <c r="E263" s="32" t="s">
        <v>171</v>
      </c>
      <c r="G263" s="39"/>
    </row>
    <row r="264" ht="14.25" customHeight="1">
      <c r="A264" s="28">
        <v>13.0</v>
      </c>
      <c r="B264" s="42" t="s">
        <v>126</v>
      </c>
      <c r="C264" s="42" t="s">
        <v>430</v>
      </c>
      <c r="D264" s="31">
        <v>2.9450000000000003</v>
      </c>
      <c r="E264" s="32" t="s">
        <v>171</v>
      </c>
      <c r="G264" s="39"/>
    </row>
    <row r="265" ht="14.25" customHeight="1">
      <c r="A265" s="28">
        <v>14.0</v>
      </c>
      <c r="B265" s="42" t="s">
        <v>126</v>
      </c>
      <c r="C265" s="42" t="s">
        <v>431</v>
      </c>
      <c r="D265" s="31">
        <v>7.27</v>
      </c>
      <c r="E265" s="32" t="s">
        <v>223</v>
      </c>
      <c r="G265" s="39"/>
    </row>
    <row r="266" ht="14.25" customHeight="1">
      <c r="A266" s="28">
        <v>15.0</v>
      </c>
      <c r="B266" s="42" t="s">
        <v>126</v>
      </c>
      <c r="C266" s="42" t="s">
        <v>164</v>
      </c>
      <c r="D266" s="31">
        <v>6.470000000000001</v>
      </c>
      <c r="E266" s="32" t="s">
        <v>223</v>
      </c>
      <c r="G266" s="39"/>
    </row>
    <row r="267" ht="14.25" customHeight="1">
      <c r="A267" s="28">
        <v>16.0</v>
      </c>
      <c r="B267" s="42" t="s">
        <v>126</v>
      </c>
      <c r="C267" s="42" t="s">
        <v>432</v>
      </c>
      <c r="D267" s="31">
        <v>8.48</v>
      </c>
      <c r="E267" s="32" t="s">
        <v>223</v>
      </c>
      <c r="G267" s="39"/>
    </row>
    <row r="268" ht="14.25" customHeight="1">
      <c r="A268" s="28">
        <v>17.0</v>
      </c>
      <c r="B268" s="42" t="s">
        <v>126</v>
      </c>
      <c r="C268" s="42" t="s">
        <v>433</v>
      </c>
      <c r="D268" s="31">
        <v>4.9399999999999995</v>
      </c>
      <c r="E268" s="32" t="s">
        <v>171</v>
      </c>
      <c r="G268" s="39"/>
    </row>
    <row r="269" ht="14.25" customHeight="1">
      <c r="A269" s="28">
        <v>18.0</v>
      </c>
      <c r="B269" s="42" t="s">
        <v>126</v>
      </c>
      <c r="C269" s="42" t="s">
        <v>434</v>
      </c>
      <c r="D269" s="31">
        <v>7.775</v>
      </c>
      <c r="E269" s="32" t="s">
        <v>223</v>
      </c>
      <c r="G269" s="39"/>
    </row>
    <row r="270" ht="14.25" customHeight="1">
      <c r="A270" s="28">
        <v>19.0</v>
      </c>
      <c r="B270" s="42" t="s">
        <v>126</v>
      </c>
      <c r="C270" s="42" t="s">
        <v>435</v>
      </c>
      <c r="D270" s="31">
        <v>3.54</v>
      </c>
      <c r="E270" s="32" t="s">
        <v>223</v>
      </c>
      <c r="G270" s="39"/>
    </row>
    <row r="271" ht="14.25" customHeight="1">
      <c r="A271" s="28">
        <v>20.0</v>
      </c>
      <c r="B271" s="42" t="s">
        <v>126</v>
      </c>
      <c r="C271" s="42" t="s">
        <v>436</v>
      </c>
      <c r="D271" s="31">
        <v>2.8600000000000003</v>
      </c>
      <c r="E271" s="32" t="s">
        <v>171</v>
      </c>
      <c r="G271" s="39"/>
    </row>
    <row r="272" ht="14.25" customHeight="1">
      <c r="A272" s="28">
        <v>21.0</v>
      </c>
      <c r="B272" s="42" t="s">
        <v>126</v>
      </c>
      <c r="C272" s="42" t="s">
        <v>437</v>
      </c>
      <c r="D272" s="31">
        <v>6.76</v>
      </c>
      <c r="E272" s="32" t="s">
        <v>223</v>
      </c>
      <c r="G272" s="39"/>
    </row>
    <row r="273" ht="14.25" customHeight="1">
      <c r="A273" s="28">
        <v>22.0</v>
      </c>
      <c r="B273" s="42" t="s">
        <v>126</v>
      </c>
      <c r="C273" s="42" t="s">
        <v>438</v>
      </c>
      <c r="D273" s="31">
        <v>7.914999999999999</v>
      </c>
      <c r="E273" s="32" t="s">
        <v>223</v>
      </c>
      <c r="G273" s="39"/>
    </row>
    <row r="274" ht="14.25" customHeight="1">
      <c r="A274" s="28">
        <v>23.0</v>
      </c>
      <c r="B274" s="42" t="s">
        <v>126</v>
      </c>
      <c r="C274" s="42" t="s">
        <v>439</v>
      </c>
      <c r="D274" s="31">
        <v>4.535</v>
      </c>
      <c r="E274" s="32" t="s">
        <v>223</v>
      </c>
      <c r="G274" s="39"/>
    </row>
    <row r="275" ht="14.25" customHeight="1">
      <c r="A275" s="28">
        <v>24.0</v>
      </c>
      <c r="B275" s="42" t="s">
        <v>126</v>
      </c>
      <c r="C275" s="42" t="s">
        <v>440</v>
      </c>
      <c r="D275" s="31">
        <v>6.565</v>
      </c>
      <c r="E275" s="32" t="s">
        <v>223</v>
      </c>
      <c r="G275" s="39"/>
    </row>
    <row r="276" ht="14.25" customHeight="1">
      <c r="A276" s="28">
        <v>25.0</v>
      </c>
      <c r="B276" s="42" t="s">
        <v>126</v>
      </c>
      <c r="C276" s="42" t="s">
        <v>441</v>
      </c>
      <c r="D276" s="31">
        <v>7.244999999999999</v>
      </c>
      <c r="E276" s="32" t="s">
        <v>223</v>
      </c>
      <c r="G276" s="39"/>
    </row>
    <row r="277" ht="14.25" customHeight="1">
      <c r="A277" s="28">
        <v>26.0</v>
      </c>
      <c r="B277" s="42" t="s">
        <v>126</v>
      </c>
      <c r="C277" s="42" t="s">
        <v>442</v>
      </c>
      <c r="D277" s="31">
        <v>5.609999999999999</v>
      </c>
      <c r="E277" s="32" t="s">
        <v>223</v>
      </c>
      <c r="G277" s="39"/>
    </row>
    <row r="278" ht="14.25" customHeight="1">
      <c r="A278" s="28">
        <v>27.0</v>
      </c>
      <c r="B278" s="42" t="s">
        <v>126</v>
      </c>
      <c r="C278" s="42" t="s">
        <v>443</v>
      </c>
      <c r="D278" s="31">
        <v>4.9</v>
      </c>
      <c r="E278" s="32" t="s">
        <v>171</v>
      </c>
      <c r="G278" s="39"/>
    </row>
    <row r="279" ht="14.25" customHeight="1">
      <c r="A279" s="28">
        <v>28.0</v>
      </c>
      <c r="B279" s="42" t="s">
        <v>126</v>
      </c>
      <c r="C279" s="42" t="s">
        <v>444</v>
      </c>
      <c r="D279" s="31">
        <v>3.455</v>
      </c>
      <c r="E279" s="32" t="s">
        <v>171</v>
      </c>
      <c r="G279" s="39"/>
    </row>
    <row r="280" ht="14.25" customHeight="1">
      <c r="A280" s="28">
        <v>29.0</v>
      </c>
      <c r="B280" s="42" t="s">
        <v>126</v>
      </c>
      <c r="C280" s="42" t="s">
        <v>445</v>
      </c>
      <c r="D280" s="31">
        <v>4.885</v>
      </c>
      <c r="E280" s="32" t="s">
        <v>171</v>
      </c>
      <c r="G280" s="39"/>
    </row>
    <row r="281" ht="14.25" customHeight="1">
      <c r="A281" s="28">
        <v>30.0</v>
      </c>
      <c r="B281" s="42" t="s">
        <v>126</v>
      </c>
      <c r="C281" s="42" t="s">
        <v>446</v>
      </c>
      <c r="D281" s="31">
        <v>5.66</v>
      </c>
      <c r="E281" s="32" t="s">
        <v>171</v>
      </c>
      <c r="G281" s="39"/>
    </row>
    <row r="282" ht="14.25" customHeight="1">
      <c r="A282" s="28">
        <v>31.0</v>
      </c>
      <c r="B282" s="42" t="s">
        <v>126</v>
      </c>
      <c r="C282" s="42" t="s">
        <v>402</v>
      </c>
      <c r="D282" s="31">
        <v>2.995</v>
      </c>
      <c r="E282" s="32" t="s">
        <v>171</v>
      </c>
      <c r="G282" s="39"/>
    </row>
    <row r="283" ht="14.25" customHeight="1">
      <c r="A283" s="28">
        <v>32.0</v>
      </c>
      <c r="B283" s="42" t="s">
        <v>126</v>
      </c>
      <c r="C283" s="42" t="s">
        <v>447</v>
      </c>
      <c r="D283" s="31">
        <v>2.66</v>
      </c>
      <c r="E283" s="32" t="s">
        <v>171</v>
      </c>
      <c r="G283" s="39"/>
    </row>
    <row r="284" ht="14.25" customHeight="1">
      <c r="A284" s="28">
        <v>33.0</v>
      </c>
      <c r="B284" s="42" t="s">
        <v>126</v>
      </c>
      <c r="C284" s="42" t="s">
        <v>448</v>
      </c>
      <c r="D284" s="31">
        <v>8.055</v>
      </c>
      <c r="E284" s="32" t="s">
        <v>223</v>
      </c>
      <c r="G284" s="39"/>
    </row>
    <row r="285" ht="14.25" customHeight="1">
      <c r="A285" s="28">
        <v>34.0</v>
      </c>
      <c r="B285" s="42" t="s">
        <v>126</v>
      </c>
      <c r="C285" s="42" t="s">
        <v>449</v>
      </c>
      <c r="D285" s="31">
        <v>5.52</v>
      </c>
      <c r="E285" s="32" t="s">
        <v>223</v>
      </c>
      <c r="G285" s="39"/>
    </row>
    <row r="286" ht="14.25" customHeight="1">
      <c r="A286" s="28">
        <v>35.0</v>
      </c>
      <c r="B286" s="42" t="s">
        <v>126</v>
      </c>
      <c r="C286" s="42" t="s">
        <v>162</v>
      </c>
      <c r="D286" s="31">
        <v>5.275</v>
      </c>
      <c r="E286" s="32" t="s">
        <v>223</v>
      </c>
      <c r="G286" s="39"/>
    </row>
    <row r="287" ht="14.25" customHeight="1">
      <c r="A287" s="28">
        <v>36.0</v>
      </c>
      <c r="B287" s="42" t="s">
        <v>126</v>
      </c>
      <c r="C287" s="42" t="s">
        <v>94</v>
      </c>
      <c r="D287" s="31">
        <v>4.755</v>
      </c>
      <c r="E287" s="32" t="s">
        <v>223</v>
      </c>
      <c r="G287" s="39"/>
    </row>
    <row r="288" ht="14.25" customHeight="1">
      <c r="A288" s="28">
        <v>37.0</v>
      </c>
      <c r="B288" s="42" t="s">
        <v>126</v>
      </c>
      <c r="C288" s="42" t="s">
        <v>450</v>
      </c>
      <c r="D288" s="31">
        <v>5.345000000000001</v>
      </c>
      <c r="E288" s="32" t="s">
        <v>223</v>
      </c>
      <c r="G288" s="39"/>
    </row>
    <row r="289" ht="14.25" customHeight="1">
      <c r="A289" s="28">
        <v>38.0</v>
      </c>
      <c r="B289" s="42" t="s">
        <v>126</v>
      </c>
      <c r="C289" s="42" t="s">
        <v>451</v>
      </c>
      <c r="D289" s="31">
        <v>2.065</v>
      </c>
      <c r="E289" s="32" t="s">
        <v>171</v>
      </c>
      <c r="G289" s="39"/>
    </row>
    <row r="290" ht="14.25" customHeight="1">
      <c r="A290" s="28">
        <v>39.0</v>
      </c>
      <c r="B290" s="42" t="s">
        <v>126</v>
      </c>
      <c r="C290" s="42" t="s">
        <v>452</v>
      </c>
      <c r="D290" s="31">
        <v>8.065000000000001</v>
      </c>
      <c r="E290" s="32" t="s">
        <v>223</v>
      </c>
      <c r="G290" s="39"/>
    </row>
    <row r="291" ht="14.25" customHeight="1">
      <c r="A291" s="28">
        <v>40.0</v>
      </c>
      <c r="B291" s="42" t="s">
        <v>126</v>
      </c>
      <c r="C291" s="42" t="s">
        <v>453</v>
      </c>
      <c r="D291" s="31">
        <v>3.8850000000000002</v>
      </c>
      <c r="E291" s="32" t="s">
        <v>423</v>
      </c>
    </row>
    <row r="292" ht="14.25" customHeight="1">
      <c r="A292" s="28">
        <v>41.0</v>
      </c>
      <c r="B292" s="42" t="s">
        <v>126</v>
      </c>
      <c r="C292" s="42" t="s">
        <v>454</v>
      </c>
      <c r="D292" s="31">
        <v>5.83</v>
      </c>
      <c r="E292" s="32" t="s">
        <v>223</v>
      </c>
    </row>
    <row r="293" ht="14.25" customHeight="1">
      <c r="A293" s="28">
        <v>42.0</v>
      </c>
      <c r="B293" s="42" t="s">
        <v>126</v>
      </c>
      <c r="C293" s="42" t="s">
        <v>455</v>
      </c>
      <c r="D293" s="31">
        <v>3.745</v>
      </c>
      <c r="E293" s="32" t="s">
        <v>171</v>
      </c>
    </row>
    <row r="294" ht="14.25" customHeight="1">
      <c r="A294" s="28">
        <v>43.0</v>
      </c>
      <c r="B294" s="42" t="s">
        <v>126</v>
      </c>
      <c r="C294" s="42" t="s">
        <v>456</v>
      </c>
      <c r="D294" s="31">
        <v>3.535</v>
      </c>
      <c r="E294" s="32" t="s">
        <v>171</v>
      </c>
    </row>
    <row r="295" ht="14.25" customHeight="1">
      <c r="A295" s="28">
        <v>44.0</v>
      </c>
      <c r="B295" s="42" t="s">
        <v>126</v>
      </c>
      <c r="C295" s="42" t="s">
        <v>457</v>
      </c>
      <c r="D295" s="31">
        <v>3.55</v>
      </c>
      <c r="E295" s="32" t="s">
        <v>171</v>
      </c>
    </row>
    <row r="296" ht="14.25" customHeight="1">
      <c r="A296" s="28">
        <v>45.0</v>
      </c>
      <c r="B296" s="42" t="s">
        <v>126</v>
      </c>
      <c r="C296" s="42" t="s">
        <v>458</v>
      </c>
      <c r="D296" s="31">
        <v>3.205</v>
      </c>
      <c r="E296" s="32" t="s">
        <v>171</v>
      </c>
    </row>
    <row r="297" ht="14.25" customHeight="1">
      <c r="A297" s="28">
        <v>46.0</v>
      </c>
      <c r="B297" s="42" t="s">
        <v>126</v>
      </c>
      <c r="C297" s="42" t="s">
        <v>459</v>
      </c>
      <c r="D297" s="31">
        <v>4.465</v>
      </c>
      <c r="E297" s="32" t="s">
        <v>171</v>
      </c>
    </row>
    <row r="298" ht="14.25" customHeight="1">
      <c r="A298" s="28">
        <v>47.0</v>
      </c>
      <c r="B298" s="42" t="s">
        <v>126</v>
      </c>
      <c r="C298" s="42" t="s">
        <v>460</v>
      </c>
      <c r="D298" s="31">
        <v>5.385</v>
      </c>
      <c r="E298" s="32" t="s">
        <v>171</v>
      </c>
    </row>
    <row r="299" ht="14.25" customHeight="1">
      <c r="A299" s="28">
        <v>48.0</v>
      </c>
      <c r="B299" s="42" t="s">
        <v>126</v>
      </c>
      <c r="C299" s="42" t="s">
        <v>461</v>
      </c>
      <c r="D299" s="31">
        <v>5.41</v>
      </c>
      <c r="E299" s="32" t="s">
        <v>223</v>
      </c>
    </row>
    <row r="300" ht="14.25" customHeight="1">
      <c r="A300" s="28">
        <v>49.0</v>
      </c>
      <c r="B300" s="42" t="s">
        <v>126</v>
      </c>
      <c r="C300" s="42" t="s">
        <v>462</v>
      </c>
      <c r="D300" s="31">
        <v>8.285</v>
      </c>
      <c r="E300" s="32" t="s">
        <v>223</v>
      </c>
    </row>
    <row r="301" ht="14.25" customHeight="1">
      <c r="A301" s="24"/>
      <c r="B301" s="43" t="s">
        <v>463</v>
      </c>
      <c r="C301" s="43"/>
      <c r="D301" s="41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8">
        <v>1.0</v>
      </c>
      <c r="B302" s="42" t="s">
        <v>464</v>
      </c>
      <c r="C302" s="42" t="s">
        <v>465</v>
      </c>
      <c r="D302" s="31">
        <v>4.075</v>
      </c>
      <c r="E302" s="32" t="s">
        <v>171</v>
      </c>
    </row>
    <row r="303" ht="14.25" customHeight="1">
      <c r="A303" s="28">
        <v>2.0</v>
      </c>
      <c r="B303" s="42" t="s">
        <v>464</v>
      </c>
      <c r="C303" s="42" t="s">
        <v>466</v>
      </c>
      <c r="D303" s="31">
        <v>8.365</v>
      </c>
      <c r="E303" s="32" t="s">
        <v>223</v>
      </c>
    </row>
    <row r="304" ht="14.25" customHeight="1">
      <c r="A304" s="28">
        <v>3.0</v>
      </c>
      <c r="B304" s="42" t="s">
        <v>464</v>
      </c>
      <c r="C304" s="42" t="s">
        <v>467</v>
      </c>
      <c r="D304" s="31">
        <v>3.0149999999999997</v>
      </c>
      <c r="E304" s="32" t="s">
        <v>171</v>
      </c>
    </row>
    <row r="305" ht="14.25" customHeight="1">
      <c r="A305" s="28">
        <v>4.0</v>
      </c>
      <c r="B305" s="42" t="s">
        <v>464</v>
      </c>
      <c r="C305" s="42" t="s">
        <v>468</v>
      </c>
      <c r="D305" s="31">
        <v>4.645</v>
      </c>
      <c r="E305" s="32" t="s">
        <v>171</v>
      </c>
    </row>
    <row r="306" ht="14.25" customHeight="1">
      <c r="A306" s="28">
        <v>5.0</v>
      </c>
      <c r="B306" s="42" t="s">
        <v>464</v>
      </c>
      <c r="C306" s="42" t="s">
        <v>469</v>
      </c>
      <c r="D306" s="31">
        <v>6.93</v>
      </c>
      <c r="E306" s="32" t="s">
        <v>171</v>
      </c>
    </row>
    <row r="307" ht="14.25" customHeight="1">
      <c r="A307" s="28">
        <v>6.0</v>
      </c>
      <c r="B307" s="42" t="s">
        <v>464</v>
      </c>
      <c r="C307" s="42" t="s">
        <v>470</v>
      </c>
      <c r="D307" s="31">
        <v>6.055</v>
      </c>
      <c r="E307" s="32" t="s">
        <v>171</v>
      </c>
    </row>
    <row r="308" ht="14.25" customHeight="1">
      <c r="A308" s="28">
        <v>7.0</v>
      </c>
      <c r="B308" s="42" t="s">
        <v>464</v>
      </c>
      <c r="C308" s="42" t="s">
        <v>471</v>
      </c>
      <c r="D308" s="31">
        <v>2.41</v>
      </c>
      <c r="E308" s="32" t="s">
        <v>171</v>
      </c>
    </row>
    <row r="309" ht="14.25" customHeight="1">
      <c r="A309" s="28">
        <v>8.0</v>
      </c>
      <c r="B309" s="42" t="s">
        <v>464</v>
      </c>
      <c r="C309" s="42" t="s">
        <v>472</v>
      </c>
      <c r="D309" s="31">
        <v>2.995</v>
      </c>
      <c r="E309" s="32" t="s">
        <v>171</v>
      </c>
      <c r="G309" s="39"/>
    </row>
    <row r="310" ht="14.25" customHeight="1">
      <c r="A310" s="28">
        <v>9.0</v>
      </c>
      <c r="B310" s="42" t="s">
        <v>464</v>
      </c>
      <c r="C310" s="42" t="s">
        <v>473</v>
      </c>
      <c r="D310" s="31">
        <v>1.92</v>
      </c>
      <c r="E310" s="32" t="s">
        <v>171</v>
      </c>
      <c r="G310" s="39"/>
    </row>
    <row r="311" ht="14.25" customHeight="1">
      <c r="A311" s="28">
        <v>10.0</v>
      </c>
      <c r="B311" s="42" t="s">
        <v>464</v>
      </c>
      <c r="C311" s="42" t="s">
        <v>474</v>
      </c>
      <c r="D311" s="31">
        <v>5.49</v>
      </c>
      <c r="E311" s="32" t="s">
        <v>171</v>
      </c>
      <c r="G311" s="39"/>
    </row>
    <row r="312" ht="14.25" customHeight="1">
      <c r="A312" s="28">
        <v>11.0</v>
      </c>
      <c r="B312" s="42" t="s">
        <v>464</v>
      </c>
      <c r="C312" s="42" t="s">
        <v>475</v>
      </c>
      <c r="D312" s="31">
        <v>6.295</v>
      </c>
      <c r="E312" s="32" t="s">
        <v>171</v>
      </c>
      <c r="G312" s="39"/>
    </row>
    <row r="313" ht="14.25" customHeight="1">
      <c r="A313" s="28">
        <v>12.0</v>
      </c>
      <c r="B313" s="42" t="s">
        <v>464</v>
      </c>
      <c r="C313" s="42" t="s">
        <v>476</v>
      </c>
      <c r="D313" s="31">
        <v>3.7750000000000004</v>
      </c>
      <c r="E313" s="32" t="s">
        <v>171</v>
      </c>
    </row>
    <row r="314" ht="14.25" customHeight="1">
      <c r="A314" s="28">
        <v>13.0</v>
      </c>
      <c r="B314" s="42" t="s">
        <v>464</v>
      </c>
      <c r="C314" s="42" t="s">
        <v>477</v>
      </c>
      <c r="D314" s="31">
        <v>2.73</v>
      </c>
      <c r="E314" s="32" t="s">
        <v>171</v>
      </c>
    </row>
    <row r="315" ht="14.25" customHeight="1">
      <c r="A315" s="28">
        <v>14.0</v>
      </c>
      <c r="B315" s="42" t="s">
        <v>464</v>
      </c>
      <c r="C315" s="42" t="s">
        <v>478</v>
      </c>
      <c r="D315" s="31">
        <v>5.6</v>
      </c>
      <c r="E315" s="32" t="s">
        <v>223</v>
      </c>
    </row>
    <row r="316" ht="14.25" customHeight="1">
      <c r="A316" s="28">
        <v>15.0</v>
      </c>
      <c r="B316" s="42" t="s">
        <v>464</v>
      </c>
      <c r="C316" s="42" t="s">
        <v>479</v>
      </c>
      <c r="D316" s="31">
        <v>5.92</v>
      </c>
      <c r="E316" s="32" t="s">
        <v>223</v>
      </c>
    </row>
    <row r="317" ht="14.25" customHeight="1">
      <c r="A317" s="28">
        <v>16.0</v>
      </c>
      <c r="B317" s="42" t="s">
        <v>464</v>
      </c>
      <c r="C317" s="42" t="s">
        <v>480</v>
      </c>
      <c r="D317" s="31">
        <v>6.035</v>
      </c>
      <c r="E317" s="32" t="s">
        <v>171</v>
      </c>
    </row>
    <row r="318" ht="14.25" customHeight="1">
      <c r="A318" s="28">
        <v>17.0</v>
      </c>
      <c r="B318" s="42" t="s">
        <v>464</v>
      </c>
      <c r="C318" s="42" t="s">
        <v>481</v>
      </c>
      <c r="D318" s="31">
        <v>2.645</v>
      </c>
      <c r="E318" s="32" t="s">
        <v>171</v>
      </c>
    </row>
    <row r="319" ht="14.25" customHeight="1">
      <c r="A319" s="28">
        <v>18.0</v>
      </c>
      <c r="B319" s="42" t="s">
        <v>464</v>
      </c>
      <c r="C319" s="42" t="s">
        <v>482</v>
      </c>
      <c r="D319" s="31">
        <v>4.855</v>
      </c>
      <c r="E319" s="32" t="s">
        <v>171</v>
      </c>
    </row>
    <row r="320" ht="14.25" customHeight="1">
      <c r="A320" s="28">
        <v>19.0</v>
      </c>
      <c r="B320" s="42" t="s">
        <v>464</v>
      </c>
      <c r="C320" s="42" t="s">
        <v>483</v>
      </c>
      <c r="D320" s="31">
        <v>1.7850000000000001</v>
      </c>
      <c r="E320" s="32" t="s">
        <v>171</v>
      </c>
    </row>
    <row r="321" ht="14.25" customHeight="1">
      <c r="A321" s="24"/>
      <c r="B321" s="43" t="s">
        <v>484</v>
      </c>
      <c r="C321" s="43"/>
      <c r="D321" s="41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49">
        <v>1.0</v>
      </c>
      <c r="B322" s="42" t="s">
        <v>485</v>
      </c>
      <c r="C322" s="42" t="s">
        <v>486</v>
      </c>
      <c r="D322" s="31">
        <v>3.55</v>
      </c>
      <c r="E322" s="32" t="s">
        <v>171</v>
      </c>
    </row>
    <row r="323" ht="14.25" customHeight="1">
      <c r="A323" s="49">
        <v>2.0</v>
      </c>
      <c r="B323" s="42" t="s">
        <v>485</v>
      </c>
      <c r="C323" s="42" t="s">
        <v>487</v>
      </c>
      <c r="D323" s="31">
        <v>2.895</v>
      </c>
      <c r="E323" s="32" t="s">
        <v>171</v>
      </c>
    </row>
    <row r="324" ht="14.25" customHeight="1">
      <c r="A324" s="49">
        <v>3.0</v>
      </c>
      <c r="B324" s="42" t="s">
        <v>485</v>
      </c>
      <c r="C324" s="42" t="s">
        <v>488</v>
      </c>
      <c r="D324" s="31">
        <v>7.805</v>
      </c>
      <c r="E324" s="32" t="s">
        <v>223</v>
      </c>
    </row>
    <row r="325" ht="14.25" customHeight="1">
      <c r="A325" s="49">
        <v>4.0</v>
      </c>
      <c r="B325" s="42" t="s">
        <v>485</v>
      </c>
      <c r="C325" s="42" t="s">
        <v>73</v>
      </c>
      <c r="D325" s="31">
        <v>2.44</v>
      </c>
      <c r="E325" s="32" t="s">
        <v>171</v>
      </c>
    </row>
    <row r="326" ht="14.25" customHeight="1">
      <c r="A326" s="50">
        <v>5.0</v>
      </c>
      <c r="B326" s="45" t="s">
        <v>485</v>
      </c>
      <c r="C326" s="45" t="s">
        <v>489</v>
      </c>
      <c r="D326" s="37">
        <v>0.0</v>
      </c>
      <c r="E326" s="38" t="s">
        <v>171</v>
      </c>
    </row>
    <row r="327" ht="14.25" customHeight="1">
      <c r="A327" s="50">
        <v>6.0</v>
      </c>
      <c r="B327" s="45" t="s">
        <v>485</v>
      </c>
      <c r="C327" s="45" t="s">
        <v>490</v>
      </c>
      <c r="D327" s="37">
        <v>0.0</v>
      </c>
      <c r="E327" s="38" t="s">
        <v>171</v>
      </c>
    </row>
    <row r="328" ht="14.25" customHeight="1">
      <c r="A328" s="50">
        <v>7.0</v>
      </c>
      <c r="B328" s="45" t="s">
        <v>485</v>
      </c>
      <c r="C328" s="45" t="s">
        <v>491</v>
      </c>
      <c r="D328" s="37">
        <v>0.0</v>
      </c>
      <c r="E328" s="38" t="s">
        <v>171</v>
      </c>
    </row>
    <row r="329" ht="14.25" customHeight="1">
      <c r="A329" s="49">
        <v>8.0</v>
      </c>
      <c r="B329" s="42" t="s">
        <v>485</v>
      </c>
      <c r="C329" s="42" t="s">
        <v>492</v>
      </c>
      <c r="D329" s="31">
        <v>5.359999999999999</v>
      </c>
      <c r="E329" s="32" t="s">
        <v>171</v>
      </c>
    </row>
    <row r="330" ht="14.25" customHeight="1">
      <c r="A330" s="50">
        <v>9.0</v>
      </c>
      <c r="B330" s="45" t="s">
        <v>485</v>
      </c>
      <c r="C330" s="45" t="s">
        <v>493</v>
      </c>
      <c r="D330" s="37">
        <v>0.0</v>
      </c>
      <c r="E330" s="38" t="s">
        <v>171</v>
      </c>
    </row>
    <row r="331" ht="14.25" customHeight="1">
      <c r="A331" s="50">
        <v>10.0</v>
      </c>
      <c r="B331" s="45" t="s">
        <v>485</v>
      </c>
      <c r="C331" s="45" t="s">
        <v>494</v>
      </c>
      <c r="D331" s="37">
        <v>0.0</v>
      </c>
      <c r="E331" s="38" t="s">
        <v>171</v>
      </c>
    </row>
    <row r="332" ht="14.25" customHeight="1">
      <c r="A332" s="49">
        <v>11.0</v>
      </c>
      <c r="B332" s="42" t="s">
        <v>485</v>
      </c>
      <c r="C332" s="42" t="s">
        <v>495</v>
      </c>
      <c r="D332" s="31">
        <v>6.7</v>
      </c>
      <c r="E332" s="32" t="s">
        <v>171</v>
      </c>
    </row>
    <row r="333" ht="14.25" customHeight="1">
      <c r="A333" s="49">
        <v>12.0</v>
      </c>
      <c r="B333" s="42" t="s">
        <v>485</v>
      </c>
      <c r="C333" s="42" t="s">
        <v>496</v>
      </c>
      <c r="D333" s="31">
        <v>3.3049999999999997</v>
      </c>
      <c r="E333" s="32" t="s">
        <v>171</v>
      </c>
    </row>
    <row r="334" ht="14.25" customHeight="1">
      <c r="A334" s="49">
        <v>13.0</v>
      </c>
      <c r="B334" s="42" t="s">
        <v>485</v>
      </c>
      <c r="C334" s="42" t="s">
        <v>497</v>
      </c>
      <c r="D334" s="31">
        <v>4.08</v>
      </c>
      <c r="E334" s="32" t="s">
        <v>171</v>
      </c>
    </row>
    <row r="335" ht="14.25" customHeight="1">
      <c r="A335" s="49">
        <v>14.0</v>
      </c>
      <c r="B335" s="42" t="s">
        <v>485</v>
      </c>
      <c r="C335" s="42" t="s">
        <v>498</v>
      </c>
      <c r="D335" s="31">
        <v>3.63</v>
      </c>
      <c r="E335" s="32" t="s">
        <v>171</v>
      </c>
    </row>
    <row r="336" ht="14.25" customHeight="1">
      <c r="A336" s="49">
        <v>15.0</v>
      </c>
      <c r="B336" s="42" t="s">
        <v>485</v>
      </c>
      <c r="C336" s="42" t="s">
        <v>499</v>
      </c>
      <c r="D336" s="31">
        <v>2.51</v>
      </c>
      <c r="E336" s="32" t="s">
        <v>171</v>
      </c>
    </row>
    <row r="337" ht="14.25" customHeight="1">
      <c r="A337" s="49">
        <v>16.0</v>
      </c>
      <c r="B337" s="42" t="s">
        <v>485</v>
      </c>
      <c r="C337" s="42" t="s">
        <v>500</v>
      </c>
      <c r="D337" s="31">
        <v>3.04</v>
      </c>
      <c r="E337" s="32" t="s">
        <v>171</v>
      </c>
    </row>
    <row r="338" ht="14.25" customHeight="1">
      <c r="A338" s="49">
        <v>17.0</v>
      </c>
      <c r="B338" s="42" t="s">
        <v>485</v>
      </c>
      <c r="C338" s="42" t="s">
        <v>501</v>
      </c>
      <c r="D338" s="31">
        <v>3.64</v>
      </c>
      <c r="E338" s="32" t="s">
        <v>171</v>
      </c>
    </row>
    <row r="339" ht="14.25" customHeight="1">
      <c r="A339" s="49">
        <v>18.0</v>
      </c>
      <c r="B339" s="42" t="s">
        <v>485</v>
      </c>
      <c r="C339" s="42" t="s">
        <v>502</v>
      </c>
      <c r="D339" s="31">
        <v>3.0700000000000003</v>
      </c>
      <c r="E339" s="32" t="s">
        <v>171</v>
      </c>
    </row>
    <row r="340" ht="14.25" customHeight="1">
      <c r="A340" s="50">
        <v>19.0</v>
      </c>
      <c r="B340" s="45" t="s">
        <v>485</v>
      </c>
      <c r="C340" s="45" t="s">
        <v>503</v>
      </c>
      <c r="D340" s="37">
        <v>0.0</v>
      </c>
      <c r="E340" s="38" t="s">
        <v>171</v>
      </c>
    </row>
    <row r="341" ht="14.25" customHeight="1">
      <c r="A341" s="49">
        <v>20.0</v>
      </c>
      <c r="B341" s="42" t="s">
        <v>485</v>
      </c>
      <c r="C341" s="42" t="s">
        <v>504</v>
      </c>
      <c r="D341" s="31">
        <v>2.92</v>
      </c>
      <c r="E341" s="32" t="s">
        <v>171</v>
      </c>
    </row>
    <row r="342" ht="14.25" customHeight="1">
      <c r="A342" s="50">
        <v>21.0</v>
      </c>
      <c r="B342" s="45" t="s">
        <v>485</v>
      </c>
      <c r="C342" s="45" t="s">
        <v>505</v>
      </c>
      <c r="D342" s="37">
        <v>0.0</v>
      </c>
      <c r="E342" s="38" t="s">
        <v>171</v>
      </c>
    </row>
    <row r="343" ht="14.25" customHeight="1">
      <c r="A343" s="49">
        <v>22.0</v>
      </c>
      <c r="B343" s="42" t="s">
        <v>485</v>
      </c>
      <c r="C343" s="42" t="s">
        <v>506</v>
      </c>
      <c r="D343" s="31">
        <v>2.9349999999999996</v>
      </c>
      <c r="E343" s="32" t="s">
        <v>171</v>
      </c>
    </row>
    <row r="344" ht="14.25" customHeight="1">
      <c r="A344" s="51">
        <v>23.0</v>
      </c>
      <c r="B344" s="52" t="s">
        <v>485</v>
      </c>
      <c r="C344" s="52" t="s">
        <v>507</v>
      </c>
      <c r="D344" s="53">
        <v>0.0</v>
      </c>
      <c r="E344" s="54" t="s">
        <v>171</v>
      </c>
    </row>
    <row r="345" ht="14.25" customHeight="1">
      <c r="A345" s="55">
        <f>SUBTOTAL(102,'CM2'!$A$9:$A$344)</f>
        <v>326</v>
      </c>
      <c r="B345" s="56"/>
      <c r="C345" s="56"/>
      <c r="D345" s="57"/>
      <c r="E345" s="58">
        <f>SUBTOTAL(103,'CM2'!$E$9:$E$344)</f>
        <v>326</v>
      </c>
    </row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14"/>
    <col customWidth="1" min="3" max="3" width="16.86"/>
    <col customWidth="1" min="4" max="4" width="15.57"/>
    <col customWidth="1" min="5" max="5" width="14.57"/>
    <col customWidth="1" min="6" max="6" width="17.57"/>
    <col customWidth="1" min="7" max="7" width="17.43"/>
    <col customWidth="1" min="8" max="8" width="15.14"/>
    <col customWidth="1" min="9" max="9" width="18.14"/>
    <col customWidth="1" min="10" max="10" width="15.0"/>
    <col customWidth="1" min="11" max="26" width="10.86"/>
  </cols>
  <sheetData>
    <row r="1" ht="14.25" customHeight="1"/>
    <row r="2" ht="14.25" customHeight="1"/>
    <row r="3" ht="14.25" customHeight="1"/>
    <row r="4" ht="14.25" customHeight="1">
      <c r="E4" s="59" t="s">
        <v>508</v>
      </c>
    </row>
    <row r="5" ht="14.25" customHeight="1"/>
    <row r="6" ht="14.25" customHeight="1">
      <c r="A6" s="60" t="s">
        <v>509</v>
      </c>
      <c r="B6" s="61" t="s">
        <v>510</v>
      </c>
      <c r="C6" s="61" t="s">
        <v>511</v>
      </c>
      <c r="D6" s="62" t="s">
        <v>512</v>
      </c>
      <c r="E6" s="60" t="s">
        <v>513</v>
      </c>
      <c r="F6" s="60" t="s">
        <v>514</v>
      </c>
      <c r="G6" s="60" t="s">
        <v>515</v>
      </c>
      <c r="H6" s="60" t="s">
        <v>516</v>
      </c>
      <c r="I6" s="60" t="s">
        <v>517</v>
      </c>
      <c r="J6" s="63" t="s">
        <v>518</v>
      </c>
    </row>
    <row r="7" ht="14.25" customHeight="1">
      <c r="A7" s="29" t="s">
        <v>36</v>
      </c>
      <c r="B7" s="64">
        <v>36.0</v>
      </c>
      <c r="C7" s="65">
        <v>0.0</v>
      </c>
      <c r="D7" s="64">
        <v>36.0</v>
      </c>
      <c r="E7" s="66">
        <v>23.0</v>
      </c>
      <c r="F7" s="65">
        <v>13.0</v>
      </c>
      <c r="G7" s="67">
        <f>'CM1 &amp; CM2 Metrics'!$C7/'CM1 &amp; CM2 Metrics'!$B7</f>
        <v>0</v>
      </c>
      <c r="H7" s="67">
        <f>'CM1 &amp; CM2 Metrics'!$E7/'CM1 &amp; CM2 Metrics'!$D7</f>
        <v>0.6388888889</v>
      </c>
      <c r="I7" s="67">
        <f>'CM1 &amp; CM2 Metrics'!$F7/'CM1 &amp; CM2 Metrics'!$D7</f>
        <v>0.3611111111</v>
      </c>
      <c r="J7" s="68"/>
    </row>
    <row r="8" ht="14.25" customHeight="1">
      <c r="A8" s="69" t="s">
        <v>72</v>
      </c>
      <c r="B8" s="70">
        <v>30.0</v>
      </c>
      <c r="C8" s="65">
        <v>0.0</v>
      </c>
      <c r="D8" s="70">
        <v>30.0</v>
      </c>
      <c r="E8" s="66">
        <v>23.0</v>
      </c>
      <c r="F8" s="65">
        <f>30-'CM1 &amp; CM2 Metrics'!$E8</f>
        <v>7</v>
      </c>
      <c r="G8" s="67">
        <f>'CM1 &amp; CM2 Metrics'!$C8/'CM1 &amp; CM2 Metrics'!$B8</f>
        <v>0</v>
      </c>
      <c r="H8" s="67">
        <f>'CM1 &amp; CM2 Metrics'!$E8/'CM1 &amp; CM2 Metrics'!$D8</f>
        <v>0.7666666667</v>
      </c>
      <c r="I8" s="67">
        <f>'CM1 &amp; CM2 Metrics'!$F8/'CM1 &amp; CM2 Metrics'!$D8</f>
        <v>0.2333333333</v>
      </c>
      <c r="J8" s="65"/>
    </row>
    <row r="9" ht="14.25" customHeight="1">
      <c r="A9" s="71" t="s">
        <v>10</v>
      </c>
      <c r="B9" s="64">
        <v>23.0</v>
      </c>
      <c r="C9" s="65">
        <v>0.0</v>
      </c>
      <c r="D9" s="64">
        <v>23.0</v>
      </c>
      <c r="E9" s="66">
        <v>15.0</v>
      </c>
      <c r="F9" s="65">
        <f>'CM1 &amp; CM2 Metrics'!$D9-'CM1 &amp; CM2 Metrics'!$E9</f>
        <v>8</v>
      </c>
      <c r="G9" s="67">
        <f>'CM1 &amp; CM2 Metrics'!$C9/'CM1 &amp; CM2 Metrics'!$B9</f>
        <v>0</v>
      </c>
      <c r="H9" s="67">
        <f>'CM1 &amp; CM2 Metrics'!$E9/'CM1 &amp; CM2 Metrics'!$D9</f>
        <v>0.652173913</v>
      </c>
      <c r="I9" s="67">
        <f>'CM1 &amp; CM2 Metrics'!$F9/'CM1 &amp; CM2 Metrics'!$D9</f>
        <v>0.347826087</v>
      </c>
      <c r="J9" s="65"/>
    </row>
    <row r="10" ht="14.25" customHeight="1">
      <c r="A10" s="69" t="s">
        <v>126</v>
      </c>
      <c r="B10" s="70">
        <v>40.0</v>
      </c>
      <c r="C10" s="65">
        <v>0.0</v>
      </c>
      <c r="D10" s="70">
        <v>40.0</v>
      </c>
      <c r="E10" s="66">
        <v>24.0</v>
      </c>
      <c r="F10" s="65">
        <f>'CM1 &amp; CM2 Metrics'!$D10-'CM1 &amp; CM2 Metrics'!$E10</f>
        <v>16</v>
      </c>
      <c r="G10" s="67">
        <f>'CM1 &amp; CM2 Metrics'!$C10/'CM1 &amp; CM2 Metrics'!$B10</f>
        <v>0</v>
      </c>
      <c r="H10" s="67">
        <f>'CM1 &amp; CM2 Metrics'!$E10/'CM1 &amp; CM2 Metrics'!$D10</f>
        <v>0.6</v>
      </c>
      <c r="I10" s="67">
        <f>'CM1 &amp; CM2 Metrics'!$F10/'CM1 &amp; CM2 Metrics'!$D10</f>
        <v>0.4</v>
      </c>
      <c r="J10" s="65"/>
    </row>
    <row r="11" ht="14.25" customHeight="1">
      <c r="A11" s="71" t="s">
        <v>103</v>
      </c>
      <c r="B11" s="64">
        <v>22.0</v>
      </c>
      <c r="C11" s="65">
        <v>0.0</v>
      </c>
      <c r="D11" s="64">
        <v>22.0</v>
      </c>
      <c r="E11" s="66">
        <v>13.0</v>
      </c>
      <c r="F11" s="65">
        <f>'CM1 &amp; CM2 Metrics'!$D11-'CM1 &amp; CM2 Metrics'!$E11</f>
        <v>9</v>
      </c>
      <c r="G11" s="67">
        <f>'CM1 &amp; CM2 Metrics'!$C11/'CM1 &amp; CM2 Metrics'!$B11</f>
        <v>0</v>
      </c>
      <c r="H11" s="67">
        <f>'CM1 &amp; CM2 Metrics'!$E11/'CM1 &amp; CM2 Metrics'!$D11</f>
        <v>0.5909090909</v>
      </c>
      <c r="I11" s="67">
        <f>'CM1 &amp; CM2 Metrics'!$F11/'CM1 &amp; CM2 Metrics'!$D11</f>
        <v>0.4090909091</v>
      </c>
      <c r="J11" s="65"/>
    </row>
    <row r="12" ht="14.25" customHeight="1">
      <c r="A12" s="72"/>
      <c r="B12" s="73">
        <f>SUBTOTAL(109,'CM1 &amp; CM2 Metrics'!$B$7:$B$11)</f>
        <v>151</v>
      </c>
      <c r="C12" s="73">
        <f>SUBTOTAL(109,'CM1 &amp; CM2 Metrics'!$C$7:$C$11)</f>
        <v>0</v>
      </c>
      <c r="D12" s="73">
        <f>SUBTOTAL(109,'CM1 &amp; CM2 Metrics'!$D$7:$D$11)</f>
        <v>151</v>
      </c>
      <c r="E12" s="73">
        <f>SUBTOTAL(109,'CM1 &amp; CM2 Metrics'!$E$7:$E$11)</f>
        <v>98</v>
      </c>
      <c r="F12" s="73">
        <f>SUBTOTAL(109,'CM1 &amp; CM2 Metrics'!$F$7:$F$11)</f>
        <v>53</v>
      </c>
      <c r="G12" s="74"/>
      <c r="H12" s="74">
        <f>'CM1 &amp; CM2 Metrics'!$E$12/'CM1 &amp; CM2 Metrics'!$D$12</f>
        <v>0.6490066225</v>
      </c>
      <c r="I12" s="74">
        <f>'CM1 &amp; CM2 Metrics'!$F$12/'CM1 &amp; CM2 Metrics'!$D$12</f>
        <v>0.3509933775</v>
      </c>
      <c r="J12" s="73"/>
    </row>
    <row r="13" ht="14.25" customHeight="1">
      <c r="A13" s="75"/>
      <c r="B13" s="75"/>
      <c r="C13" s="75"/>
      <c r="D13" s="75"/>
      <c r="E13" s="59" t="s">
        <v>519</v>
      </c>
      <c r="G13" s="75"/>
      <c r="H13" s="75"/>
      <c r="I13" s="75"/>
      <c r="J13" s="75"/>
    </row>
    <row r="14" ht="14.25" customHeight="1">
      <c r="A14" s="60" t="s">
        <v>509</v>
      </c>
      <c r="B14" s="61" t="s">
        <v>510</v>
      </c>
      <c r="C14" s="61" t="s">
        <v>511</v>
      </c>
      <c r="D14" s="62" t="s">
        <v>520</v>
      </c>
      <c r="E14" s="60" t="s">
        <v>513</v>
      </c>
      <c r="F14" s="60" t="s">
        <v>514</v>
      </c>
      <c r="G14" s="76" t="s">
        <v>515</v>
      </c>
      <c r="H14" s="60" t="s">
        <v>516</v>
      </c>
      <c r="I14" s="60" t="s">
        <v>517</v>
      </c>
      <c r="J14" s="63" t="s">
        <v>518</v>
      </c>
    </row>
    <row r="15" ht="14.25" customHeight="1">
      <c r="A15" s="69" t="s">
        <v>277</v>
      </c>
      <c r="B15" s="65">
        <v>12.0</v>
      </c>
      <c r="C15" s="65">
        <v>0.0</v>
      </c>
      <c r="D15" s="65">
        <v>12.0</v>
      </c>
      <c r="E15" s="65">
        <v>5.0</v>
      </c>
      <c r="F15" s="65">
        <f>'CM1 &amp; CM2 Metrics'!$D15-'CM1 &amp; CM2 Metrics'!$E15</f>
        <v>7</v>
      </c>
      <c r="G15" s="67">
        <f>'CM1 &amp; CM2 Metrics'!$C15/'CM1 &amp; CM2 Metrics'!$B15</f>
        <v>0</v>
      </c>
      <c r="H15" s="67">
        <f>'CM1 &amp; CM2 Metrics'!$E15/'CM1 &amp; CM2 Metrics'!$D15</f>
        <v>0.4166666667</v>
      </c>
      <c r="I15" s="67">
        <f>'CM1 &amp; CM2 Metrics'!$F15/'CM1 &amp; CM2 Metrics'!$D15</f>
        <v>0.5833333333</v>
      </c>
      <c r="J15" s="68"/>
    </row>
    <row r="16" ht="14.25" customHeight="1">
      <c r="A16" s="69" t="s">
        <v>36</v>
      </c>
      <c r="B16" s="65">
        <v>64.0</v>
      </c>
      <c r="C16" s="65">
        <v>0.0</v>
      </c>
      <c r="D16" s="65">
        <v>64.0</v>
      </c>
      <c r="E16" s="65">
        <v>7.0</v>
      </c>
      <c r="F16" s="65">
        <f>'CM1 &amp; CM2 Metrics'!$D16-'CM1 &amp; CM2 Metrics'!$E16</f>
        <v>57</v>
      </c>
      <c r="G16" s="67">
        <f>'CM1 &amp; CM2 Metrics'!$C16/'CM1 &amp; CM2 Metrics'!$B16</f>
        <v>0</v>
      </c>
      <c r="H16" s="67">
        <f>'CM1 &amp; CM2 Metrics'!$E16/'CM1 &amp; CM2 Metrics'!$D16</f>
        <v>0.109375</v>
      </c>
      <c r="I16" s="67">
        <f>'CM1 &amp; CM2 Metrics'!$F16/'CM1 &amp; CM2 Metrics'!$D16</f>
        <v>0.890625</v>
      </c>
      <c r="J16" s="65"/>
    </row>
    <row r="17" ht="14.25" customHeight="1">
      <c r="A17" s="69" t="s">
        <v>72</v>
      </c>
      <c r="B17" s="65">
        <v>39.0</v>
      </c>
      <c r="C17" s="65">
        <v>4.0</v>
      </c>
      <c r="D17" s="65">
        <f>'CM1 &amp; CM2 Metrics'!$B17-'CM1 &amp; CM2 Metrics'!$C17</f>
        <v>35</v>
      </c>
      <c r="E17" s="65">
        <v>0.0</v>
      </c>
      <c r="F17" s="65">
        <f>'CM1 &amp; CM2 Metrics'!$D17-'CM1 &amp; CM2 Metrics'!$E17</f>
        <v>35</v>
      </c>
      <c r="G17" s="67">
        <f>'CM1 &amp; CM2 Metrics'!$C17/'CM1 &amp; CM2 Metrics'!$B17</f>
        <v>0.1025641026</v>
      </c>
      <c r="H17" s="67">
        <f>'CM1 &amp; CM2 Metrics'!$E17/'CM1 &amp; CM2 Metrics'!$D17</f>
        <v>0</v>
      </c>
      <c r="I17" s="67">
        <f>'CM1 &amp; CM2 Metrics'!$F17/'CM1 &amp; CM2 Metrics'!$D17</f>
        <v>1</v>
      </c>
      <c r="J17" s="65"/>
    </row>
    <row r="18" ht="14.25" customHeight="1">
      <c r="A18" s="69" t="s">
        <v>372</v>
      </c>
      <c r="B18" s="65">
        <v>10.0</v>
      </c>
      <c r="C18" s="65">
        <v>0.0</v>
      </c>
      <c r="D18" s="65">
        <v>10.0</v>
      </c>
      <c r="E18" s="65">
        <v>5.0</v>
      </c>
      <c r="F18" s="65">
        <f>'CM1 &amp; CM2 Metrics'!$D18-'CM1 &amp; CM2 Metrics'!$E18</f>
        <v>5</v>
      </c>
      <c r="G18" s="67">
        <f>'CM1 &amp; CM2 Metrics'!$C18/'CM1 &amp; CM2 Metrics'!$B18</f>
        <v>0</v>
      </c>
      <c r="H18" s="67">
        <f>'CM1 &amp; CM2 Metrics'!$E18/'CM1 &amp; CM2 Metrics'!$D18</f>
        <v>0.5</v>
      </c>
      <c r="I18" s="67">
        <f>'CM1 &amp; CM2 Metrics'!$F18/'CM1 &amp; CM2 Metrics'!$D18</f>
        <v>0.5</v>
      </c>
      <c r="J18" s="65"/>
    </row>
    <row r="19" ht="14.25" customHeight="1">
      <c r="A19" s="69" t="s">
        <v>384</v>
      </c>
      <c r="B19" s="65">
        <v>32.0</v>
      </c>
      <c r="C19" s="65">
        <v>2.0</v>
      </c>
      <c r="D19" s="65">
        <f>'CM1 &amp; CM2 Metrics'!$B19-'CM1 &amp; CM2 Metrics'!$C19</f>
        <v>30</v>
      </c>
      <c r="E19" s="65">
        <v>3.0</v>
      </c>
      <c r="F19" s="65">
        <f>'CM1 &amp; CM2 Metrics'!$D19-'CM1 &amp; CM2 Metrics'!$E19</f>
        <v>27</v>
      </c>
      <c r="G19" s="67">
        <f>'CM1 &amp; CM2 Metrics'!$C19/'CM1 &amp; CM2 Metrics'!$B19</f>
        <v>0.0625</v>
      </c>
      <c r="H19" s="67">
        <f>'CM1 &amp; CM2 Metrics'!$E19/'CM1 &amp; CM2 Metrics'!$D19</f>
        <v>0.1</v>
      </c>
      <c r="I19" s="67">
        <f>'CM1 &amp; CM2 Metrics'!$F19/'CM1 &amp; CM2 Metrics'!$D19</f>
        <v>0.9</v>
      </c>
      <c r="J19" s="65"/>
    </row>
    <row r="20" ht="14.25" customHeight="1">
      <c r="A20" s="69" t="s">
        <v>126</v>
      </c>
      <c r="B20" s="65">
        <v>49.0</v>
      </c>
      <c r="C20" s="65">
        <v>0.0</v>
      </c>
      <c r="D20" s="65">
        <v>49.0</v>
      </c>
      <c r="E20" s="65">
        <v>22.0</v>
      </c>
      <c r="F20" s="65">
        <f>'CM1 &amp; CM2 Metrics'!$D20-'CM1 &amp; CM2 Metrics'!$E20</f>
        <v>27</v>
      </c>
      <c r="G20" s="67">
        <f>'CM1 &amp; CM2 Metrics'!$C20/'CM1 &amp; CM2 Metrics'!$B20</f>
        <v>0</v>
      </c>
      <c r="H20" s="67">
        <f>'CM1 &amp; CM2 Metrics'!$E20/'CM1 &amp; CM2 Metrics'!$D20</f>
        <v>0.4489795918</v>
      </c>
      <c r="I20" s="67">
        <f>'CM1 &amp; CM2 Metrics'!$F20/'CM1 &amp; CM2 Metrics'!$D20</f>
        <v>0.5510204082</v>
      </c>
      <c r="J20" s="65"/>
    </row>
    <row r="21" ht="14.25" customHeight="1">
      <c r="A21" s="69" t="s">
        <v>464</v>
      </c>
      <c r="B21" s="65">
        <v>19.0</v>
      </c>
      <c r="C21" s="65">
        <v>0.0</v>
      </c>
      <c r="D21" s="65">
        <v>19.0</v>
      </c>
      <c r="E21" s="65">
        <v>3.0</v>
      </c>
      <c r="F21" s="77">
        <f>'CM1 &amp; CM2 Metrics'!$D21-'CM1 &amp; CM2 Metrics'!$E21</f>
        <v>16</v>
      </c>
      <c r="G21" s="67">
        <f>'CM1 &amp; CM2 Metrics'!$C21/'CM1 &amp; CM2 Metrics'!$B21</f>
        <v>0</v>
      </c>
      <c r="H21" s="78">
        <f>'CM1 &amp; CM2 Metrics'!$E21/'CM1 &amp; CM2 Metrics'!$D21</f>
        <v>0.1578947368</v>
      </c>
      <c r="I21" s="78">
        <f>'CM1 &amp; CM2 Metrics'!$F21/'CM1 &amp; CM2 Metrics'!$D21</f>
        <v>0.8421052632</v>
      </c>
      <c r="J21" s="79"/>
    </row>
    <row r="22" ht="14.25" customHeight="1">
      <c r="A22" s="69" t="s">
        <v>485</v>
      </c>
      <c r="B22" s="65">
        <v>23.0</v>
      </c>
      <c r="C22" s="65">
        <v>8.0</v>
      </c>
      <c r="D22" s="65">
        <f>'CM1 &amp; CM2 Metrics'!$B22-'CM1 &amp; CM2 Metrics'!$C22</f>
        <v>15</v>
      </c>
      <c r="E22" s="65">
        <v>1.0</v>
      </c>
      <c r="F22" s="77">
        <f>'CM1 &amp; CM2 Metrics'!$D22-'CM1 &amp; CM2 Metrics'!$E22</f>
        <v>14</v>
      </c>
      <c r="G22" s="67">
        <f>'CM1 &amp; CM2 Metrics'!$C22/'CM1 &amp; CM2 Metrics'!$B22</f>
        <v>0.347826087</v>
      </c>
      <c r="H22" s="78">
        <f>'CM1 &amp; CM2 Metrics'!$E22/'CM1 &amp; CM2 Metrics'!$D22</f>
        <v>0.06666666667</v>
      </c>
      <c r="I22" s="78">
        <f>'CM1 &amp; CM2 Metrics'!$F22/'CM1 &amp; CM2 Metrics'!$D22</f>
        <v>0.9333333333</v>
      </c>
      <c r="J22" s="79"/>
    </row>
    <row r="23" ht="14.25" customHeight="1">
      <c r="A23" s="69" t="s">
        <v>292</v>
      </c>
      <c r="B23" s="65">
        <v>48.0</v>
      </c>
      <c r="C23" s="65">
        <v>6.0</v>
      </c>
      <c r="D23" s="65">
        <f>'CM1 &amp; CM2 Metrics'!$B23-'CM1 &amp; CM2 Metrics'!$C23</f>
        <v>42</v>
      </c>
      <c r="E23" s="65">
        <v>7.0</v>
      </c>
      <c r="F23" s="65">
        <f>'CM1 &amp; CM2 Metrics'!$D23-'CM1 &amp; CM2 Metrics'!$E23</f>
        <v>35</v>
      </c>
      <c r="G23" s="67">
        <f>'CM1 &amp; CM2 Metrics'!$C23/'CM1 &amp; CM2 Metrics'!$B23</f>
        <v>0.125</v>
      </c>
      <c r="H23" s="67">
        <f>'CM1 &amp; CM2 Metrics'!$E23/'CM1 &amp; CM2 Metrics'!$D23</f>
        <v>0.1666666667</v>
      </c>
      <c r="I23" s="67">
        <f>'CM1 &amp; CM2 Metrics'!$F23/'CM1 &amp; CM2 Metrics'!$D23</f>
        <v>0.8333333333</v>
      </c>
      <c r="J23" s="65"/>
    </row>
    <row r="24" ht="14.25" customHeight="1">
      <c r="A24" s="69" t="s">
        <v>103</v>
      </c>
      <c r="B24" s="65">
        <v>30.0</v>
      </c>
      <c r="C24" s="65">
        <v>0.0</v>
      </c>
      <c r="D24" s="65">
        <v>30.0</v>
      </c>
      <c r="E24" s="65">
        <v>6.0</v>
      </c>
      <c r="F24" s="65">
        <f>'CM1 &amp; CM2 Metrics'!$D24-'CM1 &amp; CM2 Metrics'!$E24</f>
        <v>24</v>
      </c>
      <c r="G24" s="67">
        <f>'CM1 &amp; CM2 Metrics'!$C24/'CM1 &amp; CM2 Metrics'!$B24</f>
        <v>0</v>
      </c>
      <c r="H24" s="67">
        <f>'CM1 &amp; CM2 Metrics'!$E24/'CM1 &amp; CM2 Metrics'!$D24</f>
        <v>0.2</v>
      </c>
      <c r="I24" s="67">
        <f>'CM1 &amp; CM2 Metrics'!$F24/'CM1 &amp; CM2 Metrics'!$D24</f>
        <v>0.8</v>
      </c>
      <c r="J24" s="65"/>
    </row>
    <row r="25" ht="14.25" customHeight="1">
      <c r="A25" s="72"/>
      <c r="B25" s="73">
        <f>SUBTOTAL(109,'CM1 &amp; CM2 Metrics'!$B$15:$B$24)</f>
        <v>326</v>
      </c>
      <c r="C25" s="73">
        <f>SUBTOTAL(109,'CM1 &amp; CM2 Metrics'!$C$15:$C$24)</f>
        <v>20</v>
      </c>
      <c r="D25" s="73">
        <f>SUBTOTAL(109,'CM1 &amp; CM2 Metrics'!$D$15:$D$24)</f>
        <v>306</v>
      </c>
      <c r="E25" s="73">
        <f>SUBTOTAL(109,'CM1 &amp; CM2 Metrics'!$E$15:$E$24)</f>
        <v>59</v>
      </c>
      <c r="F25" s="73">
        <f>SUBTOTAL(109,'CM1 &amp; CM2 Metrics'!$F$15:$F$24)</f>
        <v>247</v>
      </c>
      <c r="G25" s="74">
        <f>'CM1 &amp; CM2 Metrics'!$C$25/'CM1 &amp; CM2 Metrics'!$B$25</f>
        <v>0.06134969325</v>
      </c>
      <c r="H25" s="74">
        <f>'CM1 &amp; CM2 Metrics'!$E$25/'CM1 &amp; CM2 Metrics'!$D$25</f>
        <v>0.1928104575</v>
      </c>
      <c r="I25" s="74">
        <f>'CM1 &amp; CM2 Metrics'!$F$25/'CM1 &amp; CM2 Metrics'!$D$25</f>
        <v>0.8071895425</v>
      </c>
      <c r="J25" s="7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4:F4"/>
    <mergeCell ref="E13:F1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2024-08-09T07:20:44Z</dcterms:created>
  <dc:creator>USER</dc:creator>
</cp:coreProperties>
</file>