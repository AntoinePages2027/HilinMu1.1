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2" sheetId="1" r:id="rId4"/>
    <sheet state="visible" name="CM1" sheetId="2" r:id="rId5"/>
    <sheet state="visible" name="Situation au college" sheetId="3" r:id="rId6"/>
  </sheets>
  <definedNames/>
  <calcPr/>
  <extLst>
    <ext uri="GoogleSheetsCustomDataVersion2">
      <go:sheetsCustomData xmlns:go="http://customooxmlschemas.google.com/" r:id="rId7" roundtripDataChecksum="rBVTPxjujsRx3RngFRarl5Fc2dYPdp1h/o+H9zIRqso="/>
    </ext>
  </extLst>
</workbook>
</file>

<file path=xl/sharedStrings.xml><?xml version="1.0" encoding="utf-8"?>
<sst xmlns="http://schemas.openxmlformats.org/spreadsheetml/2006/main" count="764" uniqueCount="252">
  <si>
    <t>Colonne1</t>
  </si>
  <si>
    <t>Colonne2</t>
  </si>
  <si>
    <t>Colonne3</t>
  </si>
  <si>
    <t>Colonne4</t>
  </si>
  <si>
    <t>Colonne5</t>
  </si>
  <si>
    <t>Colonne6</t>
  </si>
  <si>
    <t>Colonne7</t>
  </si>
  <si>
    <t>Etablissement</t>
  </si>
  <si>
    <t xml:space="preserve">PRENOMS ET NOMS  </t>
  </si>
  <si>
    <t xml:space="preserve">Dates   et   Lieu de Naissances </t>
  </si>
  <si>
    <t>1er trim</t>
  </si>
  <si>
    <t>2eme trim</t>
  </si>
  <si>
    <t>moy CFEPD</t>
  </si>
  <si>
    <t>Situations FINALES</t>
  </si>
  <si>
    <t>Nombre réussite au CFEPD</t>
  </si>
  <si>
    <t>Soumarana</t>
  </si>
  <si>
    <t>Nazifa Maâzou</t>
  </si>
  <si>
    <t>01/01/2012 à Soumarana</t>
  </si>
  <si>
    <t>Orientée CFM</t>
  </si>
  <si>
    <t>Souéba Salissou</t>
  </si>
  <si>
    <t>31/12/2011 à Soumarana</t>
  </si>
  <si>
    <t>Mariama Mati</t>
  </si>
  <si>
    <t>Nana Firdaoussi sani</t>
  </si>
  <si>
    <t>Orientée CEG</t>
  </si>
  <si>
    <t>Nana Kadidja Inoussa</t>
  </si>
  <si>
    <t>26/01/2012 à Soumarana</t>
  </si>
  <si>
    <t>Zaliya Garba</t>
  </si>
  <si>
    <t>Baria Idrissa</t>
  </si>
  <si>
    <t>Kadidja Rabiou</t>
  </si>
  <si>
    <t>Nana Mariama Laouali</t>
  </si>
  <si>
    <t>Mardiya Issoufou</t>
  </si>
  <si>
    <t>Nazifa Salifou</t>
  </si>
  <si>
    <t>01/01/2011 à Soumarana</t>
  </si>
  <si>
    <t>Malika Kassoum</t>
  </si>
  <si>
    <t>Nadia Abdoulkarim</t>
  </si>
  <si>
    <t>Nana Moufida Zaneidou</t>
  </si>
  <si>
    <t>17/09/2011 à Dan Mazadou</t>
  </si>
  <si>
    <t>Fatchima Yahaya</t>
  </si>
  <si>
    <t>03/01/2012 à Soumarana</t>
  </si>
  <si>
    <t>Mouhousna Mati</t>
  </si>
  <si>
    <t>Zakiya Mati</t>
  </si>
  <si>
    <t>Kadidja Ila</t>
  </si>
  <si>
    <t>Redouble</t>
  </si>
  <si>
    <t>Chapia Rabé</t>
  </si>
  <si>
    <t>Exclue pour Abandon</t>
  </si>
  <si>
    <t>Kadidja Abdou</t>
  </si>
  <si>
    <t>Najaâtou Kabirou</t>
  </si>
  <si>
    <t>Zouéra Issa</t>
  </si>
  <si>
    <t>31/12/2012 à Soumarana</t>
  </si>
  <si>
    <t>Hadiza Salissou</t>
  </si>
  <si>
    <t>Nana Firdaoussi Sadda</t>
  </si>
  <si>
    <t>Ecole Kankare Safo</t>
  </si>
  <si>
    <t>Kankaren Safo</t>
  </si>
  <si>
    <t>Oubeida</t>
  </si>
  <si>
    <t>01/01/2010 à Kankaré</t>
  </si>
  <si>
    <t xml:space="preserve"> Orientée   CEG </t>
  </si>
  <si>
    <t>Oubeida Roufai</t>
  </si>
  <si>
    <t>05/01/2010 à Kankaré</t>
  </si>
  <si>
    <t>Sabila Mah.Salissou</t>
  </si>
  <si>
    <t>08/01/2010 à Kankaré</t>
  </si>
  <si>
    <t xml:space="preserve">Rachida Maliki </t>
  </si>
  <si>
    <t>09/01/2010 à Kankaré</t>
  </si>
  <si>
    <t>Nafissa Ousseini</t>
  </si>
  <si>
    <t>10/01/2010 à Kankaré</t>
  </si>
  <si>
    <t>Chamsia Malaki</t>
  </si>
  <si>
    <t>11/01/2010 à Kankaré</t>
  </si>
  <si>
    <t>Zainabou Saminou</t>
  </si>
  <si>
    <t>12/01/2010 à Kankaré</t>
  </si>
  <si>
    <t>Ecole Gade</t>
  </si>
  <si>
    <t>Gadé</t>
  </si>
  <si>
    <t>Azima habibou</t>
  </si>
  <si>
    <t>01/01/2011 à Gadé</t>
  </si>
  <si>
    <t>Balkissa Mahamadou</t>
  </si>
  <si>
    <t>Chaawa Garba</t>
  </si>
  <si>
    <t>Firdaoussi Issoufou</t>
  </si>
  <si>
    <t>Firdaoussi Haladou</t>
  </si>
  <si>
    <t>Kadidja Ibrahim</t>
  </si>
  <si>
    <t>Maimouna Garba</t>
  </si>
  <si>
    <t>Naima Issaka</t>
  </si>
  <si>
    <t>Rachida Hamidou</t>
  </si>
  <si>
    <t>Rahila Moussa</t>
  </si>
  <si>
    <t>Zaharaou Inoussa</t>
  </si>
  <si>
    <t>Balkissa Laouali</t>
  </si>
  <si>
    <t>01/01/2010 à Gadé</t>
  </si>
  <si>
    <t>Proposée CFM</t>
  </si>
  <si>
    <t>Bassira Issaka</t>
  </si>
  <si>
    <t>Bichiranatou Issaka</t>
  </si>
  <si>
    <t>Kalila Aminou</t>
  </si>
  <si>
    <t>Zaharaou Moutari</t>
  </si>
  <si>
    <t>Ecole Kagara</t>
  </si>
  <si>
    <t>Kagara</t>
  </si>
  <si>
    <t>Abida Haladou</t>
  </si>
  <si>
    <t>01/01/2010 à Kagara</t>
  </si>
  <si>
    <t>Aicha Samaila</t>
  </si>
  <si>
    <t>08/11/2009 à Kagara</t>
  </si>
  <si>
    <t>Aicha Mourtala</t>
  </si>
  <si>
    <t>Azima Oumarou</t>
  </si>
  <si>
    <t>Chappa Haro</t>
  </si>
  <si>
    <t>Faiza Aboubacar</t>
  </si>
  <si>
    <t>04/07/2011 à Kagara</t>
  </si>
  <si>
    <t>Faiza Chaibou</t>
  </si>
  <si>
    <t>Habibatou Garba</t>
  </si>
  <si>
    <t>Hassana Chapii</t>
  </si>
  <si>
    <t>01/01/2011 à Kagara</t>
  </si>
  <si>
    <t>Mariama Halilou</t>
  </si>
  <si>
    <t>Mariyama Sani</t>
  </si>
  <si>
    <t>10/02/2010 à Kagara</t>
  </si>
  <si>
    <t>Nana Farida Manirou</t>
  </si>
  <si>
    <t>03/03/2010 à Kagara</t>
  </si>
  <si>
    <t>Nawaratou Adamou</t>
  </si>
  <si>
    <t>Oumma Moutari</t>
  </si>
  <si>
    <t>01/01/2013 à Kagara</t>
  </si>
  <si>
    <t>Rabi Ousmane</t>
  </si>
  <si>
    <t>10/10/2011 à Kagara</t>
  </si>
  <si>
    <t>Saratou Ibrahim</t>
  </si>
  <si>
    <t>01/08/2010 à Kagara</t>
  </si>
  <si>
    <t>Zeinabou Moussa</t>
  </si>
  <si>
    <t>Chamsia Tsalha</t>
  </si>
  <si>
    <t>Hawaou Yahaya</t>
  </si>
  <si>
    <t>Mouchtahida Illa</t>
  </si>
  <si>
    <t>Nana Amira Ali</t>
  </si>
  <si>
    <t>27/03/2009 à Kagara</t>
  </si>
  <si>
    <t>Nijaâtou Hamissou</t>
  </si>
  <si>
    <t>01/07/2008 à Kagara</t>
  </si>
  <si>
    <t>Roumaissaou Hamissou</t>
  </si>
  <si>
    <t>Taux de réussite au CFEPD  filles controles Safo</t>
  </si>
  <si>
    <t>Nombre de réussite au CFEPD</t>
  </si>
  <si>
    <t>Nombre inscrits pour passer l'examen du CFEPD</t>
  </si>
  <si>
    <t>Commune</t>
  </si>
  <si>
    <t>Nom d'ecole</t>
  </si>
  <si>
    <t>prenoms &amp; noms</t>
  </si>
  <si>
    <t>Int/Controle</t>
  </si>
  <si>
    <t>Moyenne</t>
  </si>
  <si>
    <t>Situation Finale</t>
  </si>
  <si>
    <t>Sexe</t>
  </si>
  <si>
    <t>Annuelle</t>
  </si>
  <si>
    <t>SOUMARANA</t>
  </si>
  <si>
    <t>Amira Noura</t>
  </si>
  <si>
    <t>F</t>
  </si>
  <si>
    <t>Passe au CM2</t>
  </si>
  <si>
    <t>Baraka  Issaka</t>
  </si>
  <si>
    <t>Choukouria Kabirou</t>
  </si>
  <si>
    <t>redouble</t>
  </si>
  <si>
    <t>Charifa Salissou</t>
  </si>
  <si>
    <t>Mafida Moutari</t>
  </si>
  <si>
    <t>Nana Mariama Maazou</t>
  </si>
  <si>
    <t>Nana Israou Adamou</t>
  </si>
  <si>
    <t>Nabila Soulemane</t>
  </si>
  <si>
    <t>Saadiya  Harouna</t>
  </si>
  <si>
    <t>Saida  Inoussa</t>
  </si>
  <si>
    <t>Soumaya Sabiou</t>
  </si>
  <si>
    <t>Zaharaou  Rabé</t>
  </si>
  <si>
    <t>Aicha Yahaya</t>
  </si>
  <si>
    <t>Binta  Adamou</t>
  </si>
  <si>
    <t>Charifa Ousman Sani</t>
  </si>
  <si>
    <t>Farida Sabiou</t>
  </si>
  <si>
    <t>Farida Ali</t>
  </si>
  <si>
    <t>Fatchima Abdoul Karim</t>
  </si>
  <si>
    <t>Malika Noura     Bako</t>
  </si>
  <si>
    <t>Mouhoussina Laminou</t>
  </si>
  <si>
    <t>Nadiya Ali</t>
  </si>
  <si>
    <t>Nana Firdaoussi Yahaya</t>
  </si>
  <si>
    <t>Nana Khadija Ousman</t>
  </si>
  <si>
    <t>Nana Mariama Issoufou</t>
  </si>
  <si>
    <t>Nana Malika Adamou</t>
  </si>
  <si>
    <t>Zeinab Larwanou</t>
  </si>
  <si>
    <t>Nana Bassira Daouda</t>
  </si>
  <si>
    <t>Rafia Issoufou</t>
  </si>
  <si>
    <t>Houréra Tsalha</t>
  </si>
  <si>
    <t>Nafissa Tsahirou</t>
  </si>
  <si>
    <t>KANKARAN  Safo</t>
  </si>
  <si>
    <t>Farida  Sani</t>
  </si>
  <si>
    <t>Ralia Sani</t>
  </si>
  <si>
    <t>Zaharaou Saminou</t>
  </si>
  <si>
    <t>Sarai Iro</t>
  </si>
  <si>
    <t>Moumouna  Issaka</t>
  </si>
  <si>
    <t>Oumma Binia</t>
  </si>
  <si>
    <t>Zaharaou Issaka</t>
  </si>
  <si>
    <t>Rayya Saminou</t>
  </si>
  <si>
    <t>Aziza  Tsalha</t>
  </si>
  <si>
    <t>Saratou Rabé</t>
  </si>
  <si>
    <t>Nadiya Saidou</t>
  </si>
  <si>
    <t>Halimatou Halilou</t>
  </si>
  <si>
    <t>Laria Sanoussi</t>
  </si>
  <si>
    <r>
      <rPr>
        <rFont val="Calibri"/>
        <color theme="1"/>
        <sz val="11.0"/>
      </rPr>
      <t>Redouble</t>
    </r>
    <r>
      <rPr>
        <rFont val="Calibri"/>
        <color theme="1"/>
        <sz val="8.0"/>
      </rPr>
      <t xml:space="preserve"> le</t>
    </r>
    <r>
      <rPr>
        <rFont val="Calibri"/>
        <color theme="1"/>
        <sz val="11.0"/>
      </rPr>
      <t xml:space="preserve"> CM1</t>
    </r>
  </si>
  <si>
    <t>Badaria Hamza</t>
  </si>
  <si>
    <r>
      <rPr>
        <rFont val="Calibri"/>
        <color theme="1"/>
        <sz val="11.0"/>
      </rPr>
      <t xml:space="preserve">Redouble </t>
    </r>
    <r>
      <rPr>
        <rFont val="Calibri"/>
        <color theme="1"/>
        <sz val="8.0"/>
      </rPr>
      <t>le</t>
    </r>
    <r>
      <rPr>
        <rFont val="Calibri"/>
        <color theme="1"/>
        <sz val="11.0"/>
      </rPr>
      <t xml:space="preserve"> CM1</t>
    </r>
  </si>
  <si>
    <t>Samira Chitou</t>
  </si>
  <si>
    <r>
      <rPr>
        <rFont val="Calibri"/>
        <color theme="1"/>
        <sz val="11.0"/>
      </rPr>
      <t xml:space="preserve">Redouble </t>
    </r>
    <r>
      <rPr>
        <rFont val="Calibri"/>
        <color theme="1"/>
        <sz val="8.0"/>
      </rPr>
      <t>le</t>
    </r>
    <r>
      <rPr>
        <rFont val="Calibri"/>
        <color theme="1"/>
        <sz val="11.0"/>
      </rPr>
      <t xml:space="preserve"> CM1</t>
    </r>
  </si>
  <si>
    <t>Yasmina Yaou</t>
  </si>
  <si>
    <r>
      <rPr>
        <rFont val="Calibri"/>
        <color theme="1"/>
        <sz val="11.0"/>
      </rPr>
      <t xml:space="preserve">Redouble </t>
    </r>
    <r>
      <rPr>
        <rFont val="Calibri"/>
        <color theme="1"/>
        <sz val="8.0"/>
      </rPr>
      <t>le</t>
    </r>
    <r>
      <rPr>
        <rFont val="Calibri"/>
        <color theme="1"/>
        <sz val="11.0"/>
      </rPr>
      <t xml:space="preserve"> CM1</t>
    </r>
  </si>
  <si>
    <t>Samira Sanoussi</t>
  </si>
  <si>
    <r>
      <rPr>
        <rFont val="Calibri"/>
        <color theme="1"/>
        <sz val="11.0"/>
      </rPr>
      <t xml:space="preserve">Redouble </t>
    </r>
    <r>
      <rPr>
        <rFont val="Calibri"/>
        <color theme="1"/>
        <sz val="8.0"/>
      </rPr>
      <t>le</t>
    </r>
    <r>
      <rPr>
        <rFont val="Calibri"/>
        <color theme="1"/>
        <sz val="11.0"/>
      </rPr>
      <t xml:space="preserve"> CM1</t>
    </r>
  </si>
  <si>
    <t>khadija Sadda</t>
  </si>
  <si>
    <r>
      <rPr>
        <rFont val="Calibri"/>
        <color theme="1"/>
        <sz val="11.0"/>
      </rPr>
      <t xml:space="preserve">Exclue </t>
    </r>
    <r>
      <rPr>
        <rFont val="Calibri"/>
        <color theme="1"/>
        <sz val="8.0"/>
      </rPr>
      <t>pour</t>
    </r>
    <r>
      <rPr>
        <rFont val="Calibri"/>
        <color theme="1"/>
        <sz val="11.0"/>
      </rPr>
      <t xml:space="preserve"> abandon</t>
    </r>
  </si>
  <si>
    <t>KAGARA</t>
  </si>
  <si>
    <t>Zainabou  Sani</t>
  </si>
  <si>
    <t>Farida Abdou</t>
  </si>
  <si>
    <t>Aicha Mayya</t>
  </si>
  <si>
    <t>Mariama Samaila</t>
  </si>
  <si>
    <t>Farida Ousmane</t>
  </si>
  <si>
    <t>Salamatou Tassiou</t>
  </si>
  <si>
    <t>Khadija Saidou</t>
  </si>
  <si>
    <t>Fatima Sayabou</t>
  </si>
  <si>
    <t>Ramlatou Issoufou</t>
  </si>
  <si>
    <t>Mouhousina Issa</t>
  </si>
  <si>
    <t>Aminatou Mourtala</t>
  </si>
  <si>
    <t>Habibatou Souley</t>
  </si>
  <si>
    <t>Roukaya Chapii</t>
  </si>
  <si>
    <t>Hadiza  Moussa</t>
  </si>
  <si>
    <t>Rahila  Aminou</t>
  </si>
  <si>
    <t>Oumma Hamissou</t>
  </si>
  <si>
    <t>GADE</t>
  </si>
  <si>
    <t>Bassira Hamidou</t>
  </si>
  <si>
    <t>Chémaou Aboubacar</t>
  </si>
  <si>
    <t>Hanatou Rabé</t>
  </si>
  <si>
    <t>Jawaria Kalla</t>
  </si>
  <si>
    <t>Moudjahida Hamidou</t>
  </si>
  <si>
    <t>Nana Aziza Sani</t>
  </si>
  <si>
    <t>Rahila Laouali</t>
  </si>
  <si>
    <t>Rayya Hamissou</t>
  </si>
  <si>
    <t>Situation d'inscription ecole secondaire</t>
  </si>
  <si>
    <t>Inscrites</t>
  </si>
  <si>
    <t>Presentes</t>
  </si>
  <si>
    <t>Transferer</t>
  </si>
  <si>
    <t>Aabandonner</t>
  </si>
  <si>
    <t>Inscrite</t>
  </si>
  <si>
    <t>Présente</t>
  </si>
  <si>
    <t>?</t>
  </si>
  <si>
    <t>Aabandon</t>
  </si>
  <si>
    <t>Abandon</t>
  </si>
  <si>
    <t>Presente</t>
  </si>
  <si>
    <t>Transferée</t>
  </si>
  <si>
    <t>TAUX D"INSCRIPTION  au sécondaire Safo/controle</t>
  </si>
  <si>
    <t>Numerateur:</t>
  </si>
  <si>
    <t>toutes les filles inscrites et presentes dans CEG/l'ecole secondaire</t>
  </si>
  <si>
    <t>demoninateur:</t>
  </si>
  <si>
    <t>toutes les filles admises a l'examen de CFEPD</t>
  </si>
  <si>
    <t xml:space="preserve">Taux d'abandon </t>
  </si>
  <si>
    <t>Nombre d'abandon</t>
  </si>
  <si>
    <t>commune</t>
  </si>
  <si>
    <t>nombre de filles presentees pour CFEPD</t>
  </si>
  <si>
    <t>nombre de filles reussi l'examen</t>
  </si>
  <si>
    <t>pourcentage reussi (taux de reussite)</t>
  </si>
  <si>
    <t>nombre inscrites CEG</t>
  </si>
  <si>
    <t>pourcentage de filles inscrites au secondaire (taux de transition)</t>
  </si>
  <si>
    <t>Taux d'abandon</t>
  </si>
  <si>
    <t>Djirataoua</t>
  </si>
  <si>
    <t>Safo</t>
  </si>
  <si>
    <t>Sae saboua</t>
  </si>
  <si>
    <t>Tibiri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</si>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</sst>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1.0"/>
      <color theme="1"/>
      <name val="Calibri"/>
      <scheme val="minor"/>
    </font>
    <font>
      <b/>
      <sz val="9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8.0"/>
      <color rgb="FF00B050"/>
      <name val="Calibri"/>
    </font>
    <font>
      <sz val="10.0"/>
      <color rgb="FF000000"/>
      <name val="Calibri"/>
    </font>
    <font/>
    <font>
      <sz val="9.0"/>
      <color theme="1"/>
      <name val="Calibri"/>
    </font>
    <font>
      <b/>
      <sz val="9.0"/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4" fillId="0" fontId="2" numFmtId="0" xfId="0" applyAlignment="1" applyBorder="1" applyFont="1">
      <alignment horizontal="left"/>
    </xf>
    <xf borderId="4" fillId="0" fontId="5" numFmtId="0" xfId="0" applyBorder="1" applyFont="1"/>
    <xf borderId="6" fillId="0" fontId="5" numFmtId="0" xfId="0" applyBorder="1" applyFont="1"/>
    <xf borderId="4" fillId="0" fontId="2" numFmtId="0" xfId="0" applyBorder="1" applyFont="1"/>
    <xf borderId="4" fillId="3" fontId="2" numFmtId="0" xfId="0" applyBorder="1" applyFill="1" applyFont="1"/>
    <xf borderId="1" fillId="0" fontId="2" numFmtId="0" xfId="0" applyAlignment="1" applyBorder="1" applyFont="1">
      <alignment horizontal="left"/>
    </xf>
    <xf borderId="1" fillId="0" fontId="5" numFmtId="0" xfId="0" applyBorder="1" applyFont="1"/>
    <xf borderId="1" fillId="0" fontId="2" numFmtId="0" xfId="0" applyBorder="1" applyFont="1"/>
    <xf borderId="0" fillId="0" fontId="2" numFmtId="2" xfId="0" applyAlignment="1" applyFont="1" applyNumberFormat="1">
      <alignment horizontal="right" vertical="center"/>
    </xf>
    <xf borderId="2" fillId="3" fontId="2" numFmtId="0" xfId="0" applyBorder="1" applyFont="1"/>
    <xf borderId="0" fillId="0" fontId="2" numFmtId="2" xfId="0" applyAlignment="1" applyFont="1" applyNumberFormat="1">
      <alignment vertical="center"/>
    </xf>
    <xf borderId="3" fillId="0" fontId="2" numFmtId="0" xfId="0" applyBorder="1" applyFont="1"/>
    <xf borderId="4" fillId="3" fontId="5" numFmtId="0" xfId="0" applyBorder="1" applyFont="1"/>
    <xf borderId="7" fillId="0" fontId="5" numFmtId="0" xfId="0" applyBorder="1" applyFont="1"/>
    <xf borderId="8" fillId="4" fontId="6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left"/>
    </xf>
    <xf borderId="9" fillId="0" fontId="5" numFmtId="0" xfId="0" applyBorder="1" applyFont="1"/>
    <xf borderId="4" fillId="5" fontId="5" numFmtId="14" xfId="0" applyBorder="1" applyFill="1" applyFont="1" applyNumberFormat="1"/>
    <xf borderId="4" fillId="5" fontId="5" numFmtId="0" xfId="0" applyBorder="1" applyFont="1"/>
    <xf borderId="4" fillId="5" fontId="5" numFmtId="2" xfId="0" applyBorder="1" applyFont="1" applyNumberFormat="1"/>
    <xf borderId="4" fillId="0" fontId="7" numFmtId="0" xfId="0" applyBorder="1" applyFont="1"/>
    <xf borderId="4" fillId="5" fontId="5" numFmtId="14" xfId="0" applyAlignment="1" applyBorder="1" applyFont="1" applyNumberFormat="1">
      <alignment horizontal="left"/>
    </xf>
    <xf borderId="4" fillId="5" fontId="2" numFmtId="0" xfId="0" applyBorder="1" applyFont="1"/>
    <xf borderId="4" fillId="5" fontId="5" numFmtId="2" xfId="0" applyAlignment="1" applyBorder="1" applyFont="1" applyNumberFormat="1">
      <alignment horizontal="center" vertical="center"/>
    </xf>
    <xf borderId="4" fillId="0" fontId="8" numFmtId="0" xfId="0" applyBorder="1" applyFont="1"/>
    <xf borderId="10" fillId="4" fontId="6" numFmtId="0" xfId="0" applyAlignment="1" applyBorder="1" applyFont="1">
      <alignment horizontal="center"/>
    </xf>
    <xf borderId="11" fillId="4" fontId="6" numFmtId="0" xfId="0" applyAlignment="1" applyBorder="1" applyFont="1">
      <alignment horizontal="center"/>
    </xf>
    <xf borderId="5" fillId="0" fontId="5" numFmtId="0" xfId="0" applyBorder="1" applyFont="1"/>
    <xf borderId="12" fillId="5" fontId="5" numFmtId="14" xfId="0" applyAlignment="1" applyBorder="1" applyFont="1" applyNumberFormat="1">
      <alignment horizontal="left"/>
    </xf>
    <xf borderId="12" fillId="5" fontId="5" numFmtId="0" xfId="0" applyBorder="1" applyFont="1"/>
    <xf borderId="12" fillId="5" fontId="5" numFmtId="2" xfId="0" applyAlignment="1" applyBorder="1" applyFont="1" applyNumberFormat="1">
      <alignment horizontal="center" vertical="center"/>
    </xf>
    <xf borderId="5" fillId="0" fontId="2" numFmtId="0" xfId="0" applyBorder="1" applyFont="1"/>
    <xf borderId="0" fillId="0" fontId="4" numFmtId="10" xfId="0" applyFont="1" applyNumberFormat="1"/>
    <xf borderId="5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 vertical="center"/>
    </xf>
    <xf borderId="5" fillId="4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3" fillId="0" fontId="9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3" fillId="0" fontId="2" numFmtId="0" xfId="0" applyBorder="1" applyFont="1"/>
    <xf borderId="1" fillId="0" fontId="2" numFmtId="2" xfId="0" applyBorder="1" applyFont="1" applyNumberFormat="1"/>
    <xf borderId="7" fillId="0" fontId="2" numFmtId="0" xfId="0" applyBorder="1" applyFont="1"/>
    <xf borderId="14" fillId="0" fontId="2" numFmtId="0" xfId="0" applyBorder="1" applyFont="1"/>
    <xf borderId="4" fillId="0" fontId="2" numFmtId="2" xfId="0" applyBorder="1" applyFont="1" applyNumberFormat="1"/>
    <xf borderId="9" fillId="0" fontId="2" numFmtId="0" xfId="0" applyBorder="1" applyFont="1"/>
    <xf borderId="15" fillId="0" fontId="2" numFmtId="0" xfId="0" applyBorder="1" applyFont="1"/>
    <xf borderId="14" fillId="0" fontId="10" numFmtId="0" xfId="0" applyBorder="1" applyFont="1"/>
    <xf borderId="16" fillId="0" fontId="10" numFmtId="0" xfId="0" applyBorder="1" applyFont="1"/>
    <xf borderId="17" fillId="0" fontId="2" numFmtId="0" xfId="0" applyBorder="1" applyFont="1"/>
    <xf borderId="7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8" fillId="3" fontId="2" numFmtId="0" xfId="0" applyBorder="1" applyFont="1"/>
    <xf borderId="14" fillId="0" fontId="2" numFmtId="0" xfId="0" applyBorder="1" applyFont="1"/>
    <xf borderId="4" fillId="0" fontId="2" numFmtId="0" xfId="0" applyBorder="1" applyFont="1"/>
    <xf borderId="9" fillId="0" fontId="2" numFmtId="0" xfId="0" applyBorder="1" applyFont="1"/>
    <xf borderId="0" fillId="0" fontId="2" numFmtId="0" xfId="0" applyFont="1"/>
    <xf borderId="0" fillId="0" fontId="2" numFmtId="0" xfId="0" applyFont="1"/>
    <xf borderId="10" fillId="3" fontId="2" numFmtId="0" xfId="0" applyBorder="1" applyFont="1"/>
    <xf borderId="1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9" fillId="0" fontId="7" numFmtId="0" xfId="0" applyBorder="1" applyFont="1"/>
    <xf borderId="4" fillId="5" fontId="5" numFmtId="2" xfId="0" applyAlignment="1" applyBorder="1" applyFont="1" applyNumberFormat="1">
      <alignment horizontal="right" vertical="center"/>
    </xf>
    <xf borderId="8" fillId="4" fontId="6" numFmtId="0" xfId="0" applyAlignment="1" applyBorder="1" applyFont="1">
      <alignment horizontal="right"/>
    </xf>
    <xf borderId="0" fillId="0" fontId="2" numFmtId="0" xfId="0" applyAlignment="1" applyFont="1">
      <alignment readingOrder="0"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2" fontId="11" numFmtId="0" xfId="0" applyAlignment="1" applyFont="1">
      <alignment readingOrder="0"/>
    </xf>
    <xf borderId="0" fillId="0" fontId="4" numFmtId="9" xfId="0" applyAlignment="1" applyFont="1" applyNumberFormat="1">
      <alignment shrinkToFit="0" wrapText="1"/>
    </xf>
    <xf borderId="0" fillId="0" fontId="4" numFmtId="164" xfId="0" applyFont="1" applyNumberFormat="1"/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10" xfId="0" applyFont="1" applyNumberFormat="1"/>
    <xf borderId="0" fillId="0" fontId="12" numFmtId="9" xfId="0" applyAlignment="1" applyFont="1" applyNumberFormat="1">
      <alignment shrinkToFit="0" wrapText="1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ituation au colleg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3:N2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ituation au colle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57"/>
    <col customWidth="1" min="3" max="3" width="25.14"/>
    <col customWidth="1" min="4" max="6" width="10.71"/>
    <col customWidth="1" min="7" max="7" width="18.71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  <c r="B5" s="2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5" t="s">
        <v>6</v>
      </c>
    </row>
    <row r="6" ht="14.25" customHeight="1">
      <c r="A6" s="6" t="s">
        <v>7</v>
      </c>
      <c r="B6" s="7" t="s">
        <v>8</v>
      </c>
      <c r="C6" s="8" t="s">
        <v>9</v>
      </c>
      <c r="D6" s="9" t="s">
        <v>10</v>
      </c>
      <c r="E6" s="9" t="s">
        <v>11</v>
      </c>
      <c r="F6" s="9" t="s">
        <v>12</v>
      </c>
      <c r="G6" s="10" t="s">
        <v>13</v>
      </c>
      <c r="I6" s="11" t="s">
        <v>14</v>
      </c>
    </row>
    <row r="7" ht="14.25" customHeight="1">
      <c r="A7" s="12" t="s">
        <v>15</v>
      </c>
      <c r="B7" s="13" t="s">
        <v>16</v>
      </c>
      <c r="C7" s="14" t="s">
        <v>17</v>
      </c>
      <c r="D7" s="15">
        <v>5.94</v>
      </c>
      <c r="E7" s="15">
        <v>5.7</v>
      </c>
      <c r="F7" s="15">
        <v>2.2</v>
      </c>
      <c r="G7" s="16" t="s">
        <v>18</v>
      </c>
    </row>
    <row r="8" ht="14.25" customHeight="1">
      <c r="A8" s="12" t="s">
        <v>15</v>
      </c>
      <c r="B8" s="13" t="s">
        <v>19</v>
      </c>
      <c r="C8" s="14" t="s">
        <v>20</v>
      </c>
      <c r="D8" s="15">
        <v>5.52</v>
      </c>
      <c r="E8" s="15">
        <v>5.76</v>
      </c>
      <c r="F8" s="15">
        <v>2.18</v>
      </c>
      <c r="G8" s="16" t="s">
        <v>18</v>
      </c>
    </row>
    <row r="9" ht="14.25" customHeight="1">
      <c r="A9" s="12" t="s">
        <v>15</v>
      </c>
      <c r="B9" s="13" t="s">
        <v>21</v>
      </c>
      <c r="C9" s="14" t="s">
        <v>20</v>
      </c>
      <c r="D9" s="15">
        <v>4.61</v>
      </c>
      <c r="E9" s="15">
        <v>5.08</v>
      </c>
      <c r="F9" s="15">
        <v>2.04</v>
      </c>
      <c r="G9" s="16" t="s">
        <v>18</v>
      </c>
    </row>
    <row r="10" ht="14.25" customHeight="1">
      <c r="A10" s="17" t="s">
        <v>15</v>
      </c>
      <c r="B10" s="18" t="s">
        <v>22</v>
      </c>
      <c r="C10" s="14" t="s">
        <v>20</v>
      </c>
      <c r="D10" s="19">
        <v>8.67</v>
      </c>
      <c r="E10" s="19">
        <v>7.61</v>
      </c>
      <c r="F10" s="20">
        <v>7.36</v>
      </c>
      <c r="G10" s="21" t="s">
        <v>23</v>
      </c>
      <c r="I10" s="11">
        <v>1.0</v>
      </c>
    </row>
    <row r="11" ht="14.25" customHeight="1">
      <c r="A11" s="12" t="s">
        <v>15</v>
      </c>
      <c r="B11" s="13" t="s">
        <v>24</v>
      </c>
      <c r="C11" s="14" t="s">
        <v>25</v>
      </c>
      <c r="D11" s="15">
        <v>8.41</v>
      </c>
      <c r="E11" s="15">
        <v>8.08</v>
      </c>
      <c r="F11" s="22">
        <v>6.86</v>
      </c>
      <c r="G11" s="16" t="s">
        <v>23</v>
      </c>
      <c r="I11" s="11">
        <v>2.0</v>
      </c>
    </row>
    <row r="12" ht="14.25" customHeight="1">
      <c r="A12" s="12" t="s">
        <v>15</v>
      </c>
      <c r="B12" s="13" t="s">
        <v>26</v>
      </c>
      <c r="C12" s="14" t="s">
        <v>17</v>
      </c>
      <c r="D12" s="15">
        <v>6.91</v>
      </c>
      <c r="E12" s="23">
        <v>5.95</v>
      </c>
      <c r="F12" s="22">
        <v>6.7</v>
      </c>
      <c r="G12" s="16" t="s">
        <v>23</v>
      </c>
      <c r="I12" s="11">
        <v>3.0</v>
      </c>
    </row>
    <row r="13" ht="14.25" customHeight="1">
      <c r="A13" s="12" t="s">
        <v>15</v>
      </c>
      <c r="B13" s="13" t="s">
        <v>27</v>
      </c>
      <c r="C13" s="14" t="s">
        <v>20</v>
      </c>
      <c r="D13" s="15">
        <v>6.65</v>
      </c>
      <c r="E13" s="15">
        <v>5.64</v>
      </c>
      <c r="F13" s="22">
        <v>6.16</v>
      </c>
      <c r="G13" s="16" t="s">
        <v>23</v>
      </c>
      <c r="I13" s="11">
        <v>4.0</v>
      </c>
    </row>
    <row r="14" ht="14.25" customHeight="1">
      <c r="A14" s="12" t="s">
        <v>15</v>
      </c>
      <c r="B14" s="13" t="s">
        <v>28</v>
      </c>
      <c r="C14" s="14" t="s">
        <v>17</v>
      </c>
      <c r="D14" s="15">
        <v>8.5</v>
      </c>
      <c r="E14" s="15">
        <v>9.05</v>
      </c>
      <c r="F14" s="22">
        <v>5.74</v>
      </c>
      <c r="G14" s="16" t="s">
        <v>23</v>
      </c>
      <c r="I14" s="11">
        <v>5.0</v>
      </c>
    </row>
    <row r="15" ht="14.25" customHeight="1">
      <c r="A15" s="12" t="s">
        <v>15</v>
      </c>
      <c r="B15" s="13" t="s">
        <v>29</v>
      </c>
      <c r="C15" s="14" t="s">
        <v>17</v>
      </c>
      <c r="D15" s="15">
        <v>6.08</v>
      </c>
      <c r="E15" s="15">
        <v>5.67</v>
      </c>
      <c r="F15" s="15">
        <v>4.13</v>
      </c>
      <c r="G15" s="16" t="s">
        <v>18</v>
      </c>
    </row>
    <row r="16" ht="14.25" customHeight="1">
      <c r="A16" s="12" t="s">
        <v>15</v>
      </c>
      <c r="B16" s="13" t="s">
        <v>30</v>
      </c>
      <c r="C16" s="14" t="s">
        <v>17</v>
      </c>
      <c r="D16" s="15">
        <v>7.5</v>
      </c>
      <c r="E16" s="15">
        <v>8.88</v>
      </c>
      <c r="F16" s="15">
        <v>3.29</v>
      </c>
      <c r="G16" s="16" t="s">
        <v>18</v>
      </c>
    </row>
    <row r="17" ht="14.25" customHeight="1">
      <c r="A17" s="12" t="s">
        <v>15</v>
      </c>
      <c r="B17" s="13" t="s">
        <v>31</v>
      </c>
      <c r="C17" s="14" t="s">
        <v>32</v>
      </c>
      <c r="D17" s="15">
        <v>5.7</v>
      </c>
      <c r="E17" s="15">
        <v>5.05</v>
      </c>
      <c r="F17" s="15">
        <v>1.91</v>
      </c>
      <c r="G17" s="16" t="s">
        <v>18</v>
      </c>
    </row>
    <row r="18" ht="14.25" customHeight="1">
      <c r="A18" s="12" t="s">
        <v>15</v>
      </c>
      <c r="B18" s="13" t="s">
        <v>33</v>
      </c>
      <c r="C18" s="14" t="s">
        <v>20</v>
      </c>
      <c r="D18" s="15">
        <v>5.26</v>
      </c>
      <c r="E18" s="15">
        <v>4.5</v>
      </c>
      <c r="F18" s="15">
        <v>1.73</v>
      </c>
      <c r="G18" s="16" t="s">
        <v>18</v>
      </c>
    </row>
    <row r="19" ht="14.25" customHeight="1">
      <c r="A19" s="12" t="s">
        <v>15</v>
      </c>
      <c r="B19" s="24" t="s">
        <v>34</v>
      </c>
      <c r="C19" s="14" t="s">
        <v>17</v>
      </c>
      <c r="D19" s="15">
        <v>4.29</v>
      </c>
      <c r="E19" s="15">
        <v>2.47</v>
      </c>
      <c r="F19" s="15">
        <v>1.36</v>
      </c>
      <c r="G19" s="16" t="s">
        <v>18</v>
      </c>
    </row>
    <row r="20" ht="14.25" customHeight="1">
      <c r="A20" s="12" t="s">
        <v>15</v>
      </c>
      <c r="B20" s="13" t="s">
        <v>35</v>
      </c>
      <c r="C20" s="14" t="s">
        <v>36</v>
      </c>
      <c r="D20" s="15">
        <v>5.64</v>
      </c>
      <c r="E20" s="15">
        <v>3.73</v>
      </c>
      <c r="F20" s="15">
        <v>2.04</v>
      </c>
      <c r="G20" s="16" t="s">
        <v>18</v>
      </c>
    </row>
    <row r="21" ht="14.25" customHeight="1">
      <c r="A21" s="12" t="s">
        <v>15</v>
      </c>
      <c r="B21" s="13" t="s">
        <v>37</v>
      </c>
      <c r="C21" s="14" t="s">
        <v>38</v>
      </c>
      <c r="D21" s="16">
        <v>0.0</v>
      </c>
      <c r="E21" s="15">
        <v>5.05</v>
      </c>
      <c r="F21" s="15">
        <v>1.36</v>
      </c>
      <c r="G21" s="16" t="s">
        <v>18</v>
      </c>
    </row>
    <row r="22" ht="14.25" customHeight="1">
      <c r="A22" s="12" t="s">
        <v>15</v>
      </c>
      <c r="B22" s="13" t="s">
        <v>39</v>
      </c>
      <c r="C22" s="14" t="s">
        <v>17</v>
      </c>
      <c r="D22" s="15">
        <v>3.76</v>
      </c>
      <c r="E22" s="15">
        <v>3.97</v>
      </c>
      <c r="F22" s="15">
        <v>1.08</v>
      </c>
      <c r="G22" s="16" t="s">
        <v>18</v>
      </c>
    </row>
    <row r="23" ht="14.25" customHeight="1">
      <c r="A23" s="12" t="s">
        <v>15</v>
      </c>
      <c r="B23" s="13" t="s">
        <v>40</v>
      </c>
      <c r="C23" s="14" t="s">
        <v>17</v>
      </c>
      <c r="D23" s="15">
        <v>3.44</v>
      </c>
      <c r="E23" s="15">
        <v>4.41</v>
      </c>
      <c r="F23" s="15">
        <v>2.66</v>
      </c>
      <c r="G23" s="16" t="s">
        <v>18</v>
      </c>
    </row>
    <row r="24" ht="14.25" customHeight="1">
      <c r="A24" s="12" t="s">
        <v>15</v>
      </c>
      <c r="B24" s="13" t="s">
        <v>41</v>
      </c>
      <c r="C24" s="14" t="s">
        <v>17</v>
      </c>
      <c r="D24" s="15">
        <v>3.94</v>
      </c>
      <c r="E24" s="15">
        <v>0.0</v>
      </c>
      <c r="F24" s="15">
        <v>1.0</v>
      </c>
      <c r="G24" s="16" t="s">
        <v>42</v>
      </c>
    </row>
    <row r="25" ht="14.25" customHeight="1">
      <c r="A25" s="12" t="s">
        <v>15</v>
      </c>
      <c r="B25" s="13" t="s">
        <v>43</v>
      </c>
      <c r="C25" s="14" t="s">
        <v>17</v>
      </c>
      <c r="D25" s="15">
        <v>3.76</v>
      </c>
      <c r="E25" s="15">
        <v>3.88</v>
      </c>
      <c r="F25" s="15">
        <v>0.0</v>
      </c>
      <c r="G25" s="16" t="s">
        <v>44</v>
      </c>
    </row>
    <row r="26" ht="14.25" customHeight="1">
      <c r="A26" s="12" t="s">
        <v>15</v>
      </c>
      <c r="B26" s="13" t="s">
        <v>45</v>
      </c>
      <c r="C26" s="14" t="s">
        <v>17</v>
      </c>
      <c r="D26" s="15">
        <v>3.88</v>
      </c>
      <c r="E26" s="15">
        <v>0.0</v>
      </c>
      <c r="F26" s="15">
        <v>0.0</v>
      </c>
      <c r="G26" s="16" t="s">
        <v>44</v>
      </c>
    </row>
    <row r="27" ht="14.25" customHeight="1">
      <c r="A27" s="12" t="s">
        <v>15</v>
      </c>
      <c r="B27" s="13" t="s">
        <v>46</v>
      </c>
      <c r="C27" s="14" t="s">
        <v>17</v>
      </c>
      <c r="D27" s="15">
        <v>3.79</v>
      </c>
      <c r="E27" s="15">
        <v>0.0</v>
      </c>
      <c r="F27" s="15">
        <v>0.0</v>
      </c>
      <c r="G27" s="16" t="s">
        <v>44</v>
      </c>
    </row>
    <row r="28" ht="14.25" customHeight="1">
      <c r="A28" s="12" t="s">
        <v>15</v>
      </c>
      <c r="B28" s="13" t="s">
        <v>47</v>
      </c>
      <c r="C28" s="14" t="s">
        <v>48</v>
      </c>
      <c r="D28" s="15">
        <v>0.0</v>
      </c>
      <c r="E28" s="15">
        <v>0.0</v>
      </c>
      <c r="F28" s="15">
        <v>0.0</v>
      </c>
      <c r="G28" s="16" t="s">
        <v>44</v>
      </c>
    </row>
    <row r="29" ht="14.25" customHeight="1">
      <c r="A29" s="12" t="s">
        <v>15</v>
      </c>
      <c r="B29" s="13" t="s">
        <v>49</v>
      </c>
      <c r="C29" s="14" t="s">
        <v>20</v>
      </c>
      <c r="D29" s="15">
        <v>3.7</v>
      </c>
      <c r="E29" s="15">
        <v>4.08</v>
      </c>
      <c r="F29" s="15">
        <v>0.0</v>
      </c>
      <c r="G29" s="16" t="s">
        <v>44</v>
      </c>
    </row>
    <row r="30" ht="14.25" customHeight="1">
      <c r="A30" s="12" t="s">
        <v>15</v>
      </c>
      <c r="B30" s="13" t="s">
        <v>50</v>
      </c>
      <c r="C30" s="25" t="s">
        <v>20</v>
      </c>
      <c r="D30" s="15">
        <v>3.73</v>
      </c>
      <c r="E30" s="15">
        <v>0.0</v>
      </c>
      <c r="F30" s="15">
        <v>0.0</v>
      </c>
      <c r="G30" s="16" t="s">
        <v>44</v>
      </c>
    </row>
    <row r="31" ht="14.25" customHeight="1">
      <c r="A31" s="26" t="s">
        <v>51</v>
      </c>
      <c r="B31" s="26"/>
      <c r="C31" s="26"/>
      <c r="D31" s="26"/>
      <c r="E31" s="26"/>
      <c r="F31" s="26"/>
      <c r="G31" s="26"/>
    </row>
    <row r="32" ht="14.25" customHeight="1">
      <c r="A32" s="27" t="s">
        <v>52</v>
      </c>
      <c r="B32" s="28" t="s">
        <v>53</v>
      </c>
      <c r="C32" s="29" t="s">
        <v>54</v>
      </c>
      <c r="D32" s="30">
        <v>9.0</v>
      </c>
      <c r="E32" s="30">
        <v>7.64</v>
      </c>
      <c r="F32" s="31">
        <v>7.94</v>
      </c>
      <c r="G32" s="32" t="s">
        <v>55</v>
      </c>
      <c r="I32" s="11">
        <v>6.0</v>
      </c>
    </row>
    <row r="33" ht="14.25" customHeight="1">
      <c r="A33" s="27" t="s">
        <v>52</v>
      </c>
      <c r="B33" s="13" t="s">
        <v>56</v>
      </c>
      <c r="C33" s="33" t="s">
        <v>57</v>
      </c>
      <c r="D33" s="30">
        <v>7.6</v>
      </c>
      <c r="E33" s="30">
        <v>6.25</v>
      </c>
      <c r="F33" s="31">
        <v>6.97</v>
      </c>
      <c r="G33" s="32" t="s">
        <v>55</v>
      </c>
      <c r="I33" s="11">
        <v>7.0</v>
      </c>
    </row>
    <row r="34" ht="14.25" customHeight="1">
      <c r="A34" s="27" t="s">
        <v>52</v>
      </c>
      <c r="B34" s="13" t="s">
        <v>58</v>
      </c>
      <c r="C34" s="33" t="s">
        <v>59</v>
      </c>
      <c r="D34" s="30">
        <v>4.4</v>
      </c>
      <c r="E34" s="30">
        <v>4.47</v>
      </c>
      <c r="F34" s="31">
        <v>5.06</v>
      </c>
      <c r="G34" s="32" t="s">
        <v>55</v>
      </c>
      <c r="I34" s="11">
        <v>8.0</v>
      </c>
    </row>
    <row r="35" ht="14.25" customHeight="1">
      <c r="A35" s="27" t="s">
        <v>52</v>
      </c>
      <c r="B35" s="13" t="s">
        <v>60</v>
      </c>
      <c r="C35" s="33" t="s">
        <v>61</v>
      </c>
      <c r="D35" s="30">
        <v>4.4</v>
      </c>
      <c r="E35" s="30">
        <v>5.5</v>
      </c>
      <c r="F35" s="31">
        <v>4.13</v>
      </c>
      <c r="G35" s="30" t="s">
        <v>42</v>
      </c>
    </row>
    <row r="36" ht="14.25" customHeight="1">
      <c r="A36" s="27" t="s">
        <v>52</v>
      </c>
      <c r="B36" s="13" t="s">
        <v>62</v>
      </c>
      <c r="C36" s="33" t="s">
        <v>63</v>
      </c>
      <c r="D36" s="30">
        <v>3.3</v>
      </c>
      <c r="E36" s="34">
        <v>2.2</v>
      </c>
      <c r="F36" s="31">
        <v>2.8800000000000003</v>
      </c>
      <c r="G36" s="30" t="s">
        <v>42</v>
      </c>
    </row>
    <row r="37" ht="14.25" customHeight="1">
      <c r="A37" s="27" t="s">
        <v>52</v>
      </c>
      <c r="B37" s="13" t="s">
        <v>64</v>
      </c>
      <c r="C37" s="33" t="s">
        <v>65</v>
      </c>
      <c r="D37" s="30">
        <v>3.06</v>
      </c>
      <c r="E37" s="30">
        <v>0.0</v>
      </c>
      <c r="F37" s="31">
        <v>1.02</v>
      </c>
      <c r="G37" s="30" t="s">
        <v>42</v>
      </c>
    </row>
    <row r="38" ht="14.25" customHeight="1">
      <c r="A38" s="27" t="s">
        <v>52</v>
      </c>
      <c r="B38" s="13" t="s">
        <v>66</v>
      </c>
      <c r="C38" s="33" t="s">
        <v>67</v>
      </c>
      <c r="D38" s="30">
        <v>2.8</v>
      </c>
      <c r="E38" s="30">
        <v>2.52</v>
      </c>
      <c r="F38" s="31">
        <v>3.14</v>
      </c>
      <c r="G38" s="30" t="s">
        <v>42</v>
      </c>
    </row>
    <row r="39" ht="14.25" customHeight="1">
      <c r="A39" s="26" t="s">
        <v>68</v>
      </c>
      <c r="B39" s="26"/>
      <c r="C39" s="26"/>
      <c r="D39" s="26"/>
      <c r="E39" s="26"/>
      <c r="F39" s="26"/>
      <c r="G39" s="26"/>
    </row>
    <row r="40" ht="14.25" customHeight="1">
      <c r="A40" s="13" t="s">
        <v>69</v>
      </c>
      <c r="B40" s="13" t="s">
        <v>70</v>
      </c>
      <c r="C40" s="33" t="s">
        <v>71</v>
      </c>
      <c r="D40" s="30">
        <v>8.63</v>
      </c>
      <c r="E40" s="30">
        <v>9.72</v>
      </c>
      <c r="F40" s="35">
        <v>7.45</v>
      </c>
      <c r="G40" s="32" t="s">
        <v>55</v>
      </c>
      <c r="I40" s="11">
        <v>9.0</v>
      </c>
    </row>
    <row r="41" ht="14.25" customHeight="1">
      <c r="A41" s="13" t="s">
        <v>69</v>
      </c>
      <c r="B41" s="13" t="s">
        <v>72</v>
      </c>
      <c r="C41" s="33" t="s">
        <v>71</v>
      </c>
      <c r="D41" s="30">
        <v>3.36</v>
      </c>
      <c r="E41" s="30">
        <v>2.45</v>
      </c>
      <c r="F41" s="35">
        <v>3.3000000000000003</v>
      </c>
      <c r="G41" s="30" t="s">
        <v>42</v>
      </c>
    </row>
    <row r="42" ht="14.25" customHeight="1">
      <c r="A42" s="13" t="s">
        <v>69</v>
      </c>
      <c r="B42" s="13" t="s">
        <v>73</v>
      </c>
      <c r="C42" s="33" t="s">
        <v>71</v>
      </c>
      <c r="D42" s="30">
        <v>8.27</v>
      </c>
      <c r="E42" s="30">
        <v>5.72</v>
      </c>
      <c r="F42" s="35">
        <v>6.569999999999999</v>
      </c>
      <c r="G42" s="32" t="s">
        <v>55</v>
      </c>
      <c r="I42" s="11">
        <v>10.0</v>
      </c>
    </row>
    <row r="43" ht="14.25" customHeight="1">
      <c r="A43" s="13" t="s">
        <v>69</v>
      </c>
      <c r="B43" s="13" t="s">
        <v>74</v>
      </c>
      <c r="C43" s="33" t="s">
        <v>71</v>
      </c>
      <c r="D43" s="30">
        <v>8.83</v>
      </c>
      <c r="E43" s="30">
        <v>9.81</v>
      </c>
      <c r="F43" s="35">
        <v>7.09</v>
      </c>
      <c r="G43" s="32" t="s">
        <v>55</v>
      </c>
    </row>
    <row r="44" ht="14.25" customHeight="1">
      <c r="A44" s="13" t="s">
        <v>69</v>
      </c>
      <c r="B44" s="13" t="s">
        <v>75</v>
      </c>
      <c r="C44" s="33" t="s">
        <v>71</v>
      </c>
      <c r="D44" s="30">
        <v>0.0</v>
      </c>
      <c r="E44" s="30">
        <v>3.54</v>
      </c>
      <c r="F44" s="35">
        <v>2.81</v>
      </c>
      <c r="G44" s="30" t="s">
        <v>42</v>
      </c>
    </row>
    <row r="45" ht="14.25" customHeight="1">
      <c r="A45" s="13" t="s">
        <v>69</v>
      </c>
      <c r="B45" s="13" t="s">
        <v>76</v>
      </c>
      <c r="C45" s="33" t="s">
        <v>71</v>
      </c>
      <c r="D45" s="30">
        <v>4.63</v>
      </c>
      <c r="E45" s="30">
        <v>3.0</v>
      </c>
      <c r="F45" s="35">
        <v>4.45</v>
      </c>
      <c r="G45" s="30" t="s">
        <v>42</v>
      </c>
    </row>
    <row r="46" ht="14.25" customHeight="1">
      <c r="A46" s="13" t="s">
        <v>69</v>
      </c>
      <c r="B46" s="13" t="s">
        <v>77</v>
      </c>
      <c r="C46" s="33" t="s">
        <v>71</v>
      </c>
      <c r="D46" s="30">
        <v>0.0</v>
      </c>
      <c r="E46" s="30">
        <v>3.54</v>
      </c>
      <c r="F46" s="35">
        <v>2.96</v>
      </c>
      <c r="G46" s="30" t="s">
        <v>42</v>
      </c>
    </row>
    <row r="47" ht="14.25" customHeight="1">
      <c r="A47" s="13" t="s">
        <v>69</v>
      </c>
      <c r="B47" s="13" t="s">
        <v>78</v>
      </c>
      <c r="C47" s="33" t="s">
        <v>71</v>
      </c>
      <c r="D47" s="30">
        <v>9.27</v>
      </c>
      <c r="E47" s="30">
        <v>9.45</v>
      </c>
      <c r="F47" s="35">
        <v>4.03</v>
      </c>
      <c r="G47" s="30" t="s">
        <v>42</v>
      </c>
    </row>
    <row r="48" ht="14.25" customHeight="1">
      <c r="A48" s="13" t="s">
        <v>69</v>
      </c>
      <c r="B48" s="13" t="s">
        <v>79</v>
      </c>
      <c r="C48" s="33" t="s">
        <v>71</v>
      </c>
      <c r="D48" s="30">
        <v>8.81</v>
      </c>
      <c r="E48" s="30">
        <v>9.81</v>
      </c>
      <c r="F48" s="35">
        <v>3.75</v>
      </c>
      <c r="G48" s="30" t="s">
        <v>42</v>
      </c>
    </row>
    <row r="49" ht="14.25" customHeight="1">
      <c r="A49" s="13" t="s">
        <v>69</v>
      </c>
      <c r="B49" s="13" t="s">
        <v>80</v>
      </c>
      <c r="C49" s="33" t="s">
        <v>71</v>
      </c>
      <c r="D49" s="30">
        <v>0.0</v>
      </c>
      <c r="E49" s="30">
        <v>0.0</v>
      </c>
      <c r="F49" s="35">
        <v>0.0</v>
      </c>
      <c r="G49" s="30" t="s">
        <v>42</v>
      </c>
    </row>
    <row r="50" ht="14.25" customHeight="1">
      <c r="A50" s="13" t="s">
        <v>69</v>
      </c>
      <c r="B50" s="13" t="s">
        <v>81</v>
      </c>
      <c r="C50" s="33" t="s">
        <v>71</v>
      </c>
      <c r="D50" s="30">
        <v>6.81</v>
      </c>
      <c r="E50" s="30">
        <v>3.27</v>
      </c>
      <c r="F50" s="35">
        <v>3.36</v>
      </c>
      <c r="G50" s="30" t="s">
        <v>42</v>
      </c>
    </row>
    <row r="51" ht="14.25" customHeight="1">
      <c r="A51" s="13" t="s">
        <v>69</v>
      </c>
      <c r="B51" s="13" t="s">
        <v>82</v>
      </c>
      <c r="C51" s="33" t="s">
        <v>83</v>
      </c>
      <c r="D51" s="30">
        <v>0.0</v>
      </c>
      <c r="E51" s="30">
        <v>3.45</v>
      </c>
      <c r="F51" s="35">
        <v>2.51</v>
      </c>
      <c r="G51" s="36" t="s">
        <v>84</v>
      </c>
    </row>
    <row r="52" ht="14.25" customHeight="1">
      <c r="A52" s="13" t="s">
        <v>69</v>
      </c>
      <c r="B52" s="13" t="s">
        <v>85</v>
      </c>
      <c r="C52" s="33" t="s">
        <v>83</v>
      </c>
      <c r="D52" s="30">
        <v>0.0</v>
      </c>
      <c r="E52" s="30">
        <v>6.72</v>
      </c>
      <c r="F52" s="35">
        <v>4.03</v>
      </c>
      <c r="G52" s="16" t="s">
        <v>42</v>
      </c>
    </row>
    <row r="53" ht="14.25" customHeight="1">
      <c r="A53" s="13" t="s">
        <v>69</v>
      </c>
      <c r="B53" s="13" t="s">
        <v>86</v>
      </c>
      <c r="C53" s="33" t="s">
        <v>83</v>
      </c>
      <c r="D53" s="30">
        <v>0.0</v>
      </c>
      <c r="E53" s="30">
        <v>6.9</v>
      </c>
      <c r="F53" s="35">
        <v>4.06</v>
      </c>
      <c r="G53" s="16" t="s">
        <v>42</v>
      </c>
    </row>
    <row r="54" ht="14.25" customHeight="1">
      <c r="A54" s="13" t="s">
        <v>69</v>
      </c>
      <c r="B54" s="13" t="s">
        <v>87</v>
      </c>
      <c r="C54" s="33" t="s">
        <v>83</v>
      </c>
      <c r="D54" s="30">
        <v>0.0</v>
      </c>
      <c r="E54" s="30">
        <v>0.0</v>
      </c>
      <c r="F54" s="35">
        <v>0.0</v>
      </c>
      <c r="G54" s="36" t="s">
        <v>84</v>
      </c>
    </row>
    <row r="55" ht="14.25" customHeight="1">
      <c r="A55" s="13" t="s">
        <v>69</v>
      </c>
      <c r="B55" s="13" t="s">
        <v>88</v>
      </c>
      <c r="C55" s="33" t="s">
        <v>83</v>
      </c>
      <c r="D55" s="30">
        <v>8.18</v>
      </c>
      <c r="E55" s="30">
        <v>0.0</v>
      </c>
      <c r="F55" s="35">
        <v>2.73</v>
      </c>
      <c r="G55" s="36" t="s">
        <v>84</v>
      </c>
    </row>
    <row r="56" ht="14.25" customHeight="1">
      <c r="A56" s="37" t="s">
        <v>89</v>
      </c>
      <c r="B56" s="26"/>
      <c r="C56" s="26"/>
      <c r="D56" s="26"/>
      <c r="E56" s="26"/>
      <c r="F56" s="26"/>
      <c r="G56" s="38"/>
    </row>
    <row r="57" ht="14.25" customHeight="1">
      <c r="A57" s="13" t="s">
        <v>90</v>
      </c>
      <c r="B57" s="13" t="s">
        <v>91</v>
      </c>
      <c r="C57" s="33" t="s">
        <v>92</v>
      </c>
      <c r="D57" s="30">
        <v>3.94</v>
      </c>
      <c r="E57" s="30">
        <v>3.61</v>
      </c>
      <c r="F57" s="35">
        <v>3.93</v>
      </c>
      <c r="G57" s="30" t="s">
        <v>42</v>
      </c>
    </row>
    <row r="58" ht="14.25" customHeight="1">
      <c r="A58" s="13" t="s">
        <v>90</v>
      </c>
      <c r="B58" s="13" t="s">
        <v>93</v>
      </c>
      <c r="C58" s="33" t="s">
        <v>94</v>
      </c>
      <c r="D58" s="30">
        <v>6.41</v>
      </c>
      <c r="E58" s="30">
        <v>5.91</v>
      </c>
      <c r="F58" s="35">
        <v>6.43</v>
      </c>
      <c r="G58" s="32" t="s">
        <v>55</v>
      </c>
      <c r="I58" s="11">
        <v>11.0</v>
      </c>
    </row>
    <row r="59" ht="14.25" customHeight="1">
      <c r="A59" s="13" t="s">
        <v>90</v>
      </c>
      <c r="B59" s="13" t="s">
        <v>95</v>
      </c>
      <c r="C59" s="33" t="s">
        <v>92</v>
      </c>
      <c r="D59" s="30">
        <v>2.29</v>
      </c>
      <c r="E59" s="30">
        <v>2.91</v>
      </c>
      <c r="F59" s="35">
        <v>3.06</v>
      </c>
      <c r="G59" s="30" t="s">
        <v>42</v>
      </c>
    </row>
    <row r="60" ht="14.25" customHeight="1">
      <c r="A60" s="13" t="s">
        <v>90</v>
      </c>
      <c r="B60" s="13" t="s">
        <v>96</v>
      </c>
      <c r="C60" s="33" t="s">
        <v>92</v>
      </c>
      <c r="D60" s="30">
        <v>2.76</v>
      </c>
      <c r="E60" s="30">
        <v>2.11</v>
      </c>
      <c r="F60" s="35">
        <v>2.4099999999999997</v>
      </c>
      <c r="G60" s="30" t="s">
        <v>42</v>
      </c>
    </row>
    <row r="61" ht="14.25" customHeight="1">
      <c r="A61" s="13" t="s">
        <v>90</v>
      </c>
      <c r="B61" s="13" t="s">
        <v>97</v>
      </c>
      <c r="C61" s="33" t="s">
        <v>92</v>
      </c>
      <c r="D61" s="30">
        <v>2.64</v>
      </c>
      <c r="E61" s="30">
        <v>2.38</v>
      </c>
      <c r="F61" s="35">
        <v>2.55</v>
      </c>
      <c r="G61" s="30" t="s">
        <v>42</v>
      </c>
    </row>
    <row r="62" ht="14.25" customHeight="1">
      <c r="A62" s="13" t="s">
        <v>90</v>
      </c>
      <c r="B62" s="13" t="s">
        <v>98</v>
      </c>
      <c r="C62" s="33" t="s">
        <v>99</v>
      </c>
      <c r="D62" s="30">
        <v>1.82</v>
      </c>
      <c r="E62" s="30">
        <v>1.88</v>
      </c>
      <c r="F62" s="35">
        <v>2.0</v>
      </c>
      <c r="G62" s="30" t="s">
        <v>42</v>
      </c>
    </row>
    <row r="63" ht="14.25" customHeight="1">
      <c r="A63" s="13" t="s">
        <v>90</v>
      </c>
      <c r="B63" s="13" t="s">
        <v>100</v>
      </c>
      <c r="C63" s="33" t="s">
        <v>92</v>
      </c>
      <c r="D63" s="30">
        <v>3.17</v>
      </c>
      <c r="E63" s="30">
        <v>2.38</v>
      </c>
      <c r="F63" s="35">
        <v>2.97</v>
      </c>
      <c r="G63" s="30" t="s">
        <v>42</v>
      </c>
    </row>
    <row r="64" ht="14.25" customHeight="1">
      <c r="A64" s="13" t="s">
        <v>90</v>
      </c>
      <c r="B64" s="13" t="s">
        <v>101</v>
      </c>
      <c r="C64" s="33" t="s">
        <v>92</v>
      </c>
      <c r="D64" s="30">
        <v>5.11</v>
      </c>
      <c r="E64" s="30">
        <v>5.7</v>
      </c>
      <c r="F64" s="35">
        <v>3.61</v>
      </c>
      <c r="G64" s="30" t="s">
        <v>42</v>
      </c>
    </row>
    <row r="65" ht="14.25" customHeight="1">
      <c r="A65" s="13" t="s">
        <v>90</v>
      </c>
      <c r="B65" s="13" t="s">
        <v>102</v>
      </c>
      <c r="C65" s="33" t="s">
        <v>103</v>
      </c>
      <c r="D65" s="30">
        <v>9.05</v>
      </c>
      <c r="E65" s="30">
        <v>8.0</v>
      </c>
      <c r="F65" s="35">
        <v>8.54</v>
      </c>
      <c r="G65" s="32" t="s">
        <v>55</v>
      </c>
      <c r="I65" s="11">
        <v>12.0</v>
      </c>
    </row>
    <row r="66" ht="14.25" customHeight="1">
      <c r="A66" s="13" t="s">
        <v>90</v>
      </c>
      <c r="B66" s="13" t="s">
        <v>104</v>
      </c>
      <c r="C66" s="33" t="s">
        <v>92</v>
      </c>
      <c r="D66" s="30">
        <v>4.29</v>
      </c>
      <c r="E66" s="30">
        <v>4.08</v>
      </c>
      <c r="F66" s="35">
        <v>4.680000000000001</v>
      </c>
      <c r="G66" s="30" t="s">
        <v>42</v>
      </c>
    </row>
    <row r="67" ht="14.25" customHeight="1">
      <c r="A67" s="13" t="s">
        <v>90</v>
      </c>
      <c r="B67" s="13" t="s">
        <v>105</v>
      </c>
      <c r="C67" s="33" t="s">
        <v>106</v>
      </c>
      <c r="D67" s="30">
        <v>2.83</v>
      </c>
      <c r="E67" s="30">
        <v>2.44</v>
      </c>
      <c r="F67" s="35">
        <v>2.92</v>
      </c>
      <c r="G67" s="30" t="s">
        <v>42</v>
      </c>
    </row>
    <row r="68" ht="14.25" customHeight="1">
      <c r="A68" s="13" t="s">
        <v>90</v>
      </c>
      <c r="B68" s="13" t="s">
        <v>107</v>
      </c>
      <c r="C68" s="33" t="s">
        <v>108</v>
      </c>
      <c r="D68" s="30">
        <v>2.94</v>
      </c>
      <c r="E68" s="30">
        <v>4.76</v>
      </c>
      <c r="F68" s="35">
        <v>3.55</v>
      </c>
      <c r="G68" s="30" t="s">
        <v>42</v>
      </c>
    </row>
    <row r="69" ht="14.25" customHeight="1">
      <c r="A69" s="13" t="s">
        <v>90</v>
      </c>
      <c r="B69" s="13" t="s">
        <v>109</v>
      </c>
      <c r="C69" s="33" t="s">
        <v>92</v>
      </c>
      <c r="D69" s="30">
        <v>2.52</v>
      </c>
      <c r="E69" s="30">
        <v>2.14</v>
      </c>
      <c r="F69" s="35">
        <v>2.65</v>
      </c>
      <c r="G69" s="30" t="s">
        <v>42</v>
      </c>
    </row>
    <row r="70" ht="14.25" customHeight="1">
      <c r="A70" s="13" t="s">
        <v>90</v>
      </c>
      <c r="B70" s="13" t="s">
        <v>110</v>
      </c>
      <c r="C70" s="33" t="s">
        <v>111</v>
      </c>
      <c r="D70" s="30">
        <v>2.23</v>
      </c>
      <c r="E70" s="30">
        <v>1.67</v>
      </c>
      <c r="F70" s="35">
        <v>1.97</v>
      </c>
      <c r="G70" s="30" t="s">
        <v>42</v>
      </c>
    </row>
    <row r="71" ht="14.25" customHeight="1">
      <c r="A71" s="13" t="s">
        <v>90</v>
      </c>
      <c r="B71" s="13" t="s">
        <v>112</v>
      </c>
      <c r="C71" s="33" t="s">
        <v>113</v>
      </c>
      <c r="D71" s="30">
        <v>2.7</v>
      </c>
      <c r="E71" s="30">
        <v>2.91</v>
      </c>
      <c r="F71" s="35">
        <v>3.14</v>
      </c>
      <c r="G71" s="30" t="s">
        <v>42</v>
      </c>
    </row>
    <row r="72" ht="14.25" customHeight="1">
      <c r="A72" s="13" t="s">
        <v>90</v>
      </c>
      <c r="B72" s="13" t="s">
        <v>114</v>
      </c>
      <c r="C72" s="33" t="s">
        <v>115</v>
      </c>
      <c r="D72" s="30">
        <v>3.94</v>
      </c>
      <c r="E72" s="30">
        <v>3.2</v>
      </c>
      <c r="F72" s="35">
        <v>3.82</v>
      </c>
      <c r="G72" s="30" t="s">
        <v>42</v>
      </c>
    </row>
    <row r="73" ht="14.25" customHeight="1">
      <c r="A73" s="13" t="s">
        <v>90</v>
      </c>
      <c r="B73" s="13" t="s">
        <v>116</v>
      </c>
      <c r="C73" s="33" t="s">
        <v>92</v>
      </c>
      <c r="D73" s="30">
        <v>2.82</v>
      </c>
      <c r="E73" s="30">
        <v>2.29</v>
      </c>
      <c r="F73" s="35">
        <v>2.2899999999999996</v>
      </c>
      <c r="G73" s="30" t="s">
        <v>42</v>
      </c>
    </row>
    <row r="74" ht="14.25" customHeight="1">
      <c r="A74" s="13" t="s">
        <v>90</v>
      </c>
      <c r="B74" s="13" t="s">
        <v>117</v>
      </c>
      <c r="C74" s="33" t="s">
        <v>92</v>
      </c>
      <c r="D74" s="30">
        <v>2.41</v>
      </c>
      <c r="E74" s="30">
        <v>2.73</v>
      </c>
      <c r="F74" s="35">
        <v>2.51</v>
      </c>
      <c r="G74" s="36" t="s">
        <v>84</v>
      </c>
    </row>
    <row r="75" ht="14.25" customHeight="1">
      <c r="A75" s="13" t="s">
        <v>90</v>
      </c>
      <c r="B75" s="13" t="s">
        <v>118</v>
      </c>
      <c r="C75" s="33" t="s">
        <v>103</v>
      </c>
      <c r="D75" s="30">
        <v>5.0</v>
      </c>
      <c r="E75" s="30">
        <v>4.17</v>
      </c>
      <c r="F75" s="35">
        <v>4.14</v>
      </c>
      <c r="G75" s="15" t="s">
        <v>42</v>
      </c>
    </row>
    <row r="76" ht="14.25" customHeight="1">
      <c r="A76" s="13" t="s">
        <v>90</v>
      </c>
      <c r="B76" s="13" t="s">
        <v>119</v>
      </c>
      <c r="C76" s="33" t="s">
        <v>92</v>
      </c>
      <c r="D76" s="30">
        <v>3.88</v>
      </c>
      <c r="E76" s="30">
        <v>4.82</v>
      </c>
      <c r="F76" s="35">
        <v>4.46</v>
      </c>
      <c r="G76" s="36" t="s">
        <v>84</v>
      </c>
    </row>
    <row r="77" ht="14.25" customHeight="1">
      <c r="A77" s="13" t="s">
        <v>90</v>
      </c>
      <c r="B77" s="13" t="s">
        <v>120</v>
      </c>
      <c r="C77" s="33" t="s">
        <v>121</v>
      </c>
      <c r="D77" s="30">
        <v>3.35</v>
      </c>
      <c r="E77" s="30">
        <v>2.79</v>
      </c>
      <c r="F77" s="35">
        <v>3.25</v>
      </c>
      <c r="G77" s="36" t="s">
        <v>84</v>
      </c>
    </row>
    <row r="78" ht="14.25" customHeight="1">
      <c r="A78" s="13" t="s">
        <v>90</v>
      </c>
      <c r="B78" s="13" t="s">
        <v>122</v>
      </c>
      <c r="C78" s="33" t="s">
        <v>123</v>
      </c>
      <c r="D78" s="30">
        <v>4.23</v>
      </c>
      <c r="E78" s="30">
        <v>3.61</v>
      </c>
      <c r="F78" s="35">
        <v>3.86</v>
      </c>
      <c r="G78" s="36" t="s">
        <v>84</v>
      </c>
    </row>
    <row r="79" ht="14.25" customHeight="1">
      <c r="A79" s="39" t="s">
        <v>90</v>
      </c>
      <c r="B79" s="39" t="s">
        <v>124</v>
      </c>
      <c r="C79" s="40" t="s">
        <v>92</v>
      </c>
      <c r="D79" s="41">
        <v>6.94</v>
      </c>
      <c r="E79" s="41">
        <v>6.11</v>
      </c>
      <c r="F79" s="42">
        <v>3.63</v>
      </c>
      <c r="G79" s="43" t="s">
        <v>42</v>
      </c>
    </row>
    <row r="80" ht="14.25" customHeight="1"/>
    <row r="81" ht="14.25" customHeight="1">
      <c r="C81" s="11" t="s">
        <v>125</v>
      </c>
      <c r="D81" s="44">
        <f>E81/E82</f>
        <v>0.1714285714</v>
      </c>
      <c r="E81" s="11">
        <v>12.0</v>
      </c>
      <c r="F81" s="11" t="s">
        <v>126</v>
      </c>
    </row>
    <row r="82" ht="14.25" customHeight="1">
      <c r="E82" s="11">
        <v>70.0</v>
      </c>
      <c r="F82" s="11" t="s">
        <v>127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1.29"/>
    <col customWidth="1" min="3" max="4" width="10.71"/>
    <col customWidth="1" min="5" max="5" width="24.0"/>
    <col customWidth="1" min="6" max="26" width="10.71"/>
  </cols>
  <sheetData>
    <row r="1" ht="14.25" customHeight="1">
      <c r="A1" s="11" t="s">
        <v>128</v>
      </c>
      <c r="B1" s="11" t="s">
        <v>129</v>
      </c>
      <c r="C1" s="11" t="s">
        <v>130</v>
      </c>
      <c r="D1" s="11" t="s">
        <v>131</v>
      </c>
      <c r="E1" s="11" t="s">
        <v>132</v>
      </c>
      <c r="F1" s="11" t="s">
        <v>133</v>
      </c>
    </row>
    <row r="2" ht="14.25" customHeight="1"/>
    <row r="3" ht="14.25" customHeight="1"/>
    <row r="4" ht="14.25" customHeight="1"/>
    <row r="5" ht="14.25" customHeight="1">
      <c r="A5" s="45" t="s">
        <v>7</v>
      </c>
      <c r="B5" s="46" t="s">
        <v>8</v>
      </c>
      <c r="C5" s="47" t="s">
        <v>134</v>
      </c>
      <c r="D5" s="48" t="s">
        <v>132</v>
      </c>
      <c r="E5" s="49" t="s">
        <v>13</v>
      </c>
    </row>
    <row r="6" ht="14.25" customHeight="1">
      <c r="A6" s="50"/>
      <c r="B6" s="50"/>
      <c r="C6" s="50"/>
      <c r="D6" s="51" t="s">
        <v>135</v>
      </c>
      <c r="E6" s="50"/>
    </row>
    <row r="7" ht="14.25" customHeight="1">
      <c r="A7" s="52"/>
      <c r="B7" s="52"/>
      <c r="C7" s="52"/>
      <c r="D7" s="52"/>
      <c r="E7" s="52"/>
    </row>
    <row r="8" ht="12.0" customHeight="1">
      <c r="A8" s="53" t="s">
        <v>0</v>
      </c>
      <c r="B8" s="19" t="s">
        <v>1</v>
      </c>
      <c r="C8" s="19" t="s">
        <v>2</v>
      </c>
      <c r="D8" s="54" t="s">
        <v>3</v>
      </c>
      <c r="E8" s="55" t="s">
        <v>4</v>
      </c>
    </row>
    <row r="9" ht="14.25" customHeight="1">
      <c r="A9" s="53" t="s">
        <v>0</v>
      </c>
      <c r="B9" s="19" t="s">
        <v>1</v>
      </c>
      <c r="C9" s="19" t="s">
        <v>2</v>
      </c>
      <c r="D9" s="54" t="s">
        <v>3</v>
      </c>
      <c r="E9" s="55" t="s">
        <v>4</v>
      </c>
    </row>
    <row r="10" ht="14.25" customHeight="1">
      <c r="A10" s="56" t="s">
        <v>136</v>
      </c>
      <c r="B10" s="15" t="s">
        <v>137</v>
      </c>
      <c r="C10" s="15" t="s">
        <v>138</v>
      </c>
      <c r="D10" s="57">
        <v>7.43</v>
      </c>
      <c r="E10" s="58" t="s">
        <v>139</v>
      </c>
    </row>
    <row r="11" ht="14.25" customHeight="1">
      <c r="A11" s="56" t="s">
        <v>136</v>
      </c>
      <c r="B11" s="15" t="s">
        <v>140</v>
      </c>
      <c r="C11" s="15" t="s">
        <v>138</v>
      </c>
      <c r="D11" s="57">
        <v>7.69</v>
      </c>
      <c r="E11" s="58" t="s">
        <v>139</v>
      </c>
    </row>
    <row r="12" ht="14.25" customHeight="1">
      <c r="A12" s="56" t="s">
        <v>136</v>
      </c>
      <c r="B12" s="15" t="s">
        <v>141</v>
      </c>
      <c r="C12" s="15" t="s">
        <v>138</v>
      </c>
      <c r="D12" s="57">
        <v>3.76</v>
      </c>
      <c r="E12" s="58" t="s">
        <v>142</v>
      </c>
    </row>
    <row r="13" ht="14.25" customHeight="1">
      <c r="A13" s="56" t="s">
        <v>136</v>
      </c>
      <c r="B13" s="15" t="s">
        <v>143</v>
      </c>
      <c r="C13" s="15" t="s">
        <v>138</v>
      </c>
      <c r="D13" s="57">
        <v>1.84</v>
      </c>
      <c r="E13" s="58" t="s">
        <v>142</v>
      </c>
    </row>
    <row r="14" ht="14.25" customHeight="1">
      <c r="A14" s="56" t="s">
        <v>136</v>
      </c>
      <c r="B14" s="15" t="s">
        <v>144</v>
      </c>
      <c r="C14" s="15" t="s">
        <v>138</v>
      </c>
      <c r="D14" s="57">
        <v>6.23</v>
      </c>
      <c r="E14" s="58" t="s">
        <v>139</v>
      </c>
    </row>
    <row r="15" ht="14.25" customHeight="1">
      <c r="A15" s="56" t="s">
        <v>136</v>
      </c>
      <c r="B15" s="15" t="s">
        <v>145</v>
      </c>
      <c r="C15" s="15" t="s">
        <v>138</v>
      </c>
      <c r="D15" s="57">
        <v>5.07</v>
      </c>
      <c r="E15" s="58" t="s">
        <v>139</v>
      </c>
    </row>
    <row r="16" ht="14.25" customHeight="1">
      <c r="A16" s="56" t="s">
        <v>136</v>
      </c>
      <c r="B16" s="15" t="s">
        <v>146</v>
      </c>
      <c r="C16" s="15" t="s">
        <v>138</v>
      </c>
      <c r="D16" s="57">
        <v>2.23</v>
      </c>
      <c r="E16" s="58" t="s">
        <v>142</v>
      </c>
    </row>
    <row r="17" ht="14.25" customHeight="1">
      <c r="A17" s="56" t="s">
        <v>136</v>
      </c>
      <c r="B17" s="15" t="s">
        <v>147</v>
      </c>
      <c r="C17" s="15" t="s">
        <v>138</v>
      </c>
      <c r="D17" s="57">
        <v>4.03</v>
      </c>
      <c r="E17" s="58" t="s">
        <v>142</v>
      </c>
    </row>
    <row r="18" ht="14.25" customHeight="1">
      <c r="A18" s="56" t="s">
        <v>136</v>
      </c>
      <c r="B18" s="15" t="s">
        <v>148</v>
      </c>
      <c r="C18" s="15" t="s">
        <v>138</v>
      </c>
      <c r="D18" s="57">
        <v>1.61</v>
      </c>
      <c r="E18" s="58" t="s">
        <v>142</v>
      </c>
    </row>
    <row r="19" ht="14.25" customHeight="1">
      <c r="A19" s="56" t="s">
        <v>136</v>
      </c>
      <c r="B19" s="15" t="s">
        <v>149</v>
      </c>
      <c r="C19" s="15" t="s">
        <v>138</v>
      </c>
      <c r="D19" s="57">
        <v>7.46</v>
      </c>
      <c r="E19" s="58" t="s">
        <v>139</v>
      </c>
    </row>
    <row r="20" ht="14.25" customHeight="1">
      <c r="A20" s="56" t="s">
        <v>136</v>
      </c>
      <c r="B20" s="15" t="s">
        <v>150</v>
      </c>
      <c r="C20" s="15" t="s">
        <v>138</v>
      </c>
      <c r="D20" s="57">
        <v>4.53</v>
      </c>
      <c r="E20" s="58" t="s">
        <v>139</v>
      </c>
    </row>
    <row r="21" ht="14.25" customHeight="1">
      <c r="A21" s="56" t="s">
        <v>136</v>
      </c>
      <c r="B21" s="15" t="s">
        <v>151</v>
      </c>
      <c r="C21" s="15" t="s">
        <v>138</v>
      </c>
      <c r="D21" s="57">
        <v>5.07</v>
      </c>
      <c r="E21" s="58" t="s">
        <v>139</v>
      </c>
    </row>
    <row r="22" ht="14.25" customHeight="1">
      <c r="A22" s="56" t="s">
        <v>136</v>
      </c>
      <c r="B22" s="15" t="s">
        <v>152</v>
      </c>
      <c r="C22" s="15" t="s">
        <v>138</v>
      </c>
      <c r="D22" s="57">
        <v>4.9</v>
      </c>
      <c r="E22" s="58" t="s">
        <v>139</v>
      </c>
    </row>
    <row r="23" ht="14.25" customHeight="1">
      <c r="A23" s="56" t="s">
        <v>136</v>
      </c>
      <c r="B23" s="15" t="s">
        <v>153</v>
      </c>
      <c r="C23" s="15" t="s">
        <v>138</v>
      </c>
      <c r="D23" s="57">
        <v>4.95</v>
      </c>
      <c r="E23" s="58" t="s">
        <v>139</v>
      </c>
    </row>
    <row r="24" ht="14.25" customHeight="1">
      <c r="A24" s="56" t="s">
        <v>136</v>
      </c>
      <c r="B24" s="15" t="s">
        <v>154</v>
      </c>
      <c r="C24" s="15" t="s">
        <v>138</v>
      </c>
      <c r="D24" s="57">
        <v>5.69</v>
      </c>
      <c r="E24" s="58" t="s">
        <v>139</v>
      </c>
    </row>
    <row r="25" ht="14.25" customHeight="1">
      <c r="A25" s="56" t="s">
        <v>136</v>
      </c>
      <c r="B25" s="15" t="s">
        <v>155</v>
      </c>
      <c r="C25" s="15" t="s">
        <v>138</v>
      </c>
      <c r="D25" s="57">
        <v>4.66</v>
      </c>
      <c r="E25" s="58" t="s">
        <v>139</v>
      </c>
    </row>
    <row r="26" ht="14.25" customHeight="1">
      <c r="A26" s="56" t="s">
        <v>136</v>
      </c>
      <c r="B26" s="15" t="s">
        <v>156</v>
      </c>
      <c r="C26" s="15" t="s">
        <v>138</v>
      </c>
      <c r="D26" s="57">
        <v>2.47</v>
      </c>
      <c r="E26" s="58" t="s">
        <v>142</v>
      </c>
    </row>
    <row r="27" ht="14.25" customHeight="1">
      <c r="A27" s="56" t="s">
        <v>136</v>
      </c>
      <c r="B27" s="15" t="s">
        <v>157</v>
      </c>
      <c r="C27" s="15" t="s">
        <v>138</v>
      </c>
      <c r="D27" s="57">
        <v>4.88</v>
      </c>
      <c r="E27" s="58" t="s">
        <v>139</v>
      </c>
    </row>
    <row r="28" ht="14.25" customHeight="1">
      <c r="A28" s="56" t="s">
        <v>136</v>
      </c>
      <c r="B28" s="15" t="s">
        <v>158</v>
      </c>
      <c r="C28" s="15" t="s">
        <v>138</v>
      </c>
      <c r="D28" s="57">
        <v>7.55</v>
      </c>
      <c r="E28" s="58" t="s">
        <v>139</v>
      </c>
    </row>
    <row r="29" ht="14.25" customHeight="1">
      <c r="A29" s="56" t="s">
        <v>136</v>
      </c>
      <c r="B29" s="15" t="s">
        <v>159</v>
      </c>
      <c r="C29" s="15" t="s">
        <v>138</v>
      </c>
      <c r="D29" s="57">
        <v>1.5</v>
      </c>
      <c r="E29" s="58" t="s">
        <v>142</v>
      </c>
    </row>
    <row r="30" ht="14.25" customHeight="1">
      <c r="A30" s="56" t="s">
        <v>136</v>
      </c>
      <c r="B30" s="15" t="s">
        <v>160</v>
      </c>
      <c r="C30" s="15" t="s">
        <v>138</v>
      </c>
      <c r="D30" s="57">
        <v>4.9</v>
      </c>
      <c r="E30" s="58" t="s">
        <v>139</v>
      </c>
    </row>
    <row r="31" ht="14.25" customHeight="1">
      <c r="A31" s="56" t="s">
        <v>136</v>
      </c>
      <c r="B31" s="15" t="s">
        <v>161</v>
      </c>
      <c r="C31" s="15" t="s">
        <v>138</v>
      </c>
      <c r="D31" s="57">
        <v>4.59</v>
      </c>
      <c r="E31" s="58" t="s">
        <v>139</v>
      </c>
    </row>
    <row r="32" ht="14.25" customHeight="1">
      <c r="A32" s="56" t="s">
        <v>136</v>
      </c>
      <c r="B32" s="15" t="s">
        <v>162</v>
      </c>
      <c r="C32" s="15" t="s">
        <v>138</v>
      </c>
      <c r="D32" s="57">
        <v>5.75</v>
      </c>
      <c r="E32" s="58" t="s">
        <v>139</v>
      </c>
    </row>
    <row r="33" ht="14.25" customHeight="1">
      <c r="A33" s="56" t="s">
        <v>136</v>
      </c>
      <c r="B33" s="15" t="s">
        <v>163</v>
      </c>
      <c r="C33" s="15" t="s">
        <v>138</v>
      </c>
      <c r="D33" s="57">
        <v>3.32</v>
      </c>
      <c r="E33" s="58" t="s">
        <v>142</v>
      </c>
    </row>
    <row r="34" ht="14.25" customHeight="1">
      <c r="A34" s="56" t="s">
        <v>136</v>
      </c>
      <c r="B34" s="15" t="s">
        <v>164</v>
      </c>
      <c r="C34" s="15" t="s">
        <v>138</v>
      </c>
      <c r="D34" s="57">
        <v>3.94</v>
      </c>
      <c r="E34" s="58" t="s">
        <v>142</v>
      </c>
    </row>
    <row r="35" ht="14.25" customHeight="1">
      <c r="A35" s="56" t="s">
        <v>136</v>
      </c>
      <c r="B35" s="15" t="s">
        <v>165</v>
      </c>
      <c r="C35" s="15" t="s">
        <v>138</v>
      </c>
      <c r="D35" s="57">
        <v>2.64</v>
      </c>
      <c r="E35" s="58" t="s">
        <v>142</v>
      </c>
    </row>
    <row r="36" ht="14.25" customHeight="1">
      <c r="A36" s="56" t="s">
        <v>136</v>
      </c>
      <c r="B36" s="15" t="s">
        <v>166</v>
      </c>
      <c r="C36" s="15" t="s">
        <v>138</v>
      </c>
      <c r="D36" s="57">
        <v>1.05</v>
      </c>
      <c r="E36" s="58" t="s">
        <v>142</v>
      </c>
    </row>
    <row r="37" ht="14.25" customHeight="1">
      <c r="A37" s="56" t="s">
        <v>136</v>
      </c>
      <c r="B37" s="15" t="s">
        <v>167</v>
      </c>
      <c r="C37" s="15" t="s">
        <v>138</v>
      </c>
      <c r="D37" s="57">
        <v>1.1</v>
      </c>
      <c r="E37" s="58" t="s">
        <v>142</v>
      </c>
    </row>
    <row r="38" ht="14.25" customHeight="1">
      <c r="A38" s="56" t="s">
        <v>136</v>
      </c>
      <c r="B38" s="15" t="s">
        <v>168</v>
      </c>
      <c r="C38" s="15" t="s">
        <v>138</v>
      </c>
      <c r="D38" s="57">
        <v>1.3</v>
      </c>
      <c r="E38" s="58" t="s">
        <v>142</v>
      </c>
    </row>
    <row r="39" ht="14.25" customHeight="1">
      <c r="A39" s="56" t="s">
        <v>136</v>
      </c>
      <c r="B39" s="15" t="s">
        <v>169</v>
      </c>
      <c r="C39" s="15" t="s">
        <v>138</v>
      </c>
      <c r="D39" s="57">
        <v>2.57</v>
      </c>
      <c r="E39" s="58" t="s">
        <v>142</v>
      </c>
    </row>
    <row r="40" ht="14.25" customHeight="1">
      <c r="A40" s="56"/>
      <c r="B40" s="15"/>
      <c r="C40" s="15"/>
      <c r="D40" s="57"/>
      <c r="E40" s="58"/>
    </row>
    <row r="41" ht="14.25" customHeight="1">
      <c r="A41" s="59" t="s">
        <v>170</v>
      </c>
      <c r="B41" s="15" t="s">
        <v>171</v>
      </c>
      <c r="C41" s="15" t="s">
        <v>138</v>
      </c>
      <c r="D41" s="57">
        <v>7.0</v>
      </c>
      <c r="E41" s="58" t="s">
        <v>139</v>
      </c>
    </row>
    <row r="42" ht="14.25" customHeight="1">
      <c r="A42" s="59" t="s">
        <v>170</v>
      </c>
      <c r="B42" s="15" t="s">
        <v>172</v>
      </c>
      <c r="C42" s="15" t="s">
        <v>138</v>
      </c>
      <c r="D42" s="57">
        <v>7.8</v>
      </c>
      <c r="E42" s="58" t="s">
        <v>139</v>
      </c>
    </row>
    <row r="43" ht="14.25" customHeight="1">
      <c r="A43" s="59" t="s">
        <v>170</v>
      </c>
      <c r="B43" s="15" t="s">
        <v>173</v>
      </c>
      <c r="C43" s="15" t="s">
        <v>138</v>
      </c>
      <c r="D43" s="57">
        <v>7.4</v>
      </c>
      <c r="E43" s="58" t="s">
        <v>139</v>
      </c>
    </row>
    <row r="44" ht="14.25" customHeight="1">
      <c r="A44" s="59" t="s">
        <v>170</v>
      </c>
      <c r="B44" s="15" t="s">
        <v>174</v>
      </c>
      <c r="C44" s="15" t="s">
        <v>138</v>
      </c>
      <c r="D44" s="57">
        <v>7.4</v>
      </c>
      <c r="E44" s="58" t="s">
        <v>139</v>
      </c>
    </row>
    <row r="45" ht="14.25" customHeight="1">
      <c r="A45" s="59" t="s">
        <v>170</v>
      </c>
      <c r="B45" s="15" t="s">
        <v>175</v>
      </c>
      <c r="C45" s="15" t="s">
        <v>138</v>
      </c>
      <c r="D45" s="57">
        <v>6.9</v>
      </c>
      <c r="E45" s="58" t="s">
        <v>139</v>
      </c>
    </row>
    <row r="46" ht="14.25" customHeight="1">
      <c r="A46" s="59" t="s">
        <v>170</v>
      </c>
      <c r="B46" s="15" t="s">
        <v>176</v>
      </c>
      <c r="C46" s="15" t="s">
        <v>138</v>
      </c>
      <c r="D46" s="57">
        <v>6.7</v>
      </c>
      <c r="E46" s="58" t="s">
        <v>139</v>
      </c>
    </row>
    <row r="47" ht="14.25" customHeight="1">
      <c r="A47" s="59" t="s">
        <v>170</v>
      </c>
      <c r="B47" s="15" t="s">
        <v>177</v>
      </c>
      <c r="C47" s="15" t="s">
        <v>138</v>
      </c>
      <c r="D47" s="57">
        <v>6.5</v>
      </c>
      <c r="E47" s="58" t="s">
        <v>139</v>
      </c>
    </row>
    <row r="48" ht="14.25" customHeight="1">
      <c r="A48" s="59" t="s">
        <v>170</v>
      </c>
      <c r="B48" s="15" t="s">
        <v>178</v>
      </c>
      <c r="C48" s="15" t="s">
        <v>138</v>
      </c>
      <c r="D48" s="57">
        <v>5.6</v>
      </c>
      <c r="E48" s="58" t="s">
        <v>139</v>
      </c>
    </row>
    <row r="49" ht="14.25" customHeight="1">
      <c r="A49" s="59" t="s">
        <v>170</v>
      </c>
      <c r="B49" s="15" t="s">
        <v>179</v>
      </c>
      <c r="C49" s="15" t="s">
        <v>138</v>
      </c>
      <c r="D49" s="57">
        <v>5.09</v>
      </c>
      <c r="E49" s="58" t="s">
        <v>139</v>
      </c>
    </row>
    <row r="50" ht="14.25" customHeight="1">
      <c r="A50" s="59" t="s">
        <v>170</v>
      </c>
      <c r="B50" s="15" t="s">
        <v>180</v>
      </c>
      <c r="C50" s="15" t="s">
        <v>138</v>
      </c>
      <c r="D50" s="57">
        <v>5.07</v>
      </c>
      <c r="E50" s="58" t="s">
        <v>139</v>
      </c>
    </row>
    <row r="51" ht="14.25" customHeight="1">
      <c r="A51" s="59" t="s">
        <v>170</v>
      </c>
      <c r="B51" s="15" t="s">
        <v>181</v>
      </c>
      <c r="C51" s="15" t="s">
        <v>138</v>
      </c>
      <c r="D51" s="57">
        <v>5.0</v>
      </c>
      <c r="E51" s="58" t="s">
        <v>139</v>
      </c>
    </row>
    <row r="52" ht="14.25" customHeight="1">
      <c r="A52" s="59" t="s">
        <v>170</v>
      </c>
      <c r="B52" s="15" t="s">
        <v>182</v>
      </c>
      <c r="C52" s="15" t="s">
        <v>138</v>
      </c>
      <c r="D52" s="57">
        <v>5.0</v>
      </c>
      <c r="E52" s="58" t="s">
        <v>139</v>
      </c>
    </row>
    <row r="53" ht="14.25" customHeight="1">
      <c r="A53" s="59" t="s">
        <v>170</v>
      </c>
      <c r="B53" s="15" t="s">
        <v>183</v>
      </c>
      <c r="C53" s="15" t="s">
        <v>138</v>
      </c>
      <c r="D53" s="57">
        <v>3.5</v>
      </c>
      <c r="E53" s="58" t="s">
        <v>184</v>
      </c>
    </row>
    <row r="54" ht="14.25" customHeight="1">
      <c r="A54" s="59" t="s">
        <v>170</v>
      </c>
      <c r="B54" s="15" t="s">
        <v>185</v>
      </c>
      <c r="C54" s="15" t="s">
        <v>138</v>
      </c>
      <c r="D54" s="57">
        <v>1.97</v>
      </c>
      <c r="E54" s="58" t="s">
        <v>186</v>
      </c>
    </row>
    <row r="55" ht="14.25" customHeight="1">
      <c r="A55" s="59" t="s">
        <v>170</v>
      </c>
      <c r="B55" s="15" t="s">
        <v>187</v>
      </c>
      <c r="C55" s="15" t="s">
        <v>138</v>
      </c>
      <c r="D55" s="57">
        <v>1.8</v>
      </c>
      <c r="E55" s="58" t="s">
        <v>188</v>
      </c>
    </row>
    <row r="56" ht="14.25" customHeight="1">
      <c r="A56" s="59" t="s">
        <v>170</v>
      </c>
      <c r="B56" s="15" t="s">
        <v>189</v>
      </c>
      <c r="C56" s="15" t="s">
        <v>138</v>
      </c>
      <c r="D56" s="57">
        <v>1.5</v>
      </c>
      <c r="E56" s="58" t="s">
        <v>190</v>
      </c>
    </row>
    <row r="57" ht="14.25" customHeight="1">
      <c r="A57" s="59" t="s">
        <v>170</v>
      </c>
      <c r="B57" s="15" t="s">
        <v>191</v>
      </c>
      <c r="C57" s="15" t="s">
        <v>138</v>
      </c>
      <c r="D57" s="15">
        <v>1.0</v>
      </c>
      <c r="E57" s="58" t="s">
        <v>192</v>
      </c>
    </row>
    <row r="58" ht="14.25" customHeight="1">
      <c r="A58" s="59" t="s">
        <v>170</v>
      </c>
      <c r="B58" s="15" t="s">
        <v>193</v>
      </c>
      <c r="C58" s="15" t="s">
        <v>138</v>
      </c>
      <c r="D58" s="15">
        <v>0.0</v>
      </c>
      <c r="E58" s="58" t="s">
        <v>194</v>
      </c>
    </row>
    <row r="59" ht="14.25" customHeight="1">
      <c r="A59" s="60"/>
      <c r="B59" s="15"/>
      <c r="C59" s="15"/>
      <c r="D59" s="15"/>
      <c r="E59" s="58"/>
    </row>
    <row r="60" ht="14.25" customHeight="1">
      <c r="A60" s="60" t="s">
        <v>195</v>
      </c>
      <c r="B60" s="15" t="s">
        <v>196</v>
      </c>
      <c r="C60" s="15" t="s">
        <v>138</v>
      </c>
      <c r="D60" s="15">
        <v>7.5</v>
      </c>
      <c r="E60" s="58" t="s">
        <v>139</v>
      </c>
    </row>
    <row r="61" ht="14.25" customHeight="1">
      <c r="A61" s="60" t="s">
        <v>195</v>
      </c>
      <c r="B61" s="15" t="s">
        <v>197</v>
      </c>
      <c r="C61" s="15" t="s">
        <v>138</v>
      </c>
      <c r="D61" s="15">
        <v>7.18</v>
      </c>
      <c r="E61" s="58" t="s">
        <v>139</v>
      </c>
    </row>
    <row r="62" ht="14.25" customHeight="1">
      <c r="A62" s="60" t="s">
        <v>195</v>
      </c>
      <c r="B62" s="15" t="s">
        <v>198</v>
      </c>
      <c r="C62" s="15" t="s">
        <v>138</v>
      </c>
      <c r="D62" s="15">
        <v>7.75</v>
      </c>
      <c r="E62" s="58" t="s">
        <v>139</v>
      </c>
    </row>
    <row r="63" ht="14.25" customHeight="1">
      <c r="A63" s="60" t="s">
        <v>195</v>
      </c>
      <c r="B63" s="15" t="s">
        <v>199</v>
      </c>
      <c r="C63" s="15" t="s">
        <v>138</v>
      </c>
      <c r="D63" s="15">
        <v>4.75</v>
      </c>
      <c r="E63" s="58" t="s">
        <v>139</v>
      </c>
    </row>
    <row r="64" ht="14.25" customHeight="1">
      <c r="A64" s="60" t="s">
        <v>195</v>
      </c>
      <c r="B64" s="15" t="s">
        <v>200</v>
      </c>
      <c r="C64" s="15" t="s">
        <v>138</v>
      </c>
      <c r="D64" s="15">
        <v>6.55</v>
      </c>
      <c r="E64" s="58" t="s">
        <v>139</v>
      </c>
    </row>
    <row r="65" ht="14.25" customHeight="1">
      <c r="A65" s="60" t="s">
        <v>195</v>
      </c>
      <c r="B65" s="15" t="s">
        <v>201</v>
      </c>
      <c r="C65" s="15" t="s">
        <v>138</v>
      </c>
      <c r="D65" s="15">
        <v>5.5</v>
      </c>
      <c r="E65" s="58" t="s">
        <v>139</v>
      </c>
    </row>
    <row r="66" ht="14.25" customHeight="1">
      <c r="A66" s="60" t="s">
        <v>195</v>
      </c>
      <c r="B66" s="15" t="s">
        <v>202</v>
      </c>
      <c r="C66" s="15" t="s">
        <v>138</v>
      </c>
      <c r="D66" s="15">
        <v>6.33</v>
      </c>
      <c r="E66" s="58" t="s">
        <v>139</v>
      </c>
    </row>
    <row r="67" ht="14.25" customHeight="1">
      <c r="A67" s="60" t="s">
        <v>195</v>
      </c>
      <c r="B67" s="15" t="s">
        <v>203</v>
      </c>
      <c r="C67" s="15" t="s">
        <v>138</v>
      </c>
      <c r="D67" s="15">
        <v>5.58</v>
      </c>
      <c r="E67" s="58" t="s">
        <v>139</v>
      </c>
    </row>
    <row r="68" ht="14.25" customHeight="1">
      <c r="A68" s="60" t="s">
        <v>195</v>
      </c>
      <c r="B68" s="15" t="s">
        <v>204</v>
      </c>
      <c r="C68" s="15" t="s">
        <v>138</v>
      </c>
      <c r="D68" s="15">
        <v>5.25</v>
      </c>
      <c r="E68" s="58" t="s">
        <v>139</v>
      </c>
    </row>
    <row r="69" ht="14.25" customHeight="1">
      <c r="A69" s="60" t="s">
        <v>195</v>
      </c>
      <c r="B69" s="15" t="s">
        <v>205</v>
      </c>
      <c r="C69" s="15" t="s">
        <v>138</v>
      </c>
      <c r="D69" s="15">
        <v>6.91</v>
      </c>
      <c r="E69" s="58" t="s">
        <v>139</v>
      </c>
    </row>
    <row r="70" ht="14.25" customHeight="1">
      <c r="A70" s="60" t="s">
        <v>195</v>
      </c>
      <c r="B70" s="15" t="s">
        <v>206</v>
      </c>
      <c r="C70" s="15" t="s">
        <v>138</v>
      </c>
      <c r="D70" s="15">
        <v>4.66</v>
      </c>
      <c r="E70" s="58" t="s">
        <v>139</v>
      </c>
    </row>
    <row r="71" ht="14.25" customHeight="1">
      <c r="A71" s="60" t="s">
        <v>195</v>
      </c>
      <c r="B71" s="15" t="s">
        <v>207</v>
      </c>
      <c r="C71" s="15" t="s">
        <v>138</v>
      </c>
      <c r="D71" s="15">
        <v>4.66</v>
      </c>
      <c r="E71" s="58" t="s">
        <v>139</v>
      </c>
    </row>
    <row r="72" ht="14.25" customHeight="1">
      <c r="A72" s="60" t="s">
        <v>195</v>
      </c>
      <c r="B72" s="15" t="s">
        <v>208</v>
      </c>
      <c r="C72" s="15" t="s">
        <v>138</v>
      </c>
      <c r="D72" s="15">
        <v>3.75</v>
      </c>
      <c r="E72" s="58" t="s">
        <v>42</v>
      </c>
    </row>
    <row r="73" ht="14.25" customHeight="1">
      <c r="A73" s="60" t="s">
        <v>195</v>
      </c>
      <c r="B73" s="15" t="s">
        <v>209</v>
      </c>
      <c r="C73" s="15" t="s">
        <v>138</v>
      </c>
      <c r="D73" s="15">
        <v>3.5</v>
      </c>
      <c r="E73" s="58" t="s">
        <v>42</v>
      </c>
    </row>
    <row r="74" ht="14.25" customHeight="1">
      <c r="A74" s="60" t="s">
        <v>195</v>
      </c>
      <c r="B74" s="15" t="s">
        <v>210</v>
      </c>
      <c r="C74" s="15" t="s">
        <v>138</v>
      </c>
      <c r="D74" s="15">
        <v>3.43</v>
      </c>
      <c r="E74" s="58" t="s">
        <v>42</v>
      </c>
    </row>
    <row r="75" ht="14.25" customHeight="1">
      <c r="A75" s="60" t="s">
        <v>195</v>
      </c>
      <c r="B75" s="15" t="s">
        <v>211</v>
      </c>
      <c r="C75" s="15" t="s">
        <v>138</v>
      </c>
      <c r="D75" s="15">
        <v>2.75</v>
      </c>
      <c r="E75" s="58" t="s">
        <v>42</v>
      </c>
    </row>
    <row r="76" ht="14.25" customHeight="1">
      <c r="A76" s="60"/>
      <c r="B76" s="15"/>
      <c r="C76" s="15"/>
      <c r="D76" s="15"/>
      <c r="E76" s="58"/>
    </row>
    <row r="77" ht="14.25" customHeight="1">
      <c r="A77" s="60" t="s">
        <v>212</v>
      </c>
      <c r="B77" s="15" t="s">
        <v>213</v>
      </c>
      <c r="C77" s="15" t="s">
        <v>138</v>
      </c>
      <c r="D77" s="15">
        <v>3.7</v>
      </c>
      <c r="E77" s="58" t="s">
        <v>42</v>
      </c>
    </row>
    <row r="78" ht="14.25" customHeight="1">
      <c r="A78" s="60" t="s">
        <v>212</v>
      </c>
      <c r="B78" s="15" t="s">
        <v>214</v>
      </c>
      <c r="C78" s="15" t="s">
        <v>138</v>
      </c>
      <c r="D78" s="15">
        <v>6.4</v>
      </c>
      <c r="E78" s="58" t="s">
        <v>139</v>
      </c>
    </row>
    <row r="79" ht="14.25" customHeight="1">
      <c r="A79" s="60" t="s">
        <v>212</v>
      </c>
      <c r="B79" s="15" t="s">
        <v>215</v>
      </c>
      <c r="C79" s="15" t="s">
        <v>138</v>
      </c>
      <c r="D79" s="15">
        <v>4.98</v>
      </c>
      <c r="E79" s="58" t="s">
        <v>139</v>
      </c>
    </row>
    <row r="80" ht="14.25" customHeight="1">
      <c r="A80" s="60" t="s">
        <v>212</v>
      </c>
      <c r="B80" s="15" t="s">
        <v>216</v>
      </c>
      <c r="C80" s="15" t="s">
        <v>138</v>
      </c>
      <c r="D80" s="15">
        <v>3.99</v>
      </c>
      <c r="E80" s="58" t="s">
        <v>42</v>
      </c>
    </row>
    <row r="81" ht="14.25" customHeight="1">
      <c r="A81" s="60" t="s">
        <v>212</v>
      </c>
      <c r="B81" s="15" t="s">
        <v>217</v>
      </c>
      <c r="C81" s="15" t="s">
        <v>138</v>
      </c>
      <c r="D81" s="15">
        <v>3.53</v>
      </c>
      <c r="E81" s="58" t="s">
        <v>42</v>
      </c>
    </row>
    <row r="82" ht="14.25" customHeight="1">
      <c r="A82" s="60" t="s">
        <v>212</v>
      </c>
      <c r="B82" s="15" t="s">
        <v>218</v>
      </c>
      <c r="C82" s="15" t="s">
        <v>138</v>
      </c>
      <c r="D82" s="15">
        <v>3.0</v>
      </c>
      <c r="E82" s="58" t="s">
        <v>42</v>
      </c>
    </row>
    <row r="83" ht="14.25" customHeight="1">
      <c r="A83" s="60" t="s">
        <v>212</v>
      </c>
      <c r="B83" s="15" t="s">
        <v>219</v>
      </c>
      <c r="C83" s="15" t="s">
        <v>138</v>
      </c>
      <c r="D83" s="15">
        <v>3.22</v>
      </c>
      <c r="E83" s="58" t="s">
        <v>42</v>
      </c>
    </row>
    <row r="84" ht="14.25" customHeight="1">
      <c r="A84" s="61" t="s">
        <v>212</v>
      </c>
      <c r="B84" s="43" t="s">
        <v>220</v>
      </c>
      <c r="C84" s="43" t="s">
        <v>138</v>
      </c>
      <c r="D84" s="43">
        <v>6.77</v>
      </c>
      <c r="E84" s="62" t="s">
        <v>139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5:A7"/>
    <mergeCell ref="B5:B7"/>
    <mergeCell ref="C5:C7"/>
    <mergeCell ref="E5:E7"/>
    <mergeCell ref="D6:D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24.86"/>
    <col customWidth="1" min="4" max="6" width="10.71"/>
    <col customWidth="1" min="7" max="7" width="14.43"/>
    <col customWidth="1" min="8" max="10" width="10.71"/>
    <col customWidth="1" min="11" max="11" width="12.43"/>
    <col customWidth="1" min="12" max="26" width="10.71"/>
  </cols>
  <sheetData>
    <row r="1" ht="14.25" customHeight="1"/>
    <row r="2" ht="14.25" customHeight="1"/>
    <row r="3" ht="14.25" customHeight="1">
      <c r="A3" s="1" t="s">
        <v>0</v>
      </c>
      <c r="B3" s="2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63" t="s">
        <v>6</v>
      </c>
      <c r="H3" s="64" t="s">
        <v>0</v>
      </c>
      <c r="I3" s="65" t="s">
        <v>1</v>
      </c>
      <c r="J3" s="65" t="s">
        <v>2</v>
      </c>
      <c r="K3" s="66" t="s">
        <v>3</v>
      </c>
      <c r="L3" s="67" t="s">
        <v>221</v>
      </c>
      <c r="M3" s="68"/>
      <c r="N3" s="68"/>
    </row>
    <row r="4" ht="14.25" customHeight="1">
      <c r="A4" s="6" t="s">
        <v>7</v>
      </c>
      <c r="B4" s="7" t="s">
        <v>8</v>
      </c>
      <c r="C4" s="8" t="s">
        <v>9</v>
      </c>
      <c r="D4" s="9" t="s">
        <v>10</v>
      </c>
      <c r="E4" s="9" t="s">
        <v>11</v>
      </c>
      <c r="F4" s="9" t="s">
        <v>12</v>
      </c>
      <c r="G4" s="69" t="s">
        <v>13</v>
      </c>
      <c r="H4" s="70" t="s">
        <v>222</v>
      </c>
      <c r="I4" s="71" t="s">
        <v>223</v>
      </c>
      <c r="J4" s="71" t="s">
        <v>224</v>
      </c>
      <c r="K4" s="72" t="s">
        <v>225</v>
      </c>
      <c r="L4" s="73"/>
      <c r="M4" s="73"/>
      <c r="N4" s="73"/>
    </row>
    <row r="5" ht="14.25" customHeight="1">
      <c r="A5" s="17" t="s">
        <v>15</v>
      </c>
      <c r="B5" s="18" t="s">
        <v>22</v>
      </c>
      <c r="C5" s="14" t="s">
        <v>20</v>
      </c>
      <c r="D5" s="19">
        <v>8.67</v>
      </c>
      <c r="E5" s="19">
        <v>7.61</v>
      </c>
      <c r="F5" s="20">
        <v>7.36</v>
      </c>
      <c r="G5" s="74" t="s">
        <v>23</v>
      </c>
      <c r="H5" s="75" t="s">
        <v>226</v>
      </c>
      <c r="I5" s="76" t="s">
        <v>227</v>
      </c>
      <c r="J5" s="76"/>
      <c r="K5" s="77"/>
      <c r="L5" s="78"/>
      <c r="M5" s="75" t="s">
        <v>226</v>
      </c>
      <c r="N5" s="75" t="s">
        <v>226</v>
      </c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4.25" customHeight="1">
      <c r="A6" s="12" t="s">
        <v>15</v>
      </c>
      <c r="B6" s="13" t="s">
        <v>24</v>
      </c>
      <c r="C6" s="14" t="s">
        <v>25</v>
      </c>
      <c r="D6" s="15">
        <v>8.41</v>
      </c>
      <c r="E6" s="15">
        <v>8.08</v>
      </c>
      <c r="F6" s="22">
        <v>6.86</v>
      </c>
      <c r="G6" s="80" t="s">
        <v>23</v>
      </c>
      <c r="H6" s="75" t="s">
        <v>226</v>
      </c>
      <c r="I6" s="76" t="s">
        <v>227</v>
      </c>
      <c r="J6" s="76"/>
      <c r="K6" s="77"/>
      <c r="L6" s="78"/>
      <c r="M6" s="75" t="s">
        <v>226</v>
      </c>
      <c r="N6" s="75" t="s">
        <v>226</v>
      </c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4.25" customHeight="1">
      <c r="A7" s="12" t="s">
        <v>15</v>
      </c>
      <c r="B7" s="13" t="s">
        <v>26</v>
      </c>
      <c r="C7" s="14" t="s">
        <v>17</v>
      </c>
      <c r="D7" s="15">
        <v>6.91</v>
      </c>
      <c r="E7" s="23">
        <v>5.95</v>
      </c>
      <c r="F7" s="22">
        <v>6.7</v>
      </c>
      <c r="G7" s="80" t="s">
        <v>23</v>
      </c>
      <c r="H7" s="75" t="s">
        <v>226</v>
      </c>
      <c r="I7" s="76" t="s">
        <v>227</v>
      </c>
      <c r="J7" s="76"/>
      <c r="K7" s="77"/>
      <c r="L7" s="78"/>
      <c r="M7" s="75" t="s">
        <v>226</v>
      </c>
      <c r="N7" s="75" t="s">
        <v>226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4.25" customHeight="1">
      <c r="A8" s="12" t="s">
        <v>15</v>
      </c>
      <c r="B8" s="13" t="s">
        <v>27</v>
      </c>
      <c r="C8" s="14" t="s">
        <v>20</v>
      </c>
      <c r="D8" s="15">
        <v>6.65</v>
      </c>
      <c r="E8" s="15">
        <v>5.64</v>
      </c>
      <c r="F8" s="22">
        <v>6.16</v>
      </c>
      <c r="G8" s="80" t="s">
        <v>23</v>
      </c>
      <c r="H8" s="75" t="s">
        <v>226</v>
      </c>
      <c r="I8" s="76"/>
      <c r="J8" s="76"/>
      <c r="K8" s="77"/>
      <c r="L8" s="78"/>
      <c r="M8" s="75" t="s">
        <v>226</v>
      </c>
      <c r="N8" s="81" t="s">
        <v>228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4.25" customHeight="1">
      <c r="A9" s="12" t="s">
        <v>15</v>
      </c>
      <c r="B9" s="13" t="s">
        <v>28</v>
      </c>
      <c r="C9" s="14" t="s">
        <v>17</v>
      </c>
      <c r="D9" s="15">
        <v>8.5</v>
      </c>
      <c r="E9" s="15">
        <v>9.05</v>
      </c>
      <c r="F9" s="22">
        <v>5.74</v>
      </c>
      <c r="G9" s="80" t="s">
        <v>23</v>
      </c>
      <c r="H9" s="75" t="s">
        <v>226</v>
      </c>
      <c r="I9" s="76"/>
      <c r="J9" s="76"/>
      <c r="K9" s="77" t="s">
        <v>229</v>
      </c>
      <c r="L9" s="78"/>
      <c r="M9" s="82" t="s">
        <v>230</v>
      </c>
      <c r="N9" s="82" t="s">
        <v>230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4.25" customHeight="1">
      <c r="A10" s="26" t="s">
        <v>51</v>
      </c>
      <c r="B10" s="26"/>
      <c r="C10" s="26"/>
      <c r="D10" s="26"/>
      <c r="E10" s="26"/>
      <c r="F10" s="26"/>
      <c r="G10" s="26"/>
      <c r="H10" s="75" t="s">
        <v>226</v>
      </c>
      <c r="I10" s="76" t="s">
        <v>231</v>
      </c>
      <c r="J10" s="76"/>
      <c r="K10" s="77"/>
      <c r="L10" s="78"/>
      <c r="M10" s="78"/>
      <c r="N10" s="78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4.25" customHeight="1">
      <c r="A11" s="27" t="s">
        <v>52</v>
      </c>
      <c r="B11" s="28" t="s">
        <v>53</v>
      </c>
      <c r="C11" s="29" t="s">
        <v>54</v>
      </c>
      <c r="D11" s="30">
        <v>9.0</v>
      </c>
      <c r="E11" s="30">
        <v>7.64</v>
      </c>
      <c r="F11" s="31">
        <v>7.94</v>
      </c>
      <c r="G11" s="83" t="s">
        <v>55</v>
      </c>
      <c r="H11" s="75" t="s">
        <v>226</v>
      </c>
      <c r="I11" s="76" t="s">
        <v>231</v>
      </c>
      <c r="J11" s="76"/>
      <c r="K11" s="77"/>
      <c r="L11" s="78"/>
      <c r="M11" s="75" t="s">
        <v>226</v>
      </c>
      <c r="N11" s="75" t="s">
        <v>226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4.25" customHeight="1">
      <c r="A12" s="27" t="s">
        <v>52</v>
      </c>
      <c r="B12" s="13" t="s">
        <v>56</v>
      </c>
      <c r="C12" s="33" t="s">
        <v>57</v>
      </c>
      <c r="D12" s="30">
        <v>7.6</v>
      </c>
      <c r="E12" s="30">
        <v>6.25</v>
      </c>
      <c r="F12" s="31">
        <v>6.97</v>
      </c>
      <c r="G12" s="83" t="s">
        <v>55</v>
      </c>
      <c r="H12" s="75" t="s">
        <v>226</v>
      </c>
      <c r="I12" s="76" t="s">
        <v>231</v>
      </c>
      <c r="J12" s="76"/>
      <c r="K12" s="77"/>
      <c r="L12" s="78"/>
      <c r="M12" s="75" t="s">
        <v>226</v>
      </c>
      <c r="N12" s="75" t="s">
        <v>226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4.25" customHeight="1">
      <c r="A13" s="27" t="s">
        <v>52</v>
      </c>
      <c r="B13" s="13" t="s">
        <v>58</v>
      </c>
      <c r="C13" s="33" t="s">
        <v>59</v>
      </c>
      <c r="D13" s="30">
        <v>4.4</v>
      </c>
      <c r="E13" s="30">
        <v>4.47</v>
      </c>
      <c r="F13" s="31">
        <v>5.06</v>
      </c>
      <c r="G13" s="83" t="s">
        <v>55</v>
      </c>
      <c r="H13" s="75" t="s">
        <v>226</v>
      </c>
      <c r="I13" s="76"/>
      <c r="J13" s="76"/>
      <c r="K13" s="77"/>
      <c r="L13" s="78"/>
      <c r="M13" s="75" t="s">
        <v>226</v>
      </c>
      <c r="N13" s="82" t="s">
        <v>228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4.25" customHeight="1">
      <c r="A14" s="26" t="s">
        <v>68</v>
      </c>
      <c r="B14" s="26"/>
      <c r="C14" s="26"/>
      <c r="D14" s="26"/>
      <c r="E14" s="26"/>
      <c r="F14" s="26"/>
      <c r="G14" s="26"/>
      <c r="H14" s="75" t="s">
        <v>226</v>
      </c>
      <c r="I14" s="76"/>
      <c r="J14" s="76"/>
      <c r="K14" s="77"/>
      <c r="L14" s="78"/>
      <c r="M14" s="78"/>
      <c r="N14" s="78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4.25" customHeight="1">
      <c r="A15" s="13" t="s">
        <v>69</v>
      </c>
      <c r="B15" s="13" t="s">
        <v>70</v>
      </c>
      <c r="C15" s="33" t="s">
        <v>71</v>
      </c>
      <c r="D15" s="30">
        <v>8.63</v>
      </c>
      <c r="E15" s="30">
        <v>9.72</v>
      </c>
      <c r="F15" s="84">
        <v>7.45</v>
      </c>
      <c r="G15" s="83" t="s">
        <v>55</v>
      </c>
      <c r="H15" s="75" t="s">
        <v>226</v>
      </c>
      <c r="I15" s="76" t="s">
        <v>231</v>
      </c>
      <c r="J15" s="76"/>
      <c r="K15" s="77"/>
      <c r="L15" s="78"/>
      <c r="M15" s="75" t="s">
        <v>226</v>
      </c>
      <c r="N15" s="75" t="s">
        <v>226</v>
      </c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4.25" customHeight="1">
      <c r="A16" s="13" t="s">
        <v>69</v>
      </c>
      <c r="B16" s="13" t="s">
        <v>73</v>
      </c>
      <c r="C16" s="33" t="s">
        <v>71</v>
      </c>
      <c r="D16" s="30">
        <v>8.27</v>
      </c>
      <c r="E16" s="30">
        <v>5.72</v>
      </c>
      <c r="F16" s="84">
        <v>6.569999999999999</v>
      </c>
      <c r="G16" s="83" t="s">
        <v>55</v>
      </c>
      <c r="H16" s="75" t="s">
        <v>226</v>
      </c>
      <c r="I16" s="76"/>
      <c r="J16" s="76" t="s">
        <v>232</v>
      </c>
      <c r="K16" s="77"/>
      <c r="L16" s="78"/>
      <c r="M16" s="75" t="s">
        <v>226</v>
      </c>
      <c r="N16" s="75" t="s">
        <v>226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4.25" customHeight="1">
      <c r="A17" s="13" t="s">
        <v>69</v>
      </c>
      <c r="B17" s="13" t="s">
        <v>74</v>
      </c>
      <c r="C17" s="33" t="s">
        <v>71</v>
      </c>
      <c r="D17" s="30">
        <v>8.83</v>
      </c>
      <c r="E17" s="30">
        <v>9.81</v>
      </c>
      <c r="F17" s="84">
        <v>7.09</v>
      </c>
      <c r="G17" s="83" t="s">
        <v>55</v>
      </c>
      <c r="H17" s="75" t="s">
        <v>226</v>
      </c>
      <c r="I17" s="76" t="s">
        <v>231</v>
      </c>
      <c r="J17" s="76"/>
      <c r="K17" s="77"/>
      <c r="L17" s="78"/>
      <c r="M17" s="75" t="s">
        <v>226</v>
      </c>
      <c r="N17" s="75" t="s">
        <v>226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4.25" customHeight="1">
      <c r="A18" s="37" t="s">
        <v>89</v>
      </c>
      <c r="B18" s="26"/>
      <c r="C18" s="26"/>
      <c r="D18" s="26"/>
      <c r="E18" s="26"/>
      <c r="F18" s="85"/>
      <c r="G18" s="26"/>
      <c r="H18" s="75" t="s">
        <v>226</v>
      </c>
      <c r="I18" s="76" t="s">
        <v>231</v>
      </c>
      <c r="J18" s="76"/>
      <c r="K18" s="77"/>
      <c r="L18" s="78"/>
      <c r="M18" s="78"/>
      <c r="N18" s="78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4.25" customHeight="1">
      <c r="A19" s="13" t="s">
        <v>90</v>
      </c>
      <c r="B19" s="13" t="s">
        <v>93</v>
      </c>
      <c r="C19" s="33" t="s">
        <v>94</v>
      </c>
      <c r="D19" s="30">
        <v>6.41</v>
      </c>
      <c r="E19" s="30">
        <v>5.91</v>
      </c>
      <c r="F19" s="84">
        <v>6.43</v>
      </c>
      <c r="G19" s="83" t="s">
        <v>55</v>
      </c>
      <c r="H19" s="75" t="s">
        <v>226</v>
      </c>
      <c r="I19" s="76" t="s">
        <v>231</v>
      </c>
      <c r="J19" s="76"/>
      <c r="K19" s="77"/>
      <c r="L19" s="78"/>
      <c r="M19" s="82" t="s">
        <v>226</v>
      </c>
      <c r="N19" s="82" t="s">
        <v>226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4.25" customHeight="1">
      <c r="A20" s="13" t="s">
        <v>90</v>
      </c>
      <c r="B20" s="13" t="s">
        <v>102</v>
      </c>
      <c r="C20" s="33" t="s">
        <v>103</v>
      </c>
      <c r="D20" s="30">
        <v>9.05</v>
      </c>
      <c r="E20" s="30">
        <v>8.0</v>
      </c>
      <c r="F20" s="84">
        <v>8.54</v>
      </c>
      <c r="G20" s="83" t="s">
        <v>55</v>
      </c>
      <c r="H20" s="75" t="s">
        <v>226</v>
      </c>
      <c r="I20" s="76"/>
      <c r="J20" s="76"/>
      <c r="K20" s="77" t="s">
        <v>229</v>
      </c>
      <c r="L20" s="78"/>
      <c r="M20" s="82" t="s">
        <v>230</v>
      </c>
      <c r="N20" s="82" t="s">
        <v>230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4.25" customHeight="1"/>
    <row r="22" ht="14.25" customHeight="1">
      <c r="C22" s="86" t="s">
        <v>233</v>
      </c>
      <c r="D22" s="87">
        <f>E22/E23</f>
        <v>0.7692307692</v>
      </c>
      <c r="E22" s="88">
        <v>10.0</v>
      </c>
      <c r="F22" s="89" t="s">
        <v>234</v>
      </c>
      <c r="G22" s="89" t="s">
        <v>235</v>
      </c>
    </row>
    <row r="23" ht="14.25" customHeight="1">
      <c r="C23" s="89"/>
      <c r="D23" s="89"/>
      <c r="E23" s="88">
        <v>13.0</v>
      </c>
      <c r="F23" s="89" t="s">
        <v>236</v>
      </c>
      <c r="G23" s="89" t="s">
        <v>237</v>
      </c>
    </row>
    <row r="24" ht="14.25" customHeight="1">
      <c r="C24" s="11" t="s">
        <v>238</v>
      </c>
      <c r="D24" s="44">
        <f>E24/E23</f>
        <v>0.2307692308</v>
      </c>
      <c r="E24" s="11">
        <v>3.0</v>
      </c>
      <c r="F24" s="11" t="s">
        <v>239</v>
      </c>
    </row>
    <row r="25" ht="14.25" customHeight="1"/>
    <row r="26" ht="14.25" customHeight="1"/>
    <row r="27" ht="14.25" customHeight="1">
      <c r="D27" s="90" t="s">
        <v>240</v>
      </c>
      <c r="E27" s="90" t="s">
        <v>241</v>
      </c>
      <c r="F27" s="90" t="s">
        <v>242</v>
      </c>
      <c r="G27" s="90" t="s">
        <v>243</v>
      </c>
      <c r="H27" s="90" t="s">
        <v>244</v>
      </c>
      <c r="I27" s="90" t="s">
        <v>245</v>
      </c>
      <c r="J27" s="90" t="s">
        <v>239</v>
      </c>
      <c r="K27" s="90" t="s">
        <v>246</v>
      </c>
    </row>
    <row r="28" ht="14.25" customHeight="1">
      <c r="D28" s="11" t="s">
        <v>247</v>
      </c>
      <c r="E28" s="11">
        <v>209.0</v>
      </c>
      <c r="F28" s="11">
        <v>49.0</v>
      </c>
      <c r="G28" s="44">
        <f t="shared" ref="G28:G32" si="1">F28/E28</f>
        <v>0.2344497608</v>
      </c>
      <c r="H28" s="11">
        <v>45.0</v>
      </c>
      <c r="I28" s="91">
        <f t="shared" ref="I28:I32" si="2">H28/F28</f>
        <v>0.9183673469</v>
      </c>
      <c r="J28" s="11">
        <v>4.0</v>
      </c>
      <c r="K28" s="92">
        <f t="shared" ref="K28:K32" si="3">(J28/H28)</f>
        <v>0.08888888889</v>
      </c>
    </row>
    <row r="29" ht="14.25" customHeight="1">
      <c r="D29" s="11" t="s">
        <v>248</v>
      </c>
      <c r="E29" s="11">
        <v>70.0</v>
      </c>
      <c r="F29" s="11">
        <v>13.0</v>
      </c>
      <c r="G29" s="44">
        <f t="shared" si="1"/>
        <v>0.1857142857</v>
      </c>
      <c r="H29" s="11">
        <v>10.0</v>
      </c>
      <c r="I29" s="91">
        <f t="shared" si="2"/>
        <v>0.7692307692</v>
      </c>
      <c r="J29" s="11">
        <v>2.0</v>
      </c>
      <c r="K29" s="92">
        <f t="shared" si="3"/>
        <v>0.2</v>
      </c>
    </row>
    <row r="30" ht="14.25" customHeight="1">
      <c r="D30" s="11" t="s">
        <v>249</v>
      </c>
      <c r="E30" s="11">
        <v>326.0</v>
      </c>
      <c r="F30" s="11">
        <v>59.0</v>
      </c>
      <c r="G30" s="44">
        <f t="shared" si="1"/>
        <v>0.1809815951</v>
      </c>
      <c r="H30" s="11">
        <v>53.0</v>
      </c>
      <c r="I30" s="91">
        <f t="shared" si="2"/>
        <v>0.8983050847</v>
      </c>
      <c r="J30" s="11">
        <v>5.0</v>
      </c>
      <c r="K30" s="92">
        <f t="shared" si="3"/>
        <v>0.09433962264</v>
      </c>
    </row>
    <row r="31" ht="14.25" customHeight="1">
      <c r="D31" s="11" t="s">
        <v>250</v>
      </c>
      <c r="E31" s="11">
        <v>273.0</v>
      </c>
      <c r="F31" s="11">
        <v>42.0</v>
      </c>
      <c r="G31" s="44">
        <f t="shared" si="1"/>
        <v>0.1538461538</v>
      </c>
      <c r="H31" s="11">
        <v>37.0</v>
      </c>
      <c r="I31" s="91">
        <f t="shared" si="2"/>
        <v>0.880952381</v>
      </c>
      <c r="J31" s="11">
        <v>5.0</v>
      </c>
      <c r="K31" s="92">
        <f t="shared" si="3"/>
        <v>0.1351351351</v>
      </c>
    </row>
    <row r="32" ht="14.25" customHeight="1">
      <c r="D32" s="93" t="s">
        <v>251</v>
      </c>
      <c r="E32" s="94">
        <f t="shared" ref="E32:F32" si="4">sum(E28:E31)</f>
        <v>878</v>
      </c>
      <c r="F32" s="94">
        <f t="shared" si="4"/>
        <v>163</v>
      </c>
      <c r="G32" s="95">
        <f t="shared" si="1"/>
        <v>0.1856492027</v>
      </c>
      <c r="H32" s="94">
        <f>sum(H28:H31)</f>
        <v>145</v>
      </c>
      <c r="I32" s="96">
        <f t="shared" si="2"/>
        <v>0.8895705521</v>
      </c>
      <c r="J32" s="97">
        <f>sum(J28:J31)</f>
        <v>16</v>
      </c>
      <c r="K32" s="92">
        <f t="shared" si="3"/>
        <v>0.1103448276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2025-04-22T10:29:39Z</dcterms:created>
  <dc:creator>LFF</dc:creator>
</cp:coreProperties>
</file>