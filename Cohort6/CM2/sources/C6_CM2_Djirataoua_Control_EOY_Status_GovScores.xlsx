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a5568e1ef3ca4c6/Documents/OASIS assignment/Hilin Mu/Cohort 7/"/>
    </mc:Choice>
  </mc:AlternateContent>
  <xr:revisionPtr revIDLastSave="0" documentId="8_{8AC4D699-BB9F-4297-B456-ED609A325E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M1" sheetId="2" r:id="rId1"/>
    <sheet name="CM2" sheetId="1" r:id="rId2"/>
    <sheet name="CM1 &amp; CM2 Metr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2" i="3" l="1"/>
  <c r="H22" i="3"/>
  <c r="G22" i="3"/>
  <c r="F22" i="3"/>
  <c r="E22" i="3"/>
  <c r="D22" i="3"/>
  <c r="C22" i="3"/>
  <c r="B22" i="3"/>
  <c r="A245" i="1"/>
  <c r="G245" i="1"/>
  <c r="A213" i="1"/>
  <c r="G213" i="1"/>
  <c r="A181" i="1"/>
  <c r="G181" i="1"/>
  <c r="A151" i="1"/>
  <c r="G151" i="1"/>
  <c r="A128" i="1"/>
  <c r="G128" i="1"/>
  <c r="A91" i="1"/>
  <c r="G91" i="1"/>
  <c r="A70" i="1"/>
  <c r="G70" i="1"/>
  <c r="I14" i="3"/>
  <c r="H14" i="3"/>
  <c r="H15" i="3"/>
  <c r="H16" i="3"/>
  <c r="H17" i="3"/>
  <c r="H18" i="3"/>
  <c r="H19" i="3"/>
  <c r="H20" i="3"/>
  <c r="H21" i="3"/>
  <c r="G14" i="3"/>
  <c r="G15" i="3"/>
  <c r="G16" i="3"/>
  <c r="G17" i="3"/>
  <c r="G18" i="3"/>
  <c r="G19" i="3"/>
  <c r="G20" i="3"/>
  <c r="G21" i="3"/>
  <c r="F14" i="3"/>
  <c r="F15" i="3"/>
  <c r="I15" i="3" s="1"/>
  <c r="F16" i="3"/>
  <c r="I16" i="3" s="1"/>
  <c r="F17" i="3"/>
  <c r="I17" i="3" s="1"/>
  <c r="F18" i="3"/>
  <c r="I18" i="3" s="1"/>
  <c r="F19" i="3"/>
  <c r="I19" i="3" s="1"/>
  <c r="F20" i="3"/>
  <c r="I20" i="3" s="1"/>
  <c r="F21" i="3"/>
  <c r="I21" i="3" s="1"/>
  <c r="A36" i="1"/>
  <c r="G36" i="1"/>
  <c r="E11" i="3"/>
  <c r="C11" i="3"/>
  <c r="G11" i="3" s="1"/>
  <c r="B11" i="3"/>
  <c r="E166" i="2"/>
  <c r="A195" i="2"/>
  <c r="E195" i="2"/>
  <c r="F9" i="3"/>
  <c r="G9" i="3"/>
  <c r="H9" i="3"/>
  <c r="I9" i="3"/>
  <c r="F10" i="3"/>
  <c r="I10" i="3" s="1"/>
  <c r="G10" i="3"/>
  <c r="H10" i="3"/>
  <c r="D8" i="3"/>
  <c r="F8" i="3" s="1"/>
  <c r="I8" i="3" s="1"/>
  <c r="A132" i="2"/>
  <c r="E132" i="2"/>
  <c r="G8" i="3"/>
  <c r="A110" i="2"/>
  <c r="E110" i="2"/>
  <c r="D6" i="3"/>
  <c r="H6" i="3" s="1"/>
  <c r="A78" i="2"/>
  <c r="E78" i="2"/>
  <c r="A51" i="2"/>
  <c r="E51" i="2"/>
  <c r="D5" i="3"/>
  <c r="F5" i="3" s="1"/>
  <c r="I5" i="3" s="1"/>
  <c r="H4" i="3"/>
  <c r="H7" i="3"/>
  <c r="G4" i="3"/>
  <c r="G5" i="3"/>
  <c r="G6" i="3"/>
  <c r="G7" i="3"/>
  <c r="F4" i="3"/>
  <c r="I4" i="3" s="1"/>
  <c r="F7" i="3"/>
  <c r="I7" i="3" s="1"/>
  <c r="A25" i="2"/>
  <c r="E25" i="2"/>
  <c r="D11" i="3" l="1"/>
  <c r="H11" i="3" s="1"/>
  <c r="F11" i="3"/>
  <c r="I11" i="3" s="1"/>
  <c r="F6" i="3"/>
  <c r="I6" i="3" s="1"/>
  <c r="H5" i="3"/>
  <c r="H8" i="3"/>
</calcChain>
</file>

<file path=xl/sharedStrings.xml><?xml version="1.0" encoding="utf-8"?>
<sst xmlns="http://schemas.openxmlformats.org/spreadsheetml/2006/main" count="1276" uniqueCount="546">
  <si>
    <t>DREN: Maradi</t>
  </si>
  <si>
    <t>IEEP: Djirataoua</t>
  </si>
  <si>
    <t>IREP: Maradi</t>
  </si>
  <si>
    <t>Noms et prénoms</t>
  </si>
  <si>
    <t>Dates et lieu de naissance</t>
  </si>
  <si>
    <t>Evaluation N°1</t>
  </si>
  <si>
    <t>Evaluation N°2</t>
  </si>
  <si>
    <t>Observation</t>
  </si>
  <si>
    <t>N°</t>
  </si>
  <si>
    <t>Amira Ali</t>
  </si>
  <si>
    <t>Fati Harouna</t>
  </si>
  <si>
    <t>Fatouma Zara Moustapha</t>
  </si>
  <si>
    <t>Firdaoussi Issaka</t>
  </si>
  <si>
    <t>Habsatou Hachimou</t>
  </si>
  <si>
    <t>Hassia Saadou</t>
  </si>
  <si>
    <t xml:space="preserve">Marwa Hachimou </t>
  </si>
  <si>
    <t>Nana Aichatou Salissou</t>
  </si>
  <si>
    <t>Nana Bassira Salissou</t>
  </si>
  <si>
    <t>Nana Sadjida Illo</t>
  </si>
  <si>
    <t>Nisseiba Ichaou</t>
  </si>
  <si>
    <t>Yassira Yahaya</t>
  </si>
  <si>
    <t>Aicha Mahaman</t>
  </si>
  <si>
    <t>Aminatou Ousmane</t>
  </si>
  <si>
    <t>Bassira Ali</t>
  </si>
  <si>
    <t>Fadjimata Salissou</t>
  </si>
  <si>
    <t>Farida Harouna</t>
  </si>
  <si>
    <t>Habsa Idrissa</t>
  </si>
  <si>
    <t>Hassana Issoufou</t>
  </si>
  <si>
    <t>Housseina Issoufou</t>
  </si>
  <si>
    <t>Nadia Abdourahaman</t>
  </si>
  <si>
    <t>Nafissa Issaka</t>
  </si>
  <si>
    <t>Naima Chaibou</t>
  </si>
  <si>
    <t>Nana Aicha Issoufou</t>
  </si>
  <si>
    <t>Nana Aicha Halilou</t>
  </si>
  <si>
    <t>Nana Kadidja Moussa</t>
  </si>
  <si>
    <t>Nassira Ayouba</t>
  </si>
  <si>
    <t>Nazifa Tassiou</t>
  </si>
  <si>
    <t>Nouria Sani</t>
  </si>
  <si>
    <t>Roumassaou Iro</t>
  </si>
  <si>
    <t>8/12/2010 à Djirataoua</t>
  </si>
  <si>
    <t>27/10/2011 à Djirataoua</t>
  </si>
  <si>
    <t>2/12/2010 à Djirataoua</t>
  </si>
  <si>
    <t>1/01/2012 à Djirataoua</t>
  </si>
  <si>
    <t xml:space="preserve"> CFEPD</t>
  </si>
  <si>
    <t>24/04/2011 à Djirataoua</t>
  </si>
  <si>
    <t>01/01/2011 à Djirataoua</t>
  </si>
  <si>
    <t>01/01/2012 à Djirataoua</t>
  </si>
  <si>
    <t xml:space="preserve"> 01/01/2012 à Djirataoua</t>
  </si>
  <si>
    <t>02/11/2010 à Djirataoua</t>
  </si>
  <si>
    <t>01/01/2010 à Djirataoua</t>
  </si>
  <si>
    <t>01/01/2008 à Djirataoua</t>
  </si>
  <si>
    <t>01/01 /2009 à Djirataoua</t>
  </si>
  <si>
    <t>10/10/2010 à Djirataoua</t>
  </si>
  <si>
    <t>18/04/2009 à Djirataoua</t>
  </si>
  <si>
    <t>22/03/2010 à Djirataoua</t>
  </si>
  <si>
    <t>07/06/2009 à Djirataoua</t>
  </si>
  <si>
    <t>06/04/2009 à Djirataoua</t>
  </si>
  <si>
    <t>17/01/2011 à Djirataoua</t>
  </si>
  <si>
    <t xml:space="preserve"> 01/01/2010 à Djirataoua</t>
  </si>
  <si>
    <t>26/02/2010 à Djirataoua</t>
  </si>
  <si>
    <t>12/06/2010 à Djirataoua</t>
  </si>
  <si>
    <t xml:space="preserve"> </t>
  </si>
  <si>
    <t>Redouble</t>
  </si>
  <si>
    <t>CEG</t>
  </si>
  <si>
    <t>CFM</t>
  </si>
  <si>
    <t>Ecole Oumarou Gago</t>
  </si>
  <si>
    <t>Anifatou Maazou</t>
  </si>
  <si>
    <t>01-01-2012 à Galadantchi</t>
  </si>
  <si>
    <t>Anifatou Tassiou</t>
  </si>
  <si>
    <t>Chamsiya laouali</t>
  </si>
  <si>
    <t>Chamsiya Yousouf</t>
  </si>
  <si>
    <t>Badiya Sani</t>
  </si>
  <si>
    <t>Chaawa Adamou</t>
  </si>
  <si>
    <t>Fati Ayouba</t>
  </si>
  <si>
    <t>Hannatou Chaibou</t>
  </si>
  <si>
    <t>Manira Laouali</t>
  </si>
  <si>
    <t>Manira Ousmane</t>
  </si>
  <si>
    <t>Mariama Hamissou</t>
  </si>
  <si>
    <t>Nadia Abdoulkader</t>
  </si>
  <si>
    <t>Oumaira Adamou</t>
  </si>
  <si>
    <t>Safiya Rabiou</t>
  </si>
  <si>
    <t>Hassana Illo</t>
  </si>
  <si>
    <t>Oiusseina Illo</t>
  </si>
  <si>
    <t>Souraya Adamou</t>
  </si>
  <si>
    <t xml:space="preserve">Yasmina Rabiou </t>
  </si>
  <si>
    <t>Yasmina Achirou</t>
  </si>
  <si>
    <t>Kamila Sani</t>
  </si>
  <si>
    <t>Amida Sani</t>
  </si>
  <si>
    <t>01-01-2011 à Galadantchi</t>
  </si>
  <si>
    <t>Darajatou Sabiou</t>
  </si>
  <si>
    <t>Farida Laouali</t>
  </si>
  <si>
    <t>Fadila Mahamadou</t>
  </si>
  <si>
    <t>Nana Raoufa Ayouba</t>
  </si>
  <si>
    <t>Roumassaou Sanoussi</t>
  </si>
  <si>
    <t>Roufaida Sabiou</t>
  </si>
  <si>
    <t>Soumaya Ayouba</t>
  </si>
  <si>
    <t>Zakiya Sani</t>
  </si>
  <si>
    <t>Djamila Yahaya</t>
  </si>
  <si>
    <t>01-01-2011 à Zakin Koima</t>
  </si>
  <si>
    <t>Yassira Sabiou</t>
  </si>
  <si>
    <t>Ecole de Bassaraou</t>
  </si>
  <si>
    <t>Haouaou Inouss</t>
  </si>
  <si>
    <t>01-01-2011 à Bassaraou</t>
  </si>
  <si>
    <t>Mari Sada</t>
  </si>
  <si>
    <t>Naomi Yahana</t>
  </si>
  <si>
    <t>Saratou Chaibou</t>
  </si>
  <si>
    <t>Soueba Issoufou</t>
  </si>
  <si>
    <t>Tamarh Yacoubou</t>
  </si>
  <si>
    <t>Yahacheba Sabiou</t>
  </si>
  <si>
    <t>Zahariya Issoouhou</t>
  </si>
  <si>
    <t>Zeinab Maman</t>
  </si>
  <si>
    <t>Balkissa Moussa</t>
  </si>
  <si>
    <t>01-01-2010 à Bassaraou</t>
  </si>
  <si>
    <t>Balkissa Yahaya</t>
  </si>
  <si>
    <t>Moufida Iro</t>
  </si>
  <si>
    <t>Orfa Youhana</t>
  </si>
  <si>
    <t>Serra Laouali</t>
  </si>
  <si>
    <t>Safiya Issoufou</t>
  </si>
  <si>
    <t>Yoka Daouda</t>
  </si>
  <si>
    <t>Irmiya Abdou</t>
  </si>
  <si>
    <t>Ecole Tajayé Djirataoua</t>
  </si>
  <si>
    <t>Aicha Saadou</t>
  </si>
  <si>
    <t>01/01/2012 àTajayé Djirataoua</t>
  </si>
  <si>
    <t>01/01/2011 à Tajayé Djirataoua</t>
  </si>
  <si>
    <t>Aminatou Salissou</t>
  </si>
  <si>
    <t>Amira Maman</t>
  </si>
  <si>
    <t>Badaria Ado</t>
  </si>
  <si>
    <t>Charifa Illa</t>
  </si>
  <si>
    <t>Charifa Malam Moutari</t>
  </si>
  <si>
    <t>Choukouria Chaibou</t>
  </si>
  <si>
    <t>Fadila Rabiou</t>
  </si>
  <si>
    <t>Faouzia Aboullahi</t>
  </si>
  <si>
    <t>Koufouriya Issoufou</t>
  </si>
  <si>
    <t>Mabarouka Souley</t>
  </si>
  <si>
    <t>Malika Ali</t>
  </si>
  <si>
    <t>Maryam Alka</t>
  </si>
  <si>
    <t>Nassiba Abdoullahi</t>
  </si>
  <si>
    <t>Oumaira Abdoullahi</t>
  </si>
  <si>
    <t>Oummalker Chaibou</t>
  </si>
  <si>
    <t>Rabila Adamou</t>
  </si>
  <si>
    <t>Roufaida Laouali</t>
  </si>
  <si>
    <t>Yousra Tsahirou</t>
  </si>
  <si>
    <t>Zaharia Hadi</t>
  </si>
  <si>
    <t>Zaharia Sabiou</t>
  </si>
  <si>
    <t xml:space="preserve">Zakia Illa </t>
  </si>
  <si>
    <t>Aminatou Hamissou</t>
  </si>
  <si>
    <t>Bacharia Habibou</t>
  </si>
  <si>
    <t>Chaawanatou Issaka</t>
  </si>
  <si>
    <t>Marfoua Tsahirou</t>
  </si>
  <si>
    <t>Kadija Chiitou</t>
  </si>
  <si>
    <t>Ramlatou Amadou</t>
  </si>
  <si>
    <t>Soumaya Siradji</t>
  </si>
  <si>
    <t>Zaharaou Kassoum</t>
  </si>
  <si>
    <t>Maraliaya Chaibou</t>
  </si>
  <si>
    <t>01/01/2012 à Tajayé Djirataoua</t>
  </si>
  <si>
    <t>Nafissa Hakilou</t>
  </si>
  <si>
    <t>O</t>
  </si>
  <si>
    <t>Ecole Dan Kari</t>
  </si>
  <si>
    <t>01/01/2011 à Dan Kari</t>
  </si>
  <si>
    <t>01/01/2010 à Dan Kari</t>
  </si>
  <si>
    <t>Aicha Saidou</t>
  </si>
  <si>
    <t>Badaria Saidou</t>
  </si>
  <si>
    <t>Djamila Laouali</t>
  </si>
  <si>
    <t>Nana Haouaou Sabiou</t>
  </si>
  <si>
    <t>Kabira Sani</t>
  </si>
  <si>
    <t>Nana Kaoussar Sani</t>
  </si>
  <si>
    <t>Mahadia Abdou</t>
  </si>
  <si>
    <t>Nazifa Salissou</t>
  </si>
  <si>
    <t>Oumma Bassirou</t>
  </si>
  <si>
    <t>Oumaima Ousseini</t>
  </si>
  <si>
    <t>Rachida Aboubacar</t>
  </si>
  <si>
    <t>Soumaiya Adamou</t>
  </si>
  <si>
    <t>Rahina Sani</t>
  </si>
  <si>
    <t>Zoulaha Abou</t>
  </si>
  <si>
    <t>Oumma Djamila Salissou</t>
  </si>
  <si>
    <t>Attika Maman</t>
  </si>
  <si>
    <t>Sahiba Sani</t>
  </si>
  <si>
    <t>Saliha Sani</t>
  </si>
  <si>
    <t>Ecole Dallia</t>
  </si>
  <si>
    <t>01/01/2012 à Dallia</t>
  </si>
  <si>
    <t>01/01/2010 à Dallia</t>
  </si>
  <si>
    <t>Aicha Oumarou</t>
  </si>
  <si>
    <t>Amina Yakouba</t>
  </si>
  <si>
    <t>Chamsia Ayouba</t>
  </si>
  <si>
    <t>Charifa Tassiou</t>
  </si>
  <si>
    <t>Farida Salissou</t>
  </si>
  <si>
    <t>Fatima Djamilou</t>
  </si>
  <si>
    <t>Fatima Kassoum</t>
  </si>
  <si>
    <t>Fatima Maman</t>
  </si>
  <si>
    <t>Fatouma Yahouza</t>
  </si>
  <si>
    <t>Firdaoussi Oumarou</t>
  </si>
  <si>
    <t>Habsat Moussa</t>
  </si>
  <si>
    <t>Habsatou Saadou</t>
  </si>
  <si>
    <t>Hadjara Habibou</t>
  </si>
  <si>
    <t>Hadiza Ali</t>
  </si>
  <si>
    <t>Mariama Ahamadou</t>
  </si>
  <si>
    <t>Marawiya Hamissou</t>
  </si>
  <si>
    <t>Nana Nisseipa Moussa</t>
  </si>
  <si>
    <t>Nana Paouziya Sani</t>
  </si>
  <si>
    <t>Rabila Binniya</t>
  </si>
  <si>
    <t>Rafia Toukour</t>
  </si>
  <si>
    <t>Ramatou Illa</t>
  </si>
  <si>
    <t>Soumaiya Bello</t>
  </si>
  <si>
    <t>Zeinabou Hamidou</t>
  </si>
  <si>
    <t>Zeinabou Saadou</t>
  </si>
  <si>
    <t>Zouleha Maman</t>
  </si>
  <si>
    <t>Exclu</t>
  </si>
  <si>
    <t>Rabila Moudi</t>
  </si>
  <si>
    <t xml:space="preserve"> 01/01/2010 à Dallia</t>
  </si>
  <si>
    <t>Amira Ayouba</t>
  </si>
  <si>
    <t>Badiya Ayouba</t>
  </si>
  <si>
    <t>1/01/2012 à Kontakora Sofoua</t>
  </si>
  <si>
    <t>Chappa Maman</t>
  </si>
  <si>
    <t>Choukouriya Ayouba</t>
  </si>
  <si>
    <t>Hafiza Hamissou</t>
  </si>
  <si>
    <t>Kadija Issaka</t>
  </si>
  <si>
    <t>Mardiya Elh Iro</t>
  </si>
  <si>
    <t>Mariam yacouba Saidoiu</t>
  </si>
  <si>
    <t>Nabila Saidou</t>
  </si>
  <si>
    <t>Najaatou Achirou</t>
  </si>
  <si>
    <t>Najaatou Illa</t>
  </si>
  <si>
    <t>Nana Latifa Tsahirou</t>
  </si>
  <si>
    <t>Saadiya Ibrahim</t>
  </si>
  <si>
    <t>Saadiya Idi</t>
  </si>
  <si>
    <t>Yassira Achirou</t>
  </si>
  <si>
    <t>Zeinabou Harouna</t>
  </si>
  <si>
    <t>Firdaoussi Tsahirou</t>
  </si>
  <si>
    <t>Kadija Amadou</t>
  </si>
  <si>
    <t>Kamila Laouali</t>
  </si>
  <si>
    <t>Kourssiya Issoufou</t>
  </si>
  <si>
    <t>Nissaiba Rabiou</t>
  </si>
  <si>
    <t>Oummaima Bassirou</t>
  </si>
  <si>
    <t>Rafia Tsahirou</t>
  </si>
  <si>
    <t>Sahiba Hamissou</t>
  </si>
  <si>
    <t>Wassika Issaka</t>
  </si>
  <si>
    <t>Zahariya Tsalha</t>
  </si>
  <si>
    <t>1/01/2011 à Kontakora Sofoua</t>
  </si>
  <si>
    <t>Ecole Kontagora Sofoua</t>
  </si>
  <si>
    <t>Ecole Djirataoua Bilingue</t>
  </si>
  <si>
    <t>Assifa Salissou</t>
  </si>
  <si>
    <t xml:space="preserve">Halisssa Sani </t>
  </si>
  <si>
    <t>Chemaou Hassan</t>
  </si>
  <si>
    <t>Fadila Sanoussi</t>
  </si>
  <si>
    <t>Fatima Yacouba</t>
  </si>
  <si>
    <t>Koubra Illa</t>
  </si>
  <si>
    <t>mariama mani</t>
  </si>
  <si>
    <t>Roumssaou Salissou</t>
  </si>
  <si>
    <t>Rahiba Rabé</t>
  </si>
  <si>
    <t>Nana Sabira Rabiou</t>
  </si>
  <si>
    <t>Amira Hamissou</t>
  </si>
  <si>
    <t>Amira Laouali</t>
  </si>
  <si>
    <t>Chamsiya Laminou</t>
  </si>
  <si>
    <t>Fadila Djamilou</t>
  </si>
  <si>
    <t>Fadila Abdou</t>
  </si>
  <si>
    <t>Hamida Mahamadou</t>
  </si>
  <si>
    <t>Halimatou Amadou</t>
  </si>
  <si>
    <t>Mariama Habibou</t>
  </si>
  <si>
    <t>Mobina Manirou</t>
  </si>
  <si>
    <t>Mouhoussana Souleymane</t>
  </si>
  <si>
    <t>Nana Moujahida Hamissou</t>
  </si>
  <si>
    <t>Nana Farida Issoufou</t>
  </si>
  <si>
    <t>Rabilatou Harouna</t>
  </si>
  <si>
    <t>Rafia Laouali</t>
  </si>
  <si>
    <t>Assifa Salissou Adamou</t>
  </si>
  <si>
    <t>Badaria Sani</t>
  </si>
  <si>
    <t>4 ,55</t>
  </si>
  <si>
    <t>4 ,79</t>
  </si>
  <si>
    <t>Nazifa Rabé</t>
  </si>
  <si>
    <t xml:space="preserve">                              </t>
  </si>
  <si>
    <t>Darziya Hamissou</t>
  </si>
  <si>
    <t>ECOLE GALADANTCHI</t>
  </si>
  <si>
    <t>1</t>
  </si>
  <si>
    <t>5,2</t>
  </si>
  <si>
    <t>2,46</t>
  </si>
  <si>
    <t>2,54</t>
  </si>
  <si>
    <t>DDEN: Madarounfa</t>
  </si>
  <si>
    <t>Colonne1</t>
  </si>
  <si>
    <t>Colonne2</t>
  </si>
  <si>
    <t>Ecole Kountagora Goussaou</t>
  </si>
  <si>
    <t>Colonne3</t>
  </si>
  <si>
    <t>Colonne4</t>
  </si>
  <si>
    <t>Noms et Prenoms</t>
  </si>
  <si>
    <t>Dates et lieu de naissances</t>
  </si>
  <si>
    <t>Moyenne Générale</t>
  </si>
  <si>
    <t>Situation</t>
  </si>
  <si>
    <t>Oumaira Laouali</t>
  </si>
  <si>
    <t>2011 à Kontagora Goussaou</t>
  </si>
  <si>
    <t>Passe</t>
  </si>
  <si>
    <t>Habiba Saidou</t>
  </si>
  <si>
    <t>2012 à Kontagora Goussaou</t>
  </si>
  <si>
    <t>Houddatou Saidou</t>
  </si>
  <si>
    <t>2013 à Kontagora Goussaou</t>
  </si>
  <si>
    <t>Fatima Tsalha</t>
  </si>
  <si>
    <t>2014 à Kontagora Goussaou</t>
  </si>
  <si>
    <t>Rachida Hamissou</t>
  </si>
  <si>
    <t>2015 à Kontagora Goussaou</t>
  </si>
  <si>
    <t>Hamida Samaila</t>
  </si>
  <si>
    <t>2016 à Kontagora Goussaou</t>
  </si>
  <si>
    <t>Nasseiba Mamoudou</t>
  </si>
  <si>
    <t>2017 à Kontagora Goussaou</t>
  </si>
  <si>
    <t>Farissa Hamidou</t>
  </si>
  <si>
    <t>2018 à Kontagora Goussaou</t>
  </si>
  <si>
    <t>Balkissa Maman Sani</t>
  </si>
  <si>
    <t>2019 à Kontagora Goussaou</t>
  </si>
  <si>
    <t>Habsatou Oumarou</t>
  </si>
  <si>
    <t>2020 à Kontagora Goussaou</t>
  </si>
  <si>
    <t>Jouhouriya Sani</t>
  </si>
  <si>
    <t>2021 à Kontagora Goussaou</t>
  </si>
  <si>
    <t>Chamsia Tsalha</t>
  </si>
  <si>
    <t>2022 à Kontagora Goussaou</t>
  </si>
  <si>
    <t>Kadidja Mamoudou</t>
  </si>
  <si>
    <t>2023 à Kontagora Goussaou</t>
  </si>
  <si>
    <t>Charifa Ibrahim</t>
  </si>
  <si>
    <t>2024 à Kontagora Goussaou</t>
  </si>
  <si>
    <t>Jouhouriya Ousmane</t>
  </si>
  <si>
    <t>2025 à Kontagora Goussaou</t>
  </si>
  <si>
    <t>Chaounatou Kabirou</t>
  </si>
  <si>
    <t>2026 à Kontagora Goussaou</t>
  </si>
  <si>
    <t>Oumma Salma Aboubacar</t>
  </si>
  <si>
    <t>2027 à Kontagora Goussaou</t>
  </si>
  <si>
    <t>Badiya Hassan</t>
  </si>
  <si>
    <t>2028 à Kontagora Goussaou</t>
  </si>
  <si>
    <t>Fadila Yahaya</t>
  </si>
  <si>
    <t>2029 à Kontagora Goussaou</t>
  </si>
  <si>
    <t>Colonne5</t>
  </si>
  <si>
    <t>Hannatou Hamissou</t>
  </si>
  <si>
    <t>01/O1/2012 à Kontagora Sofoua</t>
  </si>
  <si>
    <t>Hamida Harouna</t>
  </si>
  <si>
    <t>Mardiya Harouna</t>
  </si>
  <si>
    <t>Samira Abdou</t>
  </si>
  <si>
    <t>Fadila Hamissou</t>
  </si>
  <si>
    <t>Ramatou Kabirou</t>
  </si>
  <si>
    <t>Aicha Maman</t>
  </si>
  <si>
    <t>Bahidja Noura</t>
  </si>
  <si>
    <t>Sahiba Bassirou</t>
  </si>
  <si>
    <t>Aimira Abou</t>
  </si>
  <si>
    <t>Rachida Chapiou</t>
  </si>
  <si>
    <t>Zeinab Souley</t>
  </si>
  <si>
    <t>Safna Haladou</t>
  </si>
  <si>
    <t>Fatsouma Abdoulhamidou</t>
  </si>
  <si>
    <t>Alila Abdoulmalik</t>
  </si>
  <si>
    <t>Aicha Zabeirou</t>
  </si>
  <si>
    <t>Salima Laouli</t>
  </si>
  <si>
    <t>Zahaima Saidou</t>
  </si>
  <si>
    <t>Daradjatou Sani</t>
  </si>
  <si>
    <t>Sahiba Issaka</t>
  </si>
  <si>
    <t>Abandon</t>
  </si>
  <si>
    <t>Ecole Galadantchi</t>
  </si>
  <si>
    <t>Amamatou Harouna</t>
  </si>
  <si>
    <t>01/01/2013 à Galadantchi</t>
  </si>
  <si>
    <t>Aicha Tassiou</t>
  </si>
  <si>
    <t>Amira Sani</t>
  </si>
  <si>
    <t>Balkissa Hamissou</t>
  </si>
  <si>
    <t>Bachariya Rabé</t>
  </si>
  <si>
    <t>Chappaatou Mourtala</t>
  </si>
  <si>
    <t>Djamila Mourtala</t>
  </si>
  <si>
    <t>Firdaoussi Zabeirou</t>
  </si>
  <si>
    <t>Hannatou Amadou</t>
  </si>
  <si>
    <t>Hannatou Abdou</t>
  </si>
  <si>
    <t>Kadidja Djafarou</t>
  </si>
  <si>
    <t>Nafissa Mahamad</t>
  </si>
  <si>
    <t>Nalma Mourtala</t>
  </si>
  <si>
    <t>Ousseina Rabiou</t>
  </si>
  <si>
    <t>Ousseina Laouali</t>
  </si>
  <si>
    <t>Oumma Hamidou</t>
  </si>
  <si>
    <t>Soumaya Tassiou</t>
  </si>
  <si>
    <t xml:space="preserve">Yousra Maaroufi </t>
  </si>
  <si>
    <t>Yassira Illia</t>
  </si>
  <si>
    <t>Sahiba Inoussa</t>
  </si>
  <si>
    <t>Zaharia Rabé</t>
  </si>
  <si>
    <t>Zoulaha Mahammadou</t>
  </si>
  <si>
    <t>Aicha Mamouda</t>
  </si>
  <si>
    <t>Ecole Oumarou Laouali Gago</t>
  </si>
  <si>
    <t>Kadidja Tahirou</t>
  </si>
  <si>
    <t>Nana Rachida Bello</t>
  </si>
  <si>
    <t>Ousseina kabirou</t>
  </si>
  <si>
    <t>29/01/12 à Djirataou</t>
  </si>
  <si>
    <t>Nana Kadidja Ibrahim</t>
  </si>
  <si>
    <t>26/01/2013 à Djirataoua</t>
  </si>
  <si>
    <t>Habsat Amadou</t>
  </si>
  <si>
    <t>Kadidja Issoufou</t>
  </si>
  <si>
    <t>01/01/2013 àDjirataoua</t>
  </si>
  <si>
    <t>Mariam Moussa</t>
  </si>
  <si>
    <t>01/01/2011 à Djiratoua</t>
  </si>
  <si>
    <t>Sadika Ali</t>
  </si>
  <si>
    <t>01/01/2013 à Djirataoua</t>
  </si>
  <si>
    <t>Rabila Issaka</t>
  </si>
  <si>
    <t>Oummou Djamila Chamsou</t>
  </si>
  <si>
    <t>27/04/2012 à Djirataoua</t>
  </si>
  <si>
    <t>Fatila Bello</t>
  </si>
  <si>
    <t>Sadika Tahirou</t>
  </si>
  <si>
    <t>17/08/2013  à Djoirataoua</t>
  </si>
  <si>
    <t>Nazira Mahamadou</t>
  </si>
  <si>
    <t>Mariam Siradji</t>
  </si>
  <si>
    <t>25/02/2012 à Djirataoua</t>
  </si>
  <si>
    <t>Mariam Souley</t>
  </si>
  <si>
    <t>20/08/2012 à Djoirataoua</t>
  </si>
  <si>
    <t>Fadila Hamza</t>
  </si>
  <si>
    <t>07/02/2013 à Djirataoua</t>
  </si>
  <si>
    <t>Kadidja Tssiou</t>
  </si>
  <si>
    <t>Mariam Salissou</t>
  </si>
  <si>
    <t>Kadidja mani</t>
  </si>
  <si>
    <t>Aichatou Noura</t>
  </si>
  <si>
    <t>14/06/2013 à Djirataoua</t>
  </si>
  <si>
    <t>Roukaya Ali</t>
  </si>
  <si>
    <t>14/07/2013 à Djirataoua</t>
  </si>
  <si>
    <t>Nana Madiya Illa</t>
  </si>
  <si>
    <t>Zeinab Salissou</t>
  </si>
  <si>
    <t>2, 6</t>
  </si>
  <si>
    <t>Nana Firdaoussi Maarou</t>
  </si>
  <si>
    <t>Rafia Issaka</t>
  </si>
  <si>
    <t>01/01/2023 à Djratoua</t>
  </si>
  <si>
    <t>Saratou Idi</t>
  </si>
  <si>
    <t>Tajayé Djirataoua</t>
  </si>
  <si>
    <t>Malika Halilou</t>
  </si>
  <si>
    <t>01/01/2013 à Tajayé Djirataoua</t>
  </si>
  <si>
    <t>Farida Issoufou</t>
  </si>
  <si>
    <t>Choukouria Tsahirou</t>
  </si>
  <si>
    <t>Kadidja Halilou</t>
  </si>
  <si>
    <t>Nafissa Yacouba</t>
  </si>
  <si>
    <t>Roukaya Issaka</t>
  </si>
  <si>
    <t>Wassila Hamissou</t>
  </si>
  <si>
    <t>Latifa Kassoum</t>
  </si>
  <si>
    <t>Choukouria Laouali</t>
  </si>
  <si>
    <t>Fati  Issaka</t>
  </si>
  <si>
    <t>Habsat Maazou</t>
  </si>
  <si>
    <t>Mariam Issaka</t>
  </si>
  <si>
    <t>Chafa Sani</t>
  </si>
  <si>
    <t>Mariama Issaka</t>
  </si>
  <si>
    <t>Zeinab Ousmane</t>
  </si>
  <si>
    <t>Mariama Minirou</t>
  </si>
  <si>
    <t>Amira Ibrahim</t>
  </si>
  <si>
    <t>25/12/12 à Djirataoua</t>
  </si>
  <si>
    <t>Kadidja Ousmane</t>
  </si>
  <si>
    <t>12/02/ 12 à Djirataoua</t>
  </si>
  <si>
    <t>Halimatou Nassirou</t>
  </si>
  <si>
    <t>18/12/12 à Djirataoua</t>
  </si>
  <si>
    <t>Mariama Moustapha</t>
  </si>
  <si>
    <t>01/01/12 à Djiratoua</t>
  </si>
  <si>
    <t>Oumma Kaltouma Moussa</t>
  </si>
  <si>
    <t>21/05/12 à Djirataoua</t>
  </si>
  <si>
    <t>Mariama Issoufou</t>
  </si>
  <si>
    <t>Kadidja Harouna</t>
  </si>
  <si>
    <t>Vers 2011 à Djirataoua</t>
  </si>
  <si>
    <t>Kalifa Laouali</t>
  </si>
  <si>
    <t>Mansoura Haladou</t>
  </si>
  <si>
    <t>Oumaira Moussa</t>
  </si>
  <si>
    <t>Safiya Saidou</t>
  </si>
  <si>
    <t>Mariama Abdou</t>
  </si>
  <si>
    <t>Fadila Rabé</t>
  </si>
  <si>
    <t>Roukaya Maman</t>
  </si>
  <si>
    <t>Safiya Mani</t>
  </si>
  <si>
    <t>Naiima Djamilou</t>
  </si>
  <si>
    <t>Mariama Saidou</t>
  </si>
  <si>
    <t>Fadila Noura</t>
  </si>
  <si>
    <t>Kadidja Sani</t>
  </si>
  <si>
    <t>Kadidja Ado</t>
  </si>
  <si>
    <t>Mariama Salissou</t>
  </si>
  <si>
    <t>Mariama Maman</t>
  </si>
  <si>
    <t>Habsatou Kabirou</t>
  </si>
  <si>
    <t>Karima Ibrahim</t>
  </si>
  <si>
    <t>27/01/2012 à Djirataoua</t>
  </si>
  <si>
    <t>Halimatou Sanouchi</t>
  </si>
  <si>
    <t>14/02/2011 à Djirataoua</t>
  </si>
  <si>
    <t>Aminatou Adamou</t>
  </si>
  <si>
    <t>Oummalkhair Saidou</t>
  </si>
  <si>
    <t>Zeinab Issaka</t>
  </si>
  <si>
    <t>Ecole Bassaraoua</t>
  </si>
  <si>
    <t>Alissabatou Daouda</t>
  </si>
  <si>
    <t>01/01/2012 à Bassaraoua</t>
  </si>
  <si>
    <t>Alissabataou Garba</t>
  </si>
  <si>
    <t>21/10/2012 à Bassaroua</t>
  </si>
  <si>
    <t>Alissabatou Laouamli</t>
  </si>
  <si>
    <t>10/08/2012 à Bassaroua</t>
  </si>
  <si>
    <t>Bassira Zabeirou</t>
  </si>
  <si>
    <t>25/03/2012 à Bassaraoua</t>
  </si>
  <si>
    <t>Bilha Ayouba</t>
  </si>
  <si>
    <t>11/03/2012 à Bassaroua</t>
  </si>
  <si>
    <t>Chemaou  Adamou</t>
  </si>
  <si>
    <t>21/05/2013 à Bassaroua</t>
  </si>
  <si>
    <t>Godiya Iro</t>
  </si>
  <si>
    <t>24/04/2012 à Bassaroua</t>
  </si>
  <si>
    <t>Hannatou Adamou</t>
  </si>
  <si>
    <t>04/03/2013 à Bassaroua</t>
  </si>
  <si>
    <t>Hadjaratou Maman</t>
  </si>
  <si>
    <t>02/09/2012 à Bassarou</t>
  </si>
  <si>
    <t>Kéziya Ayouba</t>
  </si>
  <si>
    <t>01/10/2012 à Bassaroua</t>
  </si>
  <si>
    <t>Kéziya Sani</t>
  </si>
  <si>
    <t>Mariama Yacouba</t>
  </si>
  <si>
    <t>13/04/2013 à Bassaoua</t>
  </si>
  <si>
    <t>Mimi Issa</t>
  </si>
  <si>
    <t>Nana Charifa Adamou</t>
  </si>
  <si>
    <t>23/02/2013 à Bassaroua</t>
  </si>
  <si>
    <t>Naoumi Abdou</t>
  </si>
  <si>
    <t>01/01/2011 à Bassaroua</t>
  </si>
  <si>
    <t>Naoumi Laouali</t>
  </si>
  <si>
    <t>03/05/2012 à Bassaroua</t>
  </si>
  <si>
    <t>Oubaida Ado</t>
  </si>
  <si>
    <t>01/01/2012 à Bassaoua</t>
  </si>
  <si>
    <t>Pibi Abdou</t>
  </si>
  <si>
    <t>01/01/2011 à Bassaraoua</t>
  </si>
  <si>
    <t>Rahila Moussa</t>
  </si>
  <si>
    <t>Saratou Sani</t>
  </si>
  <si>
    <t>05/02/2013 à Bassaroua</t>
  </si>
  <si>
    <t>Saratou Tsahirou</t>
  </si>
  <si>
    <t>20/01/2012 à Bassaroua</t>
  </si>
  <si>
    <t>Sizane Idi</t>
  </si>
  <si>
    <t>27/03/2013 à Bassaroua</t>
  </si>
  <si>
    <t>Yahochéba Mani</t>
  </si>
  <si>
    <t>17/06/2012 à Bassaraoua</t>
  </si>
  <si>
    <t>Zahariya Adamou</t>
  </si>
  <si>
    <t>Zeria Laouali</t>
  </si>
  <si>
    <t>Listes des écoles controles cohorte 6 pour la commune de Djirataoua CM2</t>
  </si>
  <si>
    <t>IEPP: Djirataoua FILLES CONTROLES CM1</t>
  </si>
  <si>
    <t>CM1</t>
  </si>
  <si>
    <t>Ecole</t>
  </si>
  <si>
    <t>Insrites</t>
  </si>
  <si>
    <t>Abandonee #</t>
  </si>
  <si>
    <t>Presentes</t>
  </si>
  <si>
    <t>Admises #</t>
  </si>
  <si>
    <t>Non Admise #</t>
  </si>
  <si>
    <t>Abandonee %</t>
  </si>
  <si>
    <t>Admises %</t>
  </si>
  <si>
    <t>Non Admise %</t>
  </si>
  <si>
    <t>Comments</t>
  </si>
  <si>
    <t>CM2</t>
  </si>
  <si>
    <t>Presentes #</t>
  </si>
  <si>
    <t>Kountagora Goussaou</t>
  </si>
  <si>
    <t>Column1</t>
  </si>
  <si>
    <t>Column2</t>
  </si>
  <si>
    <t>Column3</t>
  </si>
  <si>
    <t>Column4</t>
  </si>
  <si>
    <t>Column5</t>
  </si>
  <si>
    <t>Total</t>
  </si>
  <si>
    <t>Kontagora Sofoua</t>
  </si>
  <si>
    <t>Galadantchi</t>
  </si>
  <si>
    <t>Column6</t>
  </si>
  <si>
    <t>Oumarou Laouali Gago</t>
  </si>
  <si>
    <t>Djirataoua Bilingue</t>
  </si>
  <si>
    <t>Bassaraoua</t>
  </si>
  <si>
    <t>Oumarou Gago</t>
  </si>
  <si>
    <t>GALADANTCHI</t>
  </si>
  <si>
    <t>Bassaraou</t>
  </si>
  <si>
    <t>Dan Kari</t>
  </si>
  <si>
    <t>Dallia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</si>
</sst>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6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ck">
        <color theme="0"/>
      </bottom>
      <diagonal/>
    </border>
  </borders>
  <cellStyleXfs count="3">
    <xf numFmtId="0" fontId="0" fillId="0" borderId="0"/>
    <xf numFmtId="9" fontId="6" fillId="0" borderId="0" applyFont="0" applyFill="0" applyBorder="0" applyAlignment="0" applyProtection="0"/>
    <xf numFmtId="0" fontId="11" fillId="0" borderId="0"/>
  </cellStyleXfs>
  <cellXfs count="10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3" borderId="2" xfId="0" applyFill="1" applyBorder="1"/>
    <xf numFmtId="0" fontId="0" fillId="4" borderId="2" xfId="0" applyFill="1" applyBorder="1"/>
    <xf numFmtId="0" fontId="7" fillId="0" borderId="0" xfId="0" applyFont="1" applyAlignment="1">
      <alignment horizontal="center"/>
    </xf>
    <xf numFmtId="0" fontId="7" fillId="5" borderId="4" xfId="0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0" fillId="0" borderId="5" xfId="0" applyBorder="1"/>
    <xf numFmtId="0" fontId="0" fillId="3" borderId="6" xfId="0" applyFill="1" applyBorder="1"/>
    <xf numFmtId="0" fontId="0" fillId="0" borderId="0" xfId="0" applyAlignment="1">
      <alignment horizontal="right"/>
    </xf>
    <xf numFmtId="10" fontId="8" fillId="0" borderId="0" xfId="1" applyNumberFormat="1" applyFont="1"/>
    <xf numFmtId="0" fontId="12" fillId="0" borderId="0" xfId="0" applyFont="1"/>
    <xf numFmtId="0" fontId="13" fillId="0" borderId="5" xfId="0" applyFont="1" applyBorder="1"/>
    <xf numFmtId="0" fontId="0" fillId="0" borderId="6" xfId="0" applyBorder="1"/>
    <xf numFmtId="0" fontId="13" fillId="3" borderId="5" xfId="0" applyFont="1" applyFill="1" applyBorder="1"/>
    <xf numFmtId="0" fontId="13" fillId="6" borderId="7" xfId="0" applyFont="1" applyFill="1" applyBorder="1"/>
    <xf numFmtId="0" fontId="0" fillId="6" borderId="0" xfId="0" applyFill="1"/>
    <xf numFmtId="10" fontId="6" fillId="6" borderId="0" xfId="0" applyNumberFormat="1" applyFont="1" applyFill="1"/>
    <xf numFmtId="0" fontId="14" fillId="0" borderId="0" xfId="0" applyFont="1" applyAlignment="1">
      <alignment vertical="center"/>
    </xf>
    <xf numFmtId="10" fontId="7" fillId="0" borderId="0" xfId="1" applyNumberFormat="1" applyFont="1" applyAlignment="1">
      <alignment horizontal="center"/>
    </xf>
    <xf numFmtId="10" fontId="0" fillId="0" borderId="0" xfId="1" applyNumberFormat="1" applyFont="1"/>
    <xf numFmtId="0" fontId="0" fillId="0" borderId="0" xfId="0" applyAlignment="1">
      <alignment vertical="center"/>
    </xf>
    <xf numFmtId="10" fontId="0" fillId="0" borderId="0" xfId="0" applyNumberFormat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6" borderId="0" xfId="1" applyNumberFormat="1" applyFont="1" applyFill="1"/>
    <xf numFmtId="0" fontId="1" fillId="0" borderId="0" xfId="0" applyFont="1"/>
    <xf numFmtId="0" fontId="1" fillId="0" borderId="0" xfId="0" applyFont="1" applyAlignment="1">
      <alignment horizontal="center"/>
    </xf>
    <xf numFmtId="0" fontId="7" fillId="5" borderId="0" xfId="0" applyFont="1" applyFill="1"/>
    <xf numFmtId="0" fontId="9" fillId="5" borderId="9" xfId="0" applyFont="1" applyFill="1" applyBorder="1"/>
    <xf numFmtId="0" fontId="9" fillId="5" borderId="9" xfId="0" applyFont="1" applyFill="1" applyBorder="1" applyAlignment="1">
      <alignment horizontal="center"/>
    </xf>
    <xf numFmtId="0" fontId="1" fillId="4" borderId="10" xfId="0" applyFont="1" applyFill="1" applyBorder="1"/>
    <xf numFmtId="0" fontId="0" fillId="4" borderId="8" xfId="0" applyFill="1" applyBorder="1"/>
    <xf numFmtId="0" fontId="0" fillId="4" borderId="8" xfId="0" applyFill="1" applyBorder="1" applyAlignment="1">
      <alignment horizontal="center"/>
    </xf>
    <xf numFmtId="0" fontId="1" fillId="3" borderId="11" xfId="0" applyFont="1" applyFill="1" applyBorder="1"/>
    <xf numFmtId="0" fontId="0" fillId="3" borderId="2" xfId="0" applyFill="1" applyBorder="1" applyAlignment="1">
      <alignment horizontal="center"/>
    </xf>
    <xf numFmtId="0" fontId="1" fillId="4" borderId="11" xfId="0" applyFont="1" applyFill="1" applyBorder="1"/>
    <xf numFmtId="0" fontId="0" fillId="4" borderId="2" xfId="0" applyFill="1" applyBorder="1" applyAlignment="1">
      <alignment horizontal="center"/>
    </xf>
    <xf numFmtId="14" fontId="0" fillId="4" borderId="2" xfId="0" applyNumberFormat="1" applyFill="1" applyBorder="1"/>
    <xf numFmtId="14" fontId="0" fillId="3" borderId="2" xfId="0" applyNumberFormat="1" applyFill="1" applyBorder="1"/>
    <xf numFmtId="0" fontId="1" fillId="3" borderId="0" xfId="0" applyFont="1" applyFill="1"/>
    <xf numFmtId="0" fontId="0" fillId="3" borderId="9" xfId="0" applyFill="1" applyBorder="1"/>
    <xf numFmtId="0" fontId="0" fillId="3" borderId="9" xfId="0" applyFill="1" applyBorder="1" applyAlignment="1">
      <alignment horizontal="center"/>
    </xf>
    <xf numFmtId="0" fontId="1" fillId="4" borderId="0" xfId="0" applyFont="1" applyFill="1"/>
    <xf numFmtId="0" fontId="0" fillId="4" borderId="9" xfId="0" applyFill="1" applyBorder="1"/>
    <xf numFmtId="0" fontId="0" fillId="4" borderId="9" xfId="0" applyFill="1" applyBorder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9" xfId="0" applyFill="1" applyBorder="1" applyAlignment="1">
      <alignment horizontal="left"/>
    </xf>
    <xf numFmtId="0" fontId="0" fillId="2" borderId="9" xfId="0" applyFill="1" applyBorder="1" applyAlignment="1">
      <alignment horizontal="center"/>
    </xf>
    <xf numFmtId="0" fontId="1" fillId="2" borderId="0" xfId="0" applyFont="1" applyFill="1"/>
    <xf numFmtId="0" fontId="0" fillId="2" borderId="9" xfId="0" applyFill="1" applyBorder="1"/>
    <xf numFmtId="0" fontId="7" fillId="2" borderId="0" xfId="0" applyFont="1" applyFill="1"/>
    <xf numFmtId="0" fontId="9" fillId="2" borderId="9" xfId="0" applyFont="1" applyFill="1" applyBorder="1"/>
    <xf numFmtId="0" fontId="9" fillId="2" borderId="9" xfId="0" applyFont="1" applyFill="1" applyBorder="1" applyAlignment="1">
      <alignment horizontal="center"/>
    </xf>
    <xf numFmtId="0" fontId="7" fillId="3" borderId="12" xfId="0" applyFont="1" applyFill="1" applyBorder="1"/>
    <xf numFmtId="0" fontId="9" fillId="3" borderId="3" xfId="0" applyFont="1" applyFill="1" applyBorder="1"/>
    <xf numFmtId="0" fontId="9" fillId="3" borderId="3" xfId="0" applyFont="1" applyFill="1" applyBorder="1" applyAlignment="1">
      <alignment horizontal="center"/>
    </xf>
    <xf numFmtId="10" fontId="0" fillId="6" borderId="0" xfId="0" applyNumberFormat="1" applyFill="1"/>
    <xf numFmtId="0" fontId="15" fillId="5" borderId="0" xfId="0" applyFont="1" applyFill="1" applyAlignment="1">
      <alignment horizontal="center" vertical="center"/>
    </xf>
    <xf numFmtId="0" fontId="15" fillId="5" borderId="9" xfId="0" applyFont="1" applyFill="1" applyBorder="1"/>
    <xf numFmtId="0" fontId="15" fillId="5" borderId="9" xfId="0" applyFont="1" applyFill="1" applyBorder="1" applyAlignment="1">
      <alignment horizontal="center"/>
    </xf>
    <xf numFmtId="0" fontId="15" fillId="5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4" borderId="8" xfId="0" applyFont="1" applyFill="1" applyBorder="1"/>
    <xf numFmtId="0" fontId="3" fillId="4" borderId="8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2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 vertic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center"/>
    </xf>
    <xf numFmtId="0" fontId="3" fillId="3" borderId="9" xfId="0" applyFont="1" applyFill="1" applyBorder="1"/>
    <xf numFmtId="0" fontId="1" fillId="3" borderId="9" xfId="0" applyFont="1" applyFill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3" fillId="4" borderId="9" xfId="0" applyFont="1" applyFill="1" applyBorder="1"/>
    <xf numFmtId="0" fontId="3" fillId="4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3">
    <cellStyle name="Normal" xfId="0" builtinId="0"/>
    <cellStyle name="Normal 4" xfId="2" xr:uid="{E83600ED-05A2-CF48-AF20-7C3F0D49C2EE}"/>
    <cellStyle name="Percent" xfId="1" builtinId="5"/>
  </cellStyles>
  <dxfs count="251"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4" formatCode="0.00%"/>
    </dxf>
    <dxf>
      <fill>
        <patternFill patternType="solid">
          <fgColor indexed="64"/>
          <bgColor rgb="FF00B050"/>
        </patternFill>
      </fill>
    </dxf>
    <dxf>
      <numFmt numFmtId="0" formatCode="General"/>
    </dxf>
    <dxf>
      <fill>
        <patternFill patternType="solid">
          <fgColor indexed="64"/>
          <bgColor rgb="FF00B050"/>
        </patternFill>
      </fill>
    </dxf>
    <dxf>
      <alignment horizontal="right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solid">
          <fgColor indexed="64"/>
          <bgColor rgb="FF00B050"/>
        </patternFill>
      </fill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 patternType="solid">
          <fgColor indexed="64"/>
          <bgColor rgb="FF00B050"/>
        </patternFill>
      </fill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5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00B050"/>
        </patternFill>
      </fill>
    </dxf>
    <dxf>
      <font>
        <b/>
        <strike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indexed="64"/>
          <bgColor rgb="FF00B0F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ck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B0F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 style="thin">
          <color theme="0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border outline="0"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13" displayName="Tableau13" ref="A4:E25" totalsRowCount="1" headerRowDxfId="250" dataDxfId="249">
  <autoFilter ref="A4:E24" xr:uid="{00000000-0009-0000-0100-000002000000}"/>
  <tableColumns count="5">
    <tableColumn id="1" xr3:uid="{00000000-0010-0000-0100-000001000000}" name="Colonne1" totalsRowFunction="countNums" dataDxfId="248" totalsRowDxfId="247"/>
    <tableColumn id="2" xr3:uid="{00000000-0010-0000-0100-000002000000}" name="Colonne2" dataDxfId="246" totalsRowDxfId="245"/>
    <tableColumn id="3" xr3:uid="{00000000-0010-0000-0100-000003000000}" name="Ecole Kountagora Goussaou" dataDxfId="244" totalsRowDxfId="243"/>
    <tableColumn id="4" xr3:uid="{00000000-0010-0000-0100-000004000000}" name="Colonne3" dataDxfId="242" totalsRowDxfId="241"/>
    <tableColumn id="5" xr3:uid="{00000000-0010-0000-0100-000005000000}" name="Colonne4" totalsRowFunction="count" dataDxfId="240" totalsRowDxfId="239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au2" displayName="Tableau2" ref="A29:E51" totalsRowCount="1">
  <autoFilter ref="A29:E50" xr:uid="{00000000-0009-0000-0100-000003000000}"/>
  <tableColumns count="5">
    <tableColumn id="1" xr3:uid="{00000000-0010-0000-0200-000001000000}" name="Colonne1" totalsRowFunction="countNums" dataDxfId="238" totalsRowDxfId="237"/>
    <tableColumn id="2" xr3:uid="{00000000-0010-0000-0200-000002000000}" name="Colonne2"/>
    <tableColumn id="3" xr3:uid="{00000000-0010-0000-0200-000003000000}" name="Colonne3"/>
    <tableColumn id="4" xr3:uid="{00000000-0010-0000-0200-000004000000}" name="Colonne4" dataDxfId="236" totalsRowDxfId="235"/>
    <tableColumn id="5" xr3:uid="{00000000-0010-0000-0200-000005000000}" name="Colonne5" totalsRowFunction="count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38D690A-FBB7-594B-B3F2-39A3B3F06029}" name="Table7" displayName="Table7" ref="A54:E78" totalsRowCount="1" headerRowDxfId="234" dataDxfId="233" tableBorderDxfId="232">
  <autoFilter ref="A54:E77" xr:uid="{B38D690A-FBB7-594B-B3F2-39A3B3F06029}"/>
  <tableColumns count="5">
    <tableColumn id="1" xr3:uid="{48A6C5FA-82A5-F146-BCCA-563D7E5E5EE9}" name="Colonne1" totalsRowFunction="countNums" dataDxfId="231" totalsRowDxfId="230"/>
    <tableColumn id="2" xr3:uid="{203140B1-E3BB-394A-807B-892C0783B453}" name="Colonne2" dataDxfId="229" totalsRowDxfId="228"/>
    <tableColumn id="3" xr3:uid="{0A485994-1783-F843-9ED7-53D7DC578312}" name="Colonne3" dataDxfId="227" totalsRowDxfId="226"/>
    <tableColumn id="4" xr3:uid="{DD631B5C-201B-5644-9CA8-6E9E2D713B08}" name="Colonne4" dataDxfId="225" totalsRowDxfId="224"/>
    <tableColumn id="5" xr3:uid="{58D64DAA-B4BF-8F46-9166-D8AD185B02E3}" name="Colonne5" totalsRowFunction="count" dataDxfId="223" totalsRowDxfId="22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CD2F506-CAC5-564F-A8F3-A85FDA8498F1}" name="Table9" displayName="Table9" ref="A81:E110" totalsRowCount="1" headerRowDxfId="221" dataDxfId="220" tableBorderDxfId="219">
  <autoFilter ref="A81:E109" xr:uid="{7CD2F506-CAC5-564F-A8F3-A85FDA8498F1}"/>
  <tableColumns count="5">
    <tableColumn id="1" xr3:uid="{538B7B8C-C5E8-ED41-9946-6D6FD5573610}" name="Ecole Oumarou Laouali Gago" totalsRowFunction="countNums" dataDxfId="218" totalsRowDxfId="217"/>
    <tableColumn id="2" xr3:uid="{6841F75A-38B8-6A47-A971-C894DF5C3D18}" name="Column1" dataDxfId="216" totalsRowDxfId="215"/>
    <tableColumn id="3" xr3:uid="{6CA2D784-888D-694A-807F-384170AA43DB}" name="Column2" dataDxfId="214" totalsRowDxfId="213"/>
    <tableColumn id="4" xr3:uid="{49E317D9-33F6-194F-9316-EDD42128F4CF}" name="Column3" dataDxfId="212" totalsRowDxfId="211"/>
    <tableColumn id="5" xr3:uid="{B4002E35-8D6C-6345-9F05-6E0885C50251}" name="Column4" totalsRowFunction="count" dataDxfId="210" totalsRowDxfId="20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42DD0BA-7189-8C40-AB8B-80D719308747}" name="Table10" displayName="Table10" ref="A113:E132" totalsRowCount="1" headerRowDxfId="208" dataDxfId="207" tableBorderDxfId="206">
  <autoFilter ref="A113:E131" xr:uid="{542DD0BA-7189-8C40-AB8B-80D719308747}"/>
  <tableColumns count="5">
    <tableColumn id="1" xr3:uid="{6BF8B1B5-D5FF-E446-8AFE-04DA18F66B9B}" name="Tajayé Djirataoua" totalsRowFunction="count" dataDxfId="205" totalsRowDxfId="204"/>
    <tableColumn id="2" xr3:uid="{020C9285-F804-434B-A257-2C9D58BF53D2}" name="Column1" dataDxfId="203" totalsRowDxfId="202"/>
    <tableColumn id="3" xr3:uid="{05D813BC-9C0F-8940-9C4A-36BDED867182}" name="Column2" dataDxfId="201" totalsRowDxfId="200"/>
    <tableColumn id="4" xr3:uid="{24FFD880-6D90-1B42-952C-B959A77A0D6A}" name="Column3" dataDxfId="199" totalsRowDxfId="198"/>
    <tableColumn id="5" xr3:uid="{F60B2B9F-FD72-BD41-8197-EAC51C1639B9}" name="Column4" totalsRowFunction="count" dataDxfId="197" totalsRowDxfId="196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2D8DE1B-7CF2-2141-9831-D13470867234}" name="Table13" displayName="Table13" ref="A135:E166" totalsRowCount="1" headerRowDxfId="195" dataDxfId="194" tableBorderDxfId="193">
  <autoFilter ref="A135:E165" xr:uid="{52D8DE1B-7CF2-2141-9831-D13470867234}"/>
  <tableColumns count="5">
    <tableColumn id="1" xr3:uid="{DC853A40-C439-0648-9458-D7442EA69ADE}" name="Ecole Djirataoua Bilingue" totalsRowLabel="Total" dataDxfId="192" totalsRowDxfId="191"/>
    <tableColumn id="2" xr3:uid="{902DC3D2-FF72-554F-A782-5C3708BC3FCD}" name="Column1" dataDxfId="190" totalsRowDxfId="189"/>
    <tableColumn id="3" xr3:uid="{3607666A-E080-B344-A1D5-193D4217F6E7}" name="Column2" dataDxfId="188" totalsRowDxfId="187"/>
    <tableColumn id="4" xr3:uid="{148028F6-6BC8-324A-B77A-0DAD21FD3BFE}" name="Column3" dataDxfId="186" totalsRowDxfId="185"/>
    <tableColumn id="5" xr3:uid="{38F5BC11-AE89-5F4E-B6C2-35EC16517E82}" name="Column4" totalsRowFunction="count" dataDxfId="184" totalsRowDxfId="18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C21D80-0A0A-1F49-B37B-8AD492051ADF}" name="Table14" displayName="Table14" ref="A169:E194" totalsRowShown="0" headerRowDxfId="182" dataDxfId="181" tableBorderDxfId="180">
  <autoFilter ref="A169:E194" xr:uid="{67C21D80-0A0A-1F49-B37B-8AD492051ADF}"/>
  <tableColumns count="5">
    <tableColumn id="1" xr3:uid="{E04C622B-8DED-3341-B108-F519BB43EFA9}" name="Ecole Bassaraoua" dataDxfId="179"/>
    <tableColumn id="2" xr3:uid="{9B3EC745-C8F2-B045-8539-917BD398DE04}" name="Column1" dataDxfId="178"/>
    <tableColumn id="3" xr3:uid="{993E6D04-980A-444B-8732-6945AEA416F4}" name="Column2" dataDxfId="177"/>
    <tableColumn id="4" xr3:uid="{170F6C3A-EC7D-1449-B685-7BA1D4DFBD72}" name="Column3" dataDxfId="176"/>
    <tableColumn id="5" xr3:uid="{96242447-D39B-384F-895A-763332F4134F}" name="Column4" dataDxfId="17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EA59A64-F56E-5840-AA25-75355C4313A6}" name="Table16" displayName="Table16" ref="A5:G36" totalsRowCount="1" headerRowDxfId="174" dataDxfId="173" tableBorderDxfId="172">
  <autoFilter ref="A5:G35" xr:uid="{EEA59A64-F56E-5840-AA25-75355C4313A6}"/>
  <tableColumns count="7">
    <tableColumn id="1" xr3:uid="{1020E2E8-C2F3-FC4A-B313-77FF5E9372C0}" name="N°" totalsRowFunction="countNums" dataDxfId="171" totalsRowDxfId="170"/>
    <tableColumn id="2" xr3:uid="{0E9C4790-5C68-9C4E-9D5D-B279F33129F0}" name="Noms et prénoms" dataDxfId="169" totalsRowDxfId="168"/>
    <tableColumn id="3" xr3:uid="{D86A84EB-830A-8B4E-8923-6D5C05EDBDD9}" name="Dates et lieu de naissance" dataDxfId="167" totalsRowDxfId="166"/>
    <tableColumn id="4" xr3:uid="{A6076664-6698-4649-9A88-60B824DE9B48}" name="Evaluation N°1" dataDxfId="165" totalsRowDxfId="164"/>
    <tableColumn id="5" xr3:uid="{B3F3D093-C632-134A-A08D-BB52508CCC22}" name="Evaluation N°2" dataDxfId="163" totalsRowDxfId="162"/>
    <tableColumn id="6" xr3:uid="{FC8C5BCA-D79A-E34A-8480-B9131B56BB2B}" name=" CFEPD" dataDxfId="161" totalsRowDxfId="160"/>
    <tableColumn id="7" xr3:uid="{27012186-0975-C349-BD7B-894ADC687ED5}" name="Observation" totalsRowFunction="count" dataDxfId="159" totalsRowDxfId="158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741A59E-76EC-5C40-AB4E-3DD32A287E22}" name="Table17" displayName="Table17" ref="A38:G70" totalsRowCount="1" headerRowDxfId="157" dataDxfId="156" tableBorderDxfId="155">
  <autoFilter ref="A38:G69" xr:uid="{9741A59E-76EC-5C40-AB4E-3DD32A287E22}"/>
  <tableColumns count="7">
    <tableColumn id="1" xr3:uid="{C1E9D035-438F-6141-B4DF-9BCDBB2CDCA0}" name="ECOLE GALADANTCHI" totalsRowFunction="count" dataDxfId="154" totalsRowDxfId="153"/>
    <tableColumn id="2" xr3:uid="{77671162-5ADA-8940-B211-620E4D145010}" name="Column1" dataDxfId="152" totalsRowDxfId="151"/>
    <tableColumn id="3" xr3:uid="{423EECFA-B9C2-D54A-BF53-2944FD4EE6A0}" name="Column2" dataDxfId="150" totalsRowDxfId="149"/>
    <tableColumn id="4" xr3:uid="{A22A4623-A121-6C42-B416-83DB3A2C6708}" name="Column3" dataDxfId="148" totalsRowDxfId="147"/>
    <tableColumn id="5" xr3:uid="{20650BB5-6A64-B742-A033-821A1D51ABB3}" name="Column4" dataDxfId="146" totalsRowDxfId="145"/>
    <tableColumn id="6" xr3:uid="{ADFB00C3-5084-884F-99AE-3FCEEFEEDE8E}" name="Column5" dataDxfId="144" totalsRowDxfId="143"/>
    <tableColumn id="7" xr3:uid="{CA6D3FC2-2796-E741-8EA7-986AF75AE651}" name="Column6" totalsRowFunction="count" dataDxfId="142" totalsRowDxfId="141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EE74ECE9-E9D8-2942-983F-521E4B7138D9}" name="Table18" displayName="Table18" ref="A73:G91" totalsRowCount="1" headerRowDxfId="140" dataDxfId="139" tableBorderDxfId="138">
  <autoFilter ref="A73:G90" xr:uid="{EE74ECE9-E9D8-2942-983F-521E4B7138D9}"/>
  <tableColumns count="7">
    <tableColumn id="1" xr3:uid="{E16C098C-4375-5B4E-894D-F1B9E3F78D37}" name="Ecole de Bassaraou" totalsRowFunction="countNums" dataDxfId="137" totalsRowDxfId="136"/>
    <tableColumn id="2" xr3:uid="{D15F593B-0234-3141-A8EC-2FE55813E813}" name="Column1" dataDxfId="135" totalsRowDxfId="134"/>
    <tableColumn id="3" xr3:uid="{F04181F0-F1DF-B84C-B16A-C9689EE26CF3}" name="Column2" dataDxfId="133" totalsRowDxfId="132"/>
    <tableColumn id="4" xr3:uid="{B03A36C0-163E-924B-BAA6-0234480D17DE}" name="Column3" dataDxfId="131" totalsRowDxfId="130"/>
    <tableColumn id="5" xr3:uid="{4AA39BBD-0DCA-F343-90B5-79B2341B33F9}" name="Column4" dataDxfId="129" totalsRowDxfId="128"/>
    <tableColumn id="6" xr3:uid="{8424D6BE-0AD8-DF4D-9D6B-9CC98EFD933E}" name="Column5" dataDxfId="127" totalsRowDxfId="126"/>
    <tableColumn id="7" xr3:uid="{AAC5431C-B7AF-0549-94FE-5137F38CBA1E}" name="Column6" totalsRowFunction="count" dataDxfId="125" totalsRowDxfId="124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9A3D4FA9-6821-AE4D-ADFC-27498FFF63FE}" name="Table19" displayName="Table19" ref="A94:G128" totalsRowCount="1" headerRowDxfId="123" dataDxfId="122" tableBorderDxfId="121">
  <autoFilter ref="A94:G127" xr:uid="{9A3D4FA9-6821-AE4D-ADFC-27498FFF63FE}"/>
  <tableColumns count="7">
    <tableColumn id="1" xr3:uid="{4AFF189C-E75E-004B-B845-8CA9C90E1BFB}" name="Ecole Tajayé Djirataoua" totalsRowFunction="countNums"/>
    <tableColumn id="2" xr3:uid="{CB1C047B-710F-554F-9732-AA7F089431F2}" name="Column1" dataDxfId="120" totalsRowDxfId="119"/>
    <tableColumn id="3" xr3:uid="{FFA431DE-EF43-2349-A6E1-56D056EBD61F}" name="Column2" dataDxfId="118" totalsRowDxfId="117"/>
    <tableColumn id="4" xr3:uid="{0B840597-736E-E948-92C4-AD82EC8B9BF2}" name="Column3" dataDxfId="116" totalsRowDxfId="115"/>
    <tableColumn id="5" xr3:uid="{B3751761-9E2B-DE4E-9D2A-BCAC6994F4B5}" name="Column4" dataDxfId="114" totalsRowDxfId="113"/>
    <tableColumn id="6" xr3:uid="{F125B658-6A02-7C41-8D40-93B0775F5058}" name="Column5" dataDxfId="112" totalsRowDxfId="111"/>
    <tableColumn id="7" xr3:uid="{BFE12C98-839B-7144-A6D9-9CE1AE810D61}" name="Column6" totalsRowFunction="count" dataDxfId="110" totalsRowDxfId="10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F439866-6BDE-BA4C-9EEB-8BDA7D7965C3}" name="Table20" displayName="Table20" ref="A132:G151" totalsRowCount="1" headerRowDxfId="108" dataDxfId="107" tableBorderDxfId="106">
  <autoFilter ref="A132:G150" xr:uid="{EF439866-6BDE-BA4C-9EEB-8BDA7D7965C3}"/>
  <tableColumns count="7">
    <tableColumn id="1" xr3:uid="{6BE47BC2-1043-C949-B4AC-74882438F8E9}" name="Ecole Dan Kari" totalsRowFunction="countNums" dataDxfId="105" totalsRowDxfId="104"/>
    <tableColumn id="2" xr3:uid="{9F7A218C-A22B-4B48-882C-A8F0F71E4CC3}" name="Column1" dataDxfId="103" totalsRowDxfId="102"/>
    <tableColumn id="3" xr3:uid="{7513ABB7-18E0-A740-8BEA-769F7E56E4CF}" name="Column2" dataDxfId="101" totalsRowDxfId="100"/>
    <tableColumn id="4" xr3:uid="{89CBA7C4-6E60-DA48-9278-707FDED20B41}" name="Column3" dataDxfId="99" totalsRowDxfId="98"/>
    <tableColumn id="5" xr3:uid="{0931CE45-90D8-4941-9BA2-88178E0CCDD3}" name="Column4" dataDxfId="97" totalsRowDxfId="96"/>
    <tableColumn id="6" xr3:uid="{0C7A2ED3-6C32-B441-8A61-5E19B2BB6558}" name="Column5" dataDxfId="95" totalsRowDxfId="94"/>
    <tableColumn id="7" xr3:uid="{BF3C0E47-0227-9745-B4C6-5744CB464CE9}" name="Column6" totalsRowFunction="count" dataDxfId="93" totalsRowDxfId="92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337C754-72E0-ED4B-B4B6-795FBBC37B75}" name="Table21" displayName="Table21" ref="A154:G181" totalsRowCount="1" headerRowDxfId="91" dataDxfId="90" tableBorderDxfId="89">
  <autoFilter ref="A154:G180" xr:uid="{B337C754-72E0-ED4B-B4B6-795FBBC37B75}"/>
  <tableColumns count="7">
    <tableColumn id="1" xr3:uid="{1A56F2B2-3654-1348-8D69-04A7DA85E83A}" name="Ecole Dallia" totalsRowFunction="count" dataDxfId="88" totalsRowDxfId="87"/>
    <tableColumn id="2" xr3:uid="{EEB6A00D-B9D7-6B47-9092-6A0233532B43}" name="Column1" dataDxfId="86" totalsRowDxfId="85"/>
    <tableColumn id="3" xr3:uid="{D9DEB19B-C4C7-6446-965B-99E36DE9C4C3}" name="Column2" dataDxfId="84" totalsRowDxfId="83"/>
    <tableColumn id="4" xr3:uid="{2B0919E1-CAC3-DF41-96AB-9900CD617116}" name="Column3" dataDxfId="82" totalsRowDxfId="81"/>
    <tableColumn id="5" xr3:uid="{4B06FF5A-4297-BD46-BD0C-39D3D44FE5E8}" name="Column4" dataDxfId="80" totalsRowDxfId="79"/>
    <tableColumn id="6" xr3:uid="{BA5AFC4B-3616-5E47-AFD4-3B9483450CA3}" name="Column5" dataDxfId="78" totalsRowDxfId="77"/>
    <tableColumn id="7" xr3:uid="{CF9BD979-87C0-EA40-A740-05C77621C212}" name="Column6" totalsRowFunction="count" dataDxfId="76" totalsRowDxfId="75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EAEFA2AE-B0BC-D44E-8F5F-5F21345D3A13}" name="Table22" displayName="Table22" ref="A185:G213" totalsRowCount="1" headerRowDxfId="74" dataDxfId="73" tableBorderDxfId="72">
  <autoFilter ref="A185:G212" xr:uid="{EAEFA2AE-B0BC-D44E-8F5F-5F21345D3A13}"/>
  <tableColumns count="7">
    <tableColumn id="1" xr3:uid="{B034E634-748B-C349-9EDC-956BA587B835}" name="Ecole Kontagora Sofoua" totalsRowFunction="countNums" dataDxfId="71" totalsRowDxfId="70"/>
    <tableColumn id="2" xr3:uid="{CE7FE6AB-505A-5846-B066-A43675F6A3A7}" name="Column1" dataDxfId="69" totalsRowDxfId="68"/>
    <tableColumn id="3" xr3:uid="{FDC02325-0CD5-DE4B-BF74-468FD61ACAED}" name="Column2" dataDxfId="67" totalsRowDxfId="66"/>
    <tableColumn id="4" xr3:uid="{7CD53CC8-3FE5-C84F-9ADA-F3DD8FFB1B07}" name="Column3" dataDxfId="65" totalsRowDxfId="64"/>
    <tableColumn id="5" xr3:uid="{34D732E5-F979-9C4B-BA30-8C67409601BA}" name="Column4" dataDxfId="63" totalsRowDxfId="62"/>
    <tableColumn id="6" xr3:uid="{D2FF8753-F207-0D4E-A740-400CEE628EF5}" name="Column5" dataDxfId="61" totalsRowDxfId="60"/>
    <tableColumn id="7" xr3:uid="{BEEB8B47-E3CB-684D-931C-07A39585EFFE}" name="Column6" totalsRowFunction="count" dataDxfId="59" totalsRowDxfId="5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0FB58D0-85B3-7043-A99D-871FD6893DE6}" name="Table23" displayName="Table23" ref="A216:G245" totalsRowCount="1" headerRowDxfId="57" dataDxfId="56" tableBorderDxfId="55">
  <autoFilter ref="A216:G244" xr:uid="{50FB58D0-85B3-7043-A99D-871FD6893DE6}"/>
  <tableColumns count="7">
    <tableColumn id="1" xr3:uid="{9F14CFEE-A719-CA4C-A0E4-F73464E79CA0}" name="Ecole Djirataoua Bilingue" totalsRowFunction="count" dataDxfId="54" totalsRowDxfId="53"/>
    <tableColumn id="2" xr3:uid="{9C9BFBD0-BF77-B54C-81B8-EFA400232BFF}" name="Column1" dataDxfId="52" totalsRowDxfId="51"/>
    <tableColumn id="3" xr3:uid="{D7BD5E94-53EA-314C-AAA5-572959EC5E0D}" name="Column2" dataDxfId="50" totalsRowDxfId="49"/>
    <tableColumn id="4" xr3:uid="{AFA12437-DF9B-8446-A64E-18B02240F883}" name="Column3" dataDxfId="48" totalsRowDxfId="47"/>
    <tableColumn id="5" xr3:uid="{1DFB0CB8-3253-2D48-B8A6-E690EBB36782}" name="Column4" dataDxfId="46" totalsRowDxfId="45"/>
    <tableColumn id="6" xr3:uid="{DDC913CF-B436-474E-B379-7C19D6FF15AF}" name="Column5" dataDxfId="44" totalsRowDxfId="43"/>
    <tableColumn id="7" xr3:uid="{3C64CD03-81F8-5A4F-99F1-70250F4D298A}" name="Column6" totalsRowFunction="count" dataDxfId="42" totalsRowDxfId="41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CE18C70-3169-E04E-B4AD-4F2C2850C28A}" name="Table54" displayName="Table54" ref="A13:J22" totalsRowCount="1" headerRowDxfId="40" totalsRowDxfId="39">
  <autoFilter ref="A13:J21" xr:uid="{8CE18C70-3169-E04E-B4AD-4F2C2850C28A}"/>
  <tableColumns count="10">
    <tableColumn id="1" xr3:uid="{18AC7434-6DA2-554D-810F-85BCE1FEB68A}" name="Ecole" dataDxfId="38" totalsRowDxfId="37"/>
    <tableColumn id="2" xr3:uid="{D5E4679C-A39B-944B-9BEF-655773FF302C}" name="Insrites" totalsRowFunction="sum" dataDxfId="36" totalsRowDxfId="35"/>
    <tableColumn id="6" xr3:uid="{81D4A7B7-7C65-D34C-80A5-E8BBC1B8A992}" name="Abandonee #" totalsRowFunction="sum" dataDxfId="34" totalsRowDxfId="33"/>
    <tableColumn id="5" xr3:uid="{2A1C976C-9731-8C48-A77D-A3EFCBE66EDD}" name="Presentes #" totalsRowFunction="sum" dataDxfId="32" totalsRowDxfId="31"/>
    <tableColumn id="3" xr3:uid="{CB3AE6F7-38AB-DC47-9C0D-E3827CF2E302}" name="Admises #" totalsRowFunction="sum" dataDxfId="30" totalsRowDxfId="29"/>
    <tableColumn id="4" xr3:uid="{12DA675B-17C8-D649-82EE-72C393ACB52F}" name="Non Admise #" totalsRowFunction="sum" dataDxfId="28" totalsRowDxfId="27">
      <calculatedColumnFormula>Table54[[#This Row],[Presentes '#]]-Table54[[#This Row],[Admises '#]]</calculatedColumnFormula>
    </tableColumn>
    <tableColumn id="7" xr3:uid="{B95EB911-C214-E740-A0A3-09E7E9867074}" name="Abandonee %" totalsRowFunction="custom" dataDxfId="26" totalsRowDxfId="25" dataCellStyle="Percent" totalsRowCellStyle="Percent">
      <calculatedColumnFormula>Table54[[#This Row],[Abandonee '#]]/Table54[[#This Row],[Insrites]]</calculatedColumnFormula>
      <totalsRowFormula>Table54[[#Totals],[Abandonee '#]]/Table54[[#Totals],[Insrites]]</totalsRowFormula>
    </tableColumn>
    <tableColumn id="10" xr3:uid="{10A8302E-4396-734E-92AC-6B0D4D99EAD8}" name="Admises %" totalsRowFunction="custom" dataDxfId="24" totalsRowDxfId="23" totalsRowCellStyle="Percent">
      <calculatedColumnFormula>Table54[[#This Row],[Admises '#]]/Table54[[#This Row],[Presentes '#]]</calculatedColumnFormula>
      <totalsRowFormula>Table54[[#Totals],[Admises '#]]/Table54[[#Totals],[Presentes '#]]</totalsRowFormula>
    </tableColumn>
    <tableColumn id="11" xr3:uid="{36355776-B194-E044-BFA7-307C46F1719D}" name="Non Admise %" totalsRowFunction="custom" dataDxfId="22" totalsRowDxfId="21" dataCellStyle="Percent" totalsRowCellStyle="Percent">
      <calculatedColumnFormula>Table54[[#This Row],[Non Admise '#]]/Table54[[#This Row],[Presentes '#]]</calculatedColumnFormula>
      <totalsRowFormula>Table54[[#Totals],[Non Admise '#]]/Table54[[#Totals],[Presentes '#]]</totalsRowFormula>
    </tableColumn>
    <tableColumn id="12" xr3:uid="{6A696C1B-6657-3142-8BB3-F4B520EAC0BE}" name="Comments" totalsRowDxfId="2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3BFFF05-96EF-8247-9C78-5AE88664CB55}" name="Table556" displayName="Table556" ref="A3:J11" totalsRowCount="1" headerRowDxfId="19" totalsRowDxfId="18">
  <autoFilter ref="A3:J10" xr:uid="{B3BFFF05-96EF-8247-9C78-5AE88664CB55}"/>
  <tableColumns count="10">
    <tableColumn id="1" xr3:uid="{27020D7A-D078-2E44-A9A1-EC2C1CFEA73D}" name="Ecole" dataDxfId="17" totalsRowDxfId="16"/>
    <tableColumn id="2" xr3:uid="{AE720E78-D473-A843-8886-FDE9E08E53A7}" name="Insrites" totalsRowFunction="sum" dataDxfId="15" totalsRowDxfId="14"/>
    <tableColumn id="6" xr3:uid="{59CD6F7D-930F-E941-ADD0-B4AEDC2BA9A9}" name="Abandonee #" totalsRowFunction="sum" totalsRowDxfId="13"/>
    <tableColumn id="5" xr3:uid="{90812152-E308-D14C-B851-EE51AB2985B7}" name="Presentes" totalsRowFunction="sum" dataDxfId="12" totalsRowDxfId="11"/>
    <tableColumn id="3" xr3:uid="{977048EC-724E-6A45-8C47-F1890122A5B1}" name="Admises #" totalsRowFunction="sum" dataDxfId="10" totalsRowDxfId="9"/>
    <tableColumn id="4" xr3:uid="{00631739-16C9-1143-B68F-18B318A46858}" name="Non Admise #" totalsRowFunction="sum" dataDxfId="8" totalsRowDxfId="7">
      <calculatedColumnFormula>Table556[[#This Row],[Presentes]]-Table556[[#This Row],[Admises '#]]</calculatedColumnFormula>
    </tableColumn>
    <tableColumn id="7" xr3:uid="{50B367ED-CD33-9745-A31A-4E2E8DC64D30}" name="Abandonee %" totalsRowFunction="custom" dataDxfId="6" totalsRowDxfId="5" dataCellStyle="Percent">
      <calculatedColumnFormula>Table556[[#This Row],[Abandonee '#]]/Table556[[#This Row],[Insrites]]</calculatedColumnFormula>
      <totalsRowFormula>Table556[[#Totals],[Abandonee '#]]/Table556[[#Totals],[Insrites]]</totalsRowFormula>
    </tableColumn>
    <tableColumn id="10" xr3:uid="{2549F52F-6C99-354D-8763-22A692A88D44}" name="Admises %" totalsRowFunction="custom" dataDxfId="4" totalsRowDxfId="3" dataCellStyle="Percent">
      <calculatedColumnFormula>Table556[[#This Row],[Admises '#]]/Table556[[#This Row],[Presentes]]</calculatedColumnFormula>
      <totalsRowFormula>Table556[[#Totals],[Admises '#]]/Table556[[#Totals],[Presentes]]</totalsRowFormula>
    </tableColumn>
    <tableColumn id="11" xr3:uid="{DD24DE82-7E19-264C-9250-F8BBBF6FCFE3}" name="Non Admise %" totalsRowFunction="custom" dataDxfId="2" totalsRowDxfId="1" dataCellStyle="Percent">
      <calculatedColumnFormula>Table556[[#This Row],[Non Admise '#]]/Table556[[#This Row],[Presentes]]</calculatedColumnFormula>
      <totalsRowFormula>Table556[[#Totals],[Non Admise '#]]/Table556[[#Totals],[Presentes]]</totalsRowFormula>
    </tableColumn>
    <tableColumn id="12" xr3:uid="{1B7CE7ED-A0FF-2545-B20D-ECC92746A97C}" name="Comments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6"/>
  <sheetViews>
    <sheetView tabSelected="1" topLeftCell="A152" workbookViewId="0">
      <selection activeCell="E5" sqref="E5:E24"/>
    </sheetView>
  </sheetViews>
  <sheetFormatPr defaultColWidth="10.90625" defaultRowHeight="14.5" x14ac:dyDescent="0.35"/>
  <cols>
    <col min="1" max="1" width="27.1796875" customWidth="1"/>
    <col min="2" max="2" width="22.81640625" customWidth="1"/>
    <col min="3" max="3" width="34" customWidth="1"/>
    <col min="4" max="4" width="17.1796875" customWidth="1"/>
    <col min="5" max="5" width="11" customWidth="1"/>
  </cols>
  <sheetData>
    <row r="1" spans="1:5" ht="15.5" x14ac:dyDescent="0.35">
      <c r="A1" s="10" t="s">
        <v>0</v>
      </c>
      <c r="B1" s="10"/>
      <c r="C1" s="8"/>
      <c r="D1" s="9"/>
      <c r="E1" s="8"/>
    </row>
    <row r="2" spans="1:5" ht="15.5" x14ac:dyDescent="0.35">
      <c r="A2" s="10" t="s">
        <v>275</v>
      </c>
      <c r="B2" s="10"/>
      <c r="C2" s="8"/>
      <c r="D2" s="9"/>
      <c r="E2" s="8"/>
    </row>
    <row r="3" spans="1:5" ht="15.5" x14ac:dyDescent="0.35">
      <c r="A3" s="10" t="s">
        <v>514</v>
      </c>
      <c r="B3" s="10"/>
      <c r="C3" s="8"/>
      <c r="D3" s="9"/>
      <c r="E3" s="8"/>
    </row>
    <row r="4" spans="1:5" ht="15.5" x14ac:dyDescent="0.35">
      <c r="A4" s="10" t="s">
        <v>276</v>
      </c>
      <c r="B4" s="10" t="s">
        <v>277</v>
      </c>
      <c r="C4" s="10" t="s">
        <v>278</v>
      </c>
      <c r="D4" s="11" t="s">
        <v>279</v>
      </c>
      <c r="E4" s="10" t="s">
        <v>280</v>
      </c>
    </row>
    <row r="5" spans="1:5" ht="15.5" x14ac:dyDescent="0.35">
      <c r="A5" s="10" t="s">
        <v>8</v>
      </c>
      <c r="B5" s="10" t="s">
        <v>281</v>
      </c>
      <c r="C5" s="10" t="s">
        <v>282</v>
      </c>
      <c r="D5" s="11" t="s">
        <v>283</v>
      </c>
      <c r="E5" s="10" t="s">
        <v>284</v>
      </c>
    </row>
    <row r="6" spans="1:5" ht="15.5" x14ac:dyDescent="0.35">
      <c r="A6" s="8">
        <v>1</v>
      </c>
      <c r="B6" s="8" t="s">
        <v>285</v>
      </c>
      <c r="C6" s="8" t="s">
        <v>286</v>
      </c>
      <c r="D6" s="9">
        <v>7.19</v>
      </c>
      <c r="E6" s="8" t="s">
        <v>287</v>
      </c>
    </row>
    <row r="7" spans="1:5" ht="15.5" x14ac:dyDescent="0.35">
      <c r="A7" s="8">
        <v>2</v>
      </c>
      <c r="B7" s="8" t="s">
        <v>288</v>
      </c>
      <c r="C7" s="8" t="s">
        <v>289</v>
      </c>
      <c r="D7" s="9">
        <v>1.68</v>
      </c>
      <c r="E7" s="8" t="s">
        <v>62</v>
      </c>
    </row>
    <row r="8" spans="1:5" ht="15.5" x14ac:dyDescent="0.35">
      <c r="A8" s="8">
        <v>3</v>
      </c>
      <c r="B8" s="8" t="s">
        <v>290</v>
      </c>
      <c r="C8" s="8" t="s">
        <v>291</v>
      </c>
      <c r="D8" s="9">
        <v>6.61</v>
      </c>
      <c r="E8" s="8" t="s">
        <v>287</v>
      </c>
    </row>
    <row r="9" spans="1:5" ht="15.5" x14ac:dyDescent="0.35">
      <c r="A9" s="8">
        <v>4</v>
      </c>
      <c r="B9" s="8" t="s">
        <v>292</v>
      </c>
      <c r="C9" s="8" t="s">
        <v>293</v>
      </c>
      <c r="D9" s="9">
        <v>6.34</v>
      </c>
      <c r="E9" s="8" t="s">
        <v>287</v>
      </c>
    </row>
    <row r="10" spans="1:5" ht="15.5" x14ac:dyDescent="0.35">
      <c r="A10" s="8">
        <v>5</v>
      </c>
      <c r="B10" s="8" t="s">
        <v>294</v>
      </c>
      <c r="C10" s="8" t="s">
        <v>295</v>
      </c>
      <c r="D10" s="9">
        <v>4.34</v>
      </c>
      <c r="E10" s="8" t="s">
        <v>62</v>
      </c>
    </row>
    <row r="11" spans="1:5" ht="15.5" x14ac:dyDescent="0.35">
      <c r="A11" s="8">
        <v>6</v>
      </c>
      <c r="B11" s="8" t="s">
        <v>296</v>
      </c>
      <c r="C11" s="8" t="s">
        <v>297</v>
      </c>
      <c r="D11" s="9">
        <v>3.31</v>
      </c>
      <c r="E11" s="8" t="s">
        <v>62</v>
      </c>
    </row>
    <row r="12" spans="1:5" ht="15.5" x14ac:dyDescent="0.35">
      <c r="A12" s="8">
        <v>7</v>
      </c>
      <c r="B12" s="8" t="s">
        <v>298</v>
      </c>
      <c r="C12" s="8" t="s">
        <v>299</v>
      </c>
      <c r="D12" s="9">
        <v>6.08</v>
      </c>
      <c r="E12" s="8" t="s">
        <v>287</v>
      </c>
    </row>
    <row r="13" spans="1:5" ht="15.5" x14ac:dyDescent="0.35">
      <c r="A13" s="8">
        <v>8</v>
      </c>
      <c r="B13" s="8" t="s">
        <v>300</v>
      </c>
      <c r="C13" s="8" t="s">
        <v>301</v>
      </c>
      <c r="D13" s="9">
        <v>5.8</v>
      </c>
      <c r="E13" s="8" t="s">
        <v>287</v>
      </c>
    </row>
    <row r="14" spans="1:5" ht="15.5" x14ac:dyDescent="0.35">
      <c r="A14" s="8">
        <v>9</v>
      </c>
      <c r="B14" s="8" t="s">
        <v>302</v>
      </c>
      <c r="C14" s="8" t="s">
        <v>303</v>
      </c>
      <c r="D14" s="9">
        <v>1.36</v>
      </c>
      <c r="E14" s="8" t="s">
        <v>62</v>
      </c>
    </row>
    <row r="15" spans="1:5" ht="15.5" x14ac:dyDescent="0.35">
      <c r="A15" s="8">
        <v>10</v>
      </c>
      <c r="B15" s="8" t="s">
        <v>304</v>
      </c>
      <c r="C15" s="8" t="s">
        <v>305</v>
      </c>
      <c r="D15" s="9">
        <v>5.31</v>
      </c>
      <c r="E15" s="8" t="s">
        <v>287</v>
      </c>
    </row>
    <row r="16" spans="1:5" ht="15.5" x14ac:dyDescent="0.35">
      <c r="A16" s="8">
        <v>11</v>
      </c>
      <c r="B16" s="36" t="s">
        <v>306</v>
      </c>
      <c r="C16" s="8" t="s">
        <v>307</v>
      </c>
      <c r="D16" s="9">
        <v>2.16</v>
      </c>
      <c r="E16" s="8" t="s">
        <v>62</v>
      </c>
    </row>
    <row r="17" spans="1:5" ht="15.5" x14ac:dyDescent="0.35">
      <c r="A17" s="8">
        <v>12</v>
      </c>
      <c r="B17" s="8" t="s">
        <v>308</v>
      </c>
      <c r="C17" s="8" t="s">
        <v>309</v>
      </c>
      <c r="D17" s="9">
        <v>5.08</v>
      </c>
      <c r="E17" s="8" t="s">
        <v>287</v>
      </c>
    </row>
    <row r="18" spans="1:5" ht="15.5" x14ac:dyDescent="0.35">
      <c r="A18" s="8">
        <v>13</v>
      </c>
      <c r="B18" s="8" t="s">
        <v>310</v>
      </c>
      <c r="C18" s="8" t="s">
        <v>311</v>
      </c>
      <c r="D18" s="9">
        <v>5</v>
      </c>
      <c r="E18" s="8" t="s">
        <v>287</v>
      </c>
    </row>
    <row r="19" spans="1:5" ht="15.5" x14ac:dyDescent="0.35">
      <c r="A19" s="8">
        <v>14</v>
      </c>
      <c r="B19" s="8" t="s">
        <v>312</v>
      </c>
      <c r="C19" s="8" t="s">
        <v>313</v>
      </c>
      <c r="D19" s="9">
        <v>5</v>
      </c>
      <c r="E19" s="8" t="s">
        <v>287</v>
      </c>
    </row>
    <row r="20" spans="1:5" ht="15.5" x14ac:dyDescent="0.35">
      <c r="A20" s="8">
        <v>15</v>
      </c>
      <c r="B20" s="8" t="s">
        <v>314</v>
      </c>
      <c r="C20" s="8" t="s">
        <v>315</v>
      </c>
      <c r="D20" s="9">
        <v>3.74</v>
      </c>
      <c r="E20" s="8" t="s">
        <v>62</v>
      </c>
    </row>
    <row r="21" spans="1:5" ht="15.5" x14ac:dyDescent="0.35">
      <c r="A21" s="8">
        <v>16</v>
      </c>
      <c r="B21" s="8" t="s">
        <v>316</v>
      </c>
      <c r="C21" s="8" t="s">
        <v>317</v>
      </c>
      <c r="D21" s="9">
        <v>3.67</v>
      </c>
      <c r="E21" s="8" t="s">
        <v>62</v>
      </c>
    </row>
    <row r="22" spans="1:5" ht="15.5" x14ac:dyDescent="0.35">
      <c r="A22" s="8">
        <v>17</v>
      </c>
      <c r="B22" s="8" t="s">
        <v>318</v>
      </c>
      <c r="C22" s="8" t="s">
        <v>319</v>
      </c>
      <c r="D22" s="9">
        <v>3.63</v>
      </c>
      <c r="E22" s="8" t="s">
        <v>62</v>
      </c>
    </row>
    <row r="23" spans="1:5" ht="15.5" x14ac:dyDescent="0.35">
      <c r="A23" s="8">
        <v>18</v>
      </c>
      <c r="B23" s="8" t="s">
        <v>320</v>
      </c>
      <c r="C23" s="8" t="s">
        <v>321</v>
      </c>
      <c r="D23" s="9">
        <v>3.93</v>
      </c>
      <c r="E23" s="8" t="s">
        <v>62</v>
      </c>
    </row>
    <row r="24" spans="1:5" ht="15.5" x14ac:dyDescent="0.35">
      <c r="A24" s="8">
        <v>19</v>
      </c>
      <c r="B24" s="8" t="s">
        <v>322</v>
      </c>
      <c r="C24" s="8" t="s">
        <v>323</v>
      </c>
      <c r="D24" s="9">
        <v>3.4</v>
      </c>
      <c r="E24" s="8" t="s">
        <v>62</v>
      </c>
    </row>
    <row r="25" spans="1:5" ht="15.5" x14ac:dyDescent="0.35">
      <c r="A25" s="36">
        <f>SUBTOTAL(102,Tableau13[Colonne1])</f>
        <v>19</v>
      </c>
      <c r="B25" s="36"/>
      <c r="C25" s="36"/>
      <c r="D25" s="37"/>
      <c r="E25" s="36">
        <f>SUBTOTAL(103,Tableau13[Colonne4])</f>
        <v>20</v>
      </c>
    </row>
    <row r="26" spans="1:5" ht="15.5" x14ac:dyDescent="0.35">
      <c r="A26" s="8"/>
      <c r="B26" s="8"/>
      <c r="C26" s="8"/>
      <c r="D26" s="9"/>
      <c r="E26" s="8"/>
    </row>
    <row r="27" spans="1:5" ht="15.5" x14ac:dyDescent="0.35">
      <c r="A27" s="8"/>
      <c r="B27" s="8"/>
      <c r="C27" s="8"/>
      <c r="D27" s="9"/>
      <c r="E27" s="8"/>
    </row>
    <row r="28" spans="1:5" ht="15.5" x14ac:dyDescent="0.35">
      <c r="A28" s="96" t="s">
        <v>237</v>
      </c>
      <c r="B28" s="97"/>
      <c r="C28" s="97"/>
      <c r="D28" s="97"/>
      <c r="E28" s="97"/>
    </row>
    <row r="29" spans="1:5" ht="15.5" x14ac:dyDescent="0.35">
      <c r="A29" s="8" t="s">
        <v>276</v>
      </c>
      <c r="B29" t="s">
        <v>277</v>
      </c>
      <c r="C29" t="s">
        <v>279</v>
      </c>
      <c r="D29" s="2" t="s">
        <v>280</v>
      </c>
      <c r="E29" t="s">
        <v>324</v>
      </c>
    </row>
    <row r="30" spans="1:5" ht="15.5" x14ac:dyDescent="0.35">
      <c r="A30" s="8">
        <v>1</v>
      </c>
      <c r="B30" t="s">
        <v>325</v>
      </c>
      <c r="C30" t="s">
        <v>326</v>
      </c>
      <c r="D30" s="2">
        <v>2.23</v>
      </c>
      <c r="E30" t="s">
        <v>62</v>
      </c>
    </row>
    <row r="31" spans="1:5" ht="15.5" x14ac:dyDescent="0.35">
      <c r="A31" s="8">
        <v>2</v>
      </c>
      <c r="B31" t="s">
        <v>327</v>
      </c>
      <c r="C31" t="s">
        <v>326</v>
      </c>
      <c r="D31" s="2">
        <v>8.5</v>
      </c>
      <c r="E31" t="s">
        <v>287</v>
      </c>
    </row>
    <row r="32" spans="1:5" ht="15.5" x14ac:dyDescent="0.35">
      <c r="A32" s="8">
        <v>3</v>
      </c>
      <c r="B32" t="s">
        <v>328</v>
      </c>
      <c r="C32" t="s">
        <v>326</v>
      </c>
      <c r="D32" s="2">
        <v>3.5</v>
      </c>
      <c r="E32" t="s">
        <v>62</v>
      </c>
    </row>
    <row r="33" spans="1:5" ht="15.5" x14ac:dyDescent="0.35">
      <c r="A33" s="8">
        <v>4</v>
      </c>
      <c r="B33" t="s">
        <v>329</v>
      </c>
      <c r="C33" t="s">
        <v>326</v>
      </c>
      <c r="D33" s="2">
        <v>7.57</v>
      </c>
      <c r="E33" t="s">
        <v>287</v>
      </c>
    </row>
    <row r="34" spans="1:5" ht="15.5" x14ac:dyDescent="0.35">
      <c r="A34" s="8">
        <v>5</v>
      </c>
      <c r="B34" t="s">
        <v>330</v>
      </c>
      <c r="C34" t="s">
        <v>326</v>
      </c>
      <c r="D34" s="2">
        <v>7.49</v>
      </c>
      <c r="E34" t="s">
        <v>287</v>
      </c>
    </row>
    <row r="35" spans="1:5" ht="15.5" x14ac:dyDescent="0.35">
      <c r="A35" s="8">
        <v>6</v>
      </c>
      <c r="B35" t="s">
        <v>331</v>
      </c>
      <c r="C35" t="s">
        <v>326</v>
      </c>
      <c r="D35" s="2">
        <v>7</v>
      </c>
      <c r="E35" t="s">
        <v>287</v>
      </c>
    </row>
    <row r="36" spans="1:5" ht="15.5" x14ac:dyDescent="0.35">
      <c r="A36" s="8">
        <v>7</v>
      </c>
      <c r="B36" t="s">
        <v>332</v>
      </c>
      <c r="C36" t="s">
        <v>326</v>
      </c>
      <c r="D36" s="2">
        <v>2.37</v>
      </c>
      <c r="E36" t="s">
        <v>62</v>
      </c>
    </row>
    <row r="37" spans="1:5" ht="15.5" x14ac:dyDescent="0.35">
      <c r="A37" s="8">
        <v>8</v>
      </c>
      <c r="B37" t="s">
        <v>333</v>
      </c>
      <c r="C37" t="s">
        <v>326</v>
      </c>
      <c r="D37" s="2">
        <v>6.07</v>
      </c>
      <c r="E37" t="s">
        <v>287</v>
      </c>
    </row>
    <row r="38" spans="1:5" ht="15.5" x14ac:dyDescent="0.35">
      <c r="A38" s="8">
        <v>9</v>
      </c>
      <c r="B38" t="s">
        <v>334</v>
      </c>
      <c r="C38" t="s">
        <v>326</v>
      </c>
      <c r="D38" s="2">
        <v>2.0299999999999998</v>
      </c>
      <c r="E38" t="s">
        <v>62</v>
      </c>
    </row>
    <row r="39" spans="1:5" ht="15.5" x14ac:dyDescent="0.35">
      <c r="A39" s="8">
        <v>10</v>
      </c>
      <c r="B39" t="s">
        <v>335</v>
      </c>
      <c r="C39" t="s">
        <v>326</v>
      </c>
      <c r="D39" s="2">
        <v>5.89</v>
      </c>
      <c r="E39" t="s">
        <v>287</v>
      </c>
    </row>
    <row r="40" spans="1:5" ht="15.5" x14ac:dyDescent="0.35">
      <c r="A40" s="8">
        <v>11</v>
      </c>
      <c r="B40" t="s">
        <v>336</v>
      </c>
      <c r="C40" t="s">
        <v>326</v>
      </c>
      <c r="D40" s="2">
        <v>3.5</v>
      </c>
      <c r="E40" t="s">
        <v>62</v>
      </c>
    </row>
    <row r="41" spans="1:5" ht="15.5" x14ac:dyDescent="0.35">
      <c r="A41" s="8">
        <v>12</v>
      </c>
      <c r="B41" t="s">
        <v>337</v>
      </c>
      <c r="C41" t="s">
        <v>326</v>
      </c>
      <c r="D41" s="2">
        <v>4.3499999999999996</v>
      </c>
      <c r="E41" t="s">
        <v>62</v>
      </c>
    </row>
    <row r="42" spans="1:5" ht="15.5" x14ac:dyDescent="0.35">
      <c r="A42" s="8">
        <v>13</v>
      </c>
      <c r="B42" t="s">
        <v>338</v>
      </c>
      <c r="C42" t="s">
        <v>326</v>
      </c>
      <c r="D42" s="2">
        <v>4.03</v>
      </c>
      <c r="E42" t="s">
        <v>62</v>
      </c>
    </row>
    <row r="43" spans="1:5" ht="15.5" x14ac:dyDescent="0.35">
      <c r="A43" s="8">
        <v>14</v>
      </c>
      <c r="B43" t="s">
        <v>339</v>
      </c>
      <c r="C43" t="s">
        <v>326</v>
      </c>
      <c r="D43" s="2">
        <v>3.95</v>
      </c>
      <c r="E43" t="s">
        <v>62</v>
      </c>
    </row>
    <row r="44" spans="1:5" ht="15.5" x14ac:dyDescent="0.35">
      <c r="A44" s="8">
        <v>15</v>
      </c>
      <c r="B44" t="s">
        <v>340</v>
      </c>
      <c r="C44" t="s">
        <v>326</v>
      </c>
      <c r="D44" s="2">
        <v>3.5</v>
      </c>
      <c r="E44" t="s">
        <v>62</v>
      </c>
    </row>
    <row r="45" spans="1:5" ht="15.5" x14ac:dyDescent="0.35">
      <c r="A45" s="8">
        <v>16</v>
      </c>
      <c r="B45" t="s">
        <v>341</v>
      </c>
      <c r="C45" t="s">
        <v>326</v>
      </c>
      <c r="D45" s="2">
        <v>2.67</v>
      </c>
      <c r="E45" t="s">
        <v>62</v>
      </c>
    </row>
    <row r="46" spans="1:5" ht="15.5" x14ac:dyDescent="0.35">
      <c r="A46" s="8">
        <v>17</v>
      </c>
      <c r="B46" t="s">
        <v>342</v>
      </c>
      <c r="C46" t="s">
        <v>326</v>
      </c>
      <c r="D46" s="2">
        <v>2.0699999999999998</v>
      </c>
      <c r="E46" t="s">
        <v>62</v>
      </c>
    </row>
    <row r="47" spans="1:5" ht="15.5" x14ac:dyDescent="0.35">
      <c r="A47" s="8">
        <v>18</v>
      </c>
      <c r="B47" t="s">
        <v>343</v>
      </c>
      <c r="C47" t="s">
        <v>326</v>
      </c>
      <c r="D47" s="2">
        <v>1.57</v>
      </c>
      <c r="E47" t="s">
        <v>62</v>
      </c>
    </row>
    <row r="48" spans="1:5" ht="15.5" x14ac:dyDescent="0.35">
      <c r="A48" s="8">
        <v>19</v>
      </c>
      <c r="B48" t="s">
        <v>344</v>
      </c>
      <c r="C48" t="s">
        <v>326</v>
      </c>
      <c r="D48" s="2">
        <v>1.39</v>
      </c>
      <c r="E48" t="s">
        <v>62</v>
      </c>
    </row>
    <row r="49" spans="1:5" ht="15.5" x14ac:dyDescent="0.35">
      <c r="A49" s="8">
        <v>20</v>
      </c>
      <c r="B49" t="s">
        <v>345</v>
      </c>
      <c r="C49" t="s">
        <v>326</v>
      </c>
      <c r="D49" s="2">
        <v>0</v>
      </c>
      <c r="E49" t="s">
        <v>346</v>
      </c>
    </row>
    <row r="50" spans="1:5" ht="15.5" x14ac:dyDescent="0.35">
      <c r="A50" s="8">
        <v>21</v>
      </c>
      <c r="B50" t="s">
        <v>334</v>
      </c>
      <c r="C50" t="s">
        <v>326</v>
      </c>
      <c r="D50" s="2">
        <v>0</v>
      </c>
      <c r="E50" t="s">
        <v>346</v>
      </c>
    </row>
    <row r="51" spans="1:5" ht="15.5" x14ac:dyDescent="0.35">
      <c r="A51" s="36">
        <f>SUBTOTAL(102,Tableau2[Colonne1])</f>
        <v>21</v>
      </c>
      <c r="D51" s="2"/>
      <c r="E51">
        <f>SUBTOTAL(103,Tableau2[Colonne5])</f>
        <v>21</v>
      </c>
    </row>
    <row r="52" spans="1:5" ht="15.5" x14ac:dyDescent="0.35">
      <c r="A52" s="8"/>
      <c r="D52" s="2"/>
    </row>
    <row r="53" spans="1:5" x14ac:dyDescent="0.35">
      <c r="A53" s="98" t="s">
        <v>347</v>
      </c>
      <c r="B53" s="98"/>
      <c r="C53" s="98"/>
      <c r="D53" s="98"/>
      <c r="E53" s="98"/>
    </row>
    <row r="54" spans="1:5" ht="16" thickBot="1" x14ac:dyDescent="0.4">
      <c r="A54" s="38" t="s">
        <v>276</v>
      </c>
      <c r="B54" s="39" t="s">
        <v>277</v>
      </c>
      <c r="C54" s="39" t="s">
        <v>279</v>
      </c>
      <c r="D54" s="40" t="s">
        <v>280</v>
      </c>
      <c r="E54" s="39" t="s">
        <v>324</v>
      </c>
    </row>
    <row r="55" spans="1:5" ht="16" thickTop="1" x14ac:dyDescent="0.35">
      <c r="A55" s="41">
        <v>1</v>
      </c>
      <c r="B55" s="42" t="s">
        <v>348</v>
      </c>
      <c r="C55" s="42" t="s">
        <v>349</v>
      </c>
      <c r="D55" s="43">
        <v>5.13</v>
      </c>
      <c r="E55" s="42" t="s">
        <v>287</v>
      </c>
    </row>
    <row r="56" spans="1:5" ht="15.5" x14ac:dyDescent="0.35">
      <c r="A56" s="44">
        <v>2</v>
      </c>
      <c r="B56" s="13" t="s">
        <v>350</v>
      </c>
      <c r="C56" s="13" t="s">
        <v>349</v>
      </c>
      <c r="D56" s="45">
        <v>5</v>
      </c>
      <c r="E56" s="13" t="s">
        <v>287</v>
      </c>
    </row>
    <row r="57" spans="1:5" ht="15.5" x14ac:dyDescent="0.35">
      <c r="A57" s="46">
        <v>3</v>
      </c>
      <c r="B57" s="14" t="s">
        <v>351</v>
      </c>
      <c r="C57" s="14" t="s">
        <v>349</v>
      </c>
      <c r="D57" s="47">
        <v>3.54</v>
      </c>
      <c r="E57" s="14" t="s">
        <v>62</v>
      </c>
    </row>
    <row r="58" spans="1:5" ht="15.5" x14ac:dyDescent="0.35">
      <c r="A58" s="44">
        <v>4</v>
      </c>
      <c r="B58" s="13" t="s">
        <v>352</v>
      </c>
      <c r="C58" s="13" t="s">
        <v>349</v>
      </c>
      <c r="D58" s="45">
        <v>2.11</v>
      </c>
      <c r="E58" s="13" t="s">
        <v>62</v>
      </c>
    </row>
    <row r="59" spans="1:5" ht="15.5" x14ac:dyDescent="0.35">
      <c r="A59" s="46">
        <v>5</v>
      </c>
      <c r="B59" s="14" t="s">
        <v>353</v>
      </c>
      <c r="C59" s="14" t="s">
        <v>349</v>
      </c>
      <c r="D59" s="47">
        <v>5.49</v>
      </c>
      <c r="E59" s="14" t="s">
        <v>287</v>
      </c>
    </row>
    <row r="60" spans="1:5" ht="15.5" x14ac:dyDescent="0.35">
      <c r="A60" s="44">
        <v>6</v>
      </c>
      <c r="B60" s="13" t="s">
        <v>354</v>
      </c>
      <c r="C60" s="13" t="s">
        <v>349</v>
      </c>
      <c r="D60" s="45">
        <v>6.61</v>
      </c>
      <c r="E60" s="13" t="s">
        <v>287</v>
      </c>
    </row>
    <row r="61" spans="1:5" ht="15.5" x14ac:dyDescent="0.35">
      <c r="A61" s="46">
        <v>7</v>
      </c>
      <c r="B61" s="14" t="s">
        <v>355</v>
      </c>
      <c r="C61" s="14" t="s">
        <v>349</v>
      </c>
      <c r="D61" s="47">
        <v>3.86</v>
      </c>
      <c r="E61" s="14" t="s">
        <v>62</v>
      </c>
    </row>
    <row r="62" spans="1:5" ht="15.5" x14ac:dyDescent="0.35">
      <c r="A62" s="44">
        <v>8</v>
      </c>
      <c r="B62" s="13" t="s">
        <v>356</v>
      </c>
      <c r="C62" s="13" t="s">
        <v>349</v>
      </c>
      <c r="D62" s="45">
        <v>6.5</v>
      </c>
      <c r="E62" s="13" t="s">
        <v>287</v>
      </c>
    </row>
    <row r="63" spans="1:5" ht="15.5" x14ac:dyDescent="0.35">
      <c r="A63" s="46">
        <v>9</v>
      </c>
      <c r="B63" s="14" t="s">
        <v>357</v>
      </c>
      <c r="C63" s="14" t="s">
        <v>349</v>
      </c>
      <c r="D63" s="47">
        <v>3.12</v>
      </c>
      <c r="E63" s="14" t="s">
        <v>62</v>
      </c>
    </row>
    <row r="64" spans="1:5" ht="15.5" x14ac:dyDescent="0.35">
      <c r="A64" s="44">
        <v>10</v>
      </c>
      <c r="B64" s="13" t="s">
        <v>358</v>
      </c>
      <c r="C64" s="13" t="s">
        <v>349</v>
      </c>
      <c r="D64" s="45">
        <v>2.15</v>
      </c>
      <c r="E64" s="13" t="s">
        <v>62</v>
      </c>
    </row>
    <row r="65" spans="1:5" ht="15.5" x14ac:dyDescent="0.35">
      <c r="A65" s="46">
        <v>11</v>
      </c>
      <c r="B65" s="14" t="s">
        <v>359</v>
      </c>
      <c r="C65" s="14" t="s">
        <v>349</v>
      </c>
      <c r="D65" s="47">
        <v>4.68</v>
      </c>
      <c r="E65" s="14" t="s">
        <v>287</v>
      </c>
    </row>
    <row r="66" spans="1:5" ht="15.5" x14ac:dyDescent="0.35">
      <c r="A66" s="44">
        <v>12</v>
      </c>
      <c r="B66" s="13" t="s">
        <v>360</v>
      </c>
      <c r="C66" s="13" t="s">
        <v>349</v>
      </c>
      <c r="D66" s="45">
        <v>3.43</v>
      </c>
      <c r="E66" s="13" t="s">
        <v>62</v>
      </c>
    </row>
    <row r="67" spans="1:5" ht="15.5" x14ac:dyDescent="0.35">
      <c r="A67" s="46">
        <v>13</v>
      </c>
      <c r="B67" s="14" t="s">
        <v>361</v>
      </c>
      <c r="C67" s="14" t="s">
        <v>349</v>
      </c>
      <c r="D67" s="47">
        <v>5.72</v>
      </c>
      <c r="E67" s="14" t="s">
        <v>287</v>
      </c>
    </row>
    <row r="68" spans="1:5" ht="15.5" x14ac:dyDescent="0.35">
      <c r="A68" s="44">
        <v>14</v>
      </c>
      <c r="B68" s="13" t="s">
        <v>362</v>
      </c>
      <c r="C68" s="13" t="s">
        <v>349</v>
      </c>
      <c r="D68" s="45">
        <v>3.18</v>
      </c>
      <c r="E68" s="13" t="s">
        <v>62</v>
      </c>
    </row>
    <row r="69" spans="1:5" ht="15.5" x14ac:dyDescent="0.35">
      <c r="A69" s="46">
        <v>15</v>
      </c>
      <c r="B69" s="14" t="s">
        <v>363</v>
      </c>
      <c r="C69" s="14" t="s">
        <v>349</v>
      </c>
      <c r="D69" s="47">
        <v>3.42</v>
      </c>
      <c r="E69" s="14" t="s">
        <v>62</v>
      </c>
    </row>
    <row r="70" spans="1:5" ht="15.5" x14ac:dyDescent="0.35">
      <c r="A70" s="44">
        <v>16</v>
      </c>
      <c r="B70" s="13" t="s">
        <v>364</v>
      </c>
      <c r="C70" s="13" t="s">
        <v>349</v>
      </c>
      <c r="D70" s="45">
        <v>2.13</v>
      </c>
      <c r="E70" s="13" t="s">
        <v>62</v>
      </c>
    </row>
    <row r="71" spans="1:5" ht="15.5" x14ac:dyDescent="0.35">
      <c r="A71" s="46">
        <v>17</v>
      </c>
      <c r="B71" s="14" t="s">
        <v>365</v>
      </c>
      <c r="C71" s="14" t="s">
        <v>349</v>
      </c>
      <c r="D71" s="47">
        <v>2.86</v>
      </c>
      <c r="E71" s="14" t="s">
        <v>62</v>
      </c>
    </row>
    <row r="72" spans="1:5" ht="15.5" x14ac:dyDescent="0.35">
      <c r="A72" s="44">
        <v>18</v>
      </c>
      <c r="B72" s="13" t="s">
        <v>366</v>
      </c>
      <c r="C72" s="13" t="s">
        <v>349</v>
      </c>
      <c r="D72" s="45">
        <v>4.5199999999999996</v>
      </c>
      <c r="E72" s="13" t="s">
        <v>287</v>
      </c>
    </row>
    <row r="73" spans="1:5" ht="15.5" x14ac:dyDescent="0.35">
      <c r="A73" s="46">
        <v>19</v>
      </c>
      <c r="B73" s="14" t="s">
        <v>367</v>
      </c>
      <c r="C73" s="14" t="s">
        <v>349</v>
      </c>
      <c r="D73" s="47">
        <v>3.83</v>
      </c>
      <c r="E73" s="14" t="s">
        <v>62</v>
      </c>
    </row>
    <row r="74" spans="1:5" ht="15.5" x14ac:dyDescent="0.35">
      <c r="A74" s="44">
        <v>20</v>
      </c>
      <c r="B74" s="13" t="s">
        <v>368</v>
      </c>
      <c r="C74" s="13" t="s">
        <v>349</v>
      </c>
      <c r="D74" s="45">
        <v>7.15</v>
      </c>
      <c r="E74" s="13" t="s">
        <v>287</v>
      </c>
    </row>
    <row r="75" spans="1:5" ht="15.5" x14ac:dyDescent="0.35">
      <c r="A75" s="46">
        <v>21</v>
      </c>
      <c r="B75" s="14" t="s">
        <v>369</v>
      </c>
      <c r="C75" s="14" t="s">
        <v>349</v>
      </c>
      <c r="D75" s="47">
        <v>2.7</v>
      </c>
      <c r="E75" s="14" t="s">
        <v>62</v>
      </c>
    </row>
    <row r="76" spans="1:5" ht="15.5" x14ac:dyDescent="0.35">
      <c r="A76" s="44">
        <v>22</v>
      </c>
      <c r="B76" s="13" t="s">
        <v>370</v>
      </c>
      <c r="C76" s="13" t="s">
        <v>349</v>
      </c>
      <c r="D76" s="45">
        <v>7.77</v>
      </c>
      <c r="E76" s="13" t="s">
        <v>287</v>
      </c>
    </row>
    <row r="77" spans="1:5" ht="15.5" x14ac:dyDescent="0.35">
      <c r="A77" s="46">
        <v>23</v>
      </c>
      <c r="B77" s="14" t="s">
        <v>371</v>
      </c>
      <c r="C77" s="14" t="s">
        <v>349</v>
      </c>
      <c r="D77" s="47">
        <v>4.71</v>
      </c>
      <c r="E77" s="14" t="s">
        <v>287</v>
      </c>
    </row>
    <row r="78" spans="1:5" ht="15.5" x14ac:dyDescent="0.35">
      <c r="A78" s="53">
        <f>SUBTOTAL(102,Table7[Colonne1])</f>
        <v>23</v>
      </c>
      <c r="B78" s="54"/>
      <c r="C78" s="54"/>
      <c r="D78" s="55"/>
      <c r="E78" s="54">
        <f>SUBTOTAL(103,Table7[Colonne5])</f>
        <v>23</v>
      </c>
    </row>
    <row r="79" spans="1:5" ht="15.5" x14ac:dyDescent="0.35">
      <c r="A79" s="50"/>
      <c r="B79" s="51"/>
      <c r="C79" s="51"/>
      <c r="D79" s="52"/>
      <c r="E79" s="51"/>
    </row>
    <row r="80" spans="1:5" ht="15.5" x14ac:dyDescent="0.35">
      <c r="A80" s="46"/>
      <c r="B80" s="14"/>
      <c r="C80" s="14"/>
      <c r="D80" s="47"/>
      <c r="E80" s="14"/>
    </row>
    <row r="81" spans="1:5" ht="15.5" x14ac:dyDescent="0.35">
      <c r="A81" s="56" t="s">
        <v>372</v>
      </c>
      <c r="B81" s="57" t="s">
        <v>529</v>
      </c>
      <c r="C81" s="57" t="s">
        <v>530</v>
      </c>
      <c r="D81" s="58" t="s">
        <v>531</v>
      </c>
      <c r="E81" s="57" t="s">
        <v>532</v>
      </c>
    </row>
    <row r="82" spans="1:5" ht="15.5" x14ac:dyDescent="0.35">
      <c r="A82" s="46">
        <v>1</v>
      </c>
      <c r="B82" s="14" t="s">
        <v>373</v>
      </c>
      <c r="C82" s="14" t="s">
        <v>46</v>
      </c>
      <c r="D82" s="47">
        <v>7.15</v>
      </c>
      <c r="E82" s="14" t="s">
        <v>287</v>
      </c>
    </row>
    <row r="83" spans="1:5" ht="15.5" x14ac:dyDescent="0.35">
      <c r="A83" s="44">
        <v>2</v>
      </c>
      <c r="B83" s="13" t="s">
        <v>133</v>
      </c>
      <c r="C83" s="13" t="s">
        <v>46</v>
      </c>
      <c r="D83" s="45">
        <v>7.16</v>
      </c>
      <c r="E83" s="13" t="s">
        <v>287</v>
      </c>
    </row>
    <row r="84" spans="1:5" ht="15.5" x14ac:dyDescent="0.35">
      <c r="A84" s="46">
        <v>3</v>
      </c>
      <c r="B84" s="14" t="s">
        <v>374</v>
      </c>
      <c r="C84" s="14" t="s">
        <v>46</v>
      </c>
      <c r="D84" s="47">
        <v>6.51</v>
      </c>
      <c r="E84" s="14" t="s">
        <v>287</v>
      </c>
    </row>
    <row r="85" spans="1:5" ht="15.5" x14ac:dyDescent="0.35">
      <c r="A85" s="44">
        <v>4</v>
      </c>
      <c r="B85" s="13" t="s">
        <v>375</v>
      </c>
      <c r="C85" s="13" t="s">
        <v>376</v>
      </c>
      <c r="D85" s="45">
        <v>3.06</v>
      </c>
      <c r="E85" s="13" t="s">
        <v>62</v>
      </c>
    </row>
    <row r="86" spans="1:5" ht="15.5" x14ac:dyDescent="0.35">
      <c r="A86" s="46">
        <v>5</v>
      </c>
      <c r="B86" s="14" t="s">
        <v>377</v>
      </c>
      <c r="C86" s="14" t="s">
        <v>378</v>
      </c>
      <c r="D86" s="47">
        <v>2.29</v>
      </c>
      <c r="E86" s="14" t="s">
        <v>62</v>
      </c>
    </row>
    <row r="87" spans="1:5" ht="15.5" x14ac:dyDescent="0.35">
      <c r="A87" s="44">
        <v>6</v>
      </c>
      <c r="B87" s="13" t="s">
        <v>379</v>
      </c>
      <c r="C87" s="13" t="s">
        <v>46</v>
      </c>
      <c r="D87" s="45">
        <v>6.83</v>
      </c>
      <c r="E87" s="13" t="s">
        <v>287</v>
      </c>
    </row>
    <row r="88" spans="1:5" ht="15.5" x14ac:dyDescent="0.35">
      <c r="A88" s="46">
        <v>7</v>
      </c>
      <c r="B88" s="14" t="s">
        <v>380</v>
      </c>
      <c r="C88" s="14" t="s">
        <v>381</v>
      </c>
      <c r="D88" s="47">
        <v>2.65</v>
      </c>
      <c r="E88" s="14" t="s">
        <v>62</v>
      </c>
    </row>
    <row r="89" spans="1:5" ht="15.5" x14ac:dyDescent="0.35">
      <c r="A89" s="44">
        <v>8</v>
      </c>
      <c r="B89" s="13" t="s">
        <v>382</v>
      </c>
      <c r="C89" s="13" t="s">
        <v>383</v>
      </c>
      <c r="D89" s="45">
        <v>3.38</v>
      </c>
      <c r="E89" s="13" t="s">
        <v>62</v>
      </c>
    </row>
    <row r="90" spans="1:5" ht="15.5" x14ac:dyDescent="0.35">
      <c r="A90" s="46">
        <v>9</v>
      </c>
      <c r="B90" s="14" t="s">
        <v>384</v>
      </c>
      <c r="C90" s="14" t="s">
        <v>385</v>
      </c>
      <c r="D90" s="47">
        <v>5.26</v>
      </c>
      <c r="E90" s="14" t="s">
        <v>287</v>
      </c>
    </row>
    <row r="91" spans="1:5" ht="15.5" x14ac:dyDescent="0.35">
      <c r="A91" s="44">
        <v>10</v>
      </c>
      <c r="B91" s="13" t="s">
        <v>386</v>
      </c>
      <c r="C91" s="13" t="s">
        <v>46</v>
      </c>
      <c r="D91" s="45">
        <v>5.69</v>
      </c>
      <c r="E91" s="13" t="s">
        <v>287</v>
      </c>
    </row>
    <row r="92" spans="1:5" ht="15.5" x14ac:dyDescent="0.35">
      <c r="A92" s="46">
        <v>11</v>
      </c>
      <c r="B92" s="14" t="s">
        <v>387</v>
      </c>
      <c r="C92" s="14" t="s">
        <v>388</v>
      </c>
      <c r="D92" s="47">
        <v>3.52</v>
      </c>
      <c r="E92" s="14" t="s">
        <v>62</v>
      </c>
    </row>
    <row r="93" spans="1:5" ht="15.5" x14ac:dyDescent="0.35">
      <c r="A93" s="44">
        <v>12</v>
      </c>
      <c r="B93" s="13" t="s">
        <v>389</v>
      </c>
      <c r="C93" s="13" t="s">
        <v>46</v>
      </c>
      <c r="D93" s="45">
        <v>5.5</v>
      </c>
      <c r="E93" s="13" t="s">
        <v>287</v>
      </c>
    </row>
    <row r="94" spans="1:5" ht="15.5" x14ac:dyDescent="0.35">
      <c r="A94" s="46">
        <v>13</v>
      </c>
      <c r="B94" s="14" t="s">
        <v>390</v>
      </c>
      <c r="C94" s="14" t="s">
        <v>391</v>
      </c>
      <c r="D94" s="47">
        <v>4.03</v>
      </c>
      <c r="E94" s="14" t="s">
        <v>62</v>
      </c>
    </row>
    <row r="95" spans="1:5" ht="15.5" x14ac:dyDescent="0.35">
      <c r="A95" s="44">
        <v>14</v>
      </c>
      <c r="B95" s="13" t="s">
        <v>392</v>
      </c>
      <c r="C95" s="13" t="s">
        <v>46</v>
      </c>
      <c r="D95" s="45">
        <v>2.48</v>
      </c>
      <c r="E95" s="13" t="s">
        <v>62</v>
      </c>
    </row>
    <row r="96" spans="1:5" ht="15.5" x14ac:dyDescent="0.35">
      <c r="A96" s="46">
        <v>15</v>
      </c>
      <c r="B96" s="14" t="s">
        <v>393</v>
      </c>
      <c r="C96" s="14" t="s">
        <v>394</v>
      </c>
      <c r="D96" s="47">
        <v>4.58</v>
      </c>
      <c r="E96" s="14" t="s">
        <v>287</v>
      </c>
    </row>
    <row r="97" spans="1:5" ht="15.5" x14ac:dyDescent="0.35">
      <c r="A97" s="44">
        <v>16</v>
      </c>
      <c r="B97" s="13" t="s">
        <v>395</v>
      </c>
      <c r="C97" s="13" t="s">
        <v>394</v>
      </c>
      <c r="D97" s="45">
        <v>2.97</v>
      </c>
      <c r="E97" s="13" t="s">
        <v>62</v>
      </c>
    </row>
    <row r="98" spans="1:5" ht="15.5" x14ac:dyDescent="0.35">
      <c r="A98" s="46">
        <v>17</v>
      </c>
      <c r="B98" s="14" t="s">
        <v>162</v>
      </c>
      <c r="C98" s="14" t="s">
        <v>396</v>
      </c>
      <c r="D98" s="47">
        <v>4.74</v>
      </c>
      <c r="E98" s="14" t="s">
        <v>287</v>
      </c>
    </row>
    <row r="99" spans="1:5" ht="15.5" x14ac:dyDescent="0.35">
      <c r="A99" s="44">
        <v>18</v>
      </c>
      <c r="B99" s="13" t="s">
        <v>397</v>
      </c>
      <c r="C99" s="13" t="s">
        <v>398</v>
      </c>
      <c r="D99" s="45">
        <v>2.57</v>
      </c>
      <c r="E99" s="13" t="s">
        <v>62</v>
      </c>
    </row>
    <row r="100" spans="1:5" ht="15.5" x14ac:dyDescent="0.35">
      <c r="A100" s="46">
        <v>19</v>
      </c>
      <c r="B100" s="14" t="s">
        <v>399</v>
      </c>
      <c r="C100" s="14" t="s">
        <v>381</v>
      </c>
      <c r="D100" s="47">
        <v>2.7</v>
      </c>
      <c r="E100" s="14" t="s">
        <v>62</v>
      </c>
    </row>
    <row r="101" spans="1:5" ht="15.5" x14ac:dyDescent="0.35">
      <c r="A101" s="44">
        <v>20</v>
      </c>
      <c r="B101" s="13" t="s">
        <v>400</v>
      </c>
      <c r="C101" s="13" t="s">
        <v>46</v>
      </c>
      <c r="D101" s="45">
        <v>2.57</v>
      </c>
      <c r="E101" s="13" t="s">
        <v>62</v>
      </c>
    </row>
    <row r="102" spans="1:5" ht="15.5" x14ac:dyDescent="0.35">
      <c r="A102" s="46">
        <v>21</v>
      </c>
      <c r="B102" s="14" t="s">
        <v>401</v>
      </c>
      <c r="C102" s="14" t="s">
        <v>46</v>
      </c>
      <c r="D102" s="47">
        <v>4.7300000000000004</v>
      </c>
      <c r="E102" s="14" t="s">
        <v>287</v>
      </c>
    </row>
    <row r="103" spans="1:5" ht="15.5" x14ac:dyDescent="0.35">
      <c r="A103" s="44">
        <v>22</v>
      </c>
      <c r="B103" s="13" t="s">
        <v>402</v>
      </c>
      <c r="C103" s="13" t="s">
        <v>403</v>
      </c>
      <c r="D103" s="45">
        <v>1.99</v>
      </c>
      <c r="E103" s="13" t="s">
        <v>62</v>
      </c>
    </row>
    <row r="104" spans="1:5" ht="15.5" x14ac:dyDescent="0.35">
      <c r="A104" s="46">
        <v>23</v>
      </c>
      <c r="B104" s="14" t="s">
        <v>404</v>
      </c>
      <c r="C104" s="14" t="s">
        <v>405</v>
      </c>
      <c r="D104" s="47">
        <v>2.59</v>
      </c>
      <c r="E104" s="14" t="s">
        <v>62</v>
      </c>
    </row>
    <row r="105" spans="1:5" ht="15.5" x14ac:dyDescent="0.35">
      <c r="A105" s="44">
        <v>24</v>
      </c>
      <c r="B105" s="13" t="s">
        <v>406</v>
      </c>
      <c r="C105" s="13" t="s">
        <v>46</v>
      </c>
      <c r="D105" s="45">
        <v>1.97</v>
      </c>
      <c r="E105" s="13" t="s">
        <v>62</v>
      </c>
    </row>
    <row r="106" spans="1:5" ht="15.5" x14ac:dyDescent="0.35">
      <c r="A106" s="46">
        <v>25</v>
      </c>
      <c r="B106" s="14" t="s">
        <v>407</v>
      </c>
      <c r="C106" s="14" t="s">
        <v>385</v>
      </c>
      <c r="D106" s="47" t="s">
        <v>408</v>
      </c>
      <c r="E106" s="14" t="s">
        <v>62</v>
      </c>
    </row>
    <row r="107" spans="1:5" ht="15.5" x14ac:dyDescent="0.35">
      <c r="A107" s="44">
        <v>26</v>
      </c>
      <c r="B107" s="13" t="s">
        <v>409</v>
      </c>
      <c r="C107" s="13" t="s">
        <v>383</v>
      </c>
      <c r="D107" s="45">
        <v>2.6</v>
      </c>
      <c r="E107" s="13" t="s">
        <v>62</v>
      </c>
    </row>
    <row r="108" spans="1:5" ht="15.5" x14ac:dyDescent="0.35">
      <c r="A108" s="46">
        <v>27</v>
      </c>
      <c r="B108" s="14" t="s">
        <v>410</v>
      </c>
      <c r="C108" s="48" t="s">
        <v>411</v>
      </c>
      <c r="D108" s="47">
        <v>2.5299999999999998</v>
      </c>
      <c r="E108" s="14" t="s">
        <v>62</v>
      </c>
    </row>
    <row r="109" spans="1:5" ht="15.5" x14ac:dyDescent="0.35">
      <c r="A109" s="44">
        <v>28</v>
      </c>
      <c r="B109" s="13" t="s">
        <v>412</v>
      </c>
      <c r="C109" s="13" t="s">
        <v>383</v>
      </c>
      <c r="D109" s="45">
        <v>0.97</v>
      </c>
      <c r="E109" s="13" t="s">
        <v>62</v>
      </c>
    </row>
    <row r="110" spans="1:5" ht="15.5" x14ac:dyDescent="0.35">
      <c r="A110" s="50">
        <f>SUBTOTAL(102,Table9[Ecole Oumarou Laouali Gago])</f>
        <v>28</v>
      </c>
      <c r="B110" s="51"/>
      <c r="C110" s="51"/>
      <c r="D110" s="52"/>
      <c r="E110" s="51">
        <f>SUBTOTAL(103,Table9[Column4])</f>
        <v>28</v>
      </c>
    </row>
    <row r="111" spans="1:5" ht="15.5" x14ac:dyDescent="0.35">
      <c r="A111" s="53"/>
      <c r="B111" s="54"/>
      <c r="C111" s="54"/>
      <c r="D111" s="55"/>
      <c r="E111" s="54"/>
    </row>
    <row r="112" spans="1:5" ht="15.5" x14ac:dyDescent="0.35">
      <c r="A112" s="44"/>
      <c r="B112" s="13"/>
      <c r="C112" s="13"/>
      <c r="D112" s="45"/>
      <c r="E112" s="13"/>
    </row>
    <row r="113" spans="1:5" ht="15.5" x14ac:dyDescent="0.35">
      <c r="A113" s="59" t="s">
        <v>413</v>
      </c>
      <c r="B113" s="60" t="s">
        <v>529</v>
      </c>
      <c r="C113" s="60" t="s">
        <v>530</v>
      </c>
      <c r="D113" s="58" t="s">
        <v>531</v>
      </c>
      <c r="E113" s="60" t="s">
        <v>532</v>
      </c>
    </row>
    <row r="114" spans="1:5" ht="15.5" x14ac:dyDescent="0.35">
      <c r="A114" s="44">
        <v>1</v>
      </c>
      <c r="B114" s="13" t="s">
        <v>414</v>
      </c>
      <c r="C114" s="13" t="s">
        <v>415</v>
      </c>
      <c r="D114" s="45">
        <v>7.52</v>
      </c>
      <c r="E114" s="13" t="s">
        <v>287</v>
      </c>
    </row>
    <row r="115" spans="1:5" ht="15.5" x14ac:dyDescent="0.35">
      <c r="A115" s="46">
        <v>2</v>
      </c>
      <c r="B115" s="14" t="s">
        <v>416</v>
      </c>
      <c r="C115" s="14" t="s">
        <v>415</v>
      </c>
      <c r="D115" s="47">
        <v>2.52</v>
      </c>
      <c r="E115" s="14" t="s">
        <v>62</v>
      </c>
    </row>
    <row r="116" spans="1:5" ht="15.5" x14ac:dyDescent="0.35">
      <c r="A116" s="44">
        <v>3</v>
      </c>
      <c r="B116" s="13" t="s">
        <v>417</v>
      </c>
      <c r="C116" s="13" t="s">
        <v>415</v>
      </c>
      <c r="D116" s="45">
        <v>7.64</v>
      </c>
      <c r="E116" s="13" t="s">
        <v>287</v>
      </c>
    </row>
    <row r="117" spans="1:5" ht="15.5" x14ac:dyDescent="0.35">
      <c r="A117" s="46">
        <v>4</v>
      </c>
      <c r="B117" s="14" t="s">
        <v>418</v>
      </c>
      <c r="C117" s="14" t="s">
        <v>415</v>
      </c>
      <c r="D117" s="47">
        <v>3.52</v>
      </c>
      <c r="E117" s="14" t="s">
        <v>62</v>
      </c>
    </row>
    <row r="118" spans="1:5" ht="15.5" x14ac:dyDescent="0.35">
      <c r="A118" s="44">
        <v>5</v>
      </c>
      <c r="B118" s="13" t="s">
        <v>419</v>
      </c>
      <c r="C118" s="13" t="s">
        <v>415</v>
      </c>
      <c r="D118" s="45">
        <v>6.35</v>
      </c>
      <c r="E118" s="13" t="s">
        <v>287</v>
      </c>
    </row>
    <row r="119" spans="1:5" ht="15.5" x14ac:dyDescent="0.35">
      <c r="A119" s="46">
        <v>6</v>
      </c>
      <c r="B119" s="14" t="s">
        <v>420</v>
      </c>
      <c r="C119" s="14" t="s">
        <v>415</v>
      </c>
      <c r="D119" s="47">
        <v>3.34</v>
      </c>
      <c r="E119" s="14" t="s">
        <v>62</v>
      </c>
    </row>
    <row r="120" spans="1:5" ht="15.5" x14ac:dyDescent="0.35">
      <c r="A120" s="44">
        <v>7</v>
      </c>
      <c r="B120" s="13" t="s">
        <v>421</v>
      </c>
      <c r="C120" s="13" t="s">
        <v>415</v>
      </c>
      <c r="D120" s="45">
        <v>5.94</v>
      </c>
      <c r="E120" s="13" t="s">
        <v>287</v>
      </c>
    </row>
    <row r="121" spans="1:5" ht="15.5" x14ac:dyDescent="0.35">
      <c r="A121" s="46">
        <v>8</v>
      </c>
      <c r="B121" s="14" t="s">
        <v>422</v>
      </c>
      <c r="C121" s="14" t="s">
        <v>415</v>
      </c>
      <c r="D121" s="47">
        <v>5.94</v>
      </c>
      <c r="E121" s="14" t="s">
        <v>287</v>
      </c>
    </row>
    <row r="122" spans="1:5" ht="15.5" x14ac:dyDescent="0.35">
      <c r="A122" s="44">
        <v>9</v>
      </c>
      <c r="B122" s="13" t="s">
        <v>423</v>
      </c>
      <c r="C122" s="13" t="s">
        <v>415</v>
      </c>
      <c r="D122" s="45">
        <v>3.52</v>
      </c>
      <c r="E122" s="13" t="s">
        <v>62</v>
      </c>
    </row>
    <row r="123" spans="1:5" ht="15.5" x14ac:dyDescent="0.35">
      <c r="A123" s="46">
        <v>10</v>
      </c>
      <c r="B123" s="14" t="s">
        <v>424</v>
      </c>
      <c r="C123" s="14" t="s">
        <v>415</v>
      </c>
      <c r="D123" s="47">
        <v>5.5</v>
      </c>
      <c r="E123" s="14" t="s">
        <v>287</v>
      </c>
    </row>
    <row r="124" spans="1:5" ht="15.5" x14ac:dyDescent="0.35">
      <c r="A124" s="44">
        <v>11</v>
      </c>
      <c r="B124" s="13" t="s">
        <v>425</v>
      </c>
      <c r="C124" s="13" t="s">
        <v>415</v>
      </c>
      <c r="D124" s="45">
        <v>2.4500000000000002</v>
      </c>
      <c r="E124" s="13" t="s">
        <v>62</v>
      </c>
    </row>
    <row r="125" spans="1:5" ht="15.5" x14ac:dyDescent="0.35">
      <c r="A125" s="46">
        <v>12</v>
      </c>
      <c r="B125" s="14" t="s">
        <v>294</v>
      </c>
      <c r="C125" s="14" t="s">
        <v>415</v>
      </c>
      <c r="D125" s="47">
        <v>5.41</v>
      </c>
      <c r="E125" s="14" t="s">
        <v>287</v>
      </c>
    </row>
    <row r="126" spans="1:5" ht="15.5" x14ac:dyDescent="0.35">
      <c r="A126" s="44">
        <v>13</v>
      </c>
      <c r="B126" s="13" t="s">
        <v>426</v>
      </c>
      <c r="C126" s="13" t="s">
        <v>415</v>
      </c>
      <c r="D126" s="45">
        <v>3.15</v>
      </c>
      <c r="E126" s="13" t="s">
        <v>62</v>
      </c>
    </row>
    <row r="127" spans="1:5" ht="15.5" x14ac:dyDescent="0.35">
      <c r="A127" s="46">
        <v>14</v>
      </c>
      <c r="B127" s="14" t="s">
        <v>134</v>
      </c>
      <c r="C127" s="14" t="s">
        <v>415</v>
      </c>
      <c r="D127" s="47">
        <v>4.7</v>
      </c>
      <c r="E127" s="14" t="s">
        <v>287</v>
      </c>
    </row>
    <row r="128" spans="1:5" ht="15.5" x14ac:dyDescent="0.35">
      <c r="A128" s="44">
        <v>15</v>
      </c>
      <c r="B128" s="13" t="s">
        <v>126</v>
      </c>
      <c r="C128" s="13" t="s">
        <v>415</v>
      </c>
      <c r="D128" s="45">
        <v>3.19</v>
      </c>
      <c r="E128" s="13" t="s">
        <v>62</v>
      </c>
    </row>
    <row r="129" spans="1:5" ht="15.5" x14ac:dyDescent="0.35">
      <c r="A129" s="46">
        <v>16</v>
      </c>
      <c r="B129" s="14" t="s">
        <v>427</v>
      </c>
      <c r="C129" s="14" t="s">
        <v>415</v>
      </c>
      <c r="D129" s="47">
        <v>0</v>
      </c>
      <c r="E129" s="14" t="s">
        <v>346</v>
      </c>
    </row>
    <row r="130" spans="1:5" ht="15.5" x14ac:dyDescent="0.35">
      <c r="A130" s="44">
        <v>17</v>
      </c>
      <c r="B130" s="13" t="s">
        <v>428</v>
      </c>
      <c r="C130" s="13" t="s">
        <v>415</v>
      </c>
      <c r="D130" s="45">
        <v>0</v>
      </c>
      <c r="E130" s="13" t="s">
        <v>346</v>
      </c>
    </row>
    <row r="131" spans="1:5" ht="15.5" x14ac:dyDescent="0.35">
      <c r="A131" s="46">
        <v>18</v>
      </c>
      <c r="B131" s="14" t="s">
        <v>429</v>
      </c>
      <c r="C131" s="14" t="s">
        <v>415</v>
      </c>
      <c r="D131" s="47">
        <v>3.55</v>
      </c>
      <c r="E131" s="14" t="s">
        <v>62</v>
      </c>
    </row>
    <row r="132" spans="1:5" ht="15.5" x14ac:dyDescent="0.35">
      <c r="A132" s="53">
        <f>SUBTOTAL(103,Table10[Tajayé Djirataoua])</f>
        <v>18</v>
      </c>
      <c r="B132" s="54"/>
      <c r="C132" s="54"/>
      <c r="D132" s="55"/>
      <c r="E132" s="54">
        <f>SUBTOTAL(103,Table10[Column4])</f>
        <v>18</v>
      </c>
    </row>
    <row r="133" spans="1:5" ht="15.5" x14ac:dyDescent="0.35">
      <c r="A133" s="50"/>
      <c r="B133" s="51"/>
      <c r="C133" s="51"/>
      <c r="D133" s="52"/>
      <c r="E133" s="51"/>
    </row>
    <row r="134" spans="1:5" ht="15.5" x14ac:dyDescent="0.35">
      <c r="A134" s="46"/>
      <c r="B134" s="14"/>
      <c r="C134" s="14"/>
      <c r="D134" s="47"/>
      <c r="E134" s="14"/>
    </row>
    <row r="135" spans="1:5" ht="15.5" x14ac:dyDescent="0.35">
      <c r="A135" s="61" t="s">
        <v>238</v>
      </c>
      <c r="B135" s="62" t="s">
        <v>529</v>
      </c>
      <c r="C135" s="62" t="s">
        <v>530</v>
      </c>
      <c r="D135" s="63" t="s">
        <v>531</v>
      </c>
      <c r="E135" s="62" t="s">
        <v>532</v>
      </c>
    </row>
    <row r="136" spans="1:5" ht="15.5" x14ac:dyDescent="0.35">
      <c r="A136" s="46">
        <v>1</v>
      </c>
      <c r="B136" s="14" t="s">
        <v>430</v>
      </c>
      <c r="C136" s="14" t="s">
        <v>46</v>
      </c>
      <c r="D136" s="47">
        <v>6.52</v>
      </c>
      <c r="E136" s="14" t="s">
        <v>287</v>
      </c>
    </row>
    <row r="137" spans="1:5" ht="15.5" x14ac:dyDescent="0.35">
      <c r="A137" s="44">
        <v>2</v>
      </c>
      <c r="B137" s="13" t="s">
        <v>431</v>
      </c>
      <c r="C137" s="13" t="s">
        <v>432</v>
      </c>
      <c r="D137" s="45">
        <v>5.37</v>
      </c>
      <c r="E137" s="13" t="s">
        <v>287</v>
      </c>
    </row>
    <row r="138" spans="1:5" ht="15.5" x14ac:dyDescent="0.35">
      <c r="A138" s="46">
        <v>3</v>
      </c>
      <c r="B138" s="14" t="s">
        <v>433</v>
      </c>
      <c r="C138" s="14" t="s">
        <v>434</v>
      </c>
      <c r="D138" s="47">
        <v>3.14</v>
      </c>
      <c r="E138" s="14" t="s">
        <v>62</v>
      </c>
    </row>
    <row r="139" spans="1:5" ht="15.5" x14ac:dyDescent="0.35">
      <c r="A139" s="44">
        <v>4</v>
      </c>
      <c r="B139" s="13" t="s">
        <v>435</v>
      </c>
      <c r="C139" s="13" t="s">
        <v>436</v>
      </c>
      <c r="D139" s="45">
        <v>6.02</v>
      </c>
      <c r="E139" s="13" t="s">
        <v>287</v>
      </c>
    </row>
    <row r="140" spans="1:5" ht="15.5" x14ac:dyDescent="0.35">
      <c r="A140" s="46">
        <v>5</v>
      </c>
      <c r="B140" s="14" t="s">
        <v>437</v>
      </c>
      <c r="C140" s="14" t="s">
        <v>438</v>
      </c>
      <c r="D140" s="47">
        <v>4.92</v>
      </c>
      <c r="E140" s="14" t="s">
        <v>287</v>
      </c>
    </row>
    <row r="141" spans="1:5" ht="15.5" x14ac:dyDescent="0.35">
      <c r="A141" s="44">
        <v>6</v>
      </c>
      <c r="B141" s="13" t="s">
        <v>439</v>
      </c>
      <c r="C141" s="13" t="s">
        <v>438</v>
      </c>
      <c r="D141" s="45">
        <v>7.22</v>
      </c>
      <c r="E141" s="13" t="s">
        <v>287</v>
      </c>
    </row>
    <row r="142" spans="1:5" ht="15.5" x14ac:dyDescent="0.35">
      <c r="A142" s="46">
        <v>7</v>
      </c>
      <c r="B142" s="14" t="s">
        <v>124</v>
      </c>
      <c r="C142" s="14" t="s">
        <v>440</v>
      </c>
      <c r="D142" s="47">
        <v>6.83</v>
      </c>
      <c r="E142" s="14" t="s">
        <v>287</v>
      </c>
    </row>
    <row r="143" spans="1:5" ht="15.5" x14ac:dyDescent="0.35">
      <c r="A143" s="44">
        <v>8</v>
      </c>
      <c r="B143" s="13" t="s">
        <v>441</v>
      </c>
      <c r="C143" s="13" t="s">
        <v>438</v>
      </c>
      <c r="D143" s="45">
        <v>2.3199999999999998</v>
      </c>
      <c r="E143" s="13" t="s">
        <v>62</v>
      </c>
    </row>
    <row r="144" spans="1:5" ht="15.5" x14ac:dyDescent="0.35">
      <c r="A144" s="46">
        <v>9</v>
      </c>
      <c r="B144" s="14" t="s">
        <v>442</v>
      </c>
      <c r="C144" s="14" t="s">
        <v>443</v>
      </c>
      <c r="D144" s="47">
        <v>5.92</v>
      </c>
      <c r="E144" s="14" t="s">
        <v>287</v>
      </c>
    </row>
    <row r="145" spans="1:5" ht="15.5" x14ac:dyDescent="0.35">
      <c r="A145" s="44">
        <v>10</v>
      </c>
      <c r="B145" s="13" t="s">
        <v>444</v>
      </c>
      <c r="C145" s="13" t="s">
        <v>438</v>
      </c>
      <c r="D145" s="45">
        <v>3.77</v>
      </c>
      <c r="E145" s="13" t="s">
        <v>62</v>
      </c>
    </row>
    <row r="146" spans="1:5" ht="15.5" x14ac:dyDescent="0.35">
      <c r="A146" s="46">
        <v>11</v>
      </c>
      <c r="B146" s="14" t="s">
        <v>445</v>
      </c>
      <c r="C146" s="14" t="s">
        <v>443</v>
      </c>
      <c r="D146" s="47">
        <v>5.16</v>
      </c>
      <c r="E146" s="14" t="s">
        <v>287</v>
      </c>
    </row>
    <row r="147" spans="1:5" ht="15.5" x14ac:dyDescent="0.35">
      <c r="A147" s="44">
        <v>12</v>
      </c>
      <c r="B147" s="13" t="s">
        <v>446</v>
      </c>
      <c r="C147" s="49" t="s">
        <v>46</v>
      </c>
      <c r="D147" s="45">
        <v>4.4400000000000004</v>
      </c>
      <c r="E147" s="13" t="s">
        <v>287</v>
      </c>
    </row>
    <row r="148" spans="1:5" ht="15.5" x14ac:dyDescent="0.35">
      <c r="A148" s="46">
        <v>13</v>
      </c>
      <c r="B148" s="14" t="s">
        <v>447</v>
      </c>
      <c r="C148" s="48" t="s">
        <v>46</v>
      </c>
      <c r="D148" s="47">
        <v>4.9800000000000004</v>
      </c>
      <c r="E148" s="14" t="s">
        <v>287</v>
      </c>
    </row>
    <row r="149" spans="1:5" ht="15.5" x14ac:dyDescent="0.35">
      <c r="A149" s="44">
        <v>14</v>
      </c>
      <c r="B149" s="13" t="s">
        <v>448</v>
      </c>
      <c r="C149" s="49" t="s">
        <v>46</v>
      </c>
      <c r="D149" s="45">
        <v>1.6</v>
      </c>
      <c r="E149" s="13" t="s">
        <v>62</v>
      </c>
    </row>
    <row r="150" spans="1:5" ht="15.5" x14ac:dyDescent="0.35">
      <c r="A150" s="46">
        <v>15</v>
      </c>
      <c r="B150" s="14" t="s">
        <v>449</v>
      </c>
      <c r="C150" s="48" t="s">
        <v>46</v>
      </c>
      <c r="D150" s="47">
        <v>4.5199999999999996</v>
      </c>
      <c r="E150" s="14" t="s">
        <v>287</v>
      </c>
    </row>
    <row r="151" spans="1:5" ht="15.5" x14ac:dyDescent="0.35">
      <c r="A151" s="44">
        <v>16</v>
      </c>
      <c r="B151" s="13" t="s">
        <v>450</v>
      </c>
      <c r="C151" s="49" t="s">
        <v>46</v>
      </c>
      <c r="D151" s="45">
        <v>2.59</v>
      </c>
      <c r="E151" s="13" t="s">
        <v>62</v>
      </c>
    </row>
    <row r="152" spans="1:5" ht="15.5" x14ac:dyDescent="0.35">
      <c r="A152" s="46">
        <v>17</v>
      </c>
      <c r="B152" s="14" t="s">
        <v>451</v>
      </c>
      <c r="C152" s="14" t="s">
        <v>443</v>
      </c>
      <c r="D152" s="47">
        <v>4.25</v>
      </c>
      <c r="E152" s="14" t="s">
        <v>62</v>
      </c>
    </row>
    <row r="153" spans="1:5" ht="15.5" x14ac:dyDescent="0.35">
      <c r="A153" s="44">
        <v>18</v>
      </c>
      <c r="B153" s="13" t="s">
        <v>452</v>
      </c>
      <c r="C153" s="13" t="s">
        <v>46</v>
      </c>
      <c r="D153" s="45">
        <v>4.95</v>
      </c>
      <c r="E153" s="13" t="s">
        <v>287</v>
      </c>
    </row>
    <row r="154" spans="1:5" ht="15.5" x14ac:dyDescent="0.35">
      <c r="A154" s="46">
        <v>19</v>
      </c>
      <c r="B154" s="14" t="s">
        <v>453</v>
      </c>
      <c r="C154" s="14" t="s">
        <v>46</v>
      </c>
      <c r="D154" s="47">
        <v>4.91</v>
      </c>
      <c r="E154" s="14" t="s">
        <v>287</v>
      </c>
    </row>
    <row r="155" spans="1:5" ht="15.5" x14ac:dyDescent="0.35">
      <c r="A155" s="44">
        <v>20</v>
      </c>
      <c r="B155" s="13" t="s">
        <v>454</v>
      </c>
      <c r="C155" s="13" t="s">
        <v>443</v>
      </c>
      <c r="D155" s="45">
        <v>3.9</v>
      </c>
      <c r="E155" s="13" t="s">
        <v>62</v>
      </c>
    </row>
    <row r="156" spans="1:5" ht="15.5" x14ac:dyDescent="0.35">
      <c r="A156" s="46">
        <v>21</v>
      </c>
      <c r="B156" s="14" t="s">
        <v>455</v>
      </c>
      <c r="C156" s="14" t="s">
        <v>443</v>
      </c>
      <c r="D156" s="47">
        <v>3.85</v>
      </c>
      <c r="E156" s="14" t="s">
        <v>62</v>
      </c>
    </row>
    <row r="157" spans="1:5" ht="15.5" x14ac:dyDescent="0.35">
      <c r="A157" s="44">
        <v>22</v>
      </c>
      <c r="B157" s="13" t="s">
        <v>456</v>
      </c>
      <c r="C157" s="13" t="s">
        <v>46</v>
      </c>
      <c r="D157" s="45">
        <v>3.84</v>
      </c>
      <c r="E157" s="13" t="s">
        <v>62</v>
      </c>
    </row>
    <row r="158" spans="1:5" ht="15.5" x14ac:dyDescent="0.35">
      <c r="A158" s="46">
        <v>23</v>
      </c>
      <c r="B158" s="14" t="s">
        <v>457</v>
      </c>
      <c r="C158" s="14" t="s">
        <v>443</v>
      </c>
      <c r="D158" s="47">
        <v>3.74</v>
      </c>
      <c r="E158" s="14" t="s">
        <v>62</v>
      </c>
    </row>
    <row r="159" spans="1:5" ht="15.5" x14ac:dyDescent="0.35">
      <c r="A159" s="44">
        <v>24</v>
      </c>
      <c r="B159" s="13" t="s">
        <v>458</v>
      </c>
      <c r="C159" s="13" t="s">
        <v>443</v>
      </c>
      <c r="D159" s="45">
        <v>3.22</v>
      </c>
      <c r="E159" s="13" t="s">
        <v>62</v>
      </c>
    </row>
    <row r="160" spans="1:5" ht="15.5" x14ac:dyDescent="0.35">
      <c r="A160" s="46">
        <v>25</v>
      </c>
      <c r="B160" s="14" t="s">
        <v>459</v>
      </c>
      <c r="C160" s="14" t="s">
        <v>46</v>
      </c>
      <c r="D160" s="47">
        <v>3.2</v>
      </c>
      <c r="E160" s="14" t="s">
        <v>62</v>
      </c>
    </row>
    <row r="161" spans="1:5" ht="15.5" x14ac:dyDescent="0.35">
      <c r="A161" s="44">
        <v>26</v>
      </c>
      <c r="B161" s="13" t="s">
        <v>460</v>
      </c>
      <c r="C161" s="13" t="s">
        <v>461</v>
      </c>
      <c r="D161" s="45">
        <v>2.86</v>
      </c>
      <c r="E161" s="13" t="s">
        <v>62</v>
      </c>
    </row>
    <row r="162" spans="1:5" ht="15.5" x14ac:dyDescent="0.35">
      <c r="A162" s="46">
        <v>27</v>
      </c>
      <c r="B162" s="14" t="s">
        <v>462</v>
      </c>
      <c r="C162" s="14" t="s">
        <v>463</v>
      </c>
      <c r="D162" s="47">
        <v>2.4</v>
      </c>
      <c r="E162" s="14" t="s">
        <v>62</v>
      </c>
    </row>
    <row r="163" spans="1:5" ht="15.5" x14ac:dyDescent="0.35">
      <c r="A163" s="44">
        <v>28</v>
      </c>
      <c r="B163" s="13" t="s">
        <v>464</v>
      </c>
      <c r="C163" s="13" t="s">
        <v>383</v>
      </c>
      <c r="D163" s="45">
        <v>2.15</v>
      </c>
      <c r="E163" s="13" t="s">
        <v>62</v>
      </c>
    </row>
    <row r="164" spans="1:5" ht="15.5" x14ac:dyDescent="0.35">
      <c r="A164" s="46">
        <v>29</v>
      </c>
      <c r="B164" s="14" t="s">
        <v>465</v>
      </c>
      <c r="C164" s="14" t="s">
        <v>383</v>
      </c>
      <c r="D164" s="47">
        <v>0</v>
      </c>
      <c r="E164" s="14" t="s">
        <v>206</v>
      </c>
    </row>
    <row r="165" spans="1:5" ht="15.5" x14ac:dyDescent="0.35">
      <c r="A165" s="44">
        <v>30</v>
      </c>
      <c r="B165" s="13" t="s">
        <v>466</v>
      </c>
      <c r="C165" s="13" t="s">
        <v>443</v>
      </c>
      <c r="D165" s="45">
        <v>0</v>
      </c>
      <c r="E165" s="13" t="s">
        <v>206</v>
      </c>
    </row>
    <row r="166" spans="1:5" ht="15.5" x14ac:dyDescent="0.35">
      <c r="A166" s="50" t="s">
        <v>534</v>
      </c>
      <c r="B166" s="51"/>
      <c r="C166" s="51"/>
      <c r="D166" s="52"/>
      <c r="E166" s="51">
        <f>SUBTOTAL(103,Table13[Column4])</f>
        <v>30</v>
      </c>
    </row>
    <row r="167" spans="1:5" ht="15.5" x14ac:dyDescent="0.35">
      <c r="A167" s="53"/>
      <c r="B167" s="54"/>
      <c r="C167" s="54"/>
      <c r="D167" s="55"/>
      <c r="E167" s="54"/>
    </row>
    <row r="168" spans="1:5" ht="15.5" x14ac:dyDescent="0.35">
      <c r="A168" s="44"/>
      <c r="B168" s="13"/>
      <c r="C168" s="13"/>
      <c r="D168" s="45"/>
      <c r="E168" s="13"/>
    </row>
    <row r="169" spans="1:5" ht="15.5" x14ac:dyDescent="0.35">
      <c r="A169" s="61" t="s">
        <v>467</v>
      </c>
      <c r="B169" s="62" t="s">
        <v>529</v>
      </c>
      <c r="C169" s="62" t="s">
        <v>530</v>
      </c>
      <c r="D169" s="63" t="s">
        <v>531</v>
      </c>
      <c r="E169" s="62" t="s">
        <v>532</v>
      </c>
    </row>
    <row r="170" spans="1:5" ht="15.5" x14ac:dyDescent="0.35">
      <c r="A170" s="44">
        <v>1</v>
      </c>
      <c r="B170" s="13" t="s">
        <v>468</v>
      </c>
      <c r="C170" s="13" t="s">
        <v>469</v>
      </c>
      <c r="D170" s="45">
        <v>5.78</v>
      </c>
      <c r="E170" s="13" t="s">
        <v>287</v>
      </c>
    </row>
    <row r="171" spans="1:5" ht="15.5" x14ac:dyDescent="0.35">
      <c r="A171" s="46">
        <v>2</v>
      </c>
      <c r="B171" s="14" t="s">
        <v>470</v>
      </c>
      <c r="C171" s="14" t="s">
        <v>471</v>
      </c>
      <c r="D171" s="47">
        <v>6.03</v>
      </c>
      <c r="E171" s="14" t="s">
        <v>287</v>
      </c>
    </row>
    <row r="172" spans="1:5" ht="15.5" x14ac:dyDescent="0.35">
      <c r="A172" s="44">
        <v>3</v>
      </c>
      <c r="B172" s="13" t="s">
        <v>472</v>
      </c>
      <c r="C172" s="13" t="s">
        <v>473</v>
      </c>
      <c r="D172" s="45">
        <v>5.28</v>
      </c>
      <c r="E172" s="13" t="s">
        <v>287</v>
      </c>
    </row>
    <row r="173" spans="1:5" ht="15.5" x14ac:dyDescent="0.35">
      <c r="A173" s="46">
        <v>4</v>
      </c>
      <c r="B173" s="14" t="s">
        <v>474</v>
      </c>
      <c r="C173" s="14" t="s">
        <v>475</v>
      </c>
      <c r="D173" s="47">
        <v>6</v>
      </c>
      <c r="E173" s="14" t="s">
        <v>287</v>
      </c>
    </row>
    <row r="174" spans="1:5" ht="15.5" x14ac:dyDescent="0.35">
      <c r="A174" s="44">
        <v>5</v>
      </c>
      <c r="B174" s="13" t="s">
        <v>476</v>
      </c>
      <c r="C174" s="13" t="s">
        <v>477</v>
      </c>
      <c r="D174" s="45">
        <v>3.22</v>
      </c>
      <c r="E174" s="13" t="s">
        <v>62</v>
      </c>
    </row>
    <row r="175" spans="1:5" ht="15.5" x14ac:dyDescent="0.35">
      <c r="A175" s="46">
        <v>6</v>
      </c>
      <c r="B175" s="14" t="s">
        <v>478</v>
      </c>
      <c r="C175" s="14" t="s">
        <v>479</v>
      </c>
      <c r="D175" s="47">
        <v>4.76</v>
      </c>
      <c r="E175" s="14" t="s">
        <v>287</v>
      </c>
    </row>
    <row r="176" spans="1:5" ht="15.5" x14ac:dyDescent="0.35">
      <c r="A176" s="44">
        <v>7</v>
      </c>
      <c r="B176" s="13" t="s">
        <v>480</v>
      </c>
      <c r="C176" s="13" t="s">
        <v>481</v>
      </c>
      <c r="D176" s="45">
        <v>4.0199999999999996</v>
      </c>
      <c r="E176" s="13" t="s">
        <v>62</v>
      </c>
    </row>
    <row r="177" spans="1:5" ht="15.5" x14ac:dyDescent="0.35">
      <c r="A177" s="46">
        <v>8</v>
      </c>
      <c r="B177" s="14" t="s">
        <v>482</v>
      </c>
      <c r="C177" s="14" t="s">
        <v>483</v>
      </c>
      <c r="D177" s="47">
        <v>7.16</v>
      </c>
      <c r="E177" s="14" t="s">
        <v>287</v>
      </c>
    </row>
    <row r="178" spans="1:5" ht="15.5" x14ac:dyDescent="0.35">
      <c r="A178" s="44">
        <v>9</v>
      </c>
      <c r="B178" s="13" t="s">
        <v>484</v>
      </c>
      <c r="C178" s="13" t="s">
        <v>485</v>
      </c>
      <c r="D178" s="45">
        <v>5.28</v>
      </c>
      <c r="E178" s="13" t="s">
        <v>287</v>
      </c>
    </row>
    <row r="179" spans="1:5" ht="15.5" x14ac:dyDescent="0.35">
      <c r="A179" s="46">
        <v>10</v>
      </c>
      <c r="B179" s="14" t="s">
        <v>486</v>
      </c>
      <c r="C179" s="14" t="s">
        <v>487</v>
      </c>
      <c r="D179" s="47">
        <v>2.02</v>
      </c>
      <c r="E179" s="14" t="s">
        <v>62</v>
      </c>
    </row>
    <row r="180" spans="1:5" ht="15.5" x14ac:dyDescent="0.35">
      <c r="A180" s="44">
        <v>11</v>
      </c>
      <c r="B180" s="13" t="s">
        <v>488</v>
      </c>
      <c r="C180" s="13" t="s">
        <v>487</v>
      </c>
      <c r="D180" s="45">
        <v>6.24</v>
      </c>
      <c r="E180" s="13" t="s">
        <v>287</v>
      </c>
    </row>
    <row r="181" spans="1:5" ht="15.5" x14ac:dyDescent="0.35">
      <c r="A181" s="46">
        <v>12</v>
      </c>
      <c r="B181" s="14" t="s">
        <v>489</v>
      </c>
      <c r="C181" s="14" t="s">
        <v>490</v>
      </c>
      <c r="D181" s="47">
        <v>3.99</v>
      </c>
      <c r="E181" s="14" t="s">
        <v>62</v>
      </c>
    </row>
    <row r="182" spans="1:5" ht="15.5" x14ac:dyDescent="0.35">
      <c r="A182" s="44">
        <v>13</v>
      </c>
      <c r="B182" s="13" t="s">
        <v>491</v>
      </c>
      <c r="C182" s="13" t="s">
        <v>471</v>
      </c>
      <c r="D182" s="45">
        <v>6.28</v>
      </c>
      <c r="E182" s="13" t="s">
        <v>287</v>
      </c>
    </row>
    <row r="183" spans="1:5" ht="15.5" x14ac:dyDescent="0.35">
      <c r="A183" s="46">
        <v>14</v>
      </c>
      <c r="B183" s="14" t="s">
        <v>492</v>
      </c>
      <c r="C183" s="14" t="s">
        <v>493</v>
      </c>
      <c r="D183" s="47">
        <v>5.22</v>
      </c>
      <c r="E183" s="14" t="s">
        <v>287</v>
      </c>
    </row>
    <row r="184" spans="1:5" ht="15.5" x14ac:dyDescent="0.35">
      <c r="A184" s="44">
        <v>15</v>
      </c>
      <c r="B184" s="13" t="s">
        <v>494</v>
      </c>
      <c r="C184" s="13" t="s">
        <v>495</v>
      </c>
      <c r="D184" s="45">
        <v>3.98</v>
      </c>
      <c r="E184" s="13" t="s">
        <v>62</v>
      </c>
    </row>
    <row r="185" spans="1:5" ht="15.5" x14ac:dyDescent="0.35">
      <c r="A185" s="46">
        <v>16</v>
      </c>
      <c r="B185" s="14" t="s">
        <v>496</v>
      </c>
      <c r="C185" s="14" t="s">
        <v>497</v>
      </c>
      <c r="D185" s="47">
        <v>4.57</v>
      </c>
      <c r="E185" s="14" t="s">
        <v>287</v>
      </c>
    </row>
    <row r="186" spans="1:5" ht="15.5" x14ac:dyDescent="0.35">
      <c r="A186" s="44">
        <v>17</v>
      </c>
      <c r="B186" s="13" t="s">
        <v>498</v>
      </c>
      <c r="C186" s="13" t="s">
        <v>499</v>
      </c>
      <c r="D186" s="45">
        <v>3.79</v>
      </c>
      <c r="E186" s="13" t="s">
        <v>62</v>
      </c>
    </row>
    <row r="187" spans="1:5" ht="15.5" x14ac:dyDescent="0.35">
      <c r="A187" s="46">
        <v>18</v>
      </c>
      <c r="B187" s="14" t="s">
        <v>500</v>
      </c>
      <c r="C187" s="48" t="s">
        <v>501</v>
      </c>
      <c r="D187" s="47">
        <v>3.26</v>
      </c>
      <c r="E187" s="14" t="s">
        <v>62</v>
      </c>
    </row>
    <row r="188" spans="1:5" ht="15.5" x14ac:dyDescent="0.35">
      <c r="A188" s="44">
        <v>19</v>
      </c>
      <c r="B188" s="13" t="s">
        <v>502</v>
      </c>
      <c r="C188" s="13" t="s">
        <v>483</v>
      </c>
      <c r="D188" s="45">
        <v>4.76</v>
      </c>
      <c r="E188" s="13" t="s">
        <v>287</v>
      </c>
    </row>
    <row r="189" spans="1:5" ht="15.5" x14ac:dyDescent="0.35">
      <c r="A189" s="46">
        <v>20</v>
      </c>
      <c r="B189" s="14" t="s">
        <v>503</v>
      </c>
      <c r="C189" s="14" t="s">
        <v>504</v>
      </c>
      <c r="D189" s="47">
        <v>5.24</v>
      </c>
      <c r="E189" s="14" t="s">
        <v>287</v>
      </c>
    </row>
    <row r="190" spans="1:5" ht="15.5" x14ac:dyDescent="0.35">
      <c r="A190" s="44">
        <v>21</v>
      </c>
      <c r="B190" s="13" t="s">
        <v>505</v>
      </c>
      <c r="C190" s="13" t="s">
        <v>506</v>
      </c>
      <c r="D190" s="45">
        <v>5.07</v>
      </c>
      <c r="E190" s="13" t="s">
        <v>287</v>
      </c>
    </row>
    <row r="191" spans="1:5" ht="15.5" x14ac:dyDescent="0.35">
      <c r="A191" s="46">
        <v>22</v>
      </c>
      <c r="B191" s="14" t="s">
        <v>507</v>
      </c>
      <c r="C191" s="14" t="s">
        <v>508</v>
      </c>
      <c r="D191" s="47">
        <v>1.24</v>
      </c>
      <c r="E191" s="14" t="s">
        <v>62</v>
      </c>
    </row>
    <row r="192" spans="1:5" ht="15.5" x14ac:dyDescent="0.35">
      <c r="A192" s="44">
        <v>23</v>
      </c>
      <c r="B192" s="13" t="s">
        <v>509</v>
      </c>
      <c r="C192" s="13" t="s">
        <v>510</v>
      </c>
      <c r="D192" s="45">
        <v>1.04</v>
      </c>
      <c r="E192" s="13" t="s">
        <v>62</v>
      </c>
    </row>
    <row r="193" spans="1:5" ht="15.5" x14ac:dyDescent="0.35">
      <c r="A193" s="46">
        <v>24</v>
      </c>
      <c r="B193" s="14" t="s">
        <v>511</v>
      </c>
      <c r="C193" s="14" t="s">
        <v>495</v>
      </c>
      <c r="D193" s="47">
        <v>3.16</v>
      </c>
      <c r="E193" s="14" t="s">
        <v>62</v>
      </c>
    </row>
    <row r="194" spans="1:5" ht="15.5" x14ac:dyDescent="0.35">
      <c r="A194" s="44">
        <v>25</v>
      </c>
      <c r="B194" s="13" t="s">
        <v>512</v>
      </c>
      <c r="C194" s="13" t="s">
        <v>495</v>
      </c>
      <c r="D194" s="45">
        <v>5.96</v>
      </c>
      <c r="E194" s="13" t="s">
        <v>287</v>
      </c>
    </row>
    <row r="195" spans="1:5" ht="16" thickBot="1" x14ac:dyDescent="0.4">
      <c r="A195" s="64">
        <f>SUBTOTAL(103,'CM1'!$A$170:$A$194)</f>
        <v>25</v>
      </c>
      <c r="B195" s="65"/>
      <c r="C195" s="65"/>
      <c r="D195" s="66"/>
      <c r="E195" s="65">
        <f>SUBTOTAL(103,'CM1'!$E$170:$E$194)</f>
        <v>25</v>
      </c>
    </row>
    <row r="196" spans="1:5" ht="15" thickTop="1" x14ac:dyDescent="0.35"/>
  </sheetData>
  <mergeCells count="2">
    <mergeCell ref="A28:E28"/>
    <mergeCell ref="A53:E53"/>
  </mergeCells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6"/>
  <sheetViews>
    <sheetView workbookViewId="0">
      <selection activeCell="A5" sqref="A5:XFD5"/>
    </sheetView>
  </sheetViews>
  <sheetFormatPr defaultColWidth="10.90625" defaultRowHeight="14.5" x14ac:dyDescent="0.35"/>
  <cols>
    <col min="1" max="1" width="26.453125" style="1" customWidth="1"/>
    <col min="2" max="2" width="22.6328125" customWidth="1"/>
    <col min="3" max="3" width="28.1796875" style="2" customWidth="1"/>
    <col min="4" max="5" width="16.6328125" style="2" customWidth="1"/>
    <col min="6" max="6" width="11.453125" style="2" customWidth="1"/>
    <col min="7" max="7" width="14" style="2" customWidth="1"/>
  </cols>
  <sheetData>
    <row r="1" spans="1:7" ht="15.5" x14ac:dyDescent="0.35">
      <c r="A1" s="7" t="s">
        <v>0</v>
      </c>
      <c r="B1" s="8" t="s">
        <v>513</v>
      </c>
      <c r="C1" s="9"/>
      <c r="D1" s="9"/>
      <c r="E1" s="9"/>
      <c r="F1" s="9"/>
      <c r="G1" s="9"/>
    </row>
    <row r="2" spans="1:7" ht="15.5" x14ac:dyDescent="0.35">
      <c r="A2" s="7" t="s">
        <v>2</v>
      </c>
      <c r="B2" s="8"/>
      <c r="C2" s="9"/>
      <c r="D2" s="9"/>
      <c r="E2" s="9"/>
      <c r="F2" s="9"/>
      <c r="G2" s="9"/>
    </row>
    <row r="3" spans="1:7" ht="15.5" x14ac:dyDescent="0.35">
      <c r="A3" s="7" t="s">
        <v>1</v>
      </c>
      <c r="B3" s="8"/>
      <c r="C3" s="9"/>
      <c r="D3" s="9"/>
      <c r="E3" s="9"/>
      <c r="F3" s="9"/>
      <c r="G3" s="9"/>
    </row>
    <row r="4" spans="1:7" ht="15" x14ac:dyDescent="0.35">
      <c r="A4" s="99" t="s">
        <v>65</v>
      </c>
      <c r="B4" s="99"/>
      <c r="C4" s="99"/>
      <c r="D4" s="99"/>
      <c r="E4" s="99"/>
      <c r="F4" s="99"/>
      <c r="G4" s="99"/>
    </row>
    <row r="5" spans="1:7" ht="15.5" x14ac:dyDescent="0.35">
      <c r="A5" s="3" t="s">
        <v>8</v>
      </c>
      <c r="B5" s="4" t="s">
        <v>3</v>
      </c>
      <c r="C5" s="5" t="s">
        <v>4</v>
      </c>
      <c r="D5" s="5" t="s">
        <v>5</v>
      </c>
      <c r="E5" s="5" t="s">
        <v>6</v>
      </c>
      <c r="F5" s="5" t="s">
        <v>43</v>
      </c>
      <c r="G5" s="5" t="s">
        <v>7</v>
      </c>
    </row>
    <row r="6" spans="1:7" ht="16" thickBot="1" x14ac:dyDescent="0.4">
      <c r="A6" s="68" t="s">
        <v>271</v>
      </c>
      <c r="B6" s="69" t="s">
        <v>9</v>
      </c>
      <c r="C6" s="70" t="s">
        <v>39</v>
      </c>
      <c r="D6" s="71" t="s">
        <v>272</v>
      </c>
      <c r="E6" s="70" t="s">
        <v>273</v>
      </c>
      <c r="F6" s="70" t="s">
        <v>274</v>
      </c>
      <c r="G6" s="70" t="s">
        <v>62</v>
      </c>
    </row>
    <row r="7" spans="1:7" ht="16" thickTop="1" x14ac:dyDescent="0.35">
      <c r="A7" s="72">
        <v>2</v>
      </c>
      <c r="B7" s="73" t="s">
        <v>10</v>
      </c>
      <c r="C7" s="74" t="s">
        <v>40</v>
      </c>
      <c r="D7" s="74">
        <v>6</v>
      </c>
      <c r="E7" s="74">
        <v>3.43</v>
      </c>
      <c r="F7" s="74">
        <v>3.11</v>
      </c>
      <c r="G7" s="74" t="s">
        <v>62</v>
      </c>
    </row>
    <row r="8" spans="1:7" ht="15.5" x14ac:dyDescent="0.35">
      <c r="A8" s="75">
        <v>3</v>
      </c>
      <c r="B8" s="76" t="s">
        <v>11</v>
      </c>
      <c r="C8" s="77" t="s">
        <v>41</v>
      </c>
      <c r="D8" s="77">
        <v>9.1</v>
      </c>
      <c r="E8" s="77">
        <v>8.06</v>
      </c>
      <c r="F8" s="77">
        <v>6.75</v>
      </c>
      <c r="G8" s="77" t="s">
        <v>63</v>
      </c>
    </row>
    <row r="9" spans="1:7" ht="15.5" x14ac:dyDescent="0.35">
      <c r="A9" s="78">
        <v>4</v>
      </c>
      <c r="B9" s="79" t="s">
        <v>12</v>
      </c>
      <c r="C9" s="80" t="s">
        <v>42</v>
      </c>
      <c r="D9" s="80">
        <v>8.15</v>
      </c>
      <c r="E9" s="80">
        <v>7.28</v>
      </c>
      <c r="F9" s="80">
        <v>4.43</v>
      </c>
      <c r="G9" s="80" t="s">
        <v>62</v>
      </c>
    </row>
    <row r="10" spans="1:7" ht="15.5" x14ac:dyDescent="0.35">
      <c r="A10" s="75">
        <v>5</v>
      </c>
      <c r="B10" s="76" t="s">
        <v>13</v>
      </c>
      <c r="C10" s="77" t="s">
        <v>44</v>
      </c>
      <c r="D10" s="77">
        <v>4.7</v>
      </c>
      <c r="E10" s="77">
        <v>2.5299999999999998</v>
      </c>
      <c r="F10" s="77">
        <v>1.45</v>
      </c>
      <c r="G10" s="77" t="s">
        <v>62</v>
      </c>
    </row>
    <row r="11" spans="1:7" ht="15.5" x14ac:dyDescent="0.35">
      <c r="A11" s="78">
        <v>6</v>
      </c>
      <c r="B11" s="79" t="s">
        <v>14</v>
      </c>
      <c r="C11" s="80" t="s">
        <v>45</v>
      </c>
      <c r="D11" s="80">
        <v>7.35</v>
      </c>
      <c r="E11" s="80">
        <v>5.2</v>
      </c>
      <c r="F11" s="80">
        <v>3.33</v>
      </c>
      <c r="G11" s="80" t="s">
        <v>62</v>
      </c>
    </row>
    <row r="12" spans="1:7" ht="15.5" x14ac:dyDescent="0.35">
      <c r="A12" s="75">
        <v>7</v>
      </c>
      <c r="B12" s="76" t="s">
        <v>15</v>
      </c>
      <c r="C12" s="77" t="s">
        <v>46</v>
      </c>
      <c r="D12" s="77">
        <v>4</v>
      </c>
      <c r="E12" s="77">
        <v>2.6</v>
      </c>
      <c r="F12" s="77">
        <v>0.75</v>
      </c>
      <c r="G12" s="77" t="s">
        <v>62</v>
      </c>
    </row>
    <row r="13" spans="1:7" ht="15.5" x14ac:dyDescent="0.35">
      <c r="A13" s="78">
        <v>8</v>
      </c>
      <c r="B13" s="79" t="s">
        <v>16</v>
      </c>
      <c r="C13" s="80" t="s">
        <v>47</v>
      </c>
      <c r="D13" s="80">
        <v>8.5500000000000007</v>
      </c>
      <c r="E13" s="80">
        <v>6.46</v>
      </c>
      <c r="F13" s="80">
        <v>4.37</v>
      </c>
      <c r="G13" s="80" t="s">
        <v>62</v>
      </c>
    </row>
    <row r="14" spans="1:7" ht="15.5" x14ac:dyDescent="0.35">
      <c r="A14" s="75">
        <v>9</v>
      </c>
      <c r="B14" s="76" t="s">
        <v>17</v>
      </c>
      <c r="C14" s="77" t="s">
        <v>45</v>
      </c>
      <c r="D14" s="77">
        <v>8.6999999999999993</v>
      </c>
      <c r="E14" s="77">
        <v>6.93</v>
      </c>
      <c r="F14" s="77">
        <v>7.11</v>
      </c>
      <c r="G14" s="77" t="s">
        <v>63</v>
      </c>
    </row>
    <row r="15" spans="1:7" ht="15.5" x14ac:dyDescent="0.35">
      <c r="A15" s="78">
        <v>10</v>
      </c>
      <c r="B15" s="79" t="s">
        <v>18</v>
      </c>
      <c r="C15" s="80" t="s">
        <v>48</v>
      </c>
      <c r="D15" s="80">
        <v>6.9</v>
      </c>
      <c r="E15" s="80">
        <v>5.9</v>
      </c>
      <c r="F15" s="80">
        <v>4.2699999999999996</v>
      </c>
      <c r="G15" s="80" t="s">
        <v>62</v>
      </c>
    </row>
    <row r="16" spans="1:7" ht="15.5" x14ac:dyDescent="0.35">
      <c r="A16" s="75">
        <v>11</v>
      </c>
      <c r="B16" s="76" t="s">
        <v>19</v>
      </c>
      <c r="C16" s="77" t="s">
        <v>45</v>
      </c>
      <c r="D16" s="77">
        <v>8.85</v>
      </c>
      <c r="E16" s="77">
        <v>7.89</v>
      </c>
      <c r="F16" s="77">
        <v>7.11</v>
      </c>
      <c r="G16" s="77" t="s">
        <v>63</v>
      </c>
    </row>
    <row r="17" spans="1:7" ht="15.5" x14ac:dyDescent="0.35">
      <c r="A17" s="78">
        <v>12</v>
      </c>
      <c r="B17" s="79" t="s">
        <v>20</v>
      </c>
      <c r="C17" s="80" t="s">
        <v>49</v>
      </c>
      <c r="D17" s="80">
        <v>7.4</v>
      </c>
      <c r="E17" s="80">
        <v>8.9499999999999993</v>
      </c>
      <c r="F17" s="80">
        <v>6.61</v>
      </c>
      <c r="G17" s="80" t="s">
        <v>63</v>
      </c>
    </row>
    <row r="18" spans="1:7" ht="15.5" x14ac:dyDescent="0.35">
      <c r="A18" s="75">
        <v>13</v>
      </c>
      <c r="B18" s="76" t="s">
        <v>21</v>
      </c>
      <c r="C18" s="77" t="s">
        <v>50</v>
      </c>
      <c r="D18" s="77">
        <v>7.6</v>
      </c>
      <c r="E18" s="77">
        <v>5.96</v>
      </c>
      <c r="F18" s="77">
        <v>7.13</v>
      </c>
      <c r="G18" s="77" t="s">
        <v>63</v>
      </c>
    </row>
    <row r="19" spans="1:7" ht="15.5" x14ac:dyDescent="0.35">
      <c r="A19" s="78">
        <v>14</v>
      </c>
      <c r="B19" s="79" t="s">
        <v>22</v>
      </c>
      <c r="C19" s="80" t="s">
        <v>51</v>
      </c>
      <c r="D19" s="80">
        <v>7.9</v>
      </c>
      <c r="E19" s="80">
        <v>7.71</v>
      </c>
      <c r="F19" s="80">
        <v>7.18</v>
      </c>
      <c r="G19" s="80" t="s">
        <v>63</v>
      </c>
    </row>
    <row r="20" spans="1:7" ht="15.5" x14ac:dyDescent="0.35">
      <c r="A20" s="75">
        <v>15</v>
      </c>
      <c r="B20" s="76" t="s">
        <v>23</v>
      </c>
      <c r="C20" s="77" t="s">
        <v>52</v>
      </c>
      <c r="D20" s="77">
        <v>3.85</v>
      </c>
      <c r="E20" s="77">
        <v>2.4</v>
      </c>
      <c r="F20" s="77">
        <v>2.02</v>
      </c>
      <c r="G20" s="77" t="s">
        <v>64</v>
      </c>
    </row>
    <row r="21" spans="1:7" ht="15.5" x14ac:dyDescent="0.35">
      <c r="A21" s="78">
        <v>16</v>
      </c>
      <c r="B21" s="79" t="s">
        <v>24</v>
      </c>
      <c r="C21" s="80" t="s">
        <v>49</v>
      </c>
      <c r="D21" s="80">
        <v>4.3499999999999996</v>
      </c>
      <c r="E21" s="80">
        <v>2.75</v>
      </c>
      <c r="F21" s="80">
        <v>3.36</v>
      </c>
      <c r="G21" s="80" t="s">
        <v>62</v>
      </c>
    </row>
    <row r="22" spans="1:7" ht="15.5" x14ac:dyDescent="0.35">
      <c r="A22" s="75">
        <v>17</v>
      </c>
      <c r="B22" s="76" t="s">
        <v>25</v>
      </c>
      <c r="C22" s="77" t="s">
        <v>49</v>
      </c>
      <c r="D22" s="77">
        <v>5.25</v>
      </c>
      <c r="E22" s="77">
        <v>2.62</v>
      </c>
      <c r="F22" s="77">
        <v>2.54</v>
      </c>
      <c r="G22" s="77" t="s">
        <v>62</v>
      </c>
    </row>
    <row r="23" spans="1:7" ht="15.5" x14ac:dyDescent="0.35">
      <c r="A23" s="78">
        <v>18</v>
      </c>
      <c r="B23" s="79" t="s">
        <v>26</v>
      </c>
      <c r="C23" s="80" t="s">
        <v>53</v>
      </c>
      <c r="D23" s="80">
        <v>7.25</v>
      </c>
      <c r="E23" s="80">
        <v>4.8099999999999996</v>
      </c>
      <c r="F23" s="80">
        <v>4.29</v>
      </c>
      <c r="G23" s="80" t="s">
        <v>62</v>
      </c>
    </row>
    <row r="24" spans="1:7" ht="15.5" x14ac:dyDescent="0.35">
      <c r="A24" s="75">
        <v>19</v>
      </c>
      <c r="B24" s="76" t="s">
        <v>27</v>
      </c>
      <c r="C24" s="77" t="s">
        <v>54</v>
      </c>
      <c r="D24" s="77">
        <v>7.35</v>
      </c>
      <c r="E24" s="77">
        <v>4.78</v>
      </c>
      <c r="F24" s="77">
        <v>4.05</v>
      </c>
      <c r="G24" s="77" t="s">
        <v>62</v>
      </c>
    </row>
    <row r="25" spans="1:7" ht="15.5" x14ac:dyDescent="0.35">
      <c r="A25" s="78">
        <v>20</v>
      </c>
      <c r="B25" s="79" t="s">
        <v>28</v>
      </c>
      <c r="C25" s="80" t="s">
        <v>54</v>
      </c>
      <c r="D25" s="80">
        <v>7.6</v>
      </c>
      <c r="E25" s="80">
        <v>5.12</v>
      </c>
      <c r="F25" s="80">
        <v>4.13</v>
      </c>
      <c r="G25" s="80" t="s">
        <v>64</v>
      </c>
    </row>
    <row r="26" spans="1:7" ht="15.5" x14ac:dyDescent="0.35">
      <c r="A26" s="75">
        <v>21</v>
      </c>
      <c r="B26" s="76" t="s">
        <v>29</v>
      </c>
      <c r="C26" s="77" t="s">
        <v>55</v>
      </c>
      <c r="D26" s="77">
        <v>7.6</v>
      </c>
      <c r="E26" s="77">
        <v>6.92</v>
      </c>
      <c r="F26" s="77">
        <v>4.21</v>
      </c>
      <c r="G26" s="77" t="s">
        <v>62</v>
      </c>
    </row>
    <row r="27" spans="1:7" ht="15.5" x14ac:dyDescent="0.35">
      <c r="A27" s="78">
        <v>22</v>
      </c>
      <c r="B27" s="79" t="s">
        <v>30</v>
      </c>
      <c r="C27" s="80" t="s">
        <v>56</v>
      </c>
      <c r="D27" s="80">
        <v>7.6</v>
      </c>
      <c r="E27" s="80">
        <v>5.81</v>
      </c>
      <c r="F27" s="80">
        <v>4.43</v>
      </c>
      <c r="G27" s="80" t="s">
        <v>62</v>
      </c>
    </row>
    <row r="28" spans="1:7" ht="15.5" x14ac:dyDescent="0.35">
      <c r="A28" s="75">
        <v>23</v>
      </c>
      <c r="B28" s="76" t="s">
        <v>31</v>
      </c>
      <c r="C28" s="77" t="s">
        <v>49</v>
      </c>
      <c r="D28" s="77">
        <v>5.9</v>
      </c>
      <c r="E28" s="77">
        <v>4.21</v>
      </c>
      <c r="F28" s="77">
        <v>0</v>
      </c>
      <c r="G28" s="77" t="s">
        <v>64</v>
      </c>
    </row>
    <row r="29" spans="1:7" ht="15.5" x14ac:dyDescent="0.35">
      <c r="A29" s="78">
        <v>24</v>
      </c>
      <c r="B29" s="79" t="s">
        <v>32</v>
      </c>
      <c r="C29" s="80" t="s">
        <v>49</v>
      </c>
      <c r="D29" s="80">
        <v>5.0999999999999996</v>
      </c>
      <c r="E29" s="80">
        <v>2.57</v>
      </c>
      <c r="F29" s="80">
        <v>1.46</v>
      </c>
      <c r="G29" s="80" t="s">
        <v>64</v>
      </c>
    </row>
    <row r="30" spans="1:7" ht="15.5" x14ac:dyDescent="0.35">
      <c r="A30" s="75">
        <v>25</v>
      </c>
      <c r="B30" s="76" t="s">
        <v>33</v>
      </c>
      <c r="C30" s="77" t="s">
        <v>49</v>
      </c>
      <c r="D30" s="77">
        <v>8</v>
      </c>
      <c r="E30" s="77">
        <v>6.21</v>
      </c>
      <c r="F30" s="77">
        <v>4.09</v>
      </c>
      <c r="G30" s="77" t="s">
        <v>62</v>
      </c>
    </row>
    <row r="31" spans="1:7" ht="15.5" x14ac:dyDescent="0.35">
      <c r="A31" s="78">
        <v>26</v>
      </c>
      <c r="B31" s="79" t="s">
        <v>34</v>
      </c>
      <c r="C31" s="80" t="s">
        <v>57</v>
      </c>
      <c r="D31" s="80">
        <v>7.25</v>
      </c>
      <c r="E31" s="80">
        <v>5.89</v>
      </c>
      <c r="F31" s="80">
        <v>4.7300000000000004</v>
      </c>
      <c r="G31" s="80" t="s">
        <v>63</v>
      </c>
    </row>
    <row r="32" spans="1:7" ht="15.5" x14ac:dyDescent="0.35">
      <c r="A32" s="75">
        <v>27</v>
      </c>
      <c r="B32" s="76" t="s">
        <v>35</v>
      </c>
      <c r="C32" s="77" t="s">
        <v>58</v>
      </c>
      <c r="D32" s="77">
        <v>7.15</v>
      </c>
      <c r="E32" s="77">
        <v>4.45</v>
      </c>
      <c r="F32" s="77">
        <v>3.61</v>
      </c>
      <c r="G32" s="77" t="s">
        <v>64</v>
      </c>
    </row>
    <row r="33" spans="1:7" ht="15.5" x14ac:dyDescent="0.35">
      <c r="A33" s="78">
        <v>28</v>
      </c>
      <c r="B33" s="79" t="s">
        <v>36</v>
      </c>
      <c r="C33" s="80" t="s">
        <v>59</v>
      </c>
      <c r="D33" s="80">
        <v>9</v>
      </c>
      <c r="E33" s="80">
        <v>8.59</v>
      </c>
      <c r="F33" s="80">
        <v>8.57</v>
      </c>
      <c r="G33" s="80" t="s">
        <v>63</v>
      </c>
    </row>
    <row r="34" spans="1:7" ht="15.5" x14ac:dyDescent="0.35">
      <c r="A34" s="75">
        <v>29</v>
      </c>
      <c r="B34" s="76" t="s">
        <v>37</v>
      </c>
      <c r="C34" s="77" t="s">
        <v>49</v>
      </c>
      <c r="D34" s="77">
        <v>6.35</v>
      </c>
      <c r="E34" s="77">
        <v>5.65</v>
      </c>
      <c r="F34" s="77">
        <v>4.24</v>
      </c>
      <c r="G34" s="77" t="s">
        <v>62</v>
      </c>
    </row>
    <row r="35" spans="1:7" ht="15.5" x14ac:dyDescent="0.35">
      <c r="A35" s="78">
        <v>30</v>
      </c>
      <c r="B35" s="79" t="s">
        <v>38</v>
      </c>
      <c r="C35" s="80" t="s">
        <v>60</v>
      </c>
      <c r="D35" s="80">
        <v>8.3000000000000007</v>
      </c>
      <c r="E35" s="80">
        <v>6.98</v>
      </c>
      <c r="F35" s="80">
        <v>4.33</v>
      </c>
      <c r="G35" s="80" t="s">
        <v>62</v>
      </c>
    </row>
    <row r="36" spans="1:7" ht="15.5" x14ac:dyDescent="0.35">
      <c r="A36" s="88">
        <f>SUBTOTAL(102,Table16[N°])</f>
        <v>29</v>
      </c>
      <c r="B36" s="89"/>
      <c r="C36" s="90"/>
      <c r="D36" s="90"/>
      <c r="E36" s="90"/>
      <c r="F36" s="90"/>
      <c r="G36" s="90">
        <f>SUBTOTAL(103,Table16[Observation])</f>
        <v>30</v>
      </c>
    </row>
    <row r="37" spans="1:7" ht="15.5" x14ac:dyDescent="0.35">
      <c r="A37" s="83"/>
      <c r="B37" s="79"/>
      <c r="C37" s="84"/>
      <c r="D37" s="84"/>
      <c r="E37" s="84"/>
      <c r="F37" s="84"/>
      <c r="G37" s="84"/>
    </row>
    <row r="38" spans="1:7" ht="15" x14ac:dyDescent="0.35">
      <c r="A38" s="12" t="s">
        <v>270</v>
      </c>
      <c r="B38" s="91" t="s">
        <v>529</v>
      </c>
      <c r="C38" s="91" t="s">
        <v>530</v>
      </c>
      <c r="D38" s="91" t="s">
        <v>531</v>
      </c>
      <c r="E38" s="91" t="s">
        <v>532</v>
      </c>
      <c r="F38" s="91" t="s">
        <v>533</v>
      </c>
      <c r="G38" s="91" t="s">
        <v>537</v>
      </c>
    </row>
    <row r="39" spans="1:7" ht="15.5" x14ac:dyDescent="0.35">
      <c r="A39" s="78">
        <v>1</v>
      </c>
      <c r="B39" s="79" t="s">
        <v>66</v>
      </c>
      <c r="C39" s="80" t="s">
        <v>67</v>
      </c>
      <c r="D39" s="80">
        <v>6.65</v>
      </c>
      <c r="E39" s="80">
        <v>5.14</v>
      </c>
      <c r="F39" s="80">
        <v>3.04</v>
      </c>
      <c r="G39" s="80" t="s">
        <v>62</v>
      </c>
    </row>
    <row r="40" spans="1:7" ht="15.5" x14ac:dyDescent="0.35">
      <c r="A40" s="75">
        <v>2</v>
      </c>
      <c r="B40" s="76" t="s">
        <v>68</v>
      </c>
      <c r="C40" s="77" t="s">
        <v>67</v>
      </c>
      <c r="D40" s="77">
        <v>7.5</v>
      </c>
      <c r="E40" s="77">
        <v>7.82</v>
      </c>
      <c r="F40" s="77">
        <v>4.32</v>
      </c>
      <c r="G40" s="77" t="s">
        <v>62</v>
      </c>
    </row>
    <row r="41" spans="1:7" ht="15.5" x14ac:dyDescent="0.35">
      <c r="A41" s="78">
        <v>3</v>
      </c>
      <c r="B41" s="79" t="s">
        <v>69</v>
      </c>
      <c r="C41" s="80" t="s">
        <v>67</v>
      </c>
      <c r="D41" s="80">
        <v>4.55</v>
      </c>
      <c r="E41" s="80">
        <v>2.58</v>
      </c>
      <c r="F41" s="80">
        <v>1.38</v>
      </c>
      <c r="G41" s="80" t="s">
        <v>62</v>
      </c>
    </row>
    <row r="42" spans="1:7" ht="15.5" x14ac:dyDescent="0.35">
      <c r="A42" s="75">
        <v>4</v>
      </c>
      <c r="B42" s="76" t="s">
        <v>70</v>
      </c>
      <c r="C42" s="77" t="s">
        <v>67</v>
      </c>
      <c r="D42" s="77">
        <v>8.69</v>
      </c>
      <c r="E42" s="77">
        <v>6.35</v>
      </c>
      <c r="F42" s="77">
        <v>4.37</v>
      </c>
      <c r="G42" s="77" t="s">
        <v>62</v>
      </c>
    </row>
    <row r="43" spans="1:7" ht="15.5" x14ac:dyDescent="0.35">
      <c r="A43" s="78">
        <v>5</v>
      </c>
      <c r="B43" s="79" t="s">
        <v>71</v>
      </c>
      <c r="C43" s="80" t="s">
        <v>67</v>
      </c>
      <c r="D43" s="80">
        <v>9.1</v>
      </c>
      <c r="E43" s="80">
        <v>8.8800000000000008</v>
      </c>
      <c r="F43" s="80">
        <v>6.75</v>
      </c>
      <c r="G43" s="80" t="s">
        <v>63</v>
      </c>
    </row>
    <row r="44" spans="1:7" ht="15.5" x14ac:dyDescent="0.35">
      <c r="A44" s="75">
        <v>6</v>
      </c>
      <c r="B44" s="76" t="s">
        <v>72</v>
      </c>
      <c r="C44" s="77" t="s">
        <v>67</v>
      </c>
      <c r="D44" s="77">
        <v>6.7</v>
      </c>
      <c r="E44" s="77">
        <v>6.41</v>
      </c>
      <c r="F44" s="77">
        <v>5.43</v>
      </c>
      <c r="G44" s="77" t="s">
        <v>63</v>
      </c>
    </row>
    <row r="45" spans="1:7" ht="15.5" x14ac:dyDescent="0.35">
      <c r="A45" s="78">
        <v>7</v>
      </c>
      <c r="B45" s="79" t="s">
        <v>73</v>
      </c>
      <c r="C45" s="80" t="s">
        <v>67</v>
      </c>
      <c r="D45" s="80">
        <v>8.6</v>
      </c>
      <c r="E45" s="80">
        <v>5.0199999999999996</v>
      </c>
      <c r="F45" s="80">
        <v>2.46</v>
      </c>
      <c r="G45" s="80" t="s">
        <v>62</v>
      </c>
    </row>
    <row r="46" spans="1:7" ht="15.5" x14ac:dyDescent="0.35">
      <c r="A46" s="75">
        <v>8</v>
      </c>
      <c r="B46" s="76" t="s">
        <v>74</v>
      </c>
      <c r="C46" s="77" t="s">
        <v>67</v>
      </c>
      <c r="D46" s="77">
        <v>7.7</v>
      </c>
      <c r="E46" s="77">
        <v>7.82</v>
      </c>
      <c r="F46" s="77">
        <v>6.7</v>
      </c>
      <c r="G46" s="77" t="s">
        <v>63</v>
      </c>
    </row>
    <row r="47" spans="1:7" ht="15.5" x14ac:dyDescent="0.35">
      <c r="A47" s="78">
        <v>9</v>
      </c>
      <c r="B47" s="79" t="s">
        <v>75</v>
      </c>
      <c r="C47" s="80" t="s">
        <v>67</v>
      </c>
      <c r="D47" s="80">
        <v>7.6</v>
      </c>
      <c r="E47" s="80">
        <v>4.82</v>
      </c>
      <c r="F47" s="80">
        <v>3.91</v>
      </c>
      <c r="G47" s="80" t="s">
        <v>62</v>
      </c>
    </row>
    <row r="48" spans="1:7" ht="15.5" x14ac:dyDescent="0.35">
      <c r="A48" s="75">
        <v>10</v>
      </c>
      <c r="B48" s="76" t="s">
        <v>76</v>
      </c>
      <c r="C48" s="77" t="s">
        <v>67</v>
      </c>
      <c r="D48" s="77">
        <v>8.8000000000000007</v>
      </c>
      <c r="E48" s="77">
        <v>7.11</v>
      </c>
      <c r="F48" s="77">
        <v>5.63</v>
      </c>
      <c r="G48" s="77" t="s">
        <v>63</v>
      </c>
    </row>
    <row r="49" spans="1:7" ht="15.5" x14ac:dyDescent="0.35">
      <c r="A49" s="78">
        <v>11</v>
      </c>
      <c r="B49" s="79" t="s">
        <v>77</v>
      </c>
      <c r="C49" s="80" t="s">
        <v>67</v>
      </c>
      <c r="D49" s="80">
        <v>7.05</v>
      </c>
      <c r="E49" s="80">
        <v>5.58</v>
      </c>
      <c r="F49" s="80">
        <v>1.5</v>
      </c>
      <c r="G49" s="80" t="s">
        <v>62</v>
      </c>
    </row>
    <row r="50" spans="1:7" ht="15.5" x14ac:dyDescent="0.35">
      <c r="A50" s="75">
        <v>12</v>
      </c>
      <c r="B50" s="76" t="s">
        <v>78</v>
      </c>
      <c r="C50" s="77" t="s">
        <v>67</v>
      </c>
      <c r="D50" s="77">
        <v>6.15</v>
      </c>
      <c r="E50" s="77">
        <v>2.61</v>
      </c>
      <c r="F50" s="77">
        <v>1.5</v>
      </c>
      <c r="G50" s="77" t="s">
        <v>62</v>
      </c>
    </row>
    <row r="51" spans="1:7" ht="15.5" x14ac:dyDescent="0.35">
      <c r="A51" s="78">
        <v>13</v>
      </c>
      <c r="B51" s="79" t="s">
        <v>79</v>
      </c>
      <c r="C51" s="80" t="s">
        <v>67</v>
      </c>
      <c r="D51" s="80">
        <v>7.6</v>
      </c>
      <c r="E51" s="80">
        <v>4.0199999999999996</v>
      </c>
      <c r="F51" s="80">
        <v>1.68</v>
      </c>
      <c r="G51" s="80" t="s">
        <v>62</v>
      </c>
    </row>
    <row r="52" spans="1:7" ht="15.5" x14ac:dyDescent="0.35">
      <c r="A52" s="75">
        <v>14</v>
      </c>
      <c r="B52" s="76" t="s">
        <v>80</v>
      </c>
      <c r="C52" s="77" t="s">
        <v>67</v>
      </c>
      <c r="D52" s="77">
        <v>6.1</v>
      </c>
      <c r="E52" s="77">
        <v>4.7</v>
      </c>
      <c r="F52" s="77">
        <v>1.77</v>
      </c>
      <c r="G52" s="77" t="s">
        <v>62</v>
      </c>
    </row>
    <row r="53" spans="1:7" ht="15.5" x14ac:dyDescent="0.35">
      <c r="A53" s="78">
        <v>15</v>
      </c>
      <c r="B53" s="79" t="s">
        <v>81</v>
      </c>
      <c r="C53" s="80" t="s">
        <v>67</v>
      </c>
      <c r="D53" s="80">
        <v>4.8499999999999996</v>
      </c>
      <c r="E53" s="80">
        <v>2.64</v>
      </c>
      <c r="F53" s="80">
        <v>1.65</v>
      </c>
      <c r="G53" s="80" t="s">
        <v>62</v>
      </c>
    </row>
    <row r="54" spans="1:7" ht="15.5" x14ac:dyDescent="0.35">
      <c r="A54" s="75">
        <v>16</v>
      </c>
      <c r="B54" s="76" t="s">
        <v>82</v>
      </c>
      <c r="C54" s="77" t="s">
        <v>67</v>
      </c>
      <c r="D54" s="77">
        <v>4.05</v>
      </c>
      <c r="E54" s="77">
        <v>3.5</v>
      </c>
      <c r="F54" s="77">
        <v>0.75</v>
      </c>
      <c r="G54" s="77" t="s">
        <v>62</v>
      </c>
    </row>
    <row r="55" spans="1:7" ht="15.5" x14ac:dyDescent="0.35">
      <c r="A55" s="78">
        <v>17</v>
      </c>
      <c r="B55" s="79" t="s">
        <v>83</v>
      </c>
      <c r="C55" s="80" t="s">
        <v>67</v>
      </c>
      <c r="D55" s="80">
        <v>8.02</v>
      </c>
      <c r="E55" s="80">
        <v>4.9000000000000004</v>
      </c>
      <c r="F55" s="80">
        <v>4.3</v>
      </c>
      <c r="G55" s="80" t="s">
        <v>62</v>
      </c>
    </row>
    <row r="56" spans="1:7" ht="15.5" x14ac:dyDescent="0.35">
      <c r="A56" s="75">
        <v>18</v>
      </c>
      <c r="B56" s="76" t="s">
        <v>84</v>
      </c>
      <c r="C56" s="77" t="s">
        <v>67</v>
      </c>
      <c r="D56" s="77">
        <v>4.8</v>
      </c>
      <c r="E56" s="77">
        <v>2.67</v>
      </c>
      <c r="F56" s="77">
        <v>0.75</v>
      </c>
      <c r="G56" s="77" t="s">
        <v>62</v>
      </c>
    </row>
    <row r="57" spans="1:7" ht="15.5" x14ac:dyDescent="0.35">
      <c r="A57" s="78">
        <v>19</v>
      </c>
      <c r="B57" s="79" t="s">
        <v>85</v>
      </c>
      <c r="C57" s="80" t="s">
        <v>67</v>
      </c>
      <c r="D57" s="80">
        <v>7.5</v>
      </c>
      <c r="E57" s="80">
        <v>4.38</v>
      </c>
      <c r="F57" s="80">
        <v>1.43</v>
      </c>
      <c r="G57" s="80" t="s">
        <v>62</v>
      </c>
    </row>
    <row r="58" spans="1:7" ht="15.5" x14ac:dyDescent="0.35">
      <c r="A58" s="75">
        <v>20</v>
      </c>
      <c r="B58" s="76" t="s">
        <v>86</v>
      </c>
      <c r="C58" s="77" t="s">
        <v>67</v>
      </c>
      <c r="D58" s="77">
        <v>8.4499999999999993</v>
      </c>
      <c r="E58" s="77">
        <v>9.26</v>
      </c>
      <c r="F58" s="77">
        <v>6.85</v>
      </c>
      <c r="G58" s="77" t="s">
        <v>63</v>
      </c>
    </row>
    <row r="59" spans="1:7" ht="15.5" x14ac:dyDescent="0.35">
      <c r="A59" s="78">
        <v>21</v>
      </c>
      <c r="B59" s="79" t="s">
        <v>87</v>
      </c>
      <c r="C59" s="80" t="s">
        <v>88</v>
      </c>
      <c r="D59" s="80">
        <v>8.4499999999999993</v>
      </c>
      <c r="E59" s="80">
        <v>0</v>
      </c>
      <c r="F59" s="80">
        <v>0</v>
      </c>
      <c r="G59" s="80" t="s">
        <v>64</v>
      </c>
    </row>
    <row r="60" spans="1:7" ht="15.5" x14ac:dyDescent="0.35">
      <c r="A60" s="75">
        <v>22</v>
      </c>
      <c r="B60" s="76" t="s">
        <v>89</v>
      </c>
      <c r="C60" s="77" t="s">
        <v>88</v>
      </c>
      <c r="D60" s="77">
        <v>5.6</v>
      </c>
      <c r="E60" s="77">
        <v>3.29</v>
      </c>
      <c r="F60" s="77">
        <v>2.4500000000000002</v>
      </c>
      <c r="G60" s="77" t="s">
        <v>64</v>
      </c>
    </row>
    <row r="61" spans="1:7" ht="15.5" x14ac:dyDescent="0.35">
      <c r="A61" s="78">
        <v>23</v>
      </c>
      <c r="B61" s="79" t="s">
        <v>90</v>
      </c>
      <c r="C61" s="80" t="s">
        <v>88</v>
      </c>
      <c r="D61" s="80">
        <v>7.25</v>
      </c>
      <c r="E61" s="80">
        <v>5.08</v>
      </c>
      <c r="F61" s="80">
        <v>2.0699999999999998</v>
      </c>
      <c r="G61" s="80" t="s">
        <v>64</v>
      </c>
    </row>
    <row r="62" spans="1:7" ht="15.5" x14ac:dyDescent="0.35">
      <c r="A62" s="75">
        <v>24</v>
      </c>
      <c r="B62" s="76" t="s">
        <v>91</v>
      </c>
      <c r="C62" s="77" t="s">
        <v>88</v>
      </c>
      <c r="D62" s="77">
        <v>5.3</v>
      </c>
      <c r="E62" s="77">
        <v>5.63</v>
      </c>
      <c r="F62" s="77">
        <v>2.1800000000000002</v>
      </c>
      <c r="G62" s="77" t="s">
        <v>62</v>
      </c>
    </row>
    <row r="63" spans="1:7" ht="15.5" x14ac:dyDescent="0.35">
      <c r="A63" s="78">
        <v>25</v>
      </c>
      <c r="B63" s="79" t="s">
        <v>92</v>
      </c>
      <c r="C63" s="80" t="s">
        <v>88</v>
      </c>
      <c r="D63" s="80">
        <v>5.7</v>
      </c>
      <c r="E63" s="80">
        <v>4.82</v>
      </c>
      <c r="F63" s="80">
        <v>2.2000000000000002</v>
      </c>
      <c r="G63" s="80" t="s">
        <v>62</v>
      </c>
    </row>
    <row r="64" spans="1:7" ht="15.5" x14ac:dyDescent="0.35">
      <c r="A64" s="75">
        <v>26</v>
      </c>
      <c r="B64" s="76" t="s">
        <v>93</v>
      </c>
      <c r="C64" s="77" t="s">
        <v>88</v>
      </c>
      <c r="D64" s="77">
        <v>6.2</v>
      </c>
      <c r="E64" s="77">
        <v>5.7</v>
      </c>
      <c r="F64" s="77">
        <v>4.2</v>
      </c>
      <c r="G64" s="77" t="s">
        <v>62</v>
      </c>
    </row>
    <row r="65" spans="1:9" ht="15.5" x14ac:dyDescent="0.35">
      <c r="A65" s="78">
        <v>27</v>
      </c>
      <c r="B65" s="79" t="s">
        <v>94</v>
      </c>
      <c r="C65" s="80" t="s">
        <v>88</v>
      </c>
      <c r="D65" s="80">
        <v>0</v>
      </c>
      <c r="E65" s="80">
        <v>0</v>
      </c>
      <c r="F65" s="80">
        <v>0</v>
      </c>
      <c r="G65" s="80" t="s">
        <v>62</v>
      </c>
    </row>
    <row r="66" spans="1:9" ht="15.5" x14ac:dyDescent="0.35">
      <c r="A66" s="75">
        <v>28</v>
      </c>
      <c r="B66" s="76" t="s">
        <v>95</v>
      </c>
      <c r="C66" s="77" t="s">
        <v>88</v>
      </c>
      <c r="D66" s="77">
        <v>6.35</v>
      </c>
      <c r="E66" s="77">
        <v>5.52</v>
      </c>
      <c r="F66" s="77">
        <v>3.11</v>
      </c>
      <c r="G66" s="77" t="s">
        <v>62</v>
      </c>
    </row>
    <row r="67" spans="1:9" ht="15.5" x14ac:dyDescent="0.35">
      <c r="A67" s="78">
        <v>29</v>
      </c>
      <c r="B67" s="79" t="s">
        <v>96</v>
      </c>
      <c r="C67" s="80" t="s">
        <v>88</v>
      </c>
      <c r="D67" s="80">
        <v>5.2</v>
      </c>
      <c r="E67" s="80">
        <v>3.44</v>
      </c>
      <c r="F67" s="80">
        <v>1.79</v>
      </c>
      <c r="G67" s="80" t="s">
        <v>62</v>
      </c>
    </row>
    <row r="68" spans="1:9" ht="15.5" x14ac:dyDescent="0.35">
      <c r="A68" s="75">
        <v>30</v>
      </c>
      <c r="B68" s="76" t="s">
        <v>97</v>
      </c>
      <c r="C68" s="77" t="s">
        <v>98</v>
      </c>
      <c r="D68" s="77">
        <v>7.15</v>
      </c>
      <c r="E68" s="77">
        <v>7.47</v>
      </c>
      <c r="F68" s="77">
        <v>4.3</v>
      </c>
      <c r="G68" s="77" t="s">
        <v>62</v>
      </c>
    </row>
    <row r="69" spans="1:9" ht="15.5" x14ac:dyDescent="0.35">
      <c r="A69" s="78">
        <v>31</v>
      </c>
      <c r="B69" s="79" t="s">
        <v>99</v>
      </c>
      <c r="C69" s="80" t="s">
        <v>88</v>
      </c>
      <c r="D69" s="80">
        <v>4.9000000000000004</v>
      </c>
      <c r="E69" s="80">
        <v>4.29</v>
      </c>
      <c r="F69" s="80">
        <v>2.4500000000000002</v>
      </c>
      <c r="G69" s="80" t="s">
        <v>64</v>
      </c>
    </row>
    <row r="70" spans="1:9" ht="15.5" x14ac:dyDescent="0.35">
      <c r="A70" s="88">
        <f>SUBTOTAL(103,Table17[ECOLE GALADANTCHI])</f>
        <v>31</v>
      </c>
      <c r="B70" s="89"/>
      <c r="C70" s="90"/>
      <c r="D70" s="90"/>
      <c r="E70" s="90"/>
      <c r="F70" s="90"/>
      <c r="G70" s="90">
        <f>SUBTOTAL(103,Table17[Column6])</f>
        <v>31</v>
      </c>
    </row>
    <row r="71" spans="1:9" ht="15.5" x14ac:dyDescent="0.35">
      <c r="A71" s="85"/>
      <c r="B71" s="86"/>
      <c r="C71" s="87"/>
      <c r="D71" s="87"/>
      <c r="E71" s="87"/>
      <c r="F71" s="87"/>
      <c r="G71" s="87"/>
    </row>
    <row r="72" spans="1:9" ht="15.5" x14ac:dyDescent="0.35">
      <c r="A72" s="83"/>
      <c r="B72" s="79"/>
      <c r="C72" s="84"/>
      <c r="D72" s="84"/>
      <c r="E72" s="84"/>
      <c r="F72" s="84"/>
      <c r="G72" s="84"/>
    </row>
    <row r="73" spans="1:9" ht="15" x14ac:dyDescent="0.35">
      <c r="A73" s="12" t="s">
        <v>100</v>
      </c>
      <c r="B73" s="91" t="s">
        <v>529</v>
      </c>
      <c r="C73" s="91" t="s">
        <v>530</v>
      </c>
      <c r="D73" s="91" t="s">
        <v>531</v>
      </c>
      <c r="E73" s="91" t="s">
        <v>532</v>
      </c>
      <c r="F73" s="91" t="s">
        <v>533</v>
      </c>
      <c r="G73" s="91" t="s">
        <v>537</v>
      </c>
    </row>
    <row r="74" spans="1:9" ht="15.5" x14ac:dyDescent="0.35">
      <c r="A74" s="78">
        <v>1</v>
      </c>
      <c r="B74" s="79" t="s">
        <v>101</v>
      </c>
      <c r="C74" s="80" t="s">
        <v>102</v>
      </c>
      <c r="D74" s="80">
        <v>7.97</v>
      </c>
      <c r="E74" s="80">
        <v>6.08</v>
      </c>
      <c r="F74" s="80">
        <v>3.63</v>
      </c>
      <c r="G74" s="80" t="s">
        <v>62</v>
      </c>
    </row>
    <row r="75" spans="1:9" ht="15.5" x14ac:dyDescent="0.35">
      <c r="A75" s="75">
        <v>2</v>
      </c>
      <c r="B75" s="76" t="s">
        <v>103</v>
      </c>
      <c r="C75" s="77" t="s">
        <v>102</v>
      </c>
      <c r="D75" s="77">
        <v>5.95</v>
      </c>
      <c r="E75" s="77">
        <v>5.17</v>
      </c>
      <c r="F75" s="77">
        <v>3.46</v>
      </c>
      <c r="G75" s="77" t="s">
        <v>62</v>
      </c>
    </row>
    <row r="76" spans="1:9" ht="15.5" x14ac:dyDescent="0.35">
      <c r="A76" s="78">
        <v>3</v>
      </c>
      <c r="B76" s="79" t="s">
        <v>104</v>
      </c>
      <c r="C76" s="80" t="s">
        <v>102</v>
      </c>
      <c r="D76" s="80">
        <v>7.55</v>
      </c>
      <c r="E76" s="80">
        <v>5.55</v>
      </c>
      <c r="F76" s="80">
        <v>4.3</v>
      </c>
      <c r="G76" s="80" t="s">
        <v>62</v>
      </c>
    </row>
    <row r="77" spans="1:9" ht="15.5" x14ac:dyDescent="0.35">
      <c r="A77" s="75">
        <v>4</v>
      </c>
      <c r="B77" s="76" t="s">
        <v>105</v>
      </c>
      <c r="C77" s="77" t="s">
        <v>102</v>
      </c>
      <c r="D77" s="77">
        <v>4.0999999999999996</v>
      </c>
      <c r="E77" s="77">
        <v>5.1100000000000003</v>
      </c>
      <c r="F77" s="77">
        <v>3.45</v>
      </c>
      <c r="G77" s="77" t="s">
        <v>62</v>
      </c>
    </row>
    <row r="78" spans="1:9" ht="15.5" x14ac:dyDescent="0.35">
      <c r="A78" s="78">
        <v>5</v>
      </c>
      <c r="B78" s="79" t="s">
        <v>106</v>
      </c>
      <c r="C78" s="80" t="s">
        <v>102</v>
      </c>
      <c r="D78" s="80">
        <v>4.3499999999999996</v>
      </c>
      <c r="E78" s="80">
        <v>1.79</v>
      </c>
      <c r="F78" s="80">
        <v>2.46</v>
      </c>
      <c r="G78" s="80" t="s">
        <v>62</v>
      </c>
    </row>
    <row r="79" spans="1:9" ht="15.5" x14ac:dyDescent="0.35">
      <c r="A79" s="75">
        <v>6</v>
      </c>
      <c r="B79" s="76" t="s">
        <v>107</v>
      </c>
      <c r="C79" s="77" t="s">
        <v>102</v>
      </c>
      <c r="D79" s="77">
        <v>7.95</v>
      </c>
      <c r="E79" s="77">
        <v>6.88</v>
      </c>
      <c r="F79" s="77">
        <v>4.4400000000000004</v>
      </c>
      <c r="G79" s="77" t="s">
        <v>62</v>
      </c>
      <c r="I79" s="6"/>
    </row>
    <row r="80" spans="1:9" ht="15.5" x14ac:dyDescent="0.35">
      <c r="A80" s="78">
        <v>7</v>
      </c>
      <c r="B80" s="79" t="s">
        <v>108</v>
      </c>
      <c r="C80" s="80" t="s">
        <v>102</v>
      </c>
      <c r="D80" s="80">
        <v>8.65</v>
      </c>
      <c r="E80" s="80">
        <v>7.76</v>
      </c>
      <c r="F80" s="80">
        <v>4.0199999999999996</v>
      </c>
      <c r="G80" s="80" t="s">
        <v>62</v>
      </c>
    </row>
    <row r="81" spans="1:7" ht="15.5" x14ac:dyDescent="0.35">
      <c r="A81" s="75">
        <v>8</v>
      </c>
      <c r="B81" s="76" t="s">
        <v>109</v>
      </c>
      <c r="C81" s="77" t="s">
        <v>102</v>
      </c>
      <c r="D81" s="77">
        <v>3.55</v>
      </c>
      <c r="E81" s="77">
        <v>1.7</v>
      </c>
      <c r="F81" s="77">
        <v>1.25</v>
      </c>
      <c r="G81" s="77" t="s">
        <v>62</v>
      </c>
    </row>
    <row r="82" spans="1:7" ht="15.5" x14ac:dyDescent="0.35">
      <c r="A82" s="78">
        <v>9</v>
      </c>
      <c r="B82" s="79" t="s">
        <v>110</v>
      </c>
      <c r="C82" s="80" t="s">
        <v>102</v>
      </c>
      <c r="D82" s="80">
        <v>8.85</v>
      </c>
      <c r="E82" s="80">
        <v>9.11</v>
      </c>
      <c r="F82" s="80">
        <v>7.89</v>
      </c>
      <c r="G82" s="80" t="s">
        <v>63</v>
      </c>
    </row>
    <row r="83" spans="1:7" ht="15.5" x14ac:dyDescent="0.35">
      <c r="A83" s="75">
        <v>10</v>
      </c>
      <c r="B83" s="76" t="s">
        <v>111</v>
      </c>
      <c r="C83" s="77" t="s">
        <v>112</v>
      </c>
      <c r="D83" s="77">
        <v>9.2200000000000006</v>
      </c>
      <c r="E83" s="77">
        <v>9.41</v>
      </c>
      <c r="F83" s="77">
        <v>5.77</v>
      </c>
      <c r="G83" s="77" t="s">
        <v>63</v>
      </c>
    </row>
    <row r="84" spans="1:7" ht="15.5" x14ac:dyDescent="0.35">
      <c r="A84" s="78">
        <v>11</v>
      </c>
      <c r="B84" s="79" t="s">
        <v>113</v>
      </c>
      <c r="C84" s="80" t="s">
        <v>112</v>
      </c>
      <c r="D84" s="80">
        <v>8.65</v>
      </c>
      <c r="E84" s="80">
        <v>6.85</v>
      </c>
      <c r="F84" s="80">
        <v>4.21</v>
      </c>
      <c r="G84" s="80" t="s">
        <v>64</v>
      </c>
    </row>
    <row r="85" spans="1:7" ht="15.5" x14ac:dyDescent="0.35">
      <c r="A85" s="75">
        <v>12</v>
      </c>
      <c r="B85" s="76" t="s">
        <v>114</v>
      </c>
      <c r="C85" s="77" t="s">
        <v>112</v>
      </c>
      <c r="D85" s="77">
        <v>8.8000000000000007</v>
      </c>
      <c r="E85" s="77">
        <v>6.67</v>
      </c>
      <c r="F85" s="77">
        <v>4.18</v>
      </c>
      <c r="G85" s="77" t="s">
        <v>64</v>
      </c>
    </row>
    <row r="86" spans="1:7" ht="15.5" x14ac:dyDescent="0.35">
      <c r="A86" s="78">
        <v>13</v>
      </c>
      <c r="B86" s="79" t="s">
        <v>115</v>
      </c>
      <c r="C86" s="80" t="s">
        <v>112</v>
      </c>
      <c r="D86" s="80">
        <v>4.8499999999999996</v>
      </c>
      <c r="E86" s="80">
        <v>3.2</v>
      </c>
      <c r="F86" s="80">
        <v>1.0900000000000001</v>
      </c>
      <c r="G86" s="80" t="s">
        <v>64</v>
      </c>
    </row>
    <row r="87" spans="1:7" ht="15.5" x14ac:dyDescent="0.35">
      <c r="A87" s="75">
        <v>14</v>
      </c>
      <c r="B87" s="76" t="s">
        <v>116</v>
      </c>
      <c r="C87" s="77" t="s">
        <v>112</v>
      </c>
      <c r="D87" s="77">
        <v>6.65</v>
      </c>
      <c r="E87" s="77">
        <v>6.29</v>
      </c>
      <c r="F87" s="77">
        <v>4.59</v>
      </c>
      <c r="G87" s="77" t="s">
        <v>63</v>
      </c>
    </row>
    <row r="88" spans="1:7" ht="15.5" x14ac:dyDescent="0.35">
      <c r="A88" s="78">
        <v>15</v>
      </c>
      <c r="B88" s="79" t="s">
        <v>117</v>
      </c>
      <c r="C88" s="80" t="s">
        <v>112</v>
      </c>
      <c r="D88" s="80">
        <v>6.35</v>
      </c>
      <c r="E88" s="80">
        <v>3.61</v>
      </c>
      <c r="F88" s="80">
        <v>1.8</v>
      </c>
      <c r="G88" s="80" t="s">
        <v>62</v>
      </c>
    </row>
    <row r="89" spans="1:7" ht="15.5" x14ac:dyDescent="0.35">
      <c r="A89" s="75">
        <v>16</v>
      </c>
      <c r="B89" s="76" t="s">
        <v>118</v>
      </c>
      <c r="C89" s="77" t="s">
        <v>112</v>
      </c>
      <c r="D89" s="77">
        <v>7.55</v>
      </c>
      <c r="E89" s="77">
        <v>5.9</v>
      </c>
      <c r="F89" s="77">
        <v>3.25</v>
      </c>
      <c r="G89" s="77" t="s">
        <v>62</v>
      </c>
    </row>
    <row r="90" spans="1:7" ht="15.5" x14ac:dyDescent="0.35">
      <c r="A90" s="78">
        <v>17</v>
      </c>
      <c r="B90" s="79" t="s">
        <v>119</v>
      </c>
      <c r="C90" s="80" t="s">
        <v>112</v>
      </c>
      <c r="D90" s="80">
        <v>9.1999999999999993</v>
      </c>
      <c r="E90" s="80">
        <v>8.14</v>
      </c>
      <c r="F90" s="80">
        <v>7.23</v>
      </c>
      <c r="G90" s="80" t="s">
        <v>63</v>
      </c>
    </row>
    <row r="91" spans="1:7" ht="15.5" x14ac:dyDescent="0.35">
      <c r="A91" s="88">
        <f>SUBTOTAL(102,Table18[Ecole de Bassaraou])</f>
        <v>17</v>
      </c>
      <c r="B91" s="89"/>
      <c r="C91" s="90"/>
      <c r="D91" s="90"/>
      <c r="E91" s="90"/>
      <c r="F91" s="90"/>
      <c r="G91" s="90">
        <f>SUBTOTAL(103,Table18[Column6])</f>
        <v>17</v>
      </c>
    </row>
    <row r="92" spans="1:7" ht="15.5" customHeight="1" x14ac:dyDescent="0.35">
      <c r="A92" s="85"/>
      <c r="B92" s="86"/>
      <c r="C92" s="87"/>
      <c r="D92" s="87"/>
      <c r="E92" s="87"/>
      <c r="F92" s="87"/>
      <c r="G92" s="87"/>
    </row>
    <row r="93" spans="1:7" ht="15.5" x14ac:dyDescent="0.35">
      <c r="A93" s="83"/>
      <c r="B93" s="79"/>
      <c r="C93" s="84"/>
      <c r="D93" s="84"/>
      <c r="E93" s="84"/>
      <c r="F93" s="84"/>
      <c r="G93" s="84"/>
    </row>
    <row r="94" spans="1:7" ht="15.5" x14ac:dyDescent="0.35">
      <c r="A94" s="92" t="s">
        <v>120</v>
      </c>
      <c r="B94" s="93" t="s">
        <v>529</v>
      </c>
      <c r="C94" s="93" t="s">
        <v>530</v>
      </c>
      <c r="D94" s="93" t="s">
        <v>531</v>
      </c>
      <c r="E94" s="93" t="s">
        <v>532</v>
      </c>
      <c r="F94" s="93" t="s">
        <v>533</v>
      </c>
      <c r="G94" s="93" t="s">
        <v>537</v>
      </c>
    </row>
    <row r="95" spans="1:7" ht="15.5" x14ac:dyDescent="0.35">
      <c r="A95" s="83">
        <v>1</v>
      </c>
      <c r="B95" s="79" t="s">
        <v>121</v>
      </c>
      <c r="C95" s="84" t="s">
        <v>122</v>
      </c>
      <c r="D95" s="84">
        <v>8.6999999999999993</v>
      </c>
      <c r="E95" s="84">
        <v>8.6999999999999993</v>
      </c>
      <c r="F95" s="84">
        <v>6.71</v>
      </c>
      <c r="G95" s="84" t="s">
        <v>63</v>
      </c>
    </row>
    <row r="96" spans="1:7" ht="15.5" x14ac:dyDescent="0.35">
      <c r="A96" s="81">
        <v>2</v>
      </c>
      <c r="B96" s="76" t="s">
        <v>124</v>
      </c>
      <c r="C96" s="82" t="s">
        <v>122</v>
      </c>
      <c r="D96" s="82">
        <v>4.0999999999999996</v>
      </c>
      <c r="E96" s="82">
        <v>5.1100000000000003</v>
      </c>
      <c r="F96" s="82">
        <v>1.57</v>
      </c>
      <c r="G96" s="82" t="s">
        <v>62</v>
      </c>
    </row>
    <row r="97" spans="1:7" ht="15.5" x14ac:dyDescent="0.35">
      <c r="A97" s="78">
        <v>3</v>
      </c>
      <c r="B97" s="79" t="s">
        <v>125</v>
      </c>
      <c r="C97" s="84" t="s">
        <v>122</v>
      </c>
      <c r="D97" s="84">
        <v>2.5</v>
      </c>
      <c r="E97" s="84">
        <v>3.17</v>
      </c>
      <c r="F97" s="84">
        <v>1.0900000000000001</v>
      </c>
      <c r="G97" s="84" t="s">
        <v>62</v>
      </c>
    </row>
    <row r="98" spans="1:7" ht="15.5" x14ac:dyDescent="0.35">
      <c r="A98" s="81">
        <v>4</v>
      </c>
      <c r="B98" s="76" t="s">
        <v>126</v>
      </c>
      <c r="C98" s="82" t="s">
        <v>122</v>
      </c>
      <c r="D98" s="82">
        <v>3.2</v>
      </c>
      <c r="E98" s="82">
        <v>0</v>
      </c>
      <c r="F98" s="82">
        <v>0</v>
      </c>
      <c r="G98" s="82" t="s">
        <v>62</v>
      </c>
    </row>
    <row r="99" spans="1:7" ht="15.5" x14ac:dyDescent="0.35">
      <c r="A99" s="83">
        <v>5</v>
      </c>
      <c r="B99" s="79" t="s">
        <v>127</v>
      </c>
      <c r="C99" s="84" t="s">
        <v>122</v>
      </c>
      <c r="D99" s="84">
        <v>6.35</v>
      </c>
      <c r="E99" s="84">
        <v>5.88</v>
      </c>
      <c r="F99" s="84">
        <v>4.16</v>
      </c>
      <c r="G99" s="84" t="s">
        <v>62</v>
      </c>
    </row>
    <row r="100" spans="1:7" ht="15.5" x14ac:dyDescent="0.35">
      <c r="A100" s="75">
        <v>6</v>
      </c>
      <c r="B100" s="76" t="s">
        <v>128</v>
      </c>
      <c r="C100" s="82" t="s">
        <v>122</v>
      </c>
      <c r="D100" s="82">
        <v>3.5</v>
      </c>
      <c r="E100" s="82">
        <v>4.7</v>
      </c>
      <c r="F100" s="82">
        <v>2.39</v>
      </c>
      <c r="G100" s="82" t="s">
        <v>62</v>
      </c>
    </row>
    <row r="101" spans="1:7" ht="15.5" x14ac:dyDescent="0.35">
      <c r="A101" s="83">
        <v>7</v>
      </c>
      <c r="B101" s="79" t="s">
        <v>129</v>
      </c>
      <c r="C101" s="84" t="s">
        <v>122</v>
      </c>
      <c r="D101" s="84">
        <v>0</v>
      </c>
      <c r="E101" s="84">
        <v>0</v>
      </c>
      <c r="F101" s="84">
        <v>0</v>
      </c>
      <c r="G101" s="84" t="s">
        <v>62</v>
      </c>
    </row>
    <row r="102" spans="1:7" ht="15.5" x14ac:dyDescent="0.35">
      <c r="A102" s="81">
        <v>8</v>
      </c>
      <c r="B102" s="76" t="s">
        <v>130</v>
      </c>
      <c r="C102" s="82" t="s">
        <v>122</v>
      </c>
      <c r="D102" s="82">
        <v>8.5500000000000007</v>
      </c>
      <c r="E102" s="82">
        <v>7.64</v>
      </c>
      <c r="F102" s="82">
        <v>6.77</v>
      </c>
      <c r="G102" s="82" t="s">
        <v>63</v>
      </c>
    </row>
    <row r="103" spans="1:7" ht="15.5" x14ac:dyDescent="0.35">
      <c r="A103" s="78">
        <v>9</v>
      </c>
      <c r="B103" s="79" t="s">
        <v>131</v>
      </c>
      <c r="C103" s="84" t="s">
        <v>122</v>
      </c>
      <c r="D103" s="84">
        <v>7.05</v>
      </c>
      <c r="E103" s="84">
        <v>6.82</v>
      </c>
      <c r="F103" s="84">
        <v>2.7</v>
      </c>
      <c r="G103" s="84" t="s">
        <v>62</v>
      </c>
    </row>
    <row r="104" spans="1:7" ht="15.5" x14ac:dyDescent="0.35">
      <c r="A104" s="81">
        <v>10</v>
      </c>
      <c r="B104" s="76" t="s">
        <v>149</v>
      </c>
      <c r="C104" s="82" t="s">
        <v>122</v>
      </c>
      <c r="D104" s="82">
        <v>6.85</v>
      </c>
      <c r="E104" s="82">
        <v>5.23</v>
      </c>
      <c r="F104" s="82">
        <v>5.52</v>
      </c>
      <c r="G104" s="82" t="s">
        <v>63</v>
      </c>
    </row>
    <row r="105" spans="1:7" ht="15.5" x14ac:dyDescent="0.35">
      <c r="A105" s="83">
        <v>11</v>
      </c>
      <c r="B105" s="79" t="s">
        <v>132</v>
      </c>
      <c r="C105" s="84" t="s">
        <v>122</v>
      </c>
      <c r="D105" s="84">
        <v>6.5</v>
      </c>
      <c r="E105" s="84">
        <v>4.82</v>
      </c>
      <c r="F105" s="84">
        <v>4.91</v>
      </c>
      <c r="G105" s="84" t="s">
        <v>63</v>
      </c>
    </row>
    <row r="106" spans="1:7" ht="15.5" x14ac:dyDescent="0.35">
      <c r="A106" s="75">
        <v>12</v>
      </c>
      <c r="B106" s="76" t="s">
        <v>133</v>
      </c>
      <c r="C106" s="82" t="s">
        <v>122</v>
      </c>
      <c r="D106" s="82">
        <v>4.9000000000000004</v>
      </c>
      <c r="E106" s="82">
        <v>3.7</v>
      </c>
      <c r="F106" s="82">
        <v>1.3</v>
      </c>
      <c r="G106" s="82" t="s">
        <v>62</v>
      </c>
    </row>
    <row r="107" spans="1:7" ht="15.5" x14ac:dyDescent="0.35">
      <c r="A107" s="83">
        <v>13</v>
      </c>
      <c r="B107" s="79" t="s">
        <v>134</v>
      </c>
      <c r="C107" s="84" t="s">
        <v>122</v>
      </c>
      <c r="D107" s="84">
        <v>4.8</v>
      </c>
      <c r="E107" s="84">
        <v>0</v>
      </c>
      <c r="F107" s="84">
        <v>0</v>
      </c>
      <c r="G107" s="84" t="s">
        <v>62</v>
      </c>
    </row>
    <row r="108" spans="1:7" ht="15.5" x14ac:dyDescent="0.35">
      <c r="A108" s="81">
        <v>14</v>
      </c>
      <c r="B108" s="76" t="s">
        <v>135</v>
      </c>
      <c r="C108" s="82" t="s">
        <v>122</v>
      </c>
      <c r="D108" s="82">
        <v>3.55</v>
      </c>
      <c r="E108" s="82">
        <v>3.11</v>
      </c>
      <c r="F108" s="82">
        <v>1.7</v>
      </c>
      <c r="G108" s="82" t="s">
        <v>62</v>
      </c>
    </row>
    <row r="109" spans="1:7" ht="15.5" x14ac:dyDescent="0.35">
      <c r="A109" s="78">
        <v>15</v>
      </c>
      <c r="B109" s="79" t="s">
        <v>155</v>
      </c>
      <c r="C109" s="84" t="s">
        <v>122</v>
      </c>
      <c r="D109" s="84">
        <v>4.5999999999999996</v>
      </c>
      <c r="E109" s="84">
        <v>3.88</v>
      </c>
      <c r="F109" s="84">
        <v>2.66</v>
      </c>
      <c r="G109" s="84" t="s">
        <v>62</v>
      </c>
    </row>
    <row r="110" spans="1:7" ht="15.5" x14ac:dyDescent="0.35">
      <c r="A110" s="81">
        <v>16</v>
      </c>
      <c r="B110" s="76" t="s">
        <v>30</v>
      </c>
      <c r="C110" s="82" t="s">
        <v>122</v>
      </c>
      <c r="D110" s="82">
        <v>4.8499999999999996</v>
      </c>
      <c r="E110" s="82">
        <v>5.05</v>
      </c>
      <c r="F110" s="82">
        <v>1.48</v>
      </c>
      <c r="G110" s="82" t="s">
        <v>62</v>
      </c>
    </row>
    <row r="111" spans="1:7" ht="15.5" x14ac:dyDescent="0.35">
      <c r="A111" s="83">
        <v>17</v>
      </c>
      <c r="B111" s="79" t="s">
        <v>136</v>
      </c>
      <c r="C111" s="84" t="s">
        <v>122</v>
      </c>
      <c r="D111" s="84">
        <v>6.6</v>
      </c>
      <c r="E111" s="84">
        <v>6.05</v>
      </c>
      <c r="F111" s="84">
        <v>5</v>
      </c>
      <c r="G111" s="84" t="s">
        <v>63</v>
      </c>
    </row>
    <row r="112" spans="1:7" ht="15.5" x14ac:dyDescent="0.35">
      <c r="A112" s="75">
        <v>18</v>
      </c>
      <c r="B112" s="76" t="s">
        <v>137</v>
      </c>
      <c r="C112" s="82" t="s">
        <v>122</v>
      </c>
      <c r="D112" s="82">
        <v>5</v>
      </c>
      <c r="E112" s="82">
        <v>5.1100000000000003</v>
      </c>
      <c r="F112" s="82">
        <v>1.75</v>
      </c>
      <c r="G112" s="82" t="s">
        <v>62</v>
      </c>
    </row>
    <row r="113" spans="1:7" ht="15.5" x14ac:dyDescent="0.35">
      <c r="A113" s="83">
        <v>19</v>
      </c>
      <c r="B113" s="79" t="s">
        <v>138</v>
      </c>
      <c r="C113" s="84" t="s">
        <v>122</v>
      </c>
      <c r="D113" s="84">
        <v>4.5</v>
      </c>
      <c r="E113" s="84">
        <v>4.58</v>
      </c>
      <c r="F113" s="84">
        <v>2.5</v>
      </c>
      <c r="G113" s="84" t="s">
        <v>62</v>
      </c>
    </row>
    <row r="114" spans="1:7" ht="15.5" x14ac:dyDescent="0.35">
      <c r="A114" s="81">
        <v>20</v>
      </c>
      <c r="B114" s="76" t="s">
        <v>139</v>
      </c>
      <c r="C114" s="82" t="s">
        <v>122</v>
      </c>
      <c r="D114" s="82">
        <v>2.2999999999999998</v>
      </c>
      <c r="E114" s="82">
        <v>0</v>
      </c>
      <c r="F114" s="82" t="s">
        <v>156</v>
      </c>
      <c r="G114" s="82" t="s">
        <v>62</v>
      </c>
    </row>
    <row r="115" spans="1:7" ht="15.5" x14ac:dyDescent="0.35">
      <c r="A115" s="78">
        <v>21</v>
      </c>
      <c r="B115" s="79" t="s">
        <v>140</v>
      </c>
      <c r="C115" s="84" t="s">
        <v>122</v>
      </c>
      <c r="D115" s="84">
        <v>3.25</v>
      </c>
      <c r="E115" s="84">
        <v>3.76</v>
      </c>
      <c r="F115" s="84">
        <v>1.29</v>
      </c>
      <c r="G115" s="84" t="s">
        <v>62</v>
      </c>
    </row>
    <row r="116" spans="1:7" ht="15.5" x14ac:dyDescent="0.35">
      <c r="A116" s="81">
        <v>22</v>
      </c>
      <c r="B116" s="76" t="s">
        <v>141</v>
      </c>
      <c r="C116" s="82" t="s">
        <v>122</v>
      </c>
      <c r="D116" s="82">
        <v>6.5</v>
      </c>
      <c r="E116" s="82">
        <v>5.41</v>
      </c>
      <c r="F116" s="82">
        <v>3.33</v>
      </c>
      <c r="G116" s="82" t="s">
        <v>62</v>
      </c>
    </row>
    <row r="117" spans="1:7" ht="15.5" x14ac:dyDescent="0.35">
      <c r="A117" s="83">
        <v>23</v>
      </c>
      <c r="B117" s="79" t="s">
        <v>142</v>
      </c>
      <c r="C117" s="84" t="s">
        <v>122</v>
      </c>
      <c r="D117" s="84">
        <v>0</v>
      </c>
      <c r="E117" s="84">
        <v>0</v>
      </c>
      <c r="F117" s="84">
        <v>0</v>
      </c>
      <c r="G117" s="84" t="s">
        <v>62</v>
      </c>
    </row>
    <row r="118" spans="1:7" ht="15.5" x14ac:dyDescent="0.35">
      <c r="A118" s="75">
        <v>24</v>
      </c>
      <c r="B118" s="76" t="s">
        <v>143</v>
      </c>
      <c r="C118" s="82" t="s">
        <v>122</v>
      </c>
      <c r="D118" s="82">
        <v>8.6999999999999993</v>
      </c>
      <c r="E118" s="82">
        <v>7.58</v>
      </c>
      <c r="F118" s="82">
        <v>4.43</v>
      </c>
      <c r="G118" s="82" t="s">
        <v>62</v>
      </c>
    </row>
    <row r="119" spans="1:7" ht="15.5" x14ac:dyDescent="0.35">
      <c r="A119" s="83">
        <v>25</v>
      </c>
      <c r="B119" s="79" t="s">
        <v>144</v>
      </c>
      <c r="C119" s="84" t="s">
        <v>122</v>
      </c>
      <c r="D119" s="84">
        <v>3.4</v>
      </c>
      <c r="E119" s="84">
        <v>3.7</v>
      </c>
      <c r="F119" s="84">
        <v>2.13</v>
      </c>
      <c r="G119" s="84" t="s">
        <v>62</v>
      </c>
    </row>
    <row r="120" spans="1:7" ht="15.5" x14ac:dyDescent="0.35">
      <c r="A120" s="81">
        <v>26</v>
      </c>
      <c r="B120" s="76" t="s">
        <v>145</v>
      </c>
      <c r="C120" s="82" t="s">
        <v>122</v>
      </c>
      <c r="D120" s="82">
        <v>5.25</v>
      </c>
      <c r="E120" s="82">
        <v>5.47</v>
      </c>
      <c r="F120" s="82">
        <v>1.54</v>
      </c>
      <c r="G120" s="82" t="s">
        <v>64</v>
      </c>
    </row>
    <row r="121" spans="1:7" ht="15.5" x14ac:dyDescent="0.35">
      <c r="A121" s="78">
        <v>27</v>
      </c>
      <c r="B121" s="79" t="s">
        <v>146</v>
      </c>
      <c r="C121" s="84" t="s">
        <v>123</v>
      </c>
      <c r="D121" s="84">
        <v>5.0999999999999996</v>
      </c>
      <c r="E121" s="84">
        <v>5.45</v>
      </c>
      <c r="F121" s="84">
        <v>2.2999999999999998</v>
      </c>
      <c r="G121" s="84" t="s">
        <v>64</v>
      </c>
    </row>
    <row r="122" spans="1:7" ht="15.5" x14ac:dyDescent="0.35">
      <c r="A122" s="81">
        <v>28</v>
      </c>
      <c r="B122" s="76" t="s">
        <v>147</v>
      </c>
      <c r="C122" s="82" t="s">
        <v>123</v>
      </c>
      <c r="D122" s="82">
        <v>5.8</v>
      </c>
      <c r="E122" s="82">
        <v>5.05</v>
      </c>
      <c r="F122" s="82">
        <v>2.81</v>
      </c>
      <c r="G122" s="82" t="s">
        <v>64</v>
      </c>
    </row>
    <row r="123" spans="1:7" ht="15.5" x14ac:dyDescent="0.35">
      <c r="A123" s="83">
        <v>29</v>
      </c>
      <c r="B123" s="79" t="s">
        <v>148</v>
      </c>
      <c r="C123" s="84" t="s">
        <v>123</v>
      </c>
      <c r="D123" s="84">
        <v>7.7</v>
      </c>
      <c r="E123" s="84">
        <v>7.29</v>
      </c>
      <c r="F123" s="84">
        <v>4.05</v>
      </c>
      <c r="G123" s="84" t="s">
        <v>62</v>
      </c>
    </row>
    <row r="124" spans="1:7" ht="15.5" x14ac:dyDescent="0.35">
      <c r="A124" s="75">
        <v>30</v>
      </c>
      <c r="B124" s="76" t="s">
        <v>150</v>
      </c>
      <c r="C124" s="82" t="s">
        <v>123</v>
      </c>
      <c r="D124" s="82">
        <v>0</v>
      </c>
      <c r="E124" s="82">
        <v>0</v>
      </c>
      <c r="F124" s="82">
        <v>0</v>
      </c>
      <c r="G124" s="82" t="s">
        <v>64</v>
      </c>
    </row>
    <row r="125" spans="1:7" ht="15.5" x14ac:dyDescent="0.35">
      <c r="A125" s="83">
        <v>31</v>
      </c>
      <c r="B125" s="79" t="s">
        <v>151</v>
      </c>
      <c r="C125" s="84" t="s">
        <v>123</v>
      </c>
      <c r="D125" s="84">
        <v>7.3</v>
      </c>
      <c r="E125" s="84">
        <v>6.94</v>
      </c>
      <c r="F125" s="84">
        <v>4.33</v>
      </c>
      <c r="G125" s="84" t="s">
        <v>62</v>
      </c>
    </row>
    <row r="126" spans="1:7" ht="15.5" x14ac:dyDescent="0.35">
      <c r="A126" s="81">
        <v>32</v>
      </c>
      <c r="B126" s="76" t="s">
        <v>152</v>
      </c>
      <c r="C126" s="82" t="s">
        <v>123</v>
      </c>
      <c r="D126" s="82">
        <v>5.5</v>
      </c>
      <c r="E126" s="82">
        <v>5.1100000000000003</v>
      </c>
      <c r="F126" s="82">
        <v>1.48</v>
      </c>
      <c r="G126" s="82" t="s">
        <v>62</v>
      </c>
    </row>
    <row r="127" spans="1:7" ht="15.5" x14ac:dyDescent="0.35">
      <c r="A127" s="78">
        <v>33</v>
      </c>
      <c r="B127" s="79" t="s">
        <v>153</v>
      </c>
      <c r="C127" s="84" t="s">
        <v>154</v>
      </c>
      <c r="D127" s="84">
        <v>6.45</v>
      </c>
      <c r="E127" s="84">
        <v>5.35</v>
      </c>
      <c r="F127" s="84">
        <v>3.11</v>
      </c>
      <c r="G127" s="84" t="s">
        <v>62</v>
      </c>
    </row>
    <row r="128" spans="1:7" ht="15.5" x14ac:dyDescent="0.35">
      <c r="A128">
        <f>SUBTOTAL(102,Table19[Ecole Tajayé Djirataoua])</f>
        <v>33</v>
      </c>
      <c r="B128" s="89"/>
      <c r="C128" s="94"/>
      <c r="D128" s="94"/>
      <c r="E128" s="94"/>
      <c r="F128" s="94"/>
      <c r="G128" s="94">
        <f>SUBTOTAL(103,Table19[Column6])</f>
        <v>33</v>
      </c>
    </row>
    <row r="129" spans="1:7" ht="15.5" x14ac:dyDescent="0.35">
      <c r="A129" s="85"/>
      <c r="B129" s="86"/>
      <c r="C129" s="87"/>
      <c r="D129" s="87"/>
      <c r="E129" s="87"/>
      <c r="F129" s="87"/>
      <c r="G129" s="87"/>
    </row>
    <row r="130" spans="1:7" ht="15.5" x14ac:dyDescent="0.35">
      <c r="A130" s="83"/>
      <c r="B130" s="79"/>
      <c r="C130" s="84"/>
      <c r="D130" s="84"/>
      <c r="E130" s="84"/>
      <c r="F130" s="84"/>
      <c r="G130" s="84"/>
    </row>
    <row r="131" spans="1:7" ht="15.5" x14ac:dyDescent="0.35">
      <c r="A131" s="81"/>
      <c r="B131" s="76"/>
      <c r="C131" s="82"/>
      <c r="D131" s="82"/>
      <c r="E131" s="82"/>
      <c r="F131" s="82"/>
      <c r="G131" s="82"/>
    </row>
    <row r="132" spans="1:7" ht="15.5" x14ac:dyDescent="0.35">
      <c r="A132" s="92" t="s">
        <v>157</v>
      </c>
      <c r="B132" s="93" t="s">
        <v>529</v>
      </c>
      <c r="C132" s="93" t="s">
        <v>530</v>
      </c>
      <c r="D132" s="93" t="s">
        <v>531</v>
      </c>
      <c r="E132" s="93" t="s">
        <v>532</v>
      </c>
      <c r="F132" s="93" t="s">
        <v>533</v>
      </c>
      <c r="G132" s="93" t="s">
        <v>537</v>
      </c>
    </row>
    <row r="133" spans="1:7" ht="15.5" x14ac:dyDescent="0.35">
      <c r="A133" s="81">
        <v>1</v>
      </c>
      <c r="B133" s="76" t="s">
        <v>160</v>
      </c>
      <c r="C133" s="82" t="s">
        <v>158</v>
      </c>
      <c r="D133" s="82">
        <v>5.9</v>
      </c>
      <c r="E133" s="82">
        <v>2.57</v>
      </c>
      <c r="F133" s="82">
        <v>0</v>
      </c>
      <c r="G133" s="82" t="s">
        <v>62</v>
      </c>
    </row>
    <row r="134" spans="1:7" ht="15.5" x14ac:dyDescent="0.35">
      <c r="A134" s="83">
        <v>2</v>
      </c>
      <c r="B134" s="79" t="s">
        <v>161</v>
      </c>
      <c r="C134" s="84" t="s">
        <v>158</v>
      </c>
      <c r="D134" s="84">
        <v>6.3</v>
      </c>
      <c r="E134" s="84">
        <v>4.25</v>
      </c>
      <c r="F134" s="84">
        <v>2.66</v>
      </c>
      <c r="G134" s="84" t="s">
        <v>62</v>
      </c>
    </row>
    <row r="135" spans="1:7" ht="15.5" x14ac:dyDescent="0.35">
      <c r="A135" s="81">
        <v>3</v>
      </c>
      <c r="B135" s="76" t="s">
        <v>162</v>
      </c>
      <c r="C135" s="82" t="s">
        <v>158</v>
      </c>
      <c r="D135" s="82">
        <v>8.1999999999999993</v>
      </c>
      <c r="E135" s="82">
        <v>6.5</v>
      </c>
      <c r="F135" s="82">
        <v>4.3</v>
      </c>
      <c r="G135" s="82" t="s">
        <v>62</v>
      </c>
    </row>
    <row r="136" spans="1:7" ht="15.5" x14ac:dyDescent="0.35">
      <c r="A136" s="83">
        <v>4</v>
      </c>
      <c r="B136" s="79" t="s">
        <v>163</v>
      </c>
      <c r="C136" s="84" t="s">
        <v>158</v>
      </c>
      <c r="D136" s="84">
        <v>5</v>
      </c>
      <c r="E136" s="84">
        <v>2.92</v>
      </c>
      <c r="F136" s="84">
        <v>1.61</v>
      </c>
      <c r="G136" s="84" t="s">
        <v>62</v>
      </c>
    </row>
    <row r="137" spans="1:7" ht="15.5" x14ac:dyDescent="0.35">
      <c r="A137" s="81">
        <v>5</v>
      </c>
      <c r="B137" s="76" t="s">
        <v>164</v>
      </c>
      <c r="C137" s="82" t="s">
        <v>158</v>
      </c>
      <c r="D137" s="82">
        <v>7.7</v>
      </c>
      <c r="E137" s="82">
        <v>6.19</v>
      </c>
      <c r="F137" s="82">
        <v>4.84</v>
      </c>
      <c r="G137" s="82" t="s">
        <v>63</v>
      </c>
    </row>
    <row r="138" spans="1:7" ht="15.5" x14ac:dyDescent="0.35">
      <c r="A138" s="83">
        <v>6</v>
      </c>
      <c r="B138" s="79" t="s">
        <v>165</v>
      </c>
      <c r="C138" s="84" t="s">
        <v>158</v>
      </c>
      <c r="D138" s="84">
        <v>6.9</v>
      </c>
      <c r="E138" s="84">
        <v>5.76</v>
      </c>
      <c r="F138" s="84">
        <v>2.64</v>
      </c>
      <c r="G138" s="84" t="s">
        <v>62</v>
      </c>
    </row>
    <row r="139" spans="1:7" ht="15.5" x14ac:dyDescent="0.35">
      <c r="A139" s="81">
        <v>7</v>
      </c>
      <c r="B139" s="76" t="s">
        <v>166</v>
      </c>
      <c r="C139" s="82" t="s">
        <v>158</v>
      </c>
      <c r="D139" s="82">
        <v>3.6</v>
      </c>
      <c r="E139" s="82">
        <v>1.99</v>
      </c>
      <c r="F139" s="82">
        <v>0.75</v>
      </c>
      <c r="G139" s="82" t="s">
        <v>62</v>
      </c>
    </row>
    <row r="140" spans="1:7" ht="15.5" x14ac:dyDescent="0.35">
      <c r="A140" s="83">
        <v>8</v>
      </c>
      <c r="B140" s="79" t="s">
        <v>167</v>
      </c>
      <c r="C140" s="84" t="s">
        <v>158</v>
      </c>
      <c r="D140" s="84">
        <v>9.3000000000000007</v>
      </c>
      <c r="E140" s="84">
        <v>7.82</v>
      </c>
      <c r="F140" s="84">
        <v>6.5</v>
      </c>
      <c r="G140" s="84" t="s">
        <v>63</v>
      </c>
    </row>
    <row r="141" spans="1:7" ht="15.5" x14ac:dyDescent="0.35">
      <c r="A141" s="81">
        <v>9</v>
      </c>
      <c r="B141" s="76" t="s">
        <v>168</v>
      </c>
      <c r="C141" s="82" t="s">
        <v>158</v>
      </c>
      <c r="D141" s="82">
        <v>6</v>
      </c>
      <c r="E141" s="82">
        <v>4.13</v>
      </c>
      <c r="F141" s="82">
        <v>4.1399999999999997</v>
      </c>
      <c r="G141" s="82" t="s">
        <v>62</v>
      </c>
    </row>
    <row r="142" spans="1:7" ht="15.5" x14ac:dyDescent="0.35">
      <c r="A142" s="83">
        <v>10</v>
      </c>
      <c r="B142" s="79" t="s">
        <v>169</v>
      </c>
      <c r="C142" s="84" t="s">
        <v>158</v>
      </c>
      <c r="D142" s="84">
        <v>3.2</v>
      </c>
      <c r="E142" s="84">
        <v>3.16</v>
      </c>
      <c r="F142" s="84">
        <v>3.54</v>
      </c>
      <c r="G142" s="84" t="s">
        <v>62</v>
      </c>
    </row>
    <row r="143" spans="1:7" ht="15.5" x14ac:dyDescent="0.35">
      <c r="A143" s="81">
        <v>11</v>
      </c>
      <c r="B143" s="76" t="s">
        <v>170</v>
      </c>
      <c r="C143" s="82" t="s">
        <v>158</v>
      </c>
      <c r="D143" s="82">
        <v>6.6</v>
      </c>
      <c r="E143" s="82">
        <v>0</v>
      </c>
      <c r="F143" s="82">
        <v>4.16</v>
      </c>
      <c r="G143" s="82" t="s">
        <v>62</v>
      </c>
    </row>
    <row r="144" spans="1:7" ht="15.5" x14ac:dyDescent="0.35">
      <c r="A144" s="83">
        <v>12</v>
      </c>
      <c r="B144" s="79" t="s">
        <v>171</v>
      </c>
      <c r="C144" s="84" t="s">
        <v>158</v>
      </c>
      <c r="D144" s="84">
        <v>2.8</v>
      </c>
      <c r="E144" s="84">
        <v>2.98</v>
      </c>
      <c r="F144" s="84">
        <v>2.13</v>
      </c>
      <c r="G144" s="84" t="s">
        <v>62</v>
      </c>
    </row>
    <row r="145" spans="1:9" ht="15.5" x14ac:dyDescent="0.35">
      <c r="A145" s="81">
        <v>13</v>
      </c>
      <c r="B145" s="76" t="s">
        <v>172</v>
      </c>
      <c r="C145" s="82" t="s">
        <v>158</v>
      </c>
      <c r="D145" s="82">
        <v>8.3000000000000007</v>
      </c>
      <c r="E145" s="82">
        <v>6.82</v>
      </c>
      <c r="F145" s="82">
        <v>4.6100000000000003</v>
      </c>
      <c r="G145" s="82" t="s">
        <v>63</v>
      </c>
    </row>
    <row r="146" spans="1:9" ht="15.5" x14ac:dyDescent="0.35">
      <c r="A146" s="83">
        <v>14</v>
      </c>
      <c r="B146" s="79" t="s">
        <v>173</v>
      </c>
      <c r="C146" s="84" t="s">
        <v>158</v>
      </c>
      <c r="D146" s="84">
        <v>8</v>
      </c>
      <c r="E146" s="84">
        <v>3.94</v>
      </c>
      <c r="F146" s="84">
        <v>3.7</v>
      </c>
      <c r="G146" s="84" t="s">
        <v>62</v>
      </c>
    </row>
    <row r="147" spans="1:9" ht="15.5" x14ac:dyDescent="0.35">
      <c r="A147" s="81">
        <v>15</v>
      </c>
      <c r="B147" s="76" t="s">
        <v>174</v>
      </c>
      <c r="C147" s="82" t="s">
        <v>158</v>
      </c>
      <c r="D147" s="82">
        <v>0</v>
      </c>
      <c r="E147" s="82">
        <v>0</v>
      </c>
      <c r="F147" s="82">
        <v>1.1599999999999999</v>
      </c>
      <c r="G147" s="82" t="s">
        <v>62</v>
      </c>
    </row>
    <row r="148" spans="1:9" ht="15.5" x14ac:dyDescent="0.35">
      <c r="A148" s="83">
        <v>16</v>
      </c>
      <c r="B148" s="79" t="s">
        <v>175</v>
      </c>
      <c r="C148" s="84" t="s">
        <v>159</v>
      </c>
      <c r="D148" s="84">
        <v>2.2000000000000002</v>
      </c>
      <c r="E148" s="84">
        <v>1.61</v>
      </c>
      <c r="F148" s="84">
        <v>0</v>
      </c>
      <c r="G148" s="84" t="s">
        <v>64</v>
      </c>
    </row>
    <row r="149" spans="1:9" ht="15.5" x14ac:dyDescent="0.35">
      <c r="A149" s="81">
        <v>17</v>
      </c>
      <c r="B149" s="76" t="s">
        <v>176</v>
      </c>
      <c r="C149" s="82" t="s">
        <v>159</v>
      </c>
      <c r="D149" s="82">
        <v>0</v>
      </c>
      <c r="E149" s="82">
        <v>0</v>
      </c>
      <c r="F149" s="82">
        <v>0</v>
      </c>
      <c r="G149" s="82" t="s">
        <v>64</v>
      </c>
    </row>
    <row r="150" spans="1:9" ht="15.5" x14ac:dyDescent="0.35">
      <c r="A150" s="83">
        <v>18</v>
      </c>
      <c r="B150" s="79" t="s">
        <v>177</v>
      </c>
      <c r="C150" s="84" t="s">
        <v>159</v>
      </c>
      <c r="D150" s="84">
        <v>0</v>
      </c>
      <c r="E150" s="84">
        <v>0</v>
      </c>
      <c r="F150" s="84">
        <v>0</v>
      </c>
      <c r="G150" s="84" t="s">
        <v>64</v>
      </c>
    </row>
    <row r="151" spans="1:9" ht="15.5" x14ac:dyDescent="0.35">
      <c r="A151" s="95">
        <f>SUBTOTAL(102,Table20[Ecole Dan Kari])</f>
        <v>18</v>
      </c>
      <c r="B151" s="89"/>
      <c r="C151" s="94"/>
      <c r="D151" s="94"/>
      <c r="E151" s="94"/>
      <c r="F151" s="94"/>
      <c r="G151" s="94">
        <f>SUBTOTAL(103,Table20[Column6])</f>
        <v>18</v>
      </c>
    </row>
    <row r="152" spans="1:9" ht="15.5" x14ac:dyDescent="0.35">
      <c r="A152" s="83"/>
      <c r="B152" s="79"/>
      <c r="C152" s="84"/>
      <c r="D152" s="84"/>
      <c r="E152" s="84"/>
      <c r="F152" s="84"/>
      <c r="G152" s="84"/>
    </row>
    <row r="153" spans="1:9" ht="15.5" x14ac:dyDescent="0.35">
      <c r="A153" s="81"/>
      <c r="B153" s="76"/>
      <c r="C153" s="82"/>
      <c r="D153" s="82"/>
      <c r="E153" s="82"/>
      <c r="F153" s="82"/>
      <c r="G153" s="82"/>
    </row>
    <row r="154" spans="1:9" ht="15.5" x14ac:dyDescent="0.35">
      <c r="A154" s="92" t="s">
        <v>178</v>
      </c>
      <c r="B154" s="93" t="s">
        <v>529</v>
      </c>
      <c r="C154" s="93" t="s">
        <v>530</v>
      </c>
      <c r="D154" s="93" t="s">
        <v>531</v>
      </c>
      <c r="E154" s="93" t="s">
        <v>532</v>
      </c>
      <c r="F154" s="93" t="s">
        <v>533</v>
      </c>
      <c r="G154" s="93" t="s">
        <v>537</v>
      </c>
    </row>
    <row r="155" spans="1:9" ht="15.5" x14ac:dyDescent="0.35">
      <c r="A155" s="81">
        <v>1</v>
      </c>
      <c r="B155" s="76" t="s">
        <v>181</v>
      </c>
      <c r="C155" s="82" t="s">
        <v>179</v>
      </c>
      <c r="D155" s="82">
        <v>0</v>
      </c>
      <c r="E155" s="82">
        <v>0</v>
      </c>
      <c r="F155" s="82">
        <v>1.06</v>
      </c>
      <c r="G155" s="82" t="s">
        <v>62</v>
      </c>
    </row>
    <row r="156" spans="1:9" ht="15.5" x14ac:dyDescent="0.35">
      <c r="A156" s="83">
        <v>2</v>
      </c>
      <c r="B156" s="79" t="s">
        <v>182</v>
      </c>
      <c r="C156" s="84" t="s">
        <v>179</v>
      </c>
      <c r="D156" s="84">
        <v>5.48</v>
      </c>
      <c r="E156" s="84">
        <v>3.8</v>
      </c>
      <c r="F156" s="84">
        <v>4.41</v>
      </c>
      <c r="G156" s="84" t="s">
        <v>62</v>
      </c>
    </row>
    <row r="157" spans="1:9" ht="15.5" x14ac:dyDescent="0.35">
      <c r="A157" s="81">
        <v>3</v>
      </c>
      <c r="B157" s="76" t="s">
        <v>183</v>
      </c>
      <c r="C157" s="82" t="s">
        <v>179</v>
      </c>
      <c r="D157" s="82">
        <v>8.75</v>
      </c>
      <c r="E157" s="82">
        <v>7.23</v>
      </c>
      <c r="F157" s="82">
        <v>8.0500000000000007</v>
      </c>
      <c r="G157" s="82" t="s">
        <v>63</v>
      </c>
    </row>
    <row r="158" spans="1:9" ht="15.5" x14ac:dyDescent="0.35">
      <c r="A158" s="83">
        <v>4</v>
      </c>
      <c r="B158" s="79" t="s">
        <v>184</v>
      </c>
      <c r="C158" s="84" t="s">
        <v>179</v>
      </c>
      <c r="D158" s="84">
        <v>6.05</v>
      </c>
      <c r="E158" s="84">
        <v>4.16</v>
      </c>
      <c r="F158" s="84">
        <v>5.04</v>
      </c>
      <c r="G158" s="84" t="s">
        <v>63</v>
      </c>
      <c r="I158" t="s">
        <v>61</v>
      </c>
    </row>
    <row r="159" spans="1:9" ht="15.5" x14ac:dyDescent="0.35">
      <c r="A159" s="81">
        <v>5</v>
      </c>
      <c r="B159" s="76" t="s">
        <v>185</v>
      </c>
      <c r="C159" s="82" t="s">
        <v>179</v>
      </c>
      <c r="D159" s="82">
        <v>7.17</v>
      </c>
      <c r="E159" s="82">
        <v>4.2699999999999996</v>
      </c>
      <c r="F159" s="82">
        <v>5.64</v>
      </c>
      <c r="G159" s="82" t="s">
        <v>63</v>
      </c>
    </row>
    <row r="160" spans="1:9" ht="15.5" x14ac:dyDescent="0.35">
      <c r="A160" s="83">
        <v>6</v>
      </c>
      <c r="B160" s="79" t="s">
        <v>186</v>
      </c>
      <c r="C160" s="84" t="s">
        <v>179</v>
      </c>
      <c r="D160" s="84">
        <v>0</v>
      </c>
      <c r="E160" s="84">
        <v>0</v>
      </c>
      <c r="F160" s="84">
        <v>0</v>
      </c>
      <c r="G160" s="84" t="s">
        <v>206</v>
      </c>
    </row>
    <row r="161" spans="1:7" ht="15.5" x14ac:dyDescent="0.35">
      <c r="A161" s="81">
        <v>7</v>
      </c>
      <c r="B161" s="76" t="s">
        <v>187</v>
      </c>
      <c r="C161" s="82" t="s">
        <v>179</v>
      </c>
      <c r="D161" s="82">
        <v>4.2699999999999996</v>
      </c>
      <c r="E161" s="82">
        <v>3.05</v>
      </c>
      <c r="F161" s="82">
        <v>3.75</v>
      </c>
      <c r="G161" s="82" t="s">
        <v>62</v>
      </c>
    </row>
    <row r="162" spans="1:7" ht="15.5" x14ac:dyDescent="0.35">
      <c r="A162" s="83">
        <v>8</v>
      </c>
      <c r="B162" s="79" t="s">
        <v>188</v>
      </c>
      <c r="C162" s="84" t="s">
        <v>179</v>
      </c>
      <c r="D162" s="84">
        <v>0</v>
      </c>
      <c r="E162" s="84">
        <v>0</v>
      </c>
      <c r="F162" s="84">
        <v>0</v>
      </c>
      <c r="G162" s="84" t="s">
        <v>62</v>
      </c>
    </row>
    <row r="163" spans="1:7" ht="15.5" x14ac:dyDescent="0.35">
      <c r="A163" s="81">
        <v>9</v>
      </c>
      <c r="B163" s="76" t="s">
        <v>189</v>
      </c>
      <c r="C163" s="82" t="s">
        <v>179</v>
      </c>
      <c r="D163" s="82">
        <v>4.16</v>
      </c>
      <c r="E163" s="82">
        <v>2.44</v>
      </c>
      <c r="F163" s="82">
        <v>1.64</v>
      </c>
      <c r="G163" s="82" t="s">
        <v>62</v>
      </c>
    </row>
    <row r="164" spans="1:7" ht="15.5" x14ac:dyDescent="0.35">
      <c r="A164" s="83">
        <v>10</v>
      </c>
      <c r="B164" s="79" t="s">
        <v>190</v>
      </c>
      <c r="C164" s="84" t="s">
        <v>179</v>
      </c>
      <c r="D164" s="84">
        <v>0</v>
      </c>
      <c r="E164" s="84">
        <v>0</v>
      </c>
      <c r="F164" s="84">
        <v>0.93</v>
      </c>
      <c r="G164" s="84" t="s">
        <v>64</v>
      </c>
    </row>
    <row r="165" spans="1:7" ht="15.5" x14ac:dyDescent="0.35">
      <c r="A165" s="81">
        <v>11</v>
      </c>
      <c r="B165" s="76" t="s">
        <v>191</v>
      </c>
      <c r="C165" s="82" t="s">
        <v>179</v>
      </c>
      <c r="D165" s="82">
        <v>8.94</v>
      </c>
      <c r="E165" s="82">
        <v>6.17</v>
      </c>
      <c r="F165" s="82">
        <v>8.27</v>
      </c>
      <c r="G165" s="82" t="s">
        <v>63</v>
      </c>
    </row>
    <row r="166" spans="1:7" ht="15.5" x14ac:dyDescent="0.35">
      <c r="A166" s="83">
        <v>12</v>
      </c>
      <c r="B166" s="79" t="s">
        <v>192</v>
      </c>
      <c r="C166" s="84" t="s">
        <v>179</v>
      </c>
      <c r="D166" s="84">
        <v>0</v>
      </c>
      <c r="E166" s="84">
        <v>0</v>
      </c>
      <c r="F166" s="84">
        <v>1.21</v>
      </c>
      <c r="G166" s="84" t="s">
        <v>62</v>
      </c>
    </row>
    <row r="167" spans="1:7" ht="15.5" x14ac:dyDescent="0.35">
      <c r="A167" s="81">
        <v>13</v>
      </c>
      <c r="B167" s="76" t="s">
        <v>193</v>
      </c>
      <c r="C167" s="82" t="s">
        <v>180</v>
      </c>
      <c r="D167" s="82">
        <v>1.57</v>
      </c>
      <c r="E167" s="82">
        <v>5.45</v>
      </c>
      <c r="F167" s="82">
        <v>4.1100000000000003</v>
      </c>
      <c r="G167" s="82" t="s">
        <v>62</v>
      </c>
    </row>
    <row r="168" spans="1:7" ht="15.5" x14ac:dyDescent="0.35">
      <c r="A168" s="83">
        <v>14</v>
      </c>
      <c r="B168" s="79" t="s">
        <v>194</v>
      </c>
      <c r="C168" s="84" t="s">
        <v>180</v>
      </c>
      <c r="D168" s="84">
        <v>0</v>
      </c>
      <c r="E168" s="84">
        <v>0</v>
      </c>
      <c r="F168" s="84">
        <v>1.1399999999999999</v>
      </c>
      <c r="G168" s="84" t="s">
        <v>64</v>
      </c>
    </row>
    <row r="169" spans="1:7" ht="15.5" x14ac:dyDescent="0.35">
      <c r="A169" s="81">
        <v>15</v>
      </c>
      <c r="B169" s="76" t="s">
        <v>195</v>
      </c>
      <c r="C169" s="82" t="s">
        <v>180</v>
      </c>
      <c r="D169" s="82">
        <v>3.14</v>
      </c>
      <c r="E169" s="82">
        <v>2.17</v>
      </c>
      <c r="F169" s="82">
        <v>1.5</v>
      </c>
      <c r="G169" s="82" t="s">
        <v>64</v>
      </c>
    </row>
    <row r="170" spans="1:7" ht="15.5" x14ac:dyDescent="0.35">
      <c r="A170" s="83">
        <v>16</v>
      </c>
      <c r="B170" s="79" t="s">
        <v>196</v>
      </c>
      <c r="C170" s="84" t="s">
        <v>180</v>
      </c>
      <c r="D170" s="84">
        <v>4.72</v>
      </c>
      <c r="E170" s="84">
        <v>2.94</v>
      </c>
      <c r="F170" s="84">
        <v>2.73</v>
      </c>
      <c r="G170" s="84" t="s">
        <v>64</v>
      </c>
    </row>
    <row r="171" spans="1:7" ht="15.5" x14ac:dyDescent="0.35">
      <c r="A171" s="81">
        <v>17</v>
      </c>
      <c r="B171" s="76" t="s">
        <v>197</v>
      </c>
      <c r="C171" s="82" t="s">
        <v>180</v>
      </c>
      <c r="D171" s="82">
        <v>5.45</v>
      </c>
      <c r="E171" s="82">
        <v>3.64</v>
      </c>
      <c r="F171" s="82">
        <v>4.68</v>
      </c>
      <c r="G171" s="82" t="s">
        <v>63</v>
      </c>
    </row>
    <row r="172" spans="1:7" ht="15.5" x14ac:dyDescent="0.35">
      <c r="A172" s="83">
        <v>18</v>
      </c>
      <c r="B172" s="79" t="s">
        <v>198</v>
      </c>
      <c r="C172" s="84" t="s">
        <v>180</v>
      </c>
      <c r="D172" s="84">
        <v>7.92</v>
      </c>
      <c r="E172" s="84">
        <v>6.08</v>
      </c>
      <c r="F172" s="84">
        <v>6.27</v>
      </c>
      <c r="G172" s="84" t="s">
        <v>63</v>
      </c>
    </row>
    <row r="173" spans="1:7" ht="15.5" x14ac:dyDescent="0.35">
      <c r="A173" s="81">
        <v>19</v>
      </c>
      <c r="B173" s="76" t="s">
        <v>199</v>
      </c>
      <c r="C173" s="82" t="s">
        <v>180</v>
      </c>
      <c r="D173" s="82">
        <v>0</v>
      </c>
      <c r="E173" s="82">
        <v>0</v>
      </c>
      <c r="F173" s="82">
        <v>1</v>
      </c>
      <c r="G173" s="82" t="s">
        <v>206</v>
      </c>
    </row>
    <row r="174" spans="1:7" ht="15.5" x14ac:dyDescent="0.35">
      <c r="A174" s="83">
        <v>20</v>
      </c>
      <c r="B174" s="79" t="s">
        <v>207</v>
      </c>
      <c r="C174" s="84" t="s">
        <v>180</v>
      </c>
      <c r="D174" s="84">
        <v>4.47</v>
      </c>
      <c r="E174" s="84">
        <v>2.82</v>
      </c>
      <c r="F174" s="84">
        <v>1.1399999999999999</v>
      </c>
      <c r="G174" s="84" t="s">
        <v>64</v>
      </c>
    </row>
    <row r="175" spans="1:7" ht="15.5" x14ac:dyDescent="0.35">
      <c r="A175" s="81">
        <v>21</v>
      </c>
      <c r="B175" s="76" t="s">
        <v>200</v>
      </c>
      <c r="C175" s="82" t="s">
        <v>180</v>
      </c>
      <c r="D175" s="82">
        <v>3.16</v>
      </c>
      <c r="E175" s="82">
        <v>2.42</v>
      </c>
      <c r="F175" s="82">
        <v>1.68</v>
      </c>
      <c r="G175" s="82" t="s">
        <v>64</v>
      </c>
    </row>
    <row r="176" spans="1:7" ht="15.5" x14ac:dyDescent="0.35">
      <c r="A176" s="83">
        <v>22</v>
      </c>
      <c r="B176" s="79" t="s">
        <v>201</v>
      </c>
      <c r="C176" s="84" t="s">
        <v>180</v>
      </c>
      <c r="D176" s="84">
        <v>5.33</v>
      </c>
      <c r="E176" s="84">
        <v>4.47</v>
      </c>
      <c r="F176" s="84">
        <v>2.88</v>
      </c>
      <c r="G176" s="84" t="s">
        <v>62</v>
      </c>
    </row>
    <row r="177" spans="1:7" ht="15.5" x14ac:dyDescent="0.35">
      <c r="A177" s="81">
        <v>23</v>
      </c>
      <c r="B177" s="76" t="s">
        <v>202</v>
      </c>
      <c r="C177" s="82" t="s">
        <v>180</v>
      </c>
      <c r="D177" s="82">
        <v>4.04</v>
      </c>
      <c r="E177" s="82">
        <v>3.45</v>
      </c>
      <c r="F177" s="82">
        <v>3.29</v>
      </c>
      <c r="G177" s="82" t="s">
        <v>62</v>
      </c>
    </row>
    <row r="178" spans="1:7" ht="15.5" x14ac:dyDescent="0.35">
      <c r="A178" s="83">
        <v>24</v>
      </c>
      <c r="B178" s="79" t="s">
        <v>203</v>
      </c>
      <c r="C178" s="84" t="s">
        <v>180</v>
      </c>
      <c r="D178" s="84">
        <v>6.22</v>
      </c>
      <c r="E178" s="84">
        <v>4.04</v>
      </c>
      <c r="F178" s="84">
        <v>3.82</v>
      </c>
      <c r="G178" s="84" t="s">
        <v>64</v>
      </c>
    </row>
    <row r="179" spans="1:7" ht="15.5" x14ac:dyDescent="0.35">
      <c r="A179" s="81">
        <v>25</v>
      </c>
      <c r="B179" s="76" t="s">
        <v>204</v>
      </c>
      <c r="C179" s="82" t="s">
        <v>180</v>
      </c>
      <c r="D179" s="82">
        <v>0</v>
      </c>
      <c r="E179" s="82">
        <v>0</v>
      </c>
      <c r="F179" s="82">
        <v>1.1100000000000001</v>
      </c>
      <c r="G179" s="82" t="s">
        <v>64</v>
      </c>
    </row>
    <row r="180" spans="1:7" ht="15.5" x14ac:dyDescent="0.35">
      <c r="A180" s="83">
        <v>26</v>
      </c>
      <c r="B180" s="79" t="s">
        <v>205</v>
      </c>
      <c r="C180" s="84" t="s">
        <v>208</v>
      </c>
      <c r="D180" s="84">
        <v>6.33</v>
      </c>
      <c r="E180" s="84">
        <v>5.33</v>
      </c>
      <c r="F180" s="84">
        <v>4.29</v>
      </c>
      <c r="G180" s="84" t="s">
        <v>62</v>
      </c>
    </row>
    <row r="181" spans="1:7" ht="15.5" x14ac:dyDescent="0.35">
      <c r="A181" s="95">
        <f>SUBTOTAL(103,Table21[Ecole Dallia])</f>
        <v>26</v>
      </c>
      <c r="B181" s="89"/>
      <c r="C181" s="94"/>
      <c r="D181" s="94"/>
      <c r="E181" s="94"/>
      <c r="F181" s="94"/>
      <c r="G181" s="94">
        <f>SUBTOTAL(103,Table21[Column6])</f>
        <v>26</v>
      </c>
    </row>
    <row r="182" spans="1:7" ht="15.5" x14ac:dyDescent="0.35">
      <c r="A182" s="85"/>
      <c r="B182" s="86"/>
      <c r="C182" s="87"/>
      <c r="D182" s="87"/>
      <c r="E182" s="87"/>
      <c r="F182" s="87"/>
      <c r="G182" s="87"/>
    </row>
    <row r="183" spans="1:7" ht="15.5" x14ac:dyDescent="0.35">
      <c r="A183" s="83"/>
      <c r="B183" s="79"/>
      <c r="C183" s="84"/>
      <c r="D183" s="84"/>
      <c r="E183" s="84"/>
      <c r="F183" s="84"/>
      <c r="G183" s="84"/>
    </row>
    <row r="184" spans="1:7" ht="15.5" x14ac:dyDescent="0.35">
      <c r="A184" s="81"/>
      <c r="B184" s="76"/>
      <c r="C184" s="82"/>
      <c r="D184" s="82"/>
      <c r="E184" s="82"/>
      <c r="F184" s="82"/>
      <c r="G184" s="82"/>
    </row>
    <row r="185" spans="1:7" ht="15.5" x14ac:dyDescent="0.35">
      <c r="A185" s="92" t="s">
        <v>237</v>
      </c>
      <c r="B185" s="93" t="s">
        <v>529</v>
      </c>
      <c r="C185" s="93" t="s">
        <v>530</v>
      </c>
      <c r="D185" s="93" t="s">
        <v>531</v>
      </c>
      <c r="E185" s="93" t="s">
        <v>532</v>
      </c>
      <c r="F185" s="93" t="s">
        <v>533</v>
      </c>
      <c r="G185" s="93" t="s">
        <v>537</v>
      </c>
    </row>
    <row r="186" spans="1:7" ht="15.5" x14ac:dyDescent="0.35">
      <c r="A186" s="81">
        <v>1</v>
      </c>
      <c r="B186" s="76" t="s">
        <v>209</v>
      </c>
      <c r="C186" s="82" t="s">
        <v>211</v>
      </c>
      <c r="D186" s="82">
        <v>7.85</v>
      </c>
      <c r="E186" s="82">
        <v>6.97</v>
      </c>
      <c r="F186" s="82">
        <v>4.25</v>
      </c>
      <c r="G186" s="82" t="s">
        <v>62</v>
      </c>
    </row>
    <row r="187" spans="1:7" ht="15.5" x14ac:dyDescent="0.35">
      <c r="A187" s="83">
        <v>2</v>
      </c>
      <c r="B187" s="79" t="s">
        <v>210</v>
      </c>
      <c r="C187" s="84" t="s">
        <v>211</v>
      </c>
      <c r="D187" s="84">
        <v>4.75</v>
      </c>
      <c r="E187" s="84">
        <v>2.73</v>
      </c>
      <c r="F187" s="84">
        <v>0.86</v>
      </c>
      <c r="G187" s="84" t="s">
        <v>62</v>
      </c>
    </row>
    <row r="188" spans="1:7" ht="15.5" x14ac:dyDescent="0.35">
      <c r="A188" s="81">
        <v>3</v>
      </c>
      <c r="B188" s="76" t="s">
        <v>212</v>
      </c>
      <c r="C188" s="82" t="s">
        <v>211</v>
      </c>
      <c r="D188" s="82">
        <v>6.95</v>
      </c>
      <c r="E188" s="82">
        <v>7.2</v>
      </c>
      <c r="F188" s="82">
        <v>3.8</v>
      </c>
      <c r="G188" s="82" t="s">
        <v>62</v>
      </c>
    </row>
    <row r="189" spans="1:7" ht="15.5" x14ac:dyDescent="0.35">
      <c r="A189" s="83">
        <v>4</v>
      </c>
      <c r="B189" s="79" t="s">
        <v>213</v>
      </c>
      <c r="C189" s="84" t="s">
        <v>211</v>
      </c>
      <c r="D189" s="84">
        <v>6.6</v>
      </c>
      <c r="E189" s="84">
        <v>7.05</v>
      </c>
      <c r="F189" s="84">
        <v>2.4500000000000002</v>
      </c>
      <c r="G189" s="84" t="s">
        <v>62</v>
      </c>
    </row>
    <row r="190" spans="1:7" ht="15.5" x14ac:dyDescent="0.35">
      <c r="A190" s="81">
        <v>5</v>
      </c>
      <c r="B190" s="76" t="s">
        <v>269</v>
      </c>
      <c r="C190" s="82" t="s">
        <v>211</v>
      </c>
      <c r="D190" s="82">
        <v>4.75</v>
      </c>
      <c r="E190" s="82">
        <v>4.7</v>
      </c>
      <c r="F190" s="82">
        <v>2.3199999999999998</v>
      </c>
      <c r="G190" s="82" t="s">
        <v>62</v>
      </c>
    </row>
    <row r="191" spans="1:7" ht="15.5" x14ac:dyDescent="0.35">
      <c r="A191" s="83">
        <v>6</v>
      </c>
      <c r="B191" s="79" t="s">
        <v>214</v>
      </c>
      <c r="C191" s="84" t="s">
        <v>211</v>
      </c>
      <c r="D191" s="84">
        <v>0</v>
      </c>
      <c r="E191" s="84">
        <v>0</v>
      </c>
      <c r="F191" s="84">
        <v>0</v>
      </c>
      <c r="G191" s="84" t="s">
        <v>62</v>
      </c>
    </row>
    <row r="192" spans="1:7" ht="15.5" x14ac:dyDescent="0.35">
      <c r="A192" s="81">
        <v>7</v>
      </c>
      <c r="B192" s="76" t="s">
        <v>215</v>
      </c>
      <c r="C192" s="82" t="s">
        <v>211</v>
      </c>
      <c r="D192" s="82">
        <v>0</v>
      </c>
      <c r="E192" s="82">
        <v>2.85</v>
      </c>
      <c r="F192" s="82">
        <v>0.61</v>
      </c>
      <c r="G192" s="82" t="s">
        <v>62</v>
      </c>
    </row>
    <row r="193" spans="1:7" ht="15.5" x14ac:dyDescent="0.35">
      <c r="A193" s="83">
        <v>8</v>
      </c>
      <c r="B193" s="79" t="s">
        <v>216</v>
      </c>
      <c r="C193" s="84" t="s">
        <v>211</v>
      </c>
      <c r="D193" s="84">
        <v>8.1999999999999993</v>
      </c>
      <c r="E193" s="84">
        <v>8.0399999999999991</v>
      </c>
      <c r="F193" s="84">
        <v>5.61</v>
      </c>
      <c r="G193" s="84" t="s">
        <v>63</v>
      </c>
    </row>
    <row r="194" spans="1:7" ht="15.5" x14ac:dyDescent="0.35">
      <c r="A194" s="81">
        <v>9</v>
      </c>
      <c r="B194" s="76" t="s">
        <v>217</v>
      </c>
      <c r="C194" s="82" t="s">
        <v>211</v>
      </c>
      <c r="D194" s="82">
        <v>5</v>
      </c>
      <c r="E194" s="82">
        <v>4.7</v>
      </c>
      <c r="F194" s="82">
        <v>2.13</v>
      </c>
      <c r="G194" s="82" t="s">
        <v>62</v>
      </c>
    </row>
    <row r="195" spans="1:7" ht="15.5" x14ac:dyDescent="0.35">
      <c r="A195" s="83">
        <v>10</v>
      </c>
      <c r="B195" s="79" t="s">
        <v>218</v>
      </c>
      <c r="C195" s="84" t="s">
        <v>211</v>
      </c>
      <c r="D195" s="84">
        <v>8.6</v>
      </c>
      <c r="E195" s="84">
        <v>8.35</v>
      </c>
      <c r="F195" s="84">
        <v>7.64</v>
      </c>
      <c r="G195" s="84" t="s">
        <v>63</v>
      </c>
    </row>
    <row r="196" spans="1:7" ht="15.5" x14ac:dyDescent="0.35">
      <c r="A196" s="81">
        <v>11</v>
      </c>
      <c r="B196" s="76" t="s">
        <v>219</v>
      </c>
      <c r="C196" s="82" t="s">
        <v>211</v>
      </c>
      <c r="D196" s="82">
        <v>5.9</v>
      </c>
      <c r="E196" s="82">
        <v>3.38</v>
      </c>
      <c r="F196" s="82">
        <v>1.57</v>
      </c>
      <c r="G196" s="82" t="s">
        <v>62</v>
      </c>
    </row>
    <row r="197" spans="1:7" ht="15.5" x14ac:dyDescent="0.35">
      <c r="A197" s="83">
        <v>12</v>
      </c>
      <c r="B197" s="79" t="s">
        <v>220</v>
      </c>
      <c r="C197" s="84" t="s">
        <v>211</v>
      </c>
      <c r="D197" s="84">
        <v>6.35</v>
      </c>
      <c r="E197" s="84">
        <v>5.1100000000000003</v>
      </c>
      <c r="F197" s="84">
        <v>1.89</v>
      </c>
      <c r="G197" s="84" t="s">
        <v>62</v>
      </c>
    </row>
    <row r="198" spans="1:7" ht="15.5" x14ac:dyDescent="0.35">
      <c r="A198" s="81">
        <v>13</v>
      </c>
      <c r="B198" s="76" t="s">
        <v>221</v>
      </c>
      <c r="C198" s="82" t="s">
        <v>211</v>
      </c>
      <c r="D198" s="82">
        <v>7.55</v>
      </c>
      <c r="E198" s="82">
        <v>7.69</v>
      </c>
      <c r="F198" s="82">
        <v>5.2</v>
      </c>
      <c r="G198" s="82" t="s">
        <v>63</v>
      </c>
    </row>
    <row r="199" spans="1:7" ht="15.5" x14ac:dyDescent="0.35">
      <c r="A199" s="83">
        <v>14</v>
      </c>
      <c r="B199" s="79" t="s">
        <v>222</v>
      </c>
      <c r="C199" s="84" t="s">
        <v>211</v>
      </c>
      <c r="D199" s="84">
        <v>5.0999999999999996</v>
      </c>
      <c r="E199" s="84">
        <v>2.38</v>
      </c>
      <c r="F199" s="84">
        <v>0.68</v>
      </c>
      <c r="G199" s="84" t="s">
        <v>62</v>
      </c>
    </row>
    <row r="200" spans="1:7" ht="15.5" x14ac:dyDescent="0.35">
      <c r="A200" s="81">
        <v>15</v>
      </c>
      <c r="B200" s="76" t="s">
        <v>223</v>
      </c>
      <c r="C200" s="82" t="s">
        <v>211</v>
      </c>
      <c r="D200" s="82">
        <v>7.8</v>
      </c>
      <c r="E200" s="82">
        <v>7.61</v>
      </c>
      <c r="F200" s="82">
        <v>3.96</v>
      </c>
      <c r="G200" s="82" t="s">
        <v>62</v>
      </c>
    </row>
    <row r="201" spans="1:7" ht="15.5" x14ac:dyDescent="0.35">
      <c r="A201" s="83">
        <v>16</v>
      </c>
      <c r="B201" s="79" t="s">
        <v>224</v>
      </c>
      <c r="C201" s="84" t="s">
        <v>211</v>
      </c>
      <c r="D201" s="84">
        <v>0</v>
      </c>
      <c r="E201" s="84">
        <v>0</v>
      </c>
      <c r="F201" s="84">
        <v>0</v>
      </c>
      <c r="G201" s="84" t="s">
        <v>62</v>
      </c>
    </row>
    <row r="202" spans="1:7" ht="15.5" x14ac:dyDescent="0.35">
      <c r="A202" s="81">
        <v>17</v>
      </c>
      <c r="B202" s="76" t="s">
        <v>225</v>
      </c>
      <c r="C202" s="82" t="s">
        <v>211</v>
      </c>
      <c r="D202" s="82">
        <v>6.85</v>
      </c>
      <c r="E202" s="82">
        <v>6.38</v>
      </c>
      <c r="F202" s="82">
        <v>4.4800000000000004</v>
      </c>
      <c r="G202" s="82" t="s">
        <v>62</v>
      </c>
    </row>
    <row r="203" spans="1:7" ht="15.5" x14ac:dyDescent="0.35">
      <c r="A203" s="83">
        <v>18</v>
      </c>
      <c r="B203" s="79" t="s">
        <v>226</v>
      </c>
      <c r="C203" s="84" t="s">
        <v>236</v>
      </c>
      <c r="D203" s="84">
        <v>3.2</v>
      </c>
      <c r="E203" s="84">
        <v>1.67</v>
      </c>
      <c r="F203" s="84">
        <v>0</v>
      </c>
      <c r="G203" s="84" t="s">
        <v>64</v>
      </c>
    </row>
    <row r="204" spans="1:7" ht="15.5" x14ac:dyDescent="0.35">
      <c r="A204" s="81">
        <v>19</v>
      </c>
      <c r="B204" s="76" t="s">
        <v>227</v>
      </c>
      <c r="C204" s="82" t="s">
        <v>236</v>
      </c>
      <c r="D204" s="82">
        <v>7.15</v>
      </c>
      <c r="E204" s="82">
        <v>7.26</v>
      </c>
      <c r="F204" s="82">
        <v>3.84</v>
      </c>
      <c r="G204" s="82" t="s">
        <v>62</v>
      </c>
    </row>
    <row r="205" spans="1:7" ht="15.5" x14ac:dyDescent="0.35">
      <c r="A205" s="83">
        <v>20</v>
      </c>
      <c r="B205" s="79" t="s">
        <v>228</v>
      </c>
      <c r="C205" s="84" t="s">
        <v>236</v>
      </c>
      <c r="D205" s="84">
        <v>3.4</v>
      </c>
      <c r="E205" s="84">
        <v>1.73</v>
      </c>
      <c r="F205" s="84">
        <v>3.16</v>
      </c>
      <c r="G205" s="84" t="s">
        <v>62</v>
      </c>
    </row>
    <row r="206" spans="1:7" ht="15.5" x14ac:dyDescent="0.35">
      <c r="A206" s="81">
        <v>21</v>
      </c>
      <c r="B206" s="76" t="s">
        <v>229</v>
      </c>
      <c r="C206" s="82" t="s">
        <v>236</v>
      </c>
      <c r="D206" s="82">
        <v>8.25</v>
      </c>
      <c r="E206" s="82">
        <v>7.08</v>
      </c>
      <c r="F206" s="82">
        <v>5.32</v>
      </c>
      <c r="G206" s="82" t="s">
        <v>63</v>
      </c>
    </row>
    <row r="207" spans="1:7" ht="15.5" x14ac:dyDescent="0.35">
      <c r="A207" s="83">
        <v>22</v>
      </c>
      <c r="B207" s="79" t="s">
        <v>230</v>
      </c>
      <c r="C207" s="84" t="s">
        <v>236</v>
      </c>
      <c r="D207" s="84" t="s">
        <v>265</v>
      </c>
      <c r="E207" s="84">
        <v>3</v>
      </c>
      <c r="F207" s="84">
        <v>1.63</v>
      </c>
      <c r="G207" s="84" t="s">
        <v>64</v>
      </c>
    </row>
    <row r="208" spans="1:7" ht="15.5" x14ac:dyDescent="0.35">
      <c r="A208" s="81">
        <v>23</v>
      </c>
      <c r="B208" s="76" t="s">
        <v>231</v>
      </c>
      <c r="C208" s="82" t="s">
        <v>236</v>
      </c>
      <c r="D208" s="82">
        <v>6.95</v>
      </c>
      <c r="E208" s="82">
        <v>4.1399999999999997</v>
      </c>
      <c r="F208" s="82">
        <v>1.93</v>
      </c>
      <c r="G208" s="82" t="s">
        <v>64</v>
      </c>
    </row>
    <row r="209" spans="1:7" ht="15.5" x14ac:dyDescent="0.35">
      <c r="A209" s="83">
        <v>24</v>
      </c>
      <c r="B209" s="79" t="s">
        <v>232</v>
      </c>
      <c r="C209" s="84" t="s">
        <v>236</v>
      </c>
      <c r="D209" s="84">
        <v>8.65</v>
      </c>
      <c r="E209" s="84">
        <v>7.02</v>
      </c>
      <c r="F209" s="84">
        <v>5.5</v>
      </c>
      <c r="G209" s="84" t="s">
        <v>63</v>
      </c>
    </row>
    <row r="210" spans="1:7" ht="15.5" x14ac:dyDescent="0.35">
      <c r="A210" s="81">
        <v>25</v>
      </c>
      <c r="B210" s="76" t="s">
        <v>233</v>
      </c>
      <c r="C210" s="82" t="s">
        <v>236</v>
      </c>
      <c r="D210" s="82">
        <v>2.7</v>
      </c>
      <c r="E210" s="82">
        <v>1.73</v>
      </c>
      <c r="F210" s="82">
        <v>0</v>
      </c>
      <c r="G210" s="82" t="s">
        <v>64</v>
      </c>
    </row>
    <row r="211" spans="1:7" ht="15.5" x14ac:dyDescent="0.35">
      <c r="A211" s="83">
        <v>26</v>
      </c>
      <c r="B211" s="79" t="s">
        <v>234</v>
      </c>
      <c r="C211" s="84" t="s">
        <v>236</v>
      </c>
      <c r="D211" s="84">
        <v>2.9</v>
      </c>
      <c r="E211" s="84">
        <v>1.76</v>
      </c>
      <c r="F211" s="84">
        <v>0</v>
      </c>
      <c r="G211" s="84" t="s">
        <v>64</v>
      </c>
    </row>
    <row r="212" spans="1:7" ht="15.5" x14ac:dyDescent="0.35">
      <c r="A212" s="81">
        <v>27</v>
      </c>
      <c r="B212" s="76" t="s">
        <v>235</v>
      </c>
      <c r="C212" s="82" t="s">
        <v>236</v>
      </c>
      <c r="D212" s="82">
        <v>7.75</v>
      </c>
      <c r="E212" s="82">
        <v>6.14</v>
      </c>
      <c r="F212" s="82">
        <v>3.38</v>
      </c>
      <c r="G212" s="82" t="s">
        <v>64</v>
      </c>
    </row>
    <row r="213" spans="1:7" ht="15.5" x14ac:dyDescent="0.35">
      <c r="A213" s="85">
        <f>SUBTOTAL(102,Table22[Ecole Kontagora Sofoua])</f>
        <v>27</v>
      </c>
      <c r="B213" s="86"/>
      <c r="C213" s="87"/>
      <c r="D213" s="87"/>
      <c r="E213" s="87"/>
      <c r="F213" s="87"/>
      <c r="G213" s="87">
        <f>SUBTOTAL(103,Table22[Column6])</f>
        <v>27</v>
      </c>
    </row>
    <row r="214" spans="1:7" ht="15.5" x14ac:dyDescent="0.35">
      <c r="A214" s="95"/>
      <c r="B214" s="89"/>
      <c r="C214" s="94"/>
      <c r="D214" s="94"/>
      <c r="E214" s="94"/>
      <c r="F214" s="94"/>
      <c r="G214" s="94"/>
    </row>
    <row r="215" spans="1:7" ht="15.5" x14ac:dyDescent="0.35">
      <c r="A215" s="81"/>
      <c r="B215" s="76"/>
      <c r="C215" s="82"/>
      <c r="D215" s="82"/>
      <c r="E215" s="82"/>
      <c r="F215" s="82"/>
      <c r="G215" s="82"/>
    </row>
    <row r="216" spans="1:7" ht="15.5" x14ac:dyDescent="0.35">
      <c r="A216" s="92" t="s">
        <v>238</v>
      </c>
      <c r="B216" s="93" t="s">
        <v>529</v>
      </c>
      <c r="C216" s="93" t="s">
        <v>530</v>
      </c>
      <c r="D216" s="93" t="s">
        <v>531</v>
      </c>
      <c r="E216" s="93" t="s">
        <v>532</v>
      </c>
      <c r="F216" s="93" t="s">
        <v>533</v>
      </c>
      <c r="G216" s="93" t="s">
        <v>537</v>
      </c>
    </row>
    <row r="217" spans="1:7" ht="15.5" x14ac:dyDescent="0.35">
      <c r="A217" s="81">
        <v>1</v>
      </c>
      <c r="B217" s="76" t="s">
        <v>239</v>
      </c>
      <c r="C217" s="82" t="s">
        <v>45</v>
      </c>
      <c r="D217" s="82">
        <v>7.4</v>
      </c>
      <c r="E217" s="82">
        <v>7.79</v>
      </c>
      <c r="F217" s="82">
        <v>7.18</v>
      </c>
      <c r="G217" s="82" t="s">
        <v>63</v>
      </c>
    </row>
    <row r="218" spans="1:7" ht="15.5" x14ac:dyDescent="0.35">
      <c r="A218" s="83">
        <v>2</v>
      </c>
      <c r="B218" s="79" t="s">
        <v>240</v>
      </c>
      <c r="C218" s="84" t="s">
        <v>45</v>
      </c>
      <c r="D218" s="84">
        <v>6.85</v>
      </c>
      <c r="E218" s="84">
        <v>6.79</v>
      </c>
      <c r="F218" s="84">
        <v>7.61</v>
      </c>
      <c r="G218" s="84" t="s">
        <v>63</v>
      </c>
    </row>
    <row r="219" spans="1:7" ht="15.5" x14ac:dyDescent="0.35">
      <c r="A219" s="81">
        <v>3</v>
      </c>
      <c r="B219" s="76" t="s">
        <v>241</v>
      </c>
      <c r="C219" s="82" t="s">
        <v>45</v>
      </c>
      <c r="D219" s="82">
        <v>6.3</v>
      </c>
      <c r="E219" s="82">
        <v>4.41</v>
      </c>
      <c r="F219" s="82">
        <v>3.79</v>
      </c>
      <c r="G219" s="82" t="s">
        <v>62</v>
      </c>
    </row>
    <row r="220" spans="1:7" ht="15.5" x14ac:dyDescent="0.35">
      <c r="A220" s="83">
        <v>4</v>
      </c>
      <c r="B220" s="79" t="s">
        <v>242</v>
      </c>
      <c r="C220" s="84" t="s">
        <v>45</v>
      </c>
      <c r="D220" s="84">
        <v>0</v>
      </c>
      <c r="E220" s="84">
        <v>0</v>
      </c>
      <c r="F220" s="84">
        <v>0</v>
      </c>
      <c r="G220" s="84" t="s">
        <v>62</v>
      </c>
    </row>
    <row r="221" spans="1:7" ht="15.5" x14ac:dyDescent="0.35">
      <c r="A221" s="81">
        <v>5</v>
      </c>
      <c r="B221" s="76" t="s">
        <v>243</v>
      </c>
      <c r="C221" s="82" t="s">
        <v>45</v>
      </c>
      <c r="D221" s="82">
        <v>6.9</v>
      </c>
      <c r="E221" s="82">
        <v>5.26</v>
      </c>
      <c r="F221" s="82" t="s">
        <v>266</v>
      </c>
      <c r="G221" s="82" t="s">
        <v>63</v>
      </c>
    </row>
    <row r="222" spans="1:7" ht="15.5" x14ac:dyDescent="0.35">
      <c r="A222" s="83">
        <v>6</v>
      </c>
      <c r="B222" s="79" t="s">
        <v>244</v>
      </c>
      <c r="C222" s="84" t="s">
        <v>45</v>
      </c>
      <c r="D222" s="84">
        <v>5.6</v>
      </c>
      <c r="E222" s="84">
        <v>5.2</v>
      </c>
      <c r="F222" s="84">
        <v>3.91</v>
      </c>
      <c r="G222" s="84" t="s">
        <v>62</v>
      </c>
    </row>
    <row r="223" spans="1:7" ht="15.5" x14ac:dyDescent="0.35">
      <c r="A223" s="81">
        <v>7</v>
      </c>
      <c r="B223" s="76" t="s">
        <v>245</v>
      </c>
      <c r="C223" s="82" t="s">
        <v>45</v>
      </c>
      <c r="D223" s="82">
        <v>6.8</v>
      </c>
      <c r="E223" s="82">
        <v>6.32</v>
      </c>
      <c r="F223" s="82">
        <v>6.77</v>
      </c>
      <c r="G223" s="82" t="s">
        <v>63</v>
      </c>
    </row>
    <row r="224" spans="1:7" ht="15.5" x14ac:dyDescent="0.35">
      <c r="A224" s="83">
        <v>8</v>
      </c>
      <c r="B224" s="79" t="s">
        <v>267</v>
      </c>
      <c r="C224" s="84" t="s">
        <v>45</v>
      </c>
      <c r="D224" s="84">
        <v>5.0999999999999996</v>
      </c>
      <c r="E224" s="84">
        <v>4.29</v>
      </c>
      <c r="F224" s="84">
        <v>3.82</v>
      </c>
      <c r="G224" s="84" t="s">
        <v>62</v>
      </c>
    </row>
    <row r="225" spans="1:7" ht="15.5" x14ac:dyDescent="0.35">
      <c r="A225" s="81">
        <v>9</v>
      </c>
      <c r="B225" s="76" t="s">
        <v>246</v>
      </c>
      <c r="C225" s="82" t="s">
        <v>45</v>
      </c>
      <c r="D225" s="82">
        <v>3.3</v>
      </c>
      <c r="E225" s="82">
        <v>2.67</v>
      </c>
      <c r="F225" s="82">
        <v>0</v>
      </c>
      <c r="G225" s="82" t="s">
        <v>62</v>
      </c>
    </row>
    <row r="226" spans="1:7" ht="15.5" x14ac:dyDescent="0.35">
      <c r="A226" s="83">
        <v>10</v>
      </c>
      <c r="B226" s="79" t="s">
        <v>247</v>
      </c>
      <c r="C226" s="84" t="s">
        <v>45</v>
      </c>
      <c r="D226" s="84">
        <v>5.05</v>
      </c>
      <c r="E226" s="84">
        <v>5.5</v>
      </c>
      <c r="F226" s="84">
        <v>4.5</v>
      </c>
      <c r="G226" s="84" t="s">
        <v>62</v>
      </c>
    </row>
    <row r="227" spans="1:7" ht="15.5" x14ac:dyDescent="0.35">
      <c r="A227" s="81">
        <v>11</v>
      </c>
      <c r="B227" s="76" t="s">
        <v>248</v>
      </c>
      <c r="C227" s="82" t="s">
        <v>45</v>
      </c>
      <c r="D227" s="82">
        <v>7.15</v>
      </c>
      <c r="E227" s="82">
        <v>7.26</v>
      </c>
      <c r="F227" s="82">
        <v>4.68</v>
      </c>
      <c r="G227" s="82" t="s">
        <v>63</v>
      </c>
    </row>
    <row r="228" spans="1:7" ht="15.5" x14ac:dyDescent="0.35">
      <c r="A228" s="83">
        <v>12</v>
      </c>
      <c r="B228" s="79" t="s">
        <v>249</v>
      </c>
      <c r="C228" s="84" t="s">
        <v>49</v>
      </c>
      <c r="D228" s="84">
        <v>6.95</v>
      </c>
      <c r="E228" s="84">
        <v>7.44</v>
      </c>
      <c r="F228" s="84">
        <v>7.85</v>
      </c>
      <c r="G228" s="84" t="s">
        <v>63</v>
      </c>
    </row>
    <row r="229" spans="1:7" ht="15.5" x14ac:dyDescent="0.35">
      <c r="A229" s="81">
        <v>13</v>
      </c>
      <c r="B229" s="76" t="s">
        <v>250</v>
      </c>
      <c r="C229" s="82" t="s">
        <v>49</v>
      </c>
      <c r="D229" s="82">
        <v>6.1</v>
      </c>
      <c r="E229" s="82">
        <v>4.58</v>
      </c>
      <c r="F229" s="82">
        <v>8.59</v>
      </c>
      <c r="G229" s="82" t="s">
        <v>63</v>
      </c>
    </row>
    <row r="230" spans="1:7" ht="15.5" x14ac:dyDescent="0.35">
      <c r="A230" s="83">
        <v>14</v>
      </c>
      <c r="B230" s="79" t="s">
        <v>251</v>
      </c>
      <c r="C230" s="84" t="s">
        <v>49</v>
      </c>
      <c r="D230" s="84">
        <v>7.6</v>
      </c>
      <c r="E230" s="84">
        <v>6.73</v>
      </c>
      <c r="F230" s="84">
        <v>4.0199999999999996</v>
      </c>
      <c r="G230" s="84" t="s">
        <v>62</v>
      </c>
    </row>
    <row r="231" spans="1:7" ht="15.5" x14ac:dyDescent="0.35">
      <c r="A231" s="81">
        <v>15</v>
      </c>
      <c r="B231" s="76" t="s">
        <v>252</v>
      </c>
      <c r="C231" s="82" t="s">
        <v>49</v>
      </c>
      <c r="D231" s="82">
        <v>4.3</v>
      </c>
      <c r="E231" s="82">
        <v>0</v>
      </c>
      <c r="F231" s="82">
        <v>0</v>
      </c>
      <c r="G231" s="82" t="s">
        <v>64</v>
      </c>
    </row>
    <row r="232" spans="1:7" ht="15.5" x14ac:dyDescent="0.35">
      <c r="A232" s="83">
        <v>16</v>
      </c>
      <c r="B232" s="79" t="s">
        <v>253</v>
      </c>
      <c r="C232" s="84" t="s">
        <v>49</v>
      </c>
      <c r="D232" s="84">
        <v>6.9</v>
      </c>
      <c r="E232" s="84">
        <v>5.0199999999999996</v>
      </c>
      <c r="F232" s="84">
        <v>6.2</v>
      </c>
      <c r="G232" s="84" t="s">
        <v>63</v>
      </c>
    </row>
    <row r="233" spans="1:7" ht="15.5" x14ac:dyDescent="0.35">
      <c r="A233" s="81">
        <v>17</v>
      </c>
      <c r="B233" s="76" t="s">
        <v>254</v>
      </c>
      <c r="C233" s="82" t="s">
        <v>49</v>
      </c>
      <c r="D233" s="82">
        <v>6</v>
      </c>
      <c r="E233" s="82">
        <v>5.32</v>
      </c>
      <c r="F233" s="82">
        <v>4.63</v>
      </c>
      <c r="G233" s="82" t="s">
        <v>63</v>
      </c>
    </row>
    <row r="234" spans="1:7" ht="15.5" x14ac:dyDescent="0.35">
      <c r="A234" s="83">
        <v>18</v>
      </c>
      <c r="B234" s="79" t="s">
        <v>255</v>
      </c>
      <c r="C234" s="84" t="s">
        <v>49</v>
      </c>
      <c r="D234" s="84">
        <v>6.45</v>
      </c>
      <c r="E234" s="84">
        <v>5.91</v>
      </c>
      <c r="F234" s="84">
        <v>3.64</v>
      </c>
      <c r="G234" s="84" t="s">
        <v>64</v>
      </c>
    </row>
    <row r="235" spans="1:7" ht="15.5" x14ac:dyDescent="0.35">
      <c r="A235" s="81">
        <v>19</v>
      </c>
      <c r="B235" s="76" t="s">
        <v>256</v>
      </c>
      <c r="C235" s="82" t="s">
        <v>49</v>
      </c>
      <c r="D235" s="82">
        <v>6.05</v>
      </c>
      <c r="E235" s="82">
        <v>6.67</v>
      </c>
      <c r="F235" s="82">
        <v>5.1100000000000003</v>
      </c>
      <c r="G235" s="82" t="s">
        <v>63</v>
      </c>
    </row>
    <row r="236" spans="1:7" ht="15.5" x14ac:dyDescent="0.35">
      <c r="A236" s="83">
        <v>20</v>
      </c>
      <c r="B236" s="79" t="s">
        <v>257</v>
      </c>
      <c r="C236" s="84" t="s">
        <v>49</v>
      </c>
      <c r="D236" s="84">
        <v>5.2</v>
      </c>
      <c r="E236" s="84">
        <v>3.26</v>
      </c>
      <c r="F236" s="84">
        <v>2.91</v>
      </c>
      <c r="G236" s="84" t="s">
        <v>64</v>
      </c>
    </row>
    <row r="237" spans="1:7" ht="15.5" x14ac:dyDescent="0.35">
      <c r="A237" s="81">
        <v>21</v>
      </c>
      <c r="B237" s="76" t="s">
        <v>258</v>
      </c>
      <c r="C237" s="82" t="s">
        <v>49</v>
      </c>
      <c r="D237" s="82">
        <v>5.45</v>
      </c>
      <c r="E237" s="82">
        <v>5.38</v>
      </c>
      <c r="F237" s="82">
        <v>4.3600000000000003</v>
      </c>
      <c r="G237" s="82" t="s">
        <v>64</v>
      </c>
    </row>
    <row r="238" spans="1:7" ht="15.5" x14ac:dyDescent="0.35">
      <c r="A238" s="83">
        <v>22</v>
      </c>
      <c r="B238" s="79" t="s">
        <v>259</v>
      </c>
      <c r="C238" s="84" t="s">
        <v>49</v>
      </c>
      <c r="D238" s="84">
        <v>5.55</v>
      </c>
      <c r="E238" s="84">
        <v>4.5</v>
      </c>
      <c r="F238" s="84">
        <v>2.59</v>
      </c>
      <c r="G238" s="84" t="s">
        <v>64</v>
      </c>
    </row>
    <row r="239" spans="1:7" ht="15.5" x14ac:dyDescent="0.35">
      <c r="A239" s="81">
        <v>23</v>
      </c>
      <c r="B239" s="76" t="s">
        <v>260</v>
      </c>
      <c r="C239" s="82" t="s">
        <v>49</v>
      </c>
      <c r="D239" s="82">
        <v>7.75</v>
      </c>
      <c r="E239" s="82">
        <v>8</v>
      </c>
      <c r="F239" s="82">
        <v>5.89</v>
      </c>
      <c r="G239" s="82" t="s">
        <v>63</v>
      </c>
    </row>
    <row r="240" spans="1:7" ht="15.5" x14ac:dyDescent="0.35">
      <c r="A240" s="83">
        <v>24</v>
      </c>
      <c r="B240" s="79" t="s">
        <v>261</v>
      </c>
      <c r="C240" s="84" t="s">
        <v>49</v>
      </c>
      <c r="D240" s="84">
        <v>0</v>
      </c>
      <c r="E240" s="84">
        <v>0</v>
      </c>
      <c r="F240" s="84">
        <v>0</v>
      </c>
      <c r="G240" s="84" t="s">
        <v>64</v>
      </c>
    </row>
    <row r="241" spans="1:7" ht="15.5" x14ac:dyDescent="0.35">
      <c r="A241" s="81">
        <v>25</v>
      </c>
      <c r="B241" s="76" t="s">
        <v>262</v>
      </c>
      <c r="C241" s="82" t="s">
        <v>49</v>
      </c>
      <c r="D241" s="82">
        <v>4</v>
      </c>
      <c r="E241" s="82">
        <v>5.44</v>
      </c>
      <c r="F241" s="82">
        <v>4.66</v>
      </c>
      <c r="G241" s="82" t="s">
        <v>63</v>
      </c>
    </row>
    <row r="242" spans="1:7" ht="15.5" x14ac:dyDescent="0.35">
      <c r="A242" s="83">
        <v>26</v>
      </c>
      <c r="B242" s="79" t="s">
        <v>110</v>
      </c>
      <c r="C242" s="84" t="s">
        <v>49</v>
      </c>
      <c r="D242" s="84">
        <v>6.1</v>
      </c>
      <c r="E242" s="84">
        <v>5.23</v>
      </c>
      <c r="F242" s="84">
        <v>2.95</v>
      </c>
      <c r="G242" s="84" t="s">
        <v>64</v>
      </c>
    </row>
    <row r="243" spans="1:7" ht="15.5" x14ac:dyDescent="0.35">
      <c r="A243" s="81">
        <v>27</v>
      </c>
      <c r="B243" s="76" t="s">
        <v>263</v>
      </c>
      <c r="C243" s="82" t="s">
        <v>45</v>
      </c>
      <c r="D243" s="82">
        <v>7.05</v>
      </c>
      <c r="E243" s="82">
        <v>6.2</v>
      </c>
      <c r="F243" s="82">
        <v>6.89</v>
      </c>
      <c r="G243" s="82" t="s">
        <v>63</v>
      </c>
    </row>
    <row r="244" spans="1:7" ht="15.5" x14ac:dyDescent="0.35">
      <c r="A244" s="83">
        <v>28</v>
      </c>
      <c r="B244" s="79" t="s">
        <v>264</v>
      </c>
      <c r="C244" s="84" t="s">
        <v>45</v>
      </c>
      <c r="D244" s="84">
        <v>6.1</v>
      </c>
      <c r="E244" s="84">
        <v>4.58</v>
      </c>
      <c r="F244" s="84">
        <v>4.3899999999999997</v>
      </c>
      <c r="G244" s="84" t="s">
        <v>62</v>
      </c>
    </row>
    <row r="245" spans="1:7" ht="15.5" x14ac:dyDescent="0.35">
      <c r="A245" s="95">
        <f>SUBTOTAL(103,Table23[Ecole Djirataoua Bilingue])</f>
        <v>28</v>
      </c>
      <c r="B245" s="89"/>
      <c r="C245" s="94"/>
      <c r="D245" s="94"/>
      <c r="E245" s="94"/>
      <c r="F245" s="94"/>
      <c r="G245" s="94">
        <f>SUBTOTAL(103,Table23[Column6])</f>
        <v>28</v>
      </c>
    </row>
    <row r="246" spans="1:7" ht="15.5" x14ac:dyDescent="0.35">
      <c r="A246" s="7"/>
      <c r="B246" s="8"/>
      <c r="C246" s="9"/>
      <c r="D246" s="9"/>
      <c r="E246" s="9" t="s">
        <v>268</v>
      </c>
      <c r="F246" s="9"/>
      <c r="G246" s="9"/>
    </row>
  </sheetData>
  <mergeCells count="1">
    <mergeCell ref="A4:G4"/>
  </mergeCells>
  <pageMargins left="0.7" right="0.7" top="0.75" bottom="0.75" header="0.3" footer="0.3"/>
  <pageSetup paperSize="9" orientation="portrait"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workbookViewId="0"/>
  </sheetViews>
  <sheetFormatPr defaultColWidth="10.90625" defaultRowHeight="14.5" x14ac:dyDescent="0.35"/>
  <cols>
    <col min="1" max="1" width="17.81640625" bestFit="1" customWidth="1"/>
    <col min="2" max="2" width="12.1796875" bestFit="1" customWidth="1"/>
    <col min="3" max="3" width="16.81640625" bestFit="1" customWidth="1"/>
    <col min="4" max="4" width="15.6328125" bestFit="1" customWidth="1"/>
    <col min="5" max="5" width="14.6328125" bestFit="1" customWidth="1"/>
    <col min="6" max="6" width="17.6328125" bestFit="1" customWidth="1"/>
    <col min="7" max="7" width="17.36328125" bestFit="1" customWidth="1"/>
    <col min="8" max="8" width="15.1796875" bestFit="1" customWidth="1"/>
    <col min="9" max="9" width="18.1796875" bestFit="1" customWidth="1"/>
    <col min="10" max="10" width="15" bestFit="1" customWidth="1"/>
  </cols>
  <sheetData>
    <row r="1" spans="1:10" ht="26" x14ac:dyDescent="0.35">
      <c r="E1" s="100" t="s">
        <v>515</v>
      </c>
      <c r="F1" s="100"/>
    </row>
    <row r="3" spans="1:10" ht="15.5" x14ac:dyDescent="0.35">
      <c r="A3" s="15" t="s">
        <v>516</v>
      </c>
      <c r="B3" s="11" t="s">
        <v>517</v>
      </c>
      <c r="C3" s="11" t="s">
        <v>518</v>
      </c>
      <c r="D3" s="16" t="s">
        <v>519</v>
      </c>
      <c r="E3" s="15" t="s">
        <v>520</v>
      </c>
      <c r="F3" s="15" t="s">
        <v>521</v>
      </c>
      <c r="G3" s="15" t="s">
        <v>522</v>
      </c>
      <c r="H3" s="15" t="s">
        <v>523</v>
      </c>
      <c r="I3" s="15" t="s">
        <v>524</v>
      </c>
      <c r="J3" s="17" t="s">
        <v>525</v>
      </c>
    </row>
    <row r="4" spans="1:10" ht="21" x14ac:dyDescent="0.5">
      <c r="A4" s="18" t="s">
        <v>528</v>
      </c>
      <c r="B4" s="19">
        <v>19</v>
      </c>
      <c r="C4">
        <v>0</v>
      </c>
      <c r="D4" s="19">
        <v>19</v>
      </c>
      <c r="E4" s="20">
        <v>9</v>
      </c>
      <c r="F4">
        <f>Table556[[#This Row],[Presentes]]-Table556[[#This Row],[Admises '#]]</f>
        <v>10</v>
      </c>
      <c r="G4" s="21">
        <f>Table556[[#This Row],[Abandonee '#]]/Table556[[#This Row],[Insrites]]</f>
        <v>0</v>
      </c>
      <c r="H4" s="21">
        <f>Table556[[#This Row],[Admises '#]]/Table556[[#This Row],[Presentes]]</f>
        <v>0.47368421052631576</v>
      </c>
      <c r="I4" s="21">
        <f>Table556[[#This Row],[Non Admise '#]]/Table556[[#This Row],[Presentes]]</f>
        <v>0.52631578947368418</v>
      </c>
      <c r="J4" s="22"/>
    </row>
    <row r="5" spans="1:10" x14ac:dyDescent="0.35">
      <c r="A5" s="23" t="s">
        <v>535</v>
      </c>
      <c r="B5" s="24">
        <v>21</v>
      </c>
      <c r="C5">
        <v>2</v>
      </c>
      <c r="D5" s="24">
        <f>Table556[[#This Row],[Insrites]]-Table556[[#This Row],[Abandonee '#]]</f>
        <v>19</v>
      </c>
      <c r="E5" s="20">
        <v>6</v>
      </c>
      <c r="F5">
        <f>Table556[[#This Row],[Presentes]]-Table556[[#This Row],[Admises '#]]</f>
        <v>13</v>
      </c>
      <c r="G5" s="21">
        <f>Table556[[#This Row],[Abandonee '#]]/Table556[[#This Row],[Insrites]]</f>
        <v>9.5238095238095233E-2</v>
      </c>
      <c r="H5" s="21">
        <f>Table556[[#This Row],[Admises '#]]/Table556[[#This Row],[Presentes]]</f>
        <v>0.31578947368421051</v>
      </c>
      <c r="I5" s="21">
        <f>Table556[[#This Row],[Non Admise '#]]/Table556[[#This Row],[Presentes]]</f>
        <v>0.68421052631578949</v>
      </c>
    </row>
    <row r="6" spans="1:10" x14ac:dyDescent="0.35">
      <c r="A6" s="25" t="s">
        <v>536</v>
      </c>
      <c r="B6" s="19">
        <v>23</v>
      </c>
      <c r="C6">
        <v>0</v>
      </c>
      <c r="D6" s="19">
        <f>Table556[[#This Row],[Insrites]]-Table556[[#This Row],[Abandonee '#]]</f>
        <v>23</v>
      </c>
      <c r="E6" s="20">
        <v>11</v>
      </c>
      <c r="F6">
        <f>Table556[[#This Row],[Presentes]]-Table556[[#This Row],[Admises '#]]</f>
        <v>12</v>
      </c>
      <c r="G6" s="21">
        <f>Table556[[#This Row],[Abandonee '#]]/Table556[[#This Row],[Insrites]]</f>
        <v>0</v>
      </c>
      <c r="H6" s="21">
        <f>Table556[[#This Row],[Admises '#]]/Table556[[#This Row],[Presentes]]</f>
        <v>0.47826086956521741</v>
      </c>
      <c r="I6" s="21">
        <f>Table556[[#This Row],[Non Admise '#]]/Table556[[#This Row],[Presentes]]</f>
        <v>0.52173913043478259</v>
      </c>
    </row>
    <row r="7" spans="1:10" x14ac:dyDescent="0.35">
      <c r="A7" s="23" t="s">
        <v>538</v>
      </c>
      <c r="B7" s="24">
        <v>28</v>
      </c>
      <c r="C7">
        <v>0</v>
      </c>
      <c r="D7" s="24">
        <v>28</v>
      </c>
      <c r="E7" s="20">
        <v>10</v>
      </c>
      <c r="F7">
        <f>Table556[[#This Row],[Presentes]]-Table556[[#This Row],[Admises '#]]</f>
        <v>18</v>
      </c>
      <c r="G7" s="21">
        <f>Table556[[#This Row],[Abandonee '#]]/Table556[[#This Row],[Insrites]]</f>
        <v>0</v>
      </c>
      <c r="H7" s="21">
        <f>Table556[[#This Row],[Admises '#]]/Table556[[#This Row],[Presentes]]</f>
        <v>0.35714285714285715</v>
      </c>
      <c r="I7" s="21">
        <f>Table556[[#This Row],[Non Admise '#]]/Table556[[#This Row],[Presentes]]</f>
        <v>0.6428571428571429</v>
      </c>
    </row>
    <row r="8" spans="1:10" x14ac:dyDescent="0.35">
      <c r="A8" s="25" t="s">
        <v>413</v>
      </c>
      <c r="B8" s="19">
        <v>18</v>
      </c>
      <c r="C8">
        <v>2</v>
      </c>
      <c r="D8" s="19">
        <f>Table556[[#This Row],[Insrites]]-Table556[[#This Row],[Abandonee '#]]</f>
        <v>16</v>
      </c>
      <c r="E8" s="20">
        <v>8</v>
      </c>
      <c r="F8">
        <f>Table556[[#This Row],[Presentes]]-Table556[[#This Row],[Admises '#]]</f>
        <v>8</v>
      </c>
      <c r="G8" s="21">
        <f>Table556[[#This Row],[Abandonee '#]]/Table556[[#This Row],[Insrites]]</f>
        <v>0.1111111111111111</v>
      </c>
      <c r="H8" s="21">
        <f>Table556[[#This Row],[Admises '#]]/Table556[[#This Row],[Presentes]]</f>
        <v>0.5</v>
      </c>
      <c r="I8" s="21">
        <f>Table556[[#This Row],[Non Admise '#]]/Table556[[#This Row],[Presentes]]</f>
        <v>0.5</v>
      </c>
    </row>
    <row r="9" spans="1:10" x14ac:dyDescent="0.35">
      <c r="A9" s="25" t="s">
        <v>539</v>
      </c>
      <c r="B9" s="19">
        <v>30</v>
      </c>
      <c r="C9">
        <v>2</v>
      </c>
      <c r="D9" s="19">
        <v>28</v>
      </c>
      <c r="E9" s="20">
        <v>13</v>
      </c>
      <c r="F9">
        <f>Table556[[#This Row],[Presentes]]-Table556[[#This Row],[Admises '#]]</f>
        <v>15</v>
      </c>
      <c r="G9" s="21">
        <f>Table556[[#This Row],[Abandonee '#]]/Table556[[#This Row],[Insrites]]</f>
        <v>6.6666666666666666E-2</v>
      </c>
      <c r="H9" s="21">
        <f>Table556[[#This Row],[Admises '#]]/Table556[[#This Row],[Presentes]]</f>
        <v>0.4642857142857143</v>
      </c>
      <c r="I9" s="21">
        <f>Table556[[#This Row],[Non Admise '#]]/Table556[[#This Row],[Presentes]]</f>
        <v>0.5357142857142857</v>
      </c>
    </row>
    <row r="10" spans="1:10" x14ac:dyDescent="0.35">
      <c r="A10" s="25" t="s">
        <v>540</v>
      </c>
      <c r="B10" s="19">
        <v>25</v>
      </c>
      <c r="C10">
        <v>0</v>
      </c>
      <c r="D10" s="19">
        <v>25</v>
      </c>
      <c r="E10" s="20">
        <v>15</v>
      </c>
      <c r="F10">
        <f>Table556[[#This Row],[Presentes]]-Table556[[#This Row],[Admises '#]]</f>
        <v>10</v>
      </c>
      <c r="G10" s="21">
        <f>Table556[[#This Row],[Abandonee '#]]/Table556[[#This Row],[Insrites]]</f>
        <v>0</v>
      </c>
      <c r="H10" s="21">
        <f>Table556[[#This Row],[Admises '#]]/Table556[[#This Row],[Presentes]]</f>
        <v>0.6</v>
      </c>
      <c r="I10" s="21">
        <f>Table556[[#This Row],[Non Admise '#]]/Table556[[#This Row],[Presentes]]</f>
        <v>0.4</v>
      </c>
    </row>
    <row r="11" spans="1:10" x14ac:dyDescent="0.35">
      <c r="A11" s="26"/>
      <c r="B11" s="27">
        <f>SUBTOTAL(109,Table556[Insrites])</f>
        <v>164</v>
      </c>
      <c r="C11" s="27">
        <f>SUBTOTAL(109,Table556[Abandonee '#])</f>
        <v>6</v>
      </c>
      <c r="D11" s="27">
        <f>SUBTOTAL(109,Table556[Presentes])</f>
        <v>158</v>
      </c>
      <c r="E11" s="27">
        <f>SUBTOTAL(109,Table556[Admises '#])</f>
        <v>72</v>
      </c>
      <c r="F11" s="27">
        <f>SUBTOTAL(109,Table556[Non Admise '#])</f>
        <v>86</v>
      </c>
      <c r="G11" s="67">
        <f>Table556[[#Totals],[Abandonee '#]]/Table556[[#Totals],[Insrites]]</f>
        <v>3.6585365853658534E-2</v>
      </c>
      <c r="H11" s="28">
        <f>Table556[[#Totals],[Admises '#]]/Table556[[#Totals],[Presentes]]</f>
        <v>0.45569620253164556</v>
      </c>
      <c r="I11" s="28">
        <f>Table556[[#Totals],[Non Admise '#]]/Table556[[#Totals],[Presentes]]</f>
        <v>0.54430379746835444</v>
      </c>
      <c r="J11" s="27"/>
    </row>
    <row r="12" spans="1:10" ht="26" x14ac:dyDescent="0.35">
      <c r="A12" s="29"/>
      <c r="B12" s="29"/>
      <c r="C12" s="29"/>
      <c r="D12" s="29"/>
      <c r="E12" s="100" t="s">
        <v>526</v>
      </c>
      <c r="F12" s="100"/>
      <c r="G12" s="29"/>
      <c r="H12" s="29"/>
      <c r="I12" s="29"/>
      <c r="J12" s="29"/>
    </row>
    <row r="13" spans="1:10" ht="15.5" x14ac:dyDescent="0.35">
      <c r="A13" s="15" t="s">
        <v>516</v>
      </c>
      <c r="B13" s="11" t="s">
        <v>517</v>
      </c>
      <c r="C13" s="11" t="s">
        <v>518</v>
      </c>
      <c r="D13" s="16" t="s">
        <v>527</v>
      </c>
      <c r="E13" s="15" t="s">
        <v>520</v>
      </c>
      <c r="F13" s="15" t="s">
        <v>521</v>
      </c>
      <c r="G13" s="30" t="s">
        <v>522</v>
      </c>
      <c r="H13" s="15" t="s">
        <v>523</v>
      </c>
      <c r="I13" s="15" t="s">
        <v>524</v>
      </c>
      <c r="J13" s="17" t="s">
        <v>525</v>
      </c>
    </row>
    <row r="14" spans="1:10" ht="21" x14ac:dyDescent="0.5">
      <c r="A14" s="23" t="s">
        <v>541</v>
      </c>
      <c r="B14">
        <v>30</v>
      </c>
      <c r="C14">
        <v>0</v>
      </c>
      <c r="D14">
        <v>30</v>
      </c>
      <c r="E14">
        <v>8</v>
      </c>
      <c r="F14">
        <f>Table54[[#This Row],[Presentes '#]]-Table54[[#This Row],[Admises '#]]</f>
        <v>22</v>
      </c>
      <c r="G14" s="31">
        <f>Table54[[#This Row],[Abandonee '#]]/Table54[[#This Row],[Insrites]]</f>
        <v>0</v>
      </c>
      <c r="H14" s="31">
        <f>Table54[[#This Row],[Admises '#]]/Table54[[#This Row],[Presentes '#]]</f>
        <v>0.26666666666666666</v>
      </c>
      <c r="I14" s="31">
        <f>Table54[[#This Row],[Non Admise '#]]/Table54[[#This Row],[Presentes '#]]</f>
        <v>0.73333333333333328</v>
      </c>
      <c r="J14" s="22"/>
    </row>
    <row r="15" spans="1:10" x14ac:dyDescent="0.35">
      <c r="A15" s="23" t="s">
        <v>542</v>
      </c>
      <c r="B15">
        <v>31</v>
      </c>
      <c r="C15">
        <v>0</v>
      </c>
      <c r="D15">
        <v>31</v>
      </c>
      <c r="E15">
        <v>5</v>
      </c>
      <c r="F15">
        <f>Table54[[#This Row],[Presentes '#]]-Table54[[#This Row],[Admises '#]]</f>
        <v>26</v>
      </c>
      <c r="G15" s="31">
        <f>Table54[[#This Row],[Abandonee '#]]/Table54[[#This Row],[Insrites]]</f>
        <v>0</v>
      </c>
      <c r="H15" s="31">
        <f>Table54[[#This Row],[Admises '#]]/Table54[[#This Row],[Presentes '#]]</f>
        <v>0.16129032258064516</v>
      </c>
      <c r="I15" s="31">
        <f>Table54[[#This Row],[Non Admise '#]]/Table54[[#This Row],[Presentes '#]]</f>
        <v>0.83870967741935487</v>
      </c>
    </row>
    <row r="16" spans="1:10" x14ac:dyDescent="0.35">
      <c r="A16" s="23" t="s">
        <v>543</v>
      </c>
      <c r="B16">
        <v>17</v>
      </c>
      <c r="C16">
        <v>0</v>
      </c>
      <c r="D16">
        <v>17</v>
      </c>
      <c r="E16">
        <v>4</v>
      </c>
      <c r="F16">
        <f>Table54[[#This Row],[Presentes '#]]-Table54[[#This Row],[Admises '#]]</f>
        <v>13</v>
      </c>
      <c r="G16" s="31">
        <f>Table54[[#This Row],[Abandonee '#]]/Table54[[#This Row],[Insrites]]</f>
        <v>0</v>
      </c>
      <c r="H16" s="31">
        <f>Table54[[#This Row],[Admises '#]]/Table54[[#This Row],[Presentes '#]]</f>
        <v>0.23529411764705882</v>
      </c>
      <c r="I16" s="31">
        <f>Table54[[#This Row],[Non Admise '#]]/Table54[[#This Row],[Presentes '#]]</f>
        <v>0.76470588235294112</v>
      </c>
    </row>
    <row r="17" spans="1:10" x14ac:dyDescent="0.35">
      <c r="A17" s="23" t="s">
        <v>413</v>
      </c>
      <c r="B17">
        <v>33</v>
      </c>
      <c r="C17">
        <v>0</v>
      </c>
      <c r="D17">
        <v>33</v>
      </c>
      <c r="E17">
        <v>5</v>
      </c>
      <c r="F17">
        <f>Table54[[#This Row],[Presentes '#]]-Table54[[#This Row],[Admises '#]]</f>
        <v>28</v>
      </c>
      <c r="G17" s="31">
        <f>Table54[[#This Row],[Abandonee '#]]/Table54[[#This Row],[Insrites]]</f>
        <v>0</v>
      </c>
      <c r="H17" s="31">
        <f>Table54[[#This Row],[Admises '#]]/Table54[[#This Row],[Presentes '#]]</f>
        <v>0.15151515151515152</v>
      </c>
      <c r="I17" s="31">
        <f>Table54[[#This Row],[Non Admise '#]]/Table54[[#This Row],[Presentes '#]]</f>
        <v>0.84848484848484851</v>
      </c>
    </row>
    <row r="18" spans="1:10" x14ac:dyDescent="0.35">
      <c r="A18" s="23" t="s">
        <v>544</v>
      </c>
      <c r="B18">
        <v>18</v>
      </c>
      <c r="C18">
        <v>0</v>
      </c>
      <c r="D18">
        <v>18</v>
      </c>
      <c r="E18">
        <v>3</v>
      </c>
      <c r="F18">
        <f>Table54[[#This Row],[Presentes '#]]-Table54[[#This Row],[Admises '#]]</f>
        <v>15</v>
      </c>
      <c r="G18" s="31">
        <f>Table54[[#This Row],[Abandonee '#]]/Table54[[#This Row],[Insrites]]</f>
        <v>0</v>
      </c>
      <c r="H18" s="31">
        <f>Table54[[#This Row],[Admises '#]]/Table54[[#This Row],[Presentes '#]]</f>
        <v>0.16666666666666666</v>
      </c>
      <c r="I18" s="31">
        <f>Table54[[#This Row],[Non Admise '#]]/Table54[[#This Row],[Presentes '#]]</f>
        <v>0.83333333333333337</v>
      </c>
    </row>
    <row r="19" spans="1:10" x14ac:dyDescent="0.35">
      <c r="A19" s="23" t="s">
        <v>545</v>
      </c>
      <c r="B19">
        <v>26</v>
      </c>
      <c r="C19">
        <v>2</v>
      </c>
      <c r="D19">
        <v>24</v>
      </c>
      <c r="E19">
        <v>6</v>
      </c>
      <c r="F19">
        <f>Table54[[#This Row],[Presentes '#]]-Table54[[#This Row],[Admises '#]]</f>
        <v>18</v>
      </c>
      <c r="G19" s="31">
        <f>Table54[[#This Row],[Abandonee '#]]/Table54[[#This Row],[Insrites]]</f>
        <v>7.6923076923076927E-2</v>
      </c>
      <c r="H19" s="31">
        <f>Table54[[#This Row],[Admises '#]]/Table54[[#This Row],[Presentes '#]]</f>
        <v>0.25</v>
      </c>
      <c r="I19" s="31">
        <f>Table54[[#This Row],[Non Admise '#]]/Table54[[#This Row],[Presentes '#]]</f>
        <v>0.75</v>
      </c>
    </row>
    <row r="20" spans="1:10" ht="18.5" x14ac:dyDescent="0.35">
      <c r="A20" s="23" t="s">
        <v>535</v>
      </c>
      <c r="B20">
        <v>27</v>
      </c>
      <c r="C20">
        <v>0</v>
      </c>
      <c r="D20">
        <v>27</v>
      </c>
      <c r="E20">
        <v>5</v>
      </c>
      <c r="F20" s="32">
        <f>Table54[[#This Row],[Presentes '#]]-Table54[[#This Row],[Admises '#]]</f>
        <v>22</v>
      </c>
      <c r="G20" s="31">
        <f>Table54[[#This Row],[Abandonee '#]]/Table54[[#This Row],[Insrites]]</f>
        <v>0</v>
      </c>
      <c r="H20" s="33">
        <f>Table54[[#This Row],[Admises '#]]/Table54[[#This Row],[Presentes '#]]</f>
        <v>0.18518518518518517</v>
      </c>
      <c r="I20" s="34">
        <f>Table54[[#This Row],[Non Admise '#]]/Table54[[#This Row],[Presentes '#]]</f>
        <v>0.81481481481481477</v>
      </c>
      <c r="J20" s="29"/>
    </row>
    <row r="21" spans="1:10" ht="18.5" x14ac:dyDescent="0.35">
      <c r="A21" s="23" t="s">
        <v>539</v>
      </c>
      <c r="B21">
        <v>28</v>
      </c>
      <c r="C21">
        <v>0</v>
      </c>
      <c r="D21">
        <v>28</v>
      </c>
      <c r="E21">
        <v>13</v>
      </c>
      <c r="F21" s="32">
        <f>Table54[[#This Row],[Presentes '#]]-Table54[[#This Row],[Admises '#]]</f>
        <v>15</v>
      </c>
      <c r="G21" s="31">
        <f>Table54[[#This Row],[Abandonee '#]]/Table54[[#This Row],[Insrites]]</f>
        <v>0</v>
      </c>
      <c r="H21" s="33">
        <f>Table54[[#This Row],[Admises '#]]/Table54[[#This Row],[Presentes '#]]</f>
        <v>0.4642857142857143</v>
      </c>
      <c r="I21" s="34">
        <f>Table54[[#This Row],[Non Admise '#]]/Table54[[#This Row],[Presentes '#]]</f>
        <v>0.5357142857142857</v>
      </c>
      <c r="J21" s="29"/>
    </row>
    <row r="22" spans="1:10" x14ac:dyDescent="0.35">
      <c r="A22" s="26"/>
      <c r="B22" s="27">
        <f>SUBTOTAL(109,Table54[Insrites])</f>
        <v>210</v>
      </c>
      <c r="C22" s="27">
        <f>SUBTOTAL(109,Table54[Abandonee '#])</f>
        <v>2</v>
      </c>
      <c r="D22" s="27">
        <f>SUBTOTAL(109,Table54[Presentes '#])</f>
        <v>208</v>
      </c>
      <c r="E22" s="27">
        <f>SUBTOTAL(109,Table54[Admises '#])</f>
        <v>49</v>
      </c>
      <c r="F22" s="27">
        <f>SUBTOTAL(109,Table54[Non Admise '#])</f>
        <v>159</v>
      </c>
      <c r="G22" s="35">
        <f>Table54[[#Totals],[Abandonee '#]]/Table54[[#Totals],[Insrites]]</f>
        <v>9.5238095238095247E-3</v>
      </c>
      <c r="H22" s="35">
        <f>Table54[[#Totals],[Admises '#]]/Table54[[#Totals],[Presentes '#]]</f>
        <v>0.23557692307692307</v>
      </c>
      <c r="I22" s="35">
        <f>Table54[[#Totals],[Non Admise '#]]/Table54[[#Totals],[Presentes '#]]</f>
        <v>0.76442307692307687</v>
      </c>
      <c r="J22" s="27"/>
    </row>
  </sheetData>
  <mergeCells count="2">
    <mergeCell ref="E1:F1"/>
    <mergeCell ref="E12:F12"/>
  </mergeCell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CM1</vt:lpstr>
      <vt:lpstr>CM2</vt:lpstr>
      <vt:lpstr>CM1 &amp; CM2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LFF</dc:creator>
  <cp:lastModifiedBy>Meghan Gauthier</cp:lastModifiedBy>
  <dcterms:created xsi:type="dcterms:W3CDTF">2024-09-10T22:09:44Z</dcterms:created>
  <dcterms:modified xsi:type="dcterms:W3CDTF">2024-11-05T20:38:00Z</dcterms:modified>
</cp:coreProperties>
</file>