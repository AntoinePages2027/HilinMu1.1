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VENTION CM2" sheetId="1" r:id="rId4"/>
    <sheet state="visible" name="contrôleCM2" sheetId="2" r:id="rId5"/>
    <sheet state="visible" name="INTERVENTION CM1" sheetId="3" r:id="rId6"/>
    <sheet state="visible" name="contrôle CM1" sheetId="4" r:id="rId7"/>
    <sheet state="visible" name="Graphique des resultats" sheetId="5" r:id="rId8"/>
  </sheets>
  <definedNames>
    <definedName localSheetId="0" name="_GoBack">'INTERVENTION CM1'!#REF!</definedName>
  </definedNames>
  <calcPr/>
  <extLst>
    <ext uri="GoogleSheetsCustomDataVersion2">
      <go:sheetsCustomData xmlns:go="http://customooxmlschemas.google.com/" r:id="rId9" roundtripDataChecksum="JjI7rSMvwsYOLk8AegZ2r4W6BJ3jrO8/mVhCVjt7jRM="/>
    </ext>
  </extLst>
</workbook>
</file>

<file path=xl/sharedStrings.xml><?xml version="1.0" encoding="utf-8"?>
<sst xmlns="http://schemas.openxmlformats.org/spreadsheetml/2006/main" count="4631" uniqueCount="1266">
  <si>
    <t>REPUBLIQUE DU NIGER</t>
  </si>
  <si>
    <t>FRATERNITÉ - TRAVAIL - PROGRÈS</t>
  </si>
  <si>
    <t>REGION DE MARADI</t>
  </si>
  <si>
    <t xml:space="preserve">DIRECTION REGIONALE DE L'EDUCATION NATIONALE, </t>
  </si>
  <si>
    <t>DE L'ALPHABETISATION ET DE LA PROMOTION DES LANGUES</t>
  </si>
  <si>
    <t>IEPP DE SAE SABOUA</t>
  </si>
  <si>
    <t>Les données du programme Hilin Mu pour l'année 2025</t>
  </si>
  <si>
    <t>N°</t>
  </si>
  <si>
    <t>Noms et prénoms</t>
  </si>
  <si>
    <t>Date et lieu de naissance</t>
  </si>
  <si>
    <t>Ecoles</t>
  </si>
  <si>
    <t>Cours</t>
  </si>
  <si>
    <r>
      <rPr>
        <rFont val="Times New Roman"/>
        <b/>
        <color theme="1"/>
        <sz val="12.0"/>
      </rPr>
      <t>Moyenne 1</t>
    </r>
    <r>
      <rPr>
        <rFont val="Times New Roman"/>
        <b/>
        <color theme="1"/>
        <sz val="12.0"/>
        <vertAlign val="superscript"/>
      </rPr>
      <t>er</t>
    </r>
    <r>
      <rPr>
        <rFont val="Times New Roman"/>
        <b/>
        <color theme="1"/>
        <sz val="12.0"/>
      </rPr>
      <t xml:space="preserve"> trimestre</t>
    </r>
  </si>
  <si>
    <t>Moyenne 2 ème trimestre</t>
  </si>
  <si>
    <t>Moyenne du toisième trimestre</t>
  </si>
  <si>
    <t>Moyenne examen CFEPD pour Cm2</t>
  </si>
  <si>
    <t>Situation de passage redoublement exclusion</t>
  </si>
  <si>
    <t>Admise</t>
  </si>
  <si>
    <t>Redouble</t>
  </si>
  <si>
    <t>Abandon</t>
  </si>
  <si>
    <t>Décès et transfère</t>
  </si>
  <si>
    <t xml:space="preserve">Absia Hamissou </t>
  </si>
  <si>
    <t xml:space="preserve">2013 à M.Saboua </t>
  </si>
  <si>
    <t>M.Saboua</t>
  </si>
  <si>
    <t>CM2</t>
  </si>
  <si>
    <t>Anissa Sani</t>
  </si>
  <si>
    <t>2013 à M.Saboua</t>
  </si>
  <si>
    <t xml:space="preserve">CM2 </t>
  </si>
  <si>
    <t>Passe au CEG</t>
  </si>
  <si>
    <t xml:space="preserve">Aïcha Achirou </t>
  </si>
  <si>
    <t xml:space="preserve">M.Saboua </t>
  </si>
  <si>
    <t xml:space="preserve">Badaria yahaya </t>
  </si>
  <si>
    <t xml:space="preserve">2012 à Zakin Koima </t>
  </si>
  <si>
    <t xml:space="preserve">M. Saboua </t>
  </si>
  <si>
    <t>Moufida Oumarou</t>
  </si>
  <si>
    <t>2012 à M.Saboua</t>
  </si>
  <si>
    <t xml:space="preserve">Bassira Moussa </t>
  </si>
  <si>
    <t>//</t>
  </si>
  <si>
    <t>Charifa Idrissa</t>
  </si>
  <si>
    <t>Chamsia Iro</t>
  </si>
  <si>
    <t>2 ,07</t>
  </si>
  <si>
    <t xml:space="preserve">Fatouma Zara Mamane </t>
  </si>
  <si>
    <t xml:space="preserve">Fatima Abou </t>
  </si>
  <si>
    <t xml:space="preserve">2013 à Zakin Koima </t>
  </si>
  <si>
    <t>Azoumiya Souley</t>
  </si>
  <si>
    <t xml:space="preserve">Hanifa Souley </t>
  </si>
  <si>
    <t xml:space="preserve">2012 à M. Saboua </t>
  </si>
  <si>
    <t xml:space="preserve">Houela Hassan </t>
  </si>
  <si>
    <t xml:space="preserve">Kadija Aboubacar </t>
  </si>
  <si>
    <t>Bassira Yacouba</t>
  </si>
  <si>
    <t>Djamila Oumarou</t>
  </si>
  <si>
    <t>Harissa Bassirou</t>
  </si>
  <si>
    <t>Lamira Harouna</t>
  </si>
  <si>
    <t xml:space="preserve">Mourjanatou Mamane </t>
  </si>
  <si>
    <t xml:space="preserve">Marfou'a Chaibou </t>
  </si>
  <si>
    <t xml:space="preserve">2013 à M. Saboua </t>
  </si>
  <si>
    <t xml:space="preserve">Massa Ouda Idi </t>
  </si>
  <si>
    <t>Mabarouka Ayouba</t>
  </si>
  <si>
    <t>Nadia Maman</t>
  </si>
  <si>
    <t>Chaabiya Halilou</t>
  </si>
  <si>
    <t xml:space="preserve">Razida Abdoul Rachid </t>
  </si>
  <si>
    <t xml:space="preserve">Soueba Issoufou </t>
  </si>
  <si>
    <t>2013 à M. Sabou</t>
  </si>
  <si>
    <t xml:space="preserve">Nana Fatchima </t>
  </si>
  <si>
    <t xml:space="preserve">2012 à M.Saboua </t>
  </si>
  <si>
    <t>Najaatou Yahaya</t>
  </si>
  <si>
    <t xml:space="preserve">Yasmina Chaibou </t>
  </si>
  <si>
    <t xml:space="preserve">Yousra Hamza </t>
  </si>
  <si>
    <t xml:space="preserve">Zeinab Maarou </t>
  </si>
  <si>
    <t>Rakia Adamou</t>
  </si>
  <si>
    <t xml:space="preserve">2014 à M. Saboua </t>
  </si>
  <si>
    <t>CM3</t>
  </si>
  <si>
    <t>Houmaira Salissou</t>
  </si>
  <si>
    <t xml:space="preserve">2015 à M. Saboua </t>
  </si>
  <si>
    <t>CM4</t>
  </si>
  <si>
    <t>Zeinab Saidou</t>
  </si>
  <si>
    <t xml:space="preserve">Abida Hamza </t>
  </si>
  <si>
    <t xml:space="preserve">31/12/12 à Kadigaoua </t>
  </si>
  <si>
    <t xml:space="preserve">Kadigaoua </t>
  </si>
  <si>
    <t>Saiba Hamza</t>
  </si>
  <si>
    <t xml:space="preserve"> 01/01/11 à Alsawa</t>
  </si>
  <si>
    <t>CFM</t>
  </si>
  <si>
    <t xml:space="preserve">Aminatou Chiitou </t>
  </si>
  <si>
    <t xml:space="preserve">31/12/13 à Kadigaoua </t>
  </si>
  <si>
    <t xml:space="preserve">Bacharia Yacouba </t>
  </si>
  <si>
    <t>Hassana Saida</t>
  </si>
  <si>
    <t xml:space="preserve">  </t>
  </si>
  <si>
    <t xml:space="preserve">Karima Adamou </t>
  </si>
  <si>
    <t xml:space="preserve">Nana Firdaoussi Abdoul Aziz </t>
  </si>
  <si>
    <t xml:space="preserve">Redouble </t>
  </si>
  <si>
    <t xml:space="preserve">Nana Firdaoussi Malam Issaka </t>
  </si>
  <si>
    <t xml:space="preserve">Kadidja Moumouni </t>
  </si>
  <si>
    <t xml:space="preserve">Kadidja Saddi </t>
  </si>
  <si>
    <t>,7,11</t>
  </si>
  <si>
    <t xml:space="preserve">Nazifa chaibou </t>
  </si>
  <si>
    <t>Nazira Noura</t>
  </si>
  <si>
    <t xml:space="preserve">Ramatou Ousman </t>
  </si>
  <si>
    <t>Hamida Inoussa</t>
  </si>
  <si>
    <t xml:space="preserve">Salima Chiitou </t>
  </si>
  <si>
    <t xml:space="preserve">31/12/131 à Kadigaoua </t>
  </si>
  <si>
    <t xml:space="preserve">Safaraou Moumouni </t>
  </si>
  <si>
    <t xml:space="preserve">Ousseina Saidou </t>
  </si>
  <si>
    <t xml:space="preserve">Zahariya Nouhou </t>
  </si>
  <si>
    <t>Aïcha Achirou</t>
  </si>
  <si>
    <t xml:space="preserve">31/12/13 à Kadata </t>
  </si>
  <si>
    <t xml:space="preserve">Kadata </t>
  </si>
  <si>
    <t>ABS</t>
  </si>
  <si>
    <t>Charifa Sabiou</t>
  </si>
  <si>
    <t xml:space="preserve">31/12/12 à Kadata </t>
  </si>
  <si>
    <t>Hassana Abdoulmoumouni</t>
  </si>
  <si>
    <t>Badariya Yahaya</t>
  </si>
  <si>
    <t>Balkissa Zabeirou</t>
  </si>
  <si>
    <t>Bassira Garba</t>
  </si>
  <si>
    <t xml:space="preserve">Passe au CEG </t>
  </si>
  <si>
    <t>Chamsiya Garba</t>
  </si>
  <si>
    <t>Rdble</t>
  </si>
  <si>
    <t>Chamsiya Tassiou</t>
  </si>
  <si>
    <t>Chappa Tsahirou</t>
  </si>
  <si>
    <t>Charifa Tsahirou</t>
  </si>
  <si>
    <t>Fati Moustapha</t>
  </si>
  <si>
    <t>Fati Sani</t>
  </si>
  <si>
    <t>Fatsima Boukari</t>
  </si>
  <si>
    <t xml:space="preserve">Fatsima Mamane </t>
  </si>
  <si>
    <t>Fatma Aboubacar</t>
  </si>
  <si>
    <t>Habiba Boukari</t>
  </si>
  <si>
    <t>Hafsatou Aboubacar</t>
  </si>
  <si>
    <t>Safina Kabirou</t>
  </si>
  <si>
    <t>Passe AU CEG</t>
  </si>
  <si>
    <t>Maryam Atahir</t>
  </si>
  <si>
    <t>Latifa Abdoullahi</t>
  </si>
  <si>
    <t>Maâroufa Ayouba</t>
  </si>
  <si>
    <t>Samira Mamane</t>
  </si>
  <si>
    <t>Fiti Mamane</t>
  </si>
  <si>
    <t>Passe Au CEG</t>
  </si>
  <si>
    <t>Nisseifa Lawali</t>
  </si>
  <si>
    <t>Ousseina Abdoul Moumouni</t>
  </si>
  <si>
    <t>Rabila Abdoul Moumouni</t>
  </si>
  <si>
    <t>Chamsia Achirou</t>
  </si>
  <si>
    <t xml:space="preserve">Chamsia Saâdou </t>
  </si>
  <si>
    <t>Ramatou Achirou</t>
  </si>
  <si>
    <t>Mayya Maman</t>
  </si>
  <si>
    <t>Souéba Ayouba</t>
  </si>
  <si>
    <t>Yasmina Maman</t>
  </si>
  <si>
    <t xml:space="preserve">Aminatou Saidou </t>
  </si>
  <si>
    <t>01/01/12 à Souloubawa</t>
  </si>
  <si>
    <t>Oubandawaki Alfacha</t>
  </si>
  <si>
    <t> 4,96</t>
  </si>
  <si>
    <t>Amina Hamissou</t>
  </si>
  <si>
    <t> 5,32</t>
  </si>
  <si>
    <t>Balki Chaibou</t>
  </si>
  <si>
    <t> 5,89</t>
  </si>
  <si>
    <t>Barira Ibrahim</t>
  </si>
  <si>
    <t> 7,39</t>
  </si>
  <si>
    <t>Barira Chaibou</t>
  </si>
  <si>
    <t> 8,18</t>
  </si>
  <si>
    <t>Bassira Abdourahamane</t>
  </si>
  <si>
    <t>01/01/11 à Oubandawaki Alfacha</t>
  </si>
  <si>
    <t> 6,61</t>
  </si>
  <si>
    <t>Bassira Idi</t>
  </si>
  <si>
    <t> 2,57</t>
  </si>
  <si>
    <t>Bassira Salissou</t>
  </si>
  <si>
    <t> 3 ,71</t>
  </si>
  <si>
    <t>Farida Daouda</t>
  </si>
  <si>
    <t>01/01/12 à Oubandawaki Alfacha</t>
  </si>
  <si>
    <t>Firdaoussi Hamidou</t>
  </si>
  <si>
    <t>Nana Hadiza Ibrahim</t>
  </si>
  <si>
    <t> 5,79</t>
  </si>
  <si>
    <t>Amira Issoufou</t>
  </si>
  <si>
    <t> 5,86</t>
  </si>
  <si>
    <t>Malika Souley</t>
  </si>
  <si>
    <t> 5,61</t>
  </si>
  <si>
    <t>Massatoura Ibrahim</t>
  </si>
  <si>
    <t> 3,07</t>
  </si>
  <si>
    <t>Mariama Saidou</t>
  </si>
  <si>
    <t> 7,61</t>
  </si>
  <si>
    <t>Nana Farida Tsahirou</t>
  </si>
  <si>
    <t xml:space="preserve">01/01/11 à Tibiri </t>
  </si>
  <si>
    <t>8 </t>
  </si>
  <si>
    <t>Saymaou Saminou</t>
  </si>
  <si>
    <t>Zeinab Abdou</t>
  </si>
  <si>
    <t> 7,32</t>
  </si>
  <si>
    <t xml:space="preserve">Aïchatou Laouali </t>
  </si>
  <si>
    <t xml:space="preserve">01/01/2012 à Mountarou Barmo </t>
  </si>
  <si>
    <t xml:space="preserve">Mountarou Barmo </t>
  </si>
  <si>
    <t xml:space="preserve">Chamsia Ousseini </t>
  </si>
  <si>
    <t xml:space="preserve">Chapaàtou Tsayabou </t>
  </si>
  <si>
    <t xml:space="preserve">01/01/2013 à Mountarou Barmo </t>
  </si>
  <si>
    <t xml:space="preserve">Haouaou Moussa </t>
  </si>
  <si>
    <t xml:space="preserve">01/01/2011 à Mountarou Barmo </t>
  </si>
  <si>
    <t>Rahamatou Rabiou</t>
  </si>
  <si>
    <t>Ramatou Ousseini</t>
  </si>
  <si>
    <t>Assamaou Abdou</t>
  </si>
  <si>
    <t>Roufaida Saidou</t>
  </si>
  <si>
    <t>Souraya Aboubacar</t>
  </si>
  <si>
    <t xml:space="preserve">Hassana Moussa </t>
  </si>
  <si>
    <t xml:space="preserve">Khadidja Malam Abdou </t>
  </si>
  <si>
    <t xml:space="preserve">Khadidja Sani </t>
  </si>
  <si>
    <t>Madiha Zayya</t>
  </si>
  <si>
    <t xml:space="preserve">Massaouda Nouhou </t>
  </si>
  <si>
    <t xml:space="preserve">Nazifa Souley </t>
  </si>
  <si>
    <t xml:space="preserve">01/01/2014 à Mountarou Barmo </t>
  </si>
  <si>
    <t xml:space="preserve">Oumaïra Rabiou </t>
  </si>
  <si>
    <t xml:space="preserve">Rayanatou Moussa </t>
  </si>
  <si>
    <t>Bassira Samaila</t>
  </si>
  <si>
    <t xml:space="preserve">Sahanatou Aboubacar </t>
  </si>
  <si>
    <t xml:space="preserve">Roumaissaou OUMAROU </t>
  </si>
  <si>
    <t xml:space="preserve">01/01/12 à Kountarou mairairai </t>
  </si>
  <si>
    <t xml:space="preserve">Kountarou mairairai </t>
  </si>
  <si>
    <t xml:space="preserve">Assia Oumarou </t>
  </si>
  <si>
    <t xml:space="preserve">01/10/12 à Kountarou mairairai </t>
  </si>
  <si>
    <t>ANIFA Abdoul Malik</t>
  </si>
  <si>
    <t xml:space="preserve">2013 à Kountarou mairairai </t>
  </si>
  <si>
    <t xml:space="preserve">Yassimina moutari </t>
  </si>
  <si>
    <t xml:space="preserve">2012 à Kountarou mairairai </t>
  </si>
  <si>
    <t>habsatou Garba</t>
  </si>
  <si>
    <t xml:space="preserve">Kountarou mairairai Kountrou mairairai </t>
  </si>
  <si>
    <t>Zahara Abdou Rahamane</t>
  </si>
  <si>
    <t xml:space="preserve">Soumaya NASSIROU </t>
  </si>
  <si>
    <t xml:space="preserve">Zeinabou Mamane </t>
  </si>
  <si>
    <t xml:space="preserve">Kountrou mairairai </t>
  </si>
  <si>
    <t xml:space="preserve">MONSSOURA LAOUALI </t>
  </si>
  <si>
    <t xml:space="preserve">Mariama Garba </t>
  </si>
  <si>
    <t xml:space="preserve">2012 à kountarou mairairai </t>
  </si>
  <si>
    <t xml:space="preserve">Oubeida Abdou </t>
  </si>
  <si>
    <t xml:space="preserve">Mariama Adamou </t>
  </si>
  <si>
    <t xml:space="preserve">CM2 CM2 </t>
  </si>
  <si>
    <t xml:space="preserve">Soubeila Boukari </t>
  </si>
  <si>
    <t xml:space="preserve">CHOUKOURIA  yazid </t>
  </si>
  <si>
    <t xml:space="preserve">2012 à Kou2013airai </t>
  </si>
  <si>
    <t>Haouaou Adamou</t>
  </si>
  <si>
    <t xml:space="preserve">Kountrou </t>
  </si>
  <si>
    <t>1, 2</t>
  </si>
  <si>
    <t xml:space="preserve"> Aissara laouali </t>
  </si>
  <si>
    <t xml:space="preserve">Amira Aboubacar </t>
  </si>
  <si>
    <t>Fati Abdou</t>
  </si>
  <si>
    <t>Houmaira Abdoul Malik</t>
  </si>
  <si>
    <t xml:space="preserve">2013 à Kountarou </t>
  </si>
  <si>
    <t>Mansoura Laouali</t>
  </si>
  <si>
    <t xml:space="preserve">2012 à Kountarou </t>
  </si>
  <si>
    <t xml:space="preserve">Sahiba Tsayabou </t>
  </si>
  <si>
    <t xml:space="preserve">2013 à kountarou mairairai </t>
  </si>
  <si>
    <t>Habsita Harouna</t>
  </si>
  <si>
    <t xml:space="preserve">latifa Issaka </t>
  </si>
  <si>
    <t>CM2CM2</t>
  </si>
  <si>
    <t>Wassila Mani</t>
  </si>
  <si>
    <t xml:space="preserve">hafiza OUMAROU </t>
  </si>
  <si>
    <t>3.65</t>
  </si>
  <si>
    <t xml:space="preserve">Kadidja Adamou </t>
  </si>
  <si>
    <t>Saida Garba</t>
  </si>
  <si>
    <t>Mourja Issaka</t>
  </si>
  <si>
    <t xml:space="preserve">2014 à kountarou mairairai </t>
  </si>
  <si>
    <t>Kalifa Boubacar</t>
  </si>
  <si>
    <t xml:space="preserve">2015 à kountarou mairairai </t>
  </si>
  <si>
    <t>Choukouria Ammani</t>
  </si>
  <si>
    <t xml:space="preserve">2016 à kountarou mairairai </t>
  </si>
  <si>
    <t xml:space="preserve">2017 à kountarou mairairai </t>
  </si>
  <si>
    <t>Faouzia Ali</t>
  </si>
  <si>
    <t xml:space="preserve">2018 à kountarou mairairai </t>
  </si>
  <si>
    <t>Zeinab Seydou</t>
  </si>
  <si>
    <t xml:space="preserve">2019 à kountarou mairairai </t>
  </si>
  <si>
    <t>Darajatou Sani</t>
  </si>
  <si>
    <t xml:space="preserve">Bouchara Souley </t>
  </si>
  <si>
    <t>Hindatou Ali</t>
  </si>
  <si>
    <t>Aminatou Abdou</t>
  </si>
  <si>
    <t>2012 à Barouana</t>
  </si>
  <si>
    <t>Barouana</t>
  </si>
  <si>
    <t>Zoubeida Hamissou</t>
  </si>
  <si>
    <t>Charifa Ibrahim</t>
  </si>
  <si>
    <t>2012à Barouana</t>
  </si>
  <si>
    <t>Assamaou Hassan</t>
  </si>
  <si>
    <t>Fatiha Illiyassou</t>
  </si>
  <si>
    <t>Mardiya Ousseini</t>
  </si>
  <si>
    <t>/</t>
  </si>
  <si>
    <t>Transférée</t>
  </si>
  <si>
    <t>Soueba Almou</t>
  </si>
  <si>
    <t>Rafi'a Illa</t>
  </si>
  <si>
    <t>Chamsiya Sanoussi</t>
  </si>
  <si>
    <t>Firdaoussi Halilou</t>
  </si>
  <si>
    <t>Laritou Abdou</t>
  </si>
  <si>
    <t>Rayya Abdou</t>
  </si>
  <si>
    <t>Aissara Tsayabou</t>
  </si>
  <si>
    <t>Firdaoussi Harouna</t>
  </si>
  <si>
    <t>Zeinabou Almou</t>
  </si>
  <si>
    <t>Soumaya Aboubacar</t>
  </si>
  <si>
    <t>2012 à Hilin Kai</t>
  </si>
  <si>
    <t>Barira Abdou</t>
  </si>
  <si>
    <t>Ousseina Harouna</t>
  </si>
  <si>
    <t>Aïcha Issaka</t>
  </si>
  <si>
    <t>Aziza Oumarou</t>
  </si>
  <si>
    <t>Balki Saminou</t>
  </si>
  <si>
    <t>Fatchima Abdou</t>
  </si>
  <si>
    <t>Haouaou Saadou</t>
  </si>
  <si>
    <t>Malika Oumarou</t>
  </si>
  <si>
    <t>Mariama Sanoussi</t>
  </si>
  <si>
    <t>Mabarouka Ousmane</t>
  </si>
  <si>
    <t>Oumeira Almou</t>
  </si>
  <si>
    <t>Rabila Illa</t>
  </si>
  <si>
    <t>Saïda Sani</t>
  </si>
  <si>
    <t>Zina Harouna</t>
  </si>
  <si>
    <t>Kadidja Salissou</t>
  </si>
  <si>
    <t>Nadia Illa</t>
  </si>
  <si>
    <t>Hadiza Saminou</t>
  </si>
  <si>
    <t>2012à Hilin Kai</t>
  </si>
  <si>
    <t>Baraatou Issaka</t>
  </si>
  <si>
    <t>Samira Manirou</t>
  </si>
  <si>
    <t>Mariayama Hachimou</t>
  </si>
  <si>
    <t>Hakima Illiassou</t>
  </si>
  <si>
    <t>Chappa Bahari</t>
  </si>
  <si>
    <t>Mariya Abdou</t>
  </si>
  <si>
    <t>Saé Saboua CM2 Intervention</t>
  </si>
  <si>
    <t>Total inscrit</t>
  </si>
  <si>
    <t>Passe 6ème</t>
  </si>
  <si>
    <t>Redouble CM2</t>
  </si>
  <si>
    <t>Nombre d'abandon</t>
  </si>
  <si>
    <t>Taux de transition secondaire (passage en 6ème )</t>
  </si>
  <si>
    <t>Taux d'abandon</t>
  </si>
  <si>
    <t>Taux de rédoublement</t>
  </si>
  <si>
    <t>Situation des filles du CM1 et du CM2 des écoles témoins LFF</t>
  </si>
  <si>
    <t>Ecole de Dan gara</t>
  </si>
  <si>
    <r>
      <rPr>
        <rFont val="Times New Roman"/>
        <b/>
        <color rgb="FF000000"/>
        <sz val="11.0"/>
      </rPr>
      <t>Moyenne 1</t>
    </r>
    <r>
      <rPr>
        <rFont val="Times New Roman"/>
        <b/>
        <color rgb="FF000000"/>
        <sz val="11.0"/>
        <vertAlign val="superscript"/>
      </rPr>
      <t>er</t>
    </r>
    <r>
      <rPr>
        <rFont val="Times New Roman"/>
        <b/>
        <color rgb="FF000000"/>
        <sz val="11.0"/>
      </rPr>
      <t xml:space="preserve"> trimestre</t>
    </r>
  </si>
  <si>
    <t>Moyenne 2er trimestre</t>
  </si>
  <si>
    <t xml:space="preserve">Amira Laouali </t>
  </si>
  <si>
    <t xml:space="preserve">01/01/11 á Dan Gara </t>
  </si>
  <si>
    <t xml:space="preserve">Dan Gara </t>
  </si>
  <si>
    <t> 2,54</t>
  </si>
  <si>
    <t xml:space="preserve">CFM </t>
  </si>
  <si>
    <t xml:space="preserve">Badariya Moussa </t>
  </si>
  <si>
    <t xml:space="preserve">1/01/12 à Dan Gara </t>
  </si>
  <si>
    <t> 1,57</t>
  </si>
  <si>
    <t xml:space="preserve">Charifa Abdoul Karim </t>
  </si>
  <si>
    <t> 2,14</t>
  </si>
  <si>
    <t xml:space="preserve">Choukouriya Issaka </t>
  </si>
  <si>
    <t xml:space="preserve">01/01/12 à Dan Gara </t>
  </si>
  <si>
    <t> 3,71</t>
  </si>
  <si>
    <t xml:space="preserve">Haouaou Adamou </t>
  </si>
  <si>
    <t> 2,04</t>
  </si>
  <si>
    <t xml:space="preserve">Hassira Siradji </t>
  </si>
  <si>
    <t> 3,14</t>
  </si>
  <si>
    <t xml:space="preserve">Hannatou Moussa </t>
  </si>
  <si>
    <t xml:space="preserve">1/01/12 a Dan Gara Saboua </t>
  </si>
  <si>
    <t> 3,36</t>
  </si>
  <si>
    <t>Bassira Sani</t>
  </si>
  <si>
    <t xml:space="preserve">01/01/11 à Dan Gara </t>
  </si>
  <si>
    <t>Abondon</t>
  </si>
  <si>
    <t>Rablatou Sani</t>
  </si>
  <si>
    <t xml:space="preserve">Maraliya Sani </t>
  </si>
  <si>
    <t xml:space="preserve">Admise </t>
  </si>
  <si>
    <t xml:space="preserve">Maimouna Issaka </t>
  </si>
  <si>
    <t xml:space="preserve">Aoubeida Abou </t>
  </si>
  <si>
    <t>Nisseifa Idi</t>
  </si>
  <si>
    <t> 4,68</t>
  </si>
  <si>
    <t xml:space="preserve">Mariama Bassirou </t>
  </si>
  <si>
    <t xml:space="preserve">Rakiya Saminou </t>
  </si>
  <si>
    <t>Salamatou Ali</t>
  </si>
  <si>
    <t> 4,51</t>
  </si>
  <si>
    <t xml:space="preserve">Salamatou Issoufou </t>
  </si>
  <si>
    <t> //</t>
  </si>
  <si>
    <t xml:space="preserve">Siyama Ibrahim </t>
  </si>
  <si>
    <t xml:space="preserve">01/01/12 à Dan Gara Saboua </t>
  </si>
  <si>
    <t> 3,82</t>
  </si>
  <si>
    <t xml:space="preserve">Soumayya Massaoudou </t>
  </si>
  <si>
    <t> 4,11</t>
  </si>
  <si>
    <t xml:space="preserve">Saadiya Issoufou </t>
  </si>
  <si>
    <t xml:space="preserve">01/01/11 à Dan Gara Saboua </t>
  </si>
  <si>
    <t> 3,68</t>
  </si>
  <si>
    <t xml:space="preserve">Balkissa Hamissou </t>
  </si>
  <si>
    <t xml:space="preserve">01/01/12/à Dan Gara </t>
  </si>
  <si>
    <t xml:space="preserve">Bassira Laouali </t>
  </si>
  <si>
    <t>Chamsia Gambo</t>
  </si>
  <si>
    <t>Fa'za Abdourahamane</t>
  </si>
  <si>
    <t> 1,79</t>
  </si>
  <si>
    <t xml:space="preserve">Choukouriya Sani </t>
  </si>
  <si>
    <t xml:space="preserve">1, 20 </t>
  </si>
  <si>
    <t> 2,25</t>
  </si>
  <si>
    <t xml:space="preserve">Choukouriya Abdoul Karim </t>
  </si>
  <si>
    <t> 1,66</t>
  </si>
  <si>
    <t xml:space="preserve">Faouzia Abdoul Karim </t>
  </si>
  <si>
    <t> 5,14</t>
  </si>
  <si>
    <t>Farida Chaibou</t>
  </si>
  <si>
    <t> 6,32</t>
  </si>
  <si>
    <t xml:space="preserve">Ikilima Ibrahim </t>
  </si>
  <si>
    <t xml:space="preserve">Mariama Moustapha </t>
  </si>
  <si>
    <t> 3,04</t>
  </si>
  <si>
    <t xml:space="preserve">Nazifa Moussa </t>
  </si>
  <si>
    <t xml:space="preserve">Najaatou Ibrahim </t>
  </si>
  <si>
    <t> ABS</t>
  </si>
  <si>
    <t xml:space="preserve">Oumma Sabiou </t>
  </si>
  <si>
    <t> 5,46</t>
  </si>
  <si>
    <t>Rachida Harouna</t>
  </si>
  <si>
    <t> 2,64</t>
  </si>
  <si>
    <t xml:space="preserve">Roukaya Ibrahim </t>
  </si>
  <si>
    <t xml:space="preserve">01/01/12 a Dan Gara </t>
  </si>
  <si>
    <t> 3,54</t>
  </si>
  <si>
    <t>Silbia Chaibou</t>
  </si>
  <si>
    <t> 6,71</t>
  </si>
  <si>
    <t>Sahiba Hamissou</t>
  </si>
  <si>
    <t> 3,86</t>
  </si>
  <si>
    <t xml:space="preserve">Walida Sale </t>
  </si>
  <si>
    <t> 5,00</t>
  </si>
  <si>
    <t xml:space="preserve">Nazifa Abou </t>
  </si>
  <si>
    <t xml:space="preserve">01/01/12 a Dan Gara Saboua </t>
  </si>
  <si>
    <t> 1,32</t>
  </si>
  <si>
    <t>Ecole de Tsanna Publique</t>
  </si>
  <si>
    <r>
      <rPr>
        <rFont val="Times New Roman"/>
        <b/>
        <color theme="1"/>
        <sz val="11.0"/>
        <u/>
      </rPr>
      <t>Classe CM2</t>
    </r>
    <r>
      <rPr>
        <rFont val="Times New Roman"/>
        <b/>
        <color theme="1"/>
        <sz val="11.0"/>
        <u/>
        <vertAlign val="superscript"/>
      </rPr>
      <t xml:space="preserve"> </t>
    </r>
  </si>
  <si>
    <r>
      <rPr>
        <rFont val="Times New Roman"/>
        <b/>
        <color theme="1"/>
        <sz val="11.0"/>
      </rPr>
      <t>Moyenne 1</t>
    </r>
    <r>
      <rPr>
        <rFont val="Times New Roman"/>
        <b/>
        <color theme="1"/>
        <sz val="11.0"/>
        <vertAlign val="superscript"/>
      </rPr>
      <t>er</t>
    </r>
    <r>
      <rPr>
        <rFont val="Times New Roman"/>
        <b/>
        <color theme="1"/>
        <sz val="11.0"/>
      </rPr>
      <t xml:space="preserve"> trimestre</t>
    </r>
  </si>
  <si>
    <r>
      <rPr>
        <rFont val="Times New Roman"/>
        <b/>
        <color theme="1"/>
        <sz val="11.0"/>
      </rPr>
      <t>Moyenne 2</t>
    </r>
    <r>
      <rPr>
        <rFont val="Times New Roman"/>
        <b/>
        <color theme="1"/>
        <sz val="11.0"/>
        <vertAlign val="superscript"/>
      </rPr>
      <t>ème</t>
    </r>
    <r>
      <rPr>
        <rFont val="Times New Roman"/>
        <b/>
        <color theme="1"/>
        <sz val="11.0"/>
      </rPr>
      <t xml:space="preserve"> trimestre</t>
    </r>
  </si>
  <si>
    <t>Moyenne du troisième trimestre</t>
  </si>
  <si>
    <t xml:space="preserve">Soueba Moumouni </t>
  </si>
  <si>
    <t xml:space="preserve">31/12/2012 à Tsanna </t>
  </si>
  <si>
    <t xml:space="preserve">Tsanna publique </t>
  </si>
  <si>
    <t xml:space="preserve">Fati Harouna </t>
  </si>
  <si>
    <t>Khadija Mamoudou</t>
  </si>
  <si>
    <t>Tsanna publique</t>
  </si>
  <si>
    <t xml:space="preserve">Mariama Laouali </t>
  </si>
  <si>
    <t xml:space="preserve">Moufida Illia </t>
  </si>
  <si>
    <t xml:space="preserve">Mariama Ibrahim </t>
  </si>
  <si>
    <t xml:space="preserve">Nana Nabila Salissou </t>
  </si>
  <si>
    <t>Nazifa Mamoudou</t>
  </si>
  <si>
    <t>31/12/2012 à Tsanna</t>
  </si>
  <si>
    <t>Rachida Adamou</t>
  </si>
  <si>
    <t xml:space="preserve">Zeinabou Laouali </t>
  </si>
  <si>
    <t xml:space="preserve">31/12/2012 à Tsanna. </t>
  </si>
  <si>
    <t>.</t>
  </si>
  <si>
    <t xml:space="preserve">Ecole de Karhin Hali </t>
  </si>
  <si>
    <r>
      <rPr>
        <rFont val="Times New Roman"/>
        <b/>
        <color rgb="FF000000"/>
        <sz val="12.0"/>
      </rPr>
      <t>Moyenne 1</t>
    </r>
    <r>
      <rPr>
        <rFont val="Times New Roman"/>
        <b/>
        <color rgb="FF000000"/>
        <sz val="12.0"/>
        <vertAlign val="superscript"/>
      </rPr>
      <t>er</t>
    </r>
    <r>
      <rPr>
        <rFont val="Times New Roman"/>
        <b/>
        <color rgb="FF000000"/>
        <sz val="12.0"/>
      </rPr>
      <t xml:space="preserve"> trimestre</t>
    </r>
  </si>
  <si>
    <t>Amara Amadou</t>
  </si>
  <si>
    <t>01/01/2013 á Karhin Hali</t>
  </si>
  <si>
    <t>Karhin Hali</t>
  </si>
  <si>
    <t>C M2</t>
  </si>
  <si>
    <t>5 </t>
  </si>
  <si>
    <t>Badaria Rabiou</t>
  </si>
  <si>
    <t> 5,21</t>
  </si>
  <si>
    <t>Badia Yaou</t>
  </si>
  <si>
    <t>01/01/2012 á Karhin Hali</t>
  </si>
  <si>
    <t> 4,56</t>
  </si>
  <si>
    <t xml:space="preserve">Chamsia Mansour </t>
  </si>
  <si>
    <t>01/01/2012 á Guidan Kaoura</t>
  </si>
  <si>
    <t> 3,53</t>
  </si>
  <si>
    <t>Fatchima Mahamadou</t>
  </si>
  <si>
    <t>4,57 </t>
  </si>
  <si>
    <t>Fatiha Kabirou</t>
  </si>
  <si>
    <t>5,35 </t>
  </si>
  <si>
    <t>Hanafia Issaka</t>
  </si>
  <si>
    <t> 3,60</t>
  </si>
  <si>
    <t>Kadija Amadou</t>
  </si>
  <si>
    <t>2,17 </t>
  </si>
  <si>
    <t>Kadija Alkasoum</t>
  </si>
  <si>
    <t> 3,39</t>
  </si>
  <si>
    <t>Kalifa Sanoussi</t>
  </si>
  <si>
    <t> 5,04</t>
  </si>
  <si>
    <t>Lantana Gali</t>
  </si>
  <si>
    <t> 6,64</t>
  </si>
  <si>
    <t>Lantana Sani</t>
  </si>
  <si>
    <t> 3,64</t>
  </si>
  <si>
    <t>Maaroufa Moussa</t>
  </si>
  <si>
    <t>01/01/2013 á Guidan Kaoura</t>
  </si>
  <si>
    <t> 2,89</t>
  </si>
  <si>
    <t>Manira Almou</t>
  </si>
  <si>
    <t>1,53 </t>
  </si>
  <si>
    <t>Maraliya Issoufou 1</t>
  </si>
  <si>
    <t> 4,53</t>
  </si>
  <si>
    <t>Maraliya Issoufou 2</t>
  </si>
  <si>
    <t> 5,07</t>
  </si>
  <si>
    <t>Mariama Haladou</t>
  </si>
  <si>
    <t xml:space="preserve">Nana Mariama </t>
  </si>
  <si>
    <t>Massaoula Sani</t>
  </si>
  <si>
    <t> 6,42</t>
  </si>
  <si>
    <t>Nadia Chaïbou</t>
  </si>
  <si>
    <t> 4,21</t>
  </si>
  <si>
    <t>Nadia Oumarou</t>
  </si>
  <si>
    <t> 3,78</t>
  </si>
  <si>
    <t>Nana Farida Samaïla</t>
  </si>
  <si>
    <t>01/01/2012 á Atchida Kofato</t>
  </si>
  <si>
    <t> 6,14</t>
  </si>
  <si>
    <t>Oumeima Maâzou</t>
  </si>
  <si>
    <t>Rakia Abdou</t>
  </si>
  <si>
    <t xml:space="preserve">Ramlatou Soufianou </t>
  </si>
  <si>
    <t>Saâdiya Almou</t>
  </si>
  <si>
    <t> 3,79</t>
  </si>
  <si>
    <t xml:space="preserve">Safiya Halidou </t>
  </si>
  <si>
    <t> 1,96</t>
  </si>
  <si>
    <t>Yasmina Mamane</t>
  </si>
  <si>
    <t> 1,64</t>
  </si>
  <si>
    <t>Zaraou Rabiou</t>
  </si>
  <si>
    <t>01/01/2012 á Barouana</t>
  </si>
  <si>
    <t>Zaharaou Salissou</t>
  </si>
  <si>
    <t>0,67 </t>
  </si>
  <si>
    <t>Zalika Zabeirou</t>
  </si>
  <si>
    <t>3,28 </t>
  </si>
  <si>
    <t>Zeinab Laouali</t>
  </si>
  <si>
    <t>0,82 </t>
  </si>
  <si>
    <t xml:space="preserve">Yan doto Garin Malam  CM2  </t>
  </si>
  <si>
    <t>Badaria Yaou</t>
  </si>
  <si>
    <t>2012 à Yan doto Garin Malam</t>
  </si>
  <si>
    <t>Yan doto Garin Malam</t>
  </si>
  <si>
    <t>Redouble le CM2</t>
  </si>
  <si>
    <t>Fatsima Tsahirou</t>
  </si>
  <si>
    <t>2013 à Yan doto Garin Malam</t>
  </si>
  <si>
    <t>Yan doto Garin</t>
  </si>
  <si>
    <t xml:space="preserve">Fatima Tsahirou </t>
  </si>
  <si>
    <t>Fatchima Souleymane</t>
  </si>
  <si>
    <t>Hawaou Abdou Raouf</t>
  </si>
  <si>
    <t>Mabarouka Baraou</t>
  </si>
  <si>
    <t>Massaouda Yacouba</t>
  </si>
  <si>
    <t>30/10/2011 à Yan doto Garin Malam</t>
  </si>
  <si>
    <t>Nana Malika Alka</t>
  </si>
  <si>
    <t>01/11//2012 à Yan doto Garin Malam</t>
  </si>
  <si>
    <t>Roufaida Hakibou</t>
  </si>
  <si>
    <t>Wassila Mamoudou</t>
  </si>
  <si>
    <t>15/12/2012 à Yan doto Garin Malam</t>
  </si>
  <si>
    <t>Najaâtou Idrissa</t>
  </si>
  <si>
    <t>Najaâtou Maâroufi</t>
  </si>
  <si>
    <t>Oumal khair Idrissa</t>
  </si>
  <si>
    <t>Salima Yaou</t>
  </si>
  <si>
    <t>Salima Saïdou</t>
  </si>
  <si>
    <t>Saâdiya Salissou</t>
  </si>
  <si>
    <t>Safia Amadou</t>
  </si>
  <si>
    <t>Zeinab Tsahirou</t>
  </si>
  <si>
    <t xml:space="preserve">Zeinabou Abou </t>
  </si>
  <si>
    <t>Zoulaha Abou</t>
  </si>
  <si>
    <t>01/01/2013 à Indoto</t>
  </si>
  <si>
    <t>Bachariya Ayouba</t>
  </si>
  <si>
    <t>2011 à Yan doto Garin Malam</t>
  </si>
  <si>
    <t>Chamsia Abdourahaman</t>
  </si>
  <si>
    <t>Massaouda Ali</t>
  </si>
  <si>
    <t>10/03/2011 à Yan doto Garin Malam</t>
  </si>
  <si>
    <t>Badariya Abdou Illa</t>
  </si>
  <si>
    <t>Souraya Aminou</t>
  </si>
  <si>
    <t>Nana Hadiza Saminou</t>
  </si>
  <si>
    <t>27/10/2011 à Yan doto Garin Malam</t>
  </si>
  <si>
    <t>Massaouda Halarou</t>
  </si>
  <si>
    <t>6 ,68</t>
  </si>
  <si>
    <t>Na'ima Mani</t>
  </si>
  <si>
    <t>Saratou Illiassou</t>
  </si>
  <si>
    <t>29/08/2011 à Yan doto Garin Malam</t>
  </si>
  <si>
    <t>Nana Khadija Amadou</t>
  </si>
  <si>
    <t>Hafiza Mamoudou</t>
  </si>
  <si>
    <t>Mata Milki CM2</t>
  </si>
  <si>
    <t>FAOUZIA IBRAHIM</t>
  </si>
  <si>
    <t>2012 à Mata Milki</t>
  </si>
  <si>
    <t>Mata Milki</t>
  </si>
  <si>
    <t>MARLIYA YAHAYA</t>
  </si>
  <si>
    <t>2011à Mata Milki</t>
  </si>
  <si>
    <t>FADILA LAOUALI</t>
  </si>
  <si>
    <t>BADARIA TSAHIROU</t>
  </si>
  <si>
    <t>MOUHOUSNA BARAOU</t>
  </si>
  <si>
    <t>2013 à Mata Milki</t>
  </si>
  <si>
    <t>ACHATOU NOUHOU</t>
  </si>
  <si>
    <t>SAKINA CHITTOU</t>
  </si>
  <si>
    <t>OUMAIMA BOUKARI</t>
  </si>
  <si>
    <t>2011 à Mata Milki</t>
  </si>
  <si>
    <t>4;55</t>
  </si>
  <si>
    <t>OUMAIRA HABIBOU</t>
  </si>
  <si>
    <t>FAOUZIA ISSOUFOU</t>
  </si>
  <si>
    <t>ANIFA ISSAKA</t>
  </si>
  <si>
    <t>2013 àMata Milki</t>
  </si>
  <si>
    <t>ASSAMAOU ABDOULKARIM</t>
  </si>
  <si>
    <t>FAIZA BALLA</t>
  </si>
  <si>
    <t>Soumaya Oumarou</t>
  </si>
  <si>
    <t>01/01/2014 à Alsawa</t>
  </si>
  <si>
    <t>CHOUKOURIA MOUTARI</t>
  </si>
  <si>
    <t xml:space="preserve">Zaraou Moussa </t>
  </si>
  <si>
    <t>Yanass Kachimou</t>
  </si>
  <si>
    <t>Rafia Laouali</t>
  </si>
  <si>
    <t>Rayanatou Moussa</t>
  </si>
  <si>
    <t>Roumassaou Issaka</t>
  </si>
  <si>
    <t>Rachida Abdou</t>
  </si>
  <si>
    <t>Saé Saboua CM2 contrôle</t>
  </si>
  <si>
    <t>Ecole de Barouana</t>
  </si>
  <si>
    <t>Cours CM1</t>
  </si>
  <si>
    <t>Moyenne 1er trimestre</t>
  </si>
  <si>
    <t>Moyenne Annuelle</t>
  </si>
  <si>
    <t>Situation finale</t>
  </si>
  <si>
    <t>Passe en CM2</t>
  </si>
  <si>
    <t>Soumaya Ibrahim</t>
  </si>
  <si>
    <t>2014 à Barouana</t>
  </si>
  <si>
    <t>CM1</t>
  </si>
  <si>
    <t>Passe</t>
  </si>
  <si>
    <t>Mabarouka Hamissou</t>
  </si>
  <si>
    <t>Choukouriya Sanoussi</t>
  </si>
  <si>
    <t>HanifaMaliki</t>
  </si>
  <si>
    <t>FaizaInoussa</t>
  </si>
  <si>
    <t>Amira Sanoussi</t>
  </si>
  <si>
    <t>Rabila Garba</t>
  </si>
  <si>
    <t>Saadiya Yacouba</t>
  </si>
  <si>
    <t>Fatouma Abdourahamane</t>
  </si>
  <si>
    <t>Sayada Illia</t>
  </si>
  <si>
    <t>Kadidja Chapiou</t>
  </si>
  <si>
    <t>Alawiya Ibrahim</t>
  </si>
  <si>
    <t>Faouzia Zabeirou</t>
  </si>
  <si>
    <t>Massaouda Habibou</t>
  </si>
  <si>
    <t>Kalifa Habibou</t>
  </si>
  <si>
    <t>Hanapia Idrissa</t>
  </si>
  <si>
    <t>Badia Harouna</t>
  </si>
  <si>
    <t>Faiza Ibrahim</t>
  </si>
  <si>
    <t>Habiba Ousmane</t>
  </si>
  <si>
    <t>Balkissa Rabiou</t>
  </si>
  <si>
    <t>Zeinab Garba</t>
  </si>
  <si>
    <t>Nisseiba Sabiou</t>
  </si>
  <si>
    <t>Bassira Inoussa</t>
  </si>
  <si>
    <t>Ecole de Louloubi Publique</t>
  </si>
  <si>
    <t>N</t>
  </si>
  <si>
    <t>Noms et Prénoms</t>
  </si>
  <si>
    <t>Date et Lieu de Naissance</t>
  </si>
  <si>
    <t>Ecole</t>
  </si>
  <si>
    <t xml:space="preserve">Cours </t>
  </si>
  <si>
    <t>1er Trimestre</t>
  </si>
  <si>
    <t>2ème Trimestre</t>
  </si>
  <si>
    <t>3ème Trimestre</t>
  </si>
  <si>
    <t xml:space="preserve">Passage Redoublement Exclusion </t>
  </si>
  <si>
    <t xml:space="preserve">Balki Zabeirou </t>
  </si>
  <si>
    <t xml:space="preserve">2013à Louloubi </t>
  </si>
  <si>
    <t>Louloubi</t>
  </si>
  <si>
    <t xml:space="preserve">Faiza Chaibou </t>
  </si>
  <si>
    <t xml:space="preserve">2013 à Louloubi </t>
  </si>
  <si>
    <t xml:space="preserve">Farida Ali </t>
  </si>
  <si>
    <t xml:space="preserve">Farida Chaibou </t>
  </si>
  <si>
    <t xml:space="preserve">201 3à Louloubi </t>
  </si>
  <si>
    <t xml:space="preserve">Habsatou Hamidine </t>
  </si>
  <si>
    <t xml:space="preserve">Habsatou Mani </t>
  </si>
  <si>
    <t xml:space="preserve">Jafara Ali </t>
  </si>
  <si>
    <t>Kadija Habibou</t>
  </si>
  <si>
    <t>Mariama Idrissa</t>
  </si>
  <si>
    <t>Nafissa Maliki</t>
  </si>
  <si>
    <t xml:space="preserve">Naima Amadou </t>
  </si>
  <si>
    <t xml:space="preserve">Ramatou Abdou </t>
  </si>
  <si>
    <t xml:space="preserve">Razina Haladou </t>
  </si>
  <si>
    <t xml:space="preserve">Saâdatou Maliki </t>
  </si>
  <si>
    <t xml:space="preserve">Safiya Amadou </t>
  </si>
  <si>
    <t xml:space="preserve">Safiya Maâzou </t>
  </si>
  <si>
    <t>passe</t>
  </si>
  <si>
    <t>Soumaya Hachimou</t>
  </si>
  <si>
    <t>Zeinabou Adamou</t>
  </si>
  <si>
    <t>Zeinabou Illia</t>
  </si>
  <si>
    <t>Ecole de Tagaza</t>
  </si>
  <si>
    <r>
      <rPr>
        <rFont val="Times New Roman"/>
        <b/>
        <color theme="1"/>
        <sz val="12.0"/>
      </rPr>
      <t>Moyenne 1</t>
    </r>
    <r>
      <rPr>
        <rFont val="Times New Roman"/>
        <b/>
        <color theme="1"/>
        <sz val="12.0"/>
        <vertAlign val="superscript"/>
      </rPr>
      <t>er</t>
    </r>
    <r>
      <rPr>
        <rFont val="Times New Roman"/>
        <b/>
        <color theme="1"/>
        <sz val="12.0"/>
      </rPr>
      <t xml:space="preserve"> trimestre</t>
    </r>
  </si>
  <si>
    <t>Badaya Sani</t>
  </si>
  <si>
    <t>2013 à Tagaza</t>
  </si>
  <si>
    <t xml:space="preserve">TAGAZA </t>
  </si>
  <si>
    <t>Balkissa Abdou</t>
  </si>
  <si>
    <t xml:space="preserve">2013 à Tagaza </t>
  </si>
  <si>
    <t xml:space="preserve">Tagaza </t>
  </si>
  <si>
    <t>Cm1</t>
  </si>
  <si>
    <t>Badariya Kabirou</t>
  </si>
  <si>
    <t>Hafiza Abdoul Azizou</t>
  </si>
  <si>
    <t xml:space="preserve">2014 à Tagaza </t>
  </si>
  <si>
    <t>Cm2</t>
  </si>
  <si>
    <t>Chaawa Idi</t>
  </si>
  <si>
    <t>Fadila Sani</t>
  </si>
  <si>
    <t xml:space="preserve">Cm1 </t>
  </si>
  <si>
    <t>Falila Yacouba</t>
  </si>
  <si>
    <t xml:space="preserve">Haria Mamane </t>
  </si>
  <si>
    <t>Hassana Ayouba</t>
  </si>
  <si>
    <t>Hapiza Sani</t>
  </si>
  <si>
    <t>Madina Issoufou</t>
  </si>
  <si>
    <t xml:space="preserve">2013 a Tagaza </t>
  </si>
  <si>
    <t xml:space="preserve">Passe </t>
  </si>
  <si>
    <t>Mouhoussina Laminou</t>
  </si>
  <si>
    <t xml:space="preserve">Passe  </t>
  </si>
  <si>
    <t xml:space="preserve">Mastoura Abdou </t>
  </si>
  <si>
    <t xml:space="preserve">2013 3 Tagaza </t>
  </si>
  <si>
    <t>Salima zabeirou</t>
  </si>
  <si>
    <t>Sakina saminou</t>
  </si>
  <si>
    <t xml:space="preserve">2013 å Tagaza </t>
  </si>
  <si>
    <t xml:space="preserve">Souraya Yacouba </t>
  </si>
  <si>
    <t>Yassira Abdourachid</t>
  </si>
  <si>
    <t>Zaharia Yahaya</t>
  </si>
  <si>
    <t>Tagaza</t>
  </si>
  <si>
    <t>Cmi</t>
  </si>
  <si>
    <t>Habsatou Hassan</t>
  </si>
  <si>
    <t>Ecole de Kadata</t>
  </si>
  <si>
    <r>
      <rPr>
        <rFont val="Times New Roman"/>
        <b/>
        <i/>
        <color theme="1"/>
        <sz val="12.0"/>
      </rPr>
      <t>A.</t>
    </r>
    <r>
      <rPr>
        <rFont val="Times New Roman"/>
        <b/>
        <i/>
        <color theme="1"/>
        <sz val="7.0"/>
      </rPr>
      <t xml:space="preserve">    </t>
    </r>
    <r>
      <rPr>
        <rFont val="Times New Roman"/>
        <b/>
        <i/>
        <color theme="1"/>
        <sz val="12.0"/>
      </rPr>
      <t>CM1</t>
    </r>
  </si>
  <si>
    <t>No</t>
  </si>
  <si>
    <t xml:space="preserve">Date et lieu de naissance </t>
  </si>
  <si>
    <t xml:space="preserve">École </t>
  </si>
  <si>
    <t xml:space="preserve">Moyenne 1 er trimestre </t>
  </si>
  <si>
    <t xml:space="preserve">Moyenne 2 ème trimestre </t>
  </si>
  <si>
    <t xml:space="preserve">Moyenne 3 ème trimestre </t>
  </si>
  <si>
    <t>Situation Finale</t>
  </si>
  <si>
    <t>Bassira Aboubacar</t>
  </si>
  <si>
    <t xml:space="preserve">31/12/14 à Kadata </t>
  </si>
  <si>
    <t>Batoula Laouali</t>
  </si>
  <si>
    <t>Chamsiya Achirou</t>
  </si>
  <si>
    <t>Fati Mamane</t>
  </si>
  <si>
    <t>Fati Rabiou</t>
  </si>
  <si>
    <t>Fati Saadou</t>
  </si>
  <si>
    <t>Halimatou Ousmane</t>
  </si>
  <si>
    <t>Jamila Badamassi</t>
  </si>
  <si>
    <t>Kadija Elh.Kané</t>
  </si>
  <si>
    <t>Kadija Issaka</t>
  </si>
  <si>
    <t>Kadija Saâdou</t>
  </si>
  <si>
    <t>Karima Yahaya</t>
  </si>
  <si>
    <t>Nana Hanifa Bassirou</t>
  </si>
  <si>
    <t>Nana Souhaïla Sani</t>
  </si>
  <si>
    <t>Marfouâ Sani</t>
  </si>
  <si>
    <t>Mariama Attahir</t>
  </si>
  <si>
    <t>Rabila Elh.Kané</t>
  </si>
  <si>
    <t>Rabiatou Illiassou</t>
  </si>
  <si>
    <t>Rachida Ibrahim</t>
  </si>
  <si>
    <t>Safiya Ousmane</t>
  </si>
  <si>
    <t xml:space="preserve">Wassila Samaïla </t>
  </si>
  <si>
    <t>Youssira Iro Barmo</t>
  </si>
  <si>
    <t>Zeinab Aminou</t>
  </si>
  <si>
    <t>Zeinab Kabirou</t>
  </si>
  <si>
    <t>Zeinab Saïdou</t>
  </si>
  <si>
    <t>Ecole de Garin Bouwèye</t>
  </si>
  <si>
    <t>Dates et lieux de Nais</t>
  </si>
  <si>
    <t>École</t>
  </si>
  <si>
    <t>M.1er trim</t>
  </si>
  <si>
    <t>M.2em trim</t>
  </si>
  <si>
    <t>M.3eme tri</t>
  </si>
  <si>
    <t>2012 à G.Bouwèye</t>
  </si>
  <si>
    <t>G.Bouwèye</t>
  </si>
  <si>
    <t>Aminatou Mamane</t>
  </si>
  <si>
    <t>Bassira Laouali</t>
  </si>
  <si>
    <t>G.bouwèye</t>
  </si>
  <si>
    <t>Farida Abasse</t>
  </si>
  <si>
    <t>G Bouwèye</t>
  </si>
  <si>
    <t>Faïza Laouali</t>
  </si>
  <si>
    <t>G.Bouweye</t>
  </si>
  <si>
    <t>Hassana Abdou</t>
  </si>
  <si>
    <t>Hariya Ayouba</t>
  </si>
  <si>
    <t>Kadija Daouda</t>
  </si>
  <si>
    <t xml:space="preserve">Rdble </t>
  </si>
  <si>
    <t>Lariya Ayouba</t>
  </si>
  <si>
    <t>Mariama Saddi</t>
  </si>
  <si>
    <t>Nazifa Issa</t>
  </si>
  <si>
    <t>Bibata Idrissa</t>
  </si>
  <si>
    <t>Oumaima Sani</t>
  </si>
  <si>
    <t>Ousseina Abdou</t>
  </si>
  <si>
    <t>Rachida Issa</t>
  </si>
  <si>
    <t>Safaraou Abdou</t>
  </si>
  <si>
    <t>Wassila Yaou</t>
  </si>
  <si>
    <t>Yassira Tassiou</t>
  </si>
  <si>
    <t>Zeinabou Tassiou</t>
  </si>
  <si>
    <t>Ecole Oubandawaki Alfacha</t>
  </si>
  <si>
    <r>
      <rPr>
        <rFont val="Times New Roman"/>
        <b/>
        <color rgb="FF000000"/>
        <sz val="12.0"/>
      </rPr>
      <t>Moyenne 1</t>
    </r>
    <r>
      <rPr>
        <rFont val="Times New Roman"/>
        <b/>
        <color rgb="FF000000"/>
        <sz val="12.0"/>
        <vertAlign val="superscript"/>
      </rPr>
      <t>er</t>
    </r>
    <r>
      <rPr>
        <rFont val="Times New Roman"/>
        <b/>
        <color rgb="FF000000"/>
        <sz val="12.0"/>
      </rPr>
      <t xml:space="preserve"> trimestre</t>
    </r>
  </si>
  <si>
    <t>Oummou A.salam</t>
  </si>
  <si>
    <t>01/01/13 à Oubandwaki Alfacha</t>
  </si>
  <si>
    <t>Safia Hamza</t>
  </si>
  <si>
    <t>Amira Abdoulahi</t>
  </si>
  <si>
    <t>Souéba A.Salam</t>
  </si>
  <si>
    <t>Siama Daouda</t>
  </si>
  <si>
    <t>Choukouria Gambo</t>
  </si>
  <si>
    <t>Oubeida Chaibou</t>
  </si>
  <si>
    <t>01/01/13 à Souloubawa</t>
  </si>
  <si>
    <t xml:space="preserve">Nana Nadira Ali </t>
  </si>
  <si>
    <t>01/01/13 à Tsaraké</t>
  </si>
  <si>
    <t>Nan Fadila Salissou</t>
  </si>
  <si>
    <t>Nafissa Issaka</t>
  </si>
  <si>
    <t>Hassira Sa'adou</t>
  </si>
  <si>
    <t>Fadila Daouda</t>
  </si>
  <si>
    <t>Lawissa Maazou</t>
  </si>
  <si>
    <t>Roufaida Issa</t>
  </si>
  <si>
    <t>Rafia Mourtala</t>
  </si>
  <si>
    <t>Chamsiya Issa</t>
  </si>
  <si>
    <t>Ramatou Illa</t>
  </si>
  <si>
    <t>Saadatou Maazou</t>
  </si>
  <si>
    <t>Khadjija Abdoulahi</t>
  </si>
  <si>
    <t>Fatima Zara Ali</t>
  </si>
  <si>
    <t>Roukaya Salissou</t>
  </si>
  <si>
    <t>Roukaya Issoufou</t>
  </si>
  <si>
    <t>youssira Oumarou</t>
  </si>
  <si>
    <t>Mariama Oumarou</t>
  </si>
  <si>
    <t>Wassila Saddi</t>
  </si>
  <si>
    <t>Ecole de Mountarou Barmo</t>
  </si>
  <si>
    <r>
      <rPr>
        <rFont val="Times New Roman"/>
        <b/>
        <color theme="1"/>
        <sz val="12.0"/>
      </rPr>
      <t>Moyenne 1</t>
    </r>
    <r>
      <rPr>
        <rFont val="Times New Roman"/>
        <b/>
        <color theme="1"/>
        <sz val="12.0"/>
        <vertAlign val="superscript"/>
      </rPr>
      <t>er</t>
    </r>
    <r>
      <rPr>
        <rFont val="Times New Roman"/>
        <b/>
        <color theme="1"/>
        <sz val="12.0"/>
      </rPr>
      <t xml:space="preserve"> trimestre</t>
    </r>
  </si>
  <si>
    <t>Aïchatou Illya</t>
  </si>
  <si>
    <t xml:space="preserve">Faîda Aboubacar </t>
  </si>
  <si>
    <t>Faouziya Hassane</t>
  </si>
  <si>
    <t>Habiba Issaka</t>
  </si>
  <si>
    <t xml:space="preserve">01/01/2014 à Tacha Arzika </t>
  </si>
  <si>
    <t xml:space="preserve">Housna Ousseini </t>
  </si>
  <si>
    <t xml:space="preserve">Housna Abdoul Malik </t>
  </si>
  <si>
    <t xml:space="preserve">Khadidja Baraou </t>
  </si>
  <si>
    <t xml:space="preserve">Manira Inoussa </t>
  </si>
  <si>
    <t xml:space="preserve">Naïma Lariyou </t>
  </si>
  <si>
    <t>Habiba Youssoupha</t>
  </si>
  <si>
    <t xml:space="preserve">Nazifa Tsayabou </t>
  </si>
  <si>
    <t xml:space="preserve">Nisseiba Issaka </t>
  </si>
  <si>
    <t xml:space="preserve">CM1 </t>
  </si>
  <si>
    <t xml:space="preserve">Ouma Kalthoum Ichamou </t>
  </si>
  <si>
    <t xml:space="preserve">Safaraou Sani </t>
  </si>
  <si>
    <t xml:space="preserve">Salima Bassirou </t>
  </si>
  <si>
    <t xml:space="preserve">Siraya Aboubacar </t>
  </si>
  <si>
    <t xml:space="preserve">Ramatou Rabiou </t>
  </si>
  <si>
    <t xml:space="preserve">Saratou Malam Abdou </t>
  </si>
  <si>
    <t xml:space="preserve">Yasmina Maharazou </t>
  </si>
  <si>
    <t>Ecole de Dan Gamdji</t>
  </si>
  <si>
    <r>
      <rPr>
        <rFont val="Times New Roman"/>
        <b/>
        <color rgb="FF000000"/>
        <sz val="12.0"/>
      </rPr>
      <t>Moyenne 1</t>
    </r>
    <r>
      <rPr>
        <rFont val="Times New Roman"/>
        <b/>
        <color rgb="FF000000"/>
        <sz val="12.0"/>
        <vertAlign val="superscript"/>
      </rPr>
      <t>er</t>
    </r>
    <r>
      <rPr>
        <rFont val="Times New Roman"/>
        <b/>
        <color rgb="FF000000"/>
        <sz val="12.0"/>
      </rPr>
      <t xml:space="preserve"> trimestre</t>
    </r>
  </si>
  <si>
    <t>Lantana Soulé</t>
  </si>
  <si>
    <t>01/01/2013 á Dan Gamdji</t>
  </si>
  <si>
    <t>Dan Gamdji</t>
  </si>
  <si>
    <t>C M1</t>
  </si>
  <si>
    <t>Kadija Yahaya</t>
  </si>
  <si>
    <t>Aichatou Laouali</t>
  </si>
  <si>
    <t>Aicha Sabiou</t>
  </si>
  <si>
    <t>Mariama Laouali</t>
  </si>
  <si>
    <t>Acha Chapiou</t>
  </si>
  <si>
    <t>Aichatou Ibrahim</t>
  </si>
  <si>
    <t>Firdaoussi Rabiou</t>
  </si>
  <si>
    <t>Aziza Rabé</t>
  </si>
  <si>
    <t>Oumma Hamidou</t>
  </si>
  <si>
    <t>Roufeida Habibou</t>
  </si>
  <si>
    <t>Zakiya Souley</t>
  </si>
  <si>
    <t>Nisseiba Zabeirou</t>
  </si>
  <si>
    <t>Sawama Tsahirou</t>
  </si>
  <si>
    <t>Habsatou Laouali</t>
  </si>
  <si>
    <t>Malika Abdou</t>
  </si>
  <si>
    <t>Youssoura Amadou</t>
  </si>
  <si>
    <t>Halima Sani</t>
  </si>
  <si>
    <t>Dayaba Garba</t>
  </si>
  <si>
    <t>Hassira Hassan</t>
  </si>
  <si>
    <t>Farida Nassirou</t>
  </si>
  <si>
    <t>Amira Amadou</t>
  </si>
  <si>
    <t>Maimouna Haladou</t>
  </si>
  <si>
    <t>Nisseyba Mahamadou</t>
  </si>
  <si>
    <t>Nabila Maharazou</t>
  </si>
  <si>
    <t>Aicha Ibrahim</t>
  </si>
  <si>
    <t>Nazifa Moussa</t>
  </si>
  <si>
    <t>Kadidja Sabiou</t>
  </si>
  <si>
    <t>Lawissa Noura</t>
  </si>
  <si>
    <t>Saida Hamza</t>
  </si>
  <si>
    <t>Ecole de Mountarou 1</t>
  </si>
  <si>
    <r>
      <rPr>
        <rFont val="Times New Roman"/>
        <b/>
        <color theme="1"/>
        <sz val="12.0"/>
      </rPr>
      <t>Moyenne 1</t>
    </r>
    <r>
      <rPr>
        <rFont val="Times New Roman"/>
        <b/>
        <color theme="1"/>
        <sz val="12.0"/>
        <vertAlign val="superscript"/>
      </rPr>
      <t>er</t>
    </r>
    <r>
      <rPr>
        <rFont val="Times New Roman"/>
        <b/>
        <color theme="1"/>
        <sz val="12.0"/>
      </rPr>
      <t xml:space="preserve"> trimestre</t>
    </r>
  </si>
  <si>
    <t xml:space="preserve">Aminatou Illiya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</si>
  <si>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Dan Bould</t>
    </r>
    <r>
      <rPr>
        <rFont val="Times New Roman"/>
        <color theme="1"/>
        <sz val="11.0"/>
      </rPr>
      <t>é</t>
    </r>
    <r>
      <rPr>
        <rFont val="Calibri"/>
        <color theme="1"/>
        <sz val="11.0"/>
      </rPr>
      <t xml:space="preserve"> </t>
    </r>
  </si>
  <si>
    <t xml:space="preserve">Mountarou1 </t>
  </si>
  <si>
    <t xml:space="preserve">Choukouriya Kabirou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</si>
  <si>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Dan Bould</t>
    </r>
    <r>
      <rPr>
        <rFont val="Times New Roman"/>
        <color theme="1"/>
        <sz val="11.0"/>
      </rPr>
      <t>é</t>
    </r>
    <r>
      <rPr>
        <rFont val="Calibri"/>
        <color theme="1"/>
        <sz val="11.0"/>
      </rPr>
      <t xml:space="preserve"> </t>
    </r>
  </si>
  <si>
    <t xml:space="preserve">Houmaira Adamou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</si>
  <si>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Kountarou Dan Dango </t>
    </r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</si>
  <si>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Kountarou Dan Dango </t>
    </r>
  </si>
  <si>
    <t xml:space="preserve">Malika Sani </t>
  </si>
  <si>
    <r>
      <rPr>
        <rFont val="Calibri"/>
        <color theme="1"/>
        <sz val="11.0"/>
      </rPr>
      <t xml:space="preserve">01/01/13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Galadantchi </t>
    </r>
  </si>
  <si>
    <t xml:space="preserve">Mansoura Aboubacar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</si>
  <si>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Dan Bould</t>
    </r>
    <r>
      <rPr>
        <rFont val="Times New Roman"/>
        <color theme="1"/>
        <sz val="11.0"/>
      </rPr>
      <t>é</t>
    </r>
    <r>
      <rPr>
        <rFont val="Calibri"/>
        <color theme="1"/>
        <sz val="11.0"/>
      </rPr>
      <t xml:space="preserve"> </t>
    </r>
  </si>
  <si>
    <t xml:space="preserve">Moushtahida Sani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</si>
  <si>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Galadantchi </t>
    </r>
  </si>
  <si>
    <t xml:space="preserve">Mansoura Laouali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</si>
  <si>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Kountarou Dan Dango </t>
    </r>
  </si>
  <si>
    <t xml:space="preserve">Sourayya Issaka </t>
  </si>
  <si>
    <r>
      <rPr>
        <rFont val="Calibri"/>
        <color theme="1"/>
        <sz val="11.0"/>
      </rPr>
      <t xml:space="preserve">01/01/13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Dan Bould</t>
    </r>
    <r>
      <rPr>
        <rFont val="Times New Roman"/>
        <color theme="1"/>
        <sz val="11.0"/>
      </rPr>
      <t>é</t>
    </r>
    <r>
      <rPr>
        <rFont val="Calibri"/>
        <color theme="1"/>
        <sz val="11.0"/>
      </rPr>
      <t xml:space="preserve"> </t>
    </r>
  </si>
  <si>
    <t xml:space="preserve">Soumaya Zouladeini </t>
  </si>
  <si>
    <r>
      <rPr>
        <rFont val="Calibri"/>
        <color theme="1"/>
        <sz val="11.0"/>
      </rPr>
      <t xml:space="preserve">01/01/13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Dan Bould</t>
    </r>
    <r>
      <rPr>
        <rFont val="Times New Roman"/>
        <color theme="1"/>
        <sz val="11.0"/>
      </rPr>
      <t>é</t>
    </r>
    <r>
      <rPr>
        <rFont val="Calibri"/>
        <color theme="1"/>
        <sz val="11.0"/>
      </rPr>
      <t xml:space="preserve"> </t>
    </r>
  </si>
  <si>
    <t xml:space="preserve">Latifa Ibrahim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</si>
  <si>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Kountarou Dan Dango </t>
    </r>
  </si>
  <si>
    <t xml:space="preserve">Oumaira  sanoussi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</si>
  <si>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Dan Bould</t>
    </r>
    <r>
      <rPr>
        <rFont val="Times New Roman"/>
        <color theme="1"/>
        <sz val="11.0"/>
      </rPr>
      <t>é</t>
    </r>
    <r>
      <rPr>
        <rFont val="Calibri"/>
        <color theme="1"/>
        <sz val="11.0"/>
      </rPr>
      <t xml:space="preserve"> </t>
    </r>
  </si>
  <si>
    <t xml:space="preserve">Rahila Abdou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</si>
  <si>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Kountarou Dan Dango </t>
    </r>
  </si>
  <si>
    <t xml:space="preserve">Ramatou Zouladeini </t>
  </si>
  <si>
    <r>
      <rPr>
        <rFont val="Calibri"/>
        <color theme="1"/>
        <sz val="11.0"/>
      </rPr>
      <t xml:space="preserve">01/01/14 </t>
    </r>
    <r>
      <rPr>
        <rFont val="Times New Roman"/>
        <color theme="1"/>
        <sz val="11.0"/>
      </rPr>
      <t>à</t>
    </r>
    <r>
      <rPr>
        <rFont val="Calibri"/>
        <color theme="1"/>
        <sz val="11.0"/>
      </rPr>
      <t xml:space="preserve"> Galadantchi </t>
    </r>
  </si>
  <si>
    <t>Ecole de Gadambo</t>
  </si>
  <si>
    <t xml:space="preserve">N° </t>
  </si>
  <si>
    <t xml:space="preserve">Noms et prénoms </t>
  </si>
  <si>
    <t xml:space="preserve">M 1er trimestre </t>
  </si>
  <si>
    <t xml:space="preserve">M 2ème trimestre </t>
  </si>
  <si>
    <t xml:space="preserve">M 3ème trimestre </t>
  </si>
  <si>
    <t>Nazifa Abdou</t>
  </si>
  <si>
    <t xml:space="preserve">01_01_2014 à Gadambo </t>
  </si>
  <si>
    <t xml:space="preserve">Gadambo </t>
  </si>
  <si>
    <t>Kadija mani</t>
  </si>
  <si>
    <t>Samira Sani</t>
  </si>
  <si>
    <t xml:space="preserve">Maimounatou aboubacar </t>
  </si>
  <si>
    <t xml:space="preserve">Fati daouda </t>
  </si>
  <si>
    <t>Faiza mati</t>
  </si>
  <si>
    <t>Gadambo</t>
  </si>
  <si>
    <t>Badariya souley</t>
  </si>
  <si>
    <t>Kamila Bassirou</t>
  </si>
  <si>
    <t xml:space="preserve">Soumaya Hassan </t>
  </si>
  <si>
    <t>Nafissa Ali</t>
  </si>
  <si>
    <t>Hamida Abdoul karim</t>
  </si>
  <si>
    <t>Siyama Harouna</t>
  </si>
  <si>
    <t>Charifa adam</t>
  </si>
  <si>
    <t xml:space="preserve">01_01_2014 à </t>
  </si>
  <si>
    <t>Hamida tsahirou</t>
  </si>
  <si>
    <t xml:space="preserve">Charifa issoufou </t>
  </si>
  <si>
    <t>Anifa hamidou</t>
  </si>
  <si>
    <t>Chamsia Abdoullahi</t>
  </si>
  <si>
    <t>Harira Tassiou</t>
  </si>
  <si>
    <t>Maryam Kader</t>
  </si>
  <si>
    <t xml:space="preserve">O1_01_2014 à Gadambo </t>
  </si>
  <si>
    <t xml:space="preserve">Manstoura salissou </t>
  </si>
  <si>
    <t>Soumaya Yahaya</t>
  </si>
  <si>
    <t>Mariama sani</t>
  </si>
  <si>
    <t>Souraya sani</t>
  </si>
  <si>
    <t>Zaharaou Hamissou</t>
  </si>
  <si>
    <t>Soumaya Ousmane</t>
  </si>
  <si>
    <t>Hassiba Issa</t>
  </si>
  <si>
    <t>Samira Oumarou</t>
  </si>
  <si>
    <t>Sayada Sani</t>
  </si>
  <si>
    <t xml:space="preserve">Choukouriya Rabé </t>
  </si>
  <si>
    <t>Saé Saboua publique</t>
  </si>
  <si>
    <t>Mariama Illa</t>
  </si>
  <si>
    <t>31/12/12àsaésaboua</t>
  </si>
  <si>
    <t>SaéSabouapublq1</t>
  </si>
  <si>
    <t>MalikaAli</t>
  </si>
  <si>
    <t>11/12/13àsaésaboua</t>
  </si>
  <si>
    <t>MabaroukaroukaRoufaï</t>
  </si>
  <si>
    <t>31/12/13àsaésaboua</t>
  </si>
  <si>
    <t>Nana Bassira Ila</t>
  </si>
  <si>
    <t>21/11/13àsaésaboua</t>
  </si>
  <si>
    <t>MabaroukaRoufaï</t>
  </si>
  <si>
    <t>MansouraAbdou</t>
  </si>
  <si>
    <t>NaziraMamane</t>
  </si>
  <si>
    <t>27/12/13àSaeSaboua</t>
  </si>
  <si>
    <t>IklimaLaouali</t>
  </si>
  <si>
    <t>01/11/13àSaéSaboua</t>
  </si>
  <si>
    <t>OumalkeiriZabeïrou</t>
  </si>
  <si>
    <t>01/01/13àSaéSaboua</t>
  </si>
  <si>
    <t>cm1</t>
  </si>
  <si>
    <t>RaïssatouSani</t>
  </si>
  <si>
    <t>08/07/14àsaésaboua</t>
  </si>
  <si>
    <t>Ousseina halilou</t>
  </si>
  <si>
    <t>RahamouInoussa</t>
  </si>
  <si>
    <t>01/06/12àsaésaboua</t>
  </si>
  <si>
    <t>SoumayaChaïbou</t>
  </si>
  <si>
    <t>13/02/12àsaésaboua</t>
  </si>
  <si>
    <t>WassilaIbrahim</t>
  </si>
  <si>
    <t>19/05/11àsaésaboua</t>
  </si>
  <si>
    <t>YasminaInoussa</t>
  </si>
  <si>
    <t>MalikaAbass</t>
  </si>
  <si>
    <t>31/12/13àSaéSaboua</t>
  </si>
  <si>
    <t>AlhakatouSaïdou</t>
  </si>
  <si>
    <t>FouréraYacouba</t>
  </si>
  <si>
    <t>01/01/12àsaésaboua</t>
  </si>
  <si>
    <t>MalikaIssa</t>
  </si>
  <si>
    <t>28/08/13àSaéSaboua</t>
  </si>
  <si>
    <t>HanifaSani</t>
  </si>
  <si>
    <t>08/07/14àMaradi</t>
  </si>
  <si>
    <t>SaéSaboua</t>
  </si>
  <si>
    <t>Fatoumahakilou</t>
  </si>
  <si>
    <t>LatifaIbrahim</t>
  </si>
  <si>
    <t>WassilaSanouchi</t>
  </si>
  <si>
    <t>RamatouIssaka</t>
  </si>
  <si>
    <t>09/09/14àsaésaboua</t>
  </si>
  <si>
    <t>LariyaIbrahim</t>
  </si>
  <si>
    <t>MalikaLaouali</t>
  </si>
  <si>
    <t>MariamAbdouWahab</t>
  </si>
  <si>
    <t>31/12/14àsaésaboua</t>
  </si>
  <si>
    <t>KadijaRoufaï</t>
  </si>
  <si>
    <t>SoumayaSaminou</t>
  </si>
  <si>
    <t>YasminaOusmane</t>
  </si>
  <si>
    <t>ChamsoyaYahaya</t>
  </si>
  <si>
    <t>02/02/13àSaéSaboua</t>
  </si>
  <si>
    <t>Liyaatou Mamane Soufianou</t>
  </si>
  <si>
    <t>01/01/11àsaésaboua</t>
  </si>
  <si>
    <t>ZeinabInoussa</t>
  </si>
  <si>
    <t>OumeidatouOusmane</t>
  </si>
  <si>
    <t>30/05/13àSaéSaboua</t>
  </si>
  <si>
    <t>RadiyaInoussa</t>
  </si>
  <si>
    <t>01/12/13àSaéSaboua</t>
  </si>
  <si>
    <t>NafissaKabirou</t>
  </si>
  <si>
    <t>01/09/13àSaéSaboua</t>
  </si>
  <si>
    <t>FadilaAbdoulRazak</t>
  </si>
  <si>
    <t>FatoumaZahraSaïdou</t>
  </si>
  <si>
    <t>01/04/12àsaésaboua</t>
  </si>
  <si>
    <t>AïchatouYacouba</t>
  </si>
  <si>
    <t>27/07/13àSaéSaboua</t>
  </si>
  <si>
    <t>OumeiraTsalha</t>
  </si>
  <si>
    <t>Mouhoussina Ibrahim</t>
  </si>
  <si>
    <t>24/05/13àSaeSaboua</t>
  </si>
  <si>
    <t>RazinaRachidou</t>
  </si>
  <si>
    <t>30/12/12àsaésaboua</t>
  </si>
  <si>
    <t>FaïzatouAbdoulRazak</t>
  </si>
  <si>
    <t>31/12/12àSaéSaboua</t>
  </si>
  <si>
    <t>SahounaIssa</t>
  </si>
  <si>
    <t>25/08/12àSaéSaboua</t>
  </si>
  <si>
    <t>Sabouapublq1</t>
  </si>
  <si>
    <t>AssiaAli</t>
  </si>
  <si>
    <t>Ihssane issaka</t>
  </si>
  <si>
    <t>Fadila Salissou</t>
  </si>
  <si>
    <t>Fatima Laouli</t>
  </si>
  <si>
    <t xml:space="preserve">Hassia Maman </t>
  </si>
  <si>
    <t>Chérifatou Issaka</t>
  </si>
  <si>
    <t>Hassia Mountari</t>
  </si>
  <si>
    <t>Ecole Malloumai Saboua</t>
  </si>
  <si>
    <t>Nabila Abdoul Moumouni.</t>
  </si>
  <si>
    <t>2012 à Malloumai Saboua</t>
  </si>
  <si>
    <t>Malloumai Saboua</t>
  </si>
  <si>
    <t>Mabarouka Ayouba.</t>
  </si>
  <si>
    <t>AZimia Souley.</t>
  </si>
  <si>
    <t>Harissa Bassirou.</t>
  </si>
  <si>
    <t>Nadia Maman.</t>
  </si>
  <si>
    <t>Chaâbia Halilou.</t>
  </si>
  <si>
    <t>Mardiya Halilou.</t>
  </si>
  <si>
    <t>Nahida Oumarou.</t>
  </si>
  <si>
    <t>Djamila Ousmane.</t>
  </si>
  <si>
    <t>AZima Hamza.</t>
  </si>
  <si>
    <t>Bassira Yacouba.</t>
  </si>
  <si>
    <t>Firdaoussi Laouali.</t>
  </si>
  <si>
    <t>Lamira Harouna.</t>
  </si>
  <si>
    <t>Oumma Maazou.</t>
  </si>
  <si>
    <t>Moufida Badama.</t>
  </si>
  <si>
    <t>Chaffa Abdou.</t>
  </si>
  <si>
    <t>Fati Maliki.</t>
  </si>
  <si>
    <t>Yasmina Tassiou.</t>
  </si>
  <si>
    <t>Machahouda Saminou.</t>
  </si>
  <si>
    <t>Maryam Hamissou.</t>
  </si>
  <si>
    <t>Walida idi</t>
  </si>
  <si>
    <t>Chamsiya Salissou</t>
  </si>
  <si>
    <t>Karima Abdou</t>
  </si>
  <si>
    <t>Zeinab Moudi</t>
  </si>
  <si>
    <t>Jamila Yassin</t>
  </si>
  <si>
    <t>Saé Saboua CM1 Intervention</t>
  </si>
  <si>
    <t>Passe CM2</t>
  </si>
  <si>
    <t>Redouble CM1</t>
  </si>
  <si>
    <t>Taux de passage</t>
  </si>
  <si>
    <r>
      <rPr>
        <rFont val="Times New Roman"/>
        <b/>
        <color theme="1"/>
        <sz val="12.0"/>
      </rPr>
      <t>Moyenne 1</t>
    </r>
    <r>
      <rPr>
        <rFont val="Times New Roman"/>
        <b/>
        <color theme="1"/>
        <sz val="12.0"/>
        <vertAlign val="superscript"/>
      </rPr>
      <t>er</t>
    </r>
    <r>
      <rPr>
        <rFont val="Times New Roman"/>
        <b/>
        <color theme="1"/>
        <sz val="12.0"/>
      </rPr>
      <t xml:space="preserve"> trimestre</t>
    </r>
  </si>
  <si>
    <t xml:space="preserve">Anassia Abdoul Karim </t>
  </si>
  <si>
    <t xml:space="preserve">01/01/13 à Dan Gara </t>
  </si>
  <si>
    <t>Mariama Rabe</t>
  </si>
  <si>
    <t xml:space="preserve">1/01/13 à Dan Gara </t>
  </si>
  <si>
    <t xml:space="preserve">Firdaoussi Moussa </t>
  </si>
  <si>
    <t xml:space="preserve">Faiza Issaka </t>
  </si>
  <si>
    <t>Zeinab Tassiou</t>
  </si>
  <si>
    <t xml:space="preserve">Chappa Ibrahim </t>
  </si>
  <si>
    <t>Firdaoussi Salissou</t>
  </si>
  <si>
    <t>Djamila Maman</t>
  </si>
  <si>
    <t xml:space="preserve">Nadia Siradji </t>
  </si>
  <si>
    <t xml:space="preserve">01/01/13 à tsanna </t>
  </si>
  <si>
    <t xml:space="preserve">Nazifa Saadou </t>
  </si>
  <si>
    <t xml:space="preserve">Rachida Ousmane </t>
  </si>
  <si>
    <t>Nazifa Ali</t>
  </si>
  <si>
    <t xml:space="preserve">Khadija Oumarou </t>
  </si>
  <si>
    <t xml:space="preserve">Roufaida Oumarou </t>
  </si>
  <si>
    <t xml:space="preserve">Nazira Harouna </t>
  </si>
  <si>
    <t xml:space="preserve">Nana Hadiza Souley </t>
  </si>
  <si>
    <t xml:space="preserve">Nassiba Issoufou </t>
  </si>
  <si>
    <t xml:space="preserve">Fatsima Sani </t>
  </si>
  <si>
    <t xml:space="preserve">Aichatou Maazou </t>
  </si>
  <si>
    <t xml:space="preserve">Nafissa Salissou </t>
  </si>
  <si>
    <t xml:space="preserve">01/01//13 à tsanna </t>
  </si>
  <si>
    <t>CMi</t>
  </si>
  <si>
    <t xml:space="preserve">Aichatou Sani </t>
  </si>
  <si>
    <t xml:space="preserve">Aichatou Ibrahim </t>
  </si>
  <si>
    <t xml:space="preserve">Yasmina Issoufou </t>
  </si>
  <si>
    <t>Aichatou Mamoudou</t>
  </si>
  <si>
    <t>Karambi Sofoua</t>
  </si>
  <si>
    <t>Nana Aichatou Rabiou</t>
  </si>
  <si>
    <t>2013 à Karambi Sofoua</t>
  </si>
  <si>
    <t>Aminatou Adamou</t>
  </si>
  <si>
    <t>Aminatou Sabiou</t>
  </si>
  <si>
    <t>Bachariya Samaila</t>
  </si>
  <si>
    <t>Badaria Nouhou</t>
  </si>
  <si>
    <t>Faïza Samaila</t>
  </si>
  <si>
    <t>Farida Issoufou</t>
  </si>
  <si>
    <t>Fatima Moustapha</t>
  </si>
  <si>
    <t>Habiba Moumouni</t>
  </si>
  <si>
    <t>Mahafouza Hassan</t>
  </si>
  <si>
    <t>Nana Kadija Kassoumou</t>
  </si>
  <si>
    <t>Mariama Rabiou</t>
  </si>
  <si>
    <t>Mouhousna Issoufou</t>
  </si>
  <si>
    <t>Nafissa Inoussa</t>
  </si>
  <si>
    <t>Houwaila Oumarou</t>
  </si>
  <si>
    <t>Razina Mamoudou</t>
  </si>
  <si>
    <t>Roumanatou AbdoulKarim</t>
  </si>
  <si>
    <t>Ouma Djamila Mamoudou</t>
  </si>
  <si>
    <t>Sadiya Ayouba</t>
  </si>
  <si>
    <t>Safaraou Ibrahim</t>
  </si>
  <si>
    <t>Safaraou Souley</t>
  </si>
  <si>
    <t>Salissou Issoufou</t>
  </si>
  <si>
    <t>Sakina Toudjani</t>
  </si>
  <si>
    <t>Souéba Yacouba</t>
  </si>
  <si>
    <t>Zaharaou Sani</t>
  </si>
  <si>
    <t>Nana Zakiya Moustapha</t>
  </si>
  <si>
    <t>Zeinabou Zairou</t>
  </si>
  <si>
    <t>Nassiba Inoussa</t>
  </si>
  <si>
    <t>01/01/2014 á Karhin Hali</t>
  </si>
  <si>
    <t>Zeinab Sabiou</t>
  </si>
  <si>
    <t>Razina Hamisssou</t>
  </si>
  <si>
    <t>Kadija Haladou</t>
  </si>
  <si>
    <t>Zeinab Habibou</t>
  </si>
  <si>
    <t>Firdaoussi Adamou</t>
  </si>
  <si>
    <t>Rapia Habibou</t>
  </si>
  <si>
    <t>Razina Mamane</t>
  </si>
  <si>
    <t>Aïcha Daouda</t>
  </si>
  <si>
    <t>Aïcha Illo</t>
  </si>
  <si>
    <t>Bacharia Idi</t>
  </si>
  <si>
    <t>Bacharia Habou</t>
  </si>
  <si>
    <t>Yan doto Garin Ma</t>
  </si>
  <si>
    <t>Fatiha Ibrahim</t>
  </si>
  <si>
    <t>Farida Maman</t>
  </si>
  <si>
    <t>Hassiba Nassirou</t>
  </si>
  <si>
    <t>Houweila Adamou</t>
  </si>
  <si>
    <t xml:space="preserve">2013 à Yan doto Garin </t>
  </si>
  <si>
    <t>Yan doto</t>
  </si>
  <si>
    <t>Hadjara Haladou</t>
  </si>
  <si>
    <t>Oumeima Abdou Razak</t>
  </si>
  <si>
    <t>Ouma Salma Tsahirou</t>
  </si>
  <si>
    <t>Rafia Yahaya</t>
  </si>
  <si>
    <t>Roufeida Aboubacar</t>
  </si>
  <si>
    <t>Rafaâtou Yaou</t>
  </si>
  <si>
    <t>Rahiba Abdou</t>
  </si>
  <si>
    <t>Rachida Abou</t>
  </si>
  <si>
    <t>Samira Yaou</t>
  </si>
  <si>
    <t>Yahanazou Sabiou</t>
  </si>
  <si>
    <t>Moufida Haladou</t>
  </si>
  <si>
    <t>Bouchara Sani</t>
  </si>
  <si>
    <t>Oubeida Yaou</t>
  </si>
  <si>
    <t>Rafia Saminou</t>
  </si>
  <si>
    <t>Chamsia Abdou</t>
  </si>
  <si>
    <t>Djamila Amadou</t>
  </si>
  <si>
    <t>Alawiya Illa</t>
  </si>
  <si>
    <t xml:space="preserve">Djamila Illia </t>
  </si>
  <si>
    <t>Firdaoussi Garba</t>
  </si>
  <si>
    <t>Exclue</t>
  </si>
  <si>
    <t>Badariya Sani</t>
  </si>
  <si>
    <t>Aichatou Souley</t>
  </si>
  <si>
    <t>Zoulaha Tsahirou</t>
  </si>
  <si>
    <t>Rachida Illia</t>
  </si>
  <si>
    <t>Bouchira Illia</t>
  </si>
  <si>
    <t>Nassaifa Soufia</t>
  </si>
  <si>
    <t>Mabarouka  Boukari</t>
  </si>
  <si>
    <t>Charifa Yahaya</t>
  </si>
  <si>
    <t>Rakia Sani</t>
  </si>
  <si>
    <t>Charifa Garba</t>
  </si>
  <si>
    <t>Choukouriya Chitou</t>
  </si>
  <si>
    <t>Badia Aminou</t>
  </si>
  <si>
    <t>Rafia Issaka</t>
  </si>
  <si>
    <t>Ainaou Sani</t>
  </si>
  <si>
    <t>Djamila Aboubacar</t>
  </si>
  <si>
    <t>Najaatou Maman</t>
  </si>
  <si>
    <t>Oumal Kairi Maman</t>
  </si>
  <si>
    <t>Moufida Tsahirou</t>
  </si>
  <si>
    <t>Zaraou Abaché</t>
  </si>
  <si>
    <t>Hadiza Achirou</t>
  </si>
  <si>
    <t>Badi Issoufou</t>
  </si>
  <si>
    <t>Souéba Rabiou</t>
  </si>
  <si>
    <t>Hassana Baraou</t>
  </si>
  <si>
    <t>Roufaida Abdou</t>
  </si>
  <si>
    <t>Mariama Mamane</t>
  </si>
  <si>
    <t>Malika Issaka</t>
  </si>
  <si>
    <t>Rafia  Issaka</t>
  </si>
  <si>
    <t>Mansoura Nafiou</t>
  </si>
  <si>
    <t>Nadia Hamissou</t>
  </si>
  <si>
    <t>Zoubeinatou Issaka</t>
  </si>
  <si>
    <t>Soumaya Abdoul Aziz</t>
  </si>
  <si>
    <t>Badia Bacharou</t>
  </si>
  <si>
    <t>Choukouriya Miko</t>
  </si>
  <si>
    <t>Zeinab Illia</t>
  </si>
  <si>
    <t>Aichatou Ichaou</t>
  </si>
  <si>
    <t>Farida Adamou</t>
  </si>
  <si>
    <t>Salima Tsayabou</t>
  </si>
  <si>
    <t>Sayada Mamadou</t>
  </si>
  <si>
    <t>Foutouma Illia</t>
  </si>
  <si>
    <t>Nisseiba Yahouza</t>
  </si>
  <si>
    <t>Rafia Yaou</t>
  </si>
  <si>
    <t>Ousseina Baraou</t>
  </si>
  <si>
    <t>Chamsiya Issoufou</t>
  </si>
  <si>
    <t>Alsawa</t>
  </si>
  <si>
    <t>01/01/2015 à Alsawa</t>
  </si>
  <si>
    <t>ALSAWA</t>
  </si>
  <si>
    <t>Faria Almou</t>
  </si>
  <si>
    <t>Firdaoussi Laouali</t>
  </si>
  <si>
    <t>Habiba Hassane</t>
  </si>
  <si>
    <t>Hafiza Issoufou</t>
  </si>
  <si>
    <t>Daoussiya Tsahirou</t>
  </si>
  <si>
    <t>01/01/2013 à Alsawa</t>
  </si>
  <si>
    <t>Maâroufa Illa</t>
  </si>
  <si>
    <t>Mariama Hamidine</t>
  </si>
  <si>
    <t>Sadika Illa</t>
  </si>
  <si>
    <t>01/10/2013 à Alsawa</t>
  </si>
  <si>
    <t>Salima Mamane</t>
  </si>
  <si>
    <t>01/01/2013 à ALsaWa</t>
  </si>
  <si>
    <t>Sabia Achirou</t>
  </si>
  <si>
    <t xml:space="preserve">Zaharia Hachimou </t>
  </si>
  <si>
    <t>01/01/2013 â Alsawa</t>
  </si>
  <si>
    <t>Zeinabou Mamane</t>
  </si>
  <si>
    <t>Zeira Issa</t>
  </si>
  <si>
    <t>Yasmina Hassane</t>
  </si>
  <si>
    <t xml:space="preserve">Noms et Prénoms </t>
  </si>
  <si>
    <t xml:space="preserve">Dates et lieu de naissance </t>
  </si>
  <si>
    <t xml:space="preserve">Moyenne 1er trimestre </t>
  </si>
  <si>
    <t xml:space="preserve">Moyenne 2ème trimestre </t>
  </si>
  <si>
    <t xml:space="preserve">Moyenne 3ème trimestre </t>
  </si>
  <si>
    <t xml:space="preserve">Moyenne Annuelle </t>
  </si>
  <si>
    <t xml:space="preserve">Situation de passage redoublement  exclusion </t>
  </si>
  <si>
    <t>Safaraou Sani</t>
  </si>
  <si>
    <t xml:space="preserve">01/01/2012 à Tchido </t>
  </si>
  <si>
    <t xml:space="preserve">Tchido </t>
  </si>
  <si>
    <t>Sahiba Issaka</t>
  </si>
  <si>
    <t>Nisseifa Toukour</t>
  </si>
  <si>
    <t>01/01/2012 à Tchido</t>
  </si>
  <si>
    <t>Sakina Abdou</t>
  </si>
  <si>
    <t xml:space="preserve">01/01/2013 à Tchido </t>
  </si>
  <si>
    <t>Raziya Issa</t>
  </si>
  <si>
    <t>Choukouriya Saidou</t>
  </si>
  <si>
    <t>Rafi'a Hachimou</t>
  </si>
  <si>
    <t>Djamila Sani</t>
  </si>
  <si>
    <t>Zeitouna Hamza</t>
  </si>
  <si>
    <t>Saoudé Moussa</t>
  </si>
  <si>
    <t>Fati Sabiou</t>
  </si>
  <si>
    <t>Exclu</t>
  </si>
  <si>
    <t>Safiya Sani</t>
  </si>
  <si>
    <t>Ramatou Tsahirou</t>
  </si>
  <si>
    <t>Saratou Tsahirou</t>
  </si>
  <si>
    <t>Zouwéra Rabiou</t>
  </si>
  <si>
    <t>Wassila Sanouchi</t>
  </si>
  <si>
    <t>Sahiba Salifou</t>
  </si>
  <si>
    <t>Saadia Salifou</t>
  </si>
  <si>
    <t>Zahariya Laouali</t>
  </si>
  <si>
    <t>Kadidja Aboubacar</t>
  </si>
  <si>
    <t>Maryam Laouali</t>
  </si>
  <si>
    <t>Houéla Issa</t>
  </si>
  <si>
    <t>Zakiya Abdou</t>
  </si>
  <si>
    <t>Firdaoussi Hassan</t>
  </si>
  <si>
    <t>Zahariya Issaka</t>
  </si>
  <si>
    <t>Hanifa Ahibou</t>
  </si>
  <si>
    <t>Chappa Saadou</t>
  </si>
  <si>
    <t>Nisseifa Abdou</t>
  </si>
  <si>
    <t>Sakina Salifou</t>
  </si>
  <si>
    <t>Yahanatou Tsahirou</t>
  </si>
  <si>
    <t>Badariya Hamidine</t>
  </si>
  <si>
    <t>Fatima Ahidou</t>
  </si>
  <si>
    <t>Saadia Laouali</t>
  </si>
  <si>
    <t>Safaraou Yacouba</t>
  </si>
  <si>
    <t>Sourayya Harouna</t>
  </si>
  <si>
    <t>Badariya Harouna</t>
  </si>
  <si>
    <t>Safiya Inoussa</t>
  </si>
  <si>
    <t>Safaraou Sani A.Kaiem</t>
  </si>
  <si>
    <t>Sahara Roufai</t>
  </si>
  <si>
    <t>Nana Mariama Sabiou</t>
  </si>
  <si>
    <t>Nisseifa Harouna</t>
  </si>
  <si>
    <t>Safaraou Mourtala</t>
  </si>
  <si>
    <t>Izzatou Abou</t>
  </si>
  <si>
    <t>Rabi'a Hassan</t>
  </si>
  <si>
    <t>Oubeida Saidou</t>
  </si>
  <si>
    <t>Kagadama</t>
  </si>
  <si>
    <t>Azima Abdou</t>
  </si>
  <si>
    <t xml:space="preserve">01/01/13 à Kagadama </t>
  </si>
  <si>
    <t>Majida Salissou</t>
  </si>
  <si>
    <t>Zakia Halilou</t>
  </si>
  <si>
    <t>Mafida Mahamane</t>
  </si>
  <si>
    <t>Zeinab Saadou</t>
  </si>
  <si>
    <t>Oumeira Moussa</t>
  </si>
  <si>
    <t>Saliha Abdoul Hadi</t>
  </si>
  <si>
    <t>Kabira Tassiou</t>
  </si>
  <si>
    <t>Nisseifa Ibrahim</t>
  </si>
  <si>
    <t>Faouzia Issaka</t>
  </si>
  <si>
    <t>Patila Maman</t>
  </si>
  <si>
    <t>Saé Saboua CM1 contrôle</t>
  </si>
  <si>
    <t>Les écoles d'intervention Niveau CM2</t>
  </si>
  <si>
    <t>Les écoles d'intervention Niveau CM1</t>
  </si>
  <si>
    <t>N°d'ordre</t>
  </si>
  <si>
    <t>Effectifs</t>
  </si>
  <si>
    <t>Admissions</t>
  </si>
  <si>
    <t>Pourcentage</t>
  </si>
  <si>
    <t>Kadigaoua</t>
  </si>
  <si>
    <t>Kadata</t>
  </si>
  <si>
    <t>Mountarou Bermo</t>
  </si>
  <si>
    <t>Garin Bouwey</t>
  </si>
  <si>
    <t>Kountarou Mai rairai</t>
  </si>
  <si>
    <t xml:space="preserve">Barouana </t>
  </si>
  <si>
    <t>Dan Gamji</t>
  </si>
  <si>
    <t>Mountarou 1</t>
  </si>
  <si>
    <t>Saé Saboua</t>
  </si>
  <si>
    <t>Les écoles de contrôle CM2</t>
  </si>
  <si>
    <t>Les écoles de contrôle Niveau CM1</t>
  </si>
  <si>
    <t>Dan Gara</t>
  </si>
  <si>
    <t>Tsanna Publique</t>
  </si>
  <si>
    <t>Karambi Tsohoua</t>
  </si>
  <si>
    <t>Yan Doto Garin Malam</t>
  </si>
  <si>
    <t xml:space="preserve">Alsaoua </t>
  </si>
  <si>
    <t xml:space="preserve">Kagadama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</si>
</sst>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Calibri"/>
      <scheme val="minor"/>
    </font>
    <font>
      <b/>
      <sz val="12.0"/>
      <color theme="1"/>
      <name val="Times New Roman"/>
    </font>
    <font>
      <i/>
      <sz val="12.0"/>
      <color theme="1"/>
      <name val="Times New Roman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Times New Roman"/>
    </font>
    <font>
      <sz val="11.0"/>
      <color rgb="FFFF0000"/>
      <name val="Times New Roman"/>
    </font>
    <font>
      <sz val="11.0"/>
      <color rgb="FF00B050"/>
      <name val="Times New Roman"/>
    </font>
    <font>
      <sz val="11.0"/>
      <color theme="1"/>
      <name val="Calibri"/>
    </font>
    <font>
      <sz val="11.0"/>
      <color rgb="FFC00000"/>
      <name val="Times New Roman"/>
    </font>
    <font>
      <sz val="12.0"/>
      <color theme="1"/>
      <name val="Times New Roman"/>
    </font>
    <font>
      <sz val="11.0"/>
      <color rgb="FF000000"/>
      <name val="Times New Roman"/>
    </font>
    <font>
      <sz val="12.0"/>
      <color rgb="FF000000"/>
      <name val="Calibri"/>
    </font>
    <font/>
    <font>
      <b/>
      <sz val="12.0"/>
      <color rgb="FFFF0000"/>
      <name val="Times New Roman"/>
    </font>
    <font>
      <sz val="11.0"/>
      <color rgb="FF00B050"/>
      <name val="Calibri"/>
    </font>
    <font>
      <sz val="11.0"/>
      <color rgb="FFFF0000"/>
      <name val="Calibri"/>
    </font>
    <font>
      <b/>
      <sz val="11.0"/>
      <color theme="1"/>
      <name val="Times New Roman"/>
    </font>
    <font>
      <i/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Calibri"/>
    </font>
    <font>
      <b/>
      <u/>
      <sz val="11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rgb="FFFF0000"/>
      <name val="Times New Roman"/>
    </font>
    <font>
      <sz val="12.0"/>
      <color rgb="FF00B050"/>
      <name val="Times New Roman"/>
    </font>
    <font>
      <b/>
      <i/>
      <sz val="12.0"/>
      <color theme="1"/>
      <name val="Times New Roman"/>
    </font>
    <font>
      <sz val="10.0"/>
      <color theme="1"/>
      <name val="Calibri"/>
    </font>
    <font>
      <sz val="11.0"/>
      <color rgb="FF1D1B10"/>
      <name val="Times New Roman"/>
    </font>
    <font>
      <sz val="10.0"/>
      <color rgb="FF000000"/>
      <name val="Times New Roman"/>
    </font>
    <font>
      <sz val="10.0"/>
      <color rgb="FF000000"/>
      <name val="Calibri"/>
    </font>
    <font>
      <sz val="9.0"/>
      <color rgb="FF000000"/>
      <name val="Calibri"/>
    </font>
    <font>
      <sz val="9.0"/>
      <color rgb="FF000000"/>
      <name val="Times New Roman"/>
    </font>
    <font>
      <sz val="12.0"/>
      <color theme="1"/>
      <name val="Calibri"/>
    </font>
    <font>
      <b/>
      <sz val="9.0"/>
      <color rgb="FF000000"/>
      <name val="Calibri"/>
    </font>
    <font>
      <b/>
      <sz val="14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</fills>
  <borders count="5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3" fillId="0" fontId="6" numFmtId="0" xfId="0" applyAlignment="1" applyBorder="1" applyFont="1">
      <alignment shrinkToFit="0" vertical="top" wrapText="1"/>
    </xf>
    <xf borderId="4" fillId="2" fontId="6" numFmtId="0" xfId="0" applyAlignment="1" applyBorder="1" applyFill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5" fillId="0" fontId="6" numFmtId="2" xfId="0" applyAlignment="1" applyBorder="1" applyFont="1" applyNumberForma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6" numFmtId="2" xfId="0" applyAlignment="1" applyBorder="1" applyFont="1" applyNumberFormat="1">
      <alignment horizontal="right" shrinkToFit="0" vertical="top" wrapText="1"/>
    </xf>
    <xf borderId="0" fillId="0" fontId="1" numFmtId="0" xfId="0" applyAlignment="1" applyFont="1">
      <alignment shrinkToFit="0" vertical="top" wrapText="1"/>
    </xf>
    <xf borderId="6" fillId="2" fontId="1" numFmtId="0" xfId="0" applyAlignment="1" applyBorder="1" applyFont="1">
      <alignment shrinkToFit="0" vertical="top" wrapText="1"/>
    </xf>
    <xf borderId="0" fillId="0" fontId="4" numFmtId="0" xfId="0" applyFont="1"/>
    <xf borderId="0" fillId="0" fontId="4" numFmtId="10" xfId="0" applyFont="1" applyNumberFormat="1"/>
    <xf borderId="1" fillId="0" fontId="6" numFmtId="0" xfId="0" applyAlignment="1" applyBorder="1" applyFont="1">
      <alignment shrinkToFit="0" vertical="top" wrapText="1"/>
    </xf>
    <xf borderId="1" fillId="2" fontId="6" numFmtId="0" xfId="0" applyAlignment="1" applyBorder="1" applyFont="1">
      <alignment shrinkToFit="0" vertical="top" wrapText="1"/>
    </xf>
    <xf borderId="1" fillId="0" fontId="6" numFmtId="2" xfId="0" applyAlignment="1" applyBorder="1" applyFont="1" applyNumberFormat="1">
      <alignment shrinkToFit="0" vertical="top" wrapText="1"/>
    </xf>
    <xf borderId="5" fillId="0" fontId="8" numFmtId="0" xfId="0" applyAlignment="1" applyBorder="1" applyFont="1">
      <alignment shrinkToFit="0" vertical="top" wrapText="1"/>
    </xf>
    <xf borderId="7" fillId="0" fontId="1" numFmtId="0" xfId="0" applyAlignment="1" applyBorder="1" applyFont="1">
      <alignment shrinkToFit="0" vertical="top" wrapText="1"/>
    </xf>
    <xf borderId="8" fillId="2" fontId="1" numFmtId="0" xfId="0" applyAlignment="1" applyBorder="1" applyFont="1">
      <alignment shrinkToFit="0" vertical="top" wrapText="1"/>
    </xf>
    <xf borderId="9" fillId="0" fontId="1" numFmtId="0" xfId="0" applyAlignment="1" applyBorder="1" applyFont="1">
      <alignment shrinkToFit="0" vertical="top" wrapText="1"/>
    </xf>
    <xf borderId="9" fillId="0" fontId="1" numFmtId="2" xfId="0" applyAlignment="1" applyBorder="1" applyFont="1" applyNumberFormat="1">
      <alignment shrinkToFit="0" vertical="top" wrapText="1"/>
    </xf>
    <xf borderId="0" fillId="0" fontId="9" numFmtId="0" xfId="0" applyFont="1"/>
    <xf borderId="10" fillId="0" fontId="1" numFmtId="0" xfId="0" applyAlignment="1" applyBorder="1" applyFont="1">
      <alignment shrinkToFit="0" vertical="top" wrapText="1"/>
    </xf>
    <xf borderId="11" fillId="2" fontId="1" numFmtId="0" xfId="0" applyAlignment="1" applyBorder="1" applyFont="1">
      <alignment shrinkToFit="0" vertical="top" wrapText="1"/>
    </xf>
    <xf borderId="12" fillId="0" fontId="1" numFmtId="0" xfId="0" applyAlignment="1" applyBorder="1" applyFont="1">
      <alignment shrinkToFit="0" vertical="top" wrapText="1"/>
    </xf>
    <xf borderId="12" fillId="0" fontId="1" numFmtId="2" xfId="0" applyAlignment="1" applyBorder="1" applyFont="1" applyNumberFormat="1">
      <alignment shrinkToFit="0" vertical="top" wrapText="1"/>
    </xf>
    <xf borderId="0" fillId="0" fontId="9" numFmtId="10" xfId="0" applyFont="1" applyNumberFormat="1"/>
    <xf borderId="13" fillId="2" fontId="1" numFmtId="0" xfId="0" applyAlignment="1" applyBorder="1" applyFont="1">
      <alignment shrinkToFit="0" vertical="top" wrapText="1"/>
    </xf>
    <xf borderId="4" fillId="2" fontId="8" numFmtId="0" xfId="0" applyAlignment="1" applyBorder="1" applyFont="1">
      <alignment shrinkToFit="0" vertical="top" wrapText="1"/>
    </xf>
    <xf borderId="5" fillId="0" fontId="10" numFmtId="0" xfId="0" applyAlignment="1" applyBorder="1" applyFont="1">
      <alignment shrinkToFit="0" vertical="top" wrapText="1"/>
    </xf>
    <xf borderId="9" fillId="0" fontId="11" numFmtId="0" xfId="0" applyAlignment="1" applyBorder="1" applyFont="1">
      <alignment shrinkToFit="0" vertical="top" wrapText="1"/>
    </xf>
    <xf borderId="12" fillId="0" fontId="11" numFmtId="0" xfId="0" applyAlignment="1" applyBorder="1" applyFont="1">
      <alignment shrinkToFit="0" vertical="top" wrapText="1"/>
    </xf>
    <xf borderId="3" fillId="0" fontId="12" numFmtId="0" xfId="0" applyAlignment="1" applyBorder="1" applyFont="1">
      <alignment horizontal="center"/>
    </xf>
    <xf borderId="4" fillId="2" fontId="12" numFmtId="0" xfId="0" applyBorder="1" applyFont="1"/>
    <xf borderId="5" fillId="0" fontId="12" numFmtId="0" xfId="0" applyBorder="1" applyFont="1"/>
    <xf borderId="5" fillId="0" fontId="12" numFmtId="2" xfId="0" applyAlignment="1" applyBorder="1" applyFont="1" applyNumberFormat="1">
      <alignment horizontal="right"/>
    </xf>
    <xf borderId="5" fillId="0" fontId="8" numFmtId="0" xfId="0" applyBorder="1" applyFont="1"/>
    <xf borderId="5" fillId="0" fontId="7" numFmtId="0" xfId="0" applyBorder="1" applyFont="1"/>
    <xf borderId="0" fillId="0" fontId="13" numFmtId="0" xfId="0" applyAlignment="1" applyFont="1">
      <alignment horizontal="center" shrinkToFit="0" wrapText="0"/>
    </xf>
    <xf borderId="6" fillId="2" fontId="13" numFmtId="0" xfId="0" applyAlignment="1" applyBorder="1" applyFont="1">
      <alignment shrinkToFit="0" wrapText="0"/>
    </xf>
    <xf borderId="0" fillId="0" fontId="13" numFmtId="0" xfId="0" applyAlignment="1" applyFont="1">
      <alignment shrinkToFit="0" wrapText="0"/>
    </xf>
    <xf borderId="0" fillId="0" fontId="13" numFmtId="0" xfId="0" applyAlignment="1" applyFont="1">
      <alignment horizontal="right" shrinkToFit="0" wrapText="0"/>
    </xf>
    <xf borderId="0" fillId="0" fontId="1" numFmtId="0" xfId="0" applyAlignment="1" applyFont="1">
      <alignment shrinkToFit="0" vertical="top" wrapText="0"/>
    </xf>
    <xf borderId="0" fillId="0" fontId="4" numFmtId="0" xfId="0" applyAlignment="1" applyFont="1">
      <alignment shrinkToFit="0" wrapText="0"/>
    </xf>
    <xf borderId="0" fillId="0" fontId="13" numFmtId="0" xfId="0" applyAlignment="1" applyFont="1">
      <alignment horizontal="center"/>
    </xf>
    <xf borderId="0" fillId="2" fontId="13" numFmtId="0" xfId="0" applyFont="1"/>
    <xf borderId="0" fillId="0" fontId="13" numFmtId="0" xfId="0" applyFont="1"/>
    <xf borderId="0" fillId="0" fontId="13" numFmtId="0" xfId="0" applyAlignment="1" applyFont="1">
      <alignment horizontal="right"/>
    </xf>
    <xf borderId="14" fillId="0" fontId="6" numFmtId="0" xfId="0" applyAlignment="1" applyBorder="1" applyFont="1">
      <alignment shrinkToFit="0" vertical="top" wrapText="1"/>
    </xf>
    <xf borderId="15" fillId="2" fontId="6" numFmtId="0" xfId="0" applyAlignment="1" applyBorder="1" applyFont="1">
      <alignment shrinkToFit="0" vertical="top" wrapText="1"/>
    </xf>
    <xf borderId="14" fillId="0" fontId="6" numFmtId="2" xfId="0" applyAlignment="1" applyBorder="1" applyFont="1" applyNumberFormat="1">
      <alignment shrinkToFit="0" vertical="top" wrapText="1"/>
    </xf>
    <xf borderId="3" fillId="0" fontId="14" numFmtId="0" xfId="0" applyBorder="1" applyFont="1"/>
    <xf borderId="12" fillId="0" fontId="12" numFmtId="2" xfId="0" applyAlignment="1" applyBorder="1" applyFont="1" applyNumberFormat="1">
      <alignment horizontal="right"/>
    </xf>
    <xf borderId="1" fillId="0" fontId="6" numFmtId="2" xfId="0" applyBorder="1" applyFont="1" applyNumberFormat="1"/>
    <xf borderId="4" fillId="2" fontId="10" numFmtId="0" xfId="0" applyAlignment="1" applyBorder="1" applyFont="1">
      <alignment shrinkToFit="0" vertical="top" wrapText="1"/>
    </xf>
    <xf borderId="1" fillId="0" fontId="12" numFmtId="2" xfId="0" applyAlignment="1" applyBorder="1" applyFont="1" applyNumberFormat="1">
      <alignment horizontal="right"/>
    </xf>
    <xf borderId="16" fillId="0" fontId="6" numFmtId="2" xfId="0" applyAlignment="1" applyBorder="1" applyFont="1" applyNumberFormat="1">
      <alignment shrinkToFit="0" vertical="top" wrapText="1"/>
    </xf>
    <xf borderId="17" fillId="0" fontId="6" numFmtId="0" xfId="0" applyAlignment="1" applyBorder="1" applyFont="1">
      <alignment shrinkToFit="0" vertical="top" wrapText="1"/>
    </xf>
    <xf borderId="17" fillId="2" fontId="6" numFmtId="0" xfId="0" applyAlignment="1" applyBorder="1" applyFont="1">
      <alignment shrinkToFit="0" vertical="top" wrapText="1"/>
    </xf>
    <xf borderId="17" fillId="0" fontId="6" numFmtId="2" xfId="0" applyAlignment="1" applyBorder="1" applyFont="1" applyNumberFormat="1">
      <alignment shrinkToFit="0" vertical="top" wrapText="1"/>
    </xf>
    <xf borderId="7" fillId="0" fontId="6" numFmtId="2" xfId="0" applyAlignment="1" applyBorder="1" applyFont="1" applyNumberFormat="1">
      <alignment shrinkToFit="0" vertical="top" wrapText="1"/>
    </xf>
    <xf borderId="18" fillId="0" fontId="6" numFmtId="0" xfId="0" applyAlignment="1" applyBorder="1" applyFont="1">
      <alignment shrinkToFit="0" vertical="top" wrapText="1"/>
    </xf>
    <xf borderId="10" fillId="0" fontId="14" numFmtId="0" xfId="0" applyBorder="1" applyFont="1"/>
    <xf borderId="5" fillId="0" fontId="14" numFmtId="0" xfId="0" applyBorder="1" applyFont="1"/>
    <xf borderId="19" fillId="0" fontId="14" numFmtId="0" xfId="0" applyBorder="1" applyFont="1"/>
    <xf borderId="14" fillId="0" fontId="14" numFmtId="0" xfId="0" applyBorder="1" applyFont="1"/>
    <xf borderId="10" fillId="0" fontId="6" numFmtId="0" xfId="0" applyAlignment="1" applyBorder="1" applyFont="1">
      <alignment shrinkToFit="0" vertical="top" wrapText="1"/>
    </xf>
    <xf borderId="20" fillId="2" fontId="6" numFmtId="0" xfId="0" applyAlignment="1" applyBorder="1" applyFont="1">
      <alignment shrinkToFit="0" vertical="top" wrapText="1"/>
    </xf>
    <xf borderId="21" fillId="0" fontId="6" numFmtId="0" xfId="0" applyAlignment="1" applyBorder="1" applyFont="1">
      <alignment shrinkToFit="0" vertical="top" wrapText="1"/>
    </xf>
    <xf borderId="0" fillId="2" fontId="1" numFmtId="0" xfId="0" applyAlignment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22" fillId="0" fontId="1" numFmtId="0" xfId="0" applyAlignment="1" applyBorder="1" applyFont="1">
      <alignment shrinkToFit="0" vertical="top" wrapText="1"/>
    </xf>
    <xf borderId="0" fillId="0" fontId="1" numFmtId="2" xfId="0" applyAlignment="1" applyFont="1" applyNumberFormat="1">
      <alignment shrinkToFit="0" vertical="top" wrapText="1"/>
    </xf>
    <xf borderId="0" fillId="0" fontId="15" numFmtId="0" xfId="0" applyAlignment="1" applyFont="1">
      <alignment shrinkToFit="0" vertical="top" wrapText="1"/>
    </xf>
    <xf borderId="1" fillId="2" fontId="9" numFmtId="0" xfId="0" applyAlignment="1" applyBorder="1" applyFont="1">
      <alignment horizontal="left"/>
    </xf>
    <xf borderId="1" fillId="2" fontId="9" numFmtId="0" xfId="0" applyBorder="1" applyFont="1"/>
    <xf borderId="1" fillId="0" fontId="9" numFmtId="0" xfId="0" applyBorder="1" applyFont="1"/>
    <xf borderId="6" fillId="2" fontId="9" numFmtId="0" xfId="0" applyAlignment="1" applyBorder="1" applyFont="1">
      <alignment horizontal="left"/>
    </xf>
    <xf borderId="1" fillId="0" fontId="16" numFmtId="0" xfId="0" applyBorder="1" applyFont="1"/>
    <xf borderId="0" fillId="0" fontId="6" numFmtId="2" xfId="0" applyFont="1" applyNumberFormat="1"/>
    <xf borderId="1" fillId="3" fontId="9" numFmtId="0" xfId="0" applyBorder="1" applyFill="1" applyFont="1"/>
    <xf borderId="23" fillId="0" fontId="17" numFmtId="0" xfId="0" applyBorder="1" applyFont="1"/>
    <xf borderId="6" fillId="2" fontId="9" numFmtId="0" xfId="0" applyBorder="1" applyFont="1"/>
    <xf borderId="1" fillId="2" fontId="9" numFmtId="0" xfId="0" applyAlignment="1" applyBorder="1" applyFont="1">
      <alignment shrinkToFit="0" wrapText="1"/>
    </xf>
    <xf borderId="24" fillId="0" fontId="6" numFmtId="2" xfId="0" applyBorder="1" applyFont="1" applyNumberFormat="1"/>
    <xf borderId="6" fillId="2" fontId="9" numFmtId="0" xfId="0" applyAlignment="1" applyBorder="1" applyFont="1">
      <alignment shrinkToFit="0" wrapText="1"/>
    </xf>
    <xf borderId="25" fillId="0" fontId="6" numFmtId="2" xfId="0" applyBorder="1" applyFont="1" applyNumberFormat="1"/>
    <xf borderId="26" fillId="2" fontId="9" numFmtId="0" xfId="0" applyBorder="1" applyFont="1"/>
    <xf borderId="27" fillId="0" fontId="6" numFmtId="2" xfId="0" applyBorder="1" applyFont="1" applyNumberFormat="1"/>
    <xf borderId="1" fillId="0" fontId="17" numFmtId="0" xfId="0" applyBorder="1" applyFont="1"/>
    <xf borderId="0" fillId="0" fontId="18" numFmtId="0" xfId="0" applyFont="1"/>
    <xf borderId="0" fillId="0" fontId="19" numFmtId="0" xfId="0" applyFont="1"/>
    <xf borderId="1" fillId="0" fontId="20" numFmtId="0" xfId="0" applyAlignment="1" applyBorder="1" applyFont="1">
      <alignment shrinkToFit="0" wrapText="1"/>
    </xf>
    <xf borderId="2" fillId="0" fontId="20" numFmtId="0" xfId="0" applyAlignment="1" applyBorder="1" applyFont="1">
      <alignment shrinkToFit="0" wrapText="1"/>
    </xf>
    <xf borderId="4" fillId="3" fontId="12" numFmtId="0" xfId="0" applyAlignment="1" applyBorder="1" applyFont="1">
      <alignment vertical="top"/>
    </xf>
    <xf borderId="5" fillId="0" fontId="8" numFmtId="0" xfId="0" applyAlignment="1" applyBorder="1" applyFont="1">
      <alignment vertical="top"/>
    </xf>
    <xf borderId="4" fillId="3" fontId="12" numFmtId="0" xfId="0" applyBorder="1" applyFont="1"/>
    <xf borderId="4" fillId="2" fontId="12" numFmtId="2" xfId="0" applyAlignment="1" applyBorder="1" applyFont="1" applyNumberFormat="1">
      <alignment horizontal="right"/>
    </xf>
    <xf borderId="7" fillId="0" fontId="21" numFmtId="0" xfId="0" applyBorder="1" applyFont="1"/>
    <xf borderId="9" fillId="0" fontId="14" numFmtId="0" xfId="0" applyBorder="1" applyFont="1"/>
    <xf borderId="0" fillId="0" fontId="22" numFmtId="0" xfId="0" applyFont="1"/>
    <xf borderId="1" fillId="0" fontId="18" numFmtId="0" xfId="0" applyAlignment="1" applyBorder="1" applyFont="1">
      <alignment shrinkToFit="0" vertical="top" wrapText="1"/>
    </xf>
    <xf borderId="2" fillId="0" fontId="18" numFmtId="0" xfId="0" applyAlignment="1" applyBorder="1" applyFont="1">
      <alignment shrinkToFit="0" vertical="top" wrapText="1"/>
    </xf>
    <xf borderId="0" fillId="0" fontId="11" numFmtId="0" xfId="0" applyFont="1"/>
    <xf borderId="1" fillId="0" fontId="23" numFmtId="0" xfId="0" applyAlignment="1" applyBorder="1" applyFont="1">
      <alignment shrinkToFit="0" wrapText="1"/>
    </xf>
    <xf borderId="2" fillId="0" fontId="23" numFmtId="0" xfId="0" applyAlignment="1" applyBorder="1" applyFont="1">
      <alignment shrinkToFit="0" wrapText="1"/>
    </xf>
    <xf borderId="3" fillId="0" fontId="12" numFmtId="0" xfId="0" applyBorder="1" applyFont="1"/>
    <xf borderId="5" fillId="0" fontId="12" numFmtId="2" xfId="0" applyAlignment="1" applyBorder="1" applyFont="1" applyNumberFormat="1">
      <alignment horizontal="right" shrinkToFit="0" wrapText="1"/>
    </xf>
    <xf borderId="4" fillId="3" fontId="17" numFmtId="0" xfId="0" applyAlignment="1" applyBorder="1" applyFont="1">
      <alignment horizontal="left" vertical="top"/>
    </xf>
    <xf borderId="0" fillId="0" fontId="9" numFmtId="0" xfId="0" applyAlignment="1" applyFont="1">
      <alignment readingOrder="0"/>
    </xf>
    <xf borderId="5" fillId="0" fontId="21" numFmtId="2" xfId="0" applyAlignment="1" applyBorder="1" applyFont="1" applyNumberFormat="1">
      <alignment horizontal="right"/>
    </xf>
    <xf borderId="5" fillId="0" fontId="17" numFmtId="0" xfId="0" applyAlignment="1" applyBorder="1" applyFont="1">
      <alignment horizontal="left"/>
    </xf>
    <xf borderId="5" fillId="0" fontId="17" numFmtId="0" xfId="0" applyAlignment="1" applyBorder="1" applyFont="1">
      <alignment horizontal="left" vertical="top"/>
    </xf>
    <xf borderId="5" fillId="0" fontId="9" numFmtId="2" xfId="0" applyAlignment="1" applyBorder="1" applyFont="1" applyNumberFormat="1">
      <alignment horizontal="right"/>
    </xf>
    <xf borderId="7" fillId="0" fontId="11" numFmtId="0" xfId="0" applyAlignment="1" applyBorder="1" applyFont="1">
      <alignment shrinkToFit="0" vertical="top" wrapText="1"/>
    </xf>
    <xf borderId="18" fillId="0" fontId="14" numFmtId="0" xfId="0" applyBorder="1" applyFont="1"/>
    <xf borderId="12" fillId="0" fontId="14" numFmtId="0" xfId="0" applyBorder="1" applyFont="1"/>
    <xf borderId="5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vertical="top" wrapText="1"/>
    </xf>
    <xf borderId="5" fillId="0" fontId="24" numFmtId="0" xfId="0" applyBorder="1" applyFont="1"/>
    <xf borderId="5" fillId="0" fontId="6" numFmtId="0" xfId="0" applyAlignment="1" applyBorder="1" applyFont="1">
      <alignment horizontal="right" shrinkToFit="0" vertical="top" wrapText="1"/>
    </xf>
    <xf borderId="4" fillId="3" fontId="6" numFmtId="0" xfId="0" applyAlignment="1" applyBorder="1" applyFont="1">
      <alignment shrinkToFit="0" vertical="top" wrapText="1"/>
    </xf>
    <xf borderId="5" fillId="0" fontId="25" numFmtId="0" xfId="0" applyBorder="1" applyFont="1"/>
    <xf borderId="5" fillId="0" fontId="26" numFmtId="0" xfId="0" applyBorder="1" applyFont="1"/>
    <xf borderId="0" fillId="0" fontId="5" numFmtId="0" xfId="0" applyFont="1"/>
    <xf borderId="1" fillId="0" fontId="24" numFmtId="0" xfId="0" applyAlignment="1" applyBorder="1" applyFont="1">
      <alignment horizontal="center"/>
    </xf>
    <xf borderId="1" fillId="0" fontId="12" numFmtId="0" xfId="0" applyAlignment="1" applyBorder="1" applyFont="1">
      <alignment horizontal="right"/>
    </xf>
    <xf borderId="1" fillId="0" fontId="6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left"/>
    </xf>
    <xf borderId="1" fillId="0" fontId="12" numFmtId="2" xfId="0" applyAlignment="1" applyBorder="1" applyFont="1" applyNumberFormat="1">
      <alignment horizontal="right" shrinkToFit="0" wrapText="1"/>
    </xf>
    <xf borderId="1" fillId="0" fontId="7" numFmtId="0" xfId="0" applyAlignment="1" applyBorder="1" applyFont="1">
      <alignment horizontal="left"/>
    </xf>
    <xf borderId="0" fillId="0" fontId="9" numFmtId="0" xfId="0" applyAlignment="1" applyFont="1">
      <alignment shrinkToFit="0" wrapText="1"/>
    </xf>
    <xf borderId="5" fillId="0" fontId="6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1" fillId="0" fontId="6" numFmtId="0" xfId="0" applyBorder="1" applyFont="1"/>
    <xf borderId="12" fillId="0" fontId="12" numFmtId="2" xfId="0" applyAlignment="1" applyBorder="1" applyFont="1" applyNumberFormat="1">
      <alignment horizontal="right" shrinkToFit="0" wrapText="1"/>
    </xf>
    <xf borderId="1" fillId="0" fontId="6" numFmtId="0" xfId="0" applyAlignment="1" applyBorder="1" applyFont="1">
      <alignment horizontal="right"/>
    </xf>
    <xf borderId="1" fillId="0" fontId="6" numFmtId="0" xfId="0" applyAlignment="1" applyBorder="1" applyFont="1">
      <alignment horizontal="right" shrinkToFit="0" vertical="top" wrapText="1"/>
    </xf>
    <xf borderId="2" fillId="0" fontId="6" numFmtId="0" xfId="0" applyAlignment="1" applyBorder="1" applyFont="1">
      <alignment shrinkToFit="0" vertical="top" wrapText="1"/>
    </xf>
    <xf borderId="2" fillId="0" fontId="6" numFmtId="2" xfId="0" applyAlignment="1" applyBorder="1" applyFont="1" applyNumberFormat="1">
      <alignment horizontal="right" shrinkToFit="0" vertical="top" wrapText="1"/>
    </xf>
    <xf borderId="28" fillId="3" fontId="6" numFmtId="0" xfId="0" applyAlignment="1" applyBorder="1" applyFont="1">
      <alignment horizontal="left" shrinkToFit="0" vertical="top" wrapText="1"/>
    </xf>
    <xf borderId="1" fillId="0" fontId="6" numFmtId="2" xfId="0" applyAlignment="1" applyBorder="1" applyFont="1" applyNumberFormat="1">
      <alignment horizontal="right"/>
    </xf>
    <xf borderId="2" fillId="0" fontId="18" numFmtId="0" xfId="0" applyAlignment="1" applyBorder="1" applyFont="1">
      <alignment readingOrder="0" shrinkToFit="0" vertical="top" wrapText="1"/>
    </xf>
    <xf borderId="29" fillId="0" fontId="18" numFmtId="0" xfId="0" applyAlignment="1" applyBorder="1" applyFont="1">
      <alignment shrinkToFit="0" vertical="top" wrapText="1"/>
    </xf>
    <xf borderId="30" fillId="0" fontId="18" numFmtId="0" xfId="0" applyAlignment="1" applyBorder="1" applyFont="1">
      <alignment shrinkToFit="0" vertical="top" wrapText="1"/>
    </xf>
    <xf borderId="31" fillId="0" fontId="18" numFmtId="0" xfId="0" applyAlignment="1" applyBorder="1" applyFont="1">
      <alignment shrinkToFit="0" vertical="top" wrapText="1"/>
    </xf>
    <xf borderId="5" fillId="0" fontId="6" numFmtId="2" xfId="0" applyAlignment="1" applyBorder="1" applyFont="1" applyNumberFormat="1">
      <alignment horizontal="center" shrinkToFit="0" vertical="top" wrapText="1"/>
    </xf>
    <xf borderId="1" fillId="0" fontId="6" numFmtId="2" xfId="0" applyAlignment="1" applyBorder="1" applyFont="1" applyNumberFormat="1">
      <alignment horizontal="center" shrinkToFit="0" vertical="top" wrapText="1"/>
    </xf>
    <xf borderId="1" fillId="0" fontId="7" numFmtId="0" xfId="0" applyBorder="1" applyFont="1"/>
    <xf borderId="29" fillId="0" fontId="6" numFmtId="2" xfId="0" applyAlignment="1" applyBorder="1" applyFont="1" applyNumberFormat="1">
      <alignment horizontal="center" shrinkToFit="0" vertical="top" wrapText="1"/>
    </xf>
    <xf borderId="25" fillId="0" fontId="9" numFmtId="0" xfId="0" applyAlignment="1" applyBorder="1" applyFont="1">
      <alignment readingOrder="0"/>
    </xf>
    <xf borderId="24" fillId="0" fontId="9" numFmtId="0" xfId="0" applyAlignment="1" applyBorder="1" applyFont="1">
      <alignment readingOrder="0"/>
    </xf>
    <xf borderId="1" fillId="0" fontId="10" numFmtId="0" xfId="0" applyBorder="1" applyFont="1"/>
    <xf borderId="17" fillId="0" fontId="23" numFmtId="0" xfId="0" applyAlignment="1" applyBorder="1" applyFont="1">
      <alignment horizontal="center"/>
    </xf>
    <xf borderId="17" fillId="0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 shrinkToFit="0" wrapText="1"/>
    </xf>
    <xf borderId="4" fillId="2" fontId="12" numFmtId="0" xfId="0" applyAlignment="1" applyBorder="1" applyFont="1">
      <alignment horizontal="center"/>
    </xf>
    <xf borderId="1" fillId="0" fontId="12" numFmtId="2" xfId="0" applyAlignment="1" applyBorder="1" applyFont="1" applyNumberFormat="1">
      <alignment horizontal="center" shrinkToFit="0" wrapText="1"/>
    </xf>
    <xf borderId="5" fillId="0" fontId="12" numFmtId="2" xfId="0" applyAlignment="1" applyBorder="1" applyFont="1" applyNumberFormat="1">
      <alignment horizontal="center" shrinkToFit="0" wrapText="1"/>
    </xf>
    <xf borderId="5" fillId="0" fontId="12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center" shrinkToFit="0" wrapText="1"/>
    </xf>
    <xf borderId="0" fillId="0" fontId="9" numFmtId="0" xfId="0" applyAlignment="1" applyFont="1">
      <alignment readingOrder="0" shrinkToFit="0" wrapText="1"/>
    </xf>
    <xf borderId="2" fillId="0" fontId="7" numFmtId="0" xfId="0" applyAlignment="1" applyBorder="1" applyFont="1">
      <alignment shrinkToFit="0" vertical="top" wrapText="1"/>
    </xf>
    <xf borderId="32" fillId="0" fontId="6" numFmtId="2" xfId="0" applyAlignment="1" applyBorder="1" applyFont="1" applyNumberFormat="1">
      <alignment shrinkToFit="0" vertical="top" wrapText="1"/>
    </xf>
    <xf borderId="29" fillId="0" fontId="6" numFmtId="2" xfId="0" applyAlignment="1" applyBorder="1" applyFont="1" applyNumberFormat="1">
      <alignment shrinkToFit="0" vertical="top" wrapText="1"/>
    </xf>
    <xf borderId="12" fillId="0" fontId="6" numFmtId="2" xfId="0" applyAlignment="1" applyBorder="1" applyFont="1" applyNumberForma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9" fillId="0" fontId="9" numFmtId="0" xfId="0" applyAlignment="1" applyBorder="1" applyFont="1">
      <alignment shrinkToFit="0" wrapText="1"/>
    </xf>
    <xf borderId="0" fillId="0" fontId="27" numFmtId="0" xfId="0" applyAlignment="1" applyFont="1">
      <alignment horizontal="left"/>
    </xf>
    <xf borderId="33" fillId="0" fontId="1" numFmtId="0" xfId="0" applyAlignment="1" applyBorder="1" applyFont="1">
      <alignment shrinkToFit="0" vertical="top" wrapText="1"/>
    </xf>
    <xf borderId="34" fillId="0" fontId="6" numFmtId="0" xfId="0" applyBorder="1" applyFont="1"/>
    <xf borderId="35" fillId="0" fontId="7" numFmtId="0" xfId="0" applyBorder="1" applyFont="1"/>
    <xf borderId="35" fillId="0" fontId="6" numFmtId="0" xfId="0" applyBorder="1" applyFont="1"/>
    <xf borderId="35" fillId="0" fontId="1" numFmtId="0" xfId="0" applyAlignment="1" applyBorder="1" applyFont="1">
      <alignment shrinkToFit="0" vertical="top" wrapText="1"/>
    </xf>
    <xf borderId="35" fillId="0" fontId="9" numFmtId="0" xfId="0" applyBorder="1" applyFont="1"/>
    <xf borderId="35" fillId="0" fontId="17" numFmtId="0" xfId="0" applyBorder="1" applyFont="1"/>
    <xf borderId="36" fillId="2" fontId="17" numFmtId="0" xfId="0" applyBorder="1" applyFont="1"/>
    <xf borderId="33" fillId="0" fontId="23" numFmtId="0" xfId="0" applyAlignment="1" applyBorder="1" applyFont="1">
      <alignment shrinkToFit="0" wrapText="1"/>
    </xf>
    <xf borderId="32" fillId="0" fontId="12" numFmtId="0" xfId="0" applyBorder="1" applyFont="1"/>
    <xf borderId="29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/>
    </xf>
    <xf borderId="17" fillId="0" fontId="6" numFmtId="0" xfId="0" applyAlignment="1" applyBorder="1" applyFont="1">
      <alignment horizontal="left"/>
    </xf>
    <xf borderId="37" fillId="0" fontId="9" numFmtId="0" xfId="0" applyBorder="1" applyFont="1"/>
    <xf borderId="17" fillId="0" fontId="7" numFmtId="0" xfId="0" applyAlignment="1" applyBorder="1" applyFont="1">
      <alignment horizontal="left"/>
    </xf>
    <xf borderId="3" fillId="0" fontId="6" numFmtId="0" xfId="0" applyAlignment="1" applyBorder="1" applyFont="1">
      <alignment horizontal="left"/>
    </xf>
    <xf borderId="1" fillId="0" fontId="1" numFmtId="0" xfId="0" applyBorder="1" applyFont="1"/>
    <xf borderId="6" fillId="2" fontId="21" numFmtId="0" xfId="0" applyBorder="1" applyFont="1"/>
    <xf borderId="12" fillId="0" fontId="12" numFmtId="2" xfId="0" applyAlignment="1" applyBorder="1" applyFont="1" applyNumberFormat="1">
      <alignment horizontal="center" shrinkToFit="0" wrapText="1"/>
    </xf>
    <xf borderId="28" fillId="2" fontId="12" numFmtId="0" xfId="0" applyBorder="1" applyFont="1"/>
    <xf borderId="5" fillId="0" fontId="21" numFmtId="2" xfId="0" applyAlignment="1" applyBorder="1" applyFont="1" applyNumberFormat="1">
      <alignment horizontal="center"/>
    </xf>
    <xf borderId="12" fillId="0" fontId="21" numFmtId="2" xfId="0" applyAlignment="1" applyBorder="1" applyFont="1" applyNumberFormat="1">
      <alignment horizontal="center"/>
    </xf>
    <xf borderId="4" fillId="2" fontId="9" numFmtId="0" xfId="0" applyAlignment="1" applyBorder="1" applyFont="1">
      <alignment shrinkToFit="0" vertical="top" wrapText="1"/>
    </xf>
    <xf borderId="5" fillId="0" fontId="9" numFmtId="2" xfId="0" applyAlignment="1" applyBorder="1" applyFont="1" applyNumberFormat="1">
      <alignment shrinkToFit="0" vertical="top" wrapText="1"/>
    </xf>
    <xf borderId="12" fillId="0" fontId="9" numFmtId="2" xfId="0" applyAlignment="1" applyBorder="1" applyFont="1" applyNumberFormat="1">
      <alignment shrinkToFit="0" vertical="top" wrapText="1"/>
    </xf>
    <xf borderId="1" fillId="0" fontId="9" numFmtId="2" xfId="0" applyAlignment="1" applyBorder="1" applyFont="1" applyNumberFormat="1">
      <alignment shrinkToFit="0" vertical="top" wrapText="1"/>
    </xf>
    <xf borderId="1" fillId="0" fontId="11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shrinkToFit="0" vertical="top" wrapText="1"/>
    </xf>
    <xf borderId="0" fillId="0" fontId="28" numFmtId="0" xfId="0" applyAlignment="1" applyFont="1">
      <alignment shrinkToFit="0" vertical="top" wrapText="1"/>
    </xf>
    <xf borderId="38" fillId="0" fontId="28" numFmtId="0" xfId="0" applyAlignment="1" applyBorder="1" applyFont="1">
      <alignment shrinkToFit="0" vertical="top" wrapText="1"/>
    </xf>
    <xf borderId="39" fillId="2" fontId="28" numFmtId="0" xfId="0" applyAlignment="1" applyBorder="1" applyFont="1">
      <alignment shrinkToFit="0" vertical="top" wrapText="1"/>
    </xf>
    <xf borderId="9" fillId="0" fontId="28" numFmtId="0" xfId="0" applyAlignment="1" applyBorder="1" applyFont="1">
      <alignment shrinkToFit="0" vertical="top" wrapText="1"/>
    </xf>
    <xf borderId="40" fillId="0" fontId="28" numFmtId="0" xfId="0" applyAlignment="1" applyBorder="1" applyFont="1">
      <alignment shrinkToFit="0" vertical="top" wrapText="1"/>
    </xf>
    <xf borderId="41" fillId="2" fontId="28" numFmtId="0" xfId="0" applyAlignment="1" applyBorder="1" applyFont="1">
      <alignment horizontal="center" shrinkToFit="0" vertical="top" wrapText="1"/>
    </xf>
    <xf borderId="22" fillId="0" fontId="1" numFmtId="0" xfId="0" applyAlignment="1" applyBorder="1" applyFont="1">
      <alignment readingOrder="0" shrinkToFit="0" vertical="top" wrapText="1"/>
    </xf>
    <xf borderId="40" fillId="0" fontId="14" numFmtId="0" xfId="0" applyBorder="1" applyFont="1"/>
    <xf borderId="42" fillId="0" fontId="6" numFmtId="0" xfId="0" applyBorder="1" applyFont="1"/>
    <xf borderId="43" fillId="0" fontId="9" numFmtId="0" xfId="0" applyBorder="1" applyFont="1"/>
    <xf borderId="44" fillId="0" fontId="14" numFmtId="0" xfId="0" applyBorder="1" applyFont="1"/>
    <xf borderId="42" fillId="0" fontId="14" numFmtId="0" xfId="0" applyBorder="1" applyFont="1"/>
    <xf borderId="12" fillId="0" fontId="9" numFmtId="0" xfId="0" applyBorder="1" applyFont="1"/>
    <xf borderId="17" fillId="0" fontId="6" numFmtId="0" xfId="0" applyAlignment="1" applyBorder="1" applyFont="1">
      <alignment horizontal="right"/>
    </xf>
    <xf borderId="17" fillId="0" fontId="6" numFmtId="0" xfId="0" applyAlignment="1" applyBorder="1" applyFont="1">
      <alignment readingOrder="0" shrinkToFit="0" vertical="top" wrapText="1"/>
    </xf>
    <xf borderId="45" fillId="0" fontId="6" numFmtId="0" xfId="0" applyAlignment="1" applyBorder="1" applyFont="1">
      <alignment shrinkToFit="0" vertical="top" wrapText="1"/>
    </xf>
    <xf borderId="17" fillId="0" fontId="6" numFmtId="2" xfId="0" applyAlignment="1" applyBorder="1" applyFont="1" applyNumberFormat="1">
      <alignment horizontal="right" shrinkToFit="0" vertical="top" wrapText="1"/>
    </xf>
    <xf borderId="46" fillId="0" fontId="14" numFmtId="0" xfId="0" applyBorder="1" applyFont="1"/>
    <xf borderId="17" fillId="0" fontId="6" numFmtId="0" xfId="0" applyAlignment="1" applyBorder="1" applyFont="1">
      <alignment horizontal="center" shrinkToFit="0" vertical="top" wrapText="1"/>
    </xf>
    <xf borderId="17" fillId="0" fontId="7" numFmtId="0" xfId="0" applyAlignment="1" applyBorder="1" applyFont="1">
      <alignment horizontal="left" shrinkToFit="0" vertical="top" wrapText="1"/>
    </xf>
    <xf borderId="0" fillId="0" fontId="6" numFmtId="0" xfId="0" applyFont="1"/>
    <xf borderId="17" fillId="0" fontId="7" numFmtId="0" xfId="0" applyAlignment="1" applyBorder="1" applyFont="1">
      <alignment shrinkToFit="0" vertical="top" wrapText="1"/>
    </xf>
    <xf borderId="5" fillId="0" fontId="12" numFmtId="2" xfId="0" applyAlignment="1" applyBorder="1" applyFont="1" applyNumberFormat="1">
      <alignment horizontal="center"/>
    </xf>
    <xf borderId="1" fillId="0" fontId="6" numFmtId="2" xfId="0" applyAlignment="1" applyBorder="1" applyFont="1" applyNumberFormat="1">
      <alignment horizontal="right" shrinkToFit="0" vertical="top" wrapText="1"/>
    </xf>
    <xf borderId="0" fillId="0" fontId="1" numFmtId="0" xfId="0" applyAlignment="1" applyFont="1">
      <alignment horizontal="center"/>
    </xf>
    <xf borderId="1" fillId="2" fontId="29" numFmtId="0" xfId="0" applyBorder="1" applyFont="1"/>
    <xf borderId="1" fillId="2" fontId="6" numFmtId="0" xfId="0" applyBorder="1" applyFont="1"/>
    <xf borderId="1" fillId="2" fontId="6" numFmtId="0" xfId="0" applyAlignment="1" applyBorder="1" applyFont="1">
      <alignment horizontal="left"/>
    </xf>
    <xf borderId="0" fillId="0" fontId="28" numFmtId="2" xfId="0" applyAlignment="1" applyFont="1" applyNumberFormat="1">
      <alignment shrinkToFit="0" vertical="top" wrapText="1"/>
    </xf>
    <xf borderId="9" fillId="0" fontId="28" numFmtId="2" xfId="0" applyAlignment="1" applyBorder="1" applyFont="1" applyNumberFormat="1">
      <alignment shrinkToFit="0" vertical="top" wrapText="1"/>
    </xf>
    <xf borderId="5" fillId="0" fontId="6" numFmtId="0" xfId="0" applyBorder="1" applyFont="1"/>
    <xf borderId="5" fillId="0" fontId="6" numFmtId="2" xfId="0" applyAlignment="1" applyBorder="1" applyFont="1" applyNumberFormat="1">
      <alignment horizontal="right"/>
    </xf>
    <xf borderId="0" fillId="0" fontId="9" numFmtId="0" xfId="0" applyAlignment="1" applyFont="1">
      <alignment shrinkToFit="0" vertical="top" wrapText="1"/>
    </xf>
    <xf borderId="0" fillId="0" fontId="21" numFmtId="2" xfId="0" applyAlignment="1" applyFont="1" applyNumberFormat="1">
      <alignment horizontal="right"/>
    </xf>
    <xf borderId="9" fillId="0" fontId="9" numFmtId="0" xfId="0" applyAlignment="1" applyBorder="1" applyFont="1">
      <alignment shrinkToFit="0" vertical="top" wrapText="1"/>
    </xf>
    <xf borderId="12" fillId="0" fontId="21" numFmtId="2" xfId="0" applyAlignment="1" applyBorder="1" applyFont="1" applyNumberFormat="1">
      <alignment horizontal="right"/>
    </xf>
    <xf borderId="1" fillId="0" fontId="21" numFmtId="0" xfId="0" applyAlignment="1" applyBorder="1" applyFont="1">
      <alignment horizontal="right" shrinkToFit="0" vertical="top" wrapText="1"/>
    </xf>
    <xf borderId="1" fillId="0" fontId="12" numFmtId="0" xfId="0" applyAlignment="1" applyBorder="1" applyFont="1">
      <alignment shrinkToFit="0" vertical="top" wrapText="1"/>
    </xf>
    <xf borderId="1" fillId="0" fontId="12" numFmtId="2" xfId="0" applyAlignment="1" applyBorder="1" applyFont="1" applyNumberFormat="1">
      <alignment shrinkToFit="0" vertical="top" wrapText="1"/>
    </xf>
    <xf borderId="3" fillId="0" fontId="21" numFmtId="0" xfId="0" applyAlignment="1" applyBorder="1" applyFont="1">
      <alignment horizontal="right" shrinkToFit="0" vertical="top" wrapText="1"/>
    </xf>
    <xf borderId="5" fillId="0" fontId="12" numFmtId="0" xfId="0" applyAlignment="1" applyBorder="1" applyFont="1">
      <alignment shrinkToFit="0" vertical="top" wrapText="1"/>
    </xf>
    <xf borderId="5" fillId="0" fontId="12" numFmtId="2" xfId="0" applyAlignment="1" applyBorder="1" applyFont="1" applyNumberFormat="1">
      <alignment shrinkToFit="0" vertical="top" wrapText="1"/>
    </xf>
    <xf borderId="3" fillId="0" fontId="12" numFmtId="0" xfId="0" applyAlignment="1" applyBorder="1" applyFont="1">
      <alignment horizontal="right" shrinkToFit="0" vertical="top" wrapText="1"/>
    </xf>
    <xf borderId="4" fillId="3" fontId="12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horizontal="right" shrinkToFit="0" vertical="top" wrapText="1"/>
    </xf>
    <xf borderId="2" fillId="0" fontId="12" numFmtId="0" xfId="0" applyAlignment="1" applyBorder="1" applyFont="1">
      <alignment shrinkToFit="0" vertical="top" wrapText="1"/>
    </xf>
    <xf borderId="2" fillId="0" fontId="12" numFmtId="2" xfId="0" applyAlignment="1" applyBorder="1" applyFont="1" applyNumberFormat="1">
      <alignment shrinkToFit="0" vertical="top" wrapText="1"/>
    </xf>
    <xf borderId="1" fillId="0" fontId="12" numFmtId="0" xfId="0" applyBorder="1" applyFont="1"/>
    <xf borderId="2" fillId="0" fontId="12" numFmtId="0" xfId="0" applyBorder="1" applyFont="1"/>
    <xf borderId="1" fillId="0" fontId="12" numFmtId="0" xfId="0" applyAlignment="1" applyBorder="1" applyFont="1">
      <alignment horizontal="left" shrinkToFit="0" wrapText="1"/>
    </xf>
    <xf borderId="3" fillId="0" fontId="21" numFmtId="0" xfId="0" applyBorder="1" applyFont="1"/>
    <xf borderId="5" fillId="0" fontId="21" numFmtId="0" xfId="0" applyBorder="1" applyFont="1"/>
    <xf borderId="5" fillId="0" fontId="7" numFmtId="0" xfId="0" applyAlignment="1" applyBorder="1" applyFont="1">
      <alignment horizontal="left" shrinkToFit="0" wrapText="1"/>
    </xf>
    <xf borderId="5" fillId="0" fontId="12" numFmtId="0" xfId="0" applyAlignment="1" applyBorder="1" applyFont="1">
      <alignment horizontal="left" shrinkToFit="0" wrapText="1"/>
    </xf>
    <xf borderId="4" fillId="3" fontId="12" numFmtId="0" xfId="0" applyAlignment="1" applyBorder="1" applyFont="1">
      <alignment horizontal="left" shrinkToFit="0" wrapText="1"/>
    </xf>
    <xf borderId="0" fillId="0" fontId="30" numFmtId="0" xfId="0" applyFont="1"/>
    <xf borderId="0" fillId="0" fontId="31" numFmtId="0" xfId="0" applyFont="1"/>
    <xf borderId="0" fillId="0" fontId="21" numFmtId="0" xfId="0" applyFont="1"/>
    <xf borderId="0" fillId="0" fontId="30" numFmtId="0" xfId="0" applyAlignment="1" applyFont="1">
      <alignment horizontal="center" shrinkToFit="0" wrapText="1"/>
    </xf>
    <xf borderId="9" fillId="0" fontId="21" numFmtId="2" xfId="0" applyAlignment="1" applyBorder="1" applyFont="1" applyNumberFormat="1">
      <alignment horizontal="right"/>
    </xf>
    <xf borderId="3" fillId="0" fontId="18" numFmtId="0" xfId="0" applyAlignment="1" applyBorder="1" applyFont="1">
      <alignment horizontal="center" shrinkToFit="0" vertical="top" wrapText="1"/>
    </xf>
    <xf borderId="5" fillId="0" fontId="18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shrinkToFit="0" vertical="top" wrapText="1"/>
    </xf>
    <xf borderId="29" fillId="0" fontId="18" numFmtId="0" xfId="0" applyAlignment="1" applyBorder="1" applyFont="1">
      <alignment horizontal="center" shrinkToFit="0" vertical="top" wrapText="1"/>
    </xf>
    <xf borderId="33" fillId="0" fontId="14" numFmtId="0" xfId="0" applyBorder="1" applyFont="1"/>
    <xf borderId="2" fillId="0" fontId="14" numFmtId="0" xfId="0" applyBorder="1" applyFont="1"/>
    <xf borderId="1" fillId="3" fontId="12" numFmtId="0" xfId="0" applyAlignment="1" applyBorder="1" applyFont="1">
      <alignment horizontal="left"/>
    </xf>
    <xf borderId="2" fillId="0" fontId="7" numFmtId="0" xfId="0" applyAlignment="1" applyBorder="1" applyFont="1">
      <alignment horizontal="left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37" fillId="0" fontId="32" numFmtId="0" xfId="0" applyAlignment="1" applyBorder="1" applyFont="1">
      <alignment horizontal="center"/>
    </xf>
    <xf borderId="0" fillId="0" fontId="33" numFmtId="0" xfId="0" applyAlignment="1" applyFont="1">
      <alignment horizontal="center"/>
    </xf>
    <xf borderId="16" fillId="0" fontId="34" numFmtId="0" xfId="0" applyAlignment="1" applyBorder="1" applyFont="1">
      <alignment shrinkToFit="0" vertical="top" wrapText="1"/>
    </xf>
    <xf borderId="0" fillId="0" fontId="33" numFmtId="0" xfId="0" applyAlignment="1" applyFont="1">
      <alignment horizontal="center" shrinkToFit="0" wrapText="1"/>
    </xf>
    <xf borderId="0" fillId="0" fontId="35" numFmtId="0" xfId="0" applyAlignment="1" applyFont="1">
      <alignment horizontal="center"/>
    </xf>
    <xf borderId="37" fillId="0" fontId="36" numFmtId="0" xfId="0" applyAlignment="1" applyBorder="1" applyFont="1">
      <alignment horizontal="center"/>
    </xf>
    <xf borderId="0" fillId="0" fontId="36" numFmtId="0" xfId="0" applyAlignment="1" applyFont="1">
      <alignment horizontal="center"/>
    </xf>
    <xf borderId="10" fillId="0" fontId="36" numFmtId="0" xfId="0" applyAlignment="1" applyBorder="1" applyFont="1">
      <alignment horizontal="center"/>
    </xf>
    <xf borderId="1" fillId="0" fontId="11" numFmtId="0" xfId="0" applyBorder="1" applyFont="1"/>
    <xf borderId="5" fillId="0" fontId="11" numFmtId="0" xfId="0" applyAlignment="1" applyBorder="1" applyFont="1">
      <alignment shrinkToFit="0" vertical="top" wrapText="1"/>
    </xf>
    <xf borderId="1" fillId="0" fontId="11" numFmtId="2" xfId="0" applyAlignment="1" applyBorder="1" applyFont="1" applyNumberFormat="1">
      <alignment shrinkToFit="0" vertical="top" wrapText="1"/>
    </xf>
    <xf borderId="1" fillId="0" fontId="25" numFmtId="0" xfId="0" applyAlignment="1" applyBorder="1" applyFont="1">
      <alignment shrinkToFit="0" vertical="top" wrapText="1"/>
    </xf>
    <xf borderId="3" fillId="0" fontId="11" numFmtId="0" xfId="0" applyAlignment="1" applyBorder="1" applyFont="1">
      <alignment shrinkToFit="0" vertical="top" wrapText="1"/>
    </xf>
    <xf borderId="5" fillId="0" fontId="11" numFmtId="2" xfId="0" applyAlignment="1" applyBorder="1" applyFont="1" applyNumberFormat="1">
      <alignment shrinkToFit="0" vertical="top" wrapText="1"/>
    </xf>
    <xf borderId="5" fillId="0" fontId="25" numFmtId="0" xfId="0" applyAlignment="1" applyBorder="1" applyFont="1">
      <alignment shrinkToFit="0" vertical="top" wrapText="1"/>
    </xf>
    <xf borderId="37" fillId="0" fontId="34" numFmtId="0" xfId="0" applyAlignment="1" applyBorder="1" applyFont="1">
      <alignment shrinkToFit="0" vertical="top" wrapText="1"/>
    </xf>
    <xf borderId="0" fillId="0" fontId="34" numFmtId="0" xfId="0" applyAlignment="1" applyFont="1">
      <alignment shrinkToFit="0" vertical="top" wrapText="1"/>
    </xf>
    <xf borderId="0" fillId="0" fontId="34" numFmtId="2" xfId="0" applyAlignment="1" applyFont="1" applyNumberFormat="1">
      <alignment shrinkToFit="0" vertical="top" wrapText="1"/>
    </xf>
    <xf borderId="16" fillId="0" fontId="21" numFmtId="2" xfId="0" applyAlignment="1" applyBorder="1" applyFont="1" applyNumberFormat="1">
      <alignment horizontal="right"/>
    </xf>
    <xf borderId="7" fillId="0" fontId="34" numFmtId="0" xfId="0" applyAlignment="1" applyBorder="1" applyFont="1">
      <alignment shrinkToFit="0" vertical="top" wrapText="1"/>
    </xf>
    <xf borderId="9" fillId="0" fontId="34" numFmtId="0" xfId="0" applyAlignment="1" applyBorder="1" applyFont="1">
      <alignment shrinkToFit="0" vertical="top" wrapText="1"/>
    </xf>
    <xf borderId="9" fillId="0" fontId="34" numFmtId="2" xfId="0" applyAlignment="1" applyBorder="1" applyFont="1" applyNumberFormat="1">
      <alignment shrinkToFit="0" vertical="top" wrapText="1"/>
    </xf>
    <xf borderId="0" fillId="0" fontId="6" numFmtId="10" xfId="0" applyAlignment="1" applyFont="1" applyNumberFormat="1">
      <alignment shrinkToFit="0" vertical="top" wrapText="1"/>
    </xf>
    <xf borderId="10" fillId="0" fontId="34" numFmtId="0" xfId="0" applyAlignment="1" applyBorder="1" applyFont="1">
      <alignment shrinkToFit="0" vertical="top" wrapText="1"/>
    </xf>
    <xf borderId="12" fillId="0" fontId="34" numFmtId="0" xfId="0" applyAlignment="1" applyBorder="1" applyFont="1">
      <alignment shrinkToFit="0" vertical="top" wrapText="1"/>
    </xf>
    <xf borderId="12" fillId="0" fontId="34" numFmtId="2" xfId="0" applyAlignment="1" applyBorder="1" applyFont="1" applyNumberFormat="1">
      <alignment shrinkToFit="0" vertical="top" wrapText="1"/>
    </xf>
    <xf borderId="1" fillId="0" fontId="23" numFmtId="0" xfId="0" applyAlignment="1" applyBorder="1" applyFont="1">
      <alignment horizontal="center"/>
    </xf>
    <xf borderId="2" fillId="0" fontId="23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right"/>
    </xf>
    <xf borderId="5" fillId="0" fontId="7" numFmtId="0" xfId="0" applyAlignment="1" applyBorder="1" applyFont="1">
      <alignment horizontal="left"/>
    </xf>
    <xf borderId="16" fillId="0" fontId="12" numFmtId="0" xfId="0" applyAlignment="1" applyBorder="1" applyFont="1">
      <alignment horizontal="center"/>
    </xf>
    <xf borderId="12" fillId="0" fontId="12" numFmtId="0" xfId="0" applyAlignment="1" applyBorder="1" applyFont="1">
      <alignment horizontal="center"/>
    </xf>
    <xf borderId="41" fillId="0" fontId="12" numFmtId="0" xfId="0" applyAlignment="1" applyBorder="1" applyFont="1">
      <alignment horizontal="center"/>
    </xf>
    <xf borderId="1" fillId="0" fontId="17" numFmtId="0" xfId="0" applyAlignment="1" applyBorder="1" applyFont="1">
      <alignment horizontal="left"/>
    </xf>
    <xf borderId="16" fillId="0" fontId="17" numFmtId="0" xfId="0" applyAlignment="1" applyBorder="1" applyFont="1">
      <alignment horizontal="left"/>
    </xf>
    <xf borderId="29" fillId="0" fontId="9" numFmtId="0" xfId="0" applyBorder="1" applyFont="1"/>
    <xf borderId="1" fillId="0" fontId="9" numFmtId="2" xfId="0" applyAlignment="1" applyBorder="1" applyFont="1" applyNumberFormat="1">
      <alignment horizontal="right"/>
    </xf>
    <xf borderId="14" fillId="0" fontId="6" numFmtId="0" xfId="0" applyAlignment="1" applyBorder="1" applyFont="1">
      <alignment horizontal="right"/>
    </xf>
    <xf borderId="14" fillId="0" fontId="9" numFmtId="0" xfId="0" applyBorder="1" applyFont="1"/>
    <xf borderId="1" fillId="0" fontId="9" numFmtId="0" xfId="0" applyAlignment="1" applyBorder="1" applyFont="1">
      <alignment horizontal="right"/>
    </xf>
    <xf borderId="16" fillId="0" fontId="9" numFmtId="2" xfId="0" applyAlignment="1" applyBorder="1" applyFont="1" applyNumberFormat="1">
      <alignment horizontal="right"/>
    </xf>
    <xf borderId="47" fillId="3" fontId="9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0" fillId="0" fontId="6" numFmtId="0" xfId="0" applyAlignment="1" applyFont="1">
      <alignment horizontal="right"/>
    </xf>
    <xf borderId="0" fillId="0" fontId="12" numFmtId="0" xfId="0" applyAlignment="1" applyFont="1">
      <alignment horizontal="center"/>
    </xf>
    <xf borderId="0" fillId="0" fontId="9" numFmtId="2" xfId="0" applyAlignment="1" applyFont="1" applyNumberFormat="1">
      <alignment horizontal="right"/>
    </xf>
    <xf borderId="0" fillId="0" fontId="9" numFmtId="0" xfId="0" applyAlignment="1" applyFont="1">
      <alignment horizontal="left"/>
    </xf>
    <xf borderId="0" fillId="0" fontId="11" numFmtId="0" xfId="0" applyAlignment="1" applyFont="1">
      <alignment horizontal="center"/>
    </xf>
    <xf borderId="3" fillId="0" fontId="12" numFmtId="0" xfId="0" applyAlignment="1" applyBorder="1" applyFont="1">
      <alignment horizontal="right"/>
    </xf>
    <xf borderId="1" fillId="0" fontId="9" numFmtId="2" xfId="0" applyBorder="1" applyFont="1" applyNumberFormat="1"/>
    <xf borderId="16" fillId="0" fontId="6" numFmtId="2" xfId="0" applyAlignment="1" applyBorder="1" applyFont="1" applyNumberFormat="1">
      <alignment horizontal="right"/>
    </xf>
    <xf borderId="16" fillId="0" fontId="12" numFmtId="2" xfId="0" applyAlignment="1" applyBorder="1" applyFont="1" applyNumberFormat="1">
      <alignment horizontal="right"/>
    </xf>
    <xf borderId="48" fillId="3" fontId="9" numFmtId="0" xfId="0" applyBorder="1" applyFont="1"/>
    <xf borderId="49" fillId="0" fontId="14" numFmtId="0" xfId="0" applyBorder="1" applyFont="1"/>
    <xf borderId="50" fillId="0" fontId="14" numFmtId="0" xfId="0" applyBorder="1" applyFont="1"/>
    <xf borderId="51" fillId="4" fontId="9" numFmtId="0" xfId="0" applyBorder="1" applyFill="1" applyFont="1"/>
    <xf borderId="52" fillId="0" fontId="14" numFmtId="0" xfId="0" applyBorder="1" applyFont="1"/>
    <xf borderId="6" fillId="4" fontId="9" numFmtId="0" xfId="0" applyBorder="1" applyFont="1"/>
    <xf borderId="0" fillId="0" fontId="9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resultats'!$B$6:$B$12</c:f>
            </c:strRef>
          </c:cat>
          <c:val>
            <c:numRef>
              <c:f>'Graphique des resultats'!$C$6:$C$12</c:f>
              <c:numCache/>
            </c:numRef>
          </c:val>
        </c:ser>
        <c:ser>
          <c:idx val="1"/>
          <c:order val="1"/>
          <c:tx>
            <c:v>Admissions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resultats'!$B$6:$B$12</c:f>
            </c:strRef>
          </c:cat>
          <c:val>
            <c:numRef>
              <c:f>'Graphique des resultats'!$D$6:$D$12</c:f>
              <c:numCache/>
            </c:numRef>
          </c:val>
        </c:ser>
        <c:ser>
          <c:idx val="2"/>
          <c:order val="2"/>
          <c:tx>
            <c:v>Pourcentage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resultats'!$B$6:$B$12</c:f>
            </c:strRef>
          </c:cat>
          <c:val>
            <c:numRef>
              <c:f>'Graphique des resultats'!$E$6:$E$12</c:f>
              <c:numCache/>
            </c:numRef>
          </c:val>
        </c:ser>
        <c:axId val="366496194"/>
        <c:axId val="60418153"/>
      </c:barChart>
      <c:catAx>
        <c:axId val="366496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18153"/>
      </c:catAx>
      <c:valAx>
        <c:axId val="60418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496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resultats'!$B$23:$B$27</c:f>
            </c:strRef>
          </c:cat>
          <c:val>
            <c:numRef>
              <c:f>'Graphique des resultats'!$C$23:$C$27</c:f>
              <c:numCache/>
            </c:numRef>
          </c:val>
        </c:ser>
        <c:ser>
          <c:idx val="1"/>
          <c:order val="1"/>
          <c:tx>
            <c:v>Admissions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resultats'!$B$23:$B$27</c:f>
            </c:strRef>
          </c:cat>
          <c:val>
            <c:numRef>
              <c:f>'Graphique des resultats'!$D$23:$D$27</c:f>
              <c:numCache/>
            </c:numRef>
          </c:val>
        </c:ser>
        <c:ser>
          <c:idx val="2"/>
          <c:order val="2"/>
          <c:tx>
            <c:v>Pourcentage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resultats'!$B$23:$B$27</c:f>
            </c:strRef>
          </c:cat>
          <c:val>
            <c:numRef>
              <c:f>'Graphique des resultats'!$E$23:$E$27</c:f>
              <c:numCache/>
            </c:numRef>
          </c:val>
        </c:ser>
        <c:axId val="1323901266"/>
        <c:axId val="987412236"/>
      </c:barChart>
      <c:catAx>
        <c:axId val="1323901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412236"/>
      </c:catAx>
      <c:valAx>
        <c:axId val="987412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901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resultats'!$P$6:$P$17</c:f>
            </c:strRef>
          </c:cat>
          <c:val>
            <c:numRef>
              <c:f>'Graphique des resultats'!$Q$6:$Q$17</c:f>
              <c:numCache/>
            </c:numRef>
          </c:val>
        </c:ser>
        <c:ser>
          <c:idx val="1"/>
          <c:order val="1"/>
          <c:tx>
            <c:v>Redouble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resultats'!$P$6:$P$17</c:f>
            </c:strRef>
          </c:cat>
          <c:val>
            <c:numRef>
              <c:f>'Graphique des resultats'!$R$6:$R$17</c:f>
              <c:numCache/>
            </c:numRef>
          </c:val>
        </c:ser>
        <c:ser>
          <c:idx val="2"/>
          <c:order val="2"/>
          <c:tx>
            <c:v>Passe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resultats'!$P$6:$P$17</c:f>
            </c:strRef>
          </c:cat>
          <c:val>
            <c:numRef>
              <c:f>'Graphique des resultats'!$S$6:$S$18</c:f>
              <c:numCache/>
            </c:numRef>
          </c:val>
        </c:ser>
        <c:ser>
          <c:idx val="3"/>
          <c:order val="3"/>
          <c:tx>
            <c:v>Pourcentage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resultats'!$P$6:$P$17</c:f>
            </c:strRef>
          </c:cat>
          <c:val>
            <c:numRef>
              <c:f>'Graphique des resultats'!$T$6:$T$17</c:f>
              <c:numCache/>
            </c:numRef>
          </c:val>
        </c:ser>
        <c:axId val="2027038617"/>
        <c:axId val="268395274"/>
      </c:barChart>
      <c:catAx>
        <c:axId val="2027038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395274"/>
      </c:catAx>
      <c:valAx>
        <c:axId val="268395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038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809951881014873"/>
          <c:y val="0.05140055409740449"/>
          <c:w val="0.763068460192476"/>
          <c:h val="0.5470122484689414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resultats'!$P$23:$P$31</c:f>
            </c:strRef>
          </c:cat>
          <c:val>
            <c:numRef>
              <c:f>'Graphique des resultats'!$Q$23:$Q$31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resultats'!$P$23:$P$31</c:f>
            </c:strRef>
          </c:cat>
          <c:val>
            <c:numRef>
              <c:f>'Graphique des resultats'!$R$23:$R$31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resultats'!$P$23:$P$31</c:f>
            </c:strRef>
          </c:cat>
          <c:val>
            <c:numRef>
              <c:f>'Graphique des resultats'!$S$23:$S$32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'Graphique des resultats'!$P$23:$P$31</c:f>
            </c:strRef>
          </c:cat>
          <c:val>
            <c:numRef>
              <c:f>'Graphique des resultats'!$T$23:$T$31</c:f>
              <c:numCache/>
            </c:numRef>
          </c:val>
        </c:ser>
        <c:axId val="1969067055"/>
        <c:axId val="1417249841"/>
      </c:barChart>
      <c:catAx>
        <c:axId val="1969067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249841"/>
      </c:catAx>
      <c:valAx>
        <c:axId val="1417249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067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304800</xdr:colOff>
      <xdr:row>0</xdr:row>
      <xdr:rowOff>114300</xdr:rowOff>
    </xdr:from>
    <xdr:ext cx="4286250" cy="2695575"/>
    <xdr:graphicFrame>
      <xdr:nvGraphicFramePr>
        <xdr:cNvPr id="28127834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342900</xdr:colOff>
      <xdr:row>16</xdr:row>
      <xdr:rowOff>28575</xdr:rowOff>
    </xdr:from>
    <xdr:ext cx="4286250" cy="2705100"/>
    <xdr:graphicFrame>
      <xdr:nvGraphicFramePr>
        <xdr:cNvPr id="99426595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295275</xdr:colOff>
      <xdr:row>1</xdr:row>
      <xdr:rowOff>152400</xdr:rowOff>
    </xdr:from>
    <xdr:ext cx="4286250" cy="2695575"/>
    <xdr:graphicFrame>
      <xdr:nvGraphicFramePr>
        <xdr:cNvPr id="212554608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438150</xdr:colOff>
      <xdr:row>18</xdr:row>
      <xdr:rowOff>57150</xdr:rowOff>
    </xdr:from>
    <xdr:ext cx="4286250" cy="2695575"/>
    <xdr:graphicFrame>
      <xdr:nvGraphicFramePr>
        <xdr:cNvPr id="77319249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86"/>
    <col customWidth="1" min="3" max="3" width="21.86"/>
    <col customWidth="1" min="4" max="4" width="21.29"/>
    <col customWidth="1" min="5" max="9" width="10.71"/>
    <col customWidth="1" min="10" max="10" width="17.0"/>
    <col customWidth="1" min="11" max="26" width="10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  <c r="H6" s="3" t="s">
        <v>6</v>
      </c>
      <c r="I6" s="3"/>
      <c r="J6" s="3"/>
      <c r="K6" s="3"/>
      <c r="L6" s="3"/>
    </row>
    <row r="7" ht="14.25" customHeight="1"/>
    <row r="8" ht="14.25" customHeight="1"/>
    <row r="9" ht="14.25" customHeight="1">
      <c r="A9" s="4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6" t="s">
        <v>17</v>
      </c>
      <c r="L9" s="6" t="s">
        <v>18</v>
      </c>
      <c r="M9" s="6" t="s">
        <v>19</v>
      </c>
      <c r="N9" s="7" t="s">
        <v>20</v>
      </c>
    </row>
    <row r="10" ht="14.25" customHeight="1">
      <c r="A10" s="8">
        <v>1.0</v>
      </c>
      <c r="B10" s="9" t="s">
        <v>21</v>
      </c>
      <c r="C10" s="10" t="s">
        <v>22</v>
      </c>
      <c r="D10" s="10" t="s">
        <v>23</v>
      </c>
      <c r="E10" s="10" t="s">
        <v>24</v>
      </c>
      <c r="F10" s="11">
        <v>3.46</v>
      </c>
      <c r="G10" s="11">
        <v>2.53</v>
      </c>
      <c r="H10" s="11">
        <v>2.57</v>
      </c>
      <c r="I10" s="11">
        <v>2.71</v>
      </c>
      <c r="J10" s="12" t="s">
        <v>18</v>
      </c>
      <c r="L10" s="6">
        <v>1.0</v>
      </c>
    </row>
    <row r="11" ht="14.25" customHeight="1">
      <c r="A11" s="8">
        <v>2.0</v>
      </c>
      <c r="B11" s="9" t="s">
        <v>25</v>
      </c>
      <c r="C11" s="10" t="s">
        <v>26</v>
      </c>
      <c r="D11" s="10" t="s">
        <v>23</v>
      </c>
      <c r="E11" s="10" t="s">
        <v>27</v>
      </c>
      <c r="F11" s="11">
        <v>4.0</v>
      </c>
      <c r="G11" s="11">
        <v>4.94</v>
      </c>
      <c r="H11" s="11">
        <v>4.55</v>
      </c>
      <c r="I11" s="11">
        <v>5.1</v>
      </c>
      <c r="J11" s="10" t="s">
        <v>28</v>
      </c>
      <c r="K11" s="6">
        <v>1.0</v>
      </c>
    </row>
    <row r="12" ht="14.25" customHeight="1">
      <c r="A12" s="8">
        <v>3.0</v>
      </c>
      <c r="B12" s="9" t="s">
        <v>29</v>
      </c>
      <c r="C12" s="10" t="s">
        <v>22</v>
      </c>
      <c r="D12" s="10" t="s">
        <v>30</v>
      </c>
      <c r="E12" s="10" t="s">
        <v>24</v>
      </c>
      <c r="F12" s="11">
        <v>3.53</v>
      </c>
      <c r="G12" s="11">
        <v>4.0</v>
      </c>
      <c r="H12" s="11">
        <v>5.07</v>
      </c>
      <c r="I12" s="11">
        <v>5.01</v>
      </c>
      <c r="J12" s="10" t="s">
        <v>28</v>
      </c>
      <c r="K12" s="6">
        <v>1.0</v>
      </c>
    </row>
    <row r="13" ht="14.25" customHeight="1">
      <c r="A13" s="8">
        <v>4.0</v>
      </c>
      <c r="B13" s="9" t="s">
        <v>31</v>
      </c>
      <c r="C13" s="10" t="s">
        <v>32</v>
      </c>
      <c r="D13" s="10" t="s">
        <v>33</v>
      </c>
      <c r="E13" s="10" t="s">
        <v>24</v>
      </c>
      <c r="F13" s="11">
        <v>5.5</v>
      </c>
      <c r="G13" s="11">
        <v>3.96</v>
      </c>
      <c r="H13" s="11">
        <v>4.0</v>
      </c>
      <c r="I13" s="11">
        <v>4.57</v>
      </c>
      <c r="J13" s="10" t="s">
        <v>28</v>
      </c>
      <c r="K13" s="6">
        <v>1.0</v>
      </c>
    </row>
    <row r="14" ht="14.25" customHeight="1">
      <c r="A14" s="8">
        <v>5.0</v>
      </c>
      <c r="B14" s="9" t="s">
        <v>34</v>
      </c>
      <c r="C14" s="10" t="s">
        <v>35</v>
      </c>
      <c r="D14" s="10" t="s">
        <v>23</v>
      </c>
      <c r="E14" s="10" t="s">
        <v>24</v>
      </c>
      <c r="F14" s="11">
        <v>4.28</v>
      </c>
      <c r="G14" s="11">
        <v>3.92</v>
      </c>
      <c r="H14" s="11">
        <v>5.35</v>
      </c>
      <c r="I14" s="11">
        <v>5.32</v>
      </c>
      <c r="J14" s="10" t="s">
        <v>28</v>
      </c>
      <c r="K14" s="6">
        <v>1.0</v>
      </c>
    </row>
    <row r="15" ht="14.25" customHeight="1">
      <c r="A15" s="8">
        <v>6.0</v>
      </c>
      <c r="B15" s="9" t="s">
        <v>36</v>
      </c>
      <c r="C15" s="10" t="s">
        <v>26</v>
      </c>
      <c r="D15" s="10" t="s">
        <v>23</v>
      </c>
      <c r="E15" s="10" t="s">
        <v>27</v>
      </c>
      <c r="F15" s="11">
        <v>3.57</v>
      </c>
      <c r="G15" s="11" t="s">
        <v>37</v>
      </c>
      <c r="H15" s="11">
        <v>3.21</v>
      </c>
      <c r="I15" s="11">
        <v>2.28</v>
      </c>
      <c r="J15" s="12" t="s">
        <v>18</v>
      </c>
      <c r="L15" s="6">
        <v>1.0</v>
      </c>
    </row>
    <row r="16" ht="14.25" customHeight="1">
      <c r="A16" s="8">
        <v>7.0</v>
      </c>
      <c r="B16" s="9" t="s">
        <v>38</v>
      </c>
      <c r="C16" s="10" t="s">
        <v>26</v>
      </c>
      <c r="D16" s="10" t="s">
        <v>23</v>
      </c>
      <c r="E16" s="10" t="s">
        <v>24</v>
      </c>
      <c r="F16" s="11">
        <v>4.32</v>
      </c>
      <c r="G16" s="11">
        <v>5.85</v>
      </c>
      <c r="H16" s="11">
        <v>5.94</v>
      </c>
      <c r="I16" s="11">
        <v>4.57</v>
      </c>
      <c r="J16" s="10" t="s">
        <v>28</v>
      </c>
      <c r="K16" s="6">
        <v>1.0</v>
      </c>
    </row>
    <row r="17" ht="14.25" customHeight="1">
      <c r="A17" s="8">
        <v>8.0</v>
      </c>
      <c r="B17" s="9" t="s">
        <v>39</v>
      </c>
      <c r="C17" s="10" t="s">
        <v>22</v>
      </c>
      <c r="D17" s="10" t="s">
        <v>23</v>
      </c>
      <c r="E17" s="10" t="s">
        <v>27</v>
      </c>
      <c r="F17" s="11">
        <v>1.42</v>
      </c>
      <c r="G17" s="11" t="s">
        <v>37</v>
      </c>
      <c r="H17" s="11">
        <v>1.35</v>
      </c>
      <c r="I17" s="13" t="s">
        <v>40</v>
      </c>
      <c r="J17" s="12" t="s">
        <v>18</v>
      </c>
      <c r="L17" s="6">
        <v>1.0</v>
      </c>
    </row>
    <row r="18" ht="14.25" customHeight="1">
      <c r="A18" s="8">
        <v>9.0</v>
      </c>
      <c r="B18" s="9" t="s">
        <v>41</v>
      </c>
      <c r="C18" s="10" t="s">
        <v>35</v>
      </c>
      <c r="D18" s="10" t="s">
        <v>23</v>
      </c>
      <c r="E18" s="10" t="s">
        <v>24</v>
      </c>
      <c r="F18" s="11">
        <v>5.0</v>
      </c>
      <c r="G18" s="11">
        <v>4.42</v>
      </c>
      <c r="H18" s="11">
        <v>4.5</v>
      </c>
      <c r="I18" s="11">
        <v>6.82</v>
      </c>
      <c r="J18" s="10" t="s">
        <v>28</v>
      </c>
      <c r="K18" s="6">
        <v>1.0</v>
      </c>
    </row>
    <row r="19" ht="14.25" customHeight="1">
      <c r="A19" s="8">
        <v>10.0</v>
      </c>
      <c r="B19" s="9" t="s">
        <v>42</v>
      </c>
      <c r="C19" s="10" t="s">
        <v>43</v>
      </c>
      <c r="D19" s="10" t="s">
        <v>23</v>
      </c>
      <c r="E19" s="10" t="s">
        <v>24</v>
      </c>
      <c r="F19" s="11">
        <v>4.03</v>
      </c>
      <c r="G19" s="11">
        <v>5.0</v>
      </c>
      <c r="H19" s="11">
        <v>6.42</v>
      </c>
      <c r="I19" s="11">
        <v>5.68</v>
      </c>
      <c r="J19" s="10" t="s">
        <v>28</v>
      </c>
      <c r="K19" s="6">
        <v>1.0</v>
      </c>
    </row>
    <row r="20" ht="14.25" customHeight="1">
      <c r="A20" s="8">
        <v>11.0</v>
      </c>
      <c r="B20" s="9" t="s">
        <v>44</v>
      </c>
      <c r="C20" s="10" t="s">
        <v>35</v>
      </c>
      <c r="D20" s="10" t="s">
        <v>23</v>
      </c>
      <c r="E20" s="10" t="s">
        <v>27</v>
      </c>
      <c r="F20" s="11">
        <v>3.5</v>
      </c>
      <c r="G20" s="11">
        <v>3.57</v>
      </c>
      <c r="H20" s="11">
        <v>5.0</v>
      </c>
      <c r="I20" s="11">
        <v>5.09</v>
      </c>
      <c r="J20" s="10" t="s">
        <v>28</v>
      </c>
      <c r="K20" s="6">
        <v>1.0</v>
      </c>
    </row>
    <row r="21" ht="14.25" customHeight="1">
      <c r="A21" s="8">
        <v>12.0</v>
      </c>
      <c r="B21" s="9" t="s">
        <v>45</v>
      </c>
      <c r="C21" s="10" t="s">
        <v>46</v>
      </c>
      <c r="D21" s="10" t="s">
        <v>23</v>
      </c>
      <c r="E21" s="10" t="s">
        <v>27</v>
      </c>
      <c r="F21" s="11">
        <v>3.53</v>
      </c>
      <c r="G21" s="11">
        <v>4.96</v>
      </c>
      <c r="H21" s="11">
        <v>5.35</v>
      </c>
      <c r="I21" s="11">
        <v>4.12</v>
      </c>
      <c r="J21" s="12" t="s">
        <v>18</v>
      </c>
      <c r="L21" s="6">
        <v>1.0</v>
      </c>
    </row>
    <row r="22" ht="14.25" customHeight="1">
      <c r="A22" s="8">
        <v>13.0</v>
      </c>
      <c r="B22" s="9" t="s">
        <v>47</v>
      </c>
      <c r="C22" s="10" t="s">
        <v>26</v>
      </c>
      <c r="D22" s="10" t="s">
        <v>23</v>
      </c>
      <c r="E22" s="10" t="s">
        <v>27</v>
      </c>
      <c r="F22" s="11">
        <v>4.14</v>
      </c>
      <c r="G22" s="11">
        <v>3.89</v>
      </c>
      <c r="H22" s="11">
        <v>4.57</v>
      </c>
      <c r="I22" s="11">
        <v>4.55</v>
      </c>
      <c r="J22" s="10" t="s">
        <v>28</v>
      </c>
      <c r="K22" s="6">
        <v>1.0</v>
      </c>
    </row>
    <row r="23" ht="14.25" customHeight="1">
      <c r="A23" s="8">
        <v>14.0</v>
      </c>
      <c r="B23" s="9" t="s">
        <v>48</v>
      </c>
      <c r="C23" s="10" t="s">
        <v>32</v>
      </c>
      <c r="D23" s="10" t="s">
        <v>23</v>
      </c>
      <c r="E23" s="10" t="s">
        <v>27</v>
      </c>
      <c r="F23" s="11">
        <v>5.96</v>
      </c>
      <c r="G23" s="11">
        <v>6.0</v>
      </c>
      <c r="H23" s="11">
        <v>5.21</v>
      </c>
      <c r="I23" s="11">
        <v>5.98</v>
      </c>
      <c r="J23" s="10" t="s">
        <v>28</v>
      </c>
      <c r="K23" s="6">
        <v>1.0</v>
      </c>
    </row>
    <row r="24" ht="14.25" customHeight="1">
      <c r="A24" s="8">
        <v>15.0</v>
      </c>
      <c r="B24" s="9" t="s">
        <v>49</v>
      </c>
      <c r="C24" s="10" t="s">
        <v>46</v>
      </c>
      <c r="D24" s="10" t="s">
        <v>23</v>
      </c>
      <c r="E24" s="10" t="s">
        <v>27</v>
      </c>
      <c r="F24" s="11">
        <v>2.39</v>
      </c>
      <c r="G24" s="11">
        <v>3.34</v>
      </c>
      <c r="H24" s="11">
        <v>4.97</v>
      </c>
      <c r="I24" s="11">
        <v>3.65</v>
      </c>
      <c r="J24" s="12" t="s">
        <v>18</v>
      </c>
      <c r="L24" s="6">
        <v>1.0</v>
      </c>
    </row>
    <row r="25" ht="14.25" customHeight="1">
      <c r="A25" s="8">
        <v>16.0</v>
      </c>
      <c r="B25" s="9" t="s">
        <v>50</v>
      </c>
      <c r="C25" s="10" t="s">
        <v>32</v>
      </c>
      <c r="D25" s="10" t="s">
        <v>23</v>
      </c>
      <c r="E25" s="10" t="s">
        <v>27</v>
      </c>
      <c r="F25" s="11">
        <v>6.64</v>
      </c>
      <c r="G25" s="11">
        <v>5.78</v>
      </c>
      <c r="H25" s="11">
        <v>7.42</v>
      </c>
      <c r="I25" s="11">
        <v>6.57</v>
      </c>
      <c r="J25" s="10" t="s">
        <v>28</v>
      </c>
      <c r="K25" s="6">
        <v>1.0</v>
      </c>
    </row>
    <row r="26" ht="14.25" customHeight="1">
      <c r="A26" s="8">
        <v>17.0</v>
      </c>
      <c r="B26" s="9" t="s">
        <v>51</v>
      </c>
      <c r="C26" s="10" t="s">
        <v>26</v>
      </c>
      <c r="D26" s="10" t="s">
        <v>23</v>
      </c>
      <c r="E26" s="10" t="s">
        <v>27</v>
      </c>
      <c r="F26" s="11">
        <v>5.75</v>
      </c>
      <c r="G26" s="11">
        <v>5.03</v>
      </c>
      <c r="H26" s="11">
        <v>6.71</v>
      </c>
      <c r="I26" s="11">
        <v>3.1</v>
      </c>
      <c r="J26" s="12" t="s">
        <v>18</v>
      </c>
      <c r="L26" s="6">
        <v>1.0</v>
      </c>
    </row>
    <row r="27" ht="14.25" customHeight="1">
      <c r="A27" s="8">
        <v>18.0</v>
      </c>
      <c r="B27" s="9" t="s">
        <v>52</v>
      </c>
      <c r="C27" s="10" t="s">
        <v>32</v>
      </c>
      <c r="D27" s="10" t="s">
        <v>23</v>
      </c>
      <c r="E27" s="10" t="s">
        <v>24</v>
      </c>
      <c r="F27" s="11">
        <v>4.17</v>
      </c>
      <c r="G27" s="11">
        <v>3.57</v>
      </c>
      <c r="H27" s="11">
        <v>5.71</v>
      </c>
      <c r="I27" s="11">
        <v>5.67</v>
      </c>
      <c r="J27" s="10" t="s">
        <v>28</v>
      </c>
      <c r="K27" s="6">
        <v>1.0</v>
      </c>
    </row>
    <row r="28" ht="14.25" customHeight="1">
      <c r="A28" s="8">
        <v>19.0</v>
      </c>
      <c r="B28" s="9" t="s">
        <v>53</v>
      </c>
      <c r="C28" s="10" t="s">
        <v>35</v>
      </c>
      <c r="D28" s="10" t="s">
        <v>30</v>
      </c>
      <c r="E28" s="10" t="s">
        <v>27</v>
      </c>
      <c r="F28" s="11">
        <v>5.25</v>
      </c>
      <c r="G28" s="11">
        <v>4.17</v>
      </c>
      <c r="H28" s="11">
        <v>3.85</v>
      </c>
      <c r="I28" s="11">
        <v>4.67</v>
      </c>
      <c r="J28" s="10" t="s">
        <v>28</v>
      </c>
      <c r="K28" s="6">
        <v>1.0</v>
      </c>
    </row>
    <row r="29" ht="14.25" customHeight="1">
      <c r="A29" s="8">
        <v>20.0</v>
      </c>
      <c r="B29" s="9" t="s">
        <v>54</v>
      </c>
      <c r="C29" s="10" t="s">
        <v>55</v>
      </c>
      <c r="D29" s="10" t="s">
        <v>23</v>
      </c>
      <c r="E29" s="10" t="s">
        <v>27</v>
      </c>
      <c r="F29" s="11">
        <v>6.0</v>
      </c>
      <c r="G29" s="11">
        <v>5.75</v>
      </c>
      <c r="H29" s="11">
        <v>6.92</v>
      </c>
      <c r="I29" s="11">
        <v>4.87</v>
      </c>
      <c r="J29" s="10" t="s">
        <v>28</v>
      </c>
      <c r="K29" s="6">
        <v>1.0</v>
      </c>
    </row>
    <row r="30" ht="14.25" customHeight="1">
      <c r="A30" s="8">
        <v>21.0</v>
      </c>
      <c r="B30" s="9" t="s">
        <v>56</v>
      </c>
      <c r="C30" s="10" t="s">
        <v>26</v>
      </c>
      <c r="D30" s="10" t="s">
        <v>23</v>
      </c>
      <c r="E30" s="10" t="s">
        <v>27</v>
      </c>
      <c r="F30" s="11">
        <v>2.72</v>
      </c>
      <c r="G30" s="11">
        <v>3.1</v>
      </c>
      <c r="H30" s="11">
        <v>2.14</v>
      </c>
      <c r="I30" s="11">
        <v>1.64</v>
      </c>
      <c r="J30" s="12" t="s">
        <v>18</v>
      </c>
      <c r="L30" s="6">
        <v>1.0</v>
      </c>
    </row>
    <row r="31" ht="14.25" customHeight="1">
      <c r="A31" s="8">
        <v>22.0</v>
      </c>
      <c r="B31" s="9" t="s">
        <v>34</v>
      </c>
      <c r="C31" s="10" t="s">
        <v>26</v>
      </c>
      <c r="D31" s="10" t="s">
        <v>23</v>
      </c>
      <c r="E31" s="10" t="s">
        <v>27</v>
      </c>
      <c r="F31" s="11">
        <v>4.75</v>
      </c>
      <c r="G31" s="11">
        <v>4.21</v>
      </c>
      <c r="H31" s="11">
        <v>5.14</v>
      </c>
      <c r="I31" s="11">
        <v>5.82</v>
      </c>
      <c r="J31" s="10" t="s">
        <v>28</v>
      </c>
      <c r="K31" s="6">
        <v>1.0</v>
      </c>
    </row>
    <row r="32" ht="14.25" customHeight="1">
      <c r="A32" s="8">
        <v>23.0</v>
      </c>
      <c r="B32" s="9" t="s">
        <v>57</v>
      </c>
      <c r="C32" s="10" t="s">
        <v>26</v>
      </c>
      <c r="D32" s="10" t="s">
        <v>23</v>
      </c>
      <c r="E32" s="10" t="s">
        <v>27</v>
      </c>
      <c r="F32" s="11">
        <v>3.0</v>
      </c>
      <c r="G32" s="11">
        <v>3.6</v>
      </c>
      <c r="H32" s="11">
        <v>4.02</v>
      </c>
      <c r="I32" s="11">
        <v>4.16</v>
      </c>
      <c r="J32" s="12" t="s">
        <v>18</v>
      </c>
      <c r="L32" s="6">
        <v>1.0</v>
      </c>
    </row>
    <row r="33" ht="14.25" customHeight="1">
      <c r="A33" s="8">
        <v>24.0</v>
      </c>
      <c r="B33" s="9" t="s">
        <v>58</v>
      </c>
      <c r="C33" s="10" t="s">
        <v>35</v>
      </c>
      <c r="D33" s="10" t="s">
        <v>23</v>
      </c>
      <c r="E33" s="10" t="s">
        <v>27</v>
      </c>
      <c r="F33" s="11">
        <v>4.46</v>
      </c>
      <c r="G33" s="11">
        <v>5.82</v>
      </c>
      <c r="H33" s="11">
        <v>4.64</v>
      </c>
      <c r="I33" s="11">
        <v>5.19</v>
      </c>
      <c r="J33" s="10" t="s">
        <v>28</v>
      </c>
      <c r="K33" s="6">
        <v>1.0</v>
      </c>
    </row>
    <row r="34" ht="14.25" customHeight="1">
      <c r="A34" s="8">
        <v>25.0</v>
      </c>
      <c r="B34" s="9" t="s">
        <v>59</v>
      </c>
      <c r="C34" s="10" t="s">
        <v>32</v>
      </c>
      <c r="D34" s="10" t="s">
        <v>23</v>
      </c>
      <c r="E34" s="10" t="s">
        <v>27</v>
      </c>
      <c r="F34" s="11">
        <v>3.25</v>
      </c>
      <c r="G34" s="11">
        <v>3.97</v>
      </c>
      <c r="H34" s="11">
        <v>4.57</v>
      </c>
      <c r="I34" s="11">
        <v>5.17</v>
      </c>
      <c r="J34" s="10" t="s">
        <v>28</v>
      </c>
      <c r="K34" s="6">
        <v>1.0</v>
      </c>
    </row>
    <row r="35" ht="14.25" customHeight="1">
      <c r="A35" s="8">
        <v>26.0</v>
      </c>
      <c r="B35" s="9" t="s">
        <v>60</v>
      </c>
      <c r="C35" s="10" t="s">
        <v>43</v>
      </c>
      <c r="D35" s="10" t="s">
        <v>23</v>
      </c>
      <c r="E35" s="10" t="s">
        <v>27</v>
      </c>
      <c r="F35" s="11">
        <v>3.32</v>
      </c>
      <c r="G35" s="11">
        <v>2.57</v>
      </c>
      <c r="H35" s="11">
        <v>2.85</v>
      </c>
      <c r="I35" s="11">
        <v>1.46</v>
      </c>
      <c r="J35" s="12" t="s">
        <v>18</v>
      </c>
      <c r="L35" s="6">
        <v>1.0</v>
      </c>
    </row>
    <row r="36" ht="14.25" customHeight="1">
      <c r="A36" s="8">
        <v>27.0</v>
      </c>
      <c r="B36" s="9" t="s">
        <v>61</v>
      </c>
      <c r="C36" s="10" t="s">
        <v>62</v>
      </c>
      <c r="D36" s="10" t="s">
        <v>23</v>
      </c>
      <c r="E36" s="10" t="s">
        <v>27</v>
      </c>
      <c r="F36" s="11">
        <v>4.46</v>
      </c>
      <c r="G36" s="11">
        <v>4.14</v>
      </c>
      <c r="H36" s="11">
        <v>5.0</v>
      </c>
      <c r="I36" s="11">
        <v>4.12</v>
      </c>
      <c r="J36" s="12" t="s">
        <v>18</v>
      </c>
      <c r="L36" s="6">
        <v>1.0</v>
      </c>
    </row>
    <row r="37" ht="14.25" customHeight="1">
      <c r="A37" s="8">
        <v>28.0</v>
      </c>
      <c r="B37" s="9" t="s">
        <v>63</v>
      </c>
      <c r="C37" s="10" t="s">
        <v>64</v>
      </c>
      <c r="D37" s="10" t="s">
        <v>23</v>
      </c>
      <c r="E37" s="10" t="s">
        <v>27</v>
      </c>
      <c r="F37" s="11">
        <v>7.28</v>
      </c>
      <c r="G37" s="11">
        <v>5.57</v>
      </c>
      <c r="H37" s="11">
        <v>7.5</v>
      </c>
      <c r="I37" s="11">
        <v>4.98</v>
      </c>
      <c r="J37" s="10" t="s">
        <v>28</v>
      </c>
      <c r="K37" s="6">
        <v>1.0</v>
      </c>
    </row>
    <row r="38" ht="14.25" customHeight="1">
      <c r="A38" s="8">
        <v>29.0</v>
      </c>
      <c r="B38" s="9" t="s">
        <v>65</v>
      </c>
      <c r="C38" s="10" t="s">
        <v>35</v>
      </c>
      <c r="D38" s="10" t="s">
        <v>23</v>
      </c>
      <c r="E38" s="10" t="s">
        <v>27</v>
      </c>
      <c r="F38" s="11">
        <v>3.96</v>
      </c>
      <c r="G38" s="11">
        <v>4.39</v>
      </c>
      <c r="H38" s="11">
        <v>5.21</v>
      </c>
      <c r="I38" s="11">
        <v>5.14</v>
      </c>
      <c r="J38" s="12" t="s">
        <v>18</v>
      </c>
      <c r="L38" s="6">
        <v>1.0</v>
      </c>
    </row>
    <row r="39" ht="14.25" customHeight="1">
      <c r="A39" s="8">
        <v>30.0</v>
      </c>
      <c r="B39" s="9" t="s">
        <v>66</v>
      </c>
      <c r="C39" s="10" t="s">
        <v>55</v>
      </c>
      <c r="D39" s="10" t="s">
        <v>23</v>
      </c>
      <c r="E39" s="10" t="s">
        <v>27</v>
      </c>
      <c r="F39" s="11">
        <v>4.03</v>
      </c>
      <c r="G39" s="11">
        <v>3.85</v>
      </c>
      <c r="H39" s="11">
        <v>4.07</v>
      </c>
      <c r="I39" s="11">
        <v>4.96</v>
      </c>
      <c r="J39" s="10" t="s">
        <v>28</v>
      </c>
      <c r="K39" s="6">
        <v>1.0</v>
      </c>
    </row>
    <row r="40" ht="14.25" customHeight="1">
      <c r="A40" s="8">
        <v>31.0</v>
      </c>
      <c r="B40" s="9" t="s">
        <v>67</v>
      </c>
      <c r="C40" s="10" t="s">
        <v>43</v>
      </c>
      <c r="D40" s="10" t="s">
        <v>23</v>
      </c>
      <c r="E40" s="10" t="s">
        <v>27</v>
      </c>
      <c r="F40" s="11">
        <v>5.0</v>
      </c>
      <c r="G40" s="11">
        <v>4.21</v>
      </c>
      <c r="H40" s="11">
        <v>3.42</v>
      </c>
      <c r="I40" s="11">
        <v>5.0</v>
      </c>
      <c r="J40" s="10" t="s">
        <v>28</v>
      </c>
      <c r="K40" s="6">
        <v>1.0</v>
      </c>
    </row>
    <row r="41" ht="14.25" customHeight="1">
      <c r="A41" s="8">
        <v>32.0</v>
      </c>
      <c r="B41" s="9" t="s">
        <v>68</v>
      </c>
      <c r="C41" s="10" t="s">
        <v>55</v>
      </c>
      <c r="D41" s="10" t="s">
        <v>23</v>
      </c>
      <c r="E41" s="10" t="s">
        <v>27</v>
      </c>
      <c r="F41" s="11">
        <v>4.6</v>
      </c>
      <c r="G41" s="11">
        <v>4.5</v>
      </c>
      <c r="H41" s="11">
        <v>6.42</v>
      </c>
      <c r="I41" s="11">
        <v>3.14</v>
      </c>
      <c r="J41" s="12" t="s">
        <v>18</v>
      </c>
      <c r="L41" s="6">
        <v>1.0</v>
      </c>
    </row>
    <row r="42" ht="14.25" customHeight="1">
      <c r="A42" s="8">
        <v>33.0</v>
      </c>
      <c r="B42" s="9" t="s">
        <v>69</v>
      </c>
      <c r="C42" s="10" t="s">
        <v>70</v>
      </c>
      <c r="D42" s="10" t="s">
        <v>23</v>
      </c>
      <c r="E42" s="10" t="s">
        <v>71</v>
      </c>
      <c r="F42" s="11">
        <v>3.23</v>
      </c>
      <c r="G42" s="11">
        <v>6.08</v>
      </c>
      <c r="H42" s="11">
        <v>4.56</v>
      </c>
      <c r="I42" s="11">
        <v>5.05</v>
      </c>
      <c r="J42" s="10" t="s">
        <v>28</v>
      </c>
      <c r="K42" s="6">
        <v>1.0</v>
      </c>
    </row>
    <row r="43" ht="14.25" customHeight="1">
      <c r="A43" s="8">
        <v>34.0</v>
      </c>
      <c r="B43" s="9" t="s">
        <v>72</v>
      </c>
      <c r="C43" s="10" t="s">
        <v>73</v>
      </c>
      <c r="D43" s="10" t="s">
        <v>23</v>
      </c>
      <c r="E43" s="10" t="s">
        <v>74</v>
      </c>
      <c r="F43" s="11">
        <v>4.26</v>
      </c>
      <c r="G43" s="11">
        <v>3.77</v>
      </c>
      <c r="H43" s="11">
        <v>5.14</v>
      </c>
      <c r="I43" s="11">
        <v>4.69</v>
      </c>
      <c r="J43" s="10" t="s">
        <v>28</v>
      </c>
      <c r="K43" s="6">
        <v>1.0</v>
      </c>
    </row>
    <row r="44" ht="14.25" customHeight="1">
      <c r="A44" s="8">
        <v>35.0</v>
      </c>
      <c r="B44" s="9" t="s">
        <v>75</v>
      </c>
      <c r="C44" s="10" t="s">
        <v>26</v>
      </c>
      <c r="D44" s="10" t="s">
        <v>23</v>
      </c>
      <c r="E44" s="10" t="s">
        <v>27</v>
      </c>
      <c r="F44" s="11">
        <v>5.0</v>
      </c>
      <c r="G44" s="11">
        <v>5.5</v>
      </c>
      <c r="H44" s="11">
        <v>6.0</v>
      </c>
      <c r="I44" s="11">
        <v>3.86</v>
      </c>
      <c r="J44" s="12" t="s">
        <v>18</v>
      </c>
      <c r="L44" s="6">
        <v>1.0</v>
      </c>
    </row>
    <row r="45" ht="14.25" customHeight="1">
      <c r="A45" s="14"/>
      <c r="B45" s="15"/>
      <c r="C45" s="14"/>
      <c r="D45" s="14"/>
      <c r="E45" s="14"/>
      <c r="F45" s="14"/>
      <c r="G45" s="14"/>
      <c r="H45" s="14"/>
      <c r="I45" s="14"/>
      <c r="J45" s="14"/>
      <c r="K45" s="16">
        <f t="shared" ref="K45:L45" si="1">SUM(K10:K44)</f>
        <v>22</v>
      </c>
      <c r="L45" s="16">
        <f t="shared" si="1"/>
        <v>13</v>
      </c>
    </row>
    <row r="46" ht="14.25" customHeight="1">
      <c r="A46" s="14"/>
      <c r="B46" s="15"/>
      <c r="C46" s="14"/>
      <c r="D46" s="14"/>
      <c r="E46" s="14"/>
      <c r="F46" s="14"/>
      <c r="G46" s="14"/>
      <c r="H46" s="14"/>
      <c r="I46" s="14"/>
      <c r="J46" s="14"/>
      <c r="K46" s="17">
        <f>K45/A44</f>
        <v>0.6285714286</v>
      </c>
      <c r="L46" s="17">
        <f>L45/A44</f>
        <v>0.3714285714</v>
      </c>
    </row>
    <row r="47" ht="14.25" customHeight="1">
      <c r="A47" s="14"/>
      <c r="B47" s="15"/>
      <c r="C47" s="14"/>
      <c r="D47" s="14"/>
      <c r="E47" s="14"/>
      <c r="F47" s="14"/>
      <c r="G47" s="14"/>
      <c r="H47" s="14"/>
      <c r="I47" s="14"/>
      <c r="J47" s="14"/>
    </row>
    <row r="48" ht="14.25" customHeight="1">
      <c r="A48" s="18">
        <v>1.0</v>
      </c>
      <c r="B48" s="19" t="s">
        <v>76</v>
      </c>
      <c r="C48" s="18" t="s">
        <v>77</v>
      </c>
      <c r="D48" s="18" t="s">
        <v>78</v>
      </c>
      <c r="E48" s="18" t="s">
        <v>24</v>
      </c>
      <c r="F48" s="20">
        <v>3.96</v>
      </c>
      <c r="G48" s="20">
        <v>5.78</v>
      </c>
      <c r="H48" s="20">
        <v>6.29</v>
      </c>
      <c r="I48" s="20">
        <v>4.67</v>
      </c>
      <c r="J48" s="18" t="s">
        <v>28</v>
      </c>
      <c r="K48" s="6">
        <v>1.0</v>
      </c>
    </row>
    <row r="49" ht="14.25" customHeight="1">
      <c r="A49" s="8">
        <v>2.0</v>
      </c>
      <c r="B49" s="9" t="s">
        <v>79</v>
      </c>
      <c r="C49" s="10" t="s">
        <v>80</v>
      </c>
      <c r="D49" s="10" t="s">
        <v>78</v>
      </c>
      <c r="E49" s="10" t="s">
        <v>24</v>
      </c>
      <c r="F49" s="11">
        <v>0.0</v>
      </c>
      <c r="G49" s="11">
        <v>0.0</v>
      </c>
      <c r="H49" s="11">
        <v>0.17</v>
      </c>
      <c r="I49" s="11">
        <v>3.42</v>
      </c>
      <c r="J49" s="21" t="s">
        <v>81</v>
      </c>
    </row>
    <row r="50" ht="14.25" customHeight="1">
      <c r="A50" s="8">
        <v>3.0</v>
      </c>
      <c r="B50" s="9" t="s">
        <v>82</v>
      </c>
      <c r="C50" s="10" t="s">
        <v>83</v>
      </c>
      <c r="D50" s="10" t="s">
        <v>78</v>
      </c>
      <c r="E50" s="10" t="s">
        <v>27</v>
      </c>
      <c r="F50" s="11">
        <v>6.03</v>
      </c>
      <c r="G50" s="11">
        <v>6.53</v>
      </c>
      <c r="H50" s="11">
        <v>7.58</v>
      </c>
      <c r="I50" s="11">
        <v>6.53</v>
      </c>
      <c r="J50" s="10" t="s">
        <v>28</v>
      </c>
      <c r="K50" s="6">
        <v>1.0</v>
      </c>
    </row>
    <row r="51" ht="14.25" customHeight="1">
      <c r="A51" s="8">
        <v>4.0</v>
      </c>
      <c r="B51" s="9" t="s">
        <v>84</v>
      </c>
      <c r="C51" s="10" t="s">
        <v>83</v>
      </c>
      <c r="D51" s="10" t="s">
        <v>78</v>
      </c>
      <c r="E51" s="10" t="s">
        <v>27</v>
      </c>
      <c r="F51" s="11">
        <v>5.88</v>
      </c>
      <c r="G51" s="11">
        <v>3.96</v>
      </c>
      <c r="H51" s="11">
        <v>4.88</v>
      </c>
      <c r="I51" s="11">
        <v>5.2</v>
      </c>
      <c r="J51" s="10" t="s">
        <v>28</v>
      </c>
      <c r="K51" s="6">
        <v>1.0</v>
      </c>
    </row>
    <row r="52" ht="14.25" customHeight="1">
      <c r="A52" s="8">
        <v>5.0</v>
      </c>
      <c r="B52" s="9" t="s">
        <v>85</v>
      </c>
      <c r="C52" s="10" t="s">
        <v>83</v>
      </c>
      <c r="D52" s="10" t="s">
        <v>78</v>
      </c>
      <c r="E52" s="10" t="s">
        <v>27</v>
      </c>
      <c r="F52" s="11">
        <v>4.32</v>
      </c>
      <c r="G52" s="11">
        <v>4.96</v>
      </c>
      <c r="H52" s="11">
        <v>5.0</v>
      </c>
      <c r="I52" s="11">
        <v>4.69</v>
      </c>
      <c r="J52" s="10" t="s">
        <v>28</v>
      </c>
      <c r="K52" s="6">
        <v>1.0</v>
      </c>
      <c r="L52" s="16" t="s">
        <v>86</v>
      </c>
    </row>
    <row r="53" ht="14.25" customHeight="1">
      <c r="A53" s="8">
        <v>6.0</v>
      </c>
      <c r="B53" s="9" t="s">
        <v>87</v>
      </c>
      <c r="C53" s="10" t="s">
        <v>77</v>
      </c>
      <c r="D53" s="10" t="s">
        <v>78</v>
      </c>
      <c r="E53" s="10" t="s">
        <v>27</v>
      </c>
      <c r="F53" s="11">
        <v>1.75</v>
      </c>
      <c r="G53" s="11">
        <v>3.25</v>
      </c>
      <c r="H53" s="11">
        <v>3.41</v>
      </c>
      <c r="I53" s="11">
        <v>2.64</v>
      </c>
      <c r="J53" s="21" t="s">
        <v>81</v>
      </c>
    </row>
    <row r="54" ht="14.25" customHeight="1">
      <c r="A54" s="8">
        <v>7.0</v>
      </c>
      <c r="B54" s="9" t="s">
        <v>88</v>
      </c>
      <c r="C54" s="10" t="s">
        <v>83</v>
      </c>
      <c r="D54" s="10" t="s">
        <v>78</v>
      </c>
      <c r="E54" s="10" t="s">
        <v>27</v>
      </c>
      <c r="F54" s="11">
        <v>6.17</v>
      </c>
      <c r="G54" s="11">
        <v>7.64</v>
      </c>
      <c r="H54" s="11">
        <v>7.58</v>
      </c>
      <c r="I54" s="11">
        <v>4.32</v>
      </c>
      <c r="J54" s="12" t="s">
        <v>89</v>
      </c>
      <c r="L54" s="6">
        <v>1.0</v>
      </c>
    </row>
    <row r="55" ht="14.25" customHeight="1">
      <c r="A55" s="8">
        <v>8.0</v>
      </c>
      <c r="B55" s="9" t="s">
        <v>90</v>
      </c>
      <c r="C55" s="10" t="s">
        <v>83</v>
      </c>
      <c r="D55" s="10" t="s">
        <v>78</v>
      </c>
      <c r="E55" s="10" t="s">
        <v>27</v>
      </c>
      <c r="F55" s="11">
        <v>1.58</v>
      </c>
      <c r="G55" s="11">
        <v>3.09</v>
      </c>
      <c r="H55" s="11">
        <v>3.11</v>
      </c>
      <c r="I55" s="11">
        <v>2.98</v>
      </c>
      <c r="J55" s="12" t="s">
        <v>89</v>
      </c>
      <c r="L55" s="6">
        <v>1.0</v>
      </c>
    </row>
    <row r="56" ht="14.25" customHeight="1">
      <c r="A56" s="8">
        <v>9.0</v>
      </c>
      <c r="B56" s="9" t="s">
        <v>91</v>
      </c>
      <c r="C56" s="10" t="s">
        <v>83</v>
      </c>
      <c r="D56" s="10" t="s">
        <v>78</v>
      </c>
      <c r="E56" s="10" t="s">
        <v>27</v>
      </c>
      <c r="F56" s="11">
        <v>4.64</v>
      </c>
      <c r="G56" s="11">
        <v>5.21</v>
      </c>
      <c r="H56" s="11">
        <v>4.0</v>
      </c>
      <c r="I56" s="11">
        <v>5.46</v>
      </c>
      <c r="J56" s="12" t="s">
        <v>89</v>
      </c>
      <c r="L56" s="6">
        <v>1.0</v>
      </c>
    </row>
    <row r="57" ht="14.25" customHeight="1">
      <c r="A57" s="8">
        <v>10.0</v>
      </c>
      <c r="B57" s="9" t="s">
        <v>92</v>
      </c>
      <c r="C57" s="10" t="s">
        <v>83</v>
      </c>
      <c r="D57" s="10" t="s">
        <v>78</v>
      </c>
      <c r="E57" s="10" t="s">
        <v>27</v>
      </c>
      <c r="F57" s="11">
        <v>5.88</v>
      </c>
      <c r="G57" s="11">
        <v>6.78</v>
      </c>
      <c r="H57" s="11" t="s">
        <v>93</v>
      </c>
      <c r="I57" s="11">
        <v>5.71</v>
      </c>
      <c r="J57" s="10" t="s">
        <v>28</v>
      </c>
      <c r="K57" s="6">
        <v>1.0</v>
      </c>
    </row>
    <row r="58" ht="14.25" customHeight="1">
      <c r="A58" s="8">
        <v>11.0</v>
      </c>
      <c r="B58" s="9" t="s">
        <v>94</v>
      </c>
      <c r="C58" s="10" t="s">
        <v>83</v>
      </c>
      <c r="D58" s="10" t="s">
        <v>78</v>
      </c>
      <c r="E58" s="10" t="s">
        <v>27</v>
      </c>
      <c r="F58" s="11">
        <v>4.46</v>
      </c>
      <c r="G58" s="11">
        <v>5.07</v>
      </c>
      <c r="H58" s="11">
        <v>6.05</v>
      </c>
      <c r="I58" s="11">
        <v>4.64</v>
      </c>
      <c r="J58" s="10" t="s">
        <v>28</v>
      </c>
      <c r="K58" s="6">
        <v>1.0</v>
      </c>
    </row>
    <row r="59" ht="14.25" customHeight="1">
      <c r="A59" s="8">
        <v>12.0</v>
      </c>
      <c r="B59" s="9" t="s">
        <v>95</v>
      </c>
      <c r="C59" s="10" t="s">
        <v>83</v>
      </c>
      <c r="D59" s="10" t="s">
        <v>78</v>
      </c>
      <c r="E59" s="10" t="s">
        <v>27</v>
      </c>
      <c r="F59" s="11">
        <v>3.75</v>
      </c>
      <c r="G59" s="11">
        <v>4.64</v>
      </c>
      <c r="H59" s="11">
        <v>5.0</v>
      </c>
      <c r="I59" s="11">
        <v>3.05</v>
      </c>
      <c r="J59" s="12" t="s">
        <v>89</v>
      </c>
      <c r="L59" s="6">
        <v>1.0</v>
      </c>
    </row>
    <row r="60" ht="14.25" customHeight="1">
      <c r="A60" s="8">
        <v>13.0</v>
      </c>
      <c r="B60" s="9" t="s">
        <v>96</v>
      </c>
      <c r="C60" s="10" t="s">
        <v>83</v>
      </c>
      <c r="D60" s="10" t="s">
        <v>78</v>
      </c>
      <c r="E60" s="10" t="s">
        <v>27</v>
      </c>
      <c r="F60" s="11">
        <v>5.32</v>
      </c>
      <c r="G60" s="11">
        <v>6.0</v>
      </c>
      <c r="H60" s="11">
        <v>6.11</v>
      </c>
      <c r="I60" s="11">
        <v>3.86</v>
      </c>
      <c r="J60" s="12" t="s">
        <v>89</v>
      </c>
      <c r="L60" s="6">
        <v>1.0</v>
      </c>
    </row>
    <row r="61" ht="14.25" customHeight="1">
      <c r="A61" s="8">
        <v>14.0</v>
      </c>
      <c r="B61" s="9" t="s">
        <v>97</v>
      </c>
      <c r="C61" s="10" t="s">
        <v>77</v>
      </c>
      <c r="D61" s="10" t="s">
        <v>78</v>
      </c>
      <c r="E61" s="10" t="s">
        <v>27</v>
      </c>
      <c r="F61" s="11">
        <v>1.42</v>
      </c>
      <c r="G61" s="11">
        <v>1.71</v>
      </c>
      <c r="H61" s="11">
        <v>2.88</v>
      </c>
      <c r="I61" s="11">
        <v>5.46</v>
      </c>
      <c r="J61" s="10" t="s">
        <v>28</v>
      </c>
      <c r="K61" s="6">
        <v>1.0</v>
      </c>
    </row>
    <row r="62" ht="14.25" customHeight="1">
      <c r="A62" s="8">
        <v>15.0</v>
      </c>
      <c r="B62" s="9" t="s">
        <v>98</v>
      </c>
      <c r="C62" s="10" t="s">
        <v>99</v>
      </c>
      <c r="D62" s="10" t="s">
        <v>78</v>
      </c>
      <c r="E62" s="10" t="s">
        <v>27</v>
      </c>
      <c r="F62" s="11">
        <v>4.14</v>
      </c>
      <c r="G62" s="11">
        <v>5.96</v>
      </c>
      <c r="H62" s="11">
        <v>6.64</v>
      </c>
      <c r="I62" s="11">
        <v>4.0</v>
      </c>
      <c r="J62" s="12" t="s">
        <v>89</v>
      </c>
      <c r="L62" s="6">
        <v>1.0</v>
      </c>
    </row>
    <row r="63" ht="14.25" customHeight="1">
      <c r="A63" s="8">
        <v>16.0</v>
      </c>
      <c r="B63" s="9" t="s">
        <v>100</v>
      </c>
      <c r="C63" s="10" t="s">
        <v>77</v>
      </c>
      <c r="D63" s="10" t="s">
        <v>78</v>
      </c>
      <c r="E63" s="10" t="s">
        <v>27</v>
      </c>
      <c r="F63" s="11">
        <v>5.14</v>
      </c>
      <c r="G63" s="11">
        <v>5.85</v>
      </c>
      <c r="H63" s="11">
        <v>7.35</v>
      </c>
      <c r="I63" s="11">
        <v>5.82</v>
      </c>
      <c r="J63" s="10" t="s">
        <v>28</v>
      </c>
      <c r="K63" s="6">
        <v>1.0</v>
      </c>
    </row>
    <row r="64" ht="14.25" customHeight="1">
      <c r="A64" s="8">
        <v>17.0</v>
      </c>
      <c r="B64" s="9" t="s">
        <v>101</v>
      </c>
      <c r="C64" s="10" t="s">
        <v>77</v>
      </c>
      <c r="D64" s="10" t="s">
        <v>78</v>
      </c>
      <c r="E64" s="10" t="s">
        <v>27</v>
      </c>
      <c r="F64" s="11">
        <v>2.92</v>
      </c>
      <c r="G64" s="11">
        <v>3.42</v>
      </c>
      <c r="H64" s="11">
        <v>3.35</v>
      </c>
      <c r="I64" s="11">
        <v>4.68</v>
      </c>
      <c r="J64" s="10" t="s">
        <v>28</v>
      </c>
      <c r="K64" s="6">
        <v>1.0</v>
      </c>
    </row>
    <row r="65" ht="14.25" customHeight="1">
      <c r="A65" s="8">
        <v>18.0</v>
      </c>
      <c r="B65" s="9" t="s">
        <v>102</v>
      </c>
      <c r="C65" s="10" t="s">
        <v>83</v>
      </c>
      <c r="D65" s="10" t="s">
        <v>78</v>
      </c>
      <c r="E65" s="10" t="s">
        <v>27</v>
      </c>
      <c r="F65" s="11">
        <v>5.14</v>
      </c>
      <c r="G65" s="11">
        <v>4.17</v>
      </c>
      <c r="H65" s="11">
        <v>6.0</v>
      </c>
      <c r="I65" s="11">
        <v>5.96</v>
      </c>
      <c r="J65" s="10" t="s">
        <v>28</v>
      </c>
      <c r="K65" s="6">
        <v>1.0</v>
      </c>
    </row>
    <row r="66" ht="14.25" customHeight="1">
      <c r="A66" s="22"/>
      <c r="B66" s="23"/>
      <c r="C66" s="24"/>
      <c r="D66" s="24"/>
      <c r="E66" s="24"/>
      <c r="F66" s="25"/>
      <c r="G66" s="25"/>
      <c r="H66" s="25"/>
      <c r="I66" s="25"/>
      <c r="J66" s="24"/>
      <c r="K66" s="26">
        <f t="shared" ref="K66:L66" si="2">SUM(K48:K65)</f>
        <v>10</v>
      </c>
      <c r="L66" s="16">
        <f t="shared" si="2"/>
        <v>6</v>
      </c>
    </row>
    <row r="67" ht="14.25" customHeight="1">
      <c r="A67" s="27"/>
      <c r="B67" s="28"/>
      <c r="C67" s="29"/>
      <c r="D67" s="29"/>
      <c r="E67" s="29"/>
      <c r="F67" s="30"/>
      <c r="G67" s="30"/>
      <c r="H67" s="30"/>
      <c r="I67" s="30"/>
      <c r="J67" s="29"/>
      <c r="K67" s="31">
        <f>K66/A65</f>
        <v>0.5555555556</v>
      </c>
      <c r="L67" s="17">
        <f>L66/A65</f>
        <v>0.3333333333</v>
      </c>
    </row>
    <row r="68" ht="14.25" customHeight="1">
      <c r="A68" s="27"/>
      <c r="B68" s="32"/>
      <c r="C68" s="29"/>
      <c r="D68" s="29"/>
      <c r="E68" s="29"/>
      <c r="F68" s="30"/>
      <c r="G68" s="30"/>
      <c r="H68" s="30"/>
      <c r="I68" s="30"/>
      <c r="J68" s="29"/>
      <c r="K68" s="26"/>
    </row>
    <row r="69" ht="14.25" customHeight="1">
      <c r="A69" s="8">
        <v>1.0</v>
      </c>
      <c r="B69" s="9" t="s">
        <v>103</v>
      </c>
      <c r="C69" s="10" t="s">
        <v>104</v>
      </c>
      <c r="D69" s="10" t="s">
        <v>105</v>
      </c>
      <c r="E69" s="10" t="s">
        <v>24</v>
      </c>
      <c r="F69" s="11">
        <v>0.0</v>
      </c>
      <c r="G69" s="11">
        <v>1.36</v>
      </c>
      <c r="H69" s="11">
        <v>0.0</v>
      </c>
      <c r="I69" s="11" t="s">
        <v>106</v>
      </c>
      <c r="J69" s="33" t="s">
        <v>81</v>
      </c>
    </row>
    <row r="70" ht="14.25" customHeight="1">
      <c r="A70" s="8">
        <v>2.0</v>
      </c>
      <c r="B70" s="9" t="s">
        <v>107</v>
      </c>
      <c r="C70" s="10" t="s">
        <v>108</v>
      </c>
      <c r="D70" s="10" t="s">
        <v>105</v>
      </c>
      <c r="E70" s="10" t="s">
        <v>24</v>
      </c>
      <c r="F70" s="11">
        <v>1.67</v>
      </c>
      <c r="G70" s="11">
        <v>2.64</v>
      </c>
      <c r="H70" s="11">
        <v>2.65</v>
      </c>
      <c r="I70" s="11">
        <v>3.71</v>
      </c>
      <c r="J70" s="33" t="s">
        <v>81</v>
      </c>
    </row>
    <row r="71" ht="14.25" customHeight="1">
      <c r="A71" s="8">
        <v>3.0</v>
      </c>
      <c r="B71" s="9" t="s">
        <v>109</v>
      </c>
      <c r="C71" s="10" t="s">
        <v>108</v>
      </c>
      <c r="D71" s="10" t="s">
        <v>105</v>
      </c>
      <c r="E71" s="10" t="s">
        <v>24</v>
      </c>
      <c r="F71" s="11">
        <v>0.0</v>
      </c>
      <c r="G71" s="11">
        <v>3.53</v>
      </c>
      <c r="H71" s="11">
        <v>1.11</v>
      </c>
      <c r="I71" s="11">
        <v>2.68</v>
      </c>
      <c r="J71" s="33" t="s">
        <v>81</v>
      </c>
    </row>
    <row r="72" ht="14.25" customHeight="1">
      <c r="A72" s="8">
        <v>4.0</v>
      </c>
      <c r="B72" s="9" t="s">
        <v>110</v>
      </c>
      <c r="C72" s="10" t="s">
        <v>104</v>
      </c>
      <c r="D72" s="10" t="s">
        <v>105</v>
      </c>
      <c r="E72" s="10" t="s">
        <v>24</v>
      </c>
      <c r="F72" s="11">
        <v>1.03</v>
      </c>
      <c r="G72" s="11">
        <v>0.78</v>
      </c>
      <c r="H72" s="11">
        <v>0.9</v>
      </c>
      <c r="I72" s="11">
        <v>1.07</v>
      </c>
      <c r="J72" s="33" t="s">
        <v>81</v>
      </c>
    </row>
    <row r="73" ht="14.25" customHeight="1">
      <c r="A73" s="8">
        <v>5.0</v>
      </c>
      <c r="B73" s="9" t="s">
        <v>111</v>
      </c>
      <c r="C73" s="10" t="s">
        <v>104</v>
      </c>
      <c r="D73" s="10" t="s">
        <v>105</v>
      </c>
      <c r="E73" s="10" t="s">
        <v>24</v>
      </c>
      <c r="F73" s="11">
        <v>2.39</v>
      </c>
      <c r="G73" s="11">
        <v>1.64</v>
      </c>
      <c r="H73" s="11">
        <v>3.01</v>
      </c>
      <c r="I73" s="11">
        <v>1.79</v>
      </c>
      <c r="J73" s="33" t="s">
        <v>81</v>
      </c>
    </row>
    <row r="74" ht="14.25" customHeight="1">
      <c r="A74" s="8">
        <v>6.0</v>
      </c>
      <c r="B74" s="9" t="s">
        <v>112</v>
      </c>
      <c r="C74" s="10" t="s">
        <v>108</v>
      </c>
      <c r="D74" s="10" t="s">
        <v>105</v>
      </c>
      <c r="E74" s="10" t="s">
        <v>24</v>
      </c>
      <c r="F74" s="11">
        <v>4.51</v>
      </c>
      <c r="G74" s="11">
        <v>6.5</v>
      </c>
      <c r="H74" s="11">
        <v>7.0</v>
      </c>
      <c r="I74" s="11">
        <v>5.93</v>
      </c>
      <c r="J74" s="10" t="s">
        <v>113</v>
      </c>
      <c r="K74" s="6">
        <v>1.0</v>
      </c>
    </row>
    <row r="75" ht="14.25" customHeight="1">
      <c r="A75" s="8">
        <v>7.0</v>
      </c>
      <c r="B75" s="9" t="s">
        <v>114</v>
      </c>
      <c r="C75" s="10" t="s">
        <v>104</v>
      </c>
      <c r="D75" s="10" t="s">
        <v>105</v>
      </c>
      <c r="E75" s="10" t="s">
        <v>24</v>
      </c>
      <c r="F75" s="11">
        <v>5.85</v>
      </c>
      <c r="G75" s="11">
        <v>5.6</v>
      </c>
      <c r="H75" s="11">
        <v>4.22</v>
      </c>
      <c r="I75" s="11">
        <v>5.0</v>
      </c>
      <c r="J75" s="34" t="s">
        <v>115</v>
      </c>
      <c r="L75" s="6">
        <v>1.0</v>
      </c>
    </row>
    <row r="76" ht="14.25" customHeight="1">
      <c r="A76" s="8">
        <v>8.0</v>
      </c>
      <c r="B76" s="9" t="s">
        <v>116</v>
      </c>
      <c r="C76" s="10" t="s">
        <v>104</v>
      </c>
      <c r="D76" s="10" t="s">
        <v>105</v>
      </c>
      <c r="E76" s="10" t="s">
        <v>24</v>
      </c>
      <c r="F76" s="11">
        <v>4.55</v>
      </c>
      <c r="G76" s="11">
        <v>3.07</v>
      </c>
      <c r="H76" s="11">
        <v>3.84</v>
      </c>
      <c r="I76" s="11">
        <v>4.59</v>
      </c>
      <c r="J76" s="34" t="s">
        <v>115</v>
      </c>
      <c r="L76" s="6">
        <v>1.0</v>
      </c>
    </row>
    <row r="77" ht="14.25" customHeight="1">
      <c r="A77" s="8">
        <v>9.0</v>
      </c>
      <c r="B77" s="9" t="s">
        <v>117</v>
      </c>
      <c r="C77" s="10" t="s">
        <v>104</v>
      </c>
      <c r="D77" s="10" t="s">
        <v>105</v>
      </c>
      <c r="E77" s="10" t="s">
        <v>24</v>
      </c>
      <c r="F77" s="11">
        <v>6.75</v>
      </c>
      <c r="G77" s="11">
        <v>5.94</v>
      </c>
      <c r="H77" s="11">
        <v>4.84</v>
      </c>
      <c r="I77" s="11">
        <v>6.66</v>
      </c>
      <c r="J77" s="10" t="s">
        <v>113</v>
      </c>
      <c r="K77" s="6">
        <v>1.0</v>
      </c>
    </row>
    <row r="78" ht="14.25" customHeight="1">
      <c r="A78" s="8">
        <v>10.0</v>
      </c>
      <c r="B78" s="9" t="s">
        <v>118</v>
      </c>
      <c r="C78" s="10" t="s">
        <v>108</v>
      </c>
      <c r="D78" s="10" t="s">
        <v>105</v>
      </c>
      <c r="E78" s="10" t="s">
        <v>24</v>
      </c>
      <c r="F78" s="11">
        <v>4.0</v>
      </c>
      <c r="G78" s="11">
        <v>4.14</v>
      </c>
      <c r="H78" s="11">
        <v>5.1</v>
      </c>
      <c r="I78" s="11">
        <v>5.0</v>
      </c>
      <c r="J78" s="34" t="s">
        <v>115</v>
      </c>
      <c r="L78" s="6">
        <v>1.0</v>
      </c>
    </row>
    <row r="79" ht="14.25" customHeight="1">
      <c r="A79" s="8">
        <v>11.0</v>
      </c>
      <c r="B79" s="9" t="s">
        <v>119</v>
      </c>
      <c r="C79" s="10" t="s">
        <v>104</v>
      </c>
      <c r="D79" s="10" t="s">
        <v>105</v>
      </c>
      <c r="E79" s="10" t="s">
        <v>24</v>
      </c>
      <c r="F79" s="11">
        <v>3.1</v>
      </c>
      <c r="G79" s="11">
        <v>5.03</v>
      </c>
      <c r="H79" s="11">
        <v>6.06</v>
      </c>
      <c r="I79" s="11">
        <v>4.79</v>
      </c>
      <c r="J79" s="34" t="s">
        <v>115</v>
      </c>
      <c r="L79" s="6">
        <v>1.0</v>
      </c>
    </row>
    <row r="80" ht="14.25" customHeight="1">
      <c r="A80" s="8">
        <v>12.0</v>
      </c>
      <c r="B80" s="9" t="s">
        <v>120</v>
      </c>
      <c r="C80" s="10" t="s">
        <v>108</v>
      </c>
      <c r="D80" s="10" t="s">
        <v>105</v>
      </c>
      <c r="E80" s="10" t="s">
        <v>24</v>
      </c>
      <c r="F80" s="11">
        <v>2.89</v>
      </c>
      <c r="G80" s="11">
        <v>1.6</v>
      </c>
      <c r="H80" s="11">
        <v>2.98</v>
      </c>
      <c r="I80" s="11">
        <v>1.82</v>
      </c>
      <c r="J80" s="33" t="s">
        <v>81</v>
      </c>
    </row>
    <row r="81" ht="14.25" customHeight="1">
      <c r="A81" s="8">
        <v>13.0</v>
      </c>
      <c r="B81" s="9" t="s">
        <v>121</v>
      </c>
      <c r="C81" s="10" t="s">
        <v>104</v>
      </c>
      <c r="D81" s="10" t="s">
        <v>105</v>
      </c>
      <c r="E81" s="10" t="s">
        <v>24</v>
      </c>
      <c r="F81" s="11">
        <v>4.25</v>
      </c>
      <c r="G81" s="11">
        <v>3.0</v>
      </c>
      <c r="H81" s="11">
        <v>4.62</v>
      </c>
      <c r="I81" s="11">
        <v>5.0</v>
      </c>
      <c r="J81" s="10" t="s">
        <v>113</v>
      </c>
      <c r="K81" s="6">
        <v>1.0</v>
      </c>
    </row>
    <row r="82" ht="14.25" customHeight="1">
      <c r="A82" s="8">
        <v>14.0</v>
      </c>
      <c r="B82" s="9" t="s">
        <v>122</v>
      </c>
      <c r="C82" s="10" t="s">
        <v>104</v>
      </c>
      <c r="D82" s="10" t="s">
        <v>105</v>
      </c>
      <c r="E82" s="10" t="s">
        <v>24</v>
      </c>
      <c r="F82" s="11">
        <v>3.1</v>
      </c>
      <c r="G82" s="11">
        <v>4.5</v>
      </c>
      <c r="H82" s="11">
        <v>5.0</v>
      </c>
      <c r="I82" s="11">
        <v>4.77</v>
      </c>
      <c r="J82" s="10" t="s">
        <v>113</v>
      </c>
      <c r="K82" s="6">
        <v>1.0</v>
      </c>
    </row>
    <row r="83" ht="14.25" customHeight="1">
      <c r="A83" s="8">
        <v>15.0</v>
      </c>
      <c r="B83" s="9" t="s">
        <v>123</v>
      </c>
      <c r="C83" s="10" t="s">
        <v>104</v>
      </c>
      <c r="D83" s="10" t="s">
        <v>105</v>
      </c>
      <c r="E83" s="10" t="s">
        <v>24</v>
      </c>
      <c r="F83" s="11" t="s">
        <v>37</v>
      </c>
      <c r="G83" s="11">
        <v>2.0</v>
      </c>
      <c r="H83" s="11" t="s">
        <v>37</v>
      </c>
      <c r="I83" s="11" t="s">
        <v>106</v>
      </c>
      <c r="J83" s="33" t="s">
        <v>81</v>
      </c>
    </row>
    <row r="84" ht="14.25" customHeight="1">
      <c r="A84" s="8">
        <v>16.0</v>
      </c>
      <c r="B84" s="9" t="s">
        <v>124</v>
      </c>
      <c r="C84" s="10" t="s">
        <v>104</v>
      </c>
      <c r="D84" s="10" t="s">
        <v>105</v>
      </c>
      <c r="E84" s="10" t="s">
        <v>24</v>
      </c>
      <c r="F84" s="11">
        <v>4.0</v>
      </c>
      <c r="G84" s="11">
        <v>3.96</v>
      </c>
      <c r="H84" s="11">
        <v>4.69</v>
      </c>
      <c r="I84" s="11">
        <v>5.0</v>
      </c>
      <c r="J84" s="10" t="s">
        <v>113</v>
      </c>
      <c r="K84" s="6">
        <v>1.0</v>
      </c>
    </row>
    <row r="85" ht="14.25" customHeight="1">
      <c r="A85" s="8">
        <v>17.0</v>
      </c>
      <c r="B85" s="9" t="s">
        <v>125</v>
      </c>
      <c r="C85" s="10" t="s">
        <v>104</v>
      </c>
      <c r="D85" s="10" t="s">
        <v>105</v>
      </c>
      <c r="E85" s="10" t="s">
        <v>24</v>
      </c>
      <c r="F85" s="11">
        <v>5.0</v>
      </c>
      <c r="G85" s="11">
        <v>4.64</v>
      </c>
      <c r="H85" s="11">
        <v>3.46</v>
      </c>
      <c r="I85" s="11">
        <v>4.87</v>
      </c>
      <c r="J85" s="10" t="s">
        <v>113</v>
      </c>
      <c r="K85" s="6">
        <v>1.0</v>
      </c>
    </row>
    <row r="86" ht="14.25" customHeight="1">
      <c r="A86" s="8">
        <v>18.0</v>
      </c>
      <c r="B86" s="9" t="s">
        <v>126</v>
      </c>
      <c r="C86" s="10" t="s">
        <v>108</v>
      </c>
      <c r="D86" s="10" t="s">
        <v>105</v>
      </c>
      <c r="E86" s="10" t="s">
        <v>24</v>
      </c>
      <c r="F86" s="11">
        <v>4.71</v>
      </c>
      <c r="G86" s="11">
        <v>5.42</v>
      </c>
      <c r="H86" s="11">
        <v>6.56</v>
      </c>
      <c r="I86" s="11">
        <v>5.57</v>
      </c>
      <c r="J86" s="10" t="s">
        <v>127</v>
      </c>
      <c r="K86" s="6">
        <v>1.0</v>
      </c>
    </row>
    <row r="87" ht="14.25" customHeight="1">
      <c r="A87" s="8">
        <v>19.0</v>
      </c>
      <c r="B87" s="9" t="s">
        <v>128</v>
      </c>
      <c r="C87" s="10" t="s">
        <v>108</v>
      </c>
      <c r="D87" s="10" t="s">
        <v>105</v>
      </c>
      <c r="E87" s="10" t="s">
        <v>24</v>
      </c>
      <c r="F87" s="11">
        <v>7.1</v>
      </c>
      <c r="G87" s="11">
        <v>3.67</v>
      </c>
      <c r="H87" s="11">
        <v>4.11</v>
      </c>
      <c r="I87" s="11">
        <v>3.6</v>
      </c>
      <c r="J87" s="33" t="s">
        <v>81</v>
      </c>
    </row>
    <row r="88" ht="14.25" customHeight="1">
      <c r="A88" s="8">
        <v>20.0</v>
      </c>
      <c r="B88" s="9" t="s">
        <v>129</v>
      </c>
      <c r="C88" s="10" t="s">
        <v>104</v>
      </c>
      <c r="D88" s="10" t="s">
        <v>105</v>
      </c>
      <c r="E88" s="10" t="s">
        <v>24</v>
      </c>
      <c r="F88" s="11">
        <v>5.7</v>
      </c>
      <c r="G88" s="11">
        <v>4.6</v>
      </c>
      <c r="H88" s="11">
        <v>4.83</v>
      </c>
      <c r="I88" s="11">
        <v>3.0</v>
      </c>
      <c r="J88" s="34" t="s">
        <v>115</v>
      </c>
      <c r="L88" s="6">
        <v>1.0</v>
      </c>
    </row>
    <row r="89" ht="14.25" customHeight="1">
      <c r="A89" s="8">
        <v>21.0</v>
      </c>
      <c r="B89" s="9" t="s">
        <v>130</v>
      </c>
      <c r="C89" s="10" t="s">
        <v>104</v>
      </c>
      <c r="D89" s="10" t="s">
        <v>105</v>
      </c>
      <c r="E89" s="10" t="s">
        <v>24</v>
      </c>
      <c r="F89" s="11">
        <v>6.92</v>
      </c>
      <c r="G89" s="11">
        <v>5.32</v>
      </c>
      <c r="H89" s="11">
        <v>6.12</v>
      </c>
      <c r="I89" s="11">
        <v>5.99</v>
      </c>
      <c r="J89" s="10" t="s">
        <v>127</v>
      </c>
      <c r="K89" s="6">
        <v>1.0</v>
      </c>
    </row>
    <row r="90" ht="14.25" customHeight="1">
      <c r="A90" s="8">
        <v>22.0</v>
      </c>
      <c r="B90" s="9" t="s">
        <v>131</v>
      </c>
      <c r="C90" s="10" t="s">
        <v>108</v>
      </c>
      <c r="D90" s="10" t="s">
        <v>105</v>
      </c>
      <c r="E90" s="10" t="s">
        <v>24</v>
      </c>
      <c r="F90" s="11">
        <v>4.42</v>
      </c>
      <c r="G90" s="11">
        <v>0.0</v>
      </c>
      <c r="H90" s="11">
        <v>0.0</v>
      </c>
      <c r="I90" s="11" t="s">
        <v>106</v>
      </c>
      <c r="J90" s="33" t="s">
        <v>81</v>
      </c>
    </row>
    <row r="91" ht="14.25" customHeight="1">
      <c r="A91" s="8">
        <v>23.0</v>
      </c>
      <c r="B91" s="9" t="s">
        <v>132</v>
      </c>
      <c r="C91" s="10" t="s">
        <v>108</v>
      </c>
      <c r="D91" s="10" t="s">
        <v>105</v>
      </c>
      <c r="E91" s="10" t="s">
        <v>24</v>
      </c>
      <c r="F91" s="11">
        <v>6.21</v>
      </c>
      <c r="G91" s="11">
        <v>5.53</v>
      </c>
      <c r="H91" s="11">
        <v>5.87</v>
      </c>
      <c r="I91" s="11">
        <v>5.54</v>
      </c>
      <c r="J91" s="10" t="s">
        <v>133</v>
      </c>
      <c r="K91" s="6">
        <v>1.0</v>
      </c>
    </row>
    <row r="92" ht="14.25" customHeight="1">
      <c r="A92" s="8">
        <v>24.0</v>
      </c>
      <c r="B92" s="9" t="s">
        <v>134</v>
      </c>
      <c r="C92" s="10" t="s">
        <v>104</v>
      </c>
      <c r="D92" s="10" t="s">
        <v>105</v>
      </c>
      <c r="E92" s="10" t="s">
        <v>24</v>
      </c>
      <c r="F92" s="11">
        <v>3.34</v>
      </c>
      <c r="G92" s="11">
        <v>4.32</v>
      </c>
      <c r="H92" s="11">
        <v>6.11</v>
      </c>
      <c r="I92" s="11">
        <v>6.0</v>
      </c>
      <c r="J92" s="10" t="s">
        <v>133</v>
      </c>
      <c r="K92" s="6">
        <v>1.0</v>
      </c>
    </row>
    <row r="93" ht="14.25" customHeight="1">
      <c r="A93" s="8">
        <v>25.0</v>
      </c>
      <c r="B93" s="9" t="s">
        <v>135</v>
      </c>
      <c r="C93" s="10" t="s">
        <v>108</v>
      </c>
      <c r="D93" s="10" t="s">
        <v>105</v>
      </c>
      <c r="E93" s="10" t="s">
        <v>24</v>
      </c>
      <c r="F93" s="11">
        <v>6.25</v>
      </c>
      <c r="G93" s="11">
        <v>3.46</v>
      </c>
      <c r="H93" s="11">
        <v>4.85</v>
      </c>
      <c r="I93" s="11">
        <v>4.86</v>
      </c>
      <c r="J93" s="10" t="s">
        <v>28</v>
      </c>
      <c r="K93" s="6">
        <v>1.0</v>
      </c>
    </row>
    <row r="94" ht="14.25" customHeight="1">
      <c r="A94" s="8">
        <v>26.0</v>
      </c>
      <c r="B94" s="9" t="s">
        <v>136</v>
      </c>
      <c r="C94" s="10" t="s">
        <v>104</v>
      </c>
      <c r="D94" s="10" t="s">
        <v>105</v>
      </c>
      <c r="E94" s="10" t="s">
        <v>24</v>
      </c>
      <c r="F94" s="11">
        <v>5.0</v>
      </c>
      <c r="G94" s="11">
        <v>4.68</v>
      </c>
      <c r="H94" s="11">
        <v>3.79</v>
      </c>
      <c r="I94" s="11">
        <v>5.0</v>
      </c>
      <c r="J94" s="10" t="s">
        <v>28</v>
      </c>
      <c r="K94" s="6">
        <v>1.0</v>
      </c>
    </row>
    <row r="95" ht="14.25" customHeight="1">
      <c r="A95" s="8">
        <v>27.0</v>
      </c>
      <c r="B95" s="9" t="s">
        <v>137</v>
      </c>
      <c r="C95" s="10" t="s">
        <v>108</v>
      </c>
      <c r="D95" s="10" t="s">
        <v>105</v>
      </c>
      <c r="E95" s="10" t="s">
        <v>24</v>
      </c>
      <c r="F95" s="11">
        <v>7.96</v>
      </c>
      <c r="G95" s="11">
        <v>6.78</v>
      </c>
      <c r="H95" s="11">
        <v>7.37</v>
      </c>
      <c r="I95" s="11">
        <v>6.71</v>
      </c>
      <c r="J95" s="10" t="s">
        <v>28</v>
      </c>
      <c r="K95" s="6">
        <v>1.0</v>
      </c>
    </row>
    <row r="96" ht="14.25" customHeight="1">
      <c r="A96" s="8">
        <v>28.0</v>
      </c>
      <c r="B96" s="9" t="s">
        <v>138</v>
      </c>
      <c r="C96" s="10" t="s">
        <v>108</v>
      </c>
      <c r="D96" s="10" t="s">
        <v>105</v>
      </c>
      <c r="E96" s="10" t="s">
        <v>24</v>
      </c>
      <c r="F96" s="11">
        <v>4.25</v>
      </c>
      <c r="G96" s="11">
        <v>5.39</v>
      </c>
      <c r="H96" s="11">
        <v>4.45</v>
      </c>
      <c r="I96" s="11">
        <v>4.75</v>
      </c>
      <c r="J96" s="10" t="s">
        <v>28</v>
      </c>
      <c r="K96" s="6">
        <v>1.0</v>
      </c>
    </row>
    <row r="97" ht="14.25" customHeight="1">
      <c r="A97" s="8">
        <v>29.0</v>
      </c>
      <c r="B97" s="9" t="s">
        <v>139</v>
      </c>
      <c r="C97" s="10" t="s">
        <v>104</v>
      </c>
      <c r="D97" s="10" t="s">
        <v>105</v>
      </c>
      <c r="E97" s="10" t="s">
        <v>24</v>
      </c>
      <c r="F97" s="11">
        <v>5.32</v>
      </c>
      <c r="G97" s="11">
        <v>3.14</v>
      </c>
      <c r="H97" s="11">
        <v>4.5</v>
      </c>
      <c r="I97" s="11">
        <v>5.25</v>
      </c>
      <c r="J97" s="10" t="s">
        <v>133</v>
      </c>
      <c r="K97" s="6">
        <v>1.0</v>
      </c>
    </row>
    <row r="98" ht="14.25" customHeight="1">
      <c r="A98" s="8">
        <v>30.0</v>
      </c>
      <c r="B98" s="9" t="s">
        <v>140</v>
      </c>
      <c r="C98" s="10" t="s">
        <v>108</v>
      </c>
      <c r="D98" s="10" t="s">
        <v>105</v>
      </c>
      <c r="E98" s="10" t="s">
        <v>24</v>
      </c>
      <c r="F98" s="11">
        <v>6.35</v>
      </c>
      <c r="G98" s="11">
        <v>5.0</v>
      </c>
      <c r="H98" s="11">
        <v>5.89</v>
      </c>
      <c r="I98" s="11">
        <v>6.07</v>
      </c>
      <c r="J98" s="10" t="s">
        <v>133</v>
      </c>
      <c r="K98" s="6">
        <v>1.0</v>
      </c>
    </row>
    <row r="99" ht="14.25" customHeight="1">
      <c r="A99" s="8">
        <v>31.0</v>
      </c>
      <c r="B99" s="9" t="s">
        <v>141</v>
      </c>
      <c r="C99" s="10" t="s">
        <v>104</v>
      </c>
      <c r="D99" s="10" t="s">
        <v>105</v>
      </c>
      <c r="E99" s="10" t="s">
        <v>24</v>
      </c>
      <c r="F99" s="11">
        <v>4.75</v>
      </c>
      <c r="G99" s="11">
        <v>3.85</v>
      </c>
      <c r="H99" s="11">
        <v>3.25</v>
      </c>
      <c r="I99" s="11">
        <v>4.5</v>
      </c>
      <c r="J99" s="10" t="s">
        <v>133</v>
      </c>
      <c r="K99" s="6">
        <v>1.0</v>
      </c>
    </row>
    <row r="100" ht="14.25" customHeight="1">
      <c r="A100" s="8">
        <v>32.0</v>
      </c>
      <c r="B100" s="9" t="s">
        <v>142</v>
      </c>
      <c r="C100" s="10" t="s">
        <v>108</v>
      </c>
      <c r="D100" s="10" t="s">
        <v>105</v>
      </c>
      <c r="E100" s="10" t="s">
        <v>24</v>
      </c>
      <c r="F100" s="11">
        <v>3.64</v>
      </c>
      <c r="G100" s="11">
        <v>4.85</v>
      </c>
      <c r="H100" s="11">
        <v>5.11</v>
      </c>
      <c r="I100" s="11">
        <v>5.29</v>
      </c>
      <c r="J100" s="10" t="s">
        <v>133</v>
      </c>
      <c r="K100" s="6">
        <v>1.0</v>
      </c>
    </row>
    <row r="101" ht="14.25" customHeight="1">
      <c r="A101" s="22"/>
      <c r="B101" s="23"/>
      <c r="C101" s="14"/>
      <c r="D101" s="24"/>
      <c r="E101" s="24"/>
      <c r="F101" s="24"/>
      <c r="G101" s="24"/>
      <c r="H101" s="24"/>
      <c r="I101" s="35"/>
      <c r="J101" s="35"/>
      <c r="K101" s="26">
        <f t="shared" ref="K101:L101" si="3">SUM(K69:K100)</f>
        <v>18</v>
      </c>
      <c r="L101" s="16">
        <f t="shared" si="3"/>
        <v>5</v>
      </c>
    </row>
    <row r="102" ht="14.25" customHeight="1">
      <c r="A102" s="27"/>
      <c r="B102" s="28"/>
      <c r="C102" s="29"/>
      <c r="D102" s="29"/>
      <c r="E102" s="29"/>
      <c r="F102" s="29"/>
      <c r="G102" s="29"/>
      <c r="H102" s="29"/>
      <c r="I102" s="36"/>
      <c r="J102" s="36"/>
      <c r="K102" s="31">
        <f>K101/A100</f>
        <v>0.5625</v>
      </c>
      <c r="L102" s="17">
        <f>L101/A100</f>
        <v>0.15625</v>
      </c>
    </row>
    <row r="103" ht="14.25" customHeight="1">
      <c r="A103" s="27"/>
      <c r="B103" s="32"/>
      <c r="C103" s="29"/>
      <c r="D103" s="29"/>
      <c r="E103" s="29"/>
      <c r="F103" s="29"/>
      <c r="G103" s="29"/>
      <c r="H103" s="29"/>
      <c r="I103" s="36"/>
      <c r="J103" s="36"/>
      <c r="K103" s="26"/>
    </row>
    <row r="104" ht="14.25" customHeight="1">
      <c r="A104" s="37">
        <v>1.0</v>
      </c>
      <c r="B104" s="38" t="s">
        <v>143</v>
      </c>
      <c r="C104" s="39" t="s">
        <v>144</v>
      </c>
      <c r="D104" s="39" t="s">
        <v>145</v>
      </c>
      <c r="E104" s="39" t="s">
        <v>24</v>
      </c>
      <c r="F104" s="40">
        <v>5.46</v>
      </c>
      <c r="G104" s="40">
        <v>4.14</v>
      </c>
      <c r="H104" s="40">
        <v>6.1</v>
      </c>
      <c r="I104" s="40" t="s">
        <v>146</v>
      </c>
      <c r="J104" s="10" t="s">
        <v>133</v>
      </c>
      <c r="K104" s="6">
        <v>1.0</v>
      </c>
    </row>
    <row r="105" ht="14.25" customHeight="1">
      <c r="A105" s="37">
        <v>2.0</v>
      </c>
      <c r="B105" s="38" t="s">
        <v>147</v>
      </c>
      <c r="C105" s="39" t="s">
        <v>144</v>
      </c>
      <c r="D105" s="39" t="s">
        <v>145</v>
      </c>
      <c r="E105" s="39" t="s">
        <v>24</v>
      </c>
      <c r="F105" s="40">
        <v>3.14</v>
      </c>
      <c r="G105" s="40">
        <v>3.53</v>
      </c>
      <c r="H105" s="40">
        <v>5.2</v>
      </c>
      <c r="I105" s="40" t="s">
        <v>148</v>
      </c>
      <c r="J105" s="10" t="s">
        <v>133</v>
      </c>
      <c r="K105" s="6">
        <v>1.0</v>
      </c>
    </row>
    <row r="106" ht="14.25" customHeight="1">
      <c r="A106" s="37">
        <v>3.0</v>
      </c>
      <c r="B106" s="38" t="s">
        <v>149</v>
      </c>
      <c r="C106" s="39" t="s">
        <v>144</v>
      </c>
      <c r="D106" s="39" t="s">
        <v>145</v>
      </c>
      <c r="E106" s="39" t="s">
        <v>24</v>
      </c>
      <c r="F106" s="40">
        <v>2.28</v>
      </c>
      <c r="G106" s="40">
        <v>4.85</v>
      </c>
      <c r="H106" s="40">
        <v>4.5</v>
      </c>
      <c r="I106" s="40" t="s">
        <v>150</v>
      </c>
      <c r="J106" s="10" t="s">
        <v>133</v>
      </c>
      <c r="K106" s="6">
        <v>1.0</v>
      </c>
    </row>
    <row r="107" ht="14.25" customHeight="1">
      <c r="A107" s="37">
        <v>4.0</v>
      </c>
      <c r="B107" s="38" t="s">
        <v>151</v>
      </c>
      <c r="C107" s="39" t="s">
        <v>144</v>
      </c>
      <c r="D107" s="39" t="s">
        <v>145</v>
      </c>
      <c r="E107" s="39" t="s">
        <v>24</v>
      </c>
      <c r="F107" s="40">
        <v>6.64</v>
      </c>
      <c r="G107" s="40">
        <v>6.28</v>
      </c>
      <c r="H107" s="40">
        <v>7.0</v>
      </c>
      <c r="I107" s="40" t="s">
        <v>152</v>
      </c>
      <c r="J107" s="10" t="s">
        <v>133</v>
      </c>
      <c r="K107" s="6">
        <v>1.0</v>
      </c>
    </row>
    <row r="108" ht="14.25" customHeight="1">
      <c r="A108" s="37">
        <v>5.0</v>
      </c>
      <c r="B108" s="38" t="s">
        <v>153</v>
      </c>
      <c r="C108" s="39" t="s">
        <v>144</v>
      </c>
      <c r="D108" s="39" t="s">
        <v>145</v>
      </c>
      <c r="E108" s="39" t="s">
        <v>24</v>
      </c>
      <c r="F108" s="40">
        <v>7.5</v>
      </c>
      <c r="G108" s="40">
        <v>8.5</v>
      </c>
      <c r="H108" s="40">
        <v>8.3</v>
      </c>
      <c r="I108" s="40" t="s">
        <v>154</v>
      </c>
      <c r="J108" s="10" t="s">
        <v>133</v>
      </c>
      <c r="K108" s="6">
        <v>1.0</v>
      </c>
    </row>
    <row r="109" ht="14.25" customHeight="1">
      <c r="A109" s="37">
        <v>6.0</v>
      </c>
      <c r="B109" s="38" t="s">
        <v>155</v>
      </c>
      <c r="C109" s="39" t="s">
        <v>156</v>
      </c>
      <c r="D109" s="39" t="s">
        <v>145</v>
      </c>
      <c r="E109" s="39" t="s">
        <v>24</v>
      </c>
      <c r="F109" s="40">
        <v>5.67</v>
      </c>
      <c r="G109" s="40">
        <v>5.32</v>
      </c>
      <c r="H109" s="40">
        <v>6.5</v>
      </c>
      <c r="I109" s="40" t="s">
        <v>157</v>
      </c>
      <c r="J109" s="10" t="s">
        <v>133</v>
      </c>
      <c r="K109" s="6">
        <v>1.0</v>
      </c>
    </row>
    <row r="110" ht="14.25" customHeight="1">
      <c r="A110" s="37">
        <v>7.0</v>
      </c>
      <c r="B110" s="38" t="s">
        <v>158</v>
      </c>
      <c r="C110" s="39" t="s">
        <v>156</v>
      </c>
      <c r="D110" s="39" t="s">
        <v>145</v>
      </c>
      <c r="E110" s="39" t="s">
        <v>24</v>
      </c>
      <c r="F110" s="40">
        <v>2.35</v>
      </c>
      <c r="G110" s="40">
        <v>1.07</v>
      </c>
      <c r="H110" s="40">
        <v>4.0</v>
      </c>
      <c r="I110" s="40" t="s">
        <v>159</v>
      </c>
      <c r="J110" s="41" t="s">
        <v>81</v>
      </c>
    </row>
    <row r="111" ht="14.25" customHeight="1">
      <c r="A111" s="37">
        <v>8.0</v>
      </c>
      <c r="B111" s="38" t="s">
        <v>160</v>
      </c>
      <c r="C111" s="39" t="s">
        <v>144</v>
      </c>
      <c r="D111" s="39" t="s">
        <v>145</v>
      </c>
      <c r="E111" s="39" t="s">
        <v>24</v>
      </c>
      <c r="F111" s="40">
        <v>0.92</v>
      </c>
      <c r="G111" s="40">
        <v>1.22</v>
      </c>
      <c r="H111" s="40">
        <v>5.5</v>
      </c>
      <c r="I111" s="40" t="s">
        <v>161</v>
      </c>
      <c r="J111" s="42" t="s">
        <v>18</v>
      </c>
      <c r="L111" s="6">
        <v>1.0</v>
      </c>
    </row>
    <row r="112" ht="14.25" customHeight="1">
      <c r="A112" s="37">
        <v>9.0</v>
      </c>
      <c r="B112" s="38" t="s">
        <v>162</v>
      </c>
      <c r="C112" s="39" t="s">
        <v>163</v>
      </c>
      <c r="D112" s="39" t="s">
        <v>145</v>
      </c>
      <c r="E112" s="39" t="s">
        <v>24</v>
      </c>
      <c r="F112" s="40">
        <v>5.64</v>
      </c>
      <c r="G112" s="40">
        <v>5.03</v>
      </c>
      <c r="H112" s="40">
        <v>6.6</v>
      </c>
      <c r="I112" s="40">
        <v>6.0</v>
      </c>
      <c r="J112" s="10" t="s">
        <v>133</v>
      </c>
      <c r="K112" s="6">
        <v>1.0</v>
      </c>
    </row>
    <row r="113" ht="14.25" customHeight="1">
      <c r="A113" s="37">
        <v>10.0</v>
      </c>
      <c r="B113" s="38" t="s">
        <v>164</v>
      </c>
      <c r="C113" s="39" t="s">
        <v>163</v>
      </c>
      <c r="D113" s="39" t="s">
        <v>145</v>
      </c>
      <c r="E113" s="39" t="s">
        <v>24</v>
      </c>
      <c r="F113" s="40">
        <v>4.75</v>
      </c>
      <c r="G113" s="40">
        <v>4.21</v>
      </c>
      <c r="H113" s="40">
        <v>5.7</v>
      </c>
      <c r="I113" s="40" t="s">
        <v>146</v>
      </c>
      <c r="J113" s="10" t="s">
        <v>133</v>
      </c>
      <c r="K113" s="6">
        <v>1.0</v>
      </c>
    </row>
    <row r="114" ht="14.25" customHeight="1">
      <c r="A114" s="37">
        <v>11.0</v>
      </c>
      <c r="B114" s="38" t="s">
        <v>165</v>
      </c>
      <c r="C114" s="39" t="s">
        <v>163</v>
      </c>
      <c r="D114" s="39" t="s">
        <v>145</v>
      </c>
      <c r="E114" s="39" t="s">
        <v>24</v>
      </c>
      <c r="F114" s="40">
        <v>3.07</v>
      </c>
      <c r="G114" s="40">
        <v>5.21</v>
      </c>
      <c r="H114" s="40">
        <v>4.3</v>
      </c>
      <c r="I114" s="40" t="s">
        <v>166</v>
      </c>
      <c r="J114" s="10" t="s">
        <v>133</v>
      </c>
      <c r="K114" s="6">
        <v>1.0</v>
      </c>
    </row>
    <row r="115" ht="14.25" customHeight="1">
      <c r="A115" s="37">
        <v>12.0</v>
      </c>
      <c r="B115" s="38" t="s">
        <v>167</v>
      </c>
      <c r="C115" s="39" t="s">
        <v>144</v>
      </c>
      <c r="D115" s="39" t="s">
        <v>145</v>
      </c>
      <c r="E115" s="39" t="s">
        <v>24</v>
      </c>
      <c r="F115" s="40">
        <v>6.64</v>
      </c>
      <c r="G115" s="40">
        <v>4.39</v>
      </c>
      <c r="H115" s="40">
        <v>5.8</v>
      </c>
      <c r="I115" s="40" t="s">
        <v>168</v>
      </c>
      <c r="J115" s="10" t="s">
        <v>133</v>
      </c>
      <c r="K115" s="6">
        <v>1.0</v>
      </c>
    </row>
    <row r="116" ht="14.25" customHeight="1">
      <c r="A116" s="37">
        <v>13.0</v>
      </c>
      <c r="B116" s="38" t="s">
        <v>169</v>
      </c>
      <c r="C116" s="39" t="s">
        <v>144</v>
      </c>
      <c r="D116" s="39" t="s">
        <v>145</v>
      </c>
      <c r="E116" s="39" t="s">
        <v>24</v>
      </c>
      <c r="F116" s="40">
        <v>3.78</v>
      </c>
      <c r="G116" s="40">
        <v>3.5</v>
      </c>
      <c r="H116" s="40">
        <v>4.0</v>
      </c>
      <c r="I116" s="40" t="s">
        <v>170</v>
      </c>
      <c r="J116" s="10" t="s">
        <v>133</v>
      </c>
      <c r="K116" s="6">
        <v>1.0</v>
      </c>
    </row>
    <row r="117" ht="14.25" customHeight="1">
      <c r="A117" s="37">
        <v>14.0</v>
      </c>
      <c r="B117" s="38" t="s">
        <v>171</v>
      </c>
      <c r="C117" s="39" t="s">
        <v>144</v>
      </c>
      <c r="D117" s="39" t="s">
        <v>145</v>
      </c>
      <c r="E117" s="39" t="s">
        <v>24</v>
      </c>
      <c r="F117" s="40">
        <v>0.67</v>
      </c>
      <c r="G117" s="40">
        <v>0.96</v>
      </c>
      <c r="H117" s="40">
        <v>1.7</v>
      </c>
      <c r="I117" s="40" t="s">
        <v>172</v>
      </c>
      <c r="J117" s="42" t="s">
        <v>18</v>
      </c>
      <c r="L117" s="6">
        <v>1.0</v>
      </c>
    </row>
    <row r="118" ht="14.25" customHeight="1">
      <c r="A118" s="37">
        <v>15.0</v>
      </c>
      <c r="B118" s="38" t="s">
        <v>173</v>
      </c>
      <c r="C118" s="39" t="s">
        <v>144</v>
      </c>
      <c r="D118" s="39" t="s">
        <v>145</v>
      </c>
      <c r="E118" s="39" t="s">
        <v>24</v>
      </c>
      <c r="F118" s="40">
        <v>5.88</v>
      </c>
      <c r="G118" s="40">
        <v>5.78</v>
      </c>
      <c r="H118" s="40">
        <v>6.0</v>
      </c>
      <c r="I118" s="40" t="s">
        <v>174</v>
      </c>
      <c r="J118" s="10" t="s">
        <v>133</v>
      </c>
      <c r="K118" s="6">
        <v>1.0</v>
      </c>
    </row>
    <row r="119" ht="14.25" customHeight="1">
      <c r="A119" s="37">
        <v>16.0</v>
      </c>
      <c r="B119" s="38" t="s">
        <v>175</v>
      </c>
      <c r="C119" s="39" t="s">
        <v>176</v>
      </c>
      <c r="D119" s="39" t="s">
        <v>145</v>
      </c>
      <c r="E119" s="39" t="s">
        <v>24</v>
      </c>
      <c r="F119" s="40">
        <v>6.5</v>
      </c>
      <c r="G119" s="40">
        <v>5.35</v>
      </c>
      <c r="H119" s="40">
        <v>6.3</v>
      </c>
      <c r="I119" s="40" t="s">
        <v>177</v>
      </c>
      <c r="J119" s="10" t="s">
        <v>133</v>
      </c>
      <c r="K119" s="6">
        <v>1.0</v>
      </c>
    </row>
    <row r="120" ht="14.25" customHeight="1">
      <c r="A120" s="37">
        <v>17.0</v>
      </c>
      <c r="B120" s="38" t="s">
        <v>178</v>
      </c>
      <c r="C120" s="39" t="s">
        <v>144</v>
      </c>
      <c r="D120" s="39" t="s">
        <v>145</v>
      </c>
      <c r="E120" s="39" t="s">
        <v>24</v>
      </c>
      <c r="F120" s="40">
        <v>5.17</v>
      </c>
      <c r="G120" s="40">
        <v>3.21</v>
      </c>
      <c r="H120" s="40">
        <v>4.7</v>
      </c>
      <c r="I120" s="40" t="s">
        <v>148</v>
      </c>
      <c r="J120" s="10" t="s">
        <v>133</v>
      </c>
      <c r="K120" s="6">
        <v>1.0</v>
      </c>
    </row>
    <row r="121" ht="49.5" customHeight="1">
      <c r="A121" s="37">
        <v>18.0</v>
      </c>
      <c r="B121" s="38" t="s">
        <v>179</v>
      </c>
      <c r="C121" s="39" t="s">
        <v>156</v>
      </c>
      <c r="D121" s="39" t="s">
        <v>145</v>
      </c>
      <c r="E121" s="39" t="s">
        <v>24</v>
      </c>
      <c r="F121" s="40">
        <v>4.5</v>
      </c>
      <c r="G121" s="40">
        <v>5.88</v>
      </c>
      <c r="H121" s="40">
        <v>5.6</v>
      </c>
      <c r="I121" s="40" t="s">
        <v>180</v>
      </c>
      <c r="J121" s="10" t="s">
        <v>133</v>
      </c>
      <c r="K121" s="6">
        <v>1.0</v>
      </c>
    </row>
    <row r="122" ht="18.0" customHeight="1">
      <c r="A122" s="43"/>
      <c r="B122" s="44"/>
      <c r="C122" s="45"/>
      <c r="D122" s="45"/>
      <c r="E122" s="45"/>
      <c r="F122" s="46"/>
      <c r="G122" s="46"/>
      <c r="H122" s="46"/>
      <c r="I122" s="45"/>
      <c r="J122" s="47"/>
      <c r="K122" s="48">
        <f t="shared" ref="K122:L122" si="4">SUM(K104:K121)</f>
        <v>15</v>
      </c>
      <c r="L122" s="48">
        <f t="shared" si="4"/>
        <v>2</v>
      </c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20.25" customHeight="1">
      <c r="A123" s="49"/>
      <c r="B123" s="50"/>
      <c r="C123" s="51"/>
      <c r="D123" s="51"/>
      <c r="E123" s="51"/>
      <c r="F123" s="52"/>
      <c r="G123" s="52"/>
      <c r="H123" s="52"/>
      <c r="I123" s="51"/>
      <c r="J123" s="14"/>
      <c r="K123" s="17">
        <f>K122/A121</f>
        <v>0.8333333333</v>
      </c>
      <c r="L123" s="17">
        <f>L122/A121</f>
        <v>0.1111111111</v>
      </c>
    </row>
    <row r="124" ht="24.75" customHeight="1">
      <c r="A124" s="49"/>
      <c r="B124" s="50"/>
      <c r="C124" s="51"/>
      <c r="D124" s="51"/>
      <c r="E124" s="51"/>
      <c r="F124" s="52"/>
      <c r="G124" s="52"/>
      <c r="H124" s="52"/>
      <c r="I124" s="51"/>
      <c r="J124" s="14"/>
    </row>
    <row r="125" ht="27.75" customHeight="1">
      <c r="A125" s="18">
        <v>1.0</v>
      </c>
      <c r="B125" s="19" t="s">
        <v>181</v>
      </c>
      <c r="C125" s="18" t="s">
        <v>182</v>
      </c>
      <c r="D125" s="18" t="s">
        <v>183</v>
      </c>
      <c r="E125" s="18" t="s">
        <v>24</v>
      </c>
      <c r="F125" s="20">
        <v>6.0</v>
      </c>
      <c r="G125" s="20">
        <v>5.25</v>
      </c>
      <c r="H125" s="20">
        <v>6.95</v>
      </c>
      <c r="I125" s="20">
        <v>5.32</v>
      </c>
      <c r="J125" s="18" t="s">
        <v>133</v>
      </c>
      <c r="K125" s="6">
        <v>1.0</v>
      </c>
    </row>
    <row r="126" ht="14.25" customHeight="1">
      <c r="A126" s="53">
        <v>2.0</v>
      </c>
      <c r="B126" s="54" t="s">
        <v>184</v>
      </c>
      <c r="C126" s="53" t="s">
        <v>182</v>
      </c>
      <c r="D126" s="53" t="s">
        <v>183</v>
      </c>
      <c r="E126" s="53" t="s">
        <v>24</v>
      </c>
      <c r="F126" s="55">
        <v>5.74</v>
      </c>
      <c r="G126" s="55">
        <v>7.55</v>
      </c>
      <c r="H126" s="55">
        <v>7.12</v>
      </c>
      <c r="I126" s="55">
        <v>6.18</v>
      </c>
      <c r="J126" s="53" t="s">
        <v>133</v>
      </c>
      <c r="K126" s="6">
        <v>1.0</v>
      </c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</row>
    <row r="128" ht="14.25" customHeight="1">
      <c r="A128" s="8">
        <v>3.0</v>
      </c>
      <c r="B128" s="9" t="s">
        <v>185</v>
      </c>
      <c r="C128" s="10" t="s">
        <v>186</v>
      </c>
      <c r="D128" s="10" t="s">
        <v>183</v>
      </c>
      <c r="E128" s="10" t="s">
        <v>24</v>
      </c>
      <c r="F128" s="11">
        <v>7.78</v>
      </c>
      <c r="G128" s="11">
        <v>6.42</v>
      </c>
      <c r="H128" s="11">
        <v>7.5</v>
      </c>
      <c r="I128" s="11">
        <v>8.18</v>
      </c>
      <c r="J128" s="10" t="s">
        <v>133</v>
      </c>
      <c r="K128" s="6">
        <v>1.0</v>
      </c>
    </row>
    <row r="129" ht="14.25" customHeight="1">
      <c r="A129" s="8">
        <v>4.0</v>
      </c>
      <c r="B129" s="9" t="s">
        <v>187</v>
      </c>
      <c r="C129" s="10" t="s">
        <v>188</v>
      </c>
      <c r="D129" s="10" t="s">
        <v>183</v>
      </c>
      <c r="E129" s="10" t="s">
        <v>24</v>
      </c>
      <c r="F129" s="11">
        <v>3.89</v>
      </c>
      <c r="G129" s="11">
        <v>5.6</v>
      </c>
      <c r="H129" s="11">
        <v>5.75</v>
      </c>
      <c r="I129" s="11">
        <v>5.25</v>
      </c>
      <c r="J129" s="10" t="s">
        <v>133</v>
      </c>
      <c r="K129" s="6">
        <v>1.0</v>
      </c>
    </row>
    <row r="130" ht="14.25" customHeight="1">
      <c r="A130" s="8">
        <v>5.0</v>
      </c>
      <c r="B130" s="9" t="s">
        <v>189</v>
      </c>
      <c r="C130" s="10" t="s">
        <v>188</v>
      </c>
      <c r="D130" s="10" t="s">
        <v>183</v>
      </c>
      <c r="E130" s="10" t="s">
        <v>24</v>
      </c>
      <c r="F130" s="40">
        <v>5.32</v>
      </c>
      <c r="G130" s="57">
        <v>6.43</v>
      </c>
      <c r="H130" s="58">
        <v>4.0</v>
      </c>
      <c r="I130" s="11">
        <v>4.48</v>
      </c>
      <c r="J130" s="10" t="s">
        <v>133</v>
      </c>
      <c r="K130" s="6">
        <v>1.0</v>
      </c>
    </row>
    <row r="131" ht="14.25" customHeight="1">
      <c r="A131" s="8">
        <v>6.0</v>
      </c>
      <c r="B131" s="9" t="s">
        <v>190</v>
      </c>
      <c r="C131" s="10" t="s">
        <v>188</v>
      </c>
      <c r="D131" s="10" t="s">
        <v>183</v>
      </c>
      <c r="E131" s="10" t="s">
        <v>24</v>
      </c>
      <c r="F131" s="40">
        <v>6.64</v>
      </c>
      <c r="G131" s="57">
        <v>7.21</v>
      </c>
      <c r="H131" s="58">
        <v>5.0</v>
      </c>
      <c r="I131" s="11">
        <v>6.33</v>
      </c>
      <c r="J131" s="10" t="s">
        <v>133</v>
      </c>
      <c r="K131" s="6">
        <v>1.0</v>
      </c>
    </row>
    <row r="132" ht="14.25" customHeight="1">
      <c r="A132" s="8">
        <v>7.0</v>
      </c>
      <c r="B132" s="9" t="s">
        <v>191</v>
      </c>
      <c r="C132" s="10" t="s">
        <v>188</v>
      </c>
      <c r="D132" s="10" t="s">
        <v>183</v>
      </c>
      <c r="E132" s="10" t="s">
        <v>24</v>
      </c>
      <c r="F132" s="40">
        <v>1.0</v>
      </c>
      <c r="G132" s="57">
        <v>2.59</v>
      </c>
      <c r="H132" s="58">
        <v>2.0</v>
      </c>
      <c r="I132" s="10" t="s">
        <v>19</v>
      </c>
      <c r="J132" s="59" t="s">
        <v>19</v>
      </c>
      <c r="M132" s="6">
        <v>1.0</v>
      </c>
    </row>
    <row r="133" ht="14.25" customHeight="1">
      <c r="A133" s="8">
        <v>8.0</v>
      </c>
      <c r="B133" s="9" t="s">
        <v>192</v>
      </c>
      <c r="C133" s="10" t="s">
        <v>188</v>
      </c>
      <c r="D133" s="10" t="s">
        <v>183</v>
      </c>
      <c r="E133" s="10" t="s">
        <v>24</v>
      </c>
      <c r="F133" s="60">
        <v>5.11</v>
      </c>
      <c r="G133" s="60">
        <v>5.02</v>
      </c>
      <c r="H133" s="58">
        <v>4.0</v>
      </c>
      <c r="I133" s="11">
        <v>4.68</v>
      </c>
      <c r="J133" s="10" t="s">
        <v>133</v>
      </c>
      <c r="K133" s="6">
        <v>1.0</v>
      </c>
    </row>
    <row r="134" ht="14.25" customHeight="1">
      <c r="A134" s="8">
        <v>9.0</v>
      </c>
      <c r="B134" s="9" t="s">
        <v>193</v>
      </c>
      <c r="C134" s="10" t="s">
        <v>188</v>
      </c>
      <c r="D134" s="10" t="s">
        <v>183</v>
      </c>
      <c r="E134" s="10" t="s">
        <v>24</v>
      </c>
      <c r="F134" s="11">
        <v>3.47</v>
      </c>
      <c r="G134" s="11">
        <v>4.46</v>
      </c>
      <c r="H134" s="11">
        <v>5.35</v>
      </c>
      <c r="I134" s="61">
        <v>6.0</v>
      </c>
      <c r="J134" s="10" t="s">
        <v>133</v>
      </c>
      <c r="K134" s="6">
        <v>1.0</v>
      </c>
    </row>
    <row r="135" ht="14.25" customHeight="1">
      <c r="A135" s="62">
        <v>10.0</v>
      </c>
      <c r="B135" s="63" t="s">
        <v>194</v>
      </c>
      <c r="C135" s="62" t="s">
        <v>188</v>
      </c>
      <c r="D135" s="62" t="s">
        <v>183</v>
      </c>
      <c r="E135" s="62" t="s">
        <v>24</v>
      </c>
      <c r="F135" s="64">
        <v>5.39</v>
      </c>
      <c r="G135" s="64">
        <v>6.95</v>
      </c>
      <c r="H135" s="65">
        <v>6.27</v>
      </c>
      <c r="I135" s="64">
        <v>5.46</v>
      </c>
      <c r="J135" s="66" t="s">
        <v>133</v>
      </c>
      <c r="K135" s="6">
        <v>1.0</v>
      </c>
    </row>
    <row r="136" ht="14.25" customHeight="1">
      <c r="A136" s="56"/>
      <c r="B136" s="56"/>
      <c r="C136" s="56"/>
      <c r="D136" s="56"/>
      <c r="E136" s="56"/>
      <c r="F136" s="56"/>
      <c r="G136" s="56"/>
      <c r="H136" s="67"/>
      <c r="I136" s="56"/>
      <c r="J136" s="68"/>
    </row>
    <row r="137" ht="14.25" customHeight="1">
      <c r="A137" s="8">
        <v>11.0</v>
      </c>
      <c r="B137" s="9" t="s">
        <v>195</v>
      </c>
      <c r="C137" s="10" t="s">
        <v>182</v>
      </c>
      <c r="D137" s="10" t="s">
        <v>183</v>
      </c>
      <c r="E137" s="10" t="s">
        <v>24</v>
      </c>
      <c r="F137" s="11">
        <v>4.85</v>
      </c>
      <c r="G137" s="11">
        <v>4.5</v>
      </c>
      <c r="H137" s="11">
        <v>5.95</v>
      </c>
      <c r="I137" s="11">
        <v>7.43</v>
      </c>
      <c r="J137" s="10" t="s">
        <v>133</v>
      </c>
      <c r="K137" s="6">
        <v>1.0</v>
      </c>
    </row>
    <row r="138" ht="14.25" customHeight="1">
      <c r="A138" s="8">
        <v>12.0</v>
      </c>
      <c r="B138" s="9" t="s">
        <v>196</v>
      </c>
      <c r="C138" s="10" t="s">
        <v>182</v>
      </c>
      <c r="D138" s="10" t="s">
        <v>183</v>
      </c>
      <c r="E138" s="10" t="s">
        <v>24</v>
      </c>
      <c r="F138" s="11">
        <v>5.25</v>
      </c>
      <c r="G138" s="11">
        <v>5.5</v>
      </c>
      <c r="H138" s="11">
        <v>4.0</v>
      </c>
      <c r="I138" s="11">
        <v>4.66</v>
      </c>
      <c r="J138" s="10" t="s">
        <v>133</v>
      </c>
      <c r="K138" s="6">
        <v>1.0</v>
      </c>
    </row>
    <row r="139" ht="14.25" customHeight="1">
      <c r="A139" s="8">
        <v>13.0</v>
      </c>
      <c r="B139" s="9" t="s">
        <v>197</v>
      </c>
      <c r="C139" s="10" t="s">
        <v>182</v>
      </c>
      <c r="D139" s="10" t="s">
        <v>183</v>
      </c>
      <c r="E139" s="10" t="s">
        <v>27</v>
      </c>
      <c r="F139" s="11">
        <v>3.0</v>
      </c>
      <c r="G139" s="11">
        <v>4.3</v>
      </c>
      <c r="H139" s="11">
        <v>5.0</v>
      </c>
      <c r="I139" s="11">
        <v>5.11</v>
      </c>
      <c r="J139" s="10" t="s">
        <v>133</v>
      </c>
      <c r="K139" s="6">
        <v>1.0</v>
      </c>
    </row>
    <row r="140" ht="14.25" customHeight="1">
      <c r="A140" s="8">
        <v>14.0</v>
      </c>
      <c r="B140" s="9" t="s">
        <v>198</v>
      </c>
      <c r="C140" s="10" t="s">
        <v>182</v>
      </c>
      <c r="D140" s="10" t="s">
        <v>183</v>
      </c>
      <c r="E140" s="10" t="s">
        <v>27</v>
      </c>
      <c r="F140" s="11">
        <v>5.25</v>
      </c>
      <c r="G140" s="11">
        <v>6.0</v>
      </c>
      <c r="H140" s="11">
        <v>5.05</v>
      </c>
      <c r="I140" s="11">
        <v>4.79</v>
      </c>
      <c r="J140" s="10" t="s">
        <v>133</v>
      </c>
      <c r="K140" s="6">
        <v>1.0</v>
      </c>
    </row>
    <row r="141" ht="14.25" customHeight="1">
      <c r="A141" s="8">
        <v>15.0</v>
      </c>
      <c r="B141" s="9" t="s">
        <v>199</v>
      </c>
      <c r="C141" s="10" t="s">
        <v>200</v>
      </c>
      <c r="D141" s="10" t="s">
        <v>183</v>
      </c>
      <c r="E141" s="10" t="s">
        <v>27</v>
      </c>
      <c r="F141" s="11">
        <v>3.42</v>
      </c>
      <c r="G141" s="11">
        <v>4.46</v>
      </c>
      <c r="H141" s="11">
        <v>6.12</v>
      </c>
      <c r="I141" s="11">
        <v>5.0</v>
      </c>
      <c r="J141" s="10" t="s">
        <v>133</v>
      </c>
      <c r="K141" s="6">
        <v>1.0</v>
      </c>
    </row>
    <row r="142" ht="14.25" customHeight="1">
      <c r="A142" s="62">
        <v>16.0</v>
      </c>
      <c r="B142" s="63" t="s">
        <v>201</v>
      </c>
      <c r="C142" s="62" t="s">
        <v>182</v>
      </c>
      <c r="D142" s="62" t="s">
        <v>183</v>
      </c>
      <c r="E142" s="62" t="s">
        <v>27</v>
      </c>
      <c r="F142" s="64">
        <v>5.35</v>
      </c>
      <c r="G142" s="64">
        <v>6.0</v>
      </c>
      <c r="H142" s="64">
        <v>6.67</v>
      </c>
      <c r="I142" s="64">
        <v>7.0</v>
      </c>
      <c r="J142" s="62" t="s">
        <v>133</v>
      </c>
      <c r="K142" s="6">
        <v>1.0</v>
      </c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</row>
    <row r="144" ht="14.25" customHeight="1">
      <c r="A144" s="62">
        <v>17.0</v>
      </c>
      <c r="B144" s="63" t="s">
        <v>202</v>
      </c>
      <c r="C144" s="62" t="s">
        <v>188</v>
      </c>
      <c r="D144" s="62" t="s">
        <v>183</v>
      </c>
      <c r="E144" s="62" t="s">
        <v>27</v>
      </c>
      <c r="F144" s="64">
        <v>5.0</v>
      </c>
      <c r="G144" s="64">
        <v>5.35</v>
      </c>
      <c r="H144" s="64">
        <v>6.12</v>
      </c>
      <c r="I144" s="64">
        <v>7.07</v>
      </c>
      <c r="J144" s="62" t="s">
        <v>133</v>
      </c>
      <c r="K144" s="6">
        <v>1.0</v>
      </c>
    </row>
    <row r="145" ht="14.25" customHeight="1">
      <c r="A145" s="56"/>
      <c r="B145" s="69"/>
      <c r="C145" s="70"/>
      <c r="D145" s="70"/>
      <c r="E145" s="56"/>
      <c r="F145" s="56"/>
      <c r="G145" s="56"/>
      <c r="H145" s="56"/>
      <c r="I145" s="56"/>
      <c r="J145" s="56"/>
    </row>
    <row r="146" ht="15.0" customHeight="1">
      <c r="A146" s="71">
        <v>18.0</v>
      </c>
      <c r="B146" s="72" t="s">
        <v>203</v>
      </c>
      <c r="C146" s="62" t="s">
        <v>188</v>
      </c>
      <c r="D146" s="73" t="s">
        <v>183</v>
      </c>
      <c r="E146" s="66" t="s">
        <v>24</v>
      </c>
      <c r="F146" s="11">
        <v>6.0</v>
      </c>
      <c r="G146" s="11">
        <v>6.66</v>
      </c>
      <c r="H146" s="11">
        <v>7.0</v>
      </c>
      <c r="I146" s="11"/>
      <c r="J146" s="10" t="s">
        <v>133</v>
      </c>
      <c r="K146" s="6">
        <v>1.0</v>
      </c>
    </row>
    <row r="147" ht="14.25" customHeight="1">
      <c r="A147" s="71">
        <v>19.0</v>
      </c>
      <c r="B147" s="19" t="s">
        <v>204</v>
      </c>
      <c r="C147" s="18" t="s">
        <v>188</v>
      </c>
      <c r="D147" s="18" t="s">
        <v>183</v>
      </c>
      <c r="E147" s="18" t="s">
        <v>24</v>
      </c>
      <c r="F147" s="11">
        <v>5.07</v>
      </c>
      <c r="G147" s="11">
        <v>4.75</v>
      </c>
      <c r="H147" s="11">
        <v>5.5</v>
      </c>
      <c r="I147" s="11">
        <v>6.29</v>
      </c>
      <c r="J147" s="10" t="s">
        <v>133</v>
      </c>
      <c r="K147" s="6">
        <v>1.0</v>
      </c>
    </row>
    <row r="148" ht="14.25" customHeight="1">
      <c r="A148" s="14"/>
      <c r="B148" s="15"/>
      <c r="C148" s="14"/>
      <c r="D148" s="14"/>
      <c r="E148" s="14"/>
      <c r="F148" s="14"/>
      <c r="G148" s="14"/>
      <c r="H148" s="14"/>
      <c r="I148" s="14"/>
      <c r="J148" s="24"/>
      <c r="K148" s="16">
        <f t="shared" ref="K148:M148" si="5">SUM(K125:K147)</f>
        <v>18</v>
      </c>
      <c r="L148" s="16">
        <f t="shared" si="5"/>
        <v>0</v>
      </c>
      <c r="M148" s="16">
        <f t="shared" si="5"/>
        <v>1</v>
      </c>
    </row>
    <row r="149" ht="14.25" customHeight="1">
      <c r="A149" s="14"/>
      <c r="B149" s="15"/>
      <c r="C149" s="14"/>
      <c r="D149" s="14"/>
      <c r="E149" s="14"/>
      <c r="F149" s="14"/>
      <c r="G149" s="14"/>
      <c r="H149" s="14"/>
      <c r="I149" s="14"/>
      <c r="J149" s="14"/>
      <c r="K149" s="17">
        <f>K148/A147</f>
        <v>0.9473684211</v>
      </c>
      <c r="M149" s="17">
        <f>M148/A147</f>
        <v>0.05263157895</v>
      </c>
    </row>
    <row r="150" ht="14.25" customHeight="1">
      <c r="A150" s="14"/>
      <c r="B150" s="15"/>
      <c r="C150" s="14"/>
      <c r="D150" s="14"/>
      <c r="E150" s="14"/>
      <c r="F150" s="14"/>
      <c r="G150" s="14"/>
      <c r="H150" s="14"/>
      <c r="I150" s="14"/>
      <c r="J150" s="29"/>
    </row>
    <row r="151" ht="14.25" customHeight="1">
      <c r="A151" s="14"/>
      <c r="B151" s="74"/>
      <c r="C151" s="14"/>
      <c r="D151" s="14"/>
      <c r="E151" s="14"/>
      <c r="F151" s="14"/>
      <c r="G151" s="14"/>
      <c r="H151" s="14"/>
      <c r="I151" s="14"/>
      <c r="J151" s="29"/>
    </row>
    <row r="152" ht="14.25" customHeight="1">
      <c r="A152" s="18">
        <v>1.0</v>
      </c>
      <c r="B152" s="19" t="s">
        <v>205</v>
      </c>
      <c r="C152" s="18" t="s">
        <v>206</v>
      </c>
      <c r="D152" s="18" t="s">
        <v>207</v>
      </c>
      <c r="E152" s="18" t="s">
        <v>27</v>
      </c>
      <c r="F152" s="20">
        <v>4.5</v>
      </c>
      <c r="G152" s="20">
        <v>4.32</v>
      </c>
      <c r="H152" s="20">
        <v>6.5</v>
      </c>
      <c r="I152" s="20">
        <v>5.46</v>
      </c>
      <c r="J152" s="10" t="s">
        <v>133</v>
      </c>
      <c r="K152" s="6">
        <v>1.0</v>
      </c>
    </row>
    <row r="153" ht="14.25" customHeight="1">
      <c r="A153" s="8">
        <v>2.0</v>
      </c>
      <c r="B153" s="9" t="s">
        <v>208</v>
      </c>
      <c r="C153" s="10" t="s">
        <v>209</v>
      </c>
      <c r="D153" s="10" t="s">
        <v>207</v>
      </c>
      <c r="E153" s="10" t="s">
        <v>27</v>
      </c>
      <c r="F153" s="11">
        <v>3.72</v>
      </c>
      <c r="G153" s="11">
        <v>5.32</v>
      </c>
      <c r="H153" s="11">
        <v>4.5</v>
      </c>
      <c r="I153" s="11">
        <v>6.0</v>
      </c>
      <c r="J153" s="10" t="s">
        <v>133</v>
      </c>
      <c r="K153" s="6">
        <v>1.0</v>
      </c>
    </row>
    <row r="154" ht="14.25" customHeight="1">
      <c r="A154" s="8">
        <v>3.0</v>
      </c>
      <c r="B154" s="9" t="s">
        <v>210</v>
      </c>
      <c r="C154" s="10" t="s">
        <v>211</v>
      </c>
      <c r="D154" s="10" t="s">
        <v>207</v>
      </c>
      <c r="E154" s="10" t="s">
        <v>27</v>
      </c>
      <c r="F154" s="11">
        <v>4.5</v>
      </c>
      <c r="G154" s="11">
        <v>6.5</v>
      </c>
      <c r="H154" s="11">
        <v>7.23</v>
      </c>
      <c r="I154" s="11">
        <v>7.0</v>
      </c>
      <c r="J154" s="10" t="s">
        <v>133</v>
      </c>
      <c r="K154" s="6">
        <v>1.0</v>
      </c>
    </row>
    <row r="155" ht="14.25" customHeight="1">
      <c r="A155" s="8">
        <v>4.0</v>
      </c>
      <c r="B155" s="9" t="s">
        <v>212</v>
      </c>
      <c r="C155" s="10" t="s">
        <v>213</v>
      </c>
      <c r="D155" s="10" t="s">
        <v>207</v>
      </c>
      <c r="E155" s="10" t="s">
        <v>27</v>
      </c>
      <c r="F155" s="11">
        <v>6.72</v>
      </c>
      <c r="G155" s="11">
        <v>7.82</v>
      </c>
      <c r="H155" s="11">
        <v>6.5</v>
      </c>
      <c r="I155" s="11">
        <v>5.5</v>
      </c>
      <c r="J155" s="10" t="s">
        <v>133</v>
      </c>
      <c r="K155" s="6">
        <v>1.0</v>
      </c>
    </row>
    <row r="156" ht="14.25" customHeight="1">
      <c r="A156" s="8">
        <v>5.0</v>
      </c>
      <c r="B156" s="9" t="s">
        <v>214</v>
      </c>
      <c r="C156" s="10" t="s">
        <v>213</v>
      </c>
      <c r="D156" s="10" t="s">
        <v>215</v>
      </c>
      <c r="E156" s="10" t="s">
        <v>27</v>
      </c>
      <c r="F156" s="11">
        <v>4.32</v>
      </c>
      <c r="G156" s="11">
        <v>5.75</v>
      </c>
      <c r="H156" s="11">
        <v>7.0</v>
      </c>
      <c r="I156" s="11">
        <v>6.55</v>
      </c>
      <c r="J156" s="10" t="s">
        <v>133</v>
      </c>
      <c r="K156" s="6">
        <v>1.0</v>
      </c>
    </row>
    <row r="157" ht="14.25" customHeight="1">
      <c r="A157" s="8">
        <v>6.0</v>
      </c>
      <c r="B157" s="9" t="s">
        <v>216</v>
      </c>
      <c r="C157" s="10" t="s">
        <v>213</v>
      </c>
      <c r="D157" s="10" t="s">
        <v>207</v>
      </c>
      <c r="E157" s="10" t="s">
        <v>27</v>
      </c>
      <c r="F157" s="11">
        <v>5.25</v>
      </c>
      <c r="G157" s="11">
        <v>4.44</v>
      </c>
      <c r="H157" s="11">
        <v>5.82</v>
      </c>
      <c r="I157" s="11">
        <v>5.89</v>
      </c>
      <c r="J157" s="10" t="s">
        <v>133</v>
      </c>
      <c r="K157" s="6">
        <v>1.0</v>
      </c>
    </row>
    <row r="158" ht="14.25" customHeight="1">
      <c r="A158" s="8">
        <v>7.0</v>
      </c>
      <c r="B158" s="9" t="s">
        <v>217</v>
      </c>
      <c r="C158" s="10" t="s">
        <v>213</v>
      </c>
      <c r="D158" s="10" t="s">
        <v>215</v>
      </c>
      <c r="E158" s="10" t="s">
        <v>27</v>
      </c>
      <c r="F158" s="11">
        <v>1.0</v>
      </c>
      <c r="G158" s="11">
        <v>3.0</v>
      </c>
      <c r="H158" s="11">
        <v>2.25</v>
      </c>
      <c r="I158" s="11">
        <v>2.82</v>
      </c>
      <c r="J158" s="21" t="s">
        <v>81</v>
      </c>
    </row>
    <row r="159" ht="14.25" customHeight="1">
      <c r="A159" s="8">
        <v>8.0</v>
      </c>
      <c r="B159" s="9" t="s">
        <v>218</v>
      </c>
      <c r="C159" s="10" t="s">
        <v>213</v>
      </c>
      <c r="D159" s="10" t="s">
        <v>219</v>
      </c>
      <c r="E159" s="10" t="s">
        <v>27</v>
      </c>
      <c r="F159" s="11">
        <v>2.0</v>
      </c>
      <c r="G159" s="11">
        <v>1.0</v>
      </c>
      <c r="H159" s="11">
        <v>1.66</v>
      </c>
      <c r="I159" s="11">
        <v>3.11</v>
      </c>
      <c r="J159" s="21" t="s">
        <v>81</v>
      </c>
    </row>
    <row r="160" ht="14.25" customHeight="1">
      <c r="A160" s="8">
        <v>9.0</v>
      </c>
      <c r="B160" s="9" t="s">
        <v>220</v>
      </c>
      <c r="C160" s="10" t="s">
        <v>213</v>
      </c>
      <c r="D160" s="10" t="s">
        <v>219</v>
      </c>
      <c r="E160" s="10" t="s">
        <v>24</v>
      </c>
      <c r="F160" s="11">
        <v>3.22</v>
      </c>
      <c r="G160" s="11">
        <v>3.8</v>
      </c>
      <c r="H160" s="11">
        <v>3.0</v>
      </c>
      <c r="I160" s="11">
        <v>2.07</v>
      </c>
      <c r="J160" s="21" t="s">
        <v>81</v>
      </c>
    </row>
    <row r="161" ht="14.25" customHeight="1">
      <c r="A161" s="8">
        <v>10.0</v>
      </c>
      <c r="B161" s="9" t="s">
        <v>221</v>
      </c>
      <c r="C161" s="10" t="s">
        <v>222</v>
      </c>
      <c r="D161" s="10" t="s">
        <v>219</v>
      </c>
      <c r="E161" s="10" t="s">
        <v>24</v>
      </c>
      <c r="F161" s="11">
        <v>2.0</v>
      </c>
      <c r="G161" s="11">
        <v>4.84</v>
      </c>
      <c r="H161" s="11">
        <v>2.92</v>
      </c>
      <c r="I161" s="11">
        <v>1.79</v>
      </c>
      <c r="J161" s="21" t="s">
        <v>81</v>
      </c>
    </row>
    <row r="162" ht="14.25" customHeight="1">
      <c r="A162" s="8">
        <v>11.0</v>
      </c>
      <c r="B162" s="9" t="s">
        <v>223</v>
      </c>
      <c r="C162" s="10" t="s">
        <v>213</v>
      </c>
      <c r="D162" s="10" t="s">
        <v>219</v>
      </c>
      <c r="E162" s="10" t="s">
        <v>24</v>
      </c>
      <c r="F162" s="11">
        <v>1.54</v>
      </c>
      <c r="G162" s="11">
        <v>2.92</v>
      </c>
      <c r="H162" s="11">
        <v>3.0</v>
      </c>
      <c r="I162" s="11">
        <v>3.57</v>
      </c>
      <c r="J162" s="21" t="s">
        <v>81</v>
      </c>
    </row>
    <row r="163" ht="14.25" customHeight="1">
      <c r="A163" s="8">
        <v>12.0</v>
      </c>
      <c r="B163" s="9" t="s">
        <v>224</v>
      </c>
      <c r="C163" s="10" t="s">
        <v>213</v>
      </c>
      <c r="D163" s="10" t="s">
        <v>219</v>
      </c>
      <c r="E163" s="10" t="s">
        <v>225</v>
      </c>
      <c r="F163" s="11">
        <v>2.42</v>
      </c>
      <c r="G163" s="11">
        <v>3.0</v>
      </c>
      <c r="H163" s="11">
        <v>1.32</v>
      </c>
      <c r="I163" s="11">
        <v>1.0</v>
      </c>
      <c r="J163" s="21" t="s">
        <v>81</v>
      </c>
    </row>
    <row r="164" ht="14.25" customHeight="1">
      <c r="A164" s="8">
        <v>13.0</v>
      </c>
      <c r="B164" s="9" t="s">
        <v>226</v>
      </c>
      <c r="C164" s="10" t="s">
        <v>213</v>
      </c>
      <c r="D164" s="10" t="s">
        <v>207</v>
      </c>
      <c r="E164" s="10" t="s">
        <v>27</v>
      </c>
      <c r="F164" s="11">
        <v>3.0</v>
      </c>
      <c r="G164" s="11">
        <v>2.0</v>
      </c>
      <c r="H164" s="11">
        <v>2.82</v>
      </c>
      <c r="I164" s="11">
        <v>3.32</v>
      </c>
      <c r="J164" s="21" t="s">
        <v>81</v>
      </c>
    </row>
    <row r="165" ht="14.25" customHeight="1">
      <c r="A165" s="8">
        <v>14.0</v>
      </c>
      <c r="B165" s="9" t="s">
        <v>227</v>
      </c>
      <c r="C165" s="10" t="s">
        <v>228</v>
      </c>
      <c r="D165" s="10" t="s">
        <v>207</v>
      </c>
      <c r="E165" s="10" t="s">
        <v>27</v>
      </c>
      <c r="F165" s="11">
        <v>4.93</v>
      </c>
      <c r="G165" s="11">
        <v>1.58</v>
      </c>
      <c r="H165" s="11">
        <v>3.0</v>
      </c>
      <c r="I165" s="11">
        <v>2.32</v>
      </c>
      <c r="J165" s="21" t="s">
        <v>81</v>
      </c>
    </row>
    <row r="166" ht="14.25" customHeight="1">
      <c r="A166" s="8">
        <v>15.0</v>
      </c>
      <c r="B166" s="9" t="s">
        <v>229</v>
      </c>
      <c r="C166" s="10" t="s">
        <v>211</v>
      </c>
      <c r="D166" s="10" t="s">
        <v>230</v>
      </c>
      <c r="E166" s="10" t="s">
        <v>27</v>
      </c>
      <c r="F166" s="11">
        <v>2.0</v>
      </c>
      <c r="G166" s="11">
        <v>2.25</v>
      </c>
      <c r="H166" s="13" t="s">
        <v>231</v>
      </c>
      <c r="I166" s="11">
        <v>3.11</v>
      </c>
      <c r="J166" s="12" t="s">
        <v>18</v>
      </c>
      <c r="L166" s="6">
        <v>1.0</v>
      </c>
    </row>
    <row r="167" ht="14.25" customHeight="1">
      <c r="A167" s="8">
        <v>16.0</v>
      </c>
      <c r="B167" s="9" t="s">
        <v>232</v>
      </c>
      <c r="C167" s="10" t="s">
        <v>222</v>
      </c>
      <c r="D167" s="10" t="s">
        <v>219</v>
      </c>
      <c r="E167" s="10" t="s">
        <v>24</v>
      </c>
      <c r="F167" s="11">
        <v>4.82</v>
      </c>
      <c r="G167" s="11">
        <v>3.63</v>
      </c>
      <c r="H167" s="11">
        <v>3.45</v>
      </c>
      <c r="I167" s="11">
        <v>2.11</v>
      </c>
      <c r="J167" s="21" t="s">
        <v>81</v>
      </c>
    </row>
    <row r="168" ht="14.25" customHeight="1">
      <c r="A168" s="8">
        <v>17.0</v>
      </c>
      <c r="B168" s="9" t="s">
        <v>233</v>
      </c>
      <c r="C168" s="10" t="s">
        <v>213</v>
      </c>
      <c r="D168" s="10" t="s">
        <v>219</v>
      </c>
      <c r="E168" s="10" t="s">
        <v>24</v>
      </c>
      <c r="F168" s="11">
        <v>3.75</v>
      </c>
      <c r="G168" s="11">
        <v>4.5</v>
      </c>
      <c r="H168" s="11">
        <v>4.0</v>
      </c>
      <c r="I168" s="11">
        <v>3.89</v>
      </c>
      <c r="J168" s="21" t="s">
        <v>81</v>
      </c>
    </row>
    <row r="169" ht="14.25" customHeight="1">
      <c r="A169" s="8">
        <v>18.0</v>
      </c>
      <c r="B169" s="9" t="s">
        <v>234</v>
      </c>
      <c r="C169" s="10" t="s">
        <v>211</v>
      </c>
      <c r="D169" s="10" t="s">
        <v>207</v>
      </c>
      <c r="E169" s="10" t="s">
        <v>24</v>
      </c>
      <c r="F169" s="11">
        <v>4.6</v>
      </c>
      <c r="G169" s="11">
        <v>5.32</v>
      </c>
      <c r="H169" s="11">
        <v>4.32</v>
      </c>
      <c r="I169" s="11">
        <v>5.0</v>
      </c>
      <c r="J169" s="10" t="s">
        <v>133</v>
      </c>
      <c r="K169" s="6">
        <v>1.0</v>
      </c>
    </row>
    <row r="170" ht="14.25" customHeight="1">
      <c r="A170" s="8">
        <v>19.0</v>
      </c>
      <c r="B170" s="9" t="s">
        <v>235</v>
      </c>
      <c r="C170" s="10" t="s">
        <v>236</v>
      </c>
      <c r="D170" s="10" t="s">
        <v>207</v>
      </c>
      <c r="E170" s="10" t="s">
        <v>24</v>
      </c>
      <c r="F170" s="11">
        <v>5.32</v>
      </c>
      <c r="G170" s="11">
        <v>4.32</v>
      </c>
      <c r="H170" s="11">
        <v>4.0</v>
      </c>
      <c r="I170" s="11">
        <v>4.68</v>
      </c>
      <c r="J170" s="10" t="s">
        <v>133</v>
      </c>
      <c r="K170" s="6">
        <v>1.0</v>
      </c>
    </row>
    <row r="171" ht="14.25" customHeight="1">
      <c r="A171" s="8">
        <v>20.0</v>
      </c>
      <c r="B171" s="9" t="s">
        <v>237</v>
      </c>
      <c r="C171" s="10" t="s">
        <v>238</v>
      </c>
      <c r="D171" s="10" t="s">
        <v>207</v>
      </c>
      <c r="E171" s="10" t="s">
        <v>24</v>
      </c>
      <c r="F171" s="11">
        <v>6.72</v>
      </c>
      <c r="G171" s="11">
        <v>6.0</v>
      </c>
      <c r="H171" s="11">
        <v>6.4</v>
      </c>
      <c r="I171" s="11">
        <v>2.82</v>
      </c>
      <c r="J171" s="21" t="s">
        <v>81</v>
      </c>
    </row>
    <row r="172" ht="14.25" customHeight="1">
      <c r="A172" s="8">
        <v>21.0</v>
      </c>
      <c r="B172" s="9" t="s">
        <v>239</v>
      </c>
      <c r="C172" s="10" t="s">
        <v>240</v>
      </c>
      <c r="D172" s="10" t="s">
        <v>207</v>
      </c>
      <c r="E172" s="10" t="s">
        <v>27</v>
      </c>
      <c r="F172" s="11">
        <v>4.5</v>
      </c>
      <c r="G172" s="11">
        <v>4.5</v>
      </c>
      <c r="H172" s="11">
        <v>3.75</v>
      </c>
      <c r="I172" s="11">
        <v>4.51</v>
      </c>
      <c r="J172" s="10" t="s">
        <v>133</v>
      </c>
      <c r="K172" s="6">
        <v>1.0</v>
      </c>
    </row>
    <row r="173" ht="14.25" customHeight="1">
      <c r="A173" s="8">
        <v>22.0</v>
      </c>
      <c r="B173" s="9" t="s">
        <v>241</v>
      </c>
      <c r="C173" s="10" t="s">
        <v>240</v>
      </c>
      <c r="D173" s="10" t="s">
        <v>207</v>
      </c>
      <c r="E173" s="10" t="s">
        <v>24</v>
      </c>
      <c r="F173" s="11">
        <v>5.0</v>
      </c>
      <c r="G173" s="11">
        <v>6.52</v>
      </c>
      <c r="H173" s="11">
        <v>5.0</v>
      </c>
      <c r="I173" s="11">
        <v>5.64</v>
      </c>
      <c r="J173" s="10" t="s">
        <v>133</v>
      </c>
      <c r="K173" s="6">
        <v>1.0</v>
      </c>
    </row>
    <row r="174" ht="14.25" customHeight="1">
      <c r="A174" s="8">
        <v>23.0</v>
      </c>
      <c r="B174" s="9" t="s">
        <v>242</v>
      </c>
      <c r="C174" s="10" t="s">
        <v>240</v>
      </c>
      <c r="D174" s="10" t="s">
        <v>207</v>
      </c>
      <c r="E174" s="10" t="s">
        <v>243</v>
      </c>
      <c r="F174" s="11">
        <v>4.0</v>
      </c>
      <c r="G174" s="11">
        <v>5.42</v>
      </c>
      <c r="H174" s="11">
        <v>6.0</v>
      </c>
      <c r="I174" s="11">
        <v>4.75</v>
      </c>
      <c r="J174" s="10" t="s">
        <v>133</v>
      </c>
      <c r="K174" s="6">
        <v>1.0</v>
      </c>
    </row>
    <row r="175" ht="14.25" customHeight="1">
      <c r="A175" s="8">
        <v>24.0</v>
      </c>
      <c r="B175" s="9" t="s">
        <v>244</v>
      </c>
      <c r="C175" s="10" t="s">
        <v>240</v>
      </c>
      <c r="D175" s="10" t="s">
        <v>207</v>
      </c>
      <c r="E175" s="10" t="s">
        <v>27</v>
      </c>
      <c r="F175" s="11">
        <v>3.72</v>
      </c>
      <c r="G175" s="11">
        <v>4.35</v>
      </c>
      <c r="H175" s="11">
        <v>5.5</v>
      </c>
      <c r="I175" s="11">
        <v>5.0</v>
      </c>
      <c r="J175" s="10" t="s">
        <v>133</v>
      </c>
      <c r="K175" s="6">
        <v>1.0</v>
      </c>
    </row>
    <row r="176" ht="14.25" customHeight="1">
      <c r="A176" s="8">
        <v>25.0</v>
      </c>
      <c r="B176" s="9" t="s">
        <v>245</v>
      </c>
      <c r="C176" s="10" t="s">
        <v>240</v>
      </c>
      <c r="D176" s="10" t="s">
        <v>207</v>
      </c>
      <c r="E176" s="10" t="s">
        <v>24</v>
      </c>
      <c r="F176" s="11" t="s">
        <v>246</v>
      </c>
      <c r="G176" s="11">
        <v>5.0</v>
      </c>
      <c r="H176" s="11">
        <v>5.11</v>
      </c>
      <c r="I176" s="11">
        <v>4.55</v>
      </c>
      <c r="J176" s="10" t="s">
        <v>133</v>
      </c>
      <c r="K176" s="6">
        <v>1.0</v>
      </c>
    </row>
    <row r="177" ht="14.25" customHeight="1">
      <c r="A177" s="8">
        <v>26.0</v>
      </c>
      <c r="B177" s="9" t="s">
        <v>247</v>
      </c>
      <c r="C177" s="10" t="s">
        <v>222</v>
      </c>
      <c r="D177" s="10" t="s">
        <v>207</v>
      </c>
      <c r="E177" s="10" t="s">
        <v>27</v>
      </c>
      <c r="F177" s="11">
        <v>3.5</v>
      </c>
      <c r="G177" s="11">
        <v>4.25</v>
      </c>
      <c r="H177" s="11">
        <v>5.25</v>
      </c>
      <c r="I177" s="11">
        <v>3.89</v>
      </c>
      <c r="J177" s="21" t="s">
        <v>81</v>
      </c>
    </row>
    <row r="178" ht="14.25" customHeight="1">
      <c r="A178" s="8">
        <v>27.0</v>
      </c>
      <c r="B178" s="9" t="s">
        <v>248</v>
      </c>
      <c r="C178" s="10" t="s">
        <v>240</v>
      </c>
      <c r="D178" s="10" t="s">
        <v>207</v>
      </c>
      <c r="E178" s="10" t="s">
        <v>24</v>
      </c>
      <c r="F178" s="11">
        <v>4.0</v>
      </c>
      <c r="G178" s="11">
        <v>5.54</v>
      </c>
      <c r="H178" s="11">
        <v>4.49</v>
      </c>
      <c r="I178" s="11">
        <v>5.84</v>
      </c>
      <c r="J178" s="10" t="s">
        <v>133</v>
      </c>
      <c r="K178" s="6">
        <v>1.0</v>
      </c>
    </row>
    <row r="179" ht="14.25" customHeight="1">
      <c r="A179" s="8">
        <v>28.0</v>
      </c>
      <c r="B179" s="9" t="s">
        <v>249</v>
      </c>
      <c r="C179" s="10" t="s">
        <v>250</v>
      </c>
      <c r="D179" s="10" t="s">
        <v>207</v>
      </c>
      <c r="E179" s="10" t="s">
        <v>24</v>
      </c>
      <c r="F179" s="11">
        <v>3.57</v>
      </c>
      <c r="G179" s="11">
        <v>4.94</v>
      </c>
      <c r="H179" s="11">
        <v>5.0</v>
      </c>
      <c r="I179" s="11">
        <v>4.58</v>
      </c>
      <c r="J179" s="10" t="s">
        <v>133</v>
      </c>
      <c r="K179" s="6">
        <v>1.0</v>
      </c>
    </row>
    <row r="180" ht="14.25" customHeight="1">
      <c r="A180" s="8">
        <v>29.0</v>
      </c>
      <c r="B180" s="9" t="s">
        <v>251</v>
      </c>
      <c r="C180" s="10" t="s">
        <v>252</v>
      </c>
      <c r="D180" s="10" t="s">
        <v>207</v>
      </c>
      <c r="E180" s="10" t="s">
        <v>24</v>
      </c>
      <c r="F180" s="11">
        <v>5.0</v>
      </c>
      <c r="G180" s="11">
        <v>5.46</v>
      </c>
      <c r="H180" s="11">
        <v>6.0</v>
      </c>
      <c r="I180" s="11">
        <v>6.99</v>
      </c>
      <c r="J180" s="10" t="s">
        <v>133</v>
      </c>
      <c r="K180" s="6">
        <v>1.0</v>
      </c>
    </row>
    <row r="181" ht="14.25" customHeight="1">
      <c r="A181" s="8">
        <v>30.0</v>
      </c>
      <c r="B181" s="9" t="s">
        <v>253</v>
      </c>
      <c r="C181" s="10" t="s">
        <v>254</v>
      </c>
      <c r="D181" s="10" t="s">
        <v>207</v>
      </c>
      <c r="E181" s="10" t="s">
        <v>24</v>
      </c>
      <c r="F181" s="11">
        <v>6.0</v>
      </c>
      <c r="G181" s="11">
        <v>6.52</v>
      </c>
      <c r="H181" s="11">
        <v>7.0</v>
      </c>
      <c r="I181" s="11">
        <v>5.67</v>
      </c>
      <c r="J181" s="10" t="s">
        <v>133</v>
      </c>
      <c r="K181" s="6">
        <v>1.0</v>
      </c>
    </row>
    <row r="182" ht="14.25" customHeight="1">
      <c r="A182" s="8">
        <v>31.0</v>
      </c>
      <c r="B182" s="9" t="s">
        <v>162</v>
      </c>
      <c r="C182" s="10" t="s">
        <v>255</v>
      </c>
      <c r="D182" s="10" t="s">
        <v>207</v>
      </c>
      <c r="E182" s="10" t="s">
        <v>24</v>
      </c>
      <c r="F182" s="11">
        <v>3.0</v>
      </c>
      <c r="G182" s="11">
        <v>4.46</v>
      </c>
      <c r="H182" s="11">
        <v>5.39</v>
      </c>
      <c r="I182" s="11">
        <v>4.66</v>
      </c>
      <c r="J182" s="10" t="s">
        <v>133</v>
      </c>
      <c r="K182" s="6">
        <v>1.0</v>
      </c>
    </row>
    <row r="183" ht="14.25" customHeight="1">
      <c r="A183" s="8">
        <v>32.0</v>
      </c>
      <c r="B183" s="9" t="s">
        <v>256</v>
      </c>
      <c r="C183" s="10" t="s">
        <v>257</v>
      </c>
      <c r="D183" s="10" t="s">
        <v>207</v>
      </c>
      <c r="E183" s="10" t="s">
        <v>24</v>
      </c>
      <c r="F183" s="11">
        <v>4.0</v>
      </c>
      <c r="G183" s="11">
        <v>5.67</v>
      </c>
      <c r="H183" s="11">
        <v>6.0</v>
      </c>
      <c r="I183" s="11">
        <v>7.34</v>
      </c>
      <c r="J183" s="10" t="s">
        <v>133</v>
      </c>
      <c r="K183" s="6">
        <v>1.0</v>
      </c>
    </row>
    <row r="184" ht="14.25" customHeight="1">
      <c r="A184" s="8">
        <v>33.0</v>
      </c>
      <c r="B184" s="9" t="s">
        <v>258</v>
      </c>
      <c r="C184" s="10" t="s">
        <v>259</v>
      </c>
      <c r="D184" s="10" t="s">
        <v>207</v>
      </c>
      <c r="E184" s="10" t="s">
        <v>24</v>
      </c>
      <c r="F184" s="11">
        <v>5.0</v>
      </c>
      <c r="G184" s="11">
        <v>6.58</v>
      </c>
      <c r="H184" s="11">
        <v>4.74</v>
      </c>
      <c r="I184" s="11">
        <v>4.54</v>
      </c>
      <c r="J184" s="10" t="s">
        <v>133</v>
      </c>
      <c r="K184" s="6">
        <v>1.0</v>
      </c>
    </row>
    <row r="185" ht="14.25" customHeight="1">
      <c r="A185" s="8">
        <v>34.0</v>
      </c>
      <c r="B185" s="9" t="s">
        <v>260</v>
      </c>
      <c r="C185" s="10" t="s">
        <v>240</v>
      </c>
      <c r="D185" s="10" t="s">
        <v>207</v>
      </c>
      <c r="E185" s="10" t="s">
        <v>27</v>
      </c>
      <c r="F185" s="11">
        <v>3.5</v>
      </c>
      <c r="G185" s="11">
        <v>4.0</v>
      </c>
      <c r="H185" s="11">
        <v>4.92</v>
      </c>
      <c r="I185" s="11">
        <v>0.57</v>
      </c>
      <c r="J185" s="12" t="s">
        <v>89</v>
      </c>
      <c r="L185" s="6">
        <v>1.0</v>
      </c>
    </row>
    <row r="186" ht="14.25" customHeight="1">
      <c r="A186" s="53">
        <v>35.0</v>
      </c>
      <c r="B186" s="9" t="s">
        <v>261</v>
      </c>
      <c r="C186" s="18" t="s">
        <v>240</v>
      </c>
      <c r="D186" s="10" t="s">
        <v>207</v>
      </c>
      <c r="E186" s="10" t="s">
        <v>24</v>
      </c>
      <c r="F186" s="11">
        <v>5.4</v>
      </c>
      <c r="G186" s="11">
        <v>4.25</v>
      </c>
      <c r="H186" s="11">
        <v>5.36</v>
      </c>
      <c r="I186" s="11">
        <v>4.86</v>
      </c>
      <c r="J186" s="10" t="s">
        <v>133</v>
      </c>
      <c r="K186" s="6">
        <v>1.0</v>
      </c>
    </row>
    <row r="187" ht="14.25" customHeight="1">
      <c r="A187" s="18">
        <v>36.0</v>
      </c>
      <c r="B187" s="19" t="s">
        <v>262</v>
      </c>
      <c r="C187" s="18" t="s">
        <v>240</v>
      </c>
      <c r="D187" s="18" t="s">
        <v>207</v>
      </c>
      <c r="E187" s="18" t="s">
        <v>24</v>
      </c>
      <c r="F187" s="20">
        <v>3.0</v>
      </c>
      <c r="G187" s="20">
        <v>3.75</v>
      </c>
      <c r="H187" s="20">
        <v>3.93</v>
      </c>
      <c r="I187" s="20">
        <v>2.79</v>
      </c>
      <c r="J187" s="75" t="s">
        <v>89</v>
      </c>
      <c r="L187" s="6">
        <v>1.0</v>
      </c>
    </row>
    <row r="188" ht="14.25" customHeight="1">
      <c r="A188" s="76"/>
      <c r="B188" s="15"/>
      <c r="C188" s="14"/>
      <c r="D188" s="14"/>
      <c r="E188" s="14"/>
      <c r="F188" s="77"/>
      <c r="G188" s="77"/>
      <c r="H188" s="77"/>
      <c r="I188" s="77"/>
      <c r="J188" s="78"/>
      <c r="K188" s="26">
        <f t="shared" ref="K188:M188" si="6">SUM(K152:K187)</f>
        <v>21</v>
      </c>
      <c r="L188" s="16">
        <f t="shared" si="6"/>
        <v>3</v>
      </c>
      <c r="M188" s="16">
        <f t="shared" si="6"/>
        <v>0</v>
      </c>
    </row>
    <row r="189" ht="14.25" customHeight="1">
      <c r="A189" s="76"/>
      <c r="B189" s="15"/>
      <c r="C189" s="14"/>
      <c r="D189" s="14"/>
      <c r="E189" s="14"/>
      <c r="F189" s="77"/>
      <c r="G189" s="77"/>
      <c r="H189" s="77"/>
      <c r="I189" s="77"/>
      <c r="J189" s="78"/>
      <c r="K189" s="31">
        <f>K188/A187</f>
        <v>0.5833333333</v>
      </c>
      <c r="L189" s="17">
        <f>L188/A187</f>
        <v>0.08333333333</v>
      </c>
    </row>
    <row r="190" ht="14.25" customHeight="1">
      <c r="A190" s="76"/>
      <c r="B190" s="15"/>
      <c r="C190" s="14"/>
      <c r="D190" s="14"/>
      <c r="E190" s="14"/>
      <c r="F190" s="77"/>
      <c r="G190" s="77"/>
      <c r="H190" s="77"/>
      <c r="I190" s="77"/>
      <c r="J190" s="78"/>
      <c r="K190" s="26"/>
    </row>
    <row r="191" ht="14.25" customHeight="1">
      <c r="A191" s="18">
        <v>1.0</v>
      </c>
      <c r="B191" s="79" t="s">
        <v>263</v>
      </c>
      <c r="C191" s="80" t="s">
        <v>264</v>
      </c>
      <c r="D191" s="79" t="s">
        <v>265</v>
      </c>
      <c r="E191" s="81" t="s">
        <v>24</v>
      </c>
      <c r="F191" s="58">
        <v>3.54</v>
      </c>
      <c r="G191" s="58">
        <v>4.12</v>
      </c>
      <c r="H191" s="58">
        <v>5.0</v>
      </c>
      <c r="I191" s="58">
        <v>4.99</v>
      </c>
      <c r="J191" s="18" t="s">
        <v>133</v>
      </c>
      <c r="K191" s="6">
        <v>1.0</v>
      </c>
    </row>
    <row r="192" ht="14.25" customHeight="1">
      <c r="A192" s="18">
        <v>2.0</v>
      </c>
      <c r="B192" s="79" t="s">
        <v>266</v>
      </c>
      <c r="C192" s="80" t="s">
        <v>264</v>
      </c>
      <c r="D192" s="79" t="s">
        <v>265</v>
      </c>
      <c r="E192" s="81" t="s">
        <v>24</v>
      </c>
      <c r="F192" s="58">
        <v>4.79</v>
      </c>
      <c r="G192" s="58">
        <v>5.18</v>
      </c>
      <c r="H192" s="58">
        <v>4.76</v>
      </c>
      <c r="I192" s="58">
        <v>5.06</v>
      </c>
      <c r="J192" s="18" t="s">
        <v>133</v>
      </c>
      <c r="K192" s="6">
        <v>1.0</v>
      </c>
    </row>
    <row r="193" ht="14.25" customHeight="1">
      <c r="A193" s="18">
        <v>3.0</v>
      </c>
      <c r="B193" s="79" t="s">
        <v>267</v>
      </c>
      <c r="C193" s="80" t="s">
        <v>268</v>
      </c>
      <c r="D193" s="79" t="s">
        <v>265</v>
      </c>
      <c r="E193" s="81" t="s">
        <v>24</v>
      </c>
      <c r="F193" s="58">
        <v>5.52</v>
      </c>
      <c r="G193" s="58">
        <v>6.15</v>
      </c>
      <c r="H193" s="58">
        <v>5.78</v>
      </c>
      <c r="I193" s="58">
        <v>6.0</v>
      </c>
      <c r="J193" s="18" t="s">
        <v>133</v>
      </c>
      <c r="K193" s="6">
        <v>1.0</v>
      </c>
    </row>
    <row r="194" ht="14.25" customHeight="1">
      <c r="A194" s="18">
        <v>4.0</v>
      </c>
      <c r="B194" s="79" t="s">
        <v>269</v>
      </c>
      <c r="C194" s="80" t="s">
        <v>264</v>
      </c>
      <c r="D194" s="82" t="s">
        <v>265</v>
      </c>
      <c r="E194" s="81" t="s">
        <v>24</v>
      </c>
      <c r="F194" s="58">
        <v>2.55</v>
      </c>
      <c r="G194" s="58">
        <v>3.69</v>
      </c>
      <c r="H194" s="58">
        <v>3.15</v>
      </c>
      <c r="I194" s="58">
        <v>3.99</v>
      </c>
      <c r="J194" s="83" t="s">
        <v>81</v>
      </c>
    </row>
    <row r="195" ht="14.25" customHeight="1">
      <c r="A195" s="18">
        <v>5.0</v>
      </c>
      <c r="B195" s="79" t="s">
        <v>270</v>
      </c>
      <c r="C195" s="80" t="s">
        <v>264</v>
      </c>
      <c r="D195" s="79" t="s">
        <v>265</v>
      </c>
      <c r="E195" s="81" t="s">
        <v>24</v>
      </c>
      <c r="F195" s="58">
        <v>4.38</v>
      </c>
      <c r="G195" s="58">
        <v>5.26</v>
      </c>
      <c r="H195" s="58">
        <v>4.32</v>
      </c>
      <c r="I195" s="84">
        <v>5.43</v>
      </c>
      <c r="J195" s="18" t="s">
        <v>133</v>
      </c>
      <c r="K195" s="6">
        <v>1.0</v>
      </c>
    </row>
    <row r="196" ht="14.25" customHeight="1">
      <c r="A196" s="18">
        <v>6.0</v>
      </c>
      <c r="B196" s="79" t="s">
        <v>271</v>
      </c>
      <c r="C196" s="80" t="s">
        <v>268</v>
      </c>
      <c r="D196" s="79" t="s">
        <v>265</v>
      </c>
      <c r="E196" s="81" t="s">
        <v>24</v>
      </c>
      <c r="F196" s="58">
        <v>2.13</v>
      </c>
      <c r="G196" s="58">
        <v>3.86</v>
      </c>
      <c r="H196" s="58" t="s">
        <v>272</v>
      </c>
      <c r="I196" s="58" t="s">
        <v>272</v>
      </c>
      <c r="J196" s="85" t="s">
        <v>273</v>
      </c>
      <c r="N196" s="6">
        <v>1.0</v>
      </c>
    </row>
    <row r="197" ht="14.25" customHeight="1">
      <c r="A197" s="18">
        <v>7.0</v>
      </c>
      <c r="B197" s="79" t="s">
        <v>274</v>
      </c>
      <c r="C197" s="80" t="s">
        <v>264</v>
      </c>
      <c r="D197" s="79" t="s">
        <v>265</v>
      </c>
      <c r="E197" s="81" t="s">
        <v>24</v>
      </c>
      <c r="F197" s="58">
        <v>6.11</v>
      </c>
      <c r="G197" s="58">
        <v>6.54</v>
      </c>
      <c r="H197" s="58">
        <v>6.32</v>
      </c>
      <c r="I197" s="58">
        <v>5.66</v>
      </c>
      <c r="J197" s="18" t="s">
        <v>133</v>
      </c>
      <c r="K197" s="6">
        <v>1.0</v>
      </c>
    </row>
    <row r="198" ht="14.25" customHeight="1">
      <c r="A198" s="18">
        <v>8.0</v>
      </c>
      <c r="B198" s="79" t="s">
        <v>275</v>
      </c>
      <c r="C198" s="80" t="s">
        <v>264</v>
      </c>
      <c r="D198" s="79" t="s">
        <v>265</v>
      </c>
      <c r="E198" s="81" t="s">
        <v>24</v>
      </c>
      <c r="F198" s="58">
        <v>3.15</v>
      </c>
      <c r="G198" s="58">
        <v>4.0</v>
      </c>
      <c r="H198" s="58">
        <v>3.57</v>
      </c>
      <c r="I198" s="58">
        <v>4.52</v>
      </c>
      <c r="J198" s="18" t="s">
        <v>133</v>
      </c>
      <c r="K198" s="6">
        <v>1.0</v>
      </c>
    </row>
    <row r="199" ht="14.25" customHeight="1">
      <c r="A199" s="18">
        <v>9.0</v>
      </c>
      <c r="B199" s="79" t="s">
        <v>276</v>
      </c>
      <c r="C199" s="80" t="s">
        <v>268</v>
      </c>
      <c r="D199" s="79" t="s">
        <v>265</v>
      </c>
      <c r="E199" s="81" t="s">
        <v>24</v>
      </c>
      <c r="F199" s="58">
        <v>5.0</v>
      </c>
      <c r="G199" s="58">
        <v>3.3</v>
      </c>
      <c r="H199" s="58">
        <v>4.67</v>
      </c>
      <c r="I199" s="58">
        <v>5.45</v>
      </c>
      <c r="J199" s="18" t="s">
        <v>133</v>
      </c>
      <c r="K199" s="6">
        <v>1.0</v>
      </c>
    </row>
    <row r="200" ht="14.25" customHeight="1">
      <c r="A200" s="18">
        <v>10.0</v>
      </c>
      <c r="B200" s="79" t="s">
        <v>277</v>
      </c>
      <c r="C200" s="80" t="s">
        <v>264</v>
      </c>
      <c r="D200" s="79" t="s">
        <v>265</v>
      </c>
      <c r="E200" s="81" t="s">
        <v>24</v>
      </c>
      <c r="F200" s="58">
        <v>3.65</v>
      </c>
      <c r="G200" s="84">
        <v>3.85</v>
      </c>
      <c r="H200" s="58">
        <v>3.75</v>
      </c>
      <c r="I200" s="58">
        <v>4.12</v>
      </c>
      <c r="J200" s="83" t="s">
        <v>81</v>
      </c>
    </row>
    <row r="201" ht="14.25" customHeight="1">
      <c r="A201" s="18">
        <v>11.0</v>
      </c>
      <c r="B201" s="79" t="s">
        <v>278</v>
      </c>
      <c r="C201" s="80" t="s">
        <v>264</v>
      </c>
      <c r="D201" s="79" t="s">
        <v>265</v>
      </c>
      <c r="E201" s="81" t="s">
        <v>24</v>
      </c>
      <c r="F201" s="58">
        <v>4.0</v>
      </c>
      <c r="G201" s="58">
        <v>4.92</v>
      </c>
      <c r="H201" s="58">
        <v>5.96</v>
      </c>
      <c r="I201" s="58">
        <v>4.54</v>
      </c>
      <c r="J201" s="18" t="s">
        <v>133</v>
      </c>
      <c r="K201" s="6">
        <v>1.0</v>
      </c>
    </row>
    <row r="202" ht="14.25" customHeight="1">
      <c r="A202" s="18">
        <v>12.0</v>
      </c>
      <c r="B202" s="79" t="s">
        <v>279</v>
      </c>
      <c r="C202" s="80" t="s">
        <v>268</v>
      </c>
      <c r="D202" s="79" t="s">
        <v>265</v>
      </c>
      <c r="E202" s="81" t="s">
        <v>24</v>
      </c>
      <c r="F202" s="58">
        <v>3.88</v>
      </c>
      <c r="G202" s="58">
        <v>5.15</v>
      </c>
      <c r="H202" s="58">
        <v>4.01</v>
      </c>
      <c r="I202" s="58">
        <v>5.02</v>
      </c>
      <c r="J202" s="18" t="s">
        <v>133</v>
      </c>
      <c r="K202" s="6">
        <v>1.0</v>
      </c>
    </row>
    <row r="203" ht="14.25" customHeight="1">
      <c r="A203" s="18">
        <v>13.0</v>
      </c>
      <c r="B203" s="79" t="s">
        <v>280</v>
      </c>
      <c r="C203" s="80" t="s">
        <v>264</v>
      </c>
      <c r="D203" s="79" t="s">
        <v>265</v>
      </c>
      <c r="E203" s="81" t="s">
        <v>24</v>
      </c>
      <c r="F203" s="58">
        <v>2.14</v>
      </c>
      <c r="G203" s="58">
        <v>3.0</v>
      </c>
      <c r="H203" s="58">
        <v>4.18</v>
      </c>
      <c r="I203" s="58">
        <v>3.75</v>
      </c>
      <c r="J203" s="83" t="s">
        <v>81</v>
      </c>
    </row>
    <row r="204" ht="14.25" customHeight="1">
      <c r="A204" s="18">
        <v>14.0</v>
      </c>
      <c r="B204" s="79" t="s">
        <v>281</v>
      </c>
      <c r="C204" s="80" t="s">
        <v>264</v>
      </c>
      <c r="D204" s="79" t="s">
        <v>265</v>
      </c>
      <c r="E204" s="81" t="s">
        <v>24</v>
      </c>
      <c r="F204" s="58">
        <v>7.5</v>
      </c>
      <c r="G204" s="58">
        <v>7.84</v>
      </c>
      <c r="H204" s="58">
        <v>7.67</v>
      </c>
      <c r="I204" s="58">
        <v>6.71</v>
      </c>
      <c r="J204" s="18" t="s">
        <v>133</v>
      </c>
      <c r="K204" s="6">
        <v>1.0</v>
      </c>
    </row>
    <row r="205" ht="14.25" customHeight="1">
      <c r="A205" s="18">
        <v>15.0</v>
      </c>
      <c r="B205" s="79" t="s">
        <v>282</v>
      </c>
      <c r="C205" s="80" t="s">
        <v>268</v>
      </c>
      <c r="D205" s="79" t="s">
        <v>265</v>
      </c>
      <c r="E205" s="81" t="s">
        <v>24</v>
      </c>
      <c r="F205" s="58">
        <v>1.26</v>
      </c>
      <c r="G205" s="58">
        <v>2.17</v>
      </c>
      <c r="H205" s="58">
        <v>2.21</v>
      </c>
      <c r="I205" s="58">
        <v>1.48</v>
      </c>
      <c r="J205" s="86" t="s">
        <v>18</v>
      </c>
      <c r="L205" s="6">
        <v>1.0</v>
      </c>
    </row>
    <row r="206" ht="14.25" customHeight="1">
      <c r="A206" s="18">
        <v>16.0</v>
      </c>
      <c r="B206" s="79" t="s">
        <v>283</v>
      </c>
      <c r="C206" s="80" t="s">
        <v>284</v>
      </c>
      <c r="D206" s="79" t="s">
        <v>265</v>
      </c>
      <c r="E206" s="81" t="s">
        <v>24</v>
      </c>
      <c r="F206" s="58">
        <v>5.38</v>
      </c>
      <c r="G206" s="58">
        <v>6.92</v>
      </c>
      <c r="H206" s="58">
        <v>6.15</v>
      </c>
      <c r="I206" s="58">
        <v>5.42</v>
      </c>
      <c r="J206" s="18" t="s">
        <v>133</v>
      </c>
      <c r="K206" s="6">
        <v>1.0</v>
      </c>
    </row>
    <row r="207" ht="14.25" customHeight="1">
      <c r="A207" s="18">
        <v>17.0</v>
      </c>
      <c r="B207" s="79" t="s">
        <v>285</v>
      </c>
      <c r="C207" s="80" t="s">
        <v>264</v>
      </c>
      <c r="D207" s="79" t="s">
        <v>265</v>
      </c>
      <c r="E207" s="81" t="s">
        <v>24</v>
      </c>
      <c r="F207" s="58">
        <v>2.72</v>
      </c>
      <c r="G207" s="58">
        <v>3.09</v>
      </c>
      <c r="H207" s="58">
        <v>3.78</v>
      </c>
      <c r="I207" s="58">
        <v>4.21</v>
      </c>
      <c r="J207" s="83" t="s">
        <v>81</v>
      </c>
    </row>
    <row r="208" ht="14.25" customHeight="1">
      <c r="A208" s="18">
        <v>18.0</v>
      </c>
      <c r="B208" s="79" t="s">
        <v>286</v>
      </c>
      <c r="C208" s="80" t="s">
        <v>268</v>
      </c>
      <c r="D208" s="79" t="s">
        <v>265</v>
      </c>
      <c r="E208" s="81" t="s">
        <v>24</v>
      </c>
      <c r="F208" s="58">
        <v>5.76</v>
      </c>
      <c r="G208" s="58">
        <v>6.17</v>
      </c>
      <c r="H208" s="58">
        <v>5.96</v>
      </c>
      <c r="I208" s="58">
        <v>5.56</v>
      </c>
      <c r="J208" s="18" t="s">
        <v>133</v>
      </c>
      <c r="K208" s="6">
        <v>1.0</v>
      </c>
    </row>
    <row r="209" ht="14.25" customHeight="1">
      <c r="A209" s="18">
        <v>19.0</v>
      </c>
      <c r="B209" s="80" t="s">
        <v>287</v>
      </c>
      <c r="C209" s="80" t="s">
        <v>264</v>
      </c>
      <c r="D209" s="80" t="s">
        <v>265</v>
      </c>
      <c r="E209" s="81" t="s">
        <v>24</v>
      </c>
      <c r="F209" s="58">
        <v>3.34</v>
      </c>
      <c r="G209" s="58">
        <v>4.15</v>
      </c>
      <c r="H209" s="58">
        <v>3.74</v>
      </c>
      <c r="I209" s="58">
        <v>4.54</v>
      </c>
      <c r="J209" s="18" t="s">
        <v>133</v>
      </c>
      <c r="K209" s="6">
        <v>1.0</v>
      </c>
    </row>
    <row r="210" ht="14.25" customHeight="1">
      <c r="A210" s="18">
        <v>20.0</v>
      </c>
      <c r="B210" s="80" t="s">
        <v>288</v>
      </c>
      <c r="C210" s="80" t="s">
        <v>284</v>
      </c>
      <c r="D210" s="80" t="s">
        <v>265</v>
      </c>
      <c r="E210" s="81" t="s">
        <v>24</v>
      </c>
      <c r="F210" s="58">
        <v>0.8</v>
      </c>
      <c r="G210" s="58">
        <v>1.17</v>
      </c>
      <c r="H210" s="58">
        <v>3.98</v>
      </c>
      <c r="I210" s="58">
        <v>2.23</v>
      </c>
      <c r="J210" s="83" t="s">
        <v>81</v>
      </c>
    </row>
    <row r="211" ht="14.25" customHeight="1">
      <c r="A211" s="18">
        <v>21.0</v>
      </c>
      <c r="B211" s="87" t="s">
        <v>289</v>
      </c>
      <c r="C211" s="80" t="s">
        <v>268</v>
      </c>
      <c r="D211" s="80" t="s">
        <v>265</v>
      </c>
      <c r="E211" s="81" t="s">
        <v>24</v>
      </c>
      <c r="F211" s="58">
        <v>2.61</v>
      </c>
      <c r="G211" s="58">
        <v>3.25</v>
      </c>
      <c r="H211" s="58">
        <v>2.92</v>
      </c>
      <c r="I211" s="58">
        <v>3.95</v>
      </c>
      <c r="J211" s="83" t="s">
        <v>81</v>
      </c>
    </row>
    <row r="212" ht="14.25" customHeight="1">
      <c r="A212" s="18">
        <v>22.0</v>
      </c>
      <c r="B212" s="80" t="s">
        <v>290</v>
      </c>
      <c r="C212" s="80" t="s">
        <v>264</v>
      </c>
      <c r="D212" s="80" t="s">
        <v>265</v>
      </c>
      <c r="E212" s="81" t="s">
        <v>24</v>
      </c>
      <c r="F212" s="58">
        <v>3.34</v>
      </c>
      <c r="G212" s="58">
        <v>2.42</v>
      </c>
      <c r="H212" s="58">
        <v>3.38</v>
      </c>
      <c r="I212" s="58">
        <v>4.46</v>
      </c>
      <c r="J212" s="83" t="s">
        <v>81</v>
      </c>
    </row>
    <row r="213" ht="14.25" customHeight="1">
      <c r="A213" s="18">
        <v>23.0</v>
      </c>
      <c r="B213" s="80" t="s">
        <v>291</v>
      </c>
      <c r="C213" s="80" t="s">
        <v>264</v>
      </c>
      <c r="D213" s="80" t="s">
        <v>265</v>
      </c>
      <c r="E213" s="81" t="s">
        <v>24</v>
      </c>
      <c r="F213" s="58">
        <v>5.1</v>
      </c>
      <c r="G213" s="58">
        <v>6.75</v>
      </c>
      <c r="H213" s="58">
        <v>5.96</v>
      </c>
      <c r="I213" s="58">
        <v>4.71</v>
      </c>
      <c r="J213" s="18" t="s">
        <v>133</v>
      </c>
      <c r="K213" s="6">
        <v>1.0</v>
      </c>
    </row>
    <row r="214" ht="14.25" customHeight="1">
      <c r="A214" s="18">
        <v>24.0</v>
      </c>
      <c r="B214" s="80" t="s">
        <v>292</v>
      </c>
      <c r="C214" s="80" t="s">
        <v>268</v>
      </c>
      <c r="D214" s="80" t="s">
        <v>265</v>
      </c>
      <c r="E214" s="81" t="s">
        <v>24</v>
      </c>
      <c r="F214" s="58">
        <v>3.75</v>
      </c>
      <c r="G214" s="58">
        <v>4.35</v>
      </c>
      <c r="H214" s="58">
        <v>5.1</v>
      </c>
      <c r="I214" s="84">
        <v>5.0</v>
      </c>
      <c r="J214" s="18" t="s">
        <v>133</v>
      </c>
      <c r="K214" s="6">
        <v>1.0</v>
      </c>
    </row>
    <row r="215" ht="14.25" customHeight="1">
      <c r="A215" s="18">
        <v>25.0</v>
      </c>
      <c r="B215" s="80" t="s">
        <v>293</v>
      </c>
      <c r="C215" s="80" t="s">
        <v>264</v>
      </c>
      <c r="D215" s="87" t="s">
        <v>265</v>
      </c>
      <c r="E215" s="81" t="s">
        <v>24</v>
      </c>
      <c r="F215" s="84">
        <v>1.5</v>
      </c>
      <c r="G215" s="58">
        <v>2.87</v>
      </c>
      <c r="H215" s="58">
        <v>2.18</v>
      </c>
      <c r="I215" s="58">
        <v>3.97</v>
      </c>
      <c r="J215" s="83" t="s">
        <v>81</v>
      </c>
    </row>
    <row r="216" ht="14.25" customHeight="1">
      <c r="A216" s="18">
        <v>26.0</v>
      </c>
      <c r="B216" s="80" t="s">
        <v>294</v>
      </c>
      <c r="C216" s="80" t="s">
        <v>264</v>
      </c>
      <c r="D216" s="80" t="s">
        <v>265</v>
      </c>
      <c r="E216" s="81" t="s">
        <v>24</v>
      </c>
      <c r="F216" s="58">
        <v>3.19</v>
      </c>
      <c r="G216" s="58">
        <v>4.17</v>
      </c>
      <c r="H216" s="58">
        <v>3.68</v>
      </c>
      <c r="I216" s="58">
        <v>4.33</v>
      </c>
      <c r="J216" s="83" t="s">
        <v>81</v>
      </c>
    </row>
    <row r="217" ht="14.25" customHeight="1">
      <c r="A217" s="18">
        <v>27.0</v>
      </c>
      <c r="B217" s="80" t="s">
        <v>295</v>
      </c>
      <c r="C217" s="80" t="s">
        <v>268</v>
      </c>
      <c r="D217" s="80" t="s">
        <v>265</v>
      </c>
      <c r="E217" s="26" t="s">
        <v>24</v>
      </c>
      <c r="F217" s="58">
        <v>3.5</v>
      </c>
      <c r="G217" s="58">
        <v>2.97</v>
      </c>
      <c r="H217" s="58">
        <v>3.73</v>
      </c>
      <c r="I217" s="58">
        <v>3.77</v>
      </c>
      <c r="J217" s="83" t="s">
        <v>81</v>
      </c>
    </row>
    <row r="218" ht="14.25" customHeight="1">
      <c r="A218" s="18">
        <v>28.0</v>
      </c>
      <c r="B218" s="80" t="s">
        <v>296</v>
      </c>
      <c r="C218" s="80" t="s">
        <v>264</v>
      </c>
      <c r="D218" s="80" t="s">
        <v>265</v>
      </c>
      <c r="E218" s="81" t="s">
        <v>24</v>
      </c>
      <c r="F218" s="58">
        <v>2.23</v>
      </c>
      <c r="G218" s="58">
        <v>1.54</v>
      </c>
      <c r="H218" s="58">
        <v>4.38</v>
      </c>
      <c r="I218" s="58">
        <v>4.27</v>
      </c>
      <c r="J218" s="83" t="s">
        <v>81</v>
      </c>
    </row>
    <row r="219" ht="14.25" customHeight="1">
      <c r="A219" s="18">
        <v>29.0</v>
      </c>
      <c r="B219" s="80" t="s">
        <v>297</v>
      </c>
      <c r="C219" s="80" t="s">
        <v>264</v>
      </c>
      <c r="D219" s="80" t="s">
        <v>265</v>
      </c>
      <c r="E219" s="81" t="s">
        <v>24</v>
      </c>
      <c r="F219" s="58">
        <v>3.11</v>
      </c>
      <c r="G219" s="58">
        <v>4.82</v>
      </c>
      <c r="H219" s="58">
        <v>5.46</v>
      </c>
      <c r="I219" s="58">
        <v>4.58</v>
      </c>
      <c r="J219" s="18" t="s">
        <v>133</v>
      </c>
      <c r="K219" s="6">
        <v>1.0</v>
      </c>
    </row>
    <row r="220" ht="14.25" customHeight="1">
      <c r="A220" s="18">
        <v>30.0</v>
      </c>
      <c r="B220" s="80" t="s">
        <v>298</v>
      </c>
      <c r="C220" s="80" t="s">
        <v>268</v>
      </c>
      <c r="D220" s="80" t="s">
        <v>265</v>
      </c>
      <c r="E220" s="81" t="s">
        <v>24</v>
      </c>
      <c r="F220" s="58">
        <v>2.46</v>
      </c>
      <c r="G220" s="58">
        <v>4.54</v>
      </c>
      <c r="H220" s="58">
        <v>3.5</v>
      </c>
      <c r="I220" s="58">
        <v>3.74</v>
      </c>
      <c r="J220" s="83" t="s">
        <v>81</v>
      </c>
    </row>
    <row r="221" ht="14.25" customHeight="1">
      <c r="A221" s="18">
        <v>31.0</v>
      </c>
      <c r="B221" s="80" t="s">
        <v>299</v>
      </c>
      <c r="C221" s="80" t="s">
        <v>284</v>
      </c>
      <c r="D221" s="80" t="s">
        <v>265</v>
      </c>
      <c r="E221" s="81" t="s">
        <v>24</v>
      </c>
      <c r="F221" s="58">
        <v>4.76</v>
      </c>
      <c r="G221" s="58">
        <v>3.17</v>
      </c>
      <c r="H221" s="58">
        <v>3.96</v>
      </c>
      <c r="I221" s="58">
        <v>4.92</v>
      </c>
      <c r="J221" s="18" t="s">
        <v>133</v>
      </c>
      <c r="K221" s="6">
        <v>1.0</v>
      </c>
    </row>
    <row r="222" ht="14.25" customHeight="1">
      <c r="A222" s="18">
        <v>32.0</v>
      </c>
      <c r="B222" s="88" t="s">
        <v>300</v>
      </c>
      <c r="C222" s="80" t="s">
        <v>264</v>
      </c>
      <c r="D222" s="88" t="s">
        <v>265</v>
      </c>
      <c r="E222" s="26" t="s">
        <v>24</v>
      </c>
      <c r="F222" s="58">
        <v>2.36</v>
      </c>
      <c r="G222" s="58">
        <v>2.25</v>
      </c>
      <c r="H222" s="58">
        <v>2.3</v>
      </c>
      <c r="I222" s="58">
        <v>3.75</v>
      </c>
      <c r="J222" s="83" t="s">
        <v>81</v>
      </c>
    </row>
    <row r="223" ht="14.25" customHeight="1">
      <c r="A223" s="18">
        <v>33.0</v>
      </c>
      <c r="B223" s="88" t="s">
        <v>301</v>
      </c>
      <c r="C223" s="80" t="s">
        <v>302</v>
      </c>
      <c r="D223" s="88" t="s">
        <v>265</v>
      </c>
      <c r="E223" s="81" t="s">
        <v>24</v>
      </c>
      <c r="F223" s="58">
        <v>4.31</v>
      </c>
      <c r="G223" s="58">
        <v>5.05</v>
      </c>
      <c r="H223" s="58">
        <v>5.71</v>
      </c>
      <c r="I223" s="58">
        <v>4.77</v>
      </c>
      <c r="J223" s="18" t="s">
        <v>133</v>
      </c>
      <c r="K223" s="6">
        <v>1.0</v>
      </c>
    </row>
    <row r="224" ht="14.25" customHeight="1">
      <c r="A224" s="18">
        <v>34.0</v>
      </c>
      <c r="B224" s="88" t="s">
        <v>303</v>
      </c>
      <c r="C224" s="80" t="s">
        <v>264</v>
      </c>
      <c r="D224" s="88" t="s">
        <v>265</v>
      </c>
      <c r="E224" s="81" t="s">
        <v>24</v>
      </c>
      <c r="F224" s="58">
        <v>3.23</v>
      </c>
      <c r="G224" s="89">
        <v>3.89</v>
      </c>
      <c r="H224" s="58">
        <v>4.42</v>
      </c>
      <c r="I224" s="58">
        <v>5.57</v>
      </c>
      <c r="J224" s="18" t="s">
        <v>133</v>
      </c>
      <c r="K224" s="6">
        <v>1.0</v>
      </c>
    </row>
    <row r="225" ht="14.25" customHeight="1">
      <c r="A225" s="18">
        <v>35.0</v>
      </c>
      <c r="B225" s="88" t="s">
        <v>304</v>
      </c>
      <c r="C225" s="80" t="s">
        <v>264</v>
      </c>
      <c r="D225" s="90" t="s">
        <v>265</v>
      </c>
      <c r="E225" s="81" t="s">
        <v>24</v>
      </c>
      <c r="F225" s="58">
        <v>4.14</v>
      </c>
      <c r="G225" s="91">
        <v>5.25</v>
      </c>
      <c r="H225" s="58">
        <v>5.75</v>
      </c>
      <c r="I225" s="89">
        <v>4.59</v>
      </c>
      <c r="J225" s="18" t="s">
        <v>133</v>
      </c>
      <c r="K225" s="6">
        <v>1.0</v>
      </c>
    </row>
    <row r="226" ht="14.25" customHeight="1">
      <c r="A226" s="18">
        <v>36.0</v>
      </c>
      <c r="B226" s="90" t="s">
        <v>305</v>
      </c>
      <c r="C226" s="80" t="s">
        <v>268</v>
      </c>
      <c r="D226" s="88" t="s">
        <v>265</v>
      </c>
      <c r="E226" s="81" t="s">
        <v>24</v>
      </c>
      <c r="F226" s="58">
        <v>2.77</v>
      </c>
      <c r="G226" s="58">
        <v>3.65</v>
      </c>
      <c r="H226" s="58">
        <v>4.59</v>
      </c>
      <c r="I226" s="91">
        <v>6.1</v>
      </c>
      <c r="J226" s="18" t="s">
        <v>133</v>
      </c>
      <c r="K226" s="6">
        <v>1.0</v>
      </c>
    </row>
    <row r="227" ht="14.25" customHeight="1">
      <c r="A227" s="18">
        <v>37.0</v>
      </c>
      <c r="B227" s="88" t="s">
        <v>306</v>
      </c>
      <c r="C227" s="80" t="s">
        <v>264</v>
      </c>
      <c r="D227" s="88" t="s">
        <v>265</v>
      </c>
      <c r="E227" s="81" t="s">
        <v>24</v>
      </c>
      <c r="F227" s="58">
        <v>3.19</v>
      </c>
      <c r="G227" s="58">
        <v>4.97</v>
      </c>
      <c r="H227" s="58">
        <v>5.12</v>
      </c>
      <c r="I227" s="58">
        <v>4.51</v>
      </c>
      <c r="J227" s="18" t="s">
        <v>133</v>
      </c>
      <c r="K227" s="6">
        <v>1.0</v>
      </c>
    </row>
    <row r="228" ht="14.25" customHeight="1">
      <c r="A228" s="18">
        <v>38.0</v>
      </c>
      <c r="B228" s="88" t="s">
        <v>307</v>
      </c>
      <c r="C228" s="80" t="s">
        <v>264</v>
      </c>
      <c r="D228" s="88" t="s">
        <v>265</v>
      </c>
      <c r="E228" s="81" t="s">
        <v>24</v>
      </c>
      <c r="F228" s="58">
        <v>4.03</v>
      </c>
      <c r="G228" s="58">
        <v>5.65</v>
      </c>
      <c r="H228" s="58">
        <v>6.17</v>
      </c>
      <c r="I228" s="58">
        <v>5.15</v>
      </c>
      <c r="J228" s="18" t="s">
        <v>133</v>
      </c>
      <c r="K228" s="6">
        <v>1.0</v>
      </c>
    </row>
    <row r="229" ht="14.25" customHeight="1">
      <c r="A229" s="18">
        <v>39.0</v>
      </c>
      <c r="B229" s="88" t="s">
        <v>308</v>
      </c>
      <c r="C229" s="80" t="s">
        <v>268</v>
      </c>
      <c r="D229" s="88" t="s">
        <v>265</v>
      </c>
      <c r="E229" s="81" t="s">
        <v>24</v>
      </c>
      <c r="F229" s="89">
        <v>3.55</v>
      </c>
      <c r="G229" s="58">
        <v>3.87</v>
      </c>
      <c r="H229" s="58">
        <v>5.37</v>
      </c>
      <c r="I229" s="58">
        <v>4.5</v>
      </c>
      <c r="J229" s="18" t="s">
        <v>133</v>
      </c>
      <c r="K229" s="6">
        <v>1.0</v>
      </c>
    </row>
    <row r="230" ht="14.25" customHeight="1">
      <c r="A230" s="18">
        <v>40.0</v>
      </c>
      <c r="B230" s="80" t="s">
        <v>179</v>
      </c>
      <c r="C230" s="80" t="s">
        <v>264</v>
      </c>
      <c r="D230" s="92" t="s">
        <v>265</v>
      </c>
      <c r="E230" s="81" t="s">
        <v>24</v>
      </c>
      <c r="F230" s="93">
        <v>1.42</v>
      </c>
      <c r="G230" s="58">
        <v>3.25</v>
      </c>
      <c r="H230" s="58">
        <v>4.83</v>
      </c>
      <c r="I230" s="58">
        <v>4.32</v>
      </c>
      <c r="J230" s="94" t="s">
        <v>18</v>
      </c>
      <c r="L230" s="6">
        <v>1.0</v>
      </c>
    </row>
    <row r="231" ht="14.25" customHeight="1">
      <c r="K231" s="16">
        <f t="shared" ref="K231:L231" si="7">SUM(K191:K230)</f>
        <v>24</v>
      </c>
      <c r="L231" s="16">
        <f t="shared" si="7"/>
        <v>2</v>
      </c>
      <c r="N231" s="16">
        <f>N196</f>
        <v>1</v>
      </c>
    </row>
    <row r="232" ht="14.25" customHeight="1">
      <c r="K232" s="17">
        <f>K231/A230</f>
        <v>0.6</v>
      </c>
      <c r="L232" s="17">
        <f>L231/A230</f>
        <v>0.05</v>
      </c>
    </row>
    <row r="233" ht="14.25" customHeight="1"/>
    <row r="234" ht="14.25" customHeight="1">
      <c r="O234" s="6" t="s">
        <v>309</v>
      </c>
      <c r="P234" s="6" t="s">
        <v>310</v>
      </c>
      <c r="Q234" s="6" t="s">
        <v>311</v>
      </c>
      <c r="R234" s="6" t="s">
        <v>312</v>
      </c>
      <c r="S234" s="6" t="s">
        <v>313</v>
      </c>
      <c r="T234" s="6" t="s">
        <v>314</v>
      </c>
      <c r="U234" s="6" t="s">
        <v>315</v>
      </c>
      <c r="V234" s="6" t="s">
        <v>316</v>
      </c>
    </row>
    <row r="235" ht="14.25" customHeight="1">
      <c r="P235" s="16">
        <f>A230+A187+A147+A121+A100+A65+A44</f>
        <v>198</v>
      </c>
      <c r="Q235" s="16">
        <f t="shared" ref="Q235:R235" si="8">K231+K188+K148+K122+K101+K66+K45</f>
        <v>128</v>
      </c>
      <c r="R235" s="16">
        <f t="shared" si="8"/>
        <v>31</v>
      </c>
      <c r="S235" s="16">
        <f>SUM(M231+M188+M148+M122+M101+M66+M45)</f>
        <v>1</v>
      </c>
      <c r="T235" s="17">
        <f>Q235/P235</f>
        <v>0.6464646465</v>
      </c>
      <c r="U235" s="17">
        <f>S235/P235</f>
        <v>0.005050505051</v>
      </c>
      <c r="V235" s="17">
        <f>R235/P235</f>
        <v>0.1565656566</v>
      </c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mergeCells count="44">
    <mergeCell ref="H126:H127"/>
    <mergeCell ref="I126:I127"/>
    <mergeCell ref="J126:J127"/>
    <mergeCell ref="K126:K127"/>
    <mergeCell ref="A126:A127"/>
    <mergeCell ref="B126:B127"/>
    <mergeCell ref="C126:C127"/>
    <mergeCell ref="D126:D127"/>
    <mergeCell ref="E126:E127"/>
    <mergeCell ref="F126:F127"/>
    <mergeCell ref="G126:G127"/>
    <mergeCell ref="H135:H136"/>
    <mergeCell ref="I135:I136"/>
    <mergeCell ref="J135:J136"/>
    <mergeCell ref="K135:K136"/>
    <mergeCell ref="A135:A136"/>
    <mergeCell ref="B135:B136"/>
    <mergeCell ref="C135:C136"/>
    <mergeCell ref="D135:D136"/>
    <mergeCell ref="E135:E136"/>
    <mergeCell ref="F135:F136"/>
    <mergeCell ref="G135:G136"/>
    <mergeCell ref="H142:H143"/>
    <mergeCell ref="I142:I143"/>
    <mergeCell ref="J142:J143"/>
    <mergeCell ref="K142:K143"/>
    <mergeCell ref="A142:A143"/>
    <mergeCell ref="B142:B143"/>
    <mergeCell ref="C142:C143"/>
    <mergeCell ref="D142:D143"/>
    <mergeCell ref="E142:E143"/>
    <mergeCell ref="F142:F143"/>
    <mergeCell ref="G142:G143"/>
    <mergeCell ref="H144:H145"/>
    <mergeCell ref="I144:I145"/>
    <mergeCell ref="J144:J145"/>
    <mergeCell ref="K144:K145"/>
    <mergeCell ref="A144:A145"/>
    <mergeCell ref="B144:B145"/>
    <mergeCell ref="C144:C145"/>
    <mergeCell ref="D144:D145"/>
    <mergeCell ref="E144:E145"/>
    <mergeCell ref="F144:F145"/>
    <mergeCell ref="G144:G14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71"/>
    <col customWidth="1" min="3" max="9" width="10.71"/>
    <col customWidth="1" min="10" max="10" width="30.86"/>
    <col customWidth="1" min="11" max="26" width="10.71"/>
  </cols>
  <sheetData>
    <row r="1" ht="14.25" customHeight="1">
      <c r="A1" s="95" t="s">
        <v>0</v>
      </c>
    </row>
    <row r="2" ht="14.25" customHeight="1">
      <c r="A2" s="96" t="s">
        <v>1</v>
      </c>
    </row>
    <row r="3" ht="14.25" customHeight="1">
      <c r="A3" s="95" t="s">
        <v>2</v>
      </c>
    </row>
    <row r="4" ht="14.25" customHeight="1">
      <c r="A4" s="95" t="s">
        <v>3</v>
      </c>
    </row>
    <row r="5" ht="14.25" customHeight="1">
      <c r="A5" s="95" t="s">
        <v>4</v>
      </c>
    </row>
    <row r="6" ht="14.25" customHeight="1">
      <c r="A6" s="95" t="s">
        <v>5</v>
      </c>
    </row>
    <row r="7" ht="14.25" customHeight="1">
      <c r="A7" s="95"/>
    </row>
    <row r="8" ht="14.25" customHeight="1">
      <c r="A8" s="3" t="s">
        <v>317</v>
      </c>
      <c r="B8" s="26"/>
      <c r="C8" s="26"/>
      <c r="D8" s="26"/>
      <c r="E8" s="26"/>
      <c r="F8" s="26"/>
    </row>
    <row r="9" ht="14.25" customHeight="1">
      <c r="A9" s="3" t="s">
        <v>318</v>
      </c>
      <c r="B9" s="26"/>
      <c r="C9" s="26"/>
      <c r="D9" s="26"/>
      <c r="E9" s="26"/>
      <c r="F9" s="26"/>
    </row>
    <row r="10" ht="14.25" customHeight="1">
      <c r="A10" s="97"/>
      <c r="B10" s="98" t="s">
        <v>8</v>
      </c>
      <c r="C10" s="98" t="s">
        <v>9</v>
      </c>
      <c r="D10" s="98" t="s">
        <v>10</v>
      </c>
      <c r="E10" s="98" t="s">
        <v>11</v>
      </c>
      <c r="F10" s="98" t="s">
        <v>319</v>
      </c>
      <c r="G10" s="98" t="s">
        <v>320</v>
      </c>
      <c r="H10" s="98" t="s">
        <v>14</v>
      </c>
      <c r="I10" s="98" t="s">
        <v>15</v>
      </c>
      <c r="J10" s="98" t="s">
        <v>16</v>
      </c>
      <c r="K10" s="6" t="s">
        <v>17</v>
      </c>
      <c r="L10" s="6" t="s">
        <v>18</v>
      </c>
      <c r="M10" s="6" t="s">
        <v>19</v>
      </c>
      <c r="N10" s="7" t="s">
        <v>20</v>
      </c>
    </row>
    <row r="11" ht="14.25" customHeight="1">
      <c r="A11" s="37">
        <v>1.0</v>
      </c>
      <c r="B11" s="39" t="s">
        <v>321</v>
      </c>
      <c r="C11" s="39" t="s">
        <v>322</v>
      </c>
      <c r="D11" s="39" t="s">
        <v>323</v>
      </c>
      <c r="E11" s="39" t="s">
        <v>24</v>
      </c>
      <c r="F11" s="40">
        <v>1.21</v>
      </c>
      <c r="G11" s="40">
        <v>2.23</v>
      </c>
      <c r="H11" s="40">
        <v>1.67</v>
      </c>
      <c r="I11" s="40" t="s">
        <v>324</v>
      </c>
      <c r="J11" s="41" t="s">
        <v>325</v>
      </c>
    </row>
    <row r="12" ht="14.25" customHeight="1">
      <c r="A12" s="37">
        <v>2.0</v>
      </c>
      <c r="B12" s="39" t="s">
        <v>326</v>
      </c>
      <c r="C12" s="39" t="s">
        <v>327</v>
      </c>
      <c r="D12" s="39" t="s">
        <v>323</v>
      </c>
      <c r="E12" s="39" t="s">
        <v>24</v>
      </c>
      <c r="F12" s="40">
        <v>2.25</v>
      </c>
      <c r="G12" s="40">
        <v>1.05</v>
      </c>
      <c r="H12" s="40">
        <v>1.56</v>
      </c>
      <c r="I12" s="40" t="s">
        <v>328</v>
      </c>
      <c r="J12" s="42" t="s">
        <v>89</v>
      </c>
      <c r="L12" s="6">
        <v>1.0</v>
      </c>
    </row>
    <row r="13" ht="14.25" customHeight="1">
      <c r="A13" s="37">
        <v>3.0</v>
      </c>
      <c r="B13" s="39" t="s">
        <v>329</v>
      </c>
      <c r="C13" s="39" t="s">
        <v>327</v>
      </c>
      <c r="D13" s="39" t="s">
        <v>323</v>
      </c>
      <c r="E13" s="39" t="s">
        <v>27</v>
      </c>
      <c r="F13" s="40">
        <v>0.14</v>
      </c>
      <c r="G13" s="40">
        <v>1.43</v>
      </c>
      <c r="H13" s="40">
        <v>2.86</v>
      </c>
      <c r="I13" s="40" t="s">
        <v>330</v>
      </c>
      <c r="J13" s="42" t="s">
        <v>89</v>
      </c>
      <c r="L13" s="6">
        <v>1.0</v>
      </c>
    </row>
    <row r="14" ht="14.25" customHeight="1">
      <c r="A14" s="37">
        <v>4.0</v>
      </c>
      <c r="B14" s="39" t="s">
        <v>331</v>
      </c>
      <c r="C14" s="39" t="s">
        <v>332</v>
      </c>
      <c r="D14" s="39" t="s">
        <v>323</v>
      </c>
      <c r="E14" s="39" t="s">
        <v>27</v>
      </c>
      <c r="F14" s="40">
        <v>2.23</v>
      </c>
      <c r="G14" s="40">
        <v>3.87</v>
      </c>
      <c r="H14" s="40">
        <v>1.2</v>
      </c>
      <c r="I14" s="40" t="s">
        <v>333</v>
      </c>
      <c r="J14" s="42" t="s">
        <v>89</v>
      </c>
      <c r="L14" s="6">
        <v>1.0</v>
      </c>
    </row>
    <row r="15" ht="14.25" customHeight="1">
      <c r="A15" s="37">
        <v>5.0</v>
      </c>
      <c r="B15" s="39" t="s">
        <v>334</v>
      </c>
      <c r="C15" s="39" t="s">
        <v>327</v>
      </c>
      <c r="D15" s="39" t="s">
        <v>323</v>
      </c>
      <c r="E15" s="39" t="s">
        <v>27</v>
      </c>
      <c r="F15" s="40">
        <v>0.7</v>
      </c>
      <c r="G15" s="40">
        <v>1.41</v>
      </c>
      <c r="H15" s="40">
        <v>2.78</v>
      </c>
      <c r="I15" s="40" t="s">
        <v>335</v>
      </c>
      <c r="J15" s="41" t="s">
        <v>81</v>
      </c>
    </row>
    <row r="16" ht="14.25" customHeight="1">
      <c r="A16" s="37">
        <v>6.0</v>
      </c>
      <c r="B16" s="39" t="s">
        <v>336</v>
      </c>
      <c r="C16" s="39" t="s">
        <v>332</v>
      </c>
      <c r="D16" s="39" t="s">
        <v>323</v>
      </c>
      <c r="E16" s="39" t="s">
        <v>27</v>
      </c>
      <c r="F16" s="40">
        <v>3.58</v>
      </c>
      <c r="G16" s="40">
        <v>2.48</v>
      </c>
      <c r="H16" s="40">
        <v>1.96</v>
      </c>
      <c r="I16" s="40" t="s">
        <v>337</v>
      </c>
      <c r="J16" s="42" t="s">
        <v>89</v>
      </c>
      <c r="L16" s="6">
        <v>1.0</v>
      </c>
    </row>
    <row r="17" ht="14.25" customHeight="1">
      <c r="A17" s="37">
        <v>7.0</v>
      </c>
      <c r="B17" s="39" t="s">
        <v>338</v>
      </c>
      <c r="C17" s="39" t="s">
        <v>339</v>
      </c>
      <c r="D17" s="39" t="s">
        <v>323</v>
      </c>
      <c r="E17" s="39" t="s">
        <v>27</v>
      </c>
      <c r="F17" s="40">
        <v>1.64</v>
      </c>
      <c r="G17" s="40">
        <v>3.34</v>
      </c>
      <c r="H17" s="40">
        <v>3.57</v>
      </c>
      <c r="I17" s="40" t="s">
        <v>340</v>
      </c>
      <c r="J17" s="42" t="s">
        <v>89</v>
      </c>
      <c r="L17" s="6">
        <v>1.0</v>
      </c>
    </row>
    <row r="18" ht="14.25" customHeight="1">
      <c r="A18" s="37">
        <v>8.0</v>
      </c>
      <c r="B18" s="39" t="s">
        <v>341</v>
      </c>
      <c r="C18" s="39" t="s">
        <v>342</v>
      </c>
      <c r="D18" s="39" t="s">
        <v>323</v>
      </c>
      <c r="E18" s="39" t="s">
        <v>27</v>
      </c>
      <c r="F18" s="40">
        <v>0.65</v>
      </c>
      <c r="G18" s="40">
        <v>1.39</v>
      </c>
      <c r="H18" s="40">
        <v>1.54</v>
      </c>
      <c r="I18" s="40" t="s">
        <v>37</v>
      </c>
      <c r="J18" s="99" t="s">
        <v>343</v>
      </c>
      <c r="M18" s="6">
        <v>1.0</v>
      </c>
    </row>
    <row r="19" ht="14.25" customHeight="1">
      <c r="A19" s="37">
        <v>9.0</v>
      </c>
      <c r="B19" s="39" t="s">
        <v>344</v>
      </c>
      <c r="C19" s="39" t="s">
        <v>332</v>
      </c>
      <c r="D19" s="39" t="s">
        <v>323</v>
      </c>
      <c r="E19" s="39" t="s">
        <v>27</v>
      </c>
      <c r="F19" s="40">
        <v>2.32</v>
      </c>
      <c r="G19" s="40">
        <v>2.24</v>
      </c>
      <c r="H19" s="40">
        <v>1.57</v>
      </c>
      <c r="I19" s="40" t="s">
        <v>37</v>
      </c>
      <c r="J19" s="100" t="s">
        <v>81</v>
      </c>
    </row>
    <row r="20" ht="14.25" customHeight="1">
      <c r="A20" s="37">
        <v>10.0</v>
      </c>
      <c r="B20" s="39" t="s">
        <v>345</v>
      </c>
      <c r="C20" s="39" t="s">
        <v>342</v>
      </c>
      <c r="D20" s="39" t="s">
        <v>323</v>
      </c>
      <c r="E20" s="39" t="s">
        <v>27</v>
      </c>
      <c r="F20" s="40">
        <v>4.35</v>
      </c>
      <c r="G20" s="40">
        <v>5.43</v>
      </c>
      <c r="H20" s="40">
        <v>5.78</v>
      </c>
      <c r="I20" s="40">
        <v>6.0</v>
      </c>
      <c r="J20" s="39" t="s">
        <v>346</v>
      </c>
      <c r="K20" s="6">
        <v>1.0</v>
      </c>
    </row>
    <row r="21" ht="14.25" customHeight="1">
      <c r="A21" s="37">
        <v>11.0</v>
      </c>
      <c r="B21" s="39" t="s">
        <v>347</v>
      </c>
      <c r="C21" s="39" t="s">
        <v>332</v>
      </c>
      <c r="D21" s="39" t="s">
        <v>323</v>
      </c>
      <c r="E21" s="39" t="s">
        <v>27</v>
      </c>
      <c r="F21" s="40">
        <v>3.76</v>
      </c>
      <c r="G21" s="40">
        <v>2.05</v>
      </c>
      <c r="H21" s="40">
        <v>1.22</v>
      </c>
      <c r="I21" s="40">
        <v>1.55</v>
      </c>
      <c r="J21" s="42" t="s">
        <v>89</v>
      </c>
      <c r="L21" s="6">
        <v>1.0</v>
      </c>
    </row>
    <row r="22" ht="14.25" customHeight="1">
      <c r="A22" s="37">
        <v>12.0</v>
      </c>
      <c r="B22" s="39" t="s">
        <v>348</v>
      </c>
      <c r="C22" s="39" t="s">
        <v>342</v>
      </c>
      <c r="D22" s="39" t="s">
        <v>323</v>
      </c>
      <c r="E22" s="39" t="s">
        <v>27</v>
      </c>
      <c r="F22" s="40">
        <v>4.75</v>
      </c>
      <c r="G22" s="40">
        <v>3.86</v>
      </c>
      <c r="H22" s="40">
        <v>4.78</v>
      </c>
      <c r="I22" s="40" t="s">
        <v>170</v>
      </c>
      <c r="J22" s="39" t="s">
        <v>346</v>
      </c>
      <c r="K22" s="6">
        <v>1.0</v>
      </c>
    </row>
    <row r="23" ht="14.25" customHeight="1">
      <c r="A23" s="37">
        <v>13.0</v>
      </c>
      <c r="B23" s="39" t="s">
        <v>349</v>
      </c>
      <c r="C23" s="39" t="s">
        <v>342</v>
      </c>
      <c r="D23" s="39" t="s">
        <v>323</v>
      </c>
      <c r="E23" s="39" t="s">
        <v>27</v>
      </c>
      <c r="F23" s="40">
        <v>3.49</v>
      </c>
      <c r="G23" s="40">
        <v>4.32</v>
      </c>
      <c r="H23" s="40">
        <v>5.11</v>
      </c>
      <c r="I23" s="40" t="s">
        <v>350</v>
      </c>
      <c r="J23" s="39" t="s">
        <v>346</v>
      </c>
      <c r="K23" s="6">
        <v>1.0</v>
      </c>
    </row>
    <row r="24" ht="14.25" customHeight="1">
      <c r="A24" s="37">
        <v>14.0</v>
      </c>
      <c r="B24" s="39" t="s">
        <v>351</v>
      </c>
      <c r="C24" s="39" t="s">
        <v>332</v>
      </c>
      <c r="D24" s="39" t="s">
        <v>323</v>
      </c>
      <c r="E24" s="39" t="s">
        <v>27</v>
      </c>
      <c r="F24" s="40">
        <v>2.45</v>
      </c>
      <c r="G24" s="40">
        <v>3.54</v>
      </c>
      <c r="H24" s="40">
        <v>3.36</v>
      </c>
      <c r="I24" s="40" t="s">
        <v>37</v>
      </c>
      <c r="J24" s="101" t="s">
        <v>343</v>
      </c>
      <c r="M24" s="6">
        <v>1.0</v>
      </c>
    </row>
    <row r="25" ht="14.25" customHeight="1">
      <c r="A25" s="37">
        <v>15.0</v>
      </c>
      <c r="B25" s="39" t="s">
        <v>352</v>
      </c>
      <c r="C25" s="39" t="s">
        <v>332</v>
      </c>
      <c r="D25" s="39" t="s">
        <v>323</v>
      </c>
      <c r="E25" s="39" t="s">
        <v>27</v>
      </c>
      <c r="F25" s="40">
        <v>3.81</v>
      </c>
      <c r="G25" s="40">
        <v>4.98</v>
      </c>
      <c r="H25" s="40">
        <v>3.37</v>
      </c>
      <c r="I25" s="40" t="s">
        <v>37</v>
      </c>
      <c r="J25" s="42" t="s">
        <v>89</v>
      </c>
      <c r="L25" s="6">
        <v>1.0</v>
      </c>
    </row>
    <row r="26" ht="14.25" customHeight="1">
      <c r="A26" s="37">
        <v>16.0</v>
      </c>
      <c r="B26" s="39" t="s">
        <v>353</v>
      </c>
      <c r="C26" s="39" t="s">
        <v>342</v>
      </c>
      <c r="D26" s="39" t="s">
        <v>323</v>
      </c>
      <c r="E26" s="39" t="s">
        <v>27</v>
      </c>
      <c r="F26" s="40">
        <v>5.17</v>
      </c>
      <c r="G26" s="40">
        <v>5.5</v>
      </c>
      <c r="H26" s="40">
        <v>4.65</v>
      </c>
      <c r="I26" s="40" t="s">
        <v>354</v>
      </c>
      <c r="J26" s="39" t="s">
        <v>17</v>
      </c>
      <c r="K26" s="6">
        <v>1.0</v>
      </c>
    </row>
    <row r="27" ht="14.25" customHeight="1">
      <c r="A27" s="37">
        <v>17.0</v>
      </c>
      <c r="B27" s="39" t="s">
        <v>355</v>
      </c>
      <c r="C27" s="39" t="s">
        <v>342</v>
      </c>
      <c r="D27" s="39" t="s">
        <v>323</v>
      </c>
      <c r="E27" s="39" t="s">
        <v>27</v>
      </c>
      <c r="F27" s="40">
        <v>4.98</v>
      </c>
      <c r="G27" s="40">
        <v>3.0</v>
      </c>
      <c r="H27" s="40">
        <v>4.2</v>
      </c>
      <c r="I27" s="40" t="s">
        <v>356</v>
      </c>
      <c r="J27" s="101" t="s">
        <v>343</v>
      </c>
      <c r="M27" s="6">
        <v>1.0</v>
      </c>
    </row>
    <row r="28" ht="14.25" customHeight="1">
      <c r="A28" s="37">
        <v>18.0</v>
      </c>
      <c r="B28" s="39" t="s">
        <v>357</v>
      </c>
      <c r="C28" s="39" t="s">
        <v>358</v>
      </c>
      <c r="D28" s="39" t="s">
        <v>323</v>
      </c>
      <c r="E28" s="39" t="s">
        <v>27</v>
      </c>
      <c r="F28" s="40">
        <v>2.52</v>
      </c>
      <c r="G28" s="40">
        <v>3.52</v>
      </c>
      <c r="H28" s="40">
        <v>3.1</v>
      </c>
      <c r="I28" s="40" t="s">
        <v>359</v>
      </c>
      <c r="J28" s="42" t="s">
        <v>89</v>
      </c>
      <c r="L28" s="6">
        <v>1.0</v>
      </c>
    </row>
    <row r="29" ht="14.25" customHeight="1">
      <c r="A29" s="37">
        <v>19.0</v>
      </c>
      <c r="B29" s="39" t="s">
        <v>360</v>
      </c>
      <c r="C29" s="39" t="s">
        <v>332</v>
      </c>
      <c r="D29" s="39" t="s">
        <v>323</v>
      </c>
      <c r="E29" s="39" t="s">
        <v>27</v>
      </c>
      <c r="F29" s="40">
        <v>3.17</v>
      </c>
      <c r="G29" s="40">
        <v>4.0</v>
      </c>
      <c r="H29" s="40">
        <v>3.42</v>
      </c>
      <c r="I29" s="40" t="s">
        <v>361</v>
      </c>
      <c r="J29" s="42" t="s">
        <v>89</v>
      </c>
      <c r="L29" s="6">
        <v>1.0</v>
      </c>
    </row>
    <row r="30" ht="14.25" customHeight="1">
      <c r="A30" s="37">
        <v>20.0</v>
      </c>
      <c r="B30" s="39" t="s">
        <v>362</v>
      </c>
      <c r="C30" s="39" t="s">
        <v>363</v>
      </c>
      <c r="D30" s="39" t="s">
        <v>323</v>
      </c>
      <c r="E30" s="39" t="s">
        <v>27</v>
      </c>
      <c r="F30" s="40">
        <v>1.78</v>
      </c>
      <c r="G30" s="40">
        <v>2.37</v>
      </c>
      <c r="H30" s="40">
        <v>2.42</v>
      </c>
      <c r="I30" s="40" t="s">
        <v>364</v>
      </c>
      <c r="J30" s="41" t="s">
        <v>81</v>
      </c>
    </row>
    <row r="31" ht="14.25" customHeight="1">
      <c r="A31" s="37">
        <v>21.0</v>
      </c>
      <c r="B31" s="39" t="s">
        <v>365</v>
      </c>
      <c r="C31" s="39" t="s">
        <v>366</v>
      </c>
      <c r="D31" s="39" t="s">
        <v>323</v>
      </c>
      <c r="E31" s="39" t="s">
        <v>27</v>
      </c>
      <c r="F31" s="40">
        <v>4.11</v>
      </c>
      <c r="G31" s="40">
        <v>3.58</v>
      </c>
      <c r="H31" s="102">
        <v>3.42</v>
      </c>
      <c r="I31" s="40" t="s">
        <v>37</v>
      </c>
      <c r="J31" s="101" t="s">
        <v>343</v>
      </c>
      <c r="M31" s="6">
        <v>1.0</v>
      </c>
    </row>
    <row r="32" ht="14.25" customHeight="1">
      <c r="A32" s="37">
        <v>22.0</v>
      </c>
      <c r="B32" s="39" t="s">
        <v>367</v>
      </c>
      <c r="C32" s="39" t="s">
        <v>332</v>
      </c>
      <c r="D32" s="39" t="s">
        <v>323</v>
      </c>
      <c r="E32" s="39" t="s">
        <v>27</v>
      </c>
      <c r="F32" s="40">
        <v>2.7</v>
      </c>
      <c r="G32" s="40">
        <v>3.0</v>
      </c>
      <c r="H32" s="40">
        <v>4.75</v>
      </c>
      <c r="I32" s="40" t="s">
        <v>340</v>
      </c>
      <c r="J32" s="42" t="s">
        <v>89</v>
      </c>
      <c r="L32" s="6">
        <v>1.0</v>
      </c>
    </row>
    <row r="33" ht="14.25" customHeight="1">
      <c r="A33" s="37">
        <v>23.0</v>
      </c>
      <c r="B33" s="39" t="s">
        <v>368</v>
      </c>
      <c r="C33" s="39" t="s">
        <v>358</v>
      </c>
      <c r="D33" s="39" t="s">
        <v>323</v>
      </c>
      <c r="E33" s="39" t="s">
        <v>27</v>
      </c>
      <c r="F33" s="40">
        <v>3.47</v>
      </c>
      <c r="G33" s="40">
        <v>3.25</v>
      </c>
      <c r="H33" s="40">
        <v>3.09</v>
      </c>
      <c r="I33" s="40" t="s">
        <v>159</v>
      </c>
      <c r="J33" s="42" t="s">
        <v>89</v>
      </c>
      <c r="L33" s="6">
        <v>1.0</v>
      </c>
    </row>
    <row r="34" ht="14.25" customHeight="1">
      <c r="A34" s="37">
        <v>24.0</v>
      </c>
      <c r="B34" s="39" t="s">
        <v>369</v>
      </c>
      <c r="C34" s="39" t="s">
        <v>332</v>
      </c>
      <c r="D34" s="39" t="s">
        <v>323</v>
      </c>
      <c r="E34" s="39" t="s">
        <v>27</v>
      </c>
      <c r="F34" s="40">
        <v>2.53</v>
      </c>
      <c r="G34" s="40">
        <v>4.25</v>
      </c>
      <c r="H34" s="40">
        <v>2.99</v>
      </c>
      <c r="I34" s="40" t="s">
        <v>370</v>
      </c>
      <c r="J34" s="42" t="s">
        <v>89</v>
      </c>
      <c r="L34" s="6">
        <v>1.0</v>
      </c>
    </row>
    <row r="35" ht="14.25" customHeight="1">
      <c r="A35" s="37">
        <v>25.0</v>
      </c>
      <c r="B35" s="39" t="s">
        <v>371</v>
      </c>
      <c r="C35" s="39" t="s">
        <v>332</v>
      </c>
      <c r="D35" s="39" t="s">
        <v>323</v>
      </c>
      <c r="E35" s="39" t="s">
        <v>27</v>
      </c>
      <c r="F35" s="40">
        <v>0.47</v>
      </c>
      <c r="G35" s="40" t="s">
        <v>372</v>
      </c>
      <c r="H35" s="40">
        <v>3.59</v>
      </c>
      <c r="I35" s="40" t="s">
        <v>373</v>
      </c>
      <c r="J35" s="42" t="s">
        <v>89</v>
      </c>
      <c r="L35" s="6">
        <v>1.0</v>
      </c>
    </row>
    <row r="36" ht="14.25" customHeight="1">
      <c r="A36" s="37">
        <v>26.0</v>
      </c>
      <c r="B36" s="39" t="s">
        <v>374</v>
      </c>
      <c r="C36" s="39" t="s">
        <v>332</v>
      </c>
      <c r="D36" s="39" t="s">
        <v>323</v>
      </c>
      <c r="E36" s="39" t="s">
        <v>27</v>
      </c>
      <c r="F36" s="40">
        <v>2.94</v>
      </c>
      <c r="G36" s="40">
        <v>3.5</v>
      </c>
      <c r="H36" s="40">
        <v>3.14</v>
      </c>
      <c r="I36" s="40" t="s">
        <v>375</v>
      </c>
      <c r="J36" s="42" t="s">
        <v>89</v>
      </c>
      <c r="L36" s="6">
        <v>1.0</v>
      </c>
    </row>
    <row r="37" ht="14.25" customHeight="1">
      <c r="A37" s="37">
        <v>27.0</v>
      </c>
      <c r="B37" s="39" t="s">
        <v>376</v>
      </c>
      <c r="C37" s="39" t="s">
        <v>332</v>
      </c>
      <c r="D37" s="39" t="s">
        <v>323</v>
      </c>
      <c r="E37" s="39" t="s">
        <v>24</v>
      </c>
      <c r="F37" s="40">
        <v>5.46</v>
      </c>
      <c r="G37" s="40">
        <v>4.87</v>
      </c>
      <c r="H37" s="40">
        <v>4.1</v>
      </c>
      <c r="I37" s="40" t="s">
        <v>377</v>
      </c>
      <c r="J37" s="39" t="s">
        <v>17</v>
      </c>
      <c r="K37" s="6">
        <v>1.0</v>
      </c>
    </row>
    <row r="38" ht="14.25" customHeight="1">
      <c r="A38" s="37">
        <v>28.0</v>
      </c>
      <c r="B38" s="39" t="s">
        <v>378</v>
      </c>
      <c r="C38" s="39" t="s">
        <v>332</v>
      </c>
      <c r="D38" s="39" t="s">
        <v>323</v>
      </c>
      <c r="E38" s="39" t="s">
        <v>24</v>
      </c>
      <c r="F38" s="40">
        <v>4.38</v>
      </c>
      <c r="G38" s="40">
        <v>6.45</v>
      </c>
      <c r="H38" s="40">
        <v>5.2</v>
      </c>
      <c r="I38" s="40" t="s">
        <v>379</v>
      </c>
      <c r="J38" s="39" t="s">
        <v>17</v>
      </c>
      <c r="K38" s="6">
        <v>1.0</v>
      </c>
    </row>
    <row r="39" ht="14.25" customHeight="1">
      <c r="A39" s="37">
        <v>29.0</v>
      </c>
      <c r="B39" s="39" t="s">
        <v>380</v>
      </c>
      <c r="C39" s="39" t="s">
        <v>332</v>
      </c>
      <c r="D39" s="39" t="s">
        <v>323</v>
      </c>
      <c r="E39" s="39" t="s">
        <v>24</v>
      </c>
      <c r="F39" s="40">
        <v>3.28</v>
      </c>
      <c r="G39" s="40">
        <v>2.85</v>
      </c>
      <c r="H39" s="40">
        <v>4.5</v>
      </c>
      <c r="I39" s="40" t="s">
        <v>159</v>
      </c>
      <c r="J39" s="42" t="s">
        <v>89</v>
      </c>
      <c r="L39" s="6">
        <v>1.0</v>
      </c>
    </row>
    <row r="40" ht="14.25" customHeight="1">
      <c r="A40" s="37">
        <v>30.0</v>
      </c>
      <c r="B40" s="39" t="s">
        <v>381</v>
      </c>
      <c r="C40" s="39" t="s">
        <v>332</v>
      </c>
      <c r="D40" s="39" t="s">
        <v>323</v>
      </c>
      <c r="E40" s="39" t="s">
        <v>24</v>
      </c>
      <c r="F40" s="40">
        <v>2.55</v>
      </c>
      <c r="G40" s="40">
        <v>1.67</v>
      </c>
      <c r="H40" s="40">
        <v>2.43</v>
      </c>
      <c r="I40" s="40" t="s">
        <v>382</v>
      </c>
      <c r="J40" s="42" t="s">
        <v>89</v>
      </c>
      <c r="L40" s="6">
        <v>1.0</v>
      </c>
    </row>
    <row r="41" ht="14.25" customHeight="1">
      <c r="A41" s="37">
        <v>31.0</v>
      </c>
      <c r="B41" s="39" t="s">
        <v>383</v>
      </c>
      <c r="C41" s="39" t="s">
        <v>332</v>
      </c>
      <c r="D41" s="39" t="s">
        <v>323</v>
      </c>
      <c r="E41" s="39" t="s">
        <v>24</v>
      </c>
      <c r="F41" s="40">
        <v>4.67</v>
      </c>
      <c r="G41" s="40">
        <v>5.48</v>
      </c>
      <c r="H41" s="40">
        <v>4.36</v>
      </c>
      <c r="I41" s="40" t="s">
        <v>146</v>
      </c>
      <c r="J41" s="39" t="s">
        <v>17</v>
      </c>
      <c r="K41" s="6">
        <v>1.0</v>
      </c>
    </row>
    <row r="42" ht="14.25" customHeight="1">
      <c r="A42" s="37">
        <v>32.0</v>
      </c>
      <c r="B42" s="39" t="s">
        <v>384</v>
      </c>
      <c r="C42" s="39" t="s">
        <v>342</v>
      </c>
      <c r="D42" s="39" t="s">
        <v>323</v>
      </c>
      <c r="E42" s="39" t="s">
        <v>24</v>
      </c>
      <c r="F42" s="40">
        <v>3.32</v>
      </c>
      <c r="G42" s="40">
        <v>2.27</v>
      </c>
      <c r="H42" s="40">
        <v>1.98</v>
      </c>
      <c r="I42" s="40" t="s">
        <v>385</v>
      </c>
      <c r="J42" s="101" t="s">
        <v>343</v>
      </c>
      <c r="M42" s="6">
        <v>1.0</v>
      </c>
    </row>
    <row r="43" ht="14.25" customHeight="1">
      <c r="A43" s="37">
        <v>33.0</v>
      </c>
      <c r="B43" s="39" t="s">
        <v>386</v>
      </c>
      <c r="C43" s="39" t="s">
        <v>358</v>
      </c>
      <c r="D43" s="39" t="s">
        <v>323</v>
      </c>
      <c r="E43" s="39" t="s">
        <v>24</v>
      </c>
      <c r="F43" s="40">
        <v>5.35</v>
      </c>
      <c r="G43" s="40">
        <v>6.56</v>
      </c>
      <c r="H43" s="40">
        <v>6.75</v>
      </c>
      <c r="I43" s="40" t="s">
        <v>387</v>
      </c>
      <c r="J43" s="39" t="s">
        <v>17</v>
      </c>
      <c r="K43" s="6">
        <v>1.0</v>
      </c>
    </row>
    <row r="44" ht="14.25" customHeight="1">
      <c r="A44" s="37">
        <v>34.0</v>
      </c>
      <c r="B44" s="39" t="s">
        <v>388</v>
      </c>
      <c r="C44" s="39" t="s">
        <v>332</v>
      </c>
      <c r="D44" s="39" t="s">
        <v>323</v>
      </c>
      <c r="E44" s="39" t="s">
        <v>24</v>
      </c>
      <c r="F44" s="40">
        <v>4.27</v>
      </c>
      <c r="G44" s="40">
        <v>3.36</v>
      </c>
      <c r="H44" s="40">
        <v>3.11</v>
      </c>
      <c r="I44" s="40" t="s">
        <v>389</v>
      </c>
      <c r="J44" s="42" t="s">
        <v>89</v>
      </c>
      <c r="L44" s="6">
        <v>1.0</v>
      </c>
    </row>
    <row r="45" ht="14.25" customHeight="1">
      <c r="A45" s="37">
        <v>35.0</v>
      </c>
      <c r="B45" s="39" t="s">
        <v>390</v>
      </c>
      <c r="C45" s="39" t="s">
        <v>391</v>
      </c>
      <c r="D45" s="39" t="s">
        <v>323</v>
      </c>
      <c r="E45" s="39" t="s">
        <v>24</v>
      </c>
      <c r="F45" s="40">
        <v>3.57</v>
      </c>
      <c r="G45" s="40">
        <v>4.21</v>
      </c>
      <c r="H45" s="40">
        <v>3.44</v>
      </c>
      <c r="I45" s="40" t="s">
        <v>392</v>
      </c>
      <c r="J45" s="42" t="s">
        <v>89</v>
      </c>
      <c r="L45" s="6">
        <v>1.0</v>
      </c>
    </row>
    <row r="46" ht="14.25" customHeight="1">
      <c r="A46" s="37">
        <v>36.0</v>
      </c>
      <c r="B46" s="39" t="s">
        <v>393</v>
      </c>
      <c r="C46" s="39" t="s">
        <v>332</v>
      </c>
      <c r="D46" s="39" t="s">
        <v>323</v>
      </c>
      <c r="E46" s="39" t="s">
        <v>24</v>
      </c>
      <c r="F46" s="40">
        <v>5.55</v>
      </c>
      <c r="G46" s="40">
        <v>4.95</v>
      </c>
      <c r="H46" s="40">
        <v>6.04</v>
      </c>
      <c r="I46" s="40" t="s">
        <v>394</v>
      </c>
      <c r="J46" s="39" t="s">
        <v>17</v>
      </c>
      <c r="K46" s="6">
        <v>1.0</v>
      </c>
    </row>
    <row r="47" ht="14.25" customHeight="1">
      <c r="A47" s="37">
        <v>37.0</v>
      </c>
      <c r="B47" s="39" t="s">
        <v>395</v>
      </c>
      <c r="C47" s="39" t="s">
        <v>332</v>
      </c>
      <c r="D47" s="39" t="s">
        <v>323</v>
      </c>
      <c r="E47" s="39" t="s">
        <v>24</v>
      </c>
      <c r="F47" s="40">
        <v>4.35</v>
      </c>
      <c r="G47" s="40">
        <v>4.39</v>
      </c>
      <c r="H47" s="40">
        <v>3.5</v>
      </c>
      <c r="I47" s="40" t="s">
        <v>396</v>
      </c>
      <c r="J47" s="41" t="s">
        <v>81</v>
      </c>
    </row>
    <row r="48" ht="14.25" customHeight="1">
      <c r="A48" s="37">
        <v>38.0</v>
      </c>
      <c r="B48" s="39" t="s">
        <v>397</v>
      </c>
      <c r="C48" s="39" t="s">
        <v>342</v>
      </c>
      <c r="D48" s="39" t="s">
        <v>323</v>
      </c>
      <c r="E48" s="39" t="s">
        <v>24</v>
      </c>
      <c r="F48" s="40">
        <v>6.45</v>
      </c>
      <c r="G48" s="40">
        <v>5.86</v>
      </c>
      <c r="H48" s="40">
        <v>4.57</v>
      </c>
      <c r="I48" s="40" t="s">
        <v>398</v>
      </c>
      <c r="J48" s="39" t="s">
        <v>17</v>
      </c>
      <c r="K48" s="6">
        <v>1.0</v>
      </c>
    </row>
    <row r="49" ht="14.25" customHeight="1">
      <c r="A49" s="37">
        <v>39.0</v>
      </c>
      <c r="B49" s="39" t="s">
        <v>399</v>
      </c>
      <c r="C49" s="39" t="s">
        <v>400</v>
      </c>
      <c r="D49" s="39" t="s">
        <v>323</v>
      </c>
      <c r="E49" s="39" t="s">
        <v>24</v>
      </c>
      <c r="F49" s="40">
        <v>2.45</v>
      </c>
      <c r="G49" s="40">
        <v>2.56</v>
      </c>
      <c r="H49" s="40">
        <v>3.24</v>
      </c>
      <c r="I49" s="40" t="s">
        <v>401</v>
      </c>
      <c r="J49" s="42" t="s">
        <v>89</v>
      </c>
      <c r="L49" s="6">
        <v>1.0</v>
      </c>
    </row>
    <row r="50" ht="14.25" customHeight="1">
      <c r="A50" s="103"/>
      <c r="B50" s="104"/>
      <c r="C50" s="104"/>
      <c r="D50" s="104"/>
      <c r="E50" s="104"/>
      <c r="F50" s="104"/>
      <c r="G50" s="104"/>
      <c r="H50" s="104"/>
      <c r="I50" s="104"/>
      <c r="J50" s="104"/>
      <c r="K50" s="16">
        <f t="shared" ref="K50:M50" si="1">SUM(K11:K49)</f>
        <v>10</v>
      </c>
      <c r="L50" s="16">
        <f t="shared" si="1"/>
        <v>19</v>
      </c>
      <c r="M50" s="16">
        <f t="shared" si="1"/>
        <v>5</v>
      </c>
    </row>
    <row r="51" ht="14.25" customHeight="1">
      <c r="A51" s="3"/>
      <c r="K51" s="17">
        <f>K50/A49</f>
        <v>0.2564102564</v>
      </c>
      <c r="L51" s="17">
        <f>L50/A49</f>
        <v>0.4871794872</v>
      </c>
      <c r="M51" s="17">
        <f>M50/A49</f>
        <v>0.1282051282</v>
      </c>
    </row>
    <row r="52" ht="14.25" customHeight="1">
      <c r="A52" s="95" t="s">
        <v>402</v>
      </c>
      <c r="B52" s="26"/>
    </row>
    <row r="53" ht="14.25" customHeight="1">
      <c r="A53" s="105" t="s">
        <v>403</v>
      </c>
      <c r="B53" s="26"/>
    </row>
    <row r="54" ht="14.25" customHeight="1">
      <c r="A54" s="106" t="s">
        <v>7</v>
      </c>
      <c r="B54" s="107" t="s">
        <v>8</v>
      </c>
      <c r="C54" s="107" t="s">
        <v>9</v>
      </c>
      <c r="D54" s="107" t="s">
        <v>10</v>
      </c>
      <c r="E54" s="107" t="s">
        <v>11</v>
      </c>
      <c r="F54" s="107" t="s">
        <v>404</v>
      </c>
      <c r="G54" s="107" t="s">
        <v>405</v>
      </c>
      <c r="H54" s="107" t="s">
        <v>406</v>
      </c>
      <c r="I54" s="107" t="s">
        <v>15</v>
      </c>
      <c r="J54" s="107" t="s">
        <v>16</v>
      </c>
    </row>
    <row r="55" ht="14.25" customHeight="1">
      <c r="A55" s="8">
        <v>1.0</v>
      </c>
      <c r="B55" s="10" t="s">
        <v>407</v>
      </c>
      <c r="C55" s="10" t="s">
        <v>408</v>
      </c>
      <c r="D55" s="10" t="s">
        <v>409</v>
      </c>
      <c r="E55" s="10" t="s">
        <v>27</v>
      </c>
      <c r="F55" s="11">
        <v>2.11</v>
      </c>
      <c r="G55" s="11">
        <v>3.94</v>
      </c>
      <c r="H55" s="11">
        <v>4.79</v>
      </c>
      <c r="I55" s="11">
        <v>1.46</v>
      </c>
      <c r="J55" s="12" t="s">
        <v>18</v>
      </c>
      <c r="L55" s="6">
        <v>1.0</v>
      </c>
    </row>
    <row r="56" ht="14.25" customHeight="1">
      <c r="A56" s="8">
        <v>2.0</v>
      </c>
      <c r="B56" s="10" t="s">
        <v>410</v>
      </c>
      <c r="C56" s="10" t="s">
        <v>408</v>
      </c>
      <c r="D56" s="10" t="s">
        <v>409</v>
      </c>
      <c r="E56" s="10" t="s">
        <v>27</v>
      </c>
      <c r="F56" s="11">
        <v>4.7</v>
      </c>
      <c r="G56" s="11">
        <v>5.76</v>
      </c>
      <c r="H56" s="11">
        <v>4.5</v>
      </c>
      <c r="I56" s="11">
        <v>4.61</v>
      </c>
      <c r="J56" s="39" t="s">
        <v>17</v>
      </c>
      <c r="K56" s="6">
        <v>1.0</v>
      </c>
    </row>
    <row r="57" ht="14.25" customHeight="1">
      <c r="A57" s="8">
        <v>3.0</v>
      </c>
      <c r="B57" s="10" t="s">
        <v>411</v>
      </c>
      <c r="C57" s="10" t="s">
        <v>408</v>
      </c>
      <c r="D57" s="10" t="s">
        <v>412</v>
      </c>
      <c r="E57" s="10" t="s">
        <v>27</v>
      </c>
      <c r="F57" s="11">
        <v>3.64</v>
      </c>
      <c r="G57" s="11">
        <v>4.5</v>
      </c>
      <c r="H57" s="11">
        <v>5.44</v>
      </c>
      <c r="I57" s="11">
        <v>6.07</v>
      </c>
      <c r="J57" s="39" t="s">
        <v>17</v>
      </c>
      <c r="K57" s="6">
        <v>1.0</v>
      </c>
    </row>
    <row r="58" ht="14.25" customHeight="1">
      <c r="A58" s="8">
        <v>4.0</v>
      </c>
      <c r="B58" s="10" t="s">
        <v>413</v>
      </c>
      <c r="C58" s="10" t="s">
        <v>408</v>
      </c>
      <c r="D58" s="10" t="s">
        <v>412</v>
      </c>
      <c r="E58" s="10" t="s">
        <v>27</v>
      </c>
      <c r="F58" s="11">
        <v>2.7</v>
      </c>
      <c r="G58" s="11">
        <v>3.34</v>
      </c>
      <c r="H58" s="11">
        <v>3.52</v>
      </c>
      <c r="I58" s="11">
        <v>1.64</v>
      </c>
      <c r="J58" s="12" t="s">
        <v>18</v>
      </c>
      <c r="L58" s="6">
        <v>1.0</v>
      </c>
    </row>
    <row r="59" ht="14.25" customHeight="1">
      <c r="A59" s="8">
        <v>5.0</v>
      </c>
      <c r="B59" s="10" t="s">
        <v>414</v>
      </c>
      <c r="C59" s="10" t="s">
        <v>408</v>
      </c>
      <c r="D59" s="10" t="s">
        <v>412</v>
      </c>
      <c r="E59" s="10" t="s">
        <v>27</v>
      </c>
      <c r="F59" s="11">
        <v>1.02</v>
      </c>
      <c r="G59" s="11">
        <v>2.82</v>
      </c>
      <c r="H59" s="11">
        <v>2.5</v>
      </c>
      <c r="I59" s="11">
        <v>1.57</v>
      </c>
      <c r="J59" s="12" t="s">
        <v>18</v>
      </c>
      <c r="L59" s="6">
        <v>1.0</v>
      </c>
    </row>
    <row r="60" ht="14.25" customHeight="1">
      <c r="A60" s="8">
        <v>6.0</v>
      </c>
      <c r="B60" s="10" t="s">
        <v>415</v>
      </c>
      <c r="C60" s="10" t="s">
        <v>408</v>
      </c>
      <c r="D60" s="10" t="s">
        <v>412</v>
      </c>
      <c r="E60" s="10" t="s">
        <v>27</v>
      </c>
      <c r="F60" s="11">
        <v>4.47</v>
      </c>
      <c r="G60" s="11">
        <v>4.64</v>
      </c>
      <c r="H60" s="11">
        <v>5.94</v>
      </c>
      <c r="I60" s="11">
        <v>4.61</v>
      </c>
      <c r="J60" s="39" t="s">
        <v>17</v>
      </c>
      <c r="K60" s="6">
        <v>1.0</v>
      </c>
    </row>
    <row r="61" ht="14.25" customHeight="1">
      <c r="A61" s="8">
        <v>7.0</v>
      </c>
      <c r="B61" s="10" t="s">
        <v>416</v>
      </c>
      <c r="C61" s="10" t="s">
        <v>408</v>
      </c>
      <c r="D61" s="10" t="s">
        <v>412</v>
      </c>
      <c r="E61" s="10" t="s">
        <v>27</v>
      </c>
      <c r="F61" s="11">
        <v>3.7</v>
      </c>
      <c r="G61" s="11">
        <v>3.68</v>
      </c>
      <c r="H61" s="11">
        <v>4.82</v>
      </c>
      <c r="I61" s="11">
        <v>5.11</v>
      </c>
      <c r="J61" s="39" t="s">
        <v>17</v>
      </c>
      <c r="K61" s="6">
        <v>1.0</v>
      </c>
    </row>
    <row r="62" ht="14.25" customHeight="1">
      <c r="A62" s="8">
        <v>8.0</v>
      </c>
      <c r="B62" s="10" t="s">
        <v>417</v>
      </c>
      <c r="C62" s="10" t="s">
        <v>418</v>
      </c>
      <c r="D62" s="10" t="s">
        <v>412</v>
      </c>
      <c r="E62" s="10" t="s">
        <v>24</v>
      </c>
      <c r="F62" s="11">
        <v>2.88</v>
      </c>
      <c r="G62" s="11">
        <v>1.7</v>
      </c>
      <c r="H62" s="11">
        <v>3.34</v>
      </c>
      <c r="I62" s="11">
        <v>1.29</v>
      </c>
      <c r="J62" s="12" t="s">
        <v>18</v>
      </c>
      <c r="L62" s="6">
        <v>1.0</v>
      </c>
    </row>
    <row r="63" ht="14.25" customHeight="1">
      <c r="A63" s="8">
        <v>9.0</v>
      </c>
      <c r="B63" s="10" t="s">
        <v>419</v>
      </c>
      <c r="C63" s="10" t="s">
        <v>418</v>
      </c>
      <c r="D63" s="10" t="s">
        <v>412</v>
      </c>
      <c r="E63" s="10" t="s">
        <v>24</v>
      </c>
      <c r="F63" s="11">
        <v>3.24</v>
      </c>
      <c r="G63" s="11">
        <v>2.88</v>
      </c>
      <c r="H63" s="11">
        <v>2.5</v>
      </c>
      <c r="I63" s="11">
        <v>1.54</v>
      </c>
      <c r="J63" s="12" t="s">
        <v>18</v>
      </c>
      <c r="L63" s="6">
        <v>1.0</v>
      </c>
    </row>
    <row r="64" ht="14.25" customHeight="1">
      <c r="A64" s="8">
        <v>10.0</v>
      </c>
      <c r="B64" s="10" t="s">
        <v>420</v>
      </c>
      <c r="C64" s="10" t="s">
        <v>421</v>
      </c>
      <c r="D64" s="10" t="s">
        <v>409</v>
      </c>
      <c r="E64" s="10" t="s">
        <v>27</v>
      </c>
      <c r="F64" s="11">
        <v>2.87</v>
      </c>
      <c r="G64" s="11">
        <v>1.0</v>
      </c>
      <c r="H64" s="11">
        <v>1.94</v>
      </c>
      <c r="I64" s="11">
        <v>2.57</v>
      </c>
      <c r="J64" s="12" t="s">
        <v>18</v>
      </c>
      <c r="L64" s="6">
        <v>1.0</v>
      </c>
    </row>
    <row r="65" ht="14.25" customHeight="1">
      <c r="A65" s="16" t="s">
        <v>422</v>
      </c>
      <c r="K65" s="16">
        <f t="shared" ref="K65:L65" si="2">SUM(K55:K64)</f>
        <v>4</v>
      </c>
      <c r="L65" s="16">
        <f t="shared" si="2"/>
        <v>6</v>
      </c>
    </row>
    <row r="66" ht="14.25" customHeight="1">
      <c r="K66" s="17">
        <f>K65/A64</f>
        <v>0.4</v>
      </c>
      <c r="L66" s="17">
        <f>L65/A64</f>
        <v>0.6</v>
      </c>
    </row>
    <row r="67" ht="14.25" customHeight="1"/>
    <row r="68" ht="14.25" customHeight="1">
      <c r="A68" s="1" t="s">
        <v>423</v>
      </c>
      <c r="B68" s="108"/>
    </row>
    <row r="69" ht="14.25" customHeight="1">
      <c r="A69" s="1" t="s">
        <v>24</v>
      </c>
      <c r="B69" s="108"/>
    </row>
    <row r="70" ht="14.25" customHeight="1">
      <c r="A70" s="109" t="s">
        <v>7</v>
      </c>
      <c r="B70" s="110" t="s">
        <v>8</v>
      </c>
      <c r="C70" s="110" t="s">
        <v>9</v>
      </c>
      <c r="D70" s="110" t="s">
        <v>10</v>
      </c>
      <c r="E70" s="110" t="s">
        <v>11</v>
      </c>
      <c r="F70" s="110" t="s">
        <v>424</v>
      </c>
      <c r="G70" s="110" t="s">
        <v>13</v>
      </c>
      <c r="H70" s="110" t="s">
        <v>14</v>
      </c>
      <c r="I70" s="110" t="s">
        <v>15</v>
      </c>
      <c r="J70" s="110" t="s">
        <v>16</v>
      </c>
    </row>
    <row r="71" ht="14.25" customHeight="1">
      <c r="A71" s="111">
        <v>1.0</v>
      </c>
      <c r="B71" s="39" t="s">
        <v>425</v>
      </c>
      <c r="C71" s="39" t="s">
        <v>426</v>
      </c>
      <c r="D71" s="39" t="s">
        <v>427</v>
      </c>
      <c r="E71" s="39" t="s">
        <v>428</v>
      </c>
      <c r="F71" s="112">
        <v>4.11</v>
      </c>
      <c r="G71" s="112">
        <v>3.75</v>
      </c>
      <c r="H71" s="112">
        <v>3.92</v>
      </c>
      <c r="I71" s="112" t="s">
        <v>429</v>
      </c>
      <c r="J71" s="39" t="s">
        <v>17</v>
      </c>
      <c r="K71" s="6">
        <v>1.0</v>
      </c>
    </row>
    <row r="72" ht="14.25" customHeight="1">
      <c r="A72" s="111">
        <v>2.0</v>
      </c>
      <c r="B72" s="39" t="s">
        <v>430</v>
      </c>
      <c r="C72" s="39" t="s">
        <v>426</v>
      </c>
      <c r="D72" s="39" t="s">
        <v>427</v>
      </c>
      <c r="E72" s="39" t="s">
        <v>428</v>
      </c>
      <c r="F72" s="112">
        <v>3.14</v>
      </c>
      <c r="G72" s="112">
        <v>4.16</v>
      </c>
      <c r="H72" s="112">
        <v>4.72</v>
      </c>
      <c r="I72" s="112" t="s">
        <v>431</v>
      </c>
      <c r="J72" s="42" t="s">
        <v>18</v>
      </c>
      <c r="L72" s="6">
        <v>1.0</v>
      </c>
    </row>
    <row r="73" ht="14.25" customHeight="1">
      <c r="A73" s="111">
        <v>3.0</v>
      </c>
      <c r="B73" s="39" t="s">
        <v>432</v>
      </c>
      <c r="C73" s="39" t="s">
        <v>433</v>
      </c>
      <c r="D73" s="39" t="s">
        <v>427</v>
      </c>
      <c r="E73" s="39" t="s">
        <v>428</v>
      </c>
      <c r="F73" s="112">
        <v>5.85</v>
      </c>
      <c r="G73" s="112">
        <v>3.72</v>
      </c>
      <c r="H73" s="112">
        <v>5.12</v>
      </c>
      <c r="I73" s="112" t="s">
        <v>434</v>
      </c>
      <c r="J73" s="39" t="s">
        <v>17</v>
      </c>
      <c r="K73" s="6">
        <v>1.0</v>
      </c>
    </row>
    <row r="74" ht="14.25" customHeight="1">
      <c r="A74" s="111">
        <v>4.0</v>
      </c>
      <c r="B74" s="39" t="s">
        <v>435</v>
      </c>
      <c r="C74" s="39" t="s">
        <v>436</v>
      </c>
      <c r="D74" s="39" t="s">
        <v>427</v>
      </c>
      <c r="E74" s="39" t="s">
        <v>428</v>
      </c>
      <c r="F74" s="112">
        <v>4.2</v>
      </c>
      <c r="G74" s="112">
        <v>5.13</v>
      </c>
      <c r="H74" s="112">
        <v>3.12</v>
      </c>
      <c r="I74" s="112" t="s">
        <v>437</v>
      </c>
      <c r="J74" s="42" t="s">
        <v>18</v>
      </c>
      <c r="L74" s="6">
        <v>1.0</v>
      </c>
    </row>
    <row r="75" ht="14.25" customHeight="1">
      <c r="A75" s="111">
        <v>5.0</v>
      </c>
      <c r="B75" s="39" t="s">
        <v>438</v>
      </c>
      <c r="C75" s="39" t="s">
        <v>433</v>
      </c>
      <c r="D75" s="39" t="s">
        <v>427</v>
      </c>
      <c r="E75" s="39" t="s">
        <v>428</v>
      </c>
      <c r="F75" s="112">
        <v>5.08</v>
      </c>
      <c r="G75" s="112">
        <v>4.82</v>
      </c>
      <c r="H75" s="112">
        <v>4.38</v>
      </c>
      <c r="I75" s="112" t="s">
        <v>439</v>
      </c>
      <c r="J75" s="39" t="s">
        <v>17</v>
      </c>
      <c r="K75" s="6">
        <v>1.0</v>
      </c>
    </row>
    <row r="76" ht="14.25" customHeight="1">
      <c r="A76" s="111">
        <v>6.0</v>
      </c>
      <c r="B76" s="39" t="s">
        <v>440</v>
      </c>
      <c r="C76" s="39" t="s">
        <v>436</v>
      </c>
      <c r="D76" s="39" t="s">
        <v>427</v>
      </c>
      <c r="E76" s="39" t="s">
        <v>428</v>
      </c>
      <c r="F76" s="112">
        <v>4.88</v>
      </c>
      <c r="G76" s="112">
        <v>5.17</v>
      </c>
      <c r="H76" s="112">
        <v>3.95</v>
      </c>
      <c r="I76" s="112" t="s">
        <v>441</v>
      </c>
      <c r="J76" s="39" t="s">
        <v>17</v>
      </c>
      <c r="K76" s="6">
        <v>1.0</v>
      </c>
    </row>
    <row r="77" ht="14.25" customHeight="1">
      <c r="A77" s="111">
        <v>7.0</v>
      </c>
      <c r="B77" s="39" t="s">
        <v>442</v>
      </c>
      <c r="C77" s="39" t="s">
        <v>426</v>
      </c>
      <c r="D77" s="39" t="s">
        <v>427</v>
      </c>
      <c r="E77" s="39" t="s">
        <v>428</v>
      </c>
      <c r="F77" s="112">
        <v>2.15</v>
      </c>
      <c r="G77" s="112">
        <v>1.22</v>
      </c>
      <c r="H77" s="112">
        <v>2.62</v>
      </c>
      <c r="I77" s="112" t="s">
        <v>443</v>
      </c>
      <c r="J77" s="113" t="s">
        <v>343</v>
      </c>
      <c r="K77" s="26"/>
      <c r="L77" s="26"/>
      <c r="M77" s="114">
        <v>1.0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4.25" customHeight="1">
      <c r="A78" s="111">
        <v>8.0</v>
      </c>
      <c r="B78" s="39" t="s">
        <v>444</v>
      </c>
      <c r="C78" s="39" t="s">
        <v>433</v>
      </c>
      <c r="D78" s="39" t="s">
        <v>427</v>
      </c>
      <c r="E78" s="39" t="s">
        <v>428</v>
      </c>
      <c r="F78" s="115">
        <v>1.7</v>
      </c>
      <c r="G78" s="115">
        <v>2.72</v>
      </c>
      <c r="H78" s="115">
        <v>1.5</v>
      </c>
      <c r="I78" s="115" t="s">
        <v>445</v>
      </c>
      <c r="J78" s="113" t="s">
        <v>343</v>
      </c>
      <c r="K78" s="26"/>
      <c r="L78" s="26"/>
      <c r="M78" s="114">
        <v>1.0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4.25" customHeight="1">
      <c r="A79" s="111">
        <v>9.0</v>
      </c>
      <c r="B79" s="39" t="s">
        <v>446</v>
      </c>
      <c r="C79" s="39" t="s">
        <v>436</v>
      </c>
      <c r="D79" s="39" t="s">
        <v>427</v>
      </c>
      <c r="E79" s="39" t="s">
        <v>428</v>
      </c>
      <c r="F79" s="115">
        <v>2.55</v>
      </c>
      <c r="G79" s="115">
        <v>1.5</v>
      </c>
      <c r="H79" s="115">
        <v>2.3</v>
      </c>
      <c r="I79" s="115" t="s">
        <v>447</v>
      </c>
      <c r="J79" s="113" t="s">
        <v>343</v>
      </c>
      <c r="K79" s="26"/>
      <c r="L79" s="26"/>
      <c r="M79" s="114">
        <v>1.0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4.25" customHeight="1">
      <c r="A80" s="111">
        <v>10.0</v>
      </c>
      <c r="B80" s="39" t="s">
        <v>448</v>
      </c>
      <c r="C80" s="39" t="s">
        <v>433</v>
      </c>
      <c r="D80" s="39" t="s">
        <v>427</v>
      </c>
      <c r="E80" s="39" t="s">
        <v>428</v>
      </c>
      <c r="F80" s="115">
        <v>3.85</v>
      </c>
      <c r="G80" s="115">
        <v>4.0</v>
      </c>
      <c r="H80" s="115">
        <v>4.52</v>
      </c>
      <c r="I80" s="115" t="s">
        <v>449</v>
      </c>
      <c r="J80" s="39" t="s">
        <v>17</v>
      </c>
      <c r="K80" s="6">
        <v>1.0</v>
      </c>
    </row>
    <row r="81" ht="14.25" customHeight="1">
      <c r="A81" s="111">
        <v>11.0</v>
      </c>
      <c r="B81" s="39" t="s">
        <v>450</v>
      </c>
      <c r="C81" s="39" t="s">
        <v>426</v>
      </c>
      <c r="D81" s="39" t="s">
        <v>427</v>
      </c>
      <c r="E81" s="39" t="s">
        <v>428</v>
      </c>
      <c r="F81" s="115">
        <v>4.64</v>
      </c>
      <c r="G81" s="115">
        <v>4.72</v>
      </c>
      <c r="H81" s="115">
        <v>5.76</v>
      </c>
      <c r="I81" s="115" t="s">
        <v>451</v>
      </c>
      <c r="J81" s="39" t="s">
        <v>17</v>
      </c>
      <c r="K81" s="6">
        <v>1.0</v>
      </c>
    </row>
    <row r="82" ht="14.25" customHeight="1">
      <c r="A82" s="111">
        <v>12.0</v>
      </c>
      <c r="B82" s="39" t="s">
        <v>452</v>
      </c>
      <c r="C82" s="39" t="s">
        <v>426</v>
      </c>
      <c r="D82" s="39" t="s">
        <v>427</v>
      </c>
      <c r="E82" s="39" t="s">
        <v>428</v>
      </c>
      <c r="F82" s="115">
        <v>1.2</v>
      </c>
      <c r="G82" s="115">
        <v>2.16</v>
      </c>
      <c r="H82" s="115">
        <v>3.1</v>
      </c>
      <c r="I82" s="115" t="s">
        <v>453</v>
      </c>
      <c r="J82" s="116" t="s">
        <v>18</v>
      </c>
      <c r="L82" s="6">
        <v>1.0</v>
      </c>
    </row>
    <row r="83" ht="14.25" customHeight="1">
      <c r="A83" s="111">
        <v>13.0</v>
      </c>
      <c r="B83" s="39" t="s">
        <v>454</v>
      </c>
      <c r="C83" s="39" t="s">
        <v>455</v>
      </c>
      <c r="D83" s="39" t="s">
        <v>427</v>
      </c>
      <c r="E83" s="39" t="s">
        <v>428</v>
      </c>
      <c r="F83" s="115">
        <v>3.2</v>
      </c>
      <c r="G83" s="115">
        <v>3.18</v>
      </c>
      <c r="H83" s="115">
        <v>4.0</v>
      </c>
      <c r="I83" s="115" t="s">
        <v>456</v>
      </c>
      <c r="J83" s="113" t="s">
        <v>343</v>
      </c>
      <c r="K83" s="26"/>
      <c r="L83" s="26"/>
      <c r="M83" s="114">
        <v>1.0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4.25" customHeight="1">
      <c r="A84" s="111">
        <v>14.0</v>
      </c>
      <c r="B84" s="39" t="s">
        <v>457</v>
      </c>
      <c r="C84" s="39" t="s">
        <v>426</v>
      </c>
      <c r="D84" s="39" t="s">
        <v>427</v>
      </c>
      <c r="E84" s="39" t="s">
        <v>428</v>
      </c>
      <c r="F84" s="115">
        <v>2.16</v>
      </c>
      <c r="G84" s="115">
        <v>1.0</v>
      </c>
      <c r="H84" s="115">
        <v>2.17</v>
      </c>
      <c r="I84" s="115" t="s">
        <v>458</v>
      </c>
      <c r="J84" s="113" t="s">
        <v>343</v>
      </c>
      <c r="K84" s="26"/>
      <c r="L84" s="26"/>
      <c r="M84" s="114">
        <v>1.0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4.25" customHeight="1">
      <c r="A85" s="111">
        <v>15.0</v>
      </c>
      <c r="B85" s="39" t="s">
        <v>459</v>
      </c>
      <c r="C85" s="39" t="s">
        <v>426</v>
      </c>
      <c r="D85" s="39" t="s">
        <v>427</v>
      </c>
      <c r="E85" s="39" t="s">
        <v>428</v>
      </c>
      <c r="F85" s="115">
        <v>5.94</v>
      </c>
      <c r="G85" s="115">
        <v>4.11</v>
      </c>
      <c r="H85" s="115">
        <v>5.33</v>
      </c>
      <c r="I85" s="115" t="s">
        <v>460</v>
      </c>
      <c r="J85" s="39" t="s">
        <v>17</v>
      </c>
      <c r="K85" s="6">
        <v>1.0</v>
      </c>
    </row>
    <row r="86" ht="14.25" customHeight="1">
      <c r="A86" s="111">
        <v>16.0</v>
      </c>
      <c r="B86" s="39" t="s">
        <v>461</v>
      </c>
      <c r="C86" s="39" t="s">
        <v>426</v>
      </c>
      <c r="D86" s="39" t="s">
        <v>427</v>
      </c>
      <c r="E86" s="39" t="s">
        <v>428</v>
      </c>
      <c r="F86" s="115">
        <v>4.94</v>
      </c>
      <c r="G86" s="115">
        <v>5.15</v>
      </c>
      <c r="H86" s="115">
        <v>6.22</v>
      </c>
      <c r="I86" s="115" t="s">
        <v>462</v>
      </c>
      <c r="J86" s="39" t="s">
        <v>17</v>
      </c>
      <c r="K86" s="6">
        <v>1.0</v>
      </c>
    </row>
    <row r="87" ht="14.25" customHeight="1">
      <c r="A87" s="111">
        <v>17.0</v>
      </c>
      <c r="B87" s="39" t="s">
        <v>463</v>
      </c>
      <c r="C87" s="39" t="s">
        <v>433</v>
      </c>
      <c r="D87" s="39" t="s">
        <v>427</v>
      </c>
      <c r="E87" s="39" t="s">
        <v>428</v>
      </c>
      <c r="F87" s="115">
        <v>3.41</v>
      </c>
      <c r="G87" s="115" t="s">
        <v>37</v>
      </c>
      <c r="H87" s="115" t="s">
        <v>37</v>
      </c>
      <c r="I87" s="115" t="s">
        <v>385</v>
      </c>
      <c r="J87" s="113" t="s">
        <v>343</v>
      </c>
      <c r="K87" s="26"/>
      <c r="L87" s="26"/>
      <c r="M87" s="114">
        <v>1.0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4.25" customHeight="1">
      <c r="A88" s="111">
        <v>18.0</v>
      </c>
      <c r="B88" s="39" t="s">
        <v>464</v>
      </c>
      <c r="C88" s="39" t="s">
        <v>433</v>
      </c>
      <c r="D88" s="39" t="s">
        <v>427</v>
      </c>
      <c r="E88" s="39" t="s">
        <v>428</v>
      </c>
      <c r="F88" s="115">
        <v>4.02</v>
      </c>
      <c r="G88" s="115" t="s">
        <v>37</v>
      </c>
      <c r="H88" s="115" t="s">
        <v>37</v>
      </c>
      <c r="I88" s="115" t="s">
        <v>385</v>
      </c>
      <c r="J88" s="113" t="s">
        <v>343</v>
      </c>
      <c r="K88" s="26"/>
      <c r="L88" s="26"/>
      <c r="M88" s="114">
        <v>1.0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4.25" customHeight="1">
      <c r="A89" s="111">
        <v>19.0</v>
      </c>
      <c r="B89" s="39" t="s">
        <v>465</v>
      </c>
      <c r="C89" s="39" t="s">
        <v>433</v>
      </c>
      <c r="D89" s="39" t="s">
        <v>427</v>
      </c>
      <c r="E89" s="39" t="s">
        <v>428</v>
      </c>
      <c r="F89" s="115">
        <v>5.08</v>
      </c>
      <c r="G89" s="115">
        <v>4.82</v>
      </c>
      <c r="H89" s="115">
        <v>5.62</v>
      </c>
      <c r="I89" s="115" t="s">
        <v>466</v>
      </c>
      <c r="J89" s="39" t="s">
        <v>17</v>
      </c>
      <c r="K89" s="6">
        <v>1.0</v>
      </c>
    </row>
    <row r="90" ht="14.25" customHeight="1">
      <c r="A90" s="111">
        <v>20.0</v>
      </c>
      <c r="B90" s="39" t="s">
        <v>467</v>
      </c>
      <c r="C90" s="39" t="s">
        <v>433</v>
      </c>
      <c r="D90" s="39" t="s">
        <v>427</v>
      </c>
      <c r="E90" s="39" t="s">
        <v>428</v>
      </c>
      <c r="F90" s="115">
        <v>5.79</v>
      </c>
      <c r="G90" s="115">
        <v>5.16</v>
      </c>
      <c r="H90" s="115">
        <v>4.73</v>
      </c>
      <c r="I90" s="115" t="s">
        <v>468</v>
      </c>
      <c r="J90" s="117" t="s">
        <v>18</v>
      </c>
      <c r="L90" s="6">
        <v>1.0</v>
      </c>
    </row>
    <row r="91" ht="14.25" customHeight="1">
      <c r="A91" s="111">
        <v>21.0</v>
      </c>
      <c r="B91" s="39" t="s">
        <v>469</v>
      </c>
      <c r="C91" s="39" t="s">
        <v>426</v>
      </c>
      <c r="D91" s="39" t="s">
        <v>427</v>
      </c>
      <c r="E91" s="39" t="s">
        <v>428</v>
      </c>
      <c r="F91" s="115">
        <v>3.55</v>
      </c>
      <c r="G91" s="115">
        <v>3.1</v>
      </c>
      <c r="H91" s="115">
        <v>2.92</v>
      </c>
      <c r="I91" s="115" t="s">
        <v>470</v>
      </c>
      <c r="J91" s="117" t="s">
        <v>18</v>
      </c>
      <c r="L91" s="6">
        <v>1.0</v>
      </c>
    </row>
    <row r="92" ht="14.25" customHeight="1">
      <c r="A92" s="111">
        <v>22.0</v>
      </c>
      <c r="B92" s="39" t="s">
        <v>471</v>
      </c>
      <c r="C92" s="39" t="s">
        <v>472</v>
      </c>
      <c r="D92" s="39" t="s">
        <v>427</v>
      </c>
      <c r="E92" s="39" t="s">
        <v>428</v>
      </c>
      <c r="F92" s="115">
        <v>4.29</v>
      </c>
      <c r="G92" s="115">
        <v>4.0</v>
      </c>
      <c r="H92" s="115">
        <v>5.25</v>
      </c>
      <c r="I92" s="115" t="s">
        <v>473</v>
      </c>
      <c r="J92" s="39" t="s">
        <v>17</v>
      </c>
      <c r="K92" s="6">
        <v>1.0</v>
      </c>
    </row>
    <row r="93" ht="14.25" customHeight="1">
      <c r="A93" s="111">
        <v>23.0</v>
      </c>
      <c r="B93" s="39" t="s">
        <v>474</v>
      </c>
      <c r="C93" s="39" t="s">
        <v>433</v>
      </c>
      <c r="D93" s="39" t="s">
        <v>427</v>
      </c>
      <c r="E93" s="39" t="s">
        <v>428</v>
      </c>
      <c r="F93" s="115">
        <v>3.92</v>
      </c>
      <c r="G93" s="115" t="s">
        <v>37</v>
      </c>
      <c r="H93" s="115" t="s">
        <v>37</v>
      </c>
      <c r="I93" s="115" t="s">
        <v>385</v>
      </c>
      <c r="J93" s="113" t="s">
        <v>343</v>
      </c>
      <c r="K93" s="26"/>
      <c r="L93" s="26"/>
      <c r="M93" s="114">
        <v>1.0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4.25" customHeight="1">
      <c r="A94" s="111">
        <v>24.0</v>
      </c>
      <c r="B94" s="39" t="s">
        <v>475</v>
      </c>
      <c r="C94" s="39" t="s">
        <v>426</v>
      </c>
      <c r="D94" s="39" t="s">
        <v>427</v>
      </c>
      <c r="E94" s="39" t="s">
        <v>428</v>
      </c>
      <c r="F94" s="115">
        <v>5.0</v>
      </c>
      <c r="G94" s="115">
        <v>4.36</v>
      </c>
      <c r="H94" s="115">
        <v>5.16</v>
      </c>
      <c r="I94" s="115" t="s">
        <v>377</v>
      </c>
      <c r="J94" s="39" t="s">
        <v>17</v>
      </c>
      <c r="K94" s="6">
        <v>1.0</v>
      </c>
    </row>
    <row r="95" ht="14.25" customHeight="1">
      <c r="A95" s="111">
        <v>25.0</v>
      </c>
      <c r="B95" s="39" t="s">
        <v>476</v>
      </c>
      <c r="C95" s="39" t="s">
        <v>433</v>
      </c>
      <c r="D95" s="39" t="s">
        <v>427</v>
      </c>
      <c r="E95" s="39" t="s">
        <v>428</v>
      </c>
      <c r="F95" s="115">
        <v>4.47</v>
      </c>
      <c r="G95" s="115">
        <v>5.53</v>
      </c>
      <c r="H95" s="115">
        <v>4.25</v>
      </c>
      <c r="I95" s="115" t="s">
        <v>468</v>
      </c>
      <c r="J95" s="41" t="s">
        <v>81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4.25" customHeight="1">
      <c r="A96" s="111">
        <v>26.0</v>
      </c>
      <c r="B96" s="39" t="s">
        <v>477</v>
      </c>
      <c r="C96" s="39" t="s">
        <v>426</v>
      </c>
      <c r="D96" s="39" t="s">
        <v>427</v>
      </c>
      <c r="E96" s="39" t="s">
        <v>428</v>
      </c>
      <c r="F96" s="115">
        <v>4.25</v>
      </c>
      <c r="G96" s="115">
        <v>4.75</v>
      </c>
      <c r="H96" s="115">
        <v>4.05</v>
      </c>
      <c r="I96" s="118" t="s">
        <v>478</v>
      </c>
      <c r="J96" s="117" t="s">
        <v>18</v>
      </c>
      <c r="L96" s="6">
        <v>1.0</v>
      </c>
    </row>
    <row r="97" ht="14.25" customHeight="1">
      <c r="A97" s="111">
        <v>27.0</v>
      </c>
      <c r="B97" s="39" t="s">
        <v>479</v>
      </c>
      <c r="C97" s="39" t="s">
        <v>455</v>
      </c>
      <c r="D97" s="39" t="s">
        <v>427</v>
      </c>
      <c r="E97" s="39" t="s">
        <v>428</v>
      </c>
      <c r="F97" s="115">
        <v>3.22</v>
      </c>
      <c r="G97" s="115">
        <v>3.04</v>
      </c>
      <c r="H97" s="115">
        <v>2.73</v>
      </c>
      <c r="I97" s="115" t="s">
        <v>480</v>
      </c>
      <c r="J97" s="117" t="s">
        <v>18</v>
      </c>
      <c r="L97" s="6">
        <v>1.0</v>
      </c>
    </row>
    <row r="98" ht="14.25" customHeight="1">
      <c r="A98" s="111">
        <v>28.0</v>
      </c>
      <c r="B98" s="39" t="s">
        <v>481</v>
      </c>
      <c r="C98" s="39" t="s">
        <v>426</v>
      </c>
      <c r="D98" s="39" t="s">
        <v>427</v>
      </c>
      <c r="E98" s="39" t="s">
        <v>428</v>
      </c>
      <c r="F98" s="115">
        <v>2.75</v>
      </c>
      <c r="G98" s="115">
        <v>3.01</v>
      </c>
      <c r="H98" s="115">
        <v>2.92</v>
      </c>
      <c r="I98" s="115" t="s">
        <v>482</v>
      </c>
      <c r="J98" s="117" t="s">
        <v>18</v>
      </c>
      <c r="L98" s="6">
        <v>1.0</v>
      </c>
    </row>
    <row r="99" ht="14.25" customHeight="1">
      <c r="A99" s="111">
        <v>29.0</v>
      </c>
      <c r="B99" s="39" t="s">
        <v>483</v>
      </c>
      <c r="C99" s="39" t="s">
        <v>484</v>
      </c>
      <c r="D99" s="39" t="s">
        <v>427</v>
      </c>
      <c r="E99" s="39" t="s">
        <v>428</v>
      </c>
      <c r="F99" s="115">
        <v>1.52</v>
      </c>
      <c r="G99" s="115">
        <v>2.44</v>
      </c>
      <c r="H99" s="115">
        <v>3.0</v>
      </c>
      <c r="I99" s="115">
        <v>3.98</v>
      </c>
      <c r="J99" s="117" t="s">
        <v>18</v>
      </c>
      <c r="L99" s="6">
        <v>1.0</v>
      </c>
    </row>
    <row r="100" ht="14.25" customHeight="1">
      <c r="A100" s="111">
        <v>30.0</v>
      </c>
      <c r="B100" s="39" t="s">
        <v>485</v>
      </c>
      <c r="C100" s="39" t="s">
        <v>436</v>
      </c>
      <c r="D100" s="39" t="s">
        <v>427</v>
      </c>
      <c r="E100" s="39" t="s">
        <v>428</v>
      </c>
      <c r="F100" s="115">
        <v>2.05</v>
      </c>
      <c r="G100" s="115">
        <v>3.0</v>
      </c>
      <c r="H100" s="115">
        <v>3.16</v>
      </c>
      <c r="I100" s="115" t="s">
        <v>486</v>
      </c>
      <c r="J100" s="117" t="s">
        <v>18</v>
      </c>
      <c r="L100" s="6">
        <v>1.0</v>
      </c>
    </row>
    <row r="101" ht="14.25" customHeight="1">
      <c r="A101" s="111">
        <v>31.0</v>
      </c>
      <c r="B101" s="39" t="s">
        <v>487</v>
      </c>
      <c r="C101" s="39" t="s">
        <v>433</v>
      </c>
      <c r="D101" s="39" t="s">
        <v>427</v>
      </c>
      <c r="E101" s="39" t="s">
        <v>428</v>
      </c>
      <c r="F101" s="115">
        <v>4.17</v>
      </c>
      <c r="G101" s="115">
        <v>5.12</v>
      </c>
      <c r="H101" s="115">
        <v>5.5</v>
      </c>
      <c r="I101" s="115" t="s">
        <v>488</v>
      </c>
      <c r="J101" s="117" t="s">
        <v>18</v>
      </c>
      <c r="L101" s="6">
        <v>1.0</v>
      </c>
    </row>
    <row r="102" ht="14.25" customHeight="1">
      <c r="A102" s="111">
        <v>32.0</v>
      </c>
      <c r="B102" s="39" t="s">
        <v>489</v>
      </c>
      <c r="C102" s="39" t="s">
        <v>426</v>
      </c>
      <c r="D102" s="39" t="s">
        <v>427</v>
      </c>
      <c r="E102" s="39" t="s">
        <v>428</v>
      </c>
      <c r="F102" s="115">
        <v>2.92</v>
      </c>
      <c r="G102" s="115">
        <v>2.5</v>
      </c>
      <c r="H102" s="115">
        <v>2.19</v>
      </c>
      <c r="I102" s="115" t="s">
        <v>490</v>
      </c>
      <c r="J102" s="117" t="s">
        <v>18</v>
      </c>
      <c r="L102" s="6">
        <v>1.0</v>
      </c>
    </row>
    <row r="103" ht="14.25" customHeight="1">
      <c r="K103" s="16">
        <f t="shared" ref="K103:M103" si="3">SUM(K71:K102)</f>
        <v>11</v>
      </c>
      <c r="L103" s="16">
        <f t="shared" si="3"/>
        <v>12</v>
      </c>
      <c r="M103" s="16">
        <f t="shared" si="3"/>
        <v>8</v>
      </c>
    </row>
    <row r="104" ht="14.25" customHeight="1">
      <c r="K104" s="17">
        <f>K103/A102</f>
        <v>0.34375</v>
      </c>
      <c r="L104" s="17">
        <f>L103/A102</f>
        <v>0.375</v>
      </c>
      <c r="M104" s="17">
        <f>M103/A102</f>
        <v>0.25</v>
      </c>
    </row>
    <row r="105" ht="14.25" customHeight="1"/>
    <row r="106" ht="14.25" customHeight="1">
      <c r="A106" s="119" t="s">
        <v>491</v>
      </c>
      <c r="B106" s="104"/>
      <c r="C106" s="104"/>
      <c r="D106" s="104"/>
      <c r="E106" s="104"/>
      <c r="F106" s="104"/>
      <c r="G106" s="104"/>
      <c r="H106" s="104"/>
      <c r="I106" s="104"/>
      <c r="J106" s="120"/>
    </row>
    <row r="107" ht="14.25" customHeight="1">
      <c r="A107" s="67"/>
      <c r="B107" s="121"/>
      <c r="C107" s="121"/>
      <c r="D107" s="121"/>
      <c r="E107" s="121"/>
      <c r="F107" s="121"/>
      <c r="G107" s="121"/>
      <c r="H107" s="121"/>
      <c r="I107" s="121"/>
      <c r="J107" s="68"/>
    </row>
    <row r="108" ht="14.25" customHeight="1">
      <c r="A108" s="8">
        <v>1.0</v>
      </c>
      <c r="B108" s="10" t="s">
        <v>492</v>
      </c>
      <c r="C108" s="10" t="s">
        <v>493</v>
      </c>
      <c r="D108" s="10" t="s">
        <v>494</v>
      </c>
      <c r="E108" s="10" t="s">
        <v>24</v>
      </c>
      <c r="F108" s="10">
        <v>3.29</v>
      </c>
      <c r="G108" s="122">
        <v>3.79</v>
      </c>
      <c r="H108" s="122">
        <v>3.82</v>
      </c>
      <c r="I108" s="10">
        <v>3.54</v>
      </c>
      <c r="J108" s="12" t="s">
        <v>495</v>
      </c>
      <c r="L108" s="6">
        <v>1.0</v>
      </c>
    </row>
    <row r="109" ht="14.25" customHeight="1">
      <c r="A109" s="8">
        <v>2.0</v>
      </c>
      <c r="B109" s="10" t="s">
        <v>496</v>
      </c>
      <c r="C109" s="10" t="s">
        <v>497</v>
      </c>
      <c r="D109" s="10" t="s">
        <v>498</v>
      </c>
      <c r="E109" s="10" t="s">
        <v>24</v>
      </c>
      <c r="F109" s="10">
        <v>2.74</v>
      </c>
      <c r="G109" s="122">
        <v>2.79</v>
      </c>
      <c r="H109" s="122">
        <v>2.21</v>
      </c>
      <c r="I109" s="10">
        <v>1.39</v>
      </c>
      <c r="J109" s="12" t="s">
        <v>495</v>
      </c>
      <c r="L109" s="6">
        <v>1.0</v>
      </c>
    </row>
    <row r="110" ht="14.25" customHeight="1">
      <c r="A110" s="123">
        <v>3.0</v>
      </c>
      <c r="B110" s="10" t="s">
        <v>499</v>
      </c>
      <c r="C110" s="10" t="s">
        <v>493</v>
      </c>
      <c r="D110" s="10" t="s">
        <v>494</v>
      </c>
      <c r="E110" s="10" t="s">
        <v>24</v>
      </c>
      <c r="F110" s="10">
        <v>3.83</v>
      </c>
      <c r="G110" s="122">
        <v>5.91</v>
      </c>
      <c r="H110" s="122">
        <v>4.21</v>
      </c>
      <c r="I110" s="10">
        <v>3.61</v>
      </c>
      <c r="J110" s="12" t="s">
        <v>495</v>
      </c>
      <c r="L110" s="6">
        <v>1.0</v>
      </c>
    </row>
    <row r="111" ht="14.25" customHeight="1">
      <c r="A111" s="123">
        <v>4.0</v>
      </c>
      <c r="B111" s="122" t="s">
        <v>500</v>
      </c>
      <c r="C111" s="10" t="s">
        <v>493</v>
      </c>
      <c r="D111" s="10" t="s">
        <v>494</v>
      </c>
      <c r="E111" s="10" t="s">
        <v>24</v>
      </c>
      <c r="F111" s="10">
        <v>2.54</v>
      </c>
      <c r="G111" s="122">
        <v>2.73</v>
      </c>
      <c r="H111" s="122">
        <v>2.46</v>
      </c>
      <c r="I111" s="10">
        <v>1.79</v>
      </c>
      <c r="J111" s="12" t="s">
        <v>495</v>
      </c>
      <c r="L111" s="6">
        <v>1.0</v>
      </c>
    </row>
    <row r="112" ht="14.25" customHeight="1">
      <c r="A112" s="8">
        <v>5.0</v>
      </c>
      <c r="B112" s="10" t="s">
        <v>501</v>
      </c>
      <c r="C112" s="10" t="s">
        <v>493</v>
      </c>
      <c r="D112" s="10" t="s">
        <v>494</v>
      </c>
      <c r="E112" s="10" t="s">
        <v>24</v>
      </c>
      <c r="F112" s="10">
        <v>2.99</v>
      </c>
      <c r="G112" s="122">
        <v>3.29</v>
      </c>
      <c r="H112" s="122">
        <v>3.57</v>
      </c>
      <c r="I112" s="10">
        <v>3.46</v>
      </c>
      <c r="J112" s="12" t="s">
        <v>495</v>
      </c>
      <c r="L112" s="6">
        <v>1.0</v>
      </c>
    </row>
    <row r="113" ht="14.25" customHeight="1">
      <c r="A113" s="8">
        <v>6.0</v>
      </c>
      <c r="B113" s="10" t="s">
        <v>502</v>
      </c>
      <c r="C113" s="10" t="s">
        <v>493</v>
      </c>
      <c r="D113" s="10" t="s">
        <v>494</v>
      </c>
      <c r="E113" s="10" t="s">
        <v>24</v>
      </c>
      <c r="F113" s="10">
        <v>2.03</v>
      </c>
      <c r="G113" s="122">
        <v>3.29</v>
      </c>
      <c r="H113" s="122">
        <v>2.75</v>
      </c>
      <c r="I113" s="10">
        <v>1.57</v>
      </c>
      <c r="J113" s="12" t="s">
        <v>495</v>
      </c>
      <c r="L113" s="6">
        <v>1.0</v>
      </c>
    </row>
    <row r="114" ht="14.25" customHeight="1">
      <c r="A114" s="8">
        <v>7.0</v>
      </c>
      <c r="B114" s="10" t="s">
        <v>503</v>
      </c>
      <c r="C114" s="10" t="s">
        <v>504</v>
      </c>
      <c r="D114" s="10" t="s">
        <v>494</v>
      </c>
      <c r="E114" s="10" t="s">
        <v>24</v>
      </c>
      <c r="F114" s="10">
        <v>2.12</v>
      </c>
      <c r="G114" s="122">
        <v>3.47</v>
      </c>
      <c r="H114" s="122">
        <v>3.28</v>
      </c>
      <c r="I114" s="10">
        <v>4.29</v>
      </c>
      <c r="J114" s="12" t="s">
        <v>495</v>
      </c>
      <c r="L114" s="6">
        <v>1.0</v>
      </c>
    </row>
    <row r="115" ht="14.25" customHeight="1">
      <c r="A115" s="8">
        <v>8.0</v>
      </c>
      <c r="B115" s="10" t="s">
        <v>505</v>
      </c>
      <c r="C115" s="10" t="s">
        <v>506</v>
      </c>
      <c r="D115" s="10" t="s">
        <v>494</v>
      </c>
      <c r="E115" s="10" t="s">
        <v>24</v>
      </c>
      <c r="F115" s="10">
        <v>2.22</v>
      </c>
      <c r="G115" s="122">
        <v>3.02</v>
      </c>
      <c r="H115" s="122">
        <v>3.5</v>
      </c>
      <c r="I115" s="10">
        <v>5.96</v>
      </c>
      <c r="J115" s="124" t="s">
        <v>17</v>
      </c>
      <c r="K115" s="6">
        <v>1.0</v>
      </c>
    </row>
    <row r="116" ht="14.25" customHeight="1">
      <c r="A116" s="8">
        <v>9.0</v>
      </c>
      <c r="B116" s="10" t="s">
        <v>507</v>
      </c>
      <c r="C116" s="10" t="s">
        <v>493</v>
      </c>
      <c r="D116" s="10" t="s">
        <v>494</v>
      </c>
      <c r="E116" s="10" t="s">
        <v>24</v>
      </c>
      <c r="F116" s="10">
        <v>1.93</v>
      </c>
      <c r="G116" s="122">
        <v>1.97</v>
      </c>
      <c r="H116" s="122">
        <v>1.39</v>
      </c>
      <c r="I116" s="125" t="s">
        <v>37</v>
      </c>
      <c r="J116" s="126" t="s">
        <v>343</v>
      </c>
      <c r="M116" s="6">
        <v>1.0</v>
      </c>
    </row>
    <row r="117" ht="14.25" customHeight="1">
      <c r="A117" s="8">
        <v>10.0</v>
      </c>
      <c r="B117" s="10" t="s">
        <v>508</v>
      </c>
      <c r="C117" s="10" t="s">
        <v>509</v>
      </c>
      <c r="D117" s="10" t="s">
        <v>494</v>
      </c>
      <c r="E117" s="10" t="s">
        <v>24</v>
      </c>
      <c r="F117" s="10">
        <v>2.41</v>
      </c>
      <c r="G117" s="122">
        <v>3.41</v>
      </c>
      <c r="H117" s="122">
        <v>2.28</v>
      </c>
      <c r="I117" s="10">
        <v>5.89</v>
      </c>
      <c r="J117" s="124" t="s">
        <v>17</v>
      </c>
      <c r="K117" s="6">
        <v>1.0</v>
      </c>
    </row>
    <row r="118" ht="14.25" customHeight="1">
      <c r="A118" s="8">
        <v>11.0</v>
      </c>
      <c r="B118" s="10" t="s">
        <v>510</v>
      </c>
      <c r="C118" s="10" t="s">
        <v>493</v>
      </c>
      <c r="D118" s="10" t="s">
        <v>494</v>
      </c>
      <c r="E118" s="10" t="s">
        <v>24</v>
      </c>
      <c r="F118" s="10">
        <v>2.12</v>
      </c>
      <c r="G118" s="122">
        <v>3.11</v>
      </c>
      <c r="H118" s="122">
        <v>2.6</v>
      </c>
      <c r="I118" s="10">
        <v>4.07</v>
      </c>
      <c r="J118" s="12" t="s">
        <v>495</v>
      </c>
      <c r="L118" s="6">
        <v>1.0</v>
      </c>
    </row>
    <row r="119" ht="14.25" customHeight="1">
      <c r="A119" s="8">
        <v>12.0</v>
      </c>
      <c r="B119" s="10" t="s">
        <v>511</v>
      </c>
      <c r="C119" s="10" t="s">
        <v>493</v>
      </c>
      <c r="D119" s="10" t="s">
        <v>494</v>
      </c>
      <c r="E119" s="10" t="s">
        <v>24</v>
      </c>
      <c r="F119" s="10">
        <v>4.0</v>
      </c>
      <c r="G119" s="122">
        <v>5.58</v>
      </c>
      <c r="H119" s="122">
        <v>7.03</v>
      </c>
      <c r="I119" s="10">
        <v>7.39</v>
      </c>
      <c r="J119" s="124" t="s">
        <v>17</v>
      </c>
      <c r="K119" s="6">
        <v>1.0</v>
      </c>
    </row>
    <row r="120" ht="14.25" customHeight="1">
      <c r="A120" s="8">
        <v>13.0</v>
      </c>
      <c r="B120" s="10" t="s">
        <v>512</v>
      </c>
      <c r="C120" s="10" t="s">
        <v>493</v>
      </c>
      <c r="D120" s="10" t="s">
        <v>494</v>
      </c>
      <c r="E120" s="10" t="s">
        <v>24</v>
      </c>
      <c r="F120" s="10">
        <v>3.41</v>
      </c>
      <c r="G120" s="122">
        <v>3.05</v>
      </c>
      <c r="H120" s="122">
        <v>2.28</v>
      </c>
      <c r="I120" s="10">
        <v>5.11</v>
      </c>
      <c r="J120" s="124" t="s">
        <v>17</v>
      </c>
      <c r="K120" s="6">
        <v>1.0</v>
      </c>
    </row>
    <row r="121" ht="14.25" customHeight="1">
      <c r="A121" s="8">
        <v>14.0</v>
      </c>
      <c r="B121" s="10" t="s">
        <v>513</v>
      </c>
      <c r="C121" s="10" t="s">
        <v>493</v>
      </c>
      <c r="D121" s="10" t="s">
        <v>494</v>
      </c>
      <c r="E121" s="10" t="s">
        <v>24</v>
      </c>
      <c r="F121" s="10">
        <v>1.8</v>
      </c>
      <c r="G121" s="122">
        <v>2.17</v>
      </c>
      <c r="H121" s="122">
        <v>2.17</v>
      </c>
      <c r="I121" s="10">
        <v>5.71</v>
      </c>
      <c r="J121" s="124" t="s">
        <v>17</v>
      </c>
      <c r="K121" s="6">
        <v>1.0</v>
      </c>
    </row>
    <row r="122" ht="14.25" customHeight="1">
      <c r="A122" s="8">
        <v>15.0</v>
      </c>
      <c r="B122" s="10" t="s">
        <v>514</v>
      </c>
      <c r="C122" s="10" t="s">
        <v>493</v>
      </c>
      <c r="D122" s="10" t="s">
        <v>494</v>
      </c>
      <c r="E122" s="10" t="s">
        <v>24</v>
      </c>
      <c r="F122" s="10">
        <v>1.96</v>
      </c>
      <c r="G122" s="122">
        <v>2.2</v>
      </c>
      <c r="H122" s="122">
        <v>1.92</v>
      </c>
      <c r="I122" s="10">
        <v>5.07</v>
      </c>
      <c r="J122" s="127" t="s">
        <v>495</v>
      </c>
      <c r="L122" s="6">
        <v>1.0</v>
      </c>
    </row>
    <row r="123" ht="14.25" customHeight="1">
      <c r="A123" s="8">
        <v>16.0</v>
      </c>
      <c r="B123" s="10" t="s">
        <v>515</v>
      </c>
      <c r="C123" s="10" t="s">
        <v>493</v>
      </c>
      <c r="D123" s="10" t="s">
        <v>494</v>
      </c>
      <c r="E123" s="10" t="s">
        <v>24</v>
      </c>
      <c r="F123" s="10">
        <v>3.06</v>
      </c>
      <c r="G123" s="122">
        <v>5.58</v>
      </c>
      <c r="H123" s="122">
        <v>2.85</v>
      </c>
      <c r="I123" s="10">
        <v>7.79</v>
      </c>
      <c r="J123" s="124" t="s">
        <v>17</v>
      </c>
      <c r="K123" s="6">
        <v>1.0</v>
      </c>
    </row>
    <row r="124" ht="14.25" customHeight="1">
      <c r="A124" s="8">
        <v>17.0</v>
      </c>
      <c r="B124" s="10" t="s">
        <v>516</v>
      </c>
      <c r="C124" s="10" t="s">
        <v>493</v>
      </c>
      <c r="D124" s="10" t="s">
        <v>494</v>
      </c>
      <c r="E124" s="10" t="s">
        <v>24</v>
      </c>
      <c r="F124" s="10">
        <v>2.58</v>
      </c>
      <c r="G124" s="122">
        <v>3.29</v>
      </c>
      <c r="H124" s="122">
        <v>3.35</v>
      </c>
      <c r="I124" s="10">
        <v>4.71</v>
      </c>
      <c r="J124" s="124" t="s">
        <v>17</v>
      </c>
      <c r="K124" s="6">
        <v>1.0</v>
      </c>
    </row>
    <row r="125" ht="14.25" customHeight="1">
      <c r="A125" s="8">
        <v>18.0</v>
      </c>
      <c r="B125" s="10" t="s">
        <v>517</v>
      </c>
      <c r="C125" s="10" t="s">
        <v>493</v>
      </c>
      <c r="D125" s="10" t="s">
        <v>494</v>
      </c>
      <c r="E125" s="10" t="s">
        <v>24</v>
      </c>
      <c r="F125" s="10">
        <v>2.16</v>
      </c>
      <c r="G125" s="122">
        <v>3.17</v>
      </c>
      <c r="H125" s="122">
        <v>3.92</v>
      </c>
      <c r="I125" s="10">
        <v>3.85</v>
      </c>
      <c r="J125" s="124" t="s">
        <v>495</v>
      </c>
      <c r="L125" s="6">
        <v>1.0</v>
      </c>
    </row>
    <row r="126" ht="14.25" customHeight="1">
      <c r="A126" s="8">
        <v>19.0</v>
      </c>
      <c r="B126" s="10" t="s">
        <v>518</v>
      </c>
      <c r="C126" s="10" t="s">
        <v>493</v>
      </c>
      <c r="D126" s="10" t="s">
        <v>494</v>
      </c>
      <c r="E126" s="10" t="s">
        <v>24</v>
      </c>
      <c r="F126" s="10">
        <v>2.64</v>
      </c>
      <c r="G126" s="122">
        <v>2.26</v>
      </c>
      <c r="H126" s="122">
        <v>2.75</v>
      </c>
      <c r="I126" s="10">
        <v>7.07</v>
      </c>
      <c r="J126" s="124" t="s">
        <v>17</v>
      </c>
      <c r="K126" s="6">
        <v>1.0</v>
      </c>
    </row>
    <row r="127" ht="14.25" customHeight="1">
      <c r="A127" s="8">
        <v>20.0</v>
      </c>
      <c r="B127" s="10" t="s">
        <v>519</v>
      </c>
      <c r="C127" s="10" t="s">
        <v>520</v>
      </c>
      <c r="D127" s="10" t="s">
        <v>494</v>
      </c>
      <c r="E127" s="10" t="s">
        <v>24</v>
      </c>
      <c r="F127" s="10">
        <v>5.41</v>
      </c>
      <c r="G127" s="122">
        <v>6.02</v>
      </c>
      <c r="H127" s="122">
        <v>5.0</v>
      </c>
      <c r="I127" s="10">
        <v>7.04</v>
      </c>
      <c r="J127" s="124" t="s">
        <v>17</v>
      </c>
      <c r="K127" s="6">
        <v>1.0</v>
      </c>
    </row>
    <row r="128" ht="14.25" customHeight="1">
      <c r="A128" s="8">
        <v>21.0</v>
      </c>
      <c r="B128" s="10" t="s">
        <v>521</v>
      </c>
      <c r="C128" s="10" t="s">
        <v>522</v>
      </c>
      <c r="D128" s="10" t="s">
        <v>494</v>
      </c>
      <c r="E128" s="10" t="s">
        <v>24</v>
      </c>
      <c r="F128" s="10">
        <v>5.67</v>
      </c>
      <c r="G128" s="122">
        <v>4.47</v>
      </c>
      <c r="H128" s="122">
        <v>4.25</v>
      </c>
      <c r="I128" s="10">
        <v>4.11</v>
      </c>
      <c r="J128" s="12" t="s">
        <v>495</v>
      </c>
      <c r="L128" s="6">
        <v>1.0</v>
      </c>
    </row>
    <row r="129" ht="14.25" customHeight="1">
      <c r="A129" s="8">
        <v>22.0</v>
      </c>
      <c r="B129" s="10" t="s">
        <v>523</v>
      </c>
      <c r="C129" s="10" t="s">
        <v>522</v>
      </c>
      <c r="D129" s="10" t="s">
        <v>494</v>
      </c>
      <c r="E129" s="10" t="s">
        <v>24</v>
      </c>
      <c r="F129" s="10">
        <v>4.99</v>
      </c>
      <c r="G129" s="122">
        <v>6.35</v>
      </c>
      <c r="H129" s="122">
        <v>4.1</v>
      </c>
      <c r="I129" s="10">
        <v>3.57</v>
      </c>
      <c r="J129" s="12" t="s">
        <v>495</v>
      </c>
      <c r="L129" s="6">
        <v>1.0</v>
      </c>
    </row>
    <row r="130" ht="14.25" customHeight="1">
      <c r="A130" s="8">
        <v>23.0</v>
      </c>
      <c r="B130" s="10" t="s">
        <v>524</v>
      </c>
      <c r="C130" s="10" t="s">
        <v>525</v>
      </c>
      <c r="D130" s="10" t="s">
        <v>494</v>
      </c>
      <c r="E130" s="10" t="s">
        <v>24</v>
      </c>
      <c r="F130" s="10">
        <v>3.64</v>
      </c>
      <c r="G130" s="122">
        <v>3.2</v>
      </c>
      <c r="H130" s="122">
        <v>2.78</v>
      </c>
      <c r="I130" s="10">
        <v>4.18</v>
      </c>
      <c r="J130" s="124" t="s">
        <v>17</v>
      </c>
      <c r="K130" s="6">
        <v>1.0</v>
      </c>
    </row>
    <row r="131" ht="14.25" customHeight="1">
      <c r="A131" s="8">
        <v>24.0</v>
      </c>
      <c r="B131" s="10" t="s">
        <v>526</v>
      </c>
      <c r="C131" s="10" t="s">
        <v>522</v>
      </c>
      <c r="D131" s="10" t="s">
        <v>494</v>
      </c>
      <c r="E131" s="10" t="s">
        <v>24</v>
      </c>
      <c r="F131" s="10">
        <v>3.06</v>
      </c>
      <c r="G131" s="122">
        <v>5.2</v>
      </c>
      <c r="H131" s="122">
        <v>4.35</v>
      </c>
      <c r="I131" s="10">
        <v>5.79</v>
      </c>
      <c r="J131" s="124" t="s">
        <v>17</v>
      </c>
      <c r="K131" s="6">
        <v>1.0</v>
      </c>
    </row>
    <row r="132" ht="14.25" customHeight="1">
      <c r="A132" s="8">
        <v>25.0</v>
      </c>
      <c r="B132" s="10" t="s">
        <v>527</v>
      </c>
      <c r="C132" s="10" t="s">
        <v>522</v>
      </c>
      <c r="D132" s="10" t="s">
        <v>494</v>
      </c>
      <c r="E132" s="10" t="s">
        <v>24</v>
      </c>
      <c r="F132" s="10">
        <v>3.48</v>
      </c>
      <c r="G132" s="122">
        <v>3.73</v>
      </c>
      <c r="H132" s="122">
        <v>3.35</v>
      </c>
      <c r="I132" s="10">
        <v>3.93</v>
      </c>
      <c r="J132" s="127" t="s">
        <v>495</v>
      </c>
      <c r="L132" s="6">
        <v>1.0</v>
      </c>
    </row>
    <row r="133" ht="14.25" customHeight="1">
      <c r="A133" s="8">
        <v>26.0</v>
      </c>
      <c r="B133" s="10" t="s">
        <v>528</v>
      </c>
      <c r="C133" s="10" t="s">
        <v>529</v>
      </c>
      <c r="D133" s="10" t="s">
        <v>494</v>
      </c>
      <c r="E133" s="10" t="s">
        <v>24</v>
      </c>
      <c r="F133" s="10">
        <v>4.48</v>
      </c>
      <c r="G133" s="122">
        <v>3.23</v>
      </c>
      <c r="H133" s="122">
        <v>3.71</v>
      </c>
      <c r="I133" s="10">
        <v>5.61</v>
      </c>
      <c r="J133" s="124" t="s">
        <v>17</v>
      </c>
      <c r="K133" s="6">
        <v>1.0</v>
      </c>
    </row>
    <row r="134" ht="14.25" customHeight="1">
      <c r="A134" s="8">
        <v>27.0</v>
      </c>
      <c r="B134" s="10" t="s">
        <v>530</v>
      </c>
      <c r="C134" s="10" t="s">
        <v>522</v>
      </c>
      <c r="D134" s="10" t="s">
        <v>494</v>
      </c>
      <c r="E134" s="10" t="s">
        <v>24</v>
      </c>
      <c r="F134" s="10">
        <v>4.48</v>
      </c>
      <c r="G134" s="122">
        <v>5.0</v>
      </c>
      <c r="H134" s="122">
        <v>4.46</v>
      </c>
      <c r="I134" s="10" t="s">
        <v>531</v>
      </c>
      <c r="J134" s="124" t="s">
        <v>17</v>
      </c>
      <c r="K134" s="6">
        <v>1.0</v>
      </c>
    </row>
    <row r="135" ht="14.25" customHeight="1">
      <c r="A135" s="8">
        <v>28.0</v>
      </c>
      <c r="B135" s="10" t="s">
        <v>532</v>
      </c>
      <c r="C135" s="10" t="s">
        <v>522</v>
      </c>
      <c r="D135" s="10" t="s">
        <v>494</v>
      </c>
      <c r="E135" s="10" t="s">
        <v>24</v>
      </c>
      <c r="F135" s="10">
        <v>2.9</v>
      </c>
      <c r="G135" s="122">
        <v>3.7</v>
      </c>
      <c r="H135" s="122">
        <v>3.5</v>
      </c>
      <c r="I135" s="10">
        <v>4.43</v>
      </c>
      <c r="J135" s="21" t="s">
        <v>81</v>
      </c>
    </row>
    <row r="136" ht="14.25" customHeight="1">
      <c r="A136" s="8">
        <v>29.0</v>
      </c>
      <c r="B136" s="10" t="s">
        <v>533</v>
      </c>
      <c r="C136" s="10" t="s">
        <v>534</v>
      </c>
      <c r="D136" s="10" t="s">
        <v>494</v>
      </c>
      <c r="E136" s="10" t="s">
        <v>24</v>
      </c>
      <c r="F136" s="10">
        <v>4.25</v>
      </c>
      <c r="G136" s="122">
        <v>4.23</v>
      </c>
      <c r="H136" s="122">
        <v>2.82</v>
      </c>
      <c r="I136" s="10">
        <v>4.39</v>
      </c>
      <c r="J136" s="128" t="s">
        <v>81</v>
      </c>
    </row>
    <row r="137" ht="14.25" customHeight="1">
      <c r="A137" s="8">
        <v>30.0</v>
      </c>
      <c r="B137" s="10" t="s">
        <v>535</v>
      </c>
      <c r="C137" s="10" t="s">
        <v>522</v>
      </c>
      <c r="D137" s="10" t="s">
        <v>494</v>
      </c>
      <c r="E137" s="10" t="s">
        <v>24</v>
      </c>
      <c r="F137" s="10">
        <v>1.83</v>
      </c>
      <c r="G137" s="122">
        <v>0.0</v>
      </c>
      <c r="H137" s="122">
        <v>0.0</v>
      </c>
      <c r="I137" s="10" t="s">
        <v>106</v>
      </c>
      <c r="J137" s="126" t="s">
        <v>343</v>
      </c>
      <c r="M137" s="6">
        <v>1.0</v>
      </c>
    </row>
    <row r="138" ht="14.25" customHeight="1">
      <c r="A138" s="8">
        <v>31.0</v>
      </c>
      <c r="B138" s="10" t="s">
        <v>536</v>
      </c>
      <c r="C138" s="10" t="s">
        <v>522</v>
      </c>
      <c r="D138" s="10" t="s">
        <v>494</v>
      </c>
      <c r="E138" s="10" t="s">
        <v>24</v>
      </c>
      <c r="F138" s="10">
        <v>4.54</v>
      </c>
      <c r="G138" s="122">
        <v>0.0</v>
      </c>
      <c r="H138" s="122">
        <v>0.0</v>
      </c>
      <c r="I138" s="10" t="s">
        <v>106</v>
      </c>
      <c r="J138" s="126" t="s">
        <v>343</v>
      </c>
      <c r="M138" s="6">
        <v>1.0</v>
      </c>
    </row>
    <row r="139" ht="14.25" customHeight="1">
      <c r="A139" s="129"/>
      <c r="K139" s="16">
        <f t="shared" ref="K139:M139" si="4">SUM(K108:K138)</f>
        <v>13</v>
      </c>
      <c r="L139" s="16">
        <f t="shared" si="4"/>
        <v>13</v>
      </c>
      <c r="M139" s="16">
        <f t="shared" si="4"/>
        <v>3</v>
      </c>
    </row>
    <row r="140" ht="14.25" customHeight="1">
      <c r="A140" s="129"/>
      <c r="K140" s="17">
        <f>K139/A138</f>
        <v>0.4193548387</v>
      </c>
      <c r="L140" s="17">
        <f>L139/A138</f>
        <v>0.4193548387</v>
      </c>
      <c r="M140" s="17">
        <f>M139/A138</f>
        <v>0.09677419355</v>
      </c>
    </row>
    <row r="141" ht="14.25" customHeight="1">
      <c r="A141" s="129"/>
    </row>
    <row r="142" ht="14.25" customHeight="1">
      <c r="A142" s="129"/>
      <c r="B142" s="130" t="s">
        <v>537</v>
      </c>
    </row>
    <row r="143" ht="14.25" customHeight="1">
      <c r="A143" s="131">
        <v>1.0</v>
      </c>
      <c r="B143" s="132" t="s">
        <v>538</v>
      </c>
      <c r="C143" s="133" t="s">
        <v>539</v>
      </c>
      <c r="D143" s="133" t="s">
        <v>540</v>
      </c>
      <c r="E143" s="134" t="s">
        <v>24</v>
      </c>
      <c r="F143" s="135">
        <v>3.07</v>
      </c>
      <c r="G143" s="135">
        <v>4.07</v>
      </c>
      <c r="H143" s="135">
        <v>4.0</v>
      </c>
      <c r="I143" s="60">
        <v>3.45</v>
      </c>
      <c r="J143" s="136" t="s">
        <v>18</v>
      </c>
      <c r="K143" s="137"/>
      <c r="L143" s="6">
        <v>1.0</v>
      </c>
    </row>
    <row r="144" ht="14.25" customHeight="1">
      <c r="A144" s="131">
        <v>2.0</v>
      </c>
      <c r="B144" s="138" t="s">
        <v>541</v>
      </c>
      <c r="C144" s="139" t="s">
        <v>542</v>
      </c>
      <c r="D144" s="139" t="s">
        <v>540</v>
      </c>
      <c r="E144" s="140" t="s">
        <v>24</v>
      </c>
      <c r="F144" s="112">
        <v>4.1</v>
      </c>
      <c r="G144" s="112">
        <v>3.1</v>
      </c>
      <c r="H144" s="112">
        <v>3.25</v>
      </c>
      <c r="I144" s="57">
        <v>4.15</v>
      </c>
      <c r="J144" s="136" t="s">
        <v>18</v>
      </c>
      <c r="L144" s="6">
        <v>1.0</v>
      </c>
    </row>
    <row r="145" ht="14.25" customHeight="1">
      <c r="A145" s="131">
        <v>3.0</v>
      </c>
      <c r="B145" s="138" t="s">
        <v>543</v>
      </c>
      <c r="C145" s="139" t="s">
        <v>539</v>
      </c>
      <c r="D145" s="139" t="s">
        <v>540</v>
      </c>
      <c r="E145" s="140" t="s">
        <v>24</v>
      </c>
      <c r="F145" s="112">
        <v>5.96</v>
      </c>
      <c r="G145" s="112">
        <v>5.96</v>
      </c>
      <c r="H145" s="112">
        <v>6.75</v>
      </c>
      <c r="I145" s="57">
        <v>6.22</v>
      </c>
      <c r="J145" s="39" t="s">
        <v>17</v>
      </c>
      <c r="K145" s="6">
        <v>1.0</v>
      </c>
    </row>
    <row r="146" ht="14.25" customHeight="1">
      <c r="A146" s="131">
        <v>4.0</v>
      </c>
      <c r="B146" s="138" t="s">
        <v>544</v>
      </c>
      <c r="C146" s="139" t="s">
        <v>539</v>
      </c>
      <c r="D146" s="139" t="s">
        <v>540</v>
      </c>
      <c r="E146" s="140" t="s">
        <v>24</v>
      </c>
      <c r="F146" s="112">
        <v>3.42</v>
      </c>
      <c r="G146" s="112">
        <v>2.42</v>
      </c>
      <c r="H146" s="112">
        <v>3.25</v>
      </c>
      <c r="I146" s="141">
        <v>4.03</v>
      </c>
      <c r="J146" s="136" t="s">
        <v>18</v>
      </c>
      <c r="L146" s="6">
        <v>1.0</v>
      </c>
    </row>
    <row r="147" ht="14.25" customHeight="1">
      <c r="A147" s="131">
        <v>5.0</v>
      </c>
      <c r="B147" s="138" t="s">
        <v>545</v>
      </c>
      <c r="C147" s="139" t="s">
        <v>546</v>
      </c>
      <c r="D147" s="139" t="s">
        <v>540</v>
      </c>
      <c r="E147" s="140" t="s">
        <v>24</v>
      </c>
      <c r="F147" s="112">
        <v>2.71</v>
      </c>
      <c r="G147" s="112">
        <v>3.0</v>
      </c>
      <c r="H147" s="112">
        <v>4.0</v>
      </c>
      <c r="I147" s="141">
        <v>3.9</v>
      </c>
      <c r="J147" s="136" t="s">
        <v>18</v>
      </c>
      <c r="L147" s="6">
        <v>1.0</v>
      </c>
    </row>
    <row r="148" ht="14.25" customHeight="1">
      <c r="A148" s="131">
        <v>6.0</v>
      </c>
      <c r="B148" s="138" t="s">
        <v>547</v>
      </c>
      <c r="C148" s="139" t="s">
        <v>539</v>
      </c>
      <c r="D148" s="139" t="s">
        <v>540</v>
      </c>
      <c r="E148" s="140" t="s">
        <v>24</v>
      </c>
      <c r="F148" s="112">
        <v>4.46</v>
      </c>
      <c r="G148" s="112">
        <v>5.0</v>
      </c>
      <c r="H148" s="112">
        <v>5.25</v>
      </c>
      <c r="I148" s="141">
        <v>4.98</v>
      </c>
      <c r="J148" s="39" t="s">
        <v>17</v>
      </c>
      <c r="K148" s="6">
        <v>1.0</v>
      </c>
    </row>
    <row r="149" ht="14.25" customHeight="1">
      <c r="A149" s="131">
        <v>7.0</v>
      </c>
      <c r="B149" s="138" t="s">
        <v>548</v>
      </c>
      <c r="C149" s="139" t="s">
        <v>546</v>
      </c>
      <c r="D149" s="139" t="s">
        <v>540</v>
      </c>
      <c r="E149" s="140" t="s">
        <v>24</v>
      </c>
      <c r="F149" s="112">
        <v>6.03</v>
      </c>
      <c r="G149" s="112">
        <v>4.44</v>
      </c>
      <c r="H149" s="112">
        <v>5.0</v>
      </c>
      <c r="I149" s="141">
        <v>4.34</v>
      </c>
      <c r="J149" s="42" t="s">
        <v>18</v>
      </c>
      <c r="L149" s="6">
        <v>1.0</v>
      </c>
    </row>
    <row r="150" ht="14.25" customHeight="1">
      <c r="A150" s="131">
        <v>8.0</v>
      </c>
      <c r="B150" s="138" t="s">
        <v>549</v>
      </c>
      <c r="C150" s="139" t="s">
        <v>550</v>
      </c>
      <c r="D150" s="139" t="s">
        <v>540</v>
      </c>
      <c r="E150" s="140" t="s">
        <v>24</v>
      </c>
      <c r="F150" s="112">
        <v>4.26</v>
      </c>
      <c r="G150" s="112">
        <v>5.0</v>
      </c>
      <c r="H150" s="112" t="s">
        <v>551</v>
      </c>
      <c r="I150" s="141">
        <v>4.75</v>
      </c>
      <c r="J150" s="39" t="s">
        <v>17</v>
      </c>
      <c r="K150" s="6">
        <v>1.0</v>
      </c>
    </row>
    <row r="151" ht="14.25" customHeight="1">
      <c r="A151" s="142">
        <v>9.0</v>
      </c>
      <c r="B151" s="138" t="s">
        <v>552</v>
      </c>
      <c r="C151" s="139" t="s">
        <v>539</v>
      </c>
      <c r="D151" s="139" t="s">
        <v>540</v>
      </c>
      <c r="E151" s="140" t="s">
        <v>24</v>
      </c>
      <c r="F151" s="112">
        <v>6.64</v>
      </c>
      <c r="G151" s="112">
        <v>4.0</v>
      </c>
      <c r="H151" s="112">
        <v>5.44</v>
      </c>
      <c r="I151" s="141">
        <v>5.21</v>
      </c>
      <c r="J151" s="39" t="s">
        <v>17</v>
      </c>
      <c r="K151" s="6">
        <v>1.0</v>
      </c>
    </row>
    <row r="152" ht="14.25" customHeight="1">
      <c r="A152" s="131">
        <v>10.0</v>
      </c>
      <c r="B152" s="138" t="s">
        <v>553</v>
      </c>
      <c r="C152" s="139" t="s">
        <v>546</v>
      </c>
      <c r="D152" s="139" t="s">
        <v>540</v>
      </c>
      <c r="E152" s="140" t="s">
        <v>24</v>
      </c>
      <c r="F152" s="112">
        <v>2.0</v>
      </c>
      <c r="G152" s="112">
        <v>2.25</v>
      </c>
      <c r="H152" s="112">
        <v>3.15</v>
      </c>
      <c r="I152" s="141">
        <v>2.13</v>
      </c>
      <c r="J152" s="136" t="s">
        <v>18</v>
      </c>
      <c r="L152" s="6">
        <v>1.0</v>
      </c>
    </row>
    <row r="153" ht="14.25" customHeight="1">
      <c r="A153" s="131">
        <v>11.0</v>
      </c>
      <c r="B153" s="138" t="s">
        <v>554</v>
      </c>
      <c r="C153" s="139" t="s">
        <v>555</v>
      </c>
      <c r="D153" s="139" t="s">
        <v>540</v>
      </c>
      <c r="E153" s="140" t="s">
        <v>24</v>
      </c>
      <c r="F153" s="112">
        <v>1.28</v>
      </c>
      <c r="G153" s="112">
        <v>3.2</v>
      </c>
      <c r="H153" s="112">
        <v>4.3</v>
      </c>
      <c r="I153" s="141">
        <v>4.26</v>
      </c>
      <c r="J153" s="136" t="s">
        <v>18</v>
      </c>
      <c r="L153" s="6">
        <v>1.0</v>
      </c>
    </row>
    <row r="154" ht="14.25" customHeight="1">
      <c r="A154" s="131">
        <v>12.0</v>
      </c>
      <c r="B154" s="138" t="s">
        <v>556</v>
      </c>
      <c r="C154" s="139" t="s">
        <v>539</v>
      </c>
      <c r="D154" s="139" t="s">
        <v>540</v>
      </c>
      <c r="E154" s="140" t="s">
        <v>24</v>
      </c>
      <c r="F154" s="112">
        <v>5.78</v>
      </c>
      <c r="G154" s="112">
        <v>4.5</v>
      </c>
      <c r="H154" s="112">
        <v>5.0</v>
      </c>
      <c r="I154" s="141">
        <v>5.09</v>
      </c>
      <c r="J154" s="39" t="s">
        <v>17</v>
      </c>
      <c r="K154" s="6">
        <v>1.0</v>
      </c>
    </row>
    <row r="155" ht="14.25" customHeight="1">
      <c r="A155" s="131">
        <v>13.0</v>
      </c>
      <c r="B155" s="138" t="s">
        <v>557</v>
      </c>
      <c r="C155" s="139" t="s">
        <v>546</v>
      </c>
      <c r="D155" s="139" t="s">
        <v>540</v>
      </c>
      <c r="E155" s="140" t="s">
        <v>24</v>
      </c>
      <c r="F155" s="112">
        <v>2.85</v>
      </c>
      <c r="G155" s="112">
        <v>3.0</v>
      </c>
      <c r="H155" s="112">
        <v>4.85</v>
      </c>
      <c r="I155" s="141">
        <v>4.09</v>
      </c>
      <c r="J155" s="136" t="s">
        <v>18</v>
      </c>
      <c r="L155" s="6">
        <v>1.0</v>
      </c>
    </row>
    <row r="156" ht="14.25" customHeight="1">
      <c r="A156" s="143">
        <v>14.0</v>
      </c>
      <c r="B156" s="144" t="s">
        <v>558</v>
      </c>
      <c r="C156" s="18" t="s">
        <v>559</v>
      </c>
      <c r="D156" s="139" t="s">
        <v>540</v>
      </c>
      <c r="E156" s="140" t="s">
        <v>24</v>
      </c>
      <c r="F156" s="145">
        <v>1.44</v>
      </c>
      <c r="G156" s="145">
        <v>3.87</v>
      </c>
      <c r="H156" s="145">
        <v>3.1</v>
      </c>
      <c r="I156" s="145" t="s">
        <v>37</v>
      </c>
      <c r="J156" s="146" t="s">
        <v>343</v>
      </c>
      <c r="M156" s="6">
        <v>1.0</v>
      </c>
    </row>
    <row r="157" ht="14.25" customHeight="1">
      <c r="A157" s="131">
        <v>15.0</v>
      </c>
      <c r="B157" s="132" t="s">
        <v>560</v>
      </c>
      <c r="C157" s="133" t="s">
        <v>539</v>
      </c>
      <c r="D157" s="133" t="s">
        <v>540</v>
      </c>
      <c r="E157" s="140" t="s">
        <v>24</v>
      </c>
      <c r="F157" s="135">
        <v>4.67</v>
      </c>
      <c r="G157" s="135">
        <v>5.0</v>
      </c>
      <c r="H157" s="135">
        <v>4.26</v>
      </c>
      <c r="I157" s="135">
        <v>4.64</v>
      </c>
      <c r="J157" s="39" t="s">
        <v>17</v>
      </c>
      <c r="K157" s="6">
        <v>1.0</v>
      </c>
    </row>
    <row r="158" ht="14.25" customHeight="1">
      <c r="A158" s="131">
        <v>16.0</v>
      </c>
      <c r="B158" s="132" t="s">
        <v>561</v>
      </c>
      <c r="C158" s="139" t="s">
        <v>546</v>
      </c>
      <c r="D158" s="133" t="s">
        <v>540</v>
      </c>
      <c r="E158" s="140" t="s">
        <v>24</v>
      </c>
      <c r="F158" s="147">
        <v>3.0</v>
      </c>
      <c r="G158" s="147">
        <v>4.44</v>
      </c>
      <c r="H158" s="147">
        <v>5.05</v>
      </c>
      <c r="I158" s="147">
        <v>5.44</v>
      </c>
      <c r="J158" s="39" t="s">
        <v>17</v>
      </c>
      <c r="K158" s="6">
        <v>1.0</v>
      </c>
    </row>
    <row r="159" ht="14.25" customHeight="1">
      <c r="A159" s="131">
        <v>17.0</v>
      </c>
      <c r="B159" s="132" t="s">
        <v>562</v>
      </c>
      <c r="C159" s="139" t="s">
        <v>539</v>
      </c>
      <c r="D159" s="133" t="s">
        <v>540</v>
      </c>
      <c r="E159" s="140" t="s">
        <v>24</v>
      </c>
      <c r="F159" s="147">
        <v>4.5</v>
      </c>
      <c r="G159" s="147">
        <v>5.5</v>
      </c>
      <c r="H159" s="147">
        <v>4.98</v>
      </c>
      <c r="I159" s="147">
        <v>3.79</v>
      </c>
      <c r="J159" s="42" t="s">
        <v>18</v>
      </c>
      <c r="L159" s="6">
        <v>1.0</v>
      </c>
    </row>
    <row r="160" ht="14.25" customHeight="1">
      <c r="A160" s="131">
        <v>18.0</v>
      </c>
      <c r="B160" s="132" t="s">
        <v>563</v>
      </c>
      <c r="C160" s="139" t="s">
        <v>546</v>
      </c>
      <c r="D160" s="133" t="s">
        <v>540</v>
      </c>
      <c r="E160" s="140" t="s">
        <v>24</v>
      </c>
      <c r="F160" s="147">
        <v>5.0</v>
      </c>
      <c r="G160" s="147">
        <v>4.55</v>
      </c>
      <c r="H160" s="147">
        <v>5.0</v>
      </c>
      <c r="I160" s="147">
        <v>5.68</v>
      </c>
      <c r="J160" s="39" t="s">
        <v>17</v>
      </c>
      <c r="K160" s="6">
        <v>1.0</v>
      </c>
    </row>
    <row r="161" ht="14.25" customHeight="1">
      <c r="A161" s="131">
        <v>19.0</v>
      </c>
      <c r="B161" s="132" t="s">
        <v>564</v>
      </c>
      <c r="C161" s="139" t="s">
        <v>539</v>
      </c>
      <c r="D161" s="133" t="s">
        <v>540</v>
      </c>
      <c r="E161" s="140" t="s">
        <v>24</v>
      </c>
      <c r="F161" s="147">
        <v>1.33</v>
      </c>
      <c r="G161" s="147">
        <v>3.33</v>
      </c>
      <c r="H161" s="147">
        <v>2.55</v>
      </c>
      <c r="I161" s="147">
        <v>2.0</v>
      </c>
      <c r="J161" s="136" t="s">
        <v>18</v>
      </c>
      <c r="L161" s="6">
        <v>1.0</v>
      </c>
    </row>
    <row r="162" ht="14.25" customHeight="1">
      <c r="A162" s="131">
        <v>20.0</v>
      </c>
      <c r="B162" s="132" t="s">
        <v>565</v>
      </c>
      <c r="C162" s="139" t="s">
        <v>542</v>
      </c>
      <c r="D162" s="133" t="s">
        <v>540</v>
      </c>
      <c r="E162" s="140" t="s">
        <v>24</v>
      </c>
      <c r="F162" s="147">
        <v>2.0</v>
      </c>
      <c r="G162" s="147">
        <v>2.44</v>
      </c>
      <c r="H162" s="147">
        <v>3.44</v>
      </c>
      <c r="I162" s="147">
        <v>4.33</v>
      </c>
      <c r="J162" s="136" t="s">
        <v>18</v>
      </c>
      <c r="L162" s="6">
        <v>1.0</v>
      </c>
    </row>
    <row r="163" ht="14.25" customHeight="1">
      <c r="A163" s="131">
        <v>21.0</v>
      </c>
      <c r="B163" s="132" t="s">
        <v>566</v>
      </c>
      <c r="C163" s="133" t="s">
        <v>539</v>
      </c>
      <c r="D163" s="133" t="s">
        <v>540</v>
      </c>
      <c r="E163" s="140" t="s">
        <v>24</v>
      </c>
      <c r="F163" s="147">
        <v>3.44</v>
      </c>
      <c r="G163" s="147">
        <v>2.78</v>
      </c>
      <c r="H163" s="147">
        <v>2.9</v>
      </c>
      <c r="I163" s="147">
        <v>3.68</v>
      </c>
      <c r="J163" s="136" t="s">
        <v>18</v>
      </c>
      <c r="L163" s="6">
        <v>1.0</v>
      </c>
    </row>
    <row r="164" ht="14.25" customHeight="1">
      <c r="K164" s="16">
        <f t="shared" ref="K164:M164" si="5">SUM(K143:K163)</f>
        <v>8</v>
      </c>
      <c r="L164" s="16">
        <f t="shared" si="5"/>
        <v>12</v>
      </c>
      <c r="M164" s="16">
        <f t="shared" si="5"/>
        <v>1</v>
      </c>
    </row>
    <row r="165" ht="14.25" customHeight="1">
      <c r="K165" s="17">
        <f>K164/A163</f>
        <v>0.380952381</v>
      </c>
      <c r="L165" s="17">
        <f>L164/A163</f>
        <v>0.5714285714</v>
      </c>
      <c r="M165" s="17">
        <f>M164/A163</f>
        <v>0.04761904762</v>
      </c>
    </row>
    <row r="166" ht="14.25" customHeight="1">
      <c r="N166" s="6" t="s">
        <v>567</v>
      </c>
      <c r="O166" s="6" t="s">
        <v>310</v>
      </c>
      <c r="P166" s="6" t="s">
        <v>311</v>
      </c>
      <c r="Q166" s="6" t="s">
        <v>312</v>
      </c>
      <c r="R166" s="6" t="s">
        <v>313</v>
      </c>
      <c r="S166" s="6" t="s">
        <v>314</v>
      </c>
      <c r="T166" s="6" t="s">
        <v>315</v>
      </c>
      <c r="U166" s="6" t="s">
        <v>316</v>
      </c>
    </row>
    <row r="167" ht="14.25" customHeight="1">
      <c r="O167" s="16">
        <f>A163+A138+A102+A64+A49</f>
        <v>133</v>
      </c>
      <c r="P167" s="16">
        <f t="shared" ref="P167:Q167" si="6">K164+K139+K103+K65+K50</f>
        <v>46</v>
      </c>
      <c r="Q167" s="16">
        <f t="shared" si="6"/>
        <v>62</v>
      </c>
      <c r="R167" s="16">
        <f>M164+M139+M103+M50</f>
        <v>17</v>
      </c>
      <c r="S167" s="17">
        <f>P167/O167</f>
        <v>0.3458646617</v>
      </c>
      <c r="T167" s="17">
        <f>R167/O167</f>
        <v>0.1278195489</v>
      </c>
      <c r="U167" s="17">
        <f>Q167/O167</f>
        <v>0.4661654135</v>
      </c>
    </row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A50:J50"/>
    <mergeCell ref="A106:J10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0.43"/>
    <col customWidth="1" min="3" max="3" width="15.43"/>
    <col customWidth="1" min="4" max="8" width="10.71"/>
    <col customWidth="1" min="9" max="9" width="13.43"/>
    <col customWidth="1" min="10" max="10" width="25.86"/>
    <col customWidth="1" min="11" max="11" width="7.29"/>
    <col customWidth="1" min="12" max="26" width="10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/>
    </row>
    <row r="8" ht="14.25" customHeight="1">
      <c r="A8" s="1" t="s">
        <v>568</v>
      </c>
      <c r="B8" s="26"/>
    </row>
    <row r="9" ht="14.25" customHeight="1">
      <c r="A9" s="1" t="s">
        <v>569</v>
      </c>
      <c r="B9" s="26"/>
    </row>
    <row r="10" ht="14.25" customHeight="1">
      <c r="A10" s="1"/>
      <c r="B10" s="26"/>
    </row>
    <row r="11" ht="14.25" customHeight="1">
      <c r="A11" s="106" t="s">
        <v>7</v>
      </c>
      <c r="B11" s="107" t="s">
        <v>8</v>
      </c>
      <c r="C11" s="107" t="s">
        <v>9</v>
      </c>
      <c r="D11" s="107" t="s">
        <v>10</v>
      </c>
      <c r="E11" s="107" t="s">
        <v>11</v>
      </c>
      <c r="F11" s="148" t="s">
        <v>570</v>
      </c>
      <c r="G11" s="107" t="s">
        <v>13</v>
      </c>
      <c r="H11" s="149" t="s">
        <v>14</v>
      </c>
      <c r="I11" s="150" t="s">
        <v>571</v>
      </c>
      <c r="J11" s="151" t="s">
        <v>572</v>
      </c>
      <c r="K11" s="6" t="s">
        <v>573</v>
      </c>
      <c r="L11" s="6" t="s">
        <v>18</v>
      </c>
      <c r="M11" s="6" t="s">
        <v>19</v>
      </c>
      <c r="N11" s="7" t="s">
        <v>20</v>
      </c>
    </row>
    <row r="12" ht="14.25" customHeight="1">
      <c r="A12" s="8">
        <v>1.0</v>
      </c>
      <c r="B12" s="9" t="s">
        <v>574</v>
      </c>
      <c r="C12" s="10" t="s">
        <v>575</v>
      </c>
      <c r="D12" s="10" t="s">
        <v>265</v>
      </c>
      <c r="E12" s="10" t="s">
        <v>576</v>
      </c>
      <c r="F12" s="152">
        <v>5.9</v>
      </c>
      <c r="G12" s="152">
        <v>6.27</v>
      </c>
      <c r="H12" s="153">
        <v>6.85</v>
      </c>
      <c r="I12" s="153">
        <f t="shared" ref="I12:I34" si="1">((F12+G12+H12)/3)</f>
        <v>6.34</v>
      </c>
      <c r="J12" s="140" t="s">
        <v>577</v>
      </c>
      <c r="K12" s="6">
        <v>1.0</v>
      </c>
    </row>
    <row r="13" ht="14.25" customHeight="1">
      <c r="A13" s="8">
        <v>2.0</v>
      </c>
      <c r="B13" s="9" t="s">
        <v>578</v>
      </c>
      <c r="C13" s="10" t="s">
        <v>575</v>
      </c>
      <c r="D13" s="10" t="s">
        <v>265</v>
      </c>
      <c r="E13" s="10" t="s">
        <v>576</v>
      </c>
      <c r="F13" s="152">
        <v>6.1</v>
      </c>
      <c r="G13" s="152">
        <v>5.82</v>
      </c>
      <c r="H13" s="153">
        <v>7.32</v>
      </c>
      <c r="I13" s="153">
        <f t="shared" si="1"/>
        <v>6.413333333</v>
      </c>
      <c r="J13" s="140" t="s">
        <v>577</v>
      </c>
      <c r="K13" s="6">
        <v>1.0</v>
      </c>
    </row>
    <row r="14" ht="14.25" customHeight="1">
      <c r="A14" s="8">
        <v>3.0</v>
      </c>
      <c r="B14" s="9" t="s">
        <v>579</v>
      </c>
      <c r="C14" s="10" t="s">
        <v>575</v>
      </c>
      <c r="D14" s="10" t="s">
        <v>265</v>
      </c>
      <c r="E14" s="10" t="s">
        <v>576</v>
      </c>
      <c r="F14" s="152">
        <v>6.45</v>
      </c>
      <c r="G14" s="152">
        <v>6.67</v>
      </c>
      <c r="H14" s="153">
        <v>6.8</v>
      </c>
      <c r="I14" s="153">
        <f t="shared" si="1"/>
        <v>6.64</v>
      </c>
      <c r="J14" s="140" t="s">
        <v>577</v>
      </c>
      <c r="K14" s="6">
        <v>1.0</v>
      </c>
    </row>
    <row r="15" ht="14.25" customHeight="1">
      <c r="A15" s="8">
        <v>4.0</v>
      </c>
      <c r="B15" s="9" t="s">
        <v>580</v>
      </c>
      <c r="C15" s="10" t="s">
        <v>575</v>
      </c>
      <c r="D15" s="10" t="s">
        <v>265</v>
      </c>
      <c r="E15" s="10" t="s">
        <v>576</v>
      </c>
      <c r="F15" s="152">
        <v>4.42</v>
      </c>
      <c r="G15" s="152">
        <v>5.78</v>
      </c>
      <c r="H15" s="153">
        <v>5.85</v>
      </c>
      <c r="I15" s="153">
        <f t="shared" si="1"/>
        <v>5.35</v>
      </c>
      <c r="J15" s="140" t="s">
        <v>577</v>
      </c>
      <c r="K15" s="6">
        <v>1.0</v>
      </c>
    </row>
    <row r="16" ht="14.25" customHeight="1">
      <c r="A16" s="8">
        <v>5.0</v>
      </c>
      <c r="B16" s="9" t="s">
        <v>581</v>
      </c>
      <c r="C16" s="10" t="s">
        <v>575</v>
      </c>
      <c r="D16" s="10" t="s">
        <v>265</v>
      </c>
      <c r="E16" s="10" t="s">
        <v>576</v>
      </c>
      <c r="F16" s="152">
        <v>3.83</v>
      </c>
      <c r="G16" s="152">
        <v>5.5</v>
      </c>
      <c r="H16" s="153">
        <v>5.68</v>
      </c>
      <c r="I16" s="153">
        <f t="shared" si="1"/>
        <v>5.003333333</v>
      </c>
      <c r="J16" s="140" t="s">
        <v>577</v>
      </c>
      <c r="K16" s="6">
        <v>1.0</v>
      </c>
    </row>
    <row r="17" ht="14.25" customHeight="1">
      <c r="A17" s="8">
        <v>6.0</v>
      </c>
      <c r="B17" s="9" t="s">
        <v>582</v>
      </c>
      <c r="C17" s="10" t="s">
        <v>575</v>
      </c>
      <c r="D17" s="10" t="s">
        <v>265</v>
      </c>
      <c r="E17" s="10" t="s">
        <v>576</v>
      </c>
      <c r="F17" s="152">
        <v>5.78</v>
      </c>
      <c r="G17" s="152">
        <v>6.69</v>
      </c>
      <c r="H17" s="153">
        <v>6.8</v>
      </c>
      <c r="I17" s="153">
        <f t="shared" si="1"/>
        <v>6.423333333</v>
      </c>
      <c r="J17" s="140" t="s">
        <v>577</v>
      </c>
      <c r="K17" s="6">
        <v>1.0</v>
      </c>
    </row>
    <row r="18" ht="14.25" customHeight="1">
      <c r="A18" s="8">
        <v>7.0</v>
      </c>
      <c r="B18" s="9" t="s">
        <v>583</v>
      </c>
      <c r="C18" s="10" t="s">
        <v>575</v>
      </c>
      <c r="D18" s="10" t="s">
        <v>265</v>
      </c>
      <c r="E18" s="10" t="s">
        <v>576</v>
      </c>
      <c r="F18" s="152">
        <v>3.58</v>
      </c>
      <c r="G18" s="152">
        <v>2.67</v>
      </c>
      <c r="H18" s="153">
        <v>2.83</v>
      </c>
      <c r="I18" s="153">
        <f t="shared" si="1"/>
        <v>3.026666667</v>
      </c>
      <c r="J18" s="154" t="s">
        <v>18</v>
      </c>
      <c r="L18" s="6">
        <v>1.0</v>
      </c>
    </row>
    <row r="19" ht="14.25" customHeight="1">
      <c r="A19" s="8">
        <v>8.0</v>
      </c>
      <c r="B19" s="9" t="s">
        <v>584</v>
      </c>
      <c r="C19" s="10" t="s">
        <v>575</v>
      </c>
      <c r="D19" s="10" t="s">
        <v>265</v>
      </c>
      <c r="E19" s="10" t="s">
        <v>576</v>
      </c>
      <c r="F19" s="152">
        <v>5.45</v>
      </c>
      <c r="G19" s="152">
        <v>5.85</v>
      </c>
      <c r="H19" s="153">
        <v>5.1</v>
      </c>
      <c r="I19" s="153">
        <f t="shared" si="1"/>
        <v>5.466666667</v>
      </c>
      <c r="J19" s="140" t="s">
        <v>577</v>
      </c>
      <c r="K19" s="6">
        <v>1.0</v>
      </c>
    </row>
    <row r="20" ht="14.25" customHeight="1">
      <c r="A20" s="8">
        <v>9.0</v>
      </c>
      <c r="B20" s="9" t="s">
        <v>585</v>
      </c>
      <c r="C20" s="10" t="s">
        <v>575</v>
      </c>
      <c r="D20" s="10" t="s">
        <v>265</v>
      </c>
      <c r="E20" s="10" t="s">
        <v>576</v>
      </c>
      <c r="F20" s="152">
        <v>6.0</v>
      </c>
      <c r="G20" s="152">
        <v>6.08</v>
      </c>
      <c r="H20" s="153">
        <v>6.27</v>
      </c>
      <c r="I20" s="153">
        <f t="shared" si="1"/>
        <v>6.116666667</v>
      </c>
      <c r="J20" s="140" t="s">
        <v>577</v>
      </c>
      <c r="K20" s="6">
        <v>1.0</v>
      </c>
    </row>
    <row r="21" ht="14.25" customHeight="1">
      <c r="A21" s="8">
        <v>10.0</v>
      </c>
      <c r="B21" s="9" t="s">
        <v>586</v>
      </c>
      <c r="C21" s="10" t="s">
        <v>575</v>
      </c>
      <c r="D21" s="10" t="s">
        <v>265</v>
      </c>
      <c r="E21" s="10" t="s">
        <v>576</v>
      </c>
      <c r="F21" s="152">
        <v>4.65</v>
      </c>
      <c r="G21" s="152">
        <v>4.05</v>
      </c>
      <c r="H21" s="155">
        <v>4.25</v>
      </c>
      <c r="I21" s="153">
        <f t="shared" si="1"/>
        <v>4.316666667</v>
      </c>
      <c r="J21" s="154" t="s">
        <v>18</v>
      </c>
      <c r="L21" s="6">
        <v>1.0</v>
      </c>
    </row>
    <row r="22" ht="14.25" customHeight="1">
      <c r="A22" s="8">
        <v>11.0</v>
      </c>
      <c r="B22" s="9" t="s">
        <v>587</v>
      </c>
      <c r="C22" s="10" t="s">
        <v>575</v>
      </c>
      <c r="D22" s="10" t="s">
        <v>265</v>
      </c>
      <c r="E22" s="10" t="s">
        <v>576</v>
      </c>
      <c r="F22" s="152">
        <v>5.48</v>
      </c>
      <c r="G22" s="152">
        <v>5.6</v>
      </c>
      <c r="H22" s="153">
        <v>5.06</v>
      </c>
      <c r="I22" s="153">
        <f t="shared" si="1"/>
        <v>5.38</v>
      </c>
      <c r="J22" s="140" t="s">
        <v>577</v>
      </c>
      <c r="K22" s="6">
        <v>1.0</v>
      </c>
    </row>
    <row r="23" ht="14.25" customHeight="1">
      <c r="A23" s="8">
        <v>12.0</v>
      </c>
      <c r="B23" s="9" t="s">
        <v>588</v>
      </c>
      <c r="C23" s="10" t="s">
        <v>575</v>
      </c>
      <c r="D23" s="10" t="s">
        <v>265</v>
      </c>
      <c r="E23" s="10" t="s">
        <v>576</v>
      </c>
      <c r="F23" s="152">
        <v>6.18</v>
      </c>
      <c r="G23" s="152">
        <v>6.33</v>
      </c>
      <c r="H23" s="153">
        <v>7.11</v>
      </c>
      <c r="I23" s="153">
        <f t="shared" si="1"/>
        <v>6.54</v>
      </c>
      <c r="J23" s="140" t="s">
        <v>577</v>
      </c>
      <c r="K23" s="156">
        <v>1.0</v>
      </c>
    </row>
    <row r="24" ht="14.25" customHeight="1">
      <c r="A24" s="8">
        <v>13.0</v>
      </c>
      <c r="B24" s="9" t="s">
        <v>589</v>
      </c>
      <c r="C24" s="10" t="s">
        <v>575</v>
      </c>
      <c r="D24" s="10" t="s">
        <v>265</v>
      </c>
      <c r="E24" s="10" t="s">
        <v>576</v>
      </c>
      <c r="F24" s="152">
        <v>5.09</v>
      </c>
      <c r="G24" s="152">
        <v>5.43</v>
      </c>
      <c r="H24" s="153">
        <v>6.18</v>
      </c>
      <c r="I24" s="153">
        <f t="shared" si="1"/>
        <v>5.566666667</v>
      </c>
      <c r="J24" s="140" t="s">
        <v>577</v>
      </c>
      <c r="K24" s="157">
        <v>1.0</v>
      </c>
    </row>
    <row r="25" ht="14.25" customHeight="1">
      <c r="A25" s="8">
        <v>14.0</v>
      </c>
      <c r="B25" s="9" t="s">
        <v>590</v>
      </c>
      <c r="C25" s="10" t="s">
        <v>575</v>
      </c>
      <c r="D25" s="10" t="s">
        <v>265</v>
      </c>
      <c r="E25" s="10" t="s">
        <v>576</v>
      </c>
      <c r="F25" s="152">
        <v>4.92</v>
      </c>
      <c r="G25" s="152">
        <v>6.1</v>
      </c>
      <c r="H25" s="153">
        <v>5.32</v>
      </c>
      <c r="I25" s="153">
        <f t="shared" si="1"/>
        <v>5.446666667</v>
      </c>
      <c r="J25" s="140" t="s">
        <v>577</v>
      </c>
      <c r="K25" s="6">
        <v>1.0</v>
      </c>
    </row>
    <row r="26" ht="14.25" customHeight="1">
      <c r="A26" s="8">
        <v>15.0</v>
      </c>
      <c r="B26" s="9" t="s">
        <v>591</v>
      </c>
      <c r="C26" s="10" t="s">
        <v>575</v>
      </c>
      <c r="D26" s="10" t="s">
        <v>265</v>
      </c>
      <c r="E26" s="10" t="s">
        <v>576</v>
      </c>
      <c r="F26" s="152">
        <v>6.99</v>
      </c>
      <c r="G26" s="152">
        <v>7.25</v>
      </c>
      <c r="H26" s="153">
        <v>7.35</v>
      </c>
      <c r="I26" s="153">
        <f t="shared" si="1"/>
        <v>7.196666667</v>
      </c>
      <c r="J26" s="140" t="s">
        <v>577</v>
      </c>
      <c r="K26" s="6">
        <v>1.0</v>
      </c>
    </row>
    <row r="27" ht="14.25" customHeight="1">
      <c r="A27" s="8">
        <v>16.0</v>
      </c>
      <c r="B27" s="9" t="s">
        <v>592</v>
      </c>
      <c r="C27" s="10" t="s">
        <v>575</v>
      </c>
      <c r="D27" s="10" t="s">
        <v>265</v>
      </c>
      <c r="E27" s="10" t="s">
        <v>576</v>
      </c>
      <c r="F27" s="152">
        <v>4.82</v>
      </c>
      <c r="G27" s="152">
        <v>4.09</v>
      </c>
      <c r="H27" s="153">
        <v>4.27</v>
      </c>
      <c r="I27" s="153">
        <f t="shared" si="1"/>
        <v>4.393333333</v>
      </c>
      <c r="J27" s="154" t="s">
        <v>18</v>
      </c>
      <c r="L27" s="6">
        <v>1.0</v>
      </c>
    </row>
    <row r="28" ht="14.25" customHeight="1">
      <c r="A28" s="8">
        <v>17.0</v>
      </c>
      <c r="B28" s="9" t="s">
        <v>593</v>
      </c>
      <c r="C28" s="10" t="s">
        <v>575</v>
      </c>
      <c r="D28" s="10" t="s">
        <v>265</v>
      </c>
      <c r="E28" s="10" t="s">
        <v>576</v>
      </c>
      <c r="F28" s="152">
        <v>4.45</v>
      </c>
      <c r="G28" s="152">
        <v>4.76</v>
      </c>
      <c r="H28" s="153">
        <v>4.33</v>
      </c>
      <c r="I28" s="153">
        <f t="shared" si="1"/>
        <v>4.513333333</v>
      </c>
      <c r="J28" s="140" t="s">
        <v>577</v>
      </c>
      <c r="K28" s="6">
        <v>1.0</v>
      </c>
    </row>
    <row r="29" ht="14.25" customHeight="1">
      <c r="A29" s="8">
        <v>18.0</v>
      </c>
      <c r="B29" s="9" t="s">
        <v>594</v>
      </c>
      <c r="C29" s="10" t="s">
        <v>575</v>
      </c>
      <c r="D29" s="10" t="s">
        <v>265</v>
      </c>
      <c r="E29" s="10" t="s">
        <v>576</v>
      </c>
      <c r="F29" s="152">
        <v>3.9</v>
      </c>
      <c r="G29" s="152">
        <v>3.45</v>
      </c>
      <c r="H29" s="153">
        <v>3.8</v>
      </c>
      <c r="I29" s="153">
        <f t="shared" si="1"/>
        <v>3.716666667</v>
      </c>
      <c r="J29" s="158" t="s">
        <v>18</v>
      </c>
      <c r="L29" s="6">
        <v>1.0</v>
      </c>
    </row>
    <row r="30" ht="14.25" customHeight="1">
      <c r="A30" s="8">
        <v>19.0</v>
      </c>
      <c r="B30" s="9" t="s">
        <v>595</v>
      </c>
      <c r="C30" s="10" t="s">
        <v>575</v>
      </c>
      <c r="D30" s="10" t="s">
        <v>265</v>
      </c>
      <c r="E30" s="10" t="s">
        <v>576</v>
      </c>
      <c r="F30" s="152">
        <v>4.18</v>
      </c>
      <c r="G30" s="152">
        <v>4.5</v>
      </c>
      <c r="H30" s="153">
        <v>5.65</v>
      </c>
      <c r="I30" s="153">
        <f t="shared" si="1"/>
        <v>4.776666667</v>
      </c>
      <c r="J30" s="140" t="s">
        <v>577</v>
      </c>
      <c r="K30" s="6">
        <v>1.0</v>
      </c>
    </row>
    <row r="31" ht="14.25" customHeight="1">
      <c r="A31" s="8">
        <v>20.0</v>
      </c>
      <c r="B31" s="9" t="s">
        <v>596</v>
      </c>
      <c r="C31" s="10" t="s">
        <v>575</v>
      </c>
      <c r="D31" s="10" t="s">
        <v>265</v>
      </c>
      <c r="E31" s="10" t="s">
        <v>576</v>
      </c>
      <c r="F31" s="152">
        <v>3.55</v>
      </c>
      <c r="G31" s="152">
        <v>4.05</v>
      </c>
      <c r="H31" s="153">
        <v>5.85</v>
      </c>
      <c r="I31" s="153">
        <f t="shared" si="1"/>
        <v>4.483333333</v>
      </c>
      <c r="J31" s="154" t="s">
        <v>18</v>
      </c>
      <c r="L31" s="6">
        <v>1.0</v>
      </c>
    </row>
    <row r="32" ht="14.25" customHeight="1">
      <c r="A32" s="8">
        <v>21.0</v>
      </c>
      <c r="B32" s="9" t="s">
        <v>597</v>
      </c>
      <c r="C32" s="10" t="s">
        <v>575</v>
      </c>
      <c r="D32" s="10" t="s">
        <v>265</v>
      </c>
      <c r="E32" s="10" t="s">
        <v>576</v>
      </c>
      <c r="F32" s="152">
        <v>5.57</v>
      </c>
      <c r="G32" s="152">
        <v>6.25</v>
      </c>
      <c r="H32" s="153">
        <v>6.55</v>
      </c>
      <c r="I32" s="153">
        <f t="shared" si="1"/>
        <v>6.123333333</v>
      </c>
      <c r="J32" s="140" t="s">
        <v>577</v>
      </c>
      <c r="K32" s="6">
        <v>1.0</v>
      </c>
    </row>
    <row r="33" ht="14.25" customHeight="1">
      <c r="A33" s="8">
        <v>22.0</v>
      </c>
      <c r="B33" s="9" t="s">
        <v>598</v>
      </c>
      <c r="C33" s="10" t="s">
        <v>575</v>
      </c>
      <c r="D33" s="10" t="s">
        <v>265</v>
      </c>
      <c r="E33" s="10" t="s">
        <v>576</v>
      </c>
      <c r="F33" s="152">
        <v>6.15</v>
      </c>
      <c r="G33" s="152">
        <v>5.05</v>
      </c>
      <c r="H33" s="153">
        <v>5.45</v>
      </c>
      <c r="I33" s="153">
        <f t="shared" si="1"/>
        <v>5.55</v>
      </c>
      <c r="J33" s="140" t="s">
        <v>577</v>
      </c>
      <c r="K33" s="6">
        <v>1.0</v>
      </c>
    </row>
    <row r="34" ht="14.25" customHeight="1">
      <c r="A34" s="8">
        <v>23.0</v>
      </c>
      <c r="B34" s="9" t="s">
        <v>599</v>
      </c>
      <c r="C34" s="10" t="s">
        <v>575</v>
      </c>
      <c r="D34" s="10" t="s">
        <v>265</v>
      </c>
      <c r="E34" s="10" t="s">
        <v>576</v>
      </c>
      <c r="F34" s="152">
        <v>7.05</v>
      </c>
      <c r="G34" s="152">
        <v>7.18</v>
      </c>
      <c r="H34" s="153">
        <v>8.85</v>
      </c>
      <c r="I34" s="153">
        <f t="shared" si="1"/>
        <v>7.693333333</v>
      </c>
      <c r="J34" s="140" t="s">
        <v>577</v>
      </c>
      <c r="K34" s="6">
        <v>1.0</v>
      </c>
    </row>
    <row r="35" ht="14.25" customHeight="1">
      <c r="A35" s="1"/>
      <c r="K35" s="16">
        <f t="shared" ref="K35:L35" si="2">SUM(K12:K34)</f>
        <v>18</v>
      </c>
      <c r="L35" s="16">
        <f t="shared" si="2"/>
        <v>5</v>
      </c>
    </row>
    <row r="36" ht="14.25" customHeight="1">
      <c r="A36" s="108"/>
      <c r="K36" s="17">
        <f>K35/A34</f>
        <v>0.7826086957</v>
      </c>
      <c r="L36" s="17">
        <f>L35/A34</f>
        <v>0.2173913043</v>
      </c>
    </row>
    <row r="37" ht="14.25" customHeight="1">
      <c r="A37" s="108"/>
    </row>
    <row r="38" ht="14.25" customHeight="1">
      <c r="A38" s="1" t="s">
        <v>600</v>
      </c>
      <c r="B38" s="26"/>
    </row>
    <row r="39" ht="14.25" customHeight="1">
      <c r="A39" s="1" t="s">
        <v>569</v>
      </c>
      <c r="B39" s="26"/>
    </row>
    <row r="40" ht="45.0" customHeight="1">
      <c r="A40" s="159" t="s">
        <v>601</v>
      </c>
      <c r="B40" s="159" t="s">
        <v>602</v>
      </c>
      <c r="C40" s="159" t="s">
        <v>603</v>
      </c>
      <c r="D40" s="159" t="s">
        <v>604</v>
      </c>
      <c r="E40" s="159" t="s">
        <v>605</v>
      </c>
      <c r="F40" s="160" t="s">
        <v>606</v>
      </c>
      <c r="G40" s="160" t="s">
        <v>607</v>
      </c>
      <c r="H40" s="160" t="s">
        <v>608</v>
      </c>
      <c r="I40" s="160" t="s">
        <v>571</v>
      </c>
      <c r="J40" s="160" t="s">
        <v>609</v>
      </c>
      <c r="K40" s="161"/>
    </row>
    <row r="41" ht="14.25" customHeight="1">
      <c r="A41" s="56"/>
      <c r="B41" s="56"/>
      <c r="C41" s="56"/>
      <c r="D41" s="70"/>
      <c r="E41" s="56"/>
      <c r="F41" s="70"/>
      <c r="G41" s="56"/>
      <c r="H41" s="56"/>
      <c r="I41" s="70"/>
      <c r="J41" s="56"/>
      <c r="K41" s="161"/>
    </row>
    <row r="42" ht="14.25" customHeight="1">
      <c r="A42" s="37">
        <v>1.0</v>
      </c>
      <c r="B42" s="162" t="s">
        <v>610</v>
      </c>
      <c r="C42" s="139" t="s">
        <v>611</v>
      </c>
      <c r="D42" s="140" t="s">
        <v>612</v>
      </c>
      <c r="E42" s="139" t="s">
        <v>576</v>
      </c>
      <c r="F42" s="163">
        <v>3.7</v>
      </c>
      <c r="G42" s="164">
        <v>4.38</v>
      </c>
      <c r="H42" s="164">
        <v>5.78</v>
      </c>
      <c r="I42" s="163">
        <f t="shared" ref="I42:I60" si="3">((F42+G42+H42)/3)</f>
        <v>4.62</v>
      </c>
      <c r="J42" s="165" t="s">
        <v>577</v>
      </c>
      <c r="K42" s="6">
        <v>1.0</v>
      </c>
    </row>
    <row r="43" ht="14.25" customHeight="1">
      <c r="A43" s="37">
        <v>2.0</v>
      </c>
      <c r="B43" s="162" t="s">
        <v>613</v>
      </c>
      <c r="C43" s="139" t="s">
        <v>614</v>
      </c>
      <c r="D43" s="140" t="s">
        <v>612</v>
      </c>
      <c r="E43" s="139" t="s">
        <v>576</v>
      </c>
      <c r="F43" s="164">
        <v>5.29</v>
      </c>
      <c r="G43" s="164">
        <v>6.47</v>
      </c>
      <c r="H43" s="164">
        <v>7.38</v>
      </c>
      <c r="I43" s="163">
        <f t="shared" si="3"/>
        <v>6.38</v>
      </c>
      <c r="J43" s="165" t="s">
        <v>577</v>
      </c>
      <c r="K43" s="6">
        <v>1.0</v>
      </c>
    </row>
    <row r="44" ht="14.25" customHeight="1">
      <c r="A44" s="37">
        <v>3.0</v>
      </c>
      <c r="B44" s="162" t="s">
        <v>615</v>
      </c>
      <c r="C44" s="139" t="s">
        <v>611</v>
      </c>
      <c r="D44" s="140" t="s">
        <v>612</v>
      </c>
      <c r="E44" s="139" t="s">
        <v>576</v>
      </c>
      <c r="F44" s="164">
        <v>4.08</v>
      </c>
      <c r="G44" s="164">
        <v>4.17</v>
      </c>
      <c r="H44" s="164">
        <v>5.17</v>
      </c>
      <c r="I44" s="163">
        <f t="shared" si="3"/>
        <v>4.473333333</v>
      </c>
      <c r="J44" s="165" t="s">
        <v>577</v>
      </c>
      <c r="K44" s="6">
        <v>1.0</v>
      </c>
    </row>
    <row r="45" ht="14.25" customHeight="1">
      <c r="A45" s="37">
        <v>4.0</v>
      </c>
      <c r="B45" s="162" t="s">
        <v>616</v>
      </c>
      <c r="C45" s="139" t="s">
        <v>617</v>
      </c>
      <c r="D45" s="140" t="s">
        <v>612</v>
      </c>
      <c r="E45" s="139" t="s">
        <v>576</v>
      </c>
      <c r="F45" s="164">
        <v>5.25</v>
      </c>
      <c r="G45" s="164">
        <v>4.05</v>
      </c>
      <c r="H45" s="164">
        <v>4.55</v>
      </c>
      <c r="I45" s="163">
        <f t="shared" si="3"/>
        <v>4.616666667</v>
      </c>
      <c r="J45" s="165" t="s">
        <v>577</v>
      </c>
      <c r="K45" s="6">
        <v>1.0</v>
      </c>
    </row>
    <row r="46" ht="14.25" customHeight="1">
      <c r="A46" s="37">
        <v>5.0</v>
      </c>
      <c r="B46" s="162" t="s">
        <v>618</v>
      </c>
      <c r="C46" s="139" t="s">
        <v>614</v>
      </c>
      <c r="D46" s="140" t="s">
        <v>612</v>
      </c>
      <c r="E46" s="139" t="s">
        <v>576</v>
      </c>
      <c r="F46" s="164">
        <v>5.75</v>
      </c>
      <c r="G46" s="164">
        <v>5.73</v>
      </c>
      <c r="H46" s="164">
        <v>6.75</v>
      </c>
      <c r="I46" s="163">
        <f t="shared" si="3"/>
        <v>6.076666667</v>
      </c>
      <c r="J46" s="165" t="s">
        <v>577</v>
      </c>
      <c r="K46" s="6">
        <v>1.0</v>
      </c>
    </row>
    <row r="47" ht="14.25" customHeight="1">
      <c r="A47" s="37">
        <v>6.0</v>
      </c>
      <c r="B47" s="162" t="s">
        <v>619</v>
      </c>
      <c r="C47" s="139" t="s">
        <v>614</v>
      </c>
      <c r="D47" s="140" t="s">
        <v>612</v>
      </c>
      <c r="E47" s="139" t="s">
        <v>576</v>
      </c>
      <c r="F47" s="164">
        <v>3.87</v>
      </c>
      <c r="G47" s="164">
        <v>4.8</v>
      </c>
      <c r="H47" s="164">
        <v>4.96</v>
      </c>
      <c r="I47" s="163">
        <f t="shared" si="3"/>
        <v>4.543333333</v>
      </c>
      <c r="J47" s="165" t="s">
        <v>577</v>
      </c>
      <c r="K47" s="6">
        <v>1.0</v>
      </c>
    </row>
    <row r="48" ht="14.25" customHeight="1">
      <c r="A48" s="37">
        <v>7.0</v>
      </c>
      <c r="B48" s="162" t="s">
        <v>620</v>
      </c>
      <c r="C48" s="139" t="s">
        <v>614</v>
      </c>
      <c r="D48" s="140" t="s">
        <v>612</v>
      </c>
      <c r="E48" s="139" t="s">
        <v>576</v>
      </c>
      <c r="F48" s="164">
        <v>6.66</v>
      </c>
      <c r="G48" s="164">
        <v>6.64</v>
      </c>
      <c r="H48" s="164">
        <v>7.64</v>
      </c>
      <c r="I48" s="163">
        <f t="shared" si="3"/>
        <v>6.98</v>
      </c>
      <c r="J48" s="165" t="s">
        <v>577</v>
      </c>
      <c r="K48" s="6">
        <v>1.0</v>
      </c>
    </row>
    <row r="49" ht="14.25" customHeight="1">
      <c r="A49" s="37">
        <v>8.0</v>
      </c>
      <c r="B49" s="162" t="s">
        <v>621</v>
      </c>
      <c r="C49" s="139" t="s">
        <v>614</v>
      </c>
      <c r="D49" s="140" t="s">
        <v>612</v>
      </c>
      <c r="E49" s="139" t="s">
        <v>576</v>
      </c>
      <c r="F49" s="164">
        <v>4.37</v>
      </c>
      <c r="G49" s="164">
        <v>5.38</v>
      </c>
      <c r="H49" s="164">
        <v>6.25</v>
      </c>
      <c r="I49" s="163">
        <f t="shared" si="3"/>
        <v>5.333333333</v>
      </c>
      <c r="J49" s="165" t="s">
        <v>577</v>
      </c>
      <c r="K49" s="6">
        <v>1.0</v>
      </c>
    </row>
    <row r="50" ht="14.25" customHeight="1">
      <c r="A50" s="37">
        <v>9.0</v>
      </c>
      <c r="B50" s="162" t="s">
        <v>622</v>
      </c>
      <c r="C50" s="139" t="s">
        <v>614</v>
      </c>
      <c r="D50" s="140" t="s">
        <v>612</v>
      </c>
      <c r="E50" s="139" t="s">
        <v>576</v>
      </c>
      <c r="F50" s="164">
        <v>5.2</v>
      </c>
      <c r="G50" s="164">
        <v>4.94</v>
      </c>
      <c r="H50" s="164">
        <v>5.94</v>
      </c>
      <c r="I50" s="163">
        <f t="shared" si="3"/>
        <v>5.36</v>
      </c>
      <c r="J50" s="165" t="s">
        <v>577</v>
      </c>
      <c r="K50" s="6">
        <v>1.0</v>
      </c>
    </row>
    <row r="51" ht="14.25" customHeight="1">
      <c r="A51" s="37">
        <v>10.0</v>
      </c>
      <c r="B51" s="162" t="s">
        <v>623</v>
      </c>
      <c r="C51" s="139" t="s">
        <v>614</v>
      </c>
      <c r="D51" s="140" t="s">
        <v>612</v>
      </c>
      <c r="E51" s="139" t="s">
        <v>576</v>
      </c>
      <c r="F51" s="164">
        <v>4.25</v>
      </c>
      <c r="G51" s="164">
        <v>6.9</v>
      </c>
      <c r="H51" s="164">
        <v>7.75</v>
      </c>
      <c r="I51" s="163">
        <f t="shared" si="3"/>
        <v>6.3</v>
      </c>
      <c r="J51" s="165" t="s">
        <v>577</v>
      </c>
      <c r="K51" s="6">
        <v>1.0</v>
      </c>
    </row>
    <row r="52" ht="14.25" customHeight="1">
      <c r="A52" s="37">
        <v>11.0</v>
      </c>
      <c r="B52" s="162" t="s">
        <v>624</v>
      </c>
      <c r="C52" s="139" t="s">
        <v>614</v>
      </c>
      <c r="D52" s="140" t="s">
        <v>612</v>
      </c>
      <c r="E52" s="139" t="s">
        <v>576</v>
      </c>
      <c r="F52" s="164">
        <v>6.04</v>
      </c>
      <c r="G52" s="164">
        <v>5.41</v>
      </c>
      <c r="H52" s="164">
        <v>6.41</v>
      </c>
      <c r="I52" s="163">
        <f t="shared" si="3"/>
        <v>5.953333333</v>
      </c>
      <c r="J52" s="165" t="s">
        <v>577</v>
      </c>
      <c r="K52" s="6">
        <v>1.0</v>
      </c>
    </row>
    <row r="53" ht="14.25" customHeight="1">
      <c r="A53" s="37">
        <v>12.0</v>
      </c>
      <c r="B53" s="162" t="s">
        <v>625</v>
      </c>
      <c r="C53" s="139" t="s">
        <v>614</v>
      </c>
      <c r="D53" s="140" t="s">
        <v>612</v>
      </c>
      <c r="E53" s="139" t="s">
        <v>576</v>
      </c>
      <c r="F53" s="164">
        <v>3.2</v>
      </c>
      <c r="G53" s="164">
        <v>4.91</v>
      </c>
      <c r="H53" s="164">
        <v>4.62</v>
      </c>
      <c r="I53" s="163">
        <f t="shared" si="3"/>
        <v>4.243333333</v>
      </c>
      <c r="J53" s="166" t="s">
        <v>18</v>
      </c>
      <c r="L53" s="6">
        <v>1.0</v>
      </c>
    </row>
    <row r="54" ht="14.25" customHeight="1">
      <c r="A54" s="37">
        <v>13.0</v>
      </c>
      <c r="B54" s="162" t="s">
        <v>626</v>
      </c>
      <c r="C54" s="139" t="s">
        <v>614</v>
      </c>
      <c r="D54" s="140" t="s">
        <v>612</v>
      </c>
      <c r="E54" s="139" t="s">
        <v>576</v>
      </c>
      <c r="F54" s="164">
        <v>1.91</v>
      </c>
      <c r="G54" s="164">
        <v>1.82</v>
      </c>
      <c r="H54" s="164">
        <v>2.83</v>
      </c>
      <c r="I54" s="163">
        <f t="shared" si="3"/>
        <v>2.186666667</v>
      </c>
      <c r="J54" s="167" t="s">
        <v>18</v>
      </c>
      <c r="L54" s="6">
        <v>1.0</v>
      </c>
    </row>
    <row r="55" ht="14.25" customHeight="1">
      <c r="A55" s="37">
        <v>14.0</v>
      </c>
      <c r="B55" s="162" t="s">
        <v>627</v>
      </c>
      <c r="C55" s="139" t="s">
        <v>614</v>
      </c>
      <c r="D55" s="140" t="s">
        <v>612</v>
      </c>
      <c r="E55" s="139" t="s">
        <v>576</v>
      </c>
      <c r="F55" s="164">
        <v>6.66</v>
      </c>
      <c r="G55" s="164">
        <v>6.55</v>
      </c>
      <c r="H55" s="164">
        <v>7.56</v>
      </c>
      <c r="I55" s="163">
        <f t="shared" si="3"/>
        <v>6.923333333</v>
      </c>
      <c r="J55" s="165" t="s">
        <v>577</v>
      </c>
      <c r="K55" s="6">
        <v>1.0</v>
      </c>
    </row>
    <row r="56" ht="14.25" customHeight="1">
      <c r="A56" s="37">
        <v>15.0</v>
      </c>
      <c r="B56" s="162" t="s">
        <v>628</v>
      </c>
      <c r="C56" s="139" t="s">
        <v>614</v>
      </c>
      <c r="D56" s="140" t="s">
        <v>612</v>
      </c>
      <c r="E56" s="139" t="s">
        <v>576</v>
      </c>
      <c r="F56" s="164">
        <v>1.5</v>
      </c>
      <c r="G56" s="164">
        <v>1.73</v>
      </c>
      <c r="H56" s="164">
        <v>2.63</v>
      </c>
      <c r="I56" s="163">
        <f t="shared" si="3"/>
        <v>1.953333333</v>
      </c>
      <c r="J56" s="167" t="s">
        <v>18</v>
      </c>
      <c r="L56" s="6">
        <v>1.0</v>
      </c>
    </row>
    <row r="57" ht="14.25" customHeight="1">
      <c r="A57" s="37">
        <v>16.0</v>
      </c>
      <c r="B57" s="162" t="s">
        <v>629</v>
      </c>
      <c r="C57" s="139" t="s">
        <v>614</v>
      </c>
      <c r="D57" s="140" t="s">
        <v>612</v>
      </c>
      <c r="E57" s="139" t="s">
        <v>576</v>
      </c>
      <c r="F57" s="164">
        <v>4.75</v>
      </c>
      <c r="G57" s="164">
        <v>4.52</v>
      </c>
      <c r="H57" s="164">
        <v>5.75</v>
      </c>
      <c r="I57" s="163">
        <f t="shared" si="3"/>
        <v>5.006666667</v>
      </c>
      <c r="J57" s="165" t="s">
        <v>630</v>
      </c>
      <c r="K57" s="6">
        <v>1.0</v>
      </c>
    </row>
    <row r="58" ht="14.25" customHeight="1">
      <c r="A58" s="37">
        <v>17.0</v>
      </c>
      <c r="B58" s="162" t="s">
        <v>631</v>
      </c>
      <c r="C58" s="139" t="s">
        <v>614</v>
      </c>
      <c r="D58" s="140" t="s">
        <v>612</v>
      </c>
      <c r="E58" s="139" t="s">
        <v>576</v>
      </c>
      <c r="F58" s="164">
        <v>5.95</v>
      </c>
      <c r="G58" s="164">
        <v>5.0</v>
      </c>
      <c r="H58" s="164">
        <v>6.42</v>
      </c>
      <c r="I58" s="163">
        <f t="shared" si="3"/>
        <v>5.79</v>
      </c>
      <c r="J58" s="165" t="s">
        <v>577</v>
      </c>
      <c r="K58" s="6">
        <v>1.0</v>
      </c>
    </row>
    <row r="59" ht="14.25" customHeight="1">
      <c r="A59" s="37">
        <v>18.0</v>
      </c>
      <c r="B59" s="162" t="s">
        <v>632</v>
      </c>
      <c r="C59" s="139" t="s">
        <v>611</v>
      </c>
      <c r="D59" s="140" t="s">
        <v>612</v>
      </c>
      <c r="E59" s="139" t="s">
        <v>576</v>
      </c>
      <c r="F59" s="164">
        <v>4.12</v>
      </c>
      <c r="G59" s="164">
        <v>4.11</v>
      </c>
      <c r="H59" s="164">
        <v>4.34</v>
      </c>
      <c r="I59" s="163">
        <f t="shared" si="3"/>
        <v>4.19</v>
      </c>
      <c r="J59" s="166" t="s">
        <v>18</v>
      </c>
      <c r="L59" s="6">
        <v>1.0</v>
      </c>
    </row>
    <row r="60" ht="14.25" customHeight="1">
      <c r="A60" s="37">
        <v>19.0</v>
      </c>
      <c r="B60" s="162" t="s">
        <v>633</v>
      </c>
      <c r="C60" s="139" t="s">
        <v>614</v>
      </c>
      <c r="D60" s="140" t="s">
        <v>612</v>
      </c>
      <c r="E60" s="139" t="s">
        <v>576</v>
      </c>
      <c r="F60" s="164">
        <v>6.66</v>
      </c>
      <c r="G60" s="164">
        <v>7.02</v>
      </c>
      <c r="H60" s="164">
        <v>7.86</v>
      </c>
      <c r="I60" s="163">
        <f t="shared" si="3"/>
        <v>7.18</v>
      </c>
      <c r="J60" s="165" t="s">
        <v>577</v>
      </c>
      <c r="K60" s="6">
        <v>1.0</v>
      </c>
    </row>
    <row r="61" ht="14.25" customHeight="1">
      <c r="A61" s="108"/>
      <c r="K61" s="16">
        <f t="shared" ref="K61:L61" si="4">SUM(K42:K60)</f>
        <v>15</v>
      </c>
      <c r="L61" s="16">
        <f t="shared" si="4"/>
        <v>4</v>
      </c>
    </row>
    <row r="62" ht="14.25" customHeight="1">
      <c r="A62" s="1"/>
      <c r="K62" s="17">
        <f>K61/A60</f>
        <v>0.7894736842</v>
      </c>
      <c r="L62" s="17">
        <f>L61/A60</f>
        <v>0.2105263158</v>
      </c>
    </row>
    <row r="63" ht="14.25" customHeight="1">
      <c r="A63" s="1" t="s">
        <v>634</v>
      </c>
      <c r="B63" s="26"/>
    </row>
    <row r="64" ht="14.25" customHeight="1">
      <c r="A64" s="1" t="s">
        <v>569</v>
      </c>
      <c r="B64" s="26"/>
    </row>
    <row r="65" ht="60.0" customHeight="1">
      <c r="A65" s="4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635</v>
      </c>
      <c r="G65" s="5" t="s">
        <v>13</v>
      </c>
      <c r="H65" s="5" t="s">
        <v>14</v>
      </c>
      <c r="I65" s="5" t="s">
        <v>571</v>
      </c>
      <c r="J65" s="5" t="s">
        <v>572</v>
      </c>
      <c r="K65" s="137"/>
    </row>
    <row r="66" ht="14.25" customHeight="1">
      <c r="A66" s="8">
        <v>1.0</v>
      </c>
      <c r="B66" s="9" t="s">
        <v>636</v>
      </c>
      <c r="C66" s="10" t="s">
        <v>637</v>
      </c>
      <c r="D66" s="10" t="s">
        <v>638</v>
      </c>
      <c r="E66" s="10" t="s">
        <v>576</v>
      </c>
      <c r="F66" s="11">
        <v>4.35</v>
      </c>
      <c r="G66" s="11">
        <v>5.25</v>
      </c>
      <c r="H66" s="11">
        <v>5.0</v>
      </c>
      <c r="I66" s="11">
        <f t="shared" ref="I66:I68" si="5">((F66+G66+H66)/3)</f>
        <v>4.866666667</v>
      </c>
      <c r="J66" s="144" t="s">
        <v>577</v>
      </c>
      <c r="K66" s="168">
        <v>1.0</v>
      </c>
    </row>
    <row r="67" ht="14.25" customHeight="1">
      <c r="A67" s="8">
        <v>2.0</v>
      </c>
      <c r="B67" s="9" t="s">
        <v>639</v>
      </c>
      <c r="C67" s="10" t="s">
        <v>640</v>
      </c>
      <c r="D67" s="10" t="s">
        <v>641</v>
      </c>
      <c r="E67" s="10" t="s">
        <v>642</v>
      </c>
      <c r="F67" s="11">
        <v>5.12</v>
      </c>
      <c r="G67" s="11">
        <v>6.8</v>
      </c>
      <c r="H67" s="11">
        <v>6.25</v>
      </c>
      <c r="I67" s="11">
        <f t="shared" si="5"/>
        <v>6.056666667</v>
      </c>
      <c r="J67" s="144" t="s">
        <v>577</v>
      </c>
      <c r="K67" s="168">
        <v>1.0</v>
      </c>
    </row>
    <row r="68" ht="14.25" customHeight="1">
      <c r="A68" s="8">
        <v>3.0</v>
      </c>
      <c r="B68" s="9" t="s">
        <v>643</v>
      </c>
      <c r="C68" s="10" t="s">
        <v>640</v>
      </c>
      <c r="D68" s="10" t="s">
        <v>638</v>
      </c>
      <c r="E68" s="10" t="s">
        <v>642</v>
      </c>
      <c r="F68" s="11">
        <v>3.12</v>
      </c>
      <c r="G68" s="11">
        <v>5.31</v>
      </c>
      <c r="H68" s="11">
        <v>5.86</v>
      </c>
      <c r="I68" s="11">
        <f t="shared" si="5"/>
        <v>4.763333333</v>
      </c>
      <c r="J68" s="144" t="s">
        <v>577</v>
      </c>
      <c r="K68" s="168">
        <v>1.0</v>
      </c>
    </row>
    <row r="69" ht="14.25" customHeight="1">
      <c r="A69" s="8">
        <v>4.0</v>
      </c>
      <c r="B69" s="9" t="s">
        <v>644</v>
      </c>
      <c r="C69" s="10" t="s">
        <v>645</v>
      </c>
      <c r="D69" s="10" t="s">
        <v>638</v>
      </c>
      <c r="E69" s="10" t="s">
        <v>646</v>
      </c>
      <c r="F69" s="11">
        <v>2.55</v>
      </c>
      <c r="G69" s="11">
        <v>1.0</v>
      </c>
      <c r="H69" s="11" t="s">
        <v>37</v>
      </c>
      <c r="I69" s="11">
        <f>((F69+G69)/3)</f>
        <v>1.183333333</v>
      </c>
      <c r="J69" s="169" t="s">
        <v>18</v>
      </c>
      <c r="K69" s="137"/>
      <c r="L69" s="6">
        <v>1.0</v>
      </c>
    </row>
    <row r="70" ht="14.25" customHeight="1">
      <c r="A70" s="8">
        <v>5.0</v>
      </c>
      <c r="B70" s="9" t="s">
        <v>647</v>
      </c>
      <c r="C70" s="10" t="s">
        <v>640</v>
      </c>
      <c r="D70" s="10" t="s">
        <v>641</v>
      </c>
      <c r="E70" s="10" t="s">
        <v>642</v>
      </c>
      <c r="F70" s="11">
        <v>5.45</v>
      </c>
      <c r="G70" s="11">
        <v>6.0</v>
      </c>
      <c r="H70" s="11">
        <v>5.8</v>
      </c>
      <c r="I70" s="11">
        <f t="shared" ref="I70:I85" si="6">((F70+G70+H70)/3)</f>
        <v>5.75</v>
      </c>
      <c r="J70" s="144" t="s">
        <v>577</v>
      </c>
      <c r="K70" s="168">
        <v>1.0</v>
      </c>
    </row>
    <row r="71" ht="14.25" customHeight="1">
      <c r="A71" s="8">
        <v>6.0</v>
      </c>
      <c r="B71" s="9" t="s">
        <v>648</v>
      </c>
      <c r="C71" s="10" t="s">
        <v>640</v>
      </c>
      <c r="D71" s="10" t="s">
        <v>641</v>
      </c>
      <c r="E71" s="10" t="s">
        <v>649</v>
      </c>
      <c r="F71" s="11">
        <v>4.85</v>
      </c>
      <c r="G71" s="170">
        <v>5.55</v>
      </c>
      <c r="H71" s="11">
        <v>6.0</v>
      </c>
      <c r="I71" s="11">
        <f t="shared" si="6"/>
        <v>5.466666667</v>
      </c>
      <c r="J71" s="144" t="s">
        <v>577</v>
      </c>
      <c r="K71" s="168">
        <v>1.0</v>
      </c>
    </row>
    <row r="72" ht="14.25" customHeight="1">
      <c r="A72" s="8">
        <v>7.0</v>
      </c>
      <c r="B72" s="9" t="s">
        <v>650</v>
      </c>
      <c r="C72" s="10" t="s">
        <v>640</v>
      </c>
      <c r="D72" s="10" t="s">
        <v>641</v>
      </c>
      <c r="E72" s="10" t="s">
        <v>649</v>
      </c>
      <c r="F72" s="11">
        <v>5.6</v>
      </c>
      <c r="G72" s="64">
        <v>6.45</v>
      </c>
      <c r="H72" s="61">
        <v>7.12</v>
      </c>
      <c r="I72" s="11">
        <f t="shared" si="6"/>
        <v>6.39</v>
      </c>
      <c r="J72" s="144" t="s">
        <v>577</v>
      </c>
      <c r="K72" s="168">
        <v>1.0</v>
      </c>
    </row>
    <row r="73" ht="14.25" customHeight="1">
      <c r="A73" s="8">
        <v>8.0</v>
      </c>
      <c r="B73" s="9" t="s">
        <v>651</v>
      </c>
      <c r="C73" s="10" t="s">
        <v>640</v>
      </c>
      <c r="D73" s="10" t="s">
        <v>641</v>
      </c>
      <c r="E73" s="10" t="s">
        <v>649</v>
      </c>
      <c r="F73" s="171">
        <v>4.5</v>
      </c>
      <c r="G73" s="20">
        <v>4.62</v>
      </c>
      <c r="H73" s="20">
        <v>4.75</v>
      </c>
      <c r="I73" s="11">
        <f t="shared" si="6"/>
        <v>4.623333333</v>
      </c>
      <c r="J73" s="18" t="s">
        <v>577</v>
      </c>
      <c r="K73" s="168">
        <v>1.0</v>
      </c>
    </row>
    <row r="74" ht="15.75" customHeight="1">
      <c r="A74" s="8">
        <v>9.0</v>
      </c>
      <c r="B74" s="9" t="s">
        <v>652</v>
      </c>
      <c r="C74" s="10" t="s">
        <v>640</v>
      </c>
      <c r="D74" s="10" t="s">
        <v>641</v>
      </c>
      <c r="E74" s="10" t="s">
        <v>649</v>
      </c>
      <c r="F74" s="171">
        <v>5.95</v>
      </c>
      <c r="G74" s="20">
        <v>6.0</v>
      </c>
      <c r="H74" s="20">
        <v>6.23</v>
      </c>
      <c r="I74" s="172">
        <f t="shared" si="6"/>
        <v>6.06</v>
      </c>
      <c r="J74" s="18" t="s">
        <v>577</v>
      </c>
      <c r="K74" s="173">
        <v>1.0</v>
      </c>
    </row>
    <row r="75" ht="14.25" customHeight="1">
      <c r="A75" s="8">
        <v>10.0</v>
      </c>
      <c r="B75" s="9" t="s">
        <v>653</v>
      </c>
      <c r="C75" s="10" t="s">
        <v>640</v>
      </c>
      <c r="D75" s="10" t="s">
        <v>641</v>
      </c>
      <c r="E75" s="10" t="s">
        <v>649</v>
      </c>
      <c r="F75" s="171">
        <v>3.23</v>
      </c>
      <c r="G75" s="20">
        <v>4.56</v>
      </c>
      <c r="H75" s="20">
        <v>5.35</v>
      </c>
      <c r="I75" s="172">
        <f t="shared" si="6"/>
        <v>4.38</v>
      </c>
      <c r="J75" s="75" t="s">
        <v>18</v>
      </c>
      <c r="K75" s="14"/>
      <c r="L75" s="6">
        <v>1.0</v>
      </c>
    </row>
    <row r="76" ht="14.25" customHeight="1">
      <c r="A76" s="8">
        <v>11.0</v>
      </c>
      <c r="B76" s="9" t="s">
        <v>654</v>
      </c>
      <c r="C76" s="10" t="s">
        <v>655</v>
      </c>
      <c r="D76" s="10" t="s">
        <v>641</v>
      </c>
      <c r="E76" s="10" t="s">
        <v>642</v>
      </c>
      <c r="F76" s="172">
        <v>5.9</v>
      </c>
      <c r="G76" s="20">
        <v>7.0</v>
      </c>
      <c r="H76" s="20">
        <v>7.67</v>
      </c>
      <c r="I76" s="11">
        <f t="shared" si="6"/>
        <v>6.856666667</v>
      </c>
      <c r="J76" s="18" t="s">
        <v>656</v>
      </c>
      <c r="K76" s="173">
        <v>1.0</v>
      </c>
    </row>
    <row r="77" ht="14.25" customHeight="1">
      <c r="A77" s="8">
        <v>12.0</v>
      </c>
      <c r="B77" s="9" t="s">
        <v>657</v>
      </c>
      <c r="C77" s="10" t="s">
        <v>640</v>
      </c>
      <c r="D77" s="10" t="s">
        <v>641</v>
      </c>
      <c r="E77" s="10" t="s">
        <v>649</v>
      </c>
      <c r="F77" s="20">
        <v>4.1</v>
      </c>
      <c r="G77" s="20">
        <v>5.56</v>
      </c>
      <c r="H77" s="20">
        <v>6.05</v>
      </c>
      <c r="I77" s="11">
        <f t="shared" si="6"/>
        <v>5.236666667</v>
      </c>
      <c r="J77" s="18" t="s">
        <v>658</v>
      </c>
      <c r="K77" s="173">
        <v>1.0</v>
      </c>
    </row>
    <row r="78" ht="14.25" customHeight="1">
      <c r="A78" s="8">
        <v>13.0</v>
      </c>
      <c r="B78" s="9" t="s">
        <v>659</v>
      </c>
      <c r="C78" s="10" t="s">
        <v>660</v>
      </c>
      <c r="D78" s="10" t="s">
        <v>641</v>
      </c>
      <c r="E78" s="10" t="s">
        <v>649</v>
      </c>
      <c r="F78" s="171">
        <v>6.75</v>
      </c>
      <c r="G78" s="20">
        <v>7.12</v>
      </c>
      <c r="H78" s="20">
        <v>7.15</v>
      </c>
      <c r="I78" s="11">
        <f t="shared" si="6"/>
        <v>7.006666667</v>
      </c>
      <c r="J78" s="18" t="s">
        <v>658</v>
      </c>
      <c r="K78" s="173">
        <v>1.0</v>
      </c>
    </row>
    <row r="79" ht="14.25" customHeight="1">
      <c r="A79" s="8">
        <v>14.0</v>
      </c>
      <c r="B79" s="9" t="s">
        <v>598</v>
      </c>
      <c r="C79" s="10" t="s">
        <v>640</v>
      </c>
      <c r="D79" s="10" t="s">
        <v>641</v>
      </c>
      <c r="E79" s="10" t="s">
        <v>649</v>
      </c>
      <c r="F79" s="20">
        <v>2.13</v>
      </c>
      <c r="G79" s="20">
        <v>3.0</v>
      </c>
      <c r="H79" s="20">
        <v>4.95</v>
      </c>
      <c r="I79" s="11">
        <f t="shared" si="6"/>
        <v>3.36</v>
      </c>
      <c r="J79" s="75" t="s">
        <v>18</v>
      </c>
      <c r="K79" s="14"/>
      <c r="L79" s="6">
        <v>1.0</v>
      </c>
    </row>
    <row r="80" ht="14.25" customHeight="1">
      <c r="A80" s="8">
        <v>15.0</v>
      </c>
      <c r="B80" s="9" t="s">
        <v>661</v>
      </c>
      <c r="C80" s="10" t="s">
        <v>640</v>
      </c>
      <c r="D80" s="10" t="s">
        <v>641</v>
      </c>
      <c r="E80" s="10" t="s">
        <v>649</v>
      </c>
      <c r="F80" s="20">
        <v>5.32</v>
      </c>
      <c r="G80" s="20">
        <v>5.12</v>
      </c>
      <c r="H80" s="20">
        <v>5.14</v>
      </c>
      <c r="I80" s="11">
        <f t="shared" si="6"/>
        <v>5.193333333</v>
      </c>
      <c r="J80" s="18" t="s">
        <v>656</v>
      </c>
      <c r="K80" s="173">
        <v>1.0</v>
      </c>
    </row>
    <row r="81" ht="14.25" customHeight="1">
      <c r="A81" s="8">
        <v>16.0</v>
      </c>
      <c r="B81" s="9" t="s">
        <v>662</v>
      </c>
      <c r="C81" s="10" t="s">
        <v>663</v>
      </c>
      <c r="D81" s="10" t="s">
        <v>641</v>
      </c>
      <c r="E81" s="10" t="s">
        <v>642</v>
      </c>
      <c r="F81" s="172">
        <v>3.86</v>
      </c>
      <c r="G81" s="20">
        <v>4.14</v>
      </c>
      <c r="H81" s="20">
        <v>5.01</v>
      </c>
      <c r="I81" s="11">
        <f t="shared" si="6"/>
        <v>4.336666667</v>
      </c>
      <c r="J81" s="75" t="s">
        <v>18</v>
      </c>
      <c r="K81" s="14"/>
      <c r="L81" s="6">
        <v>1.0</v>
      </c>
    </row>
    <row r="82" ht="14.25" customHeight="1">
      <c r="A82" s="8">
        <v>17.0</v>
      </c>
      <c r="B82" s="9" t="s">
        <v>664</v>
      </c>
      <c r="C82" s="10" t="s">
        <v>640</v>
      </c>
      <c r="D82" s="10" t="s">
        <v>641</v>
      </c>
      <c r="E82" s="10" t="s">
        <v>642</v>
      </c>
      <c r="F82" s="20">
        <v>5.33</v>
      </c>
      <c r="G82" s="20">
        <v>5.12</v>
      </c>
      <c r="H82" s="20">
        <v>4.95</v>
      </c>
      <c r="I82" s="11">
        <f t="shared" si="6"/>
        <v>5.133333333</v>
      </c>
      <c r="J82" s="18" t="s">
        <v>577</v>
      </c>
      <c r="K82" s="173">
        <v>1.0</v>
      </c>
    </row>
    <row r="83" ht="14.25" customHeight="1">
      <c r="A83" s="8">
        <v>18.0</v>
      </c>
      <c r="B83" s="9" t="s">
        <v>665</v>
      </c>
      <c r="C83" s="10" t="s">
        <v>655</v>
      </c>
      <c r="D83" s="10" t="s">
        <v>638</v>
      </c>
      <c r="E83" s="10" t="s">
        <v>649</v>
      </c>
      <c r="F83" s="20">
        <v>4.04</v>
      </c>
      <c r="G83" s="20">
        <v>4.45</v>
      </c>
      <c r="H83" s="20">
        <v>4.5</v>
      </c>
      <c r="I83" s="11">
        <f t="shared" si="6"/>
        <v>4.33</v>
      </c>
      <c r="J83" s="18" t="s">
        <v>656</v>
      </c>
      <c r="K83" s="173">
        <v>1.0</v>
      </c>
    </row>
    <row r="84" ht="14.25" customHeight="1">
      <c r="A84" s="8">
        <v>19.0</v>
      </c>
      <c r="B84" s="9" t="s">
        <v>666</v>
      </c>
      <c r="C84" s="10" t="s">
        <v>655</v>
      </c>
      <c r="D84" s="10" t="s">
        <v>667</v>
      </c>
      <c r="E84" s="10" t="s">
        <v>668</v>
      </c>
      <c r="F84" s="20">
        <v>6.54</v>
      </c>
      <c r="G84" s="20">
        <v>6.9</v>
      </c>
      <c r="H84" s="20">
        <v>7.14</v>
      </c>
      <c r="I84" s="11">
        <f t="shared" si="6"/>
        <v>6.86</v>
      </c>
      <c r="J84" s="18" t="s">
        <v>658</v>
      </c>
      <c r="K84" s="173">
        <v>1.0</v>
      </c>
    </row>
    <row r="85" ht="14.25" customHeight="1">
      <c r="A85" s="8">
        <v>20.0</v>
      </c>
      <c r="B85" s="9" t="s">
        <v>669</v>
      </c>
      <c r="C85" s="10" t="s">
        <v>640</v>
      </c>
      <c r="D85" s="10" t="s">
        <v>638</v>
      </c>
      <c r="E85" s="10" t="s">
        <v>649</v>
      </c>
      <c r="F85" s="20">
        <v>5.02</v>
      </c>
      <c r="G85" s="20">
        <v>5.22</v>
      </c>
      <c r="H85" s="20">
        <v>4.8</v>
      </c>
      <c r="I85" s="11">
        <f t="shared" si="6"/>
        <v>5.013333333</v>
      </c>
      <c r="J85" s="18" t="s">
        <v>577</v>
      </c>
      <c r="K85" s="173">
        <v>1.0</v>
      </c>
    </row>
    <row r="86" ht="14.2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74"/>
      <c r="K86" s="137">
        <f t="shared" ref="K86:L86" si="7">SUM(K66:K85)</f>
        <v>16</v>
      </c>
      <c r="L86" s="16">
        <f t="shared" si="7"/>
        <v>4</v>
      </c>
    </row>
    <row r="87" ht="14.25" customHeight="1">
      <c r="A87" s="1"/>
      <c r="K87" s="17">
        <f>K86/A85</f>
        <v>0.8</v>
      </c>
      <c r="L87" s="17">
        <f>L86/A85</f>
        <v>0.2</v>
      </c>
    </row>
    <row r="88" ht="14.25" customHeight="1">
      <c r="A88" s="1" t="s">
        <v>670</v>
      </c>
      <c r="B88" s="26"/>
    </row>
    <row r="89" ht="14.25" customHeight="1">
      <c r="A89" s="175" t="s">
        <v>671</v>
      </c>
      <c r="B89" s="26"/>
    </row>
    <row r="90" ht="14.25" customHeight="1">
      <c r="A90" s="4" t="s">
        <v>672</v>
      </c>
      <c r="B90" s="5" t="s">
        <v>602</v>
      </c>
      <c r="C90" s="5" t="s">
        <v>673</v>
      </c>
      <c r="D90" s="5" t="s">
        <v>674</v>
      </c>
      <c r="E90" s="5" t="s">
        <v>605</v>
      </c>
      <c r="F90" s="5" t="s">
        <v>675</v>
      </c>
      <c r="G90" s="5" t="s">
        <v>676</v>
      </c>
      <c r="H90" s="176" t="s">
        <v>677</v>
      </c>
      <c r="I90" s="4" t="s">
        <v>571</v>
      </c>
      <c r="J90" s="4" t="s">
        <v>678</v>
      </c>
    </row>
    <row r="91" ht="14.25" customHeight="1">
      <c r="A91" s="8">
        <v>1.0</v>
      </c>
      <c r="B91" s="9" t="s">
        <v>679</v>
      </c>
      <c r="C91" s="10" t="s">
        <v>680</v>
      </c>
      <c r="D91" s="10" t="s">
        <v>105</v>
      </c>
      <c r="E91" s="10" t="s">
        <v>576</v>
      </c>
      <c r="F91" s="11">
        <v>6.92</v>
      </c>
      <c r="G91" s="11">
        <v>5.15</v>
      </c>
      <c r="H91" s="172">
        <v>7.99</v>
      </c>
      <c r="I91" s="20">
        <f t="shared" ref="I91:I118" si="8">((F91+G91+H91)/3)</f>
        <v>6.686666667</v>
      </c>
      <c r="J91" s="177" t="s">
        <v>577</v>
      </c>
      <c r="K91" s="6">
        <v>1.0</v>
      </c>
    </row>
    <row r="92" ht="14.25" customHeight="1">
      <c r="A92" s="8">
        <v>2.0</v>
      </c>
      <c r="B92" s="9" t="s">
        <v>681</v>
      </c>
      <c r="C92" s="10" t="s">
        <v>680</v>
      </c>
      <c r="D92" s="10" t="s">
        <v>105</v>
      </c>
      <c r="E92" s="10" t="s">
        <v>576</v>
      </c>
      <c r="F92" s="11">
        <v>3.61</v>
      </c>
      <c r="G92" s="11">
        <v>3.76</v>
      </c>
      <c r="H92" s="172">
        <v>5.15</v>
      </c>
      <c r="I92" s="20">
        <f t="shared" si="8"/>
        <v>4.173333333</v>
      </c>
      <c r="J92" s="178" t="s">
        <v>18</v>
      </c>
      <c r="L92" s="6">
        <v>1.0</v>
      </c>
    </row>
    <row r="93" ht="14.25" customHeight="1">
      <c r="A93" s="8">
        <v>3.0</v>
      </c>
      <c r="B93" s="9" t="s">
        <v>682</v>
      </c>
      <c r="C93" s="10" t="s">
        <v>680</v>
      </c>
      <c r="D93" s="10" t="s">
        <v>105</v>
      </c>
      <c r="E93" s="10" t="s">
        <v>576</v>
      </c>
      <c r="F93" s="11">
        <v>5.15</v>
      </c>
      <c r="G93" s="11">
        <v>3.61</v>
      </c>
      <c r="H93" s="172">
        <v>5.0</v>
      </c>
      <c r="I93" s="20">
        <f t="shared" si="8"/>
        <v>4.586666667</v>
      </c>
      <c r="J93" s="179" t="s">
        <v>577</v>
      </c>
      <c r="K93" s="6">
        <v>1.0</v>
      </c>
    </row>
    <row r="94" ht="14.25" customHeight="1">
      <c r="A94" s="8">
        <v>4.0</v>
      </c>
      <c r="B94" s="9" t="s">
        <v>116</v>
      </c>
      <c r="C94" s="10" t="s">
        <v>680</v>
      </c>
      <c r="D94" s="10" t="s">
        <v>105</v>
      </c>
      <c r="E94" s="10" t="s">
        <v>576</v>
      </c>
      <c r="F94" s="11">
        <v>4.15</v>
      </c>
      <c r="G94" s="11">
        <v>4.16</v>
      </c>
      <c r="H94" s="172">
        <v>5.0</v>
      </c>
      <c r="I94" s="20">
        <f t="shared" si="8"/>
        <v>4.436666667</v>
      </c>
      <c r="J94" s="178" t="s">
        <v>18</v>
      </c>
      <c r="L94" s="6">
        <v>1.0</v>
      </c>
    </row>
    <row r="95" ht="14.25" customHeight="1">
      <c r="A95" s="8">
        <v>5.0</v>
      </c>
      <c r="B95" s="9" t="s">
        <v>107</v>
      </c>
      <c r="C95" s="10" t="s">
        <v>680</v>
      </c>
      <c r="D95" s="10" t="s">
        <v>105</v>
      </c>
      <c r="E95" s="10" t="s">
        <v>576</v>
      </c>
      <c r="F95" s="11">
        <v>5.07</v>
      </c>
      <c r="G95" s="11">
        <v>5.0</v>
      </c>
      <c r="H95" s="172">
        <v>3.99</v>
      </c>
      <c r="I95" s="20">
        <f t="shared" si="8"/>
        <v>4.686666667</v>
      </c>
      <c r="J95" s="179" t="s">
        <v>577</v>
      </c>
      <c r="K95" s="6">
        <v>1.0</v>
      </c>
    </row>
    <row r="96" ht="14.25" customHeight="1">
      <c r="A96" s="8">
        <v>6.0</v>
      </c>
      <c r="B96" s="9" t="s">
        <v>683</v>
      </c>
      <c r="C96" s="10" t="s">
        <v>680</v>
      </c>
      <c r="D96" s="10" t="s">
        <v>105</v>
      </c>
      <c r="E96" s="10" t="s">
        <v>576</v>
      </c>
      <c r="F96" s="11">
        <v>4.84</v>
      </c>
      <c r="G96" s="11">
        <v>4.88</v>
      </c>
      <c r="H96" s="172">
        <v>5.0</v>
      </c>
      <c r="I96" s="20">
        <f t="shared" si="8"/>
        <v>4.906666667</v>
      </c>
      <c r="J96" s="179" t="s">
        <v>577</v>
      </c>
      <c r="K96" s="6">
        <v>1.0</v>
      </c>
    </row>
    <row r="97" ht="14.25" customHeight="1">
      <c r="A97" s="8">
        <v>7.0</v>
      </c>
      <c r="B97" s="9" t="s">
        <v>684</v>
      </c>
      <c r="C97" s="10" t="s">
        <v>680</v>
      </c>
      <c r="D97" s="10" t="s">
        <v>105</v>
      </c>
      <c r="E97" s="10" t="s">
        <v>576</v>
      </c>
      <c r="F97" s="11">
        <v>6.15</v>
      </c>
      <c r="G97" s="11">
        <v>5.69</v>
      </c>
      <c r="H97" s="172">
        <v>6.9</v>
      </c>
      <c r="I97" s="20">
        <f t="shared" si="8"/>
        <v>6.246666667</v>
      </c>
      <c r="J97" s="179" t="s">
        <v>577</v>
      </c>
      <c r="K97" s="6">
        <v>1.0</v>
      </c>
    </row>
    <row r="98" ht="14.25" customHeight="1">
      <c r="A98" s="8">
        <v>8.0</v>
      </c>
      <c r="B98" s="9" t="s">
        <v>685</v>
      </c>
      <c r="C98" s="10" t="s">
        <v>680</v>
      </c>
      <c r="D98" s="10" t="s">
        <v>105</v>
      </c>
      <c r="E98" s="10" t="s">
        <v>576</v>
      </c>
      <c r="F98" s="11">
        <v>4.3</v>
      </c>
      <c r="G98" s="11">
        <v>3.23</v>
      </c>
      <c r="H98" s="172">
        <v>4.5</v>
      </c>
      <c r="I98" s="20">
        <f t="shared" si="8"/>
        <v>4.01</v>
      </c>
      <c r="J98" s="178" t="s">
        <v>18</v>
      </c>
      <c r="L98" s="6">
        <v>1.0</v>
      </c>
    </row>
    <row r="99" ht="14.25" customHeight="1">
      <c r="A99" s="8">
        <v>9.0</v>
      </c>
      <c r="B99" s="9" t="s">
        <v>686</v>
      </c>
      <c r="C99" s="10" t="s">
        <v>680</v>
      </c>
      <c r="D99" s="10" t="s">
        <v>105</v>
      </c>
      <c r="E99" s="10" t="s">
        <v>576</v>
      </c>
      <c r="F99" s="11">
        <v>5.46</v>
      </c>
      <c r="G99" s="11">
        <v>5.07</v>
      </c>
      <c r="H99" s="172">
        <v>5.0</v>
      </c>
      <c r="I99" s="20">
        <f t="shared" si="8"/>
        <v>5.176666667</v>
      </c>
      <c r="J99" s="179" t="s">
        <v>577</v>
      </c>
      <c r="K99" s="6">
        <v>1.0</v>
      </c>
    </row>
    <row r="100" ht="14.25" customHeight="1">
      <c r="A100" s="8">
        <v>10.0</v>
      </c>
      <c r="B100" s="9" t="s">
        <v>687</v>
      </c>
      <c r="C100" s="10" t="s">
        <v>680</v>
      </c>
      <c r="D100" s="10" t="s">
        <v>105</v>
      </c>
      <c r="E100" s="10" t="s">
        <v>576</v>
      </c>
      <c r="F100" s="11">
        <v>7.46</v>
      </c>
      <c r="G100" s="11">
        <v>6.57</v>
      </c>
      <c r="H100" s="172">
        <v>7.0</v>
      </c>
      <c r="I100" s="20">
        <f t="shared" si="8"/>
        <v>7.01</v>
      </c>
      <c r="J100" s="179" t="s">
        <v>577</v>
      </c>
      <c r="K100" s="6">
        <v>1.0</v>
      </c>
    </row>
    <row r="101" ht="14.25" customHeight="1">
      <c r="A101" s="8">
        <v>11.0</v>
      </c>
      <c r="B101" s="9" t="s">
        <v>688</v>
      </c>
      <c r="C101" s="10" t="s">
        <v>680</v>
      </c>
      <c r="D101" s="10" t="s">
        <v>105</v>
      </c>
      <c r="E101" s="10" t="s">
        <v>576</v>
      </c>
      <c r="F101" s="11">
        <v>6.54</v>
      </c>
      <c r="G101" s="11">
        <v>5.3</v>
      </c>
      <c r="H101" s="172">
        <v>6.73</v>
      </c>
      <c r="I101" s="20">
        <f t="shared" si="8"/>
        <v>6.19</v>
      </c>
      <c r="J101" s="179" t="s">
        <v>577</v>
      </c>
      <c r="K101" s="6">
        <v>1.0</v>
      </c>
    </row>
    <row r="102" ht="14.25" customHeight="1">
      <c r="A102" s="8">
        <v>12.0</v>
      </c>
      <c r="B102" s="9" t="s">
        <v>689</v>
      </c>
      <c r="C102" s="10" t="s">
        <v>680</v>
      </c>
      <c r="D102" s="10" t="s">
        <v>105</v>
      </c>
      <c r="E102" s="10" t="s">
        <v>576</v>
      </c>
      <c r="F102" s="11">
        <v>4.61</v>
      </c>
      <c r="G102" s="11">
        <v>4.88</v>
      </c>
      <c r="H102" s="172">
        <v>5.44</v>
      </c>
      <c r="I102" s="20">
        <f t="shared" si="8"/>
        <v>4.976666667</v>
      </c>
      <c r="J102" s="179" t="s">
        <v>577</v>
      </c>
      <c r="K102" s="6">
        <v>1.0</v>
      </c>
    </row>
    <row r="103" ht="14.25" customHeight="1">
      <c r="A103" s="8">
        <v>13.0</v>
      </c>
      <c r="B103" s="9" t="s">
        <v>690</v>
      </c>
      <c r="C103" s="10" t="s">
        <v>680</v>
      </c>
      <c r="D103" s="10" t="s">
        <v>105</v>
      </c>
      <c r="E103" s="10" t="s">
        <v>576</v>
      </c>
      <c r="F103" s="11">
        <v>2.67</v>
      </c>
      <c r="G103" s="11">
        <v>3.96</v>
      </c>
      <c r="H103" s="172">
        <v>3.5</v>
      </c>
      <c r="I103" s="20">
        <f t="shared" si="8"/>
        <v>3.376666667</v>
      </c>
      <c r="J103" s="178" t="s">
        <v>18</v>
      </c>
      <c r="L103" s="6">
        <v>1.0</v>
      </c>
    </row>
    <row r="104" ht="14.25" customHeight="1">
      <c r="A104" s="8">
        <v>14.0</v>
      </c>
      <c r="B104" s="9" t="s">
        <v>691</v>
      </c>
      <c r="C104" s="10" t="s">
        <v>680</v>
      </c>
      <c r="D104" s="10" t="s">
        <v>105</v>
      </c>
      <c r="E104" s="10" t="s">
        <v>576</v>
      </c>
      <c r="F104" s="11">
        <v>4.61</v>
      </c>
      <c r="G104" s="11">
        <v>3.98</v>
      </c>
      <c r="H104" s="172">
        <v>4.99</v>
      </c>
      <c r="I104" s="20">
        <f t="shared" si="8"/>
        <v>4.526666667</v>
      </c>
      <c r="J104" s="179" t="s">
        <v>577</v>
      </c>
      <c r="K104" s="6">
        <v>1.0</v>
      </c>
    </row>
    <row r="105" ht="14.25" customHeight="1">
      <c r="A105" s="8">
        <v>15.0</v>
      </c>
      <c r="B105" s="9" t="s">
        <v>692</v>
      </c>
      <c r="C105" s="10" t="s">
        <v>680</v>
      </c>
      <c r="D105" s="10" t="s">
        <v>105</v>
      </c>
      <c r="E105" s="10" t="s">
        <v>576</v>
      </c>
      <c r="F105" s="11">
        <v>5.38</v>
      </c>
      <c r="G105" s="11">
        <v>5.75</v>
      </c>
      <c r="H105" s="172">
        <v>6.6</v>
      </c>
      <c r="I105" s="20">
        <f t="shared" si="8"/>
        <v>5.91</v>
      </c>
      <c r="J105" s="179" t="s">
        <v>577</v>
      </c>
      <c r="K105" s="6">
        <v>1.0</v>
      </c>
    </row>
    <row r="106" ht="14.25" customHeight="1">
      <c r="A106" s="8">
        <v>16.0</v>
      </c>
      <c r="B106" s="9" t="s">
        <v>693</v>
      </c>
      <c r="C106" s="10" t="s">
        <v>680</v>
      </c>
      <c r="D106" s="10" t="s">
        <v>105</v>
      </c>
      <c r="E106" s="10" t="s">
        <v>576</v>
      </c>
      <c r="F106" s="11">
        <v>6.46</v>
      </c>
      <c r="G106" s="11">
        <v>4.3</v>
      </c>
      <c r="H106" s="172">
        <v>4.75</v>
      </c>
      <c r="I106" s="20">
        <f t="shared" si="8"/>
        <v>5.17</v>
      </c>
      <c r="J106" s="179" t="s">
        <v>577</v>
      </c>
      <c r="K106" s="6">
        <v>1.0</v>
      </c>
    </row>
    <row r="107" ht="14.25" customHeight="1">
      <c r="A107" s="8">
        <v>17.0</v>
      </c>
      <c r="B107" s="9" t="s">
        <v>694</v>
      </c>
      <c r="C107" s="10" t="s">
        <v>680</v>
      </c>
      <c r="D107" s="10" t="s">
        <v>105</v>
      </c>
      <c r="E107" s="10" t="s">
        <v>576</v>
      </c>
      <c r="F107" s="11">
        <v>5.86</v>
      </c>
      <c r="G107" s="11">
        <v>3.75</v>
      </c>
      <c r="H107" s="172">
        <v>3.98</v>
      </c>
      <c r="I107" s="20">
        <f t="shared" si="8"/>
        <v>4.53</v>
      </c>
      <c r="J107" s="179" t="s">
        <v>577</v>
      </c>
      <c r="K107" s="6">
        <v>1.0</v>
      </c>
    </row>
    <row r="108" ht="14.25" customHeight="1">
      <c r="A108" s="8">
        <v>18.0</v>
      </c>
      <c r="B108" s="9" t="s">
        <v>695</v>
      </c>
      <c r="C108" s="10" t="s">
        <v>680</v>
      </c>
      <c r="D108" s="10" t="s">
        <v>105</v>
      </c>
      <c r="E108" s="10" t="s">
        <v>576</v>
      </c>
      <c r="F108" s="11">
        <v>6.53</v>
      </c>
      <c r="G108" s="11">
        <v>5.0</v>
      </c>
      <c r="H108" s="172">
        <v>6.0</v>
      </c>
      <c r="I108" s="20">
        <f t="shared" si="8"/>
        <v>5.843333333</v>
      </c>
      <c r="J108" s="179" t="s">
        <v>577</v>
      </c>
      <c r="K108" s="6">
        <v>1.0</v>
      </c>
    </row>
    <row r="109" ht="14.25" customHeight="1">
      <c r="A109" s="8">
        <v>19.0</v>
      </c>
      <c r="B109" s="9" t="s">
        <v>696</v>
      </c>
      <c r="C109" s="10" t="s">
        <v>680</v>
      </c>
      <c r="D109" s="10" t="s">
        <v>105</v>
      </c>
      <c r="E109" s="10" t="s">
        <v>576</v>
      </c>
      <c r="F109" s="11">
        <v>5.07</v>
      </c>
      <c r="G109" s="11">
        <v>4.65</v>
      </c>
      <c r="H109" s="172">
        <v>5.2</v>
      </c>
      <c r="I109" s="20">
        <f t="shared" si="8"/>
        <v>4.973333333</v>
      </c>
      <c r="J109" s="179" t="s">
        <v>577</v>
      </c>
      <c r="K109" s="6">
        <v>1.0</v>
      </c>
    </row>
    <row r="110" ht="14.25" customHeight="1">
      <c r="A110" s="8">
        <v>20.0</v>
      </c>
      <c r="B110" s="9" t="s">
        <v>697</v>
      </c>
      <c r="C110" s="10" t="s">
        <v>680</v>
      </c>
      <c r="D110" s="10" t="s">
        <v>105</v>
      </c>
      <c r="E110" s="10" t="s">
        <v>576</v>
      </c>
      <c r="F110" s="11">
        <v>4.07</v>
      </c>
      <c r="G110" s="11">
        <v>5.07</v>
      </c>
      <c r="H110" s="172">
        <v>4.85</v>
      </c>
      <c r="I110" s="20">
        <f t="shared" si="8"/>
        <v>4.663333333</v>
      </c>
      <c r="J110" s="179" t="s">
        <v>577</v>
      </c>
      <c r="K110" s="6">
        <v>1.0</v>
      </c>
    </row>
    <row r="111" ht="14.25" customHeight="1">
      <c r="A111" s="8">
        <v>21.0</v>
      </c>
      <c r="B111" s="9" t="s">
        <v>698</v>
      </c>
      <c r="C111" s="10" t="s">
        <v>680</v>
      </c>
      <c r="D111" s="10" t="s">
        <v>105</v>
      </c>
      <c r="E111" s="10" t="s">
        <v>576</v>
      </c>
      <c r="F111" s="11">
        <v>5.61</v>
      </c>
      <c r="G111" s="11">
        <v>4.3</v>
      </c>
      <c r="H111" s="172">
        <v>6.0</v>
      </c>
      <c r="I111" s="20">
        <f t="shared" si="8"/>
        <v>5.303333333</v>
      </c>
      <c r="J111" s="179" t="s">
        <v>577</v>
      </c>
      <c r="K111" s="6">
        <v>1.0</v>
      </c>
    </row>
    <row r="112" ht="14.25" customHeight="1">
      <c r="A112" s="8">
        <v>22.0</v>
      </c>
      <c r="B112" s="9" t="s">
        <v>699</v>
      </c>
      <c r="C112" s="10" t="s">
        <v>680</v>
      </c>
      <c r="D112" s="10" t="s">
        <v>105</v>
      </c>
      <c r="E112" s="10" t="s">
        <v>576</v>
      </c>
      <c r="F112" s="11">
        <v>3.3</v>
      </c>
      <c r="G112" s="11">
        <v>2.3</v>
      </c>
      <c r="H112" s="172">
        <v>3.0</v>
      </c>
      <c r="I112" s="20">
        <f t="shared" si="8"/>
        <v>2.866666667</v>
      </c>
      <c r="J112" s="178" t="s">
        <v>18</v>
      </c>
      <c r="L112" s="6">
        <v>1.0</v>
      </c>
    </row>
    <row r="113" ht="14.25" customHeight="1">
      <c r="A113" s="8">
        <v>23.0</v>
      </c>
      <c r="B113" s="9" t="s">
        <v>131</v>
      </c>
      <c r="C113" s="10" t="s">
        <v>680</v>
      </c>
      <c r="D113" s="10" t="s">
        <v>105</v>
      </c>
      <c r="E113" s="10" t="s">
        <v>576</v>
      </c>
      <c r="F113" s="11">
        <v>4.61</v>
      </c>
      <c r="G113" s="11">
        <v>4.88</v>
      </c>
      <c r="H113" s="172">
        <v>5.5</v>
      </c>
      <c r="I113" s="20">
        <f t="shared" si="8"/>
        <v>4.996666667</v>
      </c>
      <c r="J113" s="179" t="s">
        <v>577</v>
      </c>
      <c r="K113" s="6">
        <v>1.0</v>
      </c>
    </row>
    <row r="114" ht="14.25" customHeight="1">
      <c r="A114" s="8">
        <v>24.0</v>
      </c>
      <c r="B114" s="9" t="s">
        <v>700</v>
      </c>
      <c r="C114" s="10" t="s">
        <v>680</v>
      </c>
      <c r="D114" s="10" t="s">
        <v>105</v>
      </c>
      <c r="E114" s="10" t="s">
        <v>576</v>
      </c>
      <c r="F114" s="11">
        <v>5.15</v>
      </c>
      <c r="G114" s="11">
        <v>4.46</v>
      </c>
      <c r="H114" s="172">
        <v>6.0</v>
      </c>
      <c r="I114" s="20">
        <f t="shared" si="8"/>
        <v>5.203333333</v>
      </c>
      <c r="J114" s="179" t="s">
        <v>577</v>
      </c>
      <c r="K114" s="6">
        <v>1.0</v>
      </c>
    </row>
    <row r="115" ht="14.25" customHeight="1">
      <c r="A115" s="8">
        <v>25.0</v>
      </c>
      <c r="B115" s="9" t="s">
        <v>701</v>
      </c>
      <c r="C115" s="10" t="s">
        <v>680</v>
      </c>
      <c r="D115" s="10" t="s">
        <v>105</v>
      </c>
      <c r="E115" s="10" t="s">
        <v>576</v>
      </c>
      <c r="F115" s="11">
        <v>6.69</v>
      </c>
      <c r="G115" s="11">
        <v>7.0</v>
      </c>
      <c r="H115" s="172">
        <v>7.0</v>
      </c>
      <c r="I115" s="20">
        <f t="shared" si="8"/>
        <v>6.896666667</v>
      </c>
      <c r="J115" s="179" t="s">
        <v>577</v>
      </c>
      <c r="K115" s="6">
        <v>1.0</v>
      </c>
    </row>
    <row r="116" ht="14.25" customHeight="1">
      <c r="A116" s="8">
        <v>26.0</v>
      </c>
      <c r="B116" s="9" t="s">
        <v>702</v>
      </c>
      <c r="C116" s="10" t="s">
        <v>680</v>
      </c>
      <c r="D116" s="10" t="s">
        <v>105</v>
      </c>
      <c r="E116" s="10" t="s">
        <v>576</v>
      </c>
      <c r="F116" s="11">
        <v>7.23</v>
      </c>
      <c r="G116" s="11">
        <v>8.23</v>
      </c>
      <c r="H116" s="172">
        <v>8.72</v>
      </c>
      <c r="I116" s="20">
        <f t="shared" si="8"/>
        <v>8.06</v>
      </c>
      <c r="J116" s="179" t="s">
        <v>577</v>
      </c>
      <c r="K116" s="6">
        <v>1.0</v>
      </c>
    </row>
    <row r="117" ht="14.25" customHeight="1">
      <c r="A117" s="8">
        <v>27.0</v>
      </c>
      <c r="B117" s="9" t="s">
        <v>703</v>
      </c>
      <c r="C117" s="10" t="s">
        <v>680</v>
      </c>
      <c r="D117" s="10" t="s">
        <v>105</v>
      </c>
      <c r="E117" s="10" t="s">
        <v>576</v>
      </c>
      <c r="F117" s="11">
        <v>1.76</v>
      </c>
      <c r="G117" s="11">
        <v>3.46</v>
      </c>
      <c r="H117" s="172">
        <v>2.6</v>
      </c>
      <c r="I117" s="20">
        <f t="shared" si="8"/>
        <v>2.606666667</v>
      </c>
      <c r="J117" s="178" t="s">
        <v>18</v>
      </c>
      <c r="L117" s="6">
        <v>1.0</v>
      </c>
    </row>
    <row r="118" ht="14.25" customHeight="1">
      <c r="A118" s="8">
        <v>28.0</v>
      </c>
      <c r="B118" s="9" t="s">
        <v>704</v>
      </c>
      <c r="C118" s="10" t="s">
        <v>680</v>
      </c>
      <c r="D118" s="10" t="s">
        <v>105</v>
      </c>
      <c r="E118" s="10" t="s">
        <v>576</v>
      </c>
      <c r="F118" s="11">
        <v>5.15</v>
      </c>
      <c r="G118" s="11">
        <v>5.69</v>
      </c>
      <c r="H118" s="172">
        <v>6.5</v>
      </c>
      <c r="I118" s="20">
        <f t="shared" si="8"/>
        <v>5.78</v>
      </c>
      <c r="J118" s="179" t="s">
        <v>577</v>
      </c>
      <c r="K118" s="6">
        <v>1.0</v>
      </c>
    </row>
    <row r="119" ht="14.25" customHeight="1">
      <c r="A119" s="175"/>
      <c r="K119" s="16">
        <f t="shared" ref="K119:L119" si="9">SUM(K91:K118)</f>
        <v>22</v>
      </c>
      <c r="L119" s="16">
        <f t="shared" si="9"/>
        <v>6</v>
      </c>
    </row>
    <row r="120" ht="14.25" customHeight="1">
      <c r="A120" s="108"/>
      <c r="K120" s="17">
        <f>K119/A118</f>
        <v>0.7857142857</v>
      </c>
      <c r="L120" s="17">
        <f>L119/A118</f>
        <v>0.2142857143</v>
      </c>
    </row>
    <row r="121" ht="14.25" customHeight="1">
      <c r="A121" s="1" t="s">
        <v>705</v>
      </c>
      <c r="B121" s="26"/>
    </row>
    <row r="122" ht="14.25" customHeight="1">
      <c r="A122" s="1" t="s">
        <v>569</v>
      </c>
      <c r="B122" s="26"/>
    </row>
    <row r="123" ht="14.25" customHeight="1">
      <c r="A123" s="4" t="s">
        <v>672</v>
      </c>
      <c r="B123" s="5" t="s">
        <v>8</v>
      </c>
      <c r="C123" s="5" t="s">
        <v>706</v>
      </c>
      <c r="D123" s="5" t="s">
        <v>707</v>
      </c>
      <c r="E123" s="5" t="s">
        <v>11</v>
      </c>
      <c r="F123" s="5" t="s">
        <v>708</v>
      </c>
      <c r="G123" s="5" t="s">
        <v>709</v>
      </c>
      <c r="H123" s="176" t="s">
        <v>710</v>
      </c>
      <c r="I123" s="4" t="s">
        <v>571</v>
      </c>
      <c r="J123" s="180" t="s">
        <v>572</v>
      </c>
    </row>
    <row r="124" ht="14.25" customHeight="1">
      <c r="A124" s="8">
        <v>1.0</v>
      </c>
      <c r="B124" s="9" t="s">
        <v>167</v>
      </c>
      <c r="C124" s="10" t="s">
        <v>711</v>
      </c>
      <c r="D124" s="10" t="s">
        <v>712</v>
      </c>
      <c r="E124" s="10" t="s">
        <v>642</v>
      </c>
      <c r="F124" s="11">
        <v>4.88</v>
      </c>
      <c r="G124" s="11">
        <v>4.61</v>
      </c>
      <c r="H124" s="20">
        <v>5.26</v>
      </c>
      <c r="I124" s="20">
        <f t="shared" ref="I124:I142" si="10">((F124+G124+H124)/3)</f>
        <v>4.916666667</v>
      </c>
      <c r="J124" s="181" t="s">
        <v>577</v>
      </c>
      <c r="K124" s="6">
        <v>1.0</v>
      </c>
    </row>
    <row r="125" ht="14.25" customHeight="1">
      <c r="A125" s="8">
        <v>2.0</v>
      </c>
      <c r="B125" s="9" t="s">
        <v>713</v>
      </c>
      <c r="C125" s="10" t="s">
        <v>711</v>
      </c>
      <c r="D125" s="10" t="s">
        <v>712</v>
      </c>
      <c r="E125" s="10" t="s">
        <v>642</v>
      </c>
      <c r="F125" s="11">
        <v>5.54</v>
      </c>
      <c r="G125" s="11">
        <v>5.52</v>
      </c>
      <c r="H125" s="20">
        <v>6.97</v>
      </c>
      <c r="I125" s="20">
        <f t="shared" si="10"/>
        <v>6.01</v>
      </c>
      <c r="J125" s="181" t="s">
        <v>577</v>
      </c>
      <c r="K125" s="6">
        <v>1.0</v>
      </c>
    </row>
    <row r="126" ht="14.25" customHeight="1">
      <c r="A126" s="8">
        <v>3.0</v>
      </c>
      <c r="B126" s="9" t="s">
        <v>714</v>
      </c>
      <c r="C126" s="10" t="s">
        <v>711</v>
      </c>
      <c r="D126" s="10" t="s">
        <v>715</v>
      </c>
      <c r="E126" s="10" t="s">
        <v>642</v>
      </c>
      <c r="F126" s="11">
        <v>6.05</v>
      </c>
      <c r="G126" s="11">
        <v>6.48</v>
      </c>
      <c r="H126" s="20">
        <v>7.85</v>
      </c>
      <c r="I126" s="20">
        <f t="shared" si="10"/>
        <v>6.793333333</v>
      </c>
      <c r="J126" s="181" t="s">
        <v>577</v>
      </c>
      <c r="K126" s="6">
        <v>1.0</v>
      </c>
    </row>
    <row r="127" ht="14.25" customHeight="1">
      <c r="A127" s="8">
        <v>4.0</v>
      </c>
      <c r="B127" s="9" t="s">
        <v>716</v>
      </c>
      <c r="C127" s="10" t="s">
        <v>711</v>
      </c>
      <c r="D127" s="10" t="s">
        <v>717</v>
      </c>
      <c r="E127" s="10" t="s">
        <v>642</v>
      </c>
      <c r="F127" s="11">
        <v>4.0</v>
      </c>
      <c r="G127" s="11">
        <v>4.35</v>
      </c>
      <c r="H127" s="20">
        <v>5.94</v>
      </c>
      <c r="I127" s="20">
        <f t="shared" si="10"/>
        <v>4.763333333</v>
      </c>
      <c r="J127" s="181" t="s">
        <v>577</v>
      </c>
      <c r="K127" s="6">
        <v>1.0</v>
      </c>
    </row>
    <row r="128" ht="14.25" customHeight="1">
      <c r="A128" s="8">
        <v>5.0</v>
      </c>
      <c r="B128" s="9" t="s">
        <v>718</v>
      </c>
      <c r="C128" s="10" t="s">
        <v>711</v>
      </c>
      <c r="D128" s="10" t="s">
        <v>719</v>
      </c>
      <c r="E128" s="10" t="s">
        <v>642</v>
      </c>
      <c r="F128" s="11">
        <v>5.95</v>
      </c>
      <c r="G128" s="11">
        <v>3.57</v>
      </c>
      <c r="H128" s="20">
        <v>4.41</v>
      </c>
      <c r="I128" s="20">
        <f t="shared" si="10"/>
        <v>4.643333333</v>
      </c>
      <c r="J128" s="181" t="s">
        <v>577</v>
      </c>
      <c r="K128" s="6">
        <v>1.0</v>
      </c>
    </row>
    <row r="129" ht="23.25" customHeight="1">
      <c r="A129" s="8">
        <v>6.0</v>
      </c>
      <c r="B129" s="9" t="s">
        <v>720</v>
      </c>
      <c r="C129" s="10" t="s">
        <v>711</v>
      </c>
      <c r="D129" s="10" t="s">
        <v>712</v>
      </c>
      <c r="E129" s="10" t="s">
        <v>642</v>
      </c>
      <c r="F129" s="11">
        <v>5.32</v>
      </c>
      <c r="G129" s="11">
        <v>6.04</v>
      </c>
      <c r="H129" s="20">
        <v>6.97</v>
      </c>
      <c r="I129" s="20">
        <f t="shared" si="10"/>
        <v>6.11</v>
      </c>
      <c r="J129" s="181" t="s">
        <v>577</v>
      </c>
      <c r="K129" s="6">
        <v>1.0</v>
      </c>
    </row>
    <row r="130" ht="14.25" customHeight="1">
      <c r="A130" s="8">
        <v>7.0</v>
      </c>
      <c r="B130" s="9" t="s">
        <v>721</v>
      </c>
      <c r="C130" s="10" t="s">
        <v>711</v>
      </c>
      <c r="D130" s="10" t="s">
        <v>712</v>
      </c>
      <c r="E130" s="10" t="s">
        <v>642</v>
      </c>
      <c r="F130" s="11">
        <v>6.04</v>
      </c>
      <c r="G130" s="11">
        <v>7.29</v>
      </c>
      <c r="H130" s="20">
        <v>7.64</v>
      </c>
      <c r="I130" s="20">
        <f t="shared" si="10"/>
        <v>6.99</v>
      </c>
      <c r="J130" s="181" t="s">
        <v>577</v>
      </c>
      <c r="K130" s="6">
        <v>1.0</v>
      </c>
    </row>
    <row r="131" ht="14.25" customHeight="1">
      <c r="A131" s="8">
        <v>8.0</v>
      </c>
      <c r="B131" s="9" t="s">
        <v>722</v>
      </c>
      <c r="C131" s="10" t="s">
        <v>711</v>
      </c>
      <c r="D131" s="10" t="s">
        <v>712</v>
      </c>
      <c r="E131" s="10" t="s">
        <v>642</v>
      </c>
      <c r="F131" s="11">
        <v>3.42</v>
      </c>
      <c r="G131" s="11">
        <v>4.25</v>
      </c>
      <c r="H131" s="20">
        <v>5.11</v>
      </c>
      <c r="I131" s="20">
        <f t="shared" si="10"/>
        <v>4.26</v>
      </c>
      <c r="J131" s="182" t="s">
        <v>723</v>
      </c>
      <c r="L131" s="6">
        <v>1.0</v>
      </c>
    </row>
    <row r="132" ht="14.25" customHeight="1">
      <c r="A132" s="8">
        <v>9.0</v>
      </c>
      <c r="B132" s="9" t="s">
        <v>724</v>
      </c>
      <c r="C132" s="10" t="s">
        <v>711</v>
      </c>
      <c r="D132" s="10" t="s">
        <v>712</v>
      </c>
      <c r="E132" s="10" t="s">
        <v>642</v>
      </c>
      <c r="F132" s="11">
        <v>5.04</v>
      </c>
      <c r="G132" s="11">
        <v>5.27</v>
      </c>
      <c r="H132" s="20">
        <v>6.79</v>
      </c>
      <c r="I132" s="20">
        <f t="shared" si="10"/>
        <v>5.7</v>
      </c>
      <c r="J132" s="181" t="s">
        <v>577</v>
      </c>
      <c r="K132" s="6">
        <v>1.0</v>
      </c>
    </row>
    <row r="133" ht="14.25" customHeight="1">
      <c r="A133" s="8">
        <v>10.0</v>
      </c>
      <c r="B133" s="9" t="s">
        <v>725</v>
      </c>
      <c r="C133" s="10" t="s">
        <v>711</v>
      </c>
      <c r="D133" s="10" t="s">
        <v>712</v>
      </c>
      <c r="E133" s="10" t="s">
        <v>642</v>
      </c>
      <c r="F133" s="11">
        <v>7.97</v>
      </c>
      <c r="G133" s="11">
        <v>8.91</v>
      </c>
      <c r="H133" s="20">
        <v>8.97</v>
      </c>
      <c r="I133" s="20">
        <f t="shared" si="10"/>
        <v>8.616666667</v>
      </c>
      <c r="J133" s="181" t="s">
        <v>577</v>
      </c>
      <c r="K133" s="6">
        <v>1.0</v>
      </c>
    </row>
    <row r="134" ht="14.25" customHeight="1">
      <c r="A134" s="8">
        <v>11.0</v>
      </c>
      <c r="B134" s="9" t="s">
        <v>726</v>
      </c>
      <c r="C134" s="10" t="s">
        <v>711</v>
      </c>
      <c r="D134" s="10" t="s">
        <v>712</v>
      </c>
      <c r="E134" s="10" t="s">
        <v>642</v>
      </c>
      <c r="F134" s="11">
        <v>3.13</v>
      </c>
      <c r="G134" s="11">
        <v>4.49</v>
      </c>
      <c r="H134" s="20">
        <v>4.87</v>
      </c>
      <c r="I134" s="20">
        <f t="shared" si="10"/>
        <v>4.163333333</v>
      </c>
      <c r="J134" s="182" t="s">
        <v>723</v>
      </c>
      <c r="L134" s="6">
        <v>1.0</v>
      </c>
    </row>
    <row r="135" ht="14.25" customHeight="1">
      <c r="A135" s="8">
        <v>12.0</v>
      </c>
      <c r="B135" s="9" t="s">
        <v>727</v>
      </c>
      <c r="C135" s="10" t="s">
        <v>711</v>
      </c>
      <c r="D135" s="10" t="s">
        <v>712</v>
      </c>
      <c r="E135" s="10" t="s">
        <v>642</v>
      </c>
      <c r="F135" s="11">
        <v>5.0</v>
      </c>
      <c r="G135" s="11">
        <v>5.55</v>
      </c>
      <c r="H135" s="20">
        <v>6.0</v>
      </c>
      <c r="I135" s="20">
        <f t="shared" si="10"/>
        <v>5.516666667</v>
      </c>
      <c r="J135" s="181" t="s">
        <v>577</v>
      </c>
      <c r="K135" s="6">
        <v>1.0</v>
      </c>
    </row>
    <row r="136" ht="14.25" customHeight="1">
      <c r="A136" s="8">
        <v>13.0</v>
      </c>
      <c r="B136" s="9" t="s">
        <v>728</v>
      </c>
      <c r="C136" s="10" t="s">
        <v>711</v>
      </c>
      <c r="D136" s="10" t="s">
        <v>712</v>
      </c>
      <c r="E136" s="10" t="s">
        <v>642</v>
      </c>
      <c r="F136" s="11">
        <v>3.0</v>
      </c>
      <c r="G136" s="11">
        <v>3.88</v>
      </c>
      <c r="H136" s="20">
        <v>5.94</v>
      </c>
      <c r="I136" s="20">
        <f t="shared" si="10"/>
        <v>4.273333333</v>
      </c>
      <c r="J136" s="182" t="s">
        <v>723</v>
      </c>
      <c r="L136" s="6">
        <v>3.0</v>
      </c>
    </row>
    <row r="137" ht="14.25" customHeight="1">
      <c r="A137" s="8">
        <v>14.0</v>
      </c>
      <c r="B137" s="9" t="s">
        <v>729</v>
      </c>
      <c r="C137" s="10" t="s">
        <v>711</v>
      </c>
      <c r="D137" s="10" t="s">
        <v>712</v>
      </c>
      <c r="E137" s="10" t="s">
        <v>642</v>
      </c>
      <c r="F137" s="11">
        <v>6.44</v>
      </c>
      <c r="G137" s="11">
        <v>6.22</v>
      </c>
      <c r="H137" s="20">
        <v>6.85</v>
      </c>
      <c r="I137" s="20">
        <f t="shared" si="10"/>
        <v>6.503333333</v>
      </c>
      <c r="J137" s="181" t="s">
        <v>577</v>
      </c>
      <c r="K137" s="6">
        <v>1.0</v>
      </c>
    </row>
    <row r="138" ht="14.25" customHeight="1">
      <c r="A138" s="8">
        <v>15.0</v>
      </c>
      <c r="B138" s="9" t="s">
        <v>730</v>
      </c>
      <c r="C138" s="10" t="s">
        <v>711</v>
      </c>
      <c r="D138" s="10" t="s">
        <v>712</v>
      </c>
      <c r="E138" s="10" t="s">
        <v>642</v>
      </c>
      <c r="F138" s="11">
        <v>4.22</v>
      </c>
      <c r="G138" s="11">
        <v>3.6</v>
      </c>
      <c r="H138" s="20">
        <v>5.32</v>
      </c>
      <c r="I138" s="20">
        <f t="shared" si="10"/>
        <v>4.38</v>
      </c>
      <c r="J138" s="183" t="s">
        <v>723</v>
      </c>
      <c r="L138" s="6">
        <v>1.0</v>
      </c>
    </row>
    <row r="139" ht="14.25" customHeight="1">
      <c r="A139" s="8">
        <v>16.0</v>
      </c>
      <c r="B139" s="9" t="s">
        <v>731</v>
      </c>
      <c r="C139" s="10" t="s">
        <v>711</v>
      </c>
      <c r="D139" s="10" t="s">
        <v>712</v>
      </c>
      <c r="E139" s="10" t="s">
        <v>642</v>
      </c>
      <c r="F139" s="11">
        <v>5.98</v>
      </c>
      <c r="G139" s="11">
        <v>4.73</v>
      </c>
      <c r="H139" s="20">
        <v>6.0</v>
      </c>
      <c r="I139" s="20">
        <f t="shared" si="10"/>
        <v>5.57</v>
      </c>
      <c r="J139" s="181" t="s">
        <v>577</v>
      </c>
      <c r="K139" s="6">
        <v>1.0</v>
      </c>
    </row>
    <row r="140" ht="14.25" customHeight="1">
      <c r="A140" s="8">
        <v>17.0</v>
      </c>
      <c r="B140" s="9" t="s">
        <v>732</v>
      </c>
      <c r="C140" s="10" t="s">
        <v>711</v>
      </c>
      <c r="D140" s="10" t="s">
        <v>712</v>
      </c>
      <c r="E140" s="10" t="s">
        <v>642</v>
      </c>
      <c r="F140" s="11">
        <v>5.55</v>
      </c>
      <c r="G140" s="11">
        <v>5.88</v>
      </c>
      <c r="H140" s="20">
        <v>6.55</v>
      </c>
      <c r="I140" s="20">
        <f t="shared" si="10"/>
        <v>5.993333333</v>
      </c>
      <c r="J140" s="181" t="s">
        <v>577</v>
      </c>
      <c r="K140" s="6">
        <v>1.0</v>
      </c>
    </row>
    <row r="141" ht="14.25" customHeight="1">
      <c r="A141" s="8">
        <v>18.0</v>
      </c>
      <c r="B141" s="9" t="s">
        <v>733</v>
      </c>
      <c r="C141" s="10" t="s">
        <v>711</v>
      </c>
      <c r="D141" s="10" t="s">
        <v>712</v>
      </c>
      <c r="E141" s="10" t="s">
        <v>642</v>
      </c>
      <c r="F141" s="11">
        <v>4.74</v>
      </c>
      <c r="G141" s="11">
        <v>6.64</v>
      </c>
      <c r="H141" s="20">
        <v>6.5</v>
      </c>
      <c r="I141" s="20">
        <f t="shared" si="10"/>
        <v>5.96</v>
      </c>
      <c r="J141" s="181" t="s">
        <v>577</v>
      </c>
      <c r="K141" s="6">
        <v>1.0</v>
      </c>
    </row>
    <row r="142" ht="14.25" customHeight="1">
      <c r="A142" s="8">
        <v>19.0</v>
      </c>
      <c r="B142" s="9" t="s">
        <v>734</v>
      </c>
      <c r="C142" s="10" t="s">
        <v>711</v>
      </c>
      <c r="D142" s="10" t="s">
        <v>712</v>
      </c>
      <c r="E142" s="10" t="s">
        <v>642</v>
      </c>
      <c r="F142" s="11">
        <v>3.62</v>
      </c>
      <c r="G142" s="11">
        <v>4.98</v>
      </c>
      <c r="H142" s="20">
        <v>5.0</v>
      </c>
      <c r="I142" s="20">
        <f t="shared" si="10"/>
        <v>4.533333333</v>
      </c>
      <c r="J142" s="181" t="s">
        <v>577</v>
      </c>
      <c r="K142" s="6">
        <v>1.0</v>
      </c>
    </row>
    <row r="143" ht="14.25" customHeight="1">
      <c r="A143" s="108"/>
      <c r="K143" s="16">
        <f t="shared" ref="K143:L143" si="11">SUM(K124:K142)</f>
        <v>15</v>
      </c>
      <c r="L143" s="16">
        <f t="shared" si="11"/>
        <v>6</v>
      </c>
    </row>
    <row r="144" ht="14.25" customHeight="1">
      <c r="A144" s="1" t="s">
        <v>735</v>
      </c>
      <c r="B144" s="129"/>
      <c r="C144" s="129"/>
      <c r="K144" s="17">
        <f>K143/A142</f>
        <v>0.7894736842</v>
      </c>
      <c r="L144" s="17">
        <f>L143/A142</f>
        <v>0.3157894737</v>
      </c>
    </row>
    <row r="145" ht="14.25" customHeight="1">
      <c r="A145" s="108"/>
    </row>
    <row r="146" ht="14.25" customHeight="1">
      <c r="A146" s="109" t="s">
        <v>7</v>
      </c>
      <c r="B146" s="110" t="s">
        <v>8</v>
      </c>
      <c r="C146" s="110" t="s">
        <v>9</v>
      </c>
      <c r="D146" s="110" t="s">
        <v>10</v>
      </c>
      <c r="E146" s="110" t="s">
        <v>11</v>
      </c>
      <c r="F146" s="110" t="s">
        <v>736</v>
      </c>
      <c r="G146" s="110" t="s">
        <v>320</v>
      </c>
      <c r="H146" s="184" t="s">
        <v>14</v>
      </c>
      <c r="I146" s="109" t="s">
        <v>571</v>
      </c>
      <c r="J146" s="109" t="s">
        <v>572</v>
      </c>
    </row>
    <row r="147" ht="14.25" customHeight="1">
      <c r="A147" s="37">
        <v>1.0</v>
      </c>
      <c r="B147" s="38" t="s">
        <v>737</v>
      </c>
      <c r="C147" s="39" t="s">
        <v>738</v>
      </c>
      <c r="D147" s="39" t="s">
        <v>145</v>
      </c>
      <c r="E147" s="39" t="s">
        <v>576</v>
      </c>
      <c r="F147" s="40">
        <v>5.0</v>
      </c>
      <c r="G147" s="40">
        <v>6.29</v>
      </c>
      <c r="H147" s="60">
        <v>7.4</v>
      </c>
      <c r="I147" s="60">
        <f t="shared" ref="I147:I172" si="12">((F147+H147+G147)/3)</f>
        <v>6.23</v>
      </c>
      <c r="J147" s="140" t="s">
        <v>577</v>
      </c>
      <c r="K147" s="6">
        <v>1.0</v>
      </c>
    </row>
    <row r="148" ht="14.25" customHeight="1">
      <c r="A148" s="37">
        <v>2.0</v>
      </c>
      <c r="B148" s="38" t="s">
        <v>739</v>
      </c>
      <c r="C148" s="39" t="s">
        <v>738</v>
      </c>
      <c r="D148" s="39" t="s">
        <v>145</v>
      </c>
      <c r="E148" s="39" t="s">
        <v>576</v>
      </c>
      <c r="F148" s="40">
        <v>4.25</v>
      </c>
      <c r="G148" s="40">
        <v>5.05</v>
      </c>
      <c r="H148" s="60">
        <v>5.8</v>
      </c>
      <c r="I148" s="60">
        <f t="shared" si="12"/>
        <v>5.033333333</v>
      </c>
      <c r="J148" s="140" t="s">
        <v>577</v>
      </c>
      <c r="K148" s="6">
        <v>1.0</v>
      </c>
    </row>
    <row r="149" ht="14.25" customHeight="1">
      <c r="A149" s="37">
        <v>3.0</v>
      </c>
      <c r="B149" s="38" t="s">
        <v>740</v>
      </c>
      <c r="C149" s="39" t="s">
        <v>738</v>
      </c>
      <c r="D149" s="39" t="s">
        <v>145</v>
      </c>
      <c r="E149" s="39" t="s">
        <v>576</v>
      </c>
      <c r="F149" s="40">
        <v>6.29</v>
      </c>
      <c r="G149" s="40">
        <v>3.47</v>
      </c>
      <c r="H149" s="60">
        <v>4.5</v>
      </c>
      <c r="I149" s="60">
        <f t="shared" si="12"/>
        <v>4.753333333</v>
      </c>
      <c r="J149" s="140" t="s">
        <v>577</v>
      </c>
      <c r="K149" s="6">
        <v>1.0</v>
      </c>
    </row>
    <row r="150" ht="14.25" customHeight="1">
      <c r="A150" s="37">
        <v>4.0</v>
      </c>
      <c r="B150" s="38" t="s">
        <v>741</v>
      </c>
      <c r="C150" s="39" t="s">
        <v>738</v>
      </c>
      <c r="D150" s="39" t="s">
        <v>145</v>
      </c>
      <c r="E150" s="39" t="s">
        <v>576</v>
      </c>
      <c r="F150" s="40">
        <v>5.17</v>
      </c>
      <c r="G150" s="40">
        <v>6.64</v>
      </c>
      <c r="H150" s="60">
        <v>6.8</v>
      </c>
      <c r="I150" s="60">
        <f t="shared" si="12"/>
        <v>6.203333333</v>
      </c>
      <c r="J150" s="140" t="s">
        <v>577</v>
      </c>
      <c r="K150" s="6">
        <v>1.0</v>
      </c>
    </row>
    <row r="151" ht="14.25" customHeight="1">
      <c r="A151" s="37">
        <v>5.0</v>
      </c>
      <c r="B151" s="38" t="s">
        <v>742</v>
      </c>
      <c r="C151" s="39" t="s">
        <v>738</v>
      </c>
      <c r="D151" s="39" t="s">
        <v>145</v>
      </c>
      <c r="E151" s="39" t="s">
        <v>576</v>
      </c>
      <c r="F151" s="40">
        <v>4.7</v>
      </c>
      <c r="G151" s="40">
        <v>4.41</v>
      </c>
      <c r="H151" s="60">
        <v>5.8</v>
      </c>
      <c r="I151" s="60">
        <f t="shared" si="12"/>
        <v>4.97</v>
      </c>
      <c r="J151" s="140" t="s">
        <v>577</v>
      </c>
      <c r="K151" s="6">
        <v>1.0</v>
      </c>
    </row>
    <row r="152" ht="14.25" customHeight="1">
      <c r="A152" s="37">
        <v>6.0</v>
      </c>
      <c r="B152" s="38" t="s">
        <v>743</v>
      </c>
      <c r="C152" s="39" t="s">
        <v>738</v>
      </c>
      <c r="D152" s="39" t="s">
        <v>145</v>
      </c>
      <c r="E152" s="39" t="s">
        <v>576</v>
      </c>
      <c r="F152" s="40">
        <v>3.58</v>
      </c>
      <c r="G152" s="40">
        <v>5.58</v>
      </c>
      <c r="H152" s="60">
        <v>4.9</v>
      </c>
      <c r="I152" s="60">
        <f t="shared" si="12"/>
        <v>4.686666667</v>
      </c>
      <c r="J152" s="140" t="s">
        <v>577</v>
      </c>
      <c r="K152" s="6">
        <v>1.0</v>
      </c>
    </row>
    <row r="153" ht="14.25" customHeight="1">
      <c r="A153" s="37">
        <v>7.0</v>
      </c>
      <c r="B153" s="38" t="s">
        <v>744</v>
      </c>
      <c r="C153" s="39" t="s">
        <v>745</v>
      </c>
      <c r="D153" s="39" t="s">
        <v>145</v>
      </c>
      <c r="E153" s="39" t="s">
        <v>576</v>
      </c>
      <c r="F153" s="40">
        <v>4.64</v>
      </c>
      <c r="G153" s="40">
        <v>6.35</v>
      </c>
      <c r="H153" s="60">
        <v>6.1</v>
      </c>
      <c r="I153" s="60">
        <f t="shared" si="12"/>
        <v>5.696666667</v>
      </c>
      <c r="J153" s="140" t="s">
        <v>577</v>
      </c>
      <c r="K153" s="6">
        <v>1.0</v>
      </c>
    </row>
    <row r="154" ht="14.25" customHeight="1">
      <c r="A154" s="37">
        <v>8.0</v>
      </c>
      <c r="B154" s="38" t="s">
        <v>746</v>
      </c>
      <c r="C154" s="39" t="s">
        <v>747</v>
      </c>
      <c r="D154" s="39" t="s">
        <v>145</v>
      </c>
      <c r="E154" s="39" t="s">
        <v>576</v>
      </c>
      <c r="F154" s="40">
        <v>2.88</v>
      </c>
      <c r="G154" s="40">
        <v>3.95</v>
      </c>
      <c r="H154" s="60">
        <v>3.8</v>
      </c>
      <c r="I154" s="60">
        <f t="shared" si="12"/>
        <v>3.543333333</v>
      </c>
      <c r="J154" s="154" t="s">
        <v>18</v>
      </c>
      <c r="L154" s="6">
        <v>1.0</v>
      </c>
    </row>
    <row r="155" ht="14.25" customHeight="1">
      <c r="A155" s="37">
        <v>9.0</v>
      </c>
      <c r="B155" s="38" t="s">
        <v>748</v>
      </c>
      <c r="C155" s="39" t="s">
        <v>745</v>
      </c>
      <c r="D155" s="39" t="s">
        <v>145</v>
      </c>
      <c r="E155" s="39" t="s">
        <v>576</v>
      </c>
      <c r="F155" s="40">
        <v>6.17</v>
      </c>
      <c r="G155" s="40">
        <v>5.01</v>
      </c>
      <c r="H155" s="60">
        <v>7.5</v>
      </c>
      <c r="I155" s="60">
        <f t="shared" si="12"/>
        <v>6.226666667</v>
      </c>
      <c r="J155" s="140" t="s">
        <v>577</v>
      </c>
      <c r="K155" s="6">
        <v>1.0</v>
      </c>
    </row>
    <row r="156" ht="14.25" customHeight="1">
      <c r="A156" s="37">
        <v>10.0</v>
      </c>
      <c r="B156" s="38" t="s">
        <v>749</v>
      </c>
      <c r="C156" s="39" t="s">
        <v>738</v>
      </c>
      <c r="D156" s="39" t="s">
        <v>145</v>
      </c>
      <c r="E156" s="39" t="s">
        <v>576</v>
      </c>
      <c r="F156" s="40">
        <v>4.82</v>
      </c>
      <c r="G156" s="40">
        <v>4.5</v>
      </c>
      <c r="H156" s="60">
        <v>4.0</v>
      </c>
      <c r="I156" s="60">
        <f t="shared" si="12"/>
        <v>4.44</v>
      </c>
      <c r="J156" s="154" t="s">
        <v>18</v>
      </c>
      <c r="L156" s="6">
        <v>1.0</v>
      </c>
    </row>
    <row r="157" ht="14.25" customHeight="1">
      <c r="A157" s="37">
        <v>11.0</v>
      </c>
      <c r="B157" s="38" t="s">
        <v>750</v>
      </c>
      <c r="C157" s="39" t="s">
        <v>745</v>
      </c>
      <c r="D157" s="39" t="s">
        <v>145</v>
      </c>
      <c r="E157" s="39" t="s">
        <v>576</v>
      </c>
      <c r="F157" s="40">
        <v>3.76</v>
      </c>
      <c r="G157" s="40">
        <v>5.05</v>
      </c>
      <c r="H157" s="60">
        <v>6.0</v>
      </c>
      <c r="I157" s="60">
        <f t="shared" si="12"/>
        <v>4.936666667</v>
      </c>
      <c r="J157" s="140" t="s">
        <v>577</v>
      </c>
      <c r="K157" s="6">
        <v>1.0</v>
      </c>
    </row>
    <row r="158" ht="14.25" customHeight="1">
      <c r="A158" s="37">
        <v>12.0</v>
      </c>
      <c r="B158" s="38" t="s">
        <v>751</v>
      </c>
      <c r="C158" s="39" t="s">
        <v>738</v>
      </c>
      <c r="D158" s="39" t="s">
        <v>145</v>
      </c>
      <c r="E158" s="39" t="s">
        <v>576</v>
      </c>
      <c r="F158" s="40">
        <v>4.76</v>
      </c>
      <c r="G158" s="40">
        <v>4.94</v>
      </c>
      <c r="H158" s="60">
        <v>4.0</v>
      </c>
      <c r="I158" s="60">
        <f t="shared" si="12"/>
        <v>4.566666667</v>
      </c>
      <c r="J158" s="140" t="s">
        <v>577</v>
      </c>
      <c r="K158" s="6">
        <v>1.0</v>
      </c>
    </row>
    <row r="159" ht="14.25" customHeight="1">
      <c r="A159" s="37">
        <v>13.0</v>
      </c>
      <c r="B159" s="38" t="s">
        <v>752</v>
      </c>
      <c r="C159" s="39" t="s">
        <v>738</v>
      </c>
      <c r="D159" s="39" t="s">
        <v>145</v>
      </c>
      <c r="E159" s="39" t="s">
        <v>576</v>
      </c>
      <c r="F159" s="40">
        <v>2.52</v>
      </c>
      <c r="G159" s="40">
        <v>3.23</v>
      </c>
      <c r="H159" s="60">
        <v>3.2</v>
      </c>
      <c r="I159" s="60">
        <f t="shared" si="12"/>
        <v>2.983333333</v>
      </c>
      <c r="J159" s="154" t="s">
        <v>18</v>
      </c>
      <c r="L159" s="6">
        <v>1.0</v>
      </c>
    </row>
    <row r="160" ht="14.25" customHeight="1">
      <c r="A160" s="37">
        <v>14.0</v>
      </c>
      <c r="B160" s="38" t="s">
        <v>753</v>
      </c>
      <c r="C160" s="39" t="s">
        <v>738</v>
      </c>
      <c r="D160" s="39" t="s">
        <v>145</v>
      </c>
      <c r="E160" s="39" t="s">
        <v>576</v>
      </c>
      <c r="F160" s="40">
        <v>4.58</v>
      </c>
      <c r="G160" s="40">
        <v>4.04</v>
      </c>
      <c r="H160" s="60">
        <v>5.4</v>
      </c>
      <c r="I160" s="60">
        <f t="shared" si="12"/>
        <v>4.673333333</v>
      </c>
      <c r="J160" s="140" t="s">
        <v>577</v>
      </c>
      <c r="K160" s="6">
        <v>1.0</v>
      </c>
    </row>
    <row r="161" ht="14.25" customHeight="1">
      <c r="A161" s="37">
        <v>15.0</v>
      </c>
      <c r="B161" s="38" t="s">
        <v>754</v>
      </c>
      <c r="C161" s="39" t="s">
        <v>745</v>
      </c>
      <c r="D161" s="185" t="s">
        <v>145</v>
      </c>
      <c r="E161" s="39" t="s">
        <v>576</v>
      </c>
      <c r="F161" s="40">
        <v>3.81</v>
      </c>
      <c r="G161" s="40">
        <v>4.98</v>
      </c>
      <c r="H161" s="60">
        <v>5.2</v>
      </c>
      <c r="I161" s="60">
        <f t="shared" si="12"/>
        <v>4.663333333</v>
      </c>
      <c r="J161" s="140" t="s">
        <v>577</v>
      </c>
      <c r="K161" s="6">
        <v>1.0</v>
      </c>
    </row>
    <row r="162" ht="14.25" customHeight="1">
      <c r="A162" s="37">
        <v>16.0</v>
      </c>
      <c r="B162" s="38" t="s">
        <v>755</v>
      </c>
      <c r="C162" s="39" t="s">
        <v>738</v>
      </c>
      <c r="D162" s="39" t="s">
        <v>145</v>
      </c>
      <c r="E162" s="39" t="s">
        <v>576</v>
      </c>
      <c r="F162" s="40">
        <v>4.17</v>
      </c>
      <c r="G162" s="40">
        <v>5.5</v>
      </c>
      <c r="H162" s="60">
        <v>6.3</v>
      </c>
      <c r="I162" s="60">
        <f t="shared" si="12"/>
        <v>5.323333333</v>
      </c>
      <c r="J162" s="140" t="s">
        <v>577</v>
      </c>
      <c r="K162" s="6">
        <v>1.0</v>
      </c>
    </row>
    <row r="163" ht="14.25" customHeight="1">
      <c r="A163" s="37">
        <v>17.0</v>
      </c>
      <c r="B163" s="38" t="s">
        <v>756</v>
      </c>
      <c r="C163" s="39" t="s">
        <v>745</v>
      </c>
      <c r="D163" s="39" t="s">
        <v>145</v>
      </c>
      <c r="E163" s="39" t="s">
        <v>576</v>
      </c>
      <c r="F163" s="40">
        <v>5.47</v>
      </c>
      <c r="G163" s="40">
        <v>6.0</v>
      </c>
      <c r="H163" s="60">
        <v>7.2</v>
      </c>
      <c r="I163" s="60">
        <f t="shared" si="12"/>
        <v>6.223333333</v>
      </c>
      <c r="J163" s="140" t="s">
        <v>577</v>
      </c>
      <c r="K163" s="6">
        <v>1.0</v>
      </c>
    </row>
    <row r="164" ht="14.25" customHeight="1">
      <c r="A164" s="37">
        <v>18.0</v>
      </c>
      <c r="B164" s="38" t="s">
        <v>757</v>
      </c>
      <c r="C164" s="39" t="s">
        <v>738</v>
      </c>
      <c r="D164" s="39" t="s">
        <v>145</v>
      </c>
      <c r="E164" s="39" t="s">
        <v>576</v>
      </c>
      <c r="F164" s="40">
        <v>4.47</v>
      </c>
      <c r="G164" s="40">
        <v>5.5</v>
      </c>
      <c r="H164" s="60">
        <v>5.1</v>
      </c>
      <c r="I164" s="60">
        <f t="shared" si="12"/>
        <v>5.023333333</v>
      </c>
      <c r="J164" s="140" t="s">
        <v>577</v>
      </c>
      <c r="K164" s="6">
        <v>1.0</v>
      </c>
    </row>
    <row r="165" ht="14.25" customHeight="1">
      <c r="A165" s="37">
        <v>19.0</v>
      </c>
      <c r="B165" s="38" t="s">
        <v>758</v>
      </c>
      <c r="C165" s="39" t="s">
        <v>738</v>
      </c>
      <c r="D165" s="39" t="s">
        <v>145</v>
      </c>
      <c r="E165" s="39" t="s">
        <v>576</v>
      </c>
      <c r="F165" s="40">
        <v>6.17</v>
      </c>
      <c r="G165" s="40">
        <v>7.0</v>
      </c>
      <c r="H165" s="60">
        <v>7.65</v>
      </c>
      <c r="I165" s="60">
        <f t="shared" si="12"/>
        <v>6.94</v>
      </c>
      <c r="J165" s="140" t="s">
        <v>577</v>
      </c>
      <c r="K165" s="6">
        <v>1.0</v>
      </c>
    </row>
    <row r="166" ht="14.25" customHeight="1">
      <c r="A166" s="37">
        <v>20.0</v>
      </c>
      <c r="B166" s="38" t="s">
        <v>759</v>
      </c>
      <c r="C166" s="39" t="s">
        <v>747</v>
      </c>
      <c r="D166" s="39" t="s">
        <v>145</v>
      </c>
      <c r="E166" s="39" t="s">
        <v>576</v>
      </c>
      <c r="F166" s="40">
        <v>4.2</v>
      </c>
      <c r="G166" s="40">
        <v>3.95</v>
      </c>
      <c r="H166" s="60">
        <v>5.2</v>
      </c>
      <c r="I166" s="60">
        <f t="shared" si="12"/>
        <v>4.45</v>
      </c>
      <c r="J166" s="154" t="s">
        <v>18</v>
      </c>
      <c r="L166" s="6">
        <v>1.0</v>
      </c>
    </row>
    <row r="167" ht="14.25" customHeight="1">
      <c r="A167" s="37">
        <v>21.0</v>
      </c>
      <c r="B167" s="38" t="s">
        <v>760</v>
      </c>
      <c r="C167" s="39" t="s">
        <v>745</v>
      </c>
      <c r="D167" s="39" t="s">
        <v>145</v>
      </c>
      <c r="E167" s="39" t="s">
        <v>576</v>
      </c>
      <c r="F167" s="40">
        <v>4.11</v>
      </c>
      <c r="G167" s="40">
        <v>5.42</v>
      </c>
      <c r="H167" s="60">
        <v>6.4</v>
      </c>
      <c r="I167" s="60">
        <f t="shared" si="12"/>
        <v>5.31</v>
      </c>
      <c r="J167" s="140" t="s">
        <v>577</v>
      </c>
      <c r="K167" s="6">
        <v>1.0</v>
      </c>
    </row>
    <row r="168" ht="14.25" customHeight="1">
      <c r="A168" s="37">
        <v>22.0</v>
      </c>
      <c r="B168" s="38" t="s">
        <v>761</v>
      </c>
      <c r="C168" s="39" t="s">
        <v>745</v>
      </c>
      <c r="D168" s="39" t="s">
        <v>145</v>
      </c>
      <c r="E168" s="39" t="s">
        <v>576</v>
      </c>
      <c r="F168" s="40">
        <v>3.7</v>
      </c>
      <c r="G168" s="40">
        <v>6.0</v>
      </c>
      <c r="H168" s="60">
        <v>5.8</v>
      </c>
      <c r="I168" s="60">
        <f t="shared" si="12"/>
        <v>5.166666667</v>
      </c>
      <c r="J168" s="140" t="s">
        <v>577</v>
      </c>
      <c r="K168" s="6">
        <v>1.0</v>
      </c>
    </row>
    <row r="169" ht="14.25" customHeight="1">
      <c r="A169" s="37">
        <v>23.0</v>
      </c>
      <c r="B169" s="38" t="s">
        <v>762</v>
      </c>
      <c r="C169" s="39" t="s">
        <v>747</v>
      </c>
      <c r="D169" s="39" t="s">
        <v>145</v>
      </c>
      <c r="E169" s="39" t="s">
        <v>576</v>
      </c>
      <c r="F169" s="40">
        <v>4.47</v>
      </c>
      <c r="G169" s="40">
        <v>4.25</v>
      </c>
      <c r="H169" s="60">
        <v>4.1</v>
      </c>
      <c r="I169" s="60">
        <f t="shared" si="12"/>
        <v>4.273333333</v>
      </c>
      <c r="J169" s="154" t="s">
        <v>18</v>
      </c>
      <c r="L169" s="6">
        <v>1.0</v>
      </c>
    </row>
    <row r="170" ht="14.25" customHeight="1">
      <c r="A170" s="37">
        <v>24.0</v>
      </c>
      <c r="B170" s="38" t="s">
        <v>763</v>
      </c>
      <c r="C170" s="39" t="s">
        <v>745</v>
      </c>
      <c r="D170" s="39" t="s">
        <v>145</v>
      </c>
      <c r="E170" s="39" t="s">
        <v>576</v>
      </c>
      <c r="F170" s="40">
        <v>5.49</v>
      </c>
      <c r="G170" s="40">
        <v>7.25</v>
      </c>
      <c r="H170" s="60">
        <v>7.0</v>
      </c>
      <c r="I170" s="60">
        <f t="shared" si="12"/>
        <v>6.58</v>
      </c>
      <c r="J170" s="140" t="s">
        <v>577</v>
      </c>
      <c r="K170" s="6">
        <v>1.0</v>
      </c>
    </row>
    <row r="171" ht="14.25" customHeight="1">
      <c r="A171" s="37">
        <v>25.0</v>
      </c>
      <c r="B171" s="38" t="s">
        <v>167</v>
      </c>
      <c r="C171" s="39" t="s">
        <v>745</v>
      </c>
      <c r="D171" s="39" t="s">
        <v>145</v>
      </c>
      <c r="E171" s="39" t="s">
        <v>576</v>
      </c>
      <c r="F171" s="40">
        <v>4.47</v>
      </c>
      <c r="G171" s="40">
        <v>6.3</v>
      </c>
      <c r="H171" s="60">
        <v>6.0</v>
      </c>
      <c r="I171" s="60">
        <f t="shared" si="12"/>
        <v>5.59</v>
      </c>
      <c r="J171" s="140" t="s">
        <v>577</v>
      </c>
      <c r="K171" s="6">
        <v>1.0</v>
      </c>
    </row>
    <row r="172" ht="14.25" customHeight="1">
      <c r="A172" s="37">
        <v>26.0</v>
      </c>
      <c r="B172" s="38" t="s">
        <v>764</v>
      </c>
      <c r="C172" s="39" t="s">
        <v>738</v>
      </c>
      <c r="D172" s="39" t="s">
        <v>145</v>
      </c>
      <c r="E172" s="39" t="s">
        <v>576</v>
      </c>
      <c r="F172" s="40">
        <v>6.94</v>
      </c>
      <c r="G172" s="40">
        <v>7.5</v>
      </c>
      <c r="H172" s="60">
        <v>7.1</v>
      </c>
      <c r="I172" s="60">
        <f t="shared" si="12"/>
        <v>7.18</v>
      </c>
      <c r="J172" s="140" t="s">
        <v>577</v>
      </c>
      <c r="K172" s="6">
        <v>1.0</v>
      </c>
    </row>
    <row r="173" ht="14.25" customHeight="1">
      <c r="A173" s="108"/>
      <c r="I173" s="129"/>
      <c r="K173" s="16">
        <f t="shared" ref="K173:L173" si="13">SUM(K147:K172)</f>
        <v>21</v>
      </c>
      <c r="L173" s="16">
        <f t="shared" si="13"/>
        <v>5</v>
      </c>
    </row>
    <row r="174" ht="14.25" customHeight="1">
      <c r="A174" s="108"/>
      <c r="K174" s="17">
        <f>K173/A172</f>
        <v>0.8076923077</v>
      </c>
      <c r="L174" s="17">
        <f>L173/A172</f>
        <v>0.1923076923</v>
      </c>
    </row>
    <row r="175" ht="14.25" customHeight="1">
      <c r="A175" s="1" t="s">
        <v>765</v>
      </c>
      <c r="B175" s="26"/>
    </row>
    <row r="176" ht="14.25" customHeight="1">
      <c r="A176" s="1"/>
    </row>
    <row r="177" ht="14.25" customHeight="1">
      <c r="A177" s="4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766</v>
      </c>
      <c r="G177" s="5" t="s">
        <v>13</v>
      </c>
      <c r="H177" s="176" t="s">
        <v>14</v>
      </c>
      <c r="I177" s="186" t="s">
        <v>571</v>
      </c>
      <c r="J177" s="187" t="s">
        <v>572</v>
      </c>
    </row>
    <row r="178" ht="14.25" customHeight="1">
      <c r="A178" s="8">
        <v>1.0</v>
      </c>
      <c r="B178" s="10" t="s">
        <v>767</v>
      </c>
      <c r="C178" s="10" t="s">
        <v>200</v>
      </c>
      <c r="D178" s="10" t="s">
        <v>183</v>
      </c>
      <c r="E178" s="10" t="s">
        <v>576</v>
      </c>
      <c r="F178" s="11">
        <v>6.25</v>
      </c>
      <c r="G178" s="11">
        <v>7.0</v>
      </c>
      <c r="H178" s="172">
        <v>7.38</v>
      </c>
      <c r="I178" s="171">
        <f t="shared" ref="I178:I179" si="14">((F178+H178+G178)/3)</f>
        <v>6.876666667</v>
      </c>
      <c r="J178" s="140" t="s">
        <v>577</v>
      </c>
      <c r="K178" s="6">
        <v>1.0</v>
      </c>
    </row>
    <row r="179" ht="45.0" customHeight="1">
      <c r="A179" s="62">
        <v>2.0</v>
      </c>
      <c r="B179" s="62" t="s">
        <v>768</v>
      </c>
      <c r="C179" s="62" t="s">
        <v>200</v>
      </c>
      <c r="D179" s="62" t="s">
        <v>183</v>
      </c>
      <c r="E179" s="62" t="s">
        <v>576</v>
      </c>
      <c r="F179" s="64">
        <v>2.52</v>
      </c>
      <c r="G179" s="64">
        <v>3.45</v>
      </c>
      <c r="H179" s="65">
        <v>3.13</v>
      </c>
      <c r="I179" s="64">
        <f t="shared" si="14"/>
        <v>3.033333333</v>
      </c>
      <c r="J179" s="188" t="s">
        <v>18</v>
      </c>
      <c r="K179" s="189"/>
      <c r="L179" s="6">
        <v>1.0</v>
      </c>
    </row>
    <row r="180" ht="15.0" customHeight="1">
      <c r="A180" s="56"/>
      <c r="B180" s="56"/>
      <c r="C180" s="56"/>
      <c r="D180" s="56"/>
      <c r="E180" s="56"/>
      <c r="F180" s="56"/>
      <c r="G180" s="56"/>
      <c r="H180" s="67"/>
      <c r="I180" s="56"/>
      <c r="J180" s="56"/>
    </row>
    <row r="181" ht="14.25" customHeight="1">
      <c r="A181" s="8">
        <v>3.0</v>
      </c>
      <c r="B181" s="10" t="s">
        <v>769</v>
      </c>
      <c r="C181" s="10" t="s">
        <v>200</v>
      </c>
      <c r="D181" s="10" t="s">
        <v>183</v>
      </c>
      <c r="E181" s="10" t="s">
        <v>576</v>
      </c>
      <c r="F181" s="11">
        <v>5.06</v>
      </c>
      <c r="G181" s="11">
        <v>3.94</v>
      </c>
      <c r="H181" s="172">
        <v>5.5</v>
      </c>
      <c r="I181" s="64">
        <f t="shared" ref="I181:I184" si="15">((F181+H181+G181)/3)</f>
        <v>4.833333333</v>
      </c>
      <c r="J181" s="140" t="s">
        <v>577</v>
      </c>
      <c r="K181" s="6">
        <v>1.0</v>
      </c>
    </row>
    <row r="182" ht="14.25" customHeight="1">
      <c r="A182" s="8">
        <v>4.0</v>
      </c>
      <c r="B182" s="10" t="s">
        <v>770</v>
      </c>
      <c r="C182" s="10" t="s">
        <v>771</v>
      </c>
      <c r="D182" s="10" t="s">
        <v>183</v>
      </c>
      <c r="E182" s="10" t="s">
        <v>576</v>
      </c>
      <c r="F182" s="11">
        <v>4.06</v>
      </c>
      <c r="G182" s="11">
        <v>5.6</v>
      </c>
      <c r="H182" s="172">
        <v>5.25</v>
      </c>
      <c r="I182" s="64">
        <f t="shared" si="15"/>
        <v>4.97</v>
      </c>
      <c r="J182" s="140" t="s">
        <v>577</v>
      </c>
      <c r="K182" s="6">
        <v>1.0</v>
      </c>
    </row>
    <row r="183" ht="14.25" customHeight="1">
      <c r="A183" s="8">
        <v>5.0</v>
      </c>
      <c r="B183" s="10" t="s">
        <v>772</v>
      </c>
      <c r="C183" s="10" t="s">
        <v>200</v>
      </c>
      <c r="D183" s="10" t="s">
        <v>183</v>
      </c>
      <c r="E183" s="10" t="s">
        <v>576</v>
      </c>
      <c r="F183" s="11">
        <v>6.5</v>
      </c>
      <c r="G183" s="11">
        <v>6.25</v>
      </c>
      <c r="H183" s="172">
        <v>7.88</v>
      </c>
      <c r="I183" s="64">
        <f t="shared" si="15"/>
        <v>6.876666667</v>
      </c>
      <c r="J183" s="140" t="s">
        <v>577</v>
      </c>
      <c r="K183" s="6">
        <v>1.0</v>
      </c>
    </row>
    <row r="184" ht="45.0" customHeight="1">
      <c r="A184" s="62">
        <v>6.0</v>
      </c>
      <c r="B184" s="62" t="s">
        <v>773</v>
      </c>
      <c r="C184" s="62" t="s">
        <v>200</v>
      </c>
      <c r="D184" s="62" t="s">
        <v>183</v>
      </c>
      <c r="E184" s="62" t="s">
        <v>576</v>
      </c>
      <c r="F184" s="64">
        <v>4.53</v>
      </c>
      <c r="G184" s="64">
        <v>5.5</v>
      </c>
      <c r="H184" s="65">
        <v>6.83</v>
      </c>
      <c r="I184" s="64">
        <f t="shared" si="15"/>
        <v>5.62</v>
      </c>
      <c r="J184" s="188" t="s">
        <v>577</v>
      </c>
      <c r="K184" s="6">
        <v>1.0</v>
      </c>
    </row>
    <row r="185" ht="15.0" customHeight="1">
      <c r="A185" s="56"/>
      <c r="B185" s="56"/>
      <c r="C185" s="56"/>
      <c r="D185" s="56"/>
      <c r="E185" s="56"/>
      <c r="F185" s="56"/>
      <c r="G185" s="56"/>
      <c r="H185" s="67"/>
      <c r="I185" s="56"/>
      <c r="J185" s="56"/>
    </row>
    <row r="186" ht="14.25" customHeight="1">
      <c r="A186" s="8">
        <v>7.0</v>
      </c>
      <c r="B186" s="10" t="s">
        <v>774</v>
      </c>
      <c r="C186" s="10" t="s">
        <v>200</v>
      </c>
      <c r="D186" s="10" t="s">
        <v>183</v>
      </c>
      <c r="E186" s="10" t="s">
        <v>576</v>
      </c>
      <c r="F186" s="11">
        <v>5.78</v>
      </c>
      <c r="G186" s="11">
        <v>6.84</v>
      </c>
      <c r="H186" s="172">
        <v>5.78</v>
      </c>
      <c r="I186" s="64">
        <f t="shared" ref="I186:I191" si="16">((F186+H186+G186)/3)</f>
        <v>6.133333333</v>
      </c>
      <c r="J186" s="140" t="s">
        <v>577</v>
      </c>
      <c r="K186" s="6">
        <v>1.0</v>
      </c>
    </row>
    <row r="187" ht="14.25" customHeight="1">
      <c r="A187" s="8">
        <v>8.0</v>
      </c>
      <c r="B187" s="10" t="s">
        <v>775</v>
      </c>
      <c r="C187" s="10" t="s">
        <v>200</v>
      </c>
      <c r="D187" s="10" t="s">
        <v>183</v>
      </c>
      <c r="E187" s="10" t="s">
        <v>576</v>
      </c>
      <c r="F187" s="11">
        <v>3.5</v>
      </c>
      <c r="G187" s="11">
        <v>5.05</v>
      </c>
      <c r="H187" s="172">
        <v>4.55</v>
      </c>
      <c r="I187" s="64">
        <f t="shared" si="16"/>
        <v>4.366666667</v>
      </c>
      <c r="J187" s="140" t="s">
        <v>18</v>
      </c>
      <c r="L187" s="6">
        <v>1.0</v>
      </c>
    </row>
    <row r="188" ht="14.25" customHeight="1">
      <c r="A188" s="8">
        <v>9.0</v>
      </c>
      <c r="B188" s="10" t="s">
        <v>776</v>
      </c>
      <c r="C188" s="10" t="s">
        <v>200</v>
      </c>
      <c r="D188" s="10" t="s">
        <v>183</v>
      </c>
      <c r="E188" s="10" t="s">
        <v>576</v>
      </c>
      <c r="F188" s="11">
        <v>6.82</v>
      </c>
      <c r="G188" s="11">
        <v>7.44</v>
      </c>
      <c r="H188" s="172">
        <v>7.22</v>
      </c>
      <c r="I188" s="64">
        <f t="shared" si="16"/>
        <v>7.16</v>
      </c>
      <c r="J188" s="140" t="s">
        <v>577</v>
      </c>
      <c r="K188" s="6">
        <v>1.0</v>
      </c>
    </row>
    <row r="189" ht="14.25" customHeight="1">
      <c r="A189" s="8">
        <v>10.0</v>
      </c>
      <c r="B189" s="10" t="s">
        <v>777</v>
      </c>
      <c r="C189" s="10" t="s">
        <v>200</v>
      </c>
      <c r="D189" s="10" t="s">
        <v>183</v>
      </c>
      <c r="E189" s="10" t="s">
        <v>576</v>
      </c>
      <c r="F189" s="11">
        <v>3.78</v>
      </c>
      <c r="G189" s="11">
        <v>4.25</v>
      </c>
      <c r="H189" s="172">
        <v>3.69</v>
      </c>
      <c r="I189" s="64">
        <f t="shared" si="16"/>
        <v>3.906666667</v>
      </c>
      <c r="J189" s="140" t="s">
        <v>18</v>
      </c>
      <c r="L189" s="6">
        <v>1.0</v>
      </c>
    </row>
    <row r="190" ht="14.25" customHeight="1">
      <c r="A190" s="8">
        <v>11.0</v>
      </c>
      <c r="B190" s="10" t="s">
        <v>778</v>
      </c>
      <c r="C190" s="10" t="s">
        <v>771</v>
      </c>
      <c r="D190" s="10" t="s">
        <v>183</v>
      </c>
      <c r="E190" s="10" t="s">
        <v>576</v>
      </c>
      <c r="F190" s="11">
        <v>5.43</v>
      </c>
      <c r="G190" s="11">
        <v>6.12</v>
      </c>
      <c r="H190" s="172">
        <v>7.0</v>
      </c>
      <c r="I190" s="64">
        <f t="shared" si="16"/>
        <v>6.183333333</v>
      </c>
      <c r="J190" s="140" t="s">
        <v>577</v>
      </c>
      <c r="K190" s="6">
        <v>1.0</v>
      </c>
    </row>
    <row r="191" ht="30.0" customHeight="1">
      <c r="A191" s="62">
        <v>12.0</v>
      </c>
      <c r="B191" s="62" t="s">
        <v>779</v>
      </c>
      <c r="C191" s="62" t="s">
        <v>771</v>
      </c>
      <c r="D191" s="62" t="s">
        <v>183</v>
      </c>
      <c r="E191" s="62" t="s">
        <v>780</v>
      </c>
      <c r="F191" s="64">
        <v>4.81</v>
      </c>
      <c r="G191" s="64">
        <v>5.75</v>
      </c>
      <c r="H191" s="65">
        <v>5.02</v>
      </c>
      <c r="I191" s="64">
        <f t="shared" si="16"/>
        <v>5.193333333</v>
      </c>
      <c r="J191" s="188" t="s">
        <v>577</v>
      </c>
      <c r="K191" s="6">
        <v>1.0</v>
      </c>
    </row>
    <row r="192" ht="15.0" customHeight="1">
      <c r="A192" s="56"/>
      <c r="B192" s="56"/>
      <c r="C192" s="56"/>
      <c r="D192" s="56"/>
      <c r="E192" s="56"/>
      <c r="F192" s="56"/>
      <c r="G192" s="56"/>
      <c r="H192" s="67"/>
      <c r="I192" s="56"/>
      <c r="J192" s="56"/>
    </row>
    <row r="193" ht="45.0" customHeight="1">
      <c r="A193" s="62">
        <v>13.0</v>
      </c>
      <c r="B193" s="62" t="s">
        <v>781</v>
      </c>
      <c r="C193" s="62" t="s">
        <v>200</v>
      </c>
      <c r="D193" s="62" t="s">
        <v>183</v>
      </c>
      <c r="E193" s="62" t="s">
        <v>780</v>
      </c>
      <c r="F193" s="64">
        <v>2.12</v>
      </c>
      <c r="G193" s="64">
        <v>3.44</v>
      </c>
      <c r="H193" s="65">
        <v>4.0</v>
      </c>
      <c r="I193" s="64">
        <f>((F193+H193+G193)/3)</f>
        <v>3.186666667</v>
      </c>
      <c r="J193" s="190" t="s">
        <v>18</v>
      </c>
      <c r="L193" s="6">
        <v>1.0</v>
      </c>
    </row>
    <row r="194" ht="15.0" customHeight="1">
      <c r="A194" s="56"/>
      <c r="B194" s="56"/>
      <c r="C194" s="56"/>
      <c r="D194" s="56"/>
      <c r="E194" s="56"/>
      <c r="F194" s="56"/>
      <c r="G194" s="56"/>
      <c r="H194" s="67"/>
      <c r="I194" s="56"/>
      <c r="J194" s="56"/>
    </row>
    <row r="195" ht="14.25" customHeight="1">
      <c r="A195" s="8">
        <v>14.0</v>
      </c>
      <c r="B195" s="10" t="s">
        <v>782</v>
      </c>
      <c r="C195" s="10" t="s">
        <v>200</v>
      </c>
      <c r="D195" s="10" t="s">
        <v>183</v>
      </c>
      <c r="E195" s="10" t="s">
        <v>780</v>
      </c>
      <c r="F195" s="11">
        <v>5.27</v>
      </c>
      <c r="G195" s="11">
        <v>7.5</v>
      </c>
      <c r="H195" s="172">
        <v>8.0</v>
      </c>
      <c r="I195" s="64">
        <f t="shared" ref="I195:I200" si="17">((F195+H195+G195)/3)</f>
        <v>6.923333333</v>
      </c>
      <c r="J195" s="188" t="s">
        <v>577</v>
      </c>
      <c r="K195" s="6">
        <v>1.0</v>
      </c>
    </row>
    <row r="196" ht="14.25" customHeight="1">
      <c r="A196" s="8">
        <v>15.0</v>
      </c>
      <c r="B196" s="10" t="s">
        <v>783</v>
      </c>
      <c r="C196" s="10" t="s">
        <v>200</v>
      </c>
      <c r="D196" s="10" t="s">
        <v>183</v>
      </c>
      <c r="E196" s="10" t="s">
        <v>780</v>
      </c>
      <c r="F196" s="11">
        <v>4.43</v>
      </c>
      <c r="G196" s="11">
        <v>4.31</v>
      </c>
      <c r="H196" s="172">
        <v>5.27</v>
      </c>
      <c r="I196" s="64">
        <f t="shared" si="17"/>
        <v>4.67</v>
      </c>
      <c r="J196" s="191" t="s">
        <v>577</v>
      </c>
      <c r="K196" s="6">
        <v>1.0</v>
      </c>
    </row>
    <row r="197" ht="14.25" customHeight="1">
      <c r="A197" s="8">
        <v>16.0</v>
      </c>
      <c r="B197" s="10" t="s">
        <v>784</v>
      </c>
      <c r="C197" s="10" t="s">
        <v>200</v>
      </c>
      <c r="D197" s="10" t="s">
        <v>183</v>
      </c>
      <c r="E197" s="10" t="s">
        <v>780</v>
      </c>
      <c r="F197" s="11">
        <v>5.62</v>
      </c>
      <c r="G197" s="11">
        <v>7.25</v>
      </c>
      <c r="H197" s="172">
        <v>6.33</v>
      </c>
      <c r="I197" s="64">
        <f t="shared" si="17"/>
        <v>6.4</v>
      </c>
      <c r="J197" s="140" t="s">
        <v>577</v>
      </c>
      <c r="K197" s="6">
        <v>1.0</v>
      </c>
    </row>
    <row r="198" ht="14.25" customHeight="1">
      <c r="A198" s="8">
        <v>17.0</v>
      </c>
      <c r="B198" s="10" t="s">
        <v>785</v>
      </c>
      <c r="C198" s="10" t="s">
        <v>200</v>
      </c>
      <c r="D198" s="10" t="s">
        <v>183</v>
      </c>
      <c r="E198" s="10" t="s">
        <v>576</v>
      </c>
      <c r="F198" s="11">
        <v>4.81</v>
      </c>
      <c r="G198" s="11">
        <v>5.64</v>
      </c>
      <c r="H198" s="172">
        <v>5.15</v>
      </c>
      <c r="I198" s="64">
        <f t="shared" si="17"/>
        <v>5.2</v>
      </c>
      <c r="J198" s="140" t="s">
        <v>577</v>
      </c>
      <c r="K198" s="6">
        <v>1.0</v>
      </c>
    </row>
    <row r="199" ht="14.25" customHeight="1">
      <c r="A199" s="8">
        <v>18.0</v>
      </c>
      <c r="B199" s="10" t="s">
        <v>786</v>
      </c>
      <c r="C199" s="10" t="s">
        <v>200</v>
      </c>
      <c r="D199" s="10" t="s">
        <v>183</v>
      </c>
      <c r="E199" s="10" t="s">
        <v>780</v>
      </c>
      <c r="F199" s="11">
        <v>5.7</v>
      </c>
      <c r="G199" s="11">
        <v>4.82</v>
      </c>
      <c r="H199" s="172">
        <v>4.15</v>
      </c>
      <c r="I199" s="64">
        <f t="shared" si="17"/>
        <v>4.89</v>
      </c>
      <c r="J199" s="140" t="s">
        <v>577</v>
      </c>
      <c r="K199" s="6">
        <v>1.0</v>
      </c>
    </row>
    <row r="200" ht="14.25" customHeight="1">
      <c r="A200" s="8">
        <v>19.0</v>
      </c>
      <c r="B200" s="10" t="s">
        <v>787</v>
      </c>
      <c r="C200" s="10" t="s">
        <v>200</v>
      </c>
      <c r="D200" s="10" t="s">
        <v>183</v>
      </c>
      <c r="E200" s="10" t="s">
        <v>780</v>
      </c>
      <c r="F200" s="11">
        <v>4.25</v>
      </c>
      <c r="G200" s="11">
        <v>5.5</v>
      </c>
      <c r="H200" s="172">
        <v>6.05</v>
      </c>
      <c r="I200" s="20">
        <f t="shared" si="17"/>
        <v>5.266666667</v>
      </c>
      <c r="J200" s="140" t="s">
        <v>577</v>
      </c>
      <c r="K200" s="6">
        <v>1.0</v>
      </c>
    </row>
    <row r="201" ht="14.25" customHeight="1">
      <c r="A201" s="1"/>
      <c r="K201" s="16">
        <f t="shared" ref="K201:L201" si="18">SUM(K178:K200)</f>
        <v>15</v>
      </c>
      <c r="L201" s="16">
        <f t="shared" si="18"/>
        <v>4</v>
      </c>
    </row>
    <row r="202" ht="14.25" customHeight="1">
      <c r="A202" s="1"/>
    </row>
    <row r="203" ht="14.25" customHeight="1">
      <c r="A203" s="1"/>
      <c r="K203" s="17">
        <f>K201/A200</f>
        <v>0.7894736842</v>
      </c>
      <c r="L203" s="17">
        <f>L201/A200</f>
        <v>0.2105263158</v>
      </c>
    </row>
    <row r="204" ht="14.25" customHeight="1">
      <c r="A204" s="1" t="s">
        <v>788</v>
      </c>
      <c r="B204" s="26"/>
    </row>
    <row r="205" ht="14.25" customHeight="1">
      <c r="A205" s="1" t="s">
        <v>576</v>
      </c>
      <c r="B205" s="26"/>
    </row>
    <row r="206" ht="14.25" customHeight="1">
      <c r="A206" s="109" t="s">
        <v>7</v>
      </c>
      <c r="B206" s="110" t="s">
        <v>8</v>
      </c>
      <c r="C206" s="110" t="s">
        <v>9</v>
      </c>
      <c r="D206" s="110" t="s">
        <v>10</v>
      </c>
      <c r="E206" s="110" t="s">
        <v>11</v>
      </c>
      <c r="F206" s="110" t="s">
        <v>789</v>
      </c>
      <c r="G206" s="110" t="s">
        <v>13</v>
      </c>
      <c r="H206" s="184" t="s">
        <v>14</v>
      </c>
      <c r="I206" s="109" t="s">
        <v>571</v>
      </c>
      <c r="J206" s="192" t="s">
        <v>572</v>
      </c>
    </row>
    <row r="207" ht="14.25" customHeight="1">
      <c r="A207" s="111">
        <v>1.0</v>
      </c>
      <c r="B207" s="193" t="s">
        <v>790</v>
      </c>
      <c r="C207" s="111" t="s">
        <v>791</v>
      </c>
      <c r="D207" s="39" t="s">
        <v>792</v>
      </c>
      <c r="E207" s="39" t="s">
        <v>793</v>
      </c>
      <c r="F207" s="164">
        <v>6.17</v>
      </c>
      <c r="G207" s="164">
        <v>7.14</v>
      </c>
      <c r="H207" s="194">
        <v>8.13</v>
      </c>
      <c r="I207" s="163">
        <f t="shared" ref="I207:I237" si="19">((F207+H207+G207)/3)</f>
        <v>7.146666667</v>
      </c>
      <c r="J207" s="140" t="s">
        <v>577</v>
      </c>
      <c r="K207" s="6">
        <v>1.0</v>
      </c>
    </row>
    <row r="208" ht="14.25" customHeight="1">
      <c r="A208" s="111">
        <v>2.0</v>
      </c>
      <c r="B208" s="195" t="s">
        <v>794</v>
      </c>
      <c r="C208" s="39" t="s">
        <v>791</v>
      </c>
      <c r="D208" s="39" t="s">
        <v>792</v>
      </c>
      <c r="E208" s="39" t="s">
        <v>793</v>
      </c>
      <c r="F208" s="164">
        <v>4.28</v>
      </c>
      <c r="G208" s="164">
        <v>4.21</v>
      </c>
      <c r="H208" s="194">
        <v>4.13</v>
      </c>
      <c r="I208" s="163">
        <f t="shared" si="19"/>
        <v>4.206666667</v>
      </c>
      <c r="J208" s="154" t="s">
        <v>18</v>
      </c>
      <c r="L208" s="6">
        <v>1.0</v>
      </c>
    </row>
    <row r="209" ht="14.25" customHeight="1">
      <c r="A209" s="111">
        <v>3.0</v>
      </c>
      <c r="B209" s="38" t="s">
        <v>795</v>
      </c>
      <c r="C209" s="39" t="s">
        <v>791</v>
      </c>
      <c r="D209" s="39" t="s">
        <v>792</v>
      </c>
      <c r="E209" s="39" t="s">
        <v>793</v>
      </c>
      <c r="F209" s="164">
        <v>7.25</v>
      </c>
      <c r="G209" s="164">
        <v>8.08</v>
      </c>
      <c r="H209" s="194">
        <v>7.13</v>
      </c>
      <c r="I209" s="163">
        <f t="shared" si="19"/>
        <v>7.486666667</v>
      </c>
      <c r="J209" s="140" t="s">
        <v>577</v>
      </c>
      <c r="K209" s="6">
        <v>1.0</v>
      </c>
    </row>
    <row r="210" ht="14.25" customHeight="1">
      <c r="A210" s="111">
        <v>4.0</v>
      </c>
      <c r="B210" s="38" t="s">
        <v>796</v>
      </c>
      <c r="C210" s="39" t="s">
        <v>791</v>
      </c>
      <c r="D210" s="39" t="s">
        <v>792</v>
      </c>
      <c r="E210" s="39" t="s">
        <v>793</v>
      </c>
      <c r="F210" s="164">
        <v>6.02</v>
      </c>
      <c r="G210" s="164">
        <v>5.32</v>
      </c>
      <c r="H210" s="194">
        <v>7.79</v>
      </c>
      <c r="I210" s="163">
        <f t="shared" si="19"/>
        <v>6.376666667</v>
      </c>
      <c r="J210" s="140" t="s">
        <v>577</v>
      </c>
      <c r="K210" s="6">
        <v>1.0</v>
      </c>
    </row>
    <row r="211" ht="14.25" customHeight="1">
      <c r="A211" s="111">
        <v>5.0</v>
      </c>
      <c r="B211" s="38" t="s">
        <v>797</v>
      </c>
      <c r="C211" s="39" t="s">
        <v>791</v>
      </c>
      <c r="D211" s="39" t="s">
        <v>792</v>
      </c>
      <c r="E211" s="39" t="s">
        <v>793</v>
      </c>
      <c r="F211" s="164">
        <v>7.2</v>
      </c>
      <c r="G211" s="164">
        <v>6.23</v>
      </c>
      <c r="H211" s="194">
        <v>6.32</v>
      </c>
      <c r="I211" s="163">
        <f t="shared" si="19"/>
        <v>6.583333333</v>
      </c>
      <c r="J211" s="140" t="s">
        <v>577</v>
      </c>
      <c r="K211" s="6">
        <v>1.0</v>
      </c>
    </row>
    <row r="212" ht="14.25" customHeight="1">
      <c r="A212" s="111">
        <v>6.0</v>
      </c>
      <c r="B212" s="38" t="s">
        <v>798</v>
      </c>
      <c r="C212" s="39" t="s">
        <v>791</v>
      </c>
      <c r="D212" s="39" t="s">
        <v>792</v>
      </c>
      <c r="E212" s="39" t="s">
        <v>793</v>
      </c>
      <c r="F212" s="164">
        <v>4.18</v>
      </c>
      <c r="G212" s="164">
        <v>4.42</v>
      </c>
      <c r="H212" s="194">
        <v>4.35</v>
      </c>
      <c r="I212" s="163">
        <f t="shared" si="19"/>
        <v>4.316666667</v>
      </c>
      <c r="J212" s="154" t="s">
        <v>18</v>
      </c>
      <c r="L212" s="6">
        <v>1.0</v>
      </c>
    </row>
    <row r="213" ht="14.25" customHeight="1">
      <c r="A213" s="111">
        <v>7.0</v>
      </c>
      <c r="B213" s="38" t="s">
        <v>799</v>
      </c>
      <c r="C213" s="39" t="s">
        <v>791</v>
      </c>
      <c r="D213" s="39" t="s">
        <v>792</v>
      </c>
      <c r="E213" s="39" t="s">
        <v>793</v>
      </c>
      <c r="F213" s="164">
        <v>6.23</v>
      </c>
      <c r="G213" s="164">
        <v>5.34</v>
      </c>
      <c r="H213" s="194">
        <v>7.22</v>
      </c>
      <c r="I213" s="163">
        <f t="shared" si="19"/>
        <v>6.263333333</v>
      </c>
      <c r="J213" s="140" t="s">
        <v>577</v>
      </c>
      <c r="K213" s="6">
        <v>1.0</v>
      </c>
    </row>
    <row r="214" ht="14.25" customHeight="1">
      <c r="A214" s="111">
        <v>8.0</v>
      </c>
      <c r="B214" s="38" t="s">
        <v>800</v>
      </c>
      <c r="C214" s="39" t="s">
        <v>791</v>
      </c>
      <c r="D214" s="39" t="s">
        <v>792</v>
      </c>
      <c r="E214" s="39" t="s">
        <v>793</v>
      </c>
      <c r="F214" s="196">
        <v>7.25</v>
      </c>
      <c r="G214" s="196">
        <v>6.4</v>
      </c>
      <c r="H214" s="197">
        <v>5.26</v>
      </c>
      <c r="I214" s="163">
        <f t="shared" si="19"/>
        <v>6.303333333</v>
      </c>
      <c r="J214" s="140" t="s">
        <v>577</v>
      </c>
      <c r="K214" s="6">
        <v>1.0</v>
      </c>
    </row>
    <row r="215" ht="14.25" customHeight="1">
      <c r="A215" s="111">
        <v>9.0</v>
      </c>
      <c r="B215" s="38" t="s">
        <v>801</v>
      </c>
      <c r="C215" s="39" t="s">
        <v>791</v>
      </c>
      <c r="D215" s="39" t="s">
        <v>792</v>
      </c>
      <c r="E215" s="39" t="s">
        <v>793</v>
      </c>
      <c r="F215" s="196">
        <v>4.25</v>
      </c>
      <c r="G215" s="196">
        <v>5.32</v>
      </c>
      <c r="H215" s="197">
        <v>6.43</v>
      </c>
      <c r="I215" s="163">
        <f t="shared" si="19"/>
        <v>5.333333333</v>
      </c>
      <c r="J215" s="140" t="s">
        <v>577</v>
      </c>
      <c r="K215" s="6">
        <v>1.0</v>
      </c>
    </row>
    <row r="216" ht="14.25" customHeight="1">
      <c r="A216" s="111">
        <v>10.0</v>
      </c>
      <c r="B216" s="38" t="s">
        <v>802</v>
      </c>
      <c r="C216" s="39" t="s">
        <v>791</v>
      </c>
      <c r="D216" s="39" t="s">
        <v>792</v>
      </c>
      <c r="E216" s="39" t="s">
        <v>793</v>
      </c>
      <c r="F216" s="196">
        <v>6.35</v>
      </c>
      <c r="G216" s="196">
        <v>6.64</v>
      </c>
      <c r="H216" s="197">
        <v>7.21</v>
      </c>
      <c r="I216" s="163">
        <f t="shared" si="19"/>
        <v>6.733333333</v>
      </c>
      <c r="J216" s="140" t="s">
        <v>577</v>
      </c>
      <c r="K216" s="6">
        <v>1.0</v>
      </c>
    </row>
    <row r="217" ht="14.25" customHeight="1">
      <c r="A217" s="111">
        <v>11.0</v>
      </c>
      <c r="B217" s="38" t="s">
        <v>803</v>
      </c>
      <c r="C217" s="39" t="s">
        <v>791</v>
      </c>
      <c r="D217" s="39" t="s">
        <v>792</v>
      </c>
      <c r="E217" s="39" t="s">
        <v>793</v>
      </c>
      <c r="F217" s="196">
        <v>7.21</v>
      </c>
      <c r="G217" s="196">
        <v>7.42</v>
      </c>
      <c r="H217" s="197">
        <v>8.59</v>
      </c>
      <c r="I217" s="163">
        <f t="shared" si="19"/>
        <v>7.74</v>
      </c>
      <c r="J217" s="140" t="s">
        <v>577</v>
      </c>
      <c r="K217" s="6">
        <v>1.0</v>
      </c>
    </row>
    <row r="218" ht="14.25" customHeight="1">
      <c r="A218" s="111">
        <v>12.0</v>
      </c>
      <c r="B218" s="38" t="s">
        <v>804</v>
      </c>
      <c r="C218" s="39" t="s">
        <v>791</v>
      </c>
      <c r="D218" s="39" t="s">
        <v>792</v>
      </c>
      <c r="E218" s="39" t="s">
        <v>793</v>
      </c>
      <c r="F218" s="196">
        <v>6.25</v>
      </c>
      <c r="G218" s="196">
        <v>5.11</v>
      </c>
      <c r="H218" s="197">
        <v>5.02</v>
      </c>
      <c r="I218" s="163">
        <f t="shared" si="19"/>
        <v>5.46</v>
      </c>
      <c r="J218" s="140" t="s">
        <v>577</v>
      </c>
      <c r="K218" s="6">
        <v>1.0</v>
      </c>
    </row>
    <row r="219" ht="14.25" customHeight="1">
      <c r="A219" s="111">
        <v>13.0</v>
      </c>
      <c r="B219" s="38" t="s">
        <v>805</v>
      </c>
      <c r="C219" s="39" t="s">
        <v>791</v>
      </c>
      <c r="D219" s="39" t="s">
        <v>792</v>
      </c>
      <c r="E219" s="39" t="s">
        <v>793</v>
      </c>
      <c r="F219" s="196">
        <v>4.36</v>
      </c>
      <c r="G219" s="196">
        <v>6.23</v>
      </c>
      <c r="H219" s="197">
        <v>7.25</v>
      </c>
      <c r="I219" s="163">
        <f t="shared" si="19"/>
        <v>5.946666667</v>
      </c>
      <c r="J219" s="140" t="s">
        <v>577</v>
      </c>
      <c r="K219" s="6">
        <v>1.0</v>
      </c>
    </row>
    <row r="220" ht="14.25" customHeight="1">
      <c r="A220" s="111">
        <v>14.0</v>
      </c>
      <c r="B220" s="38" t="s">
        <v>806</v>
      </c>
      <c r="C220" s="39" t="s">
        <v>791</v>
      </c>
      <c r="D220" s="39" t="s">
        <v>792</v>
      </c>
      <c r="E220" s="39" t="s">
        <v>793</v>
      </c>
      <c r="F220" s="196">
        <v>4.52</v>
      </c>
      <c r="G220" s="196">
        <v>4.32</v>
      </c>
      <c r="H220" s="197">
        <v>4.02</v>
      </c>
      <c r="I220" s="163">
        <f t="shared" si="19"/>
        <v>4.286666667</v>
      </c>
      <c r="J220" s="154" t="s">
        <v>18</v>
      </c>
      <c r="L220" s="6">
        <v>1.0</v>
      </c>
    </row>
    <row r="221" ht="14.25" customHeight="1">
      <c r="A221" s="111">
        <v>15.0</v>
      </c>
      <c r="B221" s="38" t="s">
        <v>807</v>
      </c>
      <c r="C221" s="39" t="s">
        <v>791</v>
      </c>
      <c r="D221" s="39" t="s">
        <v>792</v>
      </c>
      <c r="E221" s="39" t="s">
        <v>793</v>
      </c>
      <c r="F221" s="196">
        <v>5.32</v>
      </c>
      <c r="G221" s="196">
        <v>5.25</v>
      </c>
      <c r="H221" s="197">
        <v>6.01</v>
      </c>
      <c r="I221" s="163">
        <f t="shared" si="19"/>
        <v>5.526666667</v>
      </c>
      <c r="J221" s="140" t="s">
        <v>577</v>
      </c>
      <c r="K221" s="6">
        <v>1.0</v>
      </c>
    </row>
    <row r="222" ht="14.25" customHeight="1">
      <c r="A222" s="111">
        <v>16.0</v>
      </c>
      <c r="B222" s="38" t="s">
        <v>808</v>
      </c>
      <c r="C222" s="39" t="s">
        <v>791</v>
      </c>
      <c r="D222" s="39" t="s">
        <v>792</v>
      </c>
      <c r="E222" s="39" t="s">
        <v>793</v>
      </c>
      <c r="F222" s="196">
        <v>2.25</v>
      </c>
      <c r="G222" s="196">
        <v>3.23</v>
      </c>
      <c r="H222" s="197">
        <v>4.01</v>
      </c>
      <c r="I222" s="163">
        <f t="shared" si="19"/>
        <v>3.163333333</v>
      </c>
      <c r="J222" s="158" t="s">
        <v>18</v>
      </c>
      <c r="L222" s="6">
        <v>1.0</v>
      </c>
    </row>
    <row r="223" ht="14.25" customHeight="1">
      <c r="A223" s="111">
        <v>17.0</v>
      </c>
      <c r="B223" s="38" t="s">
        <v>809</v>
      </c>
      <c r="C223" s="39" t="s">
        <v>791</v>
      </c>
      <c r="D223" s="39" t="s">
        <v>792</v>
      </c>
      <c r="E223" s="39" t="s">
        <v>793</v>
      </c>
      <c r="F223" s="196">
        <v>4.39</v>
      </c>
      <c r="G223" s="196">
        <v>5.02</v>
      </c>
      <c r="H223" s="197">
        <v>6.25</v>
      </c>
      <c r="I223" s="163">
        <f t="shared" si="19"/>
        <v>5.22</v>
      </c>
      <c r="J223" s="140" t="s">
        <v>577</v>
      </c>
      <c r="K223" s="6">
        <v>1.0</v>
      </c>
    </row>
    <row r="224" ht="14.25" customHeight="1">
      <c r="A224" s="111">
        <v>18.0</v>
      </c>
      <c r="B224" s="38" t="s">
        <v>810</v>
      </c>
      <c r="C224" s="39" t="s">
        <v>791</v>
      </c>
      <c r="D224" s="39" t="s">
        <v>792</v>
      </c>
      <c r="E224" s="39" t="s">
        <v>793</v>
      </c>
      <c r="F224" s="196">
        <v>3.29</v>
      </c>
      <c r="G224" s="196">
        <v>4.25</v>
      </c>
      <c r="H224" s="197">
        <v>5.97</v>
      </c>
      <c r="I224" s="163">
        <f t="shared" si="19"/>
        <v>4.503333333</v>
      </c>
      <c r="J224" s="140" t="s">
        <v>577</v>
      </c>
      <c r="K224" s="6">
        <v>1.0</v>
      </c>
    </row>
    <row r="225" ht="14.25" customHeight="1">
      <c r="A225" s="111">
        <v>19.0</v>
      </c>
      <c r="B225" s="38" t="s">
        <v>811</v>
      </c>
      <c r="C225" s="39" t="s">
        <v>791</v>
      </c>
      <c r="D225" s="39" t="s">
        <v>792</v>
      </c>
      <c r="E225" s="39" t="s">
        <v>793</v>
      </c>
      <c r="F225" s="196">
        <v>5.25</v>
      </c>
      <c r="G225" s="196">
        <v>3.32</v>
      </c>
      <c r="H225" s="197">
        <v>5.01</v>
      </c>
      <c r="I225" s="163">
        <f t="shared" si="19"/>
        <v>4.526666667</v>
      </c>
      <c r="J225" s="140" t="s">
        <v>577</v>
      </c>
      <c r="K225" s="6">
        <v>1.0</v>
      </c>
    </row>
    <row r="226" ht="14.25" customHeight="1">
      <c r="A226" s="111">
        <v>20.0</v>
      </c>
      <c r="B226" s="38" t="s">
        <v>812</v>
      </c>
      <c r="C226" s="39" t="s">
        <v>791</v>
      </c>
      <c r="D226" s="39" t="s">
        <v>792</v>
      </c>
      <c r="E226" s="39" t="s">
        <v>793</v>
      </c>
      <c r="F226" s="196">
        <v>6.23</v>
      </c>
      <c r="G226" s="196">
        <v>5.76</v>
      </c>
      <c r="H226" s="197">
        <v>4.72</v>
      </c>
      <c r="I226" s="163">
        <f t="shared" si="19"/>
        <v>5.57</v>
      </c>
      <c r="J226" s="140" t="s">
        <v>577</v>
      </c>
      <c r="K226" s="6">
        <v>1.0</v>
      </c>
    </row>
    <row r="227" ht="14.25" customHeight="1">
      <c r="A227" s="111">
        <v>21.0</v>
      </c>
      <c r="B227" s="38" t="s">
        <v>813</v>
      </c>
      <c r="C227" s="39" t="s">
        <v>791</v>
      </c>
      <c r="D227" s="39" t="s">
        <v>792</v>
      </c>
      <c r="E227" s="39" t="s">
        <v>793</v>
      </c>
      <c r="F227" s="196">
        <v>4.25</v>
      </c>
      <c r="G227" s="196">
        <v>3.25</v>
      </c>
      <c r="H227" s="197">
        <v>3.71</v>
      </c>
      <c r="I227" s="163">
        <f t="shared" si="19"/>
        <v>3.736666667</v>
      </c>
      <c r="J227" s="158" t="s">
        <v>18</v>
      </c>
      <c r="L227" s="6">
        <v>1.0</v>
      </c>
    </row>
    <row r="228" ht="14.25" customHeight="1">
      <c r="A228" s="111">
        <v>22.0</v>
      </c>
      <c r="B228" s="38" t="s">
        <v>814</v>
      </c>
      <c r="C228" s="39" t="s">
        <v>791</v>
      </c>
      <c r="D228" s="39" t="s">
        <v>792</v>
      </c>
      <c r="E228" s="39" t="s">
        <v>793</v>
      </c>
      <c r="F228" s="196">
        <v>5.27</v>
      </c>
      <c r="G228" s="196">
        <v>5.21</v>
      </c>
      <c r="H228" s="197">
        <v>6.75</v>
      </c>
      <c r="I228" s="163">
        <f t="shared" si="19"/>
        <v>5.743333333</v>
      </c>
      <c r="J228" s="140" t="s">
        <v>577</v>
      </c>
      <c r="K228" s="6">
        <v>1.0</v>
      </c>
    </row>
    <row r="229" ht="14.25" customHeight="1">
      <c r="A229" s="111">
        <v>23.0</v>
      </c>
      <c r="B229" s="38" t="s">
        <v>815</v>
      </c>
      <c r="C229" s="39" t="s">
        <v>791</v>
      </c>
      <c r="D229" s="39" t="s">
        <v>792</v>
      </c>
      <c r="E229" s="39" t="s">
        <v>793</v>
      </c>
      <c r="F229" s="196">
        <v>3.25</v>
      </c>
      <c r="G229" s="196">
        <v>3.52</v>
      </c>
      <c r="H229" s="197">
        <v>2.25</v>
      </c>
      <c r="I229" s="163">
        <f t="shared" si="19"/>
        <v>3.006666667</v>
      </c>
      <c r="J229" s="158" t="s">
        <v>18</v>
      </c>
      <c r="L229" s="6">
        <v>1.0</v>
      </c>
    </row>
    <row r="230" ht="14.25" customHeight="1">
      <c r="A230" s="111">
        <v>24.0</v>
      </c>
      <c r="B230" s="38" t="s">
        <v>816</v>
      </c>
      <c r="C230" s="39" t="s">
        <v>791</v>
      </c>
      <c r="D230" s="39" t="s">
        <v>792</v>
      </c>
      <c r="E230" s="39" t="s">
        <v>793</v>
      </c>
      <c r="F230" s="196">
        <v>4.25</v>
      </c>
      <c r="G230" s="196">
        <v>4.36</v>
      </c>
      <c r="H230" s="197">
        <v>5.02</v>
      </c>
      <c r="I230" s="163">
        <f t="shared" si="19"/>
        <v>4.543333333</v>
      </c>
      <c r="J230" s="140" t="s">
        <v>577</v>
      </c>
      <c r="K230" s="6">
        <v>1.0</v>
      </c>
    </row>
    <row r="231" ht="14.25" customHeight="1">
      <c r="A231" s="111">
        <v>25.0</v>
      </c>
      <c r="B231" s="38" t="s">
        <v>817</v>
      </c>
      <c r="C231" s="39" t="s">
        <v>791</v>
      </c>
      <c r="D231" s="39" t="s">
        <v>792</v>
      </c>
      <c r="E231" s="39" t="s">
        <v>793</v>
      </c>
      <c r="F231" s="196">
        <v>4.35</v>
      </c>
      <c r="G231" s="196">
        <v>6.23</v>
      </c>
      <c r="H231" s="197">
        <v>5.25</v>
      </c>
      <c r="I231" s="163">
        <f t="shared" si="19"/>
        <v>5.276666667</v>
      </c>
      <c r="J231" s="140" t="s">
        <v>577</v>
      </c>
      <c r="K231" s="6">
        <v>1.0</v>
      </c>
    </row>
    <row r="232" ht="14.25" customHeight="1">
      <c r="A232" s="111">
        <v>26.0</v>
      </c>
      <c r="B232" s="38" t="s">
        <v>818</v>
      </c>
      <c r="C232" s="39" t="s">
        <v>791</v>
      </c>
      <c r="D232" s="39" t="s">
        <v>792</v>
      </c>
      <c r="E232" s="39" t="s">
        <v>793</v>
      </c>
      <c r="F232" s="196">
        <v>5.75</v>
      </c>
      <c r="G232" s="196">
        <v>7.23</v>
      </c>
      <c r="H232" s="197">
        <v>7.13</v>
      </c>
      <c r="I232" s="163">
        <f t="shared" si="19"/>
        <v>6.703333333</v>
      </c>
      <c r="J232" s="140" t="s">
        <v>577</v>
      </c>
      <c r="K232" s="6">
        <v>1.0</v>
      </c>
    </row>
    <row r="233" ht="14.25" customHeight="1">
      <c r="A233" s="111">
        <v>27.0</v>
      </c>
      <c r="B233" s="38" t="s">
        <v>819</v>
      </c>
      <c r="C233" s="39" t="s">
        <v>791</v>
      </c>
      <c r="D233" s="39" t="s">
        <v>792</v>
      </c>
      <c r="E233" s="39" t="s">
        <v>793</v>
      </c>
      <c r="F233" s="196">
        <v>4.25</v>
      </c>
      <c r="G233" s="196">
        <v>5.21</v>
      </c>
      <c r="H233" s="197">
        <v>5.36</v>
      </c>
      <c r="I233" s="163">
        <f t="shared" si="19"/>
        <v>4.94</v>
      </c>
      <c r="J233" s="140" t="s">
        <v>577</v>
      </c>
      <c r="K233" s="6">
        <v>1.0</v>
      </c>
    </row>
    <row r="234" ht="14.25" customHeight="1">
      <c r="A234" s="111">
        <v>28.0</v>
      </c>
      <c r="B234" s="38" t="s">
        <v>820</v>
      </c>
      <c r="C234" s="39" t="s">
        <v>791</v>
      </c>
      <c r="D234" s="39" t="s">
        <v>792</v>
      </c>
      <c r="E234" s="39" t="s">
        <v>793</v>
      </c>
      <c r="F234" s="196">
        <v>6.32</v>
      </c>
      <c r="G234" s="196">
        <v>5.02</v>
      </c>
      <c r="H234" s="197">
        <v>7.01</v>
      </c>
      <c r="I234" s="163">
        <f t="shared" si="19"/>
        <v>6.116666667</v>
      </c>
      <c r="J234" s="140" t="s">
        <v>577</v>
      </c>
      <c r="K234" s="6">
        <v>1.0</v>
      </c>
    </row>
    <row r="235" ht="14.25" customHeight="1">
      <c r="A235" s="111">
        <v>29.0</v>
      </c>
      <c r="B235" s="38" t="s">
        <v>278</v>
      </c>
      <c r="C235" s="39" t="s">
        <v>791</v>
      </c>
      <c r="D235" s="39" t="s">
        <v>792</v>
      </c>
      <c r="E235" s="39" t="s">
        <v>793</v>
      </c>
      <c r="F235" s="196">
        <v>5.05</v>
      </c>
      <c r="G235" s="196">
        <v>6.35</v>
      </c>
      <c r="H235" s="197">
        <v>6.24</v>
      </c>
      <c r="I235" s="163">
        <f t="shared" si="19"/>
        <v>5.88</v>
      </c>
      <c r="J235" s="140" t="s">
        <v>577</v>
      </c>
      <c r="K235" s="6">
        <v>1.0</v>
      </c>
    </row>
    <row r="236" ht="14.25" customHeight="1">
      <c r="A236" s="111">
        <v>30.0</v>
      </c>
      <c r="B236" s="38" t="s">
        <v>821</v>
      </c>
      <c r="C236" s="39" t="s">
        <v>791</v>
      </c>
      <c r="D236" s="39" t="s">
        <v>792</v>
      </c>
      <c r="E236" s="39" t="s">
        <v>793</v>
      </c>
      <c r="F236" s="196">
        <v>4.05</v>
      </c>
      <c r="G236" s="196">
        <v>5.01</v>
      </c>
      <c r="H236" s="197">
        <v>7.0</v>
      </c>
      <c r="I236" s="163">
        <f t="shared" si="19"/>
        <v>5.353333333</v>
      </c>
      <c r="J236" s="140" t="s">
        <v>577</v>
      </c>
      <c r="K236" s="6">
        <v>1.0</v>
      </c>
    </row>
    <row r="237" ht="14.25" customHeight="1">
      <c r="A237" s="111">
        <v>31.0</v>
      </c>
      <c r="B237" s="38" t="s">
        <v>822</v>
      </c>
      <c r="C237" s="39" t="s">
        <v>791</v>
      </c>
      <c r="D237" s="39" t="s">
        <v>792</v>
      </c>
      <c r="E237" s="39" t="s">
        <v>793</v>
      </c>
      <c r="F237" s="196">
        <v>5.11</v>
      </c>
      <c r="G237" s="196">
        <v>6.0</v>
      </c>
      <c r="H237" s="197">
        <v>6.15</v>
      </c>
      <c r="I237" s="163">
        <f t="shared" si="19"/>
        <v>5.753333333</v>
      </c>
      <c r="J237" s="140" t="s">
        <v>577</v>
      </c>
      <c r="K237" s="6">
        <v>1.0</v>
      </c>
    </row>
    <row r="238" ht="14.25" customHeight="1">
      <c r="A238" s="1"/>
      <c r="K238" s="16">
        <f t="shared" ref="K238:L238" si="20">SUM(K207:K237)</f>
        <v>25</v>
      </c>
      <c r="L238" s="16">
        <f t="shared" si="20"/>
        <v>6</v>
      </c>
    </row>
    <row r="239" ht="14.25" customHeight="1">
      <c r="A239" s="108"/>
      <c r="K239" s="17">
        <f>K238/A237</f>
        <v>0.8064516129</v>
      </c>
      <c r="L239" s="17">
        <f>L238/A237</f>
        <v>0.1935483871</v>
      </c>
    </row>
    <row r="240" ht="14.25" customHeight="1">
      <c r="A240" s="1" t="s">
        <v>823</v>
      </c>
      <c r="B240" s="26"/>
    </row>
    <row r="241" ht="14.25" customHeight="1">
      <c r="A241" s="1" t="s">
        <v>569</v>
      </c>
      <c r="B241" s="26"/>
    </row>
    <row r="242" ht="14.25" customHeight="1">
      <c r="A242" s="1"/>
    </row>
    <row r="243" ht="14.25" customHeight="1">
      <c r="A243" s="4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824</v>
      </c>
      <c r="G243" s="5" t="s">
        <v>13</v>
      </c>
      <c r="H243" s="176" t="s">
        <v>14</v>
      </c>
      <c r="I243" s="4" t="s">
        <v>571</v>
      </c>
      <c r="J243" s="4" t="s">
        <v>678</v>
      </c>
    </row>
    <row r="244" ht="14.25" customHeight="1">
      <c r="A244" s="8">
        <v>1.0</v>
      </c>
      <c r="B244" s="198" t="s">
        <v>825</v>
      </c>
      <c r="C244" s="122" t="s">
        <v>826</v>
      </c>
      <c r="D244" s="122" t="s">
        <v>827</v>
      </c>
      <c r="E244" s="122" t="s">
        <v>780</v>
      </c>
      <c r="F244" s="199">
        <v>4.6</v>
      </c>
      <c r="G244" s="199">
        <v>4.66</v>
      </c>
      <c r="H244" s="200">
        <v>4.7</v>
      </c>
      <c r="I244" s="201">
        <f t="shared" ref="I244:I257" si="21">((F244+H244+G244)/3)</f>
        <v>4.653333333</v>
      </c>
      <c r="J244" s="81" t="s">
        <v>577</v>
      </c>
      <c r="K244" s="6">
        <v>1.0</v>
      </c>
    </row>
    <row r="245" ht="14.25" customHeight="1">
      <c r="A245" s="8">
        <v>2.0</v>
      </c>
      <c r="B245" s="198" t="s">
        <v>828</v>
      </c>
      <c r="C245" s="122" t="s">
        <v>829</v>
      </c>
      <c r="D245" s="122" t="s">
        <v>827</v>
      </c>
      <c r="E245" s="122" t="s">
        <v>780</v>
      </c>
      <c r="F245" s="199">
        <v>3.0</v>
      </c>
      <c r="G245" s="199">
        <v>4.85</v>
      </c>
      <c r="H245" s="200">
        <v>5.97</v>
      </c>
      <c r="I245" s="201">
        <f t="shared" si="21"/>
        <v>4.606666667</v>
      </c>
      <c r="J245" s="81" t="s">
        <v>577</v>
      </c>
      <c r="K245" s="6">
        <v>1.0</v>
      </c>
    </row>
    <row r="246" ht="14.25" customHeight="1">
      <c r="A246" s="8">
        <v>3.0</v>
      </c>
      <c r="B246" s="198" t="s">
        <v>830</v>
      </c>
      <c r="C246" s="122" t="s">
        <v>831</v>
      </c>
      <c r="D246" s="122" t="s">
        <v>827</v>
      </c>
      <c r="E246" s="122" t="s">
        <v>780</v>
      </c>
      <c r="F246" s="199">
        <v>4.93</v>
      </c>
      <c r="G246" s="199">
        <v>5.16</v>
      </c>
      <c r="H246" s="200">
        <v>5.4</v>
      </c>
      <c r="I246" s="201">
        <f t="shared" si="21"/>
        <v>5.163333333</v>
      </c>
      <c r="J246" s="81" t="s">
        <v>577</v>
      </c>
      <c r="K246" s="6">
        <v>1.0</v>
      </c>
    </row>
    <row r="247" ht="14.25" customHeight="1">
      <c r="A247" s="8">
        <v>4.0</v>
      </c>
      <c r="B247" s="198" t="s">
        <v>247</v>
      </c>
      <c r="C247" s="122" t="s">
        <v>832</v>
      </c>
      <c r="D247" s="122" t="s">
        <v>827</v>
      </c>
      <c r="E247" s="122" t="s">
        <v>780</v>
      </c>
      <c r="F247" s="199">
        <v>6.26</v>
      </c>
      <c r="G247" s="199">
        <v>5.5</v>
      </c>
      <c r="H247" s="200">
        <v>5.6</v>
      </c>
      <c r="I247" s="201">
        <f t="shared" si="21"/>
        <v>5.786666667</v>
      </c>
      <c r="J247" s="81" t="s">
        <v>577</v>
      </c>
      <c r="K247" s="6">
        <v>1.0</v>
      </c>
    </row>
    <row r="248" ht="14.25" customHeight="1">
      <c r="A248" s="8">
        <v>5.0</v>
      </c>
      <c r="B248" s="198" t="s">
        <v>833</v>
      </c>
      <c r="C248" s="122" t="s">
        <v>834</v>
      </c>
      <c r="D248" s="122" t="s">
        <v>827</v>
      </c>
      <c r="E248" s="122" t="s">
        <v>780</v>
      </c>
      <c r="F248" s="199">
        <v>5.0</v>
      </c>
      <c r="G248" s="199">
        <v>6.33</v>
      </c>
      <c r="H248" s="200">
        <v>6.43</v>
      </c>
      <c r="I248" s="201">
        <f t="shared" si="21"/>
        <v>5.92</v>
      </c>
      <c r="J248" s="81" t="s">
        <v>577</v>
      </c>
      <c r="K248" s="6">
        <v>1.0</v>
      </c>
    </row>
    <row r="249" ht="14.25" customHeight="1">
      <c r="A249" s="8">
        <v>6.0</v>
      </c>
      <c r="B249" s="198" t="s">
        <v>835</v>
      </c>
      <c r="C249" s="122" t="s">
        <v>836</v>
      </c>
      <c r="D249" s="122" t="s">
        <v>827</v>
      </c>
      <c r="E249" s="122" t="s">
        <v>780</v>
      </c>
      <c r="F249" s="199">
        <v>4.53</v>
      </c>
      <c r="G249" s="199">
        <v>5.33</v>
      </c>
      <c r="H249" s="200">
        <v>5.7</v>
      </c>
      <c r="I249" s="201">
        <f t="shared" si="21"/>
        <v>5.186666667</v>
      </c>
      <c r="J249" s="81" t="s">
        <v>577</v>
      </c>
      <c r="K249" s="6">
        <v>1.0</v>
      </c>
    </row>
    <row r="250" ht="14.25" customHeight="1">
      <c r="A250" s="8">
        <v>7.0</v>
      </c>
      <c r="B250" s="198" t="s">
        <v>837</v>
      </c>
      <c r="C250" s="122" t="s">
        <v>838</v>
      </c>
      <c r="D250" s="122" t="s">
        <v>827</v>
      </c>
      <c r="E250" s="122" t="s">
        <v>780</v>
      </c>
      <c r="F250" s="199">
        <v>5.4</v>
      </c>
      <c r="G250" s="199">
        <v>6.25</v>
      </c>
      <c r="H250" s="200">
        <v>6.45</v>
      </c>
      <c r="I250" s="201">
        <f t="shared" si="21"/>
        <v>6.033333333</v>
      </c>
      <c r="J250" s="81" t="s">
        <v>577</v>
      </c>
      <c r="K250" s="6">
        <v>1.0</v>
      </c>
    </row>
    <row r="251" ht="14.25" customHeight="1">
      <c r="A251" s="8">
        <v>8.0</v>
      </c>
      <c r="B251" s="198" t="s">
        <v>839</v>
      </c>
      <c r="C251" s="122" t="s">
        <v>840</v>
      </c>
      <c r="D251" s="122" t="s">
        <v>827</v>
      </c>
      <c r="E251" s="122" t="s">
        <v>780</v>
      </c>
      <c r="F251" s="199">
        <v>4.13</v>
      </c>
      <c r="G251" s="199">
        <v>4.66</v>
      </c>
      <c r="H251" s="200">
        <v>5.76</v>
      </c>
      <c r="I251" s="201">
        <f t="shared" si="21"/>
        <v>4.85</v>
      </c>
      <c r="J251" s="81" t="s">
        <v>577</v>
      </c>
      <c r="K251" s="6">
        <v>1.0</v>
      </c>
    </row>
    <row r="252" ht="14.25" customHeight="1">
      <c r="A252" s="8">
        <v>9.0</v>
      </c>
      <c r="B252" s="198" t="s">
        <v>841</v>
      </c>
      <c r="C252" s="122" t="s">
        <v>842</v>
      </c>
      <c r="D252" s="122" t="s">
        <v>827</v>
      </c>
      <c r="E252" s="122" t="s">
        <v>780</v>
      </c>
      <c r="F252" s="199">
        <v>1.4</v>
      </c>
      <c r="G252" s="199">
        <v>1.66</v>
      </c>
      <c r="H252" s="200">
        <v>1.6</v>
      </c>
      <c r="I252" s="201">
        <f t="shared" si="21"/>
        <v>1.553333333</v>
      </c>
      <c r="J252" s="94" t="s">
        <v>18</v>
      </c>
      <c r="L252" s="6">
        <v>1.0</v>
      </c>
    </row>
    <row r="253" ht="14.25" customHeight="1">
      <c r="A253" s="8">
        <v>10.0</v>
      </c>
      <c r="B253" s="198" t="s">
        <v>843</v>
      </c>
      <c r="C253" s="122" t="s">
        <v>844</v>
      </c>
      <c r="D253" s="122" t="s">
        <v>827</v>
      </c>
      <c r="E253" s="122" t="s">
        <v>780</v>
      </c>
      <c r="F253" s="199">
        <v>6.0</v>
      </c>
      <c r="G253" s="199">
        <v>6.66</v>
      </c>
      <c r="H253" s="200">
        <v>7.1</v>
      </c>
      <c r="I253" s="201">
        <f t="shared" si="21"/>
        <v>6.586666667</v>
      </c>
      <c r="J253" s="81" t="s">
        <v>577</v>
      </c>
      <c r="K253" s="6">
        <v>1.0</v>
      </c>
    </row>
    <row r="254" ht="14.25" customHeight="1">
      <c r="A254" s="8">
        <v>11.0</v>
      </c>
      <c r="B254" s="198" t="s">
        <v>845</v>
      </c>
      <c r="C254" s="122" t="s">
        <v>846</v>
      </c>
      <c r="D254" s="122" t="s">
        <v>827</v>
      </c>
      <c r="E254" s="122" t="s">
        <v>780</v>
      </c>
      <c r="F254" s="199">
        <v>7.4</v>
      </c>
      <c r="G254" s="199">
        <v>7.33</v>
      </c>
      <c r="H254" s="200">
        <v>8.4</v>
      </c>
      <c r="I254" s="201">
        <f t="shared" si="21"/>
        <v>7.71</v>
      </c>
      <c r="J254" s="81" t="s">
        <v>577</v>
      </c>
      <c r="K254" s="6">
        <v>1.0</v>
      </c>
    </row>
    <row r="255" ht="14.25" customHeight="1">
      <c r="A255" s="8">
        <v>12.0</v>
      </c>
      <c r="B255" s="198" t="s">
        <v>847</v>
      </c>
      <c r="C255" s="122" t="s">
        <v>848</v>
      </c>
      <c r="D255" s="122" t="s">
        <v>827</v>
      </c>
      <c r="E255" s="122" t="s">
        <v>780</v>
      </c>
      <c r="F255" s="199">
        <v>4.73</v>
      </c>
      <c r="G255" s="199">
        <v>6.16</v>
      </c>
      <c r="H255" s="200">
        <v>6.75</v>
      </c>
      <c r="I255" s="201">
        <f t="shared" si="21"/>
        <v>5.88</v>
      </c>
      <c r="J255" s="81" t="s">
        <v>577</v>
      </c>
      <c r="K255" s="6">
        <v>1.0</v>
      </c>
    </row>
    <row r="256" ht="14.25" customHeight="1">
      <c r="A256" s="8">
        <v>13.0</v>
      </c>
      <c r="B256" s="198" t="s">
        <v>849</v>
      </c>
      <c r="C256" s="122" t="s">
        <v>850</v>
      </c>
      <c r="D256" s="122" t="s">
        <v>827</v>
      </c>
      <c r="E256" s="122" t="s">
        <v>780</v>
      </c>
      <c r="F256" s="199">
        <v>6.53</v>
      </c>
      <c r="G256" s="199">
        <v>5.25</v>
      </c>
      <c r="H256" s="200">
        <v>5.17</v>
      </c>
      <c r="I256" s="201">
        <f t="shared" si="21"/>
        <v>5.65</v>
      </c>
      <c r="J256" s="81" t="s">
        <v>577</v>
      </c>
      <c r="K256" s="6">
        <v>1.0</v>
      </c>
    </row>
    <row r="257" ht="14.25" customHeight="1">
      <c r="A257" s="8">
        <v>14.0</v>
      </c>
      <c r="B257" s="198" t="s">
        <v>851</v>
      </c>
      <c r="C257" s="122" t="s">
        <v>852</v>
      </c>
      <c r="D257" s="122" t="s">
        <v>827</v>
      </c>
      <c r="E257" s="122" t="s">
        <v>780</v>
      </c>
      <c r="F257" s="199">
        <v>5.33</v>
      </c>
      <c r="G257" s="199">
        <v>4.33</v>
      </c>
      <c r="H257" s="200">
        <v>5.9</v>
      </c>
      <c r="I257" s="201">
        <f t="shared" si="21"/>
        <v>5.186666667</v>
      </c>
      <c r="J257" s="81" t="s">
        <v>577</v>
      </c>
      <c r="K257" s="6">
        <v>1.0</v>
      </c>
    </row>
    <row r="258" ht="14.25" customHeight="1">
      <c r="A258" s="108"/>
      <c r="B258" s="26"/>
      <c r="C258" s="26"/>
      <c r="D258" s="26"/>
      <c r="E258" s="26"/>
      <c r="F258" s="26"/>
      <c r="G258" s="26"/>
      <c r="H258" s="26"/>
      <c r="I258" s="26"/>
      <c r="J258" s="26"/>
      <c r="K258" s="16">
        <f t="shared" ref="K258:L258" si="22">SUM(K244:K257)</f>
        <v>13</v>
      </c>
      <c r="L258" s="16">
        <f t="shared" si="22"/>
        <v>1</v>
      </c>
    </row>
    <row r="259" ht="14.25" customHeight="1">
      <c r="A259" s="108" t="s">
        <v>853</v>
      </c>
      <c r="B259" s="26"/>
      <c r="C259" s="26"/>
      <c r="D259" s="26"/>
      <c r="E259" s="26"/>
      <c r="F259" s="26"/>
      <c r="G259" s="26"/>
      <c r="H259" s="26"/>
      <c r="I259" s="26"/>
      <c r="J259" s="26"/>
      <c r="K259" s="17">
        <f>K258/A257</f>
        <v>0.9285714286</v>
      </c>
      <c r="L259" s="17">
        <f>L258/A257</f>
        <v>0.07142857143</v>
      </c>
    </row>
    <row r="260" ht="14.25" customHeight="1">
      <c r="A260" s="108" t="s">
        <v>569</v>
      </c>
      <c r="B260" s="26"/>
      <c r="C260" s="26"/>
      <c r="D260" s="26"/>
      <c r="E260" s="26"/>
      <c r="F260" s="26"/>
      <c r="G260" s="26"/>
      <c r="H260" s="26"/>
      <c r="I260" s="26"/>
      <c r="J260" s="26"/>
    </row>
    <row r="261" ht="14.25" customHeight="1">
      <c r="A261" s="202" t="s">
        <v>854</v>
      </c>
      <c r="B261" s="203" t="s">
        <v>855</v>
      </c>
      <c r="C261" s="203" t="s">
        <v>673</v>
      </c>
      <c r="D261" s="203" t="s">
        <v>674</v>
      </c>
      <c r="E261" s="203" t="s">
        <v>605</v>
      </c>
      <c r="F261" s="203" t="s">
        <v>856</v>
      </c>
      <c r="G261" s="203" t="s">
        <v>857</v>
      </c>
      <c r="H261" s="203" t="s">
        <v>858</v>
      </c>
      <c r="I261" s="203" t="s">
        <v>571</v>
      </c>
      <c r="J261" s="203" t="s">
        <v>678</v>
      </c>
      <c r="K261" s="204"/>
      <c r="L261" s="204"/>
    </row>
    <row r="262" ht="14.25" customHeight="1">
      <c r="A262" s="8">
        <v>1.0</v>
      </c>
      <c r="B262" s="9" t="s">
        <v>859</v>
      </c>
      <c r="C262" s="10" t="s">
        <v>860</v>
      </c>
      <c r="D262" s="10" t="s">
        <v>861</v>
      </c>
      <c r="E262" s="10" t="s">
        <v>780</v>
      </c>
      <c r="F262" s="11">
        <v>4.5</v>
      </c>
      <c r="G262" s="11">
        <v>5.8</v>
      </c>
      <c r="H262" s="11">
        <v>6.05</v>
      </c>
      <c r="I262" s="20">
        <f t="shared" ref="I262:I290" si="23">((F262+H262+G262)/3)</f>
        <v>5.45</v>
      </c>
      <c r="J262" s="140" t="s">
        <v>577</v>
      </c>
      <c r="K262" s="6">
        <v>1.0</v>
      </c>
    </row>
    <row r="263" ht="14.25" customHeight="1">
      <c r="A263" s="8">
        <v>2.0</v>
      </c>
      <c r="B263" s="9" t="s">
        <v>862</v>
      </c>
      <c r="C263" s="10" t="s">
        <v>860</v>
      </c>
      <c r="D263" s="10" t="s">
        <v>861</v>
      </c>
      <c r="E263" s="10" t="s">
        <v>780</v>
      </c>
      <c r="F263" s="11">
        <v>5.25</v>
      </c>
      <c r="G263" s="11">
        <v>6.5</v>
      </c>
      <c r="H263" s="11">
        <v>5.0</v>
      </c>
      <c r="I263" s="20">
        <f t="shared" si="23"/>
        <v>5.583333333</v>
      </c>
      <c r="J263" s="140" t="s">
        <v>577</v>
      </c>
      <c r="K263" s="6">
        <v>1.0</v>
      </c>
    </row>
    <row r="264" ht="14.25" customHeight="1">
      <c r="A264" s="8">
        <v>3.0</v>
      </c>
      <c r="B264" s="9" t="s">
        <v>863</v>
      </c>
      <c r="C264" s="10" t="s">
        <v>860</v>
      </c>
      <c r="D264" s="10" t="s">
        <v>861</v>
      </c>
      <c r="E264" s="10" t="s">
        <v>780</v>
      </c>
      <c r="F264" s="11">
        <v>7.5</v>
      </c>
      <c r="G264" s="11">
        <v>8.29</v>
      </c>
      <c r="H264" s="11">
        <v>8.0</v>
      </c>
      <c r="I264" s="20">
        <f t="shared" si="23"/>
        <v>7.93</v>
      </c>
      <c r="J264" s="140" t="s">
        <v>577</v>
      </c>
      <c r="K264" s="6">
        <v>1.0</v>
      </c>
    </row>
    <row r="265" ht="14.25" customHeight="1">
      <c r="A265" s="8">
        <v>4.0</v>
      </c>
      <c r="B265" s="9" t="s">
        <v>864</v>
      </c>
      <c r="C265" s="10" t="s">
        <v>860</v>
      </c>
      <c r="D265" s="10" t="s">
        <v>861</v>
      </c>
      <c r="E265" s="10" t="s">
        <v>780</v>
      </c>
      <c r="F265" s="11">
        <v>5.17</v>
      </c>
      <c r="G265" s="11">
        <v>5.8</v>
      </c>
      <c r="H265" s="11">
        <v>6.0</v>
      </c>
      <c r="I265" s="20">
        <f t="shared" si="23"/>
        <v>5.656666667</v>
      </c>
      <c r="J265" s="140" t="s">
        <v>577</v>
      </c>
      <c r="K265" s="6">
        <v>1.0</v>
      </c>
    </row>
    <row r="266" ht="14.25" customHeight="1">
      <c r="A266" s="8">
        <v>5.0</v>
      </c>
      <c r="B266" s="9" t="s">
        <v>865</v>
      </c>
      <c r="C266" s="10" t="s">
        <v>860</v>
      </c>
      <c r="D266" s="10" t="s">
        <v>861</v>
      </c>
      <c r="E266" s="10" t="s">
        <v>780</v>
      </c>
      <c r="F266" s="11">
        <v>4.34</v>
      </c>
      <c r="G266" s="11">
        <v>6.53</v>
      </c>
      <c r="H266" s="11">
        <v>5.88</v>
      </c>
      <c r="I266" s="20">
        <f t="shared" si="23"/>
        <v>5.583333333</v>
      </c>
      <c r="J266" s="140" t="s">
        <v>577</v>
      </c>
      <c r="K266" s="6">
        <v>1.0</v>
      </c>
    </row>
    <row r="267" ht="14.25" customHeight="1">
      <c r="A267" s="8">
        <v>6.0</v>
      </c>
      <c r="B267" s="9" t="s">
        <v>866</v>
      </c>
      <c r="C267" s="10" t="s">
        <v>860</v>
      </c>
      <c r="D267" s="10" t="s">
        <v>867</v>
      </c>
      <c r="E267" s="10" t="s">
        <v>780</v>
      </c>
      <c r="F267" s="11">
        <v>5.11</v>
      </c>
      <c r="G267" s="11">
        <v>7.35</v>
      </c>
      <c r="H267" s="11">
        <v>7.0</v>
      </c>
      <c r="I267" s="20">
        <f t="shared" si="23"/>
        <v>6.486666667</v>
      </c>
      <c r="J267" s="140" t="s">
        <v>577</v>
      </c>
      <c r="K267" s="6">
        <v>1.0</v>
      </c>
    </row>
    <row r="268" ht="14.25" customHeight="1">
      <c r="A268" s="8">
        <v>7.0</v>
      </c>
      <c r="B268" s="9" t="s">
        <v>868</v>
      </c>
      <c r="C268" s="10" t="s">
        <v>860</v>
      </c>
      <c r="D268" s="10" t="s">
        <v>861</v>
      </c>
      <c r="E268" s="10" t="s">
        <v>780</v>
      </c>
      <c r="F268" s="11">
        <v>4.8</v>
      </c>
      <c r="G268" s="11">
        <v>5.5</v>
      </c>
      <c r="H268" s="11">
        <v>6.0</v>
      </c>
      <c r="I268" s="20">
        <f t="shared" si="23"/>
        <v>5.433333333</v>
      </c>
      <c r="J268" s="140" t="s">
        <v>577</v>
      </c>
      <c r="K268" s="6">
        <v>1.0</v>
      </c>
    </row>
    <row r="269" ht="14.25" customHeight="1">
      <c r="A269" s="8">
        <v>8.0</v>
      </c>
      <c r="B269" s="9" t="s">
        <v>869</v>
      </c>
      <c r="C269" s="10" t="s">
        <v>860</v>
      </c>
      <c r="D269" s="10" t="s">
        <v>861</v>
      </c>
      <c r="E269" s="10" t="s">
        <v>780</v>
      </c>
      <c r="F269" s="11">
        <v>3.47</v>
      </c>
      <c r="G269" s="11">
        <v>4.5</v>
      </c>
      <c r="H269" s="11">
        <v>5.0</v>
      </c>
      <c r="I269" s="20">
        <f t="shared" si="23"/>
        <v>4.323333333</v>
      </c>
      <c r="J269" s="154" t="s">
        <v>18</v>
      </c>
      <c r="L269" s="6">
        <v>1.0</v>
      </c>
    </row>
    <row r="270" ht="14.25" customHeight="1">
      <c r="A270" s="8">
        <v>9.0</v>
      </c>
      <c r="B270" s="9" t="s">
        <v>870</v>
      </c>
      <c r="C270" s="10" t="s">
        <v>860</v>
      </c>
      <c r="D270" s="10" t="s">
        <v>861</v>
      </c>
      <c r="E270" s="10" t="s">
        <v>780</v>
      </c>
      <c r="F270" s="11">
        <v>3.99</v>
      </c>
      <c r="G270" s="11">
        <v>3.85</v>
      </c>
      <c r="H270" s="11">
        <v>5.0</v>
      </c>
      <c r="I270" s="20">
        <f t="shared" si="23"/>
        <v>4.28</v>
      </c>
      <c r="J270" s="154" t="s">
        <v>18</v>
      </c>
      <c r="L270" s="6">
        <v>1.0</v>
      </c>
    </row>
    <row r="271" ht="14.25" customHeight="1">
      <c r="A271" s="8">
        <v>10.0</v>
      </c>
      <c r="B271" s="9" t="s">
        <v>871</v>
      </c>
      <c r="C271" s="10" t="s">
        <v>860</v>
      </c>
      <c r="D271" s="10" t="s">
        <v>861</v>
      </c>
      <c r="E271" s="10" t="s">
        <v>780</v>
      </c>
      <c r="F271" s="11">
        <v>5.7</v>
      </c>
      <c r="G271" s="11">
        <v>6.11</v>
      </c>
      <c r="H271" s="11">
        <v>7.0</v>
      </c>
      <c r="I271" s="20">
        <f t="shared" si="23"/>
        <v>6.27</v>
      </c>
      <c r="J271" s="140" t="s">
        <v>577</v>
      </c>
      <c r="K271" s="6">
        <v>1.0</v>
      </c>
    </row>
    <row r="272" ht="14.25" customHeight="1">
      <c r="A272" s="8">
        <v>11.0</v>
      </c>
      <c r="B272" s="9" t="s">
        <v>872</v>
      </c>
      <c r="C272" s="10" t="s">
        <v>860</v>
      </c>
      <c r="D272" s="10" t="s">
        <v>861</v>
      </c>
      <c r="E272" s="10" t="s">
        <v>780</v>
      </c>
      <c r="F272" s="11">
        <v>3.5</v>
      </c>
      <c r="G272" s="11">
        <v>4.41</v>
      </c>
      <c r="H272" s="11">
        <v>5.25</v>
      </c>
      <c r="I272" s="20">
        <f t="shared" si="23"/>
        <v>4.386666667</v>
      </c>
      <c r="J272" s="154" t="s">
        <v>18</v>
      </c>
      <c r="L272" s="6">
        <v>1.0</v>
      </c>
    </row>
    <row r="273" ht="14.25" customHeight="1">
      <c r="A273" s="8">
        <v>12.0</v>
      </c>
      <c r="B273" s="9" t="s">
        <v>873</v>
      </c>
      <c r="C273" s="10" t="s">
        <v>860</v>
      </c>
      <c r="D273" s="10" t="s">
        <v>861</v>
      </c>
      <c r="E273" s="10" t="s">
        <v>780</v>
      </c>
      <c r="F273" s="11">
        <v>3.35</v>
      </c>
      <c r="G273" s="11">
        <v>5.94</v>
      </c>
      <c r="H273" s="11">
        <v>6.85</v>
      </c>
      <c r="I273" s="20">
        <f t="shared" si="23"/>
        <v>5.38</v>
      </c>
      <c r="J273" s="140" t="s">
        <v>577</v>
      </c>
      <c r="K273" s="6">
        <v>1.0</v>
      </c>
    </row>
    <row r="274" ht="14.25" customHeight="1">
      <c r="A274" s="8">
        <v>13.0</v>
      </c>
      <c r="B274" s="9" t="s">
        <v>874</v>
      </c>
      <c r="C274" s="10" t="s">
        <v>875</v>
      </c>
      <c r="D274" s="10" t="s">
        <v>861</v>
      </c>
      <c r="E274" s="10" t="s">
        <v>780</v>
      </c>
      <c r="F274" s="11">
        <v>5.0</v>
      </c>
      <c r="G274" s="11">
        <v>4.85</v>
      </c>
      <c r="H274" s="11">
        <v>5.5</v>
      </c>
      <c r="I274" s="20">
        <f t="shared" si="23"/>
        <v>5.116666667</v>
      </c>
      <c r="J274" s="140" t="s">
        <v>577</v>
      </c>
      <c r="K274" s="6">
        <v>1.0</v>
      </c>
    </row>
    <row r="275" ht="14.25" customHeight="1">
      <c r="A275" s="8">
        <v>14.0</v>
      </c>
      <c r="B275" s="9" t="s">
        <v>876</v>
      </c>
      <c r="C275" s="10" t="s">
        <v>860</v>
      </c>
      <c r="D275" s="10" t="s">
        <v>861</v>
      </c>
      <c r="E275" s="10" t="s">
        <v>780</v>
      </c>
      <c r="F275" s="11">
        <v>6.11</v>
      </c>
      <c r="G275" s="11">
        <v>6.85</v>
      </c>
      <c r="H275" s="11">
        <v>7.55</v>
      </c>
      <c r="I275" s="20">
        <f t="shared" si="23"/>
        <v>6.836666667</v>
      </c>
      <c r="J275" s="140" t="s">
        <v>577</v>
      </c>
      <c r="K275" s="6">
        <v>1.0</v>
      </c>
    </row>
    <row r="276" ht="14.25" customHeight="1">
      <c r="A276" s="8">
        <v>15.0</v>
      </c>
      <c r="B276" s="9" t="s">
        <v>877</v>
      </c>
      <c r="C276" s="10" t="s">
        <v>860</v>
      </c>
      <c r="D276" s="10" t="s">
        <v>861</v>
      </c>
      <c r="E276" s="10" t="s">
        <v>780</v>
      </c>
      <c r="F276" s="11">
        <v>3.76</v>
      </c>
      <c r="G276" s="11">
        <v>3.8</v>
      </c>
      <c r="H276" s="11">
        <v>5.0</v>
      </c>
      <c r="I276" s="20">
        <f t="shared" si="23"/>
        <v>4.186666667</v>
      </c>
      <c r="J276" s="154" t="s">
        <v>18</v>
      </c>
      <c r="L276" s="6">
        <v>1.0</v>
      </c>
    </row>
    <row r="277" ht="14.25" customHeight="1">
      <c r="A277" s="8">
        <v>16.0</v>
      </c>
      <c r="B277" s="9" t="s">
        <v>878</v>
      </c>
      <c r="C277" s="10" t="s">
        <v>860</v>
      </c>
      <c r="D277" s="10" t="s">
        <v>861</v>
      </c>
      <c r="E277" s="10" t="s">
        <v>780</v>
      </c>
      <c r="F277" s="11">
        <v>5.76</v>
      </c>
      <c r="G277" s="11">
        <v>5.0</v>
      </c>
      <c r="H277" s="11">
        <v>6.11</v>
      </c>
      <c r="I277" s="20">
        <f t="shared" si="23"/>
        <v>5.623333333</v>
      </c>
      <c r="J277" s="140" t="s">
        <v>577</v>
      </c>
      <c r="K277" s="6">
        <v>1.0</v>
      </c>
    </row>
    <row r="278" ht="14.25" customHeight="1">
      <c r="A278" s="8">
        <v>17.0</v>
      </c>
      <c r="B278" s="9" t="s">
        <v>879</v>
      </c>
      <c r="C278" s="10" t="s">
        <v>860</v>
      </c>
      <c r="D278" s="10" t="s">
        <v>861</v>
      </c>
      <c r="E278" s="10" t="s">
        <v>780</v>
      </c>
      <c r="F278" s="11">
        <v>4.11</v>
      </c>
      <c r="G278" s="11">
        <v>6.76</v>
      </c>
      <c r="H278" s="11">
        <v>7.58</v>
      </c>
      <c r="I278" s="20">
        <f t="shared" si="23"/>
        <v>6.15</v>
      </c>
      <c r="J278" s="140" t="s">
        <v>577</v>
      </c>
      <c r="K278" s="6">
        <v>1.0</v>
      </c>
    </row>
    <row r="279" ht="14.25" customHeight="1">
      <c r="A279" s="8">
        <v>18.0</v>
      </c>
      <c r="B279" s="9" t="s">
        <v>880</v>
      </c>
      <c r="C279" s="10" t="s">
        <v>860</v>
      </c>
      <c r="D279" s="10" t="s">
        <v>861</v>
      </c>
      <c r="E279" s="10" t="s">
        <v>780</v>
      </c>
      <c r="F279" s="11">
        <v>1.58</v>
      </c>
      <c r="G279" s="11">
        <v>2.94</v>
      </c>
      <c r="H279" s="11">
        <v>3.65</v>
      </c>
      <c r="I279" s="20">
        <f t="shared" si="23"/>
        <v>2.723333333</v>
      </c>
      <c r="J279" s="154" t="s">
        <v>18</v>
      </c>
      <c r="L279" s="6">
        <v>1.0</v>
      </c>
    </row>
    <row r="280" ht="14.25" customHeight="1">
      <c r="A280" s="8">
        <v>19.0</v>
      </c>
      <c r="B280" s="9" t="s">
        <v>881</v>
      </c>
      <c r="C280" s="10" t="s">
        <v>882</v>
      </c>
      <c r="D280" s="10" t="s">
        <v>861</v>
      </c>
      <c r="E280" s="10" t="s">
        <v>780</v>
      </c>
      <c r="F280" s="11">
        <v>3.76</v>
      </c>
      <c r="G280" s="11">
        <v>2.58</v>
      </c>
      <c r="H280" s="11">
        <v>2.64</v>
      </c>
      <c r="I280" s="20">
        <f t="shared" si="23"/>
        <v>2.993333333</v>
      </c>
      <c r="J280" s="154" t="s">
        <v>18</v>
      </c>
      <c r="L280" s="6">
        <v>1.0</v>
      </c>
    </row>
    <row r="281" ht="14.25" customHeight="1">
      <c r="A281" s="8">
        <v>20.0</v>
      </c>
      <c r="B281" s="9" t="s">
        <v>883</v>
      </c>
      <c r="C281" s="10" t="s">
        <v>860</v>
      </c>
      <c r="D281" s="10" t="s">
        <v>861</v>
      </c>
      <c r="E281" s="10" t="s">
        <v>780</v>
      </c>
      <c r="F281" s="11">
        <v>4.5</v>
      </c>
      <c r="G281" s="11">
        <v>4.8</v>
      </c>
      <c r="H281" s="11">
        <v>4.12</v>
      </c>
      <c r="I281" s="20">
        <f t="shared" si="23"/>
        <v>4.473333333</v>
      </c>
      <c r="J281" s="154" t="s">
        <v>18</v>
      </c>
      <c r="L281" s="6">
        <v>1.0</v>
      </c>
    </row>
    <row r="282" ht="14.25" customHeight="1">
      <c r="A282" s="8">
        <v>21.0</v>
      </c>
      <c r="B282" s="9" t="s">
        <v>884</v>
      </c>
      <c r="C282" s="10" t="s">
        <v>860</v>
      </c>
      <c r="D282" s="10" t="s">
        <v>861</v>
      </c>
      <c r="E282" s="10" t="s">
        <v>780</v>
      </c>
      <c r="F282" s="11">
        <v>5.58</v>
      </c>
      <c r="G282" s="11">
        <v>6.02</v>
      </c>
      <c r="H282" s="11">
        <v>6.7</v>
      </c>
      <c r="I282" s="20">
        <f t="shared" si="23"/>
        <v>6.1</v>
      </c>
      <c r="J282" s="140" t="s">
        <v>577</v>
      </c>
      <c r="K282" s="6">
        <v>1.0</v>
      </c>
    </row>
    <row r="283" ht="14.25" customHeight="1">
      <c r="A283" s="8">
        <v>22.0</v>
      </c>
      <c r="B283" s="9" t="s">
        <v>885</v>
      </c>
      <c r="C283" s="10" t="s">
        <v>860</v>
      </c>
      <c r="D283" s="10" t="s">
        <v>861</v>
      </c>
      <c r="E283" s="10" t="s">
        <v>780</v>
      </c>
      <c r="F283" s="11">
        <v>6.76</v>
      </c>
      <c r="G283" s="11">
        <v>5.58</v>
      </c>
      <c r="H283" s="11">
        <v>5.64</v>
      </c>
      <c r="I283" s="20">
        <f t="shared" si="23"/>
        <v>5.993333333</v>
      </c>
      <c r="J283" s="140" t="s">
        <v>577</v>
      </c>
      <c r="K283" s="6">
        <v>1.0</v>
      </c>
    </row>
    <row r="284" ht="14.25" customHeight="1">
      <c r="A284" s="8">
        <v>23.0</v>
      </c>
      <c r="B284" s="9" t="s">
        <v>886</v>
      </c>
      <c r="C284" s="10" t="s">
        <v>860</v>
      </c>
      <c r="D284" s="10" t="s">
        <v>861</v>
      </c>
      <c r="E284" s="10" t="s">
        <v>780</v>
      </c>
      <c r="F284" s="11">
        <v>4.95</v>
      </c>
      <c r="G284" s="11">
        <v>6.09</v>
      </c>
      <c r="H284" s="11">
        <v>7.0</v>
      </c>
      <c r="I284" s="20">
        <f t="shared" si="23"/>
        <v>6.013333333</v>
      </c>
      <c r="J284" s="140" t="s">
        <v>577</v>
      </c>
      <c r="K284" s="6">
        <v>1.0</v>
      </c>
    </row>
    <row r="285" ht="14.25" customHeight="1">
      <c r="A285" s="8">
        <v>24.0</v>
      </c>
      <c r="B285" s="9" t="s">
        <v>887</v>
      </c>
      <c r="C285" s="10" t="s">
        <v>860</v>
      </c>
      <c r="D285" s="10" t="s">
        <v>861</v>
      </c>
      <c r="E285" s="10" t="s">
        <v>576</v>
      </c>
      <c r="F285" s="11">
        <v>3.88</v>
      </c>
      <c r="G285" s="11">
        <v>4.79</v>
      </c>
      <c r="H285" s="11">
        <v>5.0</v>
      </c>
      <c r="I285" s="20">
        <f t="shared" si="23"/>
        <v>4.556666667</v>
      </c>
      <c r="J285" s="140" t="s">
        <v>577</v>
      </c>
      <c r="K285" s="6">
        <v>1.0</v>
      </c>
    </row>
    <row r="286" ht="14.25" customHeight="1">
      <c r="A286" s="8">
        <v>25.0</v>
      </c>
      <c r="B286" s="9" t="s">
        <v>888</v>
      </c>
      <c r="C286" s="10" t="s">
        <v>860</v>
      </c>
      <c r="D286" s="10" t="s">
        <v>861</v>
      </c>
      <c r="E286" s="10" t="s">
        <v>576</v>
      </c>
      <c r="F286" s="11">
        <v>5.0</v>
      </c>
      <c r="G286" s="11">
        <v>5.77</v>
      </c>
      <c r="H286" s="11">
        <v>6.05</v>
      </c>
      <c r="I286" s="20">
        <f t="shared" si="23"/>
        <v>5.606666667</v>
      </c>
      <c r="J286" s="140" t="s">
        <v>577</v>
      </c>
      <c r="K286" s="6">
        <v>1.0</v>
      </c>
    </row>
    <row r="287" ht="14.25" customHeight="1">
      <c r="A287" s="8">
        <v>26.0</v>
      </c>
      <c r="B287" s="9" t="s">
        <v>889</v>
      </c>
      <c r="C287" s="10" t="s">
        <v>860</v>
      </c>
      <c r="D287" s="10" t="s">
        <v>861</v>
      </c>
      <c r="E287" s="10" t="s">
        <v>576</v>
      </c>
      <c r="F287" s="11">
        <v>1.87</v>
      </c>
      <c r="G287" s="11">
        <v>3.0</v>
      </c>
      <c r="H287" s="11">
        <v>3.45</v>
      </c>
      <c r="I287" s="20">
        <f t="shared" si="23"/>
        <v>2.773333333</v>
      </c>
      <c r="J287" s="154" t="s">
        <v>18</v>
      </c>
      <c r="L287" s="6">
        <v>1.0</v>
      </c>
    </row>
    <row r="288" ht="14.25" customHeight="1">
      <c r="A288" s="8">
        <v>27.0</v>
      </c>
      <c r="B288" s="9" t="s">
        <v>890</v>
      </c>
      <c r="C288" s="10" t="s">
        <v>860</v>
      </c>
      <c r="D288" s="10" t="s">
        <v>861</v>
      </c>
      <c r="E288" s="10" t="s">
        <v>576</v>
      </c>
      <c r="F288" s="11">
        <v>4.0</v>
      </c>
      <c r="G288" s="11">
        <v>5.5</v>
      </c>
      <c r="H288" s="11">
        <v>6.0</v>
      </c>
      <c r="I288" s="20">
        <f t="shared" si="23"/>
        <v>5.166666667</v>
      </c>
      <c r="J288" s="140" t="s">
        <v>577</v>
      </c>
      <c r="K288" s="6">
        <v>1.0</v>
      </c>
    </row>
    <row r="289" ht="14.25" customHeight="1">
      <c r="A289" s="8">
        <v>28.0</v>
      </c>
      <c r="B289" s="9" t="s">
        <v>891</v>
      </c>
      <c r="C289" s="10" t="s">
        <v>860</v>
      </c>
      <c r="D289" s="10" t="s">
        <v>861</v>
      </c>
      <c r="E289" s="10" t="s">
        <v>576</v>
      </c>
      <c r="F289" s="11">
        <v>6.3</v>
      </c>
      <c r="G289" s="11">
        <v>6.0</v>
      </c>
      <c r="H289" s="11">
        <v>7.0</v>
      </c>
      <c r="I289" s="20">
        <f t="shared" si="23"/>
        <v>6.433333333</v>
      </c>
      <c r="J289" s="140" t="s">
        <v>577</v>
      </c>
      <c r="K289" s="6">
        <v>1.0</v>
      </c>
    </row>
    <row r="290" ht="14.25" customHeight="1">
      <c r="A290" s="8">
        <v>29.0</v>
      </c>
      <c r="B290" s="19" t="s">
        <v>892</v>
      </c>
      <c r="C290" s="10" t="s">
        <v>860</v>
      </c>
      <c r="D290" s="10" t="s">
        <v>861</v>
      </c>
      <c r="E290" s="10" t="s">
        <v>576</v>
      </c>
      <c r="F290" s="11">
        <v>3.82</v>
      </c>
      <c r="G290" s="11">
        <v>4.05</v>
      </c>
      <c r="H290" s="11">
        <v>4.11</v>
      </c>
      <c r="I290" s="20">
        <f t="shared" si="23"/>
        <v>3.993333333</v>
      </c>
      <c r="J290" s="140" t="s">
        <v>577</v>
      </c>
      <c r="K290" s="6">
        <v>1.0</v>
      </c>
    </row>
    <row r="291" ht="14.25" customHeight="1">
      <c r="A291" s="205"/>
      <c r="B291" s="206"/>
      <c r="C291" s="207"/>
      <c r="D291" s="204"/>
      <c r="E291" s="204"/>
      <c r="F291" s="207"/>
      <c r="G291" s="204"/>
      <c r="H291" s="204"/>
      <c r="I291" s="204"/>
      <c r="K291" s="16">
        <f t="shared" ref="K291:L291" si="24">SUM(K262:K290)</f>
        <v>21</v>
      </c>
      <c r="L291" s="16">
        <f t="shared" si="24"/>
        <v>8</v>
      </c>
    </row>
    <row r="292" ht="14.25" customHeight="1">
      <c r="A292" s="208"/>
      <c r="B292" s="209"/>
      <c r="C292" s="210" t="s">
        <v>893</v>
      </c>
      <c r="E292" s="211"/>
      <c r="F292" s="204"/>
      <c r="G292" s="204"/>
      <c r="H292" s="204"/>
      <c r="I292" s="204"/>
      <c r="K292" s="17">
        <f>K291/A290</f>
        <v>0.724137931</v>
      </c>
      <c r="L292" s="17">
        <f>L291/A290</f>
        <v>0.275862069</v>
      </c>
    </row>
    <row r="293" ht="14.25" customHeight="1">
      <c r="A293" s="212"/>
      <c r="B293" s="213"/>
      <c r="C293" s="214"/>
      <c r="D293" s="121"/>
      <c r="E293" s="215"/>
      <c r="F293" s="216"/>
    </row>
    <row r="294" ht="15.75" customHeight="1">
      <c r="A294" s="217">
        <v>1.0</v>
      </c>
      <c r="B294" s="218" t="s">
        <v>894</v>
      </c>
      <c r="C294" s="219" t="s">
        <v>895</v>
      </c>
      <c r="D294" s="66" t="s">
        <v>896</v>
      </c>
      <c r="E294" s="62" t="s">
        <v>576</v>
      </c>
      <c r="F294" s="64">
        <v>6.95</v>
      </c>
      <c r="G294" s="64">
        <v>5.65</v>
      </c>
      <c r="H294" s="64">
        <v>5.23</v>
      </c>
      <c r="I294" s="220">
        <f>((F294+G294+H294)/3)</f>
        <v>5.943333333</v>
      </c>
      <c r="J294" s="62" t="s">
        <v>577</v>
      </c>
      <c r="K294" s="6">
        <v>1.0</v>
      </c>
    </row>
    <row r="295" ht="16.5" customHeight="1">
      <c r="A295" s="56"/>
      <c r="B295" s="56"/>
      <c r="C295" s="221"/>
      <c r="D295" s="68"/>
      <c r="E295" s="56"/>
      <c r="F295" s="56"/>
      <c r="G295" s="56"/>
      <c r="H295" s="56"/>
      <c r="I295" s="56"/>
      <c r="J295" s="56"/>
    </row>
    <row r="296" ht="14.25" customHeight="1">
      <c r="A296" s="140">
        <v>2.0</v>
      </c>
      <c r="B296" s="8" t="s">
        <v>897</v>
      </c>
      <c r="C296" s="10" t="s">
        <v>898</v>
      </c>
      <c r="D296" s="10" t="s">
        <v>896</v>
      </c>
      <c r="E296" s="18" t="s">
        <v>576</v>
      </c>
      <c r="F296" s="11">
        <v>5.35</v>
      </c>
      <c r="G296" s="11">
        <v>3.5</v>
      </c>
      <c r="H296" s="11">
        <v>4.95</v>
      </c>
      <c r="I296" s="220">
        <f t="shared" ref="I296:I298" si="25">((F296+G296+H296)/3)</f>
        <v>4.6</v>
      </c>
      <c r="J296" s="140" t="s">
        <v>577</v>
      </c>
      <c r="K296" s="6">
        <v>1.0</v>
      </c>
    </row>
    <row r="297" ht="33.0" customHeight="1">
      <c r="A297" s="140">
        <v>3.0</v>
      </c>
      <c r="B297" s="8" t="s">
        <v>899</v>
      </c>
      <c r="C297" s="10" t="s">
        <v>900</v>
      </c>
      <c r="D297" s="10" t="s">
        <v>896</v>
      </c>
      <c r="E297" s="18" t="s">
        <v>576</v>
      </c>
      <c r="F297" s="11">
        <v>4.15</v>
      </c>
      <c r="G297" s="11">
        <v>5.65</v>
      </c>
      <c r="H297" s="11">
        <v>4.5</v>
      </c>
      <c r="I297" s="220">
        <f t="shared" si="25"/>
        <v>4.766666667</v>
      </c>
      <c r="J297" s="140" t="s">
        <v>577</v>
      </c>
      <c r="K297" s="6">
        <v>1.0</v>
      </c>
    </row>
    <row r="298" ht="15.0" customHeight="1">
      <c r="A298" s="217">
        <v>4.0</v>
      </c>
      <c r="B298" s="62" t="s">
        <v>901</v>
      </c>
      <c r="C298" s="62" t="s">
        <v>902</v>
      </c>
      <c r="D298" s="222" t="s">
        <v>896</v>
      </c>
      <c r="E298" s="62" t="s">
        <v>576</v>
      </c>
      <c r="F298" s="64">
        <v>3.35</v>
      </c>
      <c r="G298" s="64">
        <v>4.5</v>
      </c>
      <c r="H298" s="64">
        <v>5.72</v>
      </c>
      <c r="I298" s="220">
        <f t="shared" si="25"/>
        <v>4.523333333</v>
      </c>
      <c r="J298" s="62" t="s">
        <v>577</v>
      </c>
      <c r="K298" s="6">
        <v>1.0</v>
      </c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</row>
    <row r="300" ht="25.5" customHeight="1">
      <c r="A300" s="217">
        <v>5.0</v>
      </c>
      <c r="B300" s="62" t="s">
        <v>903</v>
      </c>
      <c r="C300" s="62" t="s">
        <v>900</v>
      </c>
      <c r="D300" s="222" t="s">
        <v>896</v>
      </c>
      <c r="E300" s="222" t="s">
        <v>576</v>
      </c>
      <c r="F300" s="64">
        <v>6.15</v>
      </c>
      <c r="G300" s="64">
        <v>5.6</v>
      </c>
      <c r="H300" s="64">
        <v>4.3</v>
      </c>
      <c r="I300" s="220">
        <f>((F300+G300+H300)/3)</f>
        <v>5.35</v>
      </c>
      <c r="J300" s="62" t="s">
        <v>577</v>
      </c>
      <c r="K300" s="6">
        <v>1.0</v>
      </c>
    </row>
    <row r="301" ht="15.0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</row>
    <row r="302" ht="15.0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</row>
    <row r="304" ht="25.5" customHeight="1">
      <c r="A304" s="217">
        <v>6.0</v>
      </c>
      <c r="B304" s="62" t="s">
        <v>904</v>
      </c>
      <c r="C304" s="62" t="s">
        <v>895</v>
      </c>
      <c r="D304" s="222" t="s">
        <v>896</v>
      </c>
      <c r="E304" s="62" t="s">
        <v>576</v>
      </c>
      <c r="F304" s="64">
        <v>4.8</v>
      </c>
      <c r="G304" s="64">
        <v>4.97</v>
      </c>
      <c r="H304" s="64">
        <v>6.23</v>
      </c>
      <c r="I304" s="220">
        <f>((F304+G304+H304)/3)</f>
        <v>5.333333333</v>
      </c>
      <c r="J304" s="62" t="s">
        <v>577</v>
      </c>
      <c r="K304" s="6">
        <v>1.0</v>
      </c>
    </row>
    <row r="305" ht="14.2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</row>
    <row r="307" ht="15.0" customHeight="1">
      <c r="A307" s="217">
        <v>7.0</v>
      </c>
      <c r="B307" s="62" t="s">
        <v>905</v>
      </c>
      <c r="C307" s="62" t="s">
        <v>906</v>
      </c>
      <c r="D307" s="62" t="s">
        <v>896</v>
      </c>
      <c r="E307" s="222" t="s">
        <v>576</v>
      </c>
      <c r="F307" s="64">
        <v>5.5</v>
      </c>
      <c r="G307" s="64">
        <v>3.06</v>
      </c>
      <c r="H307" s="64">
        <v>4.19</v>
      </c>
      <c r="I307" s="220">
        <f>((F307+G307+H307)/3)</f>
        <v>4.25</v>
      </c>
      <c r="J307" s="223" t="s">
        <v>18</v>
      </c>
      <c r="L307" s="6">
        <v>1.0</v>
      </c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</row>
    <row r="309" ht="14.25" customHeight="1">
      <c r="A309" s="140">
        <v>8.0</v>
      </c>
      <c r="B309" s="8" t="s">
        <v>907</v>
      </c>
      <c r="C309" s="62" t="s">
        <v>908</v>
      </c>
      <c r="D309" s="62" t="s">
        <v>896</v>
      </c>
      <c r="E309" s="62" t="s">
        <v>576</v>
      </c>
      <c r="F309" s="64">
        <v>4.78</v>
      </c>
      <c r="G309" s="64">
        <v>5.19</v>
      </c>
      <c r="H309" s="64">
        <v>6.62</v>
      </c>
      <c r="I309" s="220">
        <f t="shared" ref="I309:I311" si="26">((F309+G309+H309)/3)</f>
        <v>5.53</v>
      </c>
      <c r="J309" s="140" t="s">
        <v>577</v>
      </c>
      <c r="K309" s="6">
        <v>1.0</v>
      </c>
    </row>
    <row r="310" ht="14.25" customHeight="1">
      <c r="A310" s="224">
        <v>9.0</v>
      </c>
      <c r="B310" s="8" t="s">
        <v>909</v>
      </c>
      <c r="C310" s="18" t="s">
        <v>910</v>
      </c>
      <c r="D310" s="18" t="s">
        <v>896</v>
      </c>
      <c r="E310" s="18" t="s">
        <v>911</v>
      </c>
      <c r="F310" s="20">
        <v>3.98</v>
      </c>
      <c r="G310" s="64">
        <v>3.15</v>
      </c>
      <c r="H310" s="20">
        <v>4.9</v>
      </c>
      <c r="I310" s="220">
        <f t="shared" si="26"/>
        <v>4.01</v>
      </c>
      <c r="J310" s="154" t="s">
        <v>18</v>
      </c>
      <c r="L310" s="6">
        <v>1.0</v>
      </c>
    </row>
    <row r="311" ht="14.25" customHeight="1">
      <c r="A311" s="140">
        <v>10.0</v>
      </c>
      <c r="B311" s="62" t="s">
        <v>912</v>
      </c>
      <c r="C311" s="222" t="s">
        <v>913</v>
      </c>
      <c r="D311" s="222" t="s">
        <v>896</v>
      </c>
      <c r="E311" s="62" t="s">
        <v>911</v>
      </c>
      <c r="F311" s="64">
        <v>6.05</v>
      </c>
      <c r="G311" s="64">
        <v>7.18</v>
      </c>
      <c r="H311" s="64">
        <v>7.3</v>
      </c>
      <c r="I311" s="220">
        <f t="shared" si="26"/>
        <v>6.843333333</v>
      </c>
      <c r="J311" s="62" t="s">
        <v>577</v>
      </c>
      <c r="K311" s="6">
        <v>1.0</v>
      </c>
    </row>
    <row r="312" ht="14.25" customHeight="1">
      <c r="A312" s="140"/>
      <c r="B312" s="56"/>
      <c r="C312" s="56"/>
      <c r="D312" s="56"/>
      <c r="E312" s="56"/>
      <c r="F312" s="56"/>
      <c r="G312" s="56"/>
      <c r="H312" s="56"/>
      <c r="I312" s="56"/>
      <c r="J312" s="56"/>
    </row>
    <row r="313" ht="15.0" customHeight="1">
      <c r="A313" s="140">
        <v>11.0</v>
      </c>
      <c r="B313" s="224" t="s">
        <v>914</v>
      </c>
      <c r="C313" s="224" t="s">
        <v>895</v>
      </c>
      <c r="D313" s="18" t="s">
        <v>896</v>
      </c>
      <c r="E313" s="18" t="s">
        <v>911</v>
      </c>
      <c r="F313" s="58">
        <v>5.52</v>
      </c>
      <c r="G313" s="58">
        <v>5.95</v>
      </c>
      <c r="H313" s="58">
        <v>6.0</v>
      </c>
      <c r="I313" s="220">
        <f t="shared" ref="I313:I314" si="27">((F313+G313+H313)/3)</f>
        <v>5.823333333</v>
      </c>
      <c r="J313" s="140" t="s">
        <v>577</v>
      </c>
      <c r="K313" s="6">
        <v>1.0</v>
      </c>
    </row>
    <row r="314" ht="14.25" customHeight="1">
      <c r="A314" s="140">
        <v>12.0</v>
      </c>
      <c r="B314" s="62" t="s">
        <v>915</v>
      </c>
      <c r="C314" s="62" t="s">
        <v>916</v>
      </c>
      <c r="D314" s="222" t="s">
        <v>896</v>
      </c>
      <c r="E314" s="222"/>
      <c r="F314" s="64">
        <v>6.0</v>
      </c>
      <c r="G314" s="64">
        <v>6.05</v>
      </c>
      <c r="H314" s="64">
        <v>7.63</v>
      </c>
      <c r="I314" s="220">
        <f t="shared" si="27"/>
        <v>6.56</v>
      </c>
      <c r="J314" s="62" t="s">
        <v>577</v>
      </c>
      <c r="K314" s="6">
        <v>1.0</v>
      </c>
    </row>
    <row r="315" ht="14.25" customHeight="1">
      <c r="A315" s="140"/>
      <c r="B315" s="56"/>
      <c r="C315" s="56"/>
      <c r="D315" s="56"/>
      <c r="E315" s="56"/>
      <c r="F315" s="56"/>
      <c r="G315" s="56"/>
      <c r="H315" s="56"/>
      <c r="I315" s="56"/>
      <c r="J315" s="56"/>
    </row>
    <row r="316" ht="14.25" customHeight="1">
      <c r="A316" s="140">
        <v>13.0</v>
      </c>
      <c r="B316" s="62" t="s">
        <v>917</v>
      </c>
      <c r="C316" s="62" t="s">
        <v>918</v>
      </c>
      <c r="D316" s="62" t="s">
        <v>896</v>
      </c>
      <c r="E316" s="62" t="s">
        <v>911</v>
      </c>
      <c r="F316" s="64">
        <v>4.85</v>
      </c>
      <c r="G316" s="64">
        <v>3.78</v>
      </c>
      <c r="H316" s="64">
        <v>4.92</v>
      </c>
      <c r="I316" s="220">
        <f>((F316+G316+H316)/3)</f>
        <v>4.516666667</v>
      </c>
      <c r="J316" s="62" t="s">
        <v>577</v>
      </c>
      <c r="K316" s="6">
        <v>1.0</v>
      </c>
    </row>
    <row r="317" ht="14.25" customHeight="1">
      <c r="A317" s="140"/>
      <c r="B317" s="56"/>
      <c r="C317" s="56"/>
      <c r="D317" s="56"/>
      <c r="E317" s="56"/>
      <c r="F317" s="56"/>
      <c r="G317" s="56"/>
      <c r="H317" s="56"/>
      <c r="I317" s="56"/>
      <c r="J317" s="56"/>
    </row>
    <row r="318" ht="14.25" customHeight="1">
      <c r="A318" s="140">
        <v>14.0</v>
      </c>
      <c r="B318" s="8" t="s">
        <v>919</v>
      </c>
      <c r="C318" s="10" t="s">
        <v>920</v>
      </c>
      <c r="D318" s="10" t="s">
        <v>896</v>
      </c>
      <c r="E318" s="10" t="s">
        <v>911</v>
      </c>
      <c r="F318" s="11">
        <v>6.5</v>
      </c>
      <c r="G318" s="11">
        <v>6.7</v>
      </c>
      <c r="H318" s="11">
        <v>5.0</v>
      </c>
      <c r="I318" s="220">
        <f t="shared" ref="I318:I321" si="28">((F318+G318+H318)/3)</f>
        <v>6.066666667</v>
      </c>
      <c r="J318" s="140" t="s">
        <v>577</v>
      </c>
      <c r="K318" s="6">
        <v>1.0</v>
      </c>
    </row>
    <row r="319" ht="14.25" customHeight="1">
      <c r="A319" s="140">
        <v>15.0</v>
      </c>
      <c r="B319" s="8" t="s">
        <v>921</v>
      </c>
      <c r="C319" s="10" t="s">
        <v>900</v>
      </c>
      <c r="D319" s="10" t="s">
        <v>896</v>
      </c>
      <c r="E319" s="10" t="s">
        <v>911</v>
      </c>
      <c r="F319" s="11">
        <v>3.28</v>
      </c>
      <c r="G319" s="11">
        <v>4.55</v>
      </c>
      <c r="H319" s="11">
        <v>4.6</v>
      </c>
      <c r="I319" s="220">
        <f t="shared" si="28"/>
        <v>4.143333333</v>
      </c>
      <c r="J319" s="154" t="s">
        <v>18</v>
      </c>
      <c r="L319" s="6">
        <v>1.0</v>
      </c>
    </row>
    <row r="320" ht="14.25" customHeight="1">
      <c r="A320" s="140">
        <v>16.0</v>
      </c>
      <c r="B320" s="8" t="s">
        <v>922</v>
      </c>
      <c r="C320" s="10" t="s">
        <v>923</v>
      </c>
      <c r="D320" s="10" t="s">
        <v>896</v>
      </c>
      <c r="E320" s="10" t="s">
        <v>911</v>
      </c>
      <c r="F320" s="11">
        <v>4.3</v>
      </c>
      <c r="G320" s="11">
        <v>5.16</v>
      </c>
      <c r="H320" s="11">
        <v>6.64</v>
      </c>
      <c r="I320" s="220">
        <f t="shared" si="28"/>
        <v>5.366666667</v>
      </c>
      <c r="J320" s="140" t="s">
        <v>577</v>
      </c>
      <c r="K320" s="6">
        <v>1.0</v>
      </c>
    </row>
    <row r="321" ht="14.25" customHeight="1">
      <c r="A321" s="140">
        <v>17.0</v>
      </c>
      <c r="B321" s="62" t="s">
        <v>924</v>
      </c>
      <c r="C321" s="62" t="s">
        <v>923</v>
      </c>
      <c r="D321" s="62" t="s">
        <v>896</v>
      </c>
      <c r="E321" s="62" t="s">
        <v>911</v>
      </c>
      <c r="F321" s="64">
        <v>5.58</v>
      </c>
      <c r="G321" s="64">
        <v>6.31</v>
      </c>
      <c r="H321" s="64">
        <v>7.01</v>
      </c>
      <c r="I321" s="220">
        <f t="shared" si="28"/>
        <v>6.3</v>
      </c>
      <c r="J321" s="62" t="s">
        <v>577</v>
      </c>
      <c r="K321" s="6">
        <v>1.0</v>
      </c>
    </row>
    <row r="322" ht="14.25" customHeight="1">
      <c r="A322" s="224"/>
      <c r="B322" s="56"/>
      <c r="C322" s="56"/>
      <c r="D322" s="56"/>
      <c r="E322" s="56"/>
      <c r="F322" s="56"/>
      <c r="G322" s="56"/>
      <c r="H322" s="56"/>
      <c r="I322" s="56"/>
      <c r="J322" s="56"/>
    </row>
    <row r="323" ht="14.25" customHeight="1">
      <c r="A323" s="140">
        <v>18.0</v>
      </c>
      <c r="B323" s="53" t="s">
        <v>925</v>
      </c>
      <c r="C323" s="62" t="s">
        <v>926</v>
      </c>
      <c r="D323" s="62" t="s">
        <v>896</v>
      </c>
      <c r="E323" s="62" t="s">
        <v>911</v>
      </c>
      <c r="F323" s="64">
        <v>5.83</v>
      </c>
      <c r="G323" s="64">
        <v>6.31</v>
      </c>
      <c r="H323" s="64">
        <v>7.01</v>
      </c>
      <c r="I323" s="220">
        <f t="shared" ref="I323:I324" si="29">((F323+G323+H323)/3)</f>
        <v>6.383333333</v>
      </c>
      <c r="J323" s="140" t="s">
        <v>577</v>
      </c>
      <c r="K323" s="6">
        <v>1.0</v>
      </c>
    </row>
    <row r="324" ht="14.25" customHeight="1">
      <c r="A324" s="140">
        <v>19.0</v>
      </c>
      <c r="B324" s="62" t="s">
        <v>927</v>
      </c>
      <c r="C324" s="62" t="s">
        <v>928</v>
      </c>
      <c r="D324" s="62" t="s">
        <v>896</v>
      </c>
      <c r="E324" s="62" t="s">
        <v>911</v>
      </c>
      <c r="F324" s="64">
        <v>4.58</v>
      </c>
      <c r="G324" s="64">
        <v>3.82</v>
      </c>
      <c r="H324" s="64">
        <v>4.28</v>
      </c>
      <c r="I324" s="220">
        <f t="shared" si="29"/>
        <v>4.226666667</v>
      </c>
      <c r="J324" s="225" t="s">
        <v>18</v>
      </c>
      <c r="L324" s="6">
        <v>1.0</v>
      </c>
    </row>
    <row r="325" ht="14.25" customHeight="1">
      <c r="A325" s="140"/>
      <c r="B325" s="56"/>
      <c r="C325" s="56"/>
      <c r="D325" s="56"/>
      <c r="E325" s="56"/>
      <c r="F325" s="56"/>
      <c r="G325" s="56"/>
      <c r="H325" s="56"/>
      <c r="I325" s="56"/>
      <c r="J325" s="56"/>
    </row>
    <row r="326" ht="14.25" customHeight="1">
      <c r="A326" s="140">
        <v>20.0</v>
      </c>
      <c r="B326" s="8" t="s">
        <v>929</v>
      </c>
      <c r="C326" s="10" t="s">
        <v>930</v>
      </c>
      <c r="D326" s="10" t="s">
        <v>931</v>
      </c>
      <c r="E326" s="10" t="s">
        <v>911</v>
      </c>
      <c r="F326" s="11">
        <v>5.01</v>
      </c>
      <c r="G326" s="11">
        <v>6.52</v>
      </c>
      <c r="H326" s="11">
        <v>6.26</v>
      </c>
      <c r="I326" s="220">
        <f t="shared" ref="I326:I334" si="30">((F326+G326+H326)/3)</f>
        <v>5.93</v>
      </c>
      <c r="J326" s="140" t="s">
        <v>577</v>
      </c>
      <c r="K326" s="6">
        <v>1.0</v>
      </c>
    </row>
    <row r="327" ht="14.25" customHeight="1">
      <c r="A327" s="140">
        <v>21.0</v>
      </c>
      <c r="B327" s="8" t="s">
        <v>932</v>
      </c>
      <c r="C327" s="10" t="s">
        <v>910</v>
      </c>
      <c r="D327" s="10" t="s">
        <v>896</v>
      </c>
      <c r="E327" s="10" t="s">
        <v>911</v>
      </c>
      <c r="F327" s="11">
        <v>6.39</v>
      </c>
      <c r="G327" s="11">
        <v>7.08</v>
      </c>
      <c r="H327" s="11">
        <v>7.5</v>
      </c>
      <c r="I327" s="220">
        <f t="shared" si="30"/>
        <v>6.99</v>
      </c>
      <c r="J327" s="140" t="s">
        <v>577</v>
      </c>
      <c r="K327" s="6">
        <v>1.0</v>
      </c>
    </row>
    <row r="328" ht="14.25" customHeight="1">
      <c r="A328" s="140">
        <v>22.0</v>
      </c>
      <c r="B328" s="18" t="s">
        <v>933</v>
      </c>
      <c r="C328" s="10" t="s">
        <v>923</v>
      </c>
      <c r="D328" s="18" t="s">
        <v>896</v>
      </c>
      <c r="E328" s="18" t="s">
        <v>911</v>
      </c>
      <c r="F328" s="20">
        <v>3.75</v>
      </c>
      <c r="G328" s="64">
        <v>4.36</v>
      </c>
      <c r="H328" s="64">
        <v>4.4</v>
      </c>
      <c r="I328" s="220">
        <f t="shared" si="30"/>
        <v>4.17</v>
      </c>
      <c r="J328" s="154" t="s">
        <v>18</v>
      </c>
      <c r="L328" s="6">
        <v>1.0</v>
      </c>
    </row>
    <row r="329" ht="14.25" customHeight="1">
      <c r="A329" s="140">
        <v>23.0</v>
      </c>
      <c r="B329" s="8" t="s">
        <v>934</v>
      </c>
      <c r="C329" s="10" t="s">
        <v>923</v>
      </c>
      <c r="D329" s="18" t="s">
        <v>896</v>
      </c>
      <c r="E329" s="10" t="s">
        <v>911</v>
      </c>
      <c r="F329" s="20">
        <v>6.01</v>
      </c>
      <c r="G329" s="20">
        <v>5.52</v>
      </c>
      <c r="H329" s="20">
        <v>5.41</v>
      </c>
      <c r="I329" s="220">
        <f t="shared" si="30"/>
        <v>5.646666667</v>
      </c>
      <c r="J329" s="140" t="s">
        <v>577</v>
      </c>
      <c r="K329" s="6">
        <v>1.0</v>
      </c>
    </row>
    <row r="330" ht="14.25" customHeight="1">
      <c r="A330" s="140">
        <v>24.0</v>
      </c>
      <c r="B330" s="8" t="s">
        <v>935</v>
      </c>
      <c r="C330" s="10" t="s">
        <v>936</v>
      </c>
      <c r="D330" s="18" t="s">
        <v>896</v>
      </c>
      <c r="E330" s="10" t="s">
        <v>911</v>
      </c>
      <c r="F330" s="11">
        <v>4.58</v>
      </c>
      <c r="G330" s="11">
        <v>4.37</v>
      </c>
      <c r="H330" s="11">
        <v>5.56</v>
      </c>
      <c r="I330" s="220">
        <f t="shared" si="30"/>
        <v>4.836666667</v>
      </c>
      <c r="J330" s="140" t="s">
        <v>577</v>
      </c>
      <c r="K330" s="6">
        <v>1.0</v>
      </c>
    </row>
    <row r="331" ht="14.25" customHeight="1">
      <c r="A331" s="140">
        <v>25.0</v>
      </c>
      <c r="B331" s="8" t="s">
        <v>937</v>
      </c>
      <c r="C331" s="10" t="s">
        <v>926</v>
      </c>
      <c r="D331" s="10" t="s">
        <v>896</v>
      </c>
      <c r="E331" s="10" t="s">
        <v>911</v>
      </c>
      <c r="F331" s="11">
        <v>3.95</v>
      </c>
      <c r="G331" s="11">
        <v>5.61</v>
      </c>
      <c r="H331" s="11">
        <v>4.08</v>
      </c>
      <c r="I331" s="220">
        <f t="shared" si="30"/>
        <v>4.546666667</v>
      </c>
      <c r="J331" s="140" t="s">
        <v>577</v>
      </c>
      <c r="K331" s="6">
        <v>1.0</v>
      </c>
    </row>
    <row r="332" ht="14.25" customHeight="1">
      <c r="A332" s="140">
        <v>26.0</v>
      </c>
      <c r="B332" s="8" t="s">
        <v>938</v>
      </c>
      <c r="C332" s="10" t="s">
        <v>923</v>
      </c>
      <c r="D332" s="10" t="s">
        <v>896</v>
      </c>
      <c r="E332" s="10" t="s">
        <v>911</v>
      </c>
      <c r="F332" s="11">
        <v>4.63</v>
      </c>
      <c r="G332" s="11">
        <v>3.98</v>
      </c>
      <c r="H332" s="11">
        <v>5.41</v>
      </c>
      <c r="I332" s="220">
        <f t="shared" si="30"/>
        <v>4.673333333</v>
      </c>
      <c r="J332" s="140" t="s">
        <v>577</v>
      </c>
      <c r="K332" s="6">
        <v>1.0</v>
      </c>
    </row>
    <row r="333" ht="14.25" customHeight="1">
      <c r="A333" s="140">
        <v>27.0</v>
      </c>
      <c r="B333" s="8" t="s">
        <v>939</v>
      </c>
      <c r="C333" s="10" t="s">
        <v>940</v>
      </c>
      <c r="D333" s="10" t="s">
        <v>896</v>
      </c>
      <c r="E333" s="10" t="s">
        <v>911</v>
      </c>
      <c r="F333" s="11">
        <v>3.87</v>
      </c>
      <c r="G333" s="11">
        <v>4.72</v>
      </c>
      <c r="H333" s="11">
        <v>6.12</v>
      </c>
      <c r="I333" s="220">
        <f t="shared" si="30"/>
        <v>4.903333333</v>
      </c>
      <c r="J333" s="140" t="s">
        <v>577</v>
      </c>
      <c r="K333" s="6">
        <v>1.0</v>
      </c>
    </row>
    <row r="334" ht="15.0" customHeight="1">
      <c r="A334" s="217">
        <v>28.0</v>
      </c>
      <c r="B334" s="62" t="s">
        <v>941</v>
      </c>
      <c r="C334" s="62" t="s">
        <v>895</v>
      </c>
      <c r="D334" s="62" t="s">
        <v>896</v>
      </c>
      <c r="E334" s="62" t="s">
        <v>911</v>
      </c>
      <c r="F334" s="64">
        <v>3.69</v>
      </c>
      <c r="G334" s="64">
        <v>4.8</v>
      </c>
      <c r="H334" s="64">
        <v>4.12</v>
      </c>
      <c r="I334" s="220">
        <f t="shared" si="30"/>
        <v>4.203333333</v>
      </c>
      <c r="J334" s="225" t="s">
        <v>18</v>
      </c>
      <c r="L334" s="6">
        <v>1.0</v>
      </c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</row>
    <row r="336" ht="14.25" customHeight="1">
      <c r="A336" s="140">
        <v>29.0</v>
      </c>
      <c r="B336" s="8" t="s">
        <v>942</v>
      </c>
      <c r="C336" s="10" t="s">
        <v>910</v>
      </c>
      <c r="D336" s="10" t="s">
        <v>896</v>
      </c>
      <c r="E336" s="10" t="s">
        <v>911</v>
      </c>
      <c r="F336" s="11">
        <v>5.0</v>
      </c>
      <c r="G336" s="11">
        <v>4.75</v>
      </c>
      <c r="H336" s="11">
        <v>4.78</v>
      </c>
      <c r="I336" s="220">
        <f t="shared" ref="I336:I358" si="31">((F336+G336+H336)/3)</f>
        <v>4.843333333</v>
      </c>
      <c r="J336" s="140" t="s">
        <v>577</v>
      </c>
      <c r="K336" s="6">
        <v>1.0</v>
      </c>
    </row>
    <row r="337" ht="14.25" customHeight="1">
      <c r="A337" s="140">
        <v>30.0</v>
      </c>
      <c r="B337" s="8" t="s">
        <v>943</v>
      </c>
      <c r="C337" s="10" t="s">
        <v>923</v>
      </c>
      <c r="D337" s="10" t="s">
        <v>896</v>
      </c>
      <c r="E337" s="10" t="s">
        <v>911</v>
      </c>
      <c r="F337" s="11">
        <v>3.86</v>
      </c>
      <c r="G337" s="11">
        <v>3.99</v>
      </c>
      <c r="H337" s="11">
        <v>5.78</v>
      </c>
      <c r="I337" s="220">
        <f t="shared" si="31"/>
        <v>4.543333333</v>
      </c>
      <c r="J337" s="140" t="s">
        <v>577</v>
      </c>
      <c r="K337" s="6">
        <v>1.0</v>
      </c>
    </row>
    <row r="338" ht="14.25" customHeight="1">
      <c r="A338" s="224">
        <v>31.0</v>
      </c>
      <c r="B338" s="8" t="s">
        <v>944</v>
      </c>
      <c r="C338" s="10" t="s">
        <v>945</v>
      </c>
      <c r="D338" s="10" t="s">
        <v>896</v>
      </c>
      <c r="E338" s="10" t="s">
        <v>911</v>
      </c>
      <c r="F338" s="11">
        <v>4.32</v>
      </c>
      <c r="G338" s="11">
        <v>5.73</v>
      </c>
      <c r="H338" s="11">
        <v>4.52</v>
      </c>
      <c r="I338" s="220">
        <f t="shared" si="31"/>
        <v>4.856666667</v>
      </c>
      <c r="J338" s="140" t="s">
        <v>577</v>
      </c>
      <c r="K338" s="6">
        <v>1.0</v>
      </c>
    </row>
    <row r="339" ht="14.25" customHeight="1">
      <c r="A339" s="140">
        <v>32.0</v>
      </c>
      <c r="B339" s="8" t="s">
        <v>946</v>
      </c>
      <c r="C339" s="10" t="s">
        <v>947</v>
      </c>
      <c r="D339" s="10" t="s">
        <v>896</v>
      </c>
      <c r="E339" s="10" t="s">
        <v>911</v>
      </c>
      <c r="F339" s="11">
        <v>6.0</v>
      </c>
      <c r="G339" s="11">
        <v>6.6</v>
      </c>
      <c r="H339" s="11">
        <v>5.18</v>
      </c>
      <c r="I339" s="220">
        <f t="shared" si="31"/>
        <v>5.926666667</v>
      </c>
      <c r="J339" s="140" t="s">
        <v>577</v>
      </c>
      <c r="K339" s="6">
        <v>1.0</v>
      </c>
    </row>
    <row r="340" ht="14.25" customHeight="1">
      <c r="A340" s="140">
        <v>33.0</v>
      </c>
      <c r="B340" s="8" t="s">
        <v>948</v>
      </c>
      <c r="C340" s="10" t="s">
        <v>910</v>
      </c>
      <c r="D340" s="10" t="s">
        <v>896</v>
      </c>
      <c r="E340" s="10" t="s">
        <v>911</v>
      </c>
      <c r="F340" s="11">
        <v>3.38</v>
      </c>
      <c r="G340" s="11">
        <v>5.54</v>
      </c>
      <c r="H340" s="11">
        <v>4.95</v>
      </c>
      <c r="I340" s="220">
        <f t="shared" si="31"/>
        <v>4.623333333</v>
      </c>
      <c r="J340" s="140" t="s">
        <v>577</v>
      </c>
      <c r="K340" s="6">
        <v>1.0</v>
      </c>
    </row>
    <row r="341" ht="14.25" customHeight="1">
      <c r="A341" s="140">
        <v>34.0</v>
      </c>
      <c r="B341" s="8" t="s">
        <v>949</v>
      </c>
      <c r="C341" s="10" t="s">
        <v>950</v>
      </c>
      <c r="D341" s="10" t="s">
        <v>896</v>
      </c>
      <c r="E341" s="10" t="s">
        <v>911</v>
      </c>
      <c r="F341" s="11">
        <v>5.0</v>
      </c>
      <c r="G341" s="11">
        <v>6.48</v>
      </c>
      <c r="H341" s="11">
        <v>6.87</v>
      </c>
      <c r="I341" s="220">
        <f t="shared" si="31"/>
        <v>6.116666667</v>
      </c>
      <c r="J341" s="140" t="s">
        <v>577</v>
      </c>
      <c r="K341" s="6">
        <v>1.0</v>
      </c>
    </row>
    <row r="342" ht="14.25" customHeight="1">
      <c r="A342" s="140">
        <v>35.0</v>
      </c>
      <c r="B342" s="8" t="s">
        <v>951</v>
      </c>
      <c r="C342" s="10" t="s">
        <v>952</v>
      </c>
      <c r="D342" s="10" t="s">
        <v>896</v>
      </c>
      <c r="E342" s="10" t="s">
        <v>911</v>
      </c>
      <c r="F342" s="11">
        <v>3.25</v>
      </c>
      <c r="G342" s="11">
        <v>4.17</v>
      </c>
      <c r="H342" s="11">
        <v>5.42</v>
      </c>
      <c r="I342" s="220">
        <f t="shared" si="31"/>
        <v>4.28</v>
      </c>
      <c r="J342" s="140" t="s">
        <v>577</v>
      </c>
      <c r="K342" s="6">
        <v>1.0</v>
      </c>
    </row>
    <row r="343" ht="14.25" customHeight="1">
      <c r="A343" s="140">
        <v>36.0</v>
      </c>
      <c r="B343" s="8" t="s">
        <v>953</v>
      </c>
      <c r="C343" s="10" t="s">
        <v>954</v>
      </c>
      <c r="D343" s="10" t="s">
        <v>896</v>
      </c>
      <c r="E343" s="10" t="s">
        <v>911</v>
      </c>
      <c r="F343" s="11">
        <v>4.08</v>
      </c>
      <c r="G343" s="11">
        <v>5.99</v>
      </c>
      <c r="H343" s="11">
        <v>3.48</v>
      </c>
      <c r="I343" s="220">
        <f t="shared" si="31"/>
        <v>4.516666667</v>
      </c>
      <c r="J343" s="140" t="s">
        <v>577</v>
      </c>
      <c r="K343" s="6">
        <v>1.0</v>
      </c>
    </row>
    <row r="344" ht="14.25" customHeight="1">
      <c r="A344" s="140">
        <v>37.0</v>
      </c>
      <c r="B344" s="8" t="s">
        <v>955</v>
      </c>
      <c r="C344" s="10" t="s">
        <v>895</v>
      </c>
      <c r="D344" s="10" t="s">
        <v>896</v>
      </c>
      <c r="E344" s="10" t="s">
        <v>911</v>
      </c>
      <c r="F344" s="11">
        <v>5.9</v>
      </c>
      <c r="G344" s="11">
        <v>3.98</v>
      </c>
      <c r="H344" s="11">
        <v>4.15</v>
      </c>
      <c r="I344" s="220">
        <f t="shared" si="31"/>
        <v>4.676666667</v>
      </c>
      <c r="J344" s="140" t="s">
        <v>577</v>
      </c>
      <c r="K344" s="6">
        <v>1.0</v>
      </c>
    </row>
    <row r="345" ht="14.25" customHeight="1">
      <c r="A345" s="140">
        <v>38.0</v>
      </c>
      <c r="B345" s="8" t="s">
        <v>956</v>
      </c>
      <c r="C345" s="10" t="s">
        <v>957</v>
      </c>
      <c r="D345" s="10" t="s">
        <v>896</v>
      </c>
      <c r="E345" s="10" t="s">
        <v>911</v>
      </c>
      <c r="F345" s="11">
        <v>3.45</v>
      </c>
      <c r="G345" s="11">
        <v>4.62</v>
      </c>
      <c r="H345" s="11">
        <v>5.55</v>
      </c>
      <c r="I345" s="220">
        <f t="shared" si="31"/>
        <v>4.54</v>
      </c>
      <c r="J345" s="140" t="s">
        <v>577</v>
      </c>
      <c r="K345" s="6">
        <v>1.0</v>
      </c>
    </row>
    <row r="346" ht="14.25" customHeight="1">
      <c r="A346" s="140">
        <v>39.0</v>
      </c>
      <c r="B346" s="8" t="s">
        <v>958</v>
      </c>
      <c r="C346" s="10" t="s">
        <v>959</v>
      </c>
      <c r="D346" s="10" t="s">
        <v>896</v>
      </c>
      <c r="E346" s="10" t="s">
        <v>911</v>
      </c>
      <c r="F346" s="11">
        <v>1.84</v>
      </c>
      <c r="G346" s="11">
        <v>2.5</v>
      </c>
      <c r="H346" s="11">
        <v>3.91</v>
      </c>
      <c r="I346" s="220">
        <f t="shared" si="31"/>
        <v>2.75</v>
      </c>
      <c r="J346" s="154" t="s">
        <v>18</v>
      </c>
      <c r="L346" s="6">
        <v>1.0</v>
      </c>
    </row>
    <row r="347" ht="14.25" customHeight="1">
      <c r="A347" s="140">
        <v>40.0</v>
      </c>
      <c r="B347" s="8" t="s">
        <v>960</v>
      </c>
      <c r="C347" s="10" t="s">
        <v>895</v>
      </c>
      <c r="D347" s="10" t="s">
        <v>896</v>
      </c>
      <c r="E347" s="10" t="s">
        <v>911</v>
      </c>
      <c r="F347" s="11">
        <v>5.25</v>
      </c>
      <c r="G347" s="11">
        <v>4.32</v>
      </c>
      <c r="H347" s="11">
        <v>5.4</v>
      </c>
      <c r="I347" s="220">
        <f t="shared" si="31"/>
        <v>4.99</v>
      </c>
      <c r="J347" s="140" t="s">
        <v>577</v>
      </c>
      <c r="K347" s="6">
        <v>1.0</v>
      </c>
    </row>
    <row r="348" ht="14.25" customHeight="1">
      <c r="A348" s="140">
        <v>41.0</v>
      </c>
      <c r="B348" s="8" t="s">
        <v>961</v>
      </c>
      <c r="C348" s="10" t="s">
        <v>962</v>
      </c>
      <c r="D348" s="10" t="s">
        <v>896</v>
      </c>
      <c r="E348" s="10" t="s">
        <v>911</v>
      </c>
      <c r="F348" s="11">
        <v>1.42</v>
      </c>
      <c r="G348" s="11">
        <v>2.32</v>
      </c>
      <c r="H348" s="11">
        <v>2.05</v>
      </c>
      <c r="I348" s="220">
        <f t="shared" si="31"/>
        <v>1.93</v>
      </c>
      <c r="J348" s="154" t="s">
        <v>18</v>
      </c>
      <c r="L348" s="6">
        <v>1.0</v>
      </c>
    </row>
    <row r="349" ht="14.25" customHeight="1">
      <c r="A349" s="140">
        <v>42.0</v>
      </c>
      <c r="B349" s="8" t="s">
        <v>963</v>
      </c>
      <c r="C349" s="10" t="s">
        <v>964</v>
      </c>
      <c r="D349" s="10" t="s">
        <v>896</v>
      </c>
      <c r="E349" s="10" t="s">
        <v>911</v>
      </c>
      <c r="F349" s="11">
        <v>4.89</v>
      </c>
      <c r="G349" s="11">
        <v>3.82</v>
      </c>
      <c r="H349" s="11">
        <v>4.91</v>
      </c>
      <c r="I349" s="220">
        <f t="shared" si="31"/>
        <v>4.54</v>
      </c>
      <c r="J349" s="140" t="s">
        <v>577</v>
      </c>
      <c r="K349" s="6">
        <v>1.0</v>
      </c>
    </row>
    <row r="350" ht="15.0" customHeight="1">
      <c r="A350" s="140">
        <v>43.0</v>
      </c>
      <c r="B350" s="8" t="s">
        <v>965</v>
      </c>
      <c r="C350" s="10" t="s">
        <v>966</v>
      </c>
      <c r="D350" s="10" t="s">
        <v>896</v>
      </c>
      <c r="E350" s="10" t="s">
        <v>911</v>
      </c>
      <c r="F350" s="11">
        <v>5.29</v>
      </c>
      <c r="G350" s="11">
        <v>4.16</v>
      </c>
      <c r="H350" s="11">
        <v>5.4</v>
      </c>
      <c r="I350" s="220">
        <f t="shared" si="31"/>
        <v>4.95</v>
      </c>
      <c r="J350" s="140" t="s">
        <v>577</v>
      </c>
      <c r="K350" s="6">
        <v>1.0</v>
      </c>
    </row>
    <row r="351" ht="14.25" customHeight="1">
      <c r="A351" s="140">
        <v>44.0</v>
      </c>
      <c r="B351" s="8" t="s">
        <v>967</v>
      </c>
      <c r="C351" s="10" t="s">
        <v>968</v>
      </c>
      <c r="D351" s="10" t="s">
        <v>969</v>
      </c>
      <c r="E351" s="10" t="s">
        <v>911</v>
      </c>
      <c r="F351" s="11">
        <v>2.12</v>
      </c>
      <c r="G351" s="11">
        <v>2.12</v>
      </c>
      <c r="H351" s="11">
        <v>3.66</v>
      </c>
      <c r="I351" s="220">
        <f t="shared" si="31"/>
        <v>2.633333333</v>
      </c>
      <c r="J351" s="154" t="s">
        <v>18</v>
      </c>
      <c r="L351" s="6">
        <v>1.0</v>
      </c>
    </row>
    <row r="352" ht="14.25" customHeight="1">
      <c r="A352" s="140">
        <v>45.0</v>
      </c>
      <c r="B352" s="18" t="s">
        <v>970</v>
      </c>
      <c r="C352" s="10" t="s">
        <v>966</v>
      </c>
      <c r="D352" s="10" t="s">
        <v>896</v>
      </c>
      <c r="E352" s="10" t="s">
        <v>911</v>
      </c>
      <c r="F352" s="11">
        <v>1.33</v>
      </c>
      <c r="G352" s="11">
        <v>1.83</v>
      </c>
      <c r="H352" s="11">
        <v>2.55</v>
      </c>
      <c r="I352" s="220">
        <f t="shared" si="31"/>
        <v>1.903333333</v>
      </c>
      <c r="J352" s="154" t="s">
        <v>18</v>
      </c>
      <c r="L352" s="6">
        <v>1.0</v>
      </c>
    </row>
    <row r="353" ht="14.25" customHeight="1">
      <c r="A353" s="140">
        <v>46.0</v>
      </c>
      <c r="B353" s="18" t="s">
        <v>971</v>
      </c>
      <c r="C353" s="10" t="s">
        <v>966</v>
      </c>
      <c r="D353" s="10" t="s">
        <v>896</v>
      </c>
      <c r="E353" s="10" t="s">
        <v>911</v>
      </c>
      <c r="F353" s="226">
        <v>6.64</v>
      </c>
      <c r="G353" s="226">
        <v>3.52</v>
      </c>
      <c r="H353" s="226">
        <v>4.76</v>
      </c>
      <c r="I353" s="220">
        <f t="shared" si="31"/>
        <v>4.973333333</v>
      </c>
      <c r="J353" s="140" t="s">
        <v>577</v>
      </c>
      <c r="K353" s="6">
        <v>1.0</v>
      </c>
    </row>
    <row r="354" ht="14.25" customHeight="1">
      <c r="A354" s="140">
        <v>47.0</v>
      </c>
      <c r="B354" s="18" t="s">
        <v>972</v>
      </c>
      <c r="C354" s="10" t="s">
        <v>966</v>
      </c>
      <c r="D354" s="10" t="s">
        <v>896</v>
      </c>
      <c r="E354" s="10" t="s">
        <v>911</v>
      </c>
      <c r="F354" s="226">
        <v>3.98</v>
      </c>
      <c r="G354" s="226">
        <v>4.16</v>
      </c>
      <c r="H354" s="226">
        <v>5.55</v>
      </c>
      <c r="I354" s="220">
        <f t="shared" si="31"/>
        <v>4.563333333</v>
      </c>
      <c r="J354" s="140" t="s">
        <v>577</v>
      </c>
      <c r="K354" s="6">
        <v>1.0</v>
      </c>
    </row>
    <row r="355" ht="14.25" customHeight="1">
      <c r="A355" s="140">
        <v>48.0</v>
      </c>
      <c r="B355" s="18" t="s">
        <v>973</v>
      </c>
      <c r="C355" s="10" t="s">
        <v>966</v>
      </c>
      <c r="D355" s="10" t="s">
        <v>896</v>
      </c>
      <c r="E355" s="10" t="s">
        <v>911</v>
      </c>
      <c r="F355" s="226">
        <v>4.2</v>
      </c>
      <c r="G355" s="226">
        <v>5.18</v>
      </c>
      <c r="H355" s="226">
        <v>4.68</v>
      </c>
      <c r="I355" s="220">
        <f t="shared" si="31"/>
        <v>4.686666667</v>
      </c>
      <c r="J355" s="140" t="s">
        <v>577</v>
      </c>
      <c r="K355" s="6">
        <v>1.0</v>
      </c>
    </row>
    <row r="356" ht="14.25" customHeight="1">
      <c r="A356" s="140">
        <v>49.0</v>
      </c>
      <c r="B356" s="140" t="s">
        <v>974</v>
      </c>
      <c r="C356" s="10" t="s">
        <v>966</v>
      </c>
      <c r="D356" s="10" t="s">
        <v>896</v>
      </c>
      <c r="E356" s="10" t="s">
        <v>911</v>
      </c>
      <c r="F356" s="226">
        <v>5.16</v>
      </c>
      <c r="G356" s="226">
        <v>3.68</v>
      </c>
      <c r="H356" s="226">
        <v>5.17</v>
      </c>
      <c r="I356" s="220">
        <f t="shared" si="31"/>
        <v>4.67</v>
      </c>
      <c r="J356" s="140" t="s">
        <v>577</v>
      </c>
      <c r="K356" s="6">
        <v>1.0</v>
      </c>
    </row>
    <row r="357" ht="14.25" customHeight="1">
      <c r="A357" s="140">
        <v>50.0</v>
      </c>
      <c r="B357" s="140" t="s">
        <v>975</v>
      </c>
      <c r="C357" s="10" t="s">
        <v>966</v>
      </c>
      <c r="D357" s="10" t="s">
        <v>896</v>
      </c>
      <c r="E357" s="10" t="s">
        <v>911</v>
      </c>
      <c r="F357" s="226">
        <v>4.94</v>
      </c>
      <c r="G357" s="226">
        <v>5.11</v>
      </c>
      <c r="H357" s="226">
        <v>4.33</v>
      </c>
      <c r="I357" s="220">
        <f t="shared" si="31"/>
        <v>4.793333333</v>
      </c>
      <c r="J357" s="140" t="s">
        <v>577</v>
      </c>
      <c r="K357" s="6">
        <v>1.0</v>
      </c>
    </row>
    <row r="358" ht="14.25" customHeight="1">
      <c r="A358" s="140">
        <v>51.0</v>
      </c>
      <c r="B358" s="18" t="s">
        <v>976</v>
      </c>
      <c r="C358" s="10" t="s">
        <v>966</v>
      </c>
      <c r="D358" s="10" t="s">
        <v>896</v>
      </c>
      <c r="E358" s="10" t="s">
        <v>911</v>
      </c>
      <c r="F358" s="226">
        <v>5.94</v>
      </c>
      <c r="G358" s="226">
        <v>6.15</v>
      </c>
      <c r="H358" s="226">
        <v>6.22</v>
      </c>
      <c r="I358" s="227">
        <f t="shared" si="31"/>
        <v>6.103333333</v>
      </c>
      <c r="J358" s="140" t="s">
        <v>577</v>
      </c>
      <c r="K358" s="6">
        <v>1.0</v>
      </c>
    </row>
    <row r="359" ht="14.25" customHeight="1">
      <c r="K359" s="16">
        <f t="shared" ref="K359:L359" si="32">SUM(K294:K358)</f>
        <v>41</v>
      </c>
      <c r="L359" s="16">
        <f t="shared" si="32"/>
        <v>10</v>
      </c>
    </row>
    <row r="360" ht="14.25" customHeight="1">
      <c r="K360" s="17">
        <f>K359/A358</f>
        <v>0.8039215686</v>
      </c>
      <c r="L360" s="17">
        <f>L359/A358</f>
        <v>0.1960784314</v>
      </c>
    </row>
    <row r="361" ht="14.25" customHeight="1">
      <c r="B361" s="228" t="s">
        <v>977</v>
      </c>
      <c r="K361" s="17"/>
      <c r="L361" s="17"/>
    </row>
    <row r="362" ht="14.25" customHeight="1">
      <c r="A362" s="140">
        <v>1.0</v>
      </c>
      <c r="B362" s="229" t="s">
        <v>978</v>
      </c>
      <c r="C362" s="230" t="s">
        <v>979</v>
      </c>
      <c r="D362" s="140" t="s">
        <v>980</v>
      </c>
      <c r="E362" s="140" t="s">
        <v>576</v>
      </c>
      <c r="F362" s="20">
        <v>4.0</v>
      </c>
      <c r="G362" s="135">
        <v>4.02</v>
      </c>
      <c r="H362" s="135">
        <v>5.35</v>
      </c>
      <c r="I362" s="58">
        <f t="shared" ref="I362:I386" si="33">((F362+H362+G362)/3)</f>
        <v>4.456666667</v>
      </c>
      <c r="J362" s="154" t="s">
        <v>18</v>
      </c>
      <c r="L362" s="6">
        <v>1.0</v>
      </c>
    </row>
    <row r="363" ht="14.25" customHeight="1">
      <c r="A363" s="140">
        <v>2.0</v>
      </c>
      <c r="B363" s="229" t="s">
        <v>981</v>
      </c>
      <c r="C363" s="230" t="s">
        <v>979</v>
      </c>
      <c r="D363" s="140" t="s">
        <v>980</v>
      </c>
      <c r="E363" s="140" t="s">
        <v>576</v>
      </c>
      <c r="F363" s="20">
        <v>6.11</v>
      </c>
      <c r="G363" s="112">
        <v>5.34</v>
      </c>
      <c r="H363" s="135">
        <v>7.22</v>
      </c>
      <c r="I363" s="58">
        <f t="shared" si="33"/>
        <v>6.223333333</v>
      </c>
      <c r="J363" s="140" t="s">
        <v>630</v>
      </c>
      <c r="K363" s="6">
        <v>1.0</v>
      </c>
    </row>
    <row r="364" ht="14.25" customHeight="1">
      <c r="A364" s="140">
        <v>3.0</v>
      </c>
      <c r="B364" s="229" t="s">
        <v>982</v>
      </c>
      <c r="C364" s="230" t="s">
        <v>979</v>
      </c>
      <c r="D364" s="140" t="s">
        <v>980</v>
      </c>
      <c r="E364" s="140" t="s">
        <v>576</v>
      </c>
      <c r="F364" s="20">
        <v>3.76</v>
      </c>
      <c r="G364" s="60">
        <v>6.4</v>
      </c>
      <c r="H364" s="60">
        <v>5.26</v>
      </c>
      <c r="I364" s="58">
        <f t="shared" si="33"/>
        <v>5.14</v>
      </c>
      <c r="J364" s="140" t="s">
        <v>630</v>
      </c>
      <c r="K364" s="6">
        <v>1.0</v>
      </c>
    </row>
    <row r="365" ht="14.25" customHeight="1">
      <c r="A365" s="140">
        <v>4.0</v>
      </c>
      <c r="B365" s="229" t="s">
        <v>983</v>
      </c>
      <c r="C365" s="230" t="s">
        <v>979</v>
      </c>
      <c r="D365" s="140" t="s">
        <v>980</v>
      </c>
      <c r="E365" s="140" t="s">
        <v>576</v>
      </c>
      <c r="F365" s="20">
        <v>5.76</v>
      </c>
      <c r="G365" s="40">
        <v>5.32</v>
      </c>
      <c r="H365" s="57">
        <v>6.43</v>
      </c>
      <c r="I365" s="58">
        <f t="shared" si="33"/>
        <v>5.836666667</v>
      </c>
      <c r="J365" s="140" t="s">
        <v>630</v>
      </c>
      <c r="K365" s="6">
        <v>1.0</v>
      </c>
    </row>
    <row r="366" ht="14.25" customHeight="1">
      <c r="A366" s="140">
        <v>5.0</v>
      </c>
      <c r="B366" s="229" t="s">
        <v>984</v>
      </c>
      <c r="C366" s="230" t="s">
        <v>979</v>
      </c>
      <c r="D366" s="140" t="s">
        <v>980</v>
      </c>
      <c r="E366" s="140" t="s">
        <v>576</v>
      </c>
      <c r="F366" s="20">
        <v>4.11</v>
      </c>
      <c r="G366" s="40">
        <v>6.64</v>
      </c>
      <c r="H366" s="57">
        <v>7.21</v>
      </c>
      <c r="I366" s="58">
        <f t="shared" si="33"/>
        <v>5.986666667</v>
      </c>
      <c r="J366" s="140" t="s">
        <v>630</v>
      </c>
      <c r="K366" s="6">
        <v>1.0</v>
      </c>
    </row>
    <row r="367" ht="14.25" customHeight="1">
      <c r="A367" s="140">
        <v>6.0</v>
      </c>
      <c r="B367" s="229" t="s">
        <v>985</v>
      </c>
      <c r="C367" s="230" t="s">
        <v>979</v>
      </c>
      <c r="D367" s="140" t="s">
        <v>980</v>
      </c>
      <c r="E367" s="140" t="s">
        <v>576</v>
      </c>
      <c r="F367" s="20">
        <v>1.58</v>
      </c>
      <c r="G367" s="40">
        <v>7.42</v>
      </c>
      <c r="H367" s="57">
        <v>8.59</v>
      </c>
      <c r="I367" s="58">
        <f t="shared" si="33"/>
        <v>5.863333333</v>
      </c>
      <c r="J367" s="140" t="s">
        <v>630</v>
      </c>
      <c r="K367" s="6">
        <v>1.0</v>
      </c>
    </row>
    <row r="368" ht="14.25" customHeight="1">
      <c r="A368" s="140">
        <v>7.0</v>
      </c>
      <c r="B368" s="229" t="s">
        <v>986</v>
      </c>
      <c r="C368" s="230" t="s">
        <v>979</v>
      </c>
      <c r="D368" s="140" t="s">
        <v>980</v>
      </c>
      <c r="E368" s="140" t="s">
        <v>576</v>
      </c>
      <c r="F368" s="20">
        <v>3.76</v>
      </c>
      <c r="G368" s="60">
        <v>4.11</v>
      </c>
      <c r="H368" s="60">
        <v>5.02</v>
      </c>
      <c r="I368" s="58">
        <f t="shared" si="33"/>
        <v>4.296666667</v>
      </c>
      <c r="J368" s="154" t="s">
        <v>18</v>
      </c>
      <c r="L368" s="6">
        <v>1.0</v>
      </c>
    </row>
    <row r="369" ht="14.25" customHeight="1">
      <c r="A369" s="140">
        <v>8.0</v>
      </c>
      <c r="B369" s="229" t="s">
        <v>987</v>
      </c>
      <c r="C369" s="230" t="s">
        <v>979</v>
      </c>
      <c r="D369" s="140" t="s">
        <v>980</v>
      </c>
      <c r="E369" s="140" t="s">
        <v>576</v>
      </c>
      <c r="F369" s="11">
        <v>4.61</v>
      </c>
      <c r="G369" s="11">
        <v>4.88</v>
      </c>
      <c r="H369" s="172">
        <v>5.44</v>
      </c>
      <c r="I369" s="58">
        <f t="shared" si="33"/>
        <v>4.976666667</v>
      </c>
      <c r="J369" s="140" t="s">
        <v>630</v>
      </c>
      <c r="K369" s="6">
        <v>1.0</v>
      </c>
    </row>
    <row r="370" ht="14.25" customHeight="1">
      <c r="A370" s="140">
        <v>9.0</v>
      </c>
      <c r="B370" s="229" t="s">
        <v>988</v>
      </c>
      <c r="C370" s="230" t="s">
        <v>979</v>
      </c>
      <c r="D370" s="140" t="s">
        <v>980</v>
      </c>
      <c r="E370" s="140" t="s">
        <v>576</v>
      </c>
      <c r="F370" s="11">
        <v>5.67</v>
      </c>
      <c r="G370" s="11">
        <v>4.96</v>
      </c>
      <c r="H370" s="172">
        <v>3.5</v>
      </c>
      <c r="I370" s="58">
        <f t="shared" si="33"/>
        <v>4.71</v>
      </c>
      <c r="J370" s="140" t="s">
        <v>630</v>
      </c>
      <c r="K370" s="6">
        <v>1.0</v>
      </c>
    </row>
    <row r="371" ht="14.25" customHeight="1">
      <c r="A371" s="224">
        <v>10.0</v>
      </c>
      <c r="B371" s="229" t="s">
        <v>989</v>
      </c>
      <c r="C371" s="230" t="s">
        <v>979</v>
      </c>
      <c r="D371" s="140" t="s">
        <v>980</v>
      </c>
      <c r="E371" s="140" t="s">
        <v>576</v>
      </c>
      <c r="F371" s="11">
        <v>3.61</v>
      </c>
      <c r="G371" s="11">
        <v>3.98</v>
      </c>
      <c r="H371" s="172">
        <v>4.19</v>
      </c>
      <c r="I371" s="58">
        <f t="shared" si="33"/>
        <v>3.926666667</v>
      </c>
      <c r="J371" s="154" t="s">
        <v>18</v>
      </c>
      <c r="L371" s="6">
        <v>1.0</v>
      </c>
    </row>
    <row r="372" ht="14.25" customHeight="1">
      <c r="A372" s="140">
        <v>11.0</v>
      </c>
      <c r="B372" s="229" t="s">
        <v>990</v>
      </c>
      <c r="C372" s="230" t="s">
        <v>979</v>
      </c>
      <c r="D372" s="140" t="s">
        <v>980</v>
      </c>
      <c r="E372" s="140" t="s">
        <v>576</v>
      </c>
      <c r="F372" s="11">
        <v>5.38</v>
      </c>
      <c r="G372" s="11">
        <v>5.75</v>
      </c>
      <c r="H372" s="172">
        <v>6.6</v>
      </c>
      <c r="I372" s="58">
        <f t="shared" si="33"/>
        <v>5.91</v>
      </c>
      <c r="J372" s="140" t="s">
        <v>630</v>
      </c>
      <c r="K372" s="6">
        <v>1.0</v>
      </c>
    </row>
    <row r="373" ht="14.25" customHeight="1">
      <c r="A373" s="140">
        <v>12.0</v>
      </c>
      <c r="B373" s="229" t="s">
        <v>991</v>
      </c>
      <c r="C373" s="230" t="s">
        <v>979</v>
      </c>
      <c r="D373" s="140" t="s">
        <v>980</v>
      </c>
      <c r="E373" s="140" t="s">
        <v>576</v>
      </c>
      <c r="F373" s="11">
        <v>6.46</v>
      </c>
      <c r="G373" s="11">
        <v>4.3</v>
      </c>
      <c r="H373" s="172">
        <v>4.75</v>
      </c>
      <c r="I373" s="58">
        <f t="shared" si="33"/>
        <v>5.17</v>
      </c>
      <c r="J373" s="140" t="s">
        <v>630</v>
      </c>
      <c r="K373" s="6">
        <v>1.0</v>
      </c>
    </row>
    <row r="374" ht="14.25" customHeight="1">
      <c r="A374" s="140">
        <v>13.0</v>
      </c>
      <c r="B374" s="229" t="s">
        <v>992</v>
      </c>
      <c r="C374" s="230" t="s">
        <v>979</v>
      </c>
      <c r="D374" s="140" t="s">
        <v>980</v>
      </c>
      <c r="E374" s="140" t="s">
        <v>576</v>
      </c>
      <c r="F374" s="11">
        <v>5.86</v>
      </c>
      <c r="G374" s="11">
        <v>3.75</v>
      </c>
      <c r="H374" s="172">
        <v>3.98</v>
      </c>
      <c r="I374" s="58">
        <f t="shared" si="33"/>
        <v>4.53</v>
      </c>
      <c r="J374" s="140" t="s">
        <v>630</v>
      </c>
      <c r="K374" s="6">
        <v>1.0</v>
      </c>
    </row>
    <row r="375" ht="14.25" customHeight="1">
      <c r="A375" s="140">
        <v>14.0</v>
      </c>
      <c r="B375" s="229" t="s">
        <v>993</v>
      </c>
      <c r="C375" s="230" t="s">
        <v>979</v>
      </c>
      <c r="D375" s="140" t="s">
        <v>980</v>
      </c>
      <c r="E375" s="140" t="s">
        <v>576</v>
      </c>
      <c r="F375" s="11">
        <v>6.53</v>
      </c>
      <c r="G375" s="11">
        <v>6.0</v>
      </c>
      <c r="H375" s="172">
        <v>6.0</v>
      </c>
      <c r="I375" s="58">
        <f t="shared" si="33"/>
        <v>6.176666667</v>
      </c>
      <c r="J375" s="140" t="s">
        <v>630</v>
      </c>
      <c r="K375" s="6">
        <v>1.0</v>
      </c>
    </row>
    <row r="376" ht="14.25" customHeight="1">
      <c r="A376" s="140">
        <v>15.0</v>
      </c>
      <c r="B376" s="229" t="s">
        <v>994</v>
      </c>
      <c r="C376" s="230" t="s">
        <v>979</v>
      </c>
      <c r="D376" s="140" t="s">
        <v>980</v>
      </c>
      <c r="E376" s="140" t="s">
        <v>576</v>
      </c>
      <c r="F376" s="11">
        <v>3.76</v>
      </c>
      <c r="G376" s="11">
        <v>3.8</v>
      </c>
      <c r="H376" s="11">
        <v>5.0</v>
      </c>
      <c r="I376" s="58">
        <f t="shared" si="33"/>
        <v>4.186666667</v>
      </c>
      <c r="J376" s="154" t="s">
        <v>18</v>
      </c>
      <c r="L376" s="6">
        <v>1.0</v>
      </c>
    </row>
    <row r="377" ht="14.25" customHeight="1">
      <c r="A377" s="140">
        <v>16.0</v>
      </c>
      <c r="B377" s="229" t="s">
        <v>995</v>
      </c>
      <c r="C377" s="230" t="s">
        <v>979</v>
      </c>
      <c r="D377" s="140" t="s">
        <v>980</v>
      </c>
      <c r="E377" s="140" t="s">
        <v>576</v>
      </c>
      <c r="F377" s="11">
        <v>5.76</v>
      </c>
      <c r="G377" s="11">
        <v>5.0</v>
      </c>
      <c r="H377" s="11">
        <v>6.11</v>
      </c>
      <c r="I377" s="58">
        <f t="shared" si="33"/>
        <v>5.623333333</v>
      </c>
      <c r="J377" s="140" t="s">
        <v>630</v>
      </c>
      <c r="K377" s="6">
        <v>1.0</v>
      </c>
    </row>
    <row r="378" ht="14.25" customHeight="1">
      <c r="A378" s="140">
        <v>17.0</v>
      </c>
      <c r="B378" s="229" t="s">
        <v>996</v>
      </c>
      <c r="C378" s="230" t="s">
        <v>979</v>
      </c>
      <c r="D378" s="140" t="s">
        <v>980</v>
      </c>
      <c r="E378" s="140" t="s">
        <v>576</v>
      </c>
      <c r="F378" s="11">
        <v>4.11</v>
      </c>
      <c r="G378" s="11">
        <v>6.76</v>
      </c>
      <c r="H378" s="11">
        <v>7.58</v>
      </c>
      <c r="I378" s="58">
        <f t="shared" si="33"/>
        <v>6.15</v>
      </c>
      <c r="J378" s="140" t="s">
        <v>630</v>
      </c>
      <c r="K378" s="6">
        <v>1.0</v>
      </c>
    </row>
    <row r="379" ht="14.25" customHeight="1">
      <c r="A379" s="140">
        <v>18.0</v>
      </c>
      <c r="B379" s="229" t="s">
        <v>997</v>
      </c>
      <c r="C379" s="230" t="s">
        <v>979</v>
      </c>
      <c r="D379" s="140" t="s">
        <v>980</v>
      </c>
      <c r="E379" s="140" t="s">
        <v>576</v>
      </c>
      <c r="F379" s="11">
        <v>1.58</v>
      </c>
      <c r="G379" s="11">
        <v>2.94</v>
      </c>
      <c r="H379" s="11">
        <v>3.65</v>
      </c>
      <c r="I379" s="58">
        <f t="shared" si="33"/>
        <v>2.723333333</v>
      </c>
      <c r="J379" s="154" t="s">
        <v>18</v>
      </c>
      <c r="L379" s="6">
        <v>1.0</v>
      </c>
    </row>
    <row r="380" ht="14.25" customHeight="1">
      <c r="A380" s="140">
        <v>19.0</v>
      </c>
      <c r="B380" s="229" t="s">
        <v>998</v>
      </c>
      <c r="C380" s="230" t="s">
        <v>979</v>
      </c>
      <c r="D380" s="140" t="s">
        <v>980</v>
      </c>
      <c r="E380" s="140" t="s">
        <v>576</v>
      </c>
      <c r="F380" s="11">
        <v>3.76</v>
      </c>
      <c r="G380" s="11">
        <v>2.58</v>
      </c>
      <c r="H380" s="11">
        <v>2.64</v>
      </c>
      <c r="I380" s="58">
        <f t="shared" si="33"/>
        <v>2.993333333</v>
      </c>
      <c r="J380" s="154" t="s">
        <v>18</v>
      </c>
      <c r="L380" s="6">
        <v>1.0</v>
      </c>
    </row>
    <row r="381" ht="14.25" customHeight="1">
      <c r="A381" s="140">
        <v>20.0</v>
      </c>
      <c r="B381" s="229" t="s">
        <v>999</v>
      </c>
      <c r="C381" s="230" t="s">
        <v>979</v>
      </c>
      <c r="D381" s="140" t="s">
        <v>980</v>
      </c>
      <c r="E381" s="140" t="s">
        <v>576</v>
      </c>
      <c r="F381" s="11">
        <v>4.5</v>
      </c>
      <c r="G381" s="11">
        <v>4.8</v>
      </c>
      <c r="H381" s="11">
        <v>5.0</v>
      </c>
      <c r="I381" s="58">
        <f t="shared" si="33"/>
        <v>4.766666667</v>
      </c>
      <c r="J381" s="140" t="s">
        <v>630</v>
      </c>
      <c r="K381" s="6">
        <v>1.0</v>
      </c>
    </row>
    <row r="382" ht="14.25" customHeight="1">
      <c r="A382" s="140">
        <v>21.0</v>
      </c>
      <c r="B382" s="231" t="s">
        <v>1000</v>
      </c>
      <c r="C382" s="230" t="s">
        <v>979</v>
      </c>
      <c r="D382" s="140" t="s">
        <v>980</v>
      </c>
      <c r="E382" s="140" t="s">
        <v>576</v>
      </c>
      <c r="F382" s="11">
        <v>5.58</v>
      </c>
      <c r="G382" s="11">
        <v>6.02</v>
      </c>
      <c r="H382" s="11">
        <v>6.7</v>
      </c>
      <c r="I382" s="58">
        <f t="shared" si="33"/>
        <v>6.1</v>
      </c>
      <c r="J382" s="140" t="s">
        <v>630</v>
      </c>
      <c r="K382" s="6">
        <v>1.0</v>
      </c>
    </row>
    <row r="383" ht="14.25" customHeight="1">
      <c r="A383" s="140">
        <v>22.0</v>
      </c>
      <c r="B383" s="231" t="s">
        <v>1001</v>
      </c>
      <c r="C383" s="230" t="s">
        <v>979</v>
      </c>
      <c r="D383" s="140" t="s">
        <v>980</v>
      </c>
      <c r="E383" s="140" t="s">
        <v>576</v>
      </c>
      <c r="F383" s="11">
        <v>6.76</v>
      </c>
      <c r="G383" s="11">
        <v>5.58</v>
      </c>
      <c r="H383" s="11">
        <v>5.64</v>
      </c>
      <c r="I383" s="58">
        <f t="shared" si="33"/>
        <v>5.993333333</v>
      </c>
      <c r="J383" s="140" t="s">
        <v>630</v>
      </c>
      <c r="K383" s="6">
        <v>1.0</v>
      </c>
    </row>
    <row r="384" ht="14.25" customHeight="1">
      <c r="A384" s="140">
        <v>23.0</v>
      </c>
      <c r="B384" s="231" t="s">
        <v>1002</v>
      </c>
      <c r="C384" s="230" t="s">
        <v>979</v>
      </c>
      <c r="D384" s="140" t="s">
        <v>980</v>
      </c>
      <c r="E384" s="140" t="s">
        <v>576</v>
      </c>
      <c r="F384" s="11">
        <v>4.95</v>
      </c>
      <c r="G384" s="11">
        <v>6.09</v>
      </c>
      <c r="H384" s="11">
        <v>7.0</v>
      </c>
      <c r="I384" s="58">
        <f t="shared" si="33"/>
        <v>6.013333333</v>
      </c>
      <c r="J384" s="140" t="s">
        <v>630</v>
      </c>
      <c r="K384" s="6">
        <v>1.0</v>
      </c>
    </row>
    <row r="385" ht="14.25" customHeight="1">
      <c r="A385" s="140">
        <v>24.0</v>
      </c>
      <c r="B385" s="231" t="s">
        <v>1003</v>
      </c>
      <c r="C385" s="230" t="s">
        <v>979</v>
      </c>
      <c r="D385" s="140" t="s">
        <v>980</v>
      </c>
      <c r="E385" s="140" t="s">
        <v>576</v>
      </c>
      <c r="F385" s="11">
        <v>3.88</v>
      </c>
      <c r="G385" s="11">
        <v>4.79</v>
      </c>
      <c r="H385" s="11">
        <v>4.0</v>
      </c>
      <c r="I385" s="58">
        <f t="shared" si="33"/>
        <v>4.223333333</v>
      </c>
      <c r="J385" s="154" t="s">
        <v>18</v>
      </c>
      <c r="L385" s="6">
        <v>1.0</v>
      </c>
    </row>
    <row r="386" ht="14.25" customHeight="1">
      <c r="A386" s="140">
        <v>25.0</v>
      </c>
      <c r="B386" s="231" t="s">
        <v>1004</v>
      </c>
      <c r="C386" s="230" t="s">
        <v>979</v>
      </c>
      <c r="D386" s="140" t="s">
        <v>980</v>
      </c>
      <c r="E386" s="140" t="s">
        <v>576</v>
      </c>
      <c r="F386" s="11">
        <v>5.0</v>
      </c>
      <c r="G386" s="11">
        <v>5.77</v>
      </c>
      <c r="H386" s="11">
        <v>6.05</v>
      </c>
      <c r="I386" s="58">
        <f t="shared" si="33"/>
        <v>5.606666667</v>
      </c>
      <c r="J386" s="140" t="s">
        <v>630</v>
      </c>
      <c r="K386" s="6">
        <v>1.0</v>
      </c>
    </row>
    <row r="387" ht="14.25" customHeight="1">
      <c r="F387" s="232"/>
      <c r="G387" s="233"/>
      <c r="H387" s="233"/>
      <c r="K387" s="16">
        <f t="shared" ref="K387:L387" si="34">SUM(K362:K386)</f>
        <v>18</v>
      </c>
      <c r="L387" s="16">
        <f t="shared" si="34"/>
        <v>7</v>
      </c>
    </row>
    <row r="388" ht="14.25" customHeight="1">
      <c r="F388" s="26"/>
      <c r="G388" s="26"/>
      <c r="H388" s="26"/>
      <c r="K388" s="17">
        <f>K387/A386</f>
        <v>0.72</v>
      </c>
      <c r="L388" s="17">
        <f>L387/A386</f>
        <v>0.28</v>
      </c>
    </row>
    <row r="389" ht="14.25" customHeight="1">
      <c r="O389" s="6" t="s">
        <v>1005</v>
      </c>
      <c r="P389" s="6" t="s">
        <v>310</v>
      </c>
      <c r="Q389" s="6" t="s">
        <v>1006</v>
      </c>
      <c r="R389" s="6" t="s">
        <v>1007</v>
      </c>
      <c r="S389" s="6" t="s">
        <v>313</v>
      </c>
      <c r="T389" s="6" t="s">
        <v>1008</v>
      </c>
      <c r="U389" s="6" t="s">
        <v>315</v>
      </c>
      <c r="V389" s="6" t="s">
        <v>316</v>
      </c>
    </row>
    <row r="390" ht="14.25" customHeight="1">
      <c r="P390" s="16">
        <f>A386+A358+A290+A257+A237+A200+A172+A142+A118+A85+A60+A34</f>
        <v>304</v>
      </c>
      <c r="Q390" s="16">
        <f t="shared" ref="Q390:R390" si="35">K387+K359+K291+K258+K238+K201+K173+K143+K119+K86+K61+K35</f>
        <v>240</v>
      </c>
      <c r="R390" s="16">
        <f t="shared" si="35"/>
        <v>66</v>
      </c>
      <c r="S390" s="6">
        <v>0.0</v>
      </c>
      <c r="T390" s="17">
        <f>Q390/P390</f>
        <v>0.7894736842</v>
      </c>
      <c r="U390" s="17">
        <f>S390/P390</f>
        <v>0</v>
      </c>
      <c r="V390" s="17">
        <f>R390/P390</f>
        <v>0.2171052632</v>
      </c>
    </row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74">
    <mergeCell ref="H300:H303"/>
    <mergeCell ref="I300:I303"/>
    <mergeCell ref="J300:J303"/>
    <mergeCell ref="K300:K303"/>
    <mergeCell ref="A300:A303"/>
    <mergeCell ref="B300:B303"/>
    <mergeCell ref="C300:C303"/>
    <mergeCell ref="D300:D303"/>
    <mergeCell ref="E300:E303"/>
    <mergeCell ref="F300:F303"/>
    <mergeCell ref="G300:G303"/>
    <mergeCell ref="I324:I325"/>
    <mergeCell ref="J324:J325"/>
    <mergeCell ref="B324:B325"/>
    <mergeCell ref="C324:C325"/>
    <mergeCell ref="D324:D325"/>
    <mergeCell ref="E324:E325"/>
    <mergeCell ref="F324:F325"/>
    <mergeCell ref="G324:G325"/>
    <mergeCell ref="H324:H325"/>
    <mergeCell ref="H191:H192"/>
    <mergeCell ref="I191:I192"/>
    <mergeCell ref="J191:J192"/>
    <mergeCell ref="K191:K192"/>
    <mergeCell ref="A191:A192"/>
    <mergeCell ref="B191:B192"/>
    <mergeCell ref="C191:C192"/>
    <mergeCell ref="D191:D192"/>
    <mergeCell ref="E191:E192"/>
    <mergeCell ref="F191:F192"/>
    <mergeCell ref="G191:G192"/>
    <mergeCell ref="G294:G295"/>
    <mergeCell ref="H294:H295"/>
    <mergeCell ref="I294:I295"/>
    <mergeCell ref="J294:J295"/>
    <mergeCell ref="K294:K295"/>
    <mergeCell ref="C292:E293"/>
    <mergeCell ref="A294:A295"/>
    <mergeCell ref="B294:B295"/>
    <mergeCell ref="C294:C295"/>
    <mergeCell ref="D294:D295"/>
    <mergeCell ref="E294:E295"/>
    <mergeCell ref="F294:F295"/>
    <mergeCell ref="H298:H299"/>
    <mergeCell ref="I298:I299"/>
    <mergeCell ref="J298:J299"/>
    <mergeCell ref="K298:K299"/>
    <mergeCell ref="A298:A299"/>
    <mergeCell ref="B298:B299"/>
    <mergeCell ref="C298:C299"/>
    <mergeCell ref="D298:D299"/>
    <mergeCell ref="E298:E299"/>
    <mergeCell ref="F298:F299"/>
    <mergeCell ref="G298:G299"/>
    <mergeCell ref="H334:H335"/>
    <mergeCell ref="I334:I335"/>
    <mergeCell ref="J334:J335"/>
    <mergeCell ref="A334:A335"/>
    <mergeCell ref="B334:B335"/>
    <mergeCell ref="C334:C335"/>
    <mergeCell ref="D334:D335"/>
    <mergeCell ref="E334:E335"/>
    <mergeCell ref="F334:F335"/>
    <mergeCell ref="G334:G335"/>
    <mergeCell ref="B361:C361"/>
    <mergeCell ref="H40:H41"/>
    <mergeCell ref="I40:I41"/>
    <mergeCell ref="J40:J41"/>
    <mergeCell ref="A40:A41"/>
    <mergeCell ref="B40:B41"/>
    <mergeCell ref="C40:C41"/>
    <mergeCell ref="D40:D41"/>
    <mergeCell ref="E40:E41"/>
    <mergeCell ref="F40:F41"/>
    <mergeCell ref="G40:G41"/>
    <mergeCell ref="H179:H180"/>
    <mergeCell ref="I179:I180"/>
    <mergeCell ref="J179:J180"/>
    <mergeCell ref="L179:L180"/>
    <mergeCell ref="A179:A180"/>
    <mergeCell ref="B179:B180"/>
    <mergeCell ref="C179:C180"/>
    <mergeCell ref="D179:D180"/>
    <mergeCell ref="E179:E180"/>
    <mergeCell ref="F179:F180"/>
    <mergeCell ref="G179:G180"/>
    <mergeCell ref="H184:H185"/>
    <mergeCell ref="I184:I185"/>
    <mergeCell ref="J184:J185"/>
    <mergeCell ref="K184:K185"/>
    <mergeCell ref="L184:L185"/>
    <mergeCell ref="A184:A185"/>
    <mergeCell ref="B184:B185"/>
    <mergeCell ref="C184:C185"/>
    <mergeCell ref="D184:D185"/>
    <mergeCell ref="E184:E185"/>
    <mergeCell ref="F184:F185"/>
    <mergeCell ref="G184:G185"/>
    <mergeCell ref="H193:H194"/>
    <mergeCell ref="I193:I194"/>
    <mergeCell ref="J193:J194"/>
    <mergeCell ref="K193:K194"/>
    <mergeCell ref="L193:L194"/>
    <mergeCell ref="A193:A194"/>
    <mergeCell ref="B193:B194"/>
    <mergeCell ref="C193:C194"/>
    <mergeCell ref="D193:D194"/>
    <mergeCell ref="E193:E194"/>
    <mergeCell ref="F193:F194"/>
    <mergeCell ref="G193:G194"/>
    <mergeCell ref="H304:H306"/>
    <mergeCell ref="I304:I306"/>
    <mergeCell ref="J304:J306"/>
    <mergeCell ref="K304:K306"/>
    <mergeCell ref="L307:L308"/>
    <mergeCell ref="A304:A306"/>
    <mergeCell ref="B304:B306"/>
    <mergeCell ref="C304:C306"/>
    <mergeCell ref="D304:D306"/>
    <mergeCell ref="E304:E306"/>
    <mergeCell ref="F304:F306"/>
    <mergeCell ref="G304:G306"/>
    <mergeCell ref="H307:H308"/>
    <mergeCell ref="I307:I308"/>
    <mergeCell ref="J307:J308"/>
    <mergeCell ref="A307:A308"/>
    <mergeCell ref="B307:B308"/>
    <mergeCell ref="C307:C308"/>
    <mergeCell ref="D307:D308"/>
    <mergeCell ref="E307:E308"/>
    <mergeCell ref="F307:F308"/>
    <mergeCell ref="G307:G308"/>
    <mergeCell ref="I311:I312"/>
    <mergeCell ref="J311:J312"/>
    <mergeCell ref="K311:K312"/>
    <mergeCell ref="B311:B312"/>
    <mergeCell ref="C311:C312"/>
    <mergeCell ref="D311:D312"/>
    <mergeCell ref="E311:E312"/>
    <mergeCell ref="F311:F312"/>
    <mergeCell ref="G311:G312"/>
    <mergeCell ref="H311:H312"/>
    <mergeCell ref="I314:I315"/>
    <mergeCell ref="J314:J315"/>
    <mergeCell ref="K314:K315"/>
    <mergeCell ref="B314:B315"/>
    <mergeCell ref="C314:C315"/>
    <mergeCell ref="D314:D315"/>
    <mergeCell ref="E314:E315"/>
    <mergeCell ref="F314:F315"/>
    <mergeCell ref="G314:G315"/>
    <mergeCell ref="H314:H315"/>
    <mergeCell ref="I316:I317"/>
    <mergeCell ref="J316:J317"/>
    <mergeCell ref="K316:K317"/>
    <mergeCell ref="B316:B317"/>
    <mergeCell ref="C316:C317"/>
    <mergeCell ref="D316:D317"/>
    <mergeCell ref="E316:E317"/>
    <mergeCell ref="F316:F317"/>
    <mergeCell ref="G316:G317"/>
    <mergeCell ref="H316:H317"/>
    <mergeCell ref="I321:I322"/>
    <mergeCell ref="J321:J322"/>
    <mergeCell ref="K321:K322"/>
    <mergeCell ref="L324:L325"/>
    <mergeCell ref="L334:L335"/>
    <mergeCell ref="B321:B322"/>
    <mergeCell ref="C321:C322"/>
    <mergeCell ref="D321:D322"/>
    <mergeCell ref="E321:E322"/>
    <mergeCell ref="F321:F322"/>
    <mergeCell ref="G321:G322"/>
    <mergeCell ref="H321:H32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4.14"/>
    <col customWidth="1" min="3" max="3" width="18.29"/>
    <col customWidth="1" min="4" max="9" width="10.71"/>
    <col customWidth="1" min="10" max="10" width="21.43"/>
    <col customWidth="1" min="11" max="26" width="10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/>
    <row r="8" ht="14.25" customHeight="1"/>
    <row r="9" ht="14.25" customHeight="1">
      <c r="A9" s="4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1009</v>
      </c>
      <c r="G9" s="5" t="s">
        <v>13</v>
      </c>
      <c r="H9" s="176" t="s">
        <v>14</v>
      </c>
      <c r="I9" s="176" t="s">
        <v>571</v>
      </c>
      <c r="J9" s="4" t="s">
        <v>572</v>
      </c>
      <c r="K9" s="6" t="s">
        <v>573</v>
      </c>
      <c r="L9" s="6" t="s">
        <v>18</v>
      </c>
      <c r="M9" s="6" t="s">
        <v>19</v>
      </c>
      <c r="N9" s="7" t="s">
        <v>20</v>
      </c>
    </row>
    <row r="10" ht="14.25" customHeight="1">
      <c r="A10" s="37">
        <v>1.0</v>
      </c>
      <c r="B10" s="39" t="s">
        <v>1010</v>
      </c>
      <c r="C10" s="39" t="s">
        <v>1011</v>
      </c>
      <c r="D10" s="39" t="s">
        <v>323</v>
      </c>
      <c r="E10" s="39" t="s">
        <v>576</v>
      </c>
      <c r="F10" s="40">
        <v>3.5</v>
      </c>
      <c r="G10" s="40">
        <v>5.35</v>
      </c>
      <c r="H10" s="40">
        <v>6.26</v>
      </c>
      <c r="I10" s="40">
        <f t="shared" ref="I10:I13" si="1">((F10+H10+G10)/3)</f>
        <v>5.036666667</v>
      </c>
      <c r="J10" s="39" t="s">
        <v>577</v>
      </c>
      <c r="K10" s="6">
        <v>1.0</v>
      </c>
    </row>
    <row r="11" ht="14.25" customHeight="1">
      <c r="A11" s="37">
        <v>2.0</v>
      </c>
      <c r="B11" s="39" t="s">
        <v>1012</v>
      </c>
      <c r="C11" s="39" t="s">
        <v>1013</v>
      </c>
      <c r="D11" s="39" t="s">
        <v>323</v>
      </c>
      <c r="E11" s="39" t="s">
        <v>780</v>
      </c>
      <c r="F11" s="40">
        <v>4.17</v>
      </c>
      <c r="G11" s="40">
        <v>4.21</v>
      </c>
      <c r="H11" s="40">
        <v>5.7</v>
      </c>
      <c r="I11" s="40">
        <f t="shared" si="1"/>
        <v>4.693333333</v>
      </c>
      <c r="J11" s="39" t="s">
        <v>577</v>
      </c>
      <c r="K11" s="6">
        <v>1.0</v>
      </c>
    </row>
    <row r="12" ht="14.25" customHeight="1">
      <c r="A12" s="37">
        <v>3.0</v>
      </c>
      <c r="B12" s="39" t="s">
        <v>1014</v>
      </c>
      <c r="C12" s="39" t="s">
        <v>1011</v>
      </c>
      <c r="D12" s="39" t="s">
        <v>323</v>
      </c>
      <c r="E12" s="39" t="s">
        <v>780</v>
      </c>
      <c r="F12" s="40">
        <v>2.5</v>
      </c>
      <c r="G12" s="40">
        <v>2.88</v>
      </c>
      <c r="H12" s="40">
        <v>3.6</v>
      </c>
      <c r="I12" s="40">
        <f t="shared" si="1"/>
        <v>2.993333333</v>
      </c>
      <c r="J12" s="154" t="s">
        <v>18</v>
      </c>
      <c r="L12" s="6">
        <v>1.0</v>
      </c>
    </row>
    <row r="13" ht="14.25" customHeight="1">
      <c r="A13" s="37">
        <v>4.0</v>
      </c>
      <c r="B13" s="234" t="s">
        <v>1015</v>
      </c>
      <c r="C13" s="234" t="s">
        <v>1011</v>
      </c>
      <c r="D13" s="234" t="s">
        <v>323</v>
      </c>
      <c r="E13" s="234" t="s">
        <v>576</v>
      </c>
      <c r="F13" s="235">
        <v>1.78</v>
      </c>
      <c r="G13" s="235">
        <v>3.89</v>
      </c>
      <c r="H13" s="235">
        <v>2.56</v>
      </c>
      <c r="I13" s="40">
        <f t="shared" si="1"/>
        <v>2.743333333</v>
      </c>
      <c r="J13" s="42" t="s">
        <v>18</v>
      </c>
      <c r="L13" s="6">
        <v>1.0</v>
      </c>
    </row>
    <row r="14" ht="14.25" customHeight="1">
      <c r="A14" s="37">
        <v>5.0</v>
      </c>
      <c r="B14" s="234" t="s">
        <v>1016</v>
      </c>
      <c r="C14" s="234" t="s">
        <v>1011</v>
      </c>
      <c r="D14" s="234" t="s">
        <v>323</v>
      </c>
      <c r="E14" s="234" t="s">
        <v>780</v>
      </c>
      <c r="F14" s="235">
        <v>5.21</v>
      </c>
      <c r="G14" s="235">
        <v>4.79</v>
      </c>
      <c r="H14" s="235">
        <v>4.55</v>
      </c>
      <c r="I14" s="40">
        <v>3.87</v>
      </c>
      <c r="J14" s="42" t="s">
        <v>18</v>
      </c>
      <c r="L14" s="6">
        <v>1.0</v>
      </c>
    </row>
    <row r="15" ht="14.25" customHeight="1">
      <c r="A15" s="37">
        <v>6.0</v>
      </c>
      <c r="B15" s="234" t="s">
        <v>1017</v>
      </c>
      <c r="C15" s="234" t="s">
        <v>1011</v>
      </c>
      <c r="D15" s="234" t="s">
        <v>323</v>
      </c>
      <c r="E15" s="234" t="s">
        <v>780</v>
      </c>
      <c r="F15" s="235">
        <v>3.86</v>
      </c>
      <c r="G15" s="235">
        <v>2.59</v>
      </c>
      <c r="H15" s="235">
        <v>3.95</v>
      </c>
      <c r="I15" s="40">
        <f t="shared" ref="I15:I17" si="2">((F15+H15+G15)/3)</f>
        <v>3.466666667</v>
      </c>
      <c r="J15" s="42" t="s">
        <v>18</v>
      </c>
      <c r="L15" s="6">
        <v>1.0</v>
      </c>
    </row>
    <row r="16" ht="14.25" customHeight="1">
      <c r="A16" s="37">
        <v>7.0</v>
      </c>
      <c r="B16" s="234" t="s">
        <v>1018</v>
      </c>
      <c r="C16" s="234" t="s">
        <v>1011</v>
      </c>
      <c r="D16" s="234" t="s">
        <v>323</v>
      </c>
      <c r="E16" s="234" t="s">
        <v>780</v>
      </c>
      <c r="F16" s="235">
        <v>6.45</v>
      </c>
      <c r="G16" s="235">
        <v>7.89</v>
      </c>
      <c r="H16" s="235">
        <v>7.0</v>
      </c>
      <c r="I16" s="40">
        <f t="shared" si="2"/>
        <v>7.113333333</v>
      </c>
      <c r="J16" s="234" t="s">
        <v>577</v>
      </c>
      <c r="K16" s="6">
        <v>1.0</v>
      </c>
    </row>
    <row r="17" ht="14.25" customHeight="1">
      <c r="A17" s="37">
        <v>8.0</v>
      </c>
      <c r="B17" s="234" t="s">
        <v>1019</v>
      </c>
      <c r="C17" s="234" t="s">
        <v>1011</v>
      </c>
      <c r="D17" s="234" t="s">
        <v>323</v>
      </c>
      <c r="E17" s="234" t="s">
        <v>780</v>
      </c>
      <c r="F17" s="235">
        <v>5.43</v>
      </c>
      <c r="G17" s="235">
        <v>5.0</v>
      </c>
      <c r="H17" s="235">
        <v>4.65</v>
      </c>
      <c r="I17" s="40">
        <f t="shared" si="2"/>
        <v>5.026666667</v>
      </c>
      <c r="J17" s="234" t="s">
        <v>577</v>
      </c>
      <c r="K17" s="6">
        <v>1.0</v>
      </c>
    </row>
    <row r="18" ht="14.25" customHeight="1">
      <c r="A18" s="129"/>
      <c r="B18" s="129"/>
      <c r="I18" s="115"/>
      <c r="K18" s="16">
        <f t="shared" ref="K18:L18" si="3">SUM(K10:K17)</f>
        <v>4</v>
      </c>
      <c r="L18" s="16">
        <f t="shared" si="3"/>
        <v>4</v>
      </c>
    </row>
    <row r="19" ht="14.25" customHeight="1">
      <c r="A19" s="129"/>
      <c r="B19" s="129"/>
      <c r="I19" s="115"/>
      <c r="K19" s="17">
        <f>K18/A17</f>
        <v>0.5</v>
      </c>
      <c r="L19" s="17">
        <f>L18/A17</f>
        <v>0.5</v>
      </c>
    </row>
    <row r="20" ht="14.25" customHeight="1">
      <c r="A20" s="129" t="s">
        <v>412</v>
      </c>
      <c r="B20" s="129"/>
      <c r="I20" s="115"/>
    </row>
    <row r="21" ht="14.25" customHeight="1">
      <c r="A21" s="18">
        <v>1.0</v>
      </c>
      <c r="B21" s="18" t="s">
        <v>1020</v>
      </c>
      <c r="C21" s="18" t="s">
        <v>1021</v>
      </c>
      <c r="D21" s="18" t="s">
        <v>409</v>
      </c>
      <c r="E21" s="18" t="s">
        <v>780</v>
      </c>
      <c r="F21" s="20">
        <v>4.78</v>
      </c>
      <c r="G21" s="20">
        <v>3.82</v>
      </c>
      <c r="H21" s="20">
        <v>4.94</v>
      </c>
      <c r="I21" s="40">
        <f t="shared" ref="I21:I35" si="4">((F21+H21+G21)/3)</f>
        <v>4.513333333</v>
      </c>
      <c r="J21" s="18" t="s">
        <v>577</v>
      </c>
      <c r="K21" s="6">
        <v>1.0</v>
      </c>
    </row>
    <row r="22" ht="14.25" customHeight="1">
      <c r="A22" s="8">
        <v>2.0</v>
      </c>
      <c r="B22" s="10" t="s">
        <v>1022</v>
      </c>
      <c r="C22" s="10" t="s">
        <v>1021</v>
      </c>
      <c r="D22" s="10" t="s">
        <v>409</v>
      </c>
      <c r="E22" s="10" t="s">
        <v>780</v>
      </c>
      <c r="F22" s="11">
        <v>3.95</v>
      </c>
      <c r="G22" s="11">
        <v>4.75</v>
      </c>
      <c r="H22" s="11">
        <v>5.0</v>
      </c>
      <c r="I22" s="40">
        <f t="shared" si="4"/>
        <v>4.566666667</v>
      </c>
      <c r="J22" s="10" t="s">
        <v>577</v>
      </c>
      <c r="K22" s="6">
        <v>1.0</v>
      </c>
    </row>
    <row r="23" ht="14.25" customHeight="1">
      <c r="A23" s="8">
        <v>3.0</v>
      </c>
      <c r="B23" s="10" t="s">
        <v>1023</v>
      </c>
      <c r="C23" s="10" t="s">
        <v>1021</v>
      </c>
      <c r="D23" s="10" t="s">
        <v>409</v>
      </c>
      <c r="E23" s="10" t="s">
        <v>780</v>
      </c>
      <c r="F23" s="11">
        <v>5.75</v>
      </c>
      <c r="G23" s="11">
        <v>5.0</v>
      </c>
      <c r="H23" s="11">
        <v>6.16</v>
      </c>
      <c r="I23" s="40">
        <f t="shared" si="4"/>
        <v>5.636666667</v>
      </c>
      <c r="J23" s="10" t="s">
        <v>577</v>
      </c>
      <c r="K23" s="6">
        <v>1.0</v>
      </c>
    </row>
    <row r="24" ht="14.25" customHeight="1">
      <c r="A24" s="8">
        <v>4.0</v>
      </c>
      <c r="B24" s="10" t="s">
        <v>1024</v>
      </c>
      <c r="C24" s="10" t="s">
        <v>1021</v>
      </c>
      <c r="D24" s="10" t="s">
        <v>409</v>
      </c>
      <c r="E24" s="10" t="s">
        <v>780</v>
      </c>
      <c r="F24" s="11">
        <v>2.0</v>
      </c>
      <c r="G24" s="11">
        <v>3.88</v>
      </c>
      <c r="H24" s="11">
        <v>4.66</v>
      </c>
      <c r="I24" s="40">
        <f t="shared" si="4"/>
        <v>3.513333333</v>
      </c>
      <c r="J24" s="12" t="s">
        <v>18</v>
      </c>
      <c r="L24" s="6">
        <v>1.0</v>
      </c>
    </row>
    <row r="25" ht="14.25" customHeight="1">
      <c r="A25" s="8">
        <v>5.0</v>
      </c>
      <c r="B25" s="10" t="s">
        <v>1025</v>
      </c>
      <c r="C25" s="10" t="s">
        <v>1021</v>
      </c>
      <c r="D25" s="10" t="s">
        <v>409</v>
      </c>
      <c r="E25" s="10" t="s">
        <v>780</v>
      </c>
      <c r="F25" s="11">
        <v>1.25</v>
      </c>
      <c r="G25" s="11">
        <v>2.17</v>
      </c>
      <c r="H25" s="11">
        <v>1.0</v>
      </c>
      <c r="I25" s="40">
        <f t="shared" si="4"/>
        <v>1.473333333</v>
      </c>
      <c r="J25" s="12" t="s">
        <v>18</v>
      </c>
      <c r="L25" s="6">
        <v>1.0</v>
      </c>
    </row>
    <row r="26" ht="14.25" customHeight="1">
      <c r="A26" s="8">
        <v>6.0</v>
      </c>
      <c r="B26" s="10" t="s">
        <v>1026</v>
      </c>
      <c r="C26" s="10" t="s">
        <v>1021</v>
      </c>
      <c r="D26" s="10" t="s">
        <v>409</v>
      </c>
      <c r="E26" s="10" t="s">
        <v>780</v>
      </c>
      <c r="F26" s="11">
        <v>4.94</v>
      </c>
      <c r="G26" s="11">
        <v>4.75</v>
      </c>
      <c r="H26" s="11">
        <v>5.0</v>
      </c>
      <c r="I26" s="40">
        <f t="shared" si="4"/>
        <v>4.896666667</v>
      </c>
      <c r="J26" s="10" t="s">
        <v>577</v>
      </c>
      <c r="K26" s="6">
        <v>1.0</v>
      </c>
    </row>
    <row r="27" ht="14.25" customHeight="1">
      <c r="A27" s="8">
        <v>7.0</v>
      </c>
      <c r="B27" s="10" t="s">
        <v>1027</v>
      </c>
      <c r="C27" s="10" t="s">
        <v>1021</v>
      </c>
      <c r="D27" s="10" t="s">
        <v>409</v>
      </c>
      <c r="E27" s="10" t="s">
        <v>780</v>
      </c>
      <c r="F27" s="11">
        <v>4.16</v>
      </c>
      <c r="G27" s="11">
        <v>5.0</v>
      </c>
      <c r="H27" s="11">
        <v>4.52</v>
      </c>
      <c r="I27" s="40">
        <f t="shared" si="4"/>
        <v>4.56</v>
      </c>
      <c r="J27" s="10" t="s">
        <v>577</v>
      </c>
      <c r="K27" s="6">
        <v>1.0</v>
      </c>
    </row>
    <row r="28" ht="14.25" customHeight="1">
      <c r="A28" s="8">
        <v>8.0</v>
      </c>
      <c r="B28" s="10" t="s">
        <v>1028</v>
      </c>
      <c r="C28" s="10" t="s">
        <v>1021</v>
      </c>
      <c r="D28" s="10" t="s">
        <v>409</v>
      </c>
      <c r="E28" s="10" t="s">
        <v>780</v>
      </c>
      <c r="F28" s="11">
        <v>3.0</v>
      </c>
      <c r="G28" s="11">
        <v>3.5</v>
      </c>
      <c r="H28" s="11">
        <v>3.11</v>
      </c>
      <c r="I28" s="40">
        <f t="shared" si="4"/>
        <v>3.203333333</v>
      </c>
      <c r="J28" s="12" t="s">
        <v>89</v>
      </c>
      <c r="L28" s="6">
        <v>1.0</v>
      </c>
    </row>
    <row r="29" ht="14.25" customHeight="1">
      <c r="A29" s="8">
        <v>9.0</v>
      </c>
      <c r="B29" s="10" t="s">
        <v>1029</v>
      </c>
      <c r="C29" s="10" t="s">
        <v>1021</v>
      </c>
      <c r="D29" s="10" t="s">
        <v>409</v>
      </c>
      <c r="E29" s="10" t="s">
        <v>780</v>
      </c>
      <c r="F29" s="11">
        <v>5.56</v>
      </c>
      <c r="G29" s="11">
        <v>4.88</v>
      </c>
      <c r="H29" s="11">
        <v>5.75</v>
      </c>
      <c r="I29" s="40">
        <f t="shared" si="4"/>
        <v>5.396666667</v>
      </c>
      <c r="J29" s="10" t="s">
        <v>577</v>
      </c>
      <c r="K29" s="6">
        <v>1.0</v>
      </c>
    </row>
    <row r="30" ht="14.25" customHeight="1">
      <c r="A30" s="8">
        <v>10.0</v>
      </c>
      <c r="B30" s="10" t="s">
        <v>1030</v>
      </c>
      <c r="C30" s="10" t="s">
        <v>1021</v>
      </c>
      <c r="D30" s="10" t="s">
        <v>409</v>
      </c>
      <c r="E30" s="10" t="s">
        <v>780</v>
      </c>
      <c r="F30" s="11">
        <v>3.11</v>
      </c>
      <c r="G30" s="11">
        <v>3.54</v>
      </c>
      <c r="H30" s="11">
        <v>3.0</v>
      </c>
      <c r="I30" s="40">
        <f t="shared" si="4"/>
        <v>3.216666667</v>
      </c>
      <c r="J30" s="12" t="s">
        <v>18</v>
      </c>
      <c r="L30" s="6">
        <v>1.0</v>
      </c>
    </row>
    <row r="31" ht="14.25" customHeight="1">
      <c r="A31" s="8">
        <v>11.0</v>
      </c>
      <c r="B31" s="10" t="s">
        <v>1031</v>
      </c>
      <c r="C31" s="10" t="s">
        <v>1021</v>
      </c>
      <c r="D31" s="10" t="s">
        <v>409</v>
      </c>
      <c r="E31" s="10" t="s">
        <v>780</v>
      </c>
      <c r="F31" s="11">
        <v>1.94</v>
      </c>
      <c r="G31" s="11">
        <v>2.64</v>
      </c>
      <c r="H31" s="11">
        <v>3.0</v>
      </c>
      <c r="I31" s="40">
        <f t="shared" si="4"/>
        <v>2.526666667</v>
      </c>
      <c r="J31" s="12" t="s">
        <v>18</v>
      </c>
      <c r="L31" s="6">
        <v>1.0</v>
      </c>
    </row>
    <row r="32" ht="14.25" customHeight="1">
      <c r="A32" s="8">
        <v>12.0</v>
      </c>
      <c r="B32" s="10" t="s">
        <v>1032</v>
      </c>
      <c r="C32" s="10" t="s">
        <v>1033</v>
      </c>
      <c r="D32" s="10" t="s">
        <v>409</v>
      </c>
      <c r="E32" s="10" t="s">
        <v>1034</v>
      </c>
      <c r="F32" s="11">
        <v>4.68</v>
      </c>
      <c r="G32" s="11">
        <v>5.5</v>
      </c>
      <c r="H32" s="11">
        <v>5.94</v>
      </c>
      <c r="I32" s="40">
        <f t="shared" si="4"/>
        <v>5.373333333</v>
      </c>
      <c r="J32" s="10" t="s">
        <v>577</v>
      </c>
      <c r="K32" s="6">
        <v>1.0</v>
      </c>
    </row>
    <row r="33" ht="14.25" customHeight="1">
      <c r="A33" s="8">
        <v>13.0</v>
      </c>
      <c r="B33" s="10" t="s">
        <v>1035</v>
      </c>
      <c r="C33" s="10" t="s">
        <v>1021</v>
      </c>
      <c r="D33" s="10" t="s">
        <v>409</v>
      </c>
      <c r="E33" s="10" t="s">
        <v>780</v>
      </c>
      <c r="F33" s="11">
        <v>5.0</v>
      </c>
      <c r="G33" s="11">
        <v>6.0</v>
      </c>
      <c r="H33" s="11">
        <v>4.89</v>
      </c>
      <c r="I33" s="40">
        <f t="shared" si="4"/>
        <v>5.296666667</v>
      </c>
      <c r="J33" s="10" t="s">
        <v>577</v>
      </c>
      <c r="K33" s="6">
        <v>1.0</v>
      </c>
    </row>
    <row r="34" ht="14.25" customHeight="1">
      <c r="A34" s="8">
        <v>14.0</v>
      </c>
      <c r="B34" s="10" t="s">
        <v>1036</v>
      </c>
      <c r="C34" s="10" t="s">
        <v>1021</v>
      </c>
      <c r="D34" s="10" t="s">
        <v>409</v>
      </c>
      <c r="E34" s="10" t="s">
        <v>780</v>
      </c>
      <c r="F34" s="11">
        <v>2.96</v>
      </c>
      <c r="G34" s="11">
        <v>3.11</v>
      </c>
      <c r="H34" s="11">
        <v>4.54</v>
      </c>
      <c r="I34" s="40">
        <f t="shared" si="4"/>
        <v>3.536666667</v>
      </c>
      <c r="J34" s="12" t="s">
        <v>18</v>
      </c>
      <c r="L34" s="6">
        <v>1.0</v>
      </c>
    </row>
    <row r="35" ht="14.25" customHeight="1">
      <c r="A35" s="8">
        <v>15.0</v>
      </c>
      <c r="B35" s="10" t="s">
        <v>1037</v>
      </c>
      <c r="C35" s="10" t="s">
        <v>1021</v>
      </c>
      <c r="D35" s="10" t="s">
        <v>409</v>
      </c>
      <c r="E35" s="10" t="s">
        <v>780</v>
      </c>
      <c r="F35" s="11">
        <v>5.0</v>
      </c>
      <c r="G35" s="11">
        <v>4.5</v>
      </c>
      <c r="H35" s="11">
        <v>5.64</v>
      </c>
      <c r="I35" s="40">
        <f t="shared" si="4"/>
        <v>5.046666667</v>
      </c>
      <c r="J35" s="10" t="s">
        <v>577</v>
      </c>
      <c r="K35" s="6">
        <v>1.0</v>
      </c>
    </row>
    <row r="36" ht="14.25" customHeight="1">
      <c r="A36" s="8">
        <v>16.0</v>
      </c>
      <c r="B36" s="10" t="s">
        <v>1038</v>
      </c>
      <c r="C36" s="10" t="s">
        <v>1021</v>
      </c>
      <c r="D36" s="10" t="s">
        <v>409</v>
      </c>
      <c r="E36" s="10" t="s">
        <v>780</v>
      </c>
      <c r="F36" s="11">
        <v>1.5</v>
      </c>
      <c r="G36" s="11">
        <v>1.0</v>
      </c>
      <c r="H36" s="11" t="s">
        <v>37</v>
      </c>
      <c r="I36" s="40">
        <f>((F36+G36)/3)</f>
        <v>0.8333333333</v>
      </c>
      <c r="J36" s="126" t="s">
        <v>343</v>
      </c>
      <c r="M36" s="6">
        <v>1.0</v>
      </c>
    </row>
    <row r="37" ht="14.25" customHeight="1">
      <c r="A37" s="236"/>
      <c r="B37" s="236"/>
      <c r="C37" s="236"/>
      <c r="D37" s="236"/>
      <c r="E37" s="236"/>
      <c r="F37" s="236"/>
      <c r="G37" s="236"/>
      <c r="H37" s="236"/>
      <c r="I37" s="237"/>
      <c r="J37" s="238"/>
      <c r="K37" s="16">
        <f t="shared" ref="K37:M37" si="5">SUM(K21:K36)</f>
        <v>9</v>
      </c>
      <c r="L37" s="16">
        <f t="shared" si="5"/>
        <v>6</v>
      </c>
      <c r="M37" s="16">
        <f t="shared" si="5"/>
        <v>1</v>
      </c>
    </row>
    <row r="38" ht="14.25" customHeight="1">
      <c r="A38" s="129"/>
      <c r="B38" s="129"/>
      <c r="I38" s="237"/>
      <c r="J38" s="26"/>
      <c r="K38" s="17">
        <f>K37/A36</f>
        <v>0.5625</v>
      </c>
      <c r="L38" s="17">
        <f>L37/A36</f>
        <v>0.375</v>
      </c>
      <c r="M38" s="17">
        <f>M37/A36</f>
        <v>0.0625</v>
      </c>
    </row>
    <row r="39" ht="14.25" customHeight="1">
      <c r="A39" s="129" t="s">
        <v>1039</v>
      </c>
      <c r="B39" s="129"/>
      <c r="I39" s="239"/>
      <c r="J39" s="216"/>
    </row>
    <row r="40" ht="14.25" customHeight="1">
      <c r="A40" s="240">
        <v>1.0</v>
      </c>
      <c r="B40" s="241" t="s">
        <v>1040</v>
      </c>
      <c r="C40" s="241" t="s">
        <v>1041</v>
      </c>
      <c r="D40" s="241" t="s">
        <v>1039</v>
      </c>
      <c r="E40" s="241" t="s">
        <v>576</v>
      </c>
      <c r="F40" s="242">
        <v>3.5</v>
      </c>
      <c r="G40" s="242">
        <v>4.53</v>
      </c>
      <c r="H40" s="242">
        <v>5.75</v>
      </c>
      <c r="I40" s="115">
        <f t="shared" ref="I40:I45" si="6">((F40+H40+G40)/3)</f>
        <v>4.593333333</v>
      </c>
      <c r="J40" s="241" t="s">
        <v>577</v>
      </c>
      <c r="K40" s="6">
        <v>1.0</v>
      </c>
    </row>
    <row r="41" ht="14.25" customHeight="1">
      <c r="A41" s="243">
        <v>2.0</v>
      </c>
      <c r="B41" s="244" t="s">
        <v>1042</v>
      </c>
      <c r="C41" s="244" t="s">
        <v>1041</v>
      </c>
      <c r="D41" s="244" t="s">
        <v>1039</v>
      </c>
      <c r="E41" s="244" t="s">
        <v>576</v>
      </c>
      <c r="F41" s="245">
        <v>2.71</v>
      </c>
      <c r="G41" s="245">
        <v>3.43</v>
      </c>
      <c r="H41" s="245">
        <v>4.45</v>
      </c>
      <c r="I41" s="115">
        <f t="shared" si="6"/>
        <v>3.53</v>
      </c>
      <c r="J41" s="12" t="s">
        <v>18</v>
      </c>
      <c r="L41" s="6">
        <v>1.0</v>
      </c>
    </row>
    <row r="42" ht="14.25" customHeight="1">
      <c r="A42" s="243">
        <v>3.0</v>
      </c>
      <c r="B42" s="244" t="s">
        <v>1043</v>
      </c>
      <c r="C42" s="244" t="s">
        <v>1041</v>
      </c>
      <c r="D42" s="244" t="s">
        <v>1039</v>
      </c>
      <c r="E42" s="244" t="s">
        <v>576</v>
      </c>
      <c r="F42" s="245">
        <v>4.87</v>
      </c>
      <c r="G42" s="245">
        <v>3.57</v>
      </c>
      <c r="H42" s="245">
        <v>5.14</v>
      </c>
      <c r="I42" s="115">
        <f t="shared" si="6"/>
        <v>4.526666667</v>
      </c>
      <c r="J42" s="244" t="s">
        <v>577</v>
      </c>
      <c r="K42" s="6">
        <v>1.0</v>
      </c>
    </row>
    <row r="43" ht="14.25" customHeight="1">
      <c r="A43" s="243">
        <v>4.0</v>
      </c>
      <c r="B43" s="244" t="s">
        <v>1044</v>
      </c>
      <c r="C43" s="244" t="s">
        <v>1041</v>
      </c>
      <c r="D43" s="244" t="s">
        <v>1039</v>
      </c>
      <c r="E43" s="244" t="s">
        <v>576</v>
      </c>
      <c r="F43" s="245">
        <v>1.0</v>
      </c>
      <c r="G43" s="245">
        <v>1.87</v>
      </c>
      <c r="H43" s="245">
        <v>2.92</v>
      </c>
      <c r="I43" s="115">
        <f t="shared" si="6"/>
        <v>1.93</v>
      </c>
      <c r="J43" s="12" t="s">
        <v>18</v>
      </c>
      <c r="L43" s="6">
        <v>1.0</v>
      </c>
    </row>
    <row r="44" ht="14.25" customHeight="1">
      <c r="A44" s="243">
        <v>5.0</v>
      </c>
      <c r="B44" s="244" t="s">
        <v>1045</v>
      </c>
      <c r="C44" s="244" t="s">
        <v>1041</v>
      </c>
      <c r="D44" s="244" t="s">
        <v>1039</v>
      </c>
      <c r="E44" s="244" t="s">
        <v>576</v>
      </c>
      <c r="F44" s="245">
        <v>6.03</v>
      </c>
      <c r="G44" s="245">
        <v>5.87</v>
      </c>
      <c r="H44" s="245">
        <v>5.92</v>
      </c>
      <c r="I44" s="115">
        <f t="shared" si="6"/>
        <v>5.94</v>
      </c>
      <c r="J44" s="244" t="s">
        <v>577</v>
      </c>
      <c r="K44" s="6">
        <v>1.0</v>
      </c>
    </row>
    <row r="45" ht="14.25" customHeight="1">
      <c r="A45" s="246">
        <v>6.0</v>
      </c>
      <c r="B45" s="244" t="s">
        <v>1046</v>
      </c>
      <c r="C45" s="244" t="s">
        <v>1041</v>
      </c>
      <c r="D45" s="244" t="s">
        <v>1039</v>
      </c>
      <c r="E45" s="244" t="s">
        <v>576</v>
      </c>
      <c r="F45" s="245">
        <v>4.21</v>
      </c>
      <c r="G45" s="245">
        <v>6.37</v>
      </c>
      <c r="H45" s="245">
        <v>5.42</v>
      </c>
      <c r="I45" s="115">
        <f t="shared" si="6"/>
        <v>5.333333333</v>
      </c>
      <c r="J45" s="244" t="s">
        <v>577</v>
      </c>
      <c r="K45" s="6">
        <v>1.0</v>
      </c>
    </row>
    <row r="46" ht="14.25" customHeight="1">
      <c r="A46" s="246">
        <v>7.0</v>
      </c>
      <c r="B46" s="244" t="s">
        <v>1047</v>
      </c>
      <c r="C46" s="244" t="s">
        <v>1041</v>
      </c>
      <c r="D46" s="244" t="s">
        <v>1039</v>
      </c>
      <c r="E46" s="244" t="s">
        <v>576</v>
      </c>
      <c r="F46" s="245">
        <v>2.75</v>
      </c>
      <c r="G46" s="245">
        <v>1.28</v>
      </c>
      <c r="H46" s="245" t="s">
        <v>37</v>
      </c>
      <c r="I46" s="115">
        <f>((F46+G46)/3)</f>
        <v>1.343333333</v>
      </c>
      <c r="J46" s="247" t="s">
        <v>343</v>
      </c>
      <c r="M46" s="6">
        <v>1.0</v>
      </c>
    </row>
    <row r="47" ht="14.25" customHeight="1">
      <c r="A47" s="246">
        <v>8.0</v>
      </c>
      <c r="B47" s="244" t="s">
        <v>1048</v>
      </c>
      <c r="C47" s="244" t="s">
        <v>1041</v>
      </c>
      <c r="D47" s="244" t="s">
        <v>1039</v>
      </c>
      <c r="E47" s="244" t="s">
        <v>576</v>
      </c>
      <c r="F47" s="245">
        <v>5.07</v>
      </c>
      <c r="G47" s="245">
        <v>4.14</v>
      </c>
      <c r="H47" s="245">
        <v>4.32</v>
      </c>
      <c r="I47" s="115">
        <f t="shared" ref="I47:I66" si="7">((F47+H47+G47)/3)</f>
        <v>4.51</v>
      </c>
      <c r="J47" s="244" t="s">
        <v>577</v>
      </c>
      <c r="K47" s="6">
        <v>1.0</v>
      </c>
    </row>
    <row r="48" ht="14.25" customHeight="1">
      <c r="A48" s="248">
        <v>9.0</v>
      </c>
      <c r="B48" s="249" t="s">
        <v>1049</v>
      </c>
      <c r="C48" s="244" t="s">
        <v>1041</v>
      </c>
      <c r="D48" s="249" t="s">
        <v>1039</v>
      </c>
      <c r="E48" s="249" t="s">
        <v>576</v>
      </c>
      <c r="F48" s="250">
        <v>1.44</v>
      </c>
      <c r="G48" s="250">
        <v>2.0</v>
      </c>
      <c r="H48" s="250">
        <v>1.22</v>
      </c>
      <c r="I48" s="115">
        <f t="shared" si="7"/>
        <v>1.553333333</v>
      </c>
      <c r="J48" s="12" t="s">
        <v>18</v>
      </c>
      <c r="L48" s="6">
        <v>1.0</v>
      </c>
    </row>
    <row r="49" ht="14.25" customHeight="1">
      <c r="A49" s="246">
        <v>10.0</v>
      </c>
      <c r="B49" s="244" t="s">
        <v>1050</v>
      </c>
      <c r="C49" s="244" t="s">
        <v>1041</v>
      </c>
      <c r="D49" s="244" t="s">
        <v>1039</v>
      </c>
      <c r="E49" s="244" t="s">
        <v>576</v>
      </c>
      <c r="F49" s="245">
        <v>2.5</v>
      </c>
      <c r="G49" s="245">
        <v>1.87</v>
      </c>
      <c r="H49" s="245">
        <v>1.32</v>
      </c>
      <c r="I49" s="115">
        <f t="shared" si="7"/>
        <v>1.896666667</v>
      </c>
      <c r="J49" s="247" t="s">
        <v>343</v>
      </c>
      <c r="M49" s="6">
        <v>1.0</v>
      </c>
    </row>
    <row r="50" ht="14.25" customHeight="1">
      <c r="A50" s="246">
        <v>11.0</v>
      </c>
      <c r="B50" s="244" t="s">
        <v>1051</v>
      </c>
      <c r="C50" s="244" t="s">
        <v>1041</v>
      </c>
      <c r="D50" s="244" t="s">
        <v>1039</v>
      </c>
      <c r="E50" s="244" t="s">
        <v>576</v>
      </c>
      <c r="F50" s="245">
        <v>5.35</v>
      </c>
      <c r="G50" s="245">
        <v>6.32</v>
      </c>
      <c r="H50" s="245">
        <v>7.15</v>
      </c>
      <c r="I50" s="115">
        <f t="shared" si="7"/>
        <v>6.273333333</v>
      </c>
      <c r="J50" s="244" t="s">
        <v>577</v>
      </c>
      <c r="K50" s="6">
        <v>1.0</v>
      </c>
    </row>
    <row r="51" ht="14.25" customHeight="1">
      <c r="A51" s="246">
        <v>12.0</v>
      </c>
      <c r="B51" s="244" t="s">
        <v>1052</v>
      </c>
      <c r="C51" s="244" t="s">
        <v>1041</v>
      </c>
      <c r="D51" s="244" t="s">
        <v>1039</v>
      </c>
      <c r="E51" s="244" t="s">
        <v>576</v>
      </c>
      <c r="F51" s="245">
        <v>6.85</v>
      </c>
      <c r="G51" s="245">
        <v>4.15</v>
      </c>
      <c r="H51" s="245">
        <v>4.02</v>
      </c>
      <c r="I51" s="115">
        <f t="shared" si="7"/>
        <v>5.006666667</v>
      </c>
      <c r="J51" s="244" t="s">
        <v>577</v>
      </c>
      <c r="K51" s="6">
        <v>1.0</v>
      </c>
    </row>
    <row r="52" ht="14.25" customHeight="1">
      <c r="A52" s="246">
        <v>13.0</v>
      </c>
      <c r="B52" s="244" t="s">
        <v>1053</v>
      </c>
      <c r="C52" s="244" t="s">
        <v>1041</v>
      </c>
      <c r="D52" s="244" t="s">
        <v>1039</v>
      </c>
      <c r="E52" s="244" t="s">
        <v>576</v>
      </c>
      <c r="F52" s="245">
        <v>4.75</v>
      </c>
      <c r="G52" s="245">
        <v>3.18</v>
      </c>
      <c r="H52" s="245">
        <v>3.27</v>
      </c>
      <c r="I52" s="115">
        <f t="shared" si="7"/>
        <v>3.733333333</v>
      </c>
      <c r="J52" s="12" t="s">
        <v>18</v>
      </c>
      <c r="L52" s="6">
        <v>1.0</v>
      </c>
    </row>
    <row r="53" ht="14.25" customHeight="1">
      <c r="A53" s="246">
        <v>14.0</v>
      </c>
      <c r="B53" s="244" t="s">
        <v>1054</v>
      </c>
      <c r="C53" s="244" t="s">
        <v>1041</v>
      </c>
      <c r="D53" s="244" t="s">
        <v>1039</v>
      </c>
      <c r="E53" s="244" t="s">
        <v>576</v>
      </c>
      <c r="F53" s="245">
        <v>2.35</v>
      </c>
      <c r="G53" s="245">
        <v>2.56</v>
      </c>
      <c r="H53" s="245">
        <v>4.87</v>
      </c>
      <c r="I53" s="115">
        <f t="shared" si="7"/>
        <v>3.26</v>
      </c>
      <c r="J53" s="12" t="s">
        <v>18</v>
      </c>
      <c r="L53" s="6">
        <v>1.0</v>
      </c>
    </row>
    <row r="54" ht="14.25" customHeight="1">
      <c r="A54" s="246">
        <v>15.0</v>
      </c>
      <c r="B54" s="244" t="s">
        <v>1055</v>
      </c>
      <c r="C54" s="244" t="s">
        <v>1041</v>
      </c>
      <c r="D54" s="244" t="s">
        <v>1039</v>
      </c>
      <c r="E54" s="244" t="s">
        <v>576</v>
      </c>
      <c r="F54" s="245">
        <v>5.78</v>
      </c>
      <c r="G54" s="245">
        <v>4.62</v>
      </c>
      <c r="H54" s="245">
        <v>5.15</v>
      </c>
      <c r="I54" s="115">
        <f t="shared" si="7"/>
        <v>5.183333333</v>
      </c>
      <c r="J54" s="244" t="s">
        <v>577</v>
      </c>
      <c r="K54" s="6">
        <v>1.0</v>
      </c>
    </row>
    <row r="55" ht="14.25" customHeight="1">
      <c r="A55" s="246">
        <v>16.0</v>
      </c>
      <c r="B55" s="244" t="s">
        <v>1056</v>
      </c>
      <c r="C55" s="244" t="s">
        <v>1041</v>
      </c>
      <c r="D55" s="244" t="s">
        <v>1039</v>
      </c>
      <c r="E55" s="244" t="s">
        <v>576</v>
      </c>
      <c r="F55" s="245">
        <v>6.35</v>
      </c>
      <c r="G55" s="245">
        <v>5.17</v>
      </c>
      <c r="H55" s="245">
        <v>4.52</v>
      </c>
      <c r="I55" s="115">
        <f t="shared" si="7"/>
        <v>5.346666667</v>
      </c>
      <c r="J55" s="244" t="s">
        <v>577</v>
      </c>
      <c r="K55" s="6">
        <v>1.0</v>
      </c>
    </row>
    <row r="56" ht="14.25" customHeight="1">
      <c r="A56" s="246">
        <v>17.0</v>
      </c>
      <c r="B56" s="244" t="s">
        <v>1057</v>
      </c>
      <c r="C56" s="244" t="s">
        <v>1041</v>
      </c>
      <c r="D56" s="244" t="s">
        <v>1039</v>
      </c>
      <c r="E56" s="244" t="s">
        <v>576</v>
      </c>
      <c r="F56" s="245">
        <v>5.76</v>
      </c>
      <c r="G56" s="245">
        <v>5.93</v>
      </c>
      <c r="H56" s="245">
        <v>4.57</v>
      </c>
      <c r="I56" s="115">
        <f t="shared" si="7"/>
        <v>5.42</v>
      </c>
      <c r="J56" s="244" t="s">
        <v>577</v>
      </c>
      <c r="K56" s="6">
        <v>1.0</v>
      </c>
    </row>
    <row r="57" ht="14.25" customHeight="1">
      <c r="A57" s="246">
        <v>18.0</v>
      </c>
      <c r="B57" s="244" t="s">
        <v>1058</v>
      </c>
      <c r="C57" s="244" t="s">
        <v>1041</v>
      </c>
      <c r="D57" s="244" t="s">
        <v>1039</v>
      </c>
      <c r="E57" s="244" t="s">
        <v>576</v>
      </c>
      <c r="F57" s="245">
        <v>1.33</v>
      </c>
      <c r="G57" s="245">
        <v>2.33</v>
      </c>
      <c r="H57" s="245">
        <v>1.0</v>
      </c>
      <c r="I57" s="115">
        <f t="shared" si="7"/>
        <v>1.553333333</v>
      </c>
      <c r="J57" s="247" t="s">
        <v>343</v>
      </c>
      <c r="M57" s="6">
        <v>1.0</v>
      </c>
    </row>
    <row r="58" ht="14.25" customHeight="1">
      <c r="A58" s="246">
        <v>19.0</v>
      </c>
      <c r="B58" s="244" t="s">
        <v>1059</v>
      </c>
      <c r="C58" s="244" t="s">
        <v>1041</v>
      </c>
      <c r="D58" s="244" t="s">
        <v>1039</v>
      </c>
      <c r="E58" s="244" t="s">
        <v>576</v>
      </c>
      <c r="F58" s="245">
        <v>5.07</v>
      </c>
      <c r="G58" s="245">
        <v>5.62</v>
      </c>
      <c r="H58" s="245">
        <v>5.87</v>
      </c>
      <c r="I58" s="115">
        <f t="shared" si="7"/>
        <v>5.52</v>
      </c>
      <c r="J58" s="244" t="s">
        <v>577</v>
      </c>
      <c r="K58" s="6">
        <v>1.0</v>
      </c>
    </row>
    <row r="59" ht="14.25" customHeight="1">
      <c r="A59" s="246">
        <v>20.0</v>
      </c>
      <c r="B59" s="244" t="s">
        <v>1060</v>
      </c>
      <c r="C59" s="244" t="s">
        <v>1041</v>
      </c>
      <c r="D59" s="244" t="s">
        <v>1039</v>
      </c>
      <c r="E59" s="244" t="s">
        <v>576</v>
      </c>
      <c r="F59" s="245">
        <v>1.85</v>
      </c>
      <c r="G59" s="245">
        <v>2.93</v>
      </c>
      <c r="H59" s="245">
        <v>2.52</v>
      </c>
      <c r="I59" s="115">
        <f t="shared" si="7"/>
        <v>2.433333333</v>
      </c>
      <c r="J59" s="12" t="s">
        <v>18</v>
      </c>
      <c r="L59" s="6">
        <v>1.0</v>
      </c>
    </row>
    <row r="60" ht="14.25" customHeight="1">
      <c r="A60" s="246">
        <v>21.0</v>
      </c>
      <c r="B60" s="244" t="s">
        <v>1061</v>
      </c>
      <c r="C60" s="244" t="s">
        <v>1041</v>
      </c>
      <c r="D60" s="244" t="s">
        <v>1039</v>
      </c>
      <c r="E60" s="244" t="s">
        <v>576</v>
      </c>
      <c r="F60" s="245">
        <v>0.55</v>
      </c>
      <c r="G60" s="245">
        <v>1.0</v>
      </c>
      <c r="H60" s="245">
        <v>0.0</v>
      </c>
      <c r="I60" s="115">
        <f t="shared" si="7"/>
        <v>0.5166666667</v>
      </c>
      <c r="J60" s="247" t="s">
        <v>343</v>
      </c>
      <c r="M60" s="6">
        <v>1.0</v>
      </c>
    </row>
    <row r="61" ht="14.25" customHeight="1">
      <c r="A61" s="246">
        <v>22.0</v>
      </c>
      <c r="B61" s="244" t="s">
        <v>1062</v>
      </c>
      <c r="C61" s="244" t="s">
        <v>1041</v>
      </c>
      <c r="D61" s="244" t="s">
        <v>1039</v>
      </c>
      <c r="E61" s="244" t="s">
        <v>576</v>
      </c>
      <c r="F61" s="245">
        <v>7.92</v>
      </c>
      <c r="G61" s="245">
        <v>9.06</v>
      </c>
      <c r="H61" s="245">
        <v>9.15</v>
      </c>
      <c r="I61" s="115">
        <f t="shared" si="7"/>
        <v>8.71</v>
      </c>
      <c r="J61" s="244" t="s">
        <v>577</v>
      </c>
      <c r="K61" s="6">
        <v>1.0</v>
      </c>
    </row>
    <row r="62" ht="14.25" customHeight="1">
      <c r="A62" s="246">
        <v>23.0</v>
      </c>
      <c r="B62" s="244" t="s">
        <v>1063</v>
      </c>
      <c r="C62" s="244" t="s">
        <v>1041</v>
      </c>
      <c r="D62" s="244" t="s">
        <v>1039</v>
      </c>
      <c r="E62" s="244" t="s">
        <v>576</v>
      </c>
      <c r="F62" s="245">
        <v>2.5</v>
      </c>
      <c r="G62" s="245">
        <v>3.12</v>
      </c>
      <c r="H62" s="245">
        <v>3.42</v>
      </c>
      <c r="I62" s="115">
        <f t="shared" si="7"/>
        <v>3.013333333</v>
      </c>
      <c r="J62" s="12" t="s">
        <v>18</v>
      </c>
      <c r="L62" s="6">
        <v>1.0</v>
      </c>
    </row>
    <row r="63" ht="14.25" customHeight="1">
      <c r="A63" s="246">
        <v>24.0</v>
      </c>
      <c r="B63" s="244" t="s">
        <v>1064</v>
      </c>
      <c r="C63" s="244" t="s">
        <v>1041</v>
      </c>
      <c r="D63" s="244" t="s">
        <v>1039</v>
      </c>
      <c r="E63" s="244" t="s">
        <v>576</v>
      </c>
      <c r="F63" s="245">
        <v>5.42</v>
      </c>
      <c r="G63" s="245">
        <v>4.12</v>
      </c>
      <c r="H63" s="245">
        <v>6.75</v>
      </c>
      <c r="I63" s="115">
        <f t="shared" si="7"/>
        <v>5.43</v>
      </c>
      <c r="J63" s="244" t="s">
        <v>577</v>
      </c>
      <c r="K63" s="6">
        <v>1.0</v>
      </c>
    </row>
    <row r="64" ht="14.25" customHeight="1">
      <c r="A64" s="246">
        <v>25.0</v>
      </c>
      <c r="B64" s="244" t="s">
        <v>1065</v>
      </c>
      <c r="C64" s="244" t="s">
        <v>1041</v>
      </c>
      <c r="D64" s="244" t="s">
        <v>1039</v>
      </c>
      <c r="E64" s="244" t="s">
        <v>576</v>
      </c>
      <c r="F64" s="245">
        <v>3.42</v>
      </c>
      <c r="G64" s="245">
        <v>4.61</v>
      </c>
      <c r="H64" s="245">
        <v>5.12</v>
      </c>
      <c r="I64" s="115">
        <f t="shared" si="7"/>
        <v>4.383333333</v>
      </c>
      <c r="J64" s="12" t="s">
        <v>18</v>
      </c>
      <c r="L64" s="6">
        <v>1.0</v>
      </c>
    </row>
    <row r="65" ht="14.25" customHeight="1">
      <c r="A65" s="246">
        <v>26.0</v>
      </c>
      <c r="B65" s="244" t="s">
        <v>1066</v>
      </c>
      <c r="C65" s="244" t="s">
        <v>1041</v>
      </c>
      <c r="D65" s="244" t="s">
        <v>1039</v>
      </c>
      <c r="E65" s="244" t="s">
        <v>576</v>
      </c>
      <c r="F65" s="245">
        <v>4.0</v>
      </c>
      <c r="G65" s="245">
        <v>5.44</v>
      </c>
      <c r="H65" s="245">
        <v>6.22</v>
      </c>
      <c r="I65" s="115">
        <f t="shared" si="7"/>
        <v>5.22</v>
      </c>
      <c r="J65" s="244" t="s">
        <v>577</v>
      </c>
      <c r="K65" s="6">
        <v>1.0</v>
      </c>
    </row>
    <row r="66" ht="14.25" customHeight="1">
      <c r="A66" s="246">
        <v>27.0</v>
      </c>
      <c r="B66" s="244" t="s">
        <v>1067</v>
      </c>
      <c r="C66" s="244" t="s">
        <v>1041</v>
      </c>
      <c r="D66" s="244" t="s">
        <v>1039</v>
      </c>
      <c r="E66" s="244" t="s">
        <v>576</v>
      </c>
      <c r="F66" s="245">
        <v>5.21</v>
      </c>
      <c r="G66" s="245">
        <v>4.46</v>
      </c>
      <c r="H66" s="245">
        <v>5.5</v>
      </c>
      <c r="I66" s="115">
        <f t="shared" si="7"/>
        <v>5.056666667</v>
      </c>
      <c r="J66" s="244" t="s">
        <v>577</v>
      </c>
      <c r="K66" s="6">
        <v>1.0</v>
      </c>
    </row>
    <row r="67" ht="14.25" customHeight="1">
      <c r="A67" s="129"/>
      <c r="I67" s="115"/>
      <c r="K67" s="16">
        <f t="shared" ref="K67:M67" si="8">SUM(K40:K66)</f>
        <v>15</v>
      </c>
      <c r="L67" s="16">
        <f t="shared" si="8"/>
        <v>8</v>
      </c>
      <c r="M67" s="16">
        <f t="shared" si="8"/>
        <v>4</v>
      </c>
    </row>
    <row r="68" ht="14.25" customHeight="1">
      <c r="A68" s="129"/>
      <c r="I68" s="115"/>
      <c r="K68" s="17">
        <f>K67/A66</f>
        <v>0.5555555556</v>
      </c>
      <c r="L68" s="17">
        <f>L67/A66</f>
        <v>0.2962962963</v>
      </c>
      <c r="M68" s="17">
        <f>M67/A66</f>
        <v>0.1481481481</v>
      </c>
    </row>
    <row r="69" ht="14.25" customHeight="1">
      <c r="A69" s="129" t="s">
        <v>427</v>
      </c>
      <c r="I69" s="115"/>
    </row>
    <row r="70" ht="14.25" customHeight="1">
      <c r="A70" s="251">
        <v>1.0</v>
      </c>
      <c r="B70" s="251" t="s">
        <v>1068</v>
      </c>
      <c r="C70" s="251" t="s">
        <v>1069</v>
      </c>
      <c r="D70" s="251" t="s">
        <v>427</v>
      </c>
      <c r="E70" s="252" t="s">
        <v>793</v>
      </c>
      <c r="F70" s="135">
        <v>4.8</v>
      </c>
      <c r="G70" s="135">
        <v>3.72</v>
      </c>
      <c r="H70" s="135">
        <v>5.0</v>
      </c>
      <c r="I70" s="115">
        <f t="shared" ref="I70:I77" si="9">((F70+H70+G70)/3)</f>
        <v>4.506666667</v>
      </c>
      <c r="J70" s="253" t="s">
        <v>577</v>
      </c>
      <c r="K70" s="6">
        <v>1.0</v>
      </c>
    </row>
    <row r="71" ht="14.25" customHeight="1">
      <c r="A71" s="254">
        <v>2.0</v>
      </c>
      <c r="B71" s="255" t="s">
        <v>1070</v>
      </c>
      <c r="C71" s="39" t="s">
        <v>1069</v>
      </c>
      <c r="D71" s="111" t="s">
        <v>427</v>
      </c>
      <c r="E71" s="39" t="s">
        <v>793</v>
      </c>
      <c r="F71" s="115">
        <v>2.32</v>
      </c>
      <c r="G71" s="115">
        <v>1.93</v>
      </c>
      <c r="H71" s="115">
        <v>3.38</v>
      </c>
      <c r="I71" s="115">
        <f t="shared" si="9"/>
        <v>2.543333333</v>
      </c>
      <c r="J71" s="256" t="s">
        <v>18</v>
      </c>
      <c r="L71" s="6">
        <v>1.0</v>
      </c>
    </row>
    <row r="72" ht="14.25" customHeight="1">
      <c r="A72" s="254">
        <v>3.0</v>
      </c>
      <c r="B72" s="255" t="s">
        <v>1071</v>
      </c>
      <c r="C72" s="39" t="s">
        <v>1069</v>
      </c>
      <c r="D72" s="39" t="s">
        <v>427</v>
      </c>
      <c r="E72" s="39" t="s">
        <v>793</v>
      </c>
      <c r="F72" s="115">
        <v>5.53</v>
      </c>
      <c r="G72" s="115">
        <v>4.24</v>
      </c>
      <c r="H72" s="115">
        <v>4.55</v>
      </c>
      <c r="I72" s="115">
        <f t="shared" si="9"/>
        <v>4.773333333</v>
      </c>
      <c r="J72" s="257" t="s">
        <v>577</v>
      </c>
      <c r="K72" s="6">
        <v>1.0</v>
      </c>
    </row>
    <row r="73" ht="14.25" customHeight="1">
      <c r="A73" s="111">
        <v>4.0</v>
      </c>
      <c r="B73" s="255" t="s">
        <v>1072</v>
      </c>
      <c r="C73" s="39" t="s">
        <v>1069</v>
      </c>
      <c r="D73" s="39" t="s">
        <v>427</v>
      </c>
      <c r="E73" s="39" t="s">
        <v>793</v>
      </c>
      <c r="F73" s="115">
        <v>4.73</v>
      </c>
      <c r="G73" s="115">
        <v>5.83</v>
      </c>
      <c r="H73" s="115">
        <v>6.72</v>
      </c>
      <c r="I73" s="115">
        <f t="shared" si="9"/>
        <v>5.76</v>
      </c>
      <c r="J73" s="257" t="s">
        <v>577</v>
      </c>
      <c r="K73" s="6">
        <v>1.0</v>
      </c>
    </row>
    <row r="74" ht="14.25" customHeight="1">
      <c r="A74" s="254">
        <v>5.0</v>
      </c>
      <c r="B74" s="255" t="s">
        <v>1073</v>
      </c>
      <c r="C74" s="39" t="s">
        <v>1069</v>
      </c>
      <c r="D74" s="39" t="s">
        <v>427</v>
      </c>
      <c r="E74" s="39" t="s">
        <v>793</v>
      </c>
      <c r="F74" s="115">
        <v>3.36</v>
      </c>
      <c r="G74" s="115">
        <v>2.24</v>
      </c>
      <c r="H74" s="115">
        <v>2.93</v>
      </c>
      <c r="I74" s="115">
        <f t="shared" si="9"/>
        <v>2.843333333</v>
      </c>
      <c r="J74" s="256" t="s">
        <v>18</v>
      </c>
      <c r="L74" s="6">
        <v>1.0</v>
      </c>
    </row>
    <row r="75" ht="14.25" customHeight="1">
      <c r="A75" s="111">
        <v>6.0</v>
      </c>
      <c r="B75" s="255" t="s">
        <v>1074</v>
      </c>
      <c r="C75" s="39" t="s">
        <v>1069</v>
      </c>
      <c r="D75" s="39" t="s">
        <v>427</v>
      </c>
      <c r="E75" s="39" t="s">
        <v>793</v>
      </c>
      <c r="F75" s="115">
        <v>5.83</v>
      </c>
      <c r="G75" s="115">
        <v>5.96</v>
      </c>
      <c r="H75" s="115">
        <v>4.72</v>
      </c>
      <c r="I75" s="115">
        <f t="shared" si="9"/>
        <v>5.503333333</v>
      </c>
      <c r="J75" s="258" t="s">
        <v>343</v>
      </c>
      <c r="M75" s="6">
        <v>1.0</v>
      </c>
    </row>
    <row r="76" ht="14.25" customHeight="1">
      <c r="A76" s="111">
        <v>7.0</v>
      </c>
      <c r="B76" s="255" t="s">
        <v>1075</v>
      </c>
      <c r="C76" s="39" t="s">
        <v>1069</v>
      </c>
      <c r="D76" s="39" t="s">
        <v>427</v>
      </c>
      <c r="E76" s="39" t="s">
        <v>793</v>
      </c>
      <c r="F76" s="115">
        <v>1.36</v>
      </c>
      <c r="G76" s="115">
        <v>3.76</v>
      </c>
      <c r="H76" s="115">
        <v>3.97</v>
      </c>
      <c r="I76" s="115">
        <f t="shared" si="9"/>
        <v>3.03</v>
      </c>
      <c r="J76" s="256" t="s">
        <v>18</v>
      </c>
      <c r="L76" s="6">
        <v>1.0</v>
      </c>
    </row>
    <row r="77" ht="14.25" customHeight="1">
      <c r="A77" s="111">
        <v>8.0</v>
      </c>
      <c r="B77" s="255" t="s">
        <v>1076</v>
      </c>
      <c r="C77" s="39" t="s">
        <v>1069</v>
      </c>
      <c r="D77" s="39" t="s">
        <v>427</v>
      </c>
      <c r="E77" s="39" t="s">
        <v>576</v>
      </c>
      <c r="F77" s="115">
        <v>5.12</v>
      </c>
      <c r="G77" s="115">
        <v>5.13</v>
      </c>
      <c r="H77" s="115">
        <v>4.0</v>
      </c>
      <c r="I77" s="115">
        <f t="shared" si="9"/>
        <v>4.75</v>
      </c>
      <c r="J77" s="257" t="s">
        <v>577</v>
      </c>
      <c r="K77" s="6">
        <v>1.0</v>
      </c>
    </row>
    <row r="78" ht="14.25" customHeight="1">
      <c r="A78" s="259"/>
      <c r="B78" s="260"/>
      <c r="C78" s="259"/>
      <c r="D78" s="259"/>
      <c r="E78" s="259"/>
      <c r="F78" s="261"/>
      <c r="G78" s="261"/>
      <c r="H78" s="261"/>
      <c r="I78" s="237"/>
      <c r="J78" s="262"/>
      <c r="K78" s="16">
        <f t="shared" ref="K78:M78" si="10">SUM(K70:K77)</f>
        <v>4</v>
      </c>
      <c r="L78" s="16">
        <f t="shared" si="10"/>
        <v>3</v>
      </c>
      <c r="M78" s="16">
        <f t="shared" si="10"/>
        <v>1</v>
      </c>
    </row>
    <row r="79" ht="14.25" customHeight="1">
      <c r="A79" s="259"/>
      <c r="B79" s="260"/>
      <c r="C79" s="259"/>
      <c r="D79" s="259"/>
      <c r="E79" s="259"/>
      <c r="F79" s="261"/>
      <c r="G79" s="261"/>
      <c r="H79" s="261"/>
      <c r="I79" s="263"/>
      <c r="J79" s="262"/>
      <c r="K79" s="17">
        <f>K78/A77</f>
        <v>0.5</v>
      </c>
      <c r="L79" s="17">
        <f>L78/A77</f>
        <v>0.375</v>
      </c>
      <c r="M79" s="17">
        <f>M78/A77</f>
        <v>0.125</v>
      </c>
    </row>
    <row r="80" ht="14.25" customHeight="1">
      <c r="A80" s="129" t="s">
        <v>494</v>
      </c>
      <c r="I80" s="239"/>
      <c r="J80" s="216"/>
    </row>
    <row r="81" ht="14.25" customHeight="1">
      <c r="A81" s="18">
        <v>1.0</v>
      </c>
      <c r="B81" s="18" t="s">
        <v>1077</v>
      </c>
      <c r="C81" s="18" t="s">
        <v>497</v>
      </c>
      <c r="D81" s="18" t="s">
        <v>494</v>
      </c>
      <c r="E81" s="18" t="s">
        <v>576</v>
      </c>
      <c r="F81" s="20">
        <v>5.57</v>
      </c>
      <c r="G81" s="20">
        <v>6.0</v>
      </c>
      <c r="H81" s="20">
        <v>6.35</v>
      </c>
      <c r="I81" s="115">
        <f t="shared" ref="I81:I108" si="11">((F81+H81+G81)/3)</f>
        <v>5.973333333</v>
      </c>
      <c r="J81" s="18" t="s">
        <v>656</v>
      </c>
      <c r="K81" s="6">
        <v>1.0</v>
      </c>
    </row>
    <row r="82" ht="14.25" customHeight="1">
      <c r="A82" s="8">
        <v>2.0</v>
      </c>
      <c r="B82" s="10" t="s">
        <v>1078</v>
      </c>
      <c r="C82" s="10" t="s">
        <v>497</v>
      </c>
      <c r="D82" s="10" t="s">
        <v>494</v>
      </c>
      <c r="E82" s="10" t="s">
        <v>576</v>
      </c>
      <c r="F82" s="11">
        <v>2.07</v>
      </c>
      <c r="G82" s="11">
        <v>1.58</v>
      </c>
      <c r="H82" s="11">
        <v>3.07</v>
      </c>
      <c r="I82" s="115">
        <f t="shared" si="11"/>
        <v>2.24</v>
      </c>
      <c r="J82" s="12" t="s">
        <v>89</v>
      </c>
      <c r="L82" s="6">
        <v>1.0</v>
      </c>
    </row>
    <row r="83" ht="14.25" customHeight="1">
      <c r="A83" s="8">
        <v>3.0</v>
      </c>
      <c r="B83" s="10" t="s">
        <v>1079</v>
      </c>
      <c r="C83" s="10" t="s">
        <v>497</v>
      </c>
      <c r="D83" s="10" t="s">
        <v>494</v>
      </c>
      <c r="E83" s="10" t="s">
        <v>576</v>
      </c>
      <c r="F83" s="11">
        <v>4.07</v>
      </c>
      <c r="G83" s="11">
        <v>5.37</v>
      </c>
      <c r="H83" s="11">
        <v>5.71</v>
      </c>
      <c r="I83" s="115">
        <f t="shared" si="11"/>
        <v>5.05</v>
      </c>
      <c r="J83" s="10" t="s">
        <v>577</v>
      </c>
      <c r="K83" s="6">
        <v>1.0</v>
      </c>
    </row>
    <row r="84" ht="14.25" customHeight="1">
      <c r="A84" s="8">
        <v>4.0</v>
      </c>
      <c r="B84" s="10" t="s">
        <v>1080</v>
      </c>
      <c r="C84" s="10" t="s">
        <v>497</v>
      </c>
      <c r="D84" s="10" t="s">
        <v>1081</v>
      </c>
      <c r="E84" s="10" t="s">
        <v>576</v>
      </c>
      <c r="F84" s="11">
        <v>2.21</v>
      </c>
      <c r="G84" s="11">
        <v>2.27</v>
      </c>
      <c r="H84" s="11">
        <v>3.25</v>
      </c>
      <c r="I84" s="115">
        <f t="shared" si="11"/>
        <v>2.576666667</v>
      </c>
      <c r="J84" s="12" t="s">
        <v>18</v>
      </c>
      <c r="L84" s="6">
        <v>1.0</v>
      </c>
    </row>
    <row r="85" ht="14.25" customHeight="1">
      <c r="A85" s="8">
        <v>5.0</v>
      </c>
      <c r="B85" s="10" t="s">
        <v>1082</v>
      </c>
      <c r="C85" s="10" t="s">
        <v>497</v>
      </c>
      <c r="D85" s="10" t="s">
        <v>494</v>
      </c>
      <c r="E85" s="10" t="s">
        <v>576</v>
      </c>
      <c r="F85" s="11">
        <v>5.0</v>
      </c>
      <c r="G85" s="11">
        <v>6.55</v>
      </c>
      <c r="H85" s="11">
        <v>7.33</v>
      </c>
      <c r="I85" s="115">
        <f t="shared" si="11"/>
        <v>6.293333333</v>
      </c>
      <c r="J85" s="10" t="s">
        <v>577</v>
      </c>
      <c r="K85" s="6">
        <v>1.0</v>
      </c>
    </row>
    <row r="86" ht="14.25" customHeight="1">
      <c r="A86" s="8">
        <v>6.0</v>
      </c>
      <c r="B86" s="10" t="s">
        <v>1083</v>
      </c>
      <c r="C86" s="10" t="s">
        <v>497</v>
      </c>
      <c r="D86" s="10" t="s">
        <v>494</v>
      </c>
      <c r="E86" s="10" t="s">
        <v>576</v>
      </c>
      <c r="F86" s="11">
        <v>6.78</v>
      </c>
      <c r="G86" s="11">
        <v>7.0</v>
      </c>
      <c r="H86" s="11">
        <v>7.42</v>
      </c>
      <c r="I86" s="115">
        <f t="shared" si="11"/>
        <v>7.066666667</v>
      </c>
      <c r="J86" s="10" t="s">
        <v>577</v>
      </c>
      <c r="K86" s="6">
        <v>1.0</v>
      </c>
    </row>
    <row r="87" ht="14.25" customHeight="1">
      <c r="A87" s="8">
        <v>7.0</v>
      </c>
      <c r="B87" s="10" t="s">
        <v>1084</v>
      </c>
      <c r="C87" s="10" t="s">
        <v>497</v>
      </c>
      <c r="D87" s="10" t="s">
        <v>494</v>
      </c>
      <c r="E87" s="10" t="s">
        <v>576</v>
      </c>
      <c r="F87" s="11">
        <v>3.5</v>
      </c>
      <c r="G87" s="11">
        <v>4.13</v>
      </c>
      <c r="H87" s="11">
        <v>4.42</v>
      </c>
      <c r="I87" s="115">
        <f t="shared" si="11"/>
        <v>4.016666667</v>
      </c>
      <c r="J87" s="12" t="s">
        <v>18</v>
      </c>
      <c r="L87" s="6">
        <v>1.0</v>
      </c>
    </row>
    <row r="88" ht="14.25" customHeight="1">
      <c r="A88" s="8">
        <v>8.0</v>
      </c>
      <c r="B88" s="10" t="s">
        <v>1085</v>
      </c>
      <c r="C88" s="10" t="s">
        <v>1086</v>
      </c>
      <c r="D88" s="10" t="s">
        <v>1087</v>
      </c>
      <c r="E88" s="10" t="s">
        <v>576</v>
      </c>
      <c r="F88" s="11">
        <v>5.92</v>
      </c>
      <c r="G88" s="11">
        <v>4.79</v>
      </c>
      <c r="H88" s="11">
        <v>7.78</v>
      </c>
      <c r="I88" s="115">
        <f t="shared" si="11"/>
        <v>6.163333333</v>
      </c>
      <c r="J88" s="10" t="s">
        <v>656</v>
      </c>
      <c r="K88" s="6">
        <v>1.0</v>
      </c>
    </row>
    <row r="89" ht="14.25" customHeight="1">
      <c r="A89" s="8">
        <v>9.0</v>
      </c>
      <c r="B89" s="10" t="s">
        <v>1088</v>
      </c>
      <c r="C89" s="10" t="s">
        <v>497</v>
      </c>
      <c r="D89" s="10" t="s">
        <v>494</v>
      </c>
      <c r="E89" s="10" t="s">
        <v>576</v>
      </c>
      <c r="F89" s="11">
        <v>2.85</v>
      </c>
      <c r="G89" s="11">
        <v>3.24</v>
      </c>
      <c r="H89" s="11">
        <v>3.35</v>
      </c>
      <c r="I89" s="115">
        <f t="shared" si="11"/>
        <v>3.146666667</v>
      </c>
      <c r="J89" s="12" t="s">
        <v>18</v>
      </c>
      <c r="L89" s="6">
        <v>1.0</v>
      </c>
    </row>
    <row r="90" ht="14.25" customHeight="1">
      <c r="A90" s="8">
        <v>10.0</v>
      </c>
      <c r="B90" s="10" t="s">
        <v>1089</v>
      </c>
      <c r="C90" s="10" t="s">
        <v>493</v>
      </c>
      <c r="D90" s="10" t="s">
        <v>494</v>
      </c>
      <c r="E90" s="10" t="s">
        <v>576</v>
      </c>
      <c r="F90" s="11">
        <v>2.14</v>
      </c>
      <c r="G90" s="11">
        <v>2.2</v>
      </c>
      <c r="H90" s="11">
        <v>3.42</v>
      </c>
      <c r="I90" s="115">
        <f t="shared" si="11"/>
        <v>2.586666667</v>
      </c>
      <c r="J90" s="12" t="s">
        <v>18</v>
      </c>
      <c r="L90" s="6">
        <v>1.0</v>
      </c>
    </row>
    <row r="91" ht="14.25" customHeight="1">
      <c r="A91" s="8">
        <v>11.0</v>
      </c>
      <c r="B91" s="10" t="s">
        <v>1090</v>
      </c>
      <c r="C91" s="10" t="s">
        <v>497</v>
      </c>
      <c r="D91" s="10" t="s">
        <v>494</v>
      </c>
      <c r="E91" s="10" t="s">
        <v>576</v>
      </c>
      <c r="F91" s="11">
        <v>3.73</v>
      </c>
      <c r="G91" s="11">
        <v>4.0</v>
      </c>
      <c r="H91" s="11">
        <v>4.48</v>
      </c>
      <c r="I91" s="115">
        <f t="shared" si="11"/>
        <v>4.07</v>
      </c>
      <c r="J91" s="12" t="s">
        <v>18</v>
      </c>
      <c r="L91" s="6">
        <v>1.0</v>
      </c>
    </row>
    <row r="92" ht="14.25" customHeight="1">
      <c r="A92" s="8">
        <v>12.0</v>
      </c>
      <c r="B92" s="10" t="s">
        <v>1091</v>
      </c>
      <c r="C92" s="10" t="s">
        <v>497</v>
      </c>
      <c r="D92" s="10" t="s">
        <v>494</v>
      </c>
      <c r="E92" s="10" t="s">
        <v>576</v>
      </c>
      <c r="F92" s="11">
        <v>4.57</v>
      </c>
      <c r="G92" s="11">
        <v>5.27</v>
      </c>
      <c r="H92" s="11">
        <v>4.71</v>
      </c>
      <c r="I92" s="115">
        <f t="shared" si="11"/>
        <v>4.85</v>
      </c>
      <c r="J92" s="10" t="s">
        <v>656</v>
      </c>
      <c r="K92" s="6">
        <v>1.0</v>
      </c>
    </row>
    <row r="93" ht="14.25" customHeight="1">
      <c r="A93" s="8">
        <v>13.0</v>
      </c>
      <c r="B93" s="10" t="s">
        <v>1092</v>
      </c>
      <c r="C93" s="10" t="s">
        <v>497</v>
      </c>
      <c r="D93" s="10" t="s">
        <v>494</v>
      </c>
      <c r="E93" s="10" t="s">
        <v>576</v>
      </c>
      <c r="F93" s="11">
        <v>5.21</v>
      </c>
      <c r="G93" s="11">
        <v>6.13</v>
      </c>
      <c r="H93" s="11">
        <v>6.5</v>
      </c>
      <c r="I93" s="115">
        <f t="shared" si="11"/>
        <v>5.946666667</v>
      </c>
      <c r="J93" s="10" t="s">
        <v>577</v>
      </c>
      <c r="K93" s="6">
        <v>1.0</v>
      </c>
    </row>
    <row r="94" ht="14.25" customHeight="1">
      <c r="A94" s="8">
        <v>14.0</v>
      </c>
      <c r="B94" s="10" t="s">
        <v>1093</v>
      </c>
      <c r="C94" s="10" t="s">
        <v>497</v>
      </c>
      <c r="D94" s="10" t="s">
        <v>494</v>
      </c>
      <c r="E94" s="10" t="s">
        <v>576</v>
      </c>
      <c r="F94" s="11">
        <v>1.42</v>
      </c>
      <c r="G94" s="11">
        <v>0.0</v>
      </c>
      <c r="H94" s="11">
        <v>5.25</v>
      </c>
      <c r="I94" s="115">
        <f t="shared" si="11"/>
        <v>2.223333333</v>
      </c>
      <c r="J94" s="12" t="s">
        <v>18</v>
      </c>
      <c r="L94" s="6">
        <v>1.0</v>
      </c>
    </row>
    <row r="95" ht="14.25" customHeight="1">
      <c r="A95" s="8">
        <v>15.0</v>
      </c>
      <c r="B95" s="10" t="s">
        <v>1094</v>
      </c>
      <c r="C95" s="10" t="s">
        <v>497</v>
      </c>
      <c r="D95" s="10" t="s">
        <v>494</v>
      </c>
      <c r="E95" s="10" t="s">
        <v>576</v>
      </c>
      <c r="F95" s="11">
        <v>5.78</v>
      </c>
      <c r="G95" s="11">
        <v>5.58</v>
      </c>
      <c r="H95" s="11">
        <v>5.92</v>
      </c>
      <c r="I95" s="115">
        <f t="shared" si="11"/>
        <v>5.76</v>
      </c>
      <c r="J95" s="10" t="s">
        <v>577</v>
      </c>
      <c r="K95" s="6">
        <v>1.0</v>
      </c>
    </row>
    <row r="96" ht="14.25" customHeight="1">
      <c r="A96" s="8">
        <v>16.0</v>
      </c>
      <c r="B96" s="10" t="s">
        <v>1095</v>
      </c>
      <c r="C96" s="10" t="s">
        <v>497</v>
      </c>
      <c r="D96" s="10" t="s">
        <v>494</v>
      </c>
      <c r="E96" s="10" t="s">
        <v>576</v>
      </c>
      <c r="F96" s="11">
        <v>3.14</v>
      </c>
      <c r="G96" s="11">
        <v>3.51</v>
      </c>
      <c r="H96" s="11">
        <v>3.78</v>
      </c>
      <c r="I96" s="115">
        <f t="shared" si="11"/>
        <v>3.476666667</v>
      </c>
      <c r="J96" s="12" t="s">
        <v>18</v>
      </c>
      <c r="L96" s="6">
        <v>1.0</v>
      </c>
    </row>
    <row r="97" ht="14.25" customHeight="1">
      <c r="A97" s="8">
        <v>17.0</v>
      </c>
      <c r="B97" s="10" t="s">
        <v>513</v>
      </c>
      <c r="C97" s="10" t="s">
        <v>497</v>
      </c>
      <c r="D97" s="10" t="s">
        <v>494</v>
      </c>
      <c r="E97" s="10" t="s">
        <v>576</v>
      </c>
      <c r="F97" s="11">
        <v>6.78</v>
      </c>
      <c r="G97" s="11">
        <v>5.34</v>
      </c>
      <c r="H97" s="11">
        <v>5.74</v>
      </c>
      <c r="I97" s="115">
        <f t="shared" si="11"/>
        <v>5.953333333</v>
      </c>
      <c r="J97" s="10" t="s">
        <v>656</v>
      </c>
      <c r="K97" s="6">
        <v>1.0</v>
      </c>
    </row>
    <row r="98" ht="14.25" customHeight="1">
      <c r="A98" s="8">
        <v>18.0</v>
      </c>
      <c r="B98" s="10" t="s">
        <v>1096</v>
      </c>
      <c r="C98" s="10" t="s">
        <v>497</v>
      </c>
      <c r="D98" s="10" t="s">
        <v>494</v>
      </c>
      <c r="E98" s="10" t="s">
        <v>576</v>
      </c>
      <c r="F98" s="11">
        <v>4.28</v>
      </c>
      <c r="G98" s="11">
        <v>4.55</v>
      </c>
      <c r="H98" s="11">
        <v>4.85</v>
      </c>
      <c r="I98" s="115">
        <f t="shared" si="11"/>
        <v>4.56</v>
      </c>
      <c r="J98" s="10" t="s">
        <v>656</v>
      </c>
      <c r="K98" s="6">
        <v>1.0</v>
      </c>
    </row>
    <row r="99" ht="14.25" customHeight="1">
      <c r="A99" s="8">
        <v>19.0</v>
      </c>
      <c r="B99" s="10" t="s">
        <v>1097</v>
      </c>
      <c r="C99" s="10" t="s">
        <v>497</v>
      </c>
      <c r="D99" s="10" t="s">
        <v>494</v>
      </c>
      <c r="E99" s="10" t="s">
        <v>576</v>
      </c>
      <c r="F99" s="11">
        <v>3.0</v>
      </c>
      <c r="G99" s="11">
        <v>2.55</v>
      </c>
      <c r="H99" s="11">
        <v>3.85</v>
      </c>
      <c r="I99" s="115">
        <f t="shared" si="11"/>
        <v>3.133333333</v>
      </c>
      <c r="J99" s="126" t="s">
        <v>343</v>
      </c>
      <c r="M99" s="6">
        <v>1.0</v>
      </c>
    </row>
    <row r="100" ht="14.25" customHeight="1">
      <c r="A100" s="8">
        <v>20.0</v>
      </c>
      <c r="B100" s="10" t="s">
        <v>1098</v>
      </c>
      <c r="C100" s="10" t="s">
        <v>497</v>
      </c>
      <c r="D100" s="10" t="s">
        <v>494</v>
      </c>
      <c r="E100" s="10" t="s">
        <v>576</v>
      </c>
      <c r="F100" s="11">
        <v>5.78</v>
      </c>
      <c r="G100" s="11">
        <v>4.06</v>
      </c>
      <c r="H100" s="11">
        <v>4.35</v>
      </c>
      <c r="I100" s="115">
        <f t="shared" si="11"/>
        <v>4.73</v>
      </c>
      <c r="J100" s="10" t="s">
        <v>577</v>
      </c>
      <c r="K100" s="6">
        <v>1.0</v>
      </c>
    </row>
    <row r="101" ht="14.25" customHeight="1">
      <c r="A101" s="8">
        <v>21.0</v>
      </c>
      <c r="B101" s="10" t="s">
        <v>1099</v>
      </c>
      <c r="C101" s="10" t="s">
        <v>497</v>
      </c>
      <c r="D101" s="10" t="s">
        <v>494</v>
      </c>
      <c r="E101" s="10" t="s">
        <v>576</v>
      </c>
      <c r="F101" s="11">
        <v>2.14</v>
      </c>
      <c r="G101" s="11">
        <v>1.86</v>
      </c>
      <c r="H101" s="11">
        <v>3.07</v>
      </c>
      <c r="I101" s="115">
        <f t="shared" si="11"/>
        <v>2.356666667</v>
      </c>
      <c r="J101" s="12" t="s">
        <v>18</v>
      </c>
      <c r="L101" s="6">
        <v>1.0</v>
      </c>
    </row>
    <row r="102" ht="14.25" customHeight="1">
      <c r="A102" s="8">
        <v>22.0</v>
      </c>
      <c r="B102" s="10" t="s">
        <v>1100</v>
      </c>
      <c r="C102" s="10" t="s">
        <v>497</v>
      </c>
      <c r="D102" s="10" t="s">
        <v>494</v>
      </c>
      <c r="E102" s="10" t="s">
        <v>576</v>
      </c>
      <c r="F102" s="11">
        <v>0.57</v>
      </c>
      <c r="G102" s="11">
        <v>0.0</v>
      </c>
      <c r="H102" s="11">
        <v>2.0</v>
      </c>
      <c r="I102" s="115">
        <f t="shared" si="11"/>
        <v>0.8566666667</v>
      </c>
      <c r="J102" s="12" t="s">
        <v>89</v>
      </c>
      <c r="L102" s="6">
        <v>1.0</v>
      </c>
    </row>
    <row r="103" ht="14.25" customHeight="1">
      <c r="A103" s="8">
        <v>23.0</v>
      </c>
      <c r="B103" s="10" t="s">
        <v>1101</v>
      </c>
      <c r="C103" s="10" t="s">
        <v>497</v>
      </c>
      <c r="D103" s="10" t="s">
        <v>494</v>
      </c>
      <c r="E103" s="10" t="s">
        <v>576</v>
      </c>
      <c r="F103" s="11">
        <v>4.5</v>
      </c>
      <c r="G103" s="11">
        <v>5.2</v>
      </c>
      <c r="H103" s="11">
        <v>6.13</v>
      </c>
      <c r="I103" s="115">
        <f t="shared" si="11"/>
        <v>5.276666667</v>
      </c>
      <c r="J103" s="10" t="s">
        <v>577</v>
      </c>
      <c r="K103" s="6">
        <v>1.0</v>
      </c>
    </row>
    <row r="104" ht="14.25" customHeight="1">
      <c r="A104" s="8">
        <v>24.0</v>
      </c>
      <c r="B104" s="10" t="s">
        <v>1102</v>
      </c>
      <c r="C104" s="10" t="s">
        <v>493</v>
      </c>
      <c r="D104" s="10" t="s">
        <v>494</v>
      </c>
      <c r="E104" s="10" t="s">
        <v>576</v>
      </c>
      <c r="F104" s="11">
        <v>5.21</v>
      </c>
      <c r="G104" s="11">
        <v>4.06</v>
      </c>
      <c r="H104" s="11">
        <v>5.15</v>
      </c>
      <c r="I104" s="115">
        <f t="shared" si="11"/>
        <v>4.806666667</v>
      </c>
      <c r="J104" s="10" t="s">
        <v>577</v>
      </c>
      <c r="K104" s="6">
        <v>1.0</v>
      </c>
    </row>
    <row r="105" ht="14.25" customHeight="1">
      <c r="A105" s="8">
        <v>25.0</v>
      </c>
      <c r="B105" s="10" t="s">
        <v>1103</v>
      </c>
      <c r="C105" s="10" t="s">
        <v>497</v>
      </c>
      <c r="D105" s="10" t="s">
        <v>494</v>
      </c>
      <c r="E105" s="10" t="s">
        <v>576</v>
      </c>
      <c r="F105" s="11">
        <v>2.07</v>
      </c>
      <c r="G105" s="11">
        <v>1.86</v>
      </c>
      <c r="H105" s="11">
        <v>2.21</v>
      </c>
      <c r="I105" s="115">
        <f t="shared" si="11"/>
        <v>2.046666667</v>
      </c>
      <c r="J105" s="12" t="s">
        <v>18</v>
      </c>
      <c r="L105" s="6">
        <v>1.0</v>
      </c>
    </row>
    <row r="106" ht="14.25" customHeight="1">
      <c r="A106" s="8">
        <v>26.0</v>
      </c>
      <c r="B106" s="10" t="s">
        <v>1104</v>
      </c>
      <c r="C106" s="10" t="s">
        <v>497</v>
      </c>
      <c r="D106" s="10" t="s">
        <v>494</v>
      </c>
      <c r="E106" s="10" t="s">
        <v>576</v>
      </c>
      <c r="F106" s="11">
        <v>5.85</v>
      </c>
      <c r="G106" s="11">
        <v>4.86</v>
      </c>
      <c r="H106" s="11">
        <v>5.0</v>
      </c>
      <c r="I106" s="115">
        <f t="shared" si="11"/>
        <v>5.236666667</v>
      </c>
      <c r="J106" s="10" t="s">
        <v>577</v>
      </c>
      <c r="K106" s="6">
        <v>1.0</v>
      </c>
    </row>
    <row r="107" ht="14.25" customHeight="1">
      <c r="A107" s="8">
        <v>27.0</v>
      </c>
      <c r="B107" s="10" t="s">
        <v>1105</v>
      </c>
      <c r="C107" s="10" t="s">
        <v>493</v>
      </c>
      <c r="D107" s="10" t="s">
        <v>494</v>
      </c>
      <c r="E107" s="10" t="s">
        <v>576</v>
      </c>
      <c r="F107" s="11">
        <v>4.78</v>
      </c>
      <c r="G107" s="11">
        <v>5.79</v>
      </c>
      <c r="H107" s="11">
        <v>6.23</v>
      </c>
      <c r="I107" s="115">
        <f t="shared" si="11"/>
        <v>5.6</v>
      </c>
      <c r="J107" s="10" t="s">
        <v>577</v>
      </c>
      <c r="K107" s="6">
        <v>1.0</v>
      </c>
    </row>
    <row r="108" ht="14.25" customHeight="1">
      <c r="A108" s="8">
        <v>28.0</v>
      </c>
      <c r="B108" s="10" t="s">
        <v>1106</v>
      </c>
      <c r="C108" s="10" t="s">
        <v>497</v>
      </c>
      <c r="D108" s="10" t="s">
        <v>494</v>
      </c>
      <c r="E108" s="10" t="s">
        <v>576</v>
      </c>
      <c r="F108" s="11">
        <v>1.78</v>
      </c>
      <c r="G108" s="11">
        <v>2.0</v>
      </c>
      <c r="H108" s="11">
        <v>0.0</v>
      </c>
      <c r="I108" s="115">
        <f t="shared" si="11"/>
        <v>1.26</v>
      </c>
      <c r="J108" s="126" t="s">
        <v>1107</v>
      </c>
    </row>
    <row r="109" ht="14.25" customHeight="1">
      <c r="A109" s="264"/>
      <c r="B109" s="265"/>
      <c r="C109" s="265"/>
      <c r="D109" s="265"/>
      <c r="E109" s="265"/>
      <c r="F109" s="265"/>
      <c r="G109" s="265"/>
      <c r="H109" s="265"/>
      <c r="I109" s="115"/>
      <c r="J109" s="266"/>
      <c r="K109" s="16">
        <f t="shared" ref="K109:M109" si="12">SUM(K81:K108)</f>
        <v>15</v>
      </c>
      <c r="L109" s="16">
        <f t="shared" si="12"/>
        <v>11</v>
      </c>
      <c r="M109" s="16">
        <f t="shared" si="12"/>
        <v>1</v>
      </c>
    </row>
    <row r="110" ht="14.25" customHeight="1">
      <c r="A110" s="264"/>
      <c r="B110" s="265"/>
      <c r="C110" s="265"/>
      <c r="D110" s="265"/>
      <c r="E110" s="265"/>
      <c r="F110" s="265"/>
      <c r="G110" s="265"/>
      <c r="H110" s="265"/>
      <c r="I110" s="115"/>
      <c r="J110" s="266"/>
      <c r="K110" s="17">
        <f>K109/A108</f>
        <v>0.5357142857</v>
      </c>
      <c r="L110" s="17">
        <f>L109/A108</f>
        <v>0.3928571429</v>
      </c>
      <c r="M110" s="17">
        <f>M109/A108</f>
        <v>0.03571428571</v>
      </c>
    </row>
    <row r="111" ht="14.25" customHeight="1">
      <c r="A111" s="267" t="s">
        <v>540</v>
      </c>
      <c r="B111" s="268"/>
      <c r="C111" s="268"/>
      <c r="D111" s="268"/>
      <c r="E111" s="268"/>
      <c r="F111" s="268"/>
      <c r="G111" s="268"/>
      <c r="H111" s="269"/>
      <c r="I111" s="115"/>
      <c r="J111" s="266"/>
    </row>
    <row r="112" ht="14.25" customHeight="1">
      <c r="A112" s="131">
        <v>1.0</v>
      </c>
      <c r="B112" s="140" t="s">
        <v>1108</v>
      </c>
      <c r="C112" s="133" t="s">
        <v>539</v>
      </c>
      <c r="D112" s="133" t="s">
        <v>540</v>
      </c>
      <c r="E112" s="18" t="s">
        <v>576</v>
      </c>
      <c r="F112" s="135">
        <v>4.07</v>
      </c>
      <c r="G112" s="135">
        <v>5.67</v>
      </c>
      <c r="H112" s="60">
        <v>5.88</v>
      </c>
      <c r="I112" s="115">
        <f t="shared" ref="I112:I154" si="13">((F112+H112+G112)/3)</f>
        <v>5.206666667</v>
      </c>
      <c r="J112" s="134" t="s">
        <v>577</v>
      </c>
      <c r="K112" s="168">
        <v>1.0</v>
      </c>
    </row>
    <row r="113" ht="14.25" customHeight="1">
      <c r="A113" s="131">
        <v>2.0</v>
      </c>
      <c r="B113" s="140" t="s">
        <v>1109</v>
      </c>
      <c r="C113" s="133" t="s">
        <v>542</v>
      </c>
      <c r="D113" s="139" t="s">
        <v>540</v>
      </c>
      <c r="E113" s="18" t="s">
        <v>576</v>
      </c>
      <c r="F113" s="112">
        <v>2.0</v>
      </c>
      <c r="G113" s="112">
        <v>2.25</v>
      </c>
      <c r="H113" s="60">
        <v>3.15</v>
      </c>
      <c r="I113" s="115">
        <f t="shared" si="13"/>
        <v>2.466666667</v>
      </c>
      <c r="J113" s="136" t="s">
        <v>18</v>
      </c>
      <c r="L113" s="6">
        <v>1.0</v>
      </c>
    </row>
    <row r="114" ht="14.25" customHeight="1">
      <c r="A114" s="131">
        <v>3.0</v>
      </c>
      <c r="B114" s="140" t="s">
        <v>1110</v>
      </c>
      <c r="C114" s="133" t="s">
        <v>539</v>
      </c>
      <c r="D114" s="133" t="s">
        <v>540</v>
      </c>
      <c r="E114" s="18" t="s">
        <v>576</v>
      </c>
      <c r="F114" s="112">
        <v>5.96</v>
      </c>
      <c r="G114" s="135">
        <v>4.75</v>
      </c>
      <c r="H114" s="60">
        <v>5.22</v>
      </c>
      <c r="I114" s="115">
        <f t="shared" si="13"/>
        <v>5.31</v>
      </c>
      <c r="J114" s="134" t="s">
        <v>577</v>
      </c>
      <c r="K114" s="6">
        <v>1.0</v>
      </c>
    </row>
    <row r="115" ht="14.25" customHeight="1">
      <c r="A115" s="131">
        <v>4.0</v>
      </c>
      <c r="B115" s="140" t="s">
        <v>1111</v>
      </c>
      <c r="C115" s="133" t="s">
        <v>539</v>
      </c>
      <c r="D115" s="139" t="s">
        <v>540</v>
      </c>
      <c r="E115" s="10" t="s">
        <v>576</v>
      </c>
      <c r="F115" s="112">
        <v>3.42</v>
      </c>
      <c r="G115" s="112">
        <v>2.25</v>
      </c>
      <c r="H115" s="135">
        <v>2.03</v>
      </c>
      <c r="I115" s="115">
        <f t="shared" si="13"/>
        <v>2.566666667</v>
      </c>
      <c r="J115" s="136" t="s">
        <v>18</v>
      </c>
      <c r="L115" s="6">
        <v>1.0</v>
      </c>
    </row>
    <row r="116" ht="14.25" customHeight="1">
      <c r="A116" s="131">
        <v>5.0</v>
      </c>
      <c r="B116" s="140" t="s">
        <v>1112</v>
      </c>
      <c r="C116" s="133" t="s">
        <v>546</v>
      </c>
      <c r="D116" s="139" t="s">
        <v>540</v>
      </c>
      <c r="E116" s="10" t="s">
        <v>576</v>
      </c>
      <c r="F116" s="112">
        <v>1.0</v>
      </c>
      <c r="G116" s="112">
        <v>1.45</v>
      </c>
      <c r="H116" s="135">
        <v>3.9</v>
      </c>
      <c r="I116" s="115">
        <f t="shared" si="13"/>
        <v>2.116666667</v>
      </c>
      <c r="J116" s="136" t="s">
        <v>18</v>
      </c>
      <c r="L116" s="6">
        <v>1.0</v>
      </c>
    </row>
    <row r="117" ht="14.25" customHeight="1">
      <c r="A117" s="131">
        <v>6.0</v>
      </c>
      <c r="B117" s="140" t="s">
        <v>1113</v>
      </c>
      <c r="C117" s="133" t="s">
        <v>539</v>
      </c>
      <c r="D117" s="139" t="s">
        <v>540</v>
      </c>
      <c r="E117" s="10" t="s">
        <v>576</v>
      </c>
      <c r="F117" s="112">
        <v>4.25</v>
      </c>
      <c r="G117" s="112">
        <v>5.25</v>
      </c>
      <c r="H117" s="135">
        <v>4.98</v>
      </c>
      <c r="I117" s="115">
        <f t="shared" si="13"/>
        <v>4.826666667</v>
      </c>
      <c r="J117" s="134" t="s">
        <v>577</v>
      </c>
      <c r="K117" s="6">
        <v>1.0</v>
      </c>
    </row>
    <row r="118" ht="14.25" customHeight="1">
      <c r="A118" s="131">
        <v>7.0</v>
      </c>
      <c r="B118" s="224" t="s">
        <v>1114</v>
      </c>
      <c r="C118" s="133" t="s">
        <v>546</v>
      </c>
      <c r="D118" s="139" t="s">
        <v>540</v>
      </c>
      <c r="E118" s="10" t="s">
        <v>576</v>
      </c>
      <c r="F118" s="112">
        <v>5.0</v>
      </c>
      <c r="G118" s="112">
        <v>5.0</v>
      </c>
      <c r="H118" s="135">
        <v>5.34</v>
      </c>
      <c r="I118" s="115">
        <f t="shared" si="13"/>
        <v>5.113333333</v>
      </c>
      <c r="J118" s="270" t="s">
        <v>343</v>
      </c>
      <c r="M118" s="6">
        <v>1.0</v>
      </c>
    </row>
    <row r="119" ht="14.25" customHeight="1">
      <c r="A119" s="131">
        <v>8.0</v>
      </c>
      <c r="B119" s="140" t="s">
        <v>1115</v>
      </c>
      <c r="C119" s="133" t="s">
        <v>550</v>
      </c>
      <c r="D119" s="139" t="s">
        <v>540</v>
      </c>
      <c r="E119" s="10" t="s">
        <v>576</v>
      </c>
      <c r="F119" s="112">
        <v>1.0</v>
      </c>
      <c r="G119" s="112">
        <v>2.33</v>
      </c>
      <c r="H119" s="135">
        <v>3.75</v>
      </c>
      <c r="I119" s="115">
        <f t="shared" si="13"/>
        <v>2.36</v>
      </c>
      <c r="J119" s="136" t="s">
        <v>18</v>
      </c>
      <c r="L119" s="6">
        <v>1.0</v>
      </c>
    </row>
    <row r="120" ht="14.25" customHeight="1">
      <c r="A120" s="142">
        <v>9.0</v>
      </c>
      <c r="B120" s="140" t="s">
        <v>1116</v>
      </c>
      <c r="C120" s="133" t="s">
        <v>539</v>
      </c>
      <c r="D120" s="139" t="s">
        <v>540</v>
      </c>
      <c r="E120" s="10" t="s">
        <v>576</v>
      </c>
      <c r="F120" s="112">
        <v>5.0</v>
      </c>
      <c r="G120" s="112">
        <v>4.98</v>
      </c>
      <c r="H120" s="135">
        <v>6.21</v>
      </c>
      <c r="I120" s="115">
        <f t="shared" si="13"/>
        <v>5.396666667</v>
      </c>
      <c r="J120" s="134" t="s">
        <v>577</v>
      </c>
      <c r="K120" s="6">
        <v>1.0</v>
      </c>
    </row>
    <row r="121" ht="14.25" customHeight="1">
      <c r="A121" s="131">
        <v>10.0</v>
      </c>
      <c r="B121" s="224" t="s">
        <v>1117</v>
      </c>
      <c r="C121" s="133" t="s">
        <v>546</v>
      </c>
      <c r="D121" s="139" t="s">
        <v>540</v>
      </c>
      <c r="E121" s="10" t="s">
        <v>576</v>
      </c>
      <c r="F121" s="112">
        <v>3.85</v>
      </c>
      <c r="G121" s="112">
        <v>5.15</v>
      </c>
      <c r="H121" s="135">
        <v>4.93</v>
      </c>
      <c r="I121" s="115">
        <f t="shared" si="13"/>
        <v>4.643333333</v>
      </c>
      <c r="J121" s="134" t="s">
        <v>577</v>
      </c>
      <c r="K121" s="6">
        <v>1.0</v>
      </c>
    </row>
    <row r="122" ht="14.25" customHeight="1">
      <c r="A122" s="131">
        <v>11.0</v>
      </c>
      <c r="B122" s="140" t="s">
        <v>1118</v>
      </c>
      <c r="C122" s="133" t="s">
        <v>555</v>
      </c>
      <c r="D122" s="139" t="s">
        <v>540</v>
      </c>
      <c r="E122" s="10" t="s">
        <v>576</v>
      </c>
      <c r="F122" s="112">
        <v>7.2</v>
      </c>
      <c r="G122" s="112">
        <v>8.3</v>
      </c>
      <c r="H122" s="135">
        <v>7.26</v>
      </c>
      <c r="I122" s="115">
        <f t="shared" si="13"/>
        <v>7.586666667</v>
      </c>
      <c r="J122" s="134" t="s">
        <v>577</v>
      </c>
      <c r="K122" s="6">
        <v>1.0</v>
      </c>
    </row>
    <row r="123" ht="14.25" customHeight="1">
      <c r="A123" s="131">
        <v>12.0</v>
      </c>
      <c r="B123" s="140" t="s">
        <v>1119</v>
      </c>
      <c r="C123" s="133" t="s">
        <v>539</v>
      </c>
      <c r="D123" s="139" t="s">
        <v>540</v>
      </c>
      <c r="E123" s="10" t="s">
        <v>576</v>
      </c>
      <c r="F123" s="112">
        <v>4.5</v>
      </c>
      <c r="G123" s="112">
        <v>5.0</v>
      </c>
      <c r="H123" s="135">
        <v>5.07</v>
      </c>
      <c r="I123" s="115">
        <f t="shared" si="13"/>
        <v>4.856666667</v>
      </c>
      <c r="J123" s="134" t="s">
        <v>577</v>
      </c>
      <c r="K123" s="6">
        <v>1.0</v>
      </c>
    </row>
    <row r="124" ht="14.25" customHeight="1">
      <c r="A124" s="131">
        <v>13.0</v>
      </c>
      <c r="B124" s="140" t="s">
        <v>1120</v>
      </c>
      <c r="C124" s="133" t="s">
        <v>546</v>
      </c>
      <c r="D124" s="139" t="s">
        <v>540</v>
      </c>
      <c r="E124" s="10" t="s">
        <v>576</v>
      </c>
      <c r="F124" s="112">
        <v>6.0</v>
      </c>
      <c r="G124" s="112">
        <v>5.85</v>
      </c>
      <c r="H124" s="135">
        <v>4.09</v>
      </c>
      <c r="I124" s="115">
        <f t="shared" si="13"/>
        <v>5.313333333</v>
      </c>
      <c r="J124" s="134" t="s">
        <v>577</v>
      </c>
      <c r="K124" s="6">
        <v>1.0</v>
      </c>
    </row>
    <row r="125" ht="14.25" customHeight="1">
      <c r="A125" s="143">
        <v>14.0</v>
      </c>
      <c r="B125" s="140" t="s">
        <v>1121</v>
      </c>
      <c r="C125" s="133" t="s">
        <v>550</v>
      </c>
      <c r="D125" s="139" t="s">
        <v>540</v>
      </c>
      <c r="E125" s="10" t="s">
        <v>576</v>
      </c>
      <c r="F125" s="145">
        <v>3.87</v>
      </c>
      <c r="G125" s="145">
        <v>3.1</v>
      </c>
      <c r="H125" s="145">
        <v>3.45</v>
      </c>
      <c r="I125" s="115">
        <f t="shared" si="13"/>
        <v>3.473333333</v>
      </c>
      <c r="J125" s="271" t="s">
        <v>18</v>
      </c>
      <c r="L125" s="6">
        <v>1.0</v>
      </c>
    </row>
    <row r="126" ht="14.25" customHeight="1">
      <c r="A126" s="143">
        <v>15.0</v>
      </c>
      <c r="B126" s="140" t="s">
        <v>1122</v>
      </c>
      <c r="C126" s="133" t="s">
        <v>550</v>
      </c>
      <c r="D126" s="139" t="s">
        <v>540</v>
      </c>
      <c r="E126" s="10" t="s">
        <v>576</v>
      </c>
      <c r="F126" s="135">
        <v>1.07</v>
      </c>
      <c r="G126" s="145">
        <v>2.33</v>
      </c>
      <c r="H126" s="145">
        <v>2.77</v>
      </c>
      <c r="I126" s="115">
        <f t="shared" si="13"/>
        <v>2.056666667</v>
      </c>
      <c r="J126" s="271" t="s">
        <v>18</v>
      </c>
      <c r="L126" s="6">
        <v>1.0</v>
      </c>
    </row>
    <row r="127" ht="14.25" customHeight="1">
      <c r="A127" s="143">
        <v>16.0</v>
      </c>
      <c r="B127" s="140" t="s">
        <v>1123</v>
      </c>
      <c r="C127" s="133" t="s">
        <v>546</v>
      </c>
      <c r="D127" s="139" t="s">
        <v>540</v>
      </c>
      <c r="E127" s="10" t="s">
        <v>576</v>
      </c>
      <c r="F127" s="112">
        <v>5.1</v>
      </c>
      <c r="G127" s="145">
        <v>4.56</v>
      </c>
      <c r="H127" s="145">
        <v>3.98</v>
      </c>
      <c r="I127" s="115">
        <f t="shared" si="13"/>
        <v>4.546666667</v>
      </c>
      <c r="J127" s="272" t="s">
        <v>577</v>
      </c>
      <c r="K127" s="6">
        <v>1.0</v>
      </c>
    </row>
    <row r="128" ht="14.25" customHeight="1">
      <c r="A128" s="143">
        <v>17.0</v>
      </c>
      <c r="B128" s="140" t="s">
        <v>1124</v>
      </c>
      <c r="C128" s="133" t="s">
        <v>539</v>
      </c>
      <c r="D128" s="139" t="s">
        <v>540</v>
      </c>
      <c r="E128" s="144" t="s">
        <v>576</v>
      </c>
      <c r="F128" s="112">
        <v>2.96</v>
      </c>
      <c r="G128" s="145">
        <v>1.44</v>
      </c>
      <c r="H128" s="145">
        <v>2.77</v>
      </c>
      <c r="I128" s="115">
        <f t="shared" si="13"/>
        <v>2.39</v>
      </c>
      <c r="J128" s="271" t="s">
        <v>18</v>
      </c>
      <c r="L128" s="6">
        <v>1.0</v>
      </c>
    </row>
    <row r="129" ht="14.25" customHeight="1">
      <c r="A129" s="143">
        <v>18.0</v>
      </c>
      <c r="B129" s="140" t="s">
        <v>1125</v>
      </c>
      <c r="C129" s="133" t="s">
        <v>539</v>
      </c>
      <c r="D129" s="139" t="s">
        <v>540</v>
      </c>
      <c r="E129" s="18" t="s">
        <v>576</v>
      </c>
      <c r="F129" s="112">
        <v>3.42</v>
      </c>
      <c r="G129" s="145">
        <v>2.78</v>
      </c>
      <c r="H129" s="145">
        <v>3.0</v>
      </c>
      <c r="I129" s="115">
        <f t="shared" si="13"/>
        <v>3.066666667</v>
      </c>
      <c r="J129" s="271" t="s">
        <v>18</v>
      </c>
      <c r="L129" s="6">
        <v>1.0</v>
      </c>
    </row>
    <row r="130" ht="14.25" customHeight="1">
      <c r="A130" s="143">
        <v>19.0</v>
      </c>
      <c r="B130" s="140" t="s">
        <v>1126</v>
      </c>
      <c r="C130" s="133" t="s">
        <v>550</v>
      </c>
      <c r="D130" s="139" t="s">
        <v>540</v>
      </c>
      <c r="E130" s="10" t="s">
        <v>576</v>
      </c>
      <c r="F130" s="112">
        <v>2.71</v>
      </c>
      <c r="G130" s="145">
        <v>3.59</v>
      </c>
      <c r="H130" s="145">
        <v>4.0</v>
      </c>
      <c r="I130" s="115">
        <f t="shared" si="13"/>
        <v>3.433333333</v>
      </c>
      <c r="J130" s="271" t="s">
        <v>18</v>
      </c>
      <c r="L130" s="6">
        <v>1.0</v>
      </c>
    </row>
    <row r="131" ht="14.25" customHeight="1">
      <c r="A131" s="143">
        <v>20.0</v>
      </c>
      <c r="B131" s="140" t="s">
        <v>1127</v>
      </c>
      <c r="C131" s="133" t="s">
        <v>546</v>
      </c>
      <c r="D131" s="139" t="s">
        <v>540</v>
      </c>
      <c r="E131" s="10" t="s">
        <v>576</v>
      </c>
      <c r="F131" s="112">
        <v>4.46</v>
      </c>
      <c r="G131" s="145">
        <v>4.89</v>
      </c>
      <c r="H131" s="145">
        <v>5.0</v>
      </c>
      <c r="I131" s="115">
        <f t="shared" si="13"/>
        <v>4.783333333</v>
      </c>
      <c r="J131" s="272" t="s">
        <v>577</v>
      </c>
      <c r="K131" s="6">
        <v>1.0</v>
      </c>
    </row>
    <row r="132" ht="14.25" customHeight="1">
      <c r="A132" s="131">
        <v>21.0</v>
      </c>
      <c r="B132" s="140" t="s">
        <v>1128</v>
      </c>
      <c r="C132" s="133" t="s">
        <v>539</v>
      </c>
      <c r="D132" s="133" t="s">
        <v>540</v>
      </c>
      <c r="E132" s="10" t="s">
        <v>576</v>
      </c>
      <c r="F132" s="112">
        <v>5.03</v>
      </c>
      <c r="G132" s="135">
        <v>6.26</v>
      </c>
      <c r="H132" s="135">
        <v>6.64</v>
      </c>
      <c r="I132" s="115">
        <f t="shared" si="13"/>
        <v>5.976666667</v>
      </c>
      <c r="J132" s="134" t="s">
        <v>577</v>
      </c>
      <c r="K132" s="6">
        <v>1.0</v>
      </c>
    </row>
    <row r="133" ht="14.25" customHeight="1">
      <c r="A133" s="143">
        <v>22.0</v>
      </c>
      <c r="B133" s="140" t="s">
        <v>1129</v>
      </c>
      <c r="C133" s="133" t="s">
        <v>539</v>
      </c>
      <c r="D133" s="133" t="s">
        <v>540</v>
      </c>
      <c r="E133" s="10" t="s">
        <v>576</v>
      </c>
      <c r="F133" s="112">
        <v>3.26</v>
      </c>
      <c r="G133" s="145">
        <v>2.44</v>
      </c>
      <c r="H133" s="145">
        <v>3.0</v>
      </c>
      <c r="I133" s="115">
        <f t="shared" si="13"/>
        <v>2.9</v>
      </c>
      <c r="J133" s="271" t="s">
        <v>18</v>
      </c>
      <c r="L133" s="6">
        <v>1.0</v>
      </c>
    </row>
    <row r="134" ht="14.25" customHeight="1">
      <c r="A134" s="143">
        <v>23.0</v>
      </c>
      <c r="B134" s="140" t="s">
        <v>1130</v>
      </c>
      <c r="C134" s="133" t="s">
        <v>542</v>
      </c>
      <c r="D134" s="139" t="s">
        <v>540</v>
      </c>
      <c r="E134" s="10" t="s">
        <v>576</v>
      </c>
      <c r="F134" s="112">
        <v>4.64</v>
      </c>
      <c r="G134" s="145">
        <v>5.0</v>
      </c>
      <c r="H134" s="145">
        <v>5.65</v>
      </c>
      <c r="I134" s="115">
        <f t="shared" si="13"/>
        <v>5.096666667</v>
      </c>
      <c r="J134" s="272" t="s">
        <v>577</v>
      </c>
      <c r="K134" s="6">
        <v>1.0</v>
      </c>
    </row>
    <row r="135" ht="14.25" customHeight="1">
      <c r="A135" s="143">
        <v>24.0</v>
      </c>
      <c r="B135" s="140" t="s">
        <v>1131</v>
      </c>
      <c r="C135" s="133" t="s">
        <v>539</v>
      </c>
      <c r="D135" s="139" t="s">
        <v>540</v>
      </c>
      <c r="E135" s="10" t="s">
        <v>576</v>
      </c>
      <c r="F135" s="112">
        <v>5.0</v>
      </c>
      <c r="G135" s="145">
        <v>4.67</v>
      </c>
      <c r="H135" s="145">
        <v>4.98</v>
      </c>
      <c r="I135" s="115">
        <f t="shared" si="13"/>
        <v>4.883333333</v>
      </c>
      <c r="J135" s="272" t="s">
        <v>577</v>
      </c>
      <c r="K135" s="6">
        <v>1.0</v>
      </c>
    </row>
    <row r="136" ht="14.25" customHeight="1">
      <c r="A136" s="143">
        <v>25.0</v>
      </c>
      <c r="B136" s="140" t="s">
        <v>1132</v>
      </c>
      <c r="C136" s="133" t="s">
        <v>539</v>
      </c>
      <c r="D136" s="139" t="s">
        <v>540</v>
      </c>
      <c r="E136" s="10" t="s">
        <v>576</v>
      </c>
      <c r="F136" s="112">
        <v>6.28</v>
      </c>
      <c r="G136" s="145">
        <v>5.58</v>
      </c>
      <c r="H136" s="145">
        <v>6.0</v>
      </c>
      <c r="I136" s="115">
        <f t="shared" si="13"/>
        <v>5.953333333</v>
      </c>
      <c r="J136" s="272" t="s">
        <v>577</v>
      </c>
      <c r="K136" s="6">
        <v>1.0</v>
      </c>
    </row>
    <row r="137" ht="14.25" customHeight="1">
      <c r="A137" s="143">
        <v>26.0</v>
      </c>
      <c r="B137" s="224" t="s">
        <v>1133</v>
      </c>
      <c r="C137" s="133" t="s">
        <v>546</v>
      </c>
      <c r="D137" s="139" t="s">
        <v>540</v>
      </c>
      <c r="E137" s="10" t="s">
        <v>576</v>
      </c>
      <c r="F137" s="112">
        <v>4.78</v>
      </c>
      <c r="G137" s="145">
        <v>6.0</v>
      </c>
      <c r="H137" s="145">
        <v>5.79</v>
      </c>
      <c r="I137" s="115">
        <f t="shared" si="13"/>
        <v>5.523333333</v>
      </c>
      <c r="J137" s="272" t="s">
        <v>577</v>
      </c>
      <c r="K137" s="6">
        <v>1.0</v>
      </c>
    </row>
    <row r="138" ht="14.25" customHeight="1">
      <c r="A138" s="143">
        <v>27.0</v>
      </c>
      <c r="B138" s="140" t="s">
        <v>1134</v>
      </c>
      <c r="C138" s="133" t="s">
        <v>539</v>
      </c>
      <c r="D138" s="139" t="s">
        <v>540</v>
      </c>
      <c r="E138" s="10" t="s">
        <v>576</v>
      </c>
      <c r="F138" s="112">
        <v>2.85</v>
      </c>
      <c r="G138" s="145">
        <v>1.67</v>
      </c>
      <c r="H138" s="145">
        <v>2.0</v>
      </c>
      <c r="I138" s="115">
        <f t="shared" si="13"/>
        <v>2.173333333</v>
      </c>
      <c r="J138" s="271" t="s">
        <v>18</v>
      </c>
      <c r="L138" s="6">
        <v>1.0</v>
      </c>
    </row>
    <row r="139" ht="14.25" customHeight="1">
      <c r="A139" s="143">
        <v>28.0</v>
      </c>
      <c r="B139" s="140" t="s">
        <v>1135</v>
      </c>
      <c r="C139" s="133" t="s">
        <v>546</v>
      </c>
      <c r="D139" s="139" t="s">
        <v>540</v>
      </c>
      <c r="E139" s="10" t="s">
        <v>576</v>
      </c>
      <c r="F139" s="145">
        <v>3.87</v>
      </c>
      <c r="G139" s="145">
        <v>4.44</v>
      </c>
      <c r="H139" s="145">
        <v>5.94</v>
      </c>
      <c r="I139" s="115">
        <f t="shared" si="13"/>
        <v>4.75</v>
      </c>
      <c r="J139" s="272" t="s">
        <v>577</v>
      </c>
      <c r="K139" s="6">
        <v>1.0</v>
      </c>
    </row>
    <row r="140" ht="14.25" customHeight="1">
      <c r="A140" s="143">
        <v>29.0</v>
      </c>
      <c r="B140" s="224" t="s">
        <v>1136</v>
      </c>
      <c r="C140" s="133" t="s">
        <v>550</v>
      </c>
      <c r="D140" s="139" t="s">
        <v>540</v>
      </c>
      <c r="E140" s="10" t="s">
        <v>576</v>
      </c>
      <c r="F140" s="145">
        <v>1.43</v>
      </c>
      <c r="G140" s="145">
        <v>2.89</v>
      </c>
      <c r="H140" s="145">
        <v>3.0</v>
      </c>
      <c r="I140" s="115">
        <f t="shared" si="13"/>
        <v>2.44</v>
      </c>
      <c r="J140" s="271" t="s">
        <v>18</v>
      </c>
      <c r="L140" s="6">
        <v>1.0</v>
      </c>
    </row>
    <row r="141" ht="14.25" customHeight="1">
      <c r="A141" s="143">
        <v>30.0</v>
      </c>
      <c r="B141" s="140" t="s">
        <v>1137</v>
      </c>
      <c r="C141" s="133" t="s">
        <v>539</v>
      </c>
      <c r="D141" s="139" t="s">
        <v>540</v>
      </c>
      <c r="E141" s="18" t="s">
        <v>576</v>
      </c>
      <c r="F141" s="145">
        <v>5.76</v>
      </c>
      <c r="G141" s="145">
        <v>6.0</v>
      </c>
      <c r="H141" s="145">
        <v>6.58</v>
      </c>
      <c r="I141" s="115">
        <f t="shared" si="13"/>
        <v>6.113333333</v>
      </c>
      <c r="J141" s="272" t="s">
        <v>577</v>
      </c>
      <c r="K141" s="6">
        <v>1.0</v>
      </c>
    </row>
    <row r="142" ht="14.25" customHeight="1">
      <c r="A142" s="143">
        <v>31.0</v>
      </c>
      <c r="B142" s="140" t="s">
        <v>1138</v>
      </c>
      <c r="C142" s="133" t="s">
        <v>546</v>
      </c>
      <c r="D142" s="139" t="s">
        <v>540</v>
      </c>
      <c r="E142" s="18" t="s">
        <v>576</v>
      </c>
      <c r="F142" s="135">
        <v>6.67</v>
      </c>
      <c r="G142" s="145">
        <v>5.44</v>
      </c>
      <c r="H142" s="145">
        <v>4.66</v>
      </c>
      <c r="I142" s="115">
        <f t="shared" si="13"/>
        <v>5.59</v>
      </c>
      <c r="J142" s="272" t="s">
        <v>577</v>
      </c>
      <c r="K142" s="6">
        <v>1.0</v>
      </c>
    </row>
    <row r="143" ht="14.25" customHeight="1">
      <c r="A143" s="143">
        <v>32.0</v>
      </c>
      <c r="B143" s="224" t="s">
        <v>1139</v>
      </c>
      <c r="C143" s="133" t="s">
        <v>555</v>
      </c>
      <c r="D143" s="139" t="s">
        <v>540</v>
      </c>
      <c r="E143" s="18" t="s">
        <v>576</v>
      </c>
      <c r="F143" s="112">
        <v>4.1</v>
      </c>
      <c r="G143" s="145">
        <v>4.56</v>
      </c>
      <c r="H143" s="145">
        <v>5.98</v>
      </c>
      <c r="I143" s="115">
        <f t="shared" si="13"/>
        <v>4.88</v>
      </c>
      <c r="J143" s="272" t="s">
        <v>577</v>
      </c>
      <c r="K143" s="6">
        <v>1.0</v>
      </c>
    </row>
    <row r="144" ht="14.25" customHeight="1">
      <c r="A144" s="143">
        <v>33.0</v>
      </c>
      <c r="B144" s="140" t="s">
        <v>1140</v>
      </c>
      <c r="C144" s="133" t="s">
        <v>539</v>
      </c>
      <c r="D144" s="139" t="s">
        <v>540</v>
      </c>
      <c r="E144" s="18" t="s">
        <v>576</v>
      </c>
      <c r="F144" s="112">
        <v>2.96</v>
      </c>
      <c r="G144" s="145">
        <v>2.44</v>
      </c>
      <c r="H144" s="145">
        <v>3.77</v>
      </c>
      <c r="I144" s="115">
        <f t="shared" si="13"/>
        <v>3.056666667</v>
      </c>
      <c r="J144" s="271" t="s">
        <v>18</v>
      </c>
      <c r="L144" s="6">
        <v>1.0</v>
      </c>
    </row>
    <row r="145" ht="14.25" customHeight="1">
      <c r="A145" s="143">
        <v>34.0</v>
      </c>
      <c r="B145" s="140" t="s">
        <v>1141</v>
      </c>
      <c r="C145" s="133" t="s">
        <v>546</v>
      </c>
      <c r="D145" s="139" t="s">
        <v>540</v>
      </c>
      <c r="E145" s="18" t="s">
        <v>576</v>
      </c>
      <c r="F145" s="112">
        <v>1.42</v>
      </c>
      <c r="G145" s="145">
        <v>2.78</v>
      </c>
      <c r="H145" s="145">
        <v>3.33</v>
      </c>
      <c r="I145" s="115">
        <f t="shared" si="13"/>
        <v>2.51</v>
      </c>
      <c r="J145" s="271" t="s">
        <v>18</v>
      </c>
      <c r="L145" s="6">
        <v>1.0</v>
      </c>
    </row>
    <row r="146" ht="14.25" customHeight="1">
      <c r="A146" s="143">
        <v>35.0</v>
      </c>
      <c r="B146" s="140" t="s">
        <v>1142</v>
      </c>
      <c r="C146" s="133" t="s">
        <v>539</v>
      </c>
      <c r="D146" s="139" t="s">
        <v>540</v>
      </c>
      <c r="E146" s="18" t="s">
        <v>576</v>
      </c>
      <c r="F146" s="112">
        <v>2.71</v>
      </c>
      <c r="G146" s="145">
        <v>3.69</v>
      </c>
      <c r="H146" s="145">
        <v>4.48</v>
      </c>
      <c r="I146" s="115">
        <f t="shared" si="13"/>
        <v>3.626666667</v>
      </c>
      <c r="J146" s="271" t="s">
        <v>18</v>
      </c>
      <c r="L146" s="6">
        <v>1.0</v>
      </c>
    </row>
    <row r="147" ht="14.25" customHeight="1">
      <c r="A147" s="131">
        <v>36.0</v>
      </c>
      <c r="B147" s="140" t="s">
        <v>1143</v>
      </c>
      <c r="C147" s="133" t="s">
        <v>539</v>
      </c>
      <c r="D147" s="133" t="s">
        <v>540</v>
      </c>
      <c r="E147" s="18" t="s">
        <v>576</v>
      </c>
      <c r="F147" s="112">
        <v>4.46</v>
      </c>
      <c r="G147" s="145">
        <v>5.89</v>
      </c>
      <c r="H147" s="145">
        <v>5.0</v>
      </c>
      <c r="I147" s="115">
        <f t="shared" si="13"/>
        <v>5.116666667</v>
      </c>
      <c r="J147" s="272" t="s">
        <v>577</v>
      </c>
      <c r="K147" s="6">
        <v>1.0</v>
      </c>
    </row>
    <row r="148" ht="14.25" customHeight="1">
      <c r="A148" s="143">
        <v>37.0</v>
      </c>
      <c r="B148" s="140" t="s">
        <v>1144</v>
      </c>
      <c r="C148" s="133" t="s">
        <v>539</v>
      </c>
      <c r="D148" s="139" t="s">
        <v>540</v>
      </c>
      <c r="E148" s="18" t="s">
        <v>576</v>
      </c>
      <c r="F148" s="112">
        <v>5.33</v>
      </c>
      <c r="G148" s="135">
        <v>4.26</v>
      </c>
      <c r="H148" s="135">
        <v>6.64</v>
      </c>
      <c r="I148" s="115">
        <f t="shared" si="13"/>
        <v>5.41</v>
      </c>
      <c r="J148" s="134" t="s">
        <v>577</v>
      </c>
      <c r="K148" s="6">
        <v>1.0</v>
      </c>
    </row>
    <row r="149" ht="14.25" customHeight="1">
      <c r="A149" s="143">
        <v>38.0</v>
      </c>
      <c r="B149" s="140" t="s">
        <v>1145</v>
      </c>
      <c r="C149" s="133" t="s">
        <v>539</v>
      </c>
      <c r="D149" s="139" t="s">
        <v>540</v>
      </c>
      <c r="E149" s="18" t="s">
        <v>576</v>
      </c>
      <c r="F149" s="112">
        <v>1.26</v>
      </c>
      <c r="G149" s="145">
        <v>2.44</v>
      </c>
      <c r="H149" s="145">
        <v>2.56</v>
      </c>
      <c r="I149" s="115">
        <f t="shared" si="13"/>
        <v>2.086666667</v>
      </c>
      <c r="J149" s="271" t="s">
        <v>18</v>
      </c>
      <c r="L149" s="6">
        <v>1.0</v>
      </c>
    </row>
    <row r="150" ht="14.25" customHeight="1">
      <c r="A150" s="143">
        <v>39.0</v>
      </c>
      <c r="B150" s="140" t="s">
        <v>1146</v>
      </c>
      <c r="C150" s="133" t="s">
        <v>555</v>
      </c>
      <c r="D150" s="139" t="s">
        <v>540</v>
      </c>
      <c r="E150" s="10" t="s">
        <v>576</v>
      </c>
      <c r="F150" s="112">
        <v>4.64</v>
      </c>
      <c r="G150" s="145">
        <v>5.0</v>
      </c>
      <c r="H150" s="145">
        <v>6.65</v>
      </c>
      <c r="I150" s="115">
        <f t="shared" si="13"/>
        <v>5.43</v>
      </c>
      <c r="J150" s="272" t="s">
        <v>577</v>
      </c>
      <c r="K150" s="6">
        <v>1.0</v>
      </c>
    </row>
    <row r="151" ht="14.25" customHeight="1">
      <c r="A151" s="143">
        <v>40.0</v>
      </c>
      <c r="B151" s="140" t="s">
        <v>1147</v>
      </c>
      <c r="C151" s="133" t="s">
        <v>550</v>
      </c>
      <c r="D151" s="139" t="s">
        <v>540</v>
      </c>
      <c r="E151" s="18" t="s">
        <v>576</v>
      </c>
      <c r="F151" s="112">
        <v>5.0</v>
      </c>
      <c r="G151" s="145">
        <v>4.67</v>
      </c>
      <c r="H151" s="145">
        <v>5.98</v>
      </c>
      <c r="I151" s="115">
        <f t="shared" si="13"/>
        <v>5.216666667</v>
      </c>
      <c r="J151" s="272" t="s">
        <v>577</v>
      </c>
      <c r="K151" s="6">
        <v>1.0</v>
      </c>
    </row>
    <row r="152" ht="14.25" customHeight="1">
      <c r="A152" s="143">
        <v>41.0</v>
      </c>
      <c r="B152" s="140" t="s">
        <v>1148</v>
      </c>
      <c r="C152" s="133" t="s">
        <v>539</v>
      </c>
      <c r="D152" s="139" t="s">
        <v>540</v>
      </c>
      <c r="E152" s="10" t="s">
        <v>576</v>
      </c>
      <c r="F152" s="112">
        <v>4.28</v>
      </c>
      <c r="G152" s="145">
        <v>5.58</v>
      </c>
      <c r="H152" s="145">
        <v>6.0</v>
      </c>
      <c r="I152" s="115">
        <f t="shared" si="13"/>
        <v>5.286666667</v>
      </c>
      <c r="J152" s="272" t="s">
        <v>577</v>
      </c>
      <c r="K152" s="6">
        <v>1.0</v>
      </c>
    </row>
    <row r="153" ht="14.25" customHeight="1">
      <c r="A153" s="143">
        <v>42.0</v>
      </c>
      <c r="B153" s="140" t="s">
        <v>1149</v>
      </c>
      <c r="C153" s="133" t="s">
        <v>539</v>
      </c>
      <c r="D153" s="139" t="s">
        <v>540</v>
      </c>
      <c r="E153" s="18" t="s">
        <v>576</v>
      </c>
      <c r="F153" s="112">
        <v>2.96</v>
      </c>
      <c r="G153" s="145">
        <v>2.44</v>
      </c>
      <c r="H153" s="145">
        <v>3.77</v>
      </c>
      <c r="I153" s="115">
        <f t="shared" si="13"/>
        <v>3.056666667</v>
      </c>
      <c r="J153" s="271" t="s">
        <v>18</v>
      </c>
      <c r="L153" s="6">
        <v>1.0</v>
      </c>
    </row>
    <row r="154" ht="14.25" customHeight="1">
      <c r="A154" s="143">
        <v>43.0</v>
      </c>
      <c r="B154" s="140" t="s">
        <v>1150</v>
      </c>
      <c r="C154" s="133" t="s">
        <v>546</v>
      </c>
      <c r="D154" s="139" t="s">
        <v>540</v>
      </c>
      <c r="E154" s="18" t="s">
        <v>576</v>
      </c>
      <c r="F154" s="112">
        <v>1.42</v>
      </c>
      <c r="G154" s="145">
        <v>2.78</v>
      </c>
      <c r="H154" s="145">
        <v>3.33</v>
      </c>
      <c r="I154" s="115">
        <f t="shared" si="13"/>
        <v>2.51</v>
      </c>
      <c r="J154" s="271" t="s">
        <v>18</v>
      </c>
      <c r="L154" s="6">
        <v>1.0</v>
      </c>
    </row>
    <row r="155" ht="14.25" customHeight="1">
      <c r="A155" s="273"/>
      <c r="B155" s="274"/>
      <c r="C155" s="274"/>
      <c r="D155" s="274"/>
      <c r="E155" s="275"/>
      <c r="F155" s="276"/>
      <c r="G155" s="276"/>
      <c r="H155" s="276"/>
      <c r="I155" s="263"/>
      <c r="J155" s="277"/>
      <c r="K155" s="16">
        <f t="shared" ref="K155:M155" si="14">SUM(K112:K154)</f>
        <v>24</v>
      </c>
      <c r="L155" s="16">
        <f t="shared" si="14"/>
        <v>18</v>
      </c>
      <c r="M155" s="16">
        <f t="shared" si="14"/>
        <v>1</v>
      </c>
    </row>
    <row r="156" ht="14.25" customHeight="1">
      <c r="A156" s="278"/>
      <c r="B156" s="279"/>
      <c r="C156" s="279"/>
      <c r="D156" s="279"/>
      <c r="E156" s="279"/>
      <c r="F156" s="279"/>
      <c r="G156" s="279"/>
      <c r="H156" s="279"/>
      <c r="I156" s="237"/>
      <c r="J156" s="137"/>
      <c r="K156" s="17">
        <f>K155/A154</f>
        <v>0.5581395349</v>
      </c>
      <c r="L156" s="17">
        <f>L155/A154</f>
        <v>0.4186046512</v>
      </c>
      <c r="M156" s="17">
        <f>M155/A154</f>
        <v>0.02325581395</v>
      </c>
    </row>
    <row r="157" ht="14.25" customHeight="1">
      <c r="A157" s="280" t="s">
        <v>1151</v>
      </c>
      <c r="B157" s="121"/>
      <c r="C157" s="121"/>
      <c r="D157" s="121"/>
      <c r="E157" s="121"/>
      <c r="F157" s="121"/>
      <c r="G157" s="121"/>
      <c r="H157" s="121"/>
      <c r="I157" s="239"/>
      <c r="J157" s="137"/>
    </row>
    <row r="158" ht="14.25" customHeight="1">
      <c r="A158" s="140">
        <v>1.0</v>
      </c>
      <c r="B158" s="281" t="s">
        <v>118</v>
      </c>
      <c r="C158" s="282" t="s">
        <v>1152</v>
      </c>
      <c r="D158" s="282" t="s">
        <v>1153</v>
      </c>
      <c r="E158" s="144" t="s">
        <v>576</v>
      </c>
      <c r="F158" s="144">
        <v>4.87</v>
      </c>
      <c r="G158" s="144">
        <v>3.1</v>
      </c>
      <c r="H158" s="144">
        <v>3.45</v>
      </c>
      <c r="I158" s="40">
        <f t="shared" ref="I158:I173" si="15">((F158+H158+G158)/3)</f>
        <v>3.806666667</v>
      </c>
      <c r="J158" s="144" t="s">
        <v>577</v>
      </c>
      <c r="K158" s="6">
        <v>1.0</v>
      </c>
    </row>
    <row r="159" ht="14.25" customHeight="1">
      <c r="A159" s="202">
        <v>2.0</v>
      </c>
      <c r="B159" s="202" t="s">
        <v>1154</v>
      </c>
      <c r="C159" s="202" t="s">
        <v>559</v>
      </c>
      <c r="D159" s="202" t="s">
        <v>1153</v>
      </c>
      <c r="E159" s="202" t="s">
        <v>576</v>
      </c>
      <c r="F159" s="283">
        <v>3.79</v>
      </c>
      <c r="G159" s="283">
        <v>2.35</v>
      </c>
      <c r="H159" s="283">
        <v>3.15</v>
      </c>
      <c r="I159" s="40">
        <f t="shared" si="15"/>
        <v>3.096666667</v>
      </c>
      <c r="J159" s="284" t="s">
        <v>18</v>
      </c>
      <c r="L159" s="6">
        <v>1.0</v>
      </c>
    </row>
    <row r="160" ht="14.25" customHeight="1">
      <c r="A160" s="285">
        <v>3.0</v>
      </c>
      <c r="B160" s="282" t="s">
        <v>1155</v>
      </c>
      <c r="C160" s="282" t="s">
        <v>1152</v>
      </c>
      <c r="D160" s="282" t="s">
        <v>1153</v>
      </c>
      <c r="E160" s="282" t="s">
        <v>576</v>
      </c>
      <c r="F160" s="286">
        <v>5.37</v>
      </c>
      <c r="G160" s="286">
        <v>6.67</v>
      </c>
      <c r="H160" s="286">
        <v>5.12</v>
      </c>
      <c r="I160" s="40">
        <f t="shared" si="15"/>
        <v>5.72</v>
      </c>
      <c r="J160" s="282" t="s">
        <v>577</v>
      </c>
      <c r="K160" s="6">
        <v>1.0</v>
      </c>
    </row>
    <row r="161" ht="14.25" customHeight="1">
      <c r="A161" s="285">
        <v>4.0</v>
      </c>
      <c r="B161" s="282" t="s">
        <v>1156</v>
      </c>
      <c r="C161" s="282" t="s">
        <v>1152</v>
      </c>
      <c r="D161" s="282" t="s">
        <v>1153</v>
      </c>
      <c r="E161" s="282" t="s">
        <v>576</v>
      </c>
      <c r="F161" s="286">
        <v>3.96</v>
      </c>
      <c r="G161" s="286">
        <v>4.72</v>
      </c>
      <c r="H161" s="286">
        <v>4.88</v>
      </c>
      <c r="I161" s="40">
        <f t="shared" si="15"/>
        <v>4.52</v>
      </c>
      <c r="J161" s="282" t="s">
        <v>577</v>
      </c>
      <c r="K161" s="6">
        <v>1.0</v>
      </c>
    </row>
    <row r="162" ht="14.25" customHeight="1">
      <c r="A162" s="285">
        <v>5.0</v>
      </c>
      <c r="B162" s="282" t="s">
        <v>1157</v>
      </c>
      <c r="C162" s="282" t="s">
        <v>1152</v>
      </c>
      <c r="D162" s="282" t="s">
        <v>1153</v>
      </c>
      <c r="E162" s="282" t="s">
        <v>576</v>
      </c>
      <c r="F162" s="286">
        <v>4.12</v>
      </c>
      <c r="G162" s="286">
        <v>3.64</v>
      </c>
      <c r="H162" s="286">
        <v>2.75</v>
      </c>
      <c r="I162" s="40">
        <f t="shared" si="15"/>
        <v>3.503333333</v>
      </c>
      <c r="J162" s="287" t="s">
        <v>18</v>
      </c>
      <c r="L162" s="6">
        <v>1.0</v>
      </c>
    </row>
    <row r="163" ht="14.25" customHeight="1">
      <c r="A163" s="285">
        <v>6.0</v>
      </c>
      <c r="B163" s="282" t="s">
        <v>1158</v>
      </c>
      <c r="C163" s="282" t="s">
        <v>1159</v>
      </c>
      <c r="D163" s="282" t="s">
        <v>1153</v>
      </c>
      <c r="E163" s="282" t="s">
        <v>576</v>
      </c>
      <c r="F163" s="286">
        <v>5.54</v>
      </c>
      <c r="G163" s="286">
        <v>6.87</v>
      </c>
      <c r="H163" s="286">
        <v>6.5</v>
      </c>
      <c r="I163" s="40">
        <f t="shared" si="15"/>
        <v>6.303333333</v>
      </c>
      <c r="J163" s="282" t="s">
        <v>577</v>
      </c>
      <c r="K163" s="6">
        <v>1.0</v>
      </c>
    </row>
    <row r="164" ht="14.25" customHeight="1">
      <c r="A164" s="285">
        <v>7.0</v>
      </c>
      <c r="B164" s="282" t="s">
        <v>1160</v>
      </c>
      <c r="C164" s="282" t="s">
        <v>1159</v>
      </c>
      <c r="D164" s="282" t="s">
        <v>1153</v>
      </c>
      <c r="E164" s="282" t="s">
        <v>576</v>
      </c>
      <c r="F164" s="286">
        <v>2.37</v>
      </c>
      <c r="G164" s="286">
        <v>2.85</v>
      </c>
      <c r="H164" s="286">
        <v>2.89</v>
      </c>
      <c r="I164" s="40">
        <f t="shared" si="15"/>
        <v>2.703333333</v>
      </c>
      <c r="J164" s="287" t="s">
        <v>18</v>
      </c>
      <c r="L164" s="6">
        <v>1.0</v>
      </c>
    </row>
    <row r="165" ht="14.25" customHeight="1">
      <c r="A165" s="285">
        <v>8.0</v>
      </c>
      <c r="B165" s="282" t="s">
        <v>1161</v>
      </c>
      <c r="C165" s="282" t="s">
        <v>559</v>
      </c>
      <c r="D165" s="282" t="s">
        <v>1153</v>
      </c>
      <c r="E165" s="282" t="s">
        <v>576</v>
      </c>
      <c r="F165" s="286">
        <v>4.83</v>
      </c>
      <c r="G165" s="286">
        <v>4.3</v>
      </c>
      <c r="H165" s="286">
        <v>5.03</v>
      </c>
      <c r="I165" s="40">
        <f t="shared" si="15"/>
        <v>4.72</v>
      </c>
      <c r="J165" s="282" t="s">
        <v>577</v>
      </c>
      <c r="K165" s="6">
        <v>1.0</v>
      </c>
    </row>
    <row r="166" ht="14.25" customHeight="1">
      <c r="A166" s="285">
        <v>9.0</v>
      </c>
      <c r="B166" s="282" t="s">
        <v>1162</v>
      </c>
      <c r="C166" s="282" t="s">
        <v>1163</v>
      </c>
      <c r="D166" s="282" t="s">
        <v>1153</v>
      </c>
      <c r="E166" s="282" t="s">
        <v>576</v>
      </c>
      <c r="F166" s="286">
        <v>2.78</v>
      </c>
      <c r="G166" s="286">
        <v>3.28</v>
      </c>
      <c r="H166" s="286">
        <v>3.67</v>
      </c>
      <c r="I166" s="40">
        <f t="shared" si="15"/>
        <v>3.243333333</v>
      </c>
      <c r="J166" s="287" t="s">
        <v>18</v>
      </c>
      <c r="L166" s="6">
        <v>1.0</v>
      </c>
    </row>
    <row r="167" ht="14.25" customHeight="1">
      <c r="A167" s="285">
        <v>10.0</v>
      </c>
      <c r="B167" s="282" t="s">
        <v>1164</v>
      </c>
      <c r="C167" s="282" t="s">
        <v>1165</v>
      </c>
      <c r="D167" s="282" t="s">
        <v>1153</v>
      </c>
      <c r="E167" s="282" t="s">
        <v>576</v>
      </c>
      <c r="F167" s="286">
        <v>5.35</v>
      </c>
      <c r="G167" s="286">
        <v>5.01</v>
      </c>
      <c r="H167" s="286">
        <v>6.05</v>
      </c>
      <c r="I167" s="40">
        <f t="shared" si="15"/>
        <v>5.47</v>
      </c>
      <c r="J167" s="282" t="s">
        <v>577</v>
      </c>
      <c r="K167" s="6">
        <v>1.0</v>
      </c>
    </row>
    <row r="168" ht="14.25" customHeight="1">
      <c r="A168" s="285">
        <v>11.0</v>
      </c>
      <c r="B168" s="282" t="s">
        <v>1166</v>
      </c>
      <c r="C168" s="282" t="s">
        <v>1159</v>
      </c>
      <c r="D168" s="282" t="s">
        <v>1153</v>
      </c>
      <c r="E168" s="282" t="s">
        <v>576</v>
      </c>
      <c r="F168" s="286">
        <v>6.54</v>
      </c>
      <c r="G168" s="286">
        <v>7.5</v>
      </c>
      <c r="H168" s="286">
        <v>5.63</v>
      </c>
      <c r="I168" s="40">
        <f t="shared" si="15"/>
        <v>6.556666667</v>
      </c>
      <c r="J168" s="282" t="s">
        <v>577</v>
      </c>
      <c r="K168" s="6">
        <v>1.0</v>
      </c>
    </row>
    <row r="169" ht="14.25" customHeight="1">
      <c r="A169" s="285">
        <v>12.0</v>
      </c>
      <c r="B169" s="282" t="s">
        <v>1167</v>
      </c>
      <c r="C169" s="282" t="s">
        <v>1168</v>
      </c>
      <c r="D169" s="282" t="s">
        <v>1153</v>
      </c>
      <c r="E169" s="282" t="s">
        <v>576</v>
      </c>
      <c r="F169" s="286">
        <v>5.29</v>
      </c>
      <c r="G169" s="286">
        <v>3.6</v>
      </c>
      <c r="H169" s="286">
        <v>4.89</v>
      </c>
      <c r="I169" s="40">
        <f t="shared" si="15"/>
        <v>4.593333333</v>
      </c>
      <c r="J169" s="282" t="s">
        <v>577</v>
      </c>
      <c r="K169" s="6">
        <v>1.0</v>
      </c>
    </row>
    <row r="170" ht="14.25" customHeight="1">
      <c r="A170" s="285">
        <v>13.0</v>
      </c>
      <c r="B170" s="282" t="s">
        <v>1169</v>
      </c>
      <c r="C170" s="282" t="s">
        <v>1159</v>
      </c>
      <c r="D170" s="282" t="s">
        <v>1153</v>
      </c>
      <c r="E170" s="282" t="s">
        <v>576</v>
      </c>
      <c r="F170" s="286">
        <v>2.35</v>
      </c>
      <c r="G170" s="286">
        <v>2.09</v>
      </c>
      <c r="H170" s="286">
        <v>3.12</v>
      </c>
      <c r="I170" s="40">
        <f t="shared" si="15"/>
        <v>2.52</v>
      </c>
      <c r="J170" s="287" t="s">
        <v>18</v>
      </c>
      <c r="L170" s="6">
        <v>1.0</v>
      </c>
    </row>
    <row r="171" ht="14.25" customHeight="1">
      <c r="A171" s="285">
        <v>14.0</v>
      </c>
      <c r="B171" s="282" t="s">
        <v>1170</v>
      </c>
      <c r="C171" s="282" t="s">
        <v>1159</v>
      </c>
      <c r="D171" s="282" t="s">
        <v>1153</v>
      </c>
      <c r="E171" s="282" t="s">
        <v>576</v>
      </c>
      <c r="F171" s="286">
        <v>3.5</v>
      </c>
      <c r="G171" s="286">
        <v>3.16</v>
      </c>
      <c r="H171" s="286">
        <v>3.04</v>
      </c>
      <c r="I171" s="40">
        <f t="shared" si="15"/>
        <v>3.233333333</v>
      </c>
      <c r="J171" s="287" t="s">
        <v>18</v>
      </c>
      <c r="L171" s="6">
        <v>1.0</v>
      </c>
    </row>
    <row r="172" ht="14.25" customHeight="1">
      <c r="A172" s="285">
        <v>15.0</v>
      </c>
      <c r="B172" s="282" t="s">
        <v>1171</v>
      </c>
      <c r="C172" s="282" t="s">
        <v>1152</v>
      </c>
      <c r="D172" s="282" t="s">
        <v>1153</v>
      </c>
      <c r="E172" s="282" t="s">
        <v>576</v>
      </c>
      <c r="F172" s="286">
        <v>2.15</v>
      </c>
      <c r="G172" s="286">
        <v>1.47</v>
      </c>
      <c r="H172" s="286">
        <v>1.21</v>
      </c>
      <c r="I172" s="40">
        <f t="shared" si="15"/>
        <v>1.61</v>
      </c>
      <c r="J172" s="284" t="s">
        <v>18</v>
      </c>
      <c r="K172" s="266"/>
      <c r="L172" s="6">
        <v>1.0</v>
      </c>
    </row>
    <row r="173" ht="14.25" customHeight="1">
      <c r="A173" s="285">
        <v>16.0</v>
      </c>
      <c r="B173" s="282" t="s">
        <v>492</v>
      </c>
      <c r="C173" s="282" t="s">
        <v>1152</v>
      </c>
      <c r="D173" s="282" t="s">
        <v>1153</v>
      </c>
      <c r="E173" s="282" t="s">
        <v>576</v>
      </c>
      <c r="F173" s="286">
        <v>2.75</v>
      </c>
      <c r="G173" s="286">
        <v>2.33</v>
      </c>
      <c r="H173" s="286">
        <v>1.15</v>
      </c>
      <c r="I173" s="40">
        <f t="shared" si="15"/>
        <v>2.076666667</v>
      </c>
      <c r="J173" s="284" t="s">
        <v>89</v>
      </c>
      <c r="K173" s="266"/>
      <c r="L173" s="6">
        <v>1.0</v>
      </c>
    </row>
    <row r="174" ht="14.25" customHeight="1">
      <c r="A174" s="288"/>
      <c r="B174" s="289"/>
      <c r="C174" s="289"/>
      <c r="D174" s="289"/>
      <c r="E174" s="289"/>
      <c r="F174" s="290"/>
      <c r="G174" s="290"/>
      <c r="H174" s="290"/>
      <c r="I174" s="291"/>
      <c r="J174" s="35"/>
      <c r="K174" s="266">
        <f t="shared" ref="K174:L174" si="16">SUM(K158:K173)</f>
        <v>8</v>
      </c>
      <c r="L174" s="6">
        <f t="shared" si="16"/>
        <v>8</v>
      </c>
    </row>
    <row r="175" ht="14.25" customHeight="1">
      <c r="A175" s="292"/>
      <c r="B175" s="293"/>
      <c r="C175" s="293"/>
      <c r="D175" s="293"/>
      <c r="E175" s="293"/>
      <c r="F175" s="294"/>
      <c r="G175" s="294"/>
      <c r="H175" s="294"/>
      <c r="I175" s="291"/>
      <c r="J175" s="35"/>
      <c r="K175" s="295">
        <f>K174/A173</f>
        <v>0.5</v>
      </c>
      <c r="L175" s="17">
        <f>L174/A173</f>
        <v>0.5</v>
      </c>
    </row>
    <row r="176" ht="14.25" customHeight="1">
      <c r="A176" s="296"/>
      <c r="B176" s="297"/>
      <c r="C176" s="297"/>
      <c r="D176" s="297"/>
      <c r="E176" s="297"/>
      <c r="F176" s="298"/>
      <c r="G176" s="298"/>
      <c r="H176" s="298"/>
      <c r="I176" s="115"/>
      <c r="J176" s="36"/>
      <c r="K176" s="266"/>
    </row>
    <row r="177" ht="14.25" customHeight="1">
      <c r="A177" s="299" t="s">
        <v>7</v>
      </c>
      <c r="B177" s="300" t="s">
        <v>1172</v>
      </c>
      <c r="C177" s="300" t="s">
        <v>1173</v>
      </c>
      <c r="D177" s="300" t="s">
        <v>674</v>
      </c>
      <c r="E177" s="300" t="s">
        <v>605</v>
      </c>
      <c r="F177" s="300" t="s">
        <v>1174</v>
      </c>
      <c r="G177" s="300" t="s">
        <v>1175</v>
      </c>
      <c r="H177" s="300" t="s">
        <v>1176</v>
      </c>
      <c r="I177" s="300" t="s">
        <v>1177</v>
      </c>
      <c r="J177" s="301" t="s">
        <v>1178</v>
      </c>
      <c r="K177" s="189"/>
    </row>
    <row r="178" ht="14.25" customHeight="1">
      <c r="A178" s="302">
        <v>1.0</v>
      </c>
      <c r="B178" s="81" t="s">
        <v>1179</v>
      </c>
      <c r="C178" s="139" t="s">
        <v>1180</v>
      </c>
      <c r="D178" s="139" t="s">
        <v>1181</v>
      </c>
      <c r="E178" s="144" t="s">
        <v>576</v>
      </c>
      <c r="F178" s="40">
        <v>4.57</v>
      </c>
      <c r="G178" s="40">
        <v>5.96</v>
      </c>
      <c r="H178" s="40">
        <v>4.32</v>
      </c>
      <c r="I178" s="115">
        <f t="shared" ref="I178:I187" si="17">((F178+H178+G178)/3)</f>
        <v>4.95</v>
      </c>
      <c r="J178" s="134" t="s">
        <v>577</v>
      </c>
      <c r="K178" s="6">
        <v>1.0</v>
      </c>
    </row>
    <row r="179" ht="14.25" customHeight="1">
      <c r="A179" s="302">
        <v>2.0</v>
      </c>
      <c r="B179" s="81" t="s">
        <v>1182</v>
      </c>
      <c r="C179" s="139" t="s">
        <v>1180</v>
      </c>
      <c r="D179" s="139" t="s">
        <v>1181</v>
      </c>
      <c r="E179" s="18" t="s">
        <v>576</v>
      </c>
      <c r="F179" s="40">
        <v>5.82</v>
      </c>
      <c r="G179" s="40">
        <v>4.84</v>
      </c>
      <c r="H179" s="40">
        <v>5.39</v>
      </c>
      <c r="I179" s="115">
        <f t="shared" si="17"/>
        <v>5.35</v>
      </c>
      <c r="J179" s="134" t="s">
        <v>577</v>
      </c>
      <c r="K179" s="6">
        <v>1.0</v>
      </c>
    </row>
    <row r="180" ht="14.25" customHeight="1">
      <c r="A180" s="302">
        <v>3.0</v>
      </c>
      <c r="B180" s="81" t="s">
        <v>1183</v>
      </c>
      <c r="C180" s="139" t="s">
        <v>1184</v>
      </c>
      <c r="D180" s="139" t="s">
        <v>1181</v>
      </c>
      <c r="E180" s="10" t="s">
        <v>576</v>
      </c>
      <c r="F180" s="40">
        <v>3.64</v>
      </c>
      <c r="G180" s="40">
        <v>2.0</v>
      </c>
      <c r="H180" s="40">
        <v>2.96</v>
      </c>
      <c r="I180" s="115">
        <f t="shared" si="17"/>
        <v>2.866666667</v>
      </c>
      <c r="J180" s="303" t="s">
        <v>18</v>
      </c>
      <c r="L180" s="6">
        <v>1.0</v>
      </c>
    </row>
    <row r="181" ht="14.25" customHeight="1">
      <c r="A181" s="302">
        <v>4.0</v>
      </c>
      <c r="B181" s="81" t="s">
        <v>1185</v>
      </c>
      <c r="C181" s="139" t="s">
        <v>1186</v>
      </c>
      <c r="D181" s="304" t="s">
        <v>1181</v>
      </c>
      <c r="E181" s="10" t="s">
        <v>576</v>
      </c>
      <c r="F181" s="40">
        <v>4.64</v>
      </c>
      <c r="G181" s="40">
        <v>5.78</v>
      </c>
      <c r="H181" s="40">
        <v>4.75</v>
      </c>
      <c r="I181" s="115">
        <f t="shared" si="17"/>
        <v>5.056666667</v>
      </c>
      <c r="J181" s="134" t="s">
        <v>577</v>
      </c>
      <c r="K181" s="6">
        <v>1.0</v>
      </c>
    </row>
    <row r="182" ht="14.25" customHeight="1">
      <c r="A182" s="302">
        <v>5.0</v>
      </c>
      <c r="B182" s="81" t="s">
        <v>1187</v>
      </c>
      <c r="C182" s="305" t="s">
        <v>1186</v>
      </c>
      <c r="D182" s="306" t="s">
        <v>1181</v>
      </c>
      <c r="E182" s="10" t="s">
        <v>576</v>
      </c>
      <c r="F182" s="40">
        <v>5.93</v>
      </c>
      <c r="G182" s="40">
        <v>4.59</v>
      </c>
      <c r="H182" s="40">
        <v>3.21</v>
      </c>
      <c r="I182" s="115">
        <f t="shared" si="17"/>
        <v>4.576666667</v>
      </c>
      <c r="J182" s="134" t="s">
        <v>577</v>
      </c>
      <c r="K182" s="6">
        <v>1.0</v>
      </c>
    </row>
    <row r="183" ht="14.25" customHeight="1">
      <c r="A183" s="302">
        <v>6.0</v>
      </c>
      <c r="B183" s="81" t="s">
        <v>1188</v>
      </c>
      <c r="C183" s="139" t="s">
        <v>1186</v>
      </c>
      <c r="D183" s="139" t="s">
        <v>1181</v>
      </c>
      <c r="E183" s="10" t="s">
        <v>576</v>
      </c>
      <c r="F183" s="40">
        <v>2.36</v>
      </c>
      <c r="G183" s="40">
        <v>1.93</v>
      </c>
      <c r="H183" s="40">
        <v>1.92</v>
      </c>
      <c r="I183" s="115">
        <f t="shared" si="17"/>
        <v>2.07</v>
      </c>
      <c r="J183" s="307" t="s">
        <v>18</v>
      </c>
      <c r="L183" s="6">
        <v>1.0</v>
      </c>
    </row>
    <row r="184" ht="14.25" customHeight="1">
      <c r="A184" s="302">
        <v>7.0</v>
      </c>
      <c r="B184" s="81" t="s">
        <v>1189</v>
      </c>
      <c r="C184" s="139" t="s">
        <v>1186</v>
      </c>
      <c r="D184" s="139" t="s">
        <v>1181</v>
      </c>
      <c r="E184" s="10" t="s">
        <v>576</v>
      </c>
      <c r="F184" s="40">
        <v>2.39</v>
      </c>
      <c r="G184" s="40">
        <v>3.34</v>
      </c>
      <c r="H184" s="40">
        <v>5.03</v>
      </c>
      <c r="I184" s="115">
        <f t="shared" si="17"/>
        <v>3.586666667</v>
      </c>
      <c r="J184" s="307" t="s">
        <v>18</v>
      </c>
      <c r="L184" s="6">
        <v>1.0</v>
      </c>
    </row>
    <row r="185" ht="14.25" customHeight="1">
      <c r="A185" s="302">
        <v>8.0</v>
      </c>
      <c r="B185" s="81" t="s">
        <v>1190</v>
      </c>
      <c r="C185" s="139" t="s">
        <v>1186</v>
      </c>
      <c r="D185" s="139" t="s">
        <v>1181</v>
      </c>
      <c r="E185" s="10" t="s">
        <v>576</v>
      </c>
      <c r="F185" s="40">
        <v>1.82</v>
      </c>
      <c r="G185" s="40">
        <v>2.12</v>
      </c>
      <c r="H185" s="40">
        <v>3.08</v>
      </c>
      <c r="I185" s="115">
        <f t="shared" si="17"/>
        <v>2.34</v>
      </c>
      <c r="J185" s="307" t="s">
        <v>18</v>
      </c>
      <c r="L185" s="6">
        <v>1.0</v>
      </c>
    </row>
    <row r="186" ht="14.25" customHeight="1">
      <c r="A186" s="302">
        <v>9.0</v>
      </c>
      <c r="B186" s="81" t="s">
        <v>1191</v>
      </c>
      <c r="C186" s="139" t="s">
        <v>1180</v>
      </c>
      <c r="D186" s="139" t="s">
        <v>1181</v>
      </c>
      <c r="E186" s="10" t="s">
        <v>576</v>
      </c>
      <c r="F186" s="40">
        <v>3.28</v>
      </c>
      <c r="G186" s="40">
        <v>4.86</v>
      </c>
      <c r="H186" s="40">
        <v>5.64</v>
      </c>
      <c r="I186" s="115">
        <f t="shared" si="17"/>
        <v>4.593333333</v>
      </c>
      <c r="J186" s="134" t="s">
        <v>577</v>
      </c>
      <c r="K186" s="6">
        <v>1.0</v>
      </c>
    </row>
    <row r="187" ht="14.25" customHeight="1">
      <c r="A187" s="302">
        <v>10.0</v>
      </c>
      <c r="B187" s="81" t="s">
        <v>1192</v>
      </c>
      <c r="C187" s="139" t="s">
        <v>1186</v>
      </c>
      <c r="D187" s="139" t="s">
        <v>1181</v>
      </c>
      <c r="E187" s="10" t="s">
        <v>576</v>
      </c>
      <c r="F187" s="40">
        <v>1.25</v>
      </c>
      <c r="G187" s="40">
        <v>2.62</v>
      </c>
      <c r="H187" s="40">
        <v>1.71</v>
      </c>
      <c r="I187" s="115">
        <f t="shared" si="17"/>
        <v>1.86</v>
      </c>
      <c r="J187" s="307" t="s">
        <v>18</v>
      </c>
      <c r="L187" s="6">
        <v>1.0</v>
      </c>
    </row>
    <row r="188" ht="14.25" customHeight="1">
      <c r="A188" s="302">
        <v>11.0</v>
      </c>
      <c r="B188" s="81" t="s">
        <v>1193</v>
      </c>
      <c r="C188" s="139" t="s">
        <v>1180</v>
      </c>
      <c r="D188" s="139" t="s">
        <v>1181</v>
      </c>
      <c r="E188" s="10" t="s">
        <v>576</v>
      </c>
      <c r="F188" s="40">
        <v>2.0</v>
      </c>
      <c r="G188" s="40">
        <v>2.75</v>
      </c>
      <c r="H188" s="40" t="s">
        <v>37</v>
      </c>
      <c r="I188" s="115">
        <v>1.58</v>
      </c>
      <c r="J188" s="270" t="s">
        <v>1194</v>
      </c>
    </row>
    <row r="189" ht="14.25" customHeight="1">
      <c r="A189" s="302">
        <v>12.0</v>
      </c>
      <c r="B189" s="81" t="s">
        <v>1195</v>
      </c>
      <c r="C189" s="133" t="s">
        <v>1186</v>
      </c>
      <c r="D189" s="139" t="s">
        <v>1181</v>
      </c>
      <c r="E189" s="10" t="s">
        <v>576</v>
      </c>
      <c r="F189" s="40">
        <v>1.0</v>
      </c>
      <c r="G189" s="40">
        <v>1.26</v>
      </c>
      <c r="H189" s="40">
        <v>2.07</v>
      </c>
      <c r="I189" s="115">
        <f t="shared" ref="I189:I201" si="18">((F189+H189+G189)/3)</f>
        <v>1.443333333</v>
      </c>
      <c r="J189" s="308" t="s">
        <v>18</v>
      </c>
      <c r="L189" s="6">
        <v>1.0</v>
      </c>
    </row>
    <row r="190" ht="14.25" customHeight="1">
      <c r="A190" s="142">
        <v>13.0</v>
      </c>
      <c r="B190" s="309" t="s">
        <v>1196</v>
      </c>
      <c r="C190" s="133" t="s">
        <v>1180</v>
      </c>
      <c r="D190" s="139" t="s">
        <v>1181</v>
      </c>
      <c r="E190" s="10" t="s">
        <v>576</v>
      </c>
      <c r="F190" s="310">
        <v>4.27</v>
      </c>
      <c r="G190" s="310">
        <v>3.95</v>
      </c>
      <c r="H190" s="310">
        <v>5.68</v>
      </c>
      <c r="I190" s="115">
        <f t="shared" si="18"/>
        <v>4.633333333</v>
      </c>
      <c r="J190" s="134" t="s">
        <v>577</v>
      </c>
      <c r="K190" s="6">
        <v>1.0</v>
      </c>
    </row>
    <row r="191" ht="14.25" customHeight="1">
      <c r="A191" s="142">
        <v>14.0</v>
      </c>
      <c r="B191" s="81" t="s">
        <v>1197</v>
      </c>
      <c r="C191" s="139" t="s">
        <v>1180</v>
      </c>
      <c r="D191" s="139" t="s">
        <v>1181</v>
      </c>
      <c r="E191" s="10" t="s">
        <v>576</v>
      </c>
      <c r="F191" s="310">
        <v>1.94</v>
      </c>
      <c r="G191" s="310">
        <v>3.82</v>
      </c>
      <c r="H191" s="310">
        <v>2.47</v>
      </c>
      <c r="I191" s="115">
        <f t="shared" si="18"/>
        <v>2.743333333</v>
      </c>
      <c r="J191" s="308" t="s">
        <v>18</v>
      </c>
      <c r="L191" s="6">
        <v>1.0</v>
      </c>
    </row>
    <row r="192" ht="14.25" customHeight="1">
      <c r="A192" s="311">
        <v>15.0</v>
      </c>
      <c r="B192" s="81" t="s">
        <v>1198</v>
      </c>
      <c r="C192" s="139" t="s">
        <v>1184</v>
      </c>
      <c r="D192" s="139" t="s">
        <v>1181</v>
      </c>
      <c r="E192" s="122" t="s">
        <v>576</v>
      </c>
      <c r="F192" s="310">
        <v>5.36</v>
      </c>
      <c r="G192" s="310">
        <v>4.44</v>
      </c>
      <c r="H192" s="310">
        <v>3.76</v>
      </c>
      <c r="I192" s="115">
        <f t="shared" si="18"/>
        <v>4.52</v>
      </c>
      <c r="J192" s="134" t="s">
        <v>577</v>
      </c>
      <c r="K192" s="6">
        <v>1.0</v>
      </c>
    </row>
    <row r="193" ht="14.25" customHeight="1">
      <c r="A193" s="142">
        <v>16.0</v>
      </c>
      <c r="B193" s="81" t="s">
        <v>1199</v>
      </c>
      <c r="C193" s="139" t="s">
        <v>1186</v>
      </c>
      <c r="D193" s="139" t="s">
        <v>1181</v>
      </c>
      <c r="E193" s="122" t="s">
        <v>576</v>
      </c>
      <c r="F193" s="310">
        <v>3.77</v>
      </c>
      <c r="G193" s="310">
        <v>2.56</v>
      </c>
      <c r="H193" s="310">
        <v>2.94</v>
      </c>
      <c r="I193" s="115">
        <f t="shared" si="18"/>
        <v>3.09</v>
      </c>
      <c r="J193" s="308" t="s">
        <v>18</v>
      </c>
      <c r="L193" s="6">
        <v>1.0</v>
      </c>
    </row>
    <row r="194" ht="14.25" customHeight="1">
      <c r="A194" s="142">
        <v>17.0</v>
      </c>
      <c r="B194" s="312" t="s">
        <v>1200</v>
      </c>
      <c r="C194" s="133" t="s">
        <v>1186</v>
      </c>
      <c r="D194" s="139" t="s">
        <v>1181</v>
      </c>
      <c r="E194" s="144" t="s">
        <v>576</v>
      </c>
      <c r="F194" s="310">
        <v>6.0</v>
      </c>
      <c r="G194" s="310">
        <v>4.93</v>
      </c>
      <c r="H194" s="310">
        <v>5.33</v>
      </c>
      <c r="I194" s="115">
        <f t="shared" si="18"/>
        <v>5.42</v>
      </c>
      <c r="J194" s="134" t="s">
        <v>577</v>
      </c>
      <c r="K194" s="6">
        <v>1.0</v>
      </c>
    </row>
    <row r="195" ht="14.25" customHeight="1">
      <c r="A195" s="142">
        <v>18.0</v>
      </c>
      <c r="B195" s="81" t="s">
        <v>1201</v>
      </c>
      <c r="C195" s="139" t="s">
        <v>1186</v>
      </c>
      <c r="D195" s="139" t="s">
        <v>1181</v>
      </c>
      <c r="E195" s="18" t="s">
        <v>576</v>
      </c>
      <c r="F195" s="310">
        <v>2.88</v>
      </c>
      <c r="G195" s="310">
        <v>3.09</v>
      </c>
      <c r="H195" s="310">
        <v>2.39</v>
      </c>
      <c r="I195" s="115">
        <f t="shared" si="18"/>
        <v>2.786666667</v>
      </c>
      <c r="J195" s="308" t="s">
        <v>18</v>
      </c>
      <c r="L195" s="6">
        <v>1.0</v>
      </c>
    </row>
    <row r="196" ht="14.25" customHeight="1">
      <c r="A196" s="142">
        <v>19.0</v>
      </c>
      <c r="B196" s="81" t="s">
        <v>1202</v>
      </c>
      <c r="C196" s="139" t="s">
        <v>1186</v>
      </c>
      <c r="D196" s="139" t="s">
        <v>1181</v>
      </c>
      <c r="E196" s="10" t="s">
        <v>576</v>
      </c>
      <c r="F196" s="310">
        <v>4.51</v>
      </c>
      <c r="G196" s="310">
        <v>2.79</v>
      </c>
      <c r="H196" s="310">
        <v>3.54</v>
      </c>
      <c r="I196" s="115">
        <f t="shared" si="18"/>
        <v>3.613333333</v>
      </c>
      <c r="J196" s="308" t="s">
        <v>18</v>
      </c>
      <c r="L196" s="6">
        <v>1.0</v>
      </c>
    </row>
    <row r="197" ht="14.25" customHeight="1">
      <c r="A197" s="142">
        <v>20.0</v>
      </c>
      <c r="B197" s="81" t="s">
        <v>1203</v>
      </c>
      <c r="C197" s="139" t="s">
        <v>1186</v>
      </c>
      <c r="D197" s="139" t="s">
        <v>1181</v>
      </c>
      <c r="E197" s="10" t="s">
        <v>576</v>
      </c>
      <c r="F197" s="60">
        <v>3.64</v>
      </c>
      <c r="G197" s="60">
        <v>5.0</v>
      </c>
      <c r="H197" s="60">
        <v>5.96</v>
      </c>
      <c r="I197" s="115">
        <f t="shared" si="18"/>
        <v>4.866666667</v>
      </c>
      <c r="J197" s="134" t="s">
        <v>577</v>
      </c>
      <c r="K197" s="6">
        <v>1.0</v>
      </c>
    </row>
    <row r="198" ht="14.25" customHeight="1">
      <c r="A198" s="311">
        <v>21.0</v>
      </c>
      <c r="B198" s="81" t="s">
        <v>1204</v>
      </c>
      <c r="C198" s="139" t="s">
        <v>1180</v>
      </c>
      <c r="D198" s="139" t="s">
        <v>1181</v>
      </c>
      <c r="E198" s="10" t="s">
        <v>576</v>
      </c>
      <c r="F198" s="310">
        <v>5.73</v>
      </c>
      <c r="G198" s="310">
        <v>4.84</v>
      </c>
      <c r="H198" s="310">
        <v>4.98</v>
      </c>
      <c r="I198" s="115">
        <f t="shared" si="18"/>
        <v>5.183333333</v>
      </c>
      <c r="J198" s="134" t="s">
        <v>577</v>
      </c>
      <c r="K198" s="6">
        <v>1.0</v>
      </c>
    </row>
    <row r="199" ht="14.25" customHeight="1">
      <c r="A199" s="313">
        <v>22.0</v>
      </c>
      <c r="B199" s="81" t="s">
        <v>1205</v>
      </c>
      <c r="C199" s="139" t="s">
        <v>1186</v>
      </c>
      <c r="D199" s="139" t="s">
        <v>1181</v>
      </c>
      <c r="E199" s="10" t="s">
        <v>576</v>
      </c>
      <c r="F199" s="310">
        <v>4.68</v>
      </c>
      <c r="G199" s="310">
        <v>5.45</v>
      </c>
      <c r="H199" s="310">
        <v>4.23</v>
      </c>
      <c r="I199" s="115">
        <f t="shared" si="18"/>
        <v>4.786666667</v>
      </c>
      <c r="J199" s="134" t="s">
        <v>577</v>
      </c>
      <c r="K199" s="6">
        <v>1.0</v>
      </c>
    </row>
    <row r="200" ht="14.25" customHeight="1">
      <c r="A200" s="142">
        <v>23.0</v>
      </c>
      <c r="B200" s="81" t="s">
        <v>1206</v>
      </c>
      <c r="C200" s="139" t="s">
        <v>1180</v>
      </c>
      <c r="D200" s="139" t="s">
        <v>1181</v>
      </c>
      <c r="E200" s="10" t="s">
        <v>576</v>
      </c>
      <c r="F200" s="314">
        <v>3.89</v>
      </c>
      <c r="G200" s="310">
        <v>4.74</v>
      </c>
      <c r="H200" s="310">
        <v>5.0</v>
      </c>
      <c r="I200" s="115">
        <f t="shared" si="18"/>
        <v>4.543333333</v>
      </c>
      <c r="J200" s="134" t="s">
        <v>577</v>
      </c>
      <c r="K200" s="6">
        <v>1.0</v>
      </c>
    </row>
    <row r="201" ht="14.25" customHeight="1">
      <c r="A201" s="142">
        <v>24.0</v>
      </c>
      <c r="B201" s="81" t="s">
        <v>1207</v>
      </c>
      <c r="C201" s="139" t="s">
        <v>1180</v>
      </c>
      <c r="D201" s="139" t="s">
        <v>1181</v>
      </c>
      <c r="E201" s="10" t="s">
        <v>576</v>
      </c>
      <c r="F201" s="310">
        <v>2.33</v>
      </c>
      <c r="G201" s="310">
        <v>1.76</v>
      </c>
      <c r="H201" s="310">
        <v>3.57</v>
      </c>
      <c r="I201" s="115">
        <f t="shared" si="18"/>
        <v>2.553333333</v>
      </c>
      <c r="J201" s="308" t="s">
        <v>18</v>
      </c>
      <c r="L201" s="6">
        <v>1.0</v>
      </c>
    </row>
    <row r="202" ht="14.25" customHeight="1">
      <c r="A202" s="142">
        <v>25.0</v>
      </c>
      <c r="B202" s="81" t="s">
        <v>1208</v>
      </c>
      <c r="C202" s="139" t="s">
        <v>1184</v>
      </c>
      <c r="D202" s="139" t="s">
        <v>1181</v>
      </c>
      <c r="E202" s="10" t="s">
        <v>576</v>
      </c>
      <c r="F202" s="310">
        <v>1.67</v>
      </c>
      <c r="G202" s="310">
        <v>2.33</v>
      </c>
      <c r="H202" s="310" t="s">
        <v>37</v>
      </c>
      <c r="I202" s="115">
        <v>1.33</v>
      </c>
      <c r="J202" s="315" t="s">
        <v>343</v>
      </c>
      <c r="M202" s="6">
        <v>1.0</v>
      </c>
    </row>
    <row r="203" ht="14.25" customHeight="1">
      <c r="A203" s="142">
        <v>26.0</v>
      </c>
      <c r="B203" s="81" t="s">
        <v>1209</v>
      </c>
      <c r="C203" s="139" t="s">
        <v>1186</v>
      </c>
      <c r="D203" s="139" t="s">
        <v>1181</v>
      </c>
      <c r="E203" s="10" t="s">
        <v>576</v>
      </c>
      <c r="F203" s="310">
        <v>5.88</v>
      </c>
      <c r="G203" s="310">
        <v>6.0</v>
      </c>
      <c r="H203" s="310">
        <v>6.33</v>
      </c>
      <c r="I203" s="115">
        <f t="shared" ref="I203:I221" si="19">((F203+H203+G203)/3)</f>
        <v>6.07</v>
      </c>
      <c r="J203" s="134" t="s">
        <v>577</v>
      </c>
      <c r="K203" s="6">
        <v>1.0</v>
      </c>
    </row>
    <row r="204" ht="14.25" customHeight="1">
      <c r="A204" s="142">
        <v>27.0</v>
      </c>
      <c r="B204" s="81" t="s">
        <v>1210</v>
      </c>
      <c r="C204" s="133" t="s">
        <v>1186</v>
      </c>
      <c r="D204" s="139" t="s">
        <v>1181</v>
      </c>
      <c r="E204" s="10" t="s">
        <v>576</v>
      </c>
      <c r="F204" s="314">
        <v>4.74</v>
      </c>
      <c r="G204" s="310">
        <v>5.19</v>
      </c>
      <c r="H204" s="310">
        <v>4.89</v>
      </c>
      <c r="I204" s="115">
        <f t="shared" si="19"/>
        <v>4.94</v>
      </c>
      <c r="J204" s="134" t="s">
        <v>577</v>
      </c>
      <c r="K204" s="6">
        <v>1.0</v>
      </c>
    </row>
    <row r="205" ht="14.25" customHeight="1">
      <c r="A205" s="142">
        <v>28.0</v>
      </c>
      <c r="B205" s="312" t="s">
        <v>1211</v>
      </c>
      <c r="C205" s="139" t="s">
        <v>1180</v>
      </c>
      <c r="D205" s="139" t="s">
        <v>1181</v>
      </c>
      <c r="E205" s="10" t="s">
        <v>576</v>
      </c>
      <c r="F205" s="310">
        <v>2.07</v>
      </c>
      <c r="G205" s="310">
        <v>2.55</v>
      </c>
      <c r="H205" s="310">
        <v>3.0</v>
      </c>
      <c r="I205" s="115">
        <f t="shared" si="19"/>
        <v>2.54</v>
      </c>
      <c r="J205" s="308" t="s">
        <v>18</v>
      </c>
      <c r="L205" s="6">
        <v>1.0</v>
      </c>
    </row>
    <row r="206" ht="14.25" customHeight="1">
      <c r="A206" s="142">
        <v>29.0</v>
      </c>
      <c r="B206" s="81" t="s">
        <v>1212</v>
      </c>
      <c r="C206" s="139" t="s">
        <v>1184</v>
      </c>
      <c r="D206" s="139" t="s">
        <v>1181</v>
      </c>
      <c r="E206" s="10" t="s">
        <v>576</v>
      </c>
      <c r="F206" s="314">
        <v>4.9</v>
      </c>
      <c r="G206" s="310">
        <v>5.68</v>
      </c>
      <c r="H206" s="310">
        <v>5.99</v>
      </c>
      <c r="I206" s="115">
        <f t="shared" si="19"/>
        <v>5.523333333</v>
      </c>
      <c r="J206" s="134" t="s">
        <v>577</v>
      </c>
      <c r="K206" s="6">
        <v>1.0</v>
      </c>
    </row>
    <row r="207" ht="14.25" customHeight="1">
      <c r="A207" s="142">
        <v>30.0</v>
      </c>
      <c r="B207" s="81" t="s">
        <v>1213</v>
      </c>
      <c r="C207" s="139" t="s">
        <v>1186</v>
      </c>
      <c r="D207" s="139" t="s">
        <v>1181</v>
      </c>
      <c r="E207" s="10" t="s">
        <v>576</v>
      </c>
      <c r="F207" s="310">
        <v>5.62</v>
      </c>
      <c r="G207" s="310">
        <v>4.15</v>
      </c>
      <c r="H207" s="310">
        <v>4.0</v>
      </c>
      <c r="I207" s="115">
        <f t="shared" si="19"/>
        <v>4.59</v>
      </c>
      <c r="J207" s="134" t="s">
        <v>577</v>
      </c>
      <c r="K207" s="6">
        <v>1.0</v>
      </c>
    </row>
    <row r="208" ht="14.25" customHeight="1">
      <c r="A208" s="142">
        <v>31.0</v>
      </c>
      <c r="B208" s="81" t="s">
        <v>1214</v>
      </c>
      <c r="C208" s="133" t="s">
        <v>1186</v>
      </c>
      <c r="D208" s="139" t="s">
        <v>1181</v>
      </c>
      <c r="E208" s="122" t="s">
        <v>576</v>
      </c>
      <c r="F208" s="314">
        <v>4.72</v>
      </c>
      <c r="G208" s="310">
        <v>5.08</v>
      </c>
      <c r="H208" s="310">
        <v>6.0</v>
      </c>
      <c r="I208" s="115">
        <f t="shared" si="19"/>
        <v>5.266666667</v>
      </c>
      <c r="J208" s="134" t="s">
        <v>577</v>
      </c>
      <c r="K208" s="6">
        <v>1.0</v>
      </c>
    </row>
    <row r="209" ht="14.25" customHeight="1">
      <c r="A209" s="142">
        <v>32.0</v>
      </c>
      <c r="B209" s="312" t="s">
        <v>1215</v>
      </c>
      <c r="C209" s="139" t="s">
        <v>1186</v>
      </c>
      <c r="D209" s="139" t="s">
        <v>1181</v>
      </c>
      <c r="E209" s="122" t="s">
        <v>576</v>
      </c>
      <c r="F209" s="310">
        <v>2.88</v>
      </c>
      <c r="G209" s="310">
        <v>1.94</v>
      </c>
      <c r="H209" s="310">
        <v>3.38</v>
      </c>
      <c r="I209" s="115">
        <f t="shared" si="19"/>
        <v>2.733333333</v>
      </c>
      <c r="J209" s="307" t="s">
        <v>18</v>
      </c>
      <c r="L209" s="6">
        <v>1.0</v>
      </c>
    </row>
    <row r="210" ht="14.25" customHeight="1">
      <c r="A210" s="142">
        <v>33.0</v>
      </c>
      <c r="B210" s="81" t="s">
        <v>1216</v>
      </c>
      <c r="C210" s="139" t="s">
        <v>1186</v>
      </c>
      <c r="D210" s="139" t="s">
        <v>1181</v>
      </c>
      <c r="E210" s="10" t="s">
        <v>576</v>
      </c>
      <c r="F210" s="310">
        <v>1.67</v>
      </c>
      <c r="G210" s="310">
        <v>2.34</v>
      </c>
      <c r="H210" s="310">
        <v>2.56</v>
      </c>
      <c r="I210" s="115">
        <f t="shared" si="19"/>
        <v>2.19</v>
      </c>
      <c r="J210" s="307" t="s">
        <v>18</v>
      </c>
      <c r="L210" s="6">
        <v>1.0</v>
      </c>
    </row>
    <row r="211" ht="14.25" customHeight="1">
      <c r="A211" s="142">
        <v>34.0</v>
      </c>
      <c r="B211" s="81" t="s">
        <v>1217</v>
      </c>
      <c r="C211" s="139" t="s">
        <v>1186</v>
      </c>
      <c r="D211" s="139" t="s">
        <v>1181</v>
      </c>
      <c r="E211" s="10" t="s">
        <v>576</v>
      </c>
      <c r="F211" s="310">
        <v>0.89</v>
      </c>
      <c r="G211" s="310">
        <v>1.53</v>
      </c>
      <c r="H211" s="310">
        <v>1.87</v>
      </c>
      <c r="I211" s="115">
        <f t="shared" si="19"/>
        <v>1.43</v>
      </c>
      <c r="J211" s="308" t="s">
        <v>18</v>
      </c>
      <c r="L211" s="6">
        <v>1.0</v>
      </c>
    </row>
    <row r="212" ht="14.25" customHeight="1">
      <c r="A212" s="142">
        <v>35.0</v>
      </c>
      <c r="B212" s="81" t="s">
        <v>1218</v>
      </c>
      <c r="C212" s="139" t="s">
        <v>1180</v>
      </c>
      <c r="D212" s="139" t="s">
        <v>1181</v>
      </c>
      <c r="E212" s="10" t="s">
        <v>576</v>
      </c>
      <c r="F212" s="314">
        <v>4.48</v>
      </c>
      <c r="G212" s="310">
        <v>4.95</v>
      </c>
      <c r="H212" s="310">
        <v>5.46</v>
      </c>
      <c r="I212" s="115">
        <f t="shared" si="19"/>
        <v>4.963333333</v>
      </c>
      <c r="J212" s="134" t="s">
        <v>577</v>
      </c>
      <c r="K212" s="6">
        <v>1.0</v>
      </c>
    </row>
    <row r="213" ht="14.25" customHeight="1">
      <c r="A213" s="142">
        <v>36.0</v>
      </c>
      <c r="B213" s="81" t="s">
        <v>1219</v>
      </c>
      <c r="C213" s="139" t="s">
        <v>1186</v>
      </c>
      <c r="D213" s="139" t="s">
        <v>1181</v>
      </c>
      <c r="E213" s="10" t="s">
        <v>576</v>
      </c>
      <c r="F213" s="310">
        <v>5.58</v>
      </c>
      <c r="G213" s="310">
        <v>6.59</v>
      </c>
      <c r="H213" s="310">
        <v>4.78</v>
      </c>
      <c r="I213" s="115">
        <f t="shared" si="19"/>
        <v>5.65</v>
      </c>
      <c r="J213" s="134" t="s">
        <v>577</v>
      </c>
      <c r="K213" s="6">
        <v>1.0</v>
      </c>
    </row>
    <row r="214" ht="14.25" customHeight="1">
      <c r="A214" s="142">
        <v>37.0</v>
      </c>
      <c r="B214" s="81" t="s">
        <v>1220</v>
      </c>
      <c r="C214" s="139" t="s">
        <v>1180</v>
      </c>
      <c r="D214" s="139" t="s">
        <v>1181</v>
      </c>
      <c r="E214" s="10" t="s">
        <v>576</v>
      </c>
      <c r="F214" s="314">
        <v>2.67</v>
      </c>
      <c r="G214" s="310">
        <v>2.47</v>
      </c>
      <c r="H214" s="310">
        <v>3.49</v>
      </c>
      <c r="I214" s="115">
        <f t="shared" si="19"/>
        <v>2.876666667</v>
      </c>
      <c r="J214" s="308" t="s">
        <v>18</v>
      </c>
      <c r="L214" s="6">
        <v>1.0</v>
      </c>
    </row>
    <row r="215" ht="14.25" customHeight="1">
      <c r="A215" s="142">
        <v>38.0</v>
      </c>
      <c r="B215" s="81" t="s">
        <v>1221</v>
      </c>
      <c r="C215" s="139" t="s">
        <v>1180</v>
      </c>
      <c r="D215" s="139" t="s">
        <v>1181</v>
      </c>
      <c r="E215" s="10" t="s">
        <v>576</v>
      </c>
      <c r="F215" s="310">
        <v>4.56</v>
      </c>
      <c r="G215" s="310">
        <v>5.69</v>
      </c>
      <c r="H215" s="310">
        <v>4.86</v>
      </c>
      <c r="I215" s="115">
        <f t="shared" si="19"/>
        <v>5.036666667</v>
      </c>
      <c r="J215" s="134" t="s">
        <v>577</v>
      </c>
      <c r="K215" s="6">
        <v>1.0</v>
      </c>
    </row>
    <row r="216" ht="14.25" customHeight="1">
      <c r="A216" s="142">
        <v>39.0</v>
      </c>
      <c r="B216" s="81" t="s">
        <v>1222</v>
      </c>
      <c r="C216" s="139" t="s">
        <v>1184</v>
      </c>
      <c r="D216" s="139" t="s">
        <v>1181</v>
      </c>
      <c r="E216" s="10" t="s">
        <v>576</v>
      </c>
      <c r="F216" s="314">
        <v>1.4</v>
      </c>
      <c r="G216" s="310">
        <v>2.68</v>
      </c>
      <c r="H216" s="310">
        <v>2.97</v>
      </c>
      <c r="I216" s="115">
        <f t="shared" si="19"/>
        <v>2.35</v>
      </c>
      <c r="J216" s="307" t="s">
        <v>18</v>
      </c>
      <c r="L216" s="6">
        <v>1.0</v>
      </c>
    </row>
    <row r="217" ht="14.25" customHeight="1">
      <c r="A217" s="142">
        <v>40.0</v>
      </c>
      <c r="B217" s="81" t="s">
        <v>1223</v>
      </c>
      <c r="C217" s="139" t="s">
        <v>1186</v>
      </c>
      <c r="D217" s="139" t="s">
        <v>1181</v>
      </c>
      <c r="E217" s="122" t="s">
        <v>576</v>
      </c>
      <c r="F217" s="310">
        <v>2.55</v>
      </c>
      <c r="G217" s="310">
        <v>3.0</v>
      </c>
      <c r="H217" s="310">
        <v>3.58</v>
      </c>
      <c r="I217" s="115">
        <f t="shared" si="19"/>
        <v>3.043333333</v>
      </c>
      <c r="J217" s="307" t="s">
        <v>18</v>
      </c>
      <c r="L217" s="6">
        <v>1.0</v>
      </c>
    </row>
    <row r="218" ht="14.25" customHeight="1">
      <c r="A218" s="142">
        <v>41.0</v>
      </c>
      <c r="B218" s="81" t="s">
        <v>1224</v>
      </c>
      <c r="C218" s="139" t="s">
        <v>1186</v>
      </c>
      <c r="D218" s="139" t="s">
        <v>1181</v>
      </c>
      <c r="E218" s="122" t="s">
        <v>576</v>
      </c>
      <c r="F218" s="310">
        <v>3.0</v>
      </c>
      <c r="G218" s="310">
        <v>4.46</v>
      </c>
      <c r="H218" s="310">
        <v>3.49</v>
      </c>
      <c r="I218" s="115">
        <f t="shared" si="19"/>
        <v>3.65</v>
      </c>
      <c r="J218" s="307" t="s">
        <v>18</v>
      </c>
      <c r="L218" s="6">
        <v>1.0</v>
      </c>
    </row>
    <row r="219" ht="14.25" customHeight="1">
      <c r="A219" s="142">
        <v>42.0</v>
      </c>
      <c r="B219" s="81" t="s">
        <v>1225</v>
      </c>
      <c r="C219" s="139" t="s">
        <v>1186</v>
      </c>
      <c r="D219" s="139" t="s">
        <v>1181</v>
      </c>
      <c r="E219" s="122" t="s">
        <v>576</v>
      </c>
      <c r="F219" s="310">
        <v>4.88</v>
      </c>
      <c r="G219" s="310">
        <v>5.0</v>
      </c>
      <c r="H219" s="310">
        <v>5.68</v>
      </c>
      <c r="I219" s="115">
        <f t="shared" si="19"/>
        <v>5.186666667</v>
      </c>
      <c r="J219" s="134" t="s">
        <v>577</v>
      </c>
      <c r="K219" s="6">
        <v>1.0</v>
      </c>
    </row>
    <row r="220" ht="14.25" customHeight="1">
      <c r="A220" s="142">
        <v>43.0</v>
      </c>
      <c r="B220" s="81" t="s">
        <v>1226</v>
      </c>
      <c r="C220" s="139" t="s">
        <v>1180</v>
      </c>
      <c r="D220" s="139" t="s">
        <v>1181</v>
      </c>
      <c r="E220" s="122" t="s">
        <v>576</v>
      </c>
      <c r="F220" s="310">
        <v>2.69</v>
      </c>
      <c r="G220" s="310">
        <v>2.0</v>
      </c>
      <c r="H220" s="310">
        <v>1.44</v>
      </c>
      <c r="I220" s="115">
        <f t="shared" si="19"/>
        <v>2.043333333</v>
      </c>
      <c r="J220" s="308" t="s">
        <v>18</v>
      </c>
      <c r="L220" s="6">
        <v>1.0</v>
      </c>
    </row>
    <row r="221" ht="14.25" customHeight="1">
      <c r="A221" s="142">
        <v>44.0</v>
      </c>
      <c r="B221" s="81" t="s">
        <v>1227</v>
      </c>
      <c r="C221" s="139" t="s">
        <v>1186</v>
      </c>
      <c r="D221" s="133" t="s">
        <v>1181</v>
      </c>
      <c r="E221" s="122" t="s">
        <v>576</v>
      </c>
      <c r="F221" s="310">
        <v>5.0</v>
      </c>
      <c r="G221" s="310">
        <v>4.58</v>
      </c>
      <c r="H221" s="310">
        <v>4.79</v>
      </c>
      <c r="I221" s="115">
        <f t="shared" si="19"/>
        <v>4.79</v>
      </c>
      <c r="J221" s="134" t="s">
        <v>577</v>
      </c>
      <c r="K221" s="6">
        <v>1.0</v>
      </c>
    </row>
    <row r="222" ht="14.25" customHeight="1">
      <c r="A222" s="142">
        <v>45.0</v>
      </c>
      <c r="B222" s="81" t="s">
        <v>1228</v>
      </c>
      <c r="C222" s="139" t="s">
        <v>1180</v>
      </c>
      <c r="D222" s="139" t="s">
        <v>1181</v>
      </c>
      <c r="E222" s="122" t="s">
        <v>576</v>
      </c>
      <c r="F222" s="310">
        <v>0.58</v>
      </c>
      <c r="G222" s="310">
        <v>1.35</v>
      </c>
      <c r="H222" s="310" t="s">
        <v>37</v>
      </c>
      <c r="I222" s="115">
        <f>((F222+G222)/3)</f>
        <v>0.6433333333</v>
      </c>
      <c r="J222" s="316" t="s">
        <v>343</v>
      </c>
      <c r="M222" s="6">
        <v>1.0</v>
      </c>
    </row>
    <row r="223" ht="14.25" customHeight="1">
      <c r="A223" s="317"/>
      <c r="B223" s="26"/>
      <c r="C223" s="318"/>
      <c r="D223" s="318"/>
      <c r="E223" s="236"/>
      <c r="F223" s="319"/>
      <c r="G223" s="319"/>
      <c r="H223" s="319"/>
      <c r="I223" s="237"/>
      <c r="J223" s="320"/>
      <c r="K223" s="16">
        <f t="shared" ref="K223:M223" si="20">SUM(K178:K222)</f>
        <v>22</v>
      </c>
      <c r="L223" s="16">
        <f t="shared" si="20"/>
        <v>20</v>
      </c>
      <c r="M223" s="16">
        <f t="shared" si="20"/>
        <v>2</v>
      </c>
    </row>
    <row r="224" ht="15.75" customHeight="1">
      <c r="A224" s="317"/>
      <c r="B224" s="321" t="s">
        <v>1229</v>
      </c>
      <c r="C224" s="318"/>
      <c r="D224" s="318"/>
      <c r="E224" s="236"/>
      <c r="F224" s="319"/>
      <c r="G224" s="319"/>
      <c r="H224" s="319"/>
      <c r="I224" s="237"/>
      <c r="J224" s="320"/>
      <c r="K224" s="17">
        <f>K223/A222</f>
        <v>0.4888888889</v>
      </c>
      <c r="L224" s="17">
        <f>L223/A222</f>
        <v>0.4444444444</v>
      </c>
      <c r="M224" s="17">
        <f>M223/A222</f>
        <v>0.04444444444</v>
      </c>
    </row>
    <row r="225" ht="14.25" customHeight="1">
      <c r="D225" s="274"/>
      <c r="E225" s="26"/>
    </row>
    <row r="226" ht="14.25" customHeight="1">
      <c r="A226" s="131">
        <v>1.0</v>
      </c>
      <c r="B226" s="81" t="s">
        <v>1230</v>
      </c>
      <c r="C226" s="251" t="s">
        <v>1231</v>
      </c>
      <c r="D226" s="251" t="s">
        <v>1229</v>
      </c>
      <c r="E226" s="251" t="s">
        <v>576</v>
      </c>
      <c r="F226" s="60">
        <v>4.5</v>
      </c>
      <c r="G226" s="60">
        <v>5.35</v>
      </c>
      <c r="H226" s="60">
        <v>5.26</v>
      </c>
      <c r="I226" s="60">
        <f t="shared" ref="I226:I235" si="21">((F226+H226+G226)/3)</f>
        <v>5.036666667</v>
      </c>
      <c r="J226" s="251" t="s">
        <v>577</v>
      </c>
      <c r="K226" s="6">
        <v>1.0</v>
      </c>
    </row>
    <row r="227" ht="14.25" customHeight="1">
      <c r="A227" s="322">
        <v>2.0</v>
      </c>
      <c r="B227" s="81" t="s">
        <v>1232</v>
      </c>
      <c r="C227" s="251" t="s">
        <v>1231</v>
      </c>
      <c r="D227" s="39" t="s">
        <v>1229</v>
      </c>
      <c r="E227" s="39" t="s">
        <v>780</v>
      </c>
      <c r="F227" s="40">
        <v>5.17</v>
      </c>
      <c r="G227" s="40">
        <v>4.21</v>
      </c>
      <c r="H227" s="40">
        <v>6.7</v>
      </c>
      <c r="I227" s="40">
        <f t="shared" si="21"/>
        <v>5.36</v>
      </c>
      <c r="J227" s="251" t="s">
        <v>577</v>
      </c>
      <c r="K227" s="6">
        <v>1.0</v>
      </c>
    </row>
    <row r="228" ht="14.25" customHeight="1">
      <c r="A228" s="322">
        <v>3.0</v>
      </c>
      <c r="B228" s="81" t="s">
        <v>1233</v>
      </c>
      <c r="C228" s="251" t="s">
        <v>1231</v>
      </c>
      <c r="D228" s="39" t="s">
        <v>1229</v>
      </c>
      <c r="E228" s="39" t="s">
        <v>780</v>
      </c>
      <c r="F228" s="40">
        <v>0.5</v>
      </c>
      <c r="G228" s="40">
        <v>1.88</v>
      </c>
      <c r="H228" s="40">
        <v>2.6</v>
      </c>
      <c r="I228" s="40">
        <f t="shared" si="21"/>
        <v>1.66</v>
      </c>
      <c r="J228" s="154" t="s">
        <v>18</v>
      </c>
      <c r="L228" s="6">
        <v>1.0</v>
      </c>
    </row>
    <row r="229" ht="14.25" customHeight="1">
      <c r="A229" s="322">
        <v>4.0</v>
      </c>
      <c r="B229" s="81" t="s">
        <v>1234</v>
      </c>
      <c r="C229" s="251" t="s">
        <v>1231</v>
      </c>
      <c r="D229" s="234" t="s">
        <v>1229</v>
      </c>
      <c r="E229" s="234" t="s">
        <v>576</v>
      </c>
      <c r="F229" s="235">
        <v>2.78</v>
      </c>
      <c r="G229" s="235">
        <v>3.89</v>
      </c>
      <c r="H229" s="235">
        <v>2.56</v>
      </c>
      <c r="I229" s="40">
        <f t="shared" si="21"/>
        <v>3.076666667</v>
      </c>
      <c r="J229" s="154" t="s">
        <v>18</v>
      </c>
      <c r="L229" s="6">
        <v>1.0</v>
      </c>
    </row>
    <row r="230" ht="14.25" customHeight="1">
      <c r="A230" s="322">
        <v>5.0</v>
      </c>
      <c r="B230" s="81" t="s">
        <v>1235</v>
      </c>
      <c r="C230" s="251" t="s">
        <v>1231</v>
      </c>
      <c r="D230" s="234" t="s">
        <v>1229</v>
      </c>
      <c r="E230" s="234" t="s">
        <v>780</v>
      </c>
      <c r="F230" s="235">
        <v>4.21</v>
      </c>
      <c r="G230" s="235">
        <v>4.79</v>
      </c>
      <c r="H230" s="235">
        <v>5.55</v>
      </c>
      <c r="I230" s="40">
        <f t="shared" si="21"/>
        <v>4.85</v>
      </c>
      <c r="J230" s="140" t="s">
        <v>577</v>
      </c>
      <c r="K230" s="6">
        <v>1.0</v>
      </c>
    </row>
    <row r="231" ht="14.25" customHeight="1">
      <c r="A231" s="322">
        <v>6.0</v>
      </c>
      <c r="B231" s="81" t="s">
        <v>1236</v>
      </c>
      <c r="C231" s="251" t="s">
        <v>1231</v>
      </c>
      <c r="D231" s="234" t="s">
        <v>1229</v>
      </c>
      <c r="E231" s="234" t="s">
        <v>780</v>
      </c>
      <c r="F231" s="235">
        <v>3.86</v>
      </c>
      <c r="G231" s="235">
        <v>1.59</v>
      </c>
      <c r="H231" s="235">
        <v>1.95</v>
      </c>
      <c r="I231" s="40">
        <f t="shared" si="21"/>
        <v>2.466666667</v>
      </c>
      <c r="J231" s="154" t="s">
        <v>18</v>
      </c>
      <c r="L231" s="6">
        <v>1.0</v>
      </c>
    </row>
    <row r="232" ht="14.25" customHeight="1">
      <c r="A232" s="322">
        <v>7.0</v>
      </c>
      <c r="B232" s="81" t="s">
        <v>1237</v>
      </c>
      <c r="C232" s="251" t="s">
        <v>1231</v>
      </c>
      <c r="D232" s="234" t="s">
        <v>323</v>
      </c>
      <c r="E232" s="234" t="s">
        <v>780</v>
      </c>
      <c r="F232" s="235">
        <v>6.45</v>
      </c>
      <c r="G232" s="235">
        <v>6.89</v>
      </c>
      <c r="H232" s="235">
        <v>5.0</v>
      </c>
      <c r="I232" s="40">
        <f t="shared" si="21"/>
        <v>6.113333333</v>
      </c>
      <c r="J232" s="234" t="s">
        <v>577</v>
      </c>
      <c r="K232" s="6">
        <v>1.0</v>
      </c>
    </row>
    <row r="233" ht="14.25" customHeight="1">
      <c r="A233" s="322">
        <v>8.0</v>
      </c>
      <c r="B233" s="81" t="s">
        <v>1238</v>
      </c>
      <c r="C233" s="251" t="s">
        <v>1231</v>
      </c>
      <c r="D233" s="234" t="s">
        <v>1229</v>
      </c>
      <c r="E233" s="234" t="s">
        <v>780</v>
      </c>
      <c r="F233" s="147">
        <v>5.43</v>
      </c>
      <c r="G233" s="235">
        <v>4.89</v>
      </c>
      <c r="H233" s="235">
        <v>4.65</v>
      </c>
      <c r="I233" s="40">
        <f t="shared" si="21"/>
        <v>4.99</v>
      </c>
      <c r="J233" s="140" t="s">
        <v>577</v>
      </c>
      <c r="K233" s="6">
        <v>1.0</v>
      </c>
    </row>
    <row r="234" ht="14.25" customHeight="1">
      <c r="A234" s="131">
        <v>9.0</v>
      </c>
      <c r="B234" s="81" t="s">
        <v>1239</v>
      </c>
      <c r="C234" s="251" t="s">
        <v>1231</v>
      </c>
      <c r="D234" s="234" t="s">
        <v>1229</v>
      </c>
      <c r="E234" s="234" t="s">
        <v>780</v>
      </c>
      <c r="F234" s="323">
        <v>2.44</v>
      </c>
      <c r="G234" s="324">
        <v>3.56</v>
      </c>
      <c r="H234" s="323">
        <v>1.33</v>
      </c>
      <c r="I234" s="325">
        <f t="shared" si="21"/>
        <v>2.443333333</v>
      </c>
      <c r="J234" s="94" t="s">
        <v>18</v>
      </c>
      <c r="L234" s="6">
        <v>1.0</v>
      </c>
    </row>
    <row r="235" ht="14.25" customHeight="1">
      <c r="A235" s="131">
        <v>10.0</v>
      </c>
      <c r="B235" s="81" t="s">
        <v>1240</v>
      </c>
      <c r="C235" s="251" t="s">
        <v>1231</v>
      </c>
      <c r="D235" s="81" t="s">
        <v>1229</v>
      </c>
      <c r="E235" s="234" t="s">
        <v>780</v>
      </c>
      <c r="F235" s="323">
        <v>4.44</v>
      </c>
      <c r="G235" s="323">
        <v>5.0</v>
      </c>
      <c r="H235" s="323">
        <v>6.22</v>
      </c>
      <c r="I235" s="323">
        <f t="shared" si="21"/>
        <v>5.22</v>
      </c>
      <c r="J235" s="81" t="s">
        <v>577</v>
      </c>
      <c r="K235" s="6">
        <v>1.0</v>
      </c>
    </row>
    <row r="236" ht="14.25" customHeight="1">
      <c r="A236" s="131">
        <v>11.0</v>
      </c>
      <c r="B236" s="81" t="s">
        <v>1241</v>
      </c>
      <c r="C236" s="251" t="s">
        <v>1231</v>
      </c>
      <c r="D236" s="234" t="s">
        <v>1229</v>
      </c>
      <c r="E236" s="234" t="s">
        <v>780</v>
      </c>
      <c r="F236" s="323">
        <v>0.44</v>
      </c>
      <c r="G236" s="323">
        <v>1.98</v>
      </c>
      <c r="H236" s="323" t="s">
        <v>37</v>
      </c>
      <c r="I236" s="323">
        <f>((F236+G236)/3)</f>
        <v>0.8066666667</v>
      </c>
      <c r="J236" s="316" t="s">
        <v>343</v>
      </c>
      <c r="M236" s="6">
        <v>1.0</v>
      </c>
    </row>
    <row r="237" ht="14.25" customHeight="1">
      <c r="K237" s="16">
        <f t="shared" ref="K237:M237" si="22">SUM(K226:K236)</f>
        <v>6</v>
      </c>
      <c r="L237" s="16">
        <f t="shared" si="22"/>
        <v>4</v>
      </c>
      <c r="M237" s="16">
        <f t="shared" si="22"/>
        <v>1</v>
      </c>
    </row>
    <row r="238" ht="14.25" customHeight="1">
      <c r="K238" s="17">
        <f>K237/A236</f>
        <v>0.5454545455</v>
      </c>
      <c r="L238" s="17">
        <f>L237/A236</f>
        <v>0.3636363636</v>
      </c>
      <c r="M238" s="17">
        <f>M237/A236</f>
        <v>0.09090909091</v>
      </c>
      <c r="O238" s="6" t="s">
        <v>1242</v>
      </c>
      <c r="P238" s="6" t="s">
        <v>310</v>
      </c>
      <c r="Q238" s="6" t="s">
        <v>1006</v>
      </c>
      <c r="R238" s="6" t="s">
        <v>1007</v>
      </c>
      <c r="S238" s="6" t="s">
        <v>313</v>
      </c>
      <c r="T238" s="6" t="s">
        <v>1008</v>
      </c>
      <c r="U238" s="6" t="s">
        <v>315</v>
      </c>
      <c r="V238" s="6" t="s">
        <v>316</v>
      </c>
    </row>
    <row r="239" ht="14.25" customHeight="1">
      <c r="P239" s="16">
        <f>A236+A222+A173+A154+A108+A77+A66+A36+A17</f>
        <v>202</v>
      </c>
      <c r="Q239" s="16">
        <f t="shared" ref="Q239:R239" si="23">K237+K223+K174+K155+K109+K78+K67+K37+K18</f>
        <v>107</v>
      </c>
      <c r="R239" s="16">
        <f t="shared" si="23"/>
        <v>82</v>
      </c>
      <c r="S239" s="16">
        <f>M237+M223+M155+M109+M78+M67+M37</f>
        <v>11</v>
      </c>
      <c r="T239" s="17">
        <f>Q239/P239</f>
        <v>0.5297029703</v>
      </c>
      <c r="U239" s="17">
        <f>S239/P239</f>
        <v>0.05445544554</v>
      </c>
      <c r="V239" s="17">
        <f>R239/P239</f>
        <v>0.4059405941</v>
      </c>
    </row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mergeCells count="3">
    <mergeCell ref="A111:H111"/>
    <mergeCell ref="A157:H157"/>
    <mergeCell ref="B224:B22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0.71"/>
  </cols>
  <sheetData>
    <row r="1" ht="14.25" customHeight="1"/>
    <row r="2" ht="14.25" customHeight="1"/>
    <row r="3" ht="14.25" customHeight="1">
      <c r="B3" s="326" t="s">
        <v>1243</v>
      </c>
      <c r="C3" s="327"/>
      <c r="D3" s="327"/>
      <c r="E3" s="328"/>
      <c r="P3" s="326" t="s">
        <v>1244</v>
      </c>
      <c r="Q3" s="327"/>
      <c r="R3" s="327"/>
      <c r="S3" s="328"/>
    </row>
    <row r="4" ht="14.25" customHeight="1">
      <c r="A4" s="329" t="s">
        <v>1245</v>
      </c>
      <c r="O4" s="329" t="s">
        <v>1245</v>
      </c>
    </row>
    <row r="5" ht="14.25" customHeight="1">
      <c r="A5" s="330"/>
      <c r="B5" s="331" t="s">
        <v>604</v>
      </c>
      <c r="C5" s="331" t="s">
        <v>1246</v>
      </c>
      <c r="D5" s="331" t="s">
        <v>1247</v>
      </c>
      <c r="E5" s="331" t="s">
        <v>1248</v>
      </c>
      <c r="O5" s="330"/>
      <c r="P5" s="331" t="s">
        <v>604</v>
      </c>
      <c r="Q5" s="331" t="s">
        <v>1246</v>
      </c>
      <c r="R5" s="331" t="s">
        <v>18</v>
      </c>
      <c r="S5" s="331" t="s">
        <v>577</v>
      </c>
      <c r="T5" s="331" t="s">
        <v>1248</v>
      </c>
    </row>
    <row r="6" ht="14.25" customHeight="1">
      <c r="A6" s="16">
        <v>1.0</v>
      </c>
      <c r="B6" s="26" t="s">
        <v>980</v>
      </c>
      <c r="C6" s="16">
        <v>35.0</v>
      </c>
      <c r="D6" s="16">
        <v>20.0</v>
      </c>
      <c r="E6" s="31">
        <v>0.5714</v>
      </c>
      <c r="O6" s="16">
        <v>1.0</v>
      </c>
      <c r="P6" s="26" t="s">
        <v>265</v>
      </c>
      <c r="Q6" s="16">
        <v>23.0</v>
      </c>
      <c r="R6" s="16">
        <v>5.0</v>
      </c>
      <c r="S6" s="16">
        <v>18.0</v>
      </c>
      <c r="T6" s="332">
        <v>0.7826</v>
      </c>
    </row>
    <row r="7" ht="14.25" customHeight="1">
      <c r="A7" s="16">
        <v>2.0</v>
      </c>
      <c r="B7" s="26" t="s">
        <v>1249</v>
      </c>
      <c r="C7" s="16">
        <v>18.0</v>
      </c>
      <c r="D7" s="16">
        <v>12.0</v>
      </c>
      <c r="E7" s="31">
        <v>0.6666</v>
      </c>
      <c r="O7" s="16">
        <v>2.0</v>
      </c>
      <c r="P7" s="26" t="s">
        <v>612</v>
      </c>
      <c r="Q7" s="16">
        <v>19.0</v>
      </c>
      <c r="R7" s="16">
        <v>4.0</v>
      </c>
      <c r="S7" s="16">
        <v>15.0</v>
      </c>
      <c r="T7" s="31">
        <v>0.7894</v>
      </c>
    </row>
    <row r="8" ht="14.25" customHeight="1">
      <c r="A8" s="16">
        <v>3.0</v>
      </c>
      <c r="B8" s="26" t="s">
        <v>1250</v>
      </c>
      <c r="C8" s="16">
        <v>32.0</v>
      </c>
      <c r="D8" s="16">
        <v>18.0</v>
      </c>
      <c r="E8" s="31">
        <v>0.5625</v>
      </c>
      <c r="O8" s="16">
        <v>3.0</v>
      </c>
      <c r="P8" s="26" t="s">
        <v>667</v>
      </c>
      <c r="Q8" s="16">
        <v>20.0</v>
      </c>
      <c r="R8" s="16">
        <v>4.0</v>
      </c>
      <c r="S8" s="16">
        <v>16.0</v>
      </c>
      <c r="T8" s="332">
        <v>0.8</v>
      </c>
    </row>
    <row r="9" ht="14.25" customHeight="1">
      <c r="A9" s="26">
        <v>4.0</v>
      </c>
      <c r="B9" s="26" t="s">
        <v>145</v>
      </c>
      <c r="C9" s="16">
        <v>18.0</v>
      </c>
      <c r="D9" s="16">
        <v>15.0</v>
      </c>
      <c r="E9" s="31">
        <v>0.8332999999999999</v>
      </c>
      <c r="O9" s="26">
        <v>4.0</v>
      </c>
      <c r="P9" s="26" t="s">
        <v>1250</v>
      </c>
      <c r="Q9" s="16">
        <v>28.0</v>
      </c>
      <c r="R9" s="16">
        <v>6.0</v>
      </c>
      <c r="S9" s="16">
        <v>22.0</v>
      </c>
      <c r="T9" s="31">
        <v>0.8928</v>
      </c>
    </row>
    <row r="10" ht="14.25" customHeight="1">
      <c r="A10" s="26">
        <v>5.0</v>
      </c>
      <c r="B10" s="26" t="s">
        <v>1251</v>
      </c>
      <c r="C10" s="16">
        <v>19.0</v>
      </c>
      <c r="D10" s="16">
        <v>18.0</v>
      </c>
      <c r="E10" s="332">
        <v>1.0</v>
      </c>
      <c r="O10" s="26">
        <v>5.0</v>
      </c>
      <c r="P10" s="26" t="s">
        <v>1252</v>
      </c>
      <c r="Q10" s="16">
        <v>19.0</v>
      </c>
      <c r="R10" s="16">
        <v>4.0</v>
      </c>
      <c r="S10" s="16">
        <v>15.0</v>
      </c>
      <c r="T10" s="31">
        <v>0.7894</v>
      </c>
    </row>
    <row r="11" ht="14.25" customHeight="1">
      <c r="A11" s="26">
        <v>6.0</v>
      </c>
      <c r="B11" s="26" t="s">
        <v>1253</v>
      </c>
      <c r="C11" s="16">
        <v>36.0</v>
      </c>
      <c r="D11" s="16">
        <v>21.0</v>
      </c>
      <c r="E11" s="31">
        <v>0.5832999999999999</v>
      </c>
      <c r="O11" s="26">
        <v>6.0</v>
      </c>
      <c r="P11" s="26" t="s">
        <v>145</v>
      </c>
      <c r="Q11" s="16">
        <v>26.0</v>
      </c>
      <c r="R11" s="16">
        <v>5.0</v>
      </c>
      <c r="S11" s="16">
        <v>21.0</v>
      </c>
      <c r="T11" s="31">
        <v>0.8076</v>
      </c>
    </row>
    <row r="12" ht="14.25" customHeight="1">
      <c r="A12" s="26">
        <v>7.0</v>
      </c>
      <c r="B12" s="26" t="s">
        <v>1254</v>
      </c>
      <c r="C12" s="16">
        <v>40.0</v>
      </c>
      <c r="D12" s="16">
        <v>24.0</v>
      </c>
      <c r="E12" s="31">
        <v>0.6153</v>
      </c>
      <c r="O12" s="26">
        <v>7.0</v>
      </c>
      <c r="P12" s="26" t="s">
        <v>1251</v>
      </c>
      <c r="Q12" s="16">
        <v>19.0</v>
      </c>
      <c r="R12" s="16">
        <v>1.0</v>
      </c>
      <c r="S12" s="16">
        <v>18.0</v>
      </c>
      <c r="T12" s="31">
        <v>0.9473</v>
      </c>
    </row>
    <row r="13" ht="14.25" customHeight="1">
      <c r="A13" s="26"/>
      <c r="E13" s="31">
        <f>E6+E7+E8+E9+E10+E11+E12</f>
        <v>4.8324</v>
      </c>
      <c r="O13" s="26">
        <v>8.0</v>
      </c>
      <c r="P13" s="26" t="s">
        <v>1255</v>
      </c>
      <c r="Q13" s="16">
        <v>31.0</v>
      </c>
      <c r="R13" s="16">
        <v>6.0</v>
      </c>
      <c r="S13" s="16">
        <v>25.0</v>
      </c>
      <c r="T13" s="31">
        <v>0.8064</v>
      </c>
    </row>
    <row r="14" ht="14.25" customHeight="1">
      <c r="O14" s="26">
        <v>9.0</v>
      </c>
      <c r="P14" s="26" t="s">
        <v>1256</v>
      </c>
      <c r="Q14" s="16">
        <v>14.0</v>
      </c>
      <c r="R14" s="16">
        <v>1.0</v>
      </c>
      <c r="S14" s="16">
        <v>13.0</v>
      </c>
      <c r="T14" s="31">
        <v>0.9285</v>
      </c>
    </row>
    <row r="15" ht="14.25" customHeight="1">
      <c r="E15" s="31">
        <v>0.6903</v>
      </c>
      <c r="O15" s="26">
        <v>10.0</v>
      </c>
      <c r="P15" s="26" t="s">
        <v>867</v>
      </c>
      <c r="Q15" s="16">
        <v>29.0</v>
      </c>
      <c r="R15" s="16">
        <v>7.0</v>
      </c>
      <c r="S15" s="16">
        <v>22.0</v>
      </c>
      <c r="T15" s="31">
        <v>0.7586</v>
      </c>
    </row>
    <row r="16" ht="14.25" customHeight="1">
      <c r="O16" s="26">
        <v>11.0</v>
      </c>
      <c r="P16" s="26" t="s">
        <v>1257</v>
      </c>
      <c r="Q16" s="16">
        <v>51.0</v>
      </c>
      <c r="R16" s="16">
        <v>10.0</v>
      </c>
      <c r="S16" s="16">
        <v>41.0</v>
      </c>
      <c r="T16" s="31">
        <v>0.8039</v>
      </c>
    </row>
    <row r="17" ht="14.25" customHeight="1">
      <c r="O17" s="26">
        <v>12.0</v>
      </c>
      <c r="P17" s="26" t="s">
        <v>980</v>
      </c>
      <c r="Q17" s="16">
        <v>25.0</v>
      </c>
      <c r="R17" s="16">
        <v>7.0</v>
      </c>
      <c r="S17" s="16">
        <v>18.0</v>
      </c>
      <c r="T17" s="31">
        <v>0.72</v>
      </c>
    </row>
    <row r="18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>
        <f>SUM(S6:S17)</f>
        <v>244</v>
      </c>
      <c r="T18" s="31"/>
      <c r="U18" s="26"/>
      <c r="V18" s="26"/>
      <c r="W18" s="26"/>
      <c r="X18" s="26"/>
      <c r="Y18" s="26"/>
      <c r="Z18" s="26"/>
      <c r="AA18" s="26"/>
    </row>
    <row r="19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31"/>
      <c r="U19" s="26"/>
      <c r="V19" s="26"/>
      <c r="W19" s="26"/>
      <c r="X19" s="26"/>
      <c r="Y19" s="26"/>
      <c r="Z19" s="26"/>
      <c r="AA19" s="26"/>
    </row>
    <row r="20" ht="14.25" customHeight="1">
      <c r="B20" s="326" t="s">
        <v>1258</v>
      </c>
      <c r="C20" s="327"/>
      <c r="D20" s="327"/>
      <c r="E20" s="328"/>
      <c r="P20" s="326" t="s">
        <v>1259</v>
      </c>
      <c r="Q20" s="327"/>
      <c r="R20" s="327"/>
      <c r="S20" s="328"/>
    </row>
    <row r="21" ht="14.25" customHeight="1">
      <c r="A21" s="26" t="s">
        <v>1245</v>
      </c>
      <c r="O21" s="329" t="s">
        <v>1245</v>
      </c>
    </row>
    <row r="22" ht="14.25" customHeight="1">
      <c r="B22" s="331" t="s">
        <v>604</v>
      </c>
      <c r="C22" s="331" t="s">
        <v>1246</v>
      </c>
      <c r="D22" s="331" t="s">
        <v>1247</v>
      </c>
      <c r="E22" s="331" t="s">
        <v>1248</v>
      </c>
      <c r="O22" s="330"/>
      <c r="P22" s="331" t="s">
        <v>604</v>
      </c>
      <c r="Q22" s="331" t="s">
        <v>1246</v>
      </c>
      <c r="R22" s="331" t="s">
        <v>18</v>
      </c>
      <c r="S22" s="331" t="s">
        <v>577</v>
      </c>
      <c r="T22" s="331" t="s">
        <v>1248</v>
      </c>
    </row>
    <row r="23" ht="14.25" customHeight="1">
      <c r="A23" s="16">
        <v>1.0</v>
      </c>
      <c r="B23" s="26" t="s">
        <v>1260</v>
      </c>
      <c r="C23" s="16">
        <v>39.0</v>
      </c>
      <c r="D23" s="16">
        <v>10.0</v>
      </c>
      <c r="E23" s="31">
        <v>0.2941</v>
      </c>
      <c r="O23" s="16">
        <v>1.0</v>
      </c>
      <c r="P23" s="26" t="s">
        <v>1260</v>
      </c>
      <c r="Q23" s="16">
        <v>8.0</v>
      </c>
      <c r="R23" s="16">
        <v>4.0</v>
      </c>
      <c r="S23" s="16">
        <v>4.0</v>
      </c>
      <c r="T23" s="31">
        <v>0.5</v>
      </c>
    </row>
    <row r="24" ht="14.25" customHeight="1">
      <c r="A24" s="16">
        <v>2.0</v>
      </c>
      <c r="B24" s="26" t="s">
        <v>1261</v>
      </c>
      <c r="C24" s="16">
        <v>10.0</v>
      </c>
      <c r="D24" s="16">
        <v>4.0</v>
      </c>
      <c r="E24" s="31">
        <v>0.4</v>
      </c>
      <c r="O24" s="16">
        <v>2.0</v>
      </c>
      <c r="P24" s="26" t="s">
        <v>1261</v>
      </c>
      <c r="Q24" s="16">
        <v>16.0</v>
      </c>
      <c r="R24" s="16">
        <v>6.0</v>
      </c>
      <c r="S24" s="16">
        <v>9.0</v>
      </c>
      <c r="T24" s="31">
        <v>0.6</v>
      </c>
    </row>
    <row r="25" ht="14.25" customHeight="1">
      <c r="A25" s="16">
        <v>3.0</v>
      </c>
      <c r="B25" s="26" t="s">
        <v>427</v>
      </c>
      <c r="C25" s="16">
        <v>32.0</v>
      </c>
      <c r="D25" s="16">
        <v>11.0</v>
      </c>
      <c r="E25" s="31">
        <v>0.4583</v>
      </c>
      <c r="O25" s="16">
        <v>3.0</v>
      </c>
      <c r="P25" s="26" t="s">
        <v>1262</v>
      </c>
      <c r="Q25" s="16">
        <v>27.0</v>
      </c>
      <c r="R25" s="16">
        <v>8.0</v>
      </c>
      <c r="S25" s="16">
        <v>15.0</v>
      </c>
      <c r="T25" s="31">
        <v>0.6521</v>
      </c>
    </row>
    <row r="26" ht="14.25" customHeight="1">
      <c r="A26" s="16">
        <v>4.0</v>
      </c>
      <c r="B26" s="26" t="s">
        <v>1263</v>
      </c>
      <c r="C26" s="16">
        <v>31.0</v>
      </c>
      <c r="D26" s="16">
        <v>13.0</v>
      </c>
      <c r="E26" s="31">
        <v>0.4642</v>
      </c>
      <c r="O26" s="16">
        <v>4.0</v>
      </c>
      <c r="P26" s="26" t="s">
        <v>427</v>
      </c>
      <c r="Q26" s="16">
        <v>8.0</v>
      </c>
      <c r="R26" s="16">
        <v>3.0</v>
      </c>
      <c r="S26" s="16">
        <v>4.0</v>
      </c>
      <c r="T26" s="31">
        <v>0.5714</v>
      </c>
    </row>
    <row r="27" ht="14.25" customHeight="1">
      <c r="A27" s="16">
        <v>5.0</v>
      </c>
      <c r="B27" s="26" t="s">
        <v>540</v>
      </c>
      <c r="C27" s="16">
        <v>21.0</v>
      </c>
      <c r="D27" s="16">
        <v>8.0</v>
      </c>
      <c r="E27" s="332">
        <v>0.4</v>
      </c>
      <c r="O27" s="16">
        <v>5.0</v>
      </c>
      <c r="P27" s="26" t="s">
        <v>1263</v>
      </c>
      <c r="Q27" s="16">
        <v>28.0</v>
      </c>
      <c r="R27" s="16">
        <v>11.0</v>
      </c>
      <c r="S27" s="16">
        <v>15.0</v>
      </c>
      <c r="T27" s="31">
        <v>0.5555</v>
      </c>
    </row>
    <row r="28" ht="14.25" customHeight="1">
      <c r="O28" s="16">
        <v>6.0</v>
      </c>
      <c r="P28" s="26" t="s">
        <v>540</v>
      </c>
      <c r="Q28" s="16">
        <v>43.0</v>
      </c>
      <c r="R28" s="16">
        <v>18.0</v>
      </c>
      <c r="S28" s="16">
        <v>24.0</v>
      </c>
      <c r="T28" s="31">
        <v>0.5714</v>
      </c>
    </row>
    <row r="29" ht="14.25" customHeight="1">
      <c r="E29" s="31"/>
      <c r="O29" s="16">
        <v>7.0</v>
      </c>
      <c r="P29" s="26" t="s">
        <v>1264</v>
      </c>
      <c r="Q29" s="16">
        <v>16.0</v>
      </c>
      <c r="R29" s="16">
        <v>8.0</v>
      </c>
      <c r="S29" s="16">
        <v>8.0</v>
      </c>
      <c r="T29" s="31">
        <v>0.5</v>
      </c>
    </row>
    <row r="30" ht="14.25" customHeight="1">
      <c r="O30" s="16">
        <v>8.0</v>
      </c>
      <c r="P30" s="26" t="s">
        <v>1181</v>
      </c>
      <c r="Q30" s="16">
        <v>45.0</v>
      </c>
      <c r="R30" s="16">
        <v>20.0</v>
      </c>
      <c r="S30" s="16">
        <v>22.0</v>
      </c>
      <c r="T30" s="31">
        <v>0.5116</v>
      </c>
    </row>
    <row r="31" ht="14.25" customHeight="1">
      <c r="E31" s="31"/>
      <c r="O31" s="16">
        <v>9.0</v>
      </c>
      <c r="P31" s="26" t="s">
        <v>1265</v>
      </c>
      <c r="Q31" s="16">
        <v>11.0</v>
      </c>
      <c r="R31" s="16">
        <v>4.0</v>
      </c>
      <c r="S31" s="16">
        <v>6.0</v>
      </c>
      <c r="T31" s="31">
        <v>0.6</v>
      </c>
    </row>
    <row r="32" ht="14.25" customHeight="1">
      <c r="S32" s="16">
        <f>SUM(S23:S31)</f>
        <v>107</v>
      </c>
      <c r="T32" s="31"/>
    </row>
    <row r="33" ht="14.25" customHeight="1">
      <c r="T33" s="31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3:E3"/>
    <mergeCell ref="P3:S3"/>
    <mergeCell ref="A4:A5"/>
    <mergeCell ref="O4:O5"/>
    <mergeCell ref="B20:E20"/>
    <mergeCell ref="P20:S20"/>
    <mergeCell ref="A21:A22"/>
    <mergeCell ref="O21:O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2025-08-15T09:01:56Z</dcterms:created>
  <dc:creator>LFF</dc:creator>
</cp:coreProperties>
</file>