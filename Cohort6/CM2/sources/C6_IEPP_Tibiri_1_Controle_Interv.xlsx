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ENTION CM1" sheetId="1" r:id="rId4"/>
    <sheet state="visible" name="controle CM1" sheetId="2" r:id="rId5"/>
    <sheet state="visible" name="INTERVENTION CM2" sheetId="3" r:id="rId6"/>
    <sheet state="visible" name="Controle CM2" sheetId="4" r:id="rId7"/>
    <sheet state="visible" name="Les graphiques et %" sheetId="5" r:id="rId8"/>
  </sheets>
  <definedNames/>
  <calcPr/>
  <extLst>
    <ext uri="GoogleSheetsCustomDataVersion2">
      <go:sheetsCustomData xmlns:go="http://customooxmlschemas.google.com/" r:id="rId9" roundtripDataChecksum="m3NOlxanDsQe69UaEqGWLY3NRVWsNd/90ameV3oZ7fE="/>
    </ext>
  </extLst>
</workbook>
</file>

<file path=xl/sharedStrings.xml><?xml version="1.0" encoding="utf-8"?>
<sst xmlns="http://schemas.openxmlformats.org/spreadsheetml/2006/main" count="2356" uniqueCount="555">
  <si>
    <t>DREN/A/PLN DE MARADI</t>
  </si>
  <si>
    <t>IREPP DE MARADI</t>
  </si>
  <si>
    <t>IEPP DE TIBIRI GOBIR 1</t>
  </si>
  <si>
    <t>N°</t>
  </si>
  <si>
    <t>ECOLE</t>
  </si>
  <si>
    <t>Noms et prénoms</t>
  </si>
  <si>
    <t>SEXE</t>
  </si>
  <si>
    <t>CLASSE</t>
  </si>
  <si>
    <t>1ere note</t>
  </si>
  <si>
    <t>2eme note</t>
  </si>
  <si>
    <t>Moy général</t>
  </si>
  <si>
    <t>Situation finale</t>
  </si>
  <si>
    <t xml:space="preserve">Passe </t>
  </si>
  <si>
    <t>Rédouble</t>
  </si>
  <si>
    <t>Abandon</t>
  </si>
  <si>
    <t>Décès et transfère</t>
  </si>
  <si>
    <t>Garin Yari Idi</t>
  </si>
  <si>
    <t>Binta Abdoul Aziz</t>
  </si>
  <si>
    <t>f</t>
  </si>
  <si>
    <t>CM1</t>
  </si>
  <si>
    <t>PASSE</t>
  </si>
  <si>
    <t>Binta Inoussa</t>
  </si>
  <si>
    <t>Habsia Hassane</t>
  </si>
  <si>
    <t>Badaria Salissou</t>
  </si>
  <si>
    <t>Fatila Saadou</t>
  </si>
  <si>
    <t>Firdaoussi Abdou</t>
  </si>
  <si>
    <t>Nana Samira  Salissou</t>
  </si>
  <si>
    <t>Oumakaltoum Saidou</t>
  </si>
  <si>
    <t>Rachida Salissou</t>
  </si>
  <si>
    <t>Roufaida Amadou</t>
  </si>
  <si>
    <t>Sakina Halilou</t>
  </si>
  <si>
    <t>Souraya Aboubacar</t>
  </si>
  <si>
    <t>Malika Salissou</t>
  </si>
  <si>
    <t>Waraou</t>
  </si>
  <si>
    <t>Badaria Mani</t>
  </si>
  <si>
    <t>Choukouria Illia</t>
  </si>
  <si>
    <t>Choukouria Manirou</t>
  </si>
  <si>
    <t>Nana Farida Aboubacar</t>
  </si>
  <si>
    <t>Farida Ibrahim</t>
  </si>
  <si>
    <t>Hamida Salissou</t>
  </si>
  <si>
    <t>Hassana Issoufou</t>
  </si>
  <si>
    <t>Kadidja Mamouda</t>
  </si>
  <si>
    <t>Massaouda Harouna</t>
  </si>
  <si>
    <t>Malika Yahaya</t>
  </si>
  <si>
    <t>Mansoura Issa</t>
  </si>
  <si>
    <t>Oumeira Abdou</t>
  </si>
  <si>
    <t>Najaatou Mani</t>
  </si>
  <si>
    <t>Nana Firdaoussi Mani</t>
  </si>
  <si>
    <t>Ousseina Idrissa</t>
  </si>
  <si>
    <t>Rachida Ibrahim</t>
  </si>
  <si>
    <t>Redouble</t>
  </si>
  <si>
    <t>Rafia Mani</t>
  </si>
  <si>
    <t xml:space="preserve">Saliha Yacouba </t>
  </si>
  <si>
    <t xml:space="preserve">Sabila Issaka </t>
  </si>
  <si>
    <t>Salbia Issa</t>
  </si>
  <si>
    <t>Wassila Ibrahim</t>
  </si>
  <si>
    <t>Yasmina Moussa</t>
  </si>
  <si>
    <t>Zeinabou Mamane</t>
  </si>
  <si>
    <t>Amira Abdou</t>
  </si>
  <si>
    <t>Dan Fillo 3</t>
  </si>
  <si>
    <t>Chemaou Aboubacar</t>
  </si>
  <si>
    <t>Zaharaou Salissou</t>
  </si>
  <si>
    <t>Hassiya Aboubacar</t>
  </si>
  <si>
    <t>Youssoura Yahaya</t>
  </si>
  <si>
    <t>Nafissa Hamissou</t>
  </si>
  <si>
    <t>Ainaou Saminou</t>
  </si>
  <si>
    <t>Najaatou Sani</t>
  </si>
  <si>
    <t>Hindatou Bassirou</t>
  </si>
  <si>
    <t>Kadija Jaharou</t>
  </si>
  <si>
    <t>Kadidja Massaoudou</t>
  </si>
  <si>
    <t>Ramatou Hamidou Illia</t>
  </si>
  <si>
    <t>Aminatou Souleymane</t>
  </si>
  <si>
    <t>Ramanatou Yacouba</t>
  </si>
  <si>
    <t>Ramatou Hamidou</t>
  </si>
  <si>
    <t>Soumaya Salissou</t>
  </si>
  <si>
    <t>Tibiri Nord 3</t>
  </si>
  <si>
    <t>Malika Ousmane</t>
  </si>
  <si>
    <t>Mouhoussina Djafarou</t>
  </si>
  <si>
    <t>Halimatou Moutari</t>
  </si>
  <si>
    <t>Fatima Moutari</t>
  </si>
  <si>
    <t>Zeinab Idrissa</t>
  </si>
  <si>
    <t>Roukaya Soukaradji</t>
  </si>
  <si>
    <t>Sakina Sani</t>
  </si>
  <si>
    <t>Rahila Daouda</t>
  </si>
  <si>
    <t>Rabiatou  Malam Kakilou</t>
  </si>
  <si>
    <t>Mariam Abdoulaye</t>
  </si>
  <si>
    <t>Nadjaatou Amadou</t>
  </si>
  <si>
    <t>Souraya Ichaou</t>
  </si>
  <si>
    <t>Fatima Abdou</t>
  </si>
  <si>
    <t xml:space="preserve"> Kadidja Mamane Salissou</t>
  </si>
  <si>
    <t xml:space="preserve"> Kadidja Ali</t>
  </si>
  <si>
    <t>Amira Hamza</t>
  </si>
  <si>
    <t>Aichatou Roufai</t>
  </si>
  <si>
    <t>Razina Abass</t>
  </si>
  <si>
    <t>Mariam Issaka</t>
  </si>
  <si>
    <t>Charifa Mahamadou</t>
  </si>
  <si>
    <t>Habiba Hamissou</t>
  </si>
  <si>
    <t>Mariam Yacouba</t>
  </si>
  <si>
    <t>Aichatou Rabiou</t>
  </si>
  <si>
    <t>Amira Harouna</t>
  </si>
  <si>
    <t>Kadidja Mamane</t>
  </si>
  <si>
    <t>Soura Magagi Rogo</t>
  </si>
  <si>
    <t>Raouda Salissou</t>
  </si>
  <si>
    <t>Mariama Maazou</t>
  </si>
  <si>
    <t>Nazifa Illa</t>
  </si>
  <si>
    <t>Habsat Aminou</t>
  </si>
  <si>
    <t>Kadidja Salissou</t>
  </si>
  <si>
    <t>Firdaoussi Haladou</t>
  </si>
  <si>
    <t>Hassana Rabiou</t>
  </si>
  <si>
    <t>Nabila Kalla</t>
  </si>
  <si>
    <t>Zeinab Chaibou</t>
  </si>
  <si>
    <t>Maya Saidou</t>
  </si>
  <si>
    <t>Kadija Hadi</t>
  </si>
  <si>
    <t>Sayada Rabiou</t>
  </si>
  <si>
    <t>Djamila Arzika</t>
  </si>
  <si>
    <t>Moufida Noura</t>
  </si>
  <si>
    <t>Kadija Saminou</t>
  </si>
  <si>
    <t>Choukouria Illa</t>
  </si>
  <si>
    <t>Zina Amadou</t>
  </si>
  <si>
    <t>Soumaya Bassirou</t>
  </si>
  <si>
    <t>Chamsiya Laminou</t>
  </si>
  <si>
    <t>Fatima Zara Ibrahim</t>
  </si>
  <si>
    <t>Sabira Tassiou</t>
  </si>
  <si>
    <t>Yasmina Aboubacar</t>
  </si>
  <si>
    <t>Mariama Laouali</t>
  </si>
  <si>
    <t>Nana Firdaoussi Moussa</t>
  </si>
  <si>
    <t>Nazifa Achirou</t>
  </si>
  <si>
    <t>Rouda Salissou</t>
  </si>
  <si>
    <t>Sadika Abdou</t>
  </si>
  <si>
    <t>Rafia Laouali</t>
  </si>
  <si>
    <t>Djamila Abdoul Aziz</t>
  </si>
  <si>
    <t>Batoula Mamane</t>
  </si>
  <si>
    <t>Nana Firdaoussi Rabiou</t>
  </si>
  <si>
    <t>Kadija Achirou</t>
  </si>
  <si>
    <t>Kadija Laouali</t>
  </si>
  <si>
    <t>Rahila Balla</t>
  </si>
  <si>
    <t>Zeinab Abdoul Hadi</t>
  </si>
  <si>
    <t>Sakina Illa</t>
  </si>
  <si>
    <t>Zeinab Hamissou</t>
  </si>
  <si>
    <t>Tibiri 1 CM1 Intervention</t>
  </si>
  <si>
    <t>Total inscrit</t>
  </si>
  <si>
    <t>Passe au CM2</t>
  </si>
  <si>
    <t>Redouble CM1</t>
  </si>
  <si>
    <t>Nombre d'abandon</t>
  </si>
  <si>
    <t>Taux de transition (passage au CM2)</t>
  </si>
  <si>
    <t>Taux d'abandon</t>
  </si>
  <si>
    <t>Taux de rédoublement</t>
  </si>
  <si>
    <t>IEP DE TIBIRI 1</t>
  </si>
  <si>
    <t>Inspection</t>
  </si>
  <si>
    <t>Etablissemnets</t>
  </si>
  <si>
    <t>Nom et prénom</t>
  </si>
  <si>
    <t>Moyenne</t>
  </si>
  <si>
    <t>1ere</t>
  </si>
  <si>
    <t>2eme</t>
  </si>
  <si>
    <t>Moy générale</t>
  </si>
  <si>
    <t>Tibiri Gobir 1</t>
  </si>
  <si>
    <t>Yan Zango</t>
  </si>
  <si>
    <t>BALKISSA ABDOULAYE</t>
  </si>
  <si>
    <t>BALKISSA NOUHOU</t>
  </si>
  <si>
    <t>CHAMSIA HAROUNA</t>
  </si>
  <si>
    <t>Rdble</t>
  </si>
  <si>
    <t>CHAMSSIA CHITOU</t>
  </si>
  <si>
    <t>FATIMA IDRISSA</t>
  </si>
  <si>
    <t>Mariama Ali</t>
  </si>
  <si>
    <t>Zaharia Maman</t>
  </si>
  <si>
    <t>HASSIMA MOUSSA</t>
  </si>
  <si>
    <t>HABIBA SALIFOU</t>
  </si>
  <si>
    <t>MANIRA SALIFOU</t>
  </si>
  <si>
    <t>MAIMOUNA MAHAMAN</t>
  </si>
  <si>
    <t>MARIAMA MAAZOU</t>
  </si>
  <si>
    <t>MOUHISSINA   SALIFOU</t>
  </si>
  <si>
    <t>SAADIA OUSMANE</t>
  </si>
  <si>
    <t>SARATOU MAMANE</t>
  </si>
  <si>
    <t>Kadija ABDOU</t>
  </si>
  <si>
    <t>MAISSO</t>
  </si>
  <si>
    <t>HASSANA HABIBOU</t>
  </si>
  <si>
    <t>RACHIDA SADI</t>
  </si>
  <si>
    <t xml:space="preserve"> NISSEIBA HAMZA</t>
  </si>
  <si>
    <t>ZEINAB HAMZA</t>
  </si>
  <si>
    <t>OUMMAl Kair YAHAYA</t>
  </si>
  <si>
    <t>OUMMAl Kair  INOUSSA</t>
  </si>
  <si>
    <t>NAIMA YAHAYA</t>
  </si>
  <si>
    <t>Chamsia Souleymane</t>
  </si>
  <si>
    <t>décédé</t>
  </si>
  <si>
    <t>Osseina Habibou</t>
  </si>
  <si>
    <t>GARIN DAOURE 1</t>
  </si>
  <si>
    <t>AICHATOU BAHARI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</si>
  <si>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</si>
  <si>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</si>
  <si>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</si>
  <si>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</si>
  <si>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</si>
  <si>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</si>
  <si>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</si>
  <si>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</si>
  <si>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</si>
  <si>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</si>
  <si>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</si>
  <si>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</si>
  <si>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</si>
  <si>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</si>
  <si>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</si>
  <si>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</si>
  <si>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</si>
  <si>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</si>
  <si>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</si>
  <si>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</si>
  <si>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</si>
  <si>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</si>
  <si>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GARN DAOURE 2</t>
  </si>
  <si>
    <t>SAFIYA MAMAN</t>
  </si>
  <si>
    <t>HOUMERA SAMINOU</t>
  </si>
  <si>
    <t>YASMINA JAMILOU</t>
  </si>
  <si>
    <t>HOUSSEINA MOUSTAPHA</t>
  </si>
  <si>
    <t>KADIDJA ACHARAF</t>
  </si>
  <si>
    <t>CHARIFA KABIROU</t>
  </si>
  <si>
    <t>HABSAT HAMISSOU</t>
  </si>
  <si>
    <t>KADIDJA SALISSOU</t>
  </si>
  <si>
    <t>HABSAT RABIOU</t>
  </si>
  <si>
    <t>HABSAT SANOUSSI</t>
  </si>
  <si>
    <t>NANA ALASSANE</t>
  </si>
  <si>
    <t>AZIMA HASSAN</t>
  </si>
  <si>
    <t>GARIN MALAM  HAMZA</t>
  </si>
  <si>
    <t>AMINATOU ATTIKOU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</si>
  <si>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</si>
  <si>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</si>
  <si>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</si>
  <si>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</si>
  <si>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</si>
  <si>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</si>
  <si>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</si>
  <si>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</si>
  <si>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</si>
  <si>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</si>
  <si>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</si>
  <si>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</si>
  <si>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</si>
  <si>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</si>
  <si>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</si>
  <si>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</si>
  <si>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</si>
  <si>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</si>
  <si>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</si>
  <si>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</si>
  <si>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Tibiri 1 CM1 controle</t>
  </si>
  <si>
    <t xml:space="preserve">  </t>
  </si>
  <si>
    <t>Année academique 2024 2025</t>
  </si>
  <si>
    <t>NOMS ET PRENOMS</t>
  </si>
  <si>
    <t>1ere composition</t>
  </si>
  <si>
    <t>2e composition</t>
  </si>
  <si>
    <t>TOTAL CFEPD</t>
  </si>
  <si>
    <t>Coéficient</t>
  </si>
  <si>
    <t>Moy CFEPD</t>
  </si>
  <si>
    <t>Situation</t>
  </si>
  <si>
    <t>Admise</t>
  </si>
  <si>
    <t>rédouble</t>
  </si>
  <si>
    <t>Fati Saadou</t>
  </si>
  <si>
    <t>CM2</t>
  </si>
  <si>
    <t>Fatchima Abdoul Wahab</t>
  </si>
  <si>
    <t>Aicha Amadou</t>
  </si>
  <si>
    <t>Nabila Rabiou</t>
  </si>
  <si>
    <t>Maralia Yacouba</t>
  </si>
  <si>
    <t>Chamsiya Souley</t>
  </si>
  <si>
    <t>Ainaou Achirou</t>
  </si>
  <si>
    <t>Fati Mamane</t>
  </si>
  <si>
    <t>Faiza Amadou</t>
  </si>
  <si>
    <t>Lamratou Inoussa</t>
  </si>
  <si>
    <t>CFM</t>
  </si>
  <si>
    <t>Roumanatou Yahouza</t>
  </si>
  <si>
    <t>Nana Fadila Abara</t>
  </si>
  <si>
    <t>Rafia Chaibou</t>
  </si>
  <si>
    <t>Aicha Soufianou</t>
  </si>
  <si>
    <t>Moustahida Mourtala</t>
  </si>
  <si>
    <t>Aichatou Yacouba</t>
  </si>
  <si>
    <t xml:space="preserve">Nadia Ibarahim </t>
  </si>
  <si>
    <t>Sayada Moussa</t>
  </si>
  <si>
    <t>Sabila Saidou</t>
  </si>
  <si>
    <t>Nana Fadila Halilou</t>
  </si>
  <si>
    <t>Aicha Aboubacar</t>
  </si>
  <si>
    <t>Fadila Soufianou</t>
  </si>
  <si>
    <t>Faiza Harouna</t>
  </si>
  <si>
    <t>Mourdjanatou Hassane</t>
  </si>
  <si>
    <t>Roufaida Laouali</t>
  </si>
  <si>
    <t xml:space="preserve">Roueida Maman </t>
  </si>
  <si>
    <t>Djamila Saidou</t>
  </si>
  <si>
    <t>Charifa Sani</t>
  </si>
  <si>
    <t>Nisseiba Abdou</t>
  </si>
  <si>
    <t>Sabila Illiya</t>
  </si>
  <si>
    <t>Laouré Daouda</t>
  </si>
  <si>
    <t>Ruweida Abou</t>
  </si>
  <si>
    <t>Aicha Mamane</t>
  </si>
  <si>
    <t>Ousseina Aweissou</t>
  </si>
  <si>
    <t>Lantana Maazou</t>
  </si>
  <si>
    <t>Amira Illa</t>
  </si>
  <si>
    <t>Nafissa Abdou</t>
  </si>
  <si>
    <t>Yassira Chaibou</t>
  </si>
  <si>
    <t>Chamsia Laouali</t>
  </si>
  <si>
    <t>Haouaou Moustapha</t>
  </si>
  <si>
    <t>Saadiya Maazou</t>
  </si>
  <si>
    <t>Najaatou Abdou</t>
  </si>
  <si>
    <t>Nadia Bahari</t>
  </si>
  <si>
    <t>Roufeida Hamissou</t>
  </si>
  <si>
    <t>Maralia Mamouda</t>
  </si>
  <si>
    <t>Badaria Adamou</t>
  </si>
  <si>
    <t>Halimatou Saadia Ada</t>
  </si>
  <si>
    <t>Chaawanatou Chaibou</t>
  </si>
  <si>
    <t>Nana Firdaoussi Illa</t>
  </si>
  <si>
    <t>Mariam Issoufou</t>
  </si>
  <si>
    <t>Nissaiba Laouali</t>
  </si>
  <si>
    <t>Yasmina Issoufou</t>
  </si>
  <si>
    <t>Nana Fatima Issa</t>
  </si>
  <si>
    <t>Walida Inoussa</t>
  </si>
  <si>
    <t>Amira Maman</t>
  </si>
  <si>
    <t>Aichatou Ibrahim</t>
  </si>
  <si>
    <t>Ramlatou Moussa</t>
  </si>
  <si>
    <t>Malika Chaibou</t>
  </si>
  <si>
    <t>Samira Ali</t>
  </si>
  <si>
    <t>Chaawa Aboubacar</t>
  </si>
  <si>
    <t>Wassila Abdou</t>
  </si>
  <si>
    <t>Nafissa Issoufou</t>
  </si>
  <si>
    <t>Nana Fatchima Issa</t>
  </si>
  <si>
    <t>Farida Ousmane</t>
  </si>
  <si>
    <t>Safia Abdou</t>
  </si>
  <si>
    <t>Aichatou Chaibou</t>
  </si>
  <si>
    <t>Mazazia Moussa</t>
  </si>
  <si>
    <t>Halissa Mani</t>
  </si>
  <si>
    <t>Nana Chahouda Ibrahim</t>
  </si>
  <si>
    <t>Ousseina Issoufou</t>
  </si>
  <si>
    <t xml:space="preserve"> Nana Wassila Inoussa</t>
  </si>
  <si>
    <t>Mariam Idi</t>
  </si>
  <si>
    <t>Zakiya Abdou</t>
  </si>
  <si>
    <t xml:space="preserve">Oumaira Abdou </t>
  </si>
  <si>
    <t>Faouziya Issoufou</t>
  </si>
  <si>
    <t>Roufaida Moussa</t>
  </si>
  <si>
    <t>Mariam Laouali</t>
  </si>
  <si>
    <t>Ouma Issaka</t>
  </si>
  <si>
    <t>Najaatou Addo</t>
  </si>
  <si>
    <t>Oumaira Abou</t>
  </si>
  <si>
    <t>Sabia Sabiou</t>
  </si>
  <si>
    <t>Roufeida</t>
  </si>
  <si>
    <t>Ikilima Inoussa</t>
  </si>
  <si>
    <t>Mariam Illia</t>
  </si>
  <si>
    <t>Fati Mahaman</t>
  </si>
  <si>
    <t>Na'amaou Laouali</t>
  </si>
  <si>
    <t>Safia Mamane</t>
  </si>
  <si>
    <t>Hassana Nazirou</t>
  </si>
  <si>
    <t>Kadidja Aminou</t>
  </si>
  <si>
    <t>Ousseina Souley Kané</t>
  </si>
  <si>
    <t>Farida Aboubacar</t>
  </si>
  <si>
    <t>Zeinab moustapha</t>
  </si>
  <si>
    <t>Rachida Abdoulahi</t>
  </si>
  <si>
    <t>Nana Firdaoussi Siradji</t>
  </si>
  <si>
    <t>Kadidja Issaka</t>
  </si>
  <si>
    <t>Nana Farida Mahaman Sabiou</t>
  </si>
  <si>
    <t>Nana Zouératou Souleymane</t>
  </si>
  <si>
    <t>Ouma Salma Hamissou</t>
  </si>
  <si>
    <t>Nisseiba Salissou</t>
  </si>
  <si>
    <t>Rahanatou Amadou</t>
  </si>
  <si>
    <t>Safia Ousmane</t>
  </si>
  <si>
    <t>Ramatou Sanoussi</t>
  </si>
  <si>
    <t>Hassana Hassan</t>
  </si>
  <si>
    <t>Zaharaou Ila Naneito</t>
  </si>
  <si>
    <t>Nana Moufida Tidjani</t>
  </si>
  <si>
    <t>Kadidjatou Siradji</t>
  </si>
  <si>
    <t>Zeinab Bassirou</t>
  </si>
  <si>
    <t>Aichatou Habibou</t>
  </si>
  <si>
    <t>Fadila Salissou</t>
  </si>
  <si>
    <t>Nadiya Sani</t>
  </si>
  <si>
    <t>Nana Roufaida Tsahirou</t>
  </si>
  <si>
    <t>Nana Fadila Zaharadine</t>
  </si>
  <si>
    <t xml:space="preserve"> Firdaoussi Harouna</t>
  </si>
  <si>
    <t>Rachida Inoussa</t>
  </si>
  <si>
    <t>Rahamatou Laouali</t>
  </si>
  <si>
    <t>Nana Firdaoussi Idrissa</t>
  </si>
  <si>
    <t>Zalika Moutari</t>
  </si>
  <si>
    <t>Habsatou Ali</t>
  </si>
  <si>
    <t>Ikilima Moussa</t>
  </si>
  <si>
    <t>Fati Illa</t>
  </si>
  <si>
    <t xml:space="preserve"> Mansoura Abou</t>
  </si>
  <si>
    <t>Hamdiya Abass</t>
  </si>
  <si>
    <t>Balkissa Idi</t>
  </si>
  <si>
    <t xml:space="preserve">Nana Kadidja Maman </t>
  </si>
  <si>
    <t>Hamida Noura</t>
  </si>
  <si>
    <t>Bassira Amani</t>
  </si>
  <si>
    <t>Baraka Ali</t>
  </si>
  <si>
    <t>Zalika Illa</t>
  </si>
  <si>
    <t>Aichatou Bachar</t>
  </si>
  <si>
    <t>Rachida Harouna</t>
  </si>
  <si>
    <t>Amira Issa</t>
  </si>
  <si>
    <t>Habsatou Moutari</t>
  </si>
  <si>
    <t>Charifa Hadi</t>
  </si>
  <si>
    <t>Zeinabou Salissou</t>
  </si>
  <si>
    <t>Maida Salifou</t>
  </si>
  <si>
    <t>Yasmina Illia</t>
  </si>
  <si>
    <t>Roukaya Salissou</t>
  </si>
  <si>
    <t>Kadidja Ouchamou</t>
  </si>
  <si>
    <t>Nafissa Adamou</t>
  </si>
  <si>
    <t>Mansoura Rabiou</t>
  </si>
  <si>
    <t xml:space="preserve">Zeinab Maman Salifou </t>
  </si>
  <si>
    <t>Roumanatou Salissou</t>
  </si>
  <si>
    <t>Zeinab Amadou</t>
  </si>
  <si>
    <t>Kalgon Waraou</t>
  </si>
  <si>
    <t>Nazira Sani</t>
  </si>
  <si>
    <t>Zeinab Issa</t>
  </si>
  <si>
    <t>Zina Laouali</t>
  </si>
  <si>
    <t>Balkissa Ousmane</t>
  </si>
  <si>
    <t>Manira Illa</t>
  </si>
  <si>
    <t>Maria Ibrahim</t>
  </si>
  <si>
    <t>Ramatou Saidou</t>
  </si>
  <si>
    <t>Nazifa Salifou</t>
  </si>
  <si>
    <t>Aichatou Zabeirou</t>
  </si>
  <si>
    <t>Malika Issoufou</t>
  </si>
  <si>
    <t>Rachida Illa</t>
  </si>
  <si>
    <t>Nana Farissa Ibrahim</t>
  </si>
  <si>
    <t>Nana Nabila Laminou</t>
  </si>
  <si>
    <t>Zahariya Aminou</t>
  </si>
  <si>
    <t>Chamsiya Ibrahim</t>
  </si>
  <si>
    <t>Binta Souley</t>
  </si>
  <si>
    <t>Naima Sabiou</t>
  </si>
  <si>
    <t>Souraya Boukari</t>
  </si>
  <si>
    <t>Raya Issoufou</t>
  </si>
  <si>
    <t xml:space="preserve"> Nana Firdaoussi Maaroufi</t>
  </si>
  <si>
    <t xml:space="preserve"> Nana Charifa Zabeirou</t>
  </si>
  <si>
    <t>Nafissa Kabirou</t>
  </si>
  <si>
    <t>Charifa Souley</t>
  </si>
  <si>
    <t>Rafia Djadi</t>
  </si>
  <si>
    <t>Fati Maaroufi</t>
  </si>
  <si>
    <t>Safiya Sanouchi</t>
  </si>
  <si>
    <t>Bassira Maazou</t>
  </si>
  <si>
    <t>Nazifa Mamane</t>
  </si>
  <si>
    <t>Bassira Saidou</t>
  </si>
  <si>
    <t>Chamsiya Abdou</t>
  </si>
  <si>
    <t>Sayada Ousseini</t>
  </si>
  <si>
    <t>Ramlatou Souley</t>
  </si>
  <si>
    <t>Charifa Djadi</t>
  </si>
  <si>
    <t>CET</t>
  </si>
  <si>
    <t xml:space="preserve">Ousseina Souley </t>
  </si>
  <si>
    <t>Binta Rabé</t>
  </si>
  <si>
    <t>Naima Souley</t>
  </si>
  <si>
    <t>CM3</t>
  </si>
  <si>
    <t>Asmaou Abdoul Aziz</t>
  </si>
  <si>
    <t>Fatchima Sabiou</t>
  </si>
  <si>
    <t>Kadidja Rabiou</t>
  </si>
  <si>
    <t>Farida Moudaha</t>
  </si>
  <si>
    <t>Souraya Yacouba</t>
  </si>
  <si>
    <t>Zoubeida Moustapha</t>
  </si>
  <si>
    <t>Dayaba Laouali</t>
  </si>
  <si>
    <t>Roufeida Salissou</t>
  </si>
  <si>
    <t>Faouziya Salihou</t>
  </si>
  <si>
    <t>Lailatou Aboubacar</t>
  </si>
  <si>
    <t>Aminatou Laouali</t>
  </si>
  <si>
    <t>Nazifa Arzika</t>
  </si>
  <si>
    <t>Naima Abdoul Razak</t>
  </si>
  <si>
    <t>Fadimatou Abdou</t>
  </si>
  <si>
    <t>Mariama Laminou</t>
  </si>
  <si>
    <t>Madjida Sabiou</t>
  </si>
  <si>
    <t>Yasmina Tsahirou</t>
  </si>
  <si>
    <t>Ousseina Sabiou</t>
  </si>
  <si>
    <t>Soumaya Sani</t>
  </si>
  <si>
    <t>Balkissou Salissou</t>
  </si>
  <si>
    <t>Bassira Salissou</t>
  </si>
  <si>
    <t>Oumal kairou Soufianou</t>
  </si>
  <si>
    <t>Nadia Hamidou</t>
  </si>
  <si>
    <t>Zeinabou Sani</t>
  </si>
  <si>
    <t>Nana Mariama Souley</t>
  </si>
  <si>
    <t>Kadidja Laouali</t>
  </si>
  <si>
    <t>Azima Rabiou</t>
  </si>
  <si>
    <t>Hanatou Hakilou</t>
  </si>
  <si>
    <t>Nana Aichatou Rabiou</t>
  </si>
  <si>
    <t>Amara Maman</t>
  </si>
  <si>
    <t>Souraya Kabirou</t>
  </si>
  <si>
    <t>Dayaba Illia</t>
  </si>
  <si>
    <t>Zeinabou Saminou</t>
  </si>
  <si>
    <t>Tibiri 1 CM2 Intervention</t>
  </si>
  <si>
    <t>Passe 6ème</t>
  </si>
  <si>
    <t>Redouble CM2</t>
  </si>
  <si>
    <t>Taux de transition secondaire (passage en 6ème )</t>
  </si>
  <si>
    <t>FARISSA YACOUBA</t>
  </si>
  <si>
    <t>ISLAMA MAHAMANE</t>
  </si>
  <si>
    <t xml:space="preserve">BALKISSA YAOU </t>
  </si>
  <si>
    <t>ZEINAB HAMISSOU</t>
  </si>
  <si>
    <t>HADJARA AYOUBA</t>
  </si>
  <si>
    <t>BASSIRA HAMISSOU</t>
  </si>
  <si>
    <t>AICHATOU ABDOULAHI</t>
  </si>
  <si>
    <t>HADIZA ABDOULAYE</t>
  </si>
  <si>
    <t>SAFARAOU HAMIDOU</t>
  </si>
  <si>
    <t>YASSIRA SABIOU</t>
  </si>
  <si>
    <t>RAKIA CHAIBOU</t>
  </si>
  <si>
    <t>SALIMA souleymane</t>
  </si>
  <si>
    <t>SAADIA ABDOU</t>
  </si>
  <si>
    <t>NAIMA MOUSTAPHA</t>
  </si>
  <si>
    <t>FAOUZYA INOUSSA</t>
  </si>
  <si>
    <t>KOUBOURIYA  IDI</t>
  </si>
  <si>
    <t>YASMINA MANI</t>
  </si>
  <si>
    <t>OUSSEINA ABDOU</t>
  </si>
  <si>
    <t>ROUFEIDA LAMINOU</t>
  </si>
  <si>
    <t>ZEINAB ACHIROU</t>
  </si>
  <si>
    <t>AICHATOU LAOUALI</t>
  </si>
  <si>
    <t>CHOUKOURIA CHAPIOU</t>
  </si>
  <si>
    <t>TSAHARA MAMAN</t>
  </si>
  <si>
    <t xml:space="preserve"> KADIDJA MAMANE</t>
  </si>
  <si>
    <t>NANA HAOUAOU HALILOU</t>
  </si>
  <si>
    <t>NANA FARIDA NASSIROU</t>
  </si>
  <si>
    <t>ACHATOU TOUREY</t>
  </si>
  <si>
    <t>RAYNA IRO</t>
  </si>
  <si>
    <t xml:space="preserve"> RAFIA SOULEY</t>
  </si>
  <si>
    <t>MANSOURA ABOU</t>
  </si>
  <si>
    <t>NAZIFA MAMAN</t>
  </si>
  <si>
    <t>NANA  HOUMEIRA SANOUCHI</t>
  </si>
  <si>
    <t xml:space="preserve"> MARIAMA SAIDOU</t>
  </si>
  <si>
    <t>OUMALKER ABDOU SALAM</t>
  </si>
  <si>
    <t>HALIMATOU HASSAN</t>
  </si>
  <si>
    <t>SARKIN ASKI</t>
  </si>
  <si>
    <t>AICHATOU YAHOUZA</t>
  </si>
  <si>
    <t>ZEINAB SANOUCHI</t>
  </si>
  <si>
    <t>SALMINA HAMIDINE</t>
  </si>
  <si>
    <t>NASSIBA KABIROU</t>
  </si>
  <si>
    <t>FATIMA SAMAILA</t>
  </si>
  <si>
    <t>MOUNAZAFA SOULEYMANE</t>
  </si>
  <si>
    <t>HANNATOU HAMZA</t>
  </si>
  <si>
    <t>OUMEIRA HADI</t>
  </si>
  <si>
    <t>NANA FIRDAOUSSI HAMISSOU</t>
  </si>
  <si>
    <t>RABI IBRAHIM</t>
  </si>
  <si>
    <t>BARAKASSIA IBRAHIM</t>
  </si>
  <si>
    <t>RABI ISSA</t>
  </si>
  <si>
    <t>MARIAMA ISSA</t>
  </si>
  <si>
    <t>OUMEIRA SALIFOU</t>
  </si>
  <si>
    <t>HABIBA ILLIA</t>
  </si>
  <si>
    <t>OUSSEINA  ABOUBACAR</t>
  </si>
  <si>
    <t>MABAROUKA HABIBOU</t>
  </si>
  <si>
    <t>LANTANA  IBRAHIM</t>
  </si>
  <si>
    <t>HADIZA IBRAHIM</t>
  </si>
  <si>
    <t>RAMLATOU  NOURA</t>
  </si>
  <si>
    <t>HASSANA HAMIDOU</t>
  </si>
  <si>
    <t>Tibiri 1 CM2 controle</t>
  </si>
  <si>
    <t>Les écoles d'intervention Niveau CM2</t>
  </si>
  <si>
    <t>Les écoles d'intervention Niveau CM1</t>
  </si>
  <si>
    <t>N°d'ordre</t>
  </si>
  <si>
    <t>Ecole</t>
  </si>
  <si>
    <t>Effectifs</t>
  </si>
  <si>
    <t>Admissions</t>
  </si>
  <si>
    <t>Pourcentage</t>
  </si>
  <si>
    <t>Passe</t>
  </si>
  <si>
    <t>Yari Idi</t>
  </si>
  <si>
    <t>Dan Fillo</t>
  </si>
  <si>
    <t>Nord 3</t>
  </si>
  <si>
    <t>Sour M rogo</t>
  </si>
  <si>
    <t xml:space="preserve">Soura M Rogo </t>
  </si>
  <si>
    <t>Les écoles de contrôle CM2</t>
  </si>
  <si>
    <t>Les écoles de contrôle Niveau CM1</t>
  </si>
  <si>
    <t>Garin Daouré 1</t>
  </si>
  <si>
    <t>Garin Daouré 2</t>
  </si>
  <si>
    <t>Maisso</t>
  </si>
  <si>
    <t>Sarkin Aski</t>
  </si>
  <si>
    <t>Garin Malam Hamza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</si>
</sst>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4.0"/>
      <color rgb="FFFF0000"/>
      <name val="Calibri"/>
    </font>
    <font>
      <b/>
      <i/>
      <sz val="11.0"/>
      <color theme="1"/>
      <name val="Calibri"/>
    </font>
    <font/>
    <font>
      <sz val="11.0"/>
      <color rgb="FFFF0000"/>
      <name val="Calibri"/>
    </font>
    <font>
      <i/>
      <sz val="11.0"/>
      <color theme="1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  <font>
      <sz val="11.0"/>
      <color rgb="FF00B050"/>
      <name val="Calibri"/>
    </font>
    <font>
      <sz val="14.0"/>
      <color rgb="FF00B0F0"/>
      <name val="Calibri"/>
    </font>
    <font>
      <sz val="14.0"/>
      <color rgb="FF00B050"/>
      <name val="Calibri"/>
    </font>
    <font>
      <sz val="11.0"/>
      <color rgb="FF00B0F0"/>
      <name val="Calibri"/>
    </font>
    <font>
      <sz val="11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0070C0"/>
        <bgColor rgb="FF0070C0"/>
      </patternFill>
    </fill>
  </fills>
  <borders count="2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1" numFmtId="0" xfId="0" applyBorder="1" applyFont="1"/>
    <xf borderId="2" fillId="2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2" xfId="0" applyBorder="1" applyFont="1" applyNumberFormat="1"/>
    <xf borderId="2" fillId="0" fontId="1" numFmtId="0" xfId="0" applyAlignment="1" applyBorder="1" applyFont="1">
      <alignment horizontal="center" readingOrder="0"/>
    </xf>
    <xf borderId="3" fillId="0" fontId="1" numFmtId="0" xfId="0" applyBorder="1" applyFont="1"/>
    <xf borderId="0" fillId="0" fontId="3" numFmtId="0" xfId="0" applyFont="1"/>
    <xf borderId="0" fillId="0" fontId="3" numFmtId="10" xfId="0" applyFont="1" applyNumberFormat="1"/>
    <xf borderId="2" fillId="0" fontId="5" numFmtId="0" xfId="0" applyBorder="1" applyFont="1"/>
    <xf borderId="2" fillId="2" fontId="1" numFmtId="0" xfId="0" applyAlignment="1" applyBorder="1" applyFont="1">
      <alignment horizontal="left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4" fillId="2" fontId="6" numFmtId="0" xfId="0" applyAlignment="1" applyBorder="1" applyFont="1">
      <alignment horizontal="center"/>
    </xf>
    <xf borderId="5" fillId="2" fontId="6" numFmtId="0" xfId="0" applyAlignment="1" applyBorder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2" fillId="2" fontId="6" numFmtId="0" xfId="0" applyAlignment="1" applyBorder="1" applyFont="1">
      <alignment horizontal="center"/>
    </xf>
    <xf borderId="2" fillId="2" fontId="2" numFmtId="0" xfId="0" applyBorder="1" applyFont="1"/>
    <xf borderId="2" fillId="2" fontId="2" numFmtId="0" xfId="0" applyAlignment="1" applyBorder="1" applyFont="1">
      <alignment readingOrder="0"/>
    </xf>
    <xf borderId="2" fillId="2" fontId="6" numFmtId="0" xfId="0" applyBorder="1" applyFont="1"/>
    <xf borderId="2" fillId="3" fontId="2" numFmtId="0" xfId="0" applyBorder="1" applyFill="1" applyFont="1"/>
    <xf borderId="2" fillId="2" fontId="2" numFmtId="0" xfId="0" applyAlignment="1" applyBorder="1" applyFont="1">
      <alignment horizontal="center"/>
    </xf>
    <xf borderId="2" fillId="2" fontId="2" numFmtId="2" xfId="0" applyBorder="1" applyFont="1" applyNumberFormat="1"/>
    <xf borderId="2" fillId="2" fontId="8" numFmtId="0" xfId="0" applyBorder="1" applyFont="1"/>
    <xf borderId="2" fillId="3" fontId="6" numFmtId="0" xfId="0" applyBorder="1" applyFont="1"/>
    <xf borderId="2" fillId="2" fontId="6" numFmtId="0" xfId="0" applyAlignment="1" applyBorder="1" applyFont="1">
      <alignment horizontal="right"/>
    </xf>
    <xf borderId="2" fillId="3" fontId="9" numFmtId="0" xfId="0" applyBorder="1" applyFont="1"/>
    <xf borderId="2" fillId="2" fontId="2" numFmtId="0" xfId="0" applyAlignment="1" applyBorder="1" applyFont="1">
      <alignment horizontal="right"/>
    </xf>
    <xf borderId="2" fillId="2" fontId="9" numFmtId="0" xfId="0" applyBorder="1" applyFont="1"/>
    <xf borderId="13" fillId="2" fontId="2" numFmtId="0" xfId="0" applyBorder="1" applyFont="1"/>
    <xf borderId="14" fillId="2" fontId="6" numFmtId="0" xfId="0" applyBorder="1" applyFont="1"/>
    <xf borderId="2" fillId="2" fontId="10" numFmtId="0" xfId="0" applyAlignment="1" applyBorder="1" applyFont="1">
      <alignment horizontal="center"/>
    </xf>
    <xf borderId="15" fillId="2" fontId="6" numFmtId="0" xfId="0" applyBorder="1" applyFont="1"/>
    <xf borderId="2" fillId="2" fontId="9" numFmtId="0" xfId="0" applyAlignment="1" applyBorder="1" applyFont="1">
      <alignment horizontal="center"/>
    </xf>
    <xf borderId="2" fillId="2" fontId="11" numFmtId="0" xfId="0" applyAlignment="1" applyBorder="1" applyFont="1">
      <alignment horizontal="center"/>
    </xf>
    <xf borderId="2" fillId="2" fontId="12" numFmtId="0" xfId="0" applyAlignment="1" applyBorder="1" applyFont="1">
      <alignment horizontal="center"/>
    </xf>
    <xf borderId="2" fillId="2" fontId="13" numFmtId="0" xfId="0" applyBorder="1" applyFont="1"/>
    <xf borderId="14" fillId="2" fontId="9" numFmtId="0" xfId="0" applyAlignment="1" applyBorder="1" applyFont="1">
      <alignment horizontal="center"/>
    </xf>
    <xf borderId="15" fillId="2" fontId="9" numFmtId="0" xfId="0" applyBorder="1" applyFont="1"/>
    <xf borderId="16" fillId="2" fontId="9" numFmtId="0" xfId="0" applyBorder="1" applyFont="1"/>
    <xf borderId="16" fillId="2" fontId="6" numFmtId="0" xfId="0" applyBorder="1" applyFont="1"/>
    <xf borderId="16" fillId="3" fontId="9" numFmtId="0" xfId="0" applyBorder="1" applyFont="1"/>
    <xf borderId="16" fillId="2" fontId="2" numFmtId="0" xfId="0" applyBorder="1" applyFont="1"/>
    <xf borderId="16" fillId="2" fontId="13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readingOrder="0"/>
    </xf>
    <xf borderId="1" fillId="2" fontId="1" numFmtId="0" xfId="0" applyBorder="1" applyFont="1"/>
    <xf borderId="0" fillId="0" fontId="1" numFmtId="0" xfId="0" applyAlignment="1" applyFont="1">
      <alignment horizontal="center"/>
    </xf>
    <xf borderId="0" fillId="0" fontId="1" numFmtId="2" xfId="0" applyFont="1" applyNumberFormat="1"/>
    <xf borderId="2" fillId="0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2" fillId="0" fontId="1" numFmtId="0" xfId="0" applyAlignment="1" applyBorder="1" applyFont="1">
      <alignment shrinkToFit="0" vertical="center" wrapText="1"/>
    </xf>
    <xf borderId="2" fillId="0" fontId="1" numFmtId="2" xfId="0" applyAlignment="1" applyBorder="1" applyFont="1" applyNumberFormat="1">
      <alignment vertical="center"/>
    </xf>
    <xf borderId="14" fillId="0" fontId="1" numFmtId="0" xfId="0" applyBorder="1" applyFont="1"/>
    <xf borderId="2" fillId="0" fontId="1" numFmtId="0" xfId="0" applyAlignment="1" applyBorder="1" applyFont="1">
      <alignment horizontal="left"/>
    </xf>
    <xf borderId="2" fillId="0" fontId="1" numFmtId="2" xfId="0" applyAlignment="1" applyBorder="1" applyFont="1" applyNumberFormat="1">
      <alignment horizontal="left"/>
    </xf>
    <xf borderId="2" fillId="4" fontId="1" numFmtId="0" xfId="0" applyBorder="1" applyFill="1" applyFont="1"/>
    <xf borderId="2" fillId="2" fontId="14" numFmtId="0" xfId="0" applyBorder="1" applyFont="1"/>
    <xf borderId="4" fillId="0" fontId="1" numFmtId="0" xfId="0" applyAlignment="1" applyBorder="1" applyFont="1">
      <alignment horizontal="center"/>
    </xf>
    <xf borderId="2" fillId="0" fontId="1" numFmtId="2" xfId="0" applyAlignment="1" applyBorder="1" applyFont="1" applyNumberFormat="1">
      <alignment horizontal="right"/>
    </xf>
    <xf borderId="17" fillId="4" fontId="1" numFmtId="0" xfId="0" applyBorder="1" applyFont="1"/>
    <xf borderId="17" fillId="5" fontId="1" numFmtId="0" xfId="0" applyBorder="1" applyFill="1" applyFont="1"/>
    <xf borderId="2" fillId="0" fontId="15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Border="1" applyFont="1"/>
    <xf borderId="16" fillId="2" fontId="1" numFmtId="0" xfId="0" applyAlignment="1" applyBorder="1" applyFont="1">
      <alignment horizontal="left"/>
    </xf>
    <xf borderId="5" fillId="0" fontId="1" numFmtId="0" xfId="0" applyBorder="1" applyFont="1"/>
    <xf borderId="4" fillId="0" fontId="1" numFmtId="0" xfId="0" applyAlignment="1" applyBorder="1" applyFont="1">
      <alignment horizontal="right"/>
    </xf>
    <xf borderId="4" fillId="0" fontId="1" numFmtId="2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2" fillId="4" fontId="2" numFmtId="0" xfId="0" applyBorder="1" applyFont="1"/>
    <xf borderId="2" fillId="2" fontId="16" numFmtId="0" xfId="0" applyAlignment="1" applyBorder="1" applyFont="1">
      <alignment horizontal="center"/>
    </xf>
    <xf borderId="2" fillId="2" fontId="8" numFmtId="0" xfId="0" applyAlignment="1" applyBorder="1" applyFont="1">
      <alignment horizontal="center"/>
    </xf>
    <xf borderId="14" fillId="2" fontId="2" numFmtId="0" xfId="0" applyBorder="1" applyFont="1"/>
    <xf borderId="2" fillId="2" fontId="17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8" fillId="3" fontId="2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6" fontId="2" numFmtId="0" xfId="0" applyBorder="1" applyFill="1" applyFont="1"/>
    <xf borderId="22" fillId="0" fontId="7" numFmtId="0" xfId="0" applyBorder="1" applyFont="1"/>
    <xf borderId="1" fillId="6" fontId="2" numFmtId="0" xfId="0" applyBorder="1" applyFont="1"/>
    <xf borderId="0" fillId="0" fontId="2" numFmtId="10" xfId="0" applyFont="1" applyNumberFormat="1"/>
    <xf borderId="0" fillId="0" fontId="2" numFmtId="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921062992125986"/>
          <c:y val="0.028252405949256338"/>
          <c:w val="0.6906657917760279"/>
          <c:h val="0.7761151210265383"/>
        </c:manualLayout>
      </c:layout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%'!$B$8:$B$13</c:f>
            </c:strRef>
          </c:cat>
          <c:val>
            <c:numRef>
              <c:f>'Les graphiques et %'!$C$8:$C$13</c:f>
              <c:numCache/>
            </c:numRef>
          </c:val>
        </c:ser>
        <c:ser>
          <c:idx val="1"/>
          <c:order val="1"/>
          <c:tx>
            <c:v>Admissions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%'!$B$8:$B$13</c:f>
            </c:strRef>
          </c:cat>
          <c:val>
            <c:numRef>
              <c:f>'Les graphiques et %'!$D$8:$D$13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%'!$B$8:$B$13</c:f>
            </c:strRef>
          </c:cat>
          <c:val>
            <c:numRef>
              <c:f>'Les graphiques et %'!$E$8:$E$13</c:f>
              <c:numCache/>
            </c:numRef>
          </c:val>
        </c:ser>
        <c:axId val="332721689"/>
        <c:axId val="475815849"/>
      </c:barChart>
      <c:catAx>
        <c:axId val="332721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815849"/>
      </c:catAx>
      <c:valAx>
        <c:axId val="475815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721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%'!$B$20:$B$23</c:f>
            </c:strRef>
          </c:cat>
          <c:val>
            <c:numRef>
              <c:f>'Les graphiques et %'!$C$20:$C$23</c:f>
              <c:numCache/>
            </c:numRef>
          </c:val>
        </c:ser>
        <c:ser>
          <c:idx val="1"/>
          <c:order val="1"/>
          <c:tx>
            <c:v>Admissions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%'!$B$20:$B$23</c:f>
            </c:strRef>
          </c:cat>
          <c:val>
            <c:numRef>
              <c:f>'Les graphiques et %'!$D$20:$D$23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%'!$B$20:$B$23</c:f>
            </c:strRef>
          </c:cat>
          <c:val>
            <c:numRef>
              <c:f>'Les graphiques et %'!$E$20:$E$23</c:f>
              <c:numCache/>
            </c:numRef>
          </c:val>
        </c:ser>
        <c:axId val="1180250956"/>
        <c:axId val="2089754491"/>
      </c:barChart>
      <c:catAx>
        <c:axId val="1180250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754491"/>
      </c:catAx>
      <c:valAx>
        <c:axId val="2089754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250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%'!$O$8:$O$12</c:f>
            </c:strRef>
          </c:cat>
          <c:val>
            <c:numRef>
              <c:f>'Les graphiques et %'!$P$8:$P$12</c:f>
              <c:numCache/>
            </c:numRef>
          </c:val>
        </c:ser>
        <c:ser>
          <c:idx val="1"/>
          <c:order val="1"/>
          <c:tx>
            <c:v>Redouble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%'!$O$8:$O$12</c:f>
            </c:strRef>
          </c:cat>
          <c:val>
            <c:numRef>
              <c:f>'Les graphiques et %'!$Q$8:$Q$12</c:f>
              <c:numCache/>
            </c:numRef>
          </c:val>
        </c:ser>
        <c:ser>
          <c:idx val="2"/>
          <c:order val="2"/>
          <c:tx>
            <c:v>Passe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%'!$O$8:$O$12</c:f>
            </c:strRef>
          </c:cat>
          <c:val>
            <c:numRef>
              <c:f>'Les graphiques et %'!$R$8:$R$12</c:f>
              <c:numCache/>
            </c:numRef>
          </c:val>
        </c:ser>
        <c:ser>
          <c:idx val="3"/>
          <c:order val="3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%'!$O$8:$O$12</c:f>
            </c:strRef>
          </c:cat>
          <c:val>
            <c:numRef>
              <c:f>'Les graphiques et %'!$S$8:$S$12</c:f>
              <c:numCache/>
            </c:numRef>
          </c:val>
        </c:ser>
        <c:axId val="478949008"/>
        <c:axId val="1307834678"/>
      </c:barChart>
      <c:catAx>
        <c:axId val="47894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7834678"/>
      </c:catAx>
      <c:valAx>
        <c:axId val="1307834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949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%'!$O$20:$O$24</c:f>
            </c:strRef>
          </c:cat>
          <c:val>
            <c:numRef>
              <c:f>'Les graphiques et %'!$P$20:$P$24</c:f>
              <c:numCache/>
            </c:numRef>
          </c:val>
        </c:ser>
        <c:ser>
          <c:idx val="1"/>
          <c:order val="1"/>
          <c:tx>
            <c:v>Redouble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%'!$O$20:$O$24</c:f>
            </c:strRef>
          </c:cat>
          <c:val>
            <c:numRef>
              <c:f>'Les graphiques et %'!$Q$20:$Q$24</c:f>
              <c:numCache/>
            </c:numRef>
          </c:val>
        </c:ser>
        <c:ser>
          <c:idx val="2"/>
          <c:order val="2"/>
          <c:tx>
            <c:v>Passe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%'!$O$20:$O$24</c:f>
            </c:strRef>
          </c:cat>
          <c:val>
            <c:numRef>
              <c:f>'Les graphiques et %'!$R$20:$R$24</c:f>
              <c:numCache/>
            </c:numRef>
          </c:val>
        </c:ser>
        <c:ser>
          <c:idx val="3"/>
          <c:order val="3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'Les graphiques et %'!$O$20:$O$24</c:f>
            </c:strRef>
          </c:cat>
          <c:val>
            <c:numRef>
              <c:f>'Les graphiques et %'!$S$20:$S$24</c:f>
              <c:numCache/>
            </c:numRef>
          </c:val>
        </c:ser>
        <c:axId val="1569125598"/>
        <c:axId val="1877813567"/>
      </c:barChart>
      <c:catAx>
        <c:axId val="1569125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813567"/>
      </c:catAx>
      <c:valAx>
        <c:axId val="1877813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125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476250</xdr:colOff>
      <xdr:row>1</xdr:row>
      <xdr:rowOff>171450</xdr:rowOff>
    </xdr:from>
    <xdr:ext cx="3362325" cy="1943100"/>
    <xdr:graphicFrame>
      <xdr:nvGraphicFramePr>
        <xdr:cNvPr id="16764216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438150</xdr:colOff>
      <xdr:row>15</xdr:row>
      <xdr:rowOff>57150</xdr:rowOff>
    </xdr:from>
    <xdr:ext cx="3486150" cy="1990725"/>
    <xdr:graphicFrame>
      <xdr:nvGraphicFramePr>
        <xdr:cNvPr id="76001534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323850</xdr:colOff>
      <xdr:row>3</xdr:row>
      <xdr:rowOff>0</xdr:rowOff>
    </xdr:from>
    <xdr:ext cx="3352800" cy="2009775"/>
    <xdr:graphicFrame>
      <xdr:nvGraphicFramePr>
        <xdr:cNvPr id="5947425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314325</xdr:colOff>
      <xdr:row>14</xdr:row>
      <xdr:rowOff>161925</xdr:rowOff>
    </xdr:from>
    <xdr:ext cx="3343275" cy="2390775"/>
    <xdr:graphicFrame>
      <xdr:nvGraphicFramePr>
        <xdr:cNvPr id="149565650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43"/>
    <col customWidth="1" min="3" max="3" width="24.86"/>
    <col customWidth="1" min="4" max="7" width="10.71"/>
    <col customWidth="1" min="8" max="8" width="13.57"/>
    <col customWidth="1" min="9" max="9" width="16.0"/>
    <col customWidth="1" min="10" max="26" width="10.71"/>
  </cols>
  <sheetData>
    <row r="1" ht="14.25" customHeight="1">
      <c r="A1" s="1" t="s">
        <v>0</v>
      </c>
      <c r="B1" s="1"/>
      <c r="C1" s="2"/>
      <c r="D1" s="3"/>
    </row>
    <row r="2" ht="14.25" customHeight="1">
      <c r="A2" s="1" t="s">
        <v>1</v>
      </c>
      <c r="B2" s="1"/>
      <c r="C2" s="2"/>
      <c r="D2" s="3"/>
    </row>
    <row r="3" ht="14.25" customHeight="1">
      <c r="A3" s="1" t="s">
        <v>2</v>
      </c>
      <c r="B3" s="1"/>
      <c r="C3" s="2"/>
      <c r="D3" s="3"/>
    </row>
    <row r="4" ht="14.25" customHeight="1">
      <c r="A4" s="1"/>
      <c r="B4" s="1"/>
      <c r="C4" s="2"/>
      <c r="D4" s="3"/>
    </row>
    <row r="5" ht="14.25" customHeight="1">
      <c r="C5" s="2"/>
      <c r="D5" s="3"/>
    </row>
    <row r="6" ht="14.25" customHeight="1">
      <c r="A6" s="4" t="s">
        <v>3</v>
      </c>
      <c r="B6" s="4" t="s">
        <v>4</v>
      </c>
      <c r="C6" s="5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4" t="s">
        <v>10</v>
      </c>
      <c r="I6" s="4" t="s">
        <v>11</v>
      </c>
      <c r="J6" s="7" t="s">
        <v>12</v>
      </c>
      <c r="K6" s="7" t="s">
        <v>13</v>
      </c>
      <c r="L6" s="7" t="s">
        <v>14</v>
      </c>
      <c r="M6" s="8" t="s">
        <v>15</v>
      </c>
    </row>
    <row r="7" ht="14.25" customHeight="1">
      <c r="A7" s="9">
        <v>1.0</v>
      </c>
      <c r="B7" s="9" t="s">
        <v>16</v>
      </c>
      <c r="C7" s="10" t="s">
        <v>17</v>
      </c>
      <c r="D7" s="11" t="s">
        <v>18</v>
      </c>
      <c r="E7" s="12" t="s">
        <v>19</v>
      </c>
      <c r="F7" s="9">
        <v>6.27</v>
      </c>
      <c r="G7" s="9">
        <v>6.9</v>
      </c>
      <c r="H7" s="13">
        <f t="shared" ref="H7:H19" si="1">AVERAGE(F7:G7)</f>
        <v>6.585</v>
      </c>
      <c r="I7" s="9" t="s">
        <v>20</v>
      </c>
      <c r="J7" s="7">
        <v>1.0</v>
      </c>
    </row>
    <row r="8" ht="14.25" customHeight="1">
      <c r="A8" s="9">
        <v>2.0</v>
      </c>
      <c r="B8" s="9" t="s">
        <v>16</v>
      </c>
      <c r="C8" s="10" t="s">
        <v>21</v>
      </c>
      <c r="D8" s="11" t="s">
        <v>18</v>
      </c>
      <c r="E8" s="12" t="s">
        <v>19</v>
      </c>
      <c r="F8" s="9">
        <v>5.36</v>
      </c>
      <c r="G8" s="9">
        <v>7.0</v>
      </c>
      <c r="H8" s="13">
        <f t="shared" si="1"/>
        <v>6.18</v>
      </c>
      <c r="I8" s="9" t="s">
        <v>20</v>
      </c>
      <c r="J8" s="7">
        <v>1.0</v>
      </c>
    </row>
    <row r="9" ht="14.25" customHeight="1">
      <c r="A9" s="9">
        <f>A8+1</f>
        <v>3</v>
      </c>
      <c r="B9" s="9" t="s">
        <v>16</v>
      </c>
      <c r="C9" s="10" t="s">
        <v>22</v>
      </c>
      <c r="D9" s="11" t="s">
        <v>18</v>
      </c>
      <c r="E9" s="12" t="s">
        <v>19</v>
      </c>
      <c r="F9" s="9">
        <v>5.0</v>
      </c>
      <c r="G9" s="9">
        <v>5.09</v>
      </c>
      <c r="H9" s="13">
        <f t="shared" si="1"/>
        <v>5.045</v>
      </c>
      <c r="I9" s="9" t="s">
        <v>20</v>
      </c>
      <c r="J9" s="7">
        <v>1.0</v>
      </c>
    </row>
    <row r="10" ht="14.25" customHeight="1">
      <c r="A10" s="9">
        <v>4.0</v>
      </c>
      <c r="B10" s="9" t="s">
        <v>16</v>
      </c>
      <c r="C10" s="10" t="s">
        <v>23</v>
      </c>
      <c r="D10" s="11" t="s">
        <v>18</v>
      </c>
      <c r="E10" s="12" t="s">
        <v>19</v>
      </c>
      <c r="F10" s="9">
        <v>5.81</v>
      </c>
      <c r="G10" s="9">
        <v>6.9</v>
      </c>
      <c r="H10" s="13">
        <f t="shared" si="1"/>
        <v>6.355</v>
      </c>
      <c r="I10" s="9" t="s">
        <v>20</v>
      </c>
      <c r="J10" s="7">
        <v>1.0</v>
      </c>
    </row>
    <row r="11" ht="14.25" customHeight="1">
      <c r="A11" s="9">
        <v>5.0</v>
      </c>
      <c r="B11" s="9" t="s">
        <v>16</v>
      </c>
      <c r="C11" s="10" t="s">
        <v>24</v>
      </c>
      <c r="D11" s="11" t="s">
        <v>18</v>
      </c>
      <c r="E11" s="12" t="s">
        <v>19</v>
      </c>
      <c r="F11" s="9">
        <v>5.18</v>
      </c>
      <c r="G11" s="9">
        <v>5.4</v>
      </c>
      <c r="H11" s="13">
        <f t="shared" si="1"/>
        <v>5.29</v>
      </c>
      <c r="I11" s="9" t="s">
        <v>20</v>
      </c>
      <c r="J11" s="7">
        <v>1.0</v>
      </c>
    </row>
    <row r="12" ht="14.25" customHeight="1">
      <c r="A12" s="9">
        <v>6.0</v>
      </c>
      <c r="B12" s="9" t="s">
        <v>16</v>
      </c>
      <c r="C12" s="10" t="s">
        <v>25</v>
      </c>
      <c r="D12" s="11" t="s">
        <v>18</v>
      </c>
      <c r="E12" s="12" t="s">
        <v>19</v>
      </c>
      <c r="F12" s="9">
        <v>4.66</v>
      </c>
      <c r="G12" s="9">
        <v>5.4</v>
      </c>
      <c r="H12" s="13">
        <f t="shared" si="1"/>
        <v>5.03</v>
      </c>
      <c r="I12" s="9" t="s">
        <v>20</v>
      </c>
      <c r="J12" s="7">
        <v>1.0</v>
      </c>
    </row>
    <row r="13" ht="14.25" customHeight="1">
      <c r="A13" s="9">
        <v>7.0</v>
      </c>
      <c r="B13" s="9" t="s">
        <v>16</v>
      </c>
      <c r="C13" s="10" t="s">
        <v>26</v>
      </c>
      <c r="D13" s="11" t="s">
        <v>18</v>
      </c>
      <c r="E13" s="12" t="s">
        <v>19</v>
      </c>
      <c r="F13" s="9">
        <v>6.9</v>
      </c>
      <c r="G13" s="9">
        <v>7.8</v>
      </c>
      <c r="H13" s="13">
        <f t="shared" si="1"/>
        <v>7.35</v>
      </c>
      <c r="I13" s="9" t="s">
        <v>20</v>
      </c>
      <c r="J13" s="7">
        <v>1.0</v>
      </c>
    </row>
    <row r="14" ht="14.25" customHeight="1">
      <c r="A14" s="9">
        <v>8.0</v>
      </c>
      <c r="B14" s="9" t="s">
        <v>16</v>
      </c>
      <c r="C14" s="10" t="s">
        <v>27</v>
      </c>
      <c r="D14" s="11" t="s">
        <v>18</v>
      </c>
      <c r="E14" s="12" t="s">
        <v>19</v>
      </c>
      <c r="F14" s="9">
        <v>5.36</v>
      </c>
      <c r="G14" s="9">
        <v>7.0</v>
      </c>
      <c r="H14" s="13">
        <f t="shared" si="1"/>
        <v>6.18</v>
      </c>
      <c r="I14" s="9" t="s">
        <v>20</v>
      </c>
      <c r="J14" s="7">
        <v>1.0</v>
      </c>
    </row>
    <row r="15" ht="14.25" customHeight="1">
      <c r="A15" s="9">
        <f>A14+1</f>
        <v>9</v>
      </c>
      <c r="B15" s="9" t="s">
        <v>16</v>
      </c>
      <c r="C15" s="10" t="s">
        <v>28</v>
      </c>
      <c r="D15" s="11" t="s">
        <v>18</v>
      </c>
      <c r="E15" s="12" t="s">
        <v>19</v>
      </c>
      <c r="F15" s="9">
        <v>5.27</v>
      </c>
      <c r="G15" s="9">
        <v>5.9</v>
      </c>
      <c r="H15" s="13">
        <f t="shared" si="1"/>
        <v>5.585</v>
      </c>
      <c r="I15" s="9" t="s">
        <v>20</v>
      </c>
      <c r="J15" s="7">
        <v>1.0</v>
      </c>
    </row>
    <row r="16" ht="14.25" customHeight="1">
      <c r="A16" s="9">
        <v>10.0</v>
      </c>
      <c r="B16" s="9" t="s">
        <v>16</v>
      </c>
      <c r="C16" s="10" t="s">
        <v>29</v>
      </c>
      <c r="D16" s="11" t="s">
        <v>18</v>
      </c>
      <c r="E16" s="12" t="s">
        <v>19</v>
      </c>
      <c r="F16" s="9">
        <v>6.54</v>
      </c>
      <c r="G16" s="9">
        <v>8.3</v>
      </c>
      <c r="H16" s="13">
        <f t="shared" si="1"/>
        <v>7.42</v>
      </c>
      <c r="I16" s="9" t="s">
        <v>20</v>
      </c>
      <c r="J16" s="7">
        <v>1.0</v>
      </c>
    </row>
    <row r="17" ht="14.25" customHeight="1">
      <c r="A17" s="9">
        <v>11.0</v>
      </c>
      <c r="B17" s="9" t="s">
        <v>16</v>
      </c>
      <c r="C17" s="10" t="s">
        <v>30</v>
      </c>
      <c r="D17" s="14" t="s">
        <v>18</v>
      </c>
      <c r="E17" s="12" t="s">
        <v>19</v>
      </c>
      <c r="F17" s="9">
        <v>8.09</v>
      </c>
      <c r="G17" s="9">
        <v>8.5</v>
      </c>
      <c r="H17" s="13">
        <f t="shared" si="1"/>
        <v>8.295</v>
      </c>
      <c r="I17" s="9" t="s">
        <v>20</v>
      </c>
      <c r="J17" s="7">
        <v>1.0</v>
      </c>
    </row>
    <row r="18" ht="14.25" customHeight="1">
      <c r="A18" s="9">
        <f>A17+1</f>
        <v>12</v>
      </c>
      <c r="B18" s="9" t="s">
        <v>16</v>
      </c>
      <c r="C18" s="10" t="s">
        <v>31</v>
      </c>
      <c r="D18" s="11" t="s">
        <v>18</v>
      </c>
      <c r="E18" s="12" t="s">
        <v>19</v>
      </c>
      <c r="F18" s="9">
        <v>6.09</v>
      </c>
      <c r="G18" s="9">
        <v>6.3</v>
      </c>
      <c r="H18" s="13">
        <f t="shared" si="1"/>
        <v>6.195</v>
      </c>
      <c r="I18" s="9" t="s">
        <v>20</v>
      </c>
      <c r="J18" s="7">
        <v>1.0</v>
      </c>
    </row>
    <row r="19" ht="14.25" customHeight="1">
      <c r="A19" s="9">
        <v>13.0</v>
      </c>
      <c r="B19" s="9" t="s">
        <v>16</v>
      </c>
      <c r="C19" s="10" t="s">
        <v>32</v>
      </c>
      <c r="D19" s="11" t="s">
        <v>18</v>
      </c>
      <c r="E19" s="12" t="s">
        <v>19</v>
      </c>
      <c r="F19" s="9">
        <v>5.1</v>
      </c>
      <c r="G19" s="9">
        <v>5.5</v>
      </c>
      <c r="H19" s="13">
        <f t="shared" si="1"/>
        <v>5.3</v>
      </c>
      <c r="I19" s="9" t="s">
        <v>20</v>
      </c>
      <c r="J19" s="7">
        <v>1.0</v>
      </c>
    </row>
    <row r="20" ht="14.25" customHeight="1">
      <c r="A20" s="9"/>
      <c r="B20" s="15"/>
      <c r="C20" s="10"/>
      <c r="D20" s="11"/>
      <c r="E20" s="12"/>
      <c r="F20" s="9"/>
      <c r="G20" s="9"/>
      <c r="H20" s="13"/>
      <c r="I20" s="9"/>
      <c r="J20" s="16">
        <f>SUM(J7:J19)</f>
        <v>13</v>
      </c>
    </row>
    <row r="21" ht="14.25" customHeight="1">
      <c r="A21" s="9"/>
      <c r="B21" s="15"/>
      <c r="C21" s="10"/>
      <c r="D21" s="11"/>
      <c r="E21" s="12"/>
      <c r="F21" s="9"/>
      <c r="G21" s="9"/>
      <c r="H21" s="13"/>
      <c r="I21" s="9"/>
      <c r="J21" s="17">
        <f>J20/A19</f>
        <v>1</v>
      </c>
    </row>
    <row r="22" ht="14.25" customHeight="1">
      <c r="A22" s="9"/>
      <c r="B22" s="15"/>
      <c r="C22" s="10"/>
      <c r="D22" s="11"/>
      <c r="E22" s="12"/>
      <c r="F22" s="9"/>
      <c r="G22" s="9"/>
      <c r="H22" s="13"/>
      <c r="I22" s="9"/>
    </row>
    <row r="23" ht="14.25" customHeight="1">
      <c r="A23" s="9">
        <v>1.0</v>
      </c>
      <c r="B23" s="15" t="s">
        <v>33</v>
      </c>
      <c r="C23" s="10" t="s">
        <v>34</v>
      </c>
      <c r="D23" s="11" t="s">
        <v>18</v>
      </c>
      <c r="E23" s="12" t="s">
        <v>19</v>
      </c>
      <c r="F23" s="12">
        <v>5.23</v>
      </c>
      <c r="G23" s="12">
        <v>5.32</v>
      </c>
      <c r="H23" s="13">
        <f t="shared" ref="H23:H46" si="2">AVERAGE(F23:G23)</f>
        <v>5.275</v>
      </c>
      <c r="I23" s="9" t="s">
        <v>20</v>
      </c>
      <c r="J23" s="7">
        <v>1.0</v>
      </c>
    </row>
    <row r="24" ht="14.25" customHeight="1">
      <c r="A24" s="9">
        <f t="shared" ref="A24:A46" si="3">A23+1</f>
        <v>2</v>
      </c>
      <c r="B24" s="15" t="s">
        <v>33</v>
      </c>
      <c r="C24" s="10" t="s">
        <v>35</v>
      </c>
      <c r="D24" s="11" t="s">
        <v>18</v>
      </c>
      <c r="E24" s="12" t="s">
        <v>19</v>
      </c>
      <c r="F24" s="12">
        <v>4.58</v>
      </c>
      <c r="G24" s="12">
        <v>5.02</v>
      </c>
      <c r="H24" s="13">
        <f t="shared" si="2"/>
        <v>4.8</v>
      </c>
      <c r="I24" s="9" t="s">
        <v>20</v>
      </c>
      <c r="J24" s="7">
        <v>1.0</v>
      </c>
    </row>
    <row r="25" ht="14.25" customHeight="1">
      <c r="A25" s="9">
        <f t="shared" si="3"/>
        <v>3</v>
      </c>
      <c r="B25" s="15" t="s">
        <v>33</v>
      </c>
      <c r="C25" s="10" t="s">
        <v>36</v>
      </c>
      <c r="D25" s="11" t="s">
        <v>18</v>
      </c>
      <c r="E25" s="12" t="s">
        <v>19</v>
      </c>
      <c r="F25" s="12">
        <v>6.02</v>
      </c>
      <c r="G25" s="12">
        <v>4.75</v>
      </c>
      <c r="H25" s="13">
        <f t="shared" si="2"/>
        <v>5.385</v>
      </c>
      <c r="I25" s="9" t="s">
        <v>20</v>
      </c>
      <c r="J25" s="7">
        <v>1.0</v>
      </c>
    </row>
    <row r="26" ht="14.25" customHeight="1">
      <c r="A26" s="9">
        <f t="shared" si="3"/>
        <v>4</v>
      </c>
      <c r="B26" s="15" t="s">
        <v>33</v>
      </c>
      <c r="C26" s="10" t="s">
        <v>37</v>
      </c>
      <c r="D26" s="11" t="s">
        <v>18</v>
      </c>
      <c r="E26" s="12" t="s">
        <v>19</v>
      </c>
      <c r="F26" s="12">
        <v>4.72</v>
      </c>
      <c r="G26" s="12">
        <v>5.11</v>
      </c>
      <c r="H26" s="13">
        <f t="shared" si="2"/>
        <v>4.915</v>
      </c>
      <c r="I26" s="9" t="s">
        <v>20</v>
      </c>
      <c r="J26" s="7">
        <v>1.0</v>
      </c>
    </row>
    <row r="27" ht="14.25" customHeight="1">
      <c r="A27" s="9">
        <f t="shared" si="3"/>
        <v>5</v>
      </c>
      <c r="B27" s="15" t="s">
        <v>33</v>
      </c>
      <c r="C27" s="10" t="s">
        <v>38</v>
      </c>
      <c r="D27" s="11" t="s">
        <v>18</v>
      </c>
      <c r="E27" s="12" t="s">
        <v>19</v>
      </c>
      <c r="F27" s="12">
        <v>7.49</v>
      </c>
      <c r="G27" s="12">
        <v>8.17</v>
      </c>
      <c r="H27" s="13">
        <f t="shared" si="2"/>
        <v>7.83</v>
      </c>
      <c r="I27" s="9" t="s">
        <v>20</v>
      </c>
      <c r="J27" s="7">
        <v>1.0</v>
      </c>
    </row>
    <row r="28" ht="14.25" customHeight="1">
      <c r="A28" s="9">
        <f t="shared" si="3"/>
        <v>6</v>
      </c>
      <c r="B28" s="15" t="s">
        <v>33</v>
      </c>
      <c r="C28" s="10" t="s">
        <v>39</v>
      </c>
      <c r="D28" s="11" t="s">
        <v>18</v>
      </c>
      <c r="E28" s="12" t="s">
        <v>19</v>
      </c>
      <c r="F28" s="12">
        <v>5.18</v>
      </c>
      <c r="G28" s="12">
        <v>4.01</v>
      </c>
      <c r="H28" s="13">
        <f t="shared" si="2"/>
        <v>4.595</v>
      </c>
      <c r="I28" s="9" t="s">
        <v>20</v>
      </c>
      <c r="J28" s="7">
        <v>1.0</v>
      </c>
    </row>
    <row r="29" ht="14.25" customHeight="1">
      <c r="A29" s="9">
        <f t="shared" si="3"/>
        <v>7</v>
      </c>
      <c r="B29" s="15" t="s">
        <v>33</v>
      </c>
      <c r="C29" s="10" t="s">
        <v>40</v>
      </c>
      <c r="D29" s="11" t="s">
        <v>18</v>
      </c>
      <c r="E29" s="12" t="s">
        <v>19</v>
      </c>
      <c r="F29" s="12">
        <v>4.58</v>
      </c>
      <c r="G29" s="12">
        <v>4.77</v>
      </c>
      <c r="H29" s="13">
        <f t="shared" si="2"/>
        <v>4.675</v>
      </c>
      <c r="I29" s="9" t="s">
        <v>20</v>
      </c>
      <c r="J29" s="7">
        <v>1.0</v>
      </c>
    </row>
    <row r="30" ht="14.25" customHeight="1">
      <c r="A30" s="9">
        <f t="shared" si="3"/>
        <v>8</v>
      </c>
      <c r="B30" s="15" t="s">
        <v>33</v>
      </c>
      <c r="C30" s="10" t="s">
        <v>41</v>
      </c>
      <c r="D30" s="11" t="s">
        <v>18</v>
      </c>
      <c r="E30" s="12" t="s">
        <v>19</v>
      </c>
      <c r="F30" s="12">
        <v>5.38</v>
      </c>
      <c r="G30" s="12">
        <v>6.39</v>
      </c>
      <c r="H30" s="13">
        <f t="shared" si="2"/>
        <v>5.885</v>
      </c>
      <c r="I30" s="9" t="s">
        <v>20</v>
      </c>
      <c r="J30" s="7">
        <v>1.0</v>
      </c>
    </row>
    <row r="31" ht="14.25" customHeight="1">
      <c r="A31" s="9">
        <f t="shared" si="3"/>
        <v>9</v>
      </c>
      <c r="B31" s="15" t="s">
        <v>33</v>
      </c>
      <c r="C31" s="10" t="s">
        <v>42</v>
      </c>
      <c r="D31" s="11" t="s">
        <v>18</v>
      </c>
      <c r="E31" s="12" t="s">
        <v>19</v>
      </c>
      <c r="F31" s="12">
        <v>7.38</v>
      </c>
      <c r="G31" s="12">
        <v>7.43</v>
      </c>
      <c r="H31" s="13">
        <f t="shared" si="2"/>
        <v>7.405</v>
      </c>
      <c r="I31" s="9" t="s">
        <v>20</v>
      </c>
      <c r="J31" s="7">
        <v>1.0</v>
      </c>
    </row>
    <row r="32" ht="14.25" customHeight="1">
      <c r="A32" s="9">
        <f t="shared" si="3"/>
        <v>10</v>
      </c>
      <c r="B32" s="15" t="s">
        <v>33</v>
      </c>
      <c r="C32" s="10" t="s">
        <v>43</v>
      </c>
      <c r="D32" s="11" t="s">
        <v>18</v>
      </c>
      <c r="E32" s="12" t="s">
        <v>19</v>
      </c>
      <c r="F32" s="12">
        <v>4.47</v>
      </c>
      <c r="G32" s="12">
        <v>4.99</v>
      </c>
      <c r="H32" s="13">
        <f t="shared" si="2"/>
        <v>4.73</v>
      </c>
      <c r="I32" s="9" t="s">
        <v>20</v>
      </c>
      <c r="J32" s="7">
        <v>1.0</v>
      </c>
    </row>
    <row r="33" ht="14.25" customHeight="1">
      <c r="A33" s="9">
        <f t="shared" si="3"/>
        <v>11</v>
      </c>
      <c r="B33" s="15" t="s">
        <v>33</v>
      </c>
      <c r="C33" s="10" t="s">
        <v>44</v>
      </c>
      <c r="D33" s="11" t="s">
        <v>18</v>
      </c>
      <c r="E33" s="12" t="s">
        <v>19</v>
      </c>
      <c r="F33" s="12">
        <v>4.36</v>
      </c>
      <c r="G33" s="12">
        <v>4.78</v>
      </c>
      <c r="H33" s="13">
        <f t="shared" si="2"/>
        <v>4.57</v>
      </c>
      <c r="I33" s="9" t="s">
        <v>20</v>
      </c>
      <c r="J33" s="7">
        <v>1.0</v>
      </c>
    </row>
    <row r="34" ht="14.25" customHeight="1">
      <c r="A34" s="9">
        <f t="shared" si="3"/>
        <v>12</v>
      </c>
      <c r="B34" s="15" t="s">
        <v>33</v>
      </c>
      <c r="C34" s="10" t="s">
        <v>45</v>
      </c>
      <c r="D34" s="11" t="s">
        <v>18</v>
      </c>
      <c r="E34" s="12" t="s">
        <v>19</v>
      </c>
      <c r="F34" s="12">
        <v>4.78</v>
      </c>
      <c r="G34" s="12">
        <v>4.36</v>
      </c>
      <c r="H34" s="13">
        <f t="shared" si="2"/>
        <v>4.57</v>
      </c>
      <c r="I34" s="9" t="s">
        <v>20</v>
      </c>
      <c r="J34" s="7">
        <v>1.0</v>
      </c>
    </row>
    <row r="35" ht="14.25" customHeight="1">
      <c r="A35" s="9">
        <f t="shared" si="3"/>
        <v>13</v>
      </c>
      <c r="B35" s="15" t="s">
        <v>33</v>
      </c>
      <c r="C35" s="10" t="s">
        <v>46</v>
      </c>
      <c r="D35" s="11" t="s">
        <v>18</v>
      </c>
      <c r="E35" s="12" t="s">
        <v>19</v>
      </c>
      <c r="F35" s="12">
        <v>5.38</v>
      </c>
      <c r="G35" s="12">
        <v>5.11</v>
      </c>
      <c r="H35" s="13">
        <f t="shared" si="2"/>
        <v>5.245</v>
      </c>
      <c r="I35" s="9" t="s">
        <v>20</v>
      </c>
      <c r="J35" s="7">
        <v>1.0</v>
      </c>
    </row>
    <row r="36" ht="14.25" customHeight="1">
      <c r="A36" s="9">
        <f t="shared" si="3"/>
        <v>14</v>
      </c>
      <c r="B36" s="15" t="s">
        <v>33</v>
      </c>
      <c r="C36" s="10" t="s">
        <v>47</v>
      </c>
      <c r="D36" s="11" t="s">
        <v>18</v>
      </c>
      <c r="E36" s="12" t="s">
        <v>19</v>
      </c>
      <c r="F36" s="12">
        <v>6.08</v>
      </c>
      <c r="G36" s="12">
        <v>5.14</v>
      </c>
      <c r="H36" s="13">
        <f t="shared" si="2"/>
        <v>5.61</v>
      </c>
      <c r="I36" s="9" t="s">
        <v>20</v>
      </c>
      <c r="J36" s="7">
        <v>1.0</v>
      </c>
    </row>
    <row r="37" ht="14.25" customHeight="1">
      <c r="A37" s="9">
        <f t="shared" si="3"/>
        <v>15</v>
      </c>
      <c r="B37" s="15" t="s">
        <v>33</v>
      </c>
      <c r="C37" s="10" t="s">
        <v>48</v>
      </c>
      <c r="D37" s="11" t="s">
        <v>18</v>
      </c>
      <c r="E37" s="12" t="s">
        <v>19</v>
      </c>
      <c r="F37" s="12">
        <v>6.78</v>
      </c>
      <c r="G37" s="12">
        <v>7.24</v>
      </c>
      <c r="H37" s="13">
        <f t="shared" si="2"/>
        <v>7.01</v>
      </c>
      <c r="I37" s="9" t="s">
        <v>20</v>
      </c>
      <c r="J37" s="7">
        <v>1.0</v>
      </c>
    </row>
    <row r="38" ht="14.25" customHeight="1">
      <c r="A38" s="9">
        <f t="shared" si="3"/>
        <v>16</v>
      </c>
      <c r="B38" s="15" t="s">
        <v>33</v>
      </c>
      <c r="C38" s="10" t="s">
        <v>49</v>
      </c>
      <c r="D38" s="11" t="s">
        <v>18</v>
      </c>
      <c r="E38" s="12" t="s">
        <v>19</v>
      </c>
      <c r="F38" s="12">
        <v>3.78</v>
      </c>
      <c r="G38" s="12">
        <v>4.06</v>
      </c>
      <c r="H38" s="13">
        <f t="shared" si="2"/>
        <v>3.92</v>
      </c>
      <c r="I38" s="18" t="s">
        <v>50</v>
      </c>
      <c r="K38" s="7">
        <v>1.0</v>
      </c>
    </row>
    <row r="39" ht="14.25" customHeight="1">
      <c r="A39" s="9">
        <f t="shared" si="3"/>
        <v>17</v>
      </c>
      <c r="B39" s="15" t="s">
        <v>33</v>
      </c>
      <c r="C39" s="10" t="s">
        <v>51</v>
      </c>
      <c r="D39" s="11" t="s">
        <v>18</v>
      </c>
      <c r="E39" s="12" t="s">
        <v>19</v>
      </c>
      <c r="F39" s="12">
        <v>6.43</v>
      </c>
      <c r="G39" s="12">
        <v>5.34</v>
      </c>
      <c r="H39" s="13">
        <f t="shared" si="2"/>
        <v>5.885</v>
      </c>
      <c r="I39" s="9" t="s">
        <v>20</v>
      </c>
      <c r="J39" s="7">
        <v>1.0</v>
      </c>
    </row>
    <row r="40" ht="14.25" customHeight="1">
      <c r="A40" s="9">
        <f t="shared" si="3"/>
        <v>18</v>
      </c>
      <c r="B40" s="15" t="s">
        <v>33</v>
      </c>
      <c r="C40" s="10" t="s">
        <v>52</v>
      </c>
      <c r="D40" s="11" t="s">
        <v>18</v>
      </c>
      <c r="E40" s="12" t="s">
        <v>19</v>
      </c>
      <c r="F40" s="12">
        <v>4.24</v>
      </c>
      <c r="G40" s="12">
        <v>3.98</v>
      </c>
      <c r="H40" s="13">
        <f t="shared" si="2"/>
        <v>4.11</v>
      </c>
      <c r="I40" s="18" t="s">
        <v>50</v>
      </c>
      <c r="K40" s="7">
        <v>1.0</v>
      </c>
    </row>
    <row r="41" ht="14.25" customHeight="1">
      <c r="A41" s="9">
        <f t="shared" si="3"/>
        <v>19</v>
      </c>
      <c r="B41" s="15" t="s">
        <v>33</v>
      </c>
      <c r="C41" s="10" t="s">
        <v>53</v>
      </c>
      <c r="D41" s="11" t="s">
        <v>18</v>
      </c>
      <c r="E41" s="12" t="s">
        <v>19</v>
      </c>
      <c r="F41" s="12">
        <v>4.97</v>
      </c>
      <c r="G41" s="12">
        <v>5.21</v>
      </c>
      <c r="H41" s="13">
        <f t="shared" si="2"/>
        <v>5.09</v>
      </c>
      <c r="I41" s="9" t="s">
        <v>20</v>
      </c>
      <c r="J41" s="7">
        <v>1.0</v>
      </c>
    </row>
    <row r="42" ht="14.25" customHeight="1">
      <c r="A42" s="9">
        <f t="shared" si="3"/>
        <v>20</v>
      </c>
      <c r="B42" s="15" t="s">
        <v>33</v>
      </c>
      <c r="C42" s="10" t="s">
        <v>54</v>
      </c>
      <c r="D42" s="11" t="s">
        <v>18</v>
      </c>
      <c r="E42" s="12" t="s">
        <v>19</v>
      </c>
      <c r="F42" s="12">
        <v>6.04</v>
      </c>
      <c r="G42" s="12">
        <v>5.27</v>
      </c>
      <c r="H42" s="13">
        <f t="shared" si="2"/>
        <v>5.655</v>
      </c>
      <c r="I42" s="9" t="s">
        <v>20</v>
      </c>
      <c r="J42" s="7">
        <v>1.0</v>
      </c>
    </row>
    <row r="43" ht="14.25" customHeight="1">
      <c r="A43" s="9">
        <f t="shared" si="3"/>
        <v>21</v>
      </c>
      <c r="B43" s="15" t="s">
        <v>33</v>
      </c>
      <c r="C43" s="10" t="s">
        <v>55</v>
      </c>
      <c r="D43" s="11" t="s">
        <v>18</v>
      </c>
      <c r="E43" s="12" t="s">
        <v>19</v>
      </c>
      <c r="F43" s="12">
        <v>3.97</v>
      </c>
      <c r="G43" s="12">
        <v>4.06</v>
      </c>
      <c r="H43" s="13">
        <f t="shared" si="2"/>
        <v>4.015</v>
      </c>
      <c r="I43" s="18" t="s">
        <v>50</v>
      </c>
      <c r="K43" s="7">
        <v>1.0</v>
      </c>
    </row>
    <row r="44" ht="14.25" customHeight="1">
      <c r="A44" s="9">
        <f t="shared" si="3"/>
        <v>22</v>
      </c>
      <c r="B44" s="15" t="s">
        <v>33</v>
      </c>
      <c r="C44" s="10" t="s">
        <v>56</v>
      </c>
      <c r="D44" s="11" t="s">
        <v>18</v>
      </c>
      <c r="E44" s="12" t="s">
        <v>19</v>
      </c>
      <c r="F44" s="12">
        <v>5.28</v>
      </c>
      <c r="G44" s="12">
        <v>4.36</v>
      </c>
      <c r="H44" s="13">
        <f t="shared" si="2"/>
        <v>4.82</v>
      </c>
      <c r="I44" s="9" t="s">
        <v>20</v>
      </c>
      <c r="J44" s="7">
        <v>1.0</v>
      </c>
    </row>
    <row r="45" ht="14.25" customHeight="1">
      <c r="A45" s="9">
        <f t="shared" si="3"/>
        <v>23</v>
      </c>
      <c r="B45" s="15" t="s">
        <v>33</v>
      </c>
      <c r="C45" s="10" t="s">
        <v>57</v>
      </c>
      <c r="D45" s="11" t="s">
        <v>18</v>
      </c>
      <c r="E45" s="12" t="s">
        <v>19</v>
      </c>
      <c r="F45" s="12">
        <v>5.78</v>
      </c>
      <c r="G45" s="12">
        <v>4.05</v>
      </c>
      <c r="H45" s="13">
        <f t="shared" si="2"/>
        <v>4.915</v>
      </c>
      <c r="I45" s="9" t="s">
        <v>20</v>
      </c>
      <c r="J45" s="7">
        <v>1.0</v>
      </c>
    </row>
    <row r="46" ht="14.25" customHeight="1">
      <c r="A46" s="9">
        <f t="shared" si="3"/>
        <v>24</v>
      </c>
      <c r="B46" s="15" t="s">
        <v>33</v>
      </c>
      <c r="C46" s="10" t="s">
        <v>58</v>
      </c>
      <c r="D46" s="11" t="s">
        <v>18</v>
      </c>
      <c r="E46" s="12" t="s">
        <v>19</v>
      </c>
      <c r="F46" s="12">
        <v>4.25</v>
      </c>
      <c r="G46" s="12">
        <v>5.32</v>
      </c>
      <c r="H46" s="13">
        <f t="shared" si="2"/>
        <v>4.785</v>
      </c>
      <c r="I46" s="9" t="s">
        <v>20</v>
      </c>
      <c r="J46" s="7">
        <v>1.0</v>
      </c>
    </row>
    <row r="47" ht="14.25" customHeight="1">
      <c r="A47" s="9"/>
      <c r="B47" s="15"/>
      <c r="C47" s="10"/>
      <c r="D47" s="11"/>
      <c r="E47" s="12"/>
      <c r="F47" s="12"/>
      <c r="G47" s="12"/>
      <c r="H47" s="13"/>
      <c r="I47" s="9"/>
      <c r="J47" s="16">
        <f t="shared" ref="J47:K47" si="4">SUM(J23:J46)</f>
        <v>21</v>
      </c>
      <c r="K47" s="16">
        <f t="shared" si="4"/>
        <v>3</v>
      </c>
    </row>
    <row r="48" ht="14.25" customHeight="1">
      <c r="A48" s="9"/>
      <c r="B48" s="15"/>
      <c r="C48" s="10"/>
      <c r="D48" s="11"/>
      <c r="E48" s="12"/>
      <c r="F48" s="12"/>
      <c r="G48" s="12"/>
      <c r="H48" s="13"/>
      <c r="I48" s="9"/>
      <c r="J48" s="17">
        <f>J47/A46</f>
        <v>0.875</v>
      </c>
      <c r="K48" s="17">
        <f>K47/A46</f>
        <v>0.125</v>
      </c>
    </row>
    <row r="49" ht="14.25" customHeight="1">
      <c r="A49" s="9"/>
      <c r="B49" s="15"/>
      <c r="C49" s="10"/>
      <c r="D49" s="11"/>
      <c r="E49" s="12"/>
      <c r="F49" s="12"/>
      <c r="G49" s="12"/>
      <c r="H49" s="13"/>
      <c r="I49" s="9"/>
    </row>
    <row r="50" ht="14.25" customHeight="1">
      <c r="A50" s="11">
        <v>1.0</v>
      </c>
      <c r="B50" s="9" t="s">
        <v>59</v>
      </c>
      <c r="C50" s="10" t="s">
        <v>60</v>
      </c>
      <c r="D50" s="11" t="s">
        <v>18</v>
      </c>
      <c r="E50" s="12" t="s">
        <v>19</v>
      </c>
      <c r="F50" s="12">
        <v>8.58</v>
      </c>
      <c r="G50" s="12">
        <v>9.12</v>
      </c>
      <c r="H50" s="13">
        <f t="shared" ref="H50:H65" si="5">AVERAGE(F50:G50)</f>
        <v>8.85</v>
      </c>
      <c r="I50" s="9" t="s">
        <v>20</v>
      </c>
      <c r="J50" s="7">
        <v>1.0</v>
      </c>
    </row>
    <row r="51" ht="14.25" customHeight="1">
      <c r="A51" s="11">
        <f t="shared" ref="A51:A65" si="6">A50+1</f>
        <v>2</v>
      </c>
      <c r="B51" s="9" t="s">
        <v>59</v>
      </c>
      <c r="C51" s="10" t="s">
        <v>61</v>
      </c>
      <c r="D51" s="11" t="s">
        <v>18</v>
      </c>
      <c r="E51" s="12" t="s">
        <v>19</v>
      </c>
      <c r="F51" s="12">
        <v>8.3</v>
      </c>
      <c r="G51" s="12">
        <v>9.01</v>
      </c>
      <c r="H51" s="13">
        <f t="shared" si="5"/>
        <v>8.655</v>
      </c>
      <c r="I51" s="9" t="s">
        <v>20</v>
      </c>
      <c r="J51" s="7">
        <v>1.0</v>
      </c>
    </row>
    <row r="52" ht="14.25" customHeight="1">
      <c r="A52" s="11">
        <f t="shared" si="6"/>
        <v>3</v>
      </c>
      <c r="B52" s="9" t="s">
        <v>59</v>
      </c>
      <c r="C52" s="10" t="s">
        <v>62</v>
      </c>
      <c r="D52" s="11" t="s">
        <v>18</v>
      </c>
      <c r="E52" s="12" t="s">
        <v>19</v>
      </c>
      <c r="F52" s="12">
        <v>8.64</v>
      </c>
      <c r="G52" s="12">
        <v>9.05</v>
      </c>
      <c r="H52" s="13">
        <f t="shared" si="5"/>
        <v>8.845</v>
      </c>
      <c r="I52" s="9" t="s">
        <v>20</v>
      </c>
      <c r="J52" s="7">
        <v>1.0</v>
      </c>
    </row>
    <row r="53" ht="14.25" customHeight="1">
      <c r="A53" s="11">
        <f t="shared" si="6"/>
        <v>4</v>
      </c>
      <c r="B53" s="9" t="s">
        <v>59</v>
      </c>
      <c r="C53" s="10" t="s">
        <v>63</v>
      </c>
      <c r="D53" s="11" t="s">
        <v>18</v>
      </c>
      <c r="E53" s="12" t="s">
        <v>19</v>
      </c>
      <c r="F53" s="12">
        <v>8.44</v>
      </c>
      <c r="G53" s="12">
        <v>8.58</v>
      </c>
      <c r="H53" s="13">
        <f t="shared" si="5"/>
        <v>8.51</v>
      </c>
      <c r="I53" s="9" t="s">
        <v>20</v>
      </c>
      <c r="J53" s="7">
        <v>1.0</v>
      </c>
    </row>
    <row r="54" ht="14.25" customHeight="1">
      <c r="A54" s="11">
        <f t="shared" si="6"/>
        <v>5</v>
      </c>
      <c r="B54" s="9" t="s">
        <v>59</v>
      </c>
      <c r="C54" s="10" t="s">
        <v>64</v>
      </c>
      <c r="D54" s="11" t="s">
        <v>18</v>
      </c>
      <c r="E54" s="12" t="s">
        <v>19</v>
      </c>
      <c r="F54" s="12">
        <v>7.73</v>
      </c>
      <c r="G54" s="12">
        <v>8.66</v>
      </c>
      <c r="H54" s="13">
        <f t="shared" si="5"/>
        <v>8.195</v>
      </c>
      <c r="I54" s="9" t="s">
        <v>20</v>
      </c>
      <c r="J54" s="7">
        <v>1.0</v>
      </c>
    </row>
    <row r="55" ht="14.25" customHeight="1">
      <c r="A55" s="11">
        <f t="shared" si="6"/>
        <v>6</v>
      </c>
      <c r="B55" s="9" t="s">
        <v>59</v>
      </c>
      <c r="C55" s="10" t="s">
        <v>65</v>
      </c>
      <c r="D55" s="11" t="s">
        <v>18</v>
      </c>
      <c r="E55" s="12" t="s">
        <v>19</v>
      </c>
      <c r="F55" s="12">
        <v>6.53</v>
      </c>
      <c r="G55" s="12">
        <v>9.0</v>
      </c>
      <c r="H55" s="13">
        <f t="shared" si="5"/>
        <v>7.765</v>
      </c>
      <c r="I55" s="9" t="s">
        <v>20</v>
      </c>
      <c r="J55" s="7">
        <v>1.0</v>
      </c>
    </row>
    <row r="56" ht="14.25" customHeight="1">
      <c r="A56" s="11">
        <f t="shared" si="6"/>
        <v>7</v>
      </c>
      <c r="B56" s="9" t="s">
        <v>59</v>
      </c>
      <c r="C56" s="10" t="s">
        <v>66</v>
      </c>
      <c r="D56" s="11" t="s">
        <v>18</v>
      </c>
      <c r="E56" s="12" t="s">
        <v>19</v>
      </c>
      <c r="F56" s="12">
        <v>6.71</v>
      </c>
      <c r="G56" s="12">
        <v>7.25</v>
      </c>
      <c r="H56" s="13">
        <f t="shared" si="5"/>
        <v>6.98</v>
      </c>
      <c r="I56" s="9" t="s">
        <v>20</v>
      </c>
      <c r="J56" s="7">
        <v>1.0</v>
      </c>
    </row>
    <row r="57" ht="14.25" customHeight="1">
      <c r="A57" s="11">
        <f t="shared" si="6"/>
        <v>8</v>
      </c>
      <c r="B57" s="9" t="s">
        <v>59</v>
      </c>
      <c r="C57" s="10" t="s">
        <v>67</v>
      </c>
      <c r="D57" s="11" t="s">
        <v>18</v>
      </c>
      <c r="E57" s="12" t="s">
        <v>19</v>
      </c>
      <c r="F57" s="12">
        <v>7.35</v>
      </c>
      <c r="G57" s="12">
        <v>6.58</v>
      </c>
      <c r="H57" s="13">
        <f t="shared" si="5"/>
        <v>6.965</v>
      </c>
      <c r="I57" s="9" t="s">
        <v>20</v>
      </c>
      <c r="J57" s="7">
        <v>1.0</v>
      </c>
    </row>
    <row r="58" ht="14.25" customHeight="1">
      <c r="A58" s="11">
        <f t="shared" si="6"/>
        <v>9</v>
      </c>
      <c r="B58" s="9" t="s">
        <v>59</v>
      </c>
      <c r="C58" s="10" t="s">
        <v>68</v>
      </c>
      <c r="D58" s="11" t="s">
        <v>18</v>
      </c>
      <c r="E58" s="12" t="s">
        <v>19</v>
      </c>
      <c r="F58" s="12">
        <v>5.28</v>
      </c>
      <c r="G58" s="12">
        <v>8.28</v>
      </c>
      <c r="H58" s="13">
        <f t="shared" si="5"/>
        <v>6.78</v>
      </c>
      <c r="I58" s="9" t="s">
        <v>20</v>
      </c>
      <c r="J58" s="7">
        <v>1.0</v>
      </c>
    </row>
    <row r="59" ht="14.25" customHeight="1">
      <c r="A59" s="11">
        <f t="shared" si="6"/>
        <v>10</v>
      </c>
      <c r="B59" s="9" t="s">
        <v>59</v>
      </c>
      <c r="C59" s="10" t="s">
        <v>69</v>
      </c>
      <c r="D59" s="11" t="s">
        <v>18</v>
      </c>
      <c r="E59" s="12" t="s">
        <v>19</v>
      </c>
      <c r="F59" s="12">
        <v>5.78</v>
      </c>
      <c r="G59" s="12">
        <v>7.46</v>
      </c>
      <c r="H59" s="13">
        <f t="shared" si="5"/>
        <v>6.62</v>
      </c>
      <c r="I59" s="9" t="s">
        <v>20</v>
      </c>
      <c r="J59" s="7">
        <v>1.0</v>
      </c>
    </row>
    <row r="60" ht="14.25" customHeight="1">
      <c r="A60" s="11">
        <f t="shared" si="6"/>
        <v>11</v>
      </c>
      <c r="B60" s="9" t="s">
        <v>59</v>
      </c>
      <c r="C60" s="10" t="s">
        <v>70</v>
      </c>
      <c r="D60" s="11" t="s">
        <v>18</v>
      </c>
      <c r="E60" s="12" t="s">
        <v>19</v>
      </c>
      <c r="F60" s="12">
        <v>6.62</v>
      </c>
      <c r="G60" s="12">
        <v>7.82</v>
      </c>
      <c r="H60" s="13">
        <f t="shared" si="5"/>
        <v>7.22</v>
      </c>
      <c r="I60" s="9" t="s">
        <v>20</v>
      </c>
      <c r="J60" s="7">
        <v>1.0</v>
      </c>
    </row>
    <row r="61" ht="14.25" customHeight="1">
      <c r="A61" s="11">
        <f t="shared" si="6"/>
        <v>12</v>
      </c>
      <c r="B61" s="9" t="s">
        <v>59</v>
      </c>
      <c r="C61" s="10" t="s">
        <v>71</v>
      </c>
      <c r="D61" s="11" t="s">
        <v>18</v>
      </c>
      <c r="E61" s="12" t="s">
        <v>19</v>
      </c>
      <c r="F61" s="12">
        <v>6.78</v>
      </c>
      <c r="G61" s="12">
        <v>5.64</v>
      </c>
      <c r="H61" s="13">
        <f t="shared" si="5"/>
        <v>6.21</v>
      </c>
      <c r="I61" s="9" t="s">
        <v>20</v>
      </c>
      <c r="J61" s="7">
        <v>1.0</v>
      </c>
    </row>
    <row r="62" ht="14.25" customHeight="1">
      <c r="A62" s="11">
        <f t="shared" si="6"/>
        <v>13</v>
      </c>
      <c r="B62" s="9" t="s">
        <v>59</v>
      </c>
      <c r="C62" s="10" t="s">
        <v>28</v>
      </c>
      <c r="D62" s="11" t="s">
        <v>18</v>
      </c>
      <c r="E62" s="12" t="s">
        <v>19</v>
      </c>
      <c r="F62" s="12">
        <v>4.53</v>
      </c>
      <c r="G62" s="12">
        <v>4.6</v>
      </c>
      <c r="H62" s="13">
        <f t="shared" si="5"/>
        <v>4.565</v>
      </c>
      <c r="I62" s="9" t="s">
        <v>20</v>
      </c>
      <c r="J62" s="7">
        <v>1.0</v>
      </c>
    </row>
    <row r="63" ht="14.25" customHeight="1">
      <c r="A63" s="11">
        <f t="shared" si="6"/>
        <v>14</v>
      </c>
      <c r="B63" s="9" t="s">
        <v>59</v>
      </c>
      <c r="C63" s="10" t="s">
        <v>72</v>
      </c>
      <c r="D63" s="11" t="s">
        <v>18</v>
      </c>
      <c r="E63" s="12" t="s">
        <v>19</v>
      </c>
      <c r="F63" s="12">
        <v>5.0</v>
      </c>
      <c r="G63" s="12">
        <v>5.52</v>
      </c>
      <c r="H63" s="13">
        <f t="shared" si="5"/>
        <v>5.26</v>
      </c>
      <c r="I63" s="9" t="s">
        <v>20</v>
      </c>
      <c r="J63" s="7">
        <v>1.0</v>
      </c>
    </row>
    <row r="64" ht="14.25" customHeight="1">
      <c r="A64" s="11">
        <f t="shared" si="6"/>
        <v>15</v>
      </c>
      <c r="B64" s="9" t="s">
        <v>59</v>
      </c>
      <c r="C64" s="10" t="s">
        <v>73</v>
      </c>
      <c r="D64" s="11" t="s">
        <v>18</v>
      </c>
      <c r="E64" s="12" t="s">
        <v>19</v>
      </c>
      <c r="F64" s="12">
        <v>2.85</v>
      </c>
      <c r="G64" s="12">
        <v>3.12</v>
      </c>
      <c r="H64" s="13">
        <f t="shared" si="5"/>
        <v>2.985</v>
      </c>
      <c r="I64" s="18" t="s">
        <v>50</v>
      </c>
      <c r="K64" s="7">
        <v>1.0</v>
      </c>
    </row>
    <row r="65" ht="14.25" customHeight="1">
      <c r="A65" s="11">
        <f t="shared" si="6"/>
        <v>16</v>
      </c>
      <c r="B65" s="9" t="s">
        <v>59</v>
      </c>
      <c r="C65" s="10" t="s">
        <v>74</v>
      </c>
      <c r="D65" s="11" t="s">
        <v>18</v>
      </c>
      <c r="E65" s="12" t="s">
        <v>19</v>
      </c>
      <c r="F65" s="12">
        <v>3.07</v>
      </c>
      <c r="G65" s="12">
        <v>3.71</v>
      </c>
      <c r="H65" s="13">
        <f t="shared" si="5"/>
        <v>3.39</v>
      </c>
      <c r="I65" s="18" t="s">
        <v>50</v>
      </c>
      <c r="K65" s="7">
        <v>1.0</v>
      </c>
    </row>
    <row r="66" ht="14.25" customHeight="1">
      <c r="A66" s="11"/>
      <c r="B66" s="9"/>
      <c r="C66" s="10"/>
      <c r="D66" s="11"/>
      <c r="E66" s="12"/>
      <c r="F66" s="12"/>
      <c r="G66" s="12"/>
      <c r="H66" s="13"/>
      <c r="I66" s="18"/>
      <c r="J66" s="16">
        <f t="shared" ref="J66:K66" si="7">SUM(J50:J65)</f>
        <v>14</v>
      </c>
      <c r="K66" s="16">
        <f t="shared" si="7"/>
        <v>2</v>
      </c>
    </row>
    <row r="67" ht="14.25" customHeight="1">
      <c r="A67" s="11"/>
      <c r="B67" s="9"/>
      <c r="C67" s="10"/>
      <c r="D67" s="11"/>
      <c r="E67" s="12"/>
      <c r="F67" s="12"/>
      <c r="G67" s="12"/>
      <c r="H67" s="13"/>
      <c r="I67" s="18"/>
      <c r="J67" s="17">
        <f>J66/A65</f>
        <v>0.875</v>
      </c>
      <c r="K67" s="17">
        <f>K66/A65</f>
        <v>0.125</v>
      </c>
    </row>
    <row r="68" ht="14.25" customHeight="1">
      <c r="A68" s="11"/>
      <c r="B68" s="9"/>
      <c r="C68" s="10"/>
      <c r="D68" s="11"/>
      <c r="E68" s="12"/>
      <c r="F68" s="12"/>
      <c r="G68" s="12"/>
      <c r="H68" s="13"/>
      <c r="I68" s="18"/>
    </row>
    <row r="69" ht="14.25" customHeight="1">
      <c r="A69" s="11">
        <v>1.0</v>
      </c>
      <c r="B69" s="9" t="s">
        <v>75</v>
      </c>
      <c r="C69" s="10" t="s">
        <v>76</v>
      </c>
      <c r="D69" s="11" t="s">
        <v>18</v>
      </c>
      <c r="E69" s="12" t="s">
        <v>19</v>
      </c>
      <c r="F69" s="12">
        <v>9.52</v>
      </c>
      <c r="G69" s="12">
        <v>9.66</v>
      </c>
      <c r="H69" s="13">
        <f t="shared" ref="H69:H93" si="8">AVERAGE(F69:G69)</f>
        <v>9.59</v>
      </c>
      <c r="I69" s="9" t="s">
        <v>20</v>
      </c>
      <c r="J69" s="7">
        <v>1.0</v>
      </c>
    </row>
    <row r="70" ht="14.25" customHeight="1">
      <c r="A70" s="11">
        <f t="shared" ref="A70:A93" si="9">A69+1</f>
        <v>2</v>
      </c>
      <c r="B70" s="9" t="s">
        <v>75</v>
      </c>
      <c r="C70" s="10" t="s">
        <v>77</v>
      </c>
      <c r="D70" s="11" t="s">
        <v>18</v>
      </c>
      <c r="E70" s="12" t="s">
        <v>19</v>
      </c>
      <c r="F70" s="12">
        <v>9.4</v>
      </c>
      <c r="G70" s="12">
        <v>9.52</v>
      </c>
      <c r="H70" s="13">
        <f t="shared" si="8"/>
        <v>9.46</v>
      </c>
      <c r="I70" s="9" t="s">
        <v>20</v>
      </c>
      <c r="J70" s="7">
        <v>1.0</v>
      </c>
    </row>
    <row r="71" ht="14.25" customHeight="1">
      <c r="A71" s="11">
        <f t="shared" si="9"/>
        <v>3</v>
      </c>
      <c r="B71" s="9" t="s">
        <v>75</v>
      </c>
      <c r="C71" s="10" t="s">
        <v>78</v>
      </c>
      <c r="D71" s="11" t="s">
        <v>18</v>
      </c>
      <c r="E71" s="12" t="s">
        <v>19</v>
      </c>
      <c r="F71" s="12">
        <v>9.2</v>
      </c>
      <c r="G71" s="12">
        <v>9.42</v>
      </c>
      <c r="H71" s="13">
        <f t="shared" si="8"/>
        <v>9.31</v>
      </c>
      <c r="I71" s="9" t="s">
        <v>20</v>
      </c>
      <c r="J71" s="7">
        <v>1.0</v>
      </c>
    </row>
    <row r="72" ht="14.25" customHeight="1">
      <c r="A72" s="11">
        <f t="shared" si="9"/>
        <v>4</v>
      </c>
      <c r="B72" s="9" t="s">
        <v>75</v>
      </c>
      <c r="C72" s="10" t="s">
        <v>79</v>
      </c>
      <c r="D72" s="11" t="s">
        <v>18</v>
      </c>
      <c r="E72" s="12" t="s">
        <v>19</v>
      </c>
      <c r="F72" s="12">
        <v>9.13</v>
      </c>
      <c r="G72" s="12">
        <v>9.4</v>
      </c>
      <c r="H72" s="13">
        <f t="shared" si="8"/>
        <v>9.265</v>
      </c>
      <c r="I72" s="9" t="s">
        <v>20</v>
      </c>
      <c r="J72" s="7">
        <v>1.0</v>
      </c>
    </row>
    <row r="73" ht="14.25" customHeight="1">
      <c r="A73" s="11">
        <f t="shared" si="9"/>
        <v>5</v>
      </c>
      <c r="B73" s="9" t="s">
        <v>75</v>
      </c>
      <c r="C73" s="10" t="s">
        <v>80</v>
      </c>
      <c r="D73" s="11" t="s">
        <v>18</v>
      </c>
      <c r="E73" s="12" t="s">
        <v>19</v>
      </c>
      <c r="F73" s="12">
        <v>8.86</v>
      </c>
      <c r="G73" s="12">
        <v>9.12</v>
      </c>
      <c r="H73" s="13">
        <f t="shared" si="8"/>
        <v>8.99</v>
      </c>
      <c r="I73" s="9" t="s">
        <v>20</v>
      </c>
      <c r="J73" s="7">
        <v>1.0</v>
      </c>
    </row>
    <row r="74" ht="14.25" customHeight="1">
      <c r="A74" s="11">
        <f t="shared" si="9"/>
        <v>6</v>
      </c>
      <c r="B74" s="9" t="s">
        <v>75</v>
      </c>
      <c r="C74" s="10" t="s">
        <v>81</v>
      </c>
      <c r="D74" s="11" t="s">
        <v>18</v>
      </c>
      <c r="E74" s="12" t="s">
        <v>19</v>
      </c>
      <c r="F74" s="12">
        <v>8.8</v>
      </c>
      <c r="G74" s="12">
        <v>9.34</v>
      </c>
      <c r="H74" s="13">
        <f t="shared" si="8"/>
        <v>9.07</v>
      </c>
      <c r="I74" s="9" t="s">
        <v>20</v>
      </c>
      <c r="J74" s="7">
        <v>1.0</v>
      </c>
    </row>
    <row r="75" ht="14.25" customHeight="1">
      <c r="A75" s="11">
        <f t="shared" si="9"/>
        <v>7</v>
      </c>
      <c r="B75" s="9" t="s">
        <v>75</v>
      </c>
      <c r="C75" s="10" t="s">
        <v>82</v>
      </c>
      <c r="D75" s="11" t="s">
        <v>18</v>
      </c>
      <c r="E75" s="12" t="s">
        <v>19</v>
      </c>
      <c r="F75" s="12">
        <v>8.73</v>
      </c>
      <c r="G75" s="12">
        <v>9.13</v>
      </c>
      <c r="H75" s="13">
        <f t="shared" si="8"/>
        <v>8.93</v>
      </c>
      <c r="I75" s="9" t="s">
        <v>20</v>
      </c>
      <c r="J75" s="7">
        <v>1.0</v>
      </c>
    </row>
    <row r="76" ht="14.25" customHeight="1">
      <c r="A76" s="11">
        <f t="shared" si="9"/>
        <v>8</v>
      </c>
      <c r="B76" s="9" t="s">
        <v>75</v>
      </c>
      <c r="C76" s="10" t="s">
        <v>83</v>
      </c>
      <c r="D76" s="11" t="s">
        <v>18</v>
      </c>
      <c r="E76" s="12" t="s">
        <v>19</v>
      </c>
      <c r="F76" s="12">
        <v>8.6</v>
      </c>
      <c r="G76" s="12">
        <v>9.06</v>
      </c>
      <c r="H76" s="13">
        <f t="shared" si="8"/>
        <v>8.83</v>
      </c>
      <c r="I76" s="9" t="s">
        <v>20</v>
      </c>
      <c r="J76" s="7">
        <v>1.0</v>
      </c>
    </row>
    <row r="77" ht="14.25" customHeight="1">
      <c r="A77" s="11">
        <f t="shared" si="9"/>
        <v>9</v>
      </c>
      <c r="B77" s="9" t="s">
        <v>75</v>
      </c>
      <c r="C77" s="10" t="s">
        <v>84</v>
      </c>
      <c r="D77" s="11" t="s">
        <v>18</v>
      </c>
      <c r="E77" s="12" t="s">
        <v>19</v>
      </c>
      <c r="F77" s="12">
        <v>8.4</v>
      </c>
      <c r="G77" s="12">
        <v>8.82</v>
      </c>
      <c r="H77" s="13">
        <f t="shared" si="8"/>
        <v>8.61</v>
      </c>
      <c r="I77" s="9" t="s">
        <v>20</v>
      </c>
      <c r="J77" s="7">
        <v>1.0</v>
      </c>
    </row>
    <row r="78" ht="14.25" customHeight="1">
      <c r="A78" s="11">
        <f t="shared" si="9"/>
        <v>10</v>
      </c>
      <c r="B78" s="9" t="s">
        <v>75</v>
      </c>
      <c r="C78" s="10" t="s">
        <v>85</v>
      </c>
      <c r="D78" s="11" t="s">
        <v>18</v>
      </c>
      <c r="E78" s="12" t="s">
        <v>19</v>
      </c>
      <c r="F78" s="12">
        <v>7.93</v>
      </c>
      <c r="G78" s="12">
        <v>8.93</v>
      </c>
      <c r="H78" s="13">
        <f t="shared" si="8"/>
        <v>8.43</v>
      </c>
      <c r="I78" s="9" t="s">
        <v>20</v>
      </c>
      <c r="J78" s="7">
        <v>1.0</v>
      </c>
    </row>
    <row r="79" ht="14.25" customHeight="1">
      <c r="A79" s="11">
        <f t="shared" si="9"/>
        <v>11</v>
      </c>
      <c r="B79" s="9" t="s">
        <v>75</v>
      </c>
      <c r="C79" s="10" t="s">
        <v>86</v>
      </c>
      <c r="D79" s="11" t="s">
        <v>18</v>
      </c>
      <c r="E79" s="12" t="s">
        <v>19</v>
      </c>
      <c r="F79" s="12">
        <v>6.46</v>
      </c>
      <c r="G79" s="12">
        <v>8.0</v>
      </c>
      <c r="H79" s="13">
        <f t="shared" si="8"/>
        <v>7.23</v>
      </c>
      <c r="I79" s="9" t="s">
        <v>20</v>
      </c>
      <c r="J79" s="7">
        <v>1.0</v>
      </c>
    </row>
    <row r="80" ht="14.25" customHeight="1">
      <c r="A80" s="11">
        <f t="shared" si="9"/>
        <v>12</v>
      </c>
      <c r="B80" s="9" t="s">
        <v>75</v>
      </c>
      <c r="C80" s="10" t="s">
        <v>87</v>
      </c>
      <c r="D80" s="11" t="s">
        <v>18</v>
      </c>
      <c r="E80" s="12" t="s">
        <v>19</v>
      </c>
      <c r="F80" s="12">
        <v>6.0</v>
      </c>
      <c r="G80" s="12">
        <v>7.32</v>
      </c>
      <c r="H80" s="13">
        <f t="shared" si="8"/>
        <v>6.66</v>
      </c>
      <c r="I80" s="9" t="s">
        <v>20</v>
      </c>
      <c r="J80" s="7">
        <v>1.0</v>
      </c>
    </row>
    <row r="81" ht="14.25" customHeight="1">
      <c r="A81" s="11">
        <f t="shared" si="9"/>
        <v>13</v>
      </c>
      <c r="B81" s="9" t="s">
        <v>75</v>
      </c>
      <c r="C81" s="10" t="s">
        <v>88</v>
      </c>
      <c r="D81" s="11" t="s">
        <v>18</v>
      </c>
      <c r="E81" s="12" t="s">
        <v>19</v>
      </c>
      <c r="F81" s="12">
        <v>5.73</v>
      </c>
      <c r="G81" s="12">
        <v>7.4</v>
      </c>
      <c r="H81" s="13">
        <f t="shared" si="8"/>
        <v>6.565</v>
      </c>
      <c r="I81" s="9" t="s">
        <v>20</v>
      </c>
      <c r="J81" s="7">
        <v>1.0</v>
      </c>
    </row>
    <row r="82" ht="14.25" customHeight="1">
      <c r="A82" s="11">
        <f t="shared" si="9"/>
        <v>14</v>
      </c>
      <c r="B82" s="9" t="s">
        <v>75</v>
      </c>
      <c r="C82" s="10" t="s">
        <v>89</v>
      </c>
      <c r="D82" s="11" t="s">
        <v>18</v>
      </c>
      <c r="E82" s="12" t="s">
        <v>19</v>
      </c>
      <c r="F82" s="12">
        <v>5.4</v>
      </c>
      <c r="G82" s="12">
        <v>6.08</v>
      </c>
      <c r="H82" s="13">
        <f t="shared" si="8"/>
        <v>5.74</v>
      </c>
      <c r="I82" s="9" t="s">
        <v>20</v>
      </c>
      <c r="J82" s="7">
        <v>1.0</v>
      </c>
    </row>
    <row r="83" ht="14.25" customHeight="1">
      <c r="A83" s="11">
        <f t="shared" si="9"/>
        <v>15</v>
      </c>
      <c r="B83" s="9" t="s">
        <v>75</v>
      </c>
      <c r="C83" s="10" t="s">
        <v>90</v>
      </c>
      <c r="D83" s="11" t="s">
        <v>18</v>
      </c>
      <c r="E83" s="12" t="s">
        <v>19</v>
      </c>
      <c r="F83" s="12">
        <v>5.26</v>
      </c>
      <c r="G83" s="12">
        <v>6.15</v>
      </c>
      <c r="H83" s="13">
        <f t="shared" si="8"/>
        <v>5.705</v>
      </c>
      <c r="I83" s="9" t="s">
        <v>20</v>
      </c>
      <c r="J83" s="7">
        <v>1.0</v>
      </c>
    </row>
    <row r="84" ht="14.25" customHeight="1">
      <c r="A84" s="11">
        <f t="shared" si="9"/>
        <v>16</v>
      </c>
      <c r="B84" s="9" t="s">
        <v>75</v>
      </c>
      <c r="C84" s="10" t="s">
        <v>91</v>
      </c>
      <c r="D84" s="11" t="s">
        <v>18</v>
      </c>
      <c r="E84" s="12" t="s">
        <v>19</v>
      </c>
      <c r="F84" s="12">
        <v>5.06</v>
      </c>
      <c r="G84" s="12">
        <v>6.0</v>
      </c>
      <c r="H84" s="13">
        <f t="shared" si="8"/>
        <v>5.53</v>
      </c>
      <c r="I84" s="9" t="s">
        <v>20</v>
      </c>
      <c r="J84" s="7">
        <v>1.0</v>
      </c>
    </row>
    <row r="85" ht="14.25" customHeight="1">
      <c r="A85" s="11">
        <f t="shared" si="9"/>
        <v>17</v>
      </c>
      <c r="B85" s="9" t="s">
        <v>75</v>
      </c>
      <c r="C85" s="10" t="s">
        <v>92</v>
      </c>
      <c r="D85" s="11" t="s">
        <v>18</v>
      </c>
      <c r="E85" s="12" t="s">
        <v>19</v>
      </c>
      <c r="F85" s="12">
        <v>4.6</v>
      </c>
      <c r="G85" s="12">
        <v>6.5</v>
      </c>
      <c r="H85" s="13">
        <f t="shared" si="8"/>
        <v>5.55</v>
      </c>
      <c r="I85" s="9" t="s">
        <v>20</v>
      </c>
      <c r="J85" s="7">
        <v>1.0</v>
      </c>
    </row>
    <row r="86" ht="14.25" customHeight="1">
      <c r="A86" s="11">
        <f t="shared" si="9"/>
        <v>18</v>
      </c>
      <c r="B86" s="9" t="s">
        <v>75</v>
      </c>
      <c r="C86" s="10" t="s">
        <v>93</v>
      </c>
      <c r="D86" s="11" t="s">
        <v>18</v>
      </c>
      <c r="E86" s="12" t="s">
        <v>19</v>
      </c>
      <c r="F86" s="12">
        <v>4.43</v>
      </c>
      <c r="G86" s="12">
        <v>4.59</v>
      </c>
      <c r="H86" s="13">
        <f t="shared" si="8"/>
        <v>4.51</v>
      </c>
      <c r="I86" s="9" t="s">
        <v>20</v>
      </c>
      <c r="J86" s="7">
        <v>1.0</v>
      </c>
    </row>
    <row r="87" ht="14.25" customHeight="1">
      <c r="A87" s="11">
        <f t="shared" si="9"/>
        <v>19</v>
      </c>
      <c r="B87" s="9" t="s">
        <v>75</v>
      </c>
      <c r="C87" s="10" t="s">
        <v>94</v>
      </c>
      <c r="D87" s="11" t="s">
        <v>18</v>
      </c>
      <c r="E87" s="12" t="s">
        <v>19</v>
      </c>
      <c r="F87" s="12">
        <v>3.1</v>
      </c>
      <c r="G87" s="12">
        <v>3.52</v>
      </c>
      <c r="H87" s="13">
        <f t="shared" si="8"/>
        <v>3.31</v>
      </c>
      <c r="I87" s="18" t="s">
        <v>50</v>
      </c>
      <c r="K87" s="7">
        <v>1.0</v>
      </c>
    </row>
    <row r="88" ht="14.25" customHeight="1">
      <c r="A88" s="11">
        <f t="shared" si="9"/>
        <v>20</v>
      </c>
      <c r="B88" s="9" t="s">
        <v>75</v>
      </c>
      <c r="C88" s="10" t="s">
        <v>95</v>
      </c>
      <c r="D88" s="11" t="s">
        <v>18</v>
      </c>
      <c r="E88" s="12" t="s">
        <v>19</v>
      </c>
      <c r="F88" s="12">
        <v>3.8</v>
      </c>
      <c r="G88" s="12">
        <v>5.93</v>
      </c>
      <c r="H88" s="13">
        <f t="shared" si="8"/>
        <v>4.865</v>
      </c>
      <c r="I88" s="9" t="s">
        <v>20</v>
      </c>
      <c r="J88" s="7">
        <v>1.0</v>
      </c>
    </row>
    <row r="89" ht="14.25" customHeight="1">
      <c r="A89" s="11">
        <f t="shared" si="9"/>
        <v>21</v>
      </c>
      <c r="B89" s="9" t="s">
        <v>75</v>
      </c>
      <c r="C89" s="10" t="s">
        <v>96</v>
      </c>
      <c r="D89" s="11" t="s">
        <v>18</v>
      </c>
      <c r="E89" s="12" t="s">
        <v>19</v>
      </c>
      <c r="F89" s="12">
        <v>4.83</v>
      </c>
      <c r="G89" s="12">
        <v>4.94</v>
      </c>
      <c r="H89" s="13">
        <f t="shared" si="8"/>
        <v>4.885</v>
      </c>
      <c r="I89" s="9" t="s">
        <v>20</v>
      </c>
      <c r="J89" s="7">
        <v>1.0</v>
      </c>
    </row>
    <row r="90" ht="14.25" customHeight="1">
      <c r="A90" s="11">
        <f t="shared" si="9"/>
        <v>22</v>
      </c>
      <c r="B90" s="9" t="s">
        <v>75</v>
      </c>
      <c r="C90" s="10" t="s">
        <v>97</v>
      </c>
      <c r="D90" s="11" t="s">
        <v>18</v>
      </c>
      <c r="E90" s="12" t="s">
        <v>19</v>
      </c>
      <c r="F90" s="12">
        <v>2.93</v>
      </c>
      <c r="G90" s="12">
        <v>3.0</v>
      </c>
      <c r="H90" s="13">
        <f t="shared" si="8"/>
        <v>2.965</v>
      </c>
      <c r="I90" s="18" t="s">
        <v>50</v>
      </c>
      <c r="K90" s="7">
        <v>1.0</v>
      </c>
    </row>
    <row r="91" ht="14.25" customHeight="1">
      <c r="A91" s="11">
        <f t="shared" si="9"/>
        <v>23</v>
      </c>
      <c r="B91" s="9" t="s">
        <v>75</v>
      </c>
      <c r="C91" s="10" t="s">
        <v>98</v>
      </c>
      <c r="D91" s="11" t="s">
        <v>18</v>
      </c>
      <c r="E91" s="12" t="s">
        <v>19</v>
      </c>
      <c r="F91" s="12">
        <v>4.73</v>
      </c>
      <c r="G91" s="12">
        <v>4.56</v>
      </c>
      <c r="H91" s="13">
        <f t="shared" si="8"/>
        <v>4.645</v>
      </c>
      <c r="I91" s="9" t="s">
        <v>20</v>
      </c>
      <c r="J91" s="7">
        <v>1.0</v>
      </c>
    </row>
    <row r="92" ht="14.25" customHeight="1">
      <c r="A92" s="11">
        <f t="shared" si="9"/>
        <v>24</v>
      </c>
      <c r="B92" s="9" t="s">
        <v>75</v>
      </c>
      <c r="C92" s="10" t="s">
        <v>99</v>
      </c>
      <c r="D92" s="11" t="s">
        <v>18</v>
      </c>
      <c r="E92" s="12" t="s">
        <v>19</v>
      </c>
      <c r="F92" s="12">
        <v>2.46</v>
      </c>
      <c r="G92" s="12">
        <v>0.0</v>
      </c>
      <c r="H92" s="13">
        <f t="shared" si="8"/>
        <v>1.23</v>
      </c>
      <c r="I92" s="18" t="s">
        <v>50</v>
      </c>
      <c r="K92" s="7">
        <v>1.0</v>
      </c>
    </row>
    <row r="93" ht="14.25" customHeight="1">
      <c r="A93" s="11">
        <f t="shared" si="9"/>
        <v>25</v>
      </c>
      <c r="B93" s="9" t="s">
        <v>75</v>
      </c>
      <c r="C93" s="10" t="s">
        <v>100</v>
      </c>
      <c r="D93" s="11" t="s">
        <v>18</v>
      </c>
      <c r="E93" s="12" t="s">
        <v>19</v>
      </c>
      <c r="F93" s="12">
        <v>4.06</v>
      </c>
      <c r="G93" s="12">
        <v>0.0</v>
      </c>
      <c r="H93" s="13">
        <f t="shared" si="8"/>
        <v>2.03</v>
      </c>
      <c r="I93" s="18" t="s">
        <v>50</v>
      </c>
      <c r="K93" s="7">
        <v>1.0</v>
      </c>
    </row>
    <row r="94" ht="14.25" customHeight="1">
      <c r="A94" s="11"/>
      <c r="B94" s="9"/>
      <c r="C94" s="10"/>
      <c r="D94" s="11"/>
      <c r="E94" s="12"/>
      <c r="F94" s="12"/>
      <c r="G94" s="12"/>
      <c r="H94" s="13"/>
      <c r="I94" s="18"/>
      <c r="J94" s="16">
        <f t="shared" ref="J94:K94" si="10">SUM(J69:J93)</f>
        <v>21</v>
      </c>
      <c r="K94" s="16">
        <f t="shared" si="10"/>
        <v>4</v>
      </c>
    </row>
    <row r="95" ht="14.25" customHeight="1">
      <c r="A95" s="11"/>
      <c r="B95" s="9"/>
      <c r="C95" s="10"/>
      <c r="D95" s="11"/>
      <c r="E95" s="12"/>
      <c r="F95" s="12"/>
      <c r="G95" s="12"/>
      <c r="H95" s="13"/>
      <c r="I95" s="18"/>
      <c r="J95" s="17">
        <f>J94/A93</f>
        <v>0.84</v>
      </c>
      <c r="K95" s="17">
        <f>K94/A93</f>
        <v>0.16</v>
      </c>
    </row>
    <row r="96" ht="14.25" customHeight="1">
      <c r="A96" s="11"/>
      <c r="B96" s="9"/>
      <c r="C96" s="10"/>
      <c r="D96" s="11"/>
      <c r="E96" s="12"/>
      <c r="F96" s="12"/>
      <c r="G96" s="12"/>
      <c r="H96" s="13"/>
      <c r="I96" s="18"/>
    </row>
    <row r="97" ht="14.25" customHeight="1">
      <c r="A97" s="11">
        <v>1.0</v>
      </c>
      <c r="B97" s="9" t="s">
        <v>101</v>
      </c>
      <c r="C97" s="19" t="s">
        <v>102</v>
      </c>
      <c r="D97" s="11" t="s">
        <v>18</v>
      </c>
      <c r="E97" s="12" t="s">
        <v>19</v>
      </c>
      <c r="F97" s="12">
        <v>8.72</v>
      </c>
      <c r="G97" s="12">
        <v>9.49</v>
      </c>
      <c r="H97" s="13">
        <f t="shared" ref="H97:H133" si="11">AVERAGE(F97:G97)</f>
        <v>9.105</v>
      </c>
      <c r="I97" s="9" t="s">
        <v>20</v>
      </c>
      <c r="J97" s="7">
        <v>1.0</v>
      </c>
    </row>
    <row r="98" ht="14.25" customHeight="1">
      <c r="A98" s="11">
        <f t="shared" ref="A98:A133" si="12">A97+1</f>
        <v>2</v>
      </c>
      <c r="B98" s="9" t="s">
        <v>101</v>
      </c>
      <c r="C98" s="19" t="s">
        <v>103</v>
      </c>
      <c r="D98" s="11" t="s">
        <v>18</v>
      </c>
      <c r="E98" s="12" t="s">
        <v>19</v>
      </c>
      <c r="F98" s="12">
        <v>7.35</v>
      </c>
      <c r="G98" s="12">
        <v>8.21</v>
      </c>
      <c r="H98" s="13">
        <f t="shared" si="11"/>
        <v>7.78</v>
      </c>
      <c r="I98" s="9" t="s">
        <v>20</v>
      </c>
      <c r="J98" s="7">
        <v>1.0</v>
      </c>
    </row>
    <row r="99" ht="14.25" customHeight="1">
      <c r="A99" s="11">
        <f t="shared" si="12"/>
        <v>3</v>
      </c>
      <c r="B99" s="9" t="s">
        <v>101</v>
      </c>
      <c r="C99" s="10" t="s">
        <v>104</v>
      </c>
      <c r="D99" s="11" t="s">
        <v>18</v>
      </c>
      <c r="E99" s="12" t="s">
        <v>19</v>
      </c>
      <c r="F99" s="12">
        <v>7.18</v>
      </c>
      <c r="G99" s="12">
        <v>8.25</v>
      </c>
      <c r="H99" s="13">
        <f t="shared" si="11"/>
        <v>7.715</v>
      </c>
      <c r="I99" s="9" t="s">
        <v>20</v>
      </c>
      <c r="J99" s="7">
        <v>1.0</v>
      </c>
    </row>
    <row r="100" ht="14.25" customHeight="1">
      <c r="A100" s="11">
        <f t="shared" si="12"/>
        <v>4</v>
      </c>
      <c r="B100" s="9" t="s">
        <v>101</v>
      </c>
      <c r="C100" s="19" t="s">
        <v>105</v>
      </c>
      <c r="D100" s="11" t="s">
        <v>18</v>
      </c>
      <c r="E100" s="12" t="s">
        <v>19</v>
      </c>
      <c r="F100" s="12">
        <v>5.32</v>
      </c>
      <c r="G100" s="12">
        <v>7.68</v>
      </c>
      <c r="H100" s="13">
        <f t="shared" si="11"/>
        <v>6.5</v>
      </c>
      <c r="I100" s="9" t="s">
        <v>20</v>
      </c>
      <c r="J100" s="7">
        <v>1.0</v>
      </c>
    </row>
    <row r="101" ht="14.25" customHeight="1">
      <c r="A101" s="11">
        <f t="shared" si="12"/>
        <v>5</v>
      </c>
      <c r="B101" s="9" t="s">
        <v>101</v>
      </c>
      <c r="C101" s="19" t="s">
        <v>106</v>
      </c>
      <c r="D101" s="11" t="s">
        <v>18</v>
      </c>
      <c r="E101" s="12" t="s">
        <v>19</v>
      </c>
      <c r="F101" s="12">
        <v>5.48</v>
      </c>
      <c r="G101" s="12">
        <v>7.37</v>
      </c>
      <c r="H101" s="13">
        <f t="shared" si="11"/>
        <v>6.425</v>
      </c>
      <c r="I101" s="9" t="s">
        <v>20</v>
      </c>
      <c r="J101" s="7">
        <v>1.0</v>
      </c>
    </row>
    <row r="102" ht="14.25" customHeight="1">
      <c r="A102" s="11">
        <f t="shared" si="12"/>
        <v>6</v>
      </c>
      <c r="B102" s="9" t="s">
        <v>101</v>
      </c>
      <c r="C102" s="19" t="s">
        <v>107</v>
      </c>
      <c r="D102" s="11" t="s">
        <v>18</v>
      </c>
      <c r="E102" s="12" t="s">
        <v>19</v>
      </c>
      <c r="F102" s="12">
        <v>5.52</v>
      </c>
      <c r="G102" s="12">
        <v>6.72</v>
      </c>
      <c r="H102" s="13">
        <f t="shared" si="11"/>
        <v>6.12</v>
      </c>
      <c r="I102" s="9" t="s">
        <v>20</v>
      </c>
      <c r="J102" s="7">
        <v>1.0</v>
      </c>
    </row>
    <row r="103" ht="14.25" customHeight="1">
      <c r="A103" s="11">
        <f t="shared" si="12"/>
        <v>7</v>
      </c>
      <c r="B103" s="9" t="s">
        <v>101</v>
      </c>
      <c r="C103" s="19" t="s">
        <v>108</v>
      </c>
      <c r="D103" s="11" t="s">
        <v>18</v>
      </c>
      <c r="E103" s="12" t="s">
        <v>19</v>
      </c>
      <c r="F103" s="12">
        <v>4.55</v>
      </c>
      <c r="G103" s="12">
        <v>7.1</v>
      </c>
      <c r="H103" s="13">
        <f t="shared" si="11"/>
        <v>5.825</v>
      </c>
      <c r="I103" s="9" t="s">
        <v>20</v>
      </c>
      <c r="J103" s="7">
        <v>1.0</v>
      </c>
    </row>
    <row r="104" ht="14.25" customHeight="1">
      <c r="A104" s="11">
        <f t="shared" si="12"/>
        <v>8</v>
      </c>
      <c r="B104" s="9" t="s">
        <v>101</v>
      </c>
      <c r="C104" s="19" t="s">
        <v>109</v>
      </c>
      <c r="D104" s="11" t="s">
        <v>18</v>
      </c>
      <c r="E104" s="12" t="s">
        <v>19</v>
      </c>
      <c r="F104" s="12">
        <v>4.98</v>
      </c>
      <c r="G104" s="12">
        <v>6.5</v>
      </c>
      <c r="H104" s="13">
        <f t="shared" si="11"/>
        <v>5.74</v>
      </c>
      <c r="I104" s="9" t="s">
        <v>20</v>
      </c>
      <c r="J104" s="7">
        <v>1.0</v>
      </c>
    </row>
    <row r="105" ht="14.25" customHeight="1">
      <c r="A105" s="11">
        <f t="shared" si="12"/>
        <v>9</v>
      </c>
      <c r="B105" s="9" t="s">
        <v>101</v>
      </c>
      <c r="C105" s="19" t="s">
        <v>110</v>
      </c>
      <c r="D105" s="11" t="s">
        <v>18</v>
      </c>
      <c r="E105" s="12" t="s">
        <v>19</v>
      </c>
      <c r="F105" s="12">
        <v>4.03</v>
      </c>
      <c r="G105" s="12">
        <v>5.8</v>
      </c>
      <c r="H105" s="13">
        <f t="shared" si="11"/>
        <v>4.915</v>
      </c>
      <c r="I105" s="9" t="s">
        <v>20</v>
      </c>
      <c r="J105" s="7">
        <v>1.0</v>
      </c>
    </row>
    <row r="106" ht="14.25" customHeight="1">
      <c r="A106" s="11">
        <f t="shared" si="12"/>
        <v>10</v>
      </c>
      <c r="B106" s="9" t="s">
        <v>101</v>
      </c>
      <c r="C106" s="19" t="s">
        <v>111</v>
      </c>
      <c r="D106" s="11" t="s">
        <v>18</v>
      </c>
      <c r="E106" s="12" t="s">
        <v>19</v>
      </c>
      <c r="F106" s="12">
        <v>3.75</v>
      </c>
      <c r="G106" s="12">
        <v>5.8</v>
      </c>
      <c r="H106" s="13">
        <f t="shared" si="11"/>
        <v>4.775</v>
      </c>
      <c r="I106" s="9" t="s">
        <v>20</v>
      </c>
      <c r="J106" s="7">
        <v>1.0</v>
      </c>
    </row>
    <row r="107" ht="14.25" customHeight="1">
      <c r="A107" s="11">
        <f t="shared" si="12"/>
        <v>11</v>
      </c>
      <c r="B107" s="9" t="s">
        <v>101</v>
      </c>
      <c r="C107" s="19" t="s">
        <v>112</v>
      </c>
      <c r="D107" s="11" t="s">
        <v>18</v>
      </c>
      <c r="E107" s="12" t="s">
        <v>19</v>
      </c>
      <c r="F107" s="12">
        <v>3.5</v>
      </c>
      <c r="G107" s="12">
        <v>3.6</v>
      </c>
      <c r="H107" s="13">
        <f t="shared" si="11"/>
        <v>3.55</v>
      </c>
      <c r="I107" s="18" t="s">
        <v>50</v>
      </c>
      <c r="K107" s="7">
        <v>1.0</v>
      </c>
    </row>
    <row r="108" ht="14.25" customHeight="1">
      <c r="A108" s="11">
        <f t="shared" si="12"/>
        <v>12</v>
      </c>
      <c r="B108" s="9" t="s">
        <v>101</v>
      </c>
      <c r="C108" s="19" t="s">
        <v>113</v>
      </c>
      <c r="D108" s="11" t="s">
        <v>18</v>
      </c>
      <c r="E108" s="12" t="s">
        <v>19</v>
      </c>
      <c r="F108" s="12">
        <v>4.69</v>
      </c>
      <c r="G108" s="12">
        <v>4.42</v>
      </c>
      <c r="H108" s="13">
        <f t="shared" si="11"/>
        <v>4.555</v>
      </c>
      <c r="I108" s="9" t="s">
        <v>20</v>
      </c>
      <c r="J108" s="7">
        <v>1.0</v>
      </c>
    </row>
    <row r="109" ht="14.25" customHeight="1">
      <c r="A109" s="11">
        <f t="shared" si="12"/>
        <v>13</v>
      </c>
      <c r="B109" s="9" t="s">
        <v>101</v>
      </c>
      <c r="C109" s="19" t="s">
        <v>114</v>
      </c>
      <c r="D109" s="11" t="s">
        <v>18</v>
      </c>
      <c r="E109" s="12" t="s">
        <v>19</v>
      </c>
      <c r="F109" s="12">
        <v>3.98</v>
      </c>
      <c r="G109" s="12">
        <v>5.01</v>
      </c>
      <c r="H109" s="13">
        <f t="shared" si="11"/>
        <v>4.495</v>
      </c>
      <c r="I109" s="9" t="s">
        <v>20</v>
      </c>
      <c r="J109" s="7">
        <v>1.0</v>
      </c>
    </row>
    <row r="110" ht="14.25" customHeight="1">
      <c r="A110" s="11">
        <f t="shared" si="12"/>
        <v>14</v>
      </c>
      <c r="B110" s="9" t="s">
        <v>101</v>
      </c>
      <c r="C110" s="19" t="s">
        <v>115</v>
      </c>
      <c r="D110" s="11" t="s">
        <v>18</v>
      </c>
      <c r="E110" s="12" t="s">
        <v>19</v>
      </c>
      <c r="F110" s="12">
        <v>2.2</v>
      </c>
      <c r="G110" s="12">
        <v>2.13</v>
      </c>
      <c r="H110" s="13">
        <f t="shared" si="11"/>
        <v>2.165</v>
      </c>
      <c r="I110" s="18" t="s">
        <v>50</v>
      </c>
      <c r="K110" s="7">
        <v>1.0</v>
      </c>
    </row>
    <row r="111" ht="14.25" customHeight="1">
      <c r="A111" s="11">
        <f t="shared" si="12"/>
        <v>15</v>
      </c>
      <c r="B111" s="9" t="s">
        <v>101</v>
      </c>
      <c r="C111" s="19" t="s">
        <v>116</v>
      </c>
      <c r="D111" s="11" t="s">
        <v>18</v>
      </c>
      <c r="E111" s="12" t="s">
        <v>19</v>
      </c>
      <c r="F111" s="12">
        <v>2.35</v>
      </c>
      <c r="G111" s="12">
        <v>1.93</v>
      </c>
      <c r="H111" s="13">
        <f t="shared" si="11"/>
        <v>2.14</v>
      </c>
      <c r="I111" s="18" t="s">
        <v>50</v>
      </c>
      <c r="K111" s="7">
        <v>1.0</v>
      </c>
    </row>
    <row r="112" ht="14.25" customHeight="1">
      <c r="A112" s="11">
        <f t="shared" si="12"/>
        <v>16</v>
      </c>
      <c r="B112" s="9" t="s">
        <v>101</v>
      </c>
      <c r="C112" s="19" t="s">
        <v>117</v>
      </c>
      <c r="D112" s="11" t="s">
        <v>18</v>
      </c>
      <c r="E112" s="12" t="s">
        <v>19</v>
      </c>
      <c r="F112" s="12">
        <v>7.11</v>
      </c>
      <c r="G112" s="12">
        <v>9.17</v>
      </c>
      <c r="H112" s="13">
        <f t="shared" si="11"/>
        <v>8.14</v>
      </c>
      <c r="I112" s="9" t="s">
        <v>20</v>
      </c>
      <c r="J112" s="7">
        <v>1.0</v>
      </c>
    </row>
    <row r="113" ht="14.25" customHeight="1">
      <c r="A113" s="11">
        <f t="shared" si="12"/>
        <v>17</v>
      </c>
      <c r="B113" s="9" t="s">
        <v>101</v>
      </c>
      <c r="C113" s="19" t="s">
        <v>118</v>
      </c>
      <c r="D113" s="11" t="s">
        <v>18</v>
      </c>
      <c r="E113" s="12" t="s">
        <v>19</v>
      </c>
      <c r="F113" s="12">
        <v>7.85</v>
      </c>
      <c r="G113" s="12">
        <v>8.92</v>
      </c>
      <c r="H113" s="13">
        <f t="shared" si="11"/>
        <v>8.385</v>
      </c>
      <c r="I113" s="9" t="s">
        <v>20</v>
      </c>
      <c r="J113" s="7">
        <v>1.0</v>
      </c>
    </row>
    <row r="114" ht="14.25" customHeight="1">
      <c r="A114" s="11">
        <f t="shared" si="12"/>
        <v>18</v>
      </c>
      <c r="B114" s="9" t="s">
        <v>101</v>
      </c>
      <c r="C114" s="19" t="s">
        <v>119</v>
      </c>
      <c r="D114" s="11" t="s">
        <v>18</v>
      </c>
      <c r="E114" s="12" t="s">
        <v>19</v>
      </c>
      <c r="F114" s="12">
        <v>8.89</v>
      </c>
      <c r="G114" s="12">
        <v>8.27</v>
      </c>
      <c r="H114" s="13">
        <f t="shared" si="11"/>
        <v>8.58</v>
      </c>
      <c r="I114" s="9" t="s">
        <v>20</v>
      </c>
      <c r="J114" s="7">
        <v>1.0</v>
      </c>
    </row>
    <row r="115" ht="14.25" customHeight="1">
      <c r="A115" s="11">
        <f t="shared" si="12"/>
        <v>19</v>
      </c>
      <c r="B115" s="9" t="s">
        <v>101</v>
      </c>
      <c r="C115" s="19" t="s">
        <v>120</v>
      </c>
      <c r="D115" s="11" t="s">
        <v>18</v>
      </c>
      <c r="E115" s="12" t="s">
        <v>19</v>
      </c>
      <c r="F115" s="12">
        <v>8.64</v>
      </c>
      <c r="G115" s="12">
        <v>9.22</v>
      </c>
      <c r="H115" s="13">
        <f t="shared" si="11"/>
        <v>8.93</v>
      </c>
      <c r="I115" s="9" t="s">
        <v>20</v>
      </c>
      <c r="J115" s="7">
        <v>1.0</v>
      </c>
    </row>
    <row r="116" ht="14.25" customHeight="1">
      <c r="A116" s="11">
        <f t="shared" si="12"/>
        <v>20</v>
      </c>
      <c r="B116" s="9" t="s">
        <v>101</v>
      </c>
      <c r="C116" s="19" t="s">
        <v>121</v>
      </c>
      <c r="D116" s="11" t="s">
        <v>18</v>
      </c>
      <c r="E116" s="12" t="s">
        <v>19</v>
      </c>
      <c r="F116" s="12">
        <v>8.46</v>
      </c>
      <c r="G116" s="12">
        <v>9.11</v>
      </c>
      <c r="H116" s="13">
        <f t="shared" si="11"/>
        <v>8.785</v>
      </c>
      <c r="I116" s="9" t="s">
        <v>20</v>
      </c>
      <c r="J116" s="7">
        <v>1.0</v>
      </c>
    </row>
    <row r="117" ht="14.25" customHeight="1">
      <c r="A117" s="11">
        <f t="shared" si="12"/>
        <v>21</v>
      </c>
      <c r="B117" s="9" t="s">
        <v>101</v>
      </c>
      <c r="C117" s="10" t="s">
        <v>122</v>
      </c>
      <c r="D117" s="11" t="s">
        <v>18</v>
      </c>
      <c r="E117" s="12" t="s">
        <v>19</v>
      </c>
      <c r="F117" s="12">
        <v>8.71</v>
      </c>
      <c r="G117" s="12">
        <v>7.94</v>
      </c>
      <c r="H117" s="13">
        <f t="shared" si="11"/>
        <v>8.325</v>
      </c>
      <c r="I117" s="9" t="s">
        <v>20</v>
      </c>
      <c r="J117" s="7">
        <v>1.0</v>
      </c>
    </row>
    <row r="118" ht="14.25" customHeight="1">
      <c r="A118" s="11">
        <f t="shared" si="12"/>
        <v>22</v>
      </c>
      <c r="B118" s="9" t="s">
        <v>101</v>
      </c>
      <c r="C118" s="19" t="s">
        <v>123</v>
      </c>
      <c r="D118" s="11" t="s">
        <v>18</v>
      </c>
      <c r="E118" s="12" t="s">
        <v>19</v>
      </c>
      <c r="F118" s="12">
        <v>7.66</v>
      </c>
      <c r="G118" s="12">
        <v>8.5</v>
      </c>
      <c r="H118" s="13">
        <f t="shared" si="11"/>
        <v>8.08</v>
      </c>
      <c r="I118" s="9" t="s">
        <v>20</v>
      </c>
      <c r="J118" s="7">
        <v>1.0</v>
      </c>
    </row>
    <row r="119" ht="14.25" customHeight="1">
      <c r="A119" s="11">
        <f t="shared" si="12"/>
        <v>23</v>
      </c>
      <c r="B119" s="9" t="s">
        <v>101</v>
      </c>
      <c r="C119" s="19" t="s">
        <v>124</v>
      </c>
      <c r="D119" s="11" t="s">
        <v>18</v>
      </c>
      <c r="E119" s="12" t="s">
        <v>19</v>
      </c>
      <c r="F119" s="12">
        <v>8.03</v>
      </c>
      <c r="G119" s="12">
        <v>7.61</v>
      </c>
      <c r="H119" s="13">
        <f t="shared" si="11"/>
        <v>7.82</v>
      </c>
      <c r="I119" s="9" t="s">
        <v>20</v>
      </c>
      <c r="J119" s="7">
        <v>1.0</v>
      </c>
    </row>
    <row r="120" ht="14.25" customHeight="1">
      <c r="A120" s="11">
        <f t="shared" si="12"/>
        <v>24</v>
      </c>
      <c r="B120" s="9" t="s">
        <v>101</v>
      </c>
      <c r="C120" s="19" t="s">
        <v>125</v>
      </c>
      <c r="D120" s="11" t="s">
        <v>18</v>
      </c>
      <c r="E120" s="12" t="s">
        <v>19</v>
      </c>
      <c r="F120" s="12">
        <v>8.0</v>
      </c>
      <c r="G120" s="12">
        <v>8.61</v>
      </c>
      <c r="H120" s="13">
        <f t="shared" si="11"/>
        <v>8.305</v>
      </c>
      <c r="I120" s="9" t="s">
        <v>20</v>
      </c>
      <c r="J120" s="7">
        <v>1.0</v>
      </c>
    </row>
    <row r="121" ht="14.25" customHeight="1">
      <c r="A121" s="11">
        <f t="shared" si="12"/>
        <v>25</v>
      </c>
      <c r="B121" s="9" t="s">
        <v>101</v>
      </c>
      <c r="C121" s="19" t="s">
        <v>126</v>
      </c>
      <c r="D121" s="11" t="s">
        <v>18</v>
      </c>
      <c r="E121" s="12" t="s">
        <v>19</v>
      </c>
      <c r="F121" s="12">
        <v>6.72</v>
      </c>
      <c r="G121" s="12">
        <v>7.07</v>
      </c>
      <c r="H121" s="13">
        <f t="shared" si="11"/>
        <v>6.895</v>
      </c>
      <c r="I121" s="9" t="s">
        <v>20</v>
      </c>
      <c r="J121" s="7">
        <v>1.0</v>
      </c>
    </row>
    <row r="122" ht="14.25" customHeight="1">
      <c r="A122" s="11">
        <f t="shared" si="12"/>
        <v>26</v>
      </c>
      <c r="B122" s="9" t="s">
        <v>101</v>
      </c>
      <c r="C122" s="19" t="s">
        <v>127</v>
      </c>
      <c r="D122" s="11" t="s">
        <v>18</v>
      </c>
      <c r="E122" s="12" t="s">
        <v>19</v>
      </c>
      <c r="F122" s="12">
        <v>6.82</v>
      </c>
      <c r="G122" s="12">
        <v>7.27</v>
      </c>
      <c r="H122" s="13">
        <f t="shared" si="11"/>
        <v>7.045</v>
      </c>
      <c r="I122" s="9" t="s">
        <v>20</v>
      </c>
      <c r="J122" s="7">
        <v>1.0</v>
      </c>
    </row>
    <row r="123" ht="14.25" customHeight="1">
      <c r="A123" s="11">
        <f t="shared" si="12"/>
        <v>27</v>
      </c>
      <c r="B123" s="9" t="s">
        <v>101</v>
      </c>
      <c r="C123" s="19" t="s">
        <v>128</v>
      </c>
      <c r="D123" s="11" t="s">
        <v>18</v>
      </c>
      <c r="E123" s="12" t="s">
        <v>19</v>
      </c>
      <c r="F123" s="12">
        <v>5.55</v>
      </c>
      <c r="G123" s="12">
        <v>5.92</v>
      </c>
      <c r="H123" s="13">
        <f t="shared" si="11"/>
        <v>5.735</v>
      </c>
      <c r="I123" s="9" t="s">
        <v>20</v>
      </c>
      <c r="J123" s="7">
        <v>1.0</v>
      </c>
    </row>
    <row r="124" ht="14.25" customHeight="1">
      <c r="A124" s="11">
        <f t="shared" si="12"/>
        <v>28</v>
      </c>
      <c r="B124" s="9" t="s">
        <v>101</v>
      </c>
      <c r="C124" s="19" t="s">
        <v>129</v>
      </c>
      <c r="D124" s="11" t="s">
        <v>18</v>
      </c>
      <c r="E124" s="12" t="s">
        <v>19</v>
      </c>
      <c r="F124" s="12">
        <v>6.07</v>
      </c>
      <c r="G124" s="12">
        <v>5.72</v>
      </c>
      <c r="H124" s="13">
        <f t="shared" si="11"/>
        <v>5.895</v>
      </c>
      <c r="I124" s="9" t="s">
        <v>20</v>
      </c>
      <c r="J124" s="7">
        <v>1.0</v>
      </c>
    </row>
    <row r="125" ht="14.25" customHeight="1">
      <c r="A125" s="11">
        <f t="shared" si="12"/>
        <v>29</v>
      </c>
      <c r="B125" s="9" t="s">
        <v>101</v>
      </c>
      <c r="C125" s="19" t="s">
        <v>130</v>
      </c>
      <c r="D125" s="11" t="s">
        <v>18</v>
      </c>
      <c r="E125" s="12" t="s">
        <v>19</v>
      </c>
      <c r="F125" s="12">
        <v>6.25</v>
      </c>
      <c r="G125" s="12">
        <v>5.44</v>
      </c>
      <c r="H125" s="13">
        <f t="shared" si="11"/>
        <v>5.845</v>
      </c>
      <c r="I125" s="9" t="s">
        <v>20</v>
      </c>
      <c r="J125" s="7">
        <v>1.0</v>
      </c>
    </row>
    <row r="126" ht="14.25" customHeight="1">
      <c r="A126" s="11">
        <f t="shared" si="12"/>
        <v>30</v>
      </c>
      <c r="B126" s="9" t="s">
        <v>101</v>
      </c>
      <c r="C126" s="19" t="s">
        <v>131</v>
      </c>
      <c r="D126" s="11" t="s">
        <v>18</v>
      </c>
      <c r="E126" s="12" t="s">
        <v>19</v>
      </c>
      <c r="F126" s="12">
        <v>5.2</v>
      </c>
      <c r="G126" s="12">
        <v>5.46</v>
      </c>
      <c r="H126" s="13">
        <f t="shared" si="11"/>
        <v>5.33</v>
      </c>
      <c r="I126" s="9" t="s">
        <v>20</v>
      </c>
      <c r="J126" s="7">
        <v>1.0</v>
      </c>
    </row>
    <row r="127" ht="14.25" customHeight="1">
      <c r="A127" s="11">
        <f t="shared" si="12"/>
        <v>31</v>
      </c>
      <c r="B127" s="9" t="s">
        <v>101</v>
      </c>
      <c r="C127" s="19" t="s">
        <v>132</v>
      </c>
      <c r="D127" s="11" t="s">
        <v>18</v>
      </c>
      <c r="E127" s="12" t="s">
        <v>19</v>
      </c>
      <c r="F127" s="12">
        <v>4.91</v>
      </c>
      <c r="G127" s="12">
        <v>5.21</v>
      </c>
      <c r="H127" s="13">
        <f t="shared" si="11"/>
        <v>5.06</v>
      </c>
      <c r="I127" s="9" t="s">
        <v>20</v>
      </c>
      <c r="J127" s="7">
        <v>1.0</v>
      </c>
    </row>
    <row r="128" ht="14.25" customHeight="1">
      <c r="A128" s="11">
        <f t="shared" si="12"/>
        <v>32</v>
      </c>
      <c r="B128" s="9" t="s">
        <v>101</v>
      </c>
      <c r="C128" s="19" t="s">
        <v>133</v>
      </c>
      <c r="D128" s="11" t="s">
        <v>18</v>
      </c>
      <c r="E128" s="12" t="s">
        <v>19</v>
      </c>
      <c r="F128" s="12">
        <v>4.51</v>
      </c>
      <c r="G128" s="12">
        <v>4.6</v>
      </c>
      <c r="H128" s="13">
        <f t="shared" si="11"/>
        <v>4.555</v>
      </c>
      <c r="I128" s="9" t="s">
        <v>20</v>
      </c>
      <c r="J128" s="7">
        <v>1.0</v>
      </c>
    </row>
    <row r="129" ht="14.25" customHeight="1">
      <c r="A129" s="11">
        <f t="shared" si="12"/>
        <v>33</v>
      </c>
      <c r="B129" s="9" t="s">
        <v>101</v>
      </c>
      <c r="C129" s="19" t="s">
        <v>134</v>
      </c>
      <c r="D129" s="11" t="s">
        <v>18</v>
      </c>
      <c r="E129" s="12" t="s">
        <v>19</v>
      </c>
      <c r="F129" s="12">
        <v>4.0</v>
      </c>
      <c r="G129" s="12">
        <v>5.5</v>
      </c>
      <c r="H129" s="13">
        <f t="shared" si="11"/>
        <v>4.75</v>
      </c>
      <c r="I129" s="9" t="s">
        <v>20</v>
      </c>
      <c r="J129" s="7">
        <v>1.0</v>
      </c>
    </row>
    <row r="130" ht="14.25" customHeight="1">
      <c r="A130" s="11">
        <f t="shared" si="12"/>
        <v>34</v>
      </c>
      <c r="B130" s="9" t="s">
        <v>101</v>
      </c>
      <c r="C130" s="19" t="s">
        <v>135</v>
      </c>
      <c r="D130" s="11" t="s">
        <v>18</v>
      </c>
      <c r="E130" s="12" t="s">
        <v>19</v>
      </c>
      <c r="F130" s="12">
        <v>4.14</v>
      </c>
      <c r="G130" s="12">
        <v>4.91</v>
      </c>
      <c r="H130" s="13">
        <f t="shared" si="11"/>
        <v>4.525</v>
      </c>
      <c r="I130" s="9" t="s">
        <v>20</v>
      </c>
      <c r="J130" s="7">
        <v>1.0</v>
      </c>
    </row>
    <row r="131" ht="14.25" customHeight="1">
      <c r="A131" s="11">
        <f t="shared" si="12"/>
        <v>35</v>
      </c>
      <c r="B131" s="9" t="s">
        <v>101</v>
      </c>
      <c r="C131" s="19" t="s">
        <v>136</v>
      </c>
      <c r="D131" s="11" t="s">
        <v>18</v>
      </c>
      <c r="E131" s="12" t="s">
        <v>19</v>
      </c>
      <c r="F131" s="12">
        <v>3.03</v>
      </c>
      <c r="G131" s="12">
        <v>3.5</v>
      </c>
      <c r="H131" s="13">
        <f t="shared" si="11"/>
        <v>3.265</v>
      </c>
      <c r="I131" s="18" t="s">
        <v>50</v>
      </c>
      <c r="K131" s="7">
        <v>1.0</v>
      </c>
    </row>
    <row r="132" ht="14.25" customHeight="1">
      <c r="A132" s="11">
        <f t="shared" si="12"/>
        <v>36</v>
      </c>
      <c r="B132" s="9" t="s">
        <v>101</v>
      </c>
      <c r="C132" s="19" t="s">
        <v>137</v>
      </c>
      <c r="D132" s="11" t="s">
        <v>18</v>
      </c>
      <c r="E132" s="12" t="s">
        <v>19</v>
      </c>
      <c r="F132" s="12">
        <v>2.89</v>
      </c>
      <c r="G132" s="12">
        <v>3.05</v>
      </c>
      <c r="H132" s="13">
        <f t="shared" si="11"/>
        <v>2.97</v>
      </c>
      <c r="I132" s="18" t="s">
        <v>50</v>
      </c>
      <c r="K132" s="7">
        <v>1.0</v>
      </c>
    </row>
    <row r="133" ht="14.25" customHeight="1">
      <c r="A133" s="11">
        <f t="shared" si="12"/>
        <v>37</v>
      </c>
      <c r="B133" s="9" t="s">
        <v>101</v>
      </c>
      <c r="C133" s="19" t="s">
        <v>138</v>
      </c>
      <c r="D133" s="11" t="s">
        <v>18</v>
      </c>
      <c r="E133" s="12" t="s">
        <v>19</v>
      </c>
      <c r="F133" s="12">
        <v>3.2</v>
      </c>
      <c r="G133" s="12">
        <v>4.23</v>
      </c>
      <c r="H133" s="13">
        <f t="shared" si="11"/>
        <v>3.715</v>
      </c>
      <c r="I133" s="18" t="s">
        <v>50</v>
      </c>
      <c r="K133" s="7">
        <v>1.0</v>
      </c>
    </row>
    <row r="134" ht="14.25" customHeight="1">
      <c r="C134" s="2"/>
      <c r="J134" s="16">
        <f t="shared" ref="J134:K134" si="13">SUM(J97:J133)</f>
        <v>31</v>
      </c>
      <c r="K134" s="16">
        <f t="shared" si="13"/>
        <v>6</v>
      </c>
    </row>
    <row r="135" ht="14.25" customHeight="1">
      <c r="C135" s="2"/>
      <c r="J135" s="17">
        <f>J134/A133</f>
        <v>0.8378378378</v>
      </c>
      <c r="K135" s="17">
        <f>K134/A133</f>
        <v>0.1621621622</v>
      </c>
    </row>
    <row r="136" ht="14.25" customHeight="1">
      <c r="C136" s="2"/>
      <c r="M136" s="20" t="s">
        <v>139</v>
      </c>
      <c r="N136" s="21" t="s">
        <v>140</v>
      </c>
      <c r="O136" s="21" t="s">
        <v>141</v>
      </c>
      <c r="P136" s="21" t="s">
        <v>142</v>
      </c>
      <c r="Q136" s="21" t="s">
        <v>143</v>
      </c>
      <c r="R136" s="21" t="s">
        <v>144</v>
      </c>
      <c r="S136" s="21" t="s">
        <v>145</v>
      </c>
      <c r="T136" s="21" t="s">
        <v>146</v>
      </c>
    </row>
    <row r="137" ht="14.25" customHeight="1">
      <c r="C137" s="2"/>
      <c r="M137" s="21"/>
      <c r="N137" s="22">
        <f>A133+A93+A65+A46+A19</f>
        <v>115</v>
      </c>
      <c r="O137" s="22">
        <f t="shared" ref="O137:Q137" si="14">J134+J94+J66+J47+J20</f>
        <v>100</v>
      </c>
      <c r="P137" s="22">
        <f t="shared" si="14"/>
        <v>15</v>
      </c>
      <c r="Q137" s="22">
        <f t="shared" si="14"/>
        <v>0</v>
      </c>
      <c r="R137" s="23">
        <f>O137/N137</f>
        <v>0.8695652174</v>
      </c>
      <c r="S137" s="23">
        <f>Q137/N137</f>
        <v>0</v>
      </c>
      <c r="T137" s="23">
        <f>P137/N137</f>
        <v>0.1304347826</v>
      </c>
    </row>
    <row r="138" ht="14.25" customHeight="1">
      <c r="C138" s="2"/>
    </row>
    <row r="139" ht="14.25" customHeight="1">
      <c r="C139" s="2"/>
    </row>
    <row r="140" ht="14.25" customHeight="1">
      <c r="C140" s="2"/>
    </row>
    <row r="141" ht="14.25" customHeight="1">
      <c r="C141" s="2"/>
    </row>
    <row r="142" ht="14.25" customHeight="1">
      <c r="C142" s="2"/>
    </row>
    <row r="143" ht="14.25" customHeight="1">
      <c r="C143" s="2"/>
    </row>
    <row r="144" ht="14.25" customHeight="1">
      <c r="C144" s="2"/>
    </row>
    <row r="145" ht="14.25" customHeight="1">
      <c r="C145" s="2"/>
    </row>
    <row r="146" ht="14.25" customHeight="1">
      <c r="C146" s="2"/>
    </row>
    <row r="147" ht="14.25" customHeight="1">
      <c r="C147" s="2"/>
    </row>
    <row r="148" ht="14.25" customHeight="1">
      <c r="C148" s="2"/>
    </row>
    <row r="149" ht="14.25" customHeight="1">
      <c r="C149" s="2"/>
    </row>
    <row r="150" ht="14.25" customHeight="1">
      <c r="C150" s="2"/>
    </row>
    <row r="151" ht="14.25" customHeight="1">
      <c r="C151" s="2"/>
    </row>
    <row r="152" ht="14.25" customHeight="1">
      <c r="C152" s="2"/>
    </row>
    <row r="153" ht="14.25" customHeight="1">
      <c r="C153" s="2"/>
    </row>
    <row r="154" ht="14.25" customHeight="1">
      <c r="C154" s="2"/>
    </row>
    <row r="155" ht="14.25" customHeight="1">
      <c r="C155" s="2"/>
    </row>
    <row r="156" ht="14.25" customHeight="1">
      <c r="C156" s="2"/>
    </row>
    <row r="157" ht="14.25" customHeight="1">
      <c r="C157" s="2"/>
    </row>
    <row r="158" ht="14.25" customHeight="1">
      <c r="C158" s="2"/>
    </row>
    <row r="159" ht="14.25" customHeight="1">
      <c r="C159" s="2"/>
    </row>
    <row r="160" ht="14.25" customHeight="1">
      <c r="C160" s="2"/>
    </row>
    <row r="161" ht="14.25" customHeight="1">
      <c r="C161" s="2"/>
    </row>
    <row r="162" ht="14.25" customHeight="1">
      <c r="C162" s="2"/>
    </row>
    <row r="163" ht="14.25" customHeight="1">
      <c r="C163" s="2"/>
    </row>
    <row r="164" ht="14.25" customHeight="1">
      <c r="C164" s="2"/>
    </row>
    <row r="165" ht="14.25" customHeight="1">
      <c r="C165" s="2"/>
    </row>
    <row r="166" ht="14.25" customHeight="1">
      <c r="C166" s="2"/>
    </row>
    <row r="167" ht="14.25" customHeight="1">
      <c r="C167" s="2"/>
    </row>
    <row r="168" ht="14.25" customHeight="1">
      <c r="C168" s="2"/>
    </row>
    <row r="169" ht="14.25" customHeight="1">
      <c r="C169" s="2"/>
    </row>
    <row r="170" ht="14.25" customHeight="1">
      <c r="C170" s="2"/>
    </row>
    <row r="171" ht="14.25" customHeight="1">
      <c r="C171" s="2"/>
    </row>
    <row r="172" ht="14.25" customHeight="1">
      <c r="C172" s="2"/>
    </row>
    <row r="173" ht="14.25" customHeight="1">
      <c r="C173" s="2"/>
    </row>
    <row r="174" ht="14.25" customHeight="1">
      <c r="C174" s="2"/>
    </row>
    <row r="175" ht="14.25" customHeight="1">
      <c r="C175" s="2"/>
    </row>
    <row r="176" ht="14.25" customHeight="1">
      <c r="C176" s="2"/>
    </row>
    <row r="177" ht="14.25" customHeight="1">
      <c r="C177" s="2"/>
    </row>
    <row r="178" ht="14.25" customHeight="1">
      <c r="C178" s="2"/>
    </row>
    <row r="179" ht="14.25" customHeight="1">
      <c r="C179" s="2"/>
    </row>
    <row r="180" ht="14.25" customHeight="1">
      <c r="C180" s="2"/>
    </row>
    <row r="181" ht="14.25" customHeight="1">
      <c r="C181" s="2"/>
    </row>
    <row r="182" ht="14.25" customHeight="1">
      <c r="C182" s="2"/>
    </row>
    <row r="183" ht="14.25" customHeight="1">
      <c r="C183" s="2"/>
    </row>
    <row r="184" ht="14.25" customHeight="1">
      <c r="C184" s="2"/>
    </row>
    <row r="185" ht="14.25" customHeight="1">
      <c r="C185" s="2"/>
    </row>
    <row r="186" ht="14.25" customHeight="1">
      <c r="C186" s="2"/>
    </row>
    <row r="187" ht="14.25" customHeight="1">
      <c r="C187" s="2"/>
    </row>
    <row r="188" ht="14.25" customHeight="1">
      <c r="C188" s="2"/>
    </row>
    <row r="189" ht="14.25" customHeight="1">
      <c r="C189" s="2"/>
    </row>
    <row r="190" ht="14.25" customHeight="1">
      <c r="C190" s="2"/>
    </row>
    <row r="191" ht="14.25" customHeight="1">
      <c r="C191" s="2"/>
    </row>
    <row r="192" ht="14.25" customHeight="1">
      <c r="C192" s="2"/>
    </row>
    <row r="193" ht="14.25" customHeight="1">
      <c r="C193" s="2"/>
    </row>
    <row r="194" ht="14.25" customHeight="1">
      <c r="C194" s="2"/>
    </row>
    <row r="195" ht="14.25" customHeight="1">
      <c r="C195" s="2"/>
    </row>
    <row r="196" ht="14.25" customHeight="1">
      <c r="C196" s="2"/>
    </row>
    <row r="197" ht="14.25" customHeight="1">
      <c r="C197" s="2"/>
    </row>
    <row r="198" ht="14.25" customHeight="1">
      <c r="C198" s="2"/>
    </row>
    <row r="199" ht="14.25" customHeight="1">
      <c r="C199" s="2"/>
    </row>
    <row r="200" ht="14.25" customHeight="1">
      <c r="C200" s="2"/>
    </row>
    <row r="201" ht="14.25" customHeight="1">
      <c r="C201" s="2"/>
    </row>
    <row r="202" ht="14.25" customHeight="1">
      <c r="C202" s="2"/>
    </row>
    <row r="203" ht="14.25" customHeight="1">
      <c r="C203" s="2"/>
    </row>
    <row r="204" ht="14.25" customHeight="1">
      <c r="C204" s="2"/>
    </row>
    <row r="205" ht="14.25" customHeight="1">
      <c r="C205" s="2"/>
    </row>
    <row r="206" ht="14.25" customHeight="1">
      <c r="C206" s="2"/>
    </row>
    <row r="207" ht="14.25" customHeight="1">
      <c r="C207" s="2"/>
    </row>
    <row r="208" ht="14.25" customHeight="1">
      <c r="C208" s="2"/>
    </row>
    <row r="209" ht="14.25" customHeight="1">
      <c r="C209" s="2"/>
    </row>
    <row r="210" ht="14.25" customHeight="1">
      <c r="C210" s="2"/>
    </row>
    <row r="211" ht="14.25" customHeight="1">
      <c r="C211" s="2"/>
    </row>
    <row r="212" ht="14.25" customHeight="1">
      <c r="C212" s="2"/>
    </row>
    <row r="213" ht="14.25" customHeight="1">
      <c r="C213" s="2"/>
    </row>
    <row r="214" ht="14.25" customHeight="1">
      <c r="C214" s="2"/>
    </row>
    <row r="215" ht="14.25" customHeight="1">
      <c r="C215" s="2"/>
    </row>
    <row r="216" ht="14.25" customHeight="1">
      <c r="C216" s="2"/>
    </row>
    <row r="217" ht="14.25" customHeight="1">
      <c r="C217" s="2"/>
    </row>
    <row r="218" ht="14.25" customHeight="1">
      <c r="C218" s="2"/>
    </row>
    <row r="219" ht="14.25" customHeight="1">
      <c r="C219" s="2"/>
    </row>
    <row r="220" ht="14.25" customHeight="1">
      <c r="C220" s="2"/>
    </row>
    <row r="221" ht="14.25" customHeight="1">
      <c r="C221" s="2"/>
    </row>
    <row r="222" ht="14.25" customHeight="1">
      <c r="C222" s="2"/>
    </row>
    <row r="223" ht="14.25" customHeight="1">
      <c r="C223" s="2"/>
    </row>
    <row r="224" ht="14.25" customHeight="1">
      <c r="C224" s="2"/>
    </row>
    <row r="225" ht="14.25" customHeight="1">
      <c r="C225" s="2"/>
    </row>
    <row r="226" ht="14.25" customHeight="1">
      <c r="C226" s="2"/>
    </row>
    <row r="227" ht="14.25" customHeight="1">
      <c r="C227" s="2"/>
    </row>
    <row r="228" ht="14.25" customHeight="1">
      <c r="C228" s="2"/>
    </row>
    <row r="229" ht="14.25" customHeight="1">
      <c r="C229" s="2"/>
    </row>
    <row r="230" ht="14.25" customHeight="1">
      <c r="C230" s="2"/>
    </row>
    <row r="231" ht="14.25" customHeight="1">
      <c r="C231" s="2"/>
    </row>
    <row r="232" ht="14.25" customHeight="1">
      <c r="C232" s="2"/>
    </row>
    <row r="233" ht="14.25" customHeight="1">
      <c r="C233" s="2"/>
    </row>
    <row r="234" ht="14.25" customHeight="1">
      <c r="C234" s="2"/>
    </row>
    <row r="235" ht="14.25" customHeight="1">
      <c r="C235" s="2"/>
    </row>
    <row r="236" ht="14.25" customHeight="1">
      <c r="C236" s="2"/>
    </row>
    <row r="237" ht="14.25" customHeight="1">
      <c r="C237" s="2"/>
    </row>
    <row r="238" ht="14.25" customHeight="1">
      <c r="C238" s="2"/>
    </row>
    <row r="239" ht="14.25" customHeight="1">
      <c r="C239" s="2"/>
    </row>
    <row r="240" ht="14.25" customHeight="1">
      <c r="C240" s="2"/>
    </row>
    <row r="241" ht="14.25" customHeight="1">
      <c r="C241" s="2"/>
    </row>
    <row r="242" ht="14.25" customHeight="1">
      <c r="C242" s="2"/>
    </row>
    <row r="243" ht="14.25" customHeight="1">
      <c r="C243" s="2"/>
    </row>
    <row r="244" ht="14.25" customHeight="1">
      <c r="C244" s="2"/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  <row r="1001" ht="14.25" customHeight="1">
      <c r="C1001" s="2"/>
    </row>
    <row r="1002" ht="14.25" customHeight="1">
      <c r="C1002" s="2"/>
    </row>
    <row r="1003" ht="14.25" customHeight="1">
      <c r="C1003" s="2"/>
    </row>
    <row r="1004" ht="14.25" customHeight="1">
      <c r="C1004" s="2"/>
    </row>
    <row r="1005" ht="14.25" customHeight="1">
      <c r="C1005" s="2"/>
    </row>
    <row r="1006" ht="14.25" customHeight="1">
      <c r="C1006" s="2"/>
    </row>
    <row r="1007" ht="14.25" customHeight="1">
      <c r="C1007" s="2"/>
    </row>
    <row r="1008" ht="14.25" customHeight="1">
      <c r="C1008" s="2"/>
    </row>
    <row r="1009" ht="14.25" customHeight="1">
      <c r="C1009" s="2"/>
    </row>
    <row r="1010" ht="14.25" customHeight="1">
      <c r="C1010" s="2"/>
    </row>
    <row r="1011" ht="14.25" customHeight="1">
      <c r="C1011" s="2"/>
    </row>
    <row r="1012" ht="14.25" customHeight="1">
      <c r="C1012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57"/>
    <col customWidth="1" min="3" max="3" width="16.86"/>
    <col customWidth="1" min="4" max="4" width="24.0"/>
    <col customWidth="1" min="5" max="6" width="10.71"/>
    <col customWidth="1" min="7" max="7" width="12.14"/>
    <col customWidth="1" min="8" max="8" width="13.14"/>
    <col customWidth="1" min="9" max="26" width="10.71"/>
  </cols>
  <sheetData>
    <row r="1" ht="14.25" customHeight="1">
      <c r="A1" s="16" t="s">
        <v>147</v>
      </c>
    </row>
    <row r="2" ht="14.25" customHeight="1"/>
    <row r="3" ht="14.25" customHeight="1"/>
    <row r="4" ht="14.25" customHeight="1">
      <c r="A4" s="24" t="s">
        <v>3</v>
      </c>
      <c r="B4" s="24" t="s">
        <v>148</v>
      </c>
      <c r="C4" s="24" t="s">
        <v>149</v>
      </c>
      <c r="D4" s="24" t="s">
        <v>150</v>
      </c>
      <c r="E4" s="25" t="s">
        <v>151</v>
      </c>
      <c r="F4" s="26"/>
      <c r="G4" s="26"/>
      <c r="H4" s="27"/>
    </row>
    <row r="5" ht="14.25" customHeight="1">
      <c r="A5" s="28"/>
      <c r="B5" s="28"/>
      <c r="C5" s="28"/>
      <c r="D5" s="28"/>
      <c r="E5" s="29"/>
      <c r="F5" s="30"/>
      <c r="G5" s="30"/>
      <c r="H5" s="31"/>
    </row>
    <row r="6" ht="14.25" customHeight="1">
      <c r="A6" s="32"/>
      <c r="B6" s="32"/>
      <c r="C6" s="32"/>
      <c r="D6" s="32"/>
      <c r="E6" s="33" t="s">
        <v>152</v>
      </c>
      <c r="F6" s="34" t="s">
        <v>153</v>
      </c>
      <c r="G6" s="34" t="s">
        <v>154</v>
      </c>
      <c r="H6" s="34" t="s">
        <v>11</v>
      </c>
      <c r="I6" s="7" t="s">
        <v>12</v>
      </c>
      <c r="J6" s="7" t="s">
        <v>13</v>
      </c>
      <c r="K6" s="7" t="s">
        <v>14</v>
      </c>
      <c r="L6" s="8" t="s">
        <v>15</v>
      </c>
    </row>
    <row r="7" ht="14.25" customHeight="1">
      <c r="A7" s="35">
        <v>1.0</v>
      </c>
      <c r="B7" s="36" t="s">
        <v>155</v>
      </c>
      <c r="C7" s="36" t="s">
        <v>156</v>
      </c>
      <c r="D7" s="37" t="s">
        <v>157</v>
      </c>
      <c r="E7" s="38">
        <v>6.11</v>
      </c>
      <c r="F7" s="38">
        <v>5.19</v>
      </c>
      <c r="G7" s="34">
        <f t="shared" ref="G7:G22" si="1">(E7+F7)/2</f>
        <v>5.65</v>
      </c>
      <c r="H7" s="34" t="s">
        <v>20</v>
      </c>
      <c r="I7" s="7">
        <v>1.0</v>
      </c>
    </row>
    <row r="8" ht="14.25" customHeight="1">
      <c r="A8" s="35">
        <v>2.0</v>
      </c>
      <c r="B8" s="36" t="s">
        <v>155</v>
      </c>
      <c r="C8" s="36" t="s">
        <v>156</v>
      </c>
      <c r="D8" s="37" t="s">
        <v>158</v>
      </c>
      <c r="E8" s="38">
        <v>3.39</v>
      </c>
      <c r="F8" s="38"/>
      <c r="G8" s="39">
        <f t="shared" si="1"/>
        <v>1.695</v>
      </c>
      <c r="H8" s="40" t="s">
        <v>14</v>
      </c>
      <c r="K8" s="7">
        <v>1.0</v>
      </c>
    </row>
    <row r="9" ht="14.25" customHeight="1">
      <c r="A9" s="35">
        <v>3.0</v>
      </c>
      <c r="B9" s="36" t="s">
        <v>155</v>
      </c>
      <c r="C9" s="36" t="s">
        <v>156</v>
      </c>
      <c r="D9" s="37" t="s">
        <v>159</v>
      </c>
      <c r="E9" s="38">
        <v>3.79</v>
      </c>
      <c r="F9" s="38">
        <v>3.1</v>
      </c>
      <c r="G9" s="39">
        <f t="shared" si="1"/>
        <v>3.445</v>
      </c>
      <c r="H9" s="40" t="s">
        <v>160</v>
      </c>
      <c r="J9" s="7">
        <v>1.0</v>
      </c>
    </row>
    <row r="10" ht="14.25" customHeight="1">
      <c r="A10" s="35">
        <v>4.0</v>
      </c>
      <c r="B10" s="36" t="s">
        <v>155</v>
      </c>
      <c r="C10" s="36" t="s">
        <v>156</v>
      </c>
      <c r="D10" s="37" t="s">
        <v>161</v>
      </c>
      <c r="E10" s="38">
        <v>3.0</v>
      </c>
      <c r="F10" s="38">
        <v>1.66</v>
      </c>
      <c r="G10" s="34">
        <f t="shared" si="1"/>
        <v>2.33</v>
      </c>
      <c r="H10" s="40" t="s">
        <v>160</v>
      </c>
      <c r="J10" s="7">
        <v>1.0</v>
      </c>
    </row>
    <row r="11" ht="14.25" customHeight="1">
      <c r="A11" s="35">
        <v>5.0</v>
      </c>
      <c r="B11" s="36" t="s">
        <v>155</v>
      </c>
      <c r="C11" s="36" t="s">
        <v>156</v>
      </c>
      <c r="D11" s="37" t="s">
        <v>162</v>
      </c>
      <c r="E11" s="38">
        <v>4.32</v>
      </c>
      <c r="F11" s="38">
        <v>5.7</v>
      </c>
      <c r="G11" s="34">
        <f t="shared" si="1"/>
        <v>5.01</v>
      </c>
      <c r="H11" s="34" t="s">
        <v>20</v>
      </c>
      <c r="I11" s="7">
        <v>1.0</v>
      </c>
    </row>
    <row r="12" ht="14.25" customHeight="1">
      <c r="A12" s="35">
        <v>6.0</v>
      </c>
      <c r="B12" s="36" t="s">
        <v>155</v>
      </c>
      <c r="C12" s="36" t="s">
        <v>156</v>
      </c>
      <c r="D12" s="37" t="s">
        <v>163</v>
      </c>
      <c r="E12" s="38">
        <v>1.66</v>
      </c>
      <c r="F12" s="38">
        <v>0.87</v>
      </c>
      <c r="G12" s="39">
        <f t="shared" si="1"/>
        <v>1.265</v>
      </c>
      <c r="H12" s="40" t="s">
        <v>160</v>
      </c>
      <c r="J12" s="7">
        <v>1.0</v>
      </c>
    </row>
    <row r="13" ht="14.25" customHeight="1">
      <c r="A13" s="35">
        <v>7.0</v>
      </c>
      <c r="B13" s="36" t="s">
        <v>155</v>
      </c>
      <c r="C13" s="36" t="s">
        <v>156</v>
      </c>
      <c r="D13" s="37" t="s">
        <v>164</v>
      </c>
      <c r="E13" s="38">
        <v>1.66</v>
      </c>
      <c r="F13" s="38"/>
      <c r="G13" s="34">
        <f t="shared" si="1"/>
        <v>0.83</v>
      </c>
      <c r="H13" s="40" t="s">
        <v>14</v>
      </c>
      <c r="K13" s="7">
        <v>1.0</v>
      </c>
    </row>
    <row r="14" ht="14.25" customHeight="1">
      <c r="A14" s="35">
        <v>8.0</v>
      </c>
      <c r="B14" s="36" t="s">
        <v>155</v>
      </c>
      <c r="C14" s="36" t="s">
        <v>156</v>
      </c>
      <c r="D14" s="37" t="s">
        <v>165</v>
      </c>
      <c r="E14" s="38">
        <v>7.72</v>
      </c>
      <c r="F14" s="38">
        <v>7.55</v>
      </c>
      <c r="G14" s="39">
        <f t="shared" si="1"/>
        <v>7.635</v>
      </c>
      <c r="H14" s="34" t="s">
        <v>20</v>
      </c>
      <c r="I14" s="7">
        <v>1.0</v>
      </c>
    </row>
    <row r="15" ht="14.25" customHeight="1">
      <c r="A15" s="35">
        <v>9.0</v>
      </c>
      <c r="B15" s="36" t="s">
        <v>155</v>
      </c>
      <c r="C15" s="36" t="s">
        <v>156</v>
      </c>
      <c r="D15" s="37" t="s">
        <v>166</v>
      </c>
      <c r="E15" s="38">
        <v>4.01</v>
      </c>
      <c r="F15" s="38">
        <v>3.79</v>
      </c>
      <c r="G15" s="34">
        <f t="shared" si="1"/>
        <v>3.9</v>
      </c>
      <c r="H15" s="34" t="s">
        <v>20</v>
      </c>
      <c r="I15" s="7">
        <v>1.0</v>
      </c>
    </row>
    <row r="16" ht="14.25" customHeight="1">
      <c r="A16" s="35">
        <v>10.0</v>
      </c>
      <c r="B16" s="36" t="s">
        <v>155</v>
      </c>
      <c r="C16" s="36" t="s">
        <v>156</v>
      </c>
      <c r="D16" s="37" t="s">
        <v>167</v>
      </c>
      <c r="E16" s="38">
        <v>6.69</v>
      </c>
      <c r="F16" s="38">
        <v>6.63</v>
      </c>
      <c r="G16" s="34">
        <f t="shared" si="1"/>
        <v>6.66</v>
      </c>
      <c r="H16" s="34" t="s">
        <v>20</v>
      </c>
      <c r="I16" s="7">
        <v>1.0</v>
      </c>
    </row>
    <row r="17" ht="14.25" customHeight="1">
      <c r="A17" s="35">
        <v>11.0</v>
      </c>
      <c r="B17" s="36" t="s">
        <v>155</v>
      </c>
      <c r="C17" s="36" t="s">
        <v>156</v>
      </c>
      <c r="D17" s="37" t="s">
        <v>168</v>
      </c>
      <c r="E17" s="38">
        <v>7.48</v>
      </c>
      <c r="F17" s="38">
        <v>6.69</v>
      </c>
      <c r="G17" s="39">
        <f t="shared" si="1"/>
        <v>7.085</v>
      </c>
      <c r="H17" s="34" t="s">
        <v>20</v>
      </c>
      <c r="I17" s="7">
        <v>1.0</v>
      </c>
    </row>
    <row r="18" ht="14.25" customHeight="1">
      <c r="A18" s="35">
        <v>12.0</v>
      </c>
      <c r="B18" s="36" t="s">
        <v>155</v>
      </c>
      <c r="C18" s="36" t="s">
        <v>156</v>
      </c>
      <c r="D18" s="37" t="s">
        <v>169</v>
      </c>
      <c r="E18" s="38">
        <v>9.05</v>
      </c>
      <c r="F18" s="38">
        <v>9.01</v>
      </c>
      <c r="G18" s="34">
        <f t="shared" si="1"/>
        <v>9.03</v>
      </c>
      <c r="H18" s="34" t="s">
        <v>20</v>
      </c>
      <c r="I18" s="7">
        <v>1.0</v>
      </c>
    </row>
    <row r="19" ht="14.25" customHeight="1">
      <c r="A19" s="35">
        <v>13.0</v>
      </c>
      <c r="B19" s="36" t="s">
        <v>155</v>
      </c>
      <c r="C19" s="36" t="s">
        <v>156</v>
      </c>
      <c r="D19" s="37" t="s">
        <v>170</v>
      </c>
      <c r="E19" s="38">
        <v>5.36</v>
      </c>
      <c r="F19" s="38">
        <v>4.73</v>
      </c>
      <c r="G19" s="39">
        <f t="shared" si="1"/>
        <v>5.045</v>
      </c>
      <c r="H19" s="34" t="s">
        <v>20</v>
      </c>
      <c r="I19" s="7">
        <v>1.0</v>
      </c>
    </row>
    <row r="20" ht="14.25" customHeight="1">
      <c r="A20" s="35">
        <v>14.0</v>
      </c>
      <c r="B20" s="36" t="s">
        <v>155</v>
      </c>
      <c r="C20" s="36" t="s">
        <v>156</v>
      </c>
      <c r="D20" s="37" t="s">
        <v>171</v>
      </c>
      <c r="E20" s="38">
        <v>1.6</v>
      </c>
      <c r="F20" s="38"/>
      <c r="G20" s="39">
        <f t="shared" si="1"/>
        <v>0.8</v>
      </c>
      <c r="H20" s="40" t="s">
        <v>14</v>
      </c>
      <c r="K20" s="7">
        <v>1.0</v>
      </c>
    </row>
    <row r="21" ht="14.25" customHeight="1">
      <c r="A21" s="35">
        <v>15.0</v>
      </c>
      <c r="B21" s="36" t="s">
        <v>155</v>
      </c>
      <c r="C21" s="36" t="s">
        <v>156</v>
      </c>
      <c r="D21" s="37" t="s">
        <v>172</v>
      </c>
      <c r="E21" s="38">
        <v>8.99</v>
      </c>
      <c r="F21" s="38">
        <v>8.48</v>
      </c>
      <c r="G21" s="39">
        <f t="shared" si="1"/>
        <v>8.735</v>
      </c>
      <c r="H21" s="34" t="s">
        <v>20</v>
      </c>
      <c r="I21" s="7">
        <v>1.0</v>
      </c>
    </row>
    <row r="22" ht="14.25" customHeight="1">
      <c r="A22" s="35">
        <v>16.0</v>
      </c>
      <c r="B22" s="36" t="s">
        <v>155</v>
      </c>
      <c r="C22" s="36" t="s">
        <v>156</v>
      </c>
      <c r="D22" s="37" t="s">
        <v>173</v>
      </c>
      <c r="E22" s="38">
        <v>3.67</v>
      </c>
      <c r="F22" s="38">
        <v>3.0</v>
      </c>
      <c r="G22" s="39">
        <f t="shared" si="1"/>
        <v>3.335</v>
      </c>
      <c r="H22" s="40" t="s">
        <v>14</v>
      </c>
      <c r="K22" s="7">
        <v>1.0</v>
      </c>
    </row>
    <row r="23" ht="14.25" customHeight="1">
      <c r="A23" s="35"/>
      <c r="B23" s="36"/>
      <c r="C23" s="36"/>
      <c r="D23" s="37"/>
      <c r="E23" s="38"/>
      <c r="F23" s="38"/>
      <c r="G23" s="39"/>
      <c r="H23" s="40"/>
      <c r="I23" s="16">
        <f t="shared" ref="I23:K23" si="2">SUM(I7:I22)</f>
        <v>9</v>
      </c>
      <c r="J23" s="16">
        <f t="shared" si="2"/>
        <v>3</v>
      </c>
      <c r="K23" s="16">
        <f t="shared" si="2"/>
        <v>4</v>
      </c>
    </row>
    <row r="24" ht="14.25" customHeight="1">
      <c r="A24" s="35"/>
      <c r="B24" s="36"/>
      <c r="C24" s="36"/>
      <c r="D24" s="37"/>
      <c r="E24" s="38"/>
      <c r="F24" s="38"/>
      <c r="G24" s="39"/>
      <c r="H24" s="40"/>
      <c r="I24" s="17">
        <f>I23/A22</f>
        <v>0.5625</v>
      </c>
      <c r="J24" s="17">
        <f>J23/A22</f>
        <v>0.1875</v>
      </c>
      <c r="K24" s="17">
        <f>K23/A22</f>
        <v>0.25</v>
      </c>
    </row>
    <row r="25" ht="14.25" customHeight="1">
      <c r="A25" s="35"/>
      <c r="B25" s="36"/>
      <c r="C25" s="36"/>
      <c r="D25" s="37"/>
      <c r="E25" s="38"/>
      <c r="F25" s="38"/>
      <c r="G25" s="39"/>
      <c r="H25" s="40"/>
    </row>
    <row r="26" ht="14.25" customHeight="1">
      <c r="A26" s="36">
        <v>1.0</v>
      </c>
      <c r="B26" s="36" t="s">
        <v>155</v>
      </c>
      <c r="C26" s="36" t="s">
        <v>174</v>
      </c>
      <c r="D26" s="41" t="s">
        <v>175</v>
      </c>
      <c r="E26" s="33">
        <v>7.1</v>
      </c>
      <c r="F26" s="33"/>
      <c r="G26" s="42">
        <v>7.1</v>
      </c>
      <c r="H26" s="34" t="s">
        <v>20</v>
      </c>
      <c r="I26" s="7">
        <v>1.0</v>
      </c>
    </row>
    <row r="27" ht="14.25" customHeight="1">
      <c r="A27" s="34">
        <v>2.0</v>
      </c>
      <c r="B27" s="36" t="s">
        <v>155</v>
      </c>
      <c r="C27" s="36" t="s">
        <v>174</v>
      </c>
      <c r="D27" s="43" t="s">
        <v>176</v>
      </c>
      <c r="E27" s="38">
        <v>4.09</v>
      </c>
      <c r="F27" s="38"/>
      <c r="G27" s="44">
        <v>4.09</v>
      </c>
      <c r="H27" s="40" t="s">
        <v>160</v>
      </c>
      <c r="J27" s="7">
        <v>1.0</v>
      </c>
    </row>
    <row r="28" ht="14.25" customHeight="1">
      <c r="A28" s="34">
        <v>3.0</v>
      </c>
      <c r="B28" s="36" t="s">
        <v>155</v>
      </c>
      <c r="C28" s="36" t="s">
        <v>174</v>
      </c>
      <c r="D28" s="43" t="s">
        <v>177</v>
      </c>
      <c r="E28" s="38">
        <v>4.55</v>
      </c>
      <c r="F28" s="38"/>
      <c r="G28" s="44">
        <v>4.55</v>
      </c>
      <c r="H28" s="34" t="s">
        <v>20</v>
      </c>
      <c r="I28" s="7">
        <v>1.0</v>
      </c>
    </row>
    <row r="29" ht="14.25" customHeight="1">
      <c r="A29" s="34">
        <v>4.0</v>
      </c>
      <c r="B29" s="36" t="s">
        <v>155</v>
      </c>
      <c r="C29" s="36" t="s">
        <v>174</v>
      </c>
      <c r="D29" s="43" t="s">
        <v>178</v>
      </c>
      <c r="E29" s="38">
        <v>2.11</v>
      </c>
      <c r="F29" s="38"/>
      <c r="G29" s="44">
        <v>2.11</v>
      </c>
      <c r="H29" s="40" t="s">
        <v>160</v>
      </c>
      <c r="J29" s="7">
        <v>1.0</v>
      </c>
    </row>
    <row r="30" ht="14.25" customHeight="1">
      <c r="A30" s="34">
        <v>5.0</v>
      </c>
      <c r="B30" s="36" t="s">
        <v>155</v>
      </c>
      <c r="C30" s="36" t="s">
        <v>174</v>
      </c>
      <c r="D30" s="43" t="s">
        <v>179</v>
      </c>
      <c r="E30" s="38">
        <v>6.8</v>
      </c>
      <c r="F30" s="38"/>
      <c r="G30" s="44">
        <v>6.8</v>
      </c>
      <c r="H30" s="34" t="s">
        <v>20</v>
      </c>
      <c r="I30" s="7">
        <v>1.0</v>
      </c>
    </row>
    <row r="31" ht="14.25" customHeight="1">
      <c r="A31" s="34">
        <v>6.0</v>
      </c>
      <c r="B31" s="36" t="s">
        <v>155</v>
      </c>
      <c r="C31" s="36" t="s">
        <v>174</v>
      </c>
      <c r="D31" s="43" t="s">
        <v>180</v>
      </c>
      <c r="E31" s="38">
        <v>6.15</v>
      </c>
      <c r="F31" s="38"/>
      <c r="G31" s="44">
        <v>6.15</v>
      </c>
      <c r="H31" s="34" t="s">
        <v>20</v>
      </c>
      <c r="I31" s="7">
        <v>1.0</v>
      </c>
    </row>
    <row r="32" ht="14.25" customHeight="1">
      <c r="A32" s="34">
        <v>7.0</v>
      </c>
      <c r="B32" s="36" t="s">
        <v>155</v>
      </c>
      <c r="C32" s="36" t="s">
        <v>174</v>
      </c>
      <c r="D32" s="43" t="s">
        <v>181</v>
      </c>
      <c r="E32" s="38">
        <v>6.5</v>
      </c>
      <c r="F32" s="38"/>
      <c r="G32" s="44">
        <v>6.5</v>
      </c>
      <c r="H32" s="40" t="s">
        <v>14</v>
      </c>
      <c r="K32" s="7">
        <v>1.0</v>
      </c>
    </row>
    <row r="33" ht="14.25" customHeight="1">
      <c r="A33" s="34">
        <v>8.0</v>
      </c>
      <c r="B33" s="36" t="s">
        <v>155</v>
      </c>
      <c r="C33" s="36" t="s">
        <v>174</v>
      </c>
      <c r="D33" s="43" t="s">
        <v>182</v>
      </c>
      <c r="E33" s="38">
        <v>5.15</v>
      </c>
      <c r="F33" s="38"/>
      <c r="G33" s="44">
        <v>5.15</v>
      </c>
      <c r="H33" s="40" t="s">
        <v>183</v>
      </c>
      <c r="L33" s="7">
        <v>1.0</v>
      </c>
    </row>
    <row r="34" ht="14.25" customHeight="1">
      <c r="A34" s="34">
        <v>9.0</v>
      </c>
      <c r="B34" s="36" t="s">
        <v>155</v>
      </c>
      <c r="C34" s="36" t="s">
        <v>174</v>
      </c>
      <c r="D34" s="43" t="s">
        <v>184</v>
      </c>
      <c r="E34" s="38">
        <v>5.25</v>
      </c>
      <c r="F34" s="38"/>
      <c r="G34" s="44">
        <v>5.25</v>
      </c>
      <c r="H34" s="34" t="s">
        <v>20</v>
      </c>
      <c r="I34" s="7">
        <v>1.0</v>
      </c>
    </row>
    <row r="35" ht="14.25" customHeight="1">
      <c r="A35" s="34"/>
      <c r="B35" s="36"/>
      <c r="C35" s="36"/>
      <c r="D35" s="43"/>
      <c r="E35" s="38"/>
      <c r="F35" s="38"/>
      <c r="G35" s="44"/>
      <c r="H35" s="34"/>
      <c r="I35" s="16">
        <f t="shared" ref="I35:K35" si="3">SUM(I26:I34)</f>
        <v>5</v>
      </c>
      <c r="J35" s="16">
        <f t="shared" si="3"/>
        <v>2</v>
      </c>
      <c r="K35" s="16">
        <f t="shared" si="3"/>
        <v>1</v>
      </c>
    </row>
    <row r="36" ht="14.25" customHeight="1">
      <c r="A36" s="34"/>
      <c r="B36" s="36"/>
      <c r="C36" s="36"/>
      <c r="D36" s="43"/>
      <c r="E36" s="38"/>
      <c r="F36" s="38"/>
      <c r="G36" s="44"/>
      <c r="H36" s="34"/>
      <c r="I36" s="17">
        <f>I35/A34</f>
        <v>0.5555555556</v>
      </c>
      <c r="J36" s="17">
        <f>J35/A34</f>
        <v>0.2222222222</v>
      </c>
      <c r="K36" s="17">
        <f>K35/A34</f>
        <v>0.1111111111</v>
      </c>
    </row>
    <row r="37" ht="14.25" customHeight="1">
      <c r="A37" s="34"/>
      <c r="B37" s="36"/>
      <c r="C37" s="36"/>
      <c r="D37" s="43"/>
      <c r="E37" s="38"/>
      <c r="F37" s="38"/>
      <c r="G37" s="44"/>
      <c r="H37" s="34"/>
    </row>
    <row r="38" ht="14.25" customHeight="1">
      <c r="A38" s="36">
        <v>1.0</v>
      </c>
      <c r="B38" s="36" t="s">
        <v>155</v>
      </c>
      <c r="C38" s="36" t="s">
        <v>185</v>
      </c>
      <c r="D38" s="43" t="s">
        <v>186</v>
      </c>
      <c r="E38" s="36">
        <v>8.6</v>
      </c>
      <c r="F38" s="34">
        <v>8.86</v>
      </c>
      <c r="G38" s="34">
        <f t="shared" ref="G38:G60" si="4">(E38+F38)/2</f>
        <v>8.73</v>
      </c>
      <c r="H38" s="34" t="s">
        <v>20</v>
      </c>
      <c r="I38" s="7">
        <v>1.0</v>
      </c>
    </row>
    <row r="39" ht="14.25" customHeight="1">
      <c r="A39" s="34">
        <v>2.0</v>
      </c>
      <c r="B39" s="36" t="s">
        <v>155</v>
      </c>
      <c r="C39" s="36" t="s">
        <v>185</v>
      </c>
      <c r="D39" s="43" t="s">
        <v>187</v>
      </c>
      <c r="E39" s="34">
        <v>7.62</v>
      </c>
      <c r="F39" s="34">
        <v>8.05</v>
      </c>
      <c r="G39" s="39">
        <f t="shared" si="4"/>
        <v>7.835</v>
      </c>
      <c r="H39" s="34" t="s">
        <v>20</v>
      </c>
      <c r="I39" s="7">
        <v>1.0</v>
      </c>
    </row>
    <row r="40" ht="14.25" customHeight="1">
      <c r="A40" s="45">
        <v>3.0</v>
      </c>
      <c r="B40" s="36" t="s">
        <v>155</v>
      </c>
      <c r="C40" s="36" t="s">
        <v>185</v>
      </c>
      <c r="D40" s="43" t="s">
        <v>188</v>
      </c>
      <c r="E40" s="34">
        <v>6.89</v>
      </c>
      <c r="F40" s="34">
        <v>7.11</v>
      </c>
      <c r="G40" s="34">
        <f t="shared" si="4"/>
        <v>7</v>
      </c>
      <c r="H40" s="34" t="s">
        <v>20</v>
      </c>
      <c r="I40" s="7">
        <v>1.0</v>
      </c>
    </row>
    <row r="41" ht="14.25" customHeight="1">
      <c r="A41" s="45">
        <v>4.0</v>
      </c>
      <c r="B41" s="36" t="s">
        <v>155</v>
      </c>
      <c r="C41" s="36" t="s">
        <v>185</v>
      </c>
      <c r="D41" s="43" t="s">
        <v>189</v>
      </c>
      <c r="E41" s="34">
        <v>6.67</v>
      </c>
      <c r="F41" s="34">
        <v>7.32</v>
      </c>
      <c r="G41" s="39">
        <f t="shared" si="4"/>
        <v>6.995</v>
      </c>
      <c r="H41" s="34" t="s">
        <v>20</v>
      </c>
      <c r="I41" s="7">
        <v>1.0</v>
      </c>
    </row>
    <row r="42" ht="14.25" customHeight="1">
      <c r="A42" s="45">
        <v>5.0</v>
      </c>
      <c r="B42" s="36" t="s">
        <v>155</v>
      </c>
      <c r="C42" s="36" t="s">
        <v>185</v>
      </c>
      <c r="D42" s="43" t="s">
        <v>190</v>
      </c>
      <c r="E42" s="34">
        <v>5.55</v>
      </c>
      <c r="F42" s="34">
        <v>6.03</v>
      </c>
      <c r="G42" s="34">
        <f t="shared" si="4"/>
        <v>5.79</v>
      </c>
      <c r="H42" s="34" t="s">
        <v>20</v>
      </c>
      <c r="I42" s="7">
        <v>1.0</v>
      </c>
    </row>
    <row r="43" ht="14.25" customHeight="1">
      <c r="A43" s="45">
        <v>6.0</v>
      </c>
      <c r="B43" s="36" t="s">
        <v>155</v>
      </c>
      <c r="C43" s="36" t="s">
        <v>185</v>
      </c>
      <c r="D43" s="43" t="s">
        <v>191</v>
      </c>
      <c r="E43" s="34">
        <v>5.34</v>
      </c>
      <c r="F43" s="34">
        <v>5.91</v>
      </c>
      <c r="G43" s="39">
        <f t="shared" si="4"/>
        <v>5.625</v>
      </c>
      <c r="H43" s="34" t="s">
        <v>20</v>
      </c>
      <c r="I43" s="7">
        <v>1.0</v>
      </c>
    </row>
    <row r="44" ht="14.25" customHeight="1">
      <c r="A44" s="45">
        <v>7.0</v>
      </c>
      <c r="B44" s="36" t="s">
        <v>155</v>
      </c>
      <c r="C44" s="36" t="s">
        <v>185</v>
      </c>
      <c r="D44" s="43" t="s">
        <v>192</v>
      </c>
      <c r="E44" s="34">
        <v>5.32</v>
      </c>
      <c r="F44" s="34">
        <v>6.25</v>
      </c>
      <c r="G44" s="39">
        <f t="shared" si="4"/>
        <v>5.785</v>
      </c>
      <c r="H44" s="34" t="s">
        <v>20</v>
      </c>
      <c r="I44" s="7">
        <v>1.0</v>
      </c>
    </row>
    <row r="45" ht="14.25" customHeight="1">
      <c r="A45" s="45">
        <v>8.0</v>
      </c>
      <c r="B45" s="36" t="s">
        <v>155</v>
      </c>
      <c r="C45" s="36" t="s">
        <v>185</v>
      </c>
      <c r="D45" s="43" t="s">
        <v>193</v>
      </c>
      <c r="E45" s="46">
        <v>5.1</v>
      </c>
      <c r="F45" s="34">
        <v>5.83</v>
      </c>
      <c r="G45" s="39">
        <f t="shared" si="4"/>
        <v>5.465</v>
      </c>
      <c r="H45" s="34" t="s">
        <v>20</v>
      </c>
      <c r="I45" s="7">
        <v>1.0</v>
      </c>
    </row>
    <row r="46" ht="14.25" customHeight="1">
      <c r="A46" s="45">
        <v>9.0</v>
      </c>
      <c r="B46" s="36" t="s">
        <v>155</v>
      </c>
      <c r="C46" s="36" t="s">
        <v>185</v>
      </c>
      <c r="D46" s="43" t="s">
        <v>194</v>
      </c>
      <c r="E46" s="34">
        <v>5.08</v>
      </c>
      <c r="F46" s="34">
        <v>5.35</v>
      </c>
      <c r="G46" s="39">
        <f t="shared" si="4"/>
        <v>5.215</v>
      </c>
      <c r="H46" s="34" t="s">
        <v>20</v>
      </c>
      <c r="I46" s="7">
        <v>1.0</v>
      </c>
    </row>
    <row r="47" ht="14.25" customHeight="1">
      <c r="A47" s="45">
        <v>10.0</v>
      </c>
      <c r="B47" s="36" t="s">
        <v>155</v>
      </c>
      <c r="C47" s="36" t="s">
        <v>185</v>
      </c>
      <c r="D47" s="43" t="s">
        <v>195</v>
      </c>
      <c r="E47" s="34">
        <v>4.22</v>
      </c>
      <c r="F47" s="34">
        <v>5.03</v>
      </c>
      <c r="G47" s="39">
        <f t="shared" si="4"/>
        <v>4.625</v>
      </c>
      <c r="H47" s="34" t="s">
        <v>20</v>
      </c>
      <c r="I47" s="7">
        <v>1.0</v>
      </c>
    </row>
    <row r="48" ht="14.25" customHeight="1">
      <c r="A48" s="45">
        <v>11.0</v>
      </c>
      <c r="B48" s="36" t="s">
        <v>155</v>
      </c>
      <c r="C48" s="36" t="s">
        <v>185</v>
      </c>
      <c r="D48" s="43" t="s">
        <v>196</v>
      </c>
      <c r="E48" s="34">
        <v>3.97</v>
      </c>
      <c r="F48" s="34">
        <v>5.16</v>
      </c>
      <c r="G48" s="39">
        <f t="shared" si="4"/>
        <v>4.565</v>
      </c>
      <c r="H48" s="34" t="s">
        <v>20</v>
      </c>
      <c r="I48" s="7">
        <v>1.0</v>
      </c>
    </row>
    <row r="49" ht="14.25" customHeight="1">
      <c r="A49" s="45">
        <v>12.0</v>
      </c>
      <c r="B49" s="36" t="s">
        <v>155</v>
      </c>
      <c r="C49" s="36" t="s">
        <v>185</v>
      </c>
      <c r="D49" s="43" t="s">
        <v>197</v>
      </c>
      <c r="E49" s="34">
        <v>3.92</v>
      </c>
      <c r="F49" s="34">
        <v>4.62</v>
      </c>
      <c r="G49" s="34">
        <f t="shared" si="4"/>
        <v>4.27</v>
      </c>
      <c r="H49" s="34" t="s">
        <v>20</v>
      </c>
      <c r="I49" s="7">
        <v>1.0</v>
      </c>
    </row>
    <row r="50" ht="14.25" customHeight="1">
      <c r="A50" s="45">
        <v>13.0</v>
      </c>
      <c r="B50" s="36" t="s">
        <v>155</v>
      </c>
      <c r="C50" s="36" t="s">
        <v>185</v>
      </c>
      <c r="D50" s="43" t="s">
        <v>198</v>
      </c>
      <c r="E50" s="34">
        <v>3.47</v>
      </c>
      <c r="F50" s="34">
        <v>5.93</v>
      </c>
      <c r="G50" s="34">
        <f t="shared" si="4"/>
        <v>4.7</v>
      </c>
      <c r="H50" s="34" t="s">
        <v>20</v>
      </c>
      <c r="I50" s="7">
        <v>1.0</v>
      </c>
    </row>
    <row r="51" ht="14.25" customHeight="1">
      <c r="A51" s="45">
        <v>14.0</v>
      </c>
      <c r="B51" s="36" t="s">
        <v>155</v>
      </c>
      <c r="C51" s="36" t="s">
        <v>185</v>
      </c>
      <c r="D51" s="43" t="s">
        <v>199</v>
      </c>
      <c r="E51" s="34">
        <v>3.04</v>
      </c>
      <c r="F51" s="34">
        <v>3.75</v>
      </c>
      <c r="G51" s="39">
        <f t="shared" si="4"/>
        <v>3.395</v>
      </c>
      <c r="H51" s="40" t="s">
        <v>160</v>
      </c>
      <c r="J51" s="7">
        <v>1.0</v>
      </c>
    </row>
    <row r="52" ht="14.25" customHeight="1">
      <c r="A52" s="45">
        <v>15.0</v>
      </c>
      <c r="B52" s="36" t="s">
        <v>155</v>
      </c>
      <c r="C52" s="36" t="s">
        <v>185</v>
      </c>
      <c r="D52" s="43" t="s">
        <v>200</v>
      </c>
      <c r="E52" s="34">
        <v>2.63</v>
      </c>
      <c r="F52" s="34">
        <v>3.11</v>
      </c>
      <c r="G52" s="34">
        <f t="shared" si="4"/>
        <v>2.87</v>
      </c>
      <c r="H52" s="34" t="s">
        <v>20</v>
      </c>
      <c r="I52" s="7">
        <v>1.0</v>
      </c>
    </row>
    <row r="53" ht="14.25" customHeight="1">
      <c r="A53" s="45">
        <v>16.0</v>
      </c>
      <c r="B53" s="36" t="s">
        <v>155</v>
      </c>
      <c r="C53" s="36" t="s">
        <v>185</v>
      </c>
      <c r="D53" s="43" t="s">
        <v>201</v>
      </c>
      <c r="E53" s="34">
        <v>2.61</v>
      </c>
      <c r="F53" s="34">
        <v>2.83</v>
      </c>
      <c r="G53" s="34">
        <f t="shared" si="4"/>
        <v>2.72</v>
      </c>
      <c r="H53" s="40" t="s">
        <v>14</v>
      </c>
      <c r="K53" s="7">
        <v>1.0</v>
      </c>
    </row>
    <row r="54" ht="14.25" customHeight="1">
      <c r="A54" s="45">
        <v>17.0</v>
      </c>
      <c r="B54" s="36" t="s">
        <v>155</v>
      </c>
      <c r="C54" s="36" t="s">
        <v>185</v>
      </c>
      <c r="D54" s="43" t="s">
        <v>202</v>
      </c>
      <c r="E54" s="34">
        <v>2.46</v>
      </c>
      <c r="F54" s="34">
        <v>2.28</v>
      </c>
      <c r="G54" s="34">
        <f t="shared" si="4"/>
        <v>2.37</v>
      </c>
      <c r="H54" s="40" t="s">
        <v>160</v>
      </c>
      <c r="J54" s="7">
        <v>1.0</v>
      </c>
    </row>
    <row r="55" ht="14.25" customHeight="1">
      <c r="A55" s="45">
        <v>18.0</v>
      </c>
      <c r="B55" s="36" t="s">
        <v>155</v>
      </c>
      <c r="C55" s="36" t="s">
        <v>185</v>
      </c>
      <c r="D55" s="43" t="s">
        <v>203</v>
      </c>
      <c r="E55" s="34">
        <v>2.43</v>
      </c>
      <c r="F55" s="34">
        <v>2.26</v>
      </c>
      <c r="G55" s="39">
        <f t="shared" si="4"/>
        <v>2.345</v>
      </c>
      <c r="H55" s="40" t="s">
        <v>160</v>
      </c>
      <c r="J55" s="7">
        <v>1.0</v>
      </c>
    </row>
    <row r="56" ht="14.25" customHeight="1">
      <c r="A56" s="45">
        <v>19.0</v>
      </c>
      <c r="B56" s="36" t="s">
        <v>155</v>
      </c>
      <c r="C56" s="36" t="s">
        <v>185</v>
      </c>
      <c r="D56" s="43" t="s">
        <v>204</v>
      </c>
      <c r="E56" s="34">
        <v>2.27</v>
      </c>
      <c r="F56" s="34">
        <v>2.61</v>
      </c>
      <c r="G56" s="34">
        <f t="shared" si="4"/>
        <v>2.44</v>
      </c>
      <c r="H56" s="40" t="s">
        <v>160</v>
      </c>
      <c r="J56" s="7">
        <v>1.0</v>
      </c>
    </row>
    <row r="57" ht="14.25" customHeight="1">
      <c r="A57" s="45">
        <v>20.0</v>
      </c>
      <c r="B57" s="36" t="s">
        <v>155</v>
      </c>
      <c r="C57" s="36" t="s">
        <v>185</v>
      </c>
      <c r="D57" s="43" t="s">
        <v>205</v>
      </c>
      <c r="E57" s="34">
        <v>2.21</v>
      </c>
      <c r="F57" s="34">
        <v>2.32</v>
      </c>
      <c r="G57" s="39">
        <f t="shared" si="4"/>
        <v>2.265</v>
      </c>
      <c r="H57" s="40" t="s">
        <v>160</v>
      </c>
      <c r="J57" s="7">
        <v>1.0</v>
      </c>
    </row>
    <row r="58" ht="14.25" customHeight="1">
      <c r="A58" s="45">
        <v>21.0</v>
      </c>
      <c r="B58" s="36" t="s">
        <v>155</v>
      </c>
      <c r="C58" s="36" t="s">
        <v>185</v>
      </c>
      <c r="D58" s="43" t="s">
        <v>206</v>
      </c>
      <c r="E58" s="34">
        <v>2.0</v>
      </c>
      <c r="F58" s="34">
        <v>2.36</v>
      </c>
      <c r="G58" s="34">
        <f t="shared" si="4"/>
        <v>2.18</v>
      </c>
      <c r="H58" s="40" t="s">
        <v>160</v>
      </c>
      <c r="J58" s="7">
        <v>1.0</v>
      </c>
    </row>
    <row r="59" ht="14.25" customHeight="1">
      <c r="A59" s="45">
        <v>22.0</v>
      </c>
      <c r="B59" s="36" t="s">
        <v>155</v>
      </c>
      <c r="C59" s="36" t="s">
        <v>185</v>
      </c>
      <c r="D59" s="43" t="s">
        <v>207</v>
      </c>
      <c r="E59" s="34">
        <v>2.13</v>
      </c>
      <c r="F59" s="34">
        <v>2.0</v>
      </c>
      <c r="G59" s="39">
        <f t="shared" si="4"/>
        <v>2.065</v>
      </c>
      <c r="H59" s="40" t="s">
        <v>160</v>
      </c>
      <c r="J59" s="7">
        <v>1.0</v>
      </c>
    </row>
    <row r="60" ht="14.25" customHeight="1">
      <c r="A60" s="45">
        <v>23.0</v>
      </c>
      <c r="B60" s="36" t="s">
        <v>155</v>
      </c>
      <c r="C60" s="36" t="s">
        <v>185</v>
      </c>
      <c r="D60" s="43" t="s">
        <v>208</v>
      </c>
      <c r="E60" s="34">
        <v>1.78</v>
      </c>
      <c r="F60" s="34">
        <v>1.71</v>
      </c>
      <c r="G60" s="39">
        <f t="shared" si="4"/>
        <v>1.745</v>
      </c>
      <c r="H60" s="40" t="s">
        <v>160</v>
      </c>
      <c r="J60" s="7">
        <v>1.0</v>
      </c>
    </row>
    <row r="61" ht="14.25" customHeight="1">
      <c r="A61" s="45"/>
      <c r="B61" s="47"/>
      <c r="C61" s="36"/>
      <c r="D61" s="43"/>
      <c r="E61" s="34"/>
      <c r="F61" s="34"/>
      <c r="G61" s="39"/>
      <c r="H61" s="40"/>
      <c r="I61" s="16">
        <f t="shared" ref="I61:K61" si="5">SUM(I38:I60)</f>
        <v>14</v>
      </c>
      <c r="J61" s="16">
        <f t="shared" si="5"/>
        <v>8</v>
      </c>
      <c r="K61" s="16">
        <f t="shared" si="5"/>
        <v>1</v>
      </c>
    </row>
    <row r="62" ht="14.25" customHeight="1">
      <c r="A62" s="45"/>
      <c r="B62" s="47"/>
      <c r="C62" s="36"/>
      <c r="D62" s="43"/>
      <c r="E62" s="34"/>
      <c r="F62" s="34"/>
      <c r="G62" s="39"/>
      <c r="H62" s="40"/>
      <c r="I62" s="17">
        <f>I61/A60</f>
        <v>0.6086956522</v>
      </c>
      <c r="J62" s="17">
        <f>J61/A60</f>
        <v>0.347826087</v>
      </c>
      <c r="K62" s="17">
        <f>K61/A60</f>
        <v>0.04347826087</v>
      </c>
    </row>
    <row r="63" ht="14.25" customHeight="1">
      <c r="A63" s="45"/>
      <c r="B63" s="47"/>
      <c r="C63" s="36"/>
      <c r="D63" s="43"/>
      <c r="E63" s="34"/>
      <c r="F63" s="34"/>
      <c r="G63" s="39"/>
      <c r="H63" s="40"/>
    </row>
    <row r="64" ht="14.25" customHeight="1">
      <c r="A64" s="48">
        <v>1.0</v>
      </c>
      <c r="B64" s="49" t="s">
        <v>155</v>
      </c>
      <c r="C64" s="36" t="s">
        <v>209</v>
      </c>
      <c r="D64" s="41" t="s">
        <v>210</v>
      </c>
      <c r="E64" s="33">
        <v>5.06</v>
      </c>
      <c r="F64" s="50">
        <v>4.7</v>
      </c>
      <c r="G64" s="34">
        <f t="shared" ref="G64:G75" si="6">(E64+F64)/2</f>
        <v>4.88</v>
      </c>
      <c r="H64" s="34" t="s">
        <v>20</v>
      </c>
      <c r="I64" s="7">
        <v>1.0</v>
      </c>
    </row>
    <row r="65" ht="14.25" customHeight="1">
      <c r="A65" s="51">
        <v>2.0</v>
      </c>
      <c r="B65" s="49" t="s">
        <v>155</v>
      </c>
      <c r="C65" s="36" t="s">
        <v>209</v>
      </c>
      <c r="D65" s="43" t="s">
        <v>211</v>
      </c>
      <c r="E65" s="50">
        <v>4.4</v>
      </c>
      <c r="F65" s="50">
        <v>5.06</v>
      </c>
      <c r="G65" s="34">
        <f t="shared" si="6"/>
        <v>4.73</v>
      </c>
      <c r="H65" s="34" t="s">
        <v>20</v>
      </c>
      <c r="I65" s="7">
        <v>1.0</v>
      </c>
    </row>
    <row r="66" ht="14.25" customHeight="1">
      <c r="A66" s="52">
        <v>3.0</v>
      </c>
      <c r="B66" s="49" t="s">
        <v>155</v>
      </c>
      <c r="C66" s="36" t="s">
        <v>209</v>
      </c>
      <c r="D66" s="43" t="s">
        <v>212</v>
      </c>
      <c r="E66" s="50">
        <v>6.3</v>
      </c>
      <c r="F66" s="50">
        <v>4.08</v>
      </c>
      <c r="G66" s="34">
        <f t="shared" si="6"/>
        <v>5.19</v>
      </c>
      <c r="H66" s="34" t="s">
        <v>20</v>
      </c>
      <c r="I66" s="7">
        <v>1.0</v>
      </c>
    </row>
    <row r="67" ht="14.25" customHeight="1">
      <c r="A67" s="48">
        <v>4.0</v>
      </c>
      <c r="B67" s="49" t="s">
        <v>155</v>
      </c>
      <c r="C67" s="36" t="s">
        <v>209</v>
      </c>
      <c r="D67" s="43" t="s">
        <v>213</v>
      </c>
      <c r="E67" s="50">
        <v>4.06</v>
      </c>
      <c r="F67" s="50">
        <v>5.0</v>
      </c>
      <c r="G67" s="34">
        <f t="shared" si="6"/>
        <v>4.53</v>
      </c>
      <c r="H67" s="34" t="s">
        <v>20</v>
      </c>
      <c r="I67" s="7">
        <v>1.0</v>
      </c>
    </row>
    <row r="68" ht="14.25" customHeight="1">
      <c r="A68" s="51">
        <v>5.0</v>
      </c>
      <c r="B68" s="49" t="s">
        <v>155</v>
      </c>
      <c r="C68" s="36" t="s">
        <v>209</v>
      </c>
      <c r="D68" s="43" t="s">
        <v>214</v>
      </c>
      <c r="E68" s="50">
        <v>3.08</v>
      </c>
      <c r="F68" s="50">
        <v>4.6</v>
      </c>
      <c r="G68" s="34">
        <f t="shared" si="6"/>
        <v>3.84</v>
      </c>
      <c r="H68" s="53" t="s">
        <v>160</v>
      </c>
      <c r="J68" s="7">
        <v>1.0</v>
      </c>
    </row>
    <row r="69" ht="14.25" customHeight="1">
      <c r="A69" s="52">
        <v>6.0</v>
      </c>
      <c r="B69" s="49" t="s">
        <v>155</v>
      </c>
      <c r="C69" s="36" t="s">
        <v>209</v>
      </c>
      <c r="D69" s="43" t="s">
        <v>215</v>
      </c>
      <c r="E69" s="50">
        <v>3.25</v>
      </c>
      <c r="F69" s="50">
        <v>4.75</v>
      </c>
      <c r="G69" s="34">
        <f t="shared" si="6"/>
        <v>4</v>
      </c>
      <c r="H69" s="53" t="s">
        <v>160</v>
      </c>
      <c r="J69" s="7">
        <v>1.0</v>
      </c>
    </row>
    <row r="70" ht="14.25" customHeight="1">
      <c r="A70" s="48">
        <v>7.0</v>
      </c>
      <c r="B70" s="49" t="s">
        <v>155</v>
      </c>
      <c r="C70" s="36" t="s">
        <v>209</v>
      </c>
      <c r="D70" s="43" t="s">
        <v>216</v>
      </c>
      <c r="E70" s="50">
        <v>3.4</v>
      </c>
      <c r="F70" s="50"/>
      <c r="G70" s="34">
        <f t="shared" si="6"/>
        <v>1.7</v>
      </c>
      <c r="H70" s="40" t="s">
        <v>14</v>
      </c>
      <c r="K70" s="7">
        <v>1.0</v>
      </c>
    </row>
    <row r="71" ht="14.25" customHeight="1">
      <c r="A71" s="51">
        <v>8.0</v>
      </c>
      <c r="B71" s="49" t="s">
        <v>155</v>
      </c>
      <c r="C71" s="36" t="s">
        <v>209</v>
      </c>
      <c r="D71" s="43" t="s">
        <v>217</v>
      </c>
      <c r="E71" s="50">
        <v>3.7</v>
      </c>
      <c r="F71" s="50"/>
      <c r="G71" s="34">
        <f t="shared" si="6"/>
        <v>1.85</v>
      </c>
      <c r="H71" s="40" t="s">
        <v>14</v>
      </c>
      <c r="K71" s="7">
        <v>1.0</v>
      </c>
    </row>
    <row r="72" ht="14.25" customHeight="1">
      <c r="A72" s="52">
        <v>9.0</v>
      </c>
      <c r="B72" s="49" t="s">
        <v>155</v>
      </c>
      <c r="C72" s="36" t="s">
        <v>209</v>
      </c>
      <c r="D72" s="43" t="s">
        <v>218</v>
      </c>
      <c r="E72" s="50">
        <v>3.5</v>
      </c>
      <c r="F72" s="50">
        <v>5.5</v>
      </c>
      <c r="G72" s="34">
        <f t="shared" si="6"/>
        <v>4.5</v>
      </c>
      <c r="H72" s="34" t="s">
        <v>20</v>
      </c>
      <c r="I72" s="7">
        <v>1.0</v>
      </c>
    </row>
    <row r="73" ht="14.25" customHeight="1">
      <c r="A73" s="48">
        <v>10.0</v>
      </c>
      <c r="B73" s="49" t="s">
        <v>155</v>
      </c>
      <c r="C73" s="36" t="s">
        <v>209</v>
      </c>
      <c r="D73" s="43" t="s">
        <v>219</v>
      </c>
      <c r="E73" s="50">
        <v>2.08</v>
      </c>
      <c r="F73" s="50">
        <v>2.3</v>
      </c>
      <c r="G73" s="34">
        <f t="shared" si="6"/>
        <v>2.19</v>
      </c>
      <c r="H73" s="53" t="s">
        <v>160</v>
      </c>
      <c r="J73" s="7">
        <v>1.0</v>
      </c>
    </row>
    <row r="74" ht="14.25" customHeight="1">
      <c r="A74" s="51">
        <v>11.0</v>
      </c>
      <c r="B74" s="49" t="s">
        <v>155</v>
      </c>
      <c r="C74" s="36" t="s">
        <v>209</v>
      </c>
      <c r="D74" s="43" t="s">
        <v>220</v>
      </c>
      <c r="E74" s="50">
        <v>2.75</v>
      </c>
      <c r="F74" s="50"/>
      <c r="G74" s="34">
        <f t="shared" si="6"/>
        <v>1.375</v>
      </c>
      <c r="H74" s="40" t="s">
        <v>14</v>
      </c>
      <c r="K74" s="7">
        <v>1.0</v>
      </c>
    </row>
    <row r="75" ht="14.25" customHeight="1">
      <c r="A75" s="52">
        <v>12.0</v>
      </c>
      <c r="B75" s="49" t="s">
        <v>155</v>
      </c>
      <c r="C75" s="36" t="s">
        <v>209</v>
      </c>
      <c r="D75" s="43" t="s">
        <v>221</v>
      </c>
      <c r="E75" s="50">
        <v>1.02</v>
      </c>
      <c r="F75" s="50"/>
      <c r="G75" s="34">
        <f t="shared" si="6"/>
        <v>0.51</v>
      </c>
      <c r="H75" s="40" t="s">
        <v>14</v>
      </c>
      <c r="K75" s="7">
        <v>1.0</v>
      </c>
    </row>
    <row r="76" ht="14.25" customHeight="1">
      <c r="A76" s="52"/>
      <c r="B76" s="47"/>
      <c r="C76" s="36"/>
      <c r="D76" s="43"/>
      <c r="E76" s="54"/>
      <c r="F76" s="50"/>
      <c r="G76" s="34"/>
      <c r="H76" s="40"/>
      <c r="I76" s="16">
        <f t="shared" ref="I76:K76" si="7">SUM(I64:I75)</f>
        <v>5</v>
      </c>
      <c r="J76" s="16">
        <f t="shared" si="7"/>
        <v>3</v>
      </c>
      <c r="K76" s="16">
        <f t="shared" si="7"/>
        <v>4</v>
      </c>
    </row>
    <row r="77" ht="14.25" customHeight="1">
      <c r="A77" s="52"/>
      <c r="B77" s="47"/>
      <c r="C77" s="36"/>
      <c r="D77" s="43"/>
      <c r="E77" s="54"/>
      <c r="F77" s="50"/>
      <c r="G77" s="34"/>
      <c r="H77" s="40"/>
      <c r="I77" s="17">
        <f>I76/A75</f>
        <v>0.4166666667</v>
      </c>
      <c r="J77" s="17">
        <f>J76/A75</f>
        <v>0.25</v>
      </c>
      <c r="K77" s="17">
        <f>K76/A75</f>
        <v>0.3333333333</v>
      </c>
    </row>
    <row r="78" ht="14.25" customHeight="1">
      <c r="A78" s="52"/>
      <c r="B78" s="47"/>
      <c r="C78" s="36"/>
      <c r="D78" s="43"/>
      <c r="E78" s="54"/>
      <c r="F78" s="50"/>
      <c r="G78" s="34"/>
      <c r="H78" s="40"/>
    </row>
    <row r="79" ht="14.25" customHeight="1">
      <c r="A79" s="45">
        <v>1.0</v>
      </c>
      <c r="B79" s="36" t="s">
        <v>155</v>
      </c>
      <c r="C79" s="45" t="s">
        <v>222</v>
      </c>
      <c r="D79" s="43" t="s">
        <v>223</v>
      </c>
      <c r="E79" s="55">
        <v>1.72</v>
      </c>
      <c r="F79" s="34">
        <v>3.0</v>
      </c>
      <c r="G79" s="34">
        <f t="shared" ref="G79:G97" si="8">(E79+F79)/2</f>
        <v>2.36</v>
      </c>
      <c r="H79" s="53" t="s">
        <v>160</v>
      </c>
      <c r="J79" s="7">
        <v>1.0</v>
      </c>
    </row>
    <row r="80" ht="14.25" customHeight="1">
      <c r="A80" s="45">
        <v>2.0</v>
      </c>
      <c r="B80" s="36" t="s">
        <v>155</v>
      </c>
      <c r="C80" s="45" t="s">
        <v>222</v>
      </c>
      <c r="D80" s="43" t="s">
        <v>224</v>
      </c>
      <c r="E80" s="55">
        <v>4.27</v>
      </c>
      <c r="F80" s="34">
        <v>3.66</v>
      </c>
      <c r="G80" s="39">
        <f t="shared" si="8"/>
        <v>3.965</v>
      </c>
      <c r="H80" s="53" t="s">
        <v>160</v>
      </c>
      <c r="J80" s="7">
        <v>1.0</v>
      </c>
    </row>
    <row r="81" ht="14.25" customHeight="1">
      <c r="A81" s="45">
        <v>3.0</v>
      </c>
      <c r="B81" s="36" t="s">
        <v>155</v>
      </c>
      <c r="C81" s="45" t="s">
        <v>222</v>
      </c>
      <c r="D81" s="43" t="s">
        <v>225</v>
      </c>
      <c r="E81" s="55">
        <v>5.4</v>
      </c>
      <c r="F81" s="34">
        <v>4.8</v>
      </c>
      <c r="G81" s="34">
        <f t="shared" si="8"/>
        <v>5.1</v>
      </c>
      <c r="H81" s="34" t="s">
        <v>20</v>
      </c>
      <c r="I81" s="7">
        <v>1.0</v>
      </c>
    </row>
    <row r="82" ht="14.25" customHeight="1">
      <c r="A82" s="45">
        <v>4.0</v>
      </c>
      <c r="B82" s="36" t="s">
        <v>155</v>
      </c>
      <c r="C82" s="45" t="s">
        <v>222</v>
      </c>
      <c r="D82" s="43" t="s">
        <v>226</v>
      </c>
      <c r="E82" s="55">
        <v>1.02</v>
      </c>
      <c r="F82" s="34">
        <v>1.36</v>
      </c>
      <c r="G82" s="34">
        <f t="shared" si="8"/>
        <v>1.19</v>
      </c>
      <c r="H82" s="53" t="s">
        <v>160</v>
      </c>
      <c r="J82" s="7">
        <v>1.0</v>
      </c>
    </row>
    <row r="83" ht="14.25" customHeight="1">
      <c r="A83" s="45">
        <v>5.0</v>
      </c>
      <c r="B83" s="36" t="s">
        <v>155</v>
      </c>
      <c r="C83" s="45" t="s">
        <v>222</v>
      </c>
      <c r="D83" s="43" t="s">
        <v>227</v>
      </c>
      <c r="E83" s="55">
        <v>1.18</v>
      </c>
      <c r="F83" s="34">
        <v>2.33</v>
      </c>
      <c r="G83" s="39">
        <f t="shared" si="8"/>
        <v>1.755</v>
      </c>
      <c r="H83" s="53" t="s">
        <v>160</v>
      </c>
      <c r="J83" s="7">
        <v>1.0</v>
      </c>
    </row>
    <row r="84" ht="14.25" customHeight="1">
      <c r="A84" s="45">
        <v>6.0</v>
      </c>
      <c r="B84" s="36" t="s">
        <v>155</v>
      </c>
      <c r="C84" s="45" t="s">
        <v>222</v>
      </c>
      <c r="D84" s="43" t="s">
        <v>228</v>
      </c>
      <c r="E84" s="55">
        <v>5.47</v>
      </c>
      <c r="F84" s="34">
        <v>4.5</v>
      </c>
      <c r="G84" s="39">
        <f t="shared" si="8"/>
        <v>4.985</v>
      </c>
      <c r="H84" s="34" t="s">
        <v>20</v>
      </c>
      <c r="I84" s="7">
        <v>1.0</v>
      </c>
    </row>
    <row r="85" ht="14.25" customHeight="1">
      <c r="A85" s="45">
        <v>7.0</v>
      </c>
      <c r="B85" s="36" t="s">
        <v>155</v>
      </c>
      <c r="C85" s="45" t="s">
        <v>222</v>
      </c>
      <c r="D85" s="43" t="s">
        <v>229</v>
      </c>
      <c r="E85" s="55">
        <v>5.7</v>
      </c>
      <c r="F85" s="34">
        <v>5.9</v>
      </c>
      <c r="G85" s="34">
        <f t="shared" si="8"/>
        <v>5.8</v>
      </c>
      <c r="H85" s="34" t="s">
        <v>20</v>
      </c>
      <c r="I85" s="7">
        <v>1.0</v>
      </c>
    </row>
    <row r="86" ht="14.25" customHeight="1">
      <c r="A86" s="45">
        <v>8.0</v>
      </c>
      <c r="B86" s="36" t="s">
        <v>155</v>
      </c>
      <c r="C86" s="45" t="s">
        <v>222</v>
      </c>
      <c r="D86" s="43" t="s">
        <v>230</v>
      </c>
      <c r="E86" s="55">
        <v>1.09</v>
      </c>
      <c r="F86" s="34">
        <v>1.99</v>
      </c>
      <c r="G86" s="34">
        <f t="shared" si="8"/>
        <v>1.54</v>
      </c>
      <c r="H86" s="53" t="s">
        <v>160</v>
      </c>
      <c r="J86" s="7">
        <v>1.0</v>
      </c>
    </row>
    <row r="87" ht="14.25" customHeight="1">
      <c r="A87" s="45">
        <v>9.0</v>
      </c>
      <c r="B87" s="36" t="s">
        <v>155</v>
      </c>
      <c r="C87" s="45" t="s">
        <v>222</v>
      </c>
      <c r="D87" s="43" t="s">
        <v>231</v>
      </c>
      <c r="E87" s="55">
        <v>5.57</v>
      </c>
      <c r="F87" s="34">
        <v>6.33</v>
      </c>
      <c r="G87" s="34">
        <f t="shared" si="8"/>
        <v>5.95</v>
      </c>
      <c r="H87" s="34" t="s">
        <v>20</v>
      </c>
      <c r="I87" s="7">
        <v>1.0</v>
      </c>
    </row>
    <row r="88" ht="14.25" customHeight="1">
      <c r="A88" s="45">
        <v>10.0</v>
      </c>
      <c r="B88" s="36" t="s">
        <v>155</v>
      </c>
      <c r="C88" s="45" t="s">
        <v>222</v>
      </c>
      <c r="D88" s="43" t="s">
        <v>232</v>
      </c>
      <c r="E88" s="55">
        <v>0.22</v>
      </c>
      <c r="F88" s="34">
        <v>0.7</v>
      </c>
      <c r="G88" s="34">
        <f t="shared" si="8"/>
        <v>0.46</v>
      </c>
      <c r="H88" s="53" t="s">
        <v>160</v>
      </c>
      <c r="J88" s="7">
        <v>1.0</v>
      </c>
    </row>
    <row r="89" ht="14.25" customHeight="1">
      <c r="A89" s="45">
        <v>11.0</v>
      </c>
      <c r="B89" s="36" t="s">
        <v>155</v>
      </c>
      <c r="C89" s="45" t="s">
        <v>222</v>
      </c>
      <c r="D89" s="43" t="s">
        <v>233</v>
      </c>
      <c r="E89" s="55">
        <v>0.17</v>
      </c>
      <c r="F89" s="34">
        <v>1.36</v>
      </c>
      <c r="G89" s="39">
        <f t="shared" si="8"/>
        <v>0.765</v>
      </c>
      <c r="H89" s="53" t="s">
        <v>160</v>
      </c>
      <c r="J89" s="7">
        <v>1.0</v>
      </c>
    </row>
    <row r="90" ht="14.25" customHeight="1">
      <c r="A90" s="45">
        <v>12.0</v>
      </c>
      <c r="B90" s="36" t="s">
        <v>155</v>
      </c>
      <c r="C90" s="45" t="s">
        <v>222</v>
      </c>
      <c r="D90" s="43" t="s">
        <v>234</v>
      </c>
      <c r="E90" s="55">
        <v>4.25</v>
      </c>
      <c r="F90" s="34">
        <v>5.0</v>
      </c>
      <c r="G90" s="39">
        <f t="shared" si="8"/>
        <v>4.625</v>
      </c>
      <c r="H90" s="34" t="s">
        <v>20</v>
      </c>
      <c r="I90" s="7">
        <v>1.0</v>
      </c>
    </row>
    <row r="91" ht="14.25" customHeight="1">
      <c r="A91" s="45">
        <v>13.0</v>
      </c>
      <c r="B91" s="36" t="s">
        <v>155</v>
      </c>
      <c r="C91" s="45" t="s">
        <v>222</v>
      </c>
      <c r="D91" s="43" t="s">
        <v>235</v>
      </c>
      <c r="E91" s="55">
        <v>4.64</v>
      </c>
      <c r="F91" s="34">
        <v>4.75</v>
      </c>
      <c r="G91" s="39">
        <f t="shared" si="8"/>
        <v>4.695</v>
      </c>
      <c r="H91" s="34" t="s">
        <v>20</v>
      </c>
      <c r="I91" s="7">
        <v>1.0</v>
      </c>
    </row>
    <row r="92" ht="14.25" customHeight="1">
      <c r="A92" s="45">
        <v>14.0</v>
      </c>
      <c r="B92" s="36" t="s">
        <v>155</v>
      </c>
      <c r="C92" s="45" t="s">
        <v>222</v>
      </c>
      <c r="D92" s="43" t="s">
        <v>236</v>
      </c>
      <c r="E92" s="55">
        <v>3.25</v>
      </c>
      <c r="F92" s="34">
        <v>5.96</v>
      </c>
      <c r="G92" s="39">
        <f t="shared" si="8"/>
        <v>4.605</v>
      </c>
      <c r="H92" s="34" t="s">
        <v>20</v>
      </c>
      <c r="I92" s="7">
        <v>1.0</v>
      </c>
    </row>
    <row r="93" ht="14.25" customHeight="1">
      <c r="A93" s="45">
        <v>15.0</v>
      </c>
      <c r="B93" s="36" t="s">
        <v>155</v>
      </c>
      <c r="C93" s="45" t="s">
        <v>222</v>
      </c>
      <c r="D93" s="43" t="s">
        <v>237</v>
      </c>
      <c r="E93" s="55">
        <v>4.29</v>
      </c>
      <c r="F93" s="34">
        <v>5.28</v>
      </c>
      <c r="G93" s="39">
        <f t="shared" si="8"/>
        <v>4.785</v>
      </c>
      <c r="H93" s="34" t="s">
        <v>20</v>
      </c>
      <c r="I93" s="7">
        <v>1.0</v>
      </c>
    </row>
    <row r="94" ht="14.25" customHeight="1">
      <c r="A94" s="45">
        <v>16.0</v>
      </c>
      <c r="B94" s="36" t="s">
        <v>155</v>
      </c>
      <c r="C94" s="45" t="s">
        <v>222</v>
      </c>
      <c r="D94" s="43" t="s">
        <v>238</v>
      </c>
      <c r="E94" s="55">
        <v>3.99</v>
      </c>
      <c r="F94" s="34">
        <v>5.9</v>
      </c>
      <c r="G94" s="39">
        <f t="shared" si="8"/>
        <v>4.945</v>
      </c>
      <c r="H94" s="34" t="s">
        <v>20</v>
      </c>
      <c r="I94" s="7">
        <v>1.0</v>
      </c>
    </row>
    <row r="95" ht="14.25" customHeight="1">
      <c r="A95" s="45">
        <v>17.0</v>
      </c>
      <c r="B95" s="36" t="s">
        <v>155</v>
      </c>
      <c r="C95" s="45" t="s">
        <v>222</v>
      </c>
      <c r="D95" s="43" t="s">
        <v>239</v>
      </c>
      <c r="E95" s="55">
        <v>6.35</v>
      </c>
      <c r="F95" s="34">
        <v>5.76</v>
      </c>
      <c r="G95" s="39">
        <f t="shared" si="8"/>
        <v>6.055</v>
      </c>
      <c r="H95" s="34" t="s">
        <v>20</v>
      </c>
      <c r="I95" s="7">
        <v>1.0</v>
      </c>
    </row>
    <row r="96" ht="14.25" customHeight="1">
      <c r="A96" s="45">
        <v>18.0</v>
      </c>
      <c r="B96" s="36" t="s">
        <v>155</v>
      </c>
      <c r="C96" s="45" t="s">
        <v>222</v>
      </c>
      <c r="D96" s="43" t="s">
        <v>240</v>
      </c>
      <c r="E96" s="55">
        <v>0.15</v>
      </c>
      <c r="F96" s="34">
        <v>1.07</v>
      </c>
      <c r="G96" s="34">
        <f t="shared" si="8"/>
        <v>0.61</v>
      </c>
      <c r="H96" s="53" t="s">
        <v>160</v>
      </c>
      <c r="J96" s="7">
        <v>1.0</v>
      </c>
    </row>
    <row r="97" ht="14.25" customHeight="1">
      <c r="A97" s="56">
        <v>19.0</v>
      </c>
      <c r="B97" s="57" t="s">
        <v>155</v>
      </c>
      <c r="C97" s="56" t="s">
        <v>222</v>
      </c>
      <c r="D97" s="58" t="s">
        <v>241</v>
      </c>
      <c r="E97" s="56">
        <v>2.63</v>
      </c>
      <c r="F97" s="59">
        <v>2.05</v>
      </c>
      <c r="G97" s="59">
        <f t="shared" si="8"/>
        <v>2.34</v>
      </c>
      <c r="H97" s="60" t="s">
        <v>160</v>
      </c>
      <c r="J97" s="7">
        <v>1.0</v>
      </c>
    </row>
    <row r="98" ht="14.25" customHeight="1">
      <c r="A98" s="45">
        <v>20.0</v>
      </c>
      <c r="B98" s="36" t="s">
        <v>155</v>
      </c>
      <c r="C98" s="56" t="s">
        <v>222</v>
      </c>
      <c r="D98" s="43" t="s">
        <v>242</v>
      </c>
      <c r="E98" s="61">
        <v>4.0</v>
      </c>
      <c r="F98" s="61">
        <v>5.13</v>
      </c>
      <c r="G98" s="61">
        <v>4.56</v>
      </c>
      <c r="H98" s="61" t="s">
        <v>20</v>
      </c>
      <c r="I98" s="62">
        <v>1.0</v>
      </c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4.25" customHeight="1">
      <c r="A99" s="45">
        <v>21.0</v>
      </c>
      <c r="B99" s="36" t="s">
        <v>155</v>
      </c>
      <c r="C99" s="56" t="s">
        <v>222</v>
      </c>
      <c r="D99" s="43" t="s">
        <v>243</v>
      </c>
      <c r="E99" s="61">
        <v>3.97</v>
      </c>
      <c r="F99" s="61">
        <v>5.67</v>
      </c>
      <c r="G99" s="61">
        <v>4.82</v>
      </c>
      <c r="H99" s="61" t="s">
        <v>20</v>
      </c>
      <c r="I99" s="62">
        <v>1.0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4.25" customHeight="1">
      <c r="I100" s="16">
        <f t="shared" ref="I100:K100" si="9">SUM(I79:I99)</f>
        <v>12</v>
      </c>
      <c r="J100" s="16">
        <f t="shared" si="9"/>
        <v>9</v>
      </c>
      <c r="K100" s="16">
        <f t="shared" si="9"/>
        <v>0</v>
      </c>
      <c r="L100" s="16">
        <f>L33</f>
        <v>1</v>
      </c>
    </row>
    <row r="101" ht="14.25" customHeight="1">
      <c r="I101" s="17">
        <f>I100/A99</f>
        <v>0.5714285714</v>
      </c>
      <c r="J101" s="17">
        <f>J100/A99</f>
        <v>0.4285714286</v>
      </c>
    </row>
    <row r="102" ht="14.25" customHeight="1">
      <c r="L102" s="20" t="s">
        <v>244</v>
      </c>
      <c r="M102" s="21" t="s">
        <v>140</v>
      </c>
      <c r="N102" s="21" t="s">
        <v>141</v>
      </c>
      <c r="O102" s="21" t="s">
        <v>142</v>
      </c>
      <c r="P102" s="21" t="s">
        <v>143</v>
      </c>
      <c r="Q102" s="21" t="s">
        <v>144</v>
      </c>
      <c r="R102" s="21" t="s">
        <v>145</v>
      </c>
      <c r="S102" s="21" t="s">
        <v>146</v>
      </c>
    </row>
    <row r="103" ht="14.25" customHeight="1">
      <c r="L103" s="21"/>
      <c r="M103" s="22">
        <f>A99+A75+A60+A34+A22</f>
        <v>81</v>
      </c>
      <c r="N103" s="22">
        <f t="shared" ref="N103:P103" si="10">I100+I76+I61+I35+I23</f>
        <v>45</v>
      </c>
      <c r="O103" s="22">
        <f t="shared" si="10"/>
        <v>25</v>
      </c>
      <c r="P103" s="22">
        <f t="shared" si="10"/>
        <v>10</v>
      </c>
      <c r="Q103" s="23">
        <f>N103/M103</f>
        <v>0.5555555556</v>
      </c>
      <c r="R103" s="23">
        <f>P103/M103</f>
        <v>0.1234567901</v>
      </c>
      <c r="S103" s="23">
        <f>O103/M103</f>
        <v>0.3086419753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5">
    <mergeCell ref="A4:A6"/>
    <mergeCell ref="B4:B6"/>
    <mergeCell ref="C4:C6"/>
    <mergeCell ref="D4:D6"/>
    <mergeCell ref="E4:H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43"/>
    <col customWidth="1" min="3" max="3" width="27.57"/>
    <col customWidth="1" min="4" max="7" width="10.71"/>
    <col customWidth="1" min="8" max="10" width="21.29"/>
    <col customWidth="1" min="11" max="26" width="10.71"/>
  </cols>
  <sheetData>
    <row r="1" ht="14.25" customHeight="1">
      <c r="A1" s="1" t="s">
        <v>0</v>
      </c>
      <c r="B1" s="1"/>
      <c r="C1" s="63"/>
      <c r="D1" s="64"/>
      <c r="E1" s="1"/>
      <c r="F1" s="1"/>
      <c r="G1" s="1"/>
      <c r="H1" s="65" t="s">
        <v>245</v>
      </c>
      <c r="I1" s="65"/>
      <c r="J1" s="65"/>
      <c r="K1" s="1"/>
    </row>
    <row r="2" ht="14.25" customHeight="1">
      <c r="A2" s="1" t="s">
        <v>1</v>
      </c>
      <c r="B2" s="1"/>
      <c r="C2" s="63"/>
      <c r="D2" s="64"/>
      <c r="E2" s="1"/>
      <c r="F2" s="1"/>
      <c r="G2" s="1"/>
      <c r="H2" s="65"/>
      <c r="I2" s="65"/>
      <c r="J2" s="65"/>
      <c r="K2" s="1"/>
    </row>
    <row r="3" ht="14.25" customHeight="1">
      <c r="A3" s="1" t="s">
        <v>2</v>
      </c>
      <c r="B3" s="1"/>
      <c r="C3" s="63"/>
      <c r="D3" s="64" t="s">
        <v>246</v>
      </c>
      <c r="E3" s="1"/>
      <c r="F3" s="1"/>
      <c r="G3" s="1"/>
      <c r="H3" s="65"/>
      <c r="I3" s="65"/>
      <c r="J3" s="65"/>
      <c r="K3" s="1"/>
    </row>
    <row r="4" ht="14.25" customHeight="1">
      <c r="A4" s="1"/>
      <c r="B4" s="1"/>
      <c r="C4" s="63"/>
      <c r="D4" s="64"/>
      <c r="E4" s="1"/>
      <c r="F4" s="1"/>
      <c r="G4" s="1"/>
      <c r="H4" s="65"/>
      <c r="I4" s="65"/>
      <c r="J4" s="65"/>
      <c r="K4" s="1"/>
    </row>
    <row r="5" ht="14.25" customHeight="1">
      <c r="A5" s="1"/>
      <c r="B5" s="1"/>
      <c r="C5" s="63"/>
      <c r="D5" s="64"/>
      <c r="E5" s="1"/>
      <c r="F5" s="1"/>
      <c r="G5" s="1"/>
      <c r="H5" s="65"/>
      <c r="I5" s="65"/>
      <c r="J5" s="65"/>
      <c r="K5" s="1"/>
    </row>
    <row r="6" ht="14.25" customHeight="1">
      <c r="A6" s="66" t="s">
        <v>3</v>
      </c>
      <c r="B6" s="66" t="s">
        <v>4</v>
      </c>
      <c r="C6" s="67" t="s">
        <v>247</v>
      </c>
      <c r="D6" s="4" t="s">
        <v>6</v>
      </c>
      <c r="E6" s="66" t="s">
        <v>7</v>
      </c>
      <c r="F6" s="68" t="s">
        <v>248</v>
      </c>
      <c r="G6" s="68" t="s">
        <v>249</v>
      </c>
      <c r="H6" s="69" t="s">
        <v>250</v>
      </c>
      <c r="I6" s="69" t="s">
        <v>251</v>
      </c>
      <c r="J6" s="69" t="s">
        <v>252</v>
      </c>
      <c r="K6" s="66" t="s">
        <v>253</v>
      </c>
      <c r="L6" s="21" t="s">
        <v>254</v>
      </c>
      <c r="M6" s="21" t="s">
        <v>255</v>
      </c>
      <c r="N6" s="21" t="s">
        <v>14</v>
      </c>
      <c r="O6" s="8" t="s">
        <v>15</v>
      </c>
    </row>
    <row r="7" ht="14.25" customHeight="1">
      <c r="A7" s="9">
        <v>1.0</v>
      </c>
      <c r="B7" s="9" t="s">
        <v>16</v>
      </c>
      <c r="C7" s="10" t="s">
        <v>256</v>
      </c>
      <c r="D7" s="11" t="s">
        <v>18</v>
      </c>
      <c r="E7" s="70" t="s">
        <v>257</v>
      </c>
      <c r="F7" s="71">
        <v>9.68</v>
      </c>
      <c r="G7" s="71">
        <v>9.05</v>
      </c>
      <c r="H7" s="72">
        <v>121.0</v>
      </c>
      <c r="I7" s="72">
        <v>14.0</v>
      </c>
      <c r="J7" s="72">
        <f t="shared" ref="J7:J49" si="1">H7/I7</f>
        <v>8.642857143</v>
      </c>
      <c r="K7" s="73" t="s">
        <v>254</v>
      </c>
      <c r="L7" s="7">
        <v>1.0</v>
      </c>
    </row>
    <row r="8" ht="14.25" customHeight="1">
      <c r="A8" s="9">
        <f t="shared" ref="A8:A49" si="2">A7+1</f>
        <v>2</v>
      </c>
      <c r="B8" s="9" t="s">
        <v>16</v>
      </c>
      <c r="C8" s="10" t="s">
        <v>258</v>
      </c>
      <c r="D8" s="11" t="s">
        <v>18</v>
      </c>
      <c r="E8" s="70" t="s">
        <v>257</v>
      </c>
      <c r="F8" s="71">
        <v>9.75</v>
      </c>
      <c r="G8" s="71">
        <v>9.0</v>
      </c>
      <c r="H8" s="72">
        <v>113.5</v>
      </c>
      <c r="I8" s="72">
        <v>14.0</v>
      </c>
      <c r="J8" s="72">
        <f t="shared" si="1"/>
        <v>8.107142857</v>
      </c>
      <c r="K8" s="73" t="s">
        <v>254</v>
      </c>
      <c r="L8" s="7">
        <v>1.0</v>
      </c>
    </row>
    <row r="9" ht="14.25" customHeight="1">
      <c r="A9" s="9">
        <f t="shared" si="2"/>
        <v>3</v>
      </c>
      <c r="B9" s="9" t="s">
        <v>16</v>
      </c>
      <c r="C9" s="10" t="s">
        <v>259</v>
      </c>
      <c r="D9" s="11" t="s">
        <v>18</v>
      </c>
      <c r="E9" s="70" t="s">
        <v>257</v>
      </c>
      <c r="F9" s="71">
        <v>7.42</v>
      </c>
      <c r="G9" s="71">
        <v>7.35</v>
      </c>
      <c r="H9" s="72">
        <v>109.0</v>
      </c>
      <c r="I9" s="72">
        <v>14.0</v>
      </c>
      <c r="J9" s="72">
        <f t="shared" si="1"/>
        <v>7.785714286</v>
      </c>
      <c r="K9" s="73" t="s">
        <v>254</v>
      </c>
      <c r="L9" s="7">
        <v>1.0</v>
      </c>
    </row>
    <row r="10" ht="14.25" customHeight="1">
      <c r="A10" s="9">
        <f t="shared" si="2"/>
        <v>4</v>
      </c>
      <c r="B10" s="9" t="s">
        <v>16</v>
      </c>
      <c r="C10" s="10" t="s">
        <v>260</v>
      </c>
      <c r="D10" s="11" t="s">
        <v>18</v>
      </c>
      <c r="E10" s="70" t="s">
        <v>257</v>
      </c>
      <c r="F10" s="71">
        <v>9.06</v>
      </c>
      <c r="G10" s="71">
        <v>8.82</v>
      </c>
      <c r="H10" s="72">
        <v>96.5</v>
      </c>
      <c r="I10" s="72">
        <v>14.0</v>
      </c>
      <c r="J10" s="72">
        <f t="shared" si="1"/>
        <v>6.892857143</v>
      </c>
      <c r="K10" s="73" t="s">
        <v>254</v>
      </c>
      <c r="L10" s="7">
        <v>1.0</v>
      </c>
    </row>
    <row r="11" ht="14.25" customHeight="1">
      <c r="A11" s="9">
        <f t="shared" si="2"/>
        <v>5</v>
      </c>
      <c r="B11" s="9" t="s">
        <v>16</v>
      </c>
      <c r="C11" s="10" t="s">
        <v>261</v>
      </c>
      <c r="D11" s="11" t="s">
        <v>18</v>
      </c>
      <c r="E11" s="70" t="s">
        <v>257</v>
      </c>
      <c r="F11" s="71">
        <v>9.43</v>
      </c>
      <c r="G11" s="71">
        <v>8.85</v>
      </c>
      <c r="H11" s="72">
        <v>95.0</v>
      </c>
      <c r="I11" s="72">
        <v>14.0</v>
      </c>
      <c r="J11" s="72">
        <f t="shared" si="1"/>
        <v>6.785714286</v>
      </c>
      <c r="K11" s="73" t="s">
        <v>254</v>
      </c>
      <c r="L11" s="7">
        <v>1.0</v>
      </c>
    </row>
    <row r="12" ht="14.25" customHeight="1">
      <c r="A12" s="9">
        <f t="shared" si="2"/>
        <v>6</v>
      </c>
      <c r="B12" s="9" t="s">
        <v>16</v>
      </c>
      <c r="C12" s="10" t="s">
        <v>262</v>
      </c>
      <c r="D12" s="11" t="s">
        <v>18</v>
      </c>
      <c r="E12" s="70" t="s">
        <v>257</v>
      </c>
      <c r="F12" s="71">
        <v>8.98</v>
      </c>
      <c r="G12" s="71">
        <v>8.25</v>
      </c>
      <c r="H12" s="72">
        <v>94.0</v>
      </c>
      <c r="I12" s="72">
        <v>14.0</v>
      </c>
      <c r="J12" s="72">
        <f t="shared" si="1"/>
        <v>6.714285714</v>
      </c>
      <c r="K12" s="73" t="s">
        <v>254</v>
      </c>
      <c r="L12" s="7">
        <v>1.0</v>
      </c>
    </row>
    <row r="13" ht="14.25" customHeight="1">
      <c r="A13" s="9">
        <f t="shared" si="2"/>
        <v>7</v>
      </c>
      <c r="B13" s="9" t="s">
        <v>16</v>
      </c>
      <c r="C13" s="10" t="s">
        <v>263</v>
      </c>
      <c r="D13" s="11" t="s">
        <v>18</v>
      </c>
      <c r="E13" s="70" t="s">
        <v>257</v>
      </c>
      <c r="F13" s="71">
        <v>8.78</v>
      </c>
      <c r="G13" s="71">
        <v>8.32</v>
      </c>
      <c r="H13" s="72">
        <v>90.5</v>
      </c>
      <c r="I13" s="72">
        <v>14.0</v>
      </c>
      <c r="J13" s="72">
        <f t="shared" si="1"/>
        <v>6.464285714</v>
      </c>
      <c r="K13" s="73" t="s">
        <v>254</v>
      </c>
      <c r="L13" s="7">
        <v>1.0</v>
      </c>
    </row>
    <row r="14" ht="14.25" customHeight="1">
      <c r="A14" s="9">
        <f t="shared" si="2"/>
        <v>8</v>
      </c>
      <c r="B14" s="9" t="s">
        <v>16</v>
      </c>
      <c r="C14" s="10" t="s">
        <v>264</v>
      </c>
      <c r="D14" s="11" t="s">
        <v>18</v>
      </c>
      <c r="E14" s="70" t="s">
        <v>257</v>
      </c>
      <c r="F14" s="71">
        <v>6.37</v>
      </c>
      <c r="G14" s="71">
        <v>6.15</v>
      </c>
      <c r="H14" s="72">
        <v>88.0</v>
      </c>
      <c r="I14" s="72">
        <v>14.0</v>
      </c>
      <c r="J14" s="72">
        <f t="shared" si="1"/>
        <v>6.285714286</v>
      </c>
      <c r="K14" s="73" t="s">
        <v>254</v>
      </c>
      <c r="L14" s="7">
        <v>1.0</v>
      </c>
    </row>
    <row r="15" ht="14.25" customHeight="1">
      <c r="A15" s="9">
        <f t="shared" si="2"/>
        <v>9</v>
      </c>
      <c r="B15" s="9" t="s">
        <v>16</v>
      </c>
      <c r="C15" s="10" t="s">
        <v>265</v>
      </c>
      <c r="D15" s="11" t="s">
        <v>18</v>
      </c>
      <c r="E15" s="70" t="s">
        <v>257</v>
      </c>
      <c r="F15" s="71">
        <v>6.56</v>
      </c>
      <c r="G15" s="71">
        <v>6.42</v>
      </c>
      <c r="H15" s="72">
        <v>83.5</v>
      </c>
      <c r="I15" s="72">
        <v>14.0</v>
      </c>
      <c r="J15" s="72">
        <f t="shared" si="1"/>
        <v>5.964285714</v>
      </c>
      <c r="K15" s="73" t="s">
        <v>254</v>
      </c>
      <c r="L15" s="7">
        <v>1.0</v>
      </c>
    </row>
    <row r="16" ht="14.25" customHeight="1">
      <c r="A16" s="9">
        <f t="shared" si="2"/>
        <v>10</v>
      </c>
      <c r="B16" s="9" t="s">
        <v>16</v>
      </c>
      <c r="C16" s="10" t="s">
        <v>266</v>
      </c>
      <c r="D16" s="11" t="s">
        <v>18</v>
      </c>
      <c r="E16" s="70" t="s">
        <v>257</v>
      </c>
      <c r="F16" s="71">
        <v>8.15</v>
      </c>
      <c r="G16" s="71">
        <v>7.88</v>
      </c>
      <c r="H16" s="72">
        <v>83.0</v>
      </c>
      <c r="I16" s="72">
        <v>14.0</v>
      </c>
      <c r="J16" s="72">
        <f t="shared" si="1"/>
        <v>5.928571429</v>
      </c>
      <c r="K16" s="74" t="s">
        <v>267</v>
      </c>
    </row>
    <row r="17" ht="14.25" customHeight="1">
      <c r="A17" s="9">
        <f t="shared" si="2"/>
        <v>11</v>
      </c>
      <c r="B17" s="9" t="s">
        <v>16</v>
      </c>
      <c r="C17" s="10" t="s">
        <v>268</v>
      </c>
      <c r="D17" s="11" t="s">
        <v>18</v>
      </c>
      <c r="E17" s="70" t="s">
        <v>257</v>
      </c>
      <c r="F17" s="71">
        <v>7.32</v>
      </c>
      <c r="G17" s="71">
        <v>6.38</v>
      </c>
      <c r="H17" s="72">
        <v>81.0</v>
      </c>
      <c r="I17" s="72">
        <v>14.0</v>
      </c>
      <c r="J17" s="72">
        <f t="shared" si="1"/>
        <v>5.785714286</v>
      </c>
      <c r="K17" s="73" t="s">
        <v>254</v>
      </c>
      <c r="L17" s="7">
        <v>1.0</v>
      </c>
    </row>
    <row r="18" ht="14.25" customHeight="1">
      <c r="A18" s="9">
        <f t="shared" si="2"/>
        <v>12</v>
      </c>
      <c r="B18" s="9" t="s">
        <v>16</v>
      </c>
      <c r="C18" s="10" t="s">
        <v>269</v>
      </c>
      <c r="D18" s="11" t="s">
        <v>18</v>
      </c>
      <c r="E18" s="70" t="s">
        <v>257</v>
      </c>
      <c r="F18" s="71">
        <v>5.1</v>
      </c>
      <c r="G18" s="71">
        <v>5.38</v>
      </c>
      <c r="H18" s="72">
        <v>80.0</v>
      </c>
      <c r="I18" s="72">
        <v>14.0</v>
      </c>
      <c r="J18" s="72">
        <f t="shared" si="1"/>
        <v>5.714285714</v>
      </c>
      <c r="K18" s="73" t="s">
        <v>254</v>
      </c>
      <c r="L18" s="7">
        <v>1.0</v>
      </c>
    </row>
    <row r="19" ht="14.25" customHeight="1">
      <c r="A19" s="9">
        <f t="shared" si="2"/>
        <v>13</v>
      </c>
      <c r="B19" s="9" t="s">
        <v>16</v>
      </c>
      <c r="C19" s="10" t="s">
        <v>270</v>
      </c>
      <c r="D19" s="11" t="s">
        <v>18</v>
      </c>
      <c r="E19" s="70" t="s">
        <v>257</v>
      </c>
      <c r="F19" s="71">
        <v>5.59</v>
      </c>
      <c r="G19" s="71">
        <v>5.5</v>
      </c>
      <c r="H19" s="72">
        <v>79.5</v>
      </c>
      <c r="I19" s="72">
        <v>14.0</v>
      </c>
      <c r="J19" s="72">
        <f t="shared" si="1"/>
        <v>5.678571429</v>
      </c>
      <c r="K19" s="74" t="s">
        <v>267</v>
      </c>
    </row>
    <row r="20" ht="14.25" customHeight="1">
      <c r="A20" s="9">
        <f t="shared" si="2"/>
        <v>14</v>
      </c>
      <c r="B20" s="9" t="s">
        <v>16</v>
      </c>
      <c r="C20" s="10" t="s">
        <v>271</v>
      </c>
      <c r="D20" s="11" t="s">
        <v>18</v>
      </c>
      <c r="E20" s="70" t="s">
        <v>257</v>
      </c>
      <c r="F20" s="71">
        <v>7.71</v>
      </c>
      <c r="G20" s="71">
        <v>7.14</v>
      </c>
      <c r="H20" s="72">
        <v>78.5</v>
      </c>
      <c r="I20" s="72">
        <v>14.0</v>
      </c>
      <c r="J20" s="72">
        <f t="shared" si="1"/>
        <v>5.607142857</v>
      </c>
      <c r="K20" s="73" t="s">
        <v>254</v>
      </c>
      <c r="L20" s="7">
        <v>1.0</v>
      </c>
    </row>
    <row r="21" ht="14.25" customHeight="1">
      <c r="A21" s="9">
        <f t="shared" si="2"/>
        <v>15</v>
      </c>
      <c r="B21" s="9" t="s">
        <v>16</v>
      </c>
      <c r="C21" s="10" t="s">
        <v>272</v>
      </c>
      <c r="D21" s="11" t="s">
        <v>18</v>
      </c>
      <c r="E21" s="70" t="s">
        <v>257</v>
      </c>
      <c r="F21" s="71">
        <v>5.32</v>
      </c>
      <c r="G21" s="71">
        <v>5.5</v>
      </c>
      <c r="H21" s="72">
        <v>72.0</v>
      </c>
      <c r="I21" s="72">
        <v>14.0</v>
      </c>
      <c r="J21" s="72">
        <f t="shared" si="1"/>
        <v>5.142857143</v>
      </c>
      <c r="K21" s="73" t="s">
        <v>254</v>
      </c>
      <c r="L21" s="7">
        <v>1.0</v>
      </c>
    </row>
    <row r="22" ht="14.25" customHeight="1">
      <c r="A22" s="9">
        <f t="shared" si="2"/>
        <v>16</v>
      </c>
      <c r="B22" s="9" t="s">
        <v>16</v>
      </c>
      <c r="C22" s="10" t="s">
        <v>273</v>
      </c>
      <c r="D22" s="11" t="s">
        <v>18</v>
      </c>
      <c r="E22" s="70" t="s">
        <v>257</v>
      </c>
      <c r="F22" s="71">
        <v>7.81</v>
      </c>
      <c r="G22" s="71">
        <v>6.85</v>
      </c>
      <c r="H22" s="72">
        <v>71.5</v>
      </c>
      <c r="I22" s="72">
        <v>14.0</v>
      </c>
      <c r="J22" s="72">
        <f t="shared" si="1"/>
        <v>5.107142857</v>
      </c>
      <c r="K22" s="73" t="s">
        <v>254</v>
      </c>
      <c r="L22" s="7">
        <v>1.0</v>
      </c>
    </row>
    <row r="23" ht="14.25" customHeight="1">
      <c r="A23" s="9">
        <f t="shared" si="2"/>
        <v>17</v>
      </c>
      <c r="B23" s="9" t="s">
        <v>16</v>
      </c>
      <c r="C23" s="10" t="s">
        <v>274</v>
      </c>
      <c r="D23" s="11" t="s">
        <v>18</v>
      </c>
      <c r="E23" s="1" t="s">
        <v>257</v>
      </c>
      <c r="F23" s="71">
        <v>5.12</v>
      </c>
      <c r="G23" s="71">
        <v>5.24</v>
      </c>
      <c r="H23" s="72">
        <v>68.0</v>
      </c>
      <c r="I23" s="72">
        <v>14.0</v>
      </c>
      <c r="J23" s="72">
        <f t="shared" si="1"/>
        <v>4.857142857</v>
      </c>
      <c r="K23" s="74" t="s">
        <v>267</v>
      </c>
    </row>
    <row r="24" ht="14.25" customHeight="1">
      <c r="A24" s="9">
        <f t="shared" si="2"/>
        <v>18</v>
      </c>
      <c r="B24" s="9" t="s">
        <v>16</v>
      </c>
      <c r="C24" s="10" t="s">
        <v>275</v>
      </c>
      <c r="D24" s="11" t="s">
        <v>18</v>
      </c>
      <c r="E24" s="70" t="s">
        <v>257</v>
      </c>
      <c r="F24" s="71">
        <v>6.37</v>
      </c>
      <c r="G24" s="71">
        <v>6.47</v>
      </c>
      <c r="H24" s="72">
        <v>66.0</v>
      </c>
      <c r="I24" s="72">
        <v>14.0</v>
      </c>
      <c r="J24" s="72">
        <f t="shared" si="1"/>
        <v>4.714285714</v>
      </c>
      <c r="K24" s="73" t="s">
        <v>254</v>
      </c>
      <c r="L24" s="7">
        <v>1.0</v>
      </c>
    </row>
    <row r="25" ht="14.25" customHeight="1">
      <c r="A25" s="9">
        <f t="shared" si="2"/>
        <v>19</v>
      </c>
      <c r="B25" s="9" t="s">
        <v>16</v>
      </c>
      <c r="C25" s="10" t="s">
        <v>276</v>
      </c>
      <c r="D25" s="11" t="s">
        <v>18</v>
      </c>
      <c r="E25" s="70" t="s">
        <v>257</v>
      </c>
      <c r="F25" s="71">
        <v>5.13</v>
      </c>
      <c r="G25" s="71">
        <v>5.5</v>
      </c>
      <c r="H25" s="72">
        <v>64.5</v>
      </c>
      <c r="I25" s="72">
        <v>14.0</v>
      </c>
      <c r="J25" s="72">
        <f t="shared" si="1"/>
        <v>4.607142857</v>
      </c>
      <c r="K25" s="73" t="s">
        <v>254</v>
      </c>
      <c r="L25" s="7">
        <v>1.0</v>
      </c>
    </row>
    <row r="26" ht="14.25" customHeight="1">
      <c r="A26" s="9">
        <f t="shared" si="2"/>
        <v>20</v>
      </c>
      <c r="B26" s="9" t="s">
        <v>16</v>
      </c>
      <c r="C26" s="10" t="s">
        <v>277</v>
      </c>
      <c r="D26" s="11" t="s">
        <v>18</v>
      </c>
      <c r="E26" s="1" t="s">
        <v>257</v>
      </c>
      <c r="F26" s="71">
        <v>5.0</v>
      </c>
      <c r="G26" s="71">
        <v>5.15</v>
      </c>
      <c r="H26" s="72">
        <v>64.0</v>
      </c>
      <c r="I26" s="72">
        <v>14.0</v>
      </c>
      <c r="J26" s="72">
        <f t="shared" si="1"/>
        <v>4.571428571</v>
      </c>
      <c r="K26" s="73" t="s">
        <v>254</v>
      </c>
      <c r="L26" s="7">
        <v>1.0</v>
      </c>
    </row>
    <row r="27" ht="14.25" customHeight="1">
      <c r="A27" s="9">
        <f t="shared" si="2"/>
        <v>21</v>
      </c>
      <c r="B27" s="9" t="s">
        <v>16</v>
      </c>
      <c r="C27" s="10" t="s">
        <v>278</v>
      </c>
      <c r="D27" s="11" t="s">
        <v>18</v>
      </c>
      <c r="E27" s="70" t="s">
        <v>257</v>
      </c>
      <c r="F27" s="71">
        <v>5.3</v>
      </c>
      <c r="G27" s="71">
        <v>5.24</v>
      </c>
      <c r="H27" s="72">
        <v>63.5</v>
      </c>
      <c r="I27" s="72">
        <v>14.0</v>
      </c>
      <c r="J27" s="72">
        <f t="shared" si="1"/>
        <v>4.535714286</v>
      </c>
      <c r="K27" s="73" t="s">
        <v>254</v>
      </c>
      <c r="L27" s="7">
        <v>1.0</v>
      </c>
    </row>
    <row r="28" ht="14.25" customHeight="1">
      <c r="A28" s="9">
        <f t="shared" si="2"/>
        <v>22</v>
      </c>
      <c r="B28" s="9" t="s">
        <v>16</v>
      </c>
      <c r="C28" s="10" t="s">
        <v>279</v>
      </c>
      <c r="D28" s="11" t="s">
        <v>18</v>
      </c>
      <c r="E28" s="70" t="s">
        <v>257</v>
      </c>
      <c r="F28" s="71">
        <v>5.68</v>
      </c>
      <c r="G28" s="71">
        <v>6.02</v>
      </c>
      <c r="H28" s="72">
        <v>77.5</v>
      </c>
      <c r="I28" s="72">
        <v>14.0</v>
      </c>
      <c r="J28" s="72">
        <f t="shared" si="1"/>
        <v>5.535714286</v>
      </c>
      <c r="K28" s="9" t="s">
        <v>50</v>
      </c>
      <c r="M28" s="7">
        <v>1.0</v>
      </c>
    </row>
    <row r="29" ht="14.25" customHeight="1">
      <c r="A29" s="9">
        <f t="shared" si="2"/>
        <v>23</v>
      </c>
      <c r="B29" s="9" t="s">
        <v>16</v>
      </c>
      <c r="C29" s="10" t="s">
        <v>280</v>
      </c>
      <c r="D29" s="11" t="s">
        <v>18</v>
      </c>
      <c r="E29" s="1" t="s">
        <v>257</v>
      </c>
      <c r="F29" s="71">
        <v>6.75</v>
      </c>
      <c r="G29" s="71">
        <v>6.12</v>
      </c>
      <c r="H29" s="72">
        <v>74.5</v>
      </c>
      <c r="I29" s="72">
        <v>14.0</v>
      </c>
      <c r="J29" s="72">
        <f t="shared" si="1"/>
        <v>5.321428571</v>
      </c>
      <c r="K29" s="73" t="s">
        <v>254</v>
      </c>
      <c r="L29" s="7">
        <v>1.0</v>
      </c>
    </row>
    <row r="30" ht="14.25" customHeight="1">
      <c r="A30" s="9">
        <f t="shared" si="2"/>
        <v>24</v>
      </c>
      <c r="B30" s="9" t="s">
        <v>16</v>
      </c>
      <c r="C30" s="10" t="s">
        <v>281</v>
      </c>
      <c r="D30" s="11" t="s">
        <v>18</v>
      </c>
      <c r="E30" s="70" t="s">
        <v>257</v>
      </c>
      <c r="F30" s="71">
        <v>5.12</v>
      </c>
      <c r="G30" s="71">
        <v>6.35</v>
      </c>
      <c r="H30" s="72">
        <v>52.0</v>
      </c>
      <c r="I30" s="72">
        <v>14.0</v>
      </c>
      <c r="J30" s="72">
        <f t="shared" si="1"/>
        <v>3.714285714</v>
      </c>
      <c r="K30" s="9" t="s">
        <v>50</v>
      </c>
      <c r="M30" s="7">
        <v>1.0</v>
      </c>
    </row>
    <row r="31" ht="14.25" customHeight="1">
      <c r="A31" s="9">
        <f t="shared" si="2"/>
        <v>25</v>
      </c>
      <c r="B31" s="9" t="s">
        <v>16</v>
      </c>
      <c r="C31" s="10" t="s">
        <v>282</v>
      </c>
      <c r="D31" s="11" t="s">
        <v>18</v>
      </c>
      <c r="E31" s="70" t="s">
        <v>257</v>
      </c>
      <c r="F31" s="71">
        <v>4.0</v>
      </c>
      <c r="G31" s="71">
        <v>3.17</v>
      </c>
      <c r="H31" s="72">
        <v>52.0</v>
      </c>
      <c r="I31" s="72">
        <v>14.0</v>
      </c>
      <c r="J31" s="72">
        <f t="shared" si="1"/>
        <v>3.714285714</v>
      </c>
      <c r="K31" s="9" t="s">
        <v>50</v>
      </c>
      <c r="M31" s="7">
        <v>1.0</v>
      </c>
    </row>
    <row r="32" ht="14.25" customHeight="1">
      <c r="A32" s="9">
        <f t="shared" si="2"/>
        <v>26</v>
      </c>
      <c r="B32" s="9" t="s">
        <v>16</v>
      </c>
      <c r="C32" s="10" t="s">
        <v>283</v>
      </c>
      <c r="D32" s="11" t="s">
        <v>18</v>
      </c>
      <c r="E32" s="1" t="s">
        <v>257</v>
      </c>
      <c r="F32" s="71">
        <v>4.19</v>
      </c>
      <c r="G32" s="71">
        <v>4.28</v>
      </c>
      <c r="H32" s="72">
        <v>47.5</v>
      </c>
      <c r="I32" s="72">
        <v>14.0</v>
      </c>
      <c r="J32" s="72">
        <f t="shared" si="1"/>
        <v>3.392857143</v>
      </c>
      <c r="K32" s="9" t="s">
        <v>50</v>
      </c>
      <c r="M32" s="7">
        <v>1.0</v>
      </c>
    </row>
    <row r="33" ht="14.25" customHeight="1">
      <c r="A33" s="9">
        <f t="shared" si="2"/>
        <v>27</v>
      </c>
      <c r="B33" s="9" t="s">
        <v>16</v>
      </c>
      <c r="C33" s="10" t="s">
        <v>284</v>
      </c>
      <c r="D33" s="11" t="s">
        <v>18</v>
      </c>
      <c r="E33" s="70" t="s">
        <v>257</v>
      </c>
      <c r="F33" s="71">
        <v>4.02</v>
      </c>
      <c r="G33" s="71">
        <v>3.57</v>
      </c>
      <c r="H33" s="72">
        <v>45.0</v>
      </c>
      <c r="I33" s="72">
        <v>14.0</v>
      </c>
      <c r="J33" s="72">
        <f t="shared" si="1"/>
        <v>3.214285714</v>
      </c>
      <c r="K33" s="9" t="s">
        <v>50</v>
      </c>
      <c r="M33" s="7">
        <v>1.0</v>
      </c>
    </row>
    <row r="34" ht="14.25" customHeight="1">
      <c r="A34" s="9">
        <f t="shared" si="2"/>
        <v>28</v>
      </c>
      <c r="B34" s="9" t="s">
        <v>16</v>
      </c>
      <c r="C34" s="10" t="s">
        <v>285</v>
      </c>
      <c r="D34" s="11" t="s">
        <v>18</v>
      </c>
      <c r="E34" s="70" t="s">
        <v>257</v>
      </c>
      <c r="F34" s="71">
        <v>3.84</v>
      </c>
      <c r="G34" s="71">
        <v>3.29</v>
      </c>
      <c r="H34" s="72">
        <v>44.25</v>
      </c>
      <c r="I34" s="72">
        <v>14.0</v>
      </c>
      <c r="J34" s="72">
        <f t="shared" si="1"/>
        <v>3.160714286</v>
      </c>
      <c r="K34" s="9" t="s">
        <v>50</v>
      </c>
      <c r="M34" s="7">
        <v>1.0</v>
      </c>
    </row>
    <row r="35" ht="14.25" customHeight="1">
      <c r="A35" s="9">
        <f t="shared" si="2"/>
        <v>29</v>
      </c>
      <c r="B35" s="9" t="s">
        <v>16</v>
      </c>
      <c r="C35" s="10" t="s">
        <v>286</v>
      </c>
      <c r="D35" s="11" t="s">
        <v>18</v>
      </c>
      <c r="E35" s="1" t="s">
        <v>257</v>
      </c>
      <c r="F35" s="71">
        <v>4.09</v>
      </c>
      <c r="G35" s="71">
        <v>3.5</v>
      </c>
      <c r="H35" s="72">
        <v>38.0</v>
      </c>
      <c r="I35" s="72">
        <v>14.0</v>
      </c>
      <c r="J35" s="72">
        <f t="shared" si="1"/>
        <v>2.714285714</v>
      </c>
      <c r="K35" s="9" t="s">
        <v>50</v>
      </c>
      <c r="M35" s="7">
        <v>1.0</v>
      </c>
    </row>
    <row r="36" ht="14.25" customHeight="1">
      <c r="A36" s="9">
        <f t="shared" si="2"/>
        <v>30</v>
      </c>
      <c r="B36" s="9" t="s">
        <v>16</v>
      </c>
      <c r="C36" s="10" t="s">
        <v>287</v>
      </c>
      <c r="D36" s="11" t="s">
        <v>18</v>
      </c>
      <c r="E36" s="70" t="s">
        <v>257</v>
      </c>
      <c r="F36" s="71">
        <v>6.09</v>
      </c>
      <c r="G36" s="71">
        <v>6.02</v>
      </c>
      <c r="H36" s="72">
        <v>37.0</v>
      </c>
      <c r="I36" s="72">
        <v>14.0</v>
      </c>
      <c r="J36" s="72">
        <f t="shared" si="1"/>
        <v>2.642857143</v>
      </c>
      <c r="K36" s="9" t="s">
        <v>50</v>
      </c>
      <c r="M36" s="7">
        <v>1.0</v>
      </c>
    </row>
    <row r="37" ht="14.25" customHeight="1">
      <c r="A37" s="9">
        <f t="shared" si="2"/>
        <v>31</v>
      </c>
      <c r="B37" s="9" t="s">
        <v>16</v>
      </c>
      <c r="C37" s="10" t="s">
        <v>288</v>
      </c>
      <c r="D37" s="11" t="s">
        <v>18</v>
      </c>
      <c r="E37" s="70" t="s">
        <v>257</v>
      </c>
      <c r="F37" s="71">
        <v>3.93</v>
      </c>
      <c r="G37" s="71">
        <v>3.5</v>
      </c>
      <c r="H37" s="72">
        <v>66.0</v>
      </c>
      <c r="I37" s="72">
        <v>14.0</v>
      </c>
      <c r="J37" s="72">
        <f t="shared" si="1"/>
        <v>4.714285714</v>
      </c>
      <c r="K37" s="73" t="s">
        <v>254</v>
      </c>
      <c r="L37" s="7">
        <v>1.0</v>
      </c>
    </row>
    <row r="38" ht="14.25" customHeight="1">
      <c r="A38" s="9">
        <f t="shared" si="2"/>
        <v>32</v>
      </c>
      <c r="B38" s="9" t="s">
        <v>16</v>
      </c>
      <c r="C38" s="10" t="s">
        <v>289</v>
      </c>
      <c r="D38" s="11" t="s">
        <v>18</v>
      </c>
      <c r="E38" s="1" t="s">
        <v>257</v>
      </c>
      <c r="F38" s="71">
        <v>4.09</v>
      </c>
      <c r="G38" s="71">
        <v>5.25</v>
      </c>
      <c r="H38" s="72">
        <v>34.0</v>
      </c>
      <c r="I38" s="72">
        <v>14.0</v>
      </c>
      <c r="J38" s="72">
        <f t="shared" si="1"/>
        <v>2.428571429</v>
      </c>
      <c r="K38" s="9" t="s">
        <v>50</v>
      </c>
      <c r="M38" s="7">
        <v>1.0</v>
      </c>
    </row>
    <row r="39" ht="14.25" customHeight="1">
      <c r="A39" s="9">
        <f t="shared" si="2"/>
        <v>33</v>
      </c>
      <c r="B39" s="9" t="s">
        <v>16</v>
      </c>
      <c r="C39" s="10" t="s">
        <v>290</v>
      </c>
      <c r="D39" s="11" t="s">
        <v>18</v>
      </c>
      <c r="E39" s="70" t="s">
        <v>257</v>
      </c>
      <c r="F39" s="71">
        <v>4.87</v>
      </c>
      <c r="G39" s="71">
        <v>4.0</v>
      </c>
      <c r="H39" s="72">
        <v>71.0</v>
      </c>
      <c r="I39" s="72">
        <v>14.0</v>
      </c>
      <c r="J39" s="72">
        <f t="shared" si="1"/>
        <v>5.071428571</v>
      </c>
      <c r="K39" s="73" t="s">
        <v>254</v>
      </c>
      <c r="L39" s="7">
        <v>1.0</v>
      </c>
    </row>
    <row r="40" ht="14.25" customHeight="1">
      <c r="A40" s="9">
        <f t="shared" si="2"/>
        <v>34</v>
      </c>
      <c r="B40" s="9" t="s">
        <v>16</v>
      </c>
      <c r="C40" s="10" t="s">
        <v>291</v>
      </c>
      <c r="D40" s="11" t="s">
        <v>18</v>
      </c>
      <c r="E40" s="70" t="s">
        <v>257</v>
      </c>
      <c r="F40" s="71">
        <v>3.78</v>
      </c>
      <c r="G40" s="71">
        <v>3.02</v>
      </c>
      <c r="H40" s="72">
        <v>67.12</v>
      </c>
      <c r="I40" s="72">
        <v>14.0</v>
      </c>
      <c r="J40" s="72">
        <f t="shared" si="1"/>
        <v>4.794285714</v>
      </c>
      <c r="K40" s="73" t="s">
        <v>254</v>
      </c>
      <c r="L40" s="7">
        <v>1.0</v>
      </c>
    </row>
    <row r="41" ht="14.25" customHeight="1">
      <c r="A41" s="9">
        <f t="shared" si="2"/>
        <v>35</v>
      </c>
      <c r="B41" s="9" t="s">
        <v>16</v>
      </c>
      <c r="C41" s="10" t="s">
        <v>292</v>
      </c>
      <c r="D41" s="11" t="s">
        <v>18</v>
      </c>
      <c r="E41" s="1" t="s">
        <v>257</v>
      </c>
      <c r="F41" s="71">
        <v>2.81</v>
      </c>
      <c r="G41" s="71">
        <v>2.52</v>
      </c>
      <c r="H41" s="72">
        <v>25.5</v>
      </c>
      <c r="I41" s="72">
        <v>14.0</v>
      </c>
      <c r="J41" s="72">
        <f t="shared" si="1"/>
        <v>1.821428571</v>
      </c>
      <c r="K41" s="9" t="s">
        <v>50</v>
      </c>
      <c r="M41" s="7">
        <v>1.0</v>
      </c>
    </row>
    <row r="42" ht="14.25" customHeight="1">
      <c r="A42" s="9">
        <f t="shared" si="2"/>
        <v>36</v>
      </c>
      <c r="B42" s="9" t="s">
        <v>16</v>
      </c>
      <c r="C42" s="10" t="s">
        <v>293</v>
      </c>
      <c r="D42" s="11" t="s">
        <v>18</v>
      </c>
      <c r="E42" s="70" t="s">
        <v>257</v>
      </c>
      <c r="F42" s="71">
        <v>4.31</v>
      </c>
      <c r="G42" s="71">
        <v>3.0</v>
      </c>
      <c r="H42" s="72">
        <v>24.5</v>
      </c>
      <c r="I42" s="72">
        <v>14.0</v>
      </c>
      <c r="J42" s="72">
        <f t="shared" si="1"/>
        <v>1.75</v>
      </c>
      <c r="K42" s="9" t="s">
        <v>50</v>
      </c>
      <c r="M42" s="7">
        <v>1.0</v>
      </c>
    </row>
    <row r="43" ht="14.25" customHeight="1">
      <c r="A43" s="9">
        <f t="shared" si="2"/>
        <v>37</v>
      </c>
      <c r="B43" s="9" t="s">
        <v>16</v>
      </c>
      <c r="C43" s="10" t="s">
        <v>294</v>
      </c>
      <c r="D43" s="11" t="s">
        <v>18</v>
      </c>
      <c r="E43" s="70" t="s">
        <v>257</v>
      </c>
      <c r="F43" s="71">
        <v>2.5</v>
      </c>
      <c r="G43" s="71">
        <v>2.0</v>
      </c>
      <c r="H43" s="72">
        <v>24.0</v>
      </c>
      <c r="I43" s="72">
        <v>14.0</v>
      </c>
      <c r="J43" s="72">
        <f t="shared" si="1"/>
        <v>1.714285714</v>
      </c>
      <c r="K43" s="9" t="s">
        <v>50</v>
      </c>
      <c r="M43" s="7">
        <v>1.0</v>
      </c>
    </row>
    <row r="44" ht="14.25" customHeight="1">
      <c r="A44" s="9">
        <f t="shared" si="2"/>
        <v>38</v>
      </c>
      <c r="B44" s="9" t="s">
        <v>16</v>
      </c>
      <c r="C44" s="10" t="s">
        <v>295</v>
      </c>
      <c r="D44" s="11" t="s">
        <v>18</v>
      </c>
      <c r="E44" s="1" t="s">
        <v>257</v>
      </c>
      <c r="F44" s="71">
        <v>3.5</v>
      </c>
      <c r="G44" s="71">
        <v>3.0</v>
      </c>
      <c r="H44" s="72">
        <v>24.0</v>
      </c>
      <c r="I44" s="72">
        <v>14.0</v>
      </c>
      <c r="J44" s="72">
        <f t="shared" si="1"/>
        <v>1.714285714</v>
      </c>
      <c r="K44" s="9" t="s">
        <v>50</v>
      </c>
      <c r="M44" s="7">
        <v>1.0</v>
      </c>
    </row>
    <row r="45" ht="14.25" customHeight="1">
      <c r="A45" s="9">
        <f t="shared" si="2"/>
        <v>39</v>
      </c>
      <c r="B45" s="9" t="s">
        <v>16</v>
      </c>
      <c r="C45" s="10" t="s">
        <v>296</v>
      </c>
      <c r="D45" s="11" t="s">
        <v>18</v>
      </c>
      <c r="E45" s="70" t="s">
        <v>257</v>
      </c>
      <c r="F45" s="71">
        <v>3.68</v>
      </c>
      <c r="G45" s="71">
        <v>3.35</v>
      </c>
      <c r="H45" s="72">
        <v>23.0</v>
      </c>
      <c r="I45" s="72">
        <v>14.0</v>
      </c>
      <c r="J45" s="72">
        <f t="shared" si="1"/>
        <v>1.642857143</v>
      </c>
      <c r="K45" s="9" t="s">
        <v>50</v>
      </c>
      <c r="M45" s="7">
        <v>1.0</v>
      </c>
    </row>
    <row r="46" ht="14.25" customHeight="1">
      <c r="A46" s="9">
        <f t="shared" si="2"/>
        <v>40</v>
      </c>
      <c r="B46" s="9" t="s">
        <v>16</v>
      </c>
      <c r="C46" s="10" t="s">
        <v>297</v>
      </c>
      <c r="D46" s="11" t="s">
        <v>18</v>
      </c>
      <c r="E46" s="70" t="s">
        <v>257</v>
      </c>
      <c r="F46" s="71">
        <v>3.48</v>
      </c>
      <c r="G46" s="71">
        <v>3.0</v>
      </c>
      <c r="H46" s="72">
        <v>65.5</v>
      </c>
      <c r="I46" s="72">
        <v>14.0</v>
      </c>
      <c r="J46" s="72">
        <f t="shared" si="1"/>
        <v>4.678571429</v>
      </c>
      <c r="K46" s="9" t="s">
        <v>50</v>
      </c>
      <c r="M46" s="7">
        <v>1.0</v>
      </c>
    </row>
    <row r="47" ht="14.25" customHeight="1">
      <c r="A47" s="9">
        <f t="shared" si="2"/>
        <v>41</v>
      </c>
      <c r="B47" s="9" t="s">
        <v>16</v>
      </c>
      <c r="C47" s="10" t="s">
        <v>298</v>
      </c>
      <c r="D47" s="11" t="s">
        <v>18</v>
      </c>
      <c r="E47" s="1" t="s">
        <v>257</v>
      </c>
      <c r="F47" s="71">
        <v>3.81</v>
      </c>
      <c r="G47" s="71">
        <v>3.0</v>
      </c>
      <c r="H47" s="72">
        <v>20.5</v>
      </c>
      <c r="I47" s="72">
        <v>14.0</v>
      </c>
      <c r="J47" s="72">
        <f t="shared" si="1"/>
        <v>1.464285714</v>
      </c>
      <c r="K47" s="73" t="s">
        <v>254</v>
      </c>
      <c r="L47" s="7">
        <v>1.0</v>
      </c>
    </row>
    <row r="48" ht="14.25" customHeight="1">
      <c r="A48" s="9">
        <f t="shared" si="2"/>
        <v>42</v>
      </c>
      <c r="B48" s="9" t="s">
        <v>16</v>
      </c>
      <c r="C48" s="10" t="s">
        <v>299</v>
      </c>
      <c r="D48" s="11" t="s">
        <v>18</v>
      </c>
      <c r="E48" s="70" t="s">
        <v>257</v>
      </c>
      <c r="F48" s="71">
        <v>3.71</v>
      </c>
      <c r="G48" s="71">
        <v>3.02</v>
      </c>
      <c r="H48" s="72">
        <v>15.5</v>
      </c>
      <c r="I48" s="72">
        <v>14.0</v>
      </c>
      <c r="J48" s="72">
        <f t="shared" si="1"/>
        <v>1.107142857</v>
      </c>
      <c r="K48" s="9" t="s">
        <v>50</v>
      </c>
      <c r="M48" s="7">
        <v>1.0</v>
      </c>
    </row>
    <row r="49" ht="14.25" customHeight="1">
      <c r="A49" s="9">
        <f t="shared" si="2"/>
        <v>43</v>
      </c>
      <c r="B49" s="9" t="s">
        <v>16</v>
      </c>
      <c r="C49" s="10" t="s">
        <v>300</v>
      </c>
      <c r="D49" s="75" t="s">
        <v>18</v>
      </c>
      <c r="E49" s="70" t="s">
        <v>257</v>
      </c>
      <c r="F49" s="71">
        <v>5.06</v>
      </c>
      <c r="G49" s="71">
        <v>5.17</v>
      </c>
      <c r="H49" s="72">
        <v>65.5</v>
      </c>
      <c r="I49" s="72">
        <v>14.0</v>
      </c>
      <c r="J49" s="72">
        <f t="shared" si="1"/>
        <v>4.678571429</v>
      </c>
      <c r="K49" s="73" t="s">
        <v>254</v>
      </c>
      <c r="L49" s="7">
        <v>1.0</v>
      </c>
    </row>
    <row r="50" ht="14.25" customHeight="1">
      <c r="A50" s="9"/>
      <c r="B50" s="15"/>
      <c r="C50" s="10"/>
      <c r="D50" s="75"/>
      <c r="E50" s="1"/>
      <c r="F50" s="71"/>
      <c r="G50" s="71"/>
      <c r="H50" s="72"/>
      <c r="I50" s="72"/>
      <c r="J50" s="72"/>
      <c r="K50" s="73"/>
      <c r="L50" s="16">
        <f t="shared" ref="L50:N50" si="3">SUM(L7:L49)</f>
        <v>24</v>
      </c>
      <c r="M50" s="16">
        <f t="shared" si="3"/>
        <v>16</v>
      </c>
      <c r="N50" s="16">
        <f t="shared" si="3"/>
        <v>0</v>
      </c>
    </row>
    <row r="51" ht="14.25" customHeight="1">
      <c r="A51" s="9"/>
      <c r="B51" s="15"/>
      <c r="C51" s="10"/>
      <c r="D51" s="75"/>
      <c r="E51" s="1"/>
      <c r="F51" s="71"/>
      <c r="G51" s="71"/>
      <c r="H51" s="72"/>
      <c r="I51" s="72"/>
      <c r="J51" s="72"/>
      <c r="K51" s="73"/>
      <c r="L51" s="17">
        <f>L50/A49</f>
        <v>0.5581395349</v>
      </c>
      <c r="M51" s="17">
        <f>M50/A49</f>
        <v>0.3720930233</v>
      </c>
    </row>
    <row r="52" ht="14.25" customHeight="1">
      <c r="A52" s="9"/>
      <c r="B52" s="15"/>
      <c r="C52" s="10"/>
      <c r="D52" s="75"/>
      <c r="E52" s="1"/>
      <c r="F52" s="71"/>
      <c r="G52" s="71"/>
      <c r="H52" s="72"/>
      <c r="I52" s="72"/>
      <c r="J52" s="72"/>
      <c r="K52" s="73"/>
    </row>
    <row r="53" ht="14.25" customHeight="1">
      <c r="A53" s="9">
        <v>1.0</v>
      </c>
      <c r="B53" s="15" t="s">
        <v>33</v>
      </c>
      <c r="C53" s="10" t="s">
        <v>301</v>
      </c>
      <c r="D53" s="11" t="s">
        <v>18</v>
      </c>
      <c r="E53" s="1" t="s">
        <v>257</v>
      </c>
      <c r="F53" s="9">
        <v>3.97</v>
      </c>
      <c r="G53" s="9">
        <v>4.25</v>
      </c>
      <c r="H53" s="72">
        <v>72.0</v>
      </c>
      <c r="I53" s="72">
        <v>14.0</v>
      </c>
      <c r="J53" s="72">
        <f t="shared" ref="J53:J93" si="4">H53/I53</f>
        <v>5.142857143</v>
      </c>
      <c r="K53" s="73" t="s">
        <v>254</v>
      </c>
      <c r="L53" s="7">
        <v>1.0</v>
      </c>
    </row>
    <row r="54" ht="14.25" customHeight="1">
      <c r="A54" s="9">
        <v>2.0</v>
      </c>
      <c r="B54" s="15" t="s">
        <v>33</v>
      </c>
      <c r="C54" s="10" t="s">
        <v>302</v>
      </c>
      <c r="D54" s="11" t="s">
        <v>18</v>
      </c>
      <c r="E54" s="70" t="s">
        <v>257</v>
      </c>
      <c r="F54" s="9">
        <v>7.28</v>
      </c>
      <c r="G54" s="9">
        <v>7.93</v>
      </c>
      <c r="H54" s="76">
        <v>107.5</v>
      </c>
      <c r="I54" s="72">
        <v>14.0</v>
      </c>
      <c r="J54" s="72">
        <f t="shared" si="4"/>
        <v>7.678571429</v>
      </c>
      <c r="K54" s="77" t="s">
        <v>254</v>
      </c>
      <c r="L54" s="7">
        <v>1.0</v>
      </c>
    </row>
    <row r="55" ht="14.25" customHeight="1">
      <c r="A55" s="9">
        <v>3.0</v>
      </c>
      <c r="B55" s="15" t="s">
        <v>33</v>
      </c>
      <c r="C55" s="10" t="s">
        <v>303</v>
      </c>
      <c r="D55" s="11" t="s">
        <v>18</v>
      </c>
      <c r="E55" s="70" t="s">
        <v>257</v>
      </c>
      <c r="F55" s="9">
        <v>6.57</v>
      </c>
      <c r="G55" s="9">
        <v>5.98</v>
      </c>
      <c r="H55" s="76">
        <v>92.0</v>
      </c>
      <c r="I55" s="72">
        <v>14.0</v>
      </c>
      <c r="J55" s="72">
        <f t="shared" si="4"/>
        <v>6.571428571</v>
      </c>
      <c r="K55" s="77" t="s">
        <v>254</v>
      </c>
      <c r="L55" s="7">
        <v>1.0</v>
      </c>
    </row>
    <row r="56" ht="14.25" customHeight="1">
      <c r="A56" s="9">
        <f t="shared" ref="A56:A93" si="5">A55+1</f>
        <v>4</v>
      </c>
      <c r="B56" s="15" t="s">
        <v>33</v>
      </c>
      <c r="C56" s="10" t="s">
        <v>304</v>
      </c>
      <c r="D56" s="11" t="s">
        <v>18</v>
      </c>
      <c r="E56" s="1" t="s">
        <v>257</v>
      </c>
      <c r="F56" s="9">
        <v>5.27</v>
      </c>
      <c r="G56" s="9">
        <v>5.71</v>
      </c>
      <c r="H56" s="76">
        <v>86.0</v>
      </c>
      <c r="I56" s="72">
        <v>14.0</v>
      </c>
      <c r="J56" s="72">
        <f t="shared" si="4"/>
        <v>6.142857143</v>
      </c>
      <c r="K56" s="77" t="s">
        <v>254</v>
      </c>
      <c r="L56" s="7">
        <v>1.0</v>
      </c>
    </row>
    <row r="57" ht="14.25" customHeight="1">
      <c r="A57" s="9">
        <f t="shared" si="5"/>
        <v>5</v>
      </c>
      <c r="B57" s="15" t="s">
        <v>33</v>
      </c>
      <c r="C57" s="10" t="s">
        <v>305</v>
      </c>
      <c r="D57" s="11" t="s">
        <v>18</v>
      </c>
      <c r="E57" s="70" t="s">
        <v>257</v>
      </c>
      <c r="F57" s="9">
        <v>5.3</v>
      </c>
      <c r="G57" s="9">
        <v>5.47</v>
      </c>
      <c r="H57" s="13">
        <v>86.0</v>
      </c>
      <c r="I57" s="72">
        <v>14.0</v>
      </c>
      <c r="J57" s="72">
        <f t="shared" si="4"/>
        <v>6.142857143</v>
      </c>
      <c r="K57" s="77" t="s">
        <v>254</v>
      </c>
      <c r="L57" s="7">
        <v>1.0</v>
      </c>
    </row>
    <row r="58" ht="14.25" customHeight="1">
      <c r="A58" s="9">
        <f t="shared" si="5"/>
        <v>6</v>
      </c>
      <c r="B58" s="15" t="s">
        <v>33</v>
      </c>
      <c r="C58" s="10" t="s">
        <v>306</v>
      </c>
      <c r="D58" s="11" t="s">
        <v>18</v>
      </c>
      <c r="E58" s="70" t="s">
        <v>257</v>
      </c>
      <c r="F58" s="9">
        <v>6.78</v>
      </c>
      <c r="G58" s="9">
        <v>7.49</v>
      </c>
      <c r="H58" s="13">
        <v>85.25</v>
      </c>
      <c r="I58" s="72">
        <v>14.0</v>
      </c>
      <c r="J58" s="72">
        <f t="shared" si="4"/>
        <v>6.089285714</v>
      </c>
      <c r="K58" s="77" t="s">
        <v>254</v>
      </c>
      <c r="L58" s="7">
        <v>1.0</v>
      </c>
    </row>
    <row r="59" ht="14.25" customHeight="1">
      <c r="A59" s="9">
        <f t="shared" si="5"/>
        <v>7</v>
      </c>
      <c r="B59" s="15" t="s">
        <v>33</v>
      </c>
      <c r="C59" s="10" t="s">
        <v>307</v>
      </c>
      <c r="D59" s="11" t="s">
        <v>18</v>
      </c>
      <c r="E59" s="1" t="s">
        <v>257</v>
      </c>
      <c r="F59" s="9">
        <v>6.27</v>
      </c>
      <c r="G59" s="9">
        <v>5.03</v>
      </c>
      <c r="H59" s="76">
        <v>84.0</v>
      </c>
      <c r="I59" s="72">
        <v>14.0</v>
      </c>
      <c r="J59" s="72">
        <f t="shared" si="4"/>
        <v>6</v>
      </c>
      <c r="K59" s="77" t="s">
        <v>254</v>
      </c>
      <c r="L59" s="7">
        <v>1.0</v>
      </c>
    </row>
    <row r="60" ht="14.25" customHeight="1">
      <c r="A60" s="9">
        <f t="shared" si="5"/>
        <v>8</v>
      </c>
      <c r="B60" s="15" t="s">
        <v>33</v>
      </c>
      <c r="C60" s="10" t="s">
        <v>308</v>
      </c>
      <c r="D60" s="11" t="s">
        <v>18</v>
      </c>
      <c r="E60" s="70" t="s">
        <v>257</v>
      </c>
      <c r="F60" s="9">
        <v>6.49</v>
      </c>
      <c r="G60" s="9">
        <v>6.68</v>
      </c>
      <c r="H60" s="13">
        <v>80.25</v>
      </c>
      <c r="I60" s="72">
        <v>14.0</v>
      </c>
      <c r="J60" s="72">
        <f t="shared" si="4"/>
        <v>5.732142857</v>
      </c>
      <c r="K60" s="77" t="s">
        <v>254</v>
      </c>
      <c r="L60" s="7">
        <v>1.0</v>
      </c>
    </row>
    <row r="61" ht="14.25" customHeight="1">
      <c r="A61" s="9">
        <f t="shared" si="5"/>
        <v>9</v>
      </c>
      <c r="B61" s="15" t="s">
        <v>33</v>
      </c>
      <c r="C61" s="10" t="s">
        <v>309</v>
      </c>
      <c r="D61" s="11" t="s">
        <v>18</v>
      </c>
      <c r="E61" s="70" t="s">
        <v>257</v>
      </c>
      <c r="F61" s="9">
        <v>5.17</v>
      </c>
      <c r="G61" s="9">
        <v>5.06</v>
      </c>
      <c r="H61" s="13">
        <v>79.25</v>
      </c>
      <c r="I61" s="72">
        <v>14.0</v>
      </c>
      <c r="J61" s="72">
        <f t="shared" si="4"/>
        <v>5.660714286</v>
      </c>
      <c r="K61" s="77" t="s">
        <v>254</v>
      </c>
      <c r="L61" s="7">
        <v>1.0</v>
      </c>
    </row>
    <row r="62" ht="14.25" customHeight="1">
      <c r="A62" s="9">
        <f t="shared" si="5"/>
        <v>10</v>
      </c>
      <c r="B62" s="15" t="s">
        <v>33</v>
      </c>
      <c r="C62" s="10" t="s">
        <v>23</v>
      </c>
      <c r="D62" s="11" t="s">
        <v>18</v>
      </c>
      <c r="E62" s="1" t="s">
        <v>257</v>
      </c>
      <c r="F62" s="9">
        <v>4.92</v>
      </c>
      <c r="G62" s="9">
        <v>5.08</v>
      </c>
      <c r="H62" s="13">
        <v>78.0</v>
      </c>
      <c r="I62" s="72">
        <v>14.0</v>
      </c>
      <c r="J62" s="72">
        <f t="shared" si="4"/>
        <v>5.571428571</v>
      </c>
      <c r="K62" s="77" t="s">
        <v>254</v>
      </c>
      <c r="L62" s="7">
        <v>1.0</v>
      </c>
    </row>
    <row r="63" ht="14.25" customHeight="1">
      <c r="A63" s="9">
        <f t="shared" si="5"/>
        <v>11</v>
      </c>
      <c r="B63" s="15" t="s">
        <v>33</v>
      </c>
      <c r="C63" s="10" t="s">
        <v>310</v>
      </c>
      <c r="D63" s="11" t="s">
        <v>18</v>
      </c>
      <c r="E63" s="70" t="s">
        <v>257</v>
      </c>
      <c r="F63" s="9">
        <v>5.38</v>
      </c>
      <c r="G63" s="9">
        <v>6.62</v>
      </c>
      <c r="H63" s="76">
        <v>76.0</v>
      </c>
      <c r="I63" s="72">
        <v>14.0</v>
      </c>
      <c r="J63" s="72">
        <f t="shared" si="4"/>
        <v>5.428571429</v>
      </c>
      <c r="K63" s="77" t="s">
        <v>254</v>
      </c>
      <c r="L63" s="7">
        <v>1.0</v>
      </c>
    </row>
    <row r="64" ht="14.25" customHeight="1">
      <c r="A64" s="9">
        <f t="shared" si="5"/>
        <v>12</v>
      </c>
      <c r="B64" s="15" t="s">
        <v>33</v>
      </c>
      <c r="C64" s="10" t="s">
        <v>311</v>
      </c>
      <c r="D64" s="11" t="s">
        <v>18</v>
      </c>
      <c r="E64" s="70" t="s">
        <v>257</v>
      </c>
      <c r="F64" s="9">
        <v>5.0</v>
      </c>
      <c r="G64" s="9">
        <v>5.0</v>
      </c>
      <c r="H64" s="13">
        <v>75.5</v>
      </c>
      <c r="I64" s="72">
        <v>14.0</v>
      </c>
      <c r="J64" s="72">
        <f t="shared" si="4"/>
        <v>5.392857143</v>
      </c>
      <c r="K64" s="77" t="s">
        <v>254</v>
      </c>
      <c r="L64" s="7">
        <v>1.0</v>
      </c>
    </row>
    <row r="65" ht="14.25" customHeight="1">
      <c r="A65" s="9">
        <f t="shared" si="5"/>
        <v>13</v>
      </c>
      <c r="B65" s="15" t="s">
        <v>33</v>
      </c>
      <c r="C65" s="10" t="s">
        <v>312</v>
      </c>
      <c r="D65" s="11" t="s">
        <v>18</v>
      </c>
      <c r="E65" s="1" t="s">
        <v>257</v>
      </c>
      <c r="F65" s="9">
        <v>3.7</v>
      </c>
      <c r="G65" s="9">
        <v>3.84</v>
      </c>
      <c r="H65" s="76">
        <v>75.45</v>
      </c>
      <c r="I65" s="72">
        <v>14.0</v>
      </c>
      <c r="J65" s="72">
        <f t="shared" si="4"/>
        <v>5.389285714</v>
      </c>
      <c r="K65" s="77" t="s">
        <v>254</v>
      </c>
      <c r="L65" s="7">
        <v>1.0</v>
      </c>
    </row>
    <row r="66" ht="14.25" customHeight="1">
      <c r="A66" s="9">
        <f t="shared" si="5"/>
        <v>14</v>
      </c>
      <c r="B66" s="15" t="s">
        <v>33</v>
      </c>
      <c r="C66" s="10" t="s">
        <v>313</v>
      </c>
      <c r="D66" s="11" t="s">
        <v>18</v>
      </c>
      <c r="E66" s="70" t="s">
        <v>257</v>
      </c>
      <c r="F66" s="9">
        <v>3.97</v>
      </c>
      <c r="G66" s="9">
        <v>3.76</v>
      </c>
      <c r="H66" s="76">
        <v>72.5</v>
      </c>
      <c r="I66" s="72">
        <v>14.0</v>
      </c>
      <c r="J66" s="72">
        <f t="shared" si="4"/>
        <v>5.178571429</v>
      </c>
      <c r="K66" s="77" t="s">
        <v>254</v>
      </c>
      <c r="L66" s="7">
        <v>1.0</v>
      </c>
    </row>
    <row r="67" ht="14.25" customHeight="1">
      <c r="A67" s="9">
        <f t="shared" si="5"/>
        <v>15</v>
      </c>
      <c r="B67" s="15" t="s">
        <v>33</v>
      </c>
      <c r="C67" s="10" t="s">
        <v>314</v>
      </c>
      <c r="D67" s="11" t="s">
        <v>18</v>
      </c>
      <c r="E67" s="70" t="s">
        <v>257</v>
      </c>
      <c r="F67" s="9">
        <v>2.47</v>
      </c>
      <c r="G67" s="9">
        <v>2.39</v>
      </c>
      <c r="H67" s="76">
        <v>70.5</v>
      </c>
      <c r="I67" s="72">
        <v>14.0</v>
      </c>
      <c r="J67" s="72">
        <f t="shared" si="4"/>
        <v>5.035714286</v>
      </c>
      <c r="K67" s="77" t="s">
        <v>254</v>
      </c>
      <c r="L67" s="7">
        <v>1.0</v>
      </c>
    </row>
    <row r="68" ht="14.25" customHeight="1">
      <c r="A68" s="9">
        <f t="shared" si="5"/>
        <v>16</v>
      </c>
      <c r="B68" s="15" t="s">
        <v>33</v>
      </c>
      <c r="C68" s="10" t="s">
        <v>315</v>
      </c>
      <c r="D68" s="11" t="s">
        <v>18</v>
      </c>
      <c r="E68" s="1" t="s">
        <v>257</v>
      </c>
      <c r="F68" s="9">
        <v>2.43</v>
      </c>
      <c r="G68" s="9">
        <v>2.51</v>
      </c>
      <c r="H68" s="76">
        <v>53.0</v>
      </c>
      <c r="I68" s="72">
        <v>14.0</v>
      </c>
      <c r="J68" s="72">
        <f t="shared" si="4"/>
        <v>3.785714286</v>
      </c>
      <c r="K68" s="15" t="s">
        <v>50</v>
      </c>
      <c r="M68" s="7">
        <v>1.0</v>
      </c>
    </row>
    <row r="69" ht="14.25" customHeight="1">
      <c r="A69" s="9">
        <f t="shared" si="5"/>
        <v>17</v>
      </c>
      <c r="B69" s="15" t="s">
        <v>33</v>
      </c>
      <c r="C69" s="10" t="s">
        <v>316</v>
      </c>
      <c r="D69" s="11" t="s">
        <v>18</v>
      </c>
      <c r="E69" s="70" t="s">
        <v>257</v>
      </c>
      <c r="F69" s="9">
        <v>2.47</v>
      </c>
      <c r="G69" s="9">
        <v>2.26</v>
      </c>
      <c r="H69" s="76">
        <v>50.5</v>
      </c>
      <c r="I69" s="72">
        <v>14.0</v>
      </c>
      <c r="J69" s="72">
        <f t="shared" si="4"/>
        <v>3.607142857</v>
      </c>
      <c r="K69" s="15" t="s">
        <v>50</v>
      </c>
      <c r="M69" s="7">
        <v>1.0</v>
      </c>
    </row>
    <row r="70" ht="14.25" customHeight="1">
      <c r="A70" s="9">
        <f t="shared" si="5"/>
        <v>18</v>
      </c>
      <c r="B70" s="15" t="s">
        <v>33</v>
      </c>
      <c r="C70" s="10" t="s">
        <v>317</v>
      </c>
      <c r="D70" s="11" t="s">
        <v>18</v>
      </c>
      <c r="E70" s="70" t="s">
        <v>257</v>
      </c>
      <c r="F70" s="9">
        <v>3.46</v>
      </c>
      <c r="G70" s="9">
        <v>3.57</v>
      </c>
      <c r="H70" s="76">
        <v>79.5</v>
      </c>
      <c r="I70" s="72">
        <v>14.0</v>
      </c>
      <c r="J70" s="72">
        <f t="shared" si="4"/>
        <v>5.678571429</v>
      </c>
      <c r="K70" s="77" t="s">
        <v>254</v>
      </c>
      <c r="L70" s="7">
        <v>1.0</v>
      </c>
    </row>
    <row r="71" ht="14.25" customHeight="1">
      <c r="A71" s="9">
        <f t="shared" si="5"/>
        <v>19</v>
      </c>
      <c r="B71" s="15" t="s">
        <v>33</v>
      </c>
      <c r="C71" s="10" t="s">
        <v>318</v>
      </c>
      <c r="D71" s="11" t="s">
        <v>18</v>
      </c>
      <c r="E71" s="1" t="s">
        <v>257</v>
      </c>
      <c r="F71" s="9">
        <v>3.23</v>
      </c>
      <c r="G71" s="9">
        <v>3.17</v>
      </c>
      <c r="H71" s="76">
        <v>69.5</v>
      </c>
      <c r="I71" s="72">
        <v>14.0</v>
      </c>
      <c r="J71" s="72">
        <f t="shared" si="4"/>
        <v>4.964285714</v>
      </c>
      <c r="K71" s="77" t="s">
        <v>254</v>
      </c>
      <c r="L71" s="7">
        <v>1.0</v>
      </c>
    </row>
    <row r="72" ht="14.25" customHeight="1">
      <c r="A72" s="9">
        <f t="shared" si="5"/>
        <v>20</v>
      </c>
      <c r="B72" s="15" t="s">
        <v>33</v>
      </c>
      <c r="C72" s="10" t="s">
        <v>25</v>
      </c>
      <c r="D72" s="11" t="s">
        <v>18</v>
      </c>
      <c r="E72" s="70" t="s">
        <v>257</v>
      </c>
      <c r="F72" s="9">
        <v>2.87</v>
      </c>
      <c r="G72" s="9">
        <v>2.36</v>
      </c>
      <c r="H72" s="76">
        <v>36.0</v>
      </c>
      <c r="I72" s="72">
        <v>14.0</v>
      </c>
      <c r="J72" s="72">
        <f t="shared" si="4"/>
        <v>2.571428571</v>
      </c>
      <c r="K72" s="15" t="s">
        <v>50</v>
      </c>
      <c r="M72" s="7">
        <v>1.0</v>
      </c>
    </row>
    <row r="73" ht="14.25" customHeight="1">
      <c r="A73" s="9">
        <f t="shared" si="5"/>
        <v>21</v>
      </c>
      <c r="B73" s="15" t="s">
        <v>33</v>
      </c>
      <c r="C73" s="10" t="s">
        <v>319</v>
      </c>
      <c r="D73" s="11" t="s">
        <v>18</v>
      </c>
      <c r="E73" s="70" t="s">
        <v>257</v>
      </c>
      <c r="F73" s="9">
        <v>3.0</v>
      </c>
      <c r="G73" s="9">
        <v>3.0</v>
      </c>
      <c r="H73" s="13">
        <v>34.5</v>
      </c>
      <c r="I73" s="72">
        <v>14.0</v>
      </c>
      <c r="J73" s="72">
        <f t="shared" si="4"/>
        <v>2.464285714</v>
      </c>
      <c r="K73" s="15" t="s">
        <v>50</v>
      </c>
      <c r="M73" s="7">
        <v>1.0</v>
      </c>
    </row>
    <row r="74" ht="14.25" customHeight="1">
      <c r="A74" s="9">
        <f t="shared" si="5"/>
        <v>22</v>
      </c>
      <c r="B74" s="15" t="s">
        <v>33</v>
      </c>
      <c r="C74" s="10" t="s">
        <v>320</v>
      </c>
      <c r="D74" s="11" t="s">
        <v>18</v>
      </c>
      <c r="E74" s="1" t="s">
        <v>257</v>
      </c>
      <c r="F74" s="9">
        <v>4.32</v>
      </c>
      <c r="G74" s="9">
        <v>3.54</v>
      </c>
      <c r="H74" s="76">
        <v>28.5</v>
      </c>
      <c r="I74" s="72">
        <v>14.0</v>
      </c>
      <c r="J74" s="72">
        <f t="shared" si="4"/>
        <v>2.035714286</v>
      </c>
      <c r="K74" s="77" t="s">
        <v>254</v>
      </c>
      <c r="L74" s="7">
        <v>1.0</v>
      </c>
    </row>
    <row r="75" ht="14.25" customHeight="1">
      <c r="A75" s="9">
        <f t="shared" si="5"/>
        <v>23</v>
      </c>
      <c r="B75" s="15" t="s">
        <v>33</v>
      </c>
      <c r="C75" s="10" t="s">
        <v>321</v>
      </c>
      <c r="D75" s="11" t="s">
        <v>18</v>
      </c>
      <c r="E75" s="70" t="s">
        <v>257</v>
      </c>
      <c r="F75" s="9">
        <v>3.47</v>
      </c>
      <c r="G75" s="9">
        <v>3.68</v>
      </c>
      <c r="H75" s="76">
        <v>27.0</v>
      </c>
      <c r="I75" s="72">
        <v>14.0</v>
      </c>
      <c r="J75" s="72">
        <f t="shared" si="4"/>
        <v>1.928571429</v>
      </c>
      <c r="K75" s="15" t="s">
        <v>50</v>
      </c>
      <c r="M75" s="7">
        <v>1.0</v>
      </c>
    </row>
    <row r="76" ht="14.25" customHeight="1">
      <c r="A76" s="9">
        <f t="shared" si="5"/>
        <v>24</v>
      </c>
      <c r="B76" s="15" t="s">
        <v>33</v>
      </c>
      <c r="C76" s="10" t="s">
        <v>322</v>
      </c>
      <c r="D76" s="11" t="s">
        <v>18</v>
      </c>
      <c r="E76" s="70" t="s">
        <v>257</v>
      </c>
      <c r="F76" s="9">
        <v>2.18</v>
      </c>
      <c r="G76" s="9">
        <v>2.47</v>
      </c>
      <c r="H76" s="76">
        <v>27.0</v>
      </c>
      <c r="I76" s="72">
        <v>14.0</v>
      </c>
      <c r="J76" s="72">
        <f t="shared" si="4"/>
        <v>1.928571429</v>
      </c>
      <c r="K76" s="15" t="s">
        <v>50</v>
      </c>
      <c r="M76" s="7">
        <v>1.0</v>
      </c>
    </row>
    <row r="77" ht="14.25" customHeight="1">
      <c r="A77" s="9">
        <f t="shared" si="5"/>
        <v>25</v>
      </c>
      <c r="B77" s="15" t="s">
        <v>33</v>
      </c>
      <c r="C77" s="10" t="s">
        <v>323</v>
      </c>
      <c r="D77" s="11" t="s">
        <v>18</v>
      </c>
      <c r="E77" s="1" t="s">
        <v>257</v>
      </c>
      <c r="F77" s="9">
        <v>2.97</v>
      </c>
      <c r="G77" s="9">
        <v>3.47</v>
      </c>
      <c r="H77" s="76">
        <v>25.0</v>
      </c>
      <c r="I77" s="72">
        <v>14.0</v>
      </c>
      <c r="J77" s="72">
        <f t="shared" si="4"/>
        <v>1.785714286</v>
      </c>
      <c r="K77" s="77" t="s">
        <v>254</v>
      </c>
      <c r="L77" s="7">
        <v>1.0</v>
      </c>
    </row>
    <row r="78" ht="14.25" customHeight="1">
      <c r="A78" s="9">
        <f t="shared" si="5"/>
        <v>26</v>
      </c>
      <c r="B78" s="15" t="s">
        <v>33</v>
      </c>
      <c r="C78" s="10" t="s">
        <v>324</v>
      </c>
      <c r="D78" s="11" t="s">
        <v>18</v>
      </c>
      <c r="E78" s="70" t="s">
        <v>257</v>
      </c>
      <c r="F78" s="9">
        <v>2.47</v>
      </c>
      <c r="G78" s="9">
        <v>2.25</v>
      </c>
      <c r="H78" s="76">
        <v>24.0</v>
      </c>
      <c r="I78" s="72">
        <v>14.0</v>
      </c>
      <c r="J78" s="72">
        <f t="shared" si="4"/>
        <v>1.714285714</v>
      </c>
      <c r="K78" s="15" t="s">
        <v>50</v>
      </c>
      <c r="M78" s="7">
        <v>1.0</v>
      </c>
    </row>
    <row r="79" ht="14.25" customHeight="1">
      <c r="A79" s="9">
        <f t="shared" si="5"/>
        <v>27</v>
      </c>
      <c r="B79" s="15" t="s">
        <v>33</v>
      </c>
      <c r="C79" s="10" t="s">
        <v>325</v>
      </c>
      <c r="D79" s="11" t="s">
        <v>18</v>
      </c>
      <c r="E79" s="70" t="s">
        <v>257</v>
      </c>
      <c r="F79" s="9">
        <v>3.24</v>
      </c>
      <c r="G79" s="9">
        <v>3.17</v>
      </c>
      <c r="H79" s="76">
        <v>23.0</v>
      </c>
      <c r="I79" s="72">
        <v>14.0</v>
      </c>
      <c r="J79" s="72">
        <f t="shared" si="4"/>
        <v>1.642857143</v>
      </c>
      <c r="K79" s="15" t="s">
        <v>50</v>
      </c>
      <c r="M79" s="7">
        <v>1.0</v>
      </c>
    </row>
    <row r="80" ht="14.25" customHeight="1">
      <c r="A80" s="9">
        <f t="shared" si="5"/>
        <v>28</v>
      </c>
      <c r="B80" s="15" t="s">
        <v>33</v>
      </c>
      <c r="C80" s="10" t="s">
        <v>326</v>
      </c>
      <c r="D80" s="11" t="s">
        <v>18</v>
      </c>
      <c r="E80" s="1" t="s">
        <v>257</v>
      </c>
      <c r="F80" s="9">
        <v>3.21</v>
      </c>
      <c r="G80" s="9">
        <v>3.06</v>
      </c>
      <c r="H80" s="76">
        <v>23.0</v>
      </c>
      <c r="I80" s="72">
        <v>14.0</v>
      </c>
      <c r="J80" s="72">
        <f t="shared" si="4"/>
        <v>1.642857143</v>
      </c>
      <c r="K80" s="15" t="s">
        <v>50</v>
      </c>
      <c r="M80" s="7">
        <v>1.0</v>
      </c>
    </row>
    <row r="81" ht="14.25" customHeight="1">
      <c r="A81" s="9">
        <f t="shared" si="5"/>
        <v>29</v>
      </c>
      <c r="B81" s="15" t="s">
        <v>33</v>
      </c>
      <c r="C81" s="10" t="s">
        <v>327</v>
      </c>
      <c r="D81" s="11" t="s">
        <v>18</v>
      </c>
      <c r="E81" s="70" t="s">
        <v>257</v>
      </c>
      <c r="F81" s="9">
        <v>2.97</v>
      </c>
      <c r="G81" s="9">
        <v>3.07</v>
      </c>
      <c r="H81" s="76">
        <v>22.0</v>
      </c>
      <c r="I81" s="72">
        <v>14.0</v>
      </c>
      <c r="J81" s="72">
        <f t="shared" si="4"/>
        <v>1.571428571</v>
      </c>
      <c r="K81" s="15" t="s">
        <v>50</v>
      </c>
      <c r="M81" s="7">
        <v>1.0</v>
      </c>
    </row>
    <row r="82" ht="14.25" customHeight="1">
      <c r="A82" s="9">
        <f t="shared" si="5"/>
        <v>30</v>
      </c>
      <c r="B82" s="15" t="s">
        <v>33</v>
      </c>
      <c r="C82" s="10" t="s">
        <v>328</v>
      </c>
      <c r="D82" s="11" t="s">
        <v>18</v>
      </c>
      <c r="E82" s="70" t="s">
        <v>257</v>
      </c>
      <c r="F82" s="9">
        <v>2.71</v>
      </c>
      <c r="G82" s="9">
        <v>2.06</v>
      </c>
      <c r="H82" s="13">
        <v>21.5</v>
      </c>
      <c r="I82" s="72">
        <v>14.0</v>
      </c>
      <c r="J82" s="72">
        <f t="shared" si="4"/>
        <v>1.535714286</v>
      </c>
      <c r="K82" s="15" t="s">
        <v>50</v>
      </c>
      <c r="M82" s="7">
        <v>1.0</v>
      </c>
    </row>
    <row r="83" ht="14.25" customHeight="1">
      <c r="A83" s="9">
        <f t="shared" si="5"/>
        <v>31</v>
      </c>
      <c r="B83" s="15" t="s">
        <v>33</v>
      </c>
      <c r="C83" s="10" t="s">
        <v>329</v>
      </c>
      <c r="D83" s="11" t="s">
        <v>18</v>
      </c>
      <c r="E83" s="1" t="s">
        <v>257</v>
      </c>
      <c r="F83" s="9">
        <v>2.49</v>
      </c>
      <c r="G83" s="9">
        <v>2.91</v>
      </c>
      <c r="H83" s="76">
        <v>20.5</v>
      </c>
      <c r="I83" s="72">
        <v>14.0</v>
      </c>
      <c r="J83" s="72">
        <f t="shared" si="4"/>
        <v>1.464285714</v>
      </c>
      <c r="K83" s="78" t="s">
        <v>254</v>
      </c>
      <c r="L83" s="7">
        <v>1.0</v>
      </c>
    </row>
    <row r="84" ht="14.25" customHeight="1">
      <c r="A84" s="9">
        <f t="shared" si="5"/>
        <v>32</v>
      </c>
      <c r="B84" s="15" t="s">
        <v>33</v>
      </c>
      <c r="C84" s="10" t="s">
        <v>330</v>
      </c>
      <c r="D84" s="11" t="s">
        <v>18</v>
      </c>
      <c r="E84" s="70" t="s">
        <v>257</v>
      </c>
      <c r="F84" s="9">
        <v>4.24</v>
      </c>
      <c r="G84" s="9">
        <v>4.38</v>
      </c>
      <c r="H84" s="13">
        <v>20.0</v>
      </c>
      <c r="I84" s="72">
        <v>14.0</v>
      </c>
      <c r="J84" s="72">
        <f t="shared" si="4"/>
        <v>1.428571429</v>
      </c>
      <c r="K84" s="15" t="s">
        <v>50</v>
      </c>
      <c r="M84" s="7">
        <v>1.0</v>
      </c>
    </row>
    <row r="85" ht="14.25" customHeight="1">
      <c r="A85" s="9">
        <f t="shared" si="5"/>
        <v>33</v>
      </c>
      <c r="B85" s="15" t="s">
        <v>33</v>
      </c>
      <c r="C85" s="10" t="s">
        <v>331</v>
      </c>
      <c r="D85" s="11" t="s">
        <v>18</v>
      </c>
      <c r="E85" s="70" t="s">
        <v>257</v>
      </c>
      <c r="F85" s="9">
        <v>2.84</v>
      </c>
      <c r="G85" s="9">
        <v>2.67</v>
      </c>
      <c r="H85" s="76">
        <v>18.0</v>
      </c>
      <c r="I85" s="72">
        <v>14.0</v>
      </c>
      <c r="J85" s="72">
        <f t="shared" si="4"/>
        <v>1.285714286</v>
      </c>
      <c r="K85" s="15" t="s">
        <v>50</v>
      </c>
      <c r="M85" s="7">
        <v>1.0</v>
      </c>
    </row>
    <row r="86" ht="14.25" customHeight="1">
      <c r="A86" s="9">
        <f t="shared" si="5"/>
        <v>34</v>
      </c>
      <c r="B86" s="15" t="s">
        <v>33</v>
      </c>
      <c r="C86" s="10" t="s">
        <v>332</v>
      </c>
      <c r="D86" s="11" t="s">
        <v>18</v>
      </c>
      <c r="E86" s="1" t="s">
        <v>257</v>
      </c>
      <c r="F86" s="9">
        <v>2.97</v>
      </c>
      <c r="G86" s="9">
        <v>2.89</v>
      </c>
      <c r="H86" s="13">
        <v>18.0</v>
      </c>
      <c r="I86" s="72">
        <v>14.0</v>
      </c>
      <c r="J86" s="72">
        <f t="shared" si="4"/>
        <v>1.285714286</v>
      </c>
      <c r="K86" s="15" t="s">
        <v>267</v>
      </c>
    </row>
    <row r="87" ht="14.25" customHeight="1">
      <c r="A87" s="9">
        <f t="shared" si="5"/>
        <v>35</v>
      </c>
      <c r="B87" s="15" t="s">
        <v>33</v>
      </c>
      <c r="C87" s="10" t="s">
        <v>333</v>
      </c>
      <c r="D87" s="11" t="s">
        <v>18</v>
      </c>
      <c r="E87" s="70" t="s">
        <v>257</v>
      </c>
      <c r="F87" s="9">
        <v>2.47</v>
      </c>
      <c r="G87" s="9">
        <v>2.26</v>
      </c>
      <c r="H87" s="76">
        <v>16.5</v>
      </c>
      <c r="I87" s="72">
        <v>14.0</v>
      </c>
      <c r="J87" s="72">
        <f t="shared" si="4"/>
        <v>1.178571429</v>
      </c>
      <c r="K87" s="15" t="s">
        <v>267</v>
      </c>
    </row>
    <row r="88" ht="14.25" customHeight="1">
      <c r="A88" s="9">
        <f t="shared" si="5"/>
        <v>36</v>
      </c>
      <c r="B88" s="15" t="s">
        <v>33</v>
      </c>
      <c r="C88" s="10" t="s">
        <v>334</v>
      </c>
      <c r="D88" s="11" t="s">
        <v>18</v>
      </c>
      <c r="E88" s="70" t="s">
        <v>257</v>
      </c>
      <c r="F88" s="9">
        <v>3.47</v>
      </c>
      <c r="G88" s="9">
        <v>3.5</v>
      </c>
      <c r="H88" s="76">
        <v>13.0</v>
      </c>
      <c r="I88" s="72">
        <v>14.0</v>
      </c>
      <c r="J88" s="72">
        <f t="shared" si="4"/>
        <v>0.9285714286</v>
      </c>
      <c r="K88" s="15" t="s">
        <v>50</v>
      </c>
      <c r="M88" s="7">
        <v>1.0</v>
      </c>
    </row>
    <row r="89" ht="14.25" customHeight="1">
      <c r="A89" s="9">
        <f t="shared" si="5"/>
        <v>37</v>
      </c>
      <c r="B89" s="15" t="s">
        <v>33</v>
      </c>
      <c r="C89" s="10" t="s">
        <v>335</v>
      </c>
      <c r="D89" s="11" t="s">
        <v>18</v>
      </c>
      <c r="E89" s="1" t="s">
        <v>257</v>
      </c>
      <c r="F89" s="9">
        <v>2.48</v>
      </c>
      <c r="G89" s="9">
        <v>2.71</v>
      </c>
      <c r="H89" s="76">
        <v>11.75</v>
      </c>
      <c r="I89" s="72">
        <v>14.0</v>
      </c>
      <c r="J89" s="72">
        <f t="shared" si="4"/>
        <v>0.8392857143</v>
      </c>
      <c r="K89" s="15" t="s">
        <v>50</v>
      </c>
      <c r="M89" s="7">
        <v>1.0</v>
      </c>
    </row>
    <row r="90" ht="14.25" customHeight="1">
      <c r="A90" s="9">
        <f t="shared" si="5"/>
        <v>38</v>
      </c>
      <c r="B90" s="15" t="s">
        <v>33</v>
      </c>
      <c r="C90" s="10" t="s">
        <v>336</v>
      </c>
      <c r="D90" s="11" t="s">
        <v>18</v>
      </c>
      <c r="E90" s="70" t="s">
        <v>257</v>
      </c>
      <c r="F90" s="9">
        <v>2.27</v>
      </c>
      <c r="G90" s="9">
        <v>2.34</v>
      </c>
      <c r="H90" s="13">
        <v>11.0</v>
      </c>
      <c r="I90" s="72">
        <v>14.0</v>
      </c>
      <c r="J90" s="72">
        <f t="shared" si="4"/>
        <v>0.7857142857</v>
      </c>
      <c r="K90" s="15" t="s">
        <v>50</v>
      </c>
      <c r="M90" s="7">
        <v>1.0</v>
      </c>
    </row>
    <row r="91" ht="14.25" customHeight="1">
      <c r="A91" s="9">
        <f t="shared" si="5"/>
        <v>39</v>
      </c>
      <c r="B91" s="15" t="s">
        <v>33</v>
      </c>
      <c r="C91" s="10" t="s">
        <v>337</v>
      </c>
      <c r="D91" s="11" t="s">
        <v>18</v>
      </c>
      <c r="E91" s="70" t="s">
        <v>257</v>
      </c>
      <c r="F91" s="9">
        <v>2.02</v>
      </c>
      <c r="G91" s="9">
        <v>2.16</v>
      </c>
      <c r="H91" s="76">
        <v>2.43</v>
      </c>
      <c r="I91" s="72">
        <v>14.0</v>
      </c>
      <c r="J91" s="72">
        <f t="shared" si="4"/>
        <v>0.1735714286</v>
      </c>
      <c r="K91" s="15" t="s">
        <v>267</v>
      </c>
    </row>
    <row r="92" ht="14.25" customHeight="1">
      <c r="A92" s="9">
        <f t="shared" si="5"/>
        <v>40</v>
      </c>
      <c r="B92" s="15" t="s">
        <v>33</v>
      </c>
      <c r="C92" s="10" t="s">
        <v>338</v>
      </c>
      <c r="D92" s="11" t="s">
        <v>18</v>
      </c>
      <c r="E92" s="1" t="s">
        <v>257</v>
      </c>
      <c r="F92" s="9">
        <v>3.02</v>
      </c>
      <c r="G92" s="9">
        <v>3.11</v>
      </c>
      <c r="H92" s="76">
        <v>4.11</v>
      </c>
      <c r="I92" s="72">
        <v>14.0</v>
      </c>
      <c r="J92" s="72">
        <f t="shared" si="4"/>
        <v>0.2935714286</v>
      </c>
      <c r="K92" s="15" t="s">
        <v>267</v>
      </c>
    </row>
    <row r="93" ht="14.25" customHeight="1">
      <c r="A93" s="9">
        <f t="shared" si="5"/>
        <v>41</v>
      </c>
      <c r="B93" s="15" t="s">
        <v>33</v>
      </c>
      <c r="C93" s="10" t="s">
        <v>339</v>
      </c>
      <c r="D93" s="11" t="s">
        <v>18</v>
      </c>
      <c r="E93" s="70" t="s">
        <v>257</v>
      </c>
      <c r="F93" s="9">
        <v>2.46</v>
      </c>
      <c r="G93" s="9">
        <v>1.96</v>
      </c>
      <c r="H93" s="13">
        <v>3.71</v>
      </c>
      <c r="I93" s="72">
        <v>14.0</v>
      </c>
      <c r="J93" s="72">
        <f t="shared" si="4"/>
        <v>0.265</v>
      </c>
      <c r="K93" s="15" t="s">
        <v>267</v>
      </c>
    </row>
    <row r="94" ht="14.25" customHeight="1">
      <c r="A94" s="9"/>
      <c r="B94" s="15"/>
      <c r="C94" s="10"/>
      <c r="D94" s="11"/>
      <c r="E94" s="70"/>
      <c r="F94" s="9"/>
      <c r="G94" s="9"/>
      <c r="H94" s="13"/>
      <c r="I94" s="72"/>
      <c r="J94" s="72"/>
      <c r="K94" s="15"/>
      <c r="L94" s="16">
        <f t="shared" ref="L94:N94" si="6">SUM(L53:L93)</f>
        <v>20</v>
      </c>
      <c r="M94" s="16">
        <f t="shared" si="6"/>
        <v>16</v>
      </c>
      <c r="N94" s="16">
        <f t="shared" si="6"/>
        <v>0</v>
      </c>
    </row>
    <row r="95" ht="14.25" customHeight="1">
      <c r="A95" s="9"/>
      <c r="B95" s="15"/>
      <c r="C95" s="10"/>
      <c r="D95" s="11"/>
      <c r="E95" s="70"/>
      <c r="F95" s="9"/>
      <c r="G95" s="9"/>
      <c r="H95" s="13"/>
      <c r="I95" s="72"/>
      <c r="J95" s="72"/>
      <c r="K95" s="15"/>
      <c r="L95" s="17">
        <f>L94/A93</f>
        <v>0.487804878</v>
      </c>
      <c r="M95" s="17">
        <f>M94/A93</f>
        <v>0.3902439024</v>
      </c>
    </row>
    <row r="96" ht="14.25" customHeight="1">
      <c r="A96" s="9"/>
      <c r="B96" s="15"/>
      <c r="C96" s="10"/>
      <c r="D96" s="11"/>
      <c r="E96" s="70"/>
      <c r="F96" s="9"/>
      <c r="G96" s="9"/>
      <c r="H96" s="13"/>
      <c r="I96" s="72"/>
      <c r="J96" s="72"/>
      <c r="K96" s="15"/>
    </row>
    <row r="97" ht="14.25" customHeight="1">
      <c r="A97" s="11">
        <v>1.0</v>
      </c>
      <c r="B97" s="9" t="s">
        <v>59</v>
      </c>
      <c r="C97" s="10" t="s">
        <v>340</v>
      </c>
      <c r="D97" s="11" t="s">
        <v>18</v>
      </c>
      <c r="E97" s="70" t="s">
        <v>257</v>
      </c>
      <c r="F97" s="71">
        <v>1.78</v>
      </c>
      <c r="G97" s="71">
        <v>3.31</v>
      </c>
      <c r="H97" s="71">
        <v>66.02</v>
      </c>
      <c r="I97" s="72">
        <v>14.0</v>
      </c>
      <c r="J97" s="72">
        <f t="shared" ref="J97:J136" si="7">H97/I97</f>
        <v>4.715714286</v>
      </c>
      <c r="K97" s="77" t="s">
        <v>254</v>
      </c>
      <c r="L97" s="7">
        <v>1.0</v>
      </c>
    </row>
    <row r="98" ht="14.25" customHeight="1">
      <c r="A98" s="11">
        <f t="shared" ref="A98:A113" si="8">A97+1</f>
        <v>2</v>
      </c>
      <c r="B98" s="9" t="s">
        <v>59</v>
      </c>
      <c r="C98" s="10" t="s">
        <v>341</v>
      </c>
      <c r="D98" s="11" t="s">
        <v>18</v>
      </c>
      <c r="E98" s="1" t="s">
        <v>257</v>
      </c>
      <c r="F98" s="71">
        <v>9.06</v>
      </c>
      <c r="G98" s="71">
        <v>9.12</v>
      </c>
      <c r="H98" s="71">
        <v>126.5</v>
      </c>
      <c r="I98" s="72">
        <v>14.0</v>
      </c>
      <c r="J98" s="72">
        <f t="shared" si="7"/>
        <v>9.035714286</v>
      </c>
      <c r="K98" s="73" t="s">
        <v>254</v>
      </c>
      <c r="L98" s="7">
        <v>1.0</v>
      </c>
    </row>
    <row r="99" ht="14.25" customHeight="1">
      <c r="A99" s="11">
        <f t="shared" si="8"/>
        <v>3</v>
      </c>
      <c r="B99" s="9" t="s">
        <v>59</v>
      </c>
      <c r="C99" s="10" t="s">
        <v>342</v>
      </c>
      <c r="D99" s="11" t="s">
        <v>18</v>
      </c>
      <c r="E99" s="70" t="s">
        <v>257</v>
      </c>
      <c r="F99" s="71">
        <v>9.29</v>
      </c>
      <c r="G99" s="71">
        <v>8.96</v>
      </c>
      <c r="H99" s="71">
        <v>124.5</v>
      </c>
      <c r="I99" s="72">
        <v>14.0</v>
      </c>
      <c r="J99" s="72">
        <f t="shared" si="7"/>
        <v>8.892857143</v>
      </c>
      <c r="K99" s="73" t="s">
        <v>254</v>
      </c>
      <c r="L99" s="7">
        <v>1.0</v>
      </c>
    </row>
    <row r="100" ht="14.25" customHeight="1">
      <c r="A100" s="11">
        <f t="shared" si="8"/>
        <v>4</v>
      </c>
      <c r="B100" s="9" t="s">
        <v>59</v>
      </c>
      <c r="C100" s="10" t="s">
        <v>343</v>
      </c>
      <c r="D100" s="11" t="s">
        <v>18</v>
      </c>
      <c r="E100" s="70" t="s">
        <v>257</v>
      </c>
      <c r="F100" s="71">
        <v>9.23</v>
      </c>
      <c r="G100" s="71">
        <v>8.84</v>
      </c>
      <c r="H100" s="71">
        <v>106.0</v>
      </c>
      <c r="I100" s="72">
        <v>14.0</v>
      </c>
      <c r="J100" s="72">
        <f t="shared" si="7"/>
        <v>7.571428571</v>
      </c>
      <c r="K100" s="73" t="s">
        <v>254</v>
      </c>
      <c r="L100" s="7">
        <v>1.0</v>
      </c>
    </row>
    <row r="101" ht="14.25" customHeight="1">
      <c r="A101" s="11">
        <f t="shared" si="8"/>
        <v>5</v>
      </c>
      <c r="B101" s="9" t="s">
        <v>59</v>
      </c>
      <c r="C101" s="10" t="s">
        <v>344</v>
      </c>
      <c r="D101" s="11" t="s">
        <v>18</v>
      </c>
      <c r="E101" s="1" t="s">
        <v>257</v>
      </c>
      <c r="F101" s="71">
        <v>5.94</v>
      </c>
      <c r="G101" s="71">
        <v>6.56</v>
      </c>
      <c r="H101" s="71">
        <v>98.0</v>
      </c>
      <c r="I101" s="72">
        <v>14.0</v>
      </c>
      <c r="J101" s="72">
        <f t="shared" si="7"/>
        <v>7</v>
      </c>
      <c r="K101" s="73" t="s">
        <v>254</v>
      </c>
      <c r="L101" s="7">
        <v>1.0</v>
      </c>
    </row>
    <row r="102" ht="14.25" customHeight="1">
      <c r="A102" s="11">
        <f t="shared" si="8"/>
        <v>6</v>
      </c>
      <c r="B102" s="9" t="s">
        <v>59</v>
      </c>
      <c r="C102" s="10" t="s">
        <v>345</v>
      </c>
      <c r="D102" s="11" t="s">
        <v>18</v>
      </c>
      <c r="E102" s="70" t="s">
        <v>257</v>
      </c>
      <c r="F102" s="71">
        <v>7.65</v>
      </c>
      <c r="G102" s="71">
        <v>8.54</v>
      </c>
      <c r="H102" s="71">
        <v>95.5</v>
      </c>
      <c r="I102" s="72">
        <v>14.0</v>
      </c>
      <c r="J102" s="72">
        <f t="shared" si="7"/>
        <v>6.821428571</v>
      </c>
      <c r="K102" s="73" t="s">
        <v>254</v>
      </c>
      <c r="L102" s="7">
        <v>1.0</v>
      </c>
    </row>
    <row r="103" ht="14.25" customHeight="1">
      <c r="A103" s="11">
        <f t="shared" si="8"/>
        <v>7</v>
      </c>
      <c r="B103" s="9" t="s">
        <v>59</v>
      </c>
      <c r="C103" s="10" t="s">
        <v>346</v>
      </c>
      <c r="D103" s="11" t="s">
        <v>18</v>
      </c>
      <c r="E103" s="70" t="s">
        <v>257</v>
      </c>
      <c r="F103" s="71">
        <v>7.29</v>
      </c>
      <c r="G103" s="71">
        <v>8.0</v>
      </c>
      <c r="H103" s="71">
        <v>93.0</v>
      </c>
      <c r="I103" s="72">
        <v>14.0</v>
      </c>
      <c r="J103" s="72">
        <f t="shared" si="7"/>
        <v>6.642857143</v>
      </c>
      <c r="K103" s="73" t="s">
        <v>254</v>
      </c>
      <c r="L103" s="7">
        <v>1.0</v>
      </c>
    </row>
    <row r="104" ht="14.25" customHeight="1">
      <c r="A104" s="11">
        <f t="shared" si="8"/>
        <v>8</v>
      </c>
      <c r="B104" s="9" t="s">
        <v>59</v>
      </c>
      <c r="C104" s="10" t="s">
        <v>347</v>
      </c>
      <c r="D104" s="11" t="s">
        <v>18</v>
      </c>
      <c r="E104" s="1" t="s">
        <v>257</v>
      </c>
      <c r="F104" s="71">
        <v>7.52</v>
      </c>
      <c r="G104" s="71">
        <v>8.0</v>
      </c>
      <c r="H104" s="71">
        <v>93.0</v>
      </c>
      <c r="I104" s="72">
        <v>14.0</v>
      </c>
      <c r="J104" s="72">
        <f t="shared" si="7"/>
        <v>6.642857143</v>
      </c>
      <c r="K104" s="73" t="s">
        <v>254</v>
      </c>
      <c r="L104" s="7">
        <v>1.0</v>
      </c>
    </row>
    <row r="105" ht="14.25" customHeight="1">
      <c r="A105" s="11">
        <f t="shared" si="8"/>
        <v>9</v>
      </c>
      <c r="B105" s="9" t="s">
        <v>59</v>
      </c>
      <c r="C105" s="10" t="s">
        <v>348</v>
      </c>
      <c r="D105" s="11" t="s">
        <v>18</v>
      </c>
      <c r="E105" s="70" t="s">
        <v>257</v>
      </c>
      <c r="F105" s="71">
        <v>6.17</v>
      </c>
      <c r="G105" s="71">
        <v>8.18</v>
      </c>
      <c r="H105" s="71">
        <v>92.0</v>
      </c>
      <c r="I105" s="72">
        <v>14.0</v>
      </c>
      <c r="J105" s="72">
        <f t="shared" si="7"/>
        <v>6.571428571</v>
      </c>
      <c r="K105" s="73" t="s">
        <v>254</v>
      </c>
      <c r="L105" s="7">
        <v>1.0</v>
      </c>
    </row>
    <row r="106" ht="14.25" customHeight="1">
      <c r="A106" s="11">
        <f t="shared" si="8"/>
        <v>10</v>
      </c>
      <c r="B106" s="9" t="s">
        <v>59</v>
      </c>
      <c r="C106" s="10" t="s">
        <v>278</v>
      </c>
      <c r="D106" s="11" t="s">
        <v>18</v>
      </c>
      <c r="E106" s="70" t="s">
        <v>257</v>
      </c>
      <c r="F106" s="71">
        <v>2.39</v>
      </c>
      <c r="G106" s="71">
        <v>5.37</v>
      </c>
      <c r="H106" s="71">
        <v>87.5</v>
      </c>
      <c r="I106" s="72">
        <v>14.0</v>
      </c>
      <c r="J106" s="72">
        <f t="shared" si="7"/>
        <v>6.25</v>
      </c>
      <c r="K106" s="73" t="s">
        <v>254</v>
      </c>
      <c r="L106" s="7">
        <v>1.0</v>
      </c>
    </row>
    <row r="107" ht="14.25" customHeight="1">
      <c r="A107" s="11">
        <f t="shared" si="8"/>
        <v>11</v>
      </c>
      <c r="B107" s="9" t="s">
        <v>59</v>
      </c>
      <c r="C107" s="10" t="s">
        <v>349</v>
      </c>
      <c r="D107" s="11" t="s">
        <v>18</v>
      </c>
      <c r="E107" s="1" t="s">
        <v>257</v>
      </c>
      <c r="F107" s="71">
        <v>8.52</v>
      </c>
      <c r="G107" s="71">
        <v>7.93</v>
      </c>
      <c r="H107" s="71">
        <v>86.0</v>
      </c>
      <c r="I107" s="72">
        <v>14.0</v>
      </c>
      <c r="J107" s="72">
        <f t="shared" si="7"/>
        <v>6.142857143</v>
      </c>
      <c r="K107" s="73" t="s">
        <v>254</v>
      </c>
      <c r="L107" s="7">
        <v>1.0</v>
      </c>
    </row>
    <row r="108" ht="14.25" customHeight="1">
      <c r="A108" s="11">
        <f t="shared" si="8"/>
        <v>12</v>
      </c>
      <c r="B108" s="9" t="s">
        <v>59</v>
      </c>
      <c r="C108" s="10" t="s">
        <v>350</v>
      </c>
      <c r="D108" s="11" t="s">
        <v>18</v>
      </c>
      <c r="E108" s="70" t="s">
        <v>257</v>
      </c>
      <c r="F108" s="71">
        <v>8.62</v>
      </c>
      <c r="G108" s="71">
        <v>7.84</v>
      </c>
      <c r="H108" s="71">
        <v>81.0</v>
      </c>
      <c r="I108" s="72">
        <v>14.0</v>
      </c>
      <c r="J108" s="72">
        <f t="shared" si="7"/>
        <v>5.785714286</v>
      </c>
      <c r="K108" s="73" t="s">
        <v>254</v>
      </c>
      <c r="L108" s="7">
        <v>1.0</v>
      </c>
    </row>
    <row r="109" ht="14.25" customHeight="1">
      <c r="A109" s="11">
        <f t="shared" si="8"/>
        <v>13</v>
      </c>
      <c r="B109" s="9" t="s">
        <v>59</v>
      </c>
      <c r="C109" s="10" t="s">
        <v>351</v>
      </c>
      <c r="D109" s="11" t="s">
        <v>18</v>
      </c>
      <c r="E109" s="70" t="s">
        <v>257</v>
      </c>
      <c r="F109" s="71">
        <v>8.35</v>
      </c>
      <c r="G109" s="71">
        <v>7.62</v>
      </c>
      <c r="H109" s="71">
        <v>78.5</v>
      </c>
      <c r="I109" s="72">
        <v>14.0</v>
      </c>
      <c r="J109" s="72">
        <f t="shared" si="7"/>
        <v>5.607142857</v>
      </c>
      <c r="K109" s="73" t="s">
        <v>254</v>
      </c>
      <c r="L109" s="7">
        <v>1.0</v>
      </c>
    </row>
    <row r="110" ht="14.25" customHeight="1">
      <c r="A110" s="11">
        <f t="shared" si="8"/>
        <v>14</v>
      </c>
      <c r="B110" s="9" t="s">
        <v>59</v>
      </c>
      <c r="C110" s="10" t="s">
        <v>352</v>
      </c>
      <c r="D110" s="11" t="s">
        <v>18</v>
      </c>
      <c r="E110" s="1" t="s">
        <v>257</v>
      </c>
      <c r="F110" s="71">
        <v>5.18</v>
      </c>
      <c r="G110" s="71">
        <v>2.5</v>
      </c>
      <c r="H110" s="71">
        <v>76.5</v>
      </c>
      <c r="I110" s="72">
        <v>14.0</v>
      </c>
      <c r="J110" s="72">
        <f t="shared" si="7"/>
        <v>5.464285714</v>
      </c>
      <c r="K110" s="73" t="s">
        <v>254</v>
      </c>
      <c r="L110" s="7">
        <v>1.0</v>
      </c>
    </row>
    <row r="111" ht="14.25" customHeight="1">
      <c r="A111" s="11">
        <f t="shared" si="8"/>
        <v>15</v>
      </c>
      <c r="B111" s="9" t="s">
        <v>59</v>
      </c>
      <c r="C111" s="10" t="s">
        <v>353</v>
      </c>
      <c r="D111" s="11" t="s">
        <v>18</v>
      </c>
      <c r="E111" s="70" t="s">
        <v>257</v>
      </c>
      <c r="F111" s="71">
        <v>6.81</v>
      </c>
      <c r="G111" s="71">
        <v>8.15</v>
      </c>
      <c r="H111" s="71">
        <v>76.5</v>
      </c>
      <c r="I111" s="72">
        <v>14.0</v>
      </c>
      <c r="J111" s="72">
        <f t="shared" si="7"/>
        <v>5.464285714</v>
      </c>
      <c r="K111" s="73" t="s">
        <v>254</v>
      </c>
      <c r="L111" s="7">
        <v>1.0</v>
      </c>
    </row>
    <row r="112" ht="14.25" customHeight="1">
      <c r="A112" s="11">
        <f t="shared" si="8"/>
        <v>16</v>
      </c>
      <c r="B112" s="9" t="s">
        <v>59</v>
      </c>
      <c r="C112" s="10" t="s">
        <v>354</v>
      </c>
      <c r="D112" s="11" t="s">
        <v>18</v>
      </c>
      <c r="E112" s="70" t="s">
        <v>257</v>
      </c>
      <c r="F112" s="71">
        <v>7.76</v>
      </c>
      <c r="G112" s="71">
        <v>6.53</v>
      </c>
      <c r="H112" s="71">
        <v>72.5</v>
      </c>
      <c r="I112" s="72">
        <v>14.0</v>
      </c>
      <c r="J112" s="72">
        <f t="shared" si="7"/>
        <v>5.178571429</v>
      </c>
      <c r="K112" s="73" t="s">
        <v>254</v>
      </c>
      <c r="L112" s="7">
        <v>1.0</v>
      </c>
    </row>
    <row r="113" ht="14.25" customHeight="1">
      <c r="A113" s="11">
        <f t="shared" si="8"/>
        <v>17</v>
      </c>
      <c r="B113" s="9" t="s">
        <v>59</v>
      </c>
      <c r="C113" s="10" t="s">
        <v>355</v>
      </c>
      <c r="D113" s="11" t="s">
        <v>18</v>
      </c>
      <c r="E113" s="1" t="s">
        <v>257</v>
      </c>
      <c r="F113" s="71">
        <v>7.51</v>
      </c>
      <c r="G113" s="71">
        <v>8.15</v>
      </c>
      <c r="H113" s="71">
        <v>72.0</v>
      </c>
      <c r="I113" s="72">
        <v>14.0</v>
      </c>
      <c r="J113" s="72">
        <f t="shared" si="7"/>
        <v>5.142857143</v>
      </c>
      <c r="K113" s="73" t="s">
        <v>254</v>
      </c>
      <c r="L113" s="7">
        <v>1.0</v>
      </c>
    </row>
    <row r="114" ht="14.25" customHeight="1">
      <c r="A114" s="11">
        <v>18.0</v>
      </c>
      <c r="B114" s="9" t="s">
        <v>59</v>
      </c>
      <c r="C114" s="10" t="s">
        <v>356</v>
      </c>
      <c r="D114" s="11" t="s">
        <v>18</v>
      </c>
      <c r="E114" s="70" t="s">
        <v>257</v>
      </c>
      <c r="F114" s="71">
        <v>7.76</v>
      </c>
      <c r="G114" s="71">
        <v>6.84</v>
      </c>
      <c r="H114" s="71">
        <v>70.0</v>
      </c>
      <c r="I114" s="72">
        <v>14.0</v>
      </c>
      <c r="J114" s="72">
        <f t="shared" si="7"/>
        <v>5</v>
      </c>
      <c r="K114" s="73" t="s">
        <v>254</v>
      </c>
      <c r="L114" s="7">
        <v>1.0</v>
      </c>
    </row>
    <row r="115" ht="14.25" customHeight="1">
      <c r="A115" s="11">
        <f t="shared" ref="A115:A136" si="9">A114+1</f>
        <v>19</v>
      </c>
      <c r="B115" s="9" t="s">
        <v>59</v>
      </c>
      <c r="C115" s="10" t="s">
        <v>357</v>
      </c>
      <c r="D115" s="11" t="s">
        <v>18</v>
      </c>
      <c r="E115" s="70" t="s">
        <v>257</v>
      </c>
      <c r="F115" s="71">
        <v>8.52</v>
      </c>
      <c r="G115" s="71">
        <v>7.84</v>
      </c>
      <c r="H115" s="71">
        <v>70.0</v>
      </c>
      <c r="I115" s="72">
        <v>14.0</v>
      </c>
      <c r="J115" s="72">
        <f t="shared" si="7"/>
        <v>5</v>
      </c>
      <c r="K115" s="73" t="s">
        <v>254</v>
      </c>
      <c r="L115" s="7">
        <v>1.0</v>
      </c>
    </row>
    <row r="116" ht="14.25" customHeight="1">
      <c r="A116" s="11">
        <f t="shared" si="9"/>
        <v>20</v>
      </c>
      <c r="B116" s="9" t="s">
        <v>59</v>
      </c>
      <c r="C116" s="10" t="s">
        <v>358</v>
      </c>
      <c r="D116" s="11" t="s">
        <v>18</v>
      </c>
      <c r="E116" s="1" t="s">
        <v>257</v>
      </c>
      <c r="F116" s="71">
        <v>5.58</v>
      </c>
      <c r="G116" s="71">
        <v>6.5</v>
      </c>
      <c r="H116" s="71">
        <v>69.5</v>
      </c>
      <c r="I116" s="72">
        <v>14.0</v>
      </c>
      <c r="J116" s="72">
        <f t="shared" si="7"/>
        <v>4.964285714</v>
      </c>
      <c r="K116" s="73" t="s">
        <v>254</v>
      </c>
      <c r="L116" s="7">
        <v>1.0</v>
      </c>
    </row>
    <row r="117" ht="14.25" customHeight="1">
      <c r="A117" s="11">
        <f t="shared" si="9"/>
        <v>21</v>
      </c>
      <c r="B117" s="9" t="s">
        <v>59</v>
      </c>
      <c r="C117" s="10" t="s">
        <v>359</v>
      </c>
      <c r="D117" s="11" t="s">
        <v>18</v>
      </c>
      <c r="E117" s="70" t="s">
        <v>257</v>
      </c>
      <c r="F117" s="71">
        <v>7.75</v>
      </c>
      <c r="G117" s="71">
        <v>7.01</v>
      </c>
      <c r="H117" s="71">
        <v>68.5</v>
      </c>
      <c r="I117" s="72">
        <v>14.0</v>
      </c>
      <c r="J117" s="72">
        <f t="shared" si="7"/>
        <v>4.892857143</v>
      </c>
      <c r="K117" s="73" t="s">
        <v>254</v>
      </c>
      <c r="L117" s="7">
        <v>1.0</v>
      </c>
    </row>
    <row r="118" ht="14.25" customHeight="1">
      <c r="A118" s="11">
        <f t="shared" si="9"/>
        <v>22</v>
      </c>
      <c r="B118" s="9" t="s">
        <v>59</v>
      </c>
      <c r="C118" s="10" t="s">
        <v>360</v>
      </c>
      <c r="D118" s="11" t="s">
        <v>18</v>
      </c>
      <c r="E118" s="70" t="s">
        <v>257</v>
      </c>
      <c r="F118" s="71">
        <v>5.29</v>
      </c>
      <c r="G118" s="71">
        <v>4.15</v>
      </c>
      <c r="H118" s="71">
        <v>67.5</v>
      </c>
      <c r="I118" s="72">
        <v>14.0</v>
      </c>
      <c r="J118" s="72">
        <f t="shared" si="7"/>
        <v>4.821428571</v>
      </c>
      <c r="K118" s="73" t="s">
        <v>254</v>
      </c>
      <c r="L118" s="7">
        <v>1.0</v>
      </c>
    </row>
    <row r="119" ht="14.25" customHeight="1">
      <c r="A119" s="11">
        <f t="shared" si="9"/>
        <v>23</v>
      </c>
      <c r="B119" s="9" t="s">
        <v>59</v>
      </c>
      <c r="C119" s="10" t="s">
        <v>361</v>
      </c>
      <c r="D119" s="11" t="s">
        <v>18</v>
      </c>
      <c r="E119" s="1" t="s">
        <v>257</v>
      </c>
      <c r="F119" s="71">
        <v>2.54</v>
      </c>
      <c r="G119" s="71">
        <v>4.25</v>
      </c>
      <c r="H119" s="71">
        <v>65.5</v>
      </c>
      <c r="I119" s="72">
        <v>14.0</v>
      </c>
      <c r="J119" s="72">
        <f t="shared" si="7"/>
        <v>4.678571429</v>
      </c>
      <c r="K119" s="73" t="s">
        <v>254</v>
      </c>
      <c r="L119" s="7">
        <v>1.0</v>
      </c>
    </row>
    <row r="120" ht="14.25" customHeight="1">
      <c r="A120" s="11">
        <f t="shared" si="9"/>
        <v>24</v>
      </c>
      <c r="B120" s="9" t="s">
        <v>59</v>
      </c>
      <c r="C120" s="10" t="s">
        <v>362</v>
      </c>
      <c r="D120" s="11" t="s">
        <v>18</v>
      </c>
      <c r="E120" s="70" t="s">
        <v>257</v>
      </c>
      <c r="F120" s="71">
        <v>5.17</v>
      </c>
      <c r="G120" s="71">
        <v>4.43</v>
      </c>
      <c r="H120" s="71">
        <v>65.0</v>
      </c>
      <c r="I120" s="72">
        <v>14.0</v>
      </c>
      <c r="J120" s="72">
        <f t="shared" si="7"/>
        <v>4.642857143</v>
      </c>
      <c r="K120" s="73" t="s">
        <v>254</v>
      </c>
      <c r="L120" s="7">
        <v>1.0</v>
      </c>
    </row>
    <row r="121" ht="14.25" customHeight="1">
      <c r="A121" s="11">
        <f t="shared" si="9"/>
        <v>25</v>
      </c>
      <c r="B121" s="9" t="s">
        <v>59</v>
      </c>
      <c r="C121" s="10" t="s">
        <v>363</v>
      </c>
      <c r="D121" s="11" t="s">
        <v>18</v>
      </c>
      <c r="E121" s="70" t="s">
        <v>257</v>
      </c>
      <c r="F121" s="71">
        <v>4.71</v>
      </c>
      <c r="G121" s="71">
        <v>4.84</v>
      </c>
      <c r="H121" s="71">
        <v>63.5</v>
      </c>
      <c r="I121" s="72">
        <v>14.0</v>
      </c>
      <c r="J121" s="72">
        <f t="shared" si="7"/>
        <v>4.535714286</v>
      </c>
      <c r="K121" s="73" t="s">
        <v>254</v>
      </c>
      <c r="L121" s="7">
        <v>1.0</v>
      </c>
    </row>
    <row r="122" ht="14.25" customHeight="1">
      <c r="A122" s="11">
        <f t="shared" si="9"/>
        <v>26</v>
      </c>
      <c r="B122" s="9" t="s">
        <v>59</v>
      </c>
      <c r="C122" s="10" t="s">
        <v>364</v>
      </c>
      <c r="D122" s="11" t="s">
        <v>18</v>
      </c>
      <c r="E122" s="1" t="s">
        <v>257</v>
      </c>
      <c r="F122" s="71">
        <v>7.64</v>
      </c>
      <c r="G122" s="71">
        <v>5.75</v>
      </c>
      <c r="H122" s="71">
        <v>61.25</v>
      </c>
      <c r="I122" s="72">
        <v>14.0</v>
      </c>
      <c r="J122" s="72">
        <f t="shared" si="7"/>
        <v>4.375</v>
      </c>
      <c r="K122" s="9" t="s">
        <v>50</v>
      </c>
      <c r="M122" s="7">
        <v>1.0</v>
      </c>
    </row>
    <row r="123" ht="14.25" customHeight="1">
      <c r="A123" s="11">
        <f t="shared" si="9"/>
        <v>27</v>
      </c>
      <c r="B123" s="9" t="s">
        <v>59</v>
      </c>
      <c r="C123" s="10" t="s">
        <v>365</v>
      </c>
      <c r="D123" s="11" t="s">
        <v>18</v>
      </c>
      <c r="E123" s="70" t="s">
        <v>257</v>
      </c>
      <c r="F123" s="71">
        <v>3.88</v>
      </c>
      <c r="G123" s="71">
        <v>2.93</v>
      </c>
      <c r="H123" s="71">
        <v>49.5</v>
      </c>
      <c r="I123" s="72">
        <v>14.0</v>
      </c>
      <c r="J123" s="72">
        <f t="shared" si="7"/>
        <v>3.535714286</v>
      </c>
      <c r="K123" s="9" t="s">
        <v>50</v>
      </c>
      <c r="M123" s="7">
        <v>1.0</v>
      </c>
    </row>
    <row r="124" ht="14.25" customHeight="1">
      <c r="A124" s="11">
        <f t="shared" si="9"/>
        <v>28</v>
      </c>
      <c r="B124" s="9" t="s">
        <v>59</v>
      </c>
      <c r="C124" s="10" t="s">
        <v>366</v>
      </c>
      <c r="D124" s="11" t="s">
        <v>18</v>
      </c>
      <c r="E124" s="70" t="s">
        <v>257</v>
      </c>
      <c r="F124" s="71">
        <v>3.64</v>
      </c>
      <c r="G124" s="71">
        <v>3.4</v>
      </c>
      <c r="H124" s="71">
        <v>48.0</v>
      </c>
      <c r="I124" s="72">
        <v>14.0</v>
      </c>
      <c r="J124" s="72">
        <f t="shared" si="7"/>
        <v>3.428571429</v>
      </c>
      <c r="K124" s="9" t="s">
        <v>50</v>
      </c>
      <c r="M124" s="7">
        <v>1.0</v>
      </c>
    </row>
    <row r="125" ht="14.25" customHeight="1">
      <c r="A125" s="11">
        <f t="shared" si="9"/>
        <v>29</v>
      </c>
      <c r="B125" s="9" t="s">
        <v>59</v>
      </c>
      <c r="C125" s="10" t="s">
        <v>367</v>
      </c>
      <c r="D125" s="11" t="s">
        <v>18</v>
      </c>
      <c r="E125" s="1" t="s">
        <v>257</v>
      </c>
      <c r="F125" s="71">
        <v>5.52</v>
      </c>
      <c r="G125" s="71">
        <v>3.43</v>
      </c>
      <c r="H125" s="71">
        <v>46.0</v>
      </c>
      <c r="I125" s="72">
        <v>14.0</v>
      </c>
      <c r="J125" s="72">
        <f t="shared" si="7"/>
        <v>3.285714286</v>
      </c>
      <c r="K125" s="9" t="s">
        <v>50</v>
      </c>
      <c r="M125" s="7">
        <v>1.0</v>
      </c>
    </row>
    <row r="126" ht="14.25" customHeight="1">
      <c r="A126" s="11">
        <f t="shared" si="9"/>
        <v>30</v>
      </c>
      <c r="B126" s="9" t="s">
        <v>59</v>
      </c>
      <c r="C126" s="10" t="s">
        <v>368</v>
      </c>
      <c r="D126" s="11" t="s">
        <v>18</v>
      </c>
      <c r="E126" s="70" t="s">
        <v>257</v>
      </c>
      <c r="F126" s="71">
        <v>2.64</v>
      </c>
      <c r="G126" s="71">
        <v>3.71</v>
      </c>
      <c r="H126" s="71">
        <v>43.5</v>
      </c>
      <c r="I126" s="72">
        <v>14.0</v>
      </c>
      <c r="J126" s="72">
        <f t="shared" si="7"/>
        <v>3.107142857</v>
      </c>
      <c r="K126" s="9" t="s">
        <v>50</v>
      </c>
      <c r="M126" s="7">
        <v>1.0</v>
      </c>
    </row>
    <row r="127" ht="14.25" customHeight="1">
      <c r="A127" s="11">
        <f t="shared" si="9"/>
        <v>31</v>
      </c>
      <c r="B127" s="9" t="s">
        <v>59</v>
      </c>
      <c r="C127" s="10" t="s">
        <v>369</v>
      </c>
      <c r="D127" s="11" t="s">
        <v>18</v>
      </c>
      <c r="E127" s="70" t="s">
        <v>257</v>
      </c>
      <c r="F127" s="71">
        <v>4.48</v>
      </c>
      <c r="G127" s="71">
        <v>3.56</v>
      </c>
      <c r="H127" s="71">
        <v>43.0</v>
      </c>
      <c r="I127" s="72">
        <v>14.0</v>
      </c>
      <c r="J127" s="72">
        <f t="shared" si="7"/>
        <v>3.071428571</v>
      </c>
      <c r="K127" s="9" t="s">
        <v>50</v>
      </c>
      <c r="M127" s="7">
        <v>1.0</v>
      </c>
    </row>
    <row r="128" ht="14.25" customHeight="1">
      <c r="A128" s="11">
        <f t="shared" si="9"/>
        <v>32</v>
      </c>
      <c r="B128" s="9" t="s">
        <v>59</v>
      </c>
      <c r="C128" s="10" t="s">
        <v>370</v>
      </c>
      <c r="D128" s="11" t="s">
        <v>18</v>
      </c>
      <c r="E128" s="1" t="s">
        <v>257</v>
      </c>
      <c r="F128" s="71">
        <v>3.64</v>
      </c>
      <c r="G128" s="71">
        <v>3.37</v>
      </c>
      <c r="H128" s="71">
        <v>32.5</v>
      </c>
      <c r="I128" s="72">
        <v>14.0</v>
      </c>
      <c r="J128" s="72">
        <f t="shared" si="7"/>
        <v>2.321428571</v>
      </c>
      <c r="K128" s="9" t="s">
        <v>50</v>
      </c>
      <c r="M128" s="7">
        <v>1.0</v>
      </c>
    </row>
    <row r="129" ht="14.25" customHeight="1">
      <c r="A129" s="11">
        <f t="shared" si="9"/>
        <v>33</v>
      </c>
      <c r="B129" s="9" t="s">
        <v>59</v>
      </c>
      <c r="C129" s="10" t="s">
        <v>371</v>
      </c>
      <c r="D129" s="11" t="s">
        <v>18</v>
      </c>
      <c r="E129" s="70" t="s">
        <v>257</v>
      </c>
      <c r="F129" s="71">
        <v>2.34</v>
      </c>
      <c r="G129" s="71">
        <v>2.28</v>
      </c>
      <c r="H129" s="71">
        <v>28.5</v>
      </c>
      <c r="I129" s="72">
        <v>14.0</v>
      </c>
      <c r="J129" s="72">
        <f t="shared" si="7"/>
        <v>2.035714286</v>
      </c>
      <c r="K129" s="79" t="s">
        <v>267</v>
      </c>
    </row>
    <row r="130" ht="14.25" customHeight="1">
      <c r="A130" s="11">
        <f t="shared" si="9"/>
        <v>34</v>
      </c>
      <c r="B130" s="9" t="s">
        <v>59</v>
      </c>
      <c r="C130" s="10" t="s">
        <v>372</v>
      </c>
      <c r="D130" s="11" t="s">
        <v>18</v>
      </c>
      <c r="E130" s="70" t="s">
        <v>257</v>
      </c>
      <c r="F130" s="71">
        <v>3.35</v>
      </c>
      <c r="G130" s="71">
        <v>2.68</v>
      </c>
      <c r="H130" s="71">
        <v>26.0</v>
      </c>
      <c r="I130" s="72">
        <v>14.0</v>
      </c>
      <c r="J130" s="72">
        <f t="shared" si="7"/>
        <v>1.857142857</v>
      </c>
      <c r="K130" s="9" t="s">
        <v>50</v>
      </c>
      <c r="M130" s="7">
        <v>1.0</v>
      </c>
    </row>
    <row r="131" ht="14.25" customHeight="1">
      <c r="A131" s="11">
        <f t="shared" si="9"/>
        <v>35</v>
      </c>
      <c r="B131" s="9" t="s">
        <v>59</v>
      </c>
      <c r="C131" s="10" t="s">
        <v>373</v>
      </c>
      <c r="D131" s="11" t="s">
        <v>18</v>
      </c>
      <c r="E131" s="1" t="s">
        <v>257</v>
      </c>
      <c r="F131" s="71">
        <v>2.68</v>
      </c>
      <c r="G131" s="71">
        <v>2.64</v>
      </c>
      <c r="H131" s="71">
        <v>22.0</v>
      </c>
      <c r="I131" s="72">
        <v>14.0</v>
      </c>
      <c r="J131" s="72">
        <f t="shared" si="7"/>
        <v>1.571428571</v>
      </c>
      <c r="K131" s="79" t="s">
        <v>267</v>
      </c>
    </row>
    <row r="132" ht="14.25" customHeight="1">
      <c r="A132" s="11">
        <f t="shared" si="9"/>
        <v>36</v>
      </c>
      <c r="B132" s="9" t="s">
        <v>59</v>
      </c>
      <c r="C132" s="10" t="s">
        <v>374</v>
      </c>
      <c r="D132" s="11" t="s">
        <v>18</v>
      </c>
      <c r="E132" s="70" t="s">
        <v>257</v>
      </c>
      <c r="F132" s="71">
        <v>2.75</v>
      </c>
      <c r="G132" s="71">
        <v>3.42</v>
      </c>
      <c r="H132" s="71">
        <v>16.0</v>
      </c>
      <c r="I132" s="72">
        <v>14.0</v>
      </c>
      <c r="J132" s="72">
        <f t="shared" si="7"/>
        <v>1.142857143</v>
      </c>
      <c r="K132" s="9" t="s">
        <v>50</v>
      </c>
      <c r="M132" s="7">
        <v>1.0</v>
      </c>
    </row>
    <row r="133" ht="14.25" customHeight="1">
      <c r="A133" s="11">
        <f t="shared" si="9"/>
        <v>37</v>
      </c>
      <c r="B133" s="9" t="s">
        <v>59</v>
      </c>
      <c r="C133" s="19" t="s">
        <v>375</v>
      </c>
      <c r="D133" s="11" t="s">
        <v>18</v>
      </c>
      <c r="E133" s="70" t="s">
        <v>257</v>
      </c>
      <c r="F133" s="71">
        <v>5.18</v>
      </c>
      <c r="G133" s="71">
        <v>5.5</v>
      </c>
      <c r="H133" s="71">
        <v>48.09</v>
      </c>
      <c r="I133" s="72">
        <v>14.0</v>
      </c>
      <c r="J133" s="72">
        <f t="shared" si="7"/>
        <v>3.435</v>
      </c>
      <c r="K133" s="9" t="s">
        <v>50</v>
      </c>
      <c r="M133" s="7">
        <v>1.0</v>
      </c>
    </row>
    <row r="134" ht="14.25" customHeight="1">
      <c r="A134" s="11">
        <f t="shared" si="9"/>
        <v>38</v>
      </c>
      <c r="B134" s="9" t="s">
        <v>59</v>
      </c>
      <c r="C134" s="10" t="s">
        <v>376</v>
      </c>
      <c r="D134" s="11" t="s">
        <v>18</v>
      </c>
      <c r="E134" s="1" t="s">
        <v>257</v>
      </c>
      <c r="F134" s="71">
        <v>4.87</v>
      </c>
      <c r="G134" s="71">
        <v>4.43</v>
      </c>
      <c r="H134" s="71">
        <v>57.45</v>
      </c>
      <c r="I134" s="72">
        <v>14.0</v>
      </c>
      <c r="J134" s="72">
        <f t="shared" si="7"/>
        <v>4.103571429</v>
      </c>
      <c r="K134" s="9" t="s">
        <v>50</v>
      </c>
      <c r="M134" s="7">
        <v>1.0</v>
      </c>
    </row>
    <row r="135" ht="14.25" customHeight="1">
      <c r="A135" s="11">
        <f t="shared" si="9"/>
        <v>39</v>
      </c>
      <c r="B135" s="9" t="s">
        <v>59</v>
      </c>
      <c r="C135" s="10" t="s">
        <v>377</v>
      </c>
      <c r="D135" s="11" t="s">
        <v>18</v>
      </c>
      <c r="E135" s="70" t="s">
        <v>257</v>
      </c>
      <c r="F135" s="71">
        <v>3.29</v>
      </c>
      <c r="G135" s="71">
        <v>2.31</v>
      </c>
      <c r="H135" s="71">
        <v>52.31</v>
      </c>
      <c r="I135" s="72">
        <v>14.0</v>
      </c>
      <c r="J135" s="72">
        <f t="shared" si="7"/>
        <v>3.736428571</v>
      </c>
      <c r="K135" s="9" t="s">
        <v>50</v>
      </c>
      <c r="M135" s="7">
        <v>1.0</v>
      </c>
    </row>
    <row r="136" ht="14.25" customHeight="1">
      <c r="A136" s="11">
        <f t="shared" si="9"/>
        <v>40</v>
      </c>
      <c r="B136" s="9" t="s">
        <v>59</v>
      </c>
      <c r="C136" s="10" t="s">
        <v>378</v>
      </c>
      <c r="D136" s="11" t="s">
        <v>18</v>
      </c>
      <c r="E136" s="70" t="s">
        <v>257</v>
      </c>
      <c r="F136" s="71">
        <v>3.01</v>
      </c>
      <c r="G136" s="71">
        <v>3.19</v>
      </c>
      <c r="H136" s="71">
        <v>49.91</v>
      </c>
      <c r="I136" s="72">
        <v>14.0</v>
      </c>
      <c r="J136" s="72">
        <f t="shared" si="7"/>
        <v>3.565</v>
      </c>
      <c r="K136" s="9" t="s">
        <v>50</v>
      </c>
      <c r="M136" s="7">
        <v>1.0</v>
      </c>
    </row>
    <row r="137" ht="14.25" customHeight="1">
      <c r="A137" s="11"/>
      <c r="B137" s="9"/>
      <c r="C137" s="10"/>
      <c r="D137" s="11"/>
      <c r="E137" s="1"/>
      <c r="F137" s="71"/>
      <c r="G137" s="71"/>
      <c r="H137" s="71"/>
      <c r="I137" s="72"/>
      <c r="J137" s="72"/>
      <c r="K137" s="9"/>
      <c r="L137" s="16">
        <f t="shared" ref="L137:M137" si="10">SUM(L97:L136)</f>
        <v>25</v>
      </c>
      <c r="M137" s="16">
        <f t="shared" si="10"/>
        <v>13</v>
      </c>
    </row>
    <row r="138" ht="14.25" customHeight="1">
      <c r="A138" s="11"/>
      <c r="B138" s="9"/>
      <c r="C138" s="10"/>
      <c r="D138" s="11"/>
      <c r="E138" s="1"/>
      <c r="F138" s="71"/>
      <c r="G138" s="71"/>
      <c r="H138" s="71"/>
      <c r="I138" s="72"/>
      <c r="J138" s="72"/>
      <c r="K138" s="9"/>
      <c r="L138" s="17">
        <f>L137/A136</f>
        <v>0.625</v>
      </c>
      <c r="M138" s="17">
        <f>M137/A136</f>
        <v>0.325</v>
      </c>
    </row>
    <row r="139" ht="14.25" customHeight="1">
      <c r="A139" s="11"/>
      <c r="B139" s="9"/>
      <c r="C139" s="10"/>
      <c r="D139" s="11"/>
      <c r="E139" s="1"/>
      <c r="F139" s="71"/>
      <c r="G139" s="71"/>
      <c r="H139" s="71"/>
      <c r="I139" s="72"/>
      <c r="J139" s="72"/>
      <c r="K139" s="9"/>
    </row>
    <row r="140" ht="14.25" customHeight="1">
      <c r="A140" s="11">
        <v>1.0</v>
      </c>
      <c r="B140" s="9" t="s">
        <v>75</v>
      </c>
      <c r="C140" s="10" t="s">
        <v>379</v>
      </c>
      <c r="D140" s="11" t="s">
        <v>18</v>
      </c>
      <c r="E140" s="1" t="s">
        <v>257</v>
      </c>
      <c r="F140" s="9">
        <v>6.9</v>
      </c>
      <c r="G140" s="9">
        <v>6.4</v>
      </c>
      <c r="H140" s="9">
        <v>77.5</v>
      </c>
      <c r="I140" s="72">
        <v>14.0</v>
      </c>
      <c r="J140" s="72">
        <f t="shared" ref="J140:J162" si="11">H140/I140</f>
        <v>5.535714286</v>
      </c>
      <c r="K140" s="73" t="s">
        <v>254</v>
      </c>
      <c r="L140" s="7">
        <v>1.0</v>
      </c>
    </row>
    <row r="141" ht="14.25" customHeight="1">
      <c r="A141" s="11">
        <f t="shared" ref="A141:A159" si="12">A140+1</f>
        <v>2</v>
      </c>
      <c r="B141" s="9" t="s">
        <v>75</v>
      </c>
      <c r="C141" s="10" t="s">
        <v>380</v>
      </c>
      <c r="D141" s="11" t="s">
        <v>18</v>
      </c>
      <c r="E141" s="70" t="s">
        <v>257</v>
      </c>
      <c r="F141" s="9">
        <v>8.39</v>
      </c>
      <c r="G141" s="9">
        <v>6.33</v>
      </c>
      <c r="H141" s="9">
        <v>74.75</v>
      </c>
      <c r="I141" s="72">
        <v>14.0</v>
      </c>
      <c r="J141" s="72">
        <f t="shared" si="11"/>
        <v>5.339285714</v>
      </c>
      <c r="K141" s="73" t="s">
        <v>254</v>
      </c>
      <c r="L141" s="7">
        <v>1.0</v>
      </c>
    </row>
    <row r="142" ht="14.25" customHeight="1">
      <c r="A142" s="11">
        <f t="shared" si="12"/>
        <v>3</v>
      </c>
      <c r="B142" s="9" t="s">
        <v>75</v>
      </c>
      <c r="C142" s="10" t="s">
        <v>381</v>
      </c>
      <c r="D142" s="11" t="s">
        <v>18</v>
      </c>
      <c r="E142" s="70" t="s">
        <v>257</v>
      </c>
      <c r="F142" s="9">
        <v>7.43</v>
      </c>
      <c r="G142" s="9">
        <v>4.27</v>
      </c>
      <c r="H142" s="9">
        <v>70.5</v>
      </c>
      <c r="I142" s="72">
        <v>14.0</v>
      </c>
      <c r="J142" s="72">
        <f t="shared" si="11"/>
        <v>5.035714286</v>
      </c>
      <c r="K142" s="73" t="s">
        <v>254</v>
      </c>
      <c r="L142" s="7">
        <v>1.0</v>
      </c>
    </row>
    <row r="143" ht="14.25" customHeight="1">
      <c r="A143" s="11">
        <f t="shared" si="12"/>
        <v>4</v>
      </c>
      <c r="B143" s="9" t="s">
        <v>75</v>
      </c>
      <c r="C143" s="10" t="s">
        <v>382</v>
      </c>
      <c r="D143" s="11" t="s">
        <v>18</v>
      </c>
      <c r="E143" s="1" t="s">
        <v>257</v>
      </c>
      <c r="F143" s="9">
        <v>7.25</v>
      </c>
      <c r="G143" s="9">
        <v>6.19</v>
      </c>
      <c r="H143" s="9">
        <v>68.5</v>
      </c>
      <c r="I143" s="72">
        <v>14.0</v>
      </c>
      <c r="J143" s="72">
        <f t="shared" si="11"/>
        <v>4.892857143</v>
      </c>
      <c r="K143" s="73" t="s">
        <v>254</v>
      </c>
      <c r="L143" s="7">
        <v>1.0</v>
      </c>
    </row>
    <row r="144" ht="14.25" customHeight="1">
      <c r="A144" s="11">
        <f t="shared" si="12"/>
        <v>5</v>
      </c>
      <c r="B144" s="9" t="s">
        <v>75</v>
      </c>
      <c r="C144" s="10" t="s">
        <v>383</v>
      </c>
      <c r="D144" s="11" t="s">
        <v>18</v>
      </c>
      <c r="E144" s="70" t="s">
        <v>257</v>
      </c>
      <c r="F144" s="9">
        <v>7.25</v>
      </c>
      <c r="G144" s="9">
        <v>7.19</v>
      </c>
      <c r="H144" s="9">
        <v>67.5</v>
      </c>
      <c r="I144" s="72">
        <v>14.0</v>
      </c>
      <c r="J144" s="72">
        <f t="shared" si="11"/>
        <v>4.821428571</v>
      </c>
      <c r="K144" s="73" t="s">
        <v>254</v>
      </c>
      <c r="L144" s="7">
        <v>1.0</v>
      </c>
    </row>
    <row r="145" ht="14.25" customHeight="1">
      <c r="A145" s="11">
        <f t="shared" si="12"/>
        <v>6</v>
      </c>
      <c r="B145" s="9" t="s">
        <v>75</v>
      </c>
      <c r="C145" s="10" t="s">
        <v>384</v>
      </c>
      <c r="D145" s="11" t="s">
        <v>18</v>
      </c>
      <c r="E145" s="70" t="s">
        <v>257</v>
      </c>
      <c r="F145" s="9">
        <v>6.46</v>
      </c>
      <c r="G145" s="9">
        <v>7.94</v>
      </c>
      <c r="H145" s="9">
        <v>66.25</v>
      </c>
      <c r="I145" s="72">
        <v>14.0</v>
      </c>
      <c r="J145" s="72">
        <f t="shared" si="11"/>
        <v>4.732142857</v>
      </c>
      <c r="K145" s="73" t="s">
        <v>254</v>
      </c>
      <c r="L145" s="7">
        <v>1.0</v>
      </c>
    </row>
    <row r="146" ht="14.25" customHeight="1">
      <c r="A146" s="11">
        <f t="shared" si="12"/>
        <v>7</v>
      </c>
      <c r="B146" s="9" t="s">
        <v>75</v>
      </c>
      <c r="C146" s="10" t="s">
        <v>385</v>
      </c>
      <c r="D146" s="11" t="s">
        <v>18</v>
      </c>
      <c r="E146" s="1" t="s">
        <v>257</v>
      </c>
      <c r="F146" s="9">
        <v>8.25</v>
      </c>
      <c r="G146" s="9">
        <v>7.58</v>
      </c>
      <c r="H146" s="9">
        <v>65.5</v>
      </c>
      <c r="I146" s="72">
        <v>14.0</v>
      </c>
      <c r="J146" s="72">
        <f t="shared" si="11"/>
        <v>4.678571429</v>
      </c>
      <c r="K146" s="73" t="s">
        <v>254</v>
      </c>
      <c r="L146" s="7">
        <v>1.0</v>
      </c>
    </row>
    <row r="147" ht="14.25" customHeight="1">
      <c r="A147" s="11">
        <f t="shared" si="12"/>
        <v>8</v>
      </c>
      <c r="B147" s="9" t="s">
        <v>75</v>
      </c>
      <c r="C147" s="10" t="s">
        <v>386</v>
      </c>
      <c r="D147" s="11" t="s">
        <v>18</v>
      </c>
      <c r="E147" s="70" t="s">
        <v>257</v>
      </c>
      <c r="F147" s="9">
        <v>8.46</v>
      </c>
      <c r="G147" s="9">
        <v>7.78</v>
      </c>
      <c r="H147" s="9">
        <v>62.0</v>
      </c>
      <c r="I147" s="72">
        <v>14.0</v>
      </c>
      <c r="J147" s="72">
        <f t="shared" si="11"/>
        <v>4.428571429</v>
      </c>
      <c r="K147" s="9" t="s">
        <v>267</v>
      </c>
    </row>
    <row r="148" ht="14.25" customHeight="1">
      <c r="A148" s="11">
        <f t="shared" si="12"/>
        <v>9</v>
      </c>
      <c r="B148" s="9" t="s">
        <v>75</v>
      </c>
      <c r="C148" s="10" t="s">
        <v>387</v>
      </c>
      <c r="D148" s="11" t="s">
        <v>18</v>
      </c>
      <c r="E148" s="70" t="s">
        <v>257</v>
      </c>
      <c r="F148" s="9">
        <v>7.75</v>
      </c>
      <c r="G148" s="9">
        <v>7.83</v>
      </c>
      <c r="H148" s="9">
        <v>58.0</v>
      </c>
      <c r="I148" s="72">
        <v>14.0</v>
      </c>
      <c r="J148" s="72">
        <f t="shared" si="11"/>
        <v>4.142857143</v>
      </c>
      <c r="K148" s="9" t="s">
        <v>267</v>
      </c>
    </row>
    <row r="149" ht="14.25" customHeight="1">
      <c r="A149" s="11">
        <f t="shared" si="12"/>
        <v>10</v>
      </c>
      <c r="B149" s="9" t="s">
        <v>75</v>
      </c>
      <c r="C149" s="10" t="s">
        <v>388</v>
      </c>
      <c r="D149" s="11" t="s">
        <v>18</v>
      </c>
      <c r="E149" s="1" t="s">
        <v>257</v>
      </c>
      <c r="F149" s="9">
        <v>2.6</v>
      </c>
      <c r="G149" s="9">
        <v>2.19</v>
      </c>
      <c r="H149" s="9">
        <v>53.0</v>
      </c>
      <c r="I149" s="72">
        <v>14.0</v>
      </c>
      <c r="J149" s="72">
        <f t="shared" si="11"/>
        <v>3.785714286</v>
      </c>
      <c r="K149" s="9" t="s">
        <v>50</v>
      </c>
      <c r="M149" s="7">
        <v>1.0</v>
      </c>
    </row>
    <row r="150" ht="14.25" customHeight="1">
      <c r="A150" s="11">
        <f t="shared" si="12"/>
        <v>11</v>
      </c>
      <c r="B150" s="9" t="s">
        <v>75</v>
      </c>
      <c r="C150" s="10" t="s">
        <v>389</v>
      </c>
      <c r="D150" s="11" t="s">
        <v>18</v>
      </c>
      <c r="E150" s="70" t="s">
        <v>257</v>
      </c>
      <c r="F150" s="9">
        <v>6.39</v>
      </c>
      <c r="G150" s="9">
        <v>5.46</v>
      </c>
      <c r="H150" s="9">
        <v>47.5</v>
      </c>
      <c r="I150" s="72">
        <v>14.0</v>
      </c>
      <c r="J150" s="72">
        <f t="shared" si="11"/>
        <v>3.392857143</v>
      </c>
      <c r="K150" s="9" t="s">
        <v>50</v>
      </c>
      <c r="M150" s="7">
        <v>1.0</v>
      </c>
    </row>
    <row r="151" ht="14.25" customHeight="1">
      <c r="A151" s="11">
        <f t="shared" si="12"/>
        <v>12</v>
      </c>
      <c r="B151" s="9" t="s">
        <v>75</v>
      </c>
      <c r="C151" s="10" t="s">
        <v>390</v>
      </c>
      <c r="D151" s="11" t="s">
        <v>18</v>
      </c>
      <c r="E151" s="70" t="s">
        <v>257</v>
      </c>
      <c r="F151" s="9">
        <v>2.6</v>
      </c>
      <c r="G151" s="9">
        <v>1.8</v>
      </c>
      <c r="H151" s="9">
        <v>42.0</v>
      </c>
      <c r="I151" s="72">
        <v>14.0</v>
      </c>
      <c r="J151" s="72">
        <f t="shared" si="11"/>
        <v>3</v>
      </c>
      <c r="K151" s="9" t="s">
        <v>50</v>
      </c>
      <c r="M151" s="7">
        <v>1.0</v>
      </c>
    </row>
    <row r="152" ht="14.25" customHeight="1">
      <c r="A152" s="11">
        <f t="shared" si="12"/>
        <v>13</v>
      </c>
      <c r="B152" s="9" t="s">
        <v>75</v>
      </c>
      <c r="C152" s="10" t="s">
        <v>391</v>
      </c>
      <c r="D152" s="11" t="s">
        <v>18</v>
      </c>
      <c r="E152" s="1" t="s">
        <v>257</v>
      </c>
      <c r="F152" s="9">
        <v>5.43</v>
      </c>
      <c r="G152" s="9">
        <v>5.29</v>
      </c>
      <c r="H152" s="9">
        <v>40.5</v>
      </c>
      <c r="I152" s="72">
        <v>14.0</v>
      </c>
      <c r="J152" s="72">
        <f t="shared" si="11"/>
        <v>2.892857143</v>
      </c>
      <c r="K152" s="9" t="s">
        <v>50</v>
      </c>
      <c r="M152" s="7">
        <v>1.0</v>
      </c>
    </row>
    <row r="153" ht="14.25" customHeight="1">
      <c r="A153" s="11">
        <f t="shared" si="12"/>
        <v>14</v>
      </c>
      <c r="B153" s="9" t="s">
        <v>75</v>
      </c>
      <c r="C153" s="10" t="s">
        <v>392</v>
      </c>
      <c r="D153" s="11" t="s">
        <v>18</v>
      </c>
      <c r="E153" s="70" t="s">
        <v>257</v>
      </c>
      <c r="F153" s="9">
        <v>6.37</v>
      </c>
      <c r="G153" s="9">
        <v>5.8</v>
      </c>
      <c r="H153" s="9">
        <v>39.5</v>
      </c>
      <c r="I153" s="72">
        <v>14.0</v>
      </c>
      <c r="J153" s="72">
        <f t="shared" si="11"/>
        <v>2.821428571</v>
      </c>
      <c r="K153" s="9" t="s">
        <v>50</v>
      </c>
      <c r="M153" s="7">
        <v>1.0</v>
      </c>
    </row>
    <row r="154" ht="14.25" customHeight="1">
      <c r="A154" s="11">
        <f t="shared" si="12"/>
        <v>15</v>
      </c>
      <c r="B154" s="9" t="s">
        <v>75</v>
      </c>
      <c r="C154" s="10" t="s">
        <v>393</v>
      </c>
      <c r="D154" s="11" t="s">
        <v>18</v>
      </c>
      <c r="E154" s="70" t="s">
        <v>257</v>
      </c>
      <c r="F154" s="9">
        <v>7.9</v>
      </c>
      <c r="G154" s="9">
        <v>6.41</v>
      </c>
      <c r="H154" s="9">
        <v>36.0</v>
      </c>
      <c r="I154" s="72">
        <v>14.0</v>
      </c>
      <c r="J154" s="72">
        <f t="shared" si="11"/>
        <v>2.571428571</v>
      </c>
      <c r="K154" s="9" t="s">
        <v>50</v>
      </c>
      <c r="M154" s="7">
        <v>1.0</v>
      </c>
    </row>
    <row r="155" ht="14.25" customHeight="1">
      <c r="A155" s="11">
        <f t="shared" si="12"/>
        <v>16</v>
      </c>
      <c r="B155" s="9" t="s">
        <v>75</v>
      </c>
      <c r="C155" s="10" t="s">
        <v>394</v>
      </c>
      <c r="D155" s="11" t="s">
        <v>18</v>
      </c>
      <c r="E155" s="1" t="s">
        <v>257</v>
      </c>
      <c r="F155" s="9">
        <v>4.0</v>
      </c>
      <c r="G155" s="9">
        <v>4.4</v>
      </c>
      <c r="H155" s="9">
        <v>64.5</v>
      </c>
      <c r="I155" s="72">
        <v>14.0</v>
      </c>
      <c r="J155" s="72">
        <f t="shared" si="11"/>
        <v>4.607142857</v>
      </c>
      <c r="K155" s="73" t="s">
        <v>254</v>
      </c>
      <c r="L155" s="7">
        <v>1.0</v>
      </c>
    </row>
    <row r="156" ht="14.25" customHeight="1">
      <c r="A156" s="11">
        <f t="shared" si="12"/>
        <v>17</v>
      </c>
      <c r="B156" s="9" t="s">
        <v>75</v>
      </c>
      <c r="C156" s="10" t="s">
        <v>395</v>
      </c>
      <c r="D156" s="11" t="s">
        <v>18</v>
      </c>
      <c r="E156" s="70" t="s">
        <v>257</v>
      </c>
      <c r="F156" s="9">
        <v>8.27</v>
      </c>
      <c r="G156" s="9">
        <v>5.88</v>
      </c>
      <c r="H156" s="9">
        <v>71.5</v>
      </c>
      <c r="I156" s="72">
        <v>14.0</v>
      </c>
      <c r="J156" s="72">
        <f t="shared" si="11"/>
        <v>5.107142857</v>
      </c>
      <c r="K156" s="73" t="s">
        <v>254</v>
      </c>
      <c r="L156" s="7">
        <v>1.0</v>
      </c>
    </row>
    <row r="157" ht="14.25" customHeight="1">
      <c r="A157" s="11">
        <f t="shared" si="12"/>
        <v>18</v>
      </c>
      <c r="B157" s="9" t="s">
        <v>75</v>
      </c>
      <c r="C157" s="10" t="s">
        <v>396</v>
      </c>
      <c r="D157" s="11" t="s">
        <v>18</v>
      </c>
      <c r="E157" s="70" t="s">
        <v>257</v>
      </c>
      <c r="F157" s="9">
        <v>5.4</v>
      </c>
      <c r="G157" s="9">
        <v>5.52</v>
      </c>
      <c r="H157" s="9">
        <v>79.5</v>
      </c>
      <c r="I157" s="72">
        <v>14.0</v>
      </c>
      <c r="J157" s="72">
        <f t="shared" si="11"/>
        <v>5.678571429</v>
      </c>
      <c r="K157" s="73" t="s">
        <v>254</v>
      </c>
      <c r="L157" s="7">
        <v>1.0</v>
      </c>
    </row>
    <row r="158" ht="14.25" customHeight="1">
      <c r="A158" s="11">
        <f t="shared" si="12"/>
        <v>19</v>
      </c>
      <c r="B158" s="9" t="s">
        <v>75</v>
      </c>
      <c r="C158" s="10" t="s">
        <v>106</v>
      </c>
      <c r="D158" s="11" t="s">
        <v>18</v>
      </c>
      <c r="E158" s="1" t="s">
        <v>257</v>
      </c>
      <c r="F158" s="9">
        <v>6.6</v>
      </c>
      <c r="G158" s="9">
        <v>6.39</v>
      </c>
      <c r="H158" s="9">
        <v>66.0</v>
      </c>
      <c r="I158" s="72">
        <v>14.0</v>
      </c>
      <c r="J158" s="72">
        <f t="shared" si="11"/>
        <v>4.714285714</v>
      </c>
      <c r="K158" s="73" t="s">
        <v>254</v>
      </c>
      <c r="L158" s="7">
        <v>1.0</v>
      </c>
    </row>
    <row r="159" ht="14.25" customHeight="1">
      <c r="A159" s="11">
        <f t="shared" si="12"/>
        <v>20</v>
      </c>
      <c r="B159" s="9" t="s">
        <v>75</v>
      </c>
      <c r="C159" s="10" t="s">
        <v>397</v>
      </c>
      <c r="D159" s="11" t="s">
        <v>18</v>
      </c>
      <c r="E159" s="70" t="s">
        <v>257</v>
      </c>
      <c r="F159" s="9">
        <v>6.5</v>
      </c>
      <c r="G159" s="9">
        <v>6.02</v>
      </c>
      <c r="H159" s="9">
        <v>25.5</v>
      </c>
      <c r="I159" s="72">
        <v>14.0</v>
      </c>
      <c r="J159" s="72">
        <f t="shared" si="11"/>
        <v>1.821428571</v>
      </c>
      <c r="K159" s="9" t="s">
        <v>50</v>
      </c>
      <c r="M159" s="7">
        <v>1.0</v>
      </c>
    </row>
    <row r="160" ht="14.25" customHeight="1">
      <c r="A160" s="14">
        <v>21.0</v>
      </c>
      <c r="B160" s="9" t="s">
        <v>75</v>
      </c>
      <c r="C160" s="10" t="s">
        <v>398</v>
      </c>
      <c r="D160" s="11" t="s">
        <v>18</v>
      </c>
      <c r="E160" s="70" t="s">
        <v>257</v>
      </c>
      <c r="F160" s="9">
        <v>5.4</v>
      </c>
      <c r="G160" s="9">
        <v>5.27</v>
      </c>
      <c r="H160" s="9">
        <v>69.5</v>
      </c>
      <c r="I160" s="72">
        <v>14.0</v>
      </c>
      <c r="J160" s="72">
        <f t="shared" si="11"/>
        <v>4.964285714</v>
      </c>
      <c r="K160" s="73" t="s">
        <v>254</v>
      </c>
      <c r="L160" s="7">
        <v>1.0</v>
      </c>
    </row>
    <row r="161" ht="14.25" customHeight="1">
      <c r="A161" s="14">
        <v>22.0</v>
      </c>
      <c r="B161" s="9" t="s">
        <v>75</v>
      </c>
      <c r="C161" s="10" t="s">
        <v>399</v>
      </c>
      <c r="D161" s="11" t="s">
        <v>18</v>
      </c>
      <c r="E161" s="70" t="s">
        <v>257</v>
      </c>
      <c r="F161" s="9">
        <v>8.0</v>
      </c>
      <c r="G161" s="9">
        <v>2.19</v>
      </c>
      <c r="H161" s="9">
        <v>41.87</v>
      </c>
      <c r="I161" s="72">
        <v>14.0</v>
      </c>
      <c r="J161" s="72">
        <f t="shared" si="11"/>
        <v>2.990714286</v>
      </c>
      <c r="K161" s="9" t="s">
        <v>50</v>
      </c>
      <c r="M161" s="7">
        <v>1.0</v>
      </c>
    </row>
    <row r="162" ht="14.25" customHeight="1">
      <c r="A162" s="14">
        <v>23.0</v>
      </c>
      <c r="B162" s="9" t="s">
        <v>75</v>
      </c>
      <c r="C162" s="10" t="s">
        <v>400</v>
      </c>
      <c r="D162" s="11" t="s">
        <v>18</v>
      </c>
      <c r="E162" s="1" t="s">
        <v>257</v>
      </c>
      <c r="F162" s="9">
        <v>6.45</v>
      </c>
      <c r="G162" s="9">
        <v>7.06</v>
      </c>
      <c r="H162" s="9">
        <v>72.0</v>
      </c>
      <c r="I162" s="72">
        <v>14.0</v>
      </c>
      <c r="J162" s="72">
        <f t="shared" si="11"/>
        <v>5.142857143</v>
      </c>
      <c r="K162" s="73" t="s">
        <v>254</v>
      </c>
      <c r="L162" s="7">
        <v>1.0</v>
      </c>
    </row>
    <row r="163" ht="14.25" customHeight="1">
      <c r="A163" s="14"/>
      <c r="B163" s="9"/>
      <c r="C163" s="10"/>
      <c r="D163" s="11"/>
      <c r="E163" s="1"/>
      <c r="F163" s="9"/>
      <c r="G163" s="9"/>
      <c r="H163" s="9"/>
      <c r="I163" s="72"/>
      <c r="J163" s="72"/>
      <c r="K163" s="73"/>
      <c r="L163" s="16">
        <f t="shared" ref="L163:N163" si="13">SUM(L140:L162)</f>
        <v>13</v>
      </c>
      <c r="M163" s="16">
        <f t="shared" si="13"/>
        <v>8</v>
      </c>
      <c r="N163" s="16">
        <f t="shared" si="13"/>
        <v>0</v>
      </c>
    </row>
    <row r="164" ht="14.25" customHeight="1">
      <c r="A164" s="14"/>
      <c r="B164" s="9"/>
      <c r="C164" s="10"/>
      <c r="D164" s="11"/>
      <c r="E164" s="1"/>
      <c r="F164" s="9"/>
      <c r="G164" s="9"/>
      <c r="H164" s="9"/>
      <c r="I164" s="72"/>
      <c r="J164" s="72"/>
      <c r="K164" s="73"/>
      <c r="L164" s="17">
        <f>L163/A162</f>
        <v>0.5652173913</v>
      </c>
      <c r="M164" s="17">
        <f>M163/A162</f>
        <v>0.347826087</v>
      </c>
    </row>
    <row r="165" ht="14.25" customHeight="1">
      <c r="A165" s="14"/>
      <c r="B165" s="9"/>
      <c r="C165" s="10"/>
      <c r="D165" s="11"/>
      <c r="E165" s="1"/>
      <c r="F165" s="9"/>
      <c r="G165" s="9"/>
      <c r="H165" s="9"/>
      <c r="I165" s="72"/>
      <c r="J165" s="72"/>
      <c r="K165" s="73"/>
    </row>
    <row r="166" ht="14.25" customHeight="1">
      <c r="A166" s="11">
        <v>1.0</v>
      </c>
      <c r="B166" s="9" t="s">
        <v>401</v>
      </c>
      <c r="C166" s="10" t="s">
        <v>402</v>
      </c>
      <c r="D166" s="11" t="s">
        <v>18</v>
      </c>
      <c r="E166" s="70" t="s">
        <v>257</v>
      </c>
      <c r="F166" s="9"/>
      <c r="G166" s="9">
        <v>2.41</v>
      </c>
      <c r="H166" s="9">
        <v>27.0</v>
      </c>
      <c r="I166" s="72">
        <v>14.0</v>
      </c>
      <c r="J166" s="72">
        <f t="shared" ref="J166:J201" si="14">H166/I166</f>
        <v>1.928571429</v>
      </c>
      <c r="K166" s="9" t="s">
        <v>267</v>
      </c>
    </row>
    <row r="167" ht="14.25" customHeight="1">
      <c r="A167" s="11">
        <f t="shared" ref="A167:A193" si="15">A166+1</f>
        <v>2</v>
      </c>
      <c r="B167" s="9" t="s">
        <v>401</v>
      </c>
      <c r="C167" s="10" t="s">
        <v>403</v>
      </c>
      <c r="D167" s="11" t="s">
        <v>18</v>
      </c>
      <c r="E167" s="70" t="s">
        <v>257</v>
      </c>
      <c r="F167" s="9"/>
      <c r="G167" s="9">
        <v>6.32</v>
      </c>
      <c r="H167" s="9">
        <v>102.5</v>
      </c>
      <c r="I167" s="72">
        <v>14.0</v>
      </c>
      <c r="J167" s="72">
        <f t="shared" si="14"/>
        <v>7.321428571</v>
      </c>
      <c r="K167" s="73" t="s">
        <v>254</v>
      </c>
      <c r="L167" s="7">
        <v>1.0</v>
      </c>
    </row>
    <row r="168" ht="14.25" customHeight="1">
      <c r="A168" s="11">
        <f t="shared" si="15"/>
        <v>3</v>
      </c>
      <c r="B168" s="9" t="s">
        <v>401</v>
      </c>
      <c r="C168" s="10" t="s">
        <v>404</v>
      </c>
      <c r="D168" s="11" t="s">
        <v>18</v>
      </c>
      <c r="E168" s="1" t="s">
        <v>257</v>
      </c>
      <c r="F168" s="9"/>
      <c r="G168" s="9">
        <v>5.02</v>
      </c>
      <c r="H168" s="9">
        <v>101.0</v>
      </c>
      <c r="I168" s="72">
        <v>14.0</v>
      </c>
      <c r="J168" s="72">
        <f t="shared" si="14"/>
        <v>7.214285714</v>
      </c>
      <c r="K168" s="73" t="s">
        <v>254</v>
      </c>
      <c r="L168" s="7">
        <v>1.0</v>
      </c>
    </row>
    <row r="169" ht="14.25" customHeight="1">
      <c r="A169" s="11">
        <f t="shared" si="15"/>
        <v>4</v>
      </c>
      <c r="B169" s="9" t="s">
        <v>401</v>
      </c>
      <c r="C169" s="10" t="s">
        <v>405</v>
      </c>
      <c r="D169" s="11" t="s">
        <v>18</v>
      </c>
      <c r="E169" s="70" t="s">
        <v>257</v>
      </c>
      <c r="F169" s="9"/>
      <c r="G169" s="9">
        <v>5.35</v>
      </c>
      <c r="H169" s="9">
        <v>100.5</v>
      </c>
      <c r="I169" s="72">
        <v>14.0</v>
      </c>
      <c r="J169" s="72">
        <f t="shared" si="14"/>
        <v>7.178571429</v>
      </c>
      <c r="K169" s="73" t="s">
        <v>254</v>
      </c>
      <c r="L169" s="7">
        <v>1.0</v>
      </c>
    </row>
    <row r="170" ht="14.25" customHeight="1">
      <c r="A170" s="11">
        <f t="shared" si="15"/>
        <v>5</v>
      </c>
      <c r="B170" s="9" t="s">
        <v>401</v>
      </c>
      <c r="C170" s="10" t="s">
        <v>406</v>
      </c>
      <c r="D170" s="11" t="s">
        <v>18</v>
      </c>
      <c r="E170" s="70" t="s">
        <v>257</v>
      </c>
      <c r="F170" s="9"/>
      <c r="G170" s="9">
        <v>6.13</v>
      </c>
      <c r="H170" s="9">
        <v>85.0</v>
      </c>
      <c r="I170" s="72">
        <v>14.0</v>
      </c>
      <c r="J170" s="72">
        <f t="shared" si="14"/>
        <v>6.071428571</v>
      </c>
      <c r="K170" s="73" t="s">
        <v>254</v>
      </c>
      <c r="L170" s="7">
        <v>1.0</v>
      </c>
    </row>
    <row r="171" ht="14.25" customHeight="1">
      <c r="A171" s="11">
        <f t="shared" si="15"/>
        <v>6</v>
      </c>
      <c r="B171" s="9" t="s">
        <v>401</v>
      </c>
      <c r="C171" s="10" t="s">
        <v>407</v>
      </c>
      <c r="D171" s="11" t="s">
        <v>18</v>
      </c>
      <c r="E171" s="1" t="s">
        <v>257</v>
      </c>
      <c r="F171" s="9"/>
      <c r="G171" s="9">
        <v>6.9</v>
      </c>
      <c r="H171" s="9">
        <v>85.0</v>
      </c>
      <c r="I171" s="72">
        <v>14.0</v>
      </c>
      <c r="J171" s="72">
        <f t="shared" si="14"/>
        <v>6.071428571</v>
      </c>
      <c r="K171" s="73" t="s">
        <v>254</v>
      </c>
      <c r="L171" s="7">
        <v>1.0</v>
      </c>
    </row>
    <row r="172" ht="14.25" customHeight="1">
      <c r="A172" s="11">
        <f t="shared" si="15"/>
        <v>7</v>
      </c>
      <c r="B172" s="9" t="s">
        <v>401</v>
      </c>
      <c r="C172" s="10" t="s">
        <v>408</v>
      </c>
      <c r="D172" s="11" t="s">
        <v>18</v>
      </c>
      <c r="E172" s="70" t="s">
        <v>257</v>
      </c>
      <c r="F172" s="9"/>
      <c r="G172" s="9">
        <v>5.0</v>
      </c>
      <c r="H172" s="9">
        <v>83.5</v>
      </c>
      <c r="I172" s="72">
        <v>14.0</v>
      </c>
      <c r="J172" s="72">
        <f t="shared" si="14"/>
        <v>5.964285714</v>
      </c>
      <c r="K172" s="73" t="s">
        <v>254</v>
      </c>
      <c r="L172" s="7">
        <v>1.0</v>
      </c>
    </row>
    <row r="173" ht="14.25" customHeight="1">
      <c r="A173" s="11">
        <f t="shared" si="15"/>
        <v>8</v>
      </c>
      <c r="B173" s="9" t="s">
        <v>401</v>
      </c>
      <c r="C173" s="10" t="s">
        <v>409</v>
      </c>
      <c r="D173" s="11" t="s">
        <v>18</v>
      </c>
      <c r="E173" s="70" t="s">
        <v>257</v>
      </c>
      <c r="F173" s="9"/>
      <c r="G173" s="9">
        <v>7.05</v>
      </c>
      <c r="H173" s="9">
        <v>81.5</v>
      </c>
      <c r="I173" s="72">
        <v>14.0</v>
      </c>
      <c r="J173" s="72">
        <f t="shared" si="14"/>
        <v>5.821428571</v>
      </c>
      <c r="K173" s="73" t="s">
        <v>254</v>
      </c>
      <c r="L173" s="7">
        <v>1.0</v>
      </c>
    </row>
    <row r="174" ht="14.25" customHeight="1">
      <c r="A174" s="11">
        <f t="shared" si="15"/>
        <v>9</v>
      </c>
      <c r="B174" s="9" t="s">
        <v>401</v>
      </c>
      <c r="C174" s="10" t="s">
        <v>410</v>
      </c>
      <c r="D174" s="11" t="s">
        <v>18</v>
      </c>
      <c r="E174" s="1" t="s">
        <v>257</v>
      </c>
      <c r="F174" s="9"/>
      <c r="G174" s="9">
        <v>5.0</v>
      </c>
      <c r="H174" s="9">
        <v>79.5</v>
      </c>
      <c r="I174" s="72">
        <v>14.0</v>
      </c>
      <c r="J174" s="72">
        <f t="shared" si="14"/>
        <v>5.678571429</v>
      </c>
      <c r="K174" s="73" t="s">
        <v>254</v>
      </c>
      <c r="L174" s="7">
        <v>1.0</v>
      </c>
    </row>
    <row r="175" ht="14.25" customHeight="1">
      <c r="A175" s="11">
        <f t="shared" si="15"/>
        <v>10</v>
      </c>
      <c r="B175" s="9" t="s">
        <v>401</v>
      </c>
      <c r="C175" s="10" t="s">
        <v>411</v>
      </c>
      <c r="D175" s="11" t="s">
        <v>18</v>
      </c>
      <c r="E175" s="70" t="s">
        <v>257</v>
      </c>
      <c r="F175" s="9"/>
      <c r="G175" s="9">
        <v>6.32</v>
      </c>
      <c r="H175" s="9">
        <v>78.5</v>
      </c>
      <c r="I175" s="72">
        <v>14.0</v>
      </c>
      <c r="J175" s="72">
        <f t="shared" si="14"/>
        <v>5.607142857</v>
      </c>
      <c r="K175" s="73" t="s">
        <v>254</v>
      </c>
      <c r="L175" s="7">
        <v>1.0</v>
      </c>
    </row>
    <row r="176" ht="14.25" customHeight="1">
      <c r="A176" s="11">
        <f t="shared" si="15"/>
        <v>11</v>
      </c>
      <c r="B176" s="9" t="s">
        <v>401</v>
      </c>
      <c r="C176" s="10" t="s">
        <v>412</v>
      </c>
      <c r="D176" s="11" t="s">
        <v>18</v>
      </c>
      <c r="E176" s="70" t="s">
        <v>257</v>
      </c>
      <c r="F176" s="9"/>
      <c r="G176" s="9">
        <v>4.9</v>
      </c>
      <c r="H176" s="9">
        <v>74.5</v>
      </c>
      <c r="I176" s="72">
        <v>14.0</v>
      </c>
      <c r="J176" s="72">
        <f t="shared" si="14"/>
        <v>5.321428571</v>
      </c>
      <c r="K176" s="73" t="s">
        <v>254</v>
      </c>
      <c r="L176" s="7">
        <v>1.0</v>
      </c>
    </row>
    <row r="177" ht="14.25" customHeight="1">
      <c r="A177" s="11">
        <f t="shared" si="15"/>
        <v>12</v>
      </c>
      <c r="B177" s="9" t="s">
        <v>401</v>
      </c>
      <c r="C177" s="10" t="s">
        <v>413</v>
      </c>
      <c r="D177" s="11" t="s">
        <v>18</v>
      </c>
      <c r="E177" s="1" t="s">
        <v>257</v>
      </c>
      <c r="F177" s="9"/>
      <c r="G177" s="9">
        <v>5.71</v>
      </c>
      <c r="H177" s="9">
        <v>72.0</v>
      </c>
      <c r="I177" s="72">
        <v>14.0</v>
      </c>
      <c r="J177" s="72">
        <f t="shared" si="14"/>
        <v>5.142857143</v>
      </c>
      <c r="K177" s="73" t="s">
        <v>254</v>
      </c>
      <c r="L177" s="7">
        <v>1.0</v>
      </c>
    </row>
    <row r="178" ht="14.25" customHeight="1">
      <c r="A178" s="11">
        <f t="shared" si="15"/>
        <v>13</v>
      </c>
      <c r="B178" s="9" t="s">
        <v>401</v>
      </c>
      <c r="C178" s="10" t="s">
        <v>414</v>
      </c>
      <c r="D178" s="11" t="s">
        <v>18</v>
      </c>
      <c r="E178" s="70" t="s">
        <v>257</v>
      </c>
      <c r="F178" s="9"/>
      <c r="G178" s="9">
        <v>5.0</v>
      </c>
      <c r="H178" s="9">
        <v>71.0</v>
      </c>
      <c r="I178" s="72">
        <v>14.0</v>
      </c>
      <c r="J178" s="72">
        <f t="shared" si="14"/>
        <v>5.071428571</v>
      </c>
      <c r="K178" s="73" t="s">
        <v>254</v>
      </c>
      <c r="L178" s="7">
        <v>1.0</v>
      </c>
    </row>
    <row r="179" ht="14.25" customHeight="1">
      <c r="A179" s="11">
        <f t="shared" si="15"/>
        <v>14</v>
      </c>
      <c r="B179" s="9" t="s">
        <v>401</v>
      </c>
      <c r="C179" s="10" t="s">
        <v>415</v>
      </c>
      <c r="D179" s="11" t="s">
        <v>18</v>
      </c>
      <c r="E179" s="70" t="s">
        <v>257</v>
      </c>
      <c r="F179" s="9"/>
      <c r="G179" s="9">
        <v>4.75</v>
      </c>
      <c r="H179" s="9">
        <v>70.0</v>
      </c>
      <c r="I179" s="72">
        <v>14.0</v>
      </c>
      <c r="J179" s="72">
        <f t="shared" si="14"/>
        <v>5</v>
      </c>
      <c r="K179" s="73" t="s">
        <v>254</v>
      </c>
      <c r="L179" s="7">
        <v>1.0</v>
      </c>
    </row>
    <row r="180" ht="14.25" customHeight="1">
      <c r="A180" s="11">
        <f t="shared" si="15"/>
        <v>15</v>
      </c>
      <c r="B180" s="9" t="s">
        <v>401</v>
      </c>
      <c r="C180" s="10" t="s">
        <v>416</v>
      </c>
      <c r="D180" s="11" t="s">
        <v>18</v>
      </c>
      <c r="E180" s="1" t="s">
        <v>257</v>
      </c>
      <c r="F180" s="9"/>
      <c r="G180" s="9">
        <v>6.14</v>
      </c>
      <c r="H180" s="9">
        <v>69.5</v>
      </c>
      <c r="I180" s="72">
        <v>14.0</v>
      </c>
      <c r="J180" s="72">
        <f t="shared" si="14"/>
        <v>4.964285714</v>
      </c>
      <c r="K180" s="73" t="s">
        <v>254</v>
      </c>
      <c r="L180" s="7">
        <v>1.0</v>
      </c>
    </row>
    <row r="181" ht="14.25" customHeight="1">
      <c r="A181" s="11">
        <f t="shared" si="15"/>
        <v>16</v>
      </c>
      <c r="B181" s="9" t="s">
        <v>401</v>
      </c>
      <c r="C181" s="10" t="s">
        <v>417</v>
      </c>
      <c r="D181" s="11" t="s">
        <v>18</v>
      </c>
      <c r="E181" s="70" t="s">
        <v>257</v>
      </c>
      <c r="F181" s="9"/>
      <c r="G181" s="9">
        <v>5.11</v>
      </c>
      <c r="H181" s="9">
        <v>68.0</v>
      </c>
      <c r="I181" s="72">
        <v>14.0</v>
      </c>
      <c r="J181" s="72">
        <f t="shared" si="14"/>
        <v>4.857142857</v>
      </c>
      <c r="K181" s="73" t="s">
        <v>254</v>
      </c>
      <c r="L181" s="7">
        <v>1.0</v>
      </c>
    </row>
    <row r="182" ht="14.25" customHeight="1">
      <c r="A182" s="11">
        <f t="shared" si="15"/>
        <v>17</v>
      </c>
      <c r="B182" s="9" t="s">
        <v>401</v>
      </c>
      <c r="C182" s="10" t="s">
        <v>418</v>
      </c>
      <c r="D182" s="11" t="s">
        <v>18</v>
      </c>
      <c r="E182" s="70" t="s">
        <v>257</v>
      </c>
      <c r="F182" s="9"/>
      <c r="G182" s="9">
        <v>5.8</v>
      </c>
      <c r="H182" s="9">
        <v>67.0</v>
      </c>
      <c r="I182" s="72">
        <v>14.0</v>
      </c>
      <c r="J182" s="72">
        <f t="shared" si="14"/>
        <v>4.785714286</v>
      </c>
      <c r="K182" s="73" t="s">
        <v>254</v>
      </c>
      <c r="L182" s="7">
        <v>1.0</v>
      </c>
    </row>
    <row r="183" ht="14.25" customHeight="1">
      <c r="A183" s="11">
        <f t="shared" si="15"/>
        <v>18</v>
      </c>
      <c r="B183" s="9" t="s">
        <v>401</v>
      </c>
      <c r="C183" s="10" t="s">
        <v>419</v>
      </c>
      <c r="D183" s="11" t="s">
        <v>18</v>
      </c>
      <c r="E183" s="1" t="s">
        <v>257</v>
      </c>
      <c r="F183" s="9"/>
      <c r="G183" s="9">
        <v>4.0</v>
      </c>
      <c r="H183" s="9">
        <v>53.5</v>
      </c>
      <c r="I183" s="72">
        <v>14.0</v>
      </c>
      <c r="J183" s="72">
        <f t="shared" si="14"/>
        <v>3.821428571</v>
      </c>
      <c r="K183" s="74" t="s">
        <v>50</v>
      </c>
      <c r="M183" s="7">
        <v>1.0</v>
      </c>
    </row>
    <row r="184" ht="14.25" customHeight="1">
      <c r="A184" s="11">
        <f t="shared" si="15"/>
        <v>19</v>
      </c>
      <c r="B184" s="9" t="s">
        <v>401</v>
      </c>
      <c r="C184" s="10" t="s">
        <v>420</v>
      </c>
      <c r="D184" s="11" t="s">
        <v>18</v>
      </c>
      <c r="E184" s="70" t="s">
        <v>257</v>
      </c>
      <c r="F184" s="9"/>
      <c r="G184" s="9">
        <v>4.73</v>
      </c>
      <c r="H184" s="9">
        <v>43.5</v>
      </c>
      <c r="I184" s="72">
        <v>14.0</v>
      </c>
      <c r="J184" s="72">
        <f t="shared" si="14"/>
        <v>3.107142857</v>
      </c>
      <c r="K184" s="74" t="s">
        <v>50</v>
      </c>
      <c r="M184" s="7">
        <v>1.0</v>
      </c>
    </row>
    <row r="185" ht="14.25" customHeight="1">
      <c r="A185" s="11">
        <f t="shared" si="15"/>
        <v>20</v>
      </c>
      <c r="B185" s="9" t="s">
        <v>401</v>
      </c>
      <c r="C185" s="10" t="s">
        <v>421</v>
      </c>
      <c r="D185" s="11" t="s">
        <v>18</v>
      </c>
      <c r="E185" s="70" t="s">
        <v>257</v>
      </c>
      <c r="F185" s="9"/>
      <c r="G185" s="9">
        <v>3.76</v>
      </c>
      <c r="H185" s="9">
        <v>42.5</v>
      </c>
      <c r="I185" s="72">
        <v>14.0</v>
      </c>
      <c r="J185" s="72">
        <f t="shared" si="14"/>
        <v>3.035714286</v>
      </c>
      <c r="K185" s="74" t="s">
        <v>50</v>
      </c>
      <c r="M185" s="7">
        <v>1.0</v>
      </c>
    </row>
    <row r="186" ht="14.25" customHeight="1">
      <c r="A186" s="11">
        <f t="shared" si="15"/>
        <v>21</v>
      </c>
      <c r="B186" s="9" t="s">
        <v>401</v>
      </c>
      <c r="C186" s="10" t="s">
        <v>422</v>
      </c>
      <c r="D186" s="11" t="s">
        <v>18</v>
      </c>
      <c r="E186" s="1" t="s">
        <v>257</v>
      </c>
      <c r="F186" s="9"/>
      <c r="G186" s="9">
        <v>3.25</v>
      </c>
      <c r="H186" s="9">
        <v>41.0</v>
      </c>
      <c r="I186" s="72">
        <v>14.0</v>
      </c>
      <c r="J186" s="72">
        <f t="shared" si="14"/>
        <v>2.928571429</v>
      </c>
      <c r="K186" s="74" t="s">
        <v>50</v>
      </c>
      <c r="M186" s="7">
        <v>1.0</v>
      </c>
    </row>
    <row r="187" ht="14.25" customHeight="1">
      <c r="A187" s="11">
        <f t="shared" si="15"/>
        <v>22</v>
      </c>
      <c r="B187" s="9" t="s">
        <v>401</v>
      </c>
      <c r="C187" s="10" t="s">
        <v>423</v>
      </c>
      <c r="D187" s="11" t="s">
        <v>18</v>
      </c>
      <c r="E187" s="70" t="s">
        <v>257</v>
      </c>
      <c r="F187" s="9"/>
      <c r="G187" s="9">
        <v>2.91</v>
      </c>
      <c r="H187" s="9">
        <v>35.5</v>
      </c>
      <c r="I187" s="72">
        <v>14.0</v>
      </c>
      <c r="J187" s="72">
        <f t="shared" si="14"/>
        <v>2.535714286</v>
      </c>
      <c r="K187" s="74" t="s">
        <v>50</v>
      </c>
      <c r="M187" s="7">
        <v>1.0</v>
      </c>
    </row>
    <row r="188" ht="14.25" customHeight="1">
      <c r="A188" s="11">
        <f t="shared" si="15"/>
        <v>23</v>
      </c>
      <c r="B188" s="9" t="s">
        <v>401</v>
      </c>
      <c r="C188" s="67" t="s">
        <v>424</v>
      </c>
      <c r="D188" s="11" t="s">
        <v>18</v>
      </c>
      <c r="E188" s="70" t="s">
        <v>257</v>
      </c>
      <c r="F188" s="9"/>
      <c r="G188" s="9">
        <v>3.0</v>
      </c>
      <c r="H188" s="9">
        <v>33.0</v>
      </c>
      <c r="I188" s="72">
        <v>14.0</v>
      </c>
      <c r="J188" s="72">
        <f t="shared" si="14"/>
        <v>2.357142857</v>
      </c>
      <c r="K188" s="74" t="s">
        <v>50</v>
      </c>
      <c r="M188" s="7">
        <v>1.0</v>
      </c>
    </row>
    <row r="189" ht="14.25" customHeight="1">
      <c r="A189" s="11">
        <f t="shared" si="15"/>
        <v>24</v>
      </c>
      <c r="B189" s="9" t="s">
        <v>401</v>
      </c>
      <c r="C189" s="10" t="s">
        <v>425</v>
      </c>
      <c r="D189" s="11" t="s">
        <v>18</v>
      </c>
      <c r="E189" s="1" t="s">
        <v>257</v>
      </c>
      <c r="F189" s="9"/>
      <c r="G189" s="9">
        <v>2.0</v>
      </c>
      <c r="H189" s="9">
        <v>31.0</v>
      </c>
      <c r="I189" s="72">
        <v>14.0</v>
      </c>
      <c r="J189" s="72">
        <f t="shared" si="14"/>
        <v>2.214285714</v>
      </c>
      <c r="K189" s="74" t="s">
        <v>50</v>
      </c>
      <c r="M189" s="7">
        <v>1.0</v>
      </c>
    </row>
    <row r="190" ht="14.25" customHeight="1">
      <c r="A190" s="11">
        <f t="shared" si="15"/>
        <v>25</v>
      </c>
      <c r="B190" s="9" t="s">
        <v>401</v>
      </c>
      <c r="C190" s="10" t="s">
        <v>426</v>
      </c>
      <c r="D190" s="11" t="s">
        <v>18</v>
      </c>
      <c r="E190" s="70" t="s">
        <v>257</v>
      </c>
      <c r="F190" s="9"/>
      <c r="G190" s="9">
        <v>3.95</v>
      </c>
      <c r="H190" s="9">
        <v>30.0</v>
      </c>
      <c r="I190" s="72">
        <v>14.0</v>
      </c>
      <c r="J190" s="72">
        <f t="shared" si="14"/>
        <v>2.142857143</v>
      </c>
      <c r="K190" s="74" t="s">
        <v>50</v>
      </c>
      <c r="M190" s="7">
        <v>1.0</v>
      </c>
    </row>
    <row r="191" ht="14.25" customHeight="1">
      <c r="A191" s="11">
        <f t="shared" si="15"/>
        <v>26</v>
      </c>
      <c r="B191" s="9" t="s">
        <v>401</v>
      </c>
      <c r="C191" s="10" t="s">
        <v>427</v>
      </c>
      <c r="D191" s="11" t="s">
        <v>18</v>
      </c>
      <c r="E191" s="70" t="s">
        <v>257</v>
      </c>
      <c r="F191" s="9"/>
      <c r="G191" s="9">
        <v>3.0</v>
      </c>
      <c r="H191" s="9">
        <v>27.0</v>
      </c>
      <c r="I191" s="72">
        <v>14.0</v>
      </c>
      <c r="J191" s="72">
        <f t="shared" si="14"/>
        <v>1.928571429</v>
      </c>
      <c r="K191" s="74" t="s">
        <v>50</v>
      </c>
      <c r="M191" s="7">
        <v>1.0</v>
      </c>
    </row>
    <row r="192" ht="14.25" customHeight="1">
      <c r="A192" s="11">
        <f t="shared" si="15"/>
        <v>27</v>
      </c>
      <c r="B192" s="9" t="s">
        <v>401</v>
      </c>
      <c r="C192" s="10" t="s">
        <v>428</v>
      </c>
      <c r="D192" s="11" t="s">
        <v>18</v>
      </c>
      <c r="E192" s="1" t="s">
        <v>257</v>
      </c>
      <c r="F192" s="9"/>
      <c r="G192" s="9">
        <v>3.05</v>
      </c>
      <c r="H192" s="9">
        <v>22.5</v>
      </c>
      <c r="I192" s="72">
        <v>14.0</v>
      </c>
      <c r="J192" s="72">
        <f t="shared" si="14"/>
        <v>1.607142857</v>
      </c>
      <c r="K192" s="74" t="s">
        <v>50</v>
      </c>
      <c r="M192" s="7">
        <v>1.0</v>
      </c>
    </row>
    <row r="193" ht="14.25" customHeight="1">
      <c r="A193" s="11">
        <f t="shared" si="15"/>
        <v>28</v>
      </c>
      <c r="B193" s="9" t="s">
        <v>401</v>
      </c>
      <c r="C193" s="10" t="s">
        <v>429</v>
      </c>
      <c r="D193" s="11" t="s">
        <v>18</v>
      </c>
      <c r="E193" s="70" t="s">
        <v>257</v>
      </c>
      <c r="F193" s="9"/>
      <c r="G193" s="9">
        <v>4.9</v>
      </c>
      <c r="H193" s="9">
        <v>19.5</v>
      </c>
      <c r="I193" s="72">
        <v>14.0</v>
      </c>
      <c r="J193" s="72">
        <f t="shared" si="14"/>
        <v>1.392857143</v>
      </c>
      <c r="K193" s="74" t="s">
        <v>50</v>
      </c>
      <c r="M193" s="7">
        <v>1.0</v>
      </c>
    </row>
    <row r="194" ht="14.25" customHeight="1">
      <c r="A194" s="14">
        <v>29.0</v>
      </c>
      <c r="B194" s="9" t="s">
        <v>401</v>
      </c>
      <c r="C194" s="10" t="s">
        <v>430</v>
      </c>
      <c r="D194" s="11" t="s">
        <v>18</v>
      </c>
      <c r="E194" s="70" t="s">
        <v>257</v>
      </c>
      <c r="F194" s="9"/>
      <c r="G194" s="9">
        <v>3.76</v>
      </c>
      <c r="H194" s="9">
        <v>67.03</v>
      </c>
      <c r="I194" s="72">
        <v>14.0</v>
      </c>
      <c r="J194" s="72">
        <f t="shared" si="14"/>
        <v>4.787857143</v>
      </c>
      <c r="K194" s="73" t="s">
        <v>254</v>
      </c>
      <c r="L194" s="7">
        <v>1.0</v>
      </c>
    </row>
    <row r="195" ht="14.25" customHeight="1">
      <c r="A195" s="14">
        <v>30.0</v>
      </c>
      <c r="B195" s="9" t="s">
        <v>401</v>
      </c>
      <c r="C195" s="10" t="s">
        <v>431</v>
      </c>
      <c r="D195" s="11" t="s">
        <v>18</v>
      </c>
      <c r="E195" s="1" t="s">
        <v>257</v>
      </c>
      <c r="F195" s="9"/>
      <c r="G195" s="9">
        <v>4.54</v>
      </c>
      <c r="H195" s="9">
        <v>32.0</v>
      </c>
      <c r="I195" s="72">
        <v>14.0</v>
      </c>
      <c r="J195" s="72">
        <f t="shared" si="14"/>
        <v>2.285714286</v>
      </c>
      <c r="K195" s="74" t="s">
        <v>267</v>
      </c>
    </row>
    <row r="196" ht="14.25" customHeight="1">
      <c r="A196" s="14">
        <v>31.0</v>
      </c>
      <c r="B196" s="9" t="s">
        <v>401</v>
      </c>
      <c r="C196" s="10" t="s">
        <v>432</v>
      </c>
      <c r="D196" s="11" t="s">
        <v>18</v>
      </c>
      <c r="E196" s="70" t="s">
        <v>257</v>
      </c>
      <c r="F196" s="9"/>
      <c r="G196" s="9">
        <v>3.91</v>
      </c>
      <c r="H196" s="9">
        <v>15.17</v>
      </c>
      <c r="I196" s="72">
        <v>14.0</v>
      </c>
      <c r="J196" s="72">
        <f t="shared" si="14"/>
        <v>1.083571429</v>
      </c>
      <c r="K196" s="74" t="s">
        <v>267</v>
      </c>
    </row>
    <row r="197" ht="14.25" customHeight="1">
      <c r="A197" s="14">
        <v>32.0</v>
      </c>
      <c r="B197" s="9" t="s">
        <v>401</v>
      </c>
      <c r="C197" s="10" t="s">
        <v>433</v>
      </c>
      <c r="D197" s="11" t="s">
        <v>18</v>
      </c>
      <c r="E197" s="70" t="s">
        <v>257</v>
      </c>
      <c r="F197" s="9"/>
      <c r="G197" s="9">
        <v>4.09</v>
      </c>
      <c r="H197" s="9">
        <v>41.59</v>
      </c>
      <c r="I197" s="72">
        <v>14.0</v>
      </c>
      <c r="J197" s="72">
        <f t="shared" si="14"/>
        <v>2.970714286</v>
      </c>
      <c r="K197" s="74" t="s">
        <v>267</v>
      </c>
    </row>
    <row r="198" ht="14.25" customHeight="1">
      <c r="A198" s="14">
        <v>33.0</v>
      </c>
      <c r="B198" s="9" t="s">
        <v>401</v>
      </c>
      <c r="C198" s="10" t="s">
        <v>434</v>
      </c>
      <c r="D198" s="11" t="s">
        <v>18</v>
      </c>
      <c r="E198" s="1" t="s">
        <v>257</v>
      </c>
      <c r="F198" s="9"/>
      <c r="G198" s="9">
        <v>5.17</v>
      </c>
      <c r="H198" s="9">
        <v>109.88</v>
      </c>
      <c r="I198" s="72">
        <v>14.0</v>
      </c>
      <c r="J198" s="72">
        <f t="shared" si="14"/>
        <v>7.848571429</v>
      </c>
      <c r="K198" s="73" t="s">
        <v>435</v>
      </c>
    </row>
    <row r="199" ht="14.25" customHeight="1">
      <c r="A199" s="14">
        <v>34.0</v>
      </c>
      <c r="B199" s="9" t="s">
        <v>401</v>
      </c>
      <c r="C199" s="10" t="s">
        <v>436</v>
      </c>
      <c r="D199" s="11" t="s">
        <v>18</v>
      </c>
      <c r="E199" s="70" t="s">
        <v>257</v>
      </c>
      <c r="F199" s="9"/>
      <c r="G199" s="9">
        <v>3.78</v>
      </c>
      <c r="H199" s="9">
        <v>64.23</v>
      </c>
      <c r="I199" s="72">
        <v>14.0</v>
      </c>
      <c r="J199" s="72">
        <f t="shared" si="14"/>
        <v>4.587857143</v>
      </c>
      <c r="K199" s="73" t="s">
        <v>254</v>
      </c>
      <c r="L199" s="7">
        <v>1.0</v>
      </c>
    </row>
    <row r="200" ht="14.25" customHeight="1">
      <c r="A200" s="14">
        <v>35.0</v>
      </c>
      <c r="B200" s="9" t="s">
        <v>401</v>
      </c>
      <c r="C200" s="10" t="s">
        <v>437</v>
      </c>
      <c r="D200" s="11" t="s">
        <v>18</v>
      </c>
      <c r="E200" s="70" t="s">
        <v>257</v>
      </c>
      <c r="F200" s="9"/>
      <c r="G200" s="9">
        <v>2.88</v>
      </c>
      <c r="H200" s="9">
        <v>51.0</v>
      </c>
      <c r="I200" s="72">
        <v>14.0</v>
      </c>
      <c r="J200" s="72">
        <f t="shared" si="14"/>
        <v>3.642857143</v>
      </c>
      <c r="K200" s="74" t="s">
        <v>267</v>
      </c>
    </row>
    <row r="201" ht="14.25" customHeight="1">
      <c r="A201" s="14">
        <v>36.0</v>
      </c>
      <c r="B201" s="9" t="s">
        <v>401</v>
      </c>
      <c r="C201" s="10" t="s">
        <v>438</v>
      </c>
      <c r="D201" s="11" t="s">
        <v>18</v>
      </c>
      <c r="E201" s="70" t="s">
        <v>439</v>
      </c>
      <c r="F201" s="9"/>
      <c r="G201" s="9">
        <v>4.63</v>
      </c>
      <c r="H201" s="9">
        <v>67.0</v>
      </c>
      <c r="I201" s="72">
        <v>14.0</v>
      </c>
      <c r="J201" s="72">
        <f t="shared" si="14"/>
        <v>4.785714286</v>
      </c>
      <c r="K201" s="73" t="s">
        <v>254</v>
      </c>
      <c r="L201" s="7">
        <v>1.0</v>
      </c>
    </row>
    <row r="202" ht="14.25" customHeight="1">
      <c r="A202" s="14"/>
      <c r="B202" s="9"/>
      <c r="C202" s="10"/>
      <c r="D202" s="11"/>
      <c r="E202" s="70"/>
      <c r="F202" s="9"/>
      <c r="G202" s="9"/>
      <c r="H202" s="9"/>
      <c r="I202" s="72"/>
      <c r="J202" s="72"/>
      <c r="K202" s="73"/>
      <c r="L202" s="16">
        <f t="shared" ref="L202:N202" si="16">SUM(L166:L201)</f>
        <v>19</v>
      </c>
      <c r="M202" s="16">
        <f t="shared" si="16"/>
        <v>11</v>
      </c>
      <c r="N202" s="16">
        <f t="shared" si="16"/>
        <v>0</v>
      </c>
    </row>
    <row r="203" ht="14.25" customHeight="1">
      <c r="A203" s="14"/>
      <c r="B203" s="9"/>
      <c r="C203" s="10"/>
      <c r="D203" s="11"/>
      <c r="E203" s="70"/>
      <c r="F203" s="9"/>
      <c r="G203" s="9"/>
      <c r="H203" s="9"/>
      <c r="I203" s="72"/>
      <c r="J203" s="72"/>
      <c r="K203" s="73"/>
      <c r="L203" s="17">
        <f>L202/A201</f>
        <v>0.5277777778</v>
      </c>
      <c r="M203" s="17">
        <f>M202/A201</f>
        <v>0.3055555556</v>
      </c>
    </row>
    <row r="204" ht="14.25" customHeight="1">
      <c r="A204" s="14"/>
      <c r="B204" s="9"/>
      <c r="C204" s="10"/>
      <c r="D204" s="11"/>
      <c r="E204" s="70"/>
      <c r="F204" s="9"/>
      <c r="G204" s="9"/>
      <c r="H204" s="9"/>
      <c r="I204" s="72"/>
      <c r="J204" s="72"/>
      <c r="K204" s="73"/>
    </row>
    <row r="205" ht="14.25" customHeight="1">
      <c r="A205" s="11">
        <v>1.0</v>
      </c>
      <c r="B205" s="9" t="s">
        <v>101</v>
      </c>
      <c r="C205" s="19" t="s">
        <v>440</v>
      </c>
      <c r="D205" s="11" t="s">
        <v>18</v>
      </c>
      <c r="E205" s="70" t="s">
        <v>257</v>
      </c>
      <c r="F205" s="9">
        <v>7.5</v>
      </c>
      <c r="G205" s="9">
        <v>9.25</v>
      </c>
      <c r="H205" s="12">
        <v>79.0</v>
      </c>
      <c r="I205" s="72">
        <v>14.0</v>
      </c>
      <c r="J205" s="72">
        <f t="shared" ref="J205:J237" si="17">H205/I205</f>
        <v>5.642857143</v>
      </c>
      <c r="K205" s="73" t="s">
        <v>254</v>
      </c>
      <c r="L205" s="7">
        <v>1.0</v>
      </c>
    </row>
    <row r="206" ht="14.25" customHeight="1">
      <c r="A206" s="14">
        <v>2.0</v>
      </c>
      <c r="B206" s="9" t="s">
        <v>101</v>
      </c>
      <c r="C206" s="19" t="s">
        <v>441</v>
      </c>
      <c r="D206" s="11" t="s">
        <v>18</v>
      </c>
      <c r="E206" s="1" t="s">
        <v>257</v>
      </c>
      <c r="F206" s="9">
        <v>8.23</v>
      </c>
      <c r="G206" s="9">
        <v>9.3</v>
      </c>
      <c r="H206" s="9">
        <v>103.0</v>
      </c>
      <c r="I206" s="72">
        <v>14.0</v>
      </c>
      <c r="J206" s="72">
        <f t="shared" si="17"/>
        <v>7.357142857</v>
      </c>
      <c r="K206" s="73" t="s">
        <v>254</v>
      </c>
      <c r="L206" s="7">
        <v>1.0</v>
      </c>
    </row>
    <row r="207" ht="14.25" customHeight="1">
      <c r="A207" s="14">
        <v>3.0</v>
      </c>
      <c r="B207" s="9" t="s">
        <v>101</v>
      </c>
      <c r="C207" s="19" t="s">
        <v>442</v>
      </c>
      <c r="D207" s="11" t="s">
        <v>18</v>
      </c>
      <c r="E207" s="70" t="s">
        <v>257</v>
      </c>
      <c r="F207" s="9">
        <v>5.24</v>
      </c>
      <c r="G207" s="9">
        <v>6.99</v>
      </c>
      <c r="H207" s="9">
        <v>100.0</v>
      </c>
      <c r="I207" s="72">
        <v>14.0</v>
      </c>
      <c r="J207" s="72">
        <f t="shared" si="17"/>
        <v>7.142857143</v>
      </c>
      <c r="K207" s="73" t="s">
        <v>254</v>
      </c>
      <c r="L207" s="7">
        <v>1.0</v>
      </c>
    </row>
    <row r="208" ht="14.25" customHeight="1">
      <c r="A208" s="14">
        <v>4.0</v>
      </c>
      <c r="B208" s="9" t="s">
        <v>101</v>
      </c>
      <c r="C208" s="19" t="s">
        <v>443</v>
      </c>
      <c r="D208" s="11" t="s">
        <v>18</v>
      </c>
      <c r="E208" s="70" t="s">
        <v>257</v>
      </c>
      <c r="F208" s="9">
        <v>7.45</v>
      </c>
      <c r="G208" s="9">
        <v>8.65</v>
      </c>
      <c r="H208" s="9">
        <v>97.0</v>
      </c>
      <c r="I208" s="72">
        <v>14.0</v>
      </c>
      <c r="J208" s="72">
        <f t="shared" si="17"/>
        <v>6.928571429</v>
      </c>
      <c r="K208" s="73" t="s">
        <v>254</v>
      </c>
      <c r="L208" s="7">
        <v>1.0</v>
      </c>
    </row>
    <row r="209" ht="14.25" customHeight="1">
      <c r="A209" s="14">
        <v>5.0</v>
      </c>
      <c r="B209" s="9" t="s">
        <v>101</v>
      </c>
      <c r="C209" s="19" t="s">
        <v>444</v>
      </c>
      <c r="D209" s="11" t="s">
        <v>18</v>
      </c>
      <c r="E209" s="1" t="s">
        <v>257</v>
      </c>
      <c r="F209" s="9">
        <v>6.4</v>
      </c>
      <c r="G209" s="9">
        <v>8.01</v>
      </c>
      <c r="H209" s="9">
        <v>91.75</v>
      </c>
      <c r="I209" s="72">
        <v>14.0</v>
      </c>
      <c r="J209" s="72">
        <f t="shared" si="17"/>
        <v>6.553571429</v>
      </c>
      <c r="K209" s="73" t="s">
        <v>254</v>
      </c>
      <c r="L209" s="7">
        <v>1.0</v>
      </c>
    </row>
    <row r="210" ht="14.25" customHeight="1">
      <c r="A210" s="14">
        <v>6.0</v>
      </c>
      <c r="B210" s="9" t="s">
        <v>101</v>
      </c>
      <c r="C210" s="19" t="s">
        <v>445</v>
      </c>
      <c r="D210" s="11" t="s">
        <v>18</v>
      </c>
      <c r="E210" s="70" t="s">
        <v>257</v>
      </c>
      <c r="F210" s="9">
        <v>6.5</v>
      </c>
      <c r="G210" s="9">
        <v>7.5</v>
      </c>
      <c r="H210" s="9">
        <v>84.0</v>
      </c>
      <c r="I210" s="72">
        <v>14.0</v>
      </c>
      <c r="J210" s="72">
        <f t="shared" si="17"/>
        <v>6</v>
      </c>
      <c r="K210" s="73" t="s">
        <v>254</v>
      </c>
      <c r="L210" s="7">
        <v>1.0</v>
      </c>
    </row>
    <row r="211" ht="14.25" customHeight="1">
      <c r="A211" s="14">
        <v>7.0</v>
      </c>
      <c r="B211" s="9" t="s">
        <v>101</v>
      </c>
      <c r="C211" s="19" t="s">
        <v>103</v>
      </c>
      <c r="D211" s="11" t="s">
        <v>18</v>
      </c>
      <c r="E211" s="70" t="s">
        <v>257</v>
      </c>
      <c r="F211" s="9">
        <v>4.12</v>
      </c>
      <c r="G211" s="9">
        <v>5.72</v>
      </c>
      <c r="H211" s="12">
        <v>72.5</v>
      </c>
      <c r="I211" s="72">
        <v>14.0</v>
      </c>
      <c r="J211" s="72">
        <f t="shared" si="17"/>
        <v>5.178571429</v>
      </c>
      <c r="K211" s="73" t="s">
        <v>254</v>
      </c>
      <c r="L211" s="7">
        <v>1.0</v>
      </c>
    </row>
    <row r="212" ht="14.25" customHeight="1">
      <c r="A212" s="14">
        <v>8.0</v>
      </c>
      <c r="B212" s="9" t="s">
        <v>101</v>
      </c>
      <c r="C212" s="19" t="s">
        <v>446</v>
      </c>
      <c r="D212" s="11" t="s">
        <v>18</v>
      </c>
      <c r="E212" s="1" t="s">
        <v>257</v>
      </c>
      <c r="F212" s="9">
        <v>5.6</v>
      </c>
      <c r="G212" s="9">
        <v>6.75</v>
      </c>
      <c r="H212" s="9">
        <v>63.0</v>
      </c>
      <c r="I212" s="72">
        <v>14.0</v>
      </c>
      <c r="J212" s="72">
        <f t="shared" si="17"/>
        <v>4.5</v>
      </c>
      <c r="K212" s="73" t="s">
        <v>254</v>
      </c>
      <c r="L212" s="7">
        <v>1.0</v>
      </c>
    </row>
    <row r="213" ht="14.25" customHeight="1">
      <c r="A213" s="14">
        <v>9.0</v>
      </c>
      <c r="B213" s="9" t="s">
        <v>101</v>
      </c>
      <c r="C213" s="19" t="s">
        <v>447</v>
      </c>
      <c r="D213" s="11" t="s">
        <v>18</v>
      </c>
      <c r="E213" s="70" t="s">
        <v>257</v>
      </c>
      <c r="F213" s="9">
        <v>4.05</v>
      </c>
      <c r="G213" s="9">
        <v>5.95</v>
      </c>
      <c r="H213" s="9">
        <v>63.0</v>
      </c>
      <c r="I213" s="72">
        <v>14.0</v>
      </c>
      <c r="J213" s="72">
        <f t="shared" si="17"/>
        <v>4.5</v>
      </c>
      <c r="K213" s="73" t="s">
        <v>254</v>
      </c>
      <c r="L213" s="7">
        <v>1.0</v>
      </c>
    </row>
    <row r="214" ht="14.25" customHeight="1">
      <c r="A214" s="14">
        <v>10.0</v>
      </c>
      <c r="B214" s="9" t="s">
        <v>101</v>
      </c>
      <c r="C214" s="19" t="s">
        <v>448</v>
      </c>
      <c r="D214" s="11" t="s">
        <v>18</v>
      </c>
      <c r="E214" s="70" t="s">
        <v>257</v>
      </c>
      <c r="F214" s="9">
        <v>5.2</v>
      </c>
      <c r="G214" s="9">
        <v>5.56</v>
      </c>
      <c r="H214" s="12">
        <v>67.5</v>
      </c>
      <c r="I214" s="72">
        <v>14.0</v>
      </c>
      <c r="J214" s="72">
        <f t="shared" si="17"/>
        <v>4.821428571</v>
      </c>
      <c r="K214" s="73" t="s">
        <v>254</v>
      </c>
      <c r="L214" s="7">
        <v>1.0</v>
      </c>
    </row>
    <row r="215" ht="14.25" customHeight="1">
      <c r="A215" s="14">
        <v>11.0</v>
      </c>
      <c r="B215" s="9" t="s">
        <v>101</v>
      </c>
      <c r="C215" s="19" t="s">
        <v>449</v>
      </c>
      <c r="D215" s="11" t="s">
        <v>18</v>
      </c>
      <c r="E215" s="1" t="s">
        <v>257</v>
      </c>
      <c r="F215" s="9">
        <v>4.2</v>
      </c>
      <c r="G215" s="9">
        <v>6.5</v>
      </c>
      <c r="H215" s="9">
        <v>70.0</v>
      </c>
      <c r="I215" s="72">
        <v>14.0</v>
      </c>
      <c r="J215" s="72">
        <f t="shared" si="17"/>
        <v>5</v>
      </c>
      <c r="K215" s="73" t="s">
        <v>254</v>
      </c>
      <c r="L215" s="7">
        <v>1.0</v>
      </c>
    </row>
    <row r="216" ht="14.25" customHeight="1">
      <c r="A216" s="14">
        <v>12.0</v>
      </c>
      <c r="B216" s="9" t="s">
        <v>101</v>
      </c>
      <c r="C216" s="19" t="s">
        <v>450</v>
      </c>
      <c r="D216" s="11" t="s">
        <v>18</v>
      </c>
      <c r="E216" s="70" t="s">
        <v>257</v>
      </c>
      <c r="F216" s="9">
        <v>5.21</v>
      </c>
      <c r="G216" s="9">
        <v>6.8</v>
      </c>
      <c r="H216" s="9">
        <v>77.5</v>
      </c>
      <c r="I216" s="72">
        <v>14.0</v>
      </c>
      <c r="J216" s="72">
        <f t="shared" si="17"/>
        <v>5.535714286</v>
      </c>
      <c r="K216" s="73" t="s">
        <v>254</v>
      </c>
      <c r="L216" s="7">
        <v>1.0</v>
      </c>
    </row>
    <row r="217" ht="14.25" customHeight="1">
      <c r="A217" s="14">
        <v>13.0</v>
      </c>
      <c r="B217" s="9" t="s">
        <v>101</v>
      </c>
      <c r="C217" s="19" t="s">
        <v>366</v>
      </c>
      <c r="D217" s="11" t="s">
        <v>18</v>
      </c>
      <c r="E217" s="70" t="s">
        <v>257</v>
      </c>
      <c r="F217" s="9">
        <v>5.3</v>
      </c>
      <c r="G217" s="9">
        <v>5.93</v>
      </c>
      <c r="H217" s="9">
        <v>86.7</v>
      </c>
      <c r="I217" s="72">
        <v>14.0</v>
      </c>
      <c r="J217" s="72">
        <f t="shared" si="17"/>
        <v>6.192857143</v>
      </c>
      <c r="K217" s="73" t="s">
        <v>254</v>
      </c>
      <c r="L217" s="7">
        <v>1.0</v>
      </c>
    </row>
    <row r="218" ht="14.25" customHeight="1">
      <c r="A218" s="14">
        <v>14.0</v>
      </c>
      <c r="B218" s="9" t="s">
        <v>101</v>
      </c>
      <c r="C218" s="19" t="s">
        <v>451</v>
      </c>
      <c r="D218" s="11" t="s">
        <v>18</v>
      </c>
      <c r="E218" s="1" t="s">
        <v>257</v>
      </c>
      <c r="F218" s="9">
        <v>3.2</v>
      </c>
      <c r="G218" s="9">
        <v>4.65</v>
      </c>
      <c r="H218" s="9">
        <v>55.0</v>
      </c>
      <c r="I218" s="72">
        <v>14.0</v>
      </c>
      <c r="J218" s="72">
        <f t="shared" si="17"/>
        <v>3.928571429</v>
      </c>
      <c r="K218" s="9" t="s">
        <v>50</v>
      </c>
      <c r="M218" s="7">
        <v>1.0</v>
      </c>
    </row>
    <row r="219" ht="14.25" customHeight="1">
      <c r="A219" s="14">
        <v>15.0</v>
      </c>
      <c r="B219" s="9" t="s">
        <v>101</v>
      </c>
      <c r="C219" s="19" t="s">
        <v>452</v>
      </c>
      <c r="D219" s="11" t="s">
        <v>18</v>
      </c>
      <c r="E219" s="70" t="s">
        <v>257</v>
      </c>
      <c r="F219" s="9">
        <v>4.75</v>
      </c>
      <c r="G219" s="9">
        <v>6.47</v>
      </c>
      <c r="H219" s="9">
        <v>51.5</v>
      </c>
      <c r="I219" s="72">
        <v>14.0</v>
      </c>
      <c r="J219" s="72">
        <f t="shared" si="17"/>
        <v>3.678571429</v>
      </c>
      <c r="K219" s="9" t="s">
        <v>50</v>
      </c>
      <c r="M219" s="7">
        <v>1.0</v>
      </c>
    </row>
    <row r="220" ht="14.25" customHeight="1">
      <c r="A220" s="14">
        <v>16.0</v>
      </c>
      <c r="B220" s="9" t="s">
        <v>101</v>
      </c>
      <c r="C220" s="19" t="s">
        <v>453</v>
      </c>
      <c r="D220" s="11" t="s">
        <v>18</v>
      </c>
      <c r="E220" s="70" t="s">
        <v>257</v>
      </c>
      <c r="F220" s="9">
        <v>4.6</v>
      </c>
      <c r="G220" s="9">
        <v>6.05</v>
      </c>
      <c r="H220" s="9">
        <v>67.5</v>
      </c>
      <c r="I220" s="72">
        <v>14.0</v>
      </c>
      <c r="J220" s="72">
        <f t="shared" si="17"/>
        <v>4.821428571</v>
      </c>
      <c r="K220" s="73" t="s">
        <v>254</v>
      </c>
      <c r="L220" s="7">
        <v>1.0</v>
      </c>
    </row>
    <row r="221" ht="14.25" customHeight="1">
      <c r="A221" s="14">
        <v>17.0</v>
      </c>
      <c r="B221" s="9" t="s">
        <v>101</v>
      </c>
      <c r="C221" s="19" t="s">
        <v>454</v>
      </c>
      <c r="D221" s="11" t="s">
        <v>18</v>
      </c>
      <c r="E221" s="1" t="s">
        <v>257</v>
      </c>
      <c r="F221" s="9">
        <v>5.9</v>
      </c>
      <c r="G221" s="9">
        <v>6.5</v>
      </c>
      <c r="H221" s="9">
        <v>46.5</v>
      </c>
      <c r="I221" s="72">
        <v>14.0</v>
      </c>
      <c r="J221" s="72">
        <f t="shared" si="17"/>
        <v>3.321428571</v>
      </c>
      <c r="K221" s="9" t="s">
        <v>50</v>
      </c>
      <c r="M221" s="7">
        <v>1.0</v>
      </c>
    </row>
    <row r="222" ht="14.25" customHeight="1">
      <c r="A222" s="14">
        <v>18.0</v>
      </c>
      <c r="B222" s="9" t="s">
        <v>101</v>
      </c>
      <c r="C222" s="19" t="s">
        <v>455</v>
      </c>
      <c r="D222" s="11" t="s">
        <v>18</v>
      </c>
      <c r="E222" s="70" t="s">
        <v>257</v>
      </c>
      <c r="F222" s="9">
        <v>5.25</v>
      </c>
      <c r="G222" s="9">
        <v>5.55</v>
      </c>
      <c r="H222" s="12">
        <v>46.5</v>
      </c>
      <c r="I222" s="72">
        <v>14.0</v>
      </c>
      <c r="J222" s="72">
        <f t="shared" si="17"/>
        <v>3.321428571</v>
      </c>
      <c r="K222" s="9" t="s">
        <v>50</v>
      </c>
      <c r="M222" s="7">
        <v>1.0</v>
      </c>
    </row>
    <row r="223" ht="14.25" customHeight="1">
      <c r="A223" s="14">
        <v>19.0</v>
      </c>
      <c r="B223" s="9" t="s">
        <v>101</v>
      </c>
      <c r="C223" s="19" t="s">
        <v>456</v>
      </c>
      <c r="D223" s="11" t="s">
        <v>18</v>
      </c>
      <c r="E223" s="70" t="s">
        <v>257</v>
      </c>
      <c r="F223" s="9">
        <v>4.8</v>
      </c>
      <c r="G223" s="9">
        <v>6.69</v>
      </c>
      <c r="H223" s="9">
        <v>45.5</v>
      </c>
      <c r="I223" s="72">
        <v>14.0</v>
      </c>
      <c r="J223" s="72">
        <f t="shared" si="17"/>
        <v>3.25</v>
      </c>
      <c r="K223" s="9" t="s">
        <v>50</v>
      </c>
      <c r="M223" s="7">
        <v>1.0</v>
      </c>
    </row>
    <row r="224" ht="14.25" customHeight="1">
      <c r="A224" s="14">
        <v>20.0</v>
      </c>
      <c r="B224" s="9" t="s">
        <v>101</v>
      </c>
      <c r="C224" s="19" t="s">
        <v>457</v>
      </c>
      <c r="D224" s="11" t="s">
        <v>18</v>
      </c>
      <c r="E224" s="1" t="s">
        <v>257</v>
      </c>
      <c r="F224" s="9">
        <v>2.35</v>
      </c>
      <c r="G224" s="9">
        <v>4.94</v>
      </c>
      <c r="H224" s="9">
        <v>77.5</v>
      </c>
      <c r="I224" s="72">
        <v>14.0</v>
      </c>
      <c r="J224" s="72">
        <f t="shared" si="17"/>
        <v>5.535714286</v>
      </c>
      <c r="K224" s="73" t="s">
        <v>254</v>
      </c>
      <c r="L224" s="7">
        <v>1.0</v>
      </c>
    </row>
    <row r="225" ht="14.25" customHeight="1">
      <c r="A225" s="14">
        <v>23.0</v>
      </c>
      <c r="B225" s="9" t="s">
        <v>101</v>
      </c>
      <c r="C225" s="19" t="s">
        <v>458</v>
      </c>
      <c r="D225" s="11" t="s">
        <v>18</v>
      </c>
      <c r="E225" s="70" t="s">
        <v>257</v>
      </c>
      <c r="F225" s="9">
        <v>6.39</v>
      </c>
      <c r="G225" s="9">
        <v>7.54</v>
      </c>
      <c r="H225" s="9">
        <v>37.0</v>
      </c>
      <c r="I225" s="72">
        <v>14.0</v>
      </c>
      <c r="J225" s="72">
        <f t="shared" si="17"/>
        <v>2.642857143</v>
      </c>
      <c r="K225" s="9" t="s">
        <v>267</v>
      </c>
    </row>
    <row r="226" ht="14.25" customHeight="1">
      <c r="A226" s="14">
        <v>22.0</v>
      </c>
      <c r="B226" s="9" t="s">
        <v>101</v>
      </c>
      <c r="C226" s="19" t="s">
        <v>459</v>
      </c>
      <c r="D226" s="11" t="s">
        <v>18</v>
      </c>
      <c r="E226" s="70" t="s">
        <v>257</v>
      </c>
      <c r="F226" s="9">
        <v>4.5</v>
      </c>
      <c r="G226" s="9">
        <v>6.2</v>
      </c>
      <c r="H226" s="9">
        <v>36.0</v>
      </c>
      <c r="I226" s="72">
        <v>14.0</v>
      </c>
      <c r="J226" s="72">
        <f t="shared" si="17"/>
        <v>2.571428571</v>
      </c>
      <c r="K226" s="9" t="s">
        <v>50</v>
      </c>
      <c r="M226" s="7">
        <v>1.0</v>
      </c>
    </row>
    <row r="227" ht="14.25" customHeight="1">
      <c r="A227" s="14">
        <v>23.0</v>
      </c>
      <c r="B227" s="9" t="s">
        <v>101</v>
      </c>
      <c r="C227" s="19" t="s">
        <v>460</v>
      </c>
      <c r="D227" s="11" t="s">
        <v>18</v>
      </c>
      <c r="E227" s="1" t="s">
        <v>257</v>
      </c>
      <c r="F227" s="9">
        <v>4.3</v>
      </c>
      <c r="G227" s="9">
        <v>6.17</v>
      </c>
      <c r="H227" s="9">
        <v>36.0</v>
      </c>
      <c r="I227" s="72">
        <v>14.0</v>
      </c>
      <c r="J227" s="72">
        <f t="shared" si="17"/>
        <v>2.571428571</v>
      </c>
      <c r="K227" s="9" t="s">
        <v>267</v>
      </c>
    </row>
    <row r="228" ht="14.25" customHeight="1">
      <c r="A228" s="14">
        <v>24.0</v>
      </c>
      <c r="B228" s="9" t="s">
        <v>101</v>
      </c>
      <c r="C228" s="19" t="s">
        <v>461</v>
      </c>
      <c r="D228" s="11" t="s">
        <v>18</v>
      </c>
      <c r="E228" s="70" t="s">
        <v>257</v>
      </c>
      <c r="F228" s="9">
        <v>3.83</v>
      </c>
      <c r="G228" s="9">
        <v>6.03</v>
      </c>
      <c r="H228" s="9">
        <v>33.0</v>
      </c>
      <c r="I228" s="72">
        <v>14.0</v>
      </c>
      <c r="J228" s="72">
        <f t="shared" si="17"/>
        <v>2.357142857</v>
      </c>
      <c r="K228" s="9" t="s">
        <v>50</v>
      </c>
      <c r="M228" s="7">
        <v>1.0</v>
      </c>
    </row>
    <row r="229" ht="14.25" customHeight="1">
      <c r="A229" s="14">
        <v>25.0</v>
      </c>
      <c r="B229" s="9" t="s">
        <v>101</v>
      </c>
      <c r="C229" s="19" t="s">
        <v>462</v>
      </c>
      <c r="D229" s="11" t="s">
        <v>18</v>
      </c>
      <c r="E229" s="70" t="s">
        <v>257</v>
      </c>
      <c r="F229" s="9">
        <v>1.93</v>
      </c>
      <c r="G229" s="9">
        <v>3.35</v>
      </c>
      <c r="H229" s="9">
        <v>31.5</v>
      </c>
      <c r="I229" s="72">
        <v>14.0</v>
      </c>
      <c r="J229" s="72">
        <f t="shared" si="17"/>
        <v>2.25</v>
      </c>
      <c r="K229" s="9" t="s">
        <v>267</v>
      </c>
    </row>
    <row r="230" ht="14.25" customHeight="1">
      <c r="A230" s="14">
        <v>26.0</v>
      </c>
      <c r="B230" s="9" t="s">
        <v>101</v>
      </c>
      <c r="C230" s="19" t="s">
        <v>463</v>
      </c>
      <c r="D230" s="11" t="s">
        <v>18</v>
      </c>
      <c r="E230" s="1" t="s">
        <v>257</v>
      </c>
      <c r="F230" s="9">
        <v>4.5</v>
      </c>
      <c r="G230" s="9">
        <v>6.6</v>
      </c>
      <c r="H230" s="9">
        <v>30.75</v>
      </c>
      <c r="I230" s="72">
        <v>14.0</v>
      </c>
      <c r="J230" s="72">
        <f t="shared" si="17"/>
        <v>2.196428571</v>
      </c>
      <c r="K230" s="9" t="s">
        <v>50</v>
      </c>
      <c r="M230" s="7">
        <v>1.0</v>
      </c>
    </row>
    <row r="231" ht="14.25" customHeight="1">
      <c r="A231" s="14">
        <v>27.0</v>
      </c>
      <c r="B231" s="9" t="s">
        <v>101</v>
      </c>
      <c r="C231" s="19" t="s">
        <v>464</v>
      </c>
      <c r="D231" s="11" t="s">
        <v>18</v>
      </c>
      <c r="E231" s="70" t="s">
        <v>257</v>
      </c>
      <c r="F231" s="9">
        <v>5.0</v>
      </c>
      <c r="G231" s="9">
        <v>5.53</v>
      </c>
      <c r="H231" s="9">
        <v>67.5</v>
      </c>
      <c r="I231" s="72">
        <v>14.0</v>
      </c>
      <c r="J231" s="72">
        <f t="shared" si="17"/>
        <v>4.821428571</v>
      </c>
      <c r="K231" s="73" t="s">
        <v>254</v>
      </c>
      <c r="L231" s="7">
        <v>1.0</v>
      </c>
    </row>
    <row r="232" ht="14.25" customHeight="1">
      <c r="A232" s="14">
        <v>28.0</v>
      </c>
      <c r="B232" s="9" t="s">
        <v>101</v>
      </c>
      <c r="C232" s="19" t="s">
        <v>465</v>
      </c>
      <c r="D232" s="11" t="s">
        <v>18</v>
      </c>
      <c r="E232" s="70" t="s">
        <v>257</v>
      </c>
      <c r="F232" s="9">
        <v>2.01</v>
      </c>
      <c r="G232" s="9">
        <v>2.57</v>
      </c>
      <c r="H232" s="9">
        <v>26.5</v>
      </c>
      <c r="I232" s="72">
        <v>14.0</v>
      </c>
      <c r="J232" s="72">
        <f t="shared" si="17"/>
        <v>1.892857143</v>
      </c>
      <c r="K232" s="9" t="s">
        <v>50</v>
      </c>
      <c r="M232" s="7">
        <v>1.0</v>
      </c>
    </row>
    <row r="233" ht="14.25" customHeight="1">
      <c r="A233" s="14">
        <v>29.0</v>
      </c>
      <c r="B233" s="9" t="s">
        <v>101</v>
      </c>
      <c r="C233" s="19" t="s">
        <v>466</v>
      </c>
      <c r="D233" s="11" t="s">
        <v>18</v>
      </c>
      <c r="E233" s="1" t="s">
        <v>257</v>
      </c>
      <c r="F233" s="9">
        <v>3.16</v>
      </c>
      <c r="G233" s="9">
        <v>4.45</v>
      </c>
      <c r="H233" s="9">
        <v>18.0</v>
      </c>
      <c r="I233" s="72">
        <v>14.0</v>
      </c>
      <c r="J233" s="72">
        <f t="shared" si="17"/>
        <v>1.285714286</v>
      </c>
      <c r="K233" s="9" t="s">
        <v>50</v>
      </c>
      <c r="M233" s="7">
        <v>1.0</v>
      </c>
    </row>
    <row r="234" ht="14.25" customHeight="1">
      <c r="A234" s="14">
        <v>30.0</v>
      </c>
      <c r="B234" s="9" t="s">
        <v>101</v>
      </c>
      <c r="C234" s="19" t="s">
        <v>467</v>
      </c>
      <c r="D234" s="11" t="s">
        <v>18</v>
      </c>
      <c r="E234" s="70" t="s">
        <v>257</v>
      </c>
      <c r="F234" s="9">
        <v>3.75</v>
      </c>
      <c r="G234" s="9">
        <v>5.25</v>
      </c>
      <c r="H234" s="9">
        <v>17.5</v>
      </c>
      <c r="I234" s="72">
        <v>14.0</v>
      </c>
      <c r="J234" s="72">
        <f t="shared" si="17"/>
        <v>1.25</v>
      </c>
      <c r="K234" s="9" t="s">
        <v>50</v>
      </c>
      <c r="M234" s="7">
        <v>1.0</v>
      </c>
    </row>
    <row r="235" ht="14.25" customHeight="1">
      <c r="A235" s="14">
        <v>31.0</v>
      </c>
      <c r="B235" s="9" t="s">
        <v>101</v>
      </c>
      <c r="C235" s="19" t="s">
        <v>468</v>
      </c>
      <c r="D235" s="11" t="s">
        <v>18</v>
      </c>
      <c r="E235" s="70" t="s">
        <v>257</v>
      </c>
      <c r="F235" s="9">
        <v>2.3</v>
      </c>
      <c r="G235" s="9">
        <v>3.28</v>
      </c>
      <c r="H235" s="9">
        <v>15.0</v>
      </c>
      <c r="I235" s="72">
        <v>14.0</v>
      </c>
      <c r="J235" s="72">
        <f t="shared" si="17"/>
        <v>1.071428571</v>
      </c>
      <c r="K235" s="9" t="s">
        <v>50</v>
      </c>
      <c r="M235" s="7">
        <v>1.0</v>
      </c>
    </row>
    <row r="236" ht="14.25" customHeight="1">
      <c r="A236" s="14">
        <v>32.0</v>
      </c>
      <c r="B236" s="9" t="s">
        <v>101</v>
      </c>
      <c r="C236" s="19" t="s">
        <v>469</v>
      </c>
      <c r="D236" s="11" t="s">
        <v>18</v>
      </c>
      <c r="E236" s="1" t="s">
        <v>257</v>
      </c>
      <c r="F236" s="9">
        <v>2.85</v>
      </c>
      <c r="G236" s="9">
        <v>3.95</v>
      </c>
      <c r="H236" s="9">
        <v>61.0</v>
      </c>
      <c r="I236" s="72">
        <v>14.0</v>
      </c>
      <c r="J236" s="72">
        <f t="shared" si="17"/>
        <v>4.357142857</v>
      </c>
      <c r="K236" s="9" t="s">
        <v>50</v>
      </c>
      <c r="M236" s="7">
        <v>1.0</v>
      </c>
    </row>
    <row r="237" ht="14.25" customHeight="1">
      <c r="A237" s="80">
        <v>33.0</v>
      </c>
      <c r="B237" s="81" t="s">
        <v>101</v>
      </c>
      <c r="C237" s="82" t="s">
        <v>470</v>
      </c>
      <c r="D237" s="75" t="s">
        <v>18</v>
      </c>
      <c r="E237" s="83" t="s">
        <v>257</v>
      </c>
      <c r="F237" s="81">
        <v>1.5</v>
      </c>
      <c r="G237" s="81">
        <v>2.14</v>
      </c>
      <c r="H237" s="84">
        <v>56.11</v>
      </c>
      <c r="I237" s="85">
        <v>14.0</v>
      </c>
      <c r="J237" s="85">
        <f t="shared" si="17"/>
        <v>4.007857143</v>
      </c>
      <c r="K237" s="81" t="s">
        <v>50</v>
      </c>
      <c r="M237" s="7">
        <v>1.0</v>
      </c>
    </row>
    <row r="238" ht="14.25" customHeight="1">
      <c r="A238" s="14">
        <v>34.0</v>
      </c>
      <c r="B238" s="9" t="s">
        <v>101</v>
      </c>
      <c r="C238" s="34" t="s">
        <v>471</v>
      </c>
      <c r="D238" s="75" t="s">
        <v>18</v>
      </c>
      <c r="E238" s="70" t="s">
        <v>257</v>
      </c>
      <c r="F238" s="61">
        <v>3.56</v>
      </c>
      <c r="G238" s="61">
        <v>4.64</v>
      </c>
      <c r="H238" s="61">
        <v>70.43</v>
      </c>
      <c r="I238" s="72">
        <v>14.0</v>
      </c>
      <c r="J238" s="86">
        <v>5.03</v>
      </c>
      <c r="K238" s="87" t="s">
        <v>254</v>
      </c>
      <c r="L238" s="62">
        <v>1.0</v>
      </c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4.25" customHeight="1">
      <c r="A239" s="14">
        <v>35.0</v>
      </c>
      <c r="B239" s="9" t="s">
        <v>101</v>
      </c>
      <c r="C239" s="34" t="s">
        <v>472</v>
      </c>
      <c r="D239" s="75" t="s">
        <v>18</v>
      </c>
      <c r="E239" s="1" t="s">
        <v>257</v>
      </c>
      <c r="F239" s="61">
        <v>4.1</v>
      </c>
      <c r="G239" s="61">
        <v>5.51</v>
      </c>
      <c r="H239" s="61">
        <v>68.12</v>
      </c>
      <c r="I239" s="72">
        <v>14.0</v>
      </c>
      <c r="J239" s="86">
        <v>4.86</v>
      </c>
      <c r="K239" s="87" t="s">
        <v>254</v>
      </c>
      <c r="L239" s="62">
        <v>1.0</v>
      </c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4.25" customHeight="1">
      <c r="A240" s="14">
        <v>36.0</v>
      </c>
      <c r="B240" s="9" t="s">
        <v>101</v>
      </c>
      <c r="C240" s="34" t="s">
        <v>468</v>
      </c>
      <c r="D240" s="11" t="s">
        <v>18</v>
      </c>
      <c r="E240" s="9" t="s">
        <v>257</v>
      </c>
      <c r="F240" s="61">
        <v>4.8</v>
      </c>
      <c r="G240" s="61">
        <v>4.71</v>
      </c>
      <c r="H240" s="61">
        <v>98.74</v>
      </c>
      <c r="I240" s="72">
        <v>14.0</v>
      </c>
      <c r="J240" s="86">
        <v>7.05</v>
      </c>
      <c r="K240" s="87" t="s">
        <v>254</v>
      </c>
      <c r="L240" s="62">
        <v>1.0</v>
      </c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4.25" customHeight="1">
      <c r="C241" s="2"/>
      <c r="L241" s="16">
        <f t="shared" ref="L241:N241" si="18">SUM(L205:L240)</f>
        <v>19</v>
      </c>
      <c r="M241" s="16">
        <f t="shared" si="18"/>
        <v>14</v>
      </c>
      <c r="N241" s="16">
        <f t="shared" si="18"/>
        <v>0</v>
      </c>
    </row>
    <row r="242" ht="14.25" customHeight="1">
      <c r="C242" s="2"/>
      <c r="L242" s="17">
        <f>L241/A240</f>
        <v>0.5277777778</v>
      </c>
      <c r="M242" s="17">
        <f>M241/A240</f>
        <v>0.3888888889</v>
      </c>
    </row>
    <row r="243" ht="14.25" customHeight="1">
      <c r="C243" s="2"/>
      <c r="P243" s="20" t="s">
        <v>473</v>
      </c>
      <c r="Q243" s="21" t="s">
        <v>140</v>
      </c>
      <c r="R243" s="21" t="s">
        <v>474</v>
      </c>
      <c r="S243" s="21" t="s">
        <v>475</v>
      </c>
      <c r="T243" s="21" t="s">
        <v>143</v>
      </c>
      <c r="U243" s="21" t="s">
        <v>476</v>
      </c>
      <c r="V243" s="21" t="s">
        <v>145</v>
      </c>
      <c r="W243" s="21" t="s">
        <v>146</v>
      </c>
    </row>
    <row r="244" ht="14.25" customHeight="1">
      <c r="C244" s="2"/>
      <c r="P244" s="21"/>
      <c r="Q244" s="22">
        <f>A240+A201+A162+A136+A93+A49</f>
        <v>219</v>
      </c>
      <c r="R244" s="22">
        <f t="shared" ref="R244:T244" si="19">L241+L202+L163+L137+L94+L50</f>
        <v>120</v>
      </c>
      <c r="S244" s="22">
        <f t="shared" si="19"/>
        <v>78</v>
      </c>
      <c r="T244" s="22">
        <f t="shared" si="19"/>
        <v>0</v>
      </c>
      <c r="U244" s="23">
        <f>R244/Q244</f>
        <v>0.5479452055</v>
      </c>
      <c r="V244" s="23">
        <f>T244/Q244</f>
        <v>0</v>
      </c>
      <c r="W244" s="23">
        <f>S244/Q244</f>
        <v>0.3561643836</v>
      </c>
    </row>
    <row r="245" ht="14.25" customHeight="1">
      <c r="C245" s="2"/>
    </row>
    <row r="246" ht="14.25" customHeight="1">
      <c r="C246" s="2"/>
    </row>
    <row r="247" ht="14.25" customHeight="1">
      <c r="C247" s="2"/>
    </row>
    <row r="248" ht="14.25" customHeight="1">
      <c r="C248" s="2"/>
    </row>
    <row r="249" ht="14.25" customHeight="1">
      <c r="C249" s="2"/>
    </row>
    <row r="250" ht="14.25" customHeight="1">
      <c r="C250" s="2"/>
    </row>
    <row r="251" ht="14.25" customHeight="1">
      <c r="C251" s="2"/>
    </row>
    <row r="252" ht="14.25" customHeight="1">
      <c r="C252" s="2"/>
    </row>
    <row r="253" ht="14.25" customHeight="1">
      <c r="C253" s="2"/>
    </row>
    <row r="254" ht="14.25" customHeight="1">
      <c r="C254" s="2"/>
    </row>
    <row r="255" ht="14.25" customHeight="1">
      <c r="C255" s="2"/>
    </row>
    <row r="256" ht="14.25" customHeight="1">
      <c r="C256" s="2"/>
    </row>
    <row r="257" ht="14.25" customHeight="1">
      <c r="C257" s="2"/>
    </row>
    <row r="258" ht="14.25" customHeight="1">
      <c r="C258" s="2"/>
    </row>
    <row r="259" ht="14.25" customHeight="1">
      <c r="C259" s="2"/>
    </row>
    <row r="260" ht="14.25" customHeight="1">
      <c r="C260" s="2"/>
    </row>
    <row r="261" ht="14.25" customHeight="1">
      <c r="C261" s="2"/>
    </row>
    <row r="262" ht="14.25" customHeight="1">
      <c r="C262" s="2"/>
    </row>
    <row r="263" ht="14.25" customHeight="1">
      <c r="C263" s="2"/>
    </row>
    <row r="264" ht="14.25" customHeight="1">
      <c r="C264" s="2"/>
    </row>
    <row r="265" ht="14.25" customHeight="1">
      <c r="C265" s="2"/>
    </row>
    <row r="266" ht="14.25" customHeight="1">
      <c r="C266" s="2"/>
    </row>
    <row r="267" ht="14.25" customHeight="1">
      <c r="C267" s="2"/>
    </row>
    <row r="268" ht="14.25" customHeight="1">
      <c r="C268" s="2"/>
    </row>
    <row r="269" ht="14.25" customHeight="1">
      <c r="C269" s="2"/>
    </row>
    <row r="270" ht="14.25" customHeight="1">
      <c r="C270" s="2"/>
    </row>
    <row r="271" ht="14.25" customHeight="1">
      <c r="C271" s="2"/>
    </row>
    <row r="272" ht="14.25" customHeight="1">
      <c r="C272" s="2"/>
    </row>
    <row r="273" ht="14.25" customHeight="1">
      <c r="C273" s="2"/>
    </row>
    <row r="274" ht="14.25" customHeight="1">
      <c r="C274" s="2"/>
    </row>
    <row r="275" ht="14.25" customHeight="1">
      <c r="C275" s="2"/>
    </row>
    <row r="276" ht="14.25" customHeight="1">
      <c r="C276" s="2"/>
    </row>
    <row r="277" ht="14.25" customHeight="1">
      <c r="C277" s="2"/>
    </row>
    <row r="278" ht="14.25" customHeight="1">
      <c r="C278" s="2"/>
    </row>
    <row r="279" ht="14.25" customHeight="1">
      <c r="C279" s="2"/>
    </row>
    <row r="280" ht="14.25" customHeight="1">
      <c r="C280" s="2"/>
    </row>
    <row r="281" ht="14.25" customHeight="1">
      <c r="C281" s="2"/>
    </row>
    <row r="282" ht="14.25" customHeight="1">
      <c r="C282" s="2"/>
    </row>
    <row r="283" ht="14.25" customHeight="1">
      <c r="C283" s="2"/>
    </row>
    <row r="284" ht="14.25" customHeight="1">
      <c r="C284" s="2"/>
    </row>
    <row r="285" ht="14.25" customHeight="1">
      <c r="C285" s="2"/>
    </row>
    <row r="286" ht="14.25" customHeight="1">
      <c r="C286" s="2"/>
    </row>
    <row r="287" ht="14.25" customHeight="1">
      <c r="C287" s="2"/>
    </row>
    <row r="288" ht="14.25" customHeight="1">
      <c r="C288" s="2"/>
    </row>
    <row r="289" ht="14.25" customHeight="1">
      <c r="C289" s="2"/>
    </row>
    <row r="290" ht="14.25" customHeight="1">
      <c r="C290" s="2"/>
    </row>
    <row r="291" ht="14.25" customHeight="1">
      <c r="C291" s="2"/>
    </row>
    <row r="292" ht="14.25" customHeight="1">
      <c r="C292" s="2"/>
    </row>
    <row r="293" ht="14.25" customHeight="1">
      <c r="C293" s="2"/>
    </row>
    <row r="294" ht="14.25" customHeight="1">
      <c r="C294" s="2"/>
    </row>
    <row r="295" ht="14.25" customHeight="1">
      <c r="C295" s="2"/>
    </row>
    <row r="296" ht="14.25" customHeight="1">
      <c r="C296" s="2"/>
    </row>
    <row r="297" ht="14.25" customHeight="1">
      <c r="C297" s="2"/>
    </row>
    <row r="298" ht="14.25" customHeight="1">
      <c r="C298" s="2"/>
    </row>
    <row r="299" ht="14.25" customHeight="1">
      <c r="C299" s="2"/>
    </row>
    <row r="300" ht="14.25" customHeight="1">
      <c r="C300" s="2"/>
    </row>
    <row r="301" ht="14.25" customHeight="1">
      <c r="C301" s="2"/>
    </row>
    <row r="302" ht="14.25" customHeight="1">
      <c r="C302" s="2"/>
    </row>
    <row r="303" ht="14.25" customHeight="1">
      <c r="C303" s="2"/>
    </row>
    <row r="304" ht="14.25" customHeight="1">
      <c r="C304" s="2"/>
    </row>
    <row r="305" ht="14.25" customHeight="1">
      <c r="C305" s="2"/>
    </row>
    <row r="306" ht="14.25" customHeight="1">
      <c r="C306" s="2"/>
    </row>
    <row r="307" ht="14.25" customHeight="1">
      <c r="C307" s="2"/>
    </row>
    <row r="308" ht="14.25" customHeight="1">
      <c r="C308" s="2"/>
    </row>
    <row r="309" ht="14.25" customHeight="1">
      <c r="C309" s="2"/>
    </row>
    <row r="310" ht="14.25" customHeight="1">
      <c r="C310" s="2"/>
    </row>
    <row r="311" ht="14.25" customHeight="1">
      <c r="C311" s="2"/>
    </row>
    <row r="312" ht="14.25" customHeight="1">
      <c r="C312" s="2"/>
    </row>
    <row r="313" ht="14.25" customHeight="1">
      <c r="C313" s="2"/>
    </row>
    <row r="314" ht="14.25" customHeight="1">
      <c r="C314" s="2"/>
    </row>
    <row r="315" ht="14.25" customHeight="1">
      <c r="C315" s="2"/>
    </row>
    <row r="316" ht="14.25" customHeight="1">
      <c r="C316" s="2"/>
    </row>
    <row r="317" ht="14.25" customHeight="1">
      <c r="C317" s="2"/>
    </row>
    <row r="318" ht="14.25" customHeight="1">
      <c r="C318" s="2"/>
    </row>
    <row r="319" ht="14.25" customHeight="1">
      <c r="C319" s="2"/>
    </row>
    <row r="320" ht="14.25" customHeight="1">
      <c r="C320" s="2"/>
    </row>
    <row r="321" ht="14.25" customHeight="1">
      <c r="C321" s="2"/>
    </row>
    <row r="322" ht="14.25" customHeight="1">
      <c r="C322" s="2"/>
    </row>
    <row r="323" ht="14.25" customHeight="1">
      <c r="C323" s="2"/>
    </row>
    <row r="324" ht="14.25" customHeight="1">
      <c r="C324" s="2"/>
    </row>
    <row r="325" ht="14.25" customHeight="1">
      <c r="C325" s="2"/>
    </row>
    <row r="326" ht="14.25" customHeight="1">
      <c r="C326" s="2"/>
    </row>
    <row r="327" ht="14.25" customHeight="1">
      <c r="C327" s="2"/>
    </row>
    <row r="328" ht="14.25" customHeight="1">
      <c r="C328" s="2"/>
    </row>
    <row r="329" ht="14.25" customHeight="1">
      <c r="C329" s="2"/>
    </row>
    <row r="330" ht="14.25" customHeight="1">
      <c r="C330" s="2"/>
    </row>
    <row r="331" ht="14.25" customHeight="1">
      <c r="C331" s="2"/>
    </row>
    <row r="332" ht="14.25" customHeight="1">
      <c r="C332" s="2"/>
    </row>
    <row r="333" ht="14.25" customHeight="1">
      <c r="C333" s="2"/>
    </row>
    <row r="334" ht="14.25" customHeight="1">
      <c r="C334" s="2"/>
    </row>
    <row r="335" ht="14.25" customHeight="1">
      <c r="C335" s="2"/>
    </row>
    <row r="336" ht="14.25" customHeight="1">
      <c r="C336" s="2"/>
    </row>
    <row r="337" ht="14.25" customHeight="1">
      <c r="C337" s="2"/>
    </row>
    <row r="338" ht="14.25" customHeight="1">
      <c r="C338" s="2"/>
    </row>
    <row r="339" ht="14.25" customHeight="1">
      <c r="C339" s="2"/>
    </row>
    <row r="340" ht="14.25" customHeight="1">
      <c r="C340" s="2"/>
    </row>
    <row r="341" ht="14.25" customHeight="1">
      <c r="C341" s="2"/>
    </row>
    <row r="342" ht="14.25" customHeight="1">
      <c r="C342" s="2"/>
    </row>
    <row r="343" ht="14.25" customHeight="1">
      <c r="C343" s="2"/>
    </row>
    <row r="344" ht="14.25" customHeight="1">
      <c r="C344" s="2"/>
    </row>
    <row r="345" ht="14.25" customHeight="1">
      <c r="C345" s="2"/>
    </row>
    <row r="346" ht="14.25" customHeight="1">
      <c r="C346" s="2"/>
    </row>
    <row r="347" ht="14.25" customHeight="1">
      <c r="C347" s="2"/>
    </row>
    <row r="348" ht="14.25" customHeight="1">
      <c r="C348" s="2"/>
    </row>
    <row r="349" ht="14.25" customHeight="1">
      <c r="C349" s="2"/>
    </row>
    <row r="350" ht="14.25" customHeight="1">
      <c r="C350" s="2"/>
    </row>
    <row r="351" ht="14.25" customHeight="1">
      <c r="C351" s="2"/>
    </row>
    <row r="352" ht="14.25" customHeight="1">
      <c r="C352" s="2"/>
    </row>
    <row r="353" ht="14.25" customHeight="1">
      <c r="C353" s="2"/>
    </row>
    <row r="354" ht="14.25" customHeight="1">
      <c r="C354" s="2"/>
    </row>
    <row r="355" ht="14.25" customHeight="1">
      <c r="C355" s="2"/>
    </row>
    <row r="356" ht="14.25" customHeight="1">
      <c r="C356" s="2"/>
    </row>
    <row r="357" ht="14.25" customHeight="1">
      <c r="C357" s="2"/>
    </row>
    <row r="358" ht="14.25" customHeight="1">
      <c r="C358" s="2"/>
    </row>
    <row r="359" ht="14.25" customHeight="1">
      <c r="C359" s="2"/>
    </row>
    <row r="360" ht="14.25" customHeight="1">
      <c r="C360" s="2"/>
    </row>
    <row r="361" ht="14.25" customHeight="1">
      <c r="C361" s="2"/>
    </row>
    <row r="362" ht="14.25" customHeight="1">
      <c r="C362" s="2"/>
    </row>
    <row r="363" ht="14.25" customHeight="1">
      <c r="C363" s="2"/>
    </row>
    <row r="364" ht="14.25" customHeight="1">
      <c r="C364" s="2"/>
    </row>
    <row r="365" ht="14.25" customHeight="1">
      <c r="C365" s="2"/>
    </row>
    <row r="366" ht="14.25" customHeight="1">
      <c r="C366" s="2"/>
    </row>
    <row r="367" ht="14.25" customHeight="1">
      <c r="C367" s="2"/>
    </row>
    <row r="368" ht="14.25" customHeight="1">
      <c r="C368" s="2"/>
    </row>
    <row r="369" ht="14.25" customHeight="1">
      <c r="C369" s="2"/>
    </row>
    <row r="370" ht="14.25" customHeight="1">
      <c r="C370" s="2"/>
    </row>
    <row r="371" ht="14.25" customHeight="1">
      <c r="C371" s="2"/>
    </row>
    <row r="372" ht="14.25" customHeight="1">
      <c r="C372" s="2"/>
    </row>
    <row r="373" ht="14.25" customHeight="1">
      <c r="C373" s="2"/>
    </row>
    <row r="374" ht="14.25" customHeight="1">
      <c r="C374" s="2"/>
    </row>
    <row r="375" ht="14.25" customHeight="1">
      <c r="C375" s="2"/>
    </row>
    <row r="376" ht="14.25" customHeight="1">
      <c r="C376" s="2"/>
    </row>
    <row r="377" ht="14.25" customHeight="1">
      <c r="C377" s="2"/>
    </row>
    <row r="378" ht="14.25" customHeight="1">
      <c r="C378" s="2"/>
    </row>
    <row r="379" ht="14.25" customHeight="1">
      <c r="C379" s="2"/>
    </row>
    <row r="380" ht="14.25" customHeight="1">
      <c r="C380" s="2"/>
    </row>
    <row r="381" ht="14.25" customHeight="1">
      <c r="C381" s="2"/>
    </row>
    <row r="382" ht="14.25" customHeight="1">
      <c r="C382" s="2"/>
    </row>
    <row r="383" ht="14.25" customHeight="1">
      <c r="C383" s="2"/>
    </row>
    <row r="384" ht="14.25" customHeight="1">
      <c r="C384" s="2"/>
    </row>
    <row r="385" ht="14.25" customHeight="1">
      <c r="C385" s="2"/>
    </row>
    <row r="386" ht="14.25" customHeight="1">
      <c r="C386" s="2"/>
    </row>
    <row r="387" ht="14.25" customHeight="1">
      <c r="C387" s="2"/>
    </row>
    <row r="388" ht="14.25" customHeight="1">
      <c r="C388" s="2"/>
    </row>
    <row r="389" ht="14.25" customHeight="1">
      <c r="C389" s="2"/>
    </row>
    <row r="390" ht="14.25" customHeight="1">
      <c r="C390" s="2"/>
    </row>
    <row r="391" ht="14.25" customHeight="1">
      <c r="C391" s="2"/>
    </row>
    <row r="392" ht="14.25" customHeight="1">
      <c r="C392" s="2"/>
    </row>
    <row r="393" ht="14.25" customHeight="1">
      <c r="C393" s="2"/>
    </row>
    <row r="394" ht="14.25" customHeight="1">
      <c r="C394" s="2"/>
    </row>
    <row r="395" ht="14.25" customHeight="1">
      <c r="C395" s="2"/>
    </row>
    <row r="396" ht="14.25" customHeight="1">
      <c r="C396" s="2"/>
    </row>
    <row r="397" ht="14.25" customHeight="1">
      <c r="C397" s="2"/>
    </row>
    <row r="398" ht="14.25" customHeight="1">
      <c r="C398" s="2"/>
    </row>
    <row r="399" ht="14.25" customHeight="1">
      <c r="C399" s="2"/>
    </row>
    <row r="400" ht="14.25" customHeight="1">
      <c r="C400" s="2"/>
    </row>
    <row r="401" ht="14.25" customHeight="1">
      <c r="C401" s="2"/>
    </row>
    <row r="402" ht="14.25" customHeight="1">
      <c r="C402" s="2"/>
    </row>
    <row r="403" ht="14.25" customHeight="1">
      <c r="C403" s="2"/>
    </row>
    <row r="404" ht="14.25" customHeight="1">
      <c r="C404" s="2"/>
    </row>
    <row r="405" ht="14.25" customHeight="1">
      <c r="C405" s="2"/>
    </row>
    <row r="406" ht="14.25" customHeight="1">
      <c r="C406" s="2"/>
    </row>
    <row r="407" ht="14.25" customHeight="1">
      <c r="C407" s="2"/>
    </row>
    <row r="408" ht="14.25" customHeight="1">
      <c r="C408" s="2"/>
    </row>
    <row r="409" ht="14.25" customHeight="1">
      <c r="C409" s="2"/>
    </row>
    <row r="410" ht="14.25" customHeight="1">
      <c r="C410" s="2"/>
    </row>
    <row r="411" ht="14.25" customHeight="1">
      <c r="C411" s="2"/>
    </row>
    <row r="412" ht="14.25" customHeight="1">
      <c r="C412" s="2"/>
    </row>
    <row r="413" ht="14.25" customHeight="1">
      <c r="C413" s="2"/>
    </row>
    <row r="414" ht="14.25" customHeight="1">
      <c r="C414" s="2"/>
    </row>
    <row r="415" ht="14.25" customHeight="1">
      <c r="C415" s="2"/>
    </row>
    <row r="416" ht="14.25" customHeight="1">
      <c r="C416" s="2"/>
    </row>
    <row r="417" ht="14.25" customHeight="1">
      <c r="C417" s="2"/>
    </row>
    <row r="418" ht="14.25" customHeight="1">
      <c r="C418" s="2"/>
    </row>
    <row r="419" ht="14.25" customHeight="1">
      <c r="C419" s="2"/>
    </row>
    <row r="420" ht="14.25" customHeight="1">
      <c r="C420" s="2"/>
    </row>
    <row r="421" ht="14.25" customHeight="1">
      <c r="C421" s="2"/>
    </row>
    <row r="422" ht="14.25" customHeight="1">
      <c r="C422" s="2"/>
    </row>
    <row r="423" ht="14.25" customHeight="1">
      <c r="C423" s="2"/>
    </row>
    <row r="424" ht="14.25" customHeight="1">
      <c r="C424" s="2"/>
    </row>
    <row r="425" ht="14.25" customHeight="1">
      <c r="C425" s="2"/>
    </row>
    <row r="426" ht="14.25" customHeight="1">
      <c r="C426" s="2"/>
    </row>
    <row r="427" ht="14.25" customHeight="1">
      <c r="C427" s="2"/>
    </row>
    <row r="428" ht="14.25" customHeight="1">
      <c r="C428" s="2"/>
    </row>
    <row r="429" ht="14.25" customHeight="1">
      <c r="C429" s="2"/>
    </row>
    <row r="430" ht="14.25" customHeight="1">
      <c r="C430" s="2"/>
    </row>
    <row r="431" ht="14.25" customHeight="1">
      <c r="C431" s="2"/>
    </row>
    <row r="432" ht="14.25" customHeight="1">
      <c r="C432" s="2"/>
    </row>
    <row r="433" ht="14.25" customHeight="1">
      <c r="C433" s="2"/>
    </row>
    <row r="434" ht="14.25" customHeight="1">
      <c r="C434" s="2"/>
    </row>
    <row r="435" ht="14.25" customHeight="1">
      <c r="C435" s="2"/>
    </row>
    <row r="436" ht="14.25" customHeight="1">
      <c r="C436" s="2"/>
    </row>
    <row r="437" ht="14.25" customHeight="1">
      <c r="C437" s="2"/>
    </row>
    <row r="438" ht="14.25" customHeight="1">
      <c r="C438" s="2"/>
    </row>
    <row r="439" ht="14.25" customHeight="1">
      <c r="C439" s="2"/>
    </row>
    <row r="440" ht="14.25" customHeight="1">
      <c r="C440" s="2"/>
    </row>
    <row r="441" ht="14.25" customHeight="1">
      <c r="C441" s="2"/>
    </row>
    <row r="442" ht="14.25" customHeight="1">
      <c r="C442" s="2"/>
    </row>
    <row r="443" ht="14.25" customHeight="1">
      <c r="C443" s="2"/>
    </row>
    <row r="444" ht="14.25" customHeight="1">
      <c r="C444" s="2"/>
    </row>
    <row r="445" ht="14.25" customHeight="1">
      <c r="C445" s="2"/>
    </row>
    <row r="446" ht="14.25" customHeight="1">
      <c r="C446" s="2"/>
    </row>
    <row r="447" ht="14.25" customHeight="1">
      <c r="C447" s="2"/>
    </row>
    <row r="448" ht="14.25" customHeight="1">
      <c r="C448" s="2"/>
    </row>
    <row r="449" ht="14.25" customHeight="1">
      <c r="C449" s="2"/>
    </row>
    <row r="450" ht="14.25" customHeight="1">
      <c r="C450" s="2"/>
    </row>
    <row r="451" ht="14.25" customHeight="1">
      <c r="C451" s="2"/>
    </row>
    <row r="452" ht="14.25" customHeight="1">
      <c r="C452" s="2"/>
    </row>
    <row r="453" ht="14.25" customHeight="1">
      <c r="C453" s="2"/>
    </row>
    <row r="454" ht="14.25" customHeight="1">
      <c r="C454" s="2"/>
    </row>
    <row r="455" ht="14.25" customHeight="1">
      <c r="C455" s="2"/>
    </row>
    <row r="456" ht="14.25" customHeight="1">
      <c r="C456" s="2"/>
    </row>
    <row r="457" ht="14.25" customHeight="1">
      <c r="C457" s="2"/>
    </row>
    <row r="458" ht="14.25" customHeight="1">
      <c r="C458" s="2"/>
    </row>
    <row r="459" ht="14.25" customHeight="1">
      <c r="C459" s="2"/>
    </row>
    <row r="460" ht="14.25" customHeight="1">
      <c r="C460" s="2"/>
    </row>
    <row r="461" ht="14.25" customHeight="1">
      <c r="C461" s="2"/>
    </row>
    <row r="462" ht="14.25" customHeight="1">
      <c r="C462" s="2"/>
    </row>
    <row r="463" ht="14.25" customHeight="1">
      <c r="C463" s="2"/>
    </row>
    <row r="464" ht="14.25" customHeight="1">
      <c r="C464" s="2"/>
    </row>
    <row r="465" ht="14.25" customHeight="1">
      <c r="C465" s="2"/>
    </row>
    <row r="466" ht="14.25" customHeight="1">
      <c r="C466" s="2"/>
    </row>
    <row r="467" ht="14.25" customHeight="1">
      <c r="C467" s="2"/>
    </row>
    <row r="468" ht="14.25" customHeight="1">
      <c r="C468" s="2"/>
    </row>
    <row r="469" ht="14.25" customHeight="1">
      <c r="C469" s="2"/>
    </row>
    <row r="470" ht="14.25" customHeight="1">
      <c r="C470" s="2"/>
    </row>
    <row r="471" ht="14.25" customHeight="1">
      <c r="C471" s="2"/>
    </row>
    <row r="472" ht="14.25" customHeight="1">
      <c r="C472" s="2"/>
    </row>
    <row r="473" ht="14.25" customHeight="1">
      <c r="C473" s="2"/>
    </row>
    <row r="474" ht="14.25" customHeight="1">
      <c r="C474" s="2"/>
    </row>
    <row r="475" ht="14.25" customHeight="1">
      <c r="C475" s="2"/>
    </row>
    <row r="476" ht="14.25" customHeight="1">
      <c r="C476" s="2"/>
    </row>
    <row r="477" ht="14.25" customHeight="1">
      <c r="C477" s="2"/>
    </row>
    <row r="478" ht="14.25" customHeight="1">
      <c r="C478" s="2"/>
    </row>
    <row r="479" ht="14.25" customHeight="1">
      <c r="C479" s="2"/>
    </row>
    <row r="480" ht="14.25" customHeight="1">
      <c r="C480" s="2"/>
    </row>
    <row r="481" ht="14.25" customHeight="1">
      <c r="C481" s="2"/>
    </row>
    <row r="482" ht="14.25" customHeight="1">
      <c r="C482" s="2"/>
    </row>
    <row r="483" ht="14.25" customHeight="1">
      <c r="C483" s="2"/>
    </row>
    <row r="484" ht="14.25" customHeight="1">
      <c r="C484" s="2"/>
    </row>
    <row r="485" ht="14.25" customHeight="1">
      <c r="C485" s="2"/>
    </row>
    <row r="486" ht="14.25" customHeight="1">
      <c r="C486" s="2"/>
    </row>
    <row r="487" ht="14.25" customHeight="1">
      <c r="C487" s="2"/>
    </row>
    <row r="488" ht="14.25" customHeight="1">
      <c r="C488" s="2"/>
    </row>
    <row r="489" ht="14.25" customHeight="1">
      <c r="C489" s="2"/>
    </row>
    <row r="490" ht="14.25" customHeight="1">
      <c r="C490" s="2"/>
    </row>
    <row r="491" ht="14.25" customHeight="1">
      <c r="C491" s="2"/>
    </row>
    <row r="492" ht="14.25" customHeight="1">
      <c r="C492" s="2"/>
    </row>
    <row r="493" ht="14.25" customHeight="1">
      <c r="C493" s="2"/>
    </row>
    <row r="494" ht="14.25" customHeight="1">
      <c r="C494" s="2"/>
    </row>
    <row r="495" ht="14.25" customHeight="1">
      <c r="C495" s="2"/>
    </row>
    <row r="496" ht="14.25" customHeight="1">
      <c r="C496" s="2"/>
    </row>
    <row r="497" ht="14.25" customHeight="1">
      <c r="C497" s="2"/>
    </row>
    <row r="498" ht="14.25" customHeight="1">
      <c r="C498" s="2"/>
    </row>
    <row r="499" ht="14.25" customHeight="1">
      <c r="C499" s="2"/>
    </row>
    <row r="500" ht="14.25" customHeight="1">
      <c r="C500" s="2"/>
    </row>
    <row r="501" ht="14.25" customHeight="1">
      <c r="C501" s="2"/>
    </row>
    <row r="502" ht="14.25" customHeight="1">
      <c r="C502" s="2"/>
    </row>
    <row r="503" ht="14.25" customHeight="1">
      <c r="C503" s="2"/>
    </row>
    <row r="504" ht="14.25" customHeight="1">
      <c r="C504" s="2"/>
    </row>
    <row r="505" ht="14.25" customHeight="1">
      <c r="C505" s="2"/>
    </row>
    <row r="506" ht="14.25" customHeight="1">
      <c r="C506" s="2"/>
    </row>
    <row r="507" ht="14.25" customHeight="1">
      <c r="C507" s="2"/>
    </row>
    <row r="508" ht="14.25" customHeight="1">
      <c r="C508" s="2"/>
    </row>
    <row r="509" ht="14.25" customHeight="1">
      <c r="C509" s="2"/>
    </row>
    <row r="510" ht="14.25" customHeight="1">
      <c r="C510" s="2"/>
    </row>
    <row r="511" ht="14.25" customHeight="1">
      <c r="C511" s="2"/>
    </row>
    <row r="512" ht="14.25" customHeight="1">
      <c r="C512" s="2"/>
    </row>
    <row r="513" ht="14.25" customHeight="1">
      <c r="C513" s="2"/>
    </row>
    <row r="514" ht="14.25" customHeight="1">
      <c r="C514" s="2"/>
    </row>
    <row r="515" ht="14.25" customHeight="1">
      <c r="C515" s="2"/>
    </row>
    <row r="516" ht="14.25" customHeight="1">
      <c r="C516" s="2"/>
    </row>
    <row r="517" ht="14.25" customHeight="1">
      <c r="C517" s="2"/>
    </row>
    <row r="518" ht="14.25" customHeight="1">
      <c r="C518" s="2"/>
    </row>
    <row r="519" ht="14.25" customHeight="1">
      <c r="C519" s="2"/>
    </row>
    <row r="520" ht="14.25" customHeight="1">
      <c r="C520" s="2"/>
    </row>
    <row r="521" ht="14.25" customHeight="1">
      <c r="C521" s="2"/>
    </row>
    <row r="522" ht="14.25" customHeight="1">
      <c r="C522" s="2"/>
    </row>
    <row r="523" ht="14.25" customHeight="1">
      <c r="C523" s="2"/>
    </row>
    <row r="524" ht="14.25" customHeight="1">
      <c r="C524" s="2"/>
    </row>
    <row r="525" ht="14.25" customHeight="1">
      <c r="C525" s="2"/>
    </row>
    <row r="526" ht="14.25" customHeight="1">
      <c r="C526" s="2"/>
    </row>
    <row r="527" ht="14.25" customHeight="1">
      <c r="C527" s="2"/>
    </row>
    <row r="528" ht="14.25" customHeight="1">
      <c r="C528" s="2"/>
    </row>
    <row r="529" ht="14.25" customHeight="1">
      <c r="C529" s="2"/>
    </row>
    <row r="530" ht="14.25" customHeight="1">
      <c r="C530" s="2"/>
    </row>
    <row r="531" ht="14.25" customHeight="1">
      <c r="C531" s="2"/>
    </row>
    <row r="532" ht="14.25" customHeight="1">
      <c r="C532" s="2"/>
    </row>
    <row r="533" ht="14.25" customHeight="1">
      <c r="C533" s="2"/>
    </row>
    <row r="534" ht="14.25" customHeight="1">
      <c r="C534" s="2"/>
    </row>
    <row r="535" ht="14.25" customHeight="1">
      <c r="C535" s="2"/>
    </row>
    <row r="536" ht="14.25" customHeight="1">
      <c r="C536" s="2"/>
    </row>
    <row r="537" ht="14.25" customHeight="1">
      <c r="C537" s="2"/>
    </row>
    <row r="538" ht="14.25" customHeight="1">
      <c r="C538" s="2"/>
    </row>
    <row r="539" ht="14.25" customHeight="1">
      <c r="C539" s="2"/>
    </row>
    <row r="540" ht="14.25" customHeight="1">
      <c r="C540" s="2"/>
    </row>
    <row r="541" ht="14.25" customHeight="1">
      <c r="C541" s="2"/>
    </row>
    <row r="542" ht="14.25" customHeight="1">
      <c r="C542" s="2"/>
    </row>
    <row r="543" ht="14.25" customHeight="1">
      <c r="C543" s="2"/>
    </row>
    <row r="544" ht="14.25" customHeight="1">
      <c r="C544" s="2"/>
    </row>
    <row r="545" ht="14.25" customHeight="1">
      <c r="C545" s="2"/>
    </row>
    <row r="546" ht="14.25" customHeight="1">
      <c r="C546" s="2"/>
    </row>
    <row r="547" ht="14.25" customHeight="1">
      <c r="C547" s="2"/>
    </row>
    <row r="548" ht="14.25" customHeight="1">
      <c r="C548" s="2"/>
    </row>
    <row r="549" ht="14.25" customHeight="1">
      <c r="C549" s="2"/>
    </row>
    <row r="550" ht="14.25" customHeight="1">
      <c r="C550" s="2"/>
    </row>
    <row r="551" ht="14.25" customHeight="1">
      <c r="C551" s="2"/>
    </row>
    <row r="552" ht="14.25" customHeight="1">
      <c r="C552" s="2"/>
    </row>
    <row r="553" ht="14.25" customHeight="1">
      <c r="C553" s="2"/>
    </row>
    <row r="554" ht="14.25" customHeight="1">
      <c r="C554" s="2"/>
    </row>
    <row r="555" ht="14.25" customHeight="1">
      <c r="C555" s="2"/>
    </row>
    <row r="556" ht="14.25" customHeight="1">
      <c r="C556" s="2"/>
    </row>
    <row r="557" ht="14.25" customHeight="1">
      <c r="C557" s="2"/>
    </row>
    <row r="558" ht="14.25" customHeight="1">
      <c r="C558" s="2"/>
    </row>
    <row r="559" ht="14.25" customHeight="1">
      <c r="C559" s="2"/>
    </row>
    <row r="560" ht="14.25" customHeight="1">
      <c r="C560" s="2"/>
    </row>
    <row r="561" ht="14.25" customHeight="1">
      <c r="C561" s="2"/>
    </row>
    <row r="562" ht="14.25" customHeight="1">
      <c r="C562" s="2"/>
    </row>
    <row r="563" ht="14.25" customHeight="1">
      <c r="C563" s="2"/>
    </row>
    <row r="564" ht="14.25" customHeight="1">
      <c r="C564" s="2"/>
    </row>
    <row r="565" ht="14.25" customHeight="1">
      <c r="C565" s="2"/>
    </row>
    <row r="566" ht="14.25" customHeight="1">
      <c r="C566" s="2"/>
    </row>
    <row r="567" ht="14.25" customHeight="1">
      <c r="C567" s="2"/>
    </row>
    <row r="568" ht="14.25" customHeight="1">
      <c r="C568" s="2"/>
    </row>
    <row r="569" ht="14.25" customHeight="1">
      <c r="C569" s="2"/>
    </row>
    <row r="570" ht="14.25" customHeight="1">
      <c r="C570" s="2"/>
    </row>
    <row r="571" ht="14.25" customHeight="1">
      <c r="C571" s="2"/>
    </row>
    <row r="572" ht="14.25" customHeight="1">
      <c r="C572" s="2"/>
    </row>
    <row r="573" ht="14.25" customHeight="1">
      <c r="C573" s="2"/>
    </row>
    <row r="574" ht="14.25" customHeight="1">
      <c r="C574" s="2"/>
    </row>
    <row r="575" ht="14.25" customHeight="1">
      <c r="C575" s="2"/>
    </row>
    <row r="576" ht="14.25" customHeight="1">
      <c r="C576" s="2"/>
    </row>
    <row r="577" ht="14.25" customHeight="1">
      <c r="C577" s="2"/>
    </row>
    <row r="578" ht="14.25" customHeight="1">
      <c r="C578" s="2"/>
    </row>
    <row r="579" ht="14.25" customHeight="1">
      <c r="C579" s="2"/>
    </row>
    <row r="580" ht="14.25" customHeight="1">
      <c r="C580" s="2"/>
    </row>
    <row r="581" ht="14.25" customHeight="1">
      <c r="C581" s="2"/>
    </row>
    <row r="582" ht="14.25" customHeight="1">
      <c r="C582" s="2"/>
    </row>
    <row r="583" ht="14.25" customHeight="1">
      <c r="C583" s="2"/>
    </row>
    <row r="584" ht="14.25" customHeight="1">
      <c r="C584" s="2"/>
    </row>
    <row r="585" ht="14.25" customHeight="1">
      <c r="C585" s="2"/>
    </row>
    <row r="586" ht="14.25" customHeight="1">
      <c r="C586" s="2"/>
    </row>
    <row r="587" ht="14.25" customHeight="1">
      <c r="C587" s="2"/>
    </row>
    <row r="588" ht="14.25" customHeight="1">
      <c r="C588" s="2"/>
    </row>
    <row r="589" ht="14.25" customHeight="1">
      <c r="C589" s="2"/>
    </row>
    <row r="590" ht="14.25" customHeight="1">
      <c r="C590" s="2"/>
    </row>
    <row r="591" ht="14.25" customHeight="1">
      <c r="C591" s="2"/>
    </row>
    <row r="592" ht="14.25" customHeight="1">
      <c r="C592" s="2"/>
    </row>
    <row r="593" ht="14.25" customHeight="1">
      <c r="C593" s="2"/>
    </row>
    <row r="594" ht="14.25" customHeight="1">
      <c r="C594" s="2"/>
    </row>
    <row r="595" ht="14.25" customHeight="1">
      <c r="C595" s="2"/>
    </row>
    <row r="596" ht="14.25" customHeight="1">
      <c r="C596" s="2"/>
    </row>
    <row r="597" ht="14.25" customHeight="1">
      <c r="C597" s="2"/>
    </row>
    <row r="598" ht="14.25" customHeight="1">
      <c r="C598" s="2"/>
    </row>
    <row r="599" ht="14.25" customHeight="1">
      <c r="C599" s="2"/>
    </row>
    <row r="600" ht="14.25" customHeight="1">
      <c r="C600" s="2"/>
    </row>
    <row r="601" ht="14.25" customHeight="1">
      <c r="C601" s="2"/>
    </row>
    <row r="602" ht="14.25" customHeight="1">
      <c r="C602" s="2"/>
    </row>
    <row r="603" ht="14.25" customHeight="1">
      <c r="C603" s="2"/>
    </row>
    <row r="604" ht="14.25" customHeight="1">
      <c r="C604" s="2"/>
    </row>
    <row r="605" ht="14.25" customHeight="1">
      <c r="C605" s="2"/>
    </row>
    <row r="606" ht="14.25" customHeight="1">
      <c r="C606" s="2"/>
    </row>
    <row r="607" ht="14.25" customHeight="1">
      <c r="C607" s="2"/>
    </row>
    <row r="608" ht="14.25" customHeight="1">
      <c r="C608" s="2"/>
    </row>
    <row r="609" ht="14.25" customHeight="1">
      <c r="C609" s="2"/>
    </row>
    <row r="610" ht="14.25" customHeight="1">
      <c r="C610" s="2"/>
    </row>
    <row r="611" ht="14.25" customHeight="1">
      <c r="C611" s="2"/>
    </row>
    <row r="612" ht="14.25" customHeight="1">
      <c r="C612" s="2"/>
    </row>
    <row r="613" ht="14.25" customHeight="1">
      <c r="C613" s="2"/>
    </row>
    <row r="614" ht="14.25" customHeight="1">
      <c r="C614" s="2"/>
    </row>
    <row r="615" ht="14.25" customHeight="1">
      <c r="C615" s="2"/>
    </row>
    <row r="616" ht="14.25" customHeight="1">
      <c r="C616" s="2"/>
    </row>
    <row r="617" ht="14.25" customHeight="1">
      <c r="C617" s="2"/>
    </row>
    <row r="618" ht="14.25" customHeight="1">
      <c r="C618" s="2"/>
    </row>
    <row r="619" ht="14.25" customHeight="1">
      <c r="C619" s="2"/>
    </row>
    <row r="620" ht="14.25" customHeight="1">
      <c r="C620" s="2"/>
    </row>
    <row r="621" ht="14.25" customHeight="1">
      <c r="C621" s="2"/>
    </row>
    <row r="622" ht="14.25" customHeight="1">
      <c r="C622" s="2"/>
    </row>
    <row r="623" ht="14.25" customHeight="1">
      <c r="C623" s="2"/>
    </row>
    <row r="624" ht="14.25" customHeight="1">
      <c r="C624" s="2"/>
    </row>
    <row r="625" ht="14.25" customHeight="1">
      <c r="C625" s="2"/>
    </row>
    <row r="626" ht="14.25" customHeight="1">
      <c r="C626" s="2"/>
    </row>
    <row r="627" ht="14.25" customHeight="1">
      <c r="C627" s="2"/>
    </row>
    <row r="628" ht="14.25" customHeight="1">
      <c r="C628" s="2"/>
    </row>
    <row r="629" ht="14.25" customHeight="1">
      <c r="C629" s="2"/>
    </row>
    <row r="630" ht="14.25" customHeight="1">
      <c r="C630" s="2"/>
    </row>
    <row r="631" ht="14.25" customHeight="1">
      <c r="C631" s="2"/>
    </row>
    <row r="632" ht="14.25" customHeight="1">
      <c r="C632" s="2"/>
    </row>
    <row r="633" ht="14.25" customHeight="1">
      <c r="C633" s="2"/>
    </row>
    <row r="634" ht="14.25" customHeight="1">
      <c r="C634" s="2"/>
    </row>
    <row r="635" ht="14.25" customHeight="1">
      <c r="C635" s="2"/>
    </row>
    <row r="636" ht="14.25" customHeight="1">
      <c r="C636" s="2"/>
    </row>
    <row r="637" ht="14.25" customHeight="1">
      <c r="C637" s="2"/>
    </row>
    <row r="638" ht="14.25" customHeight="1">
      <c r="C638" s="2"/>
    </row>
    <row r="639" ht="14.25" customHeight="1">
      <c r="C639" s="2"/>
    </row>
    <row r="640" ht="14.25" customHeight="1">
      <c r="C640" s="2"/>
    </row>
    <row r="641" ht="14.25" customHeight="1">
      <c r="C641" s="2"/>
    </row>
    <row r="642" ht="14.25" customHeight="1">
      <c r="C642" s="2"/>
    </row>
    <row r="643" ht="14.25" customHeight="1">
      <c r="C643" s="2"/>
    </row>
    <row r="644" ht="14.25" customHeight="1">
      <c r="C644" s="2"/>
    </row>
    <row r="645" ht="14.25" customHeight="1">
      <c r="C645" s="2"/>
    </row>
    <row r="646" ht="14.25" customHeight="1">
      <c r="C646" s="2"/>
    </row>
    <row r="647" ht="14.25" customHeight="1">
      <c r="C647" s="2"/>
    </row>
    <row r="648" ht="14.25" customHeight="1">
      <c r="C648" s="2"/>
    </row>
    <row r="649" ht="14.25" customHeight="1">
      <c r="C649" s="2"/>
    </row>
    <row r="650" ht="14.25" customHeight="1">
      <c r="C650" s="2"/>
    </row>
    <row r="651" ht="14.25" customHeight="1">
      <c r="C651" s="2"/>
    </row>
    <row r="652" ht="14.25" customHeight="1">
      <c r="C652" s="2"/>
    </row>
    <row r="653" ht="14.25" customHeight="1">
      <c r="C653" s="2"/>
    </row>
    <row r="654" ht="14.25" customHeight="1">
      <c r="C654" s="2"/>
    </row>
    <row r="655" ht="14.25" customHeight="1">
      <c r="C655" s="2"/>
    </row>
    <row r="656" ht="14.25" customHeight="1">
      <c r="C656" s="2"/>
    </row>
    <row r="657" ht="14.25" customHeight="1">
      <c r="C657" s="2"/>
    </row>
    <row r="658" ht="14.25" customHeight="1">
      <c r="C658" s="2"/>
    </row>
    <row r="659" ht="14.25" customHeight="1">
      <c r="C659" s="2"/>
    </row>
    <row r="660" ht="14.25" customHeight="1">
      <c r="C660" s="2"/>
    </row>
    <row r="661" ht="14.25" customHeight="1">
      <c r="C661" s="2"/>
    </row>
    <row r="662" ht="14.25" customHeight="1">
      <c r="C662" s="2"/>
    </row>
    <row r="663" ht="14.25" customHeight="1">
      <c r="C663" s="2"/>
    </row>
    <row r="664" ht="14.25" customHeight="1">
      <c r="C664" s="2"/>
    </row>
    <row r="665" ht="14.25" customHeight="1">
      <c r="C665" s="2"/>
    </row>
    <row r="666" ht="14.25" customHeight="1">
      <c r="C666" s="2"/>
    </row>
    <row r="667" ht="14.25" customHeight="1">
      <c r="C667" s="2"/>
    </row>
    <row r="668" ht="14.25" customHeight="1">
      <c r="C668" s="2"/>
    </row>
    <row r="669" ht="14.25" customHeight="1">
      <c r="C669" s="2"/>
    </row>
    <row r="670" ht="14.25" customHeight="1">
      <c r="C670" s="2"/>
    </row>
    <row r="671" ht="14.25" customHeight="1">
      <c r="C671" s="2"/>
    </row>
    <row r="672" ht="14.25" customHeight="1">
      <c r="C672" s="2"/>
    </row>
    <row r="673" ht="14.25" customHeight="1">
      <c r="C673" s="2"/>
    </row>
    <row r="674" ht="14.25" customHeight="1">
      <c r="C674" s="2"/>
    </row>
    <row r="675" ht="14.25" customHeight="1">
      <c r="C675" s="2"/>
    </row>
    <row r="676" ht="14.25" customHeight="1">
      <c r="C676" s="2"/>
    </row>
    <row r="677" ht="14.25" customHeight="1">
      <c r="C677" s="2"/>
    </row>
    <row r="678" ht="14.25" customHeight="1">
      <c r="C678" s="2"/>
    </row>
    <row r="679" ht="14.25" customHeight="1">
      <c r="C679" s="2"/>
    </row>
    <row r="680" ht="14.25" customHeight="1">
      <c r="C680" s="2"/>
    </row>
    <row r="681" ht="14.25" customHeight="1">
      <c r="C681" s="2"/>
    </row>
    <row r="682" ht="14.25" customHeight="1">
      <c r="C682" s="2"/>
    </row>
    <row r="683" ht="14.25" customHeight="1">
      <c r="C683" s="2"/>
    </row>
    <row r="684" ht="14.25" customHeight="1">
      <c r="C684" s="2"/>
    </row>
    <row r="685" ht="14.25" customHeight="1">
      <c r="C685" s="2"/>
    </row>
    <row r="686" ht="14.25" customHeight="1">
      <c r="C686" s="2"/>
    </row>
    <row r="687" ht="14.25" customHeight="1">
      <c r="C687" s="2"/>
    </row>
    <row r="688" ht="14.25" customHeight="1">
      <c r="C688" s="2"/>
    </row>
    <row r="689" ht="14.25" customHeight="1">
      <c r="C689" s="2"/>
    </row>
    <row r="690" ht="14.25" customHeight="1">
      <c r="C690" s="2"/>
    </row>
    <row r="691" ht="14.25" customHeight="1">
      <c r="C691" s="2"/>
    </row>
    <row r="692" ht="14.25" customHeight="1">
      <c r="C692" s="2"/>
    </row>
    <row r="693" ht="14.25" customHeight="1">
      <c r="C693" s="2"/>
    </row>
    <row r="694" ht="14.25" customHeight="1">
      <c r="C694" s="2"/>
    </row>
    <row r="695" ht="14.25" customHeight="1">
      <c r="C695" s="2"/>
    </row>
    <row r="696" ht="14.25" customHeight="1">
      <c r="C696" s="2"/>
    </row>
    <row r="697" ht="14.25" customHeight="1">
      <c r="C697" s="2"/>
    </row>
    <row r="698" ht="14.25" customHeight="1">
      <c r="C698" s="2"/>
    </row>
    <row r="699" ht="14.25" customHeight="1">
      <c r="C699" s="2"/>
    </row>
    <row r="700" ht="14.25" customHeight="1">
      <c r="C700" s="2"/>
    </row>
    <row r="701" ht="14.25" customHeight="1">
      <c r="C701" s="2"/>
    </row>
    <row r="702" ht="14.25" customHeight="1">
      <c r="C702" s="2"/>
    </row>
    <row r="703" ht="14.25" customHeight="1">
      <c r="C703" s="2"/>
    </row>
    <row r="704" ht="14.25" customHeight="1">
      <c r="C704" s="2"/>
    </row>
    <row r="705" ht="14.25" customHeight="1">
      <c r="C705" s="2"/>
    </row>
    <row r="706" ht="14.25" customHeight="1">
      <c r="C706" s="2"/>
    </row>
    <row r="707" ht="14.25" customHeight="1">
      <c r="C707" s="2"/>
    </row>
    <row r="708" ht="14.25" customHeight="1">
      <c r="C708" s="2"/>
    </row>
    <row r="709" ht="14.25" customHeight="1">
      <c r="C709" s="2"/>
    </row>
    <row r="710" ht="14.25" customHeight="1">
      <c r="C710" s="2"/>
    </row>
    <row r="711" ht="14.25" customHeight="1">
      <c r="C711" s="2"/>
    </row>
    <row r="712" ht="14.25" customHeight="1">
      <c r="C712" s="2"/>
    </row>
    <row r="713" ht="14.25" customHeight="1">
      <c r="C713" s="2"/>
    </row>
    <row r="714" ht="14.25" customHeight="1">
      <c r="C714" s="2"/>
    </row>
    <row r="715" ht="14.25" customHeight="1">
      <c r="C715" s="2"/>
    </row>
    <row r="716" ht="14.25" customHeight="1">
      <c r="C716" s="2"/>
    </row>
    <row r="717" ht="14.25" customHeight="1">
      <c r="C717" s="2"/>
    </row>
    <row r="718" ht="14.25" customHeight="1">
      <c r="C718" s="2"/>
    </row>
    <row r="719" ht="14.25" customHeight="1">
      <c r="C719" s="2"/>
    </row>
    <row r="720" ht="14.25" customHeight="1">
      <c r="C720" s="2"/>
    </row>
    <row r="721" ht="14.25" customHeight="1">
      <c r="C721" s="2"/>
    </row>
    <row r="722" ht="14.25" customHeight="1">
      <c r="C722" s="2"/>
    </row>
    <row r="723" ht="14.25" customHeight="1">
      <c r="C723" s="2"/>
    </row>
    <row r="724" ht="14.25" customHeight="1">
      <c r="C724" s="2"/>
    </row>
    <row r="725" ht="14.25" customHeight="1">
      <c r="C725" s="2"/>
    </row>
    <row r="726" ht="14.25" customHeight="1">
      <c r="C726" s="2"/>
    </row>
    <row r="727" ht="14.25" customHeight="1">
      <c r="C727" s="2"/>
    </row>
    <row r="728" ht="14.25" customHeight="1">
      <c r="C728" s="2"/>
    </row>
    <row r="729" ht="14.25" customHeight="1">
      <c r="C729" s="2"/>
    </row>
    <row r="730" ht="14.25" customHeight="1">
      <c r="C730" s="2"/>
    </row>
    <row r="731" ht="14.25" customHeight="1">
      <c r="C731" s="2"/>
    </row>
    <row r="732" ht="14.25" customHeight="1">
      <c r="C732" s="2"/>
    </row>
    <row r="733" ht="14.25" customHeight="1">
      <c r="C733" s="2"/>
    </row>
    <row r="734" ht="14.25" customHeight="1">
      <c r="C734" s="2"/>
    </row>
    <row r="735" ht="14.25" customHeight="1">
      <c r="C735" s="2"/>
    </row>
    <row r="736" ht="14.25" customHeight="1">
      <c r="C736" s="2"/>
    </row>
    <row r="737" ht="14.25" customHeight="1">
      <c r="C737" s="2"/>
    </row>
    <row r="738" ht="14.25" customHeight="1">
      <c r="C738" s="2"/>
    </row>
    <row r="739" ht="14.25" customHeight="1">
      <c r="C739" s="2"/>
    </row>
    <row r="740" ht="14.25" customHeight="1">
      <c r="C740" s="2"/>
    </row>
    <row r="741" ht="14.25" customHeight="1">
      <c r="C741" s="2"/>
    </row>
    <row r="742" ht="14.25" customHeight="1">
      <c r="C742" s="2"/>
    </row>
    <row r="743" ht="14.25" customHeight="1">
      <c r="C743" s="2"/>
    </row>
    <row r="744" ht="14.25" customHeight="1">
      <c r="C744" s="2"/>
    </row>
    <row r="745" ht="14.25" customHeight="1">
      <c r="C745" s="2"/>
    </row>
    <row r="746" ht="14.25" customHeight="1">
      <c r="C746" s="2"/>
    </row>
    <row r="747" ht="14.25" customHeight="1">
      <c r="C747" s="2"/>
    </row>
    <row r="748" ht="14.25" customHeight="1">
      <c r="C748" s="2"/>
    </row>
    <row r="749" ht="14.25" customHeight="1">
      <c r="C749" s="2"/>
    </row>
    <row r="750" ht="14.25" customHeight="1">
      <c r="C750" s="2"/>
    </row>
    <row r="751" ht="14.25" customHeight="1">
      <c r="C751" s="2"/>
    </row>
    <row r="752" ht="14.25" customHeight="1">
      <c r="C752" s="2"/>
    </row>
    <row r="753" ht="14.25" customHeight="1">
      <c r="C753" s="2"/>
    </row>
    <row r="754" ht="14.25" customHeight="1">
      <c r="C754" s="2"/>
    </row>
    <row r="755" ht="14.25" customHeight="1">
      <c r="C755" s="2"/>
    </row>
    <row r="756" ht="14.25" customHeight="1">
      <c r="C756" s="2"/>
    </row>
    <row r="757" ht="14.25" customHeight="1">
      <c r="C757" s="2"/>
    </row>
    <row r="758" ht="14.25" customHeight="1">
      <c r="C758" s="2"/>
    </row>
    <row r="759" ht="14.25" customHeight="1">
      <c r="C759" s="2"/>
    </row>
    <row r="760" ht="14.25" customHeight="1">
      <c r="C760" s="2"/>
    </row>
    <row r="761" ht="14.25" customHeight="1">
      <c r="C761" s="2"/>
    </row>
    <row r="762" ht="14.25" customHeight="1">
      <c r="C762" s="2"/>
    </row>
    <row r="763" ht="14.25" customHeight="1">
      <c r="C763" s="2"/>
    </row>
    <row r="764" ht="14.25" customHeight="1">
      <c r="C764" s="2"/>
    </row>
    <row r="765" ht="14.25" customHeight="1">
      <c r="C765" s="2"/>
    </row>
    <row r="766" ht="14.25" customHeight="1">
      <c r="C766" s="2"/>
    </row>
    <row r="767" ht="14.25" customHeight="1">
      <c r="C767" s="2"/>
    </row>
    <row r="768" ht="14.25" customHeight="1">
      <c r="C768" s="2"/>
    </row>
    <row r="769" ht="14.25" customHeight="1">
      <c r="C769" s="2"/>
    </row>
    <row r="770" ht="14.25" customHeight="1">
      <c r="C770" s="2"/>
    </row>
    <row r="771" ht="14.25" customHeight="1">
      <c r="C771" s="2"/>
    </row>
    <row r="772" ht="14.25" customHeight="1">
      <c r="C772" s="2"/>
    </row>
    <row r="773" ht="14.25" customHeight="1">
      <c r="C773" s="2"/>
    </row>
    <row r="774" ht="14.25" customHeight="1">
      <c r="C774" s="2"/>
    </row>
    <row r="775" ht="14.25" customHeight="1">
      <c r="C775" s="2"/>
    </row>
    <row r="776" ht="14.25" customHeight="1">
      <c r="C776" s="2"/>
    </row>
    <row r="777" ht="14.25" customHeight="1">
      <c r="C777" s="2"/>
    </row>
    <row r="778" ht="14.25" customHeight="1">
      <c r="C778" s="2"/>
    </row>
    <row r="779" ht="14.25" customHeight="1">
      <c r="C779" s="2"/>
    </row>
    <row r="780" ht="14.25" customHeight="1">
      <c r="C780" s="2"/>
    </row>
    <row r="781" ht="14.25" customHeight="1">
      <c r="C781" s="2"/>
    </row>
    <row r="782" ht="14.25" customHeight="1">
      <c r="C782" s="2"/>
    </row>
    <row r="783" ht="14.25" customHeight="1">
      <c r="C783" s="2"/>
    </row>
    <row r="784" ht="14.25" customHeight="1">
      <c r="C784" s="2"/>
    </row>
    <row r="785" ht="14.25" customHeight="1">
      <c r="C785" s="2"/>
    </row>
    <row r="786" ht="14.25" customHeight="1">
      <c r="C786" s="2"/>
    </row>
    <row r="787" ht="14.25" customHeight="1">
      <c r="C787" s="2"/>
    </row>
    <row r="788" ht="14.25" customHeight="1">
      <c r="C788" s="2"/>
    </row>
    <row r="789" ht="14.25" customHeight="1">
      <c r="C789" s="2"/>
    </row>
    <row r="790" ht="14.25" customHeight="1">
      <c r="C790" s="2"/>
    </row>
    <row r="791" ht="14.25" customHeight="1">
      <c r="C791" s="2"/>
    </row>
    <row r="792" ht="14.25" customHeight="1">
      <c r="C792" s="2"/>
    </row>
    <row r="793" ht="14.25" customHeight="1">
      <c r="C793" s="2"/>
    </row>
    <row r="794" ht="14.25" customHeight="1">
      <c r="C794" s="2"/>
    </row>
    <row r="795" ht="14.25" customHeight="1">
      <c r="C795" s="2"/>
    </row>
    <row r="796" ht="14.25" customHeight="1">
      <c r="C796" s="2"/>
    </row>
    <row r="797" ht="14.25" customHeight="1">
      <c r="C797" s="2"/>
    </row>
    <row r="798" ht="14.25" customHeight="1">
      <c r="C798" s="2"/>
    </row>
    <row r="799" ht="14.25" customHeight="1">
      <c r="C799" s="2"/>
    </row>
    <row r="800" ht="14.25" customHeight="1">
      <c r="C800" s="2"/>
    </row>
    <row r="801" ht="14.25" customHeight="1">
      <c r="C801" s="2"/>
    </row>
    <row r="802" ht="14.25" customHeight="1">
      <c r="C802" s="2"/>
    </row>
    <row r="803" ht="14.25" customHeight="1">
      <c r="C803" s="2"/>
    </row>
    <row r="804" ht="14.25" customHeight="1">
      <c r="C804" s="2"/>
    </row>
    <row r="805" ht="14.25" customHeight="1">
      <c r="C805" s="2"/>
    </row>
    <row r="806" ht="14.25" customHeight="1">
      <c r="C806" s="2"/>
    </row>
    <row r="807" ht="14.25" customHeight="1">
      <c r="C807" s="2"/>
    </row>
    <row r="808" ht="14.25" customHeight="1">
      <c r="C808" s="2"/>
    </row>
    <row r="809" ht="14.25" customHeight="1">
      <c r="C809" s="2"/>
    </row>
    <row r="810" ht="14.25" customHeight="1">
      <c r="C810" s="2"/>
    </row>
    <row r="811" ht="14.25" customHeight="1">
      <c r="C811" s="2"/>
    </row>
    <row r="812" ht="14.25" customHeight="1">
      <c r="C812" s="2"/>
    </row>
    <row r="813" ht="14.25" customHeight="1">
      <c r="C813" s="2"/>
    </row>
    <row r="814" ht="14.25" customHeight="1">
      <c r="C814" s="2"/>
    </row>
    <row r="815" ht="14.25" customHeight="1">
      <c r="C815" s="2"/>
    </row>
    <row r="816" ht="14.25" customHeight="1">
      <c r="C816" s="2"/>
    </row>
    <row r="817" ht="14.25" customHeight="1">
      <c r="C817" s="2"/>
    </row>
    <row r="818" ht="14.25" customHeight="1">
      <c r="C818" s="2"/>
    </row>
    <row r="819" ht="14.25" customHeight="1">
      <c r="C819" s="2"/>
    </row>
    <row r="820" ht="14.25" customHeight="1">
      <c r="C820" s="2"/>
    </row>
    <row r="821" ht="14.25" customHeight="1">
      <c r="C821" s="2"/>
    </row>
    <row r="822" ht="14.25" customHeight="1">
      <c r="C822" s="2"/>
    </row>
    <row r="823" ht="14.25" customHeight="1">
      <c r="C823" s="2"/>
    </row>
    <row r="824" ht="14.25" customHeight="1">
      <c r="C824" s="2"/>
    </row>
    <row r="825" ht="14.25" customHeight="1">
      <c r="C825" s="2"/>
    </row>
    <row r="826" ht="14.25" customHeight="1">
      <c r="C826" s="2"/>
    </row>
    <row r="827" ht="14.25" customHeight="1">
      <c r="C827" s="2"/>
    </row>
    <row r="828" ht="14.25" customHeight="1">
      <c r="C828" s="2"/>
    </row>
    <row r="829" ht="14.25" customHeight="1">
      <c r="C829" s="2"/>
    </row>
    <row r="830" ht="14.25" customHeight="1">
      <c r="C830" s="2"/>
    </row>
    <row r="831" ht="14.25" customHeight="1">
      <c r="C831" s="2"/>
    </row>
    <row r="832" ht="14.25" customHeight="1">
      <c r="C832" s="2"/>
    </row>
    <row r="833" ht="14.25" customHeight="1">
      <c r="C833" s="2"/>
    </row>
    <row r="834" ht="14.25" customHeight="1">
      <c r="C834" s="2"/>
    </row>
    <row r="835" ht="14.25" customHeight="1">
      <c r="C835" s="2"/>
    </row>
    <row r="836" ht="14.25" customHeight="1">
      <c r="C836" s="2"/>
    </row>
    <row r="837" ht="14.25" customHeight="1">
      <c r="C837" s="2"/>
    </row>
    <row r="838" ht="14.25" customHeight="1">
      <c r="C838" s="2"/>
    </row>
    <row r="839" ht="14.25" customHeight="1">
      <c r="C839" s="2"/>
    </row>
    <row r="840" ht="14.25" customHeight="1">
      <c r="C840" s="2"/>
    </row>
    <row r="841" ht="14.25" customHeight="1">
      <c r="C841" s="2"/>
    </row>
    <row r="842" ht="14.25" customHeight="1">
      <c r="C842" s="2"/>
    </row>
    <row r="843" ht="14.25" customHeight="1">
      <c r="C843" s="2"/>
    </row>
    <row r="844" ht="14.25" customHeight="1">
      <c r="C844" s="2"/>
    </row>
    <row r="845" ht="14.25" customHeight="1">
      <c r="C845" s="2"/>
    </row>
    <row r="846" ht="14.25" customHeight="1">
      <c r="C846" s="2"/>
    </row>
    <row r="847" ht="14.25" customHeight="1">
      <c r="C847" s="2"/>
    </row>
    <row r="848" ht="14.25" customHeight="1">
      <c r="C848" s="2"/>
    </row>
    <row r="849" ht="14.25" customHeight="1">
      <c r="C849" s="2"/>
    </row>
    <row r="850" ht="14.25" customHeight="1">
      <c r="C850" s="2"/>
    </row>
    <row r="851" ht="14.25" customHeight="1">
      <c r="C851" s="2"/>
    </row>
    <row r="852" ht="14.25" customHeight="1">
      <c r="C852" s="2"/>
    </row>
    <row r="853" ht="14.25" customHeight="1">
      <c r="C853" s="2"/>
    </row>
    <row r="854" ht="14.25" customHeight="1">
      <c r="C854" s="2"/>
    </row>
    <row r="855" ht="14.25" customHeight="1">
      <c r="C855" s="2"/>
    </row>
    <row r="856" ht="14.25" customHeight="1">
      <c r="C856" s="2"/>
    </row>
    <row r="857" ht="14.25" customHeight="1">
      <c r="C857" s="2"/>
    </row>
    <row r="858" ht="14.25" customHeight="1">
      <c r="C858" s="2"/>
    </row>
    <row r="859" ht="14.25" customHeight="1">
      <c r="C859" s="2"/>
    </row>
    <row r="860" ht="14.25" customHeight="1">
      <c r="C860" s="2"/>
    </row>
    <row r="861" ht="14.25" customHeight="1">
      <c r="C861" s="2"/>
    </row>
    <row r="862" ht="14.25" customHeight="1">
      <c r="C862" s="2"/>
    </row>
    <row r="863" ht="14.25" customHeight="1">
      <c r="C863" s="2"/>
    </row>
    <row r="864" ht="14.25" customHeight="1">
      <c r="C864" s="2"/>
    </row>
    <row r="865" ht="14.25" customHeight="1">
      <c r="C865" s="2"/>
    </row>
    <row r="866" ht="14.25" customHeight="1">
      <c r="C866" s="2"/>
    </row>
    <row r="867" ht="14.25" customHeight="1">
      <c r="C867" s="2"/>
    </row>
    <row r="868" ht="14.25" customHeight="1">
      <c r="C868" s="2"/>
    </row>
    <row r="869" ht="14.25" customHeight="1">
      <c r="C869" s="2"/>
    </row>
    <row r="870" ht="14.25" customHeight="1">
      <c r="C870" s="2"/>
    </row>
    <row r="871" ht="14.25" customHeight="1">
      <c r="C871" s="2"/>
    </row>
    <row r="872" ht="14.25" customHeight="1">
      <c r="C872" s="2"/>
    </row>
    <row r="873" ht="14.25" customHeight="1">
      <c r="C873" s="2"/>
    </row>
    <row r="874" ht="14.25" customHeight="1">
      <c r="C874" s="2"/>
    </row>
    <row r="875" ht="14.25" customHeight="1">
      <c r="C875" s="2"/>
    </row>
    <row r="876" ht="14.25" customHeight="1">
      <c r="C876" s="2"/>
    </row>
    <row r="877" ht="14.25" customHeight="1">
      <c r="C877" s="2"/>
    </row>
    <row r="878" ht="14.25" customHeight="1">
      <c r="C878" s="2"/>
    </row>
    <row r="879" ht="14.25" customHeight="1">
      <c r="C879" s="2"/>
    </row>
    <row r="880" ht="14.25" customHeight="1">
      <c r="C880" s="2"/>
    </row>
    <row r="881" ht="14.25" customHeight="1">
      <c r="C881" s="2"/>
    </row>
    <row r="882" ht="14.25" customHeight="1">
      <c r="C882" s="2"/>
    </row>
    <row r="883" ht="14.25" customHeight="1">
      <c r="C883" s="2"/>
    </row>
    <row r="884" ht="14.25" customHeight="1">
      <c r="C884" s="2"/>
    </row>
    <row r="885" ht="14.25" customHeight="1">
      <c r="C885" s="2"/>
    </row>
    <row r="886" ht="14.25" customHeight="1">
      <c r="C886" s="2"/>
    </row>
    <row r="887" ht="14.25" customHeight="1">
      <c r="C887" s="2"/>
    </row>
    <row r="888" ht="14.25" customHeight="1">
      <c r="C888" s="2"/>
    </row>
    <row r="889" ht="14.25" customHeight="1">
      <c r="C889" s="2"/>
    </row>
    <row r="890" ht="14.25" customHeight="1">
      <c r="C890" s="2"/>
    </row>
    <row r="891" ht="14.25" customHeight="1">
      <c r="C891" s="2"/>
    </row>
    <row r="892" ht="14.25" customHeight="1">
      <c r="C892" s="2"/>
    </row>
    <row r="893" ht="14.25" customHeight="1">
      <c r="C893" s="2"/>
    </row>
    <row r="894" ht="14.25" customHeight="1">
      <c r="C894" s="2"/>
    </row>
    <row r="895" ht="14.25" customHeight="1">
      <c r="C895" s="2"/>
    </row>
    <row r="896" ht="14.25" customHeight="1">
      <c r="C896" s="2"/>
    </row>
    <row r="897" ht="14.25" customHeight="1">
      <c r="C897" s="2"/>
    </row>
    <row r="898" ht="14.25" customHeight="1">
      <c r="C898" s="2"/>
    </row>
    <row r="899" ht="14.25" customHeight="1">
      <c r="C899" s="2"/>
    </row>
    <row r="900" ht="14.25" customHeight="1">
      <c r="C900" s="2"/>
    </row>
    <row r="901" ht="14.25" customHeight="1">
      <c r="C901" s="2"/>
    </row>
    <row r="902" ht="14.25" customHeight="1">
      <c r="C902" s="2"/>
    </row>
    <row r="903" ht="14.25" customHeight="1">
      <c r="C903" s="2"/>
    </row>
    <row r="904" ht="14.25" customHeight="1">
      <c r="C904" s="2"/>
    </row>
    <row r="905" ht="14.25" customHeight="1">
      <c r="C905" s="2"/>
    </row>
    <row r="906" ht="14.25" customHeight="1">
      <c r="C906" s="2"/>
    </row>
    <row r="907" ht="14.25" customHeight="1">
      <c r="C907" s="2"/>
    </row>
    <row r="908" ht="14.25" customHeight="1">
      <c r="C908" s="2"/>
    </row>
    <row r="909" ht="14.25" customHeight="1">
      <c r="C909" s="2"/>
    </row>
    <row r="910" ht="14.25" customHeight="1">
      <c r="C910" s="2"/>
    </row>
    <row r="911" ht="14.25" customHeight="1">
      <c r="C911" s="2"/>
    </row>
    <row r="912" ht="14.25" customHeight="1">
      <c r="C912" s="2"/>
    </row>
    <row r="913" ht="14.25" customHeight="1">
      <c r="C913" s="2"/>
    </row>
    <row r="914" ht="14.25" customHeight="1">
      <c r="C914" s="2"/>
    </row>
    <row r="915" ht="14.25" customHeight="1">
      <c r="C915" s="2"/>
    </row>
    <row r="916" ht="14.25" customHeight="1">
      <c r="C916" s="2"/>
    </row>
    <row r="917" ht="14.25" customHeight="1">
      <c r="C917" s="2"/>
    </row>
    <row r="918" ht="14.25" customHeight="1">
      <c r="C918" s="2"/>
    </row>
    <row r="919" ht="14.25" customHeight="1">
      <c r="C919" s="2"/>
    </row>
    <row r="920" ht="14.25" customHeight="1">
      <c r="C920" s="2"/>
    </row>
    <row r="921" ht="14.25" customHeight="1">
      <c r="C921" s="2"/>
    </row>
    <row r="922" ht="14.25" customHeight="1">
      <c r="C922" s="2"/>
    </row>
    <row r="923" ht="14.25" customHeight="1">
      <c r="C923" s="2"/>
    </row>
    <row r="924" ht="14.25" customHeight="1">
      <c r="C924" s="2"/>
    </row>
    <row r="925" ht="14.25" customHeight="1">
      <c r="C925" s="2"/>
    </row>
    <row r="926" ht="14.25" customHeight="1">
      <c r="C926" s="2"/>
    </row>
    <row r="927" ht="14.25" customHeight="1">
      <c r="C927" s="2"/>
    </row>
    <row r="928" ht="14.25" customHeight="1">
      <c r="C928" s="2"/>
    </row>
    <row r="929" ht="14.25" customHeight="1">
      <c r="C929" s="2"/>
    </row>
    <row r="930" ht="14.25" customHeight="1">
      <c r="C930" s="2"/>
    </row>
    <row r="931" ht="14.25" customHeight="1">
      <c r="C931" s="2"/>
    </row>
    <row r="932" ht="14.25" customHeight="1">
      <c r="C932" s="2"/>
    </row>
    <row r="933" ht="14.25" customHeight="1">
      <c r="C933" s="2"/>
    </row>
    <row r="934" ht="14.25" customHeight="1">
      <c r="C934" s="2"/>
    </row>
    <row r="935" ht="14.25" customHeight="1">
      <c r="C935" s="2"/>
    </row>
    <row r="936" ht="14.25" customHeight="1">
      <c r="C936" s="2"/>
    </row>
    <row r="937" ht="14.25" customHeight="1">
      <c r="C937" s="2"/>
    </row>
    <row r="938" ht="14.25" customHeight="1">
      <c r="C938" s="2"/>
    </row>
    <row r="939" ht="14.25" customHeight="1">
      <c r="C939" s="2"/>
    </row>
    <row r="940" ht="14.25" customHeight="1">
      <c r="C940" s="2"/>
    </row>
    <row r="941" ht="14.25" customHeight="1">
      <c r="C941" s="2"/>
    </row>
    <row r="942" ht="14.25" customHeight="1">
      <c r="C942" s="2"/>
    </row>
    <row r="943" ht="14.25" customHeight="1">
      <c r="C943" s="2"/>
    </row>
    <row r="944" ht="14.25" customHeight="1">
      <c r="C944" s="2"/>
    </row>
    <row r="945" ht="14.25" customHeight="1">
      <c r="C945" s="2"/>
    </row>
    <row r="946" ht="14.25" customHeight="1">
      <c r="C946" s="2"/>
    </row>
    <row r="947" ht="14.25" customHeight="1">
      <c r="C947" s="2"/>
    </row>
    <row r="948" ht="14.25" customHeight="1">
      <c r="C948" s="2"/>
    </row>
    <row r="949" ht="14.25" customHeight="1">
      <c r="C949" s="2"/>
    </row>
    <row r="950" ht="14.25" customHeight="1">
      <c r="C950" s="2"/>
    </row>
    <row r="951" ht="14.25" customHeight="1">
      <c r="C951" s="2"/>
    </row>
    <row r="952" ht="14.25" customHeight="1">
      <c r="C952" s="2"/>
    </row>
    <row r="953" ht="14.25" customHeight="1">
      <c r="C953" s="2"/>
    </row>
    <row r="954" ht="14.25" customHeight="1">
      <c r="C954" s="2"/>
    </row>
    <row r="955" ht="14.25" customHeight="1">
      <c r="C955" s="2"/>
    </row>
    <row r="956" ht="14.25" customHeight="1">
      <c r="C956" s="2"/>
    </row>
    <row r="957" ht="14.25" customHeight="1">
      <c r="C957" s="2"/>
    </row>
    <row r="958" ht="14.25" customHeight="1">
      <c r="C958" s="2"/>
    </row>
    <row r="959" ht="14.25" customHeight="1">
      <c r="C959" s="2"/>
    </row>
    <row r="960" ht="14.25" customHeight="1">
      <c r="C960" s="2"/>
    </row>
    <row r="961" ht="14.25" customHeight="1">
      <c r="C961" s="2"/>
    </row>
    <row r="962" ht="14.25" customHeight="1">
      <c r="C962" s="2"/>
    </row>
    <row r="963" ht="14.25" customHeight="1">
      <c r="C963" s="2"/>
    </row>
    <row r="964" ht="14.25" customHeight="1">
      <c r="C964" s="2"/>
    </row>
    <row r="965" ht="14.25" customHeight="1">
      <c r="C965" s="2"/>
    </row>
    <row r="966" ht="14.25" customHeight="1">
      <c r="C966" s="2"/>
    </row>
    <row r="967" ht="14.25" customHeight="1">
      <c r="C967" s="2"/>
    </row>
    <row r="968" ht="14.25" customHeight="1">
      <c r="C968" s="2"/>
    </row>
    <row r="969" ht="14.25" customHeight="1">
      <c r="C969" s="2"/>
    </row>
    <row r="970" ht="14.25" customHeight="1">
      <c r="C970" s="2"/>
    </row>
    <row r="971" ht="14.25" customHeight="1">
      <c r="C971" s="2"/>
    </row>
    <row r="972" ht="14.25" customHeight="1">
      <c r="C972" s="2"/>
    </row>
    <row r="973" ht="14.25" customHeight="1">
      <c r="C973" s="2"/>
    </row>
    <row r="974" ht="14.25" customHeight="1">
      <c r="C974" s="2"/>
    </row>
    <row r="975" ht="14.25" customHeight="1">
      <c r="C975" s="2"/>
    </row>
    <row r="976" ht="14.25" customHeight="1">
      <c r="C976" s="2"/>
    </row>
    <row r="977" ht="14.25" customHeight="1">
      <c r="C977" s="2"/>
    </row>
    <row r="978" ht="14.25" customHeight="1">
      <c r="C978" s="2"/>
    </row>
    <row r="979" ht="14.25" customHeight="1">
      <c r="C979" s="2"/>
    </row>
    <row r="980" ht="14.25" customHeight="1">
      <c r="C980" s="2"/>
    </row>
    <row r="981" ht="14.25" customHeight="1">
      <c r="C981" s="2"/>
    </row>
    <row r="982" ht="14.25" customHeight="1">
      <c r="C982" s="2"/>
    </row>
    <row r="983" ht="14.25" customHeight="1">
      <c r="C983" s="2"/>
    </row>
    <row r="984" ht="14.25" customHeight="1">
      <c r="C984" s="2"/>
    </row>
    <row r="985" ht="14.25" customHeight="1">
      <c r="C985" s="2"/>
    </row>
    <row r="986" ht="14.25" customHeight="1">
      <c r="C986" s="2"/>
    </row>
    <row r="987" ht="14.25" customHeight="1">
      <c r="C987" s="2"/>
    </row>
    <row r="988" ht="14.25" customHeight="1">
      <c r="C988" s="2"/>
    </row>
    <row r="989" ht="14.25" customHeight="1">
      <c r="C989" s="2"/>
    </row>
    <row r="990" ht="14.25" customHeight="1">
      <c r="C990" s="2"/>
    </row>
    <row r="991" ht="14.25" customHeight="1">
      <c r="C991" s="2"/>
    </row>
    <row r="992" ht="14.25" customHeight="1">
      <c r="C992" s="2"/>
    </row>
    <row r="993" ht="14.25" customHeight="1">
      <c r="C993" s="2"/>
    </row>
    <row r="994" ht="14.25" customHeight="1">
      <c r="C994" s="2"/>
    </row>
    <row r="995" ht="14.25" customHeight="1">
      <c r="C995" s="2"/>
    </row>
    <row r="996" ht="14.25" customHeight="1">
      <c r="C996" s="2"/>
    </row>
    <row r="997" ht="14.25" customHeight="1">
      <c r="C997" s="2"/>
    </row>
    <row r="998" ht="14.25" customHeight="1">
      <c r="C998" s="2"/>
    </row>
    <row r="999" ht="14.25" customHeight="1">
      <c r="C999" s="2"/>
    </row>
    <row r="1000" ht="14.25" customHeight="1">
      <c r="C1000" s="2"/>
    </row>
    <row r="1001" ht="14.25" customHeight="1">
      <c r="C1001" s="2"/>
    </row>
    <row r="1002" ht="14.25" customHeight="1">
      <c r="C1002" s="2"/>
    </row>
    <row r="1003" ht="14.25" customHeight="1">
      <c r="C1003" s="2"/>
    </row>
    <row r="1004" ht="14.25" customHeight="1">
      <c r="C1004" s="2"/>
    </row>
    <row r="1005" ht="14.25" customHeight="1">
      <c r="C1005" s="2"/>
    </row>
    <row r="1006" ht="14.25" customHeight="1">
      <c r="C1006" s="2"/>
    </row>
    <row r="1007" ht="14.25" customHeight="1">
      <c r="C1007" s="2"/>
    </row>
    <row r="1008" ht="14.25" customHeight="1">
      <c r="C1008" s="2"/>
    </row>
    <row r="1009" ht="14.25" customHeight="1">
      <c r="C1009" s="2"/>
    </row>
    <row r="1010" ht="14.25" customHeight="1">
      <c r="C1010" s="2"/>
    </row>
    <row r="1011" ht="14.25" customHeight="1">
      <c r="C1011" s="2"/>
    </row>
    <row r="1012" ht="14.25" customHeight="1">
      <c r="C1012" s="2"/>
    </row>
    <row r="1013" ht="14.25" customHeight="1">
      <c r="C1013" s="2"/>
    </row>
    <row r="1014" ht="14.25" customHeight="1">
      <c r="C1014" s="2"/>
    </row>
    <row r="1015" ht="14.25" customHeight="1">
      <c r="C1015" s="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86"/>
    <col customWidth="1" min="3" max="3" width="16.57"/>
    <col customWidth="1" min="4" max="4" width="27.86"/>
    <col customWidth="1" min="5" max="8" width="10.71"/>
    <col customWidth="1" min="9" max="9" width="11.29"/>
    <col customWidth="1" min="10" max="10" width="12.86"/>
    <col customWidth="1" min="11" max="26" width="10.71"/>
  </cols>
  <sheetData>
    <row r="1" ht="14.25" customHeight="1">
      <c r="D1" s="2"/>
      <c r="J1" s="3"/>
    </row>
    <row r="2" ht="14.25" customHeight="1">
      <c r="D2" s="2"/>
      <c r="J2" s="3"/>
      <c r="K2" s="21" t="s">
        <v>254</v>
      </c>
      <c r="L2" s="21" t="s">
        <v>255</v>
      </c>
      <c r="M2" s="21" t="s">
        <v>14</v>
      </c>
      <c r="N2" s="8" t="s">
        <v>15</v>
      </c>
    </row>
    <row r="3" ht="14.25" customHeight="1">
      <c r="A3" s="51">
        <v>1.0</v>
      </c>
      <c r="B3" s="36" t="s">
        <v>155</v>
      </c>
      <c r="C3" s="36" t="s">
        <v>185</v>
      </c>
      <c r="D3" s="45" t="s">
        <v>477</v>
      </c>
      <c r="E3" s="38">
        <v>4.33</v>
      </c>
      <c r="F3" s="38">
        <v>4.0</v>
      </c>
      <c r="G3" s="34">
        <v>65.1</v>
      </c>
      <c r="H3" s="34">
        <v>14.0</v>
      </c>
      <c r="I3" s="39">
        <f t="shared" ref="I3:I24" si="1">G3/H3</f>
        <v>4.65</v>
      </c>
      <c r="J3" s="38" t="s">
        <v>254</v>
      </c>
      <c r="K3" s="7">
        <v>1.0</v>
      </c>
    </row>
    <row r="4" ht="14.25" customHeight="1">
      <c r="A4" s="51">
        <v>2.0</v>
      </c>
      <c r="B4" s="36" t="s">
        <v>155</v>
      </c>
      <c r="C4" s="36" t="s">
        <v>185</v>
      </c>
      <c r="D4" s="45" t="s">
        <v>478</v>
      </c>
      <c r="E4" s="38">
        <v>5.02</v>
      </c>
      <c r="F4" s="38">
        <v>3.34</v>
      </c>
      <c r="G4" s="34">
        <v>91.0</v>
      </c>
      <c r="H4" s="34">
        <v>14.0</v>
      </c>
      <c r="I4" s="39">
        <f t="shared" si="1"/>
        <v>6.5</v>
      </c>
      <c r="J4" s="38" t="s">
        <v>254</v>
      </c>
      <c r="K4" s="7">
        <v>1.0</v>
      </c>
    </row>
    <row r="5" ht="14.25" customHeight="1">
      <c r="A5" s="51">
        <v>3.0</v>
      </c>
      <c r="B5" s="36" t="s">
        <v>155</v>
      </c>
      <c r="C5" s="36" t="s">
        <v>185</v>
      </c>
      <c r="D5" s="45" t="s">
        <v>479</v>
      </c>
      <c r="E5" s="38">
        <v>3.45</v>
      </c>
      <c r="F5" s="38">
        <v>3.14</v>
      </c>
      <c r="G5" s="34">
        <v>79.5</v>
      </c>
      <c r="H5" s="34">
        <v>14.0</v>
      </c>
      <c r="I5" s="39">
        <f t="shared" si="1"/>
        <v>5.678571429</v>
      </c>
      <c r="J5" s="38" t="s">
        <v>254</v>
      </c>
      <c r="K5" s="7">
        <v>1.0</v>
      </c>
    </row>
    <row r="6" ht="14.25" customHeight="1">
      <c r="A6" s="51">
        <v>4.0</v>
      </c>
      <c r="B6" s="36" t="s">
        <v>155</v>
      </c>
      <c r="C6" s="36" t="s">
        <v>185</v>
      </c>
      <c r="D6" s="45" t="s">
        <v>480</v>
      </c>
      <c r="E6" s="38">
        <v>3.0</v>
      </c>
      <c r="F6" s="38">
        <v>5.0</v>
      </c>
      <c r="G6" s="34">
        <v>89.75</v>
      </c>
      <c r="H6" s="34">
        <v>14.0</v>
      </c>
      <c r="I6" s="39">
        <f t="shared" si="1"/>
        <v>6.410714286</v>
      </c>
      <c r="J6" s="38" t="s">
        <v>254</v>
      </c>
      <c r="K6" s="7">
        <v>1.0</v>
      </c>
    </row>
    <row r="7" ht="14.25" customHeight="1">
      <c r="A7" s="51">
        <v>5.0</v>
      </c>
      <c r="B7" s="36" t="s">
        <v>155</v>
      </c>
      <c r="C7" s="36" t="s">
        <v>185</v>
      </c>
      <c r="D7" s="45" t="s">
        <v>481</v>
      </c>
      <c r="E7" s="38">
        <v>4.46</v>
      </c>
      <c r="F7" s="38">
        <v>5.33</v>
      </c>
      <c r="G7" s="34">
        <v>64.0</v>
      </c>
      <c r="H7" s="34">
        <v>14.0</v>
      </c>
      <c r="I7" s="39">
        <f t="shared" si="1"/>
        <v>4.571428571</v>
      </c>
      <c r="J7" s="38" t="s">
        <v>254</v>
      </c>
      <c r="K7" s="7">
        <v>1.0</v>
      </c>
    </row>
    <row r="8" ht="14.25" customHeight="1">
      <c r="A8" s="51">
        <v>6.0</v>
      </c>
      <c r="B8" s="36" t="s">
        <v>155</v>
      </c>
      <c r="C8" s="36" t="s">
        <v>185</v>
      </c>
      <c r="D8" s="45" t="s">
        <v>482</v>
      </c>
      <c r="E8" s="38">
        <v>2.11</v>
      </c>
      <c r="F8" s="38">
        <v>4.41</v>
      </c>
      <c r="G8" s="34">
        <v>64.91</v>
      </c>
      <c r="H8" s="34">
        <v>14.0</v>
      </c>
      <c r="I8" s="39">
        <f t="shared" si="1"/>
        <v>4.636428571</v>
      </c>
      <c r="J8" s="38" t="s">
        <v>254</v>
      </c>
      <c r="K8" s="7">
        <v>1.0</v>
      </c>
    </row>
    <row r="9" ht="14.25" customHeight="1">
      <c r="A9" s="51">
        <v>7.0</v>
      </c>
      <c r="B9" s="36" t="s">
        <v>155</v>
      </c>
      <c r="C9" s="36" t="s">
        <v>185</v>
      </c>
      <c r="D9" s="45" t="s">
        <v>483</v>
      </c>
      <c r="E9" s="38">
        <v>3.34</v>
      </c>
      <c r="F9" s="38">
        <v>4.76</v>
      </c>
      <c r="G9" s="34">
        <v>89.0</v>
      </c>
      <c r="H9" s="34">
        <v>14.0</v>
      </c>
      <c r="I9" s="39">
        <f t="shared" si="1"/>
        <v>6.357142857</v>
      </c>
      <c r="J9" s="38" t="s">
        <v>254</v>
      </c>
    </row>
    <row r="10" ht="14.25" customHeight="1">
      <c r="A10" s="51">
        <v>8.0</v>
      </c>
      <c r="B10" s="36" t="s">
        <v>155</v>
      </c>
      <c r="C10" s="36" t="s">
        <v>185</v>
      </c>
      <c r="D10" s="45" t="s">
        <v>484</v>
      </c>
      <c r="E10" s="38">
        <v>3.0</v>
      </c>
      <c r="F10" s="38">
        <v>5.2</v>
      </c>
      <c r="G10" s="34">
        <v>76.0</v>
      </c>
      <c r="H10" s="34">
        <v>14.0</v>
      </c>
      <c r="I10" s="39">
        <f t="shared" si="1"/>
        <v>5.428571429</v>
      </c>
      <c r="J10" s="38" t="s">
        <v>254</v>
      </c>
      <c r="K10" s="7">
        <v>1.0</v>
      </c>
    </row>
    <row r="11" ht="14.25" customHeight="1">
      <c r="A11" s="51">
        <v>9.0</v>
      </c>
      <c r="B11" s="36" t="s">
        <v>155</v>
      </c>
      <c r="C11" s="36" t="s">
        <v>185</v>
      </c>
      <c r="D11" s="45" t="s">
        <v>485</v>
      </c>
      <c r="E11" s="38">
        <v>4.14</v>
      </c>
      <c r="F11" s="38">
        <v>4.02</v>
      </c>
      <c r="G11" s="34">
        <v>71.25</v>
      </c>
      <c r="H11" s="34">
        <v>14.0</v>
      </c>
      <c r="I11" s="39">
        <f t="shared" si="1"/>
        <v>5.089285714</v>
      </c>
      <c r="J11" s="38" t="s">
        <v>254</v>
      </c>
      <c r="K11" s="7">
        <v>1.0</v>
      </c>
    </row>
    <row r="12" ht="14.25" customHeight="1">
      <c r="A12" s="51">
        <v>10.0</v>
      </c>
      <c r="B12" s="36" t="s">
        <v>155</v>
      </c>
      <c r="C12" s="36" t="s">
        <v>185</v>
      </c>
      <c r="D12" s="45" t="s">
        <v>486</v>
      </c>
      <c r="E12" s="38">
        <v>3.19</v>
      </c>
      <c r="F12" s="38">
        <v>4.0</v>
      </c>
      <c r="G12" s="34">
        <v>48.0</v>
      </c>
      <c r="H12" s="34">
        <v>14.0</v>
      </c>
      <c r="I12" s="39">
        <f t="shared" si="1"/>
        <v>3.428571429</v>
      </c>
      <c r="J12" s="88" t="s">
        <v>50</v>
      </c>
      <c r="L12" s="7">
        <v>1.0</v>
      </c>
    </row>
    <row r="13" ht="14.25" customHeight="1">
      <c r="A13" s="51">
        <v>11.0</v>
      </c>
      <c r="B13" s="36" t="s">
        <v>155</v>
      </c>
      <c r="C13" s="36" t="s">
        <v>185</v>
      </c>
      <c r="D13" s="45" t="s">
        <v>487</v>
      </c>
      <c r="E13" s="38">
        <v>4.3</v>
      </c>
      <c r="F13" s="38">
        <v>4.67</v>
      </c>
      <c r="G13" s="34">
        <v>46.5</v>
      </c>
      <c r="H13" s="34">
        <v>14.0</v>
      </c>
      <c r="I13" s="39">
        <f t="shared" si="1"/>
        <v>3.321428571</v>
      </c>
      <c r="J13" s="88" t="s">
        <v>50</v>
      </c>
      <c r="L13" s="7">
        <v>1.0</v>
      </c>
    </row>
    <row r="14" ht="14.25" customHeight="1">
      <c r="A14" s="51">
        <v>12.0</v>
      </c>
      <c r="B14" s="36" t="s">
        <v>155</v>
      </c>
      <c r="C14" s="36" t="s">
        <v>185</v>
      </c>
      <c r="D14" s="34" t="s">
        <v>488</v>
      </c>
      <c r="E14" s="38">
        <v>3.59</v>
      </c>
      <c r="F14" s="38">
        <v>4.28</v>
      </c>
      <c r="G14" s="34">
        <v>31.5</v>
      </c>
      <c r="H14" s="34">
        <v>14.0</v>
      </c>
      <c r="I14" s="39">
        <f t="shared" si="1"/>
        <v>2.25</v>
      </c>
      <c r="J14" s="88" t="s">
        <v>50</v>
      </c>
      <c r="L14" s="7">
        <v>1.0</v>
      </c>
    </row>
    <row r="15" ht="14.25" customHeight="1">
      <c r="A15" s="51">
        <v>13.0</v>
      </c>
      <c r="B15" s="36" t="s">
        <v>155</v>
      </c>
      <c r="C15" s="36" t="s">
        <v>185</v>
      </c>
      <c r="D15" s="45" t="s">
        <v>489</v>
      </c>
      <c r="E15" s="38">
        <v>3.29</v>
      </c>
      <c r="F15" s="38">
        <v>4.53</v>
      </c>
      <c r="G15" s="34">
        <v>30.5</v>
      </c>
      <c r="H15" s="34">
        <v>14.0</v>
      </c>
      <c r="I15" s="39">
        <f t="shared" si="1"/>
        <v>2.178571429</v>
      </c>
      <c r="J15" s="89" t="s">
        <v>14</v>
      </c>
      <c r="M15" s="7">
        <v>1.0</v>
      </c>
    </row>
    <row r="16" ht="14.25" customHeight="1">
      <c r="A16" s="51">
        <v>14.0</v>
      </c>
      <c r="B16" s="36" t="s">
        <v>155</v>
      </c>
      <c r="C16" s="36" t="s">
        <v>185</v>
      </c>
      <c r="D16" s="45" t="s">
        <v>490</v>
      </c>
      <c r="E16" s="38">
        <v>5.26</v>
      </c>
      <c r="F16" s="38">
        <v>6.48</v>
      </c>
      <c r="G16" s="34">
        <v>28.5</v>
      </c>
      <c r="H16" s="34">
        <v>14.0</v>
      </c>
      <c r="I16" s="39">
        <f t="shared" si="1"/>
        <v>2.035714286</v>
      </c>
      <c r="J16" s="38" t="s">
        <v>50</v>
      </c>
      <c r="L16" s="7">
        <v>1.0</v>
      </c>
    </row>
    <row r="17" ht="14.25" customHeight="1">
      <c r="A17" s="51">
        <v>15.0</v>
      </c>
      <c r="B17" s="36" t="s">
        <v>155</v>
      </c>
      <c r="C17" s="36" t="s">
        <v>185</v>
      </c>
      <c r="D17" s="45" t="s">
        <v>491</v>
      </c>
      <c r="E17" s="38">
        <v>2.52</v>
      </c>
      <c r="F17" s="38">
        <v>2.81</v>
      </c>
      <c r="G17" s="34">
        <v>23.0</v>
      </c>
      <c r="H17" s="34">
        <v>14.0</v>
      </c>
      <c r="I17" s="39">
        <f t="shared" si="1"/>
        <v>1.642857143</v>
      </c>
      <c r="J17" s="38" t="s">
        <v>50</v>
      </c>
      <c r="L17" s="7">
        <v>1.0</v>
      </c>
    </row>
    <row r="18" ht="14.25" customHeight="1">
      <c r="A18" s="51">
        <v>16.0</v>
      </c>
      <c r="B18" s="36" t="s">
        <v>155</v>
      </c>
      <c r="C18" s="36" t="s">
        <v>185</v>
      </c>
      <c r="D18" s="45" t="s">
        <v>492</v>
      </c>
      <c r="E18" s="38">
        <v>3.41</v>
      </c>
      <c r="F18" s="38">
        <v>4.06</v>
      </c>
      <c r="G18" s="34">
        <v>22.0</v>
      </c>
      <c r="H18" s="34">
        <v>14.0</v>
      </c>
      <c r="I18" s="39">
        <f t="shared" si="1"/>
        <v>1.571428571</v>
      </c>
      <c r="J18" s="38" t="s">
        <v>50</v>
      </c>
      <c r="L18" s="7">
        <v>1.0</v>
      </c>
    </row>
    <row r="19" ht="14.25" customHeight="1">
      <c r="A19" s="51">
        <v>17.0</v>
      </c>
      <c r="B19" s="36" t="s">
        <v>155</v>
      </c>
      <c r="C19" s="36" t="s">
        <v>185</v>
      </c>
      <c r="D19" s="45" t="s">
        <v>493</v>
      </c>
      <c r="E19" s="38">
        <v>3.58</v>
      </c>
      <c r="F19" s="38">
        <v>4.57</v>
      </c>
      <c r="G19" s="34">
        <v>21.0</v>
      </c>
      <c r="H19" s="34">
        <v>14.0</v>
      </c>
      <c r="I19" s="39">
        <f t="shared" si="1"/>
        <v>1.5</v>
      </c>
      <c r="J19" s="38" t="s">
        <v>50</v>
      </c>
      <c r="L19" s="7">
        <v>1.0</v>
      </c>
    </row>
    <row r="20" ht="14.25" customHeight="1">
      <c r="A20" s="51">
        <v>18.0</v>
      </c>
      <c r="B20" s="36" t="s">
        <v>155</v>
      </c>
      <c r="C20" s="36" t="s">
        <v>185</v>
      </c>
      <c r="D20" s="45" t="s">
        <v>494</v>
      </c>
      <c r="E20" s="38">
        <v>7.35</v>
      </c>
      <c r="F20" s="38">
        <v>7.05</v>
      </c>
      <c r="G20" s="34">
        <v>0.0</v>
      </c>
      <c r="H20" s="34">
        <v>14.0</v>
      </c>
      <c r="I20" s="39">
        <f t="shared" si="1"/>
        <v>0</v>
      </c>
      <c r="J20" s="89" t="s">
        <v>14</v>
      </c>
      <c r="M20" s="7">
        <v>1.0</v>
      </c>
    </row>
    <row r="21" ht="14.25" customHeight="1">
      <c r="A21" s="51">
        <v>19.0</v>
      </c>
      <c r="B21" s="36" t="s">
        <v>155</v>
      </c>
      <c r="C21" s="36" t="s">
        <v>185</v>
      </c>
      <c r="D21" s="45" t="s">
        <v>495</v>
      </c>
      <c r="E21" s="38">
        <v>3.08</v>
      </c>
      <c r="F21" s="38">
        <v>3.83</v>
      </c>
      <c r="G21" s="34">
        <v>0.0</v>
      </c>
      <c r="H21" s="34">
        <v>14.0</v>
      </c>
      <c r="I21" s="39">
        <f t="shared" si="1"/>
        <v>0</v>
      </c>
      <c r="J21" s="38" t="s">
        <v>50</v>
      </c>
      <c r="L21" s="7">
        <v>1.0</v>
      </c>
    </row>
    <row r="22" ht="14.25" customHeight="1">
      <c r="A22" s="51">
        <v>20.0</v>
      </c>
      <c r="B22" s="36" t="s">
        <v>155</v>
      </c>
      <c r="C22" s="36" t="s">
        <v>185</v>
      </c>
      <c r="D22" s="45" t="s">
        <v>496</v>
      </c>
      <c r="E22" s="38">
        <v>3.05</v>
      </c>
      <c r="F22" s="38">
        <v>3.57</v>
      </c>
      <c r="G22" s="34">
        <v>0.0</v>
      </c>
      <c r="H22" s="34">
        <v>14.0</v>
      </c>
      <c r="I22" s="39">
        <f t="shared" si="1"/>
        <v>0</v>
      </c>
      <c r="J22" s="38" t="s">
        <v>50</v>
      </c>
      <c r="L22" s="7">
        <v>1.0</v>
      </c>
    </row>
    <row r="23" ht="14.25" customHeight="1">
      <c r="A23" s="51">
        <v>21.0</v>
      </c>
      <c r="B23" s="36" t="s">
        <v>155</v>
      </c>
      <c r="C23" s="36" t="s">
        <v>185</v>
      </c>
      <c r="D23" s="34" t="s">
        <v>497</v>
      </c>
      <c r="E23" s="38">
        <v>2.97</v>
      </c>
      <c r="F23" s="38">
        <v>3.36</v>
      </c>
      <c r="G23" s="34">
        <v>0.0</v>
      </c>
      <c r="H23" s="34">
        <v>14.0</v>
      </c>
      <c r="I23" s="39">
        <f t="shared" si="1"/>
        <v>0</v>
      </c>
      <c r="J23" s="38" t="s">
        <v>50</v>
      </c>
      <c r="L23" s="7">
        <v>1.0</v>
      </c>
    </row>
    <row r="24" ht="14.25" customHeight="1">
      <c r="A24" s="51">
        <v>22.0</v>
      </c>
      <c r="B24" s="36" t="s">
        <v>155</v>
      </c>
      <c r="C24" s="36" t="s">
        <v>185</v>
      </c>
      <c r="D24" s="34" t="s">
        <v>498</v>
      </c>
      <c r="E24" s="38">
        <v>2.35</v>
      </c>
      <c r="F24" s="38">
        <v>3.05</v>
      </c>
      <c r="G24" s="34">
        <v>0.0</v>
      </c>
      <c r="H24" s="34">
        <v>14.0</v>
      </c>
      <c r="I24" s="39">
        <f t="shared" si="1"/>
        <v>0</v>
      </c>
      <c r="J24" s="89" t="s">
        <v>14</v>
      </c>
      <c r="M24" s="7">
        <v>1.0</v>
      </c>
    </row>
    <row r="25" ht="14.25" customHeight="1">
      <c r="A25" s="45"/>
      <c r="B25" s="47"/>
      <c r="C25" s="36"/>
      <c r="D25" s="34"/>
      <c r="E25" s="38"/>
      <c r="F25" s="38"/>
      <c r="G25" s="34"/>
      <c r="H25" s="34"/>
      <c r="I25" s="39"/>
      <c r="J25" s="89"/>
      <c r="K25" s="16">
        <f t="shared" ref="K25:M25" si="2">SUM(K3:K24)</f>
        <v>8</v>
      </c>
      <c r="L25" s="16">
        <f t="shared" si="2"/>
        <v>10</v>
      </c>
      <c r="M25" s="16">
        <f t="shared" si="2"/>
        <v>3</v>
      </c>
    </row>
    <row r="26" ht="14.25" customHeight="1">
      <c r="A26" s="45"/>
      <c r="B26" s="47"/>
      <c r="C26" s="36"/>
      <c r="D26" s="34"/>
      <c r="E26" s="38"/>
      <c r="F26" s="38"/>
      <c r="G26" s="34"/>
      <c r="H26" s="34"/>
      <c r="I26" s="39"/>
      <c r="J26" s="89"/>
      <c r="K26" s="17">
        <f>K25/A24</f>
        <v>0.3636363636</v>
      </c>
      <c r="L26" s="17">
        <f>L25/A24</f>
        <v>0.4545454545</v>
      </c>
      <c r="M26" s="17">
        <f>M25/A24</f>
        <v>0.1363636364</v>
      </c>
    </row>
    <row r="27" ht="14.25" customHeight="1">
      <c r="A27" s="45"/>
      <c r="B27" s="47"/>
      <c r="C27" s="36"/>
      <c r="D27" s="34"/>
      <c r="E27" s="38"/>
      <c r="F27" s="38"/>
      <c r="G27" s="34"/>
      <c r="H27" s="34"/>
      <c r="I27" s="39"/>
      <c r="J27" s="89"/>
    </row>
    <row r="28" ht="14.25" customHeight="1">
      <c r="A28" s="51">
        <v>1.0</v>
      </c>
      <c r="B28" s="49" t="s">
        <v>155</v>
      </c>
      <c r="C28" s="36" t="s">
        <v>209</v>
      </c>
      <c r="D28" s="34" t="s">
        <v>499</v>
      </c>
      <c r="E28" s="50">
        <v>4.5</v>
      </c>
      <c r="F28" s="50">
        <v>5.34</v>
      </c>
      <c r="G28" s="34">
        <v>95.0</v>
      </c>
      <c r="H28" s="34">
        <v>14.0</v>
      </c>
      <c r="I28" s="39">
        <f t="shared" ref="I28:I41" si="3">G28/H28</f>
        <v>6.785714286</v>
      </c>
      <c r="J28" s="38" t="s">
        <v>254</v>
      </c>
      <c r="K28" s="7">
        <v>1.0</v>
      </c>
    </row>
    <row r="29" ht="14.25" customHeight="1">
      <c r="A29" s="51">
        <v>2.0</v>
      </c>
      <c r="B29" s="49" t="s">
        <v>155</v>
      </c>
      <c r="C29" s="36" t="s">
        <v>209</v>
      </c>
      <c r="D29" s="34" t="s">
        <v>500</v>
      </c>
      <c r="E29" s="50">
        <v>4.32</v>
      </c>
      <c r="F29" s="50">
        <v>3.33</v>
      </c>
      <c r="G29" s="34">
        <v>69.5</v>
      </c>
      <c r="H29" s="34">
        <v>14.0</v>
      </c>
      <c r="I29" s="39">
        <f t="shared" si="3"/>
        <v>4.964285714</v>
      </c>
      <c r="J29" s="38" t="s">
        <v>254</v>
      </c>
      <c r="K29" s="7">
        <v>1.0</v>
      </c>
    </row>
    <row r="30" ht="14.25" customHeight="1">
      <c r="A30" s="51">
        <v>3.0</v>
      </c>
      <c r="B30" s="49" t="s">
        <v>155</v>
      </c>
      <c r="C30" s="36" t="s">
        <v>209</v>
      </c>
      <c r="D30" s="34" t="s">
        <v>501</v>
      </c>
      <c r="E30" s="50">
        <v>5.11</v>
      </c>
      <c r="F30" s="50">
        <v>5.0</v>
      </c>
      <c r="G30" s="34">
        <v>66.0</v>
      </c>
      <c r="H30" s="34">
        <v>14.0</v>
      </c>
      <c r="I30" s="39">
        <f t="shared" si="3"/>
        <v>4.714285714</v>
      </c>
      <c r="J30" s="38" t="s">
        <v>254</v>
      </c>
      <c r="K30" s="7">
        <v>1.0</v>
      </c>
    </row>
    <row r="31" ht="14.25" customHeight="1">
      <c r="A31" s="51">
        <v>4.0</v>
      </c>
      <c r="B31" s="49" t="s">
        <v>155</v>
      </c>
      <c r="C31" s="36" t="s">
        <v>209</v>
      </c>
      <c r="D31" s="34" t="s">
        <v>502</v>
      </c>
      <c r="E31" s="50">
        <v>4.7</v>
      </c>
      <c r="F31" s="50">
        <v>4.07</v>
      </c>
      <c r="G31" s="34">
        <v>67.5</v>
      </c>
      <c r="H31" s="34">
        <v>14.0</v>
      </c>
      <c r="I31" s="39">
        <f t="shared" si="3"/>
        <v>4.821428571</v>
      </c>
      <c r="J31" s="38" t="s">
        <v>254</v>
      </c>
      <c r="K31" s="7">
        <v>1.0</v>
      </c>
    </row>
    <row r="32" ht="14.25" customHeight="1">
      <c r="A32" s="51">
        <v>5.0</v>
      </c>
      <c r="B32" s="49" t="s">
        <v>155</v>
      </c>
      <c r="C32" s="36" t="s">
        <v>209</v>
      </c>
      <c r="D32" s="34" t="s">
        <v>203</v>
      </c>
      <c r="E32" s="50">
        <v>5.04</v>
      </c>
      <c r="F32" s="50">
        <v>5.0</v>
      </c>
      <c r="G32" s="34">
        <v>46.5</v>
      </c>
      <c r="H32" s="34">
        <v>14.0</v>
      </c>
      <c r="I32" s="39">
        <f t="shared" si="3"/>
        <v>3.321428571</v>
      </c>
      <c r="J32" s="38" t="s">
        <v>50</v>
      </c>
      <c r="L32" s="7">
        <v>1.0</v>
      </c>
    </row>
    <row r="33" ht="14.25" customHeight="1">
      <c r="A33" s="51">
        <v>6.0</v>
      </c>
      <c r="B33" s="49" t="s">
        <v>155</v>
      </c>
      <c r="C33" s="36" t="s">
        <v>209</v>
      </c>
      <c r="D33" s="34" t="s">
        <v>503</v>
      </c>
      <c r="E33" s="50">
        <v>2.6</v>
      </c>
      <c r="F33" s="50">
        <v>1.4</v>
      </c>
      <c r="G33" s="34">
        <v>40.0</v>
      </c>
      <c r="H33" s="34">
        <v>14.0</v>
      </c>
      <c r="I33" s="39">
        <f t="shared" si="3"/>
        <v>2.857142857</v>
      </c>
      <c r="J33" s="38" t="s">
        <v>50</v>
      </c>
      <c r="L33" s="7">
        <v>1.0</v>
      </c>
    </row>
    <row r="34" ht="14.25" customHeight="1">
      <c r="A34" s="51">
        <v>7.0</v>
      </c>
      <c r="B34" s="49" t="s">
        <v>155</v>
      </c>
      <c r="C34" s="36" t="s">
        <v>209</v>
      </c>
      <c r="D34" s="34" t="s">
        <v>504</v>
      </c>
      <c r="E34" s="50">
        <v>4.0</v>
      </c>
      <c r="F34" s="50">
        <v>4.22</v>
      </c>
      <c r="G34" s="34">
        <v>34.0</v>
      </c>
      <c r="H34" s="34">
        <v>14.0</v>
      </c>
      <c r="I34" s="39">
        <f t="shared" si="3"/>
        <v>2.428571429</v>
      </c>
      <c r="J34" s="38" t="s">
        <v>50</v>
      </c>
      <c r="L34" s="7">
        <v>1.0</v>
      </c>
    </row>
    <row r="35" ht="14.25" customHeight="1">
      <c r="A35" s="51">
        <v>8.0</v>
      </c>
      <c r="B35" s="49" t="s">
        <v>155</v>
      </c>
      <c r="C35" s="36" t="s">
        <v>209</v>
      </c>
      <c r="D35" s="34" t="s">
        <v>505</v>
      </c>
      <c r="E35" s="50">
        <v>3.04</v>
      </c>
      <c r="F35" s="50">
        <v>3.3</v>
      </c>
      <c r="G35" s="34">
        <v>31.5</v>
      </c>
      <c r="H35" s="34">
        <v>14.0</v>
      </c>
      <c r="I35" s="39">
        <f t="shared" si="3"/>
        <v>2.25</v>
      </c>
      <c r="J35" s="38" t="s">
        <v>50</v>
      </c>
      <c r="L35" s="7">
        <v>1.0</v>
      </c>
    </row>
    <row r="36" ht="14.25" customHeight="1">
      <c r="A36" s="51">
        <v>9.0</v>
      </c>
      <c r="B36" s="49" t="s">
        <v>155</v>
      </c>
      <c r="C36" s="36" t="s">
        <v>209</v>
      </c>
      <c r="D36" s="34" t="s">
        <v>506</v>
      </c>
      <c r="E36" s="50">
        <v>4.1</v>
      </c>
      <c r="F36" s="50">
        <v>3.06</v>
      </c>
      <c r="G36" s="34">
        <v>30.0</v>
      </c>
      <c r="H36" s="34">
        <v>14.0</v>
      </c>
      <c r="I36" s="39">
        <f t="shared" si="3"/>
        <v>2.142857143</v>
      </c>
      <c r="J36" s="38" t="s">
        <v>50</v>
      </c>
      <c r="L36" s="7">
        <v>1.0</v>
      </c>
    </row>
    <row r="37" ht="14.25" customHeight="1">
      <c r="A37" s="51">
        <v>10.0</v>
      </c>
      <c r="B37" s="49" t="s">
        <v>155</v>
      </c>
      <c r="C37" s="36" t="s">
        <v>209</v>
      </c>
      <c r="D37" s="34" t="s">
        <v>507</v>
      </c>
      <c r="E37" s="50">
        <v>3.02</v>
      </c>
      <c r="F37" s="50">
        <v>3.0</v>
      </c>
      <c r="G37" s="34">
        <v>25.5</v>
      </c>
      <c r="H37" s="34">
        <v>14.0</v>
      </c>
      <c r="I37" s="39">
        <f t="shared" si="3"/>
        <v>1.821428571</v>
      </c>
      <c r="J37" s="38" t="s">
        <v>50</v>
      </c>
      <c r="L37" s="7">
        <v>1.0</v>
      </c>
    </row>
    <row r="38" ht="14.25" customHeight="1">
      <c r="A38" s="51">
        <v>11.0</v>
      </c>
      <c r="B38" s="49" t="s">
        <v>155</v>
      </c>
      <c r="C38" s="36" t="s">
        <v>209</v>
      </c>
      <c r="D38" s="34" t="s">
        <v>508</v>
      </c>
      <c r="E38" s="50">
        <v>3.5</v>
      </c>
      <c r="F38" s="50">
        <v>3.08</v>
      </c>
      <c r="G38" s="34">
        <v>22.0</v>
      </c>
      <c r="H38" s="34">
        <v>14.0</v>
      </c>
      <c r="I38" s="39">
        <f t="shared" si="3"/>
        <v>1.571428571</v>
      </c>
      <c r="J38" s="38" t="s">
        <v>50</v>
      </c>
      <c r="L38" s="7">
        <v>1.0</v>
      </c>
    </row>
    <row r="39" ht="14.25" customHeight="1">
      <c r="A39" s="51">
        <v>12.0</v>
      </c>
      <c r="B39" s="49" t="s">
        <v>155</v>
      </c>
      <c r="C39" s="36" t="s">
        <v>209</v>
      </c>
      <c r="D39" s="34" t="s">
        <v>509</v>
      </c>
      <c r="E39" s="50">
        <v>2.94</v>
      </c>
      <c r="F39" s="50">
        <v>2.0</v>
      </c>
      <c r="G39" s="34">
        <v>21.5</v>
      </c>
      <c r="H39" s="34">
        <v>14.0</v>
      </c>
      <c r="I39" s="39">
        <f t="shared" si="3"/>
        <v>1.535714286</v>
      </c>
      <c r="J39" s="89" t="s">
        <v>14</v>
      </c>
      <c r="M39" s="7">
        <v>1.0</v>
      </c>
    </row>
    <row r="40" ht="14.25" customHeight="1">
      <c r="A40" s="51">
        <v>13.0</v>
      </c>
      <c r="B40" s="49" t="s">
        <v>155</v>
      </c>
      <c r="C40" s="36" t="s">
        <v>209</v>
      </c>
      <c r="D40" s="34" t="s">
        <v>510</v>
      </c>
      <c r="E40" s="50">
        <v>2.0</v>
      </c>
      <c r="F40" s="50">
        <v>2.0</v>
      </c>
      <c r="G40" s="34">
        <v>17.0</v>
      </c>
      <c r="H40" s="34">
        <v>14.0</v>
      </c>
      <c r="I40" s="39">
        <f t="shared" si="3"/>
        <v>1.214285714</v>
      </c>
      <c r="J40" s="38" t="s">
        <v>50</v>
      </c>
      <c r="L40" s="7">
        <v>1.0</v>
      </c>
    </row>
    <row r="41" ht="14.25" customHeight="1">
      <c r="A41" s="51">
        <v>14.0</v>
      </c>
      <c r="B41" s="49" t="s">
        <v>155</v>
      </c>
      <c r="C41" s="36" t="s">
        <v>209</v>
      </c>
      <c r="D41" s="34" t="s">
        <v>511</v>
      </c>
      <c r="E41" s="50">
        <v>3.1</v>
      </c>
      <c r="F41" s="50">
        <v>3.0</v>
      </c>
      <c r="G41" s="34">
        <v>12.0</v>
      </c>
      <c r="H41" s="34">
        <v>14.0</v>
      </c>
      <c r="I41" s="39">
        <f t="shared" si="3"/>
        <v>0.8571428571</v>
      </c>
      <c r="J41" s="38" t="s">
        <v>50</v>
      </c>
      <c r="L41" s="7">
        <v>1.0</v>
      </c>
    </row>
    <row r="42" ht="14.25" customHeight="1">
      <c r="A42" s="51"/>
      <c r="B42" s="47"/>
      <c r="C42" s="36"/>
      <c r="D42" s="34"/>
      <c r="E42" s="50"/>
      <c r="F42" s="50"/>
      <c r="G42" s="34"/>
      <c r="H42" s="34"/>
      <c r="I42" s="39"/>
      <c r="J42" s="38"/>
      <c r="K42" s="16">
        <f t="shared" ref="K42:M42" si="4">SUM(K28:K41)</f>
        <v>4</v>
      </c>
      <c r="L42" s="16">
        <f t="shared" si="4"/>
        <v>9</v>
      </c>
      <c r="M42" s="16">
        <f t="shared" si="4"/>
        <v>1</v>
      </c>
    </row>
    <row r="43" ht="14.25" customHeight="1">
      <c r="A43" s="51"/>
      <c r="B43" s="47"/>
      <c r="C43" s="36"/>
      <c r="D43" s="34"/>
      <c r="E43" s="50"/>
      <c r="F43" s="50"/>
      <c r="G43" s="34"/>
      <c r="H43" s="34"/>
      <c r="I43" s="39"/>
      <c r="J43" s="38"/>
      <c r="K43" s="17">
        <f>K42/A41</f>
        <v>0.2857142857</v>
      </c>
      <c r="L43" s="17">
        <f>L42/A41</f>
        <v>0.6428571429</v>
      </c>
      <c r="M43" s="17">
        <f>M42/A41</f>
        <v>0.07142857143</v>
      </c>
    </row>
    <row r="44" ht="14.25" customHeight="1">
      <c r="A44" s="51"/>
      <c r="B44" s="47"/>
      <c r="C44" s="36"/>
      <c r="D44" s="34"/>
      <c r="E44" s="50"/>
      <c r="F44" s="50"/>
      <c r="G44" s="34"/>
      <c r="H44" s="34"/>
      <c r="I44" s="39"/>
      <c r="J44" s="38"/>
    </row>
    <row r="45" ht="14.25" customHeight="1">
      <c r="A45" s="51">
        <v>1.0</v>
      </c>
      <c r="B45" s="36" t="s">
        <v>155</v>
      </c>
      <c r="C45" s="34" t="s">
        <v>512</v>
      </c>
      <c r="D45" s="34" t="s">
        <v>513</v>
      </c>
      <c r="E45" s="34">
        <v>4.87</v>
      </c>
      <c r="F45" s="38">
        <v>4.43</v>
      </c>
      <c r="G45" s="34">
        <v>59.0</v>
      </c>
      <c r="H45" s="34">
        <v>14.0</v>
      </c>
      <c r="I45" s="39">
        <f t="shared" ref="I45:I53" si="5">G45/H45</f>
        <v>4.214285714</v>
      </c>
      <c r="J45" s="38" t="s">
        <v>50</v>
      </c>
      <c r="L45" s="7">
        <v>1.0</v>
      </c>
    </row>
    <row r="46" ht="14.25" customHeight="1">
      <c r="A46" s="51">
        <v>2.0</v>
      </c>
      <c r="B46" s="36" t="s">
        <v>155</v>
      </c>
      <c r="C46" s="34" t="s">
        <v>512</v>
      </c>
      <c r="D46" s="34" t="s">
        <v>514</v>
      </c>
      <c r="E46" s="34">
        <v>7.02</v>
      </c>
      <c r="F46" s="38">
        <v>6.81</v>
      </c>
      <c r="G46" s="34">
        <v>76.5</v>
      </c>
      <c r="H46" s="34">
        <v>14.0</v>
      </c>
      <c r="I46" s="39">
        <f t="shared" si="5"/>
        <v>5.464285714</v>
      </c>
      <c r="J46" s="38" t="s">
        <v>254</v>
      </c>
      <c r="K46" s="7">
        <v>1.0</v>
      </c>
    </row>
    <row r="47" ht="14.25" customHeight="1">
      <c r="A47" s="51">
        <v>3.0</v>
      </c>
      <c r="B47" s="36" t="s">
        <v>155</v>
      </c>
      <c r="C47" s="34" t="s">
        <v>512</v>
      </c>
      <c r="D47" s="34" t="s">
        <v>515</v>
      </c>
      <c r="E47" s="34">
        <v>3.4</v>
      </c>
      <c r="F47" s="38">
        <v>5.14</v>
      </c>
      <c r="G47" s="34">
        <v>67.0</v>
      </c>
      <c r="H47" s="34">
        <v>14.0</v>
      </c>
      <c r="I47" s="39">
        <f t="shared" si="5"/>
        <v>4.785714286</v>
      </c>
      <c r="J47" s="38" t="s">
        <v>254</v>
      </c>
      <c r="K47" s="7">
        <v>1.0</v>
      </c>
    </row>
    <row r="48" ht="14.25" customHeight="1">
      <c r="A48" s="51">
        <v>4.0</v>
      </c>
      <c r="B48" s="36" t="s">
        <v>155</v>
      </c>
      <c r="C48" s="34" t="s">
        <v>512</v>
      </c>
      <c r="D48" s="34" t="s">
        <v>516</v>
      </c>
      <c r="E48" s="34">
        <v>2.9</v>
      </c>
      <c r="F48" s="38">
        <v>3.76</v>
      </c>
      <c r="G48" s="34"/>
      <c r="H48" s="34">
        <v>14.0</v>
      </c>
      <c r="I48" s="39">
        <f t="shared" si="5"/>
        <v>0</v>
      </c>
      <c r="J48" s="38" t="s">
        <v>254</v>
      </c>
      <c r="K48" s="7">
        <v>1.0</v>
      </c>
    </row>
    <row r="49" ht="14.25" customHeight="1">
      <c r="A49" s="51">
        <v>5.0</v>
      </c>
      <c r="B49" s="36" t="s">
        <v>155</v>
      </c>
      <c r="C49" s="34" t="s">
        <v>512</v>
      </c>
      <c r="D49" s="34" t="s">
        <v>517</v>
      </c>
      <c r="E49" s="34">
        <v>4.33</v>
      </c>
      <c r="F49" s="38">
        <v>5.0</v>
      </c>
      <c r="G49" s="34">
        <v>50.5</v>
      </c>
      <c r="H49" s="34">
        <v>14.0</v>
      </c>
      <c r="I49" s="39">
        <f t="shared" si="5"/>
        <v>3.607142857</v>
      </c>
      <c r="J49" s="38" t="s">
        <v>50</v>
      </c>
      <c r="L49" s="7">
        <v>1.0</v>
      </c>
    </row>
    <row r="50" ht="14.25" customHeight="1">
      <c r="A50" s="51">
        <v>6.0</v>
      </c>
      <c r="B50" s="36" t="s">
        <v>155</v>
      </c>
      <c r="C50" s="34" t="s">
        <v>512</v>
      </c>
      <c r="D50" s="34" t="s">
        <v>518</v>
      </c>
      <c r="E50" s="34">
        <v>3.05</v>
      </c>
      <c r="F50" s="38">
        <v>3.87</v>
      </c>
      <c r="G50" s="34">
        <v>45.0</v>
      </c>
      <c r="H50" s="34">
        <v>14.0</v>
      </c>
      <c r="I50" s="39">
        <f t="shared" si="5"/>
        <v>3.214285714</v>
      </c>
      <c r="J50" s="38" t="s">
        <v>50</v>
      </c>
      <c r="L50" s="7">
        <v>1.0</v>
      </c>
    </row>
    <row r="51" ht="14.25" customHeight="1">
      <c r="A51" s="51">
        <v>7.0</v>
      </c>
      <c r="B51" s="36" t="s">
        <v>155</v>
      </c>
      <c r="C51" s="34" t="s">
        <v>512</v>
      </c>
      <c r="D51" s="34" t="s">
        <v>519</v>
      </c>
      <c r="E51" s="34">
        <v>4.37</v>
      </c>
      <c r="F51" s="38">
        <v>3.66</v>
      </c>
      <c r="G51" s="34">
        <v>33.25</v>
      </c>
      <c r="H51" s="34">
        <v>14.0</v>
      </c>
      <c r="I51" s="39">
        <f t="shared" si="5"/>
        <v>2.375</v>
      </c>
      <c r="J51" s="38" t="s">
        <v>50</v>
      </c>
      <c r="L51" s="7">
        <v>1.0</v>
      </c>
    </row>
    <row r="52" ht="14.25" customHeight="1">
      <c r="A52" s="51">
        <v>8.0</v>
      </c>
      <c r="B52" s="36" t="s">
        <v>155</v>
      </c>
      <c r="C52" s="34" t="s">
        <v>512</v>
      </c>
      <c r="D52" s="34" t="s">
        <v>520</v>
      </c>
      <c r="E52" s="34">
        <v>2.75</v>
      </c>
      <c r="F52" s="38">
        <v>3.5</v>
      </c>
      <c r="G52" s="34">
        <v>25.0</v>
      </c>
      <c r="H52" s="34">
        <v>14.0</v>
      </c>
      <c r="I52" s="39">
        <f t="shared" si="5"/>
        <v>1.785714286</v>
      </c>
      <c r="J52" s="38" t="s">
        <v>50</v>
      </c>
      <c r="L52" s="7">
        <v>1.0</v>
      </c>
    </row>
    <row r="53" ht="14.25" customHeight="1">
      <c r="A53" s="51">
        <v>9.0</v>
      </c>
      <c r="B53" s="36" t="s">
        <v>155</v>
      </c>
      <c r="C53" s="34" t="s">
        <v>512</v>
      </c>
      <c r="D53" s="34" t="s">
        <v>521</v>
      </c>
      <c r="E53" s="34">
        <v>4.21</v>
      </c>
      <c r="F53" s="38">
        <v>3.92</v>
      </c>
      <c r="G53" s="34">
        <v>21.5</v>
      </c>
      <c r="H53" s="34">
        <v>14.0</v>
      </c>
      <c r="I53" s="39">
        <f t="shared" si="5"/>
        <v>1.535714286</v>
      </c>
      <c r="J53" s="38" t="s">
        <v>50</v>
      </c>
      <c r="L53" s="7">
        <v>1.0</v>
      </c>
    </row>
    <row r="54" ht="14.25" customHeight="1">
      <c r="A54" s="51"/>
      <c r="B54" s="36"/>
      <c r="C54" s="90"/>
      <c r="D54" s="34"/>
      <c r="E54" s="34"/>
      <c r="F54" s="38"/>
      <c r="G54" s="34"/>
      <c r="H54" s="34"/>
      <c r="I54" s="39"/>
      <c r="J54" s="38"/>
      <c r="K54" s="16">
        <f t="shared" ref="K54:L54" si="6">SUM(K45:K53)</f>
        <v>3</v>
      </c>
      <c r="L54" s="16">
        <f t="shared" si="6"/>
        <v>6</v>
      </c>
    </row>
    <row r="55" ht="14.25" customHeight="1">
      <c r="A55" s="51"/>
      <c r="B55" s="36"/>
      <c r="C55" s="90"/>
      <c r="D55" s="34"/>
      <c r="E55" s="34"/>
      <c r="F55" s="38"/>
      <c r="G55" s="34"/>
      <c r="H55" s="34"/>
      <c r="I55" s="39"/>
      <c r="J55" s="38"/>
      <c r="K55" s="17">
        <f>K54/A53</f>
        <v>0.3333333333</v>
      </c>
      <c r="L55" s="17">
        <f>L54/A53</f>
        <v>0.6666666667</v>
      </c>
    </row>
    <row r="56" ht="14.25" customHeight="1">
      <c r="A56" s="51"/>
      <c r="B56" s="36"/>
      <c r="C56" s="90"/>
      <c r="D56" s="34"/>
      <c r="E56" s="34"/>
      <c r="F56" s="38"/>
      <c r="G56" s="34"/>
      <c r="H56" s="34"/>
      <c r="I56" s="39"/>
      <c r="J56" s="38"/>
    </row>
    <row r="57" ht="14.25" customHeight="1">
      <c r="A57" s="51">
        <v>1.0</v>
      </c>
      <c r="B57" s="36" t="s">
        <v>155</v>
      </c>
      <c r="C57" s="49" t="s">
        <v>174</v>
      </c>
      <c r="D57" s="45" t="s">
        <v>522</v>
      </c>
      <c r="E57" s="38">
        <v>5.01</v>
      </c>
      <c r="F57" s="34">
        <v>4.0</v>
      </c>
      <c r="G57" s="38">
        <v>70.5</v>
      </c>
      <c r="H57" s="34">
        <v>14.0</v>
      </c>
      <c r="I57" s="39">
        <f t="shared" ref="I57:I68" si="7">G57/H57</f>
        <v>5.035714286</v>
      </c>
      <c r="J57" s="38" t="s">
        <v>254</v>
      </c>
      <c r="K57" s="7">
        <v>1.0</v>
      </c>
    </row>
    <row r="58" ht="14.25" customHeight="1">
      <c r="A58" s="51">
        <v>2.0</v>
      </c>
      <c r="B58" s="36" t="s">
        <v>155</v>
      </c>
      <c r="C58" s="49" t="s">
        <v>174</v>
      </c>
      <c r="D58" s="45" t="s">
        <v>523</v>
      </c>
      <c r="E58" s="38">
        <v>2.98</v>
      </c>
      <c r="F58" s="34">
        <v>3.12</v>
      </c>
      <c r="G58" s="38">
        <v>91.0</v>
      </c>
      <c r="H58" s="34">
        <v>14.0</v>
      </c>
      <c r="I58" s="39">
        <f t="shared" si="7"/>
        <v>6.5</v>
      </c>
      <c r="J58" s="38" t="s">
        <v>254</v>
      </c>
      <c r="K58" s="7">
        <v>1.0</v>
      </c>
    </row>
    <row r="59" ht="14.25" customHeight="1">
      <c r="A59" s="51">
        <v>3.0</v>
      </c>
      <c r="B59" s="36" t="s">
        <v>155</v>
      </c>
      <c r="C59" s="49" t="s">
        <v>174</v>
      </c>
      <c r="D59" s="45" t="s">
        <v>524</v>
      </c>
      <c r="E59" s="38">
        <v>4.11</v>
      </c>
      <c r="F59" s="34">
        <v>3.57</v>
      </c>
      <c r="G59" s="38">
        <v>83.0</v>
      </c>
      <c r="H59" s="34">
        <v>14.0</v>
      </c>
      <c r="I59" s="39">
        <f t="shared" si="7"/>
        <v>5.928571429</v>
      </c>
      <c r="J59" s="38" t="s">
        <v>254</v>
      </c>
      <c r="K59" s="7">
        <v>1.0</v>
      </c>
    </row>
    <row r="60" ht="14.25" customHeight="1">
      <c r="A60" s="51">
        <v>4.0</v>
      </c>
      <c r="B60" s="36" t="s">
        <v>155</v>
      </c>
      <c r="C60" s="49" t="s">
        <v>174</v>
      </c>
      <c r="D60" s="45" t="s">
        <v>525</v>
      </c>
      <c r="E60" s="38">
        <v>4.12</v>
      </c>
      <c r="F60" s="34">
        <v>3.0</v>
      </c>
      <c r="G60" s="38">
        <v>51.5</v>
      </c>
      <c r="H60" s="34">
        <v>14.0</v>
      </c>
      <c r="I60" s="39">
        <f t="shared" si="7"/>
        <v>3.678571429</v>
      </c>
      <c r="J60" s="91" t="s">
        <v>267</v>
      </c>
    </row>
    <row r="61" ht="14.25" customHeight="1">
      <c r="A61" s="51">
        <v>5.0</v>
      </c>
      <c r="B61" s="36" t="s">
        <v>155</v>
      </c>
      <c r="C61" s="49" t="s">
        <v>174</v>
      </c>
      <c r="D61" s="45" t="s">
        <v>526</v>
      </c>
      <c r="E61" s="38">
        <v>4.0</v>
      </c>
      <c r="F61" s="34">
        <v>4.23</v>
      </c>
      <c r="G61" s="38">
        <v>44.5</v>
      </c>
      <c r="H61" s="34">
        <v>14.0</v>
      </c>
      <c r="I61" s="39">
        <f t="shared" si="7"/>
        <v>3.178571429</v>
      </c>
      <c r="J61" s="91" t="s">
        <v>267</v>
      </c>
    </row>
    <row r="62" ht="14.25" customHeight="1">
      <c r="A62" s="51">
        <v>6.0</v>
      </c>
      <c r="B62" s="36" t="s">
        <v>155</v>
      </c>
      <c r="C62" s="49" t="s">
        <v>174</v>
      </c>
      <c r="D62" s="45" t="s">
        <v>527</v>
      </c>
      <c r="E62" s="38">
        <v>3.1</v>
      </c>
      <c r="F62" s="34">
        <v>3.32</v>
      </c>
      <c r="G62" s="38">
        <v>52.5</v>
      </c>
      <c r="H62" s="34">
        <v>14.0</v>
      </c>
      <c r="I62" s="39">
        <f t="shared" si="7"/>
        <v>3.75</v>
      </c>
      <c r="J62" s="38" t="s">
        <v>50</v>
      </c>
      <c r="L62" s="7">
        <v>1.0</v>
      </c>
    </row>
    <row r="63" ht="14.25" customHeight="1">
      <c r="A63" s="51">
        <v>7.0</v>
      </c>
      <c r="B63" s="36" t="s">
        <v>155</v>
      </c>
      <c r="C63" s="49" t="s">
        <v>174</v>
      </c>
      <c r="D63" s="45" t="s">
        <v>528</v>
      </c>
      <c r="E63" s="38">
        <v>3.0</v>
      </c>
      <c r="F63" s="34">
        <v>3.93</v>
      </c>
      <c r="G63" s="38">
        <v>68.5</v>
      </c>
      <c r="H63" s="34">
        <v>14.0</v>
      </c>
      <c r="I63" s="39">
        <f t="shared" si="7"/>
        <v>4.892857143</v>
      </c>
      <c r="J63" s="38" t="s">
        <v>254</v>
      </c>
      <c r="K63" s="7">
        <v>1.0</v>
      </c>
    </row>
    <row r="64" ht="14.25" customHeight="1">
      <c r="A64" s="51">
        <v>8.0</v>
      </c>
      <c r="B64" s="36" t="s">
        <v>155</v>
      </c>
      <c r="C64" s="49" t="s">
        <v>174</v>
      </c>
      <c r="D64" s="45" t="s">
        <v>529</v>
      </c>
      <c r="E64" s="38">
        <v>3.12</v>
      </c>
      <c r="F64" s="34">
        <v>2.1</v>
      </c>
      <c r="G64" s="38">
        <v>63.5</v>
      </c>
      <c r="H64" s="34">
        <v>14.0</v>
      </c>
      <c r="I64" s="39">
        <f t="shared" si="7"/>
        <v>4.535714286</v>
      </c>
      <c r="J64" s="38" t="s">
        <v>254</v>
      </c>
      <c r="K64" s="7">
        <v>1.0</v>
      </c>
    </row>
    <row r="65" ht="14.25" customHeight="1">
      <c r="A65" s="51">
        <v>9.0</v>
      </c>
      <c r="B65" s="36" t="s">
        <v>155</v>
      </c>
      <c r="C65" s="49" t="s">
        <v>174</v>
      </c>
      <c r="D65" s="45" t="s">
        <v>530</v>
      </c>
      <c r="E65" s="38">
        <v>2.56</v>
      </c>
      <c r="F65" s="34">
        <v>3.12</v>
      </c>
      <c r="G65" s="38">
        <v>43.5</v>
      </c>
      <c r="H65" s="34">
        <v>14.0</v>
      </c>
      <c r="I65" s="39">
        <f t="shared" si="7"/>
        <v>3.107142857</v>
      </c>
      <c r="J65" s="38" t="s">
        <v>50</v>
      </c>
      <c r="L65" s="7">
        <v>1.0</v>
      </c>
    </row>
    <row r="66" ht="14.25" customHeight="1">
      <c r="A66" s="51">
        <v>10.0</v>
      </c>
      <c r="B66" s="36" t="s">
        <v>155</v>
      </c>
      <c r="C66" s="49" t="s">
        <v>174</v>
      </c>
      <c r="D66" s="45" t="s">
        <v>531</v>
      </c>
      <c r="E66" s="38">
        <v>2.09</v>
      </c>
      <c r="F66" s="34">
        <v>3.45</v>
      </c>
      <c r="G66" s="38">
        <v>38.0</v>
      </c>
      <c r="H66" s="34">
        <v>14.0</v>
      </c>
      <c r="I66" s="39">
        <f t="shared" si="7"/>
        <v>2.714285714</v>
      </c>
      <c r="J66" s="38" t="s">
        <v>50</v>
      </c>
      <c r="L66" s="7">
        <v>1.0</v>
      </c>
    </row>
    <row r="67" ht="14.25" customHeight="1">
      <c r="A67" s="51">
        <v>11.0</v>
      </c>
      <c r="B67" s="36" t="s">
        <v>155</v>
      </c>
      <c r="C67" s="49" t="s">
        <v>174</v>
      </c>
      <c r="D67" s="45" t="s">
        <v>532</v>
      </c>
      <c r="E67" s="38">
        <v>3.0</v>
      </c>
      <c r="F67" s="34">
        <v>1.28</v>
      </c>
      <c r="G67" s="38">
        <v>32.0</v>
      </c>
      <c r="H67" s="34">
        <v>14.0</v>
      </c>
      <c r="I67" s="39">
        <f t="shared" si="7"/>
        <v>2.285714286</v>
      </c>
      <c r="J67" s="38" t="s">
        <v>50</v>
      </c>
      <c r="L67" s="7">
        <v>1.0</v>
      </c>
    </row>
    <row r="68" ht="14.25" customHeight="1">
      <c r="A68" s="51">
        <v>12.0</v>
      </c>
      <c r="B68" s="36" t="s">
        <v>155</v>
      </c>
      <c r="C68" s="49" t="s">
        <v>174</v>
      </c>
      <c r="D68" s="45" t="s">
        <v>533</v>
      </c>
      <c r="E68" s="38">
        <v>4.5</v>
      </c>
      <c r="F68" s="34">
        <v>2.5</v>
      </c>
      <c r="G68" s="38">
        <v>26.0</v>
      </c>
      <c r="H68" s="34">
        <v>14.0</v>
      </c>
      <c r="I68" s="39">
        <f t="shared" si="7"/>
        <v>1.857142857</v>
      </c>
      <c r="J68" s="38" t="s">
        <v>50</v>
      </c>
      <c r="L68" s="7">
        <v>1.0</v>
      </c>
    </row>
    <row r="69" ht="14.25" customHeight="1">
      <c r="A69" s="61"/>
      <c r="B69" s="61"/>
      <c r="C69" s="61"/>
      <c r="D69" s="34"/>
      <c r="E69" s="61"/>
      <c r="F69" s="61"/>
      <c r="G69" s="61"/>
      <c r="H69" s="61"/>
      <c r="I69" s="61"/>
      <c r="J69" s="92"/>
      <c r="K69" s="16">
        <f t="shared" ref="K69:L69" si="8">SUM(K57:K68)</f>
        <v>5</v>
      </c>
      <c r="L69" s="16">
        <f t="shared" si="8"/>
        <v>5</v>
      </c>
    </row>
    <row r="70" ht="14.25" customHeight="1">
      <c r="A70" s="61"/>
      <c r="B70" s="61"/>
      <c r="C70" s="61"/>
      <c r="D70" s="34"/>
      <c r="E70" s="61"/>
      <c r="F70" s="61"/>
      <c r="G70" s="61"/>
      <c r="H70" s="61"/>
      <c r="I70" s="61"/>
      <c r="J70" s="92"/>
      <c r="K70" s="17">
        <f>K69/A68</f>
        <v>0.4166666667</v>
      </c>
      <c r="L70" s="17">
        <f>L69/A68</f>
        <v>0.4166666667</v>
      </c>
    </row>
    <row r="71" ht="14.25" customHeight="1">
      <c r="A71" s="61"/>
      <c r="B71" s="61"/>
      <c r="C71" s="61"/>
      <c r="D71" s="34"/>
      <c r="E71" s="61"/>
      <c r="F71" s="61"/>
      <c r="G71" s="61"/>
      <c r="H71" s="61"/>
      <c r="I71" s="61"/>
      <c r="J71" s="92"/>
      <c r="O71" s="20" t="s">
        <v>534</v>
      </c>
      <c r="P71" s="21" t="s">
        <v>140</v>
      </c>
      <c r="Q71" s="21" t="s">
        <v>474</v>
      </c>
      <c r="R71" s="21" t="s">
        <v>475</v>
      </c>
      <c r="S71" s="21" t="s">
        <v>143</v>
      </c>
      <c r="T71" s="21" t="s">
        <v>476</v>
      </c>
      <c r="U71" s="21" t="s">
        <v>145</v>
      </c>
      <c r="V71" s="21" t="s">
        <v>146</v>
      </c>
    </row>
    <row r="72" ht="14.25" customHeight="1">
      <c r="A72" s="61"/>
      <c r="B72" s="61"/>
      <c r="C72" s="61"/>
      <c r="D72" s="34"/>
      <c r="E72" s="61"/>
      <c r="F72" s="61"/>
      <c r="G72" s="61"/>
      <c r="H72" s="61"/>
      <c r="I72" s="61"/>
      <c r="J72" s="92"/>
      <c r="O72" s="21"/>
      <c r="P72" s="22">
        <f>A68+A53+A41+A24</f>
        <v>57</v>
      </c>
      <c r="Q72" s="22">
        <f t="shared" ref="Q72:S72" si="9">K69+K54+K42+K25</f>
        <v>20</v>
      </c>
      <c r="R72" s="22">
        <f t="shared" si="9"/>
        <v>30</v>
      </c>
      <c r="S72" s="22">
        <f t="shared" si="9"/>
        <v>4</v>
      </c>
      <c r="T72" s="23">
        <f>Q72/P72</f>
        <v>0.350877193</v>
      </c>
      <c r="U72" s="23">
        <f>S72/P72</f>
        <v>0.0701754386</v>
      </c>
      <c r="V72" s="23">
        <f>R72/P72</f>
        <v>0.5263157895</v>
      </c>
    </row>
    <row r="73" ht="14.25" customHeight="1">
      <c r="A73" s="61"/>
      <c r="B73" s="61"/>
      <c r="C73" s="61"/>
      <c r="D73" s="34"/>
      <c r="E73" s="61"/>
      <c r="F73" s="61"/>
      <c r="G73" s="61"/>
      <c r="H73" s="61"/>
      <c r="I73" s="61"/>
      <c r="J73" s="92"/>
    </row>
    <row r="74" ht="14.25" customHeight="1">
      <c r="A74" s="61"/>
      <c r="B74" s="61"/>
      <c r="C74" s="61"/>
      <c r="D74" s="34"/>
      <c r="E74" s="61"/>
      <c r="F74" s="61"/>
      <c r="G74" s="61"/>
      <c r="H74" s="61"/>
      <c r="I74" s="61"/>
      <c r="J74" s="92"/>
    </row>
    <row r="75" ht="14.25" customHeight="1">
      <c r="A75" s="61"/>
      <c r="B75" s="61"/>
      <c r="C75" s="61"/>
      <c r="D75" s="34"/>
      <c r="E75" s="61"/>
      <c r="F75" s="61"/>
      <c r="G75" s="61"/>
      <c r="H75" s="61"/>
      <c r="I75" s="61"/>
      <c r="J75" s="92"/>
    </row>
    <row r="76" ht="14.25" customHeight="1">
      <c r="A76" s="61"/>
      <c r="B76" s="61"/>
      <c r="C76" s="61"/>
      <c r="D76" s="34"/>
      <c r="E76" s="61"/>
      <c r="F76" s="61"/>
      <c r="G76" s="61"/>
      <c r="H76" s="61"/>
      <c r="I76" s="61"/>
      <c r="J76" s="92"/>
    </row>
    <row r="77" ht="14.25" customHeight="1">
      <c r="A77" s="61"/>
      <c r="B77" s="61"/>
      <c r="C77" s="61"/>
      <c r="D77" s="34"/>
      <c r="E77" s="61"/>
      <c r="F77" s="61"/>
      <c r="G77" s="61"/>
      <c r="H77" s="61"/>
      <c r="I77" s="61"/>
      <c r="J77" s="92"/>
    </row>
    <row r="78" ht="14.25" customHeight="1">
      <c r="A78" s="61"/>
      <c r="B78" s="61"/>
      <c r="C78" s="61"/>
      <c r="D78" s="34"/>
      <c r="E78" s="61"/>
      <c r="F78" s="61"/>
      <c r="G78" s="61"/>
      <c r="H78" s="61"/>
      <c r="I78" s="61"/>
      <c r="J78" s="92"/>
    </row>
    <row r="79" ht="14.25" customHeight="1">
      <c r="A79" s="61"/>
      <c r="B79" s="61"/>
      <c r="C79" s="61"/>
      <c r="D79" s="34"/>
      <c r="E79" s="61"/>
      <c r="F79" s="61"/>
      <c r="G79" s="61"/>
      <c r="H79" s="61"/>
      <c r="I79" s="61"/>
      <c r="J79" s="92"/>
    </row>
    <row r="80" ht="14.25" customHeight="1">
      <c r="A80" s="61"/>
      <c r="B80" s="61"/>
      <c r="C80" s="61"/>
      <c r="D80" s="34"/>
      <c r="E80" s="61"/>
      <c r="F80" s="61"/>
      <c r="G80" s="61"/>
      <c r="H80" s="61"/>
      <c r="I80" s="61"/>
      <c r="J80" s="92"/>
    </row>
    <row r="81" ht="14.25" customHeight="1">
      <c r="A81" s="61"/>
      <c r="B81" s="61"/>
      <c r="C81" s="61"/>
      <c r="D81" s="34"/>
      <c r="E81" s="61"/>
      <c r="F81" s="61"/>
      <c r="G81" s="61"/>
      <c r="H81" s="61"/>
      <c r="I81" s="61"/>
      <c r="J81" s="92"/>
    </row>
    <row r="82" ht="14.25" customHeight="1">
      <c r="A82" s="61"/>
      <c r="B82" s="61"/>
      <c r="C82" s="61"/>
      <c r="D82" s="34"/>
      <c r="E82" s="61"/>
      <c r="F82" s="61"/>
      <c r="G82" s="61"/>
      <c r="H82" s="61"/>
      <c r="I82" s="61"/>
      <c r="J82" s="92"/>
    </row>
    <row r="83" ht="14.25" customHeight="1">
      <c r="A83" s="61"/>
      <c r="B83" s="61"/>
      <c r="C83" s="61"/>
      <c r="D83" s="34"/>
      <c r="E83" s="61"/>
      <c r="F83" s="61"/>
      <c r="G83" s="61"/>
      <c r="H83" s="61"/>
      <c r="I83" s="61"/>
      <c r="J83" s="92"/>
    </row>
    <row r="84" ht="14.25" customHeight="1">
      <c r="A84" s="61"/>
      <c r="B84" s="61"/>
      <c r="C84" s="61"/>
      <c r="D84" s="34"/>
      <c r="E84" s="61"/>
      <c r="F84" s="61"/>
      <c r="G84" s="61"/>
      <c r="H84" s="61"/>
      <c r="I84" s="61"/>
      <c r="J84" s="92"/>
    </row>
    <row r="85" ht="14.25" customHeight="1">
      <c r="A85" s="61"/>
      <c r="B85" s="61"/>
      <c r="C85" s="61"/>
      <c r="D85" s="34"/>
      <c r="E85" s="61"/>
      <c r="F85" s="61"/>
      <c r="G85" s="61"/>
      <c r="H85" s="61"/>
      <c r="I85" s="61"/>
      <c r="J85" s="92"/>
    </row>
    <row r="86" ht="14.25" customHeight="1">
      <c r="A86" s="61"/>
      <c r="B86" s="61"/>
      <c r="C86" s="61"/>
      <c r="D86" s="34"/>
      <c r="E86" s="61"/>
      <c r="F86" s="61"/>
      <c r="G86" s="61"/>
      <c r="H86" s="61"/>
      <c r="I86" s="61"/>
      <c r="J86" s="92"/>
    </row>
    <row r="87" ht="14.25" customHeight="1">
      <c r="A87" s="61"/>
      <c r="B87" s="61"/>
      <c r="C87" s="61"/>
      <c r="D87" s="34"/>
      <c r="E87" s="61"/>
      <c r="F87" s="61"/>
      <c r="G87" s="61"/>
      <c r="H87" s="61"/>
      <c r="I87" s="61"/>
      <c r="J87" s="92"/>
    </row>
    <row r="88" ht="14.25" customHeight="1">
      <c r="A88" s="61"/>
      <c r="B88" s="61"/>
      <c r="C88" s="61"/>
      <c r="D88" s="34"/>
      <c r="E88" s="61"/>
      <c r="F88" s="61"/>
      <c r="G88" s="61"/>
      <c r="H88" s="61"/>
      <c r="I88" s="61"/>
      <c r="J88" s="92"/>
    </row>
    <row r="89" ht="14.25" customHeight="1">
      <c r="A89" s="61"/>
      <c r="B89" s="61"/>
      <c r="C89" s="61"/>
      <c r="D89" s="34"/>
      <c r="E89" s="61"/>
      <c r="F89" s="61"/>
      <c r="G89" s="61"/>
      <c r="H89" s="61"/>
      <c r="I89" s="61"/>
      <c r="J89" s="92"/>
    </row>
    <row r="90" ht="14.25" customHeight="1">
      <c r="A90" s="61"/>
      <c r="B90" s="61"/>
      <c r="C90" s="61"/>
      <c r="D90" s="34"/>
      <c r="E90" s="61"/>
      <c r="F90" s="61"/>
      <c r="G90" s="61"/>
      <c r="H90" s="61"/>
      <c r="I90" s="61"/>
      <c r="J90" s="92"/>
    </row>
    <row r="91" ht="14.25" customHeight="1">
      <c r="A91" s="61"/>
      <c r="B91" s="61"/>
      <c r="C91" s="61"/>
      <c r="D91" s="34"/>
      <c r="E91" s="61"/>
      <c r="F91" s="61"/>
      <c r="G91" s="61"/>
      <c r="H91" s="61"/>
      <c r="I91" s="61"/>
      <c r="J91" s="92"/>
    </row>
    <row r="92" ht="14.25" customHeight="1">
      <c r="A92" s="61"/>
      <c r="B92" s="61"/>
      <c r="C92" s="61"/>
      <c r="D92" s="34"/>
      <c r="E92" s="61"/>
      <c r="F92" s="61"/>
      <c r="G92" s="61"/>
      <c r="H92" s="61"/>
      <c r="I92" s="61"/>
      <c r="J92" s="92"/>
    </row>
    <row r="93" ht="14.25" customHeight="1">
      <c r="A93" s="61"/>
      <c r="B93" s="61"/>
      <c r="C93" s="61"/>
      <c r="D93" s="34"/>
      <c r="E93" s="61"/>
      <c r="F93" s="61"/>
      <c r="G93" s="61"/>
      <c r="H93" s="61"/>
      <c r="I93" s="61"/>
      <c r="J93" s="92"/>
    </row>
    <row r="94" ht="14.25" customHeight="1">
      <c r="A94" s="61"/>
      <c r="B94" s="61"/>
      <c r="C94" s="61"/>
      <c r="D94" s="34"/>
      <c r="E94" s="61"/>
      <c r="F94" s="61"/>
      <c r="G94" s="61"/>
      <c r="H94" s="61"/>
      <c r="I94" s="61"/>
      <c r="J94" s="92"/>
    </row>
    <row r="95" ht="14.25" customHeight="1">
      <c r="A95" s="61"/>
      <c r="B95" s="61"/>
      <c r="C95" s="61"/>
      <c r="D95" s="34"/>
      <c r="E95" s="61"/>
      <c r="F95" s="61"/>
      <c r="G95" s="61"/>
      <c r="H95" s="61"/>
      <c r="I95" s="61"/>
      <c r="J95" s="92"/>
    </row>
    <row r="96" ht="14.25" customHeight="1">
      <c r="A96" s="61"/>
      <c r="B96" s="61"/>
      <c r="C96" s="61"/>
      <c r="D96" s="34"/>
      <c r="E96" s="61"/>
      <c r="F96" s="61"/>
      <c r="G96" s="61"/>
      <c r="H96" s="61"/>
      <c r="I96" s="61"/>
      <c r="J96" s="92"/>
    </row>
    <row r="97" ht="14.25" customHeight="1">
      <c r="A97" s="61"/>
      <c r="B97" s="61"/>
      <c r="C97" s="61"/>
      <c r="D97" s="34"/>
      <c r="E97" s="61"/>
      <c r="F97" s="61"/>
      <c r="G97" s="61"/>
      <c r="H97" s="61"/>
      <c r="I97" s="61"/>
      <c r="J97" s="92"/>
    </row>
    <row r="98" ht="14.25" customHeight="1">
      <c r="A98" s="61"/>
      <c r="B98" s="61"/>
      <c r="C98" s="61"/>
      <c r="D98" s="34"/>
      <c r="E98" s="61"/>
      <c r="F98" s="61"/>
      <c r="G98" s="61"/>
      <c r="H98" s="61"/>
      <c r="I98" s="61"/>
      <c r="J98" s="92"/>
    </row>
    <row r="99" ht="14.25" customHeight="1">
      <c r="A99" s="61"/>
      <c r="B99" s="61"/>
      <c r="C99" s="61"/>
      <c r="D99" s="34"/>
      <c r="E99" s="61"/>
      <c r="F99" s="61"/>
      <c r="G99" s="61"/>
      <c r="H99" s="61"/>
      <c r="I99" s="61"/>
      <c r="J99" s="92"/>
    </row>
    <row r="100" ht="14.25" customHeight="1">
      <c r="A100" s="61"/>
      <c r="B100" s="61"/>
      <c r="C100" s="61"/>
      <c r="D100" s="34"/>
      <c r="E100" s="61"/>
      <c r="F100" s="61"/>
      <c r="G100" s="61"/>
      <c r="H100" s="61"/>
      <c r="I100" s="61"/>
      <c r="J100" s="92"/>
    </row>
    <row r="101" ht="14.25" customHeight="1">
      <c r="A101" s="61"/>
      <c r="B101" s="61"/>
      <c r="C101" s="61"/>
      <c r="D101" s="34"/>
      <c r="E101" s="61"/>
      <c r="F101" s="61"/>
      <c r="G101" s="61"/>
      <c r="H101" s="61"/>
      <c r="I101" s="61"/>
      <c r="J101" s="92"/>
    </row>
    <row r="102" ht="14.25" customHeight="1">
      <c r="A102" s="61"/>
      <c r="B102" s="61"/>
      <c r="C102" s="61"/>
      <c r="D102" s="34"/>
      <c r="E102" s="61"/>
      <c r="F102" s="61"/>
      <c r="G102" s="61"/>
      <c r="H102" s="61"/>
      <c r="I102" s="61"/>
      <c r="J102" s="92"/>
    </row>
    <row r="103" ht="14.25" customHeight="1">
      <c r="A103" s="61"/>
      <c r="B103" s="61"/>
      <c r="C103" s="61"/>
      <c r="D103" s="34"/>
      <c r="E103" s="61"/>
      <c r="F103" s="61"/>
      <c r="G103" s="61"/>
      <c r="H103" s="61"/>
      <c r="I103" s="61"/>
      <c r="J103" s="92"/>
    </row>
    <row r="104" ht="14.25" customHeight="1">
      <c r="A104" s="61"/>
      <c r="B104" s="61"/>
      <c r="C104" s="61"/>
      <c r="D104" s="34"/>
      <c r="E104" s="61"/>
      <c r="F104" s="61"/>
      <c r="G104" s="61"/>
      <c r="H104" s="61"/>
      <c r="I104" s="61"/>
      <c r="J104" s="92"/>
    </row>
    <row r="105" ht="14.25" customHeight="1">
      <c r="A105" s="61"/>
      <c r="B105" s="61"/>
      <c r="C105" s="61"/>
      <c r="D105" s="34"/>
      <c r="E105" s="61"/>
      <c r="F105" s="61"/>
      <c r="G105" s="61"/>
      <c r="H105" s="61"/>
      <c r="I105" s="61"/>
      <c r="J105" s="92"/>
    </row>
    <row r="106" ht="14.25" customHeight="1">
      <c r="A106" s="61"/>
      <c r="B106" s="61"/>
      <c r="C106" s="61"/>
      <c r="D106" s="34"/>
      <c r="E106" s="61"/>
      <c r="F106" s="61"/>
      <c r="G106" s="61"/>
      <c r="H106" s="61"/>
      <c r="I106" s="61"/>
      <c r="J106" s="92"/>
    </row>
    <row r="107" ht="14.25" customHeight="1">
      <c r="A107" s="61"/>
      <c r="B107" s="61"/>
      <c r="C107" s="61"/>
      <c r="D107" s="34"/>
      <c r="E107" s="61"/>
      <c r="F107" s="61"/>
      <c r="G107" s="61"/>
      <c r="H107" s="61"/>
      <c r="I107" s="61"/>
      <c r="J107" s="92"/>
    </row>
    <row r="108" ht="14.25" customHeight="1">
      <c r="A108" s="61"/>
      <c r="B108" s="61"/>
      <c r="C108" s="61"/>
      <c r="D108" s="34"/>
      <c r="E108" s="61"/>
      <c r="F108" s="61"/>
      <c r="G108" s="61"/>
      <c r="H108" s="61"/>
      <c r="I108" s="61"/>
      <c r="J108" s="92"/>
    </row>
    <row r="109" ht="14.25" customHeight="1">
      <c r="A109" s="61"/>
      <c r="B109" s="61"/>
      <c r="C109" s="61"/>
      <c r="D109" s="34"/>
      <c r="E109" s="61"/>
      <c r="F109" s="61"/>
      <c r="G109" s="61"/>
      <c r="H109" s="61"/>
      <c r="I109" s="61"/>
      <c r="J109" s="92"/>
    </row>
    <row r="110" ht="14.25" customHeight="1">
      <c r="A110" s="61"/>
      <c r="B110" s="61"/>
      <c r="C110" s="61"/>
      <c r="D110" s="34"/>
      <c r="E110" s="61"/>
      <c r="F110" s="61"/>
      <c r="G110" s="61"/>
      <c r="H110" s="61"/>
      <c r="I110" s="61"/>
      <c r="J110" s="92"/>
    </row>
    <row r="111" ht="14.25" customHeight="1">
      <c r="A111" s="61"/>
      <c r="B111" s="61"/>
      <c r="C111" s="61"/>
      <c r="D111" s="34"/>
      <c r="E111" s="61"/>
      <c r="F111" s="61"/>
      <c r="G111" s="61"/>
      <c r="H111" s="61"/>
      <c r="I111" s="61"/>
      <c r="J111" s="92"/>
    </row>
    <row r="112" ht="14.25" customHeight="1">
      <c r="A112" s="61"/>
      <c r="B112" s="61"/>
      <c r="C112" s="61"/>
      <c r="D112" s="34"/>
      <c r="E112" s="61"/>
      <c r="F112" s="61"/>
      <c r="G112" s="61"/>
      <c r="H112" s="61"/>
      <c r="I112" s="61"/>
      <c r="J112" s="92"/>
    </row>
    <row r="113" ht="14.25" customHeight="1">
      <c r="A113" s="61"/>
      <c r="B113" s="61"/>
      <c r="C113" s="61"/>
      <c r="D113" s="34"/>
      <c r="E113" s="61"/>
      <c r="F113" s="61"/>
      <c r="G113" s="61"/>
      <c r="H113" s="61"/>
      <c r="I113" s="61"/>
      <c r="J113" s="92"/>
    </row>
    <row r="114" ht="14.25" customHeight="1">
      <c r="A114" s="61"/>
      <c r="B114" s="61"/>
      <c r="C114" s="61"/>
      <c r="D114" s="34"/>
      <c r="E114" s="61"/>
      <c r="F114" s="61"/>
      <c r="G114" s="61"/>
      <c r="H114" s="61"/>
      <c r="I114" s="61"/>
      <c r="J114" s="92"/>
    </row>
    <row r="115" ht="14.25" customHeight="1">
      <c r="A115" s="61"/>
      <c r="B115" s="61"/>
      <c r="C115" s="61"/>
      <c r="D115" s="34"/>
      <c r="E115" s="61"/>
      <c r="F115" s="61"/>
      <c r="G115" s="61"/>
      <c r="H115" s="61"/>
      <c r="I115" s="61"/>
      <c r="J115" s="92"/>
    </row>
    <row r="116" ht="14.25" customHeight="1">
      <c r="A116" s="61"/>
      <c r="B116" s="61"/>
      <c r="C116" s="61"/>
      <c r="D116" s="34"/>
      <c r="E116" s="61"/>
      <c r="F116" s="61"/>
      <c r="G116" s="61"/>
      <c r="H116" s="61"/>
      <c r="I116" s="61"/>
      <c r="J116" s="92"/>
    </row>
    <row r="117" ht="14.25" customHeight="1">
      <c r="A117" s="61"/>
      <c r="B117" s="61"/>
      <c r="C117" s="61"/>
      <c r="D117" s="34"/>
      <c r="E117" s="61"/>
      <c r="F117" s="61"/>
      <c r="G117" s="61"/>
      <c r="H117" s="61"/>
      <c r="I117" s="61"/>
      <c r="J117" s="92"/>
    </row>
    <row r="118" ht="14.25" customHeight="1">
      <c r="A118" s="61"/>
      <c r="B118" s="61"/>
      <c r="C118" s="61"/>
      <c r="D118" s="34"/>
      <c r="E118" s="61"/>
      <c r="F118" s="61"/>
      <c r="G118" s="61"/>
      <c r="H118" s="61"/>
      <c r="I118" s="61"/>
      <c r="J118" s="92"/>
    </row>
    <row r="119" ht="14.25" customHeight="1">
      <c r="A119" s="61"/>
      <c r="B119" s="61"/>
      <c r="C119" s="61"/>
      <c r="D119" s="34"/>
      <c r="E119" s="61"/>
      <c r="F119" s="61"/>
      <c r="G119" s="61"/>
      <c r="H119" s="61"/>
      <c r="I119" s="61"/>
      <c r="J119" s="92"/>
    </row>
    <row r="120" ht="14.25" customHeight="1">
      <c r="A120" s="61"/>
      <c r="B120" s="61"/>
      <c r="C120" s="61"/>
      <c r="D120" s="34"/>
      <c r="E120" s="61"/>
      <c r="F120" s="61"/>
      <c r="G120" s="61"/>
      <c r="H120" s="61"/>
      <c r="I120" s="61"/>
      <c r="J120" s="92"/>
    </row>
    <row r="121" ht="14.25" customHeight="1">
      <c r="A121" s="61"/>
      <c r="B121" s="61"/>
      <c r="C121" s="61"/>
      <c r="D121" s="34"/>
      <c r="E121" s="61"/>
      <c r="F121" s="61"/>
      <c r="G121" s="61"/>
      <c r="H121" s="61"/>
      <c r="I121" s="61"/>
      <c r="J121" s="92"/>
    </row>
    <row r="122" ht="14.25" customHeight="1">
      <c r="A122" s="61"/>
      <c r="B122" s="61"/>
      <c r="C122" s="61"/>
      <c r="D122" s="34"/>
      <c r="E122" s="61"/>
      <c r="F122" s="61"/>
      <c r="G122" s="61"/>
      <c r="H122" s="61"/>
      <c r="I122" s="61"/>
      <c r="J122" s="92"/>
    </row>
    <row r="123" ht="14.25" customHeight="1">
      <c r="A123" s="61"/>
      <c r="B123" s="61"/>
      <c r="C123" s="61"/>
      <c r="D123" s="34"/>
      <c r="E123" s="61"/>
      <c r="F123" s="61"/>
      <c r="G123" s="61"/>
      <c r="H123" s="61"/>
      <c r="I123" s="61"/>
      <c r="J123" s="92"/>
    </row>
    <row r="124" ht="14.25" customHeight="1">
      <c r="A124" s="61"/>
      <c r="B124" s="61"/>
      <c r="C124" s="61"/>
      <c r="D124" s="34"/>
      <c r="E124" s="61"/>
      <c r="F124" s="61"/>
      <c r="G124" s="61"/>
      <c r="H124" s="61"/>
      <c r="I124" s="61"/>
      <c r="J124" s="92"/>
    </row>
    <row r="125" ht="14.25" customHeight="1">
      <c r="A125" s="61"/>
      <c r="B125" s="61"/>
      <c r="C125" s="61"/>
      <c r="D125" s="34"/>
      <c r="E125" s="61"/>
      <c r="F125" s="61"/>
      <c r="G125" s="61"/>
      <c r="H125" s="61"/>
      <c r="I125" s="61"/>
      <c r="J125" s="92"/>
    </row>
    <row r="126" ht="14.25" customHeight="1">
      <c r="A126" s="61"/>
      <c r="B126" s="61"/>
      <c r="C126" s="61"/>
      <c r="D126" s="34"/>
      <c r="E126" s="61"/>
      <c r="F126" s="61"/>
      <c r="G126" s="61"/>
      <c r="H126" s="61"/>
      <c r="I126" s="61"/>
      <c r="J126" s="92"/>
    </row>
    <row r="127" ht="14.25" customHeight="1">
      <c r="A127" s="61"/>
      <c r="B127" s="61"/>
      <c r="C127" s="61"/>
      <c r="D127" s="34"/>
      <c r="E127" s="61"/>
      <c r="F127" s="61"/>
      <c r="G127" s="61"/>
      <c r="H127" s="61"/>
      <c r="I127" s="61"/>
      <c r="J127" s="92"/>
    </row>
    <row r="128" ht="14.25" customHeight="1">
      <c r="A128" s="61"/>
      <c r="B128" s="61"/>
      <c r="C128" s="61"/>
      <c r="D128" s="34"/>
      <c r="E128" s="61"/>
      <c r="F128" s="61"/>
      <c r="G128" s="61"/>
      <c r="H128" s="61"/>
      <c r="I128" s="61"/>
      <c r="J128" s="92"/>
    </row>
    <row r="129" ht="14.25" customHeight="1">
      <c r="A129" s="61"/>
      <c r="B129" s="61"/>
      <c r="C129" s="61"/>
      <c r="D129" s="34"/>
      <c r="E129" s="61"/>
      <c r="F129" s="61"/>
      <c r="G129" s="61"/>
      <c r="H129" s="61"/>
      <c r="I129" s="61"/>
      <c r="J129" s="92"/>
    </row>
    <row r="130" ht="14.25" customHeight="1">
      <c r="A130" s="61"/>
      <c r="B130" s="61"/>
      <c r="C130" s="61"/>
      <c r="D130" s="34"/>
      <c r="E130" s="61"/>
      <c r="F130" s="61"/>
      <c r="G130" s="61"/>
      <c r="H130" s="61"/>
      <c r="I130" s="61"/>
      <c r="J130" s="92"/>
    </row>
    <row r="131" ht="14.25" customHeight="1">
      <c r="A131" s="61"/>
      <c r="B131" s="61"/>
      <c r="C131" s="61"/>
      <c r="D131" s="34"/>
      <c r="E131" s="61"/>
      <c r="F131" s="61"/>
      <c r="G131" s="61"/>
      <c r="H131" s="61"/>
      <c r="I131" s="61"/>
      <c r="J131" s="92"/>
    </row>
    <row r="132" ht="14.25" customHeight="1">
      <c r="A132" s="61"/>
      <c r="B132" s="61"/>
      <c r="C132" s="61"/>
      <c r="D132" s="34"/>
      <c r="E132" s="61"/>
      <c r="F132" s="61"/>
      <c r="G132" s="61"/>
      <c r="H132" s="61"/>
      <c r="I132" s="61"/>
      <c r="J132" s="92"/>
    </row>
    <row r="133" ht="14.25" customHeight="1">
      <c r="A133" s="61"/>
      <c r="B133" s="61"/>
      <c r="C133" s="61"/>
      <c r="D133" s="34"/>
      <c r="E133" s="61"/>
      <c r="F133" s="61"/>
      <c r="G133" s="61"/>
      <c r="H133" s="61"/>
      <c r="I133" s="61"/>
      <c r="J133" s="92"/>
    </row>
    <row r="134" ht="14.25" customHeight="1">
      <c r="A134" s="61"/>
      <c r="B134" s="61"/>
      <c r="C134" s="61"/>
      <c r="D134" s="34"/>
      <c r="E134" s="61"/>
      <c r="F134" s="61"/>
      <c r="G134" s="61"/>
      <c r="H134" s="61"/>
      <c r="I134" s="61"/>
      <c r="J134" s="92"/>
    </row>
    <row r="135" ht="14.25" customHeight="1">
      <c r="A135" s="61"/>
      <c r="B135" s="61"/>
      <c r="C135" s="61"/>
      <c r="D135" s="34"/>
      <c r="E135" s="61"/>
      <c r="F135" s="61"/>
      <c r="G135" s="61"/>
      <c r="H135" s="61"/>
      <c r="I135" s="61"/>
      <c r="J135" s="92"/>
    </row>
    <row r="136" ht="14.25" customHeight="1">
      <c r="A136" s="61"/>
      <c r="B136" s="61"/>
      <c r="C136" s="61"/>
      <c r="D136" s="34"/>
      <c r="E136" s="61"/>
      <c r="F136" s="61"/>
      <c r="G136" s="61"/>
      <c r="H136" s="61"/>
      <c r="I136" s="61"/>
      <c r="J136" s="92"/>
    </row>
    <row r="137" ht="14.25" customHeight="1">
      <c r="A137" s="61"/>
      <c r="B137" s="61"/>
      <c r="C137" s="61"/>
      <c r="D137" s="34"/>
      <c r="E137" s="61"/>
      <c r="F137" s="61"/>
      <c r="G137" s="61"/>
      <c r="H137" s="61"/>
      <c r="I137" s="61"/>
      <c r="J137" s="92"/>
    </row>
    <row r="138" ht="14.25" customHeight="1">
      <c r="A138" s="61"/>
      <c r="B138" s="61"/>
      <c r="C138" s="61"/>
      <c r="D138" s="34"/>
      <c r="E138" s="61"/>
      <c r="F138" s="61"/>
      <c r="G138" s="61"/>
      <c r="H138" s="61"/>
      <c r="I138" s="61"/>
      <c r="J138" s="92"/>
    </row>
    <row r="139" ht="14.25" customHeight="1">
      <c r="A139" s="61"/>
      <c r="B139" s="61"/>
      <c r="C139" s="61"/>
      <c r="D139" s="34"/>
      <c r="E139" s="61"/>
      <c r="F139" s="61"/>
      <c r="G139" s="61"/>
      <c r="H139" s="61"/>
      <c r="I139" s="61"/>
      <c r="J139" s="92"/>
    </row>
    <row r="140" ht="14.25" customHeight="1">
      <c r="A140" s="61"/>
      <c r="B140" s="61"/>
      <c r="C140" s="61"/>
      <c r="D140" s="34"/>
      <c r="E140" s="61"/>
      <c r="F140" s="61"/>
      <c r="G140" s="61"/>
      <c r="H140" s="61"/>
      <c r="I140" s="61"/>
      <c r="J140" s="92"/>
    </row>
    <row r="141" ht="14.25" customHeight="1">
      <c r="A141" s="61"/>
      <c r="B141" s="61"/>
      <c r="C141" s="61"/>
      <c r="D141" s="34"/>
      <c r="E141" s="61"/>
      <c r="F141" s="61"/>
      <c r="G141" s="61"/>
      <c r="H141" s="61"/>
      <c r="I141" s="61"/>
      <c r="J141" s="92"/>
    </row>
    <row r="142" ht="14.25" customHeight="1">
      <c r="A142" s="61"/>
      <c r="B142" s="61"/>
      <c r="C142" s="61"/>
      <c r="D142" s="34"/>
      <c r="E142" s="61"/>
      <c r="F142" s="61"/>
      <c r="G142" s="61"/>
      <c r="H142" s="61"/>
      <c r="I142" s="61"/>
      <c r="J142" s="92"/>
    </row>
    <row r="143" ht="14.25" customHeight="1">
      <c r="A143" s="61"/>
      <c r="B143" s="61"/>
      <c r="C143" s="61"/>
      <c r="D143" s="34"/>
      <c r="E143" s="61"/>
      <c r="F143" s="61"/>
      <c r="G143" s="61"/>
      <c r="H143" s="61"/>
      <c r="I143" s="61"/>
      <c r="J143" s="92"/>
    </row>
    <row r="144" ht="14.25" customHeight="1">
      <c r="A144" s="61"/>
      <c r="B144" s="61"/>
      <c r="C144" s="61"/>
      <c r="D144" s="34"/>
      <c r="E144" s="61"/>
      <c r="F144" s="61"/>
      <c r="G144" s="61"/>
      <c r="H144" s="61"/>
      <c r="I144" s="61"/>
      <c r="J144" s="92"/>
    </row>
    <row r="145" ht="14.25" customHeight="1">
      <c r="A145" s="61"/>
      <c r="B145" s="61"/>
      <c r="C145" s="61"/>
      <c r="D145" s="34"/>
      <c r="E145" s="61"/>
      <c r="F145" s="61"/>
      <c r="G145" s="61"/>
      <c r="H145" s="61"/>
      <c r="I145" s="61"/>
      <c r="J145" s="92"/>
    </row>
    <row r="146" ht="14.25" customHeight="1">
      <c r="A146" s="61"/>
      <c r="B146" s="61"/>
      <c r="C146" s="61"/>
      <c r="D146" s="34"/>
      <c r="E146" s="61"/>
      <c r="F146" s="61"/>
      <c r="G146" s="61"/>
      <c r="H146" s="61"/>
      <c r="I146" s="61"/>
      <c r="J146" s="92"/>
    </row>
    <row r="147" ht="14.25" customHeight="1">
      <c r="A147" s="61"/>
      <c r="B147" s="61"/>
      <c r="C147" s="61"/>
      <c r="D147" s="34"/>
      <c r="E147" s="61"/>
      <c r="F147" s="61"/>
      <c r="G147" s="61"/>
      <c r="H147" s="61"/>
      <c r="I147" s="61"/>
      <c r="J147" s="92"/>
    </row>
    <row r="148" ht="14.25" customHeight="1">
      <c r="A148" s="61"/>
      <c r="B148" s="61"/>
      <c r="C148" s="61"/>
      <c r="D148" s="34"/>
      <c r="E148" s="61"/>
      <c r="F148" s="61"/>
      <c r="G148" s="61"/>
      <c r="H148" s="61"/>
      <c r="I148" s="61"/>
      <c r="J148" s="92"/>
    </row>
    <row r="149" ht="14.25" customHeight="1">
      <c r="A149" s="61"/>
      <c r="B149" s="61"/>
      <c r="C149" s="61"/>
      <c r="D149" s="34"/>
      <c r="E149" s="61"/>
      <c r="F149" s="61"/>
      <c r="G149" s="61"/>
      <c r="H149" s="61"/>
      <c r="I149" s="61"/>
      <c r="J149" s="92"/>
    </row>
    <row r="150" ht="14.25" customHeight="1">
      <c r="A150" s="61"/>
      <c r="B150" s="61"/>
      <c r="C150" s="61"/>
      <c r="D150" s="34"/>
      <c r="E150" s="61"/>
      <c r="F150" s="61"/>
      <c r="G150" s="61"/>
      <c r="H150" s="61"/>
      <c r="I150" s="61"/>
      <c r="J150" s="92"/>
    </row>
    <row r="151" ht="14.25" customHeight="1">
      <c r="A151" s="61"/>
      <c r="B151" s="61"/>
      <c r="C151" s="61"/>
      <c r="D151" s="34"/>
      <c r="E151" s="61"/>
      <c r="F151" s="61"/>
      <c r="G151" s="61"/>
      <c r="H151" s="61"/>
      <c r="I151" s="61"/>
      <c r="J151" s="92"/>
    </row>
    <row r="152" ht="14.25" customHeight="1">
      <c r="A152" s="61"/>
      <c r="B152" s="61"/>
      <c r="C152" s="61"/>
      <c r="D152" s="34"/>
      <c r="E152" s="61"/>
      <c r="F152" s="61"/>
      <c r="G152" s="61"/>
      <c r="H152" s="61"/>
      <c r="I152" s="61"/>
      <c r="J152" s="92"/>
    </row>
    <row r="153" ht="14.25" customHeight="1">
      <c r="A153" s="61"/>
      <c r="B153" s="61"/>
      <c r="C153" s="61"/>
      <c r="D153" s="34"/>
      <c r="E153" s="61"/>
      <c r="F153" s="61"/>
      <c r="G153" s="61"/>
      <c r="H153" s="61"/>
      <c r="I153" s="61"/>
      <c r="J153" s="92"/>
    </row>
    <row r="154" ht="14.25" customHeight="1">
      <c r="A154" s="61"/>
      <c r="B154" s="61"/>
      <c r="C154" s="61"/>
      <c r="D154" s="34"/>
      <c r="E154" s="61"/>
      <c r="F154" s="61"/>
      <c r="G154" s="61"/>
      <c r="H154" s="61"/>
      <c r="I154" s="61"/>
      <c r="J154" s="92"/>
    </row>
    <row r="155" ht="14.25" customHeight="1">
      <c r="A155" s="61"/>
      <c r="B155" s="61"/>
      <c r="C155" s="61"/>
      <c r="D155" s="34"/>
      <c r="E155" s="61"/>
      <c r="F155" s="61"/>
      <c r="G155" s="61"/>
      <c r="H155" s="61"/>
      <c r="I155" s="61"/>
      <c r="J155" s="92"/>
    </row>
    <row r="156" ht="14.25" customHeight="1">
      <c r="A156" s="61"/>
      <c r="B156" s="61"/>
      <c r="C156" s="61"/>
      <c r="D156" s="34"/>
      <c r="E156" s="61"/>
      <c r="F156" s="61"/>
      <c r="G156" s="61"/>
      <c r="H156" s="61"/>
      <c r="I156" s="61"/>
      <c r="J156" s="92"/>
    </row>
    <row r="157" ht="14.25" customHeight="1">
      <c r="A157" s="61"/>
      <c r="B157" s="61"/>
      <c r="C157" s="61"/>
      <c r="D157" s="34"/>
      <c r="E157" s="61"/>
      <c r="F157" s="61"/>
      <c r="G157" s="61"/>
      <c r="H157" s="61"/>
      <c r="I157" s="61"/>
      <c r="J157" s="92"/>
    </row>
    <row r="158" ht="14.25" customHeight="1">
      <c r="A158" s="61"/>
      <c r="B158" s="61"/>
      <c r="C158" s="61"/>
      <c r="D158" s="34"/>
      <c r="E158" s="61"/>
      <c r="F158" s="61"/>
      <c r="G158" s="61"/>
      <c r="H158" s="61"/>
      <c r="I158" s="61"/>
      <c r="J158" s="92"/>
    </row>
    <row r="159" ht="14.25" customHeight="1">
      <c r="A159" s="61"/>
      <c r="B159" s="61"/>
      <c r="C159" s="61"/>
      <c r="D159" s="34"/>
      <c r="E159" s="61"/>
      <c r="F159" s="61"/>
      <c r="G159" s="61"/>
      <c r="H159" s="61"/>
      <c r="I159" s="61"/>
      <c r="J159" s="92"/>
    </row>
    <row r="160" ht="14.25" customHeight="1">
      <c r="A160" s="61"/>
      <c r="B160" s="61"/>
      <c r="C160" s="61"/>
      <c r="D160" s="34"/>
      <c r="E160" s="61"/>
      <c r="F160" s="61"/>
      <c r="G160" s="61"/>
      <c r="H160" s="61"/>
      <c r="I160" s="61"/>
      <c r="J160" s="92"/>
    </row>
    <row r="161" ht="14.25" customHeight="1">
      <c r="A161" s="61"/>
      <c r="B161" s="61"/>
      <c r="C161" s="61"/>
      <c r="D161" s="34"/>
      <c r="E161" s="61"/>
      <c r="F161" s="61"/>
      <c r="G161" s="61"/>
      <c r="H161" s="61"/>
      <c r="I161" s="61"/>
      <c r="J161" s="92"/>
    </row>
    <row r="162" ht="14.25" customHeight="1">
      <c r="A162" s="61"/>
      <c r="B162" s="61"/>
      <c r="C162" s="61"/>
      <c r="D162" s="34"/>
      <c r="E162" s="61"/>
      <c r="F162" s="61"/>
      <c r="G162" s="61"/>
      <c r="H162" s="61"/>
      <c r="I162" s="61"/>
      <c r="J162" s="92"/>
    </row>
    <row r="163" ht="14.25" customHeight="1">
      <c r="A163" s="61"/>
      <c r="B163" s="61"/>
      <c r="C163" s="61"/>
      <c r="D163" s="34"/>
      <c r="E163" s="61"/>
      <c r="F163" s="61"/>
      <c r="G163" s="61"/>
      <c r="H163" s="61"/>
      <c r="I163" s="61"/>
      <c r="J163" s="92"/>
    </row>
    <row r="164" ht="14.25" customHeight="1">
      <c r="A164" s="61"/>
      <c r="B164" s="61"/>
      <c r="C164" s="61"/>
      <c r="D164" s="34"/>
      <c r="E164" s="61"/>
      <c r="F164" s="61"/>
      <c r="G164" s="61"/>
      <c r="H164" s="61"/>
      <c r="I164" s="61"/>
      <c r="J164" s="92"/>
    </row>
    <row r="165" ht="14.25" customHeight="1">
      <c r="A165" s="61"/>
      <c r="B165" s="61"/>
      <c r="C165" s="61"/>
      <c r="D165" s="34"/>
      <c r="E165" s="61"/>
      <c r="F165" s="61"/>
      <c r="G165" s="61"/>
      <c r="H165" s="61"/>
      <c r="I165" s="61"/>
      <c r="J165" s="92"/>
    </row>
    <row r="166" ht="14.25" customHeight="1">
      <c r="A166" s="61"/>
      <c r="B166" s="61"/>
      <c r="C166" s="61"/>
      <c r="D166" s="34"/>
      <c r="E166" s="61"/>
      <c r="F166" s="61"/>
      <c r="G166" s="61"/>
      <c r="H166" s="61"/>
      <c r="I166" s="61"/>
      <c r="J166" s="92"/>
    </row>
    <row r="167" ht="14.25" customHeight="1">
      <c r="A167" s="61"/>
      <c r="B167" s="61"/>
      <c r="C167" s="61"/>
      <c r="D167" s="34"/>
      <c r="E167" s="61"/>
      <c r="F167" s="61"/>
      <c r="G167" s="61"/>
      <c r="H167" s="61"/>
      <c r="I167" s="61"/>
      <c r="J167" s="92"/>
    </row>
    <row r="168" ht="14.25" customHeight="1">
      <c r="A168" s="61"/>
      <c r="B168" s="61"/>
      <c r="C168" s="61"/>
      <c r="D168" s="34"/>
      <c r="E168" s="61"/>
      <c r="F168" s="61"/>
      <c r="G168" s="61"/>
      <c r="H168" s="61"/>
      <c r="I168" s="61"/>
      <c r="J168" s="92"/>
    </row>
    <row r="169" ht="14.25" customHeight="1">
      <c r="A169" s="61"/>
      <c r="B169" s="61"/>
      <c r="C169" s="61"/>
      <c r="D169" s="34"/>
      <c r="E169" s="61"/>
      <c r="F169" s="61"/>
      <c r="G169" s="61"/>
      <c r="H169" s="61"/>
      <c r="I169" s="61"/>
      <c r="J169" s="92"/>
    </row>
    <row r="170" ht="14.25" customHeight="1">
      <c r="A170" s="61"/>
      <c r="B170" s="61"/>
      <c r="C170" s="61"/>
      <c r="D170" s="34"/>
      <c r="E170" s="61"/>
      <c r="F170" s="61"/>
      <c r="G170" s="61"/>
      <c r="H170" s="61"/>
      <c r="I170" s="61"/>
      <c r="J170" s="92"/>
    </row>
    <row r="171" ht="14.25" customHeight="1">
      <c r="A171" s="61"/>
      <c r="B171" s="61"/>
      <c r="C171" s="61"/>
      <c r="D171" s="34"/>
      <c r="E171" s="61"/>
      <c r="F171" s="61"/>
      <c r="G171" s="61"/>
      <c r="H171" s="61"/>
      <c r="I171" s="61"/>
      <c r="J171" s="92"/>
    </row>
    <row r="172" ht="14.25" customHeight="1">
      <c r="A172" s="61"/>
      <c r="B172" s="61"/>
      <c r="C172" s="61"/>
      <c r="D172" s="34"/>
      <c r="E172" s="61"/>
      <c r="F172" s="61"/>
      <c r="G172" s="61"/>
      <c r="H172" s="61"/>
      <c r="I172" s="61"/>
      <c r="J172" s="92"/>
    </row>
    <row r="173" ht="14.25" customHeight="1">
      <c r="A173" s="61"/>
      <c r="B173" s="61"/>
      <c r="C173" s="61"/>
      <c r="D173" s="34"/>
      <c r="E173" s="61"/>
      <c r="F173" s="61"/>
      <c r="G173" s="61"/>
      <c r="H173" s="61"/>
      <c r="I173" s="61"/>
      <c r="J173" s="92"/>
    </row>
    <row r="174" ht="14.25" customHeight="1">
      <c r="A174" s="61"/>
      <c r="B174" s="61"/>
      <c r="C174" s="61"/>
      <c r="D174" s="34"/>
      <c r="E174" s="61"/>
      <c r="F174" s="61"/>
      <c r="G174" s="61"/>
      <c r="H174" s="61"/>
      <c r="I174" s="61"/>
      <c r="J174" s="92"/>
    </row>
    <row r="175" ht="14.25" customHeight="1">
      <c r="A175" s="61"/>
      <c r="B175" s="61"/>
      <c r="C175" s="61"/>
      <c r="D175" s="34"/>
      <c r="E175" s="61"/>
      <c r="F175" s="61"/>
      <c r="G175" s="61"/>
      <c r="H175" s="61"/>
      <c r="I175" s="61"/>
      <c r="J175" s="92"/>
    </row>
    <row r="176" ht="14.25" customHeight="1">
      <c r="A176" s="61"/>
      <c r="B176" s="61"/>
      <c r="C176" s="61"/>
      <c r="D176" s="34"/>
      <c r="E176" s="61"/>
      <c r="F176" s="61"/>
      <c r="G176" s="61"/>
      <c r="H176" s="61"/>
      <c r="I176" s="61"/>
      <c r="J176" s="92"/>
    </row>
    <row r="177" ht="14.25" customHeight="1">
      <c r="A177" s="61"/>
      <c r="B177" s="61"/>
      <c r="C177" s="61"/>
      <c r="D177" s="34"/>
      <c r="E177" s="61"/>
      <c r="F177" s="61"/>
      <c r="G177" s="61"/>
      <c r="H177" s="61"/>
      <c r="I177" s="61"/>
      <c r="J177" s="92"/>
    </row>
    <row r="178" ht="14.25" customHeight="1">
      <c r="A178" s="61"/>
      <c r="B178" s="61"/>
      <c r="C178" s="61"/>
      <c r="D178" s="34"/>
      <c r="E178" s="61"/>
      <c r="F178" s="61"/>
      <c r="G178" s="61"/>
      <c r="H178" s="61"/>
      <c r="I178" s="61"/>
      <c r="J178" s="92"/>
    </row>
    <row r="179" ht="14.25" customHeight="1">
      <c r="A179" s="61"/>
      <c r="B179" s="61"/>
      <c r="C179" s="61"/>
      <c r="D179" s="34"/>
      <c r="E179" s="61"/>
      <c r="F179" s="61"/>
      <c r="G179" s="61"/>
      <c r="H179" s="61"/>
      <c r="I179" s="61"/>
      <c r="J179" s="92"/>
    </row>
    <row r="180" ht="14.25" customHeight="1">
      <c r="A180" s="61"/>
      <c r="B180" s="61"/>
      <c r="C180" s="61"/>
      <c r="D180" s="34"/>
      <c r="E180" s="61"/>
      <c r="F180" s="61"/>
      <c r="G180" s="61"/>
      <c r="H180" s="61"/>
      <c r="I180" s="61"/>
      <c r="J180" s="92"/>
    </row>
    <row r="181" ht="14.25" customHeight="1">
      <c r="A181" s="61"/>
      <c r="B181" s="61"/>
      <c r="C181" s="61"/>
      <c r="D181" s="34"/>
      <c r="E181" s="61"/>
      <c r="F181" s="61"/>
      <c r="G181" s="61"/>
      <c r="H181" s="61"/>
      <c r="I181" s="61"/>
      <c r="J181" s="92"/>
    </row>
    <row r="182" ht="14.25" customHeight="1">
      <c r="A182" s="61"/>
      <c r="B182" s="61"/>
      <c r="C182" s="61"/>
      <c r="D182" s="34"/>
      <c r="E182" s="61"/>
      <c r="F182" s="61"/>
      <c r="G182" s="61"/>
      <c r="H182" s="61"/>
      <c r="I182" s="61"/>
      <c r="J182" s="92"/>
    </row>
    <row r="183" ht="14.25" customHeight="1">
      <c r="A183" s="61"/>
      <c r="B183" s="61"/>
      <c r="C183" s="61"/>
      <c r="D183" s="34"/>
      <c r="E183" s="61"/>
      <c r="F183" s="61"/>
      <c r="G183" s="61"/>
      <c r="H183" s="61"/>
      <c r="I183" s="61"/>
      <c r="J183" s="92"/>
    </row>
    <row r="184" ht="14.25" customHeight="1">
      <c r="A184" s="61"/>
      <c r="B184" s="61"/>
      <c r="C184" s="61"/>
      <c r="D184" s="34"/>
      <c r="E184" s="61"/>
      <c r="F184" s="61"/>
      <c r="G184" s="61"/>
      <c r="H184" s="61"/>
      <c r="I184" s="61"/>
      <c r="J184" s="92"/>
    </row>
    <row r="185" ht="14.25" customHeight="1">
      <c r="A185" s="61"/>
      <c r="B185" s="61"/>
      <c r="C185" s="61"/>
      <c r="D185" s="34"/>
      <c r="E185" s="61"/>
      <c r="F185" s="61"/>
      <c r="G185" s="61"/>
      <c r="H185" s="61"/>
      <c r="I185" s="61"/>
      <c r="J185" s="92"/>
    </row>
    <row r="186" ht="14.25" customHeight="1">
      <c r="A186" s="61"/>
      <c r="B186" s="61"/>
      <c r="C186" s="61"/>
      <c r="D186" s="34"/>
      <c r="E186" s="61"/>
      <c r="F186" s="61"/>
      <c r="G186" s="61"/>
      <c r="H186" s="61"/>
      <c r="I186" s="61"/>
      <c r="J186" s="92"/>
    </row>
    <row r="187" ht="14.25" customHeight="1">
      <c r="A187" s="61"/>
      <c r="B187" s="61"/>
      <c r="C187" s="61"/>
      <c r="D187" s="34"/>
      <c r="E187" s="61"/>
      <c r="F187" s="61"/>
      <c r="G187" s="61"/>
      <c r="H187" s="61"/>
      <c r="I187" s="61"/>
      <c r="J187" s="92"/>
    </row>
    <row r="188" ht="14.25" customHeight="1">
      <c r="A188" s="61"/>
      <c r="B188" s="61"/>
      <c r="C188" s="61"/>
      <c r="D188" s="34"/>
      <c r="E188" s="61"/>
      <c r="F188" s="61"/>
      <c r="G188" s="61"/>
      <c r="H188" s="61"/>
      <c r="I188" s="61"/>
      <c r="J188" s="92"/>
    </row>
    <row r="189" ht="14.25" customHeight="1">
      <c r="A189" s="61"/>
      <c r="B189" s="61"/>
      <c r="C189" s="61"/>
      <c r="D189" s="34"/>
      <c r="E189" s="61"/>
      <c r="F189" s="61"/>
      <c r="G189" s="61"/>
      <c r="H189" s="61"/>
      <c r="I189" s="61"/>
      <c r="J189" s="92"/>
    </row>
    <row r="190" ht="14.25" customHeight="1">
      <c r="A190" s="61"/>
      <c r="B190" s="61"/>
      <c r="C190" s="61"/>
      <c r="D190" s="34"/>
      <c r="E190" s="61"/>
      <c r="F190" s="61"/>
      <c r="G190" s="61"/>
      <c r="H190" s="61"/>
      <c r="I190" s="61"/>
      <c r="J190" s="92"/>
    </row>
    <row r="191" ht="14.25" customHeight="1">
      <c r="A191" s="61"/>
      <c r="B191" s="61"/>
      <c r="C191" s="61"/>
      <c r="D191" s="34"/>
      <c r="E191" s="61"/>
      <c r="F191" s="61"/>
      <c r="G191" s="61"/>
      <c r="H191" s="61"/>
      <c r="I191" s="61"/>
      <c r="J191" s="92"/>
    </row>
    <row r="192" ht="14.25" customHeight="1">
      <c r="A192" s="61"/>
      <c r="B192" s="61"/>
      <c r="C192" s="61"/>
      <c r="D192" s="34"/>
      <c r="E192" s="61"/>
      <c r="F192" s="61"/>
      <c r="G192" s="61"/>
      <c r="H192" s="61"/>
      <c r="I192" s="61"/>
      <c r="J192" s="92"/>
    </row>
    <row r="193" ht="14.25" customHeight="1">
      <c r="A193" s="61"/>
      <c r="B193" s="61"/>
      <c r="C193" s="61"/>
      <c r="D193" s="34"/>
      <c r="E193" s="61"/>
      <c r="F193" s="61"/>
      <c r="G193" s="61"/>
      <c r="H193" s="61"/>
      <c r="I193" s="61"/>
      <c r="J193" s="92"/>
    </row>
    <row r="194" ht="14.25" customHeight="1">
      <c r="A194" s="61"/>
      <c r="B194" s="61"/>
      <c r="C194" s="61"/>
      <c r="D194" s="34"/>
      <c r="E194" s="61"/>
      <c r="F194" s="61"/>
      <c r="G194" s="61"/>
      <c r="H194" s="61"/>
      <c r="I194" s="61"/>
      <c r="J194" s="92"/>
    </row>
    <row r="195" ht="14.25" customHeight="1">
      <c r="A195" s="61"/>
      <c r="B195" s="61"/>
      <c r="C195" s="61"/>
      <c r="D195" s="34"/>
      <c r="E195" s="61"/>
      <c r="F195" s="61"/>
      <c r="G195" s="61"/>
      <c r="H195" s="61"/>
      <c r="I195" s="61"/>
      <c r="J195" s="92"/>
    </row>
    <row r="196" ht="14.25" customHeight="1">
      <c r="A196" s="61"/>
      <c r="B196" s="61"/>
      <c r="C196" s="61"/>
      <c r="D196" s="34"/>
      <c r="E196" s="61"/>
      <c r="F196" s="61"/>
      <c r="G196" s="61"/>
      <c r="H196" s="61"/>
      <c r="I196" s="61"/>
      <c r="J196" s="92"/>
    </row>
    <row r="197" ht="14.25" customHeight="1">
      <c r="A197" s="61"/>
      <c r="B197" s="61"/>
      <c r="C197" s="61"/>
      <c r="D197" s="34"/>
      <c r="E197" s="61"/>
      <c r="F197" s="61"/>
      <c r="G197" s="61"/>
      <c r="H197" s="61"/>
      <c r="I197" s="61"/>
      <c r="J197" s="92"/>
    </row>
    <row r="198" ht="14.25" customHeight="1">
      <c r="A198" s="61"/>
      <c r="B198" s="61"/>
      <c r="C198" s="61"/>
      <c r="D198" s="34"/>
      <c r="E198" s="61"/>
      <c r="F198" s="61"/>
      <c r="G198" s="61"/>
      <c r="H198" s="61"/>
      <c r="I198" s="61"/>
      <c r="J198" s="92"/>
    </row>
    <row r="199" ht="14.25" customHeight="1">
      <c r="A199" s="61"/>
      <c r="B199" s="61"/>
      <c r="C199" s="61"/>
      <c r="D199" s="34"/>
      <c r="E199" s="61"/>
      <c r="F199" s="61"/>
      <c r="G199" s="61"/>
      <c r="H199" s="61"/>
      <c r="I199" s="61"/>
      <c r="J199" s="92"/>
    </row>
    <row r="200" ht="14.25" customHeight="1">
      <c r="A200" s="61"/>
      <c r="B200" s="61"/>
      <c r="C200" s="61"/>
      <c r="D200" s="34"/>
      <c r="E200" s="61"/>
      <c r="F200" s="61"/>
      <c r="G200" s="61"/>
      <c r="H200" s="61"/>
      <c r="I200" s="61"/>
      <c r="J200" s="92"/>
    </row>
    <row r="201" ht="14.25" customHeight="1">
      <c r="A201" s="61"/>
      <c r="B201" s="61"/>
      <c r="C201" s="61"/>
      <c r="D201" s="34"/>
      <c r="E201" s="61"/>
      <c r="F201" s="61"/>
      <c r="G201" s="61"/>
      <c r="H201" s="61"/>
      <c r="I201" s="61"/>
      <c r="J201" s="92"/>
    </row>
    <row r="202" ht="14.25" customHeight="1">
      <c r="A202" s="61"/>
      <c r="B202" s="61"/>
      <c r="C202" s="61"/>
      <c r="D202" s="34"/>
      <c r="E202" s="61"/>
      <c r="F202" s="61"/>
      <c r="G202" s="61"/>
      <c r="H202" s="61"/>
      <c r="I202" s="61"/>
      <c r="J202" s="92"/>
    </row>
    <row r="203" ht="14.25" customHeight="1">
      <c r="A203" s="61"/>
      <c r="B203" s="61"/>
      <c r="C203" s="61"/>
      <c r="D203" s="34"/>
      <c r="E203" s="61"/>
      <c r="F203" s="61"/>
      <c r="G203" s="61"/>
      <c r="H203" s="61"/>
      <c r="I203" s="61"/>
      <c r="J203" s="92"/>
    </row>
    <row r="204" ht="14.25" customHeight="1">
      <c r="A204" s="61"/>
      <c r="B204" s="61"/>
      <c r="C204" s="61"/>
      <c r="D204" s="34"/>
      <c r="E204" s="61"/>
      <c r="F204" s="61"/>
      <c r="G204" s="61"/>
      <c r="H204" s="61"/>
      <c r="I204" s="61"/>
      <c r="J204" s="92"/>
    </row>
    <row r="205" ht="14.25" customHeight="1">
      <c r="A205" s="61"/>
      <c r="B205" s="61"/>
      <c r="C205" s="61"/>
      <c r="D205" s="34"/>
      <c r="E205" s="61"/>
      <c r="F205" s="61"/>
      <c r="G205" s="61"/>
      <c r="H205" s="61"/>
      <c r="I205" s="61"/>
      <c r="J205" s="92"/>
    </row>
    <row r="206" ht="14.25" customHeight="1">
      <c r="A206" s="61"/>
      <c r="B206" s="61"/>
      <c r="C206" s="61"/>
      <c r="D206" s="34"/>
      <c r="E206" s="61"/>
      <c r="F206" s="61"/>
      <c r="G206" s="61"/>
      <c r="H206" s="61"/>
      <c r="I206" s="61"/>
      <c r="J206" s="92"/>
    </row>
    <row r="207" ht="14.25" customHeight="1">
      <c r="A207" s="61"/>
      <c r="B207" s="61"/>
      <c r="C207" s="61"/>
      <c r="D207" s="34"/>
      <c r="E207" s="61"/>
      <c r="F207" s="61"/>
      <c r="G207" s="61"/>
      <c r="H207" s="61"/>
      <c r="I207" s="61"/>
      <c r="J207" s="92"/>
    </row>
    <row r="208" ht="14.25" customHeight="1">
      <c r="A208" s="61"/>
      <c r="B208" s="61"/>
      <c r="C208" s="61"/>
      <c r="D208" s="34"/>
      <c r="E208" s="61"/>
      <c r="F208" s="61"/>
      <c r="G208" s="61"/>
      <c r="H208" s="61"/>
      <c r="I208" s="61"/>
      <c r="J208" s="92"/>
    </row>
    <row r="209" ht="14.25" customHeight="1">
      <c r="A209" s="61"/>
      <c r="B209" s="61"/>
      <c r="C209" s="61"/>
      <c r="D209" s="34"/>
      <c r="E209" s="61"/>
      <c r="F209" s="61"/>
      <c r="G209" s="61"/>
      <c r="H209" s="61"/>
      <c r="I209" s="61"/>
      <c r="J209" s="92"/>
    </row>
    <row r="210" ht="14.25" customHeight="1">
      <c r="A210" s="61"/>
      <c r="B210" s="61"/>
      <c r="C210" s="61"/>
      <c r="D210" s="34"/>
      <c r="E210" s="61"/>
      <c r="F210" s="61"/>
      <c r="G210" s="61"/>
      <c r="H210" s="61"/>
      <c r="I210" s="61"/>
      <c r="J210" s="92"/>
    </row>
    <row r="211" ht="14.25" customHeight="1">
      <c r="A211" s="61"/>
      <c r="B211" s="61"/>
      <c r="C211" s="61"/>
      <c r="D211" s="34"/>
      <c r="E211" s="61"/>
      <c r="F211" s="61"/>
      <c r="G211" s="61"/>
      <c r="H211" s="61"/>
      <c r="I211" s="61"/>
      <c r="J211" s="92"/>
    </row>
    <row r="212" ht="14.25" customHeight="1">
      <c r="A212" s="61"/>
      <c r="B212" s="61"/>
      <c r="C212" s="61"/>
      <c r="D212" s="34"/>
      <c r="E212" s="61"/>
      <c r="F212" s="61"/>
      <c r="G212" s="61"/>
      <c r="H212" s="61"/>
      <c r="I212" s="61"/>
      <c r="J212" s="92"/>
    </row>
    <row r="213" ht="14.25" customHeight="1">
      <c r="A213" s="61"/>
      <c r="B213" s="61"/>
      <c r="C213" s="61"/>
      <c r="D213" s="34"/>
      <c r="E213" s="61"/>
      <c r="F213" s="61"/>
      <c r="G213" s="61"/>
      <c r="H213" s="61"/>
      <c r="I213" s="61"/>
      <c r="J213" s="92"/>
    </row>
    <row r="214" ht="14.25" customHeight="1">
      <c r="A214" s="61"/>
      <c r="B214" s="61"/>
      <c r="C214" s="61"/>
      <c r="D214" s="34"/>
      <c r="E214" s="61"/>
      <c r="F214" s="61"/>
      <c r="G214" s="61"/>
      <c r="H214" s="61"/>
      <c r="I214" s="61"/>
      <c r="J214" s="92"/>
    </row>
    <row r="215" ht="14.25" customHeight="1">
      <c r="A215" s="61"/>
      <c r="B215" s="61"/>
      <c r="C215" s="61"/>
      <c r="D215" s="34"/>
      <c r="E215" s="61"/>
      <c r="F215" s="61"/>
      <c r="G215" s="61"/>
      <c r="H215" s="61"/>
      <c r="I215" s="61"/>
      <c r="J215" s="92"/>
    </row>
    <row r="216" ht="14.25" customHeight="1">
      <c r="A216" s="61"/>
      <c r="B216" s="61"/>
      <c r="C216" s="61"/>
      <c r="D216" s="34"/>
      <c r="E216" s="61"/>
      <c r="F216" s="61"/>
      <c r="G216" s="61"/>
      <c r="H216" s="61"/>
      <c r="I216" s="61"/>
      <c r="J216" s="92"/>
    </row>
    <row r="217" ht="14.25" customHeight="1">
      <c r="A217" s="61"/>
      <c r="B217" s="61"/>
      <c r="C217" s="61"/>
      <c r="D217" s="34"/>
      <c r="E217" s="61"/>
      <c r="F217" s="61"/>
      <c r="G217" s="61"/>
      <c r="H217" s="61"/>
      <c r="I217" s="61"/>
      <c r="J217" s="92"/>
    </row>
    <row r="218" ht="14.25" customHeight="1">
      <c r="A218" s="61"/>
      <c r="B218" s="61"/>
      <c r="C218" s="61"/>
      <c r="D218" s="34"/>
      <c r="E218" s="61"/>
      <c r="F218" s="61"/>
      <c r="G218" s="61"/>
      <c r="H218" s="61"/>
      <c r="I218" s="61"/>
      <c r="J218" s="92"/>
    </row>
    <row r="219" ht="14.25" customHeight="1">
      <c r="A219" s="61"/>
      <c r="B219" s="61"/>
      <c r="C219" s="61"/>
      <c r="D219" s="34"/>
      <c r="E219" s="61"/>
      <c r="F219" s="61"/>
      <c r="G219" s="61"/>
      <c r="H219" s="61"/>
      <c r="I219" s="61"/>
      <c r="J219" s="92"/>
    </row>
    <row r="220" ht="14.25" customHeight="1">
      <c r="A220" s="61"/>
      <c r="B220" s="61"/>
      <c r="C220" s="61"/>
      <c r="D220" s="34"/>
      <c r="E220" s="61"/>
      <c r="F220" s="61"/>
      <c r="G220" s="61"/>
      <c r="H220" s="61"/>
      <c r="I220" s="61"/>
      <c r="J220" s="92"/>
    </row>
    <row r="221" ht="14.25" customHeight="1">
      <c r="A221" s="61"/>
      <c r="B221" s="61"/>
      <c r="C221" s="61"/>
      <c r="D221" s="34"/>
      <c r="E221" s="61"/>
      <c r="F221" s="61"/>
      <c r="G221" s="61"/>
      <c r="H221" s="61"/>
      <c r="I221" s="61"/>
      <c r="J221" s="92"/>
    </row>
    <row r="222" ht="14.25" customHeight="1">
      <c r="A222" s="61"/>
      <c r="B222" s="61"/>
      <c r="C222" s="61"/>
      <c r="D222" s="34"/>
      <c r="E222" s="61"/>
      <c r="F222" s="61"/>
      <c r="G222" s="61"/>
      <c r="H222" s="61"/>
      <c r="I222" s="61"/>
      <c r="J222" s="92"/>
    </row>
    <row r="223" ht="14.25" customHeight="1">
      <c r="A223" s="61"/>
      <c r="B223" s="61"/>
      <c r="C223" s="61"/>
      <c r="D223" s="34"/>
      <c r="E223" s="61"/>
      <c r="F223" s="61"/>
      <c r="G223" s="61"/>
      <c r="H223" s="61"/>
      <c r="I223" s="61"/>
      <c r="J223" s="92"/>
    </row>
    <row r="224" ht="14.25" customHeight="1">
      <c r="A224" s="61"/>
      <c r="B224" s="61"/>
      <c r="C224" s="61"/>
      <c r="D224" s="34"/>
      <c r="E224" s="61"/>
      <c r="F224" s="61"/>
      <c r="G224" s="61"/>
      <c r="H224" s="61"/>
      <c r="I224" s="61"/>
      <c r="J224" s="92"/>
    </row>
    <row r="225" ht="14.25" customHeight="1">
      <c r="A225" s="61"/>
      <c r="B225" s="61"/>
      <c r="C225" s="61"/>
      <c r="D225" s="34"/>
      <c r="E225" s="61"/>
      <c r="F225" s="61"/>
      <c r="G225" s="61"/>
      <c r="H225" s="61"/>
      <c r="I225" s="61"/>
      <c r="J225" s="92"/>
    </row>
    <row r="226" ht="14.25" customHeight="1">
      <c r="A226" s="61"/>
      <c r="B226" s="61"/>
      <c r="C226" s="61"/>
      <c r="D226" s="34"/>
      <c r="E226" s="61"/>
      <c r="F226" s="61"/>
      <c r="G226" s="61"/>
      <c r="H226" s="61"/>
      <c r="I226" s="61"/>
      <c r="J226" s="92"/>
    </row>
    <row r="227" ht="14.25" customHeight="1">
      <c r="A227" s="61"/>
      <c r="B227" s="61"/>
      <c r="C227" s="61"/>
      <c r="D227" s="34"/>
      <c r="E227" s="61"/>
      <c r="F227" s="61"/>
      <c r="G227" s="61"/>
      <c r="H227" s="61"/>
      <c r="I227" s="61"/>
      <c r="J227" s="92"/>
    </row>
    <row r="228" ht="14.25" customHeight="1">
      <c r="A228" s="61"/>
      <c r="B228" s="61"/>
      <c r="C228" s="61"/>
      <c r="D228" s="34"/>
      <c r="E228" s="61"/>
      <c r="F228" s="61"/>
      <c r="G228" s="61"/>
      <c r="H228" s="61"/>
      <c r="I228" s="61"/>
      <c r="J228" s="92"/>
    </row>
    <row r="229" ht="14.25" customHeight="1">
      <c r="A229" s="61"/>
      <c r="B229" s="61"/>
      <c r="C229" s="61"/>
      <c r="D229" s="34"/>
      <c r="E229" s="61"/>
      <c r="F229" s="61"/>
      <c r="G229" s="61"/>
      <c r="H229" s="61"/>
      <c r="I229" s="61"/>
      <c r="J229" s="92"/>
    </row>
    <row r="230" ht="14.25" customHeight="1">
      <c r="A230" s="61"/>
      <c r="B230" s="61"/>
      <c r="C230" s="61"/>
      <c r="D230" s="34"/>
      <c r="E230" s="61"/>
      <c r="F230" s="61"/>
      <c r="G230" s="61"/>
      <c r="H230" s="61"/>
      <c r="I230" s="61"/>
      <c r="J230" s="92"/>
    </row>
    <row r="231" ht="14.25" customHeight="1">
      <c r="A231" s="61"/>
      <c r="B231" s="61"/>
      <c r="C231" s="61"/>
      <c r="D231" s="34"/>
      <c r="E231" s="61"/>
      <c r="F231" s="61"/>
      <c r="G231" s="61"/>
      <c r="H231" s="61"/>
      <c r="I231" s="61"/>
      <c r="J231" s="92"/>
    </row>
    <row r="232" ht="14.25" customHeight="1">
      <c r="D232" s="2"/>
      <c r="J232" s="3"/>
    </row>
    <row r="233" ht="14.25" customHeight="1">
      <c r="D233" s="2"/>
      <c r="J233" s="3"/>
    </row>
    <row r="234" ht="14.25" customHeight="1">
      <c r="D234" s="2"/>
      <c r="J234" s="3"/>
    </row>
    <row r="235" ht="14.25" customHeight="1">
      <c r="D235" s="2"/>
      <c r="J235" s="3"/>
    </row>
    <row r="236" ht="14.25" customHeight="1">
      <c r="D236" s="2"/>
      <c r="J236" s="3"/>
    </row>
    <row r="237" ht="14.25" customHeight="1">
      <c r="D237" s="2"/>
      <c r="J237" s="3"/>
    </row>
    <row r="238" ht="14.25" customHeight="1">
      <c r="D238" s="2"/>
      <c r="J238" s="3"/>
    </row>
    <row r="239" ht="14.25" customHeight="1">
      <c r="D239" s="2"/>
      <c r="J239" s="3"/>
    </row>
    <row r="240" ht="14.25" customHeight="1">
      <c r="D240" s="2"/>
      <c r="J240" s="3"/>
    </row>
    <row r="241" ht="14.25" customHeight="1">
      <c r="D241" s="2"/>
      <c r="J241" s="3"/>
    </row>
    <row r="242" ht="14.25" customHeight="1">
      <c r="D242" s="2"/>
      <c r="J242" s="3"/>
    </row>
    <row r="243" ht="14.25" customHeight="1">
      <c r="D243" s="2"/>
      <c r="J243" s="3"/>
    </row>
    <row r="244" ht="14.25" customHeight="1">
      <c r="D244" s="2"/>
      <c r="J244" s="3"/>
    </row>
    <row r="245" ht="14.25" customHeight="1">
      <c r="D245" s="2"/>
      <c r="J245" s="3"/>
    </row>
    <row r="246" ht="14.25" customHeight="1">
      <c r="D246" s="2"/>
      <c r="J246" s="3"/>
    </row>
    <row r="247" ht="14.25" customHeight="1">
      <c r="D247" s="2"/>
      <c r="J247" s="3"/>
    </row>
    <row r="248" ht="14.25" customHeight="1">
      <c r="D248" s="2"/>
      <c r="J248" s="3"/>
    </row>
    <row r="249" ht="14.25" customHeight="1">
      <c r="D249" s="2"/>
      <c r="J249" s="3"/>
    </row>
    <row r="250" ht="14.25" customHeight="1">
      <c r="D250" s="2"/>
      <c r="J250" s="3"/>
    </row>
    <row r="251" ht="14.25" customHeight="1">
      <c r="D251" s="2"/>
      <c r="J251" s="3"/>
    </row>
    <row r="252" ht="14.25" customHeight="1">
      <c r="D252" s="2"/>
      <c r="J252" s="3"/>
    </row>
    <row r="253" ht="14.25" customHeight="1">
      <c r="D253" s="2"/>
      <c r="J253" s="3"/>
    </row>
    <row r="254" ht="14.25" customHeight="1">
      <c r="D254" s="2"/>
      <c r="J254" s="3"/>
    </row>
    <row r="255" ht="14.25" customHeight="1">
      <c r="D255" s="2"/>
      <c r="J255" s="3"/>
    </row>
    <row r="256" ht="14.25" customHeight="1">
      <c r="D256" s="2"/>
      <c r="J256" s="3"/>
    </row>
    <row r="257" ht="14.25" customHeight="1">
      <c r="D257" s="2"/>
      <c r="J257" s="3"/>
    </row>
    <row r="258" ht="14.25" customHeight="1">
      <c r="D258" s="2"/>
      <c r="J258" s="3"/>
    </row>
    <row r="259" ht="14.25" customHeight="1">
      <c r="D259" s="2"/>
      <c r="J259" s="3"/>
    </row>
    <row r="260" ht="14.25" customHeight="1">
      <c r="D260" s="2"/>
      <c r="J260" s="3"/>
    </row>
    <row r="261" ht="14.25" customHeight="1">
      <c r="D261" s="2"/>
      <c r="J261" s="3"/>
    </row>
    <row r="262" ht="14.25" customHeight="1">
      <c r="D262" s="2"/>
      <c r="J262" s="3"/>
    </row>
    <row r="263" ht="14.25" customHeight="1">
      <c r="D263" s="2"/>
      <c r="J263" s="3"/>
    </row>
    <row r="264" ht="14.25" customHeight="1">
      <c r="D264" s="2"/>
      <c r="J264" s="3"/>
    </row>
    <row r="265" ht="14.25" customHeight="1">
      <c r="D265" s="2"/>
      <c r="J265" s="3"/>
    </row>
    <row r="266" ht="14.25" customHeight="1">
      <c r="D266" s="2"/>
      <c r="J266" s="3"/>
    </row>
    <row r="267" ht="14.25" customHeight="1">
      <c r="D267" s="2"/>
      <c r="J267" s="3"/>
    </row>
    <row r="268" ht="14.25" customHeight="1">
      <c r="D268" s="2"/>
      <c r="J268" s="3"/>
    </row>
    <row r="269" ht="14.25" customHeight="1">
      <c r="D269" s="2"/>
      <c r="J269" s="3"/>
    </row>
    <row r="270" ht="14.25" customHeight="1">
      <c r="D270" s="2"/>
      <c r="J270" s="3"/>
    </row>
    <row r="271" ht="14.25" customHeight="1">
      <c r="D271" s="2"/>
      <c r="J271" s="3"/>
    </row>
    <row r="272" ht="14.25" customHeight="1">
      <c r="D272" s="2"/>
      <c r="J272" s="3"/>
    </row>
    <row r="273" ht="14.25" customHeight="1">
      <c r="D273" s="2"/>
      <c r="J273" s="3"/>
    </row>
    <row r="274" ht="14.25" customHeight="1">
      <c r="D274" s="2"/>
      <c r="J274" s="3"/>
    </row>
    <row r="275" ht="14.25" customHeight="1">
      <c r="D275" s="2"/>
      <c r="J275" s="3"/>
    </row>
    <row r="276" ht="14.25" customHeight="1">
      <c r="D276" s="2"/>
      <c r="J276" s="3"/>
    </row>
    <row r="277" ht="14.25" customHeight="1">
      <c r="D277" s="2"/>
      <c r="J277" s="3"/>
    </row>
    <row r="278" ht="14.25" customHeight="1">
      <c r="D278" s="2"/>
      <c r="J278" s="3"/>
    </row>
    <row r="279" ht="14.25" customHeight="1">
      <c r="D279" s="2"/>
      <c r="J279" s="3"/>
    </row>
    <row r="280" ht="14.25" customHeight="1">
      <c r="D280" s="2"/>
      <c r="J280" s="3"/>
    </row>
    <row r="281" ht="14.25" customHeight="1">
      <c r="D281" s="2"/>
      <c r="J281" s="3"/>
    </row>
    <row r="282" ht="14.25" customHeight="1">
      <c r="D282" s="2"/>
      <c r="J282" s="3"/>
    </row>
    <row r="283" ht="14.25" customHeight="1">
      <c r="D283" s="2"/>
      <c r="J283" s="3"/>
    </row>
    <row r="284" ht="14.25" customHeight="1">
      <c r="D284" s="2"/>
      <c r="J284" s="3"/>
    </row>
    <row r="285" ht="14.25" customHeight="1">
      <c r="D285" s="2"/>
      <c r="J285" s="3"/>
    </row>
    <row r="286" ht="14.25" customHeight="1">
      <c r="D286" s="2"/>
      <c r="J286" s="3"/>
    </row>
    <row r="287" ht="14.25" customHeight="1">
      <c r="D287" s="2"/>
      <c r="J287" s="3"/>
    </row>
    <row r="288" ht="14.25" customHeight="1">
      <c r="D288" s="2"/>
      <c r="J288" s="3"/>
    </row>
    <row r="289" ht="14.25" customHeight="1">
      <c r="D289" s="2"/>
      <c r="J289" s="3"/>
    </row>
    <row r="290" ht="14.25" customHeight="1">
      <c r="D290" s="2"/>
      <c r="J290" s="3"/>
    </row>
    <row r="291" ht="14.25" customHeight="1">
      <c r="D291" s="2"/>
      <c r="J291" s="3"/>
    </row>
    <row r="292" ht="14.25" customHeight="1">
      <c r="D292" s="2"/>
      <c r="J292" s="3"/>
    </row>
    <row r="293" ht="14.25" customHeight="1">
      <c r="D293" s="2"/>
      <c r="J293" s="3"/>
    </row>
    <row r="294" ht="14.25" customHeight="1">
      <c r="D294" s="2"/>
      <c r="J294" s="3"/>
    </row>
    <row r="295" ht="14.25" customHeight="1">
      <c r="D295" s="2"/>
      <c r="J295" s="3"/>
    </row>
    <row r="296" ht="14.25" customHeight="1">
      <c r="D296" s="2"/>
      <c r="J296" s="3"/>
    </row>
    <row r="297" ht="14.25" customHeight="1">
      <c r="D297" s="2"/>
      <c r="J297" s="3"/>
    </row>
    <row r="298" ht="14.25" customHeight="1">
      <c r="D298" s="2"/>
      <c r="J298" s="3"/>
    </row>
    <row r="299" ht="14.25" customHeight="1">
      <c r="D299" s="2"/>
      <c r="J299" s="3"/>
    </row>
    <row r="300" ht="14.25" customHeight="1">
      <c r="D300" s="2"/>
      <c r="J300" s="3"/>
    </row>
    <row r="301" ht="14.25" customHeight="1">
      <c r="D301" s="2"/>
      <c r="J301" s="3"/>
    </row>
    <row r="302" ht="14.25" customHeight="1">
      <c r="D302" s="2"/>
      <c r="J302" s="3"/>
    </row>
    <row r="303" ht="14.25" customHeight="1">
      <c r="D303" s="2"/>
      <c r="J303" s="3"/>
    </row>
    <row r="304" ht="14.25" customHeight="1">
      <c r="D304" s="2"/>
      <c r="J304" s="3"/>
    </row>
    <row r="305" ht="14.25" customHeight="1">
      <c r="D305" s="2"/>
      <c r="J305" s="3"/>
    </row>
    <row r="306" ht="14.25" customHeight="1">
      <c r="D306" s="2"/>
      <c r="J306" s="3"/>
    </row>
    <row r="307" ht="14.25" customHeight="1">
      <c r="D307" s="2"/>
      <c r="J307" s="3"/>
    </row>
    <row r="308" ht="14.25" customHeight="1">
      <c r="D308" s="2"/>
      <c r="J308" s="3"/>
    </row>
    <row r="309" ht="14.25" customHeight="1">
      <c r="D309" s="2"/>
      <c r="J309" s="3"/>
    </row>
    <row r="310" ht="14.25" customHeight="1">
      <c r="D310" s="2"/>
      <c r="J310" s="3"/>
    </row>
    <row r="311" ht="14.25" customHeight="1">
      <c r="D311" s="2"/>
      <c r="J311" s="3"/>
    </row>
    <row r="312" ht="14.25" customHeight="1">
      <c r="D312" s="2"/>
      <c r="J312" s="3"/>
    </row>
    <row r="313" ht="14.25" customHeight="1">
      <c r="D313" s="2"/>
      <c r="J313" s="3"/>
    </row>
    <row r="314" ht="14.25" customHeight="1">
      <c r="D314" s="2"/>
      <c r="J314" s="3"/>
    </row>
    <row r="315" ht="14.25" customHeight="1">
      <c r="D315" s="2"/>
      <c r="J315" s="3"/>
    </row>
    <row r="316" ht="14.25" customHeight="1">
      <c r="D316" s="2"/>
      <c r="J316" s="3"/>
    </row>
    <row r="317" ht="14.25" customHeight="1">
      <c r="D317" s="2"/>
      <c r="J317" s="3"/>
    </row>
    <row r="318" ht="14.25" customHeight="1">
      <c r="D318" s="2"/>
      <c r="J318" s="3"/>
    </row>
    <row r="319" ht="14.25" customHeight="1">
      <c r="D319" s="2"/>
      <c r="J319" s="3"/>
    </row>
    <row r="320" ht="14.25" customHeight="1">
      <c r="D320" s="2"/>
      <c r="J320" s="3"/>
    </row>
    <row r="321" ht="14.25" customHeight="1">
      <c r="D321" s="2"/>
      <c r="J321" s="3"/>
    </row>
    <row r="322" ht="14.25" customHeight="1">
      <c r="D322" s="2"/>
      <c r="J322" s="3"/>
    </row>
    <row r="323" ht="14.25" customHeight="1">
      <c r="D323" s="2"/>
      <c r="J323" s="3"/>
    </row>
    <row r="324" ht="14.25" customHeight="1">
      <c r="D324" s="2"/>
      <c r="J324" s="3"/>
    </row>
    <row r="325" ht="14.25" customHeight="1">
      <c r="D325" s="2"/>
      <c r="J325" s="3"/>
    </row>
    <row r="326" ht="14.25" customHeight="1">
      <c r="D326" s="2"/>
      <c r="J326" s="3"/>
    </row>
    <row r="327" ht="14.25" customHeight="1">
      <c r="D327" s="2"/>
      <c r="J327" s="3"/>
    </row>
    <row r="328" ht="14.25" customHeight="1">
      <c r="D328" s="2"/>
      <c r="J328" s="3"/>
    </row>
    <row r="329" ht="14.25" customHeight="1">
      <c r="D329" s="2"/>
      <c r="J329" s="3"/>
    </row>
    <row r="330" ht="14.25" customHeight="1">
      <c r="D330" s="2"/>
      <c r="J330" s="3"/>
    </row>
    <row r="331" ht="14.25" customHeight="1">
      <c r="D331" s="2"/>
      <c r="J331" s="3"/>
    </row>
    <row r="332" ht="14.25" customHeight="1">
      <c r="D332" s="2"/>
      <c r="J332" s="3"/>
    </row>
    <row r="333" ht="14.25" customHeight="1">
      <c r="D333" s="2"/>
      <c r="J333" s="3"/>
    </row>
    <row r="334" ht="14.25" customHeight="1">
      <c r="D334" s="2"/>
      <c r="J334" s="3"/>
    </row>
    <row r="335" ht="14.25" customHeight="1">
      <c r="D335" s="2"/>
      <c r="J335" s="3"/>
    </row>
    <row r="336" ht="14.25" customHeight="1">
      <c r="D336" s="2"/>
      <c r="J336" s="3"/>
    </row>
    <row r="337" ht="14.25" customHeight="1">
      <c r="D337" s="2"/>
      <c r="J337" s="3"/>
    </row>
    <row r="338" ht="14.25" customHeight="1">
      <c r="D338" s="2"/>
      <c r="J338" s="3"/>
    </row>
    <row r="339" ht="14.25" customHeight="1">
      <c r="D339" s="2"/>
      <c r="J339" s="3"/>
    </row>
    <row r="340" ht="14.25" customHeight="1">
      <c r="D340" s="2"/>
      <c r="J340" s="3"/>
    </row>
    <row r="341" ht="14.25" customHeight="1">
      <c r="D341" s="2"/>
      <c r="J341" s="3"/>
    </row>
    <row r="342" ht="14.25" customHeight="1">
      <c r="D342" s="2"/>
      <c r="J342" s="3"/>
    </row>
    <row r="343" ht="14.25" customHeight="1">
      <c r="D343" s="2"/>
      <c r="J343" s="3"/>
    </row>
    <row r="344" ht="14.25" customHeight="1">
      <c r="D344" s="2"/>
      <c r="J344" s="3"/>
    </row>
    <row r="345" ht="14.25" customHeight="1">
      <c r="D345" s="2"/>
      <c r="J345" s="3"/>
    </row>
    <row r="346" ht="14.25" customHeight="1">
      <c r="D346" s="2"/>
      <c r="J346" s="3"/>
    </row>
    <row r="347" ht="14.25" customHeight="1">
      <c r="D347" s="2"/>
      <c r="J347" s="3"/>
    </row>
    <row r="348" ht="14.25" customHeight="1">
      <c r="D348" s="2"/>
      <c r="J348" s="3"/>
    </row>
    <row r="349" ht="14.25" customHeight="1">
      <c r="D349" s="2"/>
      <c r="J349" s="3"/>
    </row>
    <row r="350" ht="14.25" customHeight="1">
      <c r="D350" s="2"/>
      <c r="J350" s="3"/>
    </row>
    <row r="351" ht="14.25" customHeight="1">
      <c r="D351" s="2"/>
      <c r="J351" s="3"/>
    </row>
    <row r="352" ht="14.25" customHeight="1">
      <c r="D352" s="2"/>
      <c r="J352" s="3"/>
    </row>
    <row r="353" ht="14.25" customHeight="1">
      <c r="D353" s="2"/>
      <c r="J353" s="3"/>
    </row>
    <row r="354" ht="14.25" customHeight="1">
      <c r="D354" s="2"/>
      <c r="J354" s="3"/>
    </row>
    <row r="355" ht="14.25" customHeight="1">
      <c r="D355" s="2"/>
      <c r="J355" s="3"/>
    </row>
    <row r="356" ht="14.25" customHeight="1">
      <c r="D356" s="2"/>
      <c r="J356" s="3"/>
    </row>
    <row r="357" ht="14.25" customHeight="1">
      <c r="D357" s="2"/>
      <c r="J357" s="3"/>
    </row>
    <row r="358" ht="14.25" customHeight="1">
      <c r="D358" s="2"/>
      <c r="J358" s="3"/>
    </row>
    <row r="359" ht="14.25" customHeight="1">
      <c r="D359" s="2"/>
      <c r="J359" s="3"/>
    </row>
    <row r="360" ht="14.25" customHeight="1">
      <c r="D360" s="2"/>
      <c r="J360" s="3"/>
    </row>
    <row r="361" ht="14.25" customHeight="1">
      <c r="D361" s="2"/>
      <c r="J361" s="3"/>
    </row>
    <row r="362" ht="14.25" customHeight="1">
      <c r="D362" s="2"/>
      <c r="J362" s="3"/>
    </row>
    <row r="363" ht="14.25" customHeight="1">
      <c r="D363" s="2"/>
      <c r="J363" s="3"/>
    </row>
    <row r="364" ht="14.25" customHeight="1">
      <c r="D364" s="2"/>
      <c r="J364" s="3"/>
    </row>
    <row r="365" ht="14.25" customHeight="1">
      <c r="D365" s="2"/>
      <c r="J365" s="3"/>
    </row>
    <row r="366" ht="14.25" customHeight="1">
      <c r="D366" s="2"/>
      <c r="J366" s="3"/>
    </row>
    <row r="367" ht="14.25" customHeight="1">
      <c r="D367" s="2"/>
      <c r="J367" s="3"/>
    </row>
    <row r="368" ht="14.25" customHeight="1">
      <c r="D368" s="2"/>
      <c r="J368" s="3"/>
    </row>
    <row r="369" ht="14.25" customHeight="1">
      <c r="D369" s="2"/>
      <c r="J369" s="3"/>
    </row>
    <row r="370" ht="14.25" customHeight="1">
      <c r="D370" s="2"/>
      <c r="J370" s="3"/>
    </row>
    <row r="371" ht="14.25" customHeight="1">
      <c r="D371" s="2"/>
      <c r="J371" s="3"/>
    </row>
    <row r="372" ht="14.25" customHeight="1">
      <c r="D372" s="2"/>
      <c r="J372" s="3"/>
    </row>
    <row r="373" ht="14.25" customHeight="1">
      <c r="D373" s="2"/>
      <c r="J373" s="3"/>
    </row>
    <row r="374" ht="14.25" customHeight="1">
      <c r="D374" s="2"/>
      <c r="J374" s="3"/>
    </row>
    <row r="375" ht="14.25" customHeight="1">
      <c r="D375" s="2"/>
      <c r="J375" s="3"/>
    </row>
    <row r="376" ht="14.25" customHeight="1">
      <c r="D376" s="2"/>
      <c r="J376" s="3"/>
    </row>
    <row r="377" ht="14.25" customHeight="1">
      <c r="D377" s="2"/>
      <c r="J377" s="3"/>
    </row>
    <row r="378" ht="14.25" customHeight="1">
      <c r="D378" s="2"/>
      <c r="J378" s="3"/>
    </row>
    <row r="379" ht="14.25" customHeight="1">
      <c r="D379" s="2"/>
      <c r="J379" s="3"/>
    </row>
    <row r="380" ht="14.25" customHeight="1">
      <c r="D380" s="2"/>
      <c r="J380" s="3"/>
    </row>
    <row r="381" ht="14.25" customHeight="1">
      <c r="D381" s="2"/>
      <c r="J381" s="3"/>
    </row>
    <row r="382" ht="14.25" customHeight="1">
      <c r="D382" s="2"/>
      <c r="J382" s="3"/>
    </row>
    <row r="383" ht="14.25" customHeight="1">
      <c r="D383" s="2"/>
      <c r="J383" s="3"/>
    </row>
    <row r="384" ht="14.25" customHeight="1">
      <c r="D384" s="2"/>
      <c r="J384" s="3"/>
    </row>
    <row r="385" ht="14.25" customHeight="1">
      <c r="D385" s="2"/>
      <c r="J385" s="3"/>
    </row>
    <row r="386" ht="14.25" customHeight="1">
      <c r="D386" s="2"/>
      <c r="J386" s="3"/>
    </row>
    <row r="387" ht="14.25" customHeight="1">
      <c r="D387" s="2"/>
      <c r="J387" s="3"/>
    </row>
    <row r="388" ht="14.25" customHeight="1">
      <c r="D388" s="2"/>
      <c r="J388" s="3"/>
    </row>
    <row r="389" ht="14.25" customHeight="1">
      <c r="D389" s="2"/>
      <c r="J389" s="3"/>
    </row>
    <row r="390" ht="14.25" customHeight="1">
      <c r="D390" s="2"/>
      <c r="J390" s="3"/>
    </row>
    <row r="391" ht="14.25" customHeight="1">
      <c r="D391" s="2"/>
      <c r="J391" s="3"/>
    </row>
    <row r="392" ht="14.25" customHeight="1">
      <c r="D392" s="2"/>
      <c r="J392" s="3"/>
    </row>
    <row r="393" ht="14.25" customHeight="1">
      <c r="D393" s="2"/>
      <c r="J393" s="3"/>
    </row>
    <row r="394" ht="14.25" customHeight="1">
      <c r="D394" s="2"/>
      <c r="J394" s="3"/>
    </row>
    <row r="395" ht="14.25" customHeight="1">
      <c r="D395" s="2"/>
      <c r="J395" s="3"/>
    </row>
    <row r="396" ht="14.25" customHeight="1">
      <c r="D396" s="2"/>
      <c r="J396" s="3"/>
    </row>
    <row r="397" ht="14.25" customHeight="1">
      <c r="D397" s="2"/>
      <c r="J397" s="3"/>
    </row>
    <row r="398" ht="14.25" customHeight="1">
      <c r="D398" s="2"/>
      <c r="J398" s="3"/>
    </row>
    <row r="399" ht="14.25" customHeight="1">
      <c r="D399" s="2"/>
      <c r="J399" s="3"/>
    </row>
    <row r="400" ht="14.25" customHeight="1">
      <c r="D400" s="2"/>
      <c r="J400" s="3"/>
    </row>
    <row r="401" ht="14.25" customHeight="1">
      <c r="D401" s="2"/>
      <c r="J401" s="3"/>
    </row>
    <row r="402" ht="14.25" customHeight="1">
      <c r="D402" s="2"/>
      <c r="J402" s="3"/>
    </row>
    <row r="403" ht="14.25" customHeight="1">
      <c r="D403" s="2"/>
      <c r="J403" s="3"/>
    </row>
    <row r="404" ht="14.25" customHeight="1">
      <c r="D404" s="2"/>
      <c r="J404" s="3"/>
    </row>
    <row r="405" ht="14.25" customHeight="1">
      <c r="D405" s="2"/>
      <c r="J405" s="3"/>
    </row>
    <row r="406" ht="14.25" customHeight="1">
      <c r="D406" s="2"/>
      <c r="J406" s="3"/>
    </row>
    <row r="407" ht="14.25" customHeight="1">
      <c r="D407" s="2"/>
      <c r="J407" s="3"/>
    </row>
    <row r="408" ht="14.25" customHeight="1">
      <c r="D408" s="2"/>
      <c r="J408" s="3"/>
    </row>
    <row r="409" ht="14.25" customHeight="1">
      <c r="D409" s="2"/>
      <c r="J409" s="3"/>
    </row>
    <row r="410" ht="14.25" customHeight="1">
      <c r="D410" s="2"/>
      <c r="J410" s="3"/>
    </row>
    <row r="411" ht="14.25" customHeight="1">
      <c r="D411" s="2"/>
      <c r="J411" s="3"/>
    </row>
    <row r="412" ht="14.25" customHeight="1">
      <c r="D412" s="2"/>
      <c r="J412" s="3"/>
    </row>
    <row r="413" ht="14.25" customHeight="1">
      <c r="D413" s="2"/>
      <c r="J413" s="3"/>
    </row>
    <row r="414" ht="14.25" customHeight="1">
      <c r="D414" s="2"/>
      <c r="J414" s="3"/>
    </row>
    <row r="415" ht="14.25" customHeight="1">
      <c r="D415" s="2"/>
      <c r="J415" s="3"/>
    </row>
    <row r="416" ht="14.25" customHeight="1">
      <c r="D416" s="2"/>
      <c r="J416" s="3"/>
    </row>
    <row r="417" ht="14.25" customHeight="1">
      <c r="D417" s="2"/>
      <c r="J417" s="3"/>
    </row>
    <row r="418" ht="14.25" customHeight="1">
      <c r="D418" s="2"/>
      <c r="J418" s="3"/>
    </row>
    <row r="419" ht="14.25" customHeight="1">
      <c r="D419" s="2"/>
      <c r="J419" s="3"/>
    </row>
    <row r="420" ht="14.25" customHeight="1">
      <c r="D420" s="2"/>
      <c r="J420" s="3"/>
    </row>
    <row r="421" ht="14.25" customHeight="1">
      <c r="D421" s="2"/>
      <c r="J421" s="3"/>
    </row>
    <row r="422" ht="14.25" customHeight="1">
      <c r="D422" s="2"/>
      <c r="J422" s="3"/>
    </row>
    <row r="423" ht="14.25" customHeight="1">
      <c r="D423" s="2"/>
      <c r="J423" s="3"/>
    </row>
    <row r="424" ht="14.25" customHeight="1">
      <c r="D424" s="2"/>
      <c r="J424" s="3"/>
    </row>
    <row r="425" ht="14.25" customHeight="1">
      <c r="D425" s="2"/>
      <c r="J425" s="3"/>
    </row>
    <row r="426" ht="14.25" customHeight="1">
      <c r="D426" s="2"/>
      <c r="J426" s="3"/>
    </row>
    <row r="427" ht="14.25" customHeight="1">
      <c r="D427" s="2"/>
      <c r="J427" s="3"/>
    </row>
    <row r="428" ht="14.25" customHeight="1">
      <c r="D428" s="2"/>
      <c r="J428" s="3"/>
    </row>
    <row r="429" ht="14.25" customHeight="1">
      <c r="D429" s="2"/>
      <c r="J429" s="3"/>
    </row>
    <row r="430" ht="14.25" customHeight="1">
      <c r="D430" s="2"/>
      <c r="J430" s="3"/>
    </row>
    <row r="431" ht="14.25" customHeight="1">
      <c r="D431" s="2"/>
      <c r="J431" s="3"/>
    </row>
    <row r="432" ht="14.25" customHeight="1">
      <c r="D432" s="2"/>
      <c r="J432" s="3"/>
    </row>
    <row r="433" ht="14.25" customHeight="1">
      <c r="D433" s="2"/>
      <c r="J433" s="3"/>
    </row>
    <row r="434" ht="14.25" customHeight="1">
      <c r="D434" s="2"/>
      <c r="J434" s="3"/>
    </row>
    <row r="435" ht="14.25" customHeight="1">
      <c r="D435" s="2"/>
      <c r="J435" s="3"/>
    </row>
    <row r="436" ht="14.25" customHeight="1">
      <c r="D436" s="2"/>
      <c r="J436" s="3"/>
    </row>
    <row r="437" ht="14.25" customHeight="1">
      <c r="D437" s="2"/>
      <c r="J437" s="3"/>
    </row>
    <row r="438" ht="14.25" customHeight="1">
      <c r="D438" s="2"/>
      <c r="J438" s="3"/>
    </row>
    <row r="439" ht="14.25" customHeight="1">
      <c r="D439" s="2"/>
      <c r="J439" s="3"/>
    </row>
    <row r="440" ht="14.25" customHeight="1">
      <c r="D440" s="2"/>
      <c r="J440" s="3"/>
    </row>
    <row r="441" ht="14.25" customHeight="1">
      <c r="D441" s="2"/>
      <c r="J441" s="3"/>
    </row>
    <row r="442" ht="14.25" customHeight="1">
      <c r="D442" s="2"/>
      <c r="J442" s="3"/>
    </row>
    <row r="443" ht="14.25" customHeight="1">
      <c r="D443" s="2"/>
      <c r="J443" s="3"/>
    </row>
    <row r="444" ht="14.25" customHeight="1">
      <c r="D444" s="2"/>
      <c r="J444" s="3"/>
    </row>
    <row r="445" ht="14.25" customHeight="1">
      <c r="D445" s="2"/>
      <c r="J445" s="3"/>
    </row>
    <row r="446" ht="14.25" customHeight="1">
      <c r="D446" s="2"/>
      <c r="J446" s="3"/>
    </row>
    <row r="447" ht="14.25" customHeight="1">
      <c r="D447" s="2"/>
      <c r="J447" s="3"/>
    </row>
    <row r="448" ht="14.25" customHeight="1">
      <c r="D448" s="2"/>
      <c r="J448" s="3"/>
    </row>
    <row r="449" ht="14.25" customHeight="1">
      <c r="D449" s="2"/>
      <c r="J449" s="3"/>
    </row>
    <row r="450" ht="14.25" customHeight="1">
      <c r="D450" s="2"/>
      <c r="J450" s="3"/>
    </row>
    <row r="451" ht="14.25" customHeight="1">
      <c r="D451" s="2"/>
      <c r="J451" s="3"/>
    </row>
    <row r="452" ht="14.25" customHeight="1">
      <c r="D452" s="2"/>
      <c r="J452" s="3"/>
    </row>
    <row r="453" ht="14.25" customHeight="1">
      <c r="D453" s="2"/>
      <c r="J453" s="3"/>
    </row>
    <row r="454" ht="14.25" customHeight="1">
      <c r="D454" s="2"/>
      <c r="J454" s="3"/>
    </row>
    <row r="455" ht="14.25" customHeight="1">
      <c r="D455" s="2"/>
      <c r="J455" s="3"/>
    </row>
    <row r="456" ht="14.25" customHeight="1">
      <c r="D456" s="2"/>
      <c r="J456" s="3"/>
    </row>
    <row r="457" ht="14.25" customHeight="1">
      <c r="D457" s="2"/>
      <c r="J457" s="3"/>
    </row>
    <row r="458" ht="14.25" customHeight="1">
      <c r="D458" s="2"/>
      <c r="J458" s="3"/>
    </row>
    <row r="459" ht="14.25" customHeight="1">
      <c r="D459" s="2"/>
      <c r="J459" s="3"/>
    </row>
    <row r="460" ht="14.25" customHeight="1">
      <c r="D460" s="2"/>
      <c r="J460" s="3"/>
    </row>
    <row r="461" ht="14.25" customHeight="1">
      <c r="D461" s="2"/>
      <c r="J461" s="3"/>
    </row>
    <row r="462" ht="14.25" customHeight="1">
      <c r="D462" s="2"/>
      <c r="J462" s="3"/>
    </row>
    <row r="463" ht="14.25" customHeight="1">
      <c r="D463" s="2"/>
      <c r="J463" s="3"/>
    </row>
    <row r="464" ht="14.25" customHeight="1">
      <c r="D464" s="2"/>
      <c r="J464" s="3"/>
    </row>
    <row r="465" ht="14.25" customHeight="1">
      <c r="D465" s="2"/>
      <c r="J465" s="3"/>
    </row>
    <row r="466" ht="14.25" customHeight="1">
      <c r="D466" s="2"/>
      <c r="J466" s="3"/>
    </row>
    <row r="467" ht="14.25" customHeight="1">
      <c r="D467" s="2"/>
      <c r="J467" s="3"/>
    </row>
    <row r="468" ht="14.25" customHeight="1">
      <c r="D468" s="2"/>
      <c r="J468" s="3"/>
    </row>
    <row r="469" ht="14.25" customHeight="1">
      <c r="D469" s="2"/>
      <c r="J469" s="3"/>
    </row>
    <row r="470" ht="14.25" customHeight="1">
      <c r="D470" s="2"/>
      <c r="J470" s="3"/>
    </row>
    <row r="471" ht="14.25" customHeight="1">
      <c r="D471" s="2"/>
      <c r="J471" s="3"/>
    </row>
    <row r="472" ht="14.25" customHeight="1">
      <c r="D472" s="2"/>
      <c r="J472" s="3"/>
    </row>
    <row r="473" ht="14.25" customHeight="1">
      <c r="D473" s="2"/>
      <c r="J473" s="3"/>
    </row>
    <row r="474" ht="14.25" customHeight="1">
      <c r="D474" s="2"/>
      <c r="J474" s="3"/>
    </row>
    <row r="475" ht="14.25" customHeight="1">
      <c r="D475" s="2"/>
      <c r="J475" s="3"/>
    </row>
    <row r="476" ht="14.25" customHeight="1">
      <c r="D476" s="2"/>
      <c r="J476" s="3"/>
    </row>
    <row r="477" ht="14.25" customHeight="1">
      <c r="D477" s="2"/>
      <c r="J477" s="3"/>
    </row>
    <row r="478" ht="14.25" customHeight="1">
      <c r="D478" s="2"/>
      <c r="J478" s="3"/>
    </row>
    <row r="479" ht="14.25" customHeight="1">
      <c r="D479" s="2"/>
      <c r="J479" s="3"/>
    </row>
    <row r="480" ht="14.25" customHeight="1">
      <c r="D480" s="2"/>
      <c r="J480" s="3"/>
    </row>
    <row r="481" ht="14.25" customHeight="1">
      <c r="D481" s="2"/>
      <c r="J481" s="3"/>
    </row>
    <row r="482" ht="14.25" customHeight="1">
      <c r="D482" s="2"/>
      <c r="J482" s="3"/>
    </row>
    <row r="483" ht="14.25" customHeight="1">
      <c r="D483" s="2"/>
      <c r="J483" s="3"/>
    </row>
    <row r="484" ht="14.25" customHeight="1">
      <c r="D484" s="2"/>
      <c r="J484" s="3"/>
    </row>
    <row r="485" ht="14.25" customHeight="1">
      <c r="D485" s="2"/>
      <c r="J485" s="3"/>
    </row>
    <row r="486" ht="14.25" customHeight="1">
      <c r="D486" s="2"/>
      <c r="J486" s="3"/>
    </row>
    <row r="487" ht="14.25" customHeight="1">
      <c r="D487" s="2"/>
      <c r="J487" s="3"/>
    </row>
    <row r="488" ht="14.25" customHeight="1">
      <c r="D488" s="2"/>
      <c r="J488" s="3"/>
    </row>
    <row r="489" ht="14.25" customHeight="1">
      <c r="D489" s="2"/>
      <c r="J489" s="3"/>
    </row>
    <row r="490" ht="14.25" customHeight="1">
      <c r="D490" s="2"/>
      <c r="J490" s="3"/>
    </row>
    <row r="491" ht="14.25" customHeight="1">
      <c r="D491" s="2"/>
      <c r="J491" s="3"/>
    </row>
    <row r="492" ht="14.25" customHeight="1">
      <c r="D492" s="2"/>
      <c r="J492" s="3"/>
    </row>
    <row r="493" ht="14.25" customHeight="1">
      <c r="D493" s="2"/>
      <c r="J493" s="3"/>
    </row>
    <row r="494" ht="14.25" customHeight="1">
      <c r="D494" s="2"/>
      <c r="J494" s="3"/>
    </row>
    <row r="495" ht="14.25" customHeight="1">
      <c r="D495" s="2"/>
      <c r="J495" s="3"/>
    </row>
    <row r="496" ht="14.25" customHeight="1">
      <c r="D496" s="2"/>
      <c r="J496" s="3"/>
    </row>
    <row r="497" ht="14.25" customHeight="1">
      <c r="D497" s="2"/>
      <c r="J497" s="3"/>
    </row>
    <row r="498" ht="14.25" customHeight="1">
      <c r="D498" s="2"/>
      <c r="J498" s="3"/>
    </row>
    <row r="499" ht="14.25" customHeight="1">
      <c r="D499" s="2"/>
      <c r="J499" s="3"/>
    </row>
    <row r="500" ht="14.25" customHeight="1">
      <c r="D500" s="2"/>
      <c r="J500" s="3"/>
    </row>
    <row r="501" ht="14.25" customHeight="1">
      <c r="D501" s="2"/>
      <c r="J501" s="3"/>
    </row>
    <row r="502" ht="14.25" customHeight="1">
      <c r="D502" s="2"/>
      <c r="J502" s="3"/>
    </row>
    <row r="503" ht="14.25" customHeight="1">
      <c r="D503" s="2"/>
      <c r="J503" s="3"/>
    </row>
    <row r="504" ht="14.25" customHeight="1">
      <c r="D504" s="2"/>
      <c r="J504" s="3"/>
    </row>
    <row r="505" ht="14.25" customHeight="1">
      <c r="D505" s="2"/>
      <c r="J505" s="3"/>
    </row>
    <row r="506" ht="14.25" customHeight="1">
      <c r="D506" s="2"/>
      <c r="J506" s="3"/>
    </row>
    <row r="507" ht="14.25" customHeight="1">
      <c r="D507" s="2"/>
      <c r="J507" s="3"/>
    </row>
    <row r="508" ht="14.25" customHeight="1">
      <c r="D508" s="2"/>
      <c r="J508" s="3"/>
    </row>
    <row r="509" ht="14.25" customHeight="1">
      <c r="D509" s="2"/>
      <c r="J509" s="3"/>
    </row>
    <row r="510" ht="14.25" customHeight="1">
      <c r="D510" s="2"/>
      <c r="J510" s="3"/>
    </row>
    <row r="511" ht="14.25" customHeight="1">
      <c r="D511" s="2"/>
      <c r="J511" s="3"/>
    </row>
    <row r="512" ht="14.25" customHeight="1">
      <c r="D512" s="2"/>
      <c r="J512" s="3"/>
    </row>
    <row r="513" ht="14.25" customHeight="1">
      <c r="D513" s="2"/>
      <c r="J513" s="3"/>
    </row>
    <row r="514" ht="14.25" customHeight="1">
      <c r="D514" s="2"/>
      <c r="J514" s="3"/>
    </row>
    <row r="515" ht="14.25" customHeight="1">
      <c r="D515" s="2"/>
      <c r="J515" s="3"/>
    </row>
    <row r="516" ht="14.25" customHeight="1">
      <c r="D516" s="2"/>
      <c r="J516" s="3"/>
    </row>
    <row r="517" ht="14.25" customHeight="1">
      <c r="D517" s="2"/>
      <c r="J517" s="3"/>
    </row>
    <row r="518" ht="14.25" customHeight="1">
      <c r="D518" s="2"/>
      <c r="J518" s="3"/>
    </row>
    <row r="519" ht="14.25" customHeight="1">
      <c r="D519" s="2"/>
      <c r="J519" s="3"/>
    </row>
    <row r="520" ht="14.25" customHeight="1">
      <c r="D520" s="2"/>
      <c r="J520" s="3"/>
    </row>
    <row r="521" ht="14.25" customHeight="1">
      <c r="D521" s="2"/>
      <c r="J521" s="3"/>
    </row>
    <row r="522" ht="14.25" customHeight="1">
      <c r="D522" s="2"/>
      <c r="J522" s="3"/>
    </row>
    <row r="523" ht="14.25" customHeight="1">
      <c r="D523" s="2"/>
      <c r="J523" s="3"/>
    </row>
    <row r="524" ht="14.25" customHeight="1">
      <c r="D524" s="2"/>
      <c r="J524" s="3"/>
    </row>
    <row r="525" ht="14.25" customHeight="1">
      <c r="D525" s="2"/>
      <c r="J525" s="3"/>
    </row>
    <row r="526" ht="14.25" customHeight="1">
      <c r="D526" s="2"/>
      <c r="J526" s="3"/>
    </row>
    <row r="527" ht="14.25" customHeight="1">
      <c r="D527" s="2"/>
      <c r="J527" s="3"/>
    </row>
    <row r="528" ht="14.25" customHeight="1">
      <c r="D528" s="2"/>
      <c r="J528" s="3"/>
    </row>
    <row r="529" ht="14.25" customHeight="1">
      <c r="D529" s="2"/>
      <c r="J529" s="3"/>
    </row>
    <row r="530" ht="14.25" customHeight="1">
      <c r="D530" s="2"/>
      <c r="J530" s="3"/>
    </row>
    <row r="531" ht="14.25" customHeight="1">
      <c r="D531" s="2"/>
      <c r="J531" s="3"/>
    </row>
    <row r="532" ht="14.25" customHeight="1">
      <c r="D532" s="2"/>
      <c r="J532" s="3"/>
    </row>
    <row r="533" ht="14.25" customHeight="1">
      <c r="D533" s="2"/>
      <c r="J533" s="3"/>
    </row>
    <row r="534" ht="14.25" customHeight="1">
      <c r="D534" s="2"/>
      <c r="J534" s="3"/>
    </row>
    <row r="535" ht="14.25" customHeight="1">
      <c r="D535" s="2"/>
      <c r="J535" s="3"/>
    </row>
    <row r="536" ht="14.25" customHeight="1">
      <c r="D536" s="2"/>
      <c r="J536" s="3"/>
    </row>
    <row r="537" ht="14.25" customHeight="1">
      <c r="D537" s="2"/>
      <c r="J537" s="3"/>
    </row>
    <row r="538" ht="14.25" customHeight="1">
      <c r="D538" s="2"/>
      <c r="J538" s="3"/>
    </row>
    <row r="539" ht="14.25" customHeight="1">
      <c r="D539" s="2"/>
      <c r="J539" s="3"/>
    </row>
    <row r="540" ht="14.25" customHeight="1">
      <c r="D540" s="2"/>
      <c r="J540" s="3"/>
    </row>
    <row r="541" ht="14.25" customHeight="1">
      <c r="D541" s="2"/>
      <c r="J541" s="3"/>
    </row>
    <row r="542" ht="14.25" customHeight="1">
      <c r="D542" s="2"/>
      <c r="J542" s="3"/>
    </row>
    <row r="543" ht="14.25" customHeight="1">
      <c r="D543" s="2"/>
      <c r="J543" s="3"/>
    </row>
    <row r="544" ht="14.25" customHeight="1">
      <c r="D544" s="2"/>
      <c r="J544" s="3"/>
    </row>
    <row r="545" ht="14.25" customHeight="1">
      <c r="D545" s="2"/>
      <c r="J545" s="3"/>
    </row>
    <row r="546" ht="14.25" customHeight="1">
      <c r="D546" s="2"/>
      <c r="J546" s="3"/>
    </row>
    <row r="547" ht="14.25" customHeight="1">
      <c r="D547" s="2"/>
      <c r="J547" s="3"/>
    </row>
    <row r="548" ht="14.25" customHeight="1">
      <c r="D548" s="2"/>
      <c r="J548" s="3"/>
    </row>
    <row r="549" ht="14.25" customHeight="1">
      <c r="D549" s="2"/>
      <c r="J549" s="3"/>
    </row>
    <row r="550" ht="14.25" customHeight="1">
      <c r="D550" s="2"/>
      <c r="J550" s="3"/>
    </row>
    <row r="551" ht="14.25" customHeight="1">
      <c r="D551" s="2"/>
      <c r="J551" s="3"/>
    </row>
    <row r="552" ht="14.25" customHeight="1">
      <c r="D552" s="2"/>
      <c r="J552" s="3"/>
    </row>
    <row r="553" ht="14.25" customHeight="1">
      <c r="D553" s="2"/>
      <c r="J553" s="3"/>
    </row>
    <row r="554" ht="14.25" customHeight="1">
      <c r="D554" s="2"/>
      <c r="J554" s="3"/>
    </row>
    <row r="555" ht="14.25" customHeight="1">
      <c r="D555" s="2"/>
      <c r="J555" s="3"/>
    </row>
    <row r="556" ht="14.25" customHeight="1">
      <c r="D556" s="2"/>
      <c r="J556" s="3"/>
    </row>
    <row r="557" ht="14.25" customHeight="1">
      <c r="D557" s="2"/>
      <c r="J557" s="3"/>
    </row>
    <row r="558" ht="14.25" customHeight="1">
      <c r="D558" s="2"/>
      <c r="J558" s="3"/>
    </row>
    <row r="559" ht="14.25" customHeight="1">
      <c r="D559" s="2"/>
      <c r="J559" s="3"/>
    </row>
    <row r="560" ht="14.25" customHeight="1">
      <c r="D560" s="2"/>
      <c r="J560" s="3"/>
    </row>
    <row r="561" ht="14.25" customHeight="1">
      <c r="D561" s="2"/>
      <c r="J561" s="3"/>
    </row>
    <row r="562" ht="14.25" customHeight="1">
      <c r="D562" s="2"/>
      <c r="J562" s="3"/>
    </row>
    <row r="563" ht="14.25" customHeight="1">
      <c r="D563" s="2"/>
      <c r="J563" s="3"/>
    </row>
    <row r="564" ht="14.25" customHeight="1">
      <c r="D564" s="2"/>
      <c r="J564" s="3"/>
    </row>
    <row r="565" ht="14.25" customHeight="1">
      <c r="D565" s="2"/>
      <c r="J565" s="3"/>
    </row>
    <row r="566" ht="14.25" customHeight="1">
      <c r="D566" s="2"/>
      <c r="J566" s="3"/>
    </row>
    <row r="567" ht="14.25" customHeight="1">
      <c r="D567" s="2"/>
      <c r="J567" s="3"/>
    </row>
    <row r="568" ht="14.25" customHeight="1">
      <c r="D568" s="2"/>
      <c r="J568" s="3"/>
    </row>
    <row r="569" ht="14.25" customHeight="1">
      <c r="D569" s="2"/>
      <c r="J569" s="3"/>
    </row>
    <row r="570" ht="14.25" customHeight="1">
      <c r="D570" s="2"/>
      <c r="J570" s="3"/>
    </row>
    <row r="571" ht="14.25" customHeight="1">
      <c r="D571" s="2"/>
      <c r="J571" s="3"/>
    </row>
    <row r="572" ht="14.25" customHeight="1">
      <c r="D572" s="2"/>
      <c r="J572" s="3"/>
    </row>
    <row r="573" ht="14.25" customHeight="1">
      <c r="D573" s="2"/>
      <c r="J573" s="3"/>
    </row>
    <row r="574" ht="14.25" customHeight="1">
      <c r="D574" s="2"/>
      <c r="J574" s="3"/>
    </row>
    <row r="575" ht="14.25" customHeight="1">
      <c r="D575" s="2"/>
      <c r="J575" s="3"/>
    </row>
    <row r="576" ht="14.25" customHeight="1">
      <c r="D576" s="2"/>
      <c r="J576" s="3"/>
    </row>
    <row r="577" ht="14.25" customHeight="1">
      <c r="D577" s="2"/>
      <c r="J577" s="3"/>
    </row>
    <row r="578" ht="14.25" customHeight="1">
      <c r="D578" s="2"/>
      <c r="J578" s="3"/>
    </row>
    <row r="579" ht="14.25" customHeight="1">
      <c r="D579" s="2"/>
      <c r="J579" s="3"/>
    </row>
    <row r="580" ht="14.25" customHeight="1">
      <c r="D580" s="2"/>
      <c r="J580" s="3"/>
    </row>
    <row r="581" ht="14.25" customHeight="1">
      <c r="D581" s="2"/>
      <c r="J581" s="3"/>
    </row>
    <row r="582" ht="14.25" customHeight="1">
      <c r="D582" s="2"/>
      <c r="J582" s="3"/>
    </row>
    <row r="583" ht="14.25" customHeight="1">
      <c r="D583" s="2"/>
      <c r="J583" s="3"/>
    </row>
    <row r="584" ht="14.25" customHeight="1">
      <c r="D584" s="2"/>
      <c r="J584" s="3"/>
    </row>
    <row r="585" ht="14.25" customHeight="1">
      <c r="D585" s="2"/>
      <c r="J585" s="3"/>
    </row>
    <row r="586" ht="14.25" customHeight="1">
      <c r="D586" s="2"/>
      <c r="J586" s="3"/>
    </row>
    <row r="587" ht="14.25" customHeight="1">
      <c r="D587" s="2"/>
      <c r="J587" s="3"/>
    </row>
    <row r="588" ht="14.25" customHeight="1">
      <c r="D588" s="2"/>
      <c r="J588" s="3"/>
    </row>
    <row r="589" ht="14.25" customHeight="1">
      <c r="D589" s="2"/>
      <c r="J589" s="3"/>
    </row>
    <row r="590" ht="14.25" customHeight="1">
      <c r="D590" s="2"/>
      <c r="J590" s="3"/>
    </row>
    <row r="591" ht="14.25" customHeight="1">
      <c r="D591" s="2"/>
      <c r="J591" s="3"/>
    </row>
    <row r="592" ht="14.25" customHeight="1">
      <c r="D592" s="2"/>
      <c r="J592" s="3"/>
    </row>
    <row r="593" ht="14.25" customHeight="1">
      <c r="D593" s="2"/>
      <c r="J593" s="3"/>
    </row>
    <row r="594" ht="14.25" customHeight="1">
      <c r="D594" s="2"/>
      <c r="J594" s="3"/>
    </row>
    <row r="595" ht="14.25" customHeight="1">
      <c r="D595" s="2"/>
      <c r="J595" s="3"/>
    </row>
    <row r="596" ht="14.25" customHeight="1">
      <c r="D596" s="2"/>
      <c r="J596" s="3"/>
    </row>
    <row r="597" ht="14.25" customHeight="1">
      <c r="D597" s="2"/>
      <c r="J597" s="3"/>
    </row>
    <row r="598" ht="14.25" customHeight="1">
      <c r="D598" s="2"/>
      <c r="J598" s="3"/>
    </row>
    <row r="599" ht="14.25" customHeight="1">
      <c r="D599" s="2"/>
      <c r="J599" s="3"/>
    </row>
    <row r="600" ht="14.25" customHeight="1">
      <c r="D600" s="2"/>
      <c r="J600" s="3"/>
    </row>
    <row r="601" ht="14.25" customHeight="1">
      <c r="D601" s="2"/>
      <c r="J601" s="3"/>
    </row>
    <row r="602" ht="14.25" customHeight="1">
      <c r="D602" s="2"/>
      <c r="J602" s="3"/>
    </row>
    <row r="603" ht="14.25" customHeight="1">
      <c r="D603" s="2"/>
      <c r="J603" s="3"/>
    </row>
    <row r="604" ht="14.25" customHeight="1">
      <c r="D604" s="2"/>
      <c r="J604" s="3"/>
    </row>
    <row r="605" ht="14.25" customHeight="1">
      <c r="D605" s="2"/>
      <c r="J605" s="3"/>
    </row>
    <row r="606" ht="14.25" customHeight="1">
      <c r="D606" s="2"/>
      <c r="J606" s="3"/>
    </row>
    <row r="607" ht="14.25" customHeight="1">
      <c r="D607" s="2"/>
      <c r="J607" s="3"/>
    </row>
    <row r="608" ht="14.25" customHeight="1">
      <c r="D608" s="2"/>
      <c r="J608" s="3"/>
    </row>
    <row r="609" ht="14.25" customHeight="1">
      <c r="D609" s="2"/>
      <c r="J609" s="3"/>
    </row>
    <row r="610" ht="14.25" customHeight="1">
      <c r="D610" s="2"/>
      <c r="J610" s="3"/>
    </row>
    <row r="611" ht="14.25" customHeight="1">
      <c r="D611" s="2"/>
      <c r="J611" s="3"/>
    </row>
    <row r="612" ht="14.25" customHeight="1">
      <c r="D612" s="2"/>
      <c r="J612" s="3"/>
    </row>
    <row r="613" ht="14.25" customHeight="1">
      <c r="D613" s="2"/>
      <c r="J613" s="3"/>
    </row>
    <row r="614" ht="14.25" customHeight="1">
      <c r="D614" s="2"/>
      <c r="J614" s="3"/>
    </row>
    <row r="615" ht="14.25" customHeight="1">
      <c r="D615" s="2"/>
      <c r="J615" s="3"/>
    </row>
    <row r="616" ht="14.25" customHeight="1">
      <c r="D616" s="2"/>
      <c r="J616" s="3"/>
    </row>
    <row r="617" ht="14.25" customHeight="1">
      <c r="D617" s="2"/>
      <c r="J617" s="3"/>
    </row>
    <row r="618" ht="14.25" customHeight="1">
      <c r="D618" s="2"/>
      <c r="J618" s="3"/>
    </row>
    <row r="619" ht="14.25" customHeight="1">
      <c r="D619" s="2"/>
      <c r="J619" s="3"/>
    </row>
    <row r="620" ht="14.25" customHeight="1">
      <c r="D620" s="2"/>
      <c r="J620" s="3"/>
    </row>
    <row r="621" ht="14.25" customHeight="1">
      <c r="D621" s="2"/>
      <c r="J621" s="3"/>
    </row>
    <row r="622" ht="14.25" customHeight="1">
      <c r="D622" s="2"/>
      <c r="J622" s="3"/>
    </row>
    <row r="623" ht="14.25" customHeight="1">
      <c r="D623" s="2"/>
      <c r="J623" s="3"/>
    </row>
    <row r="624" ht="14.25" customHeight="1">
      <c r="D624" s="2"/>
      <c r="J624" s="3"/>
    </row>
    <row r="625" ht="14.25" customHeight="1">
      <c r="D625" s="2"/>
      <c r="J625" s="3"/>
    </row>
    <row r="626" ht="14.25" customHeight="1">
      <c r="D626" s="2"/>
      <c r="J626" s="3"/>
    </row>
    <row r="627" ht="14.25" customHeight="1">
      <c r="D627" s="2"/>
      <c r="J627" s="3"/>
    </row>
    <row r="628" ht="14.25" customHeight="1">
      <c r="D628" s="2"/>
      <c r="J628" s="3"/>
    </row>
    <row r="629" ht="14.25" customHeight="1">
      <c r="D629" s="2"/>
      <c r="J629" s="3"/>
    </row>
    <row r="630" ht="14.25" customHeight="1">
      <c r="D630" s="2"/>
      <c r="J630" s="3"/>
    </row>
    <row r="631" ht="14.25" customHeight="1">
      <c r="D631" s="2"/>
      <c r="J631" s="3"/>
    </row>
    <row r="632" ht="14.25" customHeight="1">
      <c r="D632" s="2"/>
      <c r="J632" s="3"/>
    </row>
    <row r="633" ht="14.25" customHeight="1">
      <c r="D633" s="2"/>
      <c r="J633" s="3"/>
    </row>
    <row r="634" ht="14.25" customHeight="1">
      <c r="D634" s="2"/>
      <c r="J634" s="3"/>
    </row>
    <row r="635" ht="14.25" customHeight="1">
      <c r="D635" s="2"/>
      <c r="J635" s="3"/>
    </row>
    <row r="636" ht="14.25" customHeight="1">
      <c r="D636" s="2"/>
      <c r="J636" s="3"/>
    </row>
    <row r="637" ht="14.25" customHeight="1">
      <c r="D637" s="2"/>
      <c r="J637" s="3"/>
    </row>
    <row r="638" ht="14.25" customHeight="1">
      <c r="D638" s="2"/>
      <c r="J638" s="3"/>
    </row>
    <row r="639" ht="14.25" customHeight="1">
      <c r="D639" s="2"/>
      <c r="J639" s="3"/>
    </row>
    <row r="640" ht="14.25" customHeight="1">
      <c r="D640" s="2"/>
      <c r="J640" s="3"/>
    </row>
    <row r="641" ht="14.25" customHeight="1">
      <c r="D641" s="2"/>
      <c r="J641" s="3"/>
    </row>
    <row r="642" ht="14.25" customHeight="1">
      <c r="D642" s="2"/>
      <c r="J642" s="3"/>
    </row>
    <row r="643" ht="14.25" customHeight="1">
      <c r="D643" s="2"/>
      <c r="J643" s="3"/>
    </row>
    <row r="644" ht="14.25" customHeight="1">
      <c r="D644" s="2"/>
      <c r="J644" s="3"/>
    </row>
    <row r="645" ht="14.25" customHeight="1">
      <c r="D645" s="2"/>
      <c r="J645" s="3"/>
    </row>
    <row r="646" ht="14.25" customHeight="1">
      <c r="D646" s="2"/>
      <c r="J646" s="3"/>
    </row>
    <row r="647" ht="14.25" customHeight="1">
      <c r="D647" s="2"/>
      <c r="J647" s="3"/>
    </row>
    <row r="648" ht="14.25" customHeight="1">
      <c r="D648" s="2"/>
      <c r="J648" s="3"/>
    </row>
    <row r="649" ht="14.25" customHeight="1">
      <c r="D649" s="2"/>
      <c r="J649" s="3"/>
    </row>
    <row r="650" ht="14.25" customHeight="1">
      <c r="D650" s="2"/>
      <c r="J650" s="3"/>
    </row>
    <row r="651" ht="14.25" customHeight="1">
      <c r="D651" s="2"/>
      <c r="J651" s="3"/>
    </row>
    <row r="652" ht="14.25" customHeight="1">
      <c r="D652" s="2"/>
      <c r="J652" s="3"/>
    </row>
    <row r="653" ht="14.25" customHeight="1">
      <c r="D653" s="2"/>
      <c r="J653" s="3"/>
    </row>
    <row r="654" ht="14.25" customHeight="1">
      <c r="D654" s="2"/>
      <c r="J654" s="3"/>
    </row>
    <row r="655" ht="14.25" customHeight="1">
      <c r="D655" s="2"/>
      <c r="J655" s="3"/>
    </row>
    <row r="656" ht="14.25" customHeight="1">
      <c r="D656" s="2"/>
      <c r="J656" s="3"/>
    </row>
    <row r="657" ht="14.25" customHeight="1">
      <c r="D657" s="2"/>
      <c r="J657" s="3"/>
    </row>
    <row r="658" ht="14.25" customHeight="1">
      <c r="D658" s="2"/>
      <c r="J658" s="3"/>
    </row>
    <row r="659" ht="14.25" customHeight="1">
      <c r="D659" s="2"/>
      <c r="J659" s="3"/>
    </row>
    <row r="660" ht="14.25" customHeight="1">
      <c r="D660" s="2"/>
      <c r="J660" s="3"/>
    </row>
    <row r="661" ht="14.25" customHeight="1">
      <c r="D661" s="2"/>
      <c r="J661" s="3"/>
    </row>
    <row r="662" ht="14.25" customHeight="1">
      <c r="D662" s="2"/>
      <c r="J662" s="3"/>
    </row>
    <row r="663" ht="14.25" customHeight="1">
      <c r="D663" s="2"/>
      <c r="J663" s="3"/>
    </row>
    <row r="664" ht="14.25" customHeight="1">
      <c r="D664" s="2"/>
      <c r="J664" s="3"/>
    </row>
    <row r="665" ht="14.25" customHeight="1">
      <c r="D665" s="2"/>
      <c r="J665" s="3"/>
    </row>
    <row r="666" ht="14.25" customHeight="1">
      <c r="D666" s="2"/>
      <c r="J666" s="3"/>
    </row>
    <row r="667" ht="14.25" customHeight="1">
      <c r="D667" s="2"/>
      <c r="J667" s="3"/>
    </row>
    <row r="668" ht="14.25" customHeight="1">
      <c r="D668" s="2"/>
      <c r="J668" s="3"/>
    </row>
    <row r="669" ht="14.25" customHeight="1">
      <c r="D669" s="2"/>
      <c r="J669" s="3"/>
    </row>
    <row r="670" ht="14.25" customHeight="1">
      <c r="D670" s="2"/>
      <c r="J670" s="3"/>
    </row>
    <row r="671" ht="14.25" customHeight="1">
      <c r="D671" s="2"/>
      <c r="J671" s="3"/>
    </row>
    <row r="672" ht="14.25" customHeight="1">
      <c r="D672" s="2"/>
      <c r="J672" s="3"/>
    </row>
    <row r="673" ht="14.25" customHeight="1">
      <c r="D673" s="2"/>
      <c r="J673" s="3"/>
    </row>
    <row r="674" ht="14.25" customHeight="1">
      <c r="D674" s="2"/>
      <c r="J674" s="3"/>
    </row>
    <row r="675" ht="14.25" customHeight="1">
      <c r="D675" s="2"/>
      <c r="J675" s="3"/>
    </row>
    <row r="676" ht="14.25" customHeight="1">
      <c r="D676" s="2"/>
      <c r="J676" s="3"/>
    </row>
    <row r="677" ht="14.25" customHeight="1">
      <c r="D677" s="2"/>
      <c r="J677" s="3"/>
    </row>
    <row r="678" ht="14.25" customHeight="1">
      <c r="D678" s="2"/>
      <c r="J678" s="3"/>
    </row>
    <row r="679" ht="14.25" customHeight="1">
      <c r="D679" s="2"/>
      <c r="J679" s="3"/>
    </row>
    <row r="680" ht="14.25" customHeight="1">
      <c r="D680" s="2"/>
      <c r="J680" s="3"/>
    </row>
    <row r="681" ht="14.25" customHeight="1">
      <c r="D681" s="2"/>
      <c r="J681" s="3"/>
    </row>
    <row r="682" ht="14.25" customHeight="1">
      <c r="D682" s="2"/>
      <c r="J682" s="3"/>
    </row>
    <row r="683" ht="14.25" customHeight="1">
      <c r="D683" s="2"/>
      <c r="J683" s="3"/>
    </row>
    <row r="684" ht="14.25" customHeight="1">
      <c r="D684" s="2"/>
      <c r="J684" s="3"/>
    </row>
    <row r="685" ht="14.25" customHeight="1">
      <c r="D685" s="2"/>
      <c r="J685" s="3"/>
    </row>
    <row r="686" ht="14.25" customHeight="1">
      <c r="D686" s="2"/>
      <c r="J686" s="3"/>
    </row>
    <row r="687" ht="14.25" customHeight="1">
      <c r="D687" s="2"/>
      <c r="J687" s="3"/>
    </row>
    <row r="688" ht="14.25" customHeight="1">
      <c r="D688" s="2"/>
      <c r="J688" s="3"/>
    </row>
    <row r="689" ht="14.25" customHeight="1">
      <c r="D689" s="2"/>
      <c r="J689" s="3"/>
    </row>
    <row r="690" ht="14.25" customHeight="1">
      <c r="D690" s="2"/>
      <c r="J690" s="3"/>
    </row>
    <row r="691" ht="14.25" customHeight="1">
      <c r="D691" s="2"/>
      <c r="J691" s="3"/>
    </row>
    <row r="692" ht="14.25" customHeight="1">
      <c r="D692" s="2"/>
      <c r="J692" s="3"/>
    </row>
    <row r="693" ht="14.25" customHeight="1">
      <c r="D693" s="2"/>
      <c r="J693" s="3"/>
    </row>
    <row r="694" ht="14.25" customHeight="1">
      <c r="D694" s="2"/>
      <c r="J694" s="3"/>
    </row>
    <row r="695" ht="14.25" customHeight="1">
      <c r="D695" s="2"/>
      <c r="J695" s="3"/>
    </row>
    <row r="696" ht="14.25" customHeight="1">
      <c r="D696" s="2"/>
      <c r="J696" s="3"/>
    </row>
    <row r="697" ht="14.25" customHeight="1">
      <c r="D697" s="2"/>
      <c r="J697" s="3"/>
    </row>
    <row r="698" ht="14.25" customHeight="1">
      <c r="D698" s="2"/>
      <c r="J698" s="3"/>
    </row>
    <row r="699" ht="14.25" customHeight="1">
      <c r="D699" s="2"/>
      <c r="J699" s="3"/>
    </row>
    <row r="700" ht="14.25" customHeight="1">
      <c r="D700" s="2"/>
      <c r="J700" s="3"/>
    </row>
    <row r="701" ht="14.25" customHeight="1">
      <c r="D701" s="2"/>
      <c r="J701" s="3"/>
    </row>
    <row r="702" ht="14.25" customHeight="1">
      <c r="D702" s="2"/>
      <c r="J702" s="3"/>
    </row>
    <row r="703" ht="14.25" customHeight="1">
      <c r="D703" s="2"/>
      <c r="J703" s="3"/>
    </row>
    <row r="704" ht="14.25" customHeight="1">
      <c r="D704" s="2"/>
      <c r="J704" s="3"/>
    </row>
    <row r="705" ht="14.25" customHeight="1">
      <c r="D705" s="2"/>
      <c r="J705" s="3"/>
    </row>
    <row r="706" ht="14.25" customHeight="1">
      <c r="D706" s="2"/>
      <c r="J706" s="3"/>
    </row>
    <row r="707" ht="14.25" customHeight="1">
      <c r="D707" s="2"/>
      <c r="J707" s="3"/>
    </row>
    <row r="708" ht="14.25" customHeight="1">
      <c r="D708" s="2"/>
      <c r="J708" s="3"/>
    </row>
    <row r="709" ht="14.25" customHeight="1">
      <c r="D709" s="2"/>
      <c r="J709" s="3"/>
    </row>
    <row r="710" ht="14.25" customHeight="1">
      <c r="D710" s="2"/>
      <c r="J710" s="3"/>
    </row>
    <row r="711" ht="14.25" customHeight="1">
      <c r="D711" s="2"/>
      <c r="J711" s="3"/>
    </row>
    <row r="712" ht="14.25" customHeight="1">
      <c r="D712" s="2"/>
      <c r="J712" s="3"/>
    </row>
    <row r="713" ht="14.25" customHeight="1">
      <c r="D713" s="2"/>
      <c r="J713" s="3"/>
    </row>
    <row r="714" ht="14.25" customHeight="1">
      <c r="D714" s="2"/>
      <c r="J714" s="3"/>
    </row>
    <row r="715" ht="14.25" customHeight="1">
      <c r="D715" s="2"/>
      <c r="J715" s="3"/>
    </row>
    <row r="716" ht="14.25" customHeight="1">
      <c r="D716" s="2"/>
      <c r="J716" s="3"/>
    </row>
    <row r="717" ht="14.25" customHeight="1">
      <c r="D717" s="2"/>
      <c r="J717" s="3"/>
    </row>
    <row r="718" ht="14.25" customHeight="1">
      <c r="D718" s="2"/>
      <c r="J718" s="3"/>
    </row>
    <row r="719" ht="14.25" customHeight="1">
      <c r="D719" s="2"/>
      <c r="J719" s="3"/>
    </row>
    <row r="720" ht="14.25" customHeight="1">
      <c r="D720" s="2"/>
      <c r="J720" s="3"/>
    </row>
    <row r="721" ht="14.25" customHeight="1">
      <c r="D721" s="2"/>
      <c r="J721" s="3"/>
    </row>
    <row r="722" ht="14.25" customHeight="1">
      <c r="D722" s="2"/>
      <c r="J722" s="3"/>
    </row>
    <row r="723" ht="14.25" customHeight="1">
      <c r="D723" s="2"/>
      <c r="J723" s="3"/>
    </row>
    <row r="724" ht="14.25" customHeight="1">
      <c r="D724" s="2"/>
      <c r="J724" s="3"/>
    </row>
    <row r="725" ht="14.25" customHeight="1">
      <c r="D725" s="2"/>
      <c r="J725" s="3"/>
    </row>
    <row r="726" ht="14.25" customHeight="1">
      <c r="D726" s="2"/>
      <c r="J726" s="3"/>
    </row>
    <row r="727" ht="14.25" customHeight="1">
      <c r="D727" s="2"/>
      <c r="J727" s="3"/>
    </row>
    <row r="728" ht="14.25" customHeight="1">
      <c r="D728" s="2"/>
      <c r="J728" s="3"/>
    </row>
    <row r="729" ht="14.25" customHeight="1">
      <c r="D729" s="2"/>
      <c r="J729" s="3"/>
    </row>
    <row r="730" ht="14.25" customHeight="1">
      <c r="D730" s="2"/>
      <c r="J730" s="3"/>
    </row>
    <row r="731" ht="14.25" customHeight="1">
      <c r="D731" s="2"/>
      <c r="J731" s="3"/>
    </row>
    <row r="732" ht="14.25" customHeight="1">
      <c r="D732" s="2"/>
      <c r="J732" s="3"/>
    </row>
    <row r="733" ht="14.25" customHeight="1">
      <c r="D733" s="2"/>
      <c r="J733" s="3"/>
    </row>
    <row r="734" ht="14.25" customHeight="1">
      <c r="D734" s="2"/>
      <c r="J734" s="3"/>
    </row>
    <row r="735" ht="14.25" customHeight="1">
      <c r="D735" s="2"/>
      <c r="J735" s="3"/>
    </row>
    <row r="736" ht="14.25" customHeight="1">
      <c r="D736" s="2"/>
      <c r="J736" s="3"/>
    </row>
    <row r="737" ht="14.25" customHeight="1">
      <c r="D737" s="2"/>
      <c r="J737" s="3"/>
    </row>
    <row r="738" ht="14.25" customHeight="1">
      <c r="D738" s="2"/>
      <c r="J738" s="3"/>
    </row>
    <row r="739" ht="14.25" customHeight="1">
      <c r="D739" s="2"/>
      <c r="J739" s="3"/>
    </row>
    <row r="740" ht="14.25" customHeight="1">
      <c r="D740" s="2"/>
      <c r="J740" s="3"/>
    </row>
    <row r="741" ht="14.25" customHeight="1">
      <c r="D741" s="2"/>
      <c r="J741" s="3"/>
    </row>
    <row r="742" ht="14.25" customHeight="1">
      <c r="D742" s="2"/>
      <c r="J742" s="3"/>
    </row>
    <row r="743" ht="14.25" customHeight="1">
      <c r="D743" s="2"/>
      <c r="J743" s="3"/>
    </row>
    <row r="744" ht="14.25" customHeight="1">
      <c r="D744" s="2"/>
      <c r="J744" s="3"/>
    </row>
    <row r="745" ht="14.25" customHeight="1">
      <c r="D745" s="2"/>
      <c r="J745" s="3"/>
    </row>
    <row r="746" ht="14.25" customHeight="1">
      <c r="D746" s="2"/>
      <c r="J746" s="3"/>
    </row>
    <row r="747" ht="14.25" customHeight="1">
      <c r="D747" s="2"/>
      <c r="J747" s="3"/>
    </row>
    <row r="748" ht="14.25" customHeight="1">
      <c r="D748" s="2"/>
      <c r="J748" s="3"/>
    </row>
    <row r="749" ht="14.25" customHeight="1">
      <c r="D749" s="2"/>
      <c r="J749" s="3"/>
    </row>
    <row r="750" ht="14.25" customHeight="1">
      <c r="D750" s="2"/>
      <c r="J750" s="3"/>
    </row>
    <row r="751" ht="14.25" customHeight="1">
      <c r="D751" s="2"/>
      <c r="J751" s="3"/>
    </row>
    <row r="752" ht="14.25" customHeight="1">
      <c r="D752" s="2"/>
      <c r="J752" s="3"/>
    </row>
    <row r="753" ht="14.25" customHeight="1">
      <c r="D753" s="2"/>
      <c r="J753" s="3"/>
    </row>
    <row r="754" ht="14.25" customHeight="1">
      <c r="D754" s="2"/>
      <c r="J754" s="3"/>
    </row>
    <row r="755" ht="14.25" customHeight="1">
      <c r="D755" s="2"/>
      <c r="J755" s="3"/>
    </row>
    <row r="756" ht="14.25" customHeight="1">
      <c r="D756" s="2"/>
      <c r="J756" s="3"/>
    </row>
    <row r="757" ht="14.25" customHeight="1">
      <c r="D757" s="2"/>
      <c r="J757" s="3"/>
    </row>
    <row r="758" ht="14.25" customHeight="1">
      <c r="D758" s="2"/>
      <c r="J758" s="3"/>
    </row>
    <row r="759" ht="14.25" customHeight="1">
      <c r="D759" s="2"/>
      <c r="J759" s="3"/>
    </row>
    <row r="760" ht="14.25" customHeight="1">
      <c r="D760" s="2"/>
      <c r="J760" s="3"/>
    </row>
    <row r="761" ht="14.25" customHeight="1">
      <c r="D761" s="2"/>
      <c r="J761" s="3"/>
    </row>
    <row r="762" ht="14.25" customHeight="1">
      <c r="D762" s="2"/>
      <c r="J762" s="3"/>
    </row>
    <row r="763" ht="14.25" customHeight="1">
      <c r="D763" s="2"/>
      <c r="J763" s="3"/>
    </row>
    <row r="764" ht="14.25" customHeight="1">
      <c r="D764" s="2"/>
      <c r="J764" s="3"/>
    </row>
    <row r="765" ht="14.25" customHeight="1">
      <c r="D765" s="2"/>
      <c r="J765" s="3"/>
    </row>
    <row r="766" ht="14.25" customHeight="1">
      <c r="D766" s="2"/>
      <c r="J766" s="3"/>
    </row>
    <row r="767" ht="14.25" customHeight="1">
      <c r="D767" s="2"/>
      <c r="J767" s="3"/>
    </row>
    <row r="768" ht="14.25" customHeight="1">
      <c r="D768" s="2"/>
      <c r="J768" s="3"/>
    </row>
    <row r="769" ht="14.25" customHeight="1">
      <c r="D769" s="2"/>
      <c r="J769" s="3"/>
    </row>
    <row r="770" ht="14.25" customHeight="1">
      <c r="D770" s="2"/>
      <c r="J770" s="3"/>
    </row>
    <row r="771" ht="14.25" customHeight="1">
      <c r="D771" s="2"/>
      <c r="J771" s="3"/>
    </row>
    <row r="772" ht="14.25" customHeight="1">
      <c r="D772" s="2"/>
      <c r="J772" s="3"/>
    </row>
    <row r="773" ht="14.25" customHeight="1">
      <c r="D773" s="2"/>
      <c r="J773" s="3"/>
    </row>
    <row r="774" ht="14.25" customHeight="1">
      <c r="D774" s="2"/>
      <c r="J774" s="3"/>
    </row>
    <row r="775" ht="14.25" customHeight="1">
      <c r="D775" s="2"/>
      <c r="J775" s="3"/>
    </row>
    <row r="776" ht="14.25" customHeight="1">
      <c r="D776" s="2"/>
      <c r="J776" s="3"/>
    </row>
    <row r="777" ht="14.25" customHeight="1">
      <c r="D777" s="2"/>
      <c r="J777" s="3"/>
    </row>
    <row r="778" ht="14.25" customHeight="1">
      <c r="D778" s="2"/>
      <c r="J778" s="3"/>
    </row>
    <row r="779" ht="14.25" customHeight="1">
      <c r="D779" s="2"/>
      <c r="J779" s="3"/>
    </row>
    <row r="780" ht="14.25" customHeight="1">
      <c r="D780" s="2"/>
      <c r="J780" s="3"/>
    </row>
    <row r="781" ht="14.25" customHeight="1">
      <c r="D781" s="2"/>
      <c r="J781" s="3"/>
    </row>
    <row r="782" ht="14.25" customHeight="1">
      <c r="D782" s="2"/>
      <c r="J782" s="3"/>
    </row>
    <row r="783" ht="14.25" customHeight="1">
      <c r="D783" s="2"/>
      <c r="J783" s="3"/>
    </row>
    <row r="784" ht="14.25" customHeight="1">
      <c r="D784" s="2"/>
      <c r="J784" s="3"/>
    </row>
    <row r="785" ht="14.25" customHeight="1">
      <c r="D785" s="2"/>
      <c r="J785" s="3"/>
    </row>
    <row r="786" ht="14.25" customHeight="1">
      <c r="D786" s="2"/>
      <c r="J786" s="3"/>
    </row>
    <row r="787" ht="14.25" customHeight="1">
      <c r="D787" s="2"/>
      <c r="J787" s="3"/>
    </row>
    <row r="788" ht="14.25" customHeight="1">
      <c r="D788" s="2"/>
      <c r="J788" s="3"/>
    </row>
    <row r="789" ht="14.25" customHeight="1">
      <c r="D789" s="2"/>
      <c r="J789" s="3"/>
    </row>
    <row r="790" ht="14.25" customHeight="1">
      <c r="D790" s="2"/>
      <c r="J790" s="3"/>
    </row>
    <row r="791" ht="14.25" customHeight="1">
      <c r="D791" s="2"/>
      <c r="J791" s="3"/>
    </row>
    <row r="792" ht="14.25" customHeight="1">
      <c r="D792" s="2"/>
      <c r="J792" s="3"/>
    </row>
    <row r="793" ht="14.25" customHeight="1">
      <c r="D793" s="2"/>
      <c r="J793" s="3"/>
    </row>
    <row r="794" ht="14.25" customHeight="1">
      <c r="D794" s="2"/>
      <c r="J794" s="3"/>
    </row>
    <row r="795" ht="14.25" customHeight="1">
      <c r="D795" s="2"/>
      <c r="J795" s="3"/>
    </row>
    <row r="796" ht="14.25" customHeight="1">
      <c r="D796" s="2"/>
      <c r="J796" s="3"/>
    </row>
    <row r="797" ht="14.25" customHeight="1">
      <c r="D797" s="2"/>
      <c r="J797" s="3"/>
    </row>
    <row r="798" ht="14.25" customHeight="1">
      <c r="D798" s="2"/>
      <c r="J798" s="3"/>
    </row>
    <row r="799" ht="14.25" customHeight="1">
      <c r="D799" s="2"/>
      <c r="J799" s="3"/>
    </row>
    <row r="800" ht="14.25" customHeight="1">
      <c r="D800" s="2"/>
      <c r="J800" s="3"/>
    </row>
    <row r="801" ht="14.25" customHeight="1">
      <c r="D801" s="2"/>
      <c r="J801" s="3"/>
    </row>
    <row r="802" ht="14.25" customHeight="1">
      <c r="D802" s="2"/>
      <c r="J802" s="3"/>
    </row>
    <row r="803" ht="14.25" customHeight="1">
      <c r="D803" s="2"/>
      <c r="J803" s="3"/>
    </row>
    <row r="804" ht="14.25" customHeight="1">
      <c r="D804" s="2"/>
      <c r="J804" s="3"/>
    </row>
    <row r="805" ht="14.25" customHeight="1">
      <c r="D805" s="2"/>
      <c r="J805" s="3"/>
    </row>
    <row r="806" ht="14.25" customHeight="1">
      <c r="D806" s="2"/>
      <c r="J806" s="3"/>
    </row>
    <row r="807" ht="14.25" customHeight="1">
      <c r="D807" s="2"/>
      <c r="J807" s="3"/>
    </row>
    <row r="808" ht="14.25" customHeight="1">
      <c r="D808" s="2"/>
      <c r="J808" s="3"/>
    </row>
    <row r="809" ht="14.25" customHeight="1">
      <c r="D809" s="2"/>
      <c r="J809" s="3"/>
    </row>
    <row r="810" ht="14.25" customHeight="1">
      <c r="D810" s="2"/>
      <c r="J810" s="3"/>
    </row>
    <row r="811" ht="14.25" customHeight="1">
      <c r="D811" s="2"/>
      <c r="J811" s="3"/>
    </row>
    <row r="812" ht="14.25" customHeight="1">
      <c r="D812" s="2"/>
      <c r="J812" s="3"/>
    </row>
    <row r="813" ht="14.25" customHeight="1">
      <c r="D813" s="2"/>
      <c r="J813" s="3"/>
    </row>
    <row r="814" ht="14.25" customHeight="1">
      <c r="D814" s="2"/>
      <c r="J814" s="3"/>
    </row>
    <row r="815" ht="14.25" customHeight="1">
      <c r="D815" s="2"/>
      <c r="J815" s="3"/>
    </row>
    <row r="816" ht="14.25" customHeight="1">
      <c r="D816" s="2"/>
      <c r="J816" s="3"/>
    </row>
    <row r="817" ht="14.25" customHeight="1">
      <c r="D817" s="2"/>
      <c r="J817" s="3"/>
    </row>
    <row r="818" ht="14.25" customHeight="1">
      <c r="D818" s="2"/>
      <c r="J818" s="3"/>
    </row>
    <row r="819" ht="14.25" customHeight="1">
      <c r="D819" s="2"/>
      <c r="J819" s="3"/>
    </row>
    <row r="820" ht="14.25" customHeight="1">
      <c r="D820" s="2"/>
      <c r="J820" s="3"/>
    </row>
    <row r="821" ht="14.25" customHeight="1">
      <c r="D821" s="2"/>
      <c r="J821" s="3"/>
    </row>
    <row r="822" ht="14.25" customHeight="1">
      <c r="D822" s="2"/>
      <c r="J822" s="3"/>
    </row>
    <row r="823" ht="14.25" customHeight="1">
      <c r="D823" s="2"/>
      <c r="J823" s="3"/>
    </row>
    <row r="824" ht="14.25" customHeight="1">
      <c r="D824" s="2"/>
      <c r="J824" s="3"/>
    </row>
    <row r="825" ht="14.25" customHeight="1">
      <c r="D825" s="2"/>
      <c r="J825" s="3"/>
    </row>
    <row r="826" ht="14.25" customHeight="1">
      <c r="D826" s="2"/>
      <c r="J826" s="3"/>
    </row>
    <row r="827" ht="14.25" customHeight="1">
      <c r="D827" s="2"/>
      <c r="J827" s="3"/>
    </row>
    <row r="828" ht="14.25" customHeight="1">
      <c r="D828" s="2"/>
      <c r="J828" s="3"/>
    </row>
    <row r="829" ht="14.25" customHeight="1">
      <c r="D829" s="2"/>
      <c r="J829" s="3"/>
    </row>
    <row r="830" ht="14.25" customHeight="1">
      <c r="D830" s="2"/>
      <c r="J830" s="3"/>
    </row>
    <row r="831" ht="14.25" customHeight="1">
      <c r="D831" s="2"/>
      <c r="J831" s="3"/>
    </row>
    <row r="832" ht="14.25" customHeight="1">
      <c r="D832" s="2"/>
      <c r="J832" s="3"/>
    </row>
    <row r="833" ht="14.25" customHeight="1">
      <c r="D833" s="2"/>
      <c r="J833" s="3"/>
    </row>
    <row r="834" ht="14.25" customHeight="1">
      <c r="D834" s="2"/>
      <c r="J834" s="3"/>
    </row>
    <row r="835" ht="14.25" customHeight="1">
      <c r="D835" s="2"/>
      <c r="J835" s="3"/>
    </row>
    <row r="836" ht="14.25" customHeight="1">
      <c r="D836" s="2"/>
      <c r="J836" s="3"/>
    </row>
    <row r="837" ht="14.25" customHeight="1">
      <c r="D837" s="2"/>
      <c r="J837" s="3"/>
    </row>
    <row r="838" ht="14.25" customHeight="1">
      <c r="D838" s="2"/>
      <c r="J838" s="3"/>
    </row>
    <row r="839" ht="14.25" customHeight="1">
      <c r="D839" s="2"/>
      <c r="J839" s="3"/>
    </row>
    <row r="840" ht="14.25" customHeight="1">
      <c r="D840" s="2"/>
      <c r="J840" s="3"/>
    </row>
    <row r="841" ht="14.25" customHeight="1">
      <c r="D841" s="2"/>
      <c r="J841" s="3"/>
    </row>
    <row r="842" ht="14.25" customHeight="1">
      <c r="D842" s="2"/>
      <c r="J842" s="3"/>
    </row>
    <row r="843" ht="14.25" customHeight="1">
      <c r="D843" s="2"/>
      <c r="J843" s="3"/>
    </row>
    <row r="844" ht="14.25" customHeight="1">
      <c r="D844" s="2"/>
      <c r="J844" s="3"/>
    </row>
    <row r="845" ht="14.25" customHeight="1">
      <c r="D845" s="2"/>
      <c r="J845" s="3"/>
    </row>
    <row r="846" ht="14.25" customHeight="1">
      <c r="D846" s="2"/>
      <c r="J846" s="3"/>
    </row>
    <row r="847" ht="14.25" customHeight="1">
      <c r="D847" s="2"/>
      <c r="J847" s="3"/>
    </row>
    <row r="848" ht="14.25" customHeight="1">
      <c r="D848" s="2"/>
      <c r="J848" s="3"/>
    </row>
    <row r="849" ht="14.25" customHeight="1">
      <c r="D849" s="2"/>
      <c r="J849" s="3"/>
    </row>
    <row r="850" ht="14.25" customHeight="1">
      <c r="D850" s="2"/>
      <c r="J850" s="3"/>
    </row>
    <row r="851" ht="14.25" customHeight="1">
      <c r="D851" s="2"/>
      <c r="J851" s="3"/>
    </row>
    <row r="852" ht="14.25" customHeight="1">
      <c r="D852" s="2"/>
      <c r="J852" s="3"/>
    </row>
    <row r="853" ht="14.25" customHeight="1">
      <c r="D853" s="2"/>
      <c r="J853" s="3"/>
    </row>
    <row r="854" ht="14.25" customHeight="1">
      <c r="D854" s="2"/>
      <c r="J854" s="3"/>
    </row>
    <row r="855" ht="14.25" customHeight="1">
      <c r="D855" s="2"/>
      <c r="J855" s="3"/>
    </row>
    <row r="856" ht="14.25" customHeight="1">
      <c r="D856" s="2"/>
      <c r="J856" s="3"/>
    </row>
    <row r="857" ht="14.25" customHeight="1">
      <c r="D857" s="2"/>
      <c r="J857" s="3"/>
    </row>
    <row r="858" ht="14.25" customHeight="1">
      <c r="D858" s="2"/>
      <c r="J858" s="3"/>
    </row>
    <row r="859" ht="14.25" customHeight="1">
      <c r="D859" s="2"/>
      <c r="J859" s="3"/>
    </row>
    <row r="860" ht="14.25" customHeight="1">
      <c r="D860" s="2"/>
      <c r="J860" s="3"/>
    </row>
    <row r="861" ht="14.25" customHeight="1">
      <c r="D861" s="2"/>
      <c r="J861" s="3"/>
    </row>
    <row r="862" ht="14.25" customHeight="1">
      <c r="D862" s="2"/>
      <c r="J862" s="3"/>
    </row>
    <row r="863" ht="14.25" customHeight="1">
      <c r="D863" s="2"/>
      <c r="J863" s="3"/>
    </row>
    <row r="864" ht="14.25" customHeight="1">
      <c r="D864" s="2"/>
      <c r="J864" s="3"/>
    </row>
    <row r="865" ht="14.25" customHeight="1">
      <c r="D865" s="2"/>
      <c r="J865" s="3"/>
    </row>
    <row r="866" ht="14.25" customHeight="1">
      <c r="D866" s="2"/>
      <c r="J866" s="3"/>
    </row>
    <row r="867" ht="14.25" customHeight="1">
      <c r="D867" s="2"/>
      <c r="J867" s="3"/>
    </row>
    <row r="868" ht="14.25" customHeight="1">
      <c r="D868" s="2"/>
      <c r="J868" s="3"/>
    </row>
    <row r="869" ht="14.25" customHeight="1">
      <c r="D869" s="2"/>
      <c r="J869" s="3"/>
    </row>
    <row r="870" ht="14.25" customHeight="1">
      <c r="D870" s="2"/>
      <c r="J870" s="3"/>
    </row>
    <row r="871" ht="14.25" customHeight="1">
      <c r="D871" s="2"/>
      <c r="J871" s="3"/>
    </row>
    <row r="872" ht="14.25" customHeight="1">
      <c r="D872" s="2"/>
      <c r="J872" s="3"/>
    </row>
    <row r="873" ht="14.25" customHeight="1">
      <c r="D873" s="2"/>
      <c r="J873" s="3"/>
    </row>
    <row r="874" ht="14.25" customHeight="1">
      <c r="D874" s="2"/>
      <c r="J874" s="3"/>
    </row>
    <row r="875" ht="14.25" customHeight="1">
      <c r="D875" s="2"/>
      <c r="J875" s="3"/>
    </row>
    <row r="876" ht="14.25" customHeight="1">
      <c r="D876" s="2"/>
      <c r="J876" s="3"/>
    </row>
    <row r="877" ht="14.25" customHeight="1">
      <c r="D877" s="2"/>
      <c r="J877" s="3"/>
    </row>
    <row r="878" ht="14.25" customHeight="1">
      <c r="D878" s="2"/>
      <c r="J878" s="3"/>
    </row>
    <row r="879" ht="14.25" customHeight="1">
      <c r="D879" s="2"/>
      <c r="J879" s="3"/>
    </row>
    <row r="880" ht="14.25" customHeight="1">
      <c r="D880" s="2"/>
      <c r="J880" s="3"/>
    </row>
    <row r="881" ht="14.25" customHeight="1">
      <c r="D881" s="2"/>
      <c r="J881" s="3"/>
    </row>
    <row r="882" ht="14.25" customHeight="1">
      <c r="D882" s="2"/>
      <c r="J882" s="3"/>
    </row>
    <row r="883" ht="14.25" customHeight="1">
      <c r="D883" s="2"/>
      <c r="J883" s="3"/>
    </row>
    <row r="884" ht="14.25" customHeight="1">
      <c r="D884" s="2"/>
      <c r="J884" s="3"/>
    </row>
    <row r="885" ht="14.25" customHeight="1">
      <c r="D885" s="2"/>
      <c r="J885" s="3"/>
    </row>
    <row r="886" ht="14.25" customHeight="1">
      <c r="D886" s="2"/>
      <c r="J886" s="3"/>
    </row>
    <row r="887" ht="14.25" customHeight="1">
      <c r="D887" s="2"/>
      <c r="J887" s="3"/>
    </row>
    <row r="888" ht="14.25" customHeight="1">
      <c r="D888" s="2"/>
      <c r="J888" s="3"/>
    </row>
    <row r="889" ht="14.25" customHeight="1">
      <c r="D889" s="2"/>
      <c r="J889" s="3"/>
    </row>
    <row r="890" ht="14.25" customHeight="1">
      <c r="D890" s="2"/>
      <c r="J890" s="3"/>
    </row>
    <row r="891" ht="14.25" customHeight="1">
      <c r="D891" s="2"/>
      <c r="J891" s="3"/>
    </row>
    <row r="892" ht="14.25" customHeight="1">
      <c r="D892" s="2"/>
      <c r="J892" s="3"/>
    </row>
    <row r="893" ht="14.25" customHeight="1">
      <c r="D893" s="2"/>
      <c r="J893" s="3"/>
    </row>
    <row r="894" ht="14.25" customHeight="1">
      <c r="D894" s="2"/>
      <c r="J894" s="3"/>
    </row>
    <row r="895" ht="14.25" customHeight="1">
      <c r="D895" s="2"/>
      <c r="J895" s="3"/>
    </row>
    <row r="896" ht="14.25" customHeight="1">
      <c r="D896" s="2"/>
      <c r="J896" s="3"/>
    </row>
    <row r="897" ht="14.25" customHeight="1">
      <c r="D897" s="2"/>
      <c r="J897" s="3"/>
    </row>
    <row r="898" ht="14.25" customHeight="1">
      <c r="D898" s="2"/>
      <c r="J898" s="3"/>
    </row>
    <row r="899" ht="14.25" customHeight="1">
      <c r="D899" s="2"/>
      <c r="J899" s="3"/>
    </row>
    <row r="900" ht="14.25" customHeight="1">
      <c r="D900" s="2"/>
      <c r="J900" s="3"/>
    </row>
    <row r="901" ht="14.25" customHeight="1">
      <c r="D901" s="2"/>
      <c r="J901" s="3"/>
    </row>
    <row r="902" ht="14.25" customHeight="1">
      <c r="D902" s="2"/>
      <c r="J902" s="3"/>
    </row>
    <row r="903" ht="14.25" customHeight="1">
      <c r="D903" s="2"/>
      <c r="J903" s="3"/>
    </row>
    <row r="904" ht="14.25" customHeight="1">
      <c r="D904" s="2"/>
      <c r="J904" s="3"/>
    </row>
    <row r="905" ht="14.25" customHeight="1">
      <c r="D905" s="2"/>
      <c r="J905" s="3"/>
    </row>
    <row r="906" ht="14.25" customHeight="1">
      <c r="D906" s="2"/>
      <c r="J906" s="3"/>
    </row>
    <row r="907" ht="14.25" customHeight="1">
      <c r="D907" s="2"/>
      <c r="J907" s="3"/>
    </row>
    <row r="908" ht="14.25" customHeight="1">
      <c r="D908" s="2"/>
      <c r="J908" s="3"/>
    </row>
    <row r="909" ht="14.25" customHeight="1">
      <c r="D909" s="2"/>
      <c r="J909" s="3"/>
    </row>
    <row r="910" ht="14.25" customHeight="1">
      <c r="D910" s="2"/>
      <c r="J910" s="3"/>
    </row>
    <row r="911" ht="14.25" customHeight="1">
      <c r="D911" s="2"/>
      <c r="J911" s="3"/>
    </row>
    <row r="912" ht="14.25" customHeight="1">
      <c r="D912" s="2"/>
      <c r="J912" s="3"/>
    </row>
    <row r="913" ht="14.25" customHeight="1">
      <c r="D913" s="2"/>
      <c r="J913" s="3"/>
    </row>
    <row r="914" ht="14.25" customHeight="1">
      <c r="D914" s="2"/>
      <c r="J914" s="3"/>
    </row>
    <row r="915" ht="14.25" customHeight="1">
      <c r="D915" s="2"/>
      <c r="J915" s="3"/>
    </row>
    <row r="916" ht="14.25" customHeight="1">
      <c r="D916" s="2"/>
      <c r="J916" s="3"/>
    </row>
    <row r="917" ht="14.25" customHeight="1">
      <c r="D917" s="2"/>
      <c r="J917" s="3"/>
    </row>
    <row r="918" ht="14.25" customHeight="1">
      <c r="D918" s="2"/>
      <c r="J918" s="3"/>
    </row>
    <row r="919" ht="14.25" customHeight="1">
      <c r="D919" s="2"/>
      <c r="J919" s="3"/>
    </row>
    <row r="920" ht="14.25" customHeight="1">
      <c r="D920" s="2"/>
      <c r="J920" s="3"/>
    </row>
    <row r="921" ht="14.25" customHeight="1">
      <c r="D921" s="2"/>
      <c r="J921" s="3"/>
    </row>
    <row r="922" ht="14.25" customHeight="1">
      <c r="D922" s="2"/>
      <c r="J922" s="3"/>
    </row>
    <row r="923" ht="14.25" customHeight="1">
      <c r="D923" s="2"/>
      <c r="J923" s="3"/>
    </row>
    <row r="924" ht="14.25" customHeight="1">
      <c r="D924" s="2"/>
      <c r="J924" s="3"/>
    </row>
    <row r="925" ht="14.25" customHeight="1">
      <c r="D925" s="2"/>
      <c r="J925" s="3"/>
    </row>
    <row r="926" ht="14.25" customHeight="1">
      <c r="D926" s="2"/>
      <c r="J926" s="3"/>
    </row>
    <row r="927" ht="14.25" customHeight="1">
      <c r="D927" s="2"/>
      <c r="J927" s="3"/>
    </row>
    <row r="928" ht="14.25" customHeight="1">
      <c r="D928" s="2"/>
      <c r="J928" s="3"/>
    </row>
    <row r="929" ht="14.25" customHeight="1">
      <c r="D929" s="2"/>
      <c r="J929" s="3"/>
    </row>
    <row r="930" ht="14.25" customHeight="1">
      <c r="D930" s="2"/>
      <c r="J930" s="3"/>
    </row>
    <row r="931" ht="14.25" customHeight="1">
      <c r="D931" s="2"/>
      <c r="J931" s="3"/>
    </row>
    <row r="932" ht="14.25" customHeight="1">
      <c r="D932" s="2"/>
      <c r="J932" s="3"/>
    </row>
    <row r="933" ht="14.25" customHeight="1">
      <c r="D933" s="2"/>
      <c r="J933" s="3"/>
    </row>
    <row r="934" ht="14.25" customHeight="1">
      <c r="D934" s="2"/>
      <c r="J934" s="3"/>
    </row>
    <row r="935" ht="14.25" customHeight="1">
      <c r="D935" s="2"/>
      <c r="J935" s="3"/>
    </row>
    <row r="936" ht="14.25" customHeight="1">
      <c r="D936" s="2"/>
      <c r="J936" s="3"/>
    </row>
    <row r="937" ht="14.25" customHeight="1">
      <c r="D937" s="2"/>
      <c r="J937" s="3"/>
    </row>
    <row r="938" ht="14.25" customHeight="1">
      <c r="D938" s="2"/>
      <c r="J938" s="3"/>
    </row>
    <row r="939" ht="14.25" customHeight="1">
      <c r="D939" s="2"/>
      <c r="J939" s="3"/>
    </row>
    <row r="940" ht="14.25" customHeight="1">
      <c r="D940" s="2"/>
      <c r="J940" s="3"/>
    </row>
    <row r="941" ht="14.25" customHeight="1">
      <c r="D941" s="2"/>
      <c r="J941" s="3"/>
    </row>
    <row r="942" ht="14.25" customHeight="1">
      <c r="D942" s="2"/>
      <c r="J942" s="3"/>
    </row>
    <row r="943" ht="14.25" customHeight="1">
      <c r="D943" s="2"/>
      <c r="J943" s="3"/>
    </row>
    <row r="944" ht="14.25" customHeight="1">
      <c r="D944" s="2"/>
      <c r="J944" s="3"/>
    </row>
    <row r="945" ht="14.25" customHeight="1">
      <c r="D945" s="2"/>
      <c r="J945" s="3"/>
    </row>
    <row r="946" ht="14.25" customHeight="1">
      <c r="D946" s="2"/>
      <c r="J946" s="3"/>
    </row>
    <row r="947" ht="14.25" customHeight="1">
      <c r="D947" s="2"/>
      <c r="J947" s="3"/>
    </row>
    <row r="948" ht="14.25" customHeight="1">
      <c r="D948" s="2"/>
      <c r="J948" s="3"/>
    </row>
    <row r="949" ht="14.25" customHeight="1">
      <c r="D949" s="2"/>
      <c r="J949" s="3"/>
    </row>
    <row r="950" ht="14.25" customHeight="1">
      <c r="D950" s="2"/>
      <c r="J950" s="3"/>
    </row>
    <row r="951" ht="14.25" customHeight="1">
      <c r="D951" s="2"/>
      <c r="J951" s="3"/>
    </row>
    <row r="952" ht="14.25" customHeight="1">
      <c r="D952" s="2"/>
      <c r="J952" s="3"/>
    </row>
    <row r="953" ht="14.25" customHeight="1">
      <c r="D953" s="2"/>
      <c r="J953" s="3"/>
    </row>
    <row r="954" ht="14.25" customHeight="1">
      <c r="D954" s="2"/>
      <c r="J954" s="3"/>
    </row>
    <row r="955" ht="14.25" customHeight="1">
      <c r="D955" s="2"/>
      <c r="J955" s="3"/>
    </row>
    <row r="956" ht="14.25" customHeight="1">
      <c r="D956" s="2"/>
      <c r="J956" s="3"/>
    </row>
    <row r="957" ht="14.25" customHeight="1">
      <c r="D957" s="2"/>
      <c r="J957" s="3"/>
    </row>
    <row r="958" ht="14.25" customHeight="1">
      <c r="D958" s="2"/>
      <c r="J958" s="3"/>
    </row>
    <row r="959" ht="14.25" customHeight="1">
      <c r="D959" s="2"/>
      <c r="J959" s="3"/>
    </row>
    <row r="960" ht="14.25" customHeight="1">
      <c r="D960" s="2"/>
      <c r="J960" s="3"/>
    </row>
    <row r="961" ht="14.25" customHeight="1">
      <c r="D961" s="2"/>
      <c r="J961" s="3"/>
    </row>
    <row r="962" ht="14.25" customHeight="1">
      <c r="D962" s="2"/>
      <c r="J962" s="3"/>
    </row>
    <row r="963" ht="14.25" customHeight="1">
      <c r="D963" s="2"/>
      <c r="J963" s="3"/>
    </row>
    <row r="964" ht="14.25" customHeight="1">
      <c r="D964" s="2"/>
      <c r="J964" s="3"/>
    </row>
    <row r="965" ht="14.25" customHeight="1">
      <c r="D965" s="2"/>
      <c r="J965" s="3"/>
    </row>
    <row r="966" ht="14.25" customHeight="1">
      <c r="D966" s="2"/>
      <c r="J966" s="3"/>
    </row>
    <row r="967" ht="14.25" customHeight="1">
      <c r="D967" s="2"/>
      <c r="J967" s="3"/>
    </row>
    <row r="968" ht="14.25" customHeight="1">
      <c r="D968" s="2"/>
      <c r="J968" s="3"/>
    </row>
    <row r="969" ht="14.25" customHeight="1">
      <c r="D969" s="2"/>
      <c r="J969" s="3"/>
    </row>
    <row r="970" ht="14.25" customHeight="1">
      <c r="D970" s="2"/>
      <c r="J970" s="3"/>
    </row>
    <row r="971" ht="14.25" customHeight="1">
      <c r="D971" s="2"/>
      <c r="J971" s="3"/>
    </row>
    <row r="972" ht="14.25" customHeight="1">
      <c r="D972" s="2"/>
      <c r="J972" s="3"/>
    </row>
    <row r="973" ht="14.25" customHeight="1">
      <c r="D973" s="2"/>
      <c r="J973" s="3"/>
    </row>
    <row r="974" ht="14.25" customHeight="1">
      <c r="D974" s="2"/>
      <c r="J974" s="3"/>
    </row>
    <row r="975" ht="14.25" customHeight="1">
      <c r="D975" s="2"/>
      <c r="J975" s="3"/>
    </row>
    <row r="976" ht="14.25" customHeight="1">
      <c r="D976" s="2"/>
      <c r="J976" s="3"/>
    </row>
    <row r="977" ht="14.25" customHeight="1">
      <c r="D977" s="2"/>
      <c r="J977" s="3"/>
    </row>
    <row r="978" ht="14.25" customHeight="1">
      <c r="D978" s="2"/>
      <c r="J978" s="3"/>
    </row>
    <row r="979" ht="14.25" customHeight="1">
      <c r="D979" s="2"/>
      <c r="J979" s="3"/>
    </row>
    <row r="980" ht="14.25" customHeight="1">
      <c r="D980" s="2"/>
      <c r="J980" s="3"/>
    </row>
    <row r="981" ht="14.25" customHeight="1">
      <c r="D981" s="2"/>
      <c r="J981" s="3"/>
    </row>
    <row r="982" ht="14.25" customHeight="1">
      <c r="D982" s="2"/>
      <c r="J982" s="3"/>
    </row>
    <row r="983" ht="14.25" customHeight="1">
      <c r="D983" s="2"/>
      <c r="J983" s="3"/>
    </row>
    <row r="984" ht="14.25" customHeight="1">
      <c r="D984" s="2"/>
      <c r="J984" s="3"/>
    </row>
    <row r="985" ht="14.25" customHeight="1">
      <c r="D985" s="2"/>
      <c r="J985" s="3"/>
    </row>
    <row r="986" ht="14.25" customHeight="1">
      <c r="D986" s="2"/>
      <c r="J986" s="3"/>
    </row>
    <row r="987" ht="14.25" customHeight="1">
      <c r="D987" s="2"/>
      <c r="J987" s="3"/>
    </row>
    <row r="988" ht="14.25" customHeight="1">
      <c r="D988" s="2"/>
      <c r="J988" s="3"/>
    </row>
    <row r="989" ht="14.25" customHeight="1">
      <c r="D989" s="2"/>
      <c r="J989" s="3"/>
    </row>
    <row r="990" ht="14.25" customHeight="1">
      <c r="D990" s="2"/>
      <c r="J990" s="3"/>
    </row>
    <row r="991" ht="14.25" customHeight="1">
      <c r="D991" s="2"/>
      <c r="J991" s="3"/>
    </row>
    <row r="992" ht="14.25" customHeight="1">
      <c r="D992" s="2"/>
      <c r="J992" s="3"/>
    </row>
    <row r="993" ht="14.25" customHeight="1">
      <c r="D993" s="2"/>
      <c r="J993" s="3"/>
    </row>
    <row r="994" ht="14.25" customHeight="1">
      <c r="D994" s="2"/>
      <c r="J994" s="3"/>
    </row>
    <row r="995" ht="14.25" customHeight="1">
      <c r="D995" s="2"/>
      <c r="J995" s="3"/>
    </row>
    <row r="996" ht="14.25" customHeight="1">
      <c r="D996" s="2"/>
      <c r="J996" s="3"/>
    </row>
    <row r="997" ht="14.25" customHeight="1">
      <c r="D997" s="2"/>
      <c r="J997" s="3"/>
    </row>
    <row r="998" ht="14.25" customHeight="1">
      <c r="D998" s="2"/>
      <c r="J998" s="3"/>
    </row>
    <row r="999" ht="14.25" customHeight="1">
      <c r="D999" s="2"/>
      <c r="J999" s="3"/>
    </row>
    <row r="1000" ht="14.25" customHeight="1">
      <c r="D1000" s="2"/>
      <c r="J1000" s="3"/>
    </row>
    <row r="1001" ht="14.25" customHeight="1">
      <c r="D1001" s="2"/>
      <c r="J1001" s="3"/>
    </row>
    <row r="1002" ht="14.25" customHeight="1">
      <c r="D1002" s="2"/>
      <c r="J1002" s="3"/>
    </row>
    <row r="1003" ht="14.25" customHeight="1">
      <c r="D1003" s="2"/>
      <c r="J1003" s="3"/>
    </row>
    <row r="1004" ht="14.25" customHeight="1">
      <c r="D1004" s="2"/>
      <c r="J1004" s="3"/>
    </row>
    <row r="1005" ht="14.25" customHeight="1">
      <c r="D1005" s="2"/>
      <c r="J1005" s="3"/>
    </row>
    <row r="1006" ht="14.25" customHeight="1">
      <c r="D1006" s="2"/>
      <c r="J1006" s="3"/>
    </row>
    <row r="1007" ht="14.25" customHeight="1">
      <c r="D1007" s="2"/>
      <c r="J1007" s="3"/>
    </row>
    <row r="1008" ht="14.25" customHeight="1">
      <c r="D1008" s="2"/>
      <c r="J1008" s="3"/>
    </row>
    <row r="1009" ht="14.25" customHeight="1">
      <c r="D1009" s="2"/>
      <c r="J1009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G1" s="93" t="s">
        <v>535</v>
      </c>
      <c r="H1" s="94"/>
      <c r="I1" s="94"/>
      <c r="J1" s="95"/>
    </row>
    <row r="2" ht="14.25" customHeight="1">
      <c r="T2" s="93" t="s">
        <v>536</v>
      </c>
      <c r="U2" s="94"/>
      <c r="V2" s="94"/>
      <c r="W2" s="95"/>
    </row>
    <row r="3" ht="14.25" customHeight="1"/>
    <row r="4" ht="14.25" customHeight="1"/>
    <row r="5" ht="14.25" customHeight="1">
      <c r="B5" s="93" t="s">
        <v>535</v>
      </c>
      <c r="C5" s="94"/>
      <c r="D5" s="94"/>
      <c r="E5" s="95"/>
      <c r="O5" s="93" t="s">
        <v>536</v>
      </c>
      <c r="P5" s="94"/>
      <c r="Q5" s="94"/>
      <c r="R5" s="95"/>
    </row>
    <row r="6" ht="14.25" customHeight="1">
      <c r="A6" s="96" t="s">
        <v>537</v>
      </c>
      <c r="N6" s="96" t="s">
        <v>537</v>
      </c>
    </row>
    <row r="7" ht="14.25" customHeight="1">
      <c r="A7" s="97"/>
      <c r="B7" s="98" t="s">
        <v>538</v>
      </c>
      <c r="C7" s="98" t="s">
        <v>539</v>
      </c>
      <c r="D7" s="98" t="s">
        <v>540</v>
      </c>
      <c r="E7" s="98" t="s">
        <v>541</v>
      </c>
      <c r="N7" s="97"/>
      <c r="O7" s="98" t="s">
        <v>538</v>
      </c>
      <c r="P7" s="98" t="s">
        <v>539</v>
      </c>
      <c r="Q7" s="98" t="s">
        <v>50</v>
      </c>
      <c r="R7" s="98" t="s">
        <v>542</v>
      </c>
      <c r="S7" s="98" t="s">
        <v>541</v>
      </c>
    </row>
    <row r="8" ht="14.25" customHeight="1">
      <c r="A8" s="16">
        <v>1.0</v>
      </c>
      <c r="B8" s="16" t="s">
        <v>543</v>
      </c>
      <c r="C8" s="16">
        <v>43.0</v>
      </c>
      <c r="D8" s="16">
        <v>24.0</v>
      </c>
      <c r="E8" s="99">
        <v>0.5481</v>
      </c>
      <c r="N8" s="16">
        <v>1.0</v>
      </c>
      <c r="O8" s="16" t="s">
        <v>543</v>
      </c>
      <c r="P8" s="16">
        <v>13.0</v>
      </c>
      <c r="Q8" s="16">
        <v>0.0</v>
      </c>
      <c r="R8" s="16">
        <v>13.0</v>
      </c>
      <c r="S8" s="100">
        <v>1.0</v>
      </c>
    </row>
    <row r="9" ht="14.25" customHeight="1">
      <c r="A9" s="16">
        <v>2.0</v>
      </c>
      <c r="B9" s="16" t="s">
        <v>33</v>
      </c>
      <c r="C9" s="16">
        <v>41.0</v>
      </c>
      <c r="D9" s="16">
        <v>21.0</v>
      </c>
      <c r="E9" s="99">
        <v>0.5121</v>
      </c>
      <c r="N9" s="16">
        <v>2.0</v>
      </c>
      <c r="O9" s="16" t="s">
        <v>33</v>
      </c>
      <c r="P9" s="16">
        <v>24.0</v>
      </c>
      <c r="Q9" s="16">
        <v>3.0</v>
      </c>
      <c r="R9" s="16">
        <v>21.0</v>
      </c>
      <c r="S9" s="99">
        <v>0.875</v>
      </c>
    </row>
    <row r="10" ht="14.25" customHeight="1">
      <c r="A10" s="16">
        <v>3.0</v>
      </c>
      <c r="B10" s="16" t="s">
        <v>544</v>
      </c>
      <c r="C10" s="16">
        <v>40.0</v>
      </c>
      <c r="D10" s="16">
        <v>25.0</v>
      </c>
      <c r="E10" s="99">
        <v>0.625</v>
      </c>
      <c r="N10" s="16">
        <v>3.0</v>
      </c>
      <c r="O10" s="16" t="s">
        <v>544</v>
      </c>
      <c r="P10" s="16">
        <v>16.0</v>
      </c>
      <c r="Q10" s="16">
        <v>2.0</v>
      </c>
      <c r="R10" s="16">
        <v>14.0</v>
      </c>
      <c r="S10" s="99">
        <v>0.875</v>
      </c>
    </row>
    <row r="11" ht="14.25" customHeight="1">
      <c r="A11" s="16">
        <v>4.0</v>
      </c>
      <c r="B11" s="16" t="s">
        <v>545</v>
      </c>
      <c r="C11" s="16">
        <v>23.0</v>
      </c>
      <c r="D11" s="16">
        <v>13.0</v>
      </c>
      <c r="E11" s="99">
        <v>0.5652</v>
      </c>
      <c r="N11" s="16">
        <v>4.0</v>
      </c>
      <c r="O11" s="16" t="s">
        <v>545</v>
      </c>
      <c r="P11" s="16">
        <v>25.0</v>
      </c>
      <c r="Q11" s="16">
        <v>4.0</v>
      </c>
      <c r="R11" s="16">
        <v>21.0</v>
      </c>
      <c r="S11" s="100">
        <v>0.84</v>
      </c>
    </row>
    <row r="12" ht="14.25" customHeight="1">
      <c r="A12" s="16">
        <v>5.0</v>
      </c>
      <c r="B12" s="16" t="s">
        <v>401</v>
      </c>
      <c r="C12" s="16">
        <v>36.0</v>
      </c>
      <c r="D12" s="16">
        <v>20.0</v>
      </c>
      <c r="E12" s="99">
        <v>0.5555</v>
      </c>
      <c r="N12" s="16">
        <v>5.0</v>
      </c>
      <c r="O12" s="16" t="s">
        <v>546</v>
      </c>
      <c r="P12" s="16">
        <v>37.0</v>
      </c>
      <c r="Q12" s="16">
        <v>6.0</v>
      </c>
      <c r="R12" s="16">
        <v>31.0</v>
      </c>
      <c r="S12" s="99">
        <v>0.8378</v>
      </c>
    </row>
    <row r="13" ht="14.25" customHeight="1">
      <c r="A13" s="16">
        <v>6.0</v>
      </c>
      <c r="B13" s="16" t="s">
        <v>547</v>
      </c>
      <c r="C13" s="16">
        <v>36.0</v>
      </c>
      <c r="D13" s="16">
        <v>19.0</v>
      </c>
      <c r="E13" s="99">
        <v>0.5277</v>
      </c>
    </row>
    <row r="14" ht="14.25" customHeight="1"/>
    <row r="15" ht="14.25" customHeight="1"/>
    <row r="16" ht="14.25" customHeight="1"/>
    <row r="17" ht="14.25" customHeight="1">
      <c r="B17" s="93" t="s">
        <v>548</v>
      </c>
      <c r="C17" s="94"/>
      <c r="D17" s="94"/>
      <c r="E17" s="95"/>
      <c r="O17" s="93" t="s">
        <v>549</v>
      </c>
      <c r="P17" s="94"/>
      <c r="Q17" s="94"/>
      <c r="R17" s="95"/>
    </row>
    <row r="18" ht="14.25" customHeight="1">
      <c r="A18" s="101" t="s">
        <v>537</v>
      </c>
      <c r="N18" s="96" t="s">
        <v>537</v>
      </c>
    </row>
    <row r="19" ht="14.25" customHeight="1">
      <c r="B19" s="98" t="s">
        <v>538</v>
      </c>
      <c r="C19" s="98" t="s">
        <v>539</v>
      </c>
      <c r="D19" s="98" t="s">
        <v>540</v>
      </c>
      <c r="E19" s="98" t="s">
        <v>541</v>
      </c>
      <c r="N19" s="97"/>
      <c r="O19" s="98" t="s">
        <v>538</v>
      </c>
      <c r="P19" s="98" t="s">
        <v>539</v>
      </c>
      <c r="Q19" s="98" t="s">
        <v>50</v>
      </c>
      <c r="R19" s="98" t="s">
        <v>542</v>
      </c>
      <c r="S19" s="98" t="s">
        <v>541</v>
      </c>
    </row>
    <row r="20" ht="14.25" customHeight="1">
      <c r="A20" s="16">
        <v>1.0</v>
      </c>
      <c r="B20" s="16" t="s">
        <v>550</v>
      </c>
      <c r="C20" s="16">
        <v>22.0</v>
      </c>
      <c r="D20" s="16">
        <v>9.0</v>
      </c>
      <c r="E20" s="99">
        <v>0.4736</v>
      </c>
      <c r="N20" s="16">
        <v>1.0</v>
      </c>
      <c r="O20" s="16" t="s">
        <v>156</v>
      </c>
      <c r="P20" s="16">
        <v>16.0</v>
      </c>
      <c r="Q20" s="16">
        <v>3.0</v>
      </c>
      <c r="R20" s="16">
        <v>9.0</v>
      </c>
      <c r="S20" s="100">
        <v>0.75</v>
      </c>
    </row>
    <row r="21" ht="14.25" customHeight="1">
      <c r="A21" s="16">
        <v>2.0</v>
      </c>
      <c r="B21" s="16" t="s">
        <v>551</v>
      </c>
      <c r="C21" s="16">
        <v>14.0</v>
      </c>
      <c r="D21" s="16">
        <v>4.0</v>
      </c>
      <c r="E21" s="99">
        <v>0.3076</v>
      </c>
      <c r="N21" s="16">
        <v>2.0</v>
      </c>
      <c r="O21" s="16" t="s">
        <v>552</v>
      </c>
      <c r="P21" s="16">
        <v>9.0</v>
      </c>
      <c r="Q21" s="16">
        <v>2.0</v>
      </c>
      <c r="R21" s="16">
        <v>5.0</v>
      </c>
      <c r="S21" s="100">
        <v>0.71</v>
      </c>
    </row>
    <row r="22" ht="14.25" customHeight="1">
      <c r="A22" s="16">
        <v>3.0</v>
      </c>
      <c r="B22" s="16" t="s">
        <v>553</v>
      </c>
      <c r="C22" s="16">
        <v>9.0</v>
      </c>
      <c r="D22" s="16">
        <v>3.0</v>
      </c>
      <c r="E22" s="99">
        <v>0.3333</v>
      </c>
      <c r="N22" s="16">
        <v>3.0</v>
      </c>
      <c r="O22" s="16" t="s">
        <v>550</v>
      </c>
      <c r="P22" s="16">
        <v>23.0</v>
      </c>
      <c r="Q22" s="16">
        <v>8.0</v>
      </c>
      <c r="R22" s="16">
        <v>14.0</v>
      </c>
      <c r="S22" s="99">
        <v>0.6363</v>
      </c>
    </row>
    <row r="23" ht="14.25" customHeight="1">
      <c r="A23" s="16">
        <v>4.0</v>
      </c>
      <c r="B23" s="16" t="s">
        <v>552</v>
      </c>
      <c r="C23" s="16">
        <v>12.0</v>
      </c>
      <c r="D23" s="16">
        <v>5.0</v>
      </c>
      <c r="E23" s="99">
        <v>0.4166</v>
      </c>
      <c r="N23" s="16">
        <v>4.0</v>
      </c>
      <c r="O23" s="16" t="s">
        <v>551</v>
      </c>
      <c r="P23" s="16">
        <v>12.0</v>
      </c>
      <c r="Q23" s="16">
        <v>3.0</v>
      </c>
      <c r="R23" s="16">
        <v>5.0</v>
      </c>
      <c r="S23" s="99">
        <v>0.625</v>
      </c>
    </row>
    <row r="24" ht="14.25" customHeight="1">
      <c r="N24" s="16">
        <v>5.0</v>
      </c>
      <c r="O24" s="16" t="s">
        <v>554</v>
      </c>
      <c r="P24" s="16">
        <v>21.0</v>
      </c>
      <c r="Q24" s="16">
        <v>9.0</v>
      </c>
      <c r="R24" s="16">
        <v>12.0</v>
      </c>
      <c r="S24" s="99">
        <v>0.5714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17:E17"/>
    <mergeCell ref="A18:A19"/>
    <mergeCell ref="N18:N19"/>
    <mergeCell ref="G1:J1"/>
    <mergeCell ref="T2:W2"/>
    <mergeCell ref="B5:E5"/>
    <mergeCell ref="O5:R5"/>
    <mergeCell ref="A6:A7"/>
    <mergeCell ref="N6:N7"/>
    <mergeCell ref="O17:R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2025-07-25T08:44:43Z</dcterms:created>
  <dc:creator>IEP TIBIRI Gobir</dc:creator>
</cp:coreProperties>
</file>