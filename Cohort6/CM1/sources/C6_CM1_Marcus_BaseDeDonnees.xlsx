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/>
  <mc:AlternateContent xmlns:mc="http://schemas.openxmlformats.org/markup-compatibility/2006">
    <mc:Choice Requires="x15">
      <x15ac:absPath xmlns:x15ac="http://schemas.microsoft.com/office/spreadsheetml/2010/11/ac" url="/Users/marcus/Desktop/RCT/2023-2024 Hilin Mu CM1:CM2 Base De Donnee 6 Cohort /"/>
    </mc:Choice>
  </mc:AlternateContent>
  <xr:revisionPtr revIDLastSave="0" documentId="13_ncr:1_{BEF4A280-DBB0-9A45-A18E-8ED8C0720218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1. Base de donnée Hilin Mu CM1" sheetId="3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55" i="3" l="1"/>
  <c r="M555" i="3"/>
  <c r="L555" i="3"/>
  <c r="N554" i="3"/>
  <c r="M554" i="3"/>
  <c r="L554" i="3"/>
  <c r="S2" i="3"/>
  <c r="S1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5" i="3"/>
  <c r="Q536" i="3"/>
  <c r="Q537" i="3"/>
  <c r="Q538" i="3"/>
  <c r="Q539" i="3"/>
  <c r="Q540" i="3"/>
  <c r="Q541" i="3"/>
  <c r="Q542" i="3"/>
  <c r="Q544" i="3"/>
  <c r="Q545" i="3"/>
  <c r="Q547" i="3"/>
  <c r="Q548" i="3"/>
  <c r="Q549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7" i="3"/>
  <c r="N8" i="3"/>
  <c r="N9" i="3"/>
  <c r="N10" i="3"/>
  <c r="N11" i="3"/>
  <c r="N12" i="3"/>
  <c r="N13" i="3"/>
  <c r="N14" i="3"/>
  <c r="N6" i="3"/>
  <c r="P550" i="3"/>
  <c r="O550" i="3"/>
  <c r="L550" i="3"/>
  <c r="M550" i="3"/>
  <c r="Q550" i="3"/>
  <c r="N550" i="3"/>
  <c r="J549" i="3"/>
  <c r="J31" i="3"/>
  <c r="I541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J541" i="3"/>
  <c r="I542" i="3"/>
  <c r="I543" i="3"/>
  <c r="J542" i="3"/>
  <c r="I544" i="3"/>
  <c r="J543" i="3"/>
  <c r="I545" i="3"/>
  <c r="J544" i="3"/>
  <c r="I546" i="3"/>
  <c r="I547" i="3"/>
  <c r="J545" i="3"/>
  <c r="J540" i="3"/>
  <c r="J546" i="3"/>
  <c r="I548" i="3"/>
  <c r="J548" i="3"/>
  <c r="J547" i="3"/>
  <c r="I7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J18" i="3"/>
  <c r="I100" i="3"/>
  <c r="J99" i="3"/>
  <c r="J54" i="3"/>
  <c r="J60" i="3"/>
  <c r="J47" i="3"/>
  <c r="J56" i="3"/>
  <c r="J100" i="3"/>
  <c r="I101" i="3"/>
  <c r="J63" i="3"/>
  <c r="J55" i="3"/>
  <c r="J43" i="3"/>
  <c r="J40" i="3"/>
  <c r="J58" i="3"/>
  <c r="J65" i="3"/>
  <c r="J66" i="3"/>
  <c r="J59" i="3"/>
  <c r="J39" i="3"/>
  <c r="J62" i="3"/>
  <c r="J53" i="3"/>
  <c r="J45" i="3"/>
  <c r="J41" i="3"/>
  <c r="J42" i="3"/>
  <c r="J61" i="3"/>
  <c r="J51" i="3"/>
  <c r="J101" i="3"/>
  <c r="I102" i="3"/>
  <c r="I103" i="3"/>
  <c r="J102" i="3"/>
  <c r="J29" i="3"/>
  <c r="J36" i="3"/>
  <c r="J7" i="3"/>
  <c r="J27" i="3"/>
  <c r="J8" i="3"/>
  <c r="J20" i="3"/>
  <c r="J15" i="3"/>
  <c r="J19" i="3"/>
  <c r="J28" i="3"/>
  <c r="J13" i="3"/>
  <c r="J24" i="3"/>
  <c r="J30" i="3"/>
  <c r="J26" i="3"/>
  <c r="J539" i="3"/>
  <c r="J9" i="3"/>
  <c r="J10" i="3"/>
  <c r="J12" i="3"/>
  <c r="J34" i="3"/>
  <c r="J6" i="3"/>
  <c r="J25" i="3"/>
  <c r="J11" i="3"/>
  <c r="J16" i="3"/>
  <c r="J14" i="3"/>
  <c r="J23" i="3"/>
  <c r="J35" i="3"/>
  <c r="J21" i="3"/>
  <c r="J22" i="3"/>
  <c r="J32" i="3"/>
  <c r="J17" i="3"/>
  <c r="J33" i="3"/>
  <c r="J37" i="3"/>
  <c r="J38" i="3"/>
  <c r="J44" i="3"/>
  <c r="J46" i="3"/>
  <c r="J48" i="3"/>
  <c r="J49" i="3"/>
  <c r="J50" i="3"/>
  <c r="J52" i="3"/>
  <c r="J57" i="3"/>
  <c r="J64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I104" i="3"/>
  <c r="J103" i="3"/>
  <c r="J104" i="3"/>
  <c r="I105" i="3"/>
  <c r="I106" i="3"/>
  <c r="J105" i="3"/>
  <c r="I107" i="3"/>
  <c r="J106" i="3"/>
  <c r="I108" i="3"/>
  <c r="J107" i="3"/>
  <c r="I109" i="3"/>
  <c r="J108" i="3"/>
  <c r="I110" i="3"/>
  <c r="J109" i="3"/>
  <c r="I111" i="3"/>
  <c r="J110" i="3"/>
  <c r="I112" i="3"/>
  <c r="J111" i="3"/>
  <c r="I113" i="3"/>
  <c r="J112" i="3"/>
  <c r="J113" i="3"/>
  <c r="J114" i="3"/>
  <c r="I116" i="3"/>
  <c r="J115" i="3"/>
  <c r="I117" i="3"/>
  <c r="J116" i="3"/>
  <c r="I118" i="3"/>
  <c r="J117" i="3"/>
  <c r="I119" i="3"/>
  <c r="J118" i="3"/>
  <c r="I120" i="3"/>
  <c r="J119" i="3"/>
  <c r="I121" i="3"/>
  <c r="J120" i="3"/>
  <c r="I122" i="3"/>
  <c r="J121" i="3"/>
  <c r="I123" i="3"/>
  <c r="J122" i="3"/>
  <c r="I124" i="3"/>
  <c r="J123" i="3"/>
  <c r="I125" i="3"/>
  <c r="J124" i="3"/>
  <c r="I126" i="3"/>
  <c r="J125" i="3"/>
  <c r="I127" i="3"/>
  <c r="J126" i="3"/>
  <c r="I128" i="3"/>
  <c r="J127" i="3"/>
  <c r="I129" i="3"/>
  <c r="J128" i="3"/>
  <c r="I130" i="3"/>
  <c r="J129" i="3"/>
  <c r="I131" i="3"/>
  <c r="J130" i="3"/>
  <c r="I132" i="3"/>
  <c r="J131" i="3"/>
  <c r="I133" i="3"/>
  <c r="J132" i="3"/>
  <c r="I134" i="3"/>
  <c r="J133" i="3"/>
  <c r="I135" i="3"/>
  <c r="J134" i="3"/>
  <c r="I136" i="3"/>
  <c r="J135" i="3"/>
  <c r="I137" i="3"/>
  <c r="J136" i="3"/>
  <c r="I138" i="3"/>
  <c r="J137" i="3"/>
  <c r="I139" i="3"/>
  <c r="J138" i="3"/>
  <c r="I140" i="3"/>
  <c r="J139" i="3"/>
  <c r="I141" i="3"/>
  <c r="J140" i="3"/>
  <c r="I142" i="3"/>
  <c r="J141" i="3"/>
  <c r="I143" i="3"/>
  <c r="J142" i="3"/>
  <c r="I144" i="3"/>
  <c r="J143" i="3"/>
  <c r="I145" i="3"/>
  <c r="J144" i="3"/>
  <c r="I146" i="3"/>
  <c r="J145" i="3"/>
  <c r="I147" i="3"/>
  <c r="J146" i="3"/>
  <c r="I148" i="3"/>
  <c r="J147" i="3"/>
  <c r="I149" i="3"/>
  <c r="J148" i="3"/>
  <c r="I150" i="3"/>
  <c r="J149" i="3"/>
  <c r="I151" i="3"/>
  <c r="J150" i="3"/>
  <c r="I152" i="3"/>
  <c r="J151" i="3"/>
  <c r="I153" i="3"/>
  <c r="J152" i="3"/>
  <c r="I154" i="3"/>
  <c r="J153" i="3"/>
  <c r="I155" i="3"/>
  <c r="J154" i="3"/>
  <c r="I156" i="3"/>
  <c r="J155" i="3"/>
  <c r="I157" i="3"/>
  <c r="J156" i="3"/>
  <c r="I158" i="3"/>
  <c r="J157" i="3"/>
  <c r="I159" i="3"/>
  <c r="J158" i="3"/>
  <c r="I160" i="3"/>
  <c r="J159" i="3"/>
  <c r="I161" i="3"/>
  <c r="J160" i="3"/>
  <c r="I162" i="3"/>
  <c r="J161" i="3"/>
  <c r="I163" i="3"/>
  <c r="J162" i="3"/>
  <c r="I164" i="3"/>
  <c r="J163" i="3"/>
  <c r="I165" i="3"/>
  <c r="J164" i="3"/>
  <c r="I166" i="3"/>
  <c r="J165" i="3"/>
  <c r="I167" i="3"/>
  <c r="J166" i="3"/>
  <c r="I168" i="3"/>
  <c r="J167" i="3"/>
  <c r="I169" i="3"/>
  <c r="J168" i="3"/>
  <c r="I170" i="3"/>
  <c r="J169" i="3"/>
  <c r="I171" i="3"/>
  <c r="J170" i="3"/>
  <c r="I172" i="3"/>
  <c r="J171" i="3"/>
  <c r="I173" i="3"/>
  <c r="J172" i="3"/>
  <c r="I174" i="3"/>
  <c r="J173" i="3"/>
  <c r="I175" i="3"/>
  <c r="J174" i="3"/>
  <c r="I176" i="3"/>
  <c r="J175" i="3"/>
  <c r="I177" i="3"/>
  <c r="J176" i="3"/>
  <c r="I178" i="3"/>
  <c r="J177" i="3"/>
  <c r="I179" i="3"/>
  <c r="J178" i="3"/>
  <c r="I180" i="3"/>
  <c r="J179" i="3"/>
  <c r="I181" i="3"/>
  <c r="J180" i="3"/>
  <c r="I182" i="3"/>
  <c r="J181" i="3"/>
  <c r="I183" i="3"/>
  <c r="J182" i="3"/>
  <c r="I184" i="3"/>
  <c r="J183" i="3"/>
  <c r="I185" i="3"/>
  <c r="J184" i="3"/>
  <c r="I186" i="3"/>
  <c r="J185" i="3"/>
  <c r="I187" i="3"/>
  <c r="J186" i="3"/>
  <c r="I188" i="3"/>
  <c r="J187" i="3"/>
  <c r="I189" i="3"/>
  <c r="J188" i="3"/>
  <c r="I190" i="3"/>
  <c r="J189" i="3"/>
  <c r="I191" i="3"/>
  <c r="J190" i="3"/>
  <c r="I192" i="3"/>
  <c r="J191" i="3"/>
  <c r="I193" i="3"/>
  <c r="J192" i="3"/>
  <c r="I194" i="3"/>
  <c r="J193" i="3"/>
  <c r="I195" i="3"/>
  <c r="J194" i="3"/>
  <c r="I196" i="3"/>
  <c r="J195" i="3"/>
  <c r="I197" i="3"/>
  <c r="J196" i="3"/>
  <c r="I198" i="3"/>
  <c r="J197" i="3"/>
  <c r="I199" i="3"/>
  <c r="J198" i="3"/>
  <c r="I200" i="3"/>
  <c r="J199" i="3"/>
  <c r="I201" i="3"/>
  <c r="J200" i="3"/>
  <c r="I202" i="3"/>
  <c r="J201" i="3"/>
  <c r="I203" i="3"/>
  <c r="J202" i="3"/>
  <c r="I204" i="3"/>
  <c r="J203" i="3"/>
  <c r="I205" i="3"/>
  <c r="J204" i="3"/>
  <c r="I206" i="3"/>
  <c r="J205" i="3"/>
  <c r="I207" i="3"/>
  <c r="J206" i="3"/>
  <c r="I208" i="3"/>
  <c r="J207" i="3"/>
  <c r="I209" i="3"/>
  <c r="J208" i="3"/>
  <c r="I210" i="3"/>
  <c r="J209" i="3"/>
  <c r="I211" i="3"/>
  <c r="J210" i="3"/>
  <c r="I212" i="3"/>
  <c r="J211" i="3"/>
  <c r="I213" i="3"/>
  <c r="J212" i="3"/>
  <c r="I214" i="3"/>
  <c r="J213" i="3"/>
  <c r="I215" i="3"/>
  <c r="J214" i="3"/>
  <c r="I216" i="3"/>
  <c r="J215" i="3"/>
  <c r="I217" i="3"/>
  <c r="J216" i="3"/>
  <c r="I218" i="3"/>
  <c r="J217" i="3"/>
  <c r="I219" i="3"/>
  <c r="J218" i="3"/>
  <c r="I220" i="3"/>
  <c r="J219" i="3"/>
  <c r="I221" i="3"/>
  <c r="J220" i="3"/>
  <c r="I222" i="3"/>
  <c r="J221" i="3"/>
  <c r="I223" i="3"/>
  <c r="J222" i="3"/>
  <c r="I224" i="3"/>
  <c r="J223" i="3"/>
  <c r="J224" i="3"/>
  <c r="I225" i="3"/>
  <c r="I226" i="3"/>
  <c r="J225" i="3"/>
  <c r="I227" i="3"/>
  <c r="J226" i="3"/>
  <c r="I228" i="3"/>
  <c r="J227" i="3"/>
  <c r="I229" i="3"/>
  <c r="J228" i="3"/>
  <c r="I230" i="3"/>
  <c r="J229" i="3"/>
  <c r="I231" i="3"/>
  <c r="J230" i="3"/>
  <c r="I232" i="3"/>
  <c r="J231" i="3"/>
  <c r="I233" i="3"/>
  <c r="J232" i="3"/>
  <c r="I234" i="3"/>
  <c r="J233" i="3"/>
  <c r="I235" i="3"/>
  <c r="J234" i="3"/>
  <c r="I236" i="3"/>
  <c r="J235" i="3"/>
  <c r="I237" i="3"/>
  <c r="J236" i="3"/>
  <c r="I238" i="3"/>
  <c r="J237" i="3"/>
  <c r="I239" i="3"/>
  <c r="J238" i="3"/>
  <c r="I240" i="3"/>
  <c r="J239" i="3"/>
  <c r="I241" i="3"/>
  <c r="J240" i="3"/>
  <c r="I242" i="3"/>
  <c r="J241" i="3"/>
  <c r="I243" i="3"/>
  <c r="J242" i="3"/>
  <c r="I244" i="3"/>
  <c r="J243" i="3"/>
  <c r="I245" i="3"/>
  <c r="J244" i="3"/>
  <c r="I246" i="3"/>
  <c r="J245" i="3"/>
  <c r="I247" i="3"/>
  <c r="J246" i="3"/>
  <c r="I248" i="3"/>
  <c r="J247" i="3"/>
  <c r="I249" i="3"/>
  <c r="J248" i="3"/>
  <c r="I250" i="3"/>
  <c r="J249" i="3"/>
  <c r="I251" i="3"/>
  <c r="J250" i="3"/>
  <c r="I252" i="3"/>
  <c r="J251" i="3"/>
  <c r="I253" i="3"/>
  <c r="J252" i="3"/>
  <c r="I254" i="3"/>
  <c r="J253" i="3"/>
  <c r="I255" i="3"/>
  <c r="J254" i="3"/>
  <c r="I256" i="3"/>
  <c r="J255" i="3"/>
  <c r="I257" i="3"/>
  <c r="J256" i="3"/>
  <c r="I258" i="3"/>
  <c r="J257" i="3"/>
  <c r="I259" i="3"/>
  <c r="J258" i="3"/>
  <c r="I260" i="3"/>
  <c r="J259" i="3"/>
  <c r="I261" i="3"/>
  <c r="J260" i="3"/>
  <c r="I262" i="3"/>
  <c r="J261" i="3"/>
  <c r="I263" i="3"/>
  <c r="J262" i="3"/>
  <c r="I264" i="3"/>
  <c r="J263" i="3"/>
  <c r="I265" i="3"/>
  <c r="J264" i="3"/>
  <c r="I266" i="3"/>
  <c r="J265" i="3"/>
  <c r="I267" i="3"/>
  <c r="J266" i="3"/>
  <c r="I268" i="3"/>
  <c r="J267" i="3"/>
  <c r="I269" i="3"/>
  <c r="J268" i="3"/>
  <c r="I270" i="3"/>
  <c r="J269" i="3"/>
  <c r="I271" i="3"/>
  <c r="J270" i="3"/>
  <c r="I272" i="3"/>
  <c r="J271" i="3"/>
  <c r="I273" i="3"/>
  <c r="J272" i="3"/>
  <c r="I274" i="3"/>
  <c r="J273" i="3"/>
  <c r="I275" i="3"/>
  <c r="J274" i="3"/>
  <c r="I276" i="3"/>
  <c r="J275" i="3"/>
  <c r="I277" i="3"/>
  <c r="J276" i="3"/>
  <c r="I278" i="3"/>
  <c r="J277" i="3"/>
  <c r="I279" i="3"/>
  <c r="J278" i="3"/>
  <c r="I280" i="3"/>
  <c r="J279" i="3"/>
  <c r="I281" i="3"/>
  <c r="J280" i="3"/>
  <c r="I282" i="3"/>
  <c r="J281" i="3"/>
  <c r="I283" i="3"/>
  <c r="J282" i="3"/>
  <c r="I284" i="3"/>
  <c r="J283" i="3"/>
  <c r="I285" i="3"/>
  <c r="J284" i="3"/>
  <c r="I286" i="3"/>
  <c r="J285" i="3"/>
  <c r="J286" i="3"/>
  <c r="I287" i="3"/>
  <c r="I288" i="3"/>
  <c r="J287" i="3"/>
  <c r="I289" i="3"/>
  <c r="J288" i="3"/>
  <c r="I290" i="3"/>
  <c r="J289" i="3"/>
  <c r="I291" i="3"/>
  <c r="J290" i="3"/>
  <c r="I292" i="3"/>
  <c r="J291" i="3"/>
  <c r="I293" i="3"/>
  <c r="J292" i="3"/>
  <c r="I294" i="3"/>
  <c r="J293" i="3"/>
  <c r="I295" i="3"/>
  <c r="J294" i="3"/>
  <c r="I296" i="3"/>
  <c r="J295" i="3"/>
  <c r="I297" i="3"/>
  <c r="J296" i="3"/>
  <c r="I298" i="3"/>
  <c r="J297" i="3"/>
  <c r="I299" i="3"/>
  <c r="J298" i="3"/>
  <c r="I300" i="3"/>
  <c r="J299" i="3"/>
  <c r="I301" i="3"/>
  <c r="J300" i="3"/>
  <c r="I302" i="3"/>
  <c r="J301" i="3"/>
  <c r="I303" i="3"/>
  <c r="J302" i="3"/>
  <c r="I304" i="3"/>
  <c r="J303" i="3"/>
  <c r="I305" i="3"/>
  <c r="J304" i="3"/>
  <c r="I306" i="3"/>
  <c r="J305" i="3"/>
  <c r="I307" i="3"/>
  <c r="J306" i="3"/>
  <c r="I308" i="3"/>
  <c r="J307" i="3"/>
  <c r="I309" i="3"/>
  <c r="J308" i="3"/>
  <c r="I310" i="3"/>
  <c r="J309" i="3"/>
  <c r="I311" i="3"/>
  <c r="J310" i="3"/>
  <c r="I312" i="3"/>
  <c r="J311" i="3"/>
  <c r="I313" i="3"/>
  <c r="J312" i="3"/>
  <c r="I314" i="3"/>
  <c r="J313" i="3"/>
  <c r="I315" i="3"/>
  <c r="J314" i="3"/>
  <c r="I316" i="3"/>
  <c r="J315" i="3"/>
  <c r="I317" i="3"/>
  <c r="J316" i="3"/>
  <c r="I318" i="3"/>
  <c r="J317" i="3"/>
  <c r="I319" i="3"/>
  <c r="J318" i="3"/>
  <c r="I320" i="3"/>
  <c r="J319" i="3"/>
  <c r="I321" i="3"/>
  <c r="J320" i="3"/>
  <c r="I322" i="3"/>
  <c r="J321" i="3"/>
  <c r="I323" i="3"/>
  <c r="J322" i="3"/>
  <c r="I324" i="3"/>
  <c r="J323" i="3"/>
  <c r="I325" i="3"/>
  <c r="J324" i="3"/>
  <c r="I326" i="3"/>
  <c r="J325" i="3"/>
  <c r="I327" i="3"/>
  <c r="J326" i="3"/>
  <c r="I328" i="3"/>
  <c r="J327" i="3"/>
  <c r="I329" i="3"/>
  <c r="J328" i="3"/>
  <c r="I330" i="3"/>
  <c r="J329" i="3"/>
  <c r="I331" i="3"/>
  <c r="J330" i="3"/>
  <c r="I332" i="3"/>
  <c r="J331" i="3"/>
  <c r="I333" i="3"/>
  <c r="J332" i="3"/>
  <c r="I334" i="3"/>
  <c r="J333" i="3"/>
  <c r="I335" i="3"/>
  <c r="J334" i="3"/>
  <c r="I336" i="3"/>
  <c r="J335" i="3"/>
  <c r="I337" i="3"/>
  <c r="J336" i="3"/>
  <c r="I338" i="3"/>
  <c r="J337" i="3"/>
  <c r="I339" i="3"/>
  <c r="J338" i="3"/>
  <c r="I340" i="3"/>
  <c r="J339" i="3"/>
  <c r="I341" i="3"/>
  <c r="J340" i="3"/>
  <c r="I342" i="3"/>
  <c r="I343" i="3"/>
  <c r="I344" i="3"/>
  <c r="I345" i="3"/>
  <c r="J341" i="3"/>
  <c r="J342" i="3"/>
  <c r="J343" i="3"/>
  <c r="J344" i="3"/>
  <c r="I346" i="3"/>
  <c r="J345" i="3"/>
  <c r="I347" i="3"/>
  <c r="J346" i="3"/>
  <c r="I348" i="3"/>
  <c r="J347" i="3"/>
  <c r="I349" i="3"/>
  <c r="J348" i="3"/>
  <c r="I350" i="3"/>
  <c r="J349" i="3"/>
  <c r="I351" i="3"/>
  <c r="J350" i="3"/>
  <c r="I352" i="3"/>
  <c r="J351" i="3"/>
  <c r="I353" i="3"/>
  <c r="J352" i="3"/>
  <c r="I354" i="3"/>
  <c r="J353" i="3"/>
  <c r="I355" i="3"/>
  <c r="J354" i="3"/>
  <c r="I356" i="3"/>
  <c r="J355" i="3"/>
  <c r="I357" i="3"/>
  <c r="J356" i="3"/>
  <c r="I358" i="3"/>
  <c r="J357" i="3"/>
  <c r="I359" i="3"/>
  <c r="J358" i="3"/>
  <c r="I360" i="3"/>
  <c r="J359" i="3"/>
  <c r="I361" i="3"/>
  <c r="J360" i="3"/>
  <c r="I362" i="3"/>
  <c r="J361" i="3"/>
  <c r="I363" i="3"/>
  <c r="J362" i="3"/>
  <c r="I364" i="3"/>
  <c r="J363" i="3"/>
  <c r="I365" i="3"/>
  <c r="J364" i="3"/>
  <c r="I366" i="3"/>
  <c r="J365" i="3"/>
  <c r="I367" i="3"/>
  <c r="J366" i="3"/>
  <c r="I368" i="3"/>
  <c r="J367" i="3"/>
  <c r="I369" i="3"/>
  <c r="J368" i="3"/>
  <c r="I370" i="3"/>
  <c r="J369" i="3"/>
  <c r="I371" i="3"/>
  <c r="J370" i="3"/>
  <c r="I372" i="3"/>
  <c r="J371" i="3"/>
  <c r="I373" i="3"/>
  <c r="J372" i="3"/>
  <c r="I374" i="3"/>
  <c r="J373" i="3"/>
  <c r="I375" i="3"/>
  <c r="J374" i="3"/>
  <c r="I376" i="3"/>
  <c r="J375" i="3"/>
  <c r="I377" i="3"/>
  <c r="J376" i="3"/>
  <c r="I378" i="3"/>
  <c r="J377" i="3"/>
  <c r="I379" i="3"/>
  <c r="J378" i="3"/>
  <c r="I380" i="3"/>
  <c r="J379" i="3"/>
  <c r="I381" i="3"/>
  <c r="J380" i="3"/>
  <c r="I382" i="3"/>
  <c r="J381" i="3"/>
  <c r="I383" i="3"/>
  <c r="J382" i="3"/>
  <c r="I384" i="3"/>
  <c r="J383" i="3"/>
  <c r="J384" i="3"/>
  <c r="J385" i="3"/>
  <c r="I386" i="3"/>
  <c r="I387" i="3"/>
  <c r="J386" i="3"/>
  <c r="I388" i="3"/>
  <c r="J387" i="3"/>
  <c r="I389" i="3"/>
  <c r="J388" i="3"/>
  <c r="I390" i="3"/>
  <c r="J389" i="3"/>
  <c r="I391" i="3"/>
  <c r="J390" i="3"/>
  <c r="I392" i="3"/>
  <c r="J391" i="3"/>
  <c r="I393" i="3"/>
  <c r="J392" i="3"/>
  <c r="I394" i="3"/>
  <c r="J393" i="3"/>
  <c r="I395" i="3"/>
  <c r="J394" i="3"/>
  <c r="I396" i="3"/>
  <c r="J395" i="3"/>
  <c r="I397" i="3"/>
  <c r="J396" i="3"/>
  <c r="I398" i="3"/>
  <c r="J397" i="3"/>
  <c r="I399" i="3"/>
  <c r="J398" i="3"/>
  <c r="I400" i="3"/>
  <c r="J399" i="3"/>
  <c r="I401" i="3"/>
  <c r="J400" i="3"/>
  <c r="I402" i="3"/>
  <c r="J401" i="3"/>
  <c r="I403" i="3"/>
  <c r="J402" i="3"/>
  <c r="I404" i="3"/>
  <c r="J403" i="3"/>
  <c r="I405" i="3"/>
  <c r="J404" i="3"/>
  <c r="I406" i="3"/>
  <c r="J405" i="3"/>
  <c r="I407" i="3"/>
  <c r="J406" i="3"/>
  <c r="I408" i="3"/>
  <c r="J407" i="3"/>
  <c r="I409" i="3"/>
  <c r="J408" i="3"/>
  <c r="I410" i="3"/>
  <c r="J409" i="3"/>
  <c r="I411" i="3"/>
  <c r="J410" i="3"/>
  <c r="I412" i="3"/>
  <c r="J411" i="3"/>
  <c r="I413" i="3"/>
  <c r="J412" i="3"/>
  <c r="I414" i="3"/>
  <c r="J413" i="3"/>
  <c r="I415" i="3"/>
  <c r="J414" i="3"/>
  <c r="I416" i="3"/>
  <c r="J415" i="3"/>
  <c r="I417" i="3"/>
  <c r="J416" i="3"/>
  <c r="I418" i="3"/>
  <c r="J417" i="3"/>
  <c r="I419" i="3"/>
  <c r="J418" i="3"/>
  <c r="I420" i="3"/>
  <c r="J419" i="3"/>
  <c r="I421" i="3"/>
  <c r="J420" i="3"/>
  <c r="I422" i="3"/>
  <c r="J421" i="3"/>
  <c r="I423" i="3"/>
  <c r="J422" i="3"/>
  <c r="I424" i="3"/>
  <c r="J423" i="3"/>
  <c r="I425" i="3"/>
  <c r="J424" i="3"/>
  <c r="I426" i="3"/>
  <c r="J425" i="3"/>
  <c r="I427" i="3"/>
  <c r="J426" i="3"/>
  <c r="I428" i="3"/>
  <c r="J427" i="3"/>
  <c r="I429" i="3"/>
  <c r="J428" i="3"/>
  <c r="I430" i="3"/>
  <c r="J429" i="3"/>
  <c r="I431" i="3"/>
  <c r="J430" i="3"/>
  <c r="I432" i="3"/>
  <c r="J431" i="3"/>
  <c r="I433" i="3"/>
  <c r="J432" i="3"/>
  <c r="I434" i="3"/>
  <c r="J433" i="3"/>
  <c r="I435" i="3"/>
  <c r="J434" i="3"/>
  <c r="I436" i="3"/>
  <c r="J435" i="3"/>
  <c r="I437" i="3"/>
  <c r="J436" i="3"/>
  <c r="I438" i="3"/>
  <c r="J437" i="3"/>
  <c r="I439" i="3"/>
  <c r="J438" i="3"/>
  <c r="I440" i="3"/>
  <c r="J439" i="3"/>
  <c r="I441" i="3"/>
  <c r="J440" i="3"/>
  <c r="I442" i="3"/>
  <c r="J441" i="3"/>
  <c r="I443" i="3"/>
  <c r="J442" i="3"/>
  <c r="I444" i="3"/>
  <c r="J443" i="3"/>
  <c r="I445" i="3"/>
  <c r="J444" i="3"/>
  <c r="I446" i="3"/>
  <c r="J445" i="3"/>
  <c r="I447" i="3"/>
  <c r="J446" i="3"/>
  <c r="I448" i="3"/>
  <c r="J447" i="3"/>
  <c r="I449" i="3"/>
  <c r="J448" i="3"/>
  <c r="I450" i="3"/>
  <c r="J449" i="3"/>
  <c r="I451" i="3"/>
  <c r="J450" i="3"/>
  <c r="I452" i="3"/>
  <c r="J451" i="3"/>
  <c r="I453" i="3"/>
  <c r="J452" i="3"/>
  <c r="I454" i="3"/>
  <c r="J453" i="3"/>
  <c r="I455" i="3"/>
  <c r="J454" i="3"/>
  <c r="I456" i="3"/>
  <c r="J455" i="3"/>
  <c r="I457" i="3"/>
  <c r="J456" i="3"/>
  <c r="I458" i="3"/>
  <c r="J457" i="3"/>
  <c r="I459" i="3"/>
  <c r="J458" i="3"/>
  <c r="I460" i="3"/>
  <c r="J459" i="3"/>
  <c r="I461" i="3"/>
  <c r="J460" i="3"/>
  <c r="I462" i="3"/>
  <c r="J461" i="3"/>
  <c r="I463" i="3"/>
  <c r="J462" i="3"/>
  <c r="I464" i="3"/>
  <c r="J463" i="3"/>
  <c r="I465" i="3"/>
  <c r="J464" i="3"/>
  <c r="I466" i="3"/>
  <c r="J465" i="3"/>
  <c r="I467" i="3"/>
  <c r="J466" i="3"/>
  <c r="I468" i="3"/>
  <c r="J467" i="3"/>
  <c r="I469" i="3"/>
  <c r="J468" i="3"/>
  <c r="I470" i="3"/>
  <c r="J469" i="3"/>
  <c r="I471" i="3"/>
  <c r="J470" i="3"/>
  <c r="I472" i="3"/>
  <c r="J471" i="3"/>
  <c r="I473" i="3"/>
  <c r="J472" i="3"/>
  <c r="I474" i="3"/>
  <c r="J473" i="3"/>
  <c r="I475" i="3"/>
  <c r="J474" i="3"/>
  <c r="I476" i="3"/>
  <c r="J475" i="3"/>
  <c r="I477" i="3"/>
  <c r="J476" i="3"/>
  <c r="I478" i="3"/>
  <c r="J477" i="3"/>
  <c r="I479" i="3"/>
  <c r="J478" i="3"/>
  <c r="I480" i="3"/>
  <c r="J479" i="3"/>
  <c r="I481" i="3"/>
  <c r="J480" i="3"/>
  <c r="I482" i="3"/>
  <c r="J481" i="3"/>
  <c r="I483" i="3"/>
  <c r="J482" i="3"/>
  <c r="I484" i="3"/>
  <c r="J483" i="3"/>
  <c r="I485" i="3"/>
  <c r="J484" i="3"/>
  <c r="I486" i="3"/>
  <c r="J485" i="3"/>
  <c r="I487" i="3"/>
  <c r="J486" i="3"/>
  <c r="I488" i="3"/>
  <c r="J487" i="3"/>
  <c r="I489" i="3"/>
  <c r="J488" i="3"/>
  <c r="I490" i="3"/>
  <c r="I491" i="3"/>
  <c r="J489" i="3"/>
  <c r="J490" i="3"/>
  <c r="I492" i="3"/>
  <c r="J491" i="3"/>
  <c r="I493" i="3"/>
  <c r="J492" i="3"/>
  <c r="I494" i="3"/>
  <c r="J493" i="3"/>
  <c r="I495" i="3"/>
  <c r="J494" i="3"/>
  <c r="I496" i="3"/>
  <c r="J495" i="3"/>
  <c r="I497" i="3"/>
  <c r="J496" i="3"/>
  <c r="I498" i="3"/>
  <c r="J497" i="3"/>
  <c r="I499" i="3"/>
  <c r="J498" i="3"/>
  <c r="I500" i="3"/>
  <c r="J499" i="3"/>
  <c r="I501" i="3"/>
  <c r="J500" i="3"/>
  <c r="I502" i="3"/>
  <c r="J501" i="3"/>
  <c r="I503" i="3"/>
  <c r="J502" i="3"/>
  <c r="J503" i="3"/>
  <c r="J504" i="3"/>
  <c r="J505" i="3"/>
  <c r="J506" i="3"/>
  <c r="I508" i="3"/>
  <c r="J507" i="3"/>
  <c r="I509" i="3"/>
  <c r="J508" i="3"/>
  <c r="I510" i="3"/>
  <c r="J509" i="3"/>
  <c r="I511" i="3"/>
  <c r="J510" i="3"/>
  <c r="I512" i="3"/>
  <c r="J511" i="3"/>
  <c r="I513" i="3"/>
  <c r="J512" i="3"/>
  <c r="I514" i="3"/>
  <c r="J513" i="3"/>
  <c r="I515" i="3"/>
  <c r="J514" i="3"/>
  <c r="I516" i="3"/>
  <c r="J515" i="3"/>
  <c r="I517" i="3"/>
  <c r="J516" i="3"/>
  <c r="I518" i="3"/>
  <c r="J517" i="3"/>
  <c r="I519" i="3"/>
  <c r="J518" i="3"/>
  <c r="I520" i="3"/>
  <c r="J519" i="3"/>
  <c r="I521" i="3"/>
  <c r="J520" i="3"/>
  <c r="I522" i="3"/>
  <c r="J521" i="3"/>
  <c r="I523" i="3"/>
  <c r="J522" i="3"/>
  <c r="I524" i="3"/>
  <c r="J523" i="3"/>
  <c r="I525" i="3"/>
  <c r="J524" i="3"/>
  <c r="I526" i="3"/>
  <c r="J525" i="3"/>
  <c r="I527" i="3"/>
  <c r="J526" i="3"/>
  <c r="I528" i="3"/>
  <c r="J527" i="3"/>
  <c r="I529" i="3"/>
  <c r="J528" i="3"/>
  <c r="I530" i="3"/>
  <c r="J529" i="3"/>
  <c r="I531" i="3"/>
  <c r="J530" i="3"/>
  <c r="I532" i="3"/>
  <c r="J531" i="3"/>
  <c r="I533" i="3"/>
  <c r="J532" i="3"/>
  <c r="I534" i="3"/>
  <c r="J533" i="3"/>
  <c r="I535" i="3"/>
  <c r="J534" i="3"/>
  <c r="J535" i="3"/>
  <c r="I536" i="3"/>
  <c r="I537" i="3"/>
  <c r="J536" i="3"/>
  <c r="I538" i="3"/>
  <c r="J538" i="3"/>
  <c r="J537" i="3"/>
</calcChain>
</file>

<file path=xl/sharedStrings.xml><?xml version="1.0" encoding="utf-8"?>
<sst xmlns="http://schemas.openxmlformats.org/spreadsheetml/2006/main" count="3304" uniqueCount="1091">
  <si>
    <t>Moyenne générale</t>
  </si>
  <si>
    <t>Annee d'inscription au programme</t>
  </si>
  <si>
    <t>Code d'ecole</t>
  </si>
  <si>
    <t>Identifiant Unique</t>
  </si>
  <si>
    <t>Garin Yari Idi</t>
  </si>
  <si>
    <t>Numero HM de la femme</t>
  </si>
  <si>
    <t>Mathématique /20</t>
  </si>
  <si>
    <t>Moyenne générale2</t>
  </si>
  <si>
    <t xml:space="preserve"> Commune</t>
  </si>
  <si>
    <t xml:space="preserve">Kadigawa </t>
  </si>
  <si>
    <t>ENDLINE</t>
  </si>
  <si>
    <t xml:space="preserve">Ecole </t>
  </si>
  <si>
    <t>Nom et prénom de la fille</t>
  </si>
  <si>
    <t xml:space="preserve">Nom de Titulaire de la fille au club  </t>
  </si>
  <si>
    <t>BASE DE DONNEE HILIN MU ( COHORTE 6 )</t>
  </si>
  <si>
    <t xml:space="preserve">ANNEE ACADEMIQUE 2023-2024 </t>
  </si>
  <si>
    <t xml:space="preserve">Mallamai Saboua </t>
  </si>
  <si>
    <t>Date de Naissance</t>
  </si>
  <si>
    <t xml:space="preserve">Aicha Achirou </t>
  </si>
  <si>
    <t xml:space="preserve">Nidja Yahaya </t>
  </si>
  <si>
    <t xml:space="preserve">Mabarouka Ayouba </t>
  </si>
  <si>
    <t xml:space="preserve">01/01/2013 à Zakin Koima </t>
  </si>
  <si>
    <t xml:space="preserve">Nom et prénom du père </t>
  </si>
  <si>
    <t>Salissou Chaibou</t>
  </si>
  <si>
    <t>Achirou</t>
  </si>
  <si>
    <t>Saidou</t>
  </si>
  <si>
    <t>Yahaya Adamou</t>
  </si>
  <si>
    <t>Laouali</t>
  </si>
  <si>
    <t>Adamou</t>
  </si>
  <si>
    <t xml:space="preserve">Ayouba </t>
  </si>
  <si>
    <t>Fatsouma Abou</t>
  </si>
  <si>
    <t xml:space="preserve">Abou Moussa </t>
  </si>
  <si>
    <t xml:space="preserve">Lamira Harouna </t>
  </si>
  <si>
    <t>Harouna Rabo</t>
  </si>
  <si>
    <t>Rakia Adamou</t>
  </si>
  <si>
    <t>Chaâbiya Halilou</t>
  </si>
  <si>
    <t>Halilou</t>
  </si>
  <si>
    <t xml:space="preserve">Moufida Badama </t>
  </si>
  <si>
    <t xml:space="preserve">Badama Moussa </t>
  </si>
  <si>
    <t xml:space="preserve">31/12/2013 à Mallamai Saboua </t>
  </si>
  <si>
    <t xml:space="preserve">Safaraou Abdou </t>
  </si>
  <si>
    <t>Abdou</t>
  </si>
  <si>
    <t xml:space="preserve">Nahida Oumarou </t>
  </si>
  <si>
    <t xml:space="preserve">Oumarou Saidou </t>
  </si>
  <si>
    <t>Sani</t>
  </si>
  <si>
    <t>Anissa Sani</t>
  </si>
  <si>
    <t>Azimiya Souley</t>
  </si>
  <si>
    <t>Souley Baraou</t>
  </si>
  <si>
    <t xml:space="preserve">Bassira Yacouba </t>
  </si>
  <si>
    <t xml:space="preserve">Yacouba Moussa </t>
  </si>
  <si>
    <t xml:space="preserve">Yousra Hamza </t>
  </si>
  <si>
    <t>Hamza</t>
  </si>
  <si>
    <t xml:space="preserve">Nadia Maman </t>
  </si>
  <si>
    <t>Maman Rabo</t>
  </si>
  <si>
    <t xml:space="preserve">Bassira Moussa </t>
  </si>
  <si>
    <t>Moussa Oumarou</t>
  </si>
  <si>
    <t>Harissa Bassirou</t>
  </si>
  <si>
    <t xml:space="preserve">Bassirou Sabiou </t>
  </si>
  <si>
    <t>Massa'ouda Idi</t>
  </si>
  <si>
    <t xml:space="preserve">Idi Zabeirou </t>
  </si>
  <si>
    <t xml:space="preserve">Chaibou Hassan </t>
  </si>
  <si>
    <t xml:space="preserve">Maârou Garba </t>
  </si>
  <si>
    <t xml:space="preserve">Marfou'a Chaibou </t>
  </si>
  <si>
    <t xml:space="preserve">Razina Rachidou </t>
  </si>
  <si>
    <t xml:space="preserve">Rachidou Saidou </t>
  </si>
  <si>
    <t>Souéba Issoufou</t>
  </si>
  <si>
    <t xml:space="preserve">Issoufou Balla </t>
  </si>
  <si>
    <t xml:space="preserve">Houweila Hassan </t>
  </si>
  <si>
    <t xml:space="preserve">Hassan Zoubeirou </t>
  </si>
  <si>
    <t xml:space="preserve">Halimatou Abdoul Aziz </t>
  </si>
  <si>
    <t xml:space="preserve">Abdoul Aziz </t>
  </si>
  <si>
    <t xml:space="preserve">Sayada Moussa </t>
  </si>
  <si>
    <t>Moussa Nouhou</t>
  </si>
  <si>
    <t xml:space="preserve">Yassira Chaibou </t>
  </si>
  <si>
    <t>Chaibou Laouali</t>
  </si>
  <si>
    <t xml:space="preserve">Nadia Ibrahim </t>
  </si>
  <si>
    <t>Ibrahim</t>
  </si>
  <si>
    <t xml:space="preserve">Halilou </t>
  </si>
  <si>
    <t xml:space="preserve">Sa'âdou Oumarou </t>
  </si>
  <si>
    <t xml:space="preserve">Roumanatou Yahouza </t>
  </si>
  <si>
    <t>Yahouza Adamou</t>
  </si>
  <si>
    <t xml:space="preserve">Nafissa Abdou </t>
  </si>
  <si>
    <t xml:space="preserve">Abdou Harouna </t>
  </si>
  <si>
    <t xml:space="preserve">Lami Daouda </t>
  </si>
  <si>
    <t xml:space="preserve">Daouda Yacouba </t>
  </si>
  <si>
    <t xml:space="preserve">Chamsiya Souley </t>
  </si>
  <si>
    <t xml:space="preserve">Souley Harouna </t>
  </si>
  <si>
    <t xml:space="preserve">Aicha Soupianou </t>
  </si>
  <si>
    <t xml:space="preserve">Soupianou Moussa </t>
  </si>
  <si>
    <t>Maâzou Mohaman</t>
  </si>
  <si>
    <t>Lantana Maâzou Mohaman</t>
  </si>
  <si>
    <t>Mourdjanatou Hassane</t>
  </si>
  <si>
    <t xml:space="preserve">Hassane Yahouza </t>
  </si>
  <si>
    <t>Sa'âdia Maâzou</t>
  </si>
  <si>
    <t>Chamsiya Laouali</t>
  </si>
  <si>
    <t xml:space="preserve">Laouali Abdou </t>
  </si>
  <si>
    <t xml:space="preserve">Hadjara Abou </t>
  </si>
  <si>
    <t xml:space="preserve">Abou Baradé </t>
  </si>
  <si>
    <t xml:space="preserve">Rouweida Abou </t>
  </si>
  <si>
    <t xml:space="preserve">Abdou Maman </t>
  </si>
  <si>
    <t xml:space="preserve">Ainaou Achirou </t>
  </si>
  <si>
    <t xml:space="preserve">Achirou Sani </t>
  </si>
  <si>
    <t>Abdou Wahab</t>
  </si>
  <si>
    <t xml:space="preserve">Fatchima Abdou  </t>
  </si>
  <si>
    <t xml:space="preserve">Safila Saidou </t>
  </si>
  <si>
    <t xml:space="preserve">Saidou Oumarou </t>
  </si>
  <si>
    <t>Badaria Yahaya</t>
  </si>
  <si>
    <t>Yahaya Tallé</t>
  </si>
  <si>
    <t xml:space="preserve"> Abdou Icha'ou</t>
  </si>
  <si>
    <t xml:space="preserve">Fa'iza Abdou </t>
  </si>
  <si>
    <t xml:space="preserve">Ramatou Issaka </t>
  </si>
  <si>
    <t xml:space="preserve">Issaka Abara </t>
  </si>
  <si>
    <t>Nabila Rabiou</t>
  </si>
  <si>
    <t xml:space="preserve">Rabiou Ousmane </t>
  </si>
  <si>
    <t>Sae Saboua</t>
  </si>
  <si>
    <t>Tibiri</t>
  </si>
  <si>
    <t>waraou</t>
  </si>
  <si>
    <t>Maman Djadi</t>
  </si>
  <si>
    <t>Aichatou Ibrahim</t>
  </si>
  <si>
    <t xml:space="preserve"> Ibrahim Dadi</t>
  </si>
  <si>
    <t>Bacharia Ousmane</t>
  </si>
  <si>
    <t>Ousmane Adare</t>
  </si>
  <si>
    <t>Badaria Adamou</t>
  </si>
  <si>
    <t>Adamou Moussa</t>
  </si>
  <si>
    <t>chaawa Aboubacar</t>
  </si>
  <si>
    <t>Aboubacar Hassa</t>
  </si>
  <si>
    <t>Faousia Issoufou</t>
  </si>
  <si>
    <t>Issoufou Oumarou</t>
  </si>
  <si>
    <t xml:space="preserve">Farida Ousmane </t>
  </si>
  <si>
    <t xml:space="preserve">Ousmane Ibrahim </t>
  </si>
  <si>
    <t xml:space="preserve">Houmeira Abdou </t>
  </si>
  <si>
    <t xml:space="preserve"> Abdou Oumarou</t>
  </si>
  <si>
    <t xml:space="preserve">Halissa Mani </t>
  </si>
  <si>
    <t>Mani Abdou</t>
  </si>
  <si>
    <t xml:space="preserve">Massira Idi </t>
  </si>
  <si>
    <t>Idi Jigo</t>
  </si>
  <si>
    <t xml:space="preserve">Mariama Laouali </t>
  </si>
  <si>
    <t>Laouali Alou</t>
  </si>
  <si>
    <t xml:space="preserve">Mazazya Rabiou </t>
  </si>
  <si>
    <t>Rabiou Djadi</t>
  </si>
  <si>
    <t xml:space="preserve">Maralya Mahamadou </t>
  </si>
  <si>
    <t xml:space="preserve">Mahamadou Kane </t>
  </si>
  <si>
    <t xml:space="preserve">Malika Chaibou </t>
  </si>
  <si>
    <t>Chaibou Alassane</t>
  </si>
  <si>
    <t>Nana Chahouda Ibrahim</t>
  </si>
  <si>
    <t xml:space="preserve">Ibrahim Saidou </t>
  </si>
  <si>
    <t xml:space="preserve">Nadjaatou Ado </t>
  </si>
  <si>
    <t>Ado Aboubacar</t>
  </si>
  <si>
    <t xml:space="preserve">Nana Wassila Abdou </t>
  </si>
  <si>
    <t>Abdou Dadi</t>
  </si>
  <si>
    <t xml:space="preserve">Nana Wassila Ousseini </t>
  </si>
  <si>
    <t>Ousseini Abdou</t>
  </si>
  <si>
    <t>Laouali Oumarou</t>
  </si>
  <si>
    <t>Nisaifa Laouali</t>
  </si>
  <si>
    <t xml:space="preserve">Nana Firdaoussi Abdou </t>
  </si>
  <si>
    <t xml:space="preserve">Nana Roufaida Ibrahim </t>
  </si>
  <si>
    <t>Ibrahim Adamou</t>
  </si>
  <si>
    <t>Ouma Issaka</t>
  </si>
  <si>
    <t>Ousseina Issoufou</t>
  </si>
  <si>
    <t>Roufaida Moussa</t>
  </si>
  <si>
    <t>Ramlatou Harouna</t>
  </si>
  <si>
    <t>Samina Ali</t>
  </si>
  <si>
    <t>Sabia Sabiou</t>
  </si>
  <si>
    <t>Safiya Abdou</t>
  </si>
  <si>
    <t>Walida Inoussa</t>
  </si>
  <si>
    <t>Zakia Abdou</t>
  </si>
  <si>
    <t xml:space="preserve">Issaka </t>
  </si>
  <si>
    <t>Issoufou</t>
  </si>
  <si>
    <t>Moussa</t>
  </si>
  <si>
    <t xml:space="preserve">Harouna  </t>
  </si>
  <si>
    <t>Ali</t>
  </si>
  <si>
    <t>Sabiou</t>
  </si>
  <si>
    <t>Inoussa</t>
  </si>
  <si>
    <t>Kadata</t>
  </si>
  <si>
    <t>Biba Boukari</t>
  </si>
  <si>
    <t>Chamsiya Achirou</t>
  </si>
  <si>
    <t>Chamsiya Tassiou</t>
  </si>
  <si>
    <t>Chappa Tsahirou</t>
  </si>
  <si>
    <t>Chamsiya Garba</t>
  </si>
  <si>
    <t>Fati Mamane</t>
  </si>
  <si>
    <t>Fati Moustapha</t>
  </si>
  <si>
    <t>Fatsouma Boukari</t>
  </si>
  <si>
    <t>Fatsouma Mamane</t>
  </si>
  <si>
    <t>Habsatou Aboubacar</t>
  </si>
  <si>
    <t>Latifa Abdoulaye</t>
  </si>
  <si>
    <t>Mariama Attahir</t>
  </si>
  <si>
    <t>Maaroufa Ayouba</t>
  </si>
  <si>
    <t>Mafida Rabiou</t>
  </si>
  <si>
    <t>Nana Balkissa Zabeirou</t>
  </si>
  <si>
    <t>Nisseiba Laouali</t>
  </si>
  <si>
    <t>Ramatou Achirou</t>
  </si>
  <si>
    <t>Rachida Moussa</t>
  </si>
  <si>
    <t>Rayya Maman</t>
  </si>
  <si>
    <t>Rabila Abdoul Moumouni</t>
  </si>
  <si>
    <t>Samira Mamane</t>
  </si>
  <si>
    <t>Barouana</t>
  </si>
  <si>
    <t>Aziza Oumarou</t>
  </si>
  <si>
    <t>Balki Sanoussi</t>
  </si>
  <si>
    <t>Daraja Salissou</t>
  </si>
  <si>
    <t>Fatima Abdou</t>
  </si>
  <si>
    <t>Haouaou Saadou</t>
  </si>
  <si>
    <t>Kadija Salissou</t>
  </si>
  <si>
    <t>Mabarouka Ousmane</t>
  </si>
  <si>
    <t>Malika Oumarou</t>
  </si>
  <si>
    <t>Mariama Sanoussi</t>
  </si>
  <si>
    <t>Nadiya Illa</t>
  </si>
  <si>
    <t>Nana Aicha Issaka</t>
  </si>
  <si>
    <t>Oumeira Almou</t>
  </si>
  <si>
    <t>Rabila Illa</t>
  </si>
  <si>
    <t>Sayada Sani</t>
  </si>
  <si>
    <t>Zeinabou Abdou</t>
  </si>
  <si>
    <t>Zina Harouna</t>
  </si>
  <si>
    <t>Yahaya</t>
  </si>
  <si>
    <t>Boukari</t>
  </si>
  <si>
    <t>Tassiou</t>
  </si>
  <si>
    <t>Tsahirou</t>
  </si>
  <si>
    <t>Garba</t>
  </si>
  <si>
    <t>Mamane</t>
  </si>
  <si>
    <t>Moustapha</t>
  </si>
  <si>
    <t xml:space="preserve">Aboubacar  </t>
  </si>
  <si>
    <t>Abdoulaye</t>
  </si>
  <si>
    <t>Attahir</t>
  </si>
  <si>
    <t>Rabiou</t>
  </si>
  <si>
    <t>Zabeirou</t>
  </si>
  <si>
    <t>Maman</t>
  </si>
  <si>
    <t>Abdoul Moumouni</t>
  </si>
  <si>
    <t xml:space="preserve">Oumarou  </t>
  </si>
  <si>
    <t>Sanoussi</t>
  </si>
  <si>
    <t xml:space="preserve">Salissou  </t>
  </si>
  <si>
    <t>Saadou</t>
  </si>
  <si>
    <t>Salissou</t>
  </si>
  <si>
    <t>Ousmane</t>
  </si>
  <si>
    <t>Oumarou</t>
  </si>
  <si>
    <t>Illa</t>
  </si>
  <si>
    <t>Issaka</t>
  </si>
  <si>
    <t>Almou</t>
  </si>
  <si>
    <t>Harouna</t>
  </si>
  <si>
    <t>Sabon Garin Kolta</t>
  </si>
  <si>
    <t>Djirataoua</t>
  </si>
  <si>
    <t>Assamaou Laouali</t>
  </si>
  <si>
    <t>Amira Illa</t>
  </si>
  <si>
    <t>Binta Issoufou</t>
  </si>
  <si>
    <t xml:space="preserve">Bassira Iro </t>
  </si>
  <si>
    <t>Chappaatou Souley</t>
  </si>
  <si>
    <t>Souley Saidou</t>
  </si>
  <si>
    <t>Iro Souey</t>
  </si>
  <si>
    <t>Issoufou Abdou</t>
  </si>
  <si>
    <t>Firdaoussi Laouali</t>
  </si>
  <si>
    <t>Laouali Issa</t>
  </si>
  <si>
    <t>Fatchima Mountaka</t>
  </si>
  <si>
    <t>Mountaka Maman</t>
  </si>
  <si>
    <t>Fatima Zara Sani</t>
  </si>
  <si>
    <t>Sani Ibrahim</t>
  </si>
  <si>
    <t>Saidou Garba</t>
  </si>
  <si>
    <t>Fadila Saidou</t>
  </si>
  <si>
    <t>Hanifa Mamane</t>
  </si>
  <si>
    <t>Mamane Garba</t>
  </si>
  <si>
    <t>Housna Abdou</t>
  </si>
  <si>
    <t>Abdou Yahaya</t>
  </si>
  <si>
    <t>Laouali Anmani</t>
  </si>
  <si>
    <t>Hassana Laouali</t>
  </si>
  <si>
    <t>Kadija Moutari</t>
  </si>
  <si>
    <t>Moutari Sani</t>
  </si>
  <si>
    <t>Issa Maman</t>
  </si>
  <si>
    <t>Kadija Issa</t>
  </si>
  <si>
    <t>Nana Balkissa Oumarou</t>
  </si>
  <si>
    <t>Oumarou Hassan</t>
  </si>
  <si>
    <t>Illa Ibrahim</t>
  </si>
  <si>
    <t>Nana Manira Illa</t>
  </si>
  <si>
    <t>Nazifa Abdou</t>
  </si>
  <si>
    <t>Abdou Hantsi</t>
  </si>
  <si>
    <t>Nana Malika Issaka</t>
  </si>
  <si>
    <t>Issaka Adamou</t>
  </si>
  <si>
    <t>Laouali Koini</t>
  </si>
  <si>
    <t>Mastoura Moussa</t>
  </si>
  <si>
    <t>Moussa Youssoufa</t>
  </si>
  <si>
    <t>Harouna Garba</t>
  </si>
  <si>
    <t>Moufida Harouna</t>
  </si>
  <si>
    <t>Roumassaoun Abdoulaye</t>
  </si>
  <si>
    <t>Abdoulaye Mamane</t>
  </si>
  <si>
    <t>Issa Adamou</t>
  </si>
  <si>
    <t>Roumanatou Issa</t>
  </si>
  <si>
    <t>Roufaida Issa</t>
  </si>
  <si>
    <t>Issa Garba</t>
  </si>
  <si>
    <t>Ousmane Rabe</t>
  </si>
  <si>
    <t>Salima Ousmane</t>
  </si>
  <si>
    <t>Zeinabou Laouali</t>
  </si>
  <si>
    <t>Halilou Adamou</t>
  </si>
  <si>
    <t>Zeinabou Halilou</t>
  </si>
  <si>
    <t>Zeinabou Tijani</t>
  </si>
  <si>
    <t>Tijani Idi</t>
  </si>
  <si>
    <t>Daouada Garba</t>
  </si>
  <si>
    <t>Zeinab Daouda</t>
  </si>
  <si>
    <t>Zahaina Maman</t>
  </si>
  <si>
    <t>Maman Anné</t>
  </si>
  <si>
    <t>Zeinabou Saidou</t>
  </si>
  <si>
    <t>Saidou Issaka</t>
  </si>
  <si>
    <t>Laouali Saidou</t>
  </si>
  <si>
    <t>Illa Hamza</t>
  </si>
  <si>
    <t>Safo Nassaraoua</t>
  </si>
  <si>
    <t>Safo</t>
  </si>
  <si>
    <t>Chamsiya Chiitou</t>
  </si>
  <si>
    <t>Chiitou Allassan</t>
  </si>
  <si>
    <t>Harouna Abdou</t>
  </si>
  <si>
    <t>Faouzia Harouna</t>
  </si>
  <si>
    <t xml:space="preserve">Fatima Salissou </t>
  </si>
  <si>
    <t>Amadou Inoussa</t>
  </si>
  <si>
    <t>Hanifa Amadou</t>
  </si>
  <si>
    <t>Mariam Rabe</t>
  </si>
  <si>
    <t>Rabe</t>
  </si>
  <si>
    <t>Dayabou Garba</t>
  </si>
  <si>
    <t>Mouhoussina Dayabou</t>
  </si>
  <si>
    <t>Nana Zaharaou Nouhou</t>
  </si>
  <si>
    <t>Nouhou Garba</t>
  </si>
  <si>
    <t>Ouma Habiba Saminou</t>
  </si>
  <si>
    <t>Saminou Saadou</t>
  </si>
  <si>
    <t>Oumeira Kabirou</t>
  </si>
  <si>
    <t>Kabirou Abdou</t>
  </si>
  <si>
    <t xml:space="preserve">Rafia Tanimoune </t>
  </si>
  <si>
    <t>Tanimoune Ibrahim</t>
  </si>
  <si>
    <t>Zeinab Harouna Abdou</t>
  </si>
  <si>
    <t>Zaharia Abdou</t>
  </si>
  <si>
    <t>Abdou Chaibou</t>
  </si>
  <si>
    <t>Kalgon Waraou</t>
  </si>
  <si>
    <t>Bassira Saidou</t>
  </si>
  <si>
    <t>Bassira Maazou</t>
  </si>
  <si>
    <t>Maazou</t>
  </si>
  <si>
    <t>Binta Souley</t>
  </si>
  <si>
    <t>Souley</t>
  </si>
  <si>
    <t>Chamsiya Ibrahim</t>
  </si>
  <si>
    <t>Chamsiya Abdou</t>
  </si>
  <si>
    <t>Charifa Souley</t>
  </si>
  <si>
    <t>Djadi</t>
  </si>
  <si>
    <t>Charifa Djadi</t>
  </si>
  <si>
    <t>Hassana Saidou</t>
  </si>
  <si>
    <t>Malika Issoufou</t>
  </si>
  <si>
    <t>Nana Nabila Laminou</t>
  </si>
  <si>
    <t>Laminou</t>
  </si>
  <si>
    <t>Maaroufi</t>
  </si>
  <si>
    <t>Nana Firdaoussi Maaroufi</t>
  </si>
  <si>
    <t>Nana Farissa Ibrahim</t>
  </si>
  <si>
    <t>Naima Sabiou</t>
  </si>
  <si>
    <t>Nazifa Mamane</t>
  </si>
  <si>
    <t>Nafissa Kabirou</t>
  </si>
  <si>
    <t xml:space="preserve">Kabirou  </t>
  </si>
  <si>
    <t>Nana Charifa Zabeirou</t>
  </si>
  <si>
    <t>Nazira Sani</t>
  </si>
  <si>
    <t>Rachida Illa</t>
  </si>
  <si>
    <t>Safia Sanoussi</t>
  </si>
  <si>
    <t>Sayada Ousseini</t>
  </si>
  <si>
    <t xml:space="preserve">Ousseini  </t>
  </si>
  <si>
    <t>Aminou</t>
  </si>
  <si>
    <t>Zaharia Aminou</t>
  </si>
  <si>
    <t>Zina Laouali</t>
  </si>
  <si>
    <t>Soura Sarkin Galma 2</t>
  </si>
  <si>
    <t>Aminatou Moustapha</t>
  </si>
  <si>
    <t>Moustapha Laouali</t>
  </si>
  <si>
    <t>Chappa Hamissou</t>
  </si>
  <si>
    <t xml:space="preserve">Hamissou  </t>
  </si>
  <si>
    <t>Firdaoussi Hamissou</t>
  </si>
  <si>
    <t>Hamissou Hamza</t>
  </si>
  <si>
    <t>Fatimatou Hachimou Housseini</t>
  </si>
  <si>
    <t>Hachimou Housseini</t>
  </si>
  <si>
    <t>Fati Ibrahim</t>
  </si>
  <si>
    <t>Haouaou Amadou</t>
  </si>
  <si>
    <t>Amadou</t>
  </si>
  <si>
    <t>Housna Mahamadou</t>
  </si>
  <si>
    <t xml:space="preserve">Mahamadou  </t>
  </si>
  <si>
    <t>Haouaou Hamissou</t>
  </si>
  <si>
    <t>Hamissou</t>
  </si>
  <si>
    <t xml:space="preserve">Jamila Tsahirou </t>
  </si>
  <si>
    <t>Tsahirou Ousmane</t>
  </si>
  <si>
    <t>Kadija Moussa</t>
  </si>
  <si>
    <t>Moussa Abdou Mani</t>
  </si>
  <si>
    <t>Kaousar Sabiou</t>
  </si>
  <si>
    <t>Sabiou Balla</t>
  </si>
  <si>
    <t>Nana Balkissa Rabiou</t>
  </si>
  <si>
    <t>Rabiou Ibrahim</t>
  </si>
  <si>
    <t>Nana Aicha Abdoulaye</t>
  </si>
  <si>
    <t>Abdoulaye Madougou</t>
  </si>
  <si>
    <t>Roumeissaou Hamissou</t>
  </si>
  <si>
    <t>Hamissou Aboubacar</t>
  </si>
  <si>
    <t>Issaka Ali</t>
  </si>
  <si>
    <t>Ramlatou Sani</t>
  </si>
  <si>
    <t>Salima Abdou</t>
  </si>
  <si>
    <t>Abdou Mahaman</t>
  </si>
  <si>
    <t>Yassira Sani</t>
  </si>
  <si>
    <t>Sani Almajir</t>
  </si>
  <si>
    <t>Zeinabou Issa</t>
  </si>
  <si>
    <t>Issa Issoufa</t>
  </si>
  <si>
    <t>Oubandoma Alfasha</t>
  </si>
  <si>
    <t>Aminatou Saidou</t>
  </si>
  <si>
    <t>Saidou Idi</t>
  </si>
  <si>
    <t>Amira Issoufou</t>
  </si>
  <si>
    <t>Issoufou Inoussa</t>
  </si>
  <si>
    <t>Amina Hamissou</t>
  </si>
  <si>
    <t>Hamissou Salissou</t>
  </si>
  <si>
    <t>Baria Chaibou</t>
  </si>
  <si>
    <t>Chaibou Inoussa</t>
  </si>
  <si>
    <t>Barira Ibrahim</t>
  </si>
  <si>
    <t>Ibrahim Issoufou</t>
  </si>
  <si>
    <t>Balki Chaibou</t>
  </si>
  <si>
    <t>Chaibou Oumarou</t>
  </si>
  <si>
    <t>Bassira Salissou</t>
  </si>
  <si>
    <t>Salissou Moussa</t>
  </si>
  <si>
    <t>Fadila Salissou</t>
  </si>
  <si>
    <t>Farida Tsahirou</t>
  </si>
  <si>
    <t>Tsahirou Moussa</t>
  </si>
  <si>
    <t xml:space="preserve">Fadila Daouda </t>
  </si>
  <si>
    <t>Daouda Abdou</t>
  </si>
  <si>
    <t xml:space="preserve">Farida Daouda </t>
  </si>
  <si>
    <t>Daouda Sani</t>
  </si>
  <si>
    <t>Firdaoussi Hamidine</t>
  </si>
  <si>
    <t>Hamidine Mahamane</t>
  </si>
  <si>
    <t>Saadou Harouna</t>
  </si>
  <si>
    <t>Hassira Saadou</t>
  </si>
  <si>
    <t xml:space="preserve">Habiba Tassiou </t>
  </si>
  <si>
    <t>Tassiou Issoufou</t>
  </si>
  <si>
    <t>Hadiza Ibrahim</t>
  </si>
  <si>
    <t>Ibrahim Issa</t>
  </si>
  <si>
    <t xml:space="preserve">Hadiza Abdou </t>
  </si>
  <si>
    <t>Abdou Laouali</t>
  </si>
  <si>
    <t>Mastoura Ibrahim</t>
  </si>
  <si>
    <t>Malika Souley</t>
  </si>
  <si>
    <t>Souley Moussa</t>
  </si>
  <si>
    <t>Mariama Saidou</t>
  </si>
  <si>
    <t xml:space="preserve">Mariama Oumarou </t>
  </si>
  <si>
    <t>Oumarou Ousmane</t>
  </si>
  <si>
    <t>Nadira Ali</t>
  </si>
  <si>
    <t>Ali Adamou</t>
  </si>
  <si>
    <t xml:space="preserve">Nafissa Issaka </t>
  </si>
  <si>
    <t>Issaka Abdou</t>
  </si>
  <si>
    <t>Ramlatou Illa</t>
  </si>
  <si>
    <t>Illa Tsahirou</t>
  </si>
  <si>
    <t>Rakia Salissou</t>
  </si>
  <si>
    <t>Rafia Mourtala</t>
  </si>
  <si>
    <t>Mourtala Moussa</t>
  </si>
  <si>
    <t xml:space="preserve">Roufaida Issa </t>
  </si>
  <si>
    <t>Issa Souley</t>
  </si>
  <si>
    <t>Roukaya Issoufou</t>
  </si>
  <si>
    <t>Saymaou Sanoussi</t>
  </si>
  <si>
    <t>Sanoussi Issoufou</t>
  </si>
  <si>
    <t xml:space="preserve">Wassila Sadi </t>
  </si>
  <si>
    <t>Sadi Ichaou</t>
  </si>
  <si>
    <t>Youssira Oumarou</t>
  </si>
  <si>
    <t>Tibiri Nord 3</t>
  </si>
  <si>
    <t>Amira Harouna</t>
  </si>
  <si>
    <t>Issa Rabiou</t>
  </si>
  <si>
    <t>Amira Issa</t>
  </si>
  <si>
    <t>Bassira Anmani</t>
  </si>
  <si>
    <t>Anmani Aboubacar</t>
  </si>
  <si>
    <t>Moutari Elhaji Dango</t>
  </si>
  <si>
    <t>Habsatou Moutari</t>
  </si>
  <si>
    <t>Kadija Ouchamou</t>
  </si>
  <si>
    <t>Ouchamou Sabiou</t>
  </si>
  <si>
    <t>Abou Adamou</t>
  </si>
  <si>
    <t>Kadija Abou</t>
  </si>
  <si>
    <t>Mariam Yacouba</t>
  </si>
  <si>
    <t>Yacouba Aboubacar</t>
  </si>
  <si>
    <t>Sani Nouhou</t>
  </si>
  <si>
    <t>Manira Sani</t>
  </si>
  <si>
    <t>Nafissa Adamou</t>
  </si>
  <si>
    <t>Adamou Abdoulahi</t>
  </si>
  <si>
    <t>Maman Bako</t>
  </si>
  <si>
    <t>Rachida Maman</t>
  </si>
  <si>
    <t>Roumanatou Salissou</t>
  </si>
  <si>
    <t>Salissou Ibrahim</t>
  </si>
  <si>
    <t>Salissou Adamou</t>
  </si>
  <si>
    <t>Safia Yahouza</t>
  </si>
  <si>
    <t>Yahouza Aboubacar</t>
  </si>
  <si>
    <t>Illia Djibril</t>
  </si>
  <si>
    <t>Yasmina Illia</t>
  </si>
  <si>
    <t>Mountarou Bermo</t>
  </si>
  <si>
    <t>Issaka Bougwari</t>
  </si>
  <si>
    <t>Bassira Issaka</t>
  </si>
  <si>
    <t>Housna Ousseini</t>
  </si>
  <si>
    <t>Ousseini Moussa</t>
  </si>
  <si>
    <t>Sani Yahaya</t>
  </si>
  <si>
    <t>Kadija Sani</t>
  </si>
  <si>
    <t>Madiha Zayyanou</t>
  </si>
  <si>
    <t>Zayyanou Laouali</t>
  </si>
  <si>
    <t xml:space="preserve">Manira Inoussa </t>
  </si>
  <si>
    <t>Inoussa Balla</t>
  </si>
  <si>
    <t>Oumaira Rabiou</t>
  </si>
  <si>
    <t>Rabiou Ali</t>
  </si>
  <si>
    <t>Nazifa Souley</t>
  </si>
  <si>
    <t>Souley Idi</t>
  </si>
  <si>
    <t>Ramatou Rabiou</t>
  </si>
  <si>
    <t>Rabiou Rabo</t>
  </si>
  <si>
    <t>Ramatou Ousseini</t>
  </si>
  <si>
    <t>Ousseini Ali</t>
  </si>
  <si>
    <t>Roufaida Saidou</t>
  </si>
  <si>
    <t>Siraya Aboubacar</t>
  </si>
  <si>
    <t>Aboubacar Abdou</t>
  </si>
  <si>
    <t>Sabiou Nomao</t>
  </si>
  <si>
    <t>Zeinab Sabiou</t>
  </si>
  <si>
    <t>Soura Sarkin Galma 1</t>
  </si>
  <si>
    <t>Aichatou Ousmane</t>
  </si>
  <si>
    <t>Moussa Ali</t>
  </si>
  <si>
    <t>Fadila Moussa</t>
  </si>
  <si>
    <t>Firdaoussi Yahouza</t>
  </si>
  <si>
    <t>Yahouza</t>
  </si>
  <si>
    <t>Haouaou Illa</t>
  </si>
  <si>
    <t>Mariam Salissou</t>
  </si>
  <si>
    <t xml:space="preserve">Hassan  </t>
  </si>
  <si>
    <t>Naima Hassan</t>
  </si>
  <si>
    <t>Naima Hannafi</t>
  </si>
  <si>
    <t>Hannafi</t>
  </si>
  <si>
    <t>Nana Aichatou Moustapha</t>
  </si>
  <si>
    <t>Nafissa Rabiou</t>
  </si>
  <si>
    <t>Oumoulkair Zabeirou</t>
  </si>
  <si>
    <t>Oumeira Oumarou</t>
  </si>
  <si>
    <t>Roufaatou Sade</t>
  </si>
  <si>
    <t>Sade Bako</t>
  </si>
  <si>
    <t>Moussa Ousmane</t>
  </si>
  <si>
    <t>Ramatou Moussa</t>
  </si>
  <si>
    <t>Soumaya Moussa</t>
  </si>
  <si>
    <t>Zoubeida Chaibou</t>
  </si>
  <si>
    <t>Chaibou</t>
  </si>
  <si>
    <t>Kountarou Mai RaiRai</t>
  </si>
  <si>
    <t>Fati Laouali</t>
  </si>
  <si>
    <t>Laouali Tsayabou</t>
  </si>
  <si>
    <t xml:space="preserve">Fati Ousmane </t>
  </si>
  <si>
    <t>Salissou Abdou</t>
  </si>
  <si>
    <t>Fati Salissou</t>
  </si>
  <si>
    <t>Hafiza Oumarou</t>
  </si>
  <si>
    <t>Oumarou Moussa</t>
  </si>
  <si>
    <t>Adamou Aboubacar</t>
  </si>
  <si>
    <t>Haouaou Adamou</t>
  </si>
  <si>
    <t>Hindatou Ali</t>
  </si>
  <si>
    <t>Ali Aboubacar</t>
  </si>
  <si>
    <t>Maliki Harouna</t>
  </si>
  <si>
    <t>Houmeira Maliki</t>
  </si>
  <si>
    <t>Jaheifa Saddi</t>
  </si>
  <si>
    <t>Saddi Balla</t>
  </si>
  <si>
    <t>Kadija Abdou</t>
  </si>
  <si>
    <t>Abdou Balla</t>
  </si>
  <si>
    <t>Issaka Ibrahim</t>
  </si>
  <si>
    <t>Latifa Issaka</t>
  </si>
  <si>
    <t>Mariama Adamou</t>
  </si>
  <si>
    <t>Issaka Balla</t>
  </si>
  <si>
    <t>Rabila Issaka</t>
  </si>
  <si>
    <t>Safia Issaka</t>
  </si>
  <si>
    <t>Tsayyabou Yaou</t>
  </si>
  <si>
    <t>Saliha Tsayyabou</t>
  </si>
  <si>
    <t>Amina Chi'itou</t>
  </si>
  <si>
    <t>chi'itou Ibrahim</t>
  </si>
  <si>
    <t xml:space="preserve">Bacharia Yacouba </t>
  </si>
  <si>
    <t>Yacouba Kassimou</t>
  </si>
  <si>
    <t xml:space="preserve">Firdaoussi Issaka </t>
  </si>
  <si>
    <t>Issaka Oumarou</t>
  </si>
  <si>
    <t xml:space="preserve">Saidou Boubacar </t>
  </si>
  <si>
    <t>Nana Firdaoussi Abdoul Aziz</t>
  </si>
  <si>
    <t xml:space="preserve">Abdoul Aziz Ayouba </t>
  </si>
  <si>
    <t xml:space="preserve">Nazira Noura </t>
  </si>
  <si>
    <t xml:space="preserve">Noura Issaka </t>
  </si>
  <si>
    <t xml:space="preserve">Ramatou Ousmane </t>
  </si>
  <si>
    <t xml:space="preserve">Ousmane Mahaman </t>
  </si>
  <si>
    <t xml:space="preserve">Sa'iba  Hamza </t>
  </si>
  <si>
    <t xml:space="preserve">Hamza Aboubacar </t>
  </si>
  <si>
    <t xml:space="preserve">Salima Chi'itou </t>
  </si>
  <si>
    <t>Chi'itou Abdou</t>
  </si>
  <si>
    <t>Kadidja Saddi</t>
  </si>
  <si>
    <t>Saddi Zabeirou</t>
  </si>
  <si>
    <t>Kadidja Moumouni</t>
  </si>
  <si>
    <t xml:space="preserve">Moumouni Moussa </t>
  </si>
  <si>
    <t xml:space="preserve">Zaharia Nouhou </t>
  </si>
  <si>
    <t xml:space="preserve">Nouhou Moussa </t>
  </si>
  <si>
    <t xml:space="preserve">Takalmawa 1 </t>
  </si>
  <si>
    <t>Wassila Hamissou</t>
  </si>
  <si>
    <t>Rachida Sani</t>
  </si>
  <si>
    <t>Amira Sani</t>
  </si>
  <si>
    <t>Bichara Ousmane</t>
  </si>
  <si>
    <t>Chamsiya Ousmane</t>
  </si>
  <si>
    <t>Fatiha Mahaman</t>
  </si>
  <si>
    <t>Mahaman Issoufou</t>
  </si>
  <si>
    <t>Ibrahim Aboubacar</t>
  </si>
  <si>
    <t>Fatima Ibrahim</t>
  </si>
  <si>
    <t>Marwa Maazou</t>
  </si>
  <si>
    <t>Maazou Chitou</t>
  </si>
  <si>
    <t>Nafiou Amadou</t>
  </si>
  <si>
    <t>Massaouda Nafiou</t>
  </si>
  <si>
    <t>Nana Farida Abdou Rahamane</t>
  </si>
  <si>
    <t>Abdou Rahamane Nouhou</t>
  </si>
  <si>
    <t>Tsahirou Karimou</t>
  </si>
  <si>
    <t>Zouleyka Tsahirou</t>
  </si>
  <si>
    <t>Barira Adamou</t>
  </si>
  <si>
    <t>Nana Farida Tanimou</t>
  </si>
  <si>
    <t>Tanimou</t>
  </si>
  <si>
    <t xml:space="preserve">Fatouma Issoufou </t>
  </si>
  <si>
    <t xml:space="preserve">Issoufou </t>
  </si>
  <si>
    <t xml:space="preserve">Hadiza Laouali </t>
  </si>
  <si>
    <t xml:space="preserve">Laouali </t>
  </si>
  <si>
    <t>Nazifa Adamou</t>
  </si>
  <si>
    <t xml:space="preserve">Ousseina Maazou </t>
  </si>
  <si>
    <t xml:space="preserve">Maazou Garba </t>
  </si>
  <si>
    <t xml:space="preserve">Badia laouali </t>
  </si>
  <si>
    <t>Machakoura Manirou</t>
  </si>
  <si>
    <t>Manirou</t>
  </si>
  <si>
    <t>Kadidja Laouali</t>
  </si>
  <si>
    <t xml:space="preserve">Fati Gonda </t>
  </si>
  <si>
    <t>Gonda Sani</t>
  </si>
  <si>
    <t>Ousseina Ibrahim</t>
  </si>
  <si>
    <t xml:space="preserve">Ibrahim Ousmane </t>
  </si>
  <si>
    <t xml:space="preserve">Safia Sabiou </t>
  </si>
  <si>
    <t xml:space="preserve">Sabiou Moussa </t>
  </si>
  <si>
    <t xml:space="preserve">Roumassaou Ousmane </t>
  </si>
  <si>
    <t>Ousmane Mamane</t>
  </si>
  <si>
    <t xml:space="preserve">Ramatou Abdou </t>
  </si>
  <si>
    <t xml:space="preserve">Abdou </t>
  </si>
  <si>
    <t xml:space="preserve">Kadidja Abdoul kader </t>
  </si>
  <si>
    <t xml:space="preserve">Roukaya Hamza </t>
  </si>
  <si>
    <t xml:space="preserve">Hamza </t>
  </si>
  <si>
    <t xml:space="preserve">Roukaya Salissou </t>
  </si>
  <si>
    <t>Nafissa Ibrahim</t>
  </si>
  <si>
    <t xml:space="preserve">Yasmina Allassan Mamane </t>
  </si>
  <si>
    <t xml:space="preserve">Allassan Mamane </t>
  </si>
  <si>
    <t xml:space="preserve">Abdoul Kader </t>
  </si>
  <si>
    <t xml:space="preserve">Salissou </t>
  </si>
  <si>
    <t xml:space="preserve">Sayada Yacouba </t>
  </si>
  <si>
    <t xml:space="preserve">Yacouba </t>
  </si>
  <si>
    <t>Dandja 2</t>
  </si>
  <si>
    <t>Takalmawa 2</t>
  </si>
  <si>
    <t>Amina Aminou</t>
  </si>
  <si>
    <t xml:space="preserve">Aminou Moussa </t>
  </si>
  <si>
    <t xml:space="preserve">Amina Halilou Mahama </t>
  </si>
  <si>
    <t xml:space="preserve">Halilou Mahaman </t>
  </si>
  <si>
    <t>Chafi'a Achirou Labo</t>
  </si>
  <si>
    <t>Achirou Labo</t>
  </si>
  <si>
    <t xml:space="preserve">Fatiha Tsalha </t>
  </si>
  <si>
    <t xml:space="preserve">Tsalha Salissou </t>
  </si>
  <si>
    <t xml:space="preserve">Ma'azou Elhadji Binia </t>
  </si>
  <si>
    <t xml:space="preserve">Manira Ma'azou </t>
  </si>
  <si>
    <t xml:space="preserve">Moumouna Habibou </t>
  </si>
  <si>
    <t>Habibou</t>
  </si>
  <si>
    <t xml:space="preserve">Ramatou Salissou </t>
  </si>
  <si>
    <t xml:space="preserve">Salissou Elhadji Mati </t>
  </si>
  <si>
    <t xml:space="preserve">Rabi Saminou </t>
  </si>
  <si>
    <t>Saminou Malam Moutari</t>
  </si>
  <si>
    <t xml:space="preserve">Rayanatou Mamane </t>
  </si>
  <si>
    <t>Mamane Rabiou</t>
  </si>
  <si>
    <t xml:space="preserve">Saffa Ma'azou </t>
  </si>
  <si>
    <t>Ma'azou</t>
  </si>
  <si>
    <t xml:space="preserve">Harouna </t>
  </si>
  <si>
    <t xml:space="preserve">Yasmina Salissou Hassan </t>
  </si>
  <si>
    <t xml:space="preserve">Salissou Hassan </t>
  </si>
  <si>
    <t>Dandja 1</t>
  </si>
  <si>
    <t xml:space="preserve">Maman Ali </t>
  </si>
  <si>
    <t xml:space="preserve">Amina Maman </t>
  </si>
  <si>
    <t>Maman Ibrahim</t>
  </si>
  <si>
    <t xml:space="preserve">Amira Maman </t>
  </si>
  <si>
    <t xml:space="preserve">Assamaou Yacouba </t>
  </si>
  <si>
    <t xml:space="preserve">Yacouba  Ousmane </t>
  </si>
  <si>
    <t>Assana Alassan</t>
  </si>
  <si>
    <t>Alassan</t>
  </si>
  <si>
    <t>Brikila Barnaba</t>
  </si>
  <si>
    <t>Barnaba</t>
  </si>
  <si>
    <t>Chapia Saidou</t>
  </si>
  <si>
    <t>Charifa Ibrahim</t>
  </si>
  <si>
    <t>Souley Garba</t>
  </si>
  <si>
    <t>Harissa Laouali</t>
  </si>
  <si>
    <t>Saidou Amadou</t>
  </si>
  <si>
    <t>Firdaoussi Saidou</t>
  </si>
  <si>
    <t>Fadimata Ibrahim</t>
  </si>
  <si>
    <t>Ibrahim Moussa</t>
  </si>
  <si>
    <t>Hamissou Chaibou</t>
  </si>
  <si>
    <t>Hanatou Hamissou</t>
  </si>
  <si>
    <t xml:space="preserve">Hajaratou Yacouba </t>
  </si>
  <si>
    <t>Yacouba Ousmane</t>
  </si>
  <si>
    <t>Yahaya Elhaj Bakoy</t>
  </si>
  <si>
    <t>Houmeira Yahaya</t>
  </si>
  <si>
    <t>Hamissa Souley</t>
  </si>
  <si>
    <t>Souley Haroua</t>
  </si>
  <si>
    <t>Hassana Ibrahim</t>
  </si>
  <si>
    <t>Garba Amadou</t>
  </si>
  <si>
    <t>Kadija Garba</t>
  </si>
  <si>
    <t>Najaatou Kabirou</t>
  </si>
  <si>
    <t>Kabirou</t>
  </si>
  <si>
    <t>Nazifa Ibrahim</t>
  </si>
  <si>
    <t>Ouma Sani</t>
  </si>
  <si>
    <t>Nafsiya Habibou</t>
  </si>
  <si>
    <t>Nassiba Oumar</t>
  </si>
  <si>
    <t>Sani Garba</t>
  </si>
  <si>
    <t>Idi Ali</t>
  </si>
  <si>
    <t>Mariama Idi</t>
  </si>
  <si>
    <t>Majazia Rabe</t>
  </si>
  <si>
    <t>Rabe Ali</t>
  </si>
  <si>
    <t>Mariama Issaka</t>
  </si>
  <si>
    <t>Issaka Issa</t>
  </si>
  <si>
    <t>Issia Moussa</t>
  </si>
  <si>
    <t>Mouchama Issia</t>
  </si>
  <si>
    <t>Mouhoussina Bassirou</t>
  </si>
  <si>
    <t>Bassirou Ousmane</t>
  </si>
  <si>
    <t>Kassimou</t>
  </si>
  <si>
    <t>Mahafouza Kassoumou</t>
  </si>
  <si>
    <t>Roukaya Maman</t>
  </si>
  <si>
    <t>Rakia Halilou</t>
  </si>
  <si>
    <t>Roumassaou Bachir</t>
  </si>
  <si>
    <t>Bachir Amadou</t>
  </si>
  <si>
    <t>Raouda Moustapha</t>
  </si>
  <si>
    <t>Roukaya Abdou</t>
  </si>
  <si>
    <t>Abdou Ibrahim</t>
  </si>
  <si>
    <t>Oumar Sani</t>
  </si>
  <si>
    <t>Sayada Oumar</t>
  </si>
  <si>
    <t>Saima Salissou</t>
  </si>
  <si>
    <t>Salima Ibrahim</t>
  </si>
  <si>
    <t>Sahiba Moussa</t>
  </si>
  <si>
    <t>Zaharia Sani</t>
  </si>
  <si>
    <t>Zara Saadou</t>
  </si>
  <si>
    <t>Roufaida Laouali</t>
  </si>
  <si>
    <t>Laouali Yacouba</t>
  </si>
  <si>
    <t>Sabila Illa</t>
  </si>
  <si>
    <t>Illa Issoufou</t>
  </si>
  <si>
    <t>Maralia Yacouba</t>
  </si>
  <si>
    <t>Yacouba Adamou</t>
  </si>
  <si>
    <t xml:space="preserve">Rafia Chaibou </t>
  </si>
  <si>
    <t>Saadou Chaibou</t>
  </si>
  <si>
    <t>Dan Fillo 3</t>
  </si>
  <si>
    <t>Fati Illia</t>
  </si>
  <si>
    <t>Illia Abdou Bako</t>
  </si>
  <si>
    <t>Salissou Habibou</t>
  </si>
  <si>
    <t>Amadou Salaou</t>
  </si>
  <si>
    <t>Rahanatou Amadou</t>
  </si>
  <si>
    <t>Mansoura Abou</t>
  </si>
  <si>
    <t>Abou Oumarou</t>
  </si>
  <si>
    <t>Aminou Abdoulahi</t>
  </si>
  <si>
    <t>Fati Mahaman</t>
  </si>
  <si>
    <t>Laoauali Djadi</t>
  </si>
  <si>
    <t>Nafissa Ichaou</t>
  </si>
  <si>
    <t>Ichaou Arzika</t>
  </si>
  <si>
    <t>Saidou Sani</t>
  </si>
  <si>
    <t>Nana Fadila Zaharadine</t>
  </si>
  <si>
    <t>Zaharadine Nouhou</t>
  </si>
  <si>
    <t>Kadija Issaka</t>
  </si>
  <si>
    <t>Issaka Moussa</t>
  </si>
  <si>
    <t>Habibou Harouna</t>
  </si>
  <si>
    <t>Aichatou Habibou</t>
  </si>
  <si>
    <t>Ramatou Sanoussi</t>
  </si>
  <si>
    <t>Sanoussi Abba Illa</t>
  </si>
  <si>
    <t>Fati Illa</t>
  </si>
  <si>
    <t>Illa Laouali</t>
  </si>
  <si>
    <t>Inoussa Djadi</t>
  </si>
  <si>
    <t>Rachida Inoussa</t>
  </si>
  <si>
    <t>Nana Roufaida Tsahirou</t>
  </si>
  <si>
    <t>Tsahirou Idi</t>
  </si>
  <si>
    <t>Illia Abara</t>
  </si>
  <si>
    <t>Mariame Illia</t>
  </si>
  <si>
    <t>Iklima Moussa</t>
  </si>
  <si>
    <t>Moussa Aboubacar</t>
  </si>
  <si>
    <t>Hassane Laouali</t>
  </si>
  <si>
    <t>Hassana Hassane</t>
  </si>
  <si>
    <t>Nana Firdaoussi Idrissa</t>
  </si>
  <si>
    <t>Idrissa Harouna</t>
  </si>
  <si>
    <t>Nazirou Souleymae</t>
  </si>
  <si>
    <t>Hassana Nazirou</t>
  </si>
  <si>
    <t>Maimouna Halilou</t>
  </si>
  <si>
    <t>Halilou Souley</t>
  </si>
  <si>
    <t>Harouna Oumarou</t>
  </si>
  <si>
    <t>Firdaoussi Harouna</t>
  </si>
  <si>
    <t>Naamaou Laouali</t>
  </si>
  <si>
    <t>Laouali Issoufou</t>
  </si>
  <si>
    <t>Ousmane Laouali</t>
  </si>
  <si>
    <t>Safia Ousmane</t>
  </si>
  <si>
    <t>Habsatou Ali</t>
  </si>
  <si>
    <t>Ali Abba Illia</t>
  </si>
  <si>
    <t>Idi Mai Nassara</t>
  </si>
  <si>
    <t>Saratou Laouali</t>
  </si>
  <si>
    <t>Laouali Aboubacar</t>
  </si>
  <si>
    <t>Soura Magaji Rogo</t>
  </si>
  <si>
    <t>Farida Moudaha</t>
  </si>
  <si>
    <t>Moudaha Mamae</t>
  </si>
  <si>
    <t>Salissou Mahamadou</t>
  </si>
  <si>
    <t>Roufaida Salissou</t>
  </si>
  <si>
    <t>Kadija Rabiou</t>
  </si>
  <si>
    <t>Rabiou Mamane</t>
  </si>
  <si>
    <t>Laouali Ibrahim</t>
  </si>
  <si>
    <t>Aminatou Laouali</t>
  </si>
  <si>
    <t>Nazifa Arzika</t>
  </si>
  <si>
    <t>Arzika Mamane</t>
  </si>
  <si>
    <t>Kadija Laouali</t>
  </si>
  <si>
    <t>KabirouInoussa</t>
  </si>
  <si>
    <t>Souraya Kabirou</t>
  </si>
  <si>
    <t>Mariama Laminou</t>
  </si>
  <si>
    <t>Laminou Souley</t>
  </si>
  <si>
    <t>Nadia Hamidou</t>
  </si>
  <si>
    <t>Hamidou Aboubacar</t>
  </si>
  <si>
    <t>Sabiou Abou</t>
  </si>
  <si>
    <t>Ousseina Sabiou</t>
  </si>
  <si>
    <t>Zeinab Sani</t>
  </si>
  <si>
    <t>Sani Mahamane</t>
  </si>
  <si>
    <t>Adamou Djika</t>
  </si>
  <si>
    <t>Nana Aichatou Adamou</t>
  </si>
  <si>
    <t>Nana Aicha Rabiou</t>
  </si>
  <si>
    <t>Rabiou Da Baki</t>
  </si>
  <si>
    <t>Assamaou Abdoul Aziz</t>
  </si>
  <si>
    <t>Abdoul Aziz Malan Hassan</t>
  </si>
  <si>
    <t>Amara Maman</t>
  </si>
  <si>
    <t>Maman Idi</t>
  </si>
  <si>
    <t>Azima Rabiou</t>
  </si>
  <si>
    <t>Balkissou Salissou</t>
  </si>
  <si>
    <t>Laouali Mahamane</t>
  </si>
  <si>
    <t>Dayaba Laouali</t>
  </si>
  <si>
    <t>Dayaba Illia</t>
  </si>
  <si>
    <t>Illia Nassirou</t>
  </si>
  <si>
    <t>Nana Fadila  Salissou</t>
  </si>
  <si>
    <t>Fadimatou Abdou</t>
  </si>
  <si>
    <t>Abdou Salaou</t>
  </si>
  <si>
    <t>Fadila Rabiou</t>
  </si>
  <si>
    <t>Rabiou Amadou</t>
  </si>
  <si>
    <t>Leilatou Boubacar</t>
  </si>
  <si>
    <t>Boubacar Issa</t>
  </si>
  <si>
    <t>Nana Mariama Souley</t>
  </si>
  <si>
    <t>Souley Mijiyawa</t>
  </si>
  <si>
    <t>Naima Abdoul Razak</t>
  </si>
  <si>
    <t>Abdoul Razak  Eljika</t>
  </si>
  <si>
    <t>Soufiyanou Ousmane</t>
  </si>
  <si>
    <t>OumoulKair Soufianou</t>
  </si>
  <si>
    <t>Souraya Yacouba</t>
  </si>
  <si>
    <t>Yacouba Mahamadou</t>
  </si>
  <si>
    <t>Sani El Moudou</t>
  </si>
  <si>
    <t>Soumaya Sani</t>
  </si>
  <si>
    <t>Zoubeida Moustapha</t>
  </si>
  <si>
    <t>Moustapha Ousmane</t>
  </si>
  <si>
    <t>Elkokia</t>
  </si>
  <si>
    <t>Alissa Issoufou</t>
  </si>
  <si>
    <t>Issoufou Moussa</t>
  </si>
  <si>
    <t>Chikouriya Laouali</t>
  </si>
  <si>
    <t xml:space="preserve">Laouali Abou </t>
  </si>
  <si>
    <t>Nisseiba Dayabou</t>
  </si>
  <si>
    <t>Dayabou Moussa</t>
  </si>
  <si>
    <t>Rachida Hassan</t>
  </si>
  <si>
    <t>Hassan Ali</t>
  </si>
  <si>
    <t>Kouboura Hamza</t>
  </si>
  <si>
    <t>Hamza Boubacar</t>
  </si>
  <si>
    <t>Assama Sani</t>
  </si>
  <si>
    <t>Sani Yaou</t>
  </si>
  <si>
    <t>Maman Chaibou</t>
  </si>
  <si>
    <t>Hamissou Issoufou</t>
  </si>
  <si>
    <t>Zaraou Inoussa</t>
  </si>
  <si>
    <t>Inoussa Salihou</t>
  </si>
  <si>
    <t>Massaoudou Inoussa</t>
  </si>
  <si>
    <t>Zeynabou Massaoudou</t>
  </si>
  <si>
    <t>Amadou Salihou</t>
  </si>
  <si>
    <t>Choukouriya Amadou</t>
  </si>
  <si>
    <t>Saoudiya Yahaya</t>
  </si>
  <si>
    <t>Yahaya Ali</t>
  </si>
  <si>
    <t xml:space="preserve">Mariama Chaibou </t>
  </si>
  <si>
    <t>Chaibou Harouna</t>
  </si>
  <si>
    <t>Aicha Garba</t>
  </si>
  <si>
    <t>Garba Moussa</t>
  </si>
  <si>
    <t>Oumarou Koini</t>
  </si>
  <si>
    <t>Laouali Mantaou</t>
  </si>
  <si>
    <t>Rafia Souleymane</t>
  </si>
  <si>
    <t>Souleymane Mamane</t>
  </si>
  <si>
    <t>Nabila Yahaya</t>
  </si>
  <si>
    <t>Yahaya Oumarou</t>
  </si>
  <si>
    <t>Yasmina Rabe</t>
  </si>
  <si>
    <t>Rabe Sani</t>
  </si>
  <si>
    <t>Zaharia Salissou</t>
  </si>
  <si>
    <t>Salissou Ousmane</t>
  </si>
  <si>
    <t>Nafiou Sani</t>
  </si>
  <si>
    <t>Aicha Nafiou</t>
  </si>
  <si>
    <t>Youssira Issoufou</t>
  </si>
  <si>
    <t>Issoufou Labo</t>
  </si>
  <si>
    <t>Salissou Mati</t>
  </si>
  <si>
    <t>Malika Salissou</t>
  </si>
  <si>
    <t>Kadija Mati</t>
  </si>
  <si>
    <t>Mati Labo</t>
  </si>
  <si>
    <t>Rabe Mati Arzika</t>
  </si>
  <si>
    <t>Hassana Rabe</t>
  </si>
  <si>
    <t>Nana Firdaoussi Tassiou</t>
  </si>
  <si>
    <t>Tassiou Maman</t>
  </si>
  <si>
    <t>Hamissou Souley</t>
  </si>
  <si>
    <t>Mariam Laminou</t>
  </si>
  <si>
    <t>Djari</t>
  </si>
  <si>
    <t>Chamsiya Yahaya</t>
  </si>
  <si>
    <t>Yahaya Mati</t>
  </si>
  <si>
    <t>Nouhou Amadou</t>
  </si>
  <si>
    <t>Habsatou Nouhou</t>
  </si>
  <si>
    <t>Kadija Soufianou</t>
  </si>
  <si>
    <t>Soufianou Ousmane</t>
  </si>
  <si>
    <t>Salelle Labo</t>
  </si>
  <si>
    <t>Ibrahim Maman</t>
  </si>
  <si>
    <t>Hanifa Ibrahim</t>
  </si>
  <si>
    <t>Mariam Laouali</t>
  </si>
  <si>
    <t>Laouali Moussa</t>
  </si>
  <si>
    <t>Zaharaou Laouali</t>
  </si>
  <si>
    <t>Laouali Yahaya</t>
  </si>
  <si>
    <t>Souley Maazou</t>
  </si>
  <si>
    <t>Zeinab Souley</t>
  </si>
  <si>
    <t>Saadia Moussa</t>
  </si>
  <si>
    <t>Moussa Elhaj Salaou</t>
  </si>
  <si>
    <t>Laouali Amadou</t>
  </si>
  <si>
    <t>Kourssiya Laouali</t>
  </si>
  <si>
    <t>Kadija Hadi</t>
  </si>
  <si>
    <t>Hadi Sani</t>
  </si>
  <si>
    <t>Illa Moussa</t>
  </si>
  <si>
    <t>Yasmina Illa</t>
  </si>
  <si>
    <t>Nazira Souley</t>
  </si>
  <si>
    <t>Souley Yahaya</t>
  </si>
  <si>
    <t>Laouali Adamou</t>
  </si>
  <si>
    <t>Rabiou Boubé</t>
  </si>
  <si>
    <t>Rafia Rabiou</t>
  </si>
  <si>
    <t>Ainaou Ousmane</t>
  </si>
  <si>
    <t>Nabila Ousmane</t>
  </si>
  <si>
    <t>Massabila Oumarou</t>
  </si>
  <si>
    <t xml:space="preserve">Chamsiya Iro </t>
  </si>
  <si>
    <t xml:space="preserve">Iro </t>
  </si>
  <si>
    <t>Jamila Oumarou</t>
  </si>
  <si>
    <t xml:space="preserve">Ainaou Sabiou </t>
  </si>
  <si>
    <t>Sabiou Samaila</t>
  </si>
  <si>
    <t>Zaharaou Saidou</t>
  </si>
  <si>
    <t>Mariam Maazou</t>
  </si>
  <si>
    <t>Zeinabou Saminou</t>
  </si>
  <si>
    <t xml:space="preserve">Saminou  </t>
  </si>
  <si>
    <t>Hadiza Idi</t>
  </si>
  <si>
    <t>Amira Maman</t>
  </si>
  <si>
    <t>Nana Fatsima Issa</t>
  </si>
  <si>
    <t>Issa Moussa</t>
  </si>
  <si>
    <t>Halimatou Saadia Abdou</t>
  </si>
  <si>
    <t xml:space="preserve">Mariam Issoufou </t>
  </si>
  <si>
    <t>Issoufou Harouna</t>
  </si>
  <si>
    <t>Nana Aicha Chaibou</t>
  </si>
  <si>
    <t>Salbia Sabiou</t>
  </si>
  <si>
    <t>Oumera Issoufou</t>
  </si>
  <si>
    <t>Malika Sanoussi</t>
  </si>
  <si>
    <t>Abassia Hamissou</t>
  </si>
  <si>
    <t>Charifa Idrissa</t>
  </si>
  <si>
    <t xml:space="preserve">Idrissa  </t>
  </si>
  <si>
    <t>Moustahida Oumarou</t>
  </si>
  <si>
    <t>Sahanatou Ousmane</t>
  </si>
  <si>
    <t>Assamaou Ousmane</t>
  </si>
  <si>
    <t xml:space="preserve">Nadjiba Haladou </t>
  </si>
  <si>
    <t xml:space="preserve">Haladou Maman Sani </t>
  </si>
  <si>
    <t>Minawara Salelle</t>
  </si>
  <si>
    <t xml:space="preserve">Total des Filles </t>
  </si>
  <si>
    <t>Massa'ouda  Sabiou</t>
  </si>
  <si>
    <t xml:space="preserve">Rachida Maman </t>
  </si>
  <si>
    <t>Djamila Souley</t>
  </si>
  <si>
    <t xml:space="preserve">Aicha Sabiou </t>
  </si>
  <si>
    <t>Firdaoussi Adamou</t>
  </si>
  <si>
    <t>Adamou Hachimou</t>
  </si>
  <si>
    <t xml:space="preserve">Sabon Garin Kolta </t>
  </si>
  <si>
    <t>Soueba Ayouba</t>
  </si>
  <si>
    <t>Maida Salifou</t>
  </si>
  <si>
    <t xml:space="preserve">Salifou </t>
  </si>
  <si>
    <t>Azima Baraou</t>
  </si>
  <si>
    <t>Baraou</t>
  </si>
  <si>
    <t xml:space="preserve">Salima Sa'adou </t>
  </si>
  <si>
    <t xml:space="preserve">Sa'adou </t>
  </si>
  <si>
    <t>Nassiba Rabiou</t>
  </si>
  <si>
    <t xml:space="preserve">Rabiou </t>
  </si>
  <si>
    <t xml:space="preserve">Tibiri-Gobir </t>
  </si>
  <si>
    <t xml:space="preserve">Maman </t>
  </si>
  <si>
    <t>Zalika Sani</t>
  </si>
  <si>
    <t xml:space="preserve">Fatsima Hassan </t>
  </si>
  <si>
    <t xml:space="preserve">Hassan </t>
  </si>
  <si>
    <t xml:space="preserve">Charifa Hambali </t>
  </si>
  <si>
    <t xml:space="preserve">Hambali </t>
  </si>
  <si>
    <t>Zeinab Sa'idou</t>
  </si>
  <si>
    <t xml:space="preserve">Sa'idou </t>
  </si>
  <si>
    <t xml:space="preserve">Mansoura Harouna </t>
  </si>
  <si>
    <t>Chamsiya Ousseini</t>
  </si>
  <si>
    <t>Ousseini</t>
  </si>
  <si>
    <t>Yesmina Tsahirou</t>
  </si>
  <si>
    <t xml:space="preserve">Tsahirou </t>
  </si>
  <si>
    <t xml:space="preserve">Aichatou Noura </t>
  </si>
  <si>
    <t>Noura</t>
  </si>
  <si>
    <t xml:space="preserve">Fa'iza Yahaya </t>
  </si>
  <si>
    <t xml:space="preserve">Kadidja Maman </t>
  </si>
  <si>
    <t xml:space="preserve">Nana Bassira Aweissou </t>
  </si>
  <si>
    <t>Aweissou</t>
  </si>
  <si>
    <t xml:space="preserve">Fadila Inoussa </t>
  </si>
  <si>
    <t xml:space="preserve">Inoussa </t>
  </si>
  <si>
    <t xml:space="preserve">Soura Sarkin Galma 2 </t>
  </si>
  <si>
    <t xml:space="preserve">Fatouma Salissou </t>
  </si>
  <si>
    <t xml:space="preserve">Hamziya Maman </t>
  </si>
  <si>
    <t xml:space="preserve">Mamane </t>
  </si>
  <si>
    <t xml:space="preserve">Houmeira Salissou </t>
  </si>
  <si>
    <t>Pélina Hamissou</t>
  </si>
  <si>
    <t xml:space="preserve">Aicha Amadou </t>
  </si>
  <si>
    <t xml:space="preserve">Mouchtahida Mourtala </t>
  </si>
  <si>
    <t xml:space="preserve">Mourtala </t>
  </si>
  <si>
    <t xml:space="preserve">Aziza Nouhou </t>
  </si>
  <si>
    <t xml:space="preserve">Roufa'atou Abdou Salam </t>
  </si>
  <si>
    <t xml:space="preserve">Souraya Illa </t>
  </si>
  <si>
    <t xml:space="preserve">Abdoul Malik </t>
  </si>
  <si>
    <t>Kadija Aminou</t>
  </si>
  <si>
    <t>Roukaya Salissou</t>
  </si>
  <si>
    <t>Haissa Mountaka</t>
  </si>
  <si>
    <t>Nisseiba Sani</t>
  </si>
  <si>
    <t>Malika Hamissou</t>
  </si>
  <si>
    <t>Nouhou</t>
  </si>
  <si>
    <t>Ramlatou Ado</t>
  </si>
  <si>
    <t xml:space="preserve">Yassira Harouna </t>
  </si>
  <si>
    <t>Aicha Halilou</t>
  </si>
  <si>
    <t>01/01/2012 à Mallamai Saboua</t>
  </si>
  <si>
    <t>01/01/2013 à Mallamai Saboua</t>
  </si>
  <si>
    <t>31/12/2013 à Mallamai Saboua</t>
  </si>
  <si>
    <t>12/12/2012 à Garin Yari Idi</t>
  </si>
  <si>
    <t>31/12/2013 à Waraou</t>
  </si>
  <si>
    <t>01/01/2013 à Kadata</t>
  </si>
  <si>
    <t>31/12/2013 à Kadata</t>
  </si>
  <si>
    <t>31/12/2013 à Barouana</t>
  </si>
  <si>
    <t>31/12/2013 à Sabon Garin Kolta</t>
  </si>
  <si>
    <t>01/01/2013 à Safo Nassaraoua</t>
  </si>
  <si>
    <t>01/01/2013 à Kalgon Waraou</t>
  </si>
  <si>
    <t>01/01/2011 à Kalgon Waraou</t>
  </si>
  <si>
    <t>31/12/2012 à Soura Sarkin Galma</t>
  </si>
  <si>
    <t>31/12/2013 à Soura Sarkin Galma</t>
  </si>
  <si>
    <t>01/01/2013 à Oubandoma Alfasha</t>
  </si>
  <si>
    <t>01/01/2013 à Tibiri</t>
  </si>
  <si>
    <t>01/01/2013 à Mountarou Bermo</t>
  </si>
  <si>
    <t>01/01/2012 à Mountarou Bermo</t>
  </si>
  <si>
    <t>01/01/2011 à Mountarou Bermo</t>
  </si>
  <si>
    <t>31/12/2011 à Soura Sarkin Galma</t>
  </si>
  <si>
    <t>Maradou Centre</t>
  </si>
  <si>
    <t xml:space="preserve">Hanifa Abdoul Malik </t>
  </si>
  <si>
    <t>Oubeida Sani</t>
  </si>
  <si>
    <t>ElKokia</t>
  </si>
  <si>
    <t>01/01/2012 à Kountarou mai rairai</t>
  </si>
  <si>
    <t>31/12/2012 à Kadigaoua</t>
  </si>
  <si>
    <t>01/01/2013 à Takalmaoua</t>
  </si>
  <si>
    <t>01/01/2013 à Danja</t>
  </si>
  <si>
    <t>01/01/2012 à Tibiri</t>
  </si>
  <si>
    <t>31/12/2011 à Soura Magagi Rogo</t>
  </si>
  <si>
    <t>31/12/2012 à Soura Magagi Rogo</t>
  </si>
  <si>
    <t>31/12/2013 à Soura Magagi Rogo</t>
  </si>
  <si>
    <t>31/12/2012 à Maradi</t>
  </si>
  <si>
    <t>09/07/2013 à Niamey</t>
  </si>
  <si>
    <t>01/01/2012 à Keguel</t>
  </si>
  <si>
    <t>01/01/2013 à Keguel</t>
  </si>
  <si>
    <t>01/01/2013 à Elkokia</t>
  </si>
  <si>
    <t>Mme Issaka Maria</t>
  </si>
  <si>
    <t>Mme Ibrahim Nafissa</t>
  </si>
  <si>
    <t>Mme Alio Ramatoulaye</t>
  </si>
  <si>
    <t>Mme Aboubacar Maria</t>
  </si>
  <si>
    <t>Mme Omar Maimouna</t>
  </si>
  <si>
    <t>Mme Kadi Hassan</t>
  </si>
  <si>
    <t>Mme Abdou Salam Rakia</t>
  </si>
  <si>
    <t>Mme Mahaman Habsou</t>
  </si>
  <si>
    <t>Mme Sani Ramatou</t>
  </si>
  <si>
    <t>Mme Ismael Mariama Idi</t>
  </si>
  <si>
    <t>Mme Amina Mamane</t>
  </si>
  <si>
    <t xml:space="preserve">Mme Mohamed Ramatoulaye </t>
  </si>
  <si>
    <t>Mme Maman Fatimata</t>
  </si>
  <si>
    <t>Mme Fatima Oumarou Chekaraou</t>
  </si>
  <si>
    <t>Mme Yaou Fatima Hassan</t>
  </si>
  <si>
    <t>Mme Nafissatou Miko Mati</t>
  </si>
  <si>
    <t>Mme Rabi Garba</t>
  </si>
  <si>
    <t>Mme Massaoudou Djamila</t>
  </si>
  <si>
    <t>Mme Amadou Balkissa</t>
  </si>
  <si>
    <t>Mme Mahaman Sani Mariama</t>
  </si>
  <si>
    <t>Mme Tsayabou Halima</t>
  </si>
  <si>
    <t>Mme Adam Aichatou</t>
  </si>
  <si>
    <t>Roumanatou Yacouba</t>
  </si>
  <si>
    <t>Yacouba</t>
  </si>
  <si>
    <t>Mme Makaou Maraliya</t>
  </si>
  <si>
    <t>Mme Rahila Harouna</t>
  </si>
  <si>
    <t>Mme Rachida Saidou</t>
  </si>
  <si>
    <t>Mme Zouera Boubacar</t>
  </si>
  <si>
    <t>Mme Moussa Rahamou</t>
  </si>
  <si>
    <t>Mme Saratou Maman Souley</t>
  </si>
  <si>
    <t>Mme Zeinabou Malan Habou</t>
  </si>
  <si>
    <t>Mme Hamissou Mariama</t>
  </si>
  <si>
    <t>Mme Laouali Amina Issa</t>
  </si>
  <si>
    <t xml:space="preserve">Mme Laouali Amina </t>
  </si>
  <si>
    <t>Mme Adamou Nafissa</t>
  </si>
  <si>
    <t xml:space="preserve">Fati Sa'âdou </t>
  </si>
  <si>
    <t>NB:</t>
  </si>
  <si>
    <t>0 C'est-à-dire la fille a composé, elle a eu 0</t>
  </si>
  <si>
    <t>Case vide la fille n'a pas composé</t>
  </si>
  <si>
    <t>Zeinab Maârou</t>
  </si>
  <si>
    <t xml:space="preserve">Nidja'âtou Abdou  </t>
  </si>
  <si>
    <t>Oumaira Abdou</t>
  </si>
  <si>
    <t xml:space="preserve"> </t>
  </si>
  <si>
    <t>transferée</t>
  </si>
  <si>
    <t>abandon</t>
  </si>
  <si>
    <t>BASELINE</t>
  </si>
  <si>
    <t>Est-ce qu'il y a des filles qui echoue l'examen en CM1 qui font HM CM1 une 2em fois?</t>
  </si>
  <si>
    <t>Français /20</t>
  </si>
  <si>
    <t>Transfers</t>
  </si>
  <si>
    <t>Abandons</t>
  </si>
  <si>
    <t>NIVEAU CM1</t>
  </si>
  <si>
    <t>Mathématique/20</t>
  </si>
  <si>
    <t>Français /202</t>
  </si>
  <si>
    <t>Total</t>
  </si>
  <si>
    <t xml:space="preserve">Marcus Calculations </t>
  </si>
  <si>
    <t>math</t>
  </si>
  <si>
    <t>french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</si>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</sst>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 Black"/>
      <family val="2"/>
    </font>
    <font>
      <sz val="11"/>
      <color theme="1"/>
      <name val="Arial Black"/>
      <family val="2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8" fillId="2" borderId="0" xfId="0" applyFont="1" applyFill="1"/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horizontal="center"/>
    </xf>
    <xf numFmtId="14" fontId="11" fillId="0" borderId="1" xfId="0" applyNumberFormat="1" applyFont="1" applyBorder="1" applyAlignment="1">
      <alignment horizontal="left"/>
    </xf>
    <xf numFmtId="0" fontId="12" fillId="0" borderId="1" xfId="0" applyFont="1" applyBorder="1"/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right"/>
    </xf>
    <xf numFmtId="0" fontId="11" fillId="0" borderId="0" xfId="0" applyFont="1" applyAlignment="1">
      <alignment horizontal="left"/>
    </xf>
    <xf numFmtId="0" fontId="11" fillId="0" borderId="1" xfId="0" applyFont="1" applyBorder="1"/>
    <xf numFmtId="0" fontId="12" fillId="0" borderId="0" xfId="0" applyFont="1"/>
    <xf numFmtId="0" fontId="11" fillId="0" borderId="0" xfId="0" applyFont="1" applyAlignment="1">
      <alignment horizontal="right"/>
    </xf>
    <xf numFmtId="0" fontId="12" fillId="3" borderId="1" xfId="0" applyFont="1" applyFill="1" applyBorder="1"/>
    <xf numFmtId="0" fontId="12" fillId="3" borderId="1" xfId="0" applyFont="1" applyFill="1" applyBorder="1" applyAlignment="1">
      <alignment wrapText="1"/>
    </xf>
    <xf numFmtId="0" fontId="12" fillId="0" borderId="5" xfId="0" applyFont="1" applyBorder="1"/>
    <xf numFmtId="0" fontId="12" fillId="0" borderId="6" xfId="0" applyFont="1" applyBorder="1"/>
    <xf numFmtId="0" fontId="12" fillId="2" borderId="1" xfId="0" applyFont="1" applyFill="1" applyBorder="1"/>
    <xf numFmtId="0" fontId="4" fillId="4" borderId="0" xfId="0" applyFont="1" applyFill="1"/>
    <xf numFmtId="0" fontId="11" fillId="0" borderId="0" xfId="0" applyFont="1"/>
    <xf numFmtId="0" fontId="4" fillId="6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3" fillId="7" borderId="0" xfId="0" applyFont="1" applyFill="1"/>
    <xf numFmtId="0" fontId="0" fillId="7" borderId="0" xfId="0" applyFill="1"/>
    <xf numFmtId="0" fontId="14" fillId="0" borderId="0" xfId="0" applyFont="1" applyAlignment="1">
      <alignment horizontal="left"/>
    </xf>
    <xf numFmtId="0" fontId="2" fillId="8" borderId="0" xfId="0" applyFont="1" applyFill="1"/>
    <xf numFmtId="0" fontId="0" fillId="8" borderId="0" xfId="0" applyFill="1" applyAlignment="1">
      <alignment horizontal="center"/>
    </xf>
    <xf numFmtId="0" fontId="2" fillId="0" borderId="0" xfId="0" applyFont="1" applyAlignment="1">
      <alignment horizontal="left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5" fillId="9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7" borderId="0" xfId="0" applyFont="1" applyFill="1" applyAlignment="1">
      <alignment horizontal="left"/>
    </xf>
    <xf numFmtId="0" fontId="12" fillId="7" borderId="1" xfId="0" applyFont="1" applyFill="1" applyBorder="1" applyAlignment="1">
      <alignment horizontal="center" wrapText="1"/>
    </xf>
    <xf numFmtId="0" fontId="12" fillId="7" borderId="1" xfId="0" applyFont="1" applyFill="1" applyBorder="1"/>
    <xf numFmtId="0" fontId="12" fillId="7" borderId="1" xfId="0" applyFont="1" applyFill="1" applyBorder="1" applyAlignment="1">
      <alignment horizontal="right"/>
    </xf>
    <xf numFmtId="2" fontId="1" fillId="7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2" fontId="2" fillId="7" borderId="1" xfId="0" applyNumberFormat="1" applyFont="1" applyFill="1" applyBorder="1" applyAlignment="1">
      <alignment horizontal="center"/>
    </xf>
    <xf numFmtId="0" fontId="4" fillId="10" borderId="0" xfId="0" applyFont="1" applyFill="1" applyAlignment="1">
      <alignment horizontal="center"/>
    </xf>
    <xf numFmtId="0" fontId="4" fillId="10" borderId="0" xfId="0" applyFont="1" applyFill="1" applyAlignment="1">
      <alignment horizontal="left"/>
    </xf>
    <xf numFmtId="0" fontId="12" fillId="10" borderId="1" xfId="0" applyFont="1" applyFill="1" applyBorder="1" applyAlignment="1">
      <alignment horizontal="center" wrapText="1"/>
    </xf>
    <xf numFmtId="0" fontId="12" fillId="10" borderId="1" xfId="0" applyFont="1" applyFill="1" applyBorder="1"/>
    <xf numFmtId="0" fontId="12" fillId="10" borderId="0" xfId="0" applyFont="1" applyFill="1" applyAlignment="1">
      <alignment horizontal="right"/>
    </xf>
    <xf numFmtId="0" fontId="12" fillId="10" borderId="0" xfId="0" applyFont="1" applyFill="1" applyAlignment="1">
      <alignment horizontal="center"/>
    </xf>
    <xf numFmtId="2" fontId="1" fillId="10" borderId="0" xfId="0" applyNumberFormat="1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0" fillId="10" borderId="0" xfId="0" applyFill="1" applyAlignment="1">
      <alignment horizontal="center"/>
    </xf>
    <xf numFmtId="0" fontId="12" fillId="10" borderId="1" xfId="0" applyFont="1" applyFill="1" applyBorder="1" applyAlignment="1">
      <alignment horizontal="right"/>
    </xf>
    <xf numFmtId="2" fontId="2" fillId="10" borderId="1" xfId="0" applyNumberFormat="1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12" fillId="11" borderId="1" xfId="0" applyFont="1" applyFill="1" applyBorder="1" applyAlignment="1">
      <alignment horizontal="center" wrapText="1"/>
    </xf>
    <xf numFmtId="0" fontId="12" fillId="11" borderId="1" xfId="0" applyFont="1" applyFill="1" applyBorder="1"/>
    <xf numFmtId="2" fontId="1" fillId="11" borderId="0" xfId="0" applyNumberFormat="1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2" fontId="2" fillId="11" borderId="1" xfId="0" applyNumberFormat="1" applyFont="1" applyFill="1" applyBorder="1" applyAlignment="1">
      <alignment horizontal="center"/>
    </xf>
    <xf numFmtId="2" fontId="0" fillId="7" borderId="0" xfId="0" applyNumberFormat="1" applyFill="1" applyAlignment="1">
      <alignment horizontal="center"/>
    </xf>
    <xf numFmtId="2" fontId="0" fillId="10" borderId="0" xfId="0" applyNumberFormat="1" applyFill="1" applyAlignment="1">
      <alignment horizontal="center"/>
    </xf>
    <xf numFmtId="2" fontId="0" fillId="11" borderId="0" xfId="0" applyNumberFormat="1" applyFill="1" applyAlignment="1">
      <alignment horizontal="center"/>
    </xf>
  </cellXfs>
  <cellStyles count="1">
    <cellStyle name="Normal" xfId="0" builtinId="0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numFmt numFmtId="0" formatCode="General"/>
      <fill>
        <patternFill>
          <fgColor indexed="64"/>
          <bgColor theme="8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numFmt numFmtId="0" formatCode="General"/>
      <fill>
        <patternFill>
          <fgColor indexed="64"/>
          <bgColor theme="8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none">
          <fgColor indexed="64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>
          <fgColor indexed="64"/>
          <bgColor theme="5" tint="0.59999389629810485"/>
        </patternFill>
      </fill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fill>
        <patternFill patternType="solid">
          <fgColor indexed="64"/>
          <bgColor theme="5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Times New Roman"/>
        <scheme val="none"/>
      </font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Times New Roman"/>
        <scheme val="none"/>
      </font>
      <fill>
        <patternFill>
          <fgColor indexed="64"/>
        </patternFill>
      </fill>
      <alignment horizontal="center" vertical="bottom" textRotation="0" wrapText="0" indent="0" justifyLastLine="0" shrinkToFit="0" readingOrder="0"/>
      <border diagonalUp="0" diagonalDown="0" outline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9" tint="-0.249977111117893"/>
        </patternFill>
      </fill>
      <alignment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152875</xdr:rowOff>
    </xdr:from>
    <xdr:to>
      <xdr:col>1</xdr:col>
      <xdr:colOff>0</xdr:colOff>
      <xdr:row>4</xdr:row>
      <xdr:rowOff>22989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544080"/>
          <a:ext cx="1525134" cy="794266"/>
        </a:xfrm>
        <a:prstGeom prst="rect">
          <a:avLst/>
        </a:prstGeom>
        <a:noFill/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au2" displayName="Tableau2" ref="A5:Q550" totalsRowCount="1" headerRowDxfId="41" dataDxfId="39" totalsRowDxfId="37" headerRowBorderDxfId="40" tableBorderDxfId="38">
  <autoFilter ref="A5:Q549" xr:uid="{00000000-0009-0000-0100-000002000000}"/>
  <sortState xmlns:xlrd2="http://schemas.microsoft.com/office/spreadsheetml/2017/richdata2" ref="A328:Q339">
    <sortCondition descending="1" ref="A5:A549"/>
  </sortState>
  <tableColumns count="17">
    <tableColumn id="62" xr3:uid="{00000000-0010-0000-0000-00003E000000}" name="Ecole " totalsRowLabel="Total" dataDxfId="36" totalsRowDxfId="25"/>
    <tableColumn id="3" xr3:uid="{00000000-0010-0000-0000-000003000000}" name=" Commune" dataDxfId="35" totalsRowDxfId="24"/>
    <tableColumn id="4" xr3:uid="{00000000-0010-0000-0000-000004000000}" name="Nom et prénom de la fille" dataDxfId="34" totalsRowDxfId="23"/>
    <tableColumn id="9" xr3:uid="{00000000-0010-0000-0000-000009000000}" name="Nom et prénom du père " dataDxfId="33" totalsRowDxfId="22"/>
    <tableColumn id="1" xr3:uid="{00000000-0010-0000-0000-000001000000}" name="Nom de Titulaire de la fille au club  " dataDxfId="32" totalsRowDxfId="21"/>
    <tableColumn id="6" xr3:uid="{00000000-0010-0000-0000-000006000000}" name="Date de Naissance" dataDxfId="31" totalsRowDxfId="20"/>
    <tableColumn id="56" xr3:uid="{00000000-0010-0000-0000-000038000000}" name="Annee d'inscription au programme" dataDxfId="30" totalsRowDxfId="19"/>
    <tableColumn id="57" xr3:uid="{00000000-0010-0000-0000-000039000000}" name="Code d'ecole" dataDxfId="29" totalsRowDxfId="18"/>
    <tableColumn id="59" xr3:uid="{00000000-0010-0000-0000-00003B000000}" name="Numero HM de la femme" dataDxfId="28" totalsRowDxfId="17"/>
    <tableColumn id="60" xr3:uid="{00000000-0010-0000-0000-00003C000000}" name="Identifiant Unique" dataDxfId="27" totalsRowDxfId="16">
      <calculatedColumnFormula>Tableau2[[#This Row],[Annee d''inscription au programme]]&amp;"-"&amp;Tableau2[[#This Row],[Code d''ecole]]&amp;"-"&amp;Tableau2[[#This Row],[Numero HM de la femme]]</calculatedColumnFormula>
    </tableColumn>
    <tableColumn id="10" xr3:uid="{00000000-0010-0000-0000-00000A000000}" name="Total des Filles " dataDxfId="26" totalsRowDxfId="15"/>
    <tableColumn id="11" xr3:uid="{00000000-0010-0000-0000-00000B000000}" name="Mathématique/20" totalsRowFunction="average" dataDxfId="11" totalsRowDxfId="0"/>
    <tableColumn id="12" xr3:uid="{00000000-0010-0000-0000-00000C000000}" name="Français /20" totalsRowFunction="average" dataDxfId="8" totalsRowDxfId="7"/>
    <tableColumn id="54" xr3:uid="{00000000-0010-0000-0000-000036000000}" name="Moyenne générale" totalsRowFunction="average" dataDxfId="4" totalsRowDxfId="3"/>
    <tableColumn id="8" xr3:uid="{00000000-0010-0000-0000-000008000000}" name="Mathématique /20" totalsRowFunction="average" dataDxfId="10" totalsRowDxfId="9"/>
    <tableColumn id="7" xr3:uid="{00000000-0010-0000-0000-000007000000}" name="Français /202" totalsRowFunction="average" dataDxfId="6" totalsRowDxfId="5"/>
    <tableColumn id="5" xr3:uid="{00000000-0010-0000-0000-000005000000}" name="Moyenne générale2" totalsRowFunction="average" dataDxfId="2" totalsRowDxfId="1">
      <calculatedColumnFormula>(Tableau2[[#This Row],[Mathématique /20]]+Tableau2[[#This Row],[Français /202]])/2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Jaune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58"/>
  <sheetViews>
    <sheetView tabSelected="1" zoomScale="120" zoomScaleNormal="120" workbookViewId="0">
      <pane xSplit="3" ySplit="4" topLeftCell="F541" activePane="bottomRight" state="frozen"/>
      <selection pane="topRight" activeCell="D1" sqref="D1"/>
      <selection pane="bottomLeft" activeCell="A7" sqref="A7"/>
      <selection pane="bottomRight" activeCell="N556" sqref="N556"/>
    </sheetView>
  </sheetViews>
  <sheetFormatPr baseColWidth="10" defaultColWidth="11.5" defaultRowHeight="15" x14ac:dyDescent="0.2"/>
  <cols>
    <col min="1" max="1" width="21.83203125" customWidth="1"/>
    <col min="2" max="2" width="17.5" customWidth="1"/>
    <col min="3" max="3" width="19.5" customWidth="1"/>
    <col min="4" max="4" width="20.6640625" customWidth="1"/>
    <col min="5" max="5" width="21.1640625" customWidth="1"/>
    <col min="6" max="6" width="31.83203125" customWidth="1"/>
    <col min="7" max="8" width="10.5" customWidth="1"/>
    <col min="9" max="9" width="9.5" customWidth="1"/>
    <col min="10" max="10" width="15.83203125" customWidth="1"/>
    <col min="11" max="11" width="11.83203125" customWidth="1"/>
    <col min="12" max="12" width="14.83203125" style="47" customWidth="1"/>
    <col min="13" max="13" width="12.1640625" style="58" customWidth="1"/>
    <col min="14" max="14" width="11" style="67" customWidth="1"/>
    <col min="15" max="15" width="12" style="47" customWidth="1"/>
    <col min="16" max="16" width="11" style="58" customWidth="1"/>
    <col min="17" max="17" width="14.5" style="67" customWidth="1"/>
    <col min="18" max="18" width="10.5" customWidth="1"/>
    <col min="19" max="19" width="14" style="1" customWidth="1"/>
    <col min="20" max="20" width="12.5" style="1" customWidth="1"/>
    <col min="21" max="21" width="14.5" style="1" customWidth="1"/>
    <col min="22" max="22" width="13" style="1" customWidth="1"/>
    <col min="27" max="27" width="13.1640625" customWidth="1"/>
    <col min="29" max="29" width="14.33203125" customWidth="1"/>
    <col min="34" max="34" width="12.5" customWidth="1"/>
    <col min="44" max="44" width="14" customWidth="1"/>
    <col min="52" max="52" width="12.6640625" customWidth="1"/>
    <col min="54" max="54" width="22.33203125" customWidth="1"/>
    <col min="55" max="55" width="17.33203125" customWidth="1"/>
  </cols>
  <sheetData>
    <row r="1" spans="1:53" s="2" customFormat="1" ht="17" x14ac:dyDescent="0.25">
      <c r="C1" s="3"/>
      <c r="D1" s="3"/>
      <c r="E1" s="3"/>
      <c r="L1" s="39"/>
      <c r="M1" s="49"/>
      <c r="N1" s="61"/>
      <c r="O1" s="39"/>
      <c r="P1" s="49"/>
      <c r="Q1" s="61"/>
      <c r="R1" s="24" t="s">
        <v>1081</v>
      </c>
      <c r="S1" s="24">
        <f>1+1+1+1</f>
        <v>4</v>
      </c>
      <c r="T1" s="4"/>
      <c r="U1" s="4"/>
    </row>
    <row r="2" spans="1:53" s="2" customFormat="1" ht="19" x14ac:dyDescent="0.25">
      <c r="B2" s="6" t="s">
        <v>14</v>
      </c>
      <c r="C2" s="6"/>
      <c r="D2" s="6"/>
      <c r="E2" s="7"/>
      <c r="G2" s="22"/>
      <c r="L2" s="40"/>
      <c r="M2" s="50"/>
      <c r="N2" s="61"/>
      <c r="O2" s="39"/>
      <c r="P2" s="49"/>
      <c r="Q2" s="61"/>
      <c r="R2" s="25" t="s">
        <v>1082</v>
      </c>
      <c r="S2" s="25">
        <f>1+1+1+1</f>
        <v>4</v>
      </c>
      <c r="T2" s="4"/>
      <c r="U2" s="4"/>
    </row>
    <row r="3" spans="1:53" s="2" customFormat="1" ht="19" x14ac:dyDescent="0.25">
      <c r="B3" s="6" t="s">
        <v>15</v>
      </c>
      <c r="C3" s="6"/>
      <c r="D3" s="6"/>
      <c r="E3" s="7"/>
      <c r="G3" s="22" t="s">
        <v>1079</v>
      </c>
      <c r="L3" s="39"/>
      <c r="M3" s="49"/>
      <c r="N3" s="61"/>
      <c r="O3" s="39"/>
      <c r="P3" s="49"/>
      <c r="Q3" s="61"/>
      <c r="R3" s="4" t="s">
        <v>1075</v>
      </c>
      <c r="S3" s="4"/>
      <c r="T3" s="4"/>
      <c r="U3" s="4"/>
    </row>
    <row r="4" spans="1:53" ht="18" x14ac:dyDescent="0.2">
      <c r="B4" s="6" t="s">
        <v>1083</v>
      </c>
      <c r="C4" s="6"/>
      <c r="D4" s="6"/>
      <c r="E4" s="6"/>
      <c r="F4" s="8"/>
      <c r="I4" s="8"/>
      <c r="J4" s="8"/>
      <c r="K4" s="8"/>
      <c r="L4" s="32" t="s">
        <v>1078</v>
      </c>
      <c r="M4" s="33"/>
      <c r="N4" s="34"/>
      <c r="O4" s="35" t="s">
        <v>10</v>
      </c>
      <c r="P4" s="36"/>
      <c r="Q4" s="37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</row>
    <row r="5" spans="1:53" s="5" customFormat="1" ht="32" customHeight="1" x14ac:dyDescent="0.2">
      <c r="A5" s="17" t="s">
        <v>11</v>
      </c>
      <c r="B5" s="17" t="s">
        <v>8</v>
      </c>
      <c r="C5" s="17" t="s">
        <v>12</v>
      </c>
      <c r="D5" s="17" t="s">
        <v>22</v>
      </c>
      <c r="E5" s="18" t="s">
        <v>13</v>
      </c>
      <c r="F5" s="17" t="s">
        <v>17</v>
      </c>
      <c r="G5" s="17" t="s">
        <v>1</v>
      </c>
      <c r="H5" s="17" t="s">
        <v>2</v>
      </c>
      <c r="I5" s="17" t="s">
        <v>5</v>
      </c>
      <c r="J5" s="17" t="s">
        <v>3</v>
      </c>
      <c r="K5" s="17" t="s">
        <v>935</v>
      </c>
      <c r="L5" s="41" t="s">
        <v>1084</v>
      </c>
      <c r="M5" s="51" t="s">
        <v>1080</v>
      </c>
      <c r="N5" s="62" t="s">
        <v>0</v>
      </c>
      <c r="O5" s="41" t="s">
        <v>6</v>
      </c>
      <c r="P5" s="51" t="s">
        <v>1085</v>
      </c>
      <c r="Q5" s="62" t="s">
        <v>7</v>
      </c>
    </row>
    <row r="6" spans="1:53" ht="16" x14ac:dyDescent="0.2">
      <c r="A6" s="10" t="s">
        <v>16</v>
      </c>
      <c r="B6" s="10" t="s">
        <v>114</v>
      </c>
      <c r="C6" s="10" t="s">
        <v>926</v>
      </c>
      <c r="D6" s="10" t="s">
        <v>369</v>
      </c>
      <c r="E6" s="10" t="s">
        <v>1066</v>
      </c>
      <c r="F6" s="9" t="s">
        <v>39</v>
      </c>
      <c r="G6" s="10">
        <v>2024</v>
      </c>
      <c r="H6" s="10">
        <v>80</v>
      </c>
      <c r="I6" s="10">
        <v>1</v>
      </c>
      <c r="J6" s="10" t="str">
        <f>Tableau2[[#This Row],[Annee d''inscription au programme]]&amp;"-"&amp;Tableau2[[#This Row],[Code d''ecole]]&amp;"-"&amp;Tableau2[[#This Row],[Numero HM de la femme]]</f>
        <v>2024-80-1</v>
      </c>
      <c r="K6" s="10">
        <v>1</v>
      </c>
      <c r="L6" s="42">
        <v>1.5</v>
      </c>
      <c r="M6" s="52">
        <v>3.25</v>
      </c>
      <c r="N6" s="63">
        <f>SUM(Tableau2[[#This Row],[Mathématique/20]]+Tableau2[[#This Row],[Français /20]])/2</f>
        <v>2.375</v>
      </c>
      <c r="O6" s="42">
        <v>10</v>
      </c>
      <c r="P6" s="52">
        <v>15</v>
      </c>
      <c r="Q6" s="63">
        <f>(Tableau2[[#This Row],[Mathématique /20]]+Tableau2[[#This Row],[Français /202]])/2</f>
        <v>12.5</v>
      </c>
      <c r="S6"/>
      <c r="T6"/>
      <c r="U6"/>
      <c r="V6"/>
    </row>
    <row r="7" spans="1:53" ht="16" x14ac:dyDescent="0.2">
      <c r="A7" s="10" t="s">
        <v>16</v>
      </c>
      <c r="B7" s="10" t="s">
        <v>114</v>
      </c>
      <c r="C7" s="10" t="s">
        <v>18</v>
      </c>
      <c r="D7" s="10" t="s">
        <v>24</v>
      </c>
      <c r="E7" s="10" t="s">
        <v>1066</v>
      </c>
      <c r="F7" s="9" t="s">
        <v>996</v>
      </c>
      <c r="G7" s="10">
        <v>2024</v>
      </c>
      <c r="H7" s="10">
        <v>80</v>
      </c>
      <c r="I7" s="10">
        <f>SUM(I6+1)</f>
        <v>2</v>
      </c>
      <c r="J7" s="10" t="str">
        <f>Tableau2[[#This Row],[Annee d''inscription au programme]]&amp;"-"&amp;Tableau2[[#This Row],[Code d''ecole]]&amp;"-"&amp;Tableau2[[#This Row],[Numero HM de la femme]]</f>
        <v>2024-80-2</v>
      </c>
      <c r="K7" s="10">
        <f>SUM(K6+1)</f>
        <v>2</v>
      </c>
      <c r="L7" s="42">
        <v>0</v>
      </c>
      <c r="M7" s="52">
        <v>4.5</v>
      </c>
      <c r="N7" s="63">
        <f>SUM(Tableau2[[#This Row],[Mathématique/20]]+Tableau2[[#This Row],[Français /20]])/2</f>
        <v>2.25</v>
      </c>
      <c r="O7" s="42">
        <v>10</v>
      </c>
      <c r="P7" s="52">
        <v>14</v>
      </c>
      <c r="Q7" s="63">
        <f>(Tableau2[[#This Row],[Mathématique /20]]+Tableau2[[#This Row],[Français /202]])/2</f>
        <v>12</v>
      </c>
      <c r="S7"/>
      <c r="T7"/>
      <c r="U7"/>
      <c r="V7"/>
    </row>
    <row r="8" spans="1:53" ht="16" x14ac:dyDescent="0.2">
      <c r="A8" s="10" t="s">
        <v>16</v>
      </c>
      <c r="B8" s="10" t="s">
        <v>114</v>
      </c>
      <c r="C8" s="10" t="s">
        <v>927</v>
      </c>
      <c r="D8" s="10" t="s">
        <v>928</v>
      </c>
      <c r="E8" s="10" t="s">
        <v>1066</v>
      </c>
      <c r="F8" s="9" t="s">
        <v>997</v>
      </c>
      <c r="G8" s="10">
        <v>2023</v>
      </c>
      <c r="H8" s="10">
        <v>80</v>
      </c>
      <c r="I8" s="10">
        <v>720</v>
      </c>
      <c r="J8" s="10" t="str">
        <f>Tableau2[[#This Row],[Annee d''inscription au programme]]&amp;"-"&amp;Tableau2[[#This Row],[Code d''ecole]]&amp;"-"&amp;Tableau2[[#This Row],[Numero HM de la femme]]</f>
        <v>2023-80-720</v>
      </c>
      <c r="K8" s="10">
        <f>SUM(K7+1)</f>
        <v>3</v>
      </c>
      <c r="L8" s="42">
        <v>4</v>
      </c>
      <c r="M8" s="52">
        <v>7.5</v>
      </c>
      <c r="N8" s="63">
        <f>SUM(Tableau2[[#This Row],[Mathématique/20]]+Tableau2[[#This Row],[Français /20]])/2</f>
        <v>5.75</v>
      </c>
      <c r="O8" s="42">
        <v>13</v>
      </c>
      <c r="P8" s="52">
        <v>15</v>
      </c>
      <c r="Q8" s="63">
        <f>(Tableau2[[#This Row],[Mathématique /20]]+Tableau2[[#This Row],[Français /202]])/2</f>
        <v>14</v>
      </c>
      <c r="S8"/>
      <c r="T8"/>
      <c r="U8"/>
      <c r="V8"/>
    </row>
    <row r="9" spans="1:53" ht="16" x14ac:dyDescent="0.2">
      <c r="A9" s="10" t="s">
        <v>16</v>
      </c>
      <c r="B9" s="10" t="s">
        <v>114</v>
      </c>
      <c r="C9" s="10" t="s">
        <v>45</v>
      </c>
      <c r="D9" s="10" t="s">
        <v>44</v>
      </c>
      <c r="E9" s="10" t="s">
        <v>1067</v>
      </c>
      <c r="F9" s="9" t="s">
        <v>998</v>
      </c>
      <c r="G9" s="10">
        <v>2024</v>
      </c>
      <c r="H9" s="10">
        <v>80</v>
      </c>
      <c r="I9" s="10">
        <v>4</v>
      </c>
      <c r="J9" s="10" t="str">
        <f>Tableau2[[#This Row],[Annee d''inscription au programme]]&amp;"-"&amp;Tableau2[[#This Row],[Code d''ecole]]&amp;"-"&amp;Tableau2[[#This Row],[Numero HM de la femme]]</f>
        <v>2024-80-4</v>
      </c>
      <c r="K9" s="10">
        <f t="shared" ref="K9:K72" si="0">SUM(K8+1)</f>
        <v>4</v>
      </c>
      <c r="L9" s="42">
        <v>0</v>
      </c>
      <c r="M9" s="52">
        <v>1</v>
      </c>
      <c r="N9" s="63">
        <f>SUM(Tableau2[[#This Row],[Mathématique/20]]+Tableau2[[#This Row],[Français /20]])/2</f>
        <v>0.5</v>
      </c>
      <c r="O9" s="42">
        <v>10</v>
      </c>
      <c r="P9" s="52">
        <v>13</v>
      </c>
      <c r="Q9" s="63">
        <f>(Tableau2[[#This Row],[Mathématique /20]]+Tableau2[[#This Row],[Français /202]])/2</f>
        <v>11.5</v>
      </c>
      <c r="S9"/>
      <c r="T9"/>
      <c r="U9"/>
      <c r="V9"/>
    </row>
    <row r="10" spans="1:53" ht="16" x14ac:dyDescent="0.2">
      <c r="A10" s="10" t="s">
        <v>16</v>
      </c>
      <c r="B10" s="10" t="s">
        <v>114</v>
      </c>
      <c r="C10" s="10" t="s">
        <v>46</v>
      </c>
      <c r="D10" s="10" t="s">
        <v>47</v>
      </c>
      <c r="E10" s="10" t="s">
        <v>1067</v>
      </c>
      <c r="F10" s="9" t="s">
        <v>997</v>
      </c>
      <c r="G10" s="10">
        <v>2024</v>
      </c>
      <c r="H10" s="10">
        <v>80</v>
      </c>
      <c r="I10" s="10">
        <f t="shared" ref="I10:I72" si="1">SUM(I9+1)</f>
        <v>5</v>
      </c>
      <c r="J10" s="10" t="str">
        <f>Tableau2[[#This Row],[Annee d''inscription au programme]]&amp;"-"&amp;Tableau2[[#This Row],[Code d''ecole]]&amp;"-"&amp;Tableau2[[#This Row],[Numero HM de la femme]]</f>
        <v>2024-80-5</v>
      </c>
      <c r="K10" s="10">
        <f t="shared" si="0"/>
        <v>5</v>
      </c>
      <c r="L10" s="42">
        <v>0</v>
      </c>
      <c r="M10" s="52">
        <v>4.25</v>
      </c>
      <c r="N10" s="63">
        <f>SUM(Tableau2[[#This Row],[Mathématique/20]]+Tableau2[[#This Row],[Français /20]])/2</f>
        <v>2.125</v>
      </c>
      <c r="O10" s="42">
        <v>10</v>
      </c>
      <c r="P10" s="52">
        <v>11</v>
      </c>
      <c r="Q10" s="63">
        <f>(Tableau2[[#This Row],[Mathématique /20]]+Tableau2[[#This Row],[Français /202]])/2</f>
        <v>10.5</v>
      </c>
      <c r="S10"/>
      <c r="T10"/>
      <c r="U10"/>
      <c r="V10"/>
    </row>
    <row r="11" spans="1:53" ht="16" x14ac:dyDescent="0.2">
      <c r="A11" s="10" t="s">
        <v>16</v>
      </c>
      <c r="B11" s="10" t="s">
        <v>114</v>
      </c>
      <c r="C11" s="10" t="s">
        <v>54</v>
      </c>
      <c r="D11" s="10" t="s">
        <v>55</v>
      </c>
      <c r="E11" s="10" t="s">
        <v>1067</v>
      </c>
      <c r="F11" s="9" t="s">
        <v>997</v>
      </c>
      <c r="G11" s="10">
        <v>2024</v>
      </c>
      <c r="H11" s="10">
        <v>80</v>
      </c>
      <c r="I11" s="10">
        <f t="shared" si="1"/>
        <v>6</v>
      </c>
      <c r="J11" s="10" t="str">
        <f>Tableau2[[#This Row],[Annee d''inscription au programme]]&amp;"-"&amp;Tableau2[[#This Row],[Code d''ecole]]&amp;"-"&amp;Tableau2[[#This Row],[Numero HM de la femme]]</f>
        <v>2024-80-6</v>
      </c>
      <c r="K11" s="10">
        <f t="shared" si="0"/>
        <v>6</v>
      </c>
      <c r="L11" s="42">
        <v>0</v>
      </c>
      <c r="M11" s="52">
        <v>2.2000000000000002</v>
      </c>
      <c r="N11" s="63">
        <f>SUM(Tableau2[[#This Row],[Mathématique/20]]+Tableau2[[#This Row],[Français /20]])/2</f>
        <v>1.1000000000000001</v>
      </c>
      <c r="O11" s="42">
        <v>14</v>
      </c>
      <c r="P11" s="52">
        <v>12</v>
      </c>
      <c r="Q11" s="63">
        <f>(Tableau2[[#This Row],[Mathématique /20]]+Tableau2[[#This Row],[Français /202]])/2</f>
        <v>13</v>
      </c>
      <c r="S11"/>
      <c r="T11"/>
      <c r="U11"/>
      <c r="V11"/>
    </row>
    <row r="12" spans="1:53" ht="16" x14ac:dyDescent="0.2">
      <c r="A12" s="10" t="s">
        <v>16</v>
      </c>
      <c r="B12" s="10" t="s">
        <v>114</v>
      </c>
      <c r="C12" s="10" t="s">
        <v>48</v>
      </c>
      <c r="D12" s="10" t="s">
        <v>49</v>
      </c>
      <c r="E12" s="10" t="s">
        <v>1066</v>
      </c>
      <c r="F12" s="9" t="s">
        <v>997</v>
      </c>
      <c r="G12" s="10">
        <v>2024</v>
      </c>
      <c r="H12" s="10">
        <v>80</v>
      </c>
      <c r="I12" s="10">
        <f t="shared" si="1"/>
        <v>7</v>
      </c>
      <c r="J12" s="10" t="str">
        <f>Tableau2[[#This Row],[Annee d''inscription au programme]]&amp;"-"&amp;Tableau2[[#This Row],[Code d''ecole]]&amp;"-"&amp;Tableau2[[#This Row],[Numero HM de la femme]]</f>
        <v>2024-80-7</v>
      </c>
      <c r="K12" s="10">
        <f t="shared" si="0"/>
        <v>7</v>
      </c>
      <c r="L12" s="42">
        <v>0</v>
      </c>
      <c r="M12" s="52">
        <v>2.75</v>
      </c>
      <c r="N12" s="63">
        <f>SUM(Tableau2[[#This Row],[Mathématique/20]]+Tableau2[[#This Row],[Français /20]])/2</f>
        <v>1.375</v>
      </c>
      <c r="O12" s="42">
        <v>18</v>
      </c>
      <c r="P12" s="52">
        <v>13</v>
      </c>
      <c r="Q12" s="63">
        <f>(Tableau2[[#This Row],[Mathématique /20]]+Tableau2[[#This Row],[Français /202]])/2</f>
        <v>15.5</v>
      </c>
      <c r="S12"/>
      <c r="T12"/>
      <c r="U12"/>
      <c r="V12"/>
    </row>
    <row r="13" spans="1:53" ht="16" x14ac:dyDescent="0.2">
      <c r="A13" s="10" t="s">
        <v>16</v>
      </c>
      <c r="B13" s="10" t="s">
        <v>114</v>
      </c>
      <c r="C13" s="10" t="s">
        <v>35</v>
      </c>
      <c r="D13" s="10" t="s">
        <v>36</v>
      </c>
      <c r="E13" s="10" t="s">
        <v>1066</v>
      </c>
      <c r="F13" s="9" t="s">
        <v>997</v>
      </c>
      <c r="G13" s="10">
        <v>2024</v>
      </c>
      <c r="H13" s="10">
        <v>80</v>
      </c>
      <c r="I13" s="10">
        <f t="shared" si="1"/>
        <v>8</v>
      </c>
      <c r="J13" s="10" t="str">
        <f>Tableau2[[#This Row],[Annee d''inscription au programme]]&amp;"-"&amp;Tableau2[[#This Row],[Code d''ecole]]&amp;"-"&amp;Tableau2[[#This Row],[Numero HM de la femme]]</f>
        <v>2024-80-8</v>
      </c>
      <c r="K13" s="10">
        <f t="shared" si="0"/>
        <v>8</v>
      </c>
      <c r="L13" s="42">
        <v>0.75</v>
      </c>
      <c r="M13" s="52">
        <v>0</v>
      </c>
      <c r="N13" s="63">
        <f>SUM(Tableau2[[#This Row],[Mathématique/20]]+Tableau2[[#This Row],[Français /20]])/2</f>
        <v>0.375</v>
      </c>
      <c r="O13" s="42">
        <v>10</v>
      </c>
      <c r="P13" s="52">
        <v>12</v>
      </c>
      <c r="Q13" s="63">
        <f>(Tableau2[[#This Row],[Mathématique /20]]+Tableau2[[#This Row],[Français /202]])/2</f>
        <v>11</v>
      </c>
      <c r="S13"/>
      <c r="T13"/>
      <c r="U13"/>
      <c r="V13"/>
    </row>
    <row r="14" spans="1:53" ht="16" x14ac:dyDescent="0.2">
      <c r="A14" s="10" t="s">
        <v>16</v>
      </c>
      <c r="B14" s="10" t="s">
        <v>114</v>
      </c>
      <c r="C14" s="10" t="s">
        <v>906</v>
      </c>
      <c r="D14" s="10" t="s">
        <v>907</v>
      </c>
      <c r="E14" s="10" t="s">
        <v>1066</v>
      </c>
      <c r="F14" s="9" t="s">
        <v>997</v>
      </c>
      <c r="G14" s="10">
        <v>2024</v>
      </c>
      <c r="H14" s="10">
        <v>80</v>
      </c>
      <c r="I14" s="10">
        <f t="shared" si="1"/>
        <v>9</v>
      </c>
      <c r="J14" s="10" t="str">
        <f>Tableau2[[#This Row],[Annee d''inscription au programme]]&amp;"-"&amp;Tableau2[[#This Row],[Code d''ecole]]&amp;"-"&amp;Tableau2[[#This Row],[Numero HM de la femme]]</f>
        <v>2024-80-9</v>
      </c>
      <c r="K14" s="10">
        <f t="shared" si="0"/>
        <v>9</v>
      </c>
      <c r="L14" s="42">
        <v>0</v>
      </c>
      <c r="M14" s="52">
        <v>3</v>
      </c>
      <c r="N14" s="63">
        <f>SUM(Tableau2[[#This Row],[Mathématique/20]]+Tableau2[[#This Row],[Français /20]])/2</f>
        <v>1.5</v>
      </c>
      <c r="O14" s="42">
        <v>10</v>
      </c>
      <c r="P14" s="59">
        <v>13.5</v>
      </c>
      <c r="Q14" s="63">
        <f>(Tableau2[[#This Row],[Mathématique /20]]+Tableau2[[#This Row],[Français /202]])/2</f>
        <v>11.75</v>
      </c>
      <c r="S14"/>
      <c r="T14"/>
      <c r="U14"/>
      <c r="V14"/>
    </row>
    <row r="15" spans="1:53" ht="16" x14ac:dyDescent="0.2">
      <c r="A15" s="10" t="s">
        <v>16</v>
      </c>
      <c r="B15" s="10" t="s">
        <v>114</v>
      </c>
      <c r="C15" s="10" t="s">
        <v>30</v>
      </c>
      <c r="D15" s="10" t="s">
        <v>31</v>
      </c>
      <c r="E15" s="10" t="s">
        <v>1067</v>
      </c>
      <c r="F15" s="9" t="s">
        <v>997</v>
      </c>
      <c r="G15" s="10">
        <v>2024</v>
      </c>
      <c r="H15" s="10">
        <v>80</v>
      </c>
      <c r="I15" s="10">
        <f t="shared" si="1"/>
        <v>10</v>
      </c>
      <c r="J15" s="10" t="str">
        <f>Tableau2[[#This Row],[Annee d''inscription au programme]]&amp;"-"&amp;Tableau2[[#This Row],[Code d''ecole]]&amp;"-"&amp;Tableau2[[#This Row],[Numero HM de la femme]]</f>
        <v>2024-80-10</v>
      </c>
      <c r="K15" s="10">
        <f t="shared" si="0"/>
        <v>10</v>
      </c>
      <c r="L15" s="42">
        <v>0</v>
      </c>
      <c r="M15" s="52">
        <v>1.6</v>
      </c>
      <c r="N15" s="63">
        <f>SUM(Tableau2[[#This Row],[Mathématique/20]]+Tableau2[[#This Row],[Français /20]])/2</f>
        <v>0.8</v>
      </c>
      <c r="O15" s="42">
        <v>10</v>
      </c>
      <c r="P15" s="52">
        <v>14</v>
      </c>
      <c r="Q15" s="63">
        <f>(Tableau2[[#This Row],[Mathématique /20]]+Tableau2[[#This Row],[Français /202]])/2</f>
        <v>12</v>
      </c>
      <c r="S15"/>
      <c r="T15"/>
      <c r="U15"/>
      <c r="V15"/>
    </row>
    <row r="16" spans="1:53" ht="16" x14ac:dyDescent="0.2">
      <c r="A16" s="10" t="s">
        <v>16</v>
      </c>
      <c r="B16" s="10" t="s">
        <v>114</v>
      </c>
      <c r="C16" s="10" t="s">
        <v>56</v>
      </c>
      <c r="D16" s="10" t="s">
        <v>57</v>
      </c>
      <c r="E16" s="10" t="s">
        <v>1067</v>
      </c>
      <c r="F16" s="9" t="s">
        <v>997</v>
      </c>
      <c r="G16" s="10">
        <v>2024</v>
      </c>
      <c r="H16" s="10">
        <v>80</v>
      </c>
      <c r="I16" s="10">
        <f t="shared" si="1"/>
        <v>11</v>
      </c>
      <c r="J16" s="10" t="str">
        <f>Tableau2[[#This Row],[Annee d''inscription au programme]]&amp;"-"&amp;Tableau2[[#This Row],[Code d''ecole]]&amp;"-"&amp;Tableau2[[#This Row],[Numero HM de la femme]]</f>
        <v>2024-80-11</v>
      </c>
      <c r="K16" s="10">
        <f t="shared" si="0"/>
        <v>11</v>
      </c>
      <c r="L16" s="42">
        <v>0</v>
      </c>
      <c r="M16" s="52">
        <v>1.4</v>
      </c>
      <c r="N16" s="63">
        <f>SUM(Tableau2[[#This Row],[Mathématique/20]]+Tableau2[[#This Row],[Français /20]])/2</f>
        <v>0.7</v>
      </c>
      <c r="O16" s="42">
        <v>12</v>
      </c>
      <c r="P16" s="52">
        <v>10</v>
      </c>
      <c r="Q16" s="63">
        <f>(Tableau2[[#This Row],[Mathématique /20]]+Tableau2[[#This Row],[Français /202]])/2</f>
        <v>11</v>
      </c>
      <c r="S16"/>
      <c r="T16"/>
      <c r="U16"/>
      <c r="V16"/>
    </row>
    <row r="17" spans="1:22" ht="16" x14ac:dyDescent="0.2">
      <c r="A17" s="10" t="s">
        <v>16</v>
      </c>
      <c r="B17" s="10" t="s">
        <v>114</v>
      </c>
      <c r="C17" s="10" t="s">
        <v>67</v>
      </c>
      <c r="D17" s="10" t="s">
        <v>68</v>
      </c>
      <c r="E17" s="10" t="s">
        <v>1066</v>
      </c>
      <c r="F17" s="9" t="s">
        <v>997</v>
      </c>
      <c r="G17" s="10">
        <v>2024</v>
      </c>
      <c r="H17" s="10">
        <v>80</v>
      </c>
      <c r="I17" s="10">
        <f t="shared" si="1"/>
        <v>12</v>
      </c>
      <c r="J17" s="10" t="str">
        <f>Tableau2[[#This Row],[Annee d''inscription au programme]]&amp;"-"&amp;Tableau2[[#This Row],[Code d''ecole]]&amp;"-"&amp;Tableau2[[#This Row],[Numero HM de la femme]]</f>
        <v>2024-80-12</v>
      </c>
      <c r="K17" s="10">
        <f t="shared" si="0"/>
        <v>12</v>
      </c>
      <c r="L17" s="42">
        <v>5.5</v>
      </c>
      <c r="M17" s="52">
        <v>3.5</v>
      </c>
      <c r="N17" s="63">
        <f>SUM(Tableau2[[#This Row],[Mathématique/20]]+Tableau2[[#This Row],[Français /20]])/2</f>
        <v>4.5</v>
      </c>
      <c r="O17" s="42">
        <v>12</v>
      </c>
      <c r="P17" s="52">
        <v>15</v>
      </c>
      <c r="Q17" s="63">
        <f>(Tableau2[[#This Row],[Mathématique /20]]+Tableau2[[#This Row],[Français /202]])/2</f>
        <v>13.5</v>
      </c>
      <c r="S17"/>
      <c r="T17"/>
      <c r="U17"/>
      <c r="V17"/>
    </row>
    <row r="18" spans="1:22" ht="16" x14ac:dyDescent="0.2">
      <c r="A18" s="10" t="s">
        <v>16</v>
      </c>
      <c r="B18" s="11" t="s">
        <v>114</v>
      </c>
      <c r="C18" s="11" t="s">
        <v>908</v>
      </c>
      <c r="D18" s="10" t="s">
        <v>232</v>
      </c>
      <c r="E18" s="10" t="s">
        <v>1066</v>
      </c>
      <c r="F18" s="9" t="s">
        <v>997</v>
      </c>
      <c r="G18" s="10">
        <v>2024</v>
      </c>
      <c r="H18" s="10">
        <v>80</v>
      </c>
      <c r="I18" s="10">
        <f t="shared" si="1"/>
        <v>13</v>
      </c>
      <c r="J18" s="11" t="str">
        <f>Tableau2[[#This Row],[Annee d''inscription au programme]]&amp;"-"&amp;Tableau2[[#This Row],[Code d''ecole]]&amp;"-"&amp;Tableau2[[#This Row],[Numero HM de la femme]]</f>
        <v>2024-80-13</v>
      </c>
      <c r="K18" s="10">
        <f t="shared" si="0"/>
        <v>13</v>
      </c>
      <c r="L18" s="42">
        <v>0</v>
      </c>
      <c r="M18" s="52">
        <v>0.85</v>
      </c>
      <c r="N18" s="63">
        <f>SUM(Tableau2[[#This Row],[Mathématique/20]]+Tableau2[[#This Row],[Français /20]])/2</f>
        <v>0.42499999999999999</v>
      </c>
      <c r="O18" s="42">
        <v>10</v>
      </c>
      <c r="P18" s="52">
        <v>10</v>
      </c>
      <c r="Q18" s="63">
        <f>(Tableau2[[#This Row],[Mathématique /20]]+Tableau2[[#This Row],[Français /202]])/2</f>
        <v>10</v>
      </c>
      <c r="S18"/>
      <c r="T18"/>
      <c r="U18"/>
      <c r="V18"/>
    </row>
    <row r="19" spans="1:22" ht="16" x14ac:dyDescent="0.2">
      <c r="A19" s="10" t="s">
        <v>16</v>
      </c>
      <c r="B19" s="10" t="s">
        <v>114</v>
      </c>
      <c r="C19" s="10" t="s">
        <v>32</v>
      </c>
      <c r="D19" s="10" t="s">
        <v>33</v>
      </c>
      <c r="E19" s="10" t="s">
        <v>1066</v>
      </c>
      <c r="F19" s="9" t="s">
        <v>997</v>
      </c>
      <c r="G19" s="10">
        <v>2024</v>
      </c>
      <c r="H19" s="10">
        <v>80</v>
      </c>
      <c r="I19" s="10">
        <f t="shared" si="1"/>
        <v>14</v>
      </c>
      <c r="J19" s="10" t="str">
        <f>Tableau2[[#This Row],[Annee d''inscription au programme]]&amp;"-"&amp;Tableau2[[#This Row],[Code d''ecole]]&amp;"-"&amp;Tableau2[[#This Row],[Numero HM de la femme]]</f>
        <v>2024-80-14</v>
      </c>
      <c r="K19" s="10">
        <f t="shared" si="0"/>
        <v>14</v>
      </c>
      <c r="L19" s="42">
        <v>2</v>
      </c>
      <c r="M19" s="52">
        <v>6.45</v>
      </c>
      <c r="N19" s="63">
        <f>SUM(Tableau2[[#This Row],[Mathématique/20]]+Tableau2[[#This Row],[Français /20]])/2</f>
        <v>4.2249999999999996</v>
      </c>
      <c r="O19" s="42">
        <v>10</v>
      </c>
      <c r="P19" s="52">
        <v>13</v>
      </c>
      <c r="Q19" s="63">
        <f>(Tableau2[[#This Row],[Mathématique /20]]+Tableau2[[#This Row],[Français /202]])/2</f>
        <v>11.5</v>
      </c>
      <c r="S19"/>
      <c r="T19"/>
      <c r="U19"/>
      <c r="V19"/>
    </row>
    <row r="20" spans="1:22" ht="16" x14ac:dyDescent="0.2">
      <c r="A20" s="10" t="s">
        <v>16</v>
      </c>
      <c r="B20" s="10" t="s">
        <v>114</v>
      </c>
      <c r="C20" s="10" t="s">
        <v>20</v>
      </c>
      <c r="D20" s="10" t="s">
        <v>29</v>
      </c>
      <c r="E20" s="10" t="s">
        <v>1067</v>
      </c>
      <c r="F20" s="9" t="s">
        <v>21</v>
      </c>
      <c r="G20" s="10">
        <v>2024</v>
      </c>
      <c r="H20" s="10">
        <v>80</v>
      </c>
      <c r="I20" s="10">
        <f t="shared" si="1"/>
        <v>15</v>
      </c>
      <c r="J20" s="10" t="str">
        <f>Tableau2[[#This Row],[Annee d''inscription au programme]]&amp;"-"&amp;Tableau2[[#This Row],[Code d''ecole]]&amp;"-"&amp;Tableau2[[#This Row],[Numero HM de la femme]]</f>
        <v>2024-80-15</v>
      </c>
      <c r="K20" s="10">
        <f t="shared" si="0"/>
        <v>15</v>
      </c>
      <c r="L20" s="42">
        <v>5</v>
      </c>
      <c r="M20" s="52">
        <v>5</v>
      </c>
      <c r="N20" s="63">
        <f>SUM(Tableau2[[#This Row],[Mathématique/20]]+Tableau2[[#This Row],[Français /20]])/2</f>
        <v>5</v>
      </c>
      <c r="O20" s="42">
        <v>10</v>
      </c>
      <c r="P20" s="52">
        <v>10</v>
      </c>
      <c r="Q20" s="63">
        <f>(Tableau2[[#This Row],[Mathématique /20]]+Tableau2[[#This Row],[Français /202]])/2</f>
        <v>10</v>
      </c>
      <c r="S20"/>
      <c r="T20"/>
      <c r="U20"/>
      <c r="V20"/>
    </row>
    <row r="21" spans="1:22" ht="16" x14ac:dyDescent="0.2">
      <c r="A21" s="10" t="s">
        <v>16</v>
      </c>
      <c r="B21" s="10" t="s">
        <v>114</v>
      </c>
      <c r="C21" s="10" t="s">
        <v>961</v>
      </c>
      <c r="D21" s="10" t="s">
        <v>643</v>
      </c>
      <c r="E21" s="10" t="s">
        <v>1067</v>
      </c>
      <c r="F21" s="9" t="s">
        <v>997</v>
      </c>
      <c r="G21" s="10">
        <v>2024</v>
      </c>
      <c r="H21" s="10">
        <v>80</v>
      </c>
      <c r="I21" s="10">
        <f t="shared" si="1"/>
        <v>16</v>
      </c>
      <c r="J21" s="10" t="str">
        <f>Tableau2[[#This Row],[Annee d''inscription au programme]]&amp;"-"&amp;Tableau2[[#This Row],[Code d''ecole]]&amp;"-"&amp;Tableau2[[#This Row],[Numero HM de la femme]]</f>
        <v>2024-80-16</v>
      </c>
      <c r="K21" s="10">
        <f t="shared" si="0"/>
        <v>16</v>
      </c>
      <c r="L21" s="42">
        <v>0.5</v>
      </c>
      <c r="M21" s="52">
        <v>4</v>
      </c>
      <c r="N21" s="63">
        <f>SUM(Tableau2[[#This Row],[Mathématique/20]]+Tableau2[[#This Row],[Français /20]])/2</f>
        <v>2.25</v>
      </c>
      <c r="O21" s="42">
        <v>14</v>
      </c>
      <c r="P21" s="52">
        <v>13</v>
      </c>
      <c r="Q21" s="63">
        <f>(Tableau2[[#This Row],[Mathématique /20]]+Tableau2[[#This Row],[Français /202]])/2</f>
        <v>13.5</v>
      </c>
      <c r="S21"/>
      <c r="T21"/>
      <c r="U21"/>
      <c r="V21"/>
    </row>
    <row r="22" spans="1:22" ht="16" x14ac:dyDescent="0.2">
      <c r="A22" s="10" t="s">
        <v>16</v>
      </c>
      <c r="B22" s="10" t="s">
        <v>114</v>
      </c>
      <c r="C22" s="10" t="s">
        <v>62</v>
      </c>
      <c r="D22" s="10" t="s">
        <v>60</v>
      </c>
      <c r="E22" s="10" t="s">
        <v>1067</v>
      </c>
      <c r="F22" s="9" t="s">
        <v>997</v>
      </c>
      <c r="G22" s="10">
        <v>2024</v>
      </c>
      <c r="H22" s="10">
        <v>80</v>
      </c>
      <c r="I22" s="10">
        <f t="shared" si="1"/>
        <v>17</v>
      </c>
      <c r="J22" s="10" t="str">
        <f>Tableau2[[#This Row],[Annee d''inscription au programme]]&amp;"-"&amp;Tableau2[[#This Row],[Code d''ecole]]&amp;"-"&amp;Tableau2[[#This Row],[Numero HM de la femme]]</f>
        <v>2024-80-17</v>
      </c>
      <c r="K22" s="10">
        <f t="shared" si="0"/>
        <v>17</v>
      </c>
      <c r="L22" s="42">
        <v>0</v>
      </c>
      <c r="M22" s="52">
        <v>5</v>
      </c>
      <c r="N22" s="63">
        <f>SUM(Tableau2[[#This Row],[Mathématique/20]]+Tableau2[[#This Row],[Français /20]])/2</f>
        <v>2.5</v>
      </c>
      <c r="O22" s="42">
        <v>10</v>
      </c>
      <c r="P22" s="52">
        <v>17</v>
      </c>
      <c r="Q22" s="63">
        <f>(Tableau2[[#This Row],[Mathématique /20]]+Tableau2[[#This Row],[Français /202]])/2</f>
        <v>13.5</v>
      </c>
      <c r="S22"/>
      <c r="T22"/>
      <c r="U22"/>
      <c r="V22"/>
    </row>
    <row r="23" spans="1:22" ht="16" x14ac:dyDescent="0.2">
      <c r="A23" s="10" t="s">
        <v>16</v>
      </c>
      <c r="B23" s="10" t="s">
        <v>114</v>
      </c>
      <c r="C23" s="10" t="s">
        <v>58</v>
      </c>
      <c r="D23" s="10" t="s">
        <v>59</v>
      </c>
      <c r="E23" s="10" t="s">
        <v>1066</v>
      </c>
      <c r="F23" s="9" t="s">
        <v>997</v>
      </c>
      <c r="G23" s="10">
        <v>2024</v>
      </c>
      <c r="H23" s="10">
        <v>80</v>
      </c>
      <c r="I23" s="10">
        <f t="shared" si="1"/>
        <v>18</v>
      </c>
      <c r="J23" s="10" t="str">
        <f>Tableau2[[#This Row],[Annee d''inscription au programme]]&amp;"-"&amp;Tableau2[[#This Row],[Code d''ecole]]&amp;"-"&amp;Tableau2[[#This Row],[Numero HM de la femme]]</f>
        <v>2024-80-18</v>
      </c>
      <c r="K23" s="10">
        <f t="shared" si="0"/>
        <v>18</v>
      </c>
      <c r="L23" s="42">
        <v>0</v>
      </c>
      <c r="M23" s="52">
        <v>0</v>
      </c>
      <c r="N23" s="63">
        <f>SUM(Tableau2[[#This Row],[Mathématique/20]]+Tableau2[[#This Row],[Français /20]])/2</f>
        <v>0</v>
      </c>
      <c r="O23" s="42">
        <v>15</v>
      </c>
      <c r="P23" s="52">
        <v>14</v>
      </c>
      <c r="Q23" s="63">
        <f>(Tableau2[[#This Row],[Mathématique /20]]+Tableau2[[#This Row],[Français /202]])/2</f>
        <v>14.5</v>
      </c>
      <c r="S23"/>
      <c r="T23"/>
      <c r="U23"/>
      <c r="V23"/>
    </row>
    <row r="24" spans="1:22" ht="16" x14ac:dyDescent="0.2">
      <c r="A24" s="10" t="s">
        <v>16</v>
      </c>
      <c r="B24" s="10" t="s">
        <v>114</v>
      </c>
      <c r="C24" s="10" t="s">
        <v>37</v>
      </c>
      <c r="D24" s="10" t="s">
        <v>38</v>
      </c>
      <c r="E24" s="10" t="s">
        <v>1067</v>
      </c>
      <c r="F24" s="11" t="s">
        <v>39</v>
      </c>
      <c r="G24" s="10">
        <v>2024</v>
      </c>
      <c r="H24" s="10">
        <v>80</v>
      </c>
      <c r="I24" s="10">
        <f t="shared" si="1"/>
        <v>19</v>
      </c>
      <c r="J24" s="10" t="str">
        <f>Tableau2[[#This Row],[Annee d''inscription au programme]]&amp;"-"&amp;Tableau2[[#This Row],[Code d''ecole]]&amp;"-"&amp;Tableau2[[#This Row],[Numero HM de la femme]]</f>
        <v>2024-80-19</v>
      </c>
      <c r="K24" s="10">
        <f t="shared" si="0"/>
        <v>19</v>
      </c>
      <c r="L24" s="42">
        <v>6</v>
      </c>
      <c r="M24" s="52">
        <v>1.6</v>
      </c>
      <c r="N24" s="63">
        <f>SUM(Tableau2[[#This Row],[Mathématique/20]]+Tableau2[[#This Row],[Français /20]])/2</f>
        <v>3.8</v>
      </c>
      <c r="O24" s="42">
        <v>10</v>
      </c>
      <c r="P24" s="52">
        <v>14</v>
      </c>
      <c r="Q24" s="63">
        <f>(Tableau2[[#This Row],[Mathématique /20]]+Tableau2[[#This Row],[Français /202]])/2</f>
        <v>12</v>
      </c>
      <c r="S24"/>
      <c r="T24"/>
      <c r="U24"/>
      <c r="V24"/>
    </row>
    <row r="25" spans="1:22" ht="16" x14ac:dyDescent="0.2">
      <c r="A25" s="10" t="s">
        <v>16</v>
      </c>
      <c r="B25" s="10" t="s">
        <v>114</v>
      </c>
      <c r="C25" s="10" t="s">
        <v>52</v>
      </c>
      <c r="D25" s="10" t="s">
        <v>53</v>
      </c>
      <c r="E25" s="10" t="s">
        <v>1067</v>
      </c>
      <c r="F25" s="9" t="s">
        <v>997</v>
      </c>
      <c r="G25" s="10">
        <v>2024</v>
      </c>
      <c r="H25" s="10">
        <v>80</v>
      </c>
      <c r="I25" s="10">
        <f t="shared" si="1"/>
        <v>20</v>
      </c>
      <c r="J25" s="10" t="str">
        <f>Tableau2[[#This Row],[Annee d''inscription au programme]]&amp;"-"&amp;Tableau2[[#This Row],[Code d''ecole]]&amp;"-"&amp;Tableau2[[#This Row],[Numero HM de la femme]]</f>
        <v>2024-80-20</v>
      </c>
      <c r="K25" s="10">
        <f t="shared" si="0"/>
        <v>20</v>
      </c>
      <c r="L25" s="42">
        <v>2</v>
      </c>
      <c r="M25" s="52">
        <v>2.5</v>
      </c>
      <c r="N25" s="63">
        <f>SUM(Tableau2[[#This Row],[Mathématique/20]]+Tableau2[[#This Row],[Français /20]])/2</f>
        <v>2.25</v>
      </c>
      <c r="O25" s="42">
        <v>10</v>
      </c>
      <c r="P25" s="52">
        <v>13</v>
      </c>
      <c r="Q25" s="63">
        <f>(Tableau2[[#This Row],[Mathématique /20]]+Tableau2[[#This Row],[Français /202]])/2</f>
        <v>11.5</v>
      </c>
      <c r="S25"/>
      <c r="T25"/>
      <c r="U25"/>
      <c r="V25"/>
    </row>
    <row r="26" spans="1:22" ht="16" x14ac:dyDescent="0.2">
      <c r="A26" s="10" t="s">
        <v>16</v>
      </c>
      <c r="B26" s="10" t="s">
        <v>114</v>
      </c>
      <c r="C26" s="10" t="s">
        <v>42</v>
      </c>
      <c r="D26" s="10" t="s">
        <v>43</v>
      </c>
      <c r="E26" s="10" t="s">
        <v>1067</v>
      </c>
      <c r="F26" s="9" t="s">
        <v>997</v>
      </c>
      <c r="G26" s="10">
        <v>2024</v>
      </c>
      <c r="H26" s="10">
        <v>80</v>
      </c>
      <c r="I26" s="10">
        <f t="shared" si="1"/>
        <v>21</v>
      </c>
      <c r="J26" s="10" t="str">
        <f>Tableau2[[#This Row],[Annee d''inscription au programme]]&amp;"-"&amp;Tableau2[[#This Row],[Code d''ecole]]&amp;"-"&amp;Tableau2[[#This Row],[Numero HM de la femme]]</f>
        <v>2024-80-21</v>
      </c>
      <c r="K26" s="10">
        <f t="shared" si="0"/>
        <v>21</v>
      </c>
      <c r="L26" s="42">
        <v>0</v>
      </c>
      <c r="M26" s="52">
        <v>2</v>
      </c>
      <c r="N26" s="63">
        <f>SUM(Tableau2[[#This Row],[Mathématique/20]]+Tableau2[[#This Row],[Français /20]])/2</f>
        <v>1</v>
      </c>
      <c r="O26" s="42">
        <v>10</v>
      </c>
      <c r="P26" s="52">
        <v>11</v>
      </c>
      <c r="Q26" s="63">
        <f>(Tableau2[[#This Row],[Mathématique /20]]+Tableau2[[#This Row],[Français /202]])/2</f>
        <v>10.5</v>
      </c>
      <c r="S26"/>
      <c r="T26"/>
      <c r="U26"/>
      <c r="V26"/>
    </row>
    <row r="27" spans="1:22" ht="16" x14ac:dyDescent="0.2">
      <c r="A27" s="10" t="s">
        <v>16</v>
      </c>
      <c r="B27" s="10" t="s">
        <v>114</v>
      </c>
      <c r="C27" s="10" t="s">
        <v>19</v>
      </c>
      <c r="D27" s="10" t="s">
        <v>26</v>
      </c>
      <c r="E27" s="10" t="s">
        <v>1066</v>
      </c>
      <c r="F27" s="9" t="s">
        <v>997</v>
      </c>
      <c r="G27" s="10">
        <v>2024</v>
      </c>
      <c r="H27" s="10">
        <v>80</v>
      </c>
      <c r="I27" s="10">
        <f t="shared" si="1"/>
        <v>22</v>
      </c>
      <c r="J27" s="10" t="str">
        <f>Tableau2[[#This Row],[Annee d''inscription au programme]]&amp;"-"&amp;Tableau2[[#This Row],[Code d''ecole]]&amp;"-"&amp;Tableau2[[#This Row],[Numero HM de la femme]]</f>
        <v>2024-80-22</v>
      </c>
      <c r="K27" s="10">
        <f t="shared" si="0"/>
        <v>22</v>
      </c>
      <c r="L27" s="42">
        <v>0</v>
      </c>
      <c r="M27" s="52">
        <v>0</v>
      </c>
      <c r="N27" s="63">
        <f>SUM(Tableau2[[#This Row],[Mathématique/20]]+Tableau2[[#This Row],[Français /20]])/2</f>
        <v>0</v>
      </c>
      <c r="O27" s="42">
        <v>13</v>
      </c>
      <c r="P27" s="52">
        <v>11</v>
      </c>
      <c r="Q27" s="63">
        <f>(Tableau2[[#This Row],[Mathématique /20]]+Tableau2[[#This Row],[Français /202]])/2</f>
        <v>12</v>
      </c>
      <c r="S27"/>
      <c r="T27"/>
      <c r="U27"/>
      <c r="V27"/>
    </row>
    <row r="28" spans="1:22" ht="16" x14ac:dyDescent="0.2">
      <c r="A28" s="10" t="s">
        <v>16</v>
      </c>
      <c r="B28" s="10" t="s">
        <v>114</v>
      </c>
      <c r="C28" s="10" t="s">
        <v>34</v>
      </c>
      <c r="D28" s="10" t="s">
        <v>28</v>
      </c>
      <c r="E28" s="10" t="s">
        <v>1066</v>
      </c>
      <c r="F28" s="9" t="s">
        <v>997</v>
      </c>
      <c r="G28" s="10">
        <v>2024</v>
      </c>
      <c r="H28" s="10">
        <v>80</v>
      </c>
      <c r="I28" s="10">
        <f t="shared" si="1"/>
        <v>23</v>
      </c>
      <c r="J28" s="10" t="str">
        <f>Tableau2[[#This Row],[Annee d''inscription au programme]]&amp;"-"&amp;Tableau2[[#This Row],[Code d''ecole]]&amp;"-"&amp;Tableau2[[#This Row],[Numero HM de la femme]]</f>
        <v>2024-80-23</v>
      </c>
      <c r="K28" s="10">
        <f t="shared" si="0"/>
        <v>23</v>
      </c>
      <c r="L28" s="42">
        <v>0</v>
      </c>
      <c r="M28" s="52">
        <v>7</v>
      </c>
      <c r="N28" s="63">
        <f>SUM(Tableau2[[#This Row],[Mathématique/20]]+Tableau2[[#This Row],[Français /20]])/2</f>
        <v>3.5</v>
      </c>
      <c r="O28" s="42">
        <v>10</v>
      </c>
      <c r="P28" s="52">
        <v>14</v>
      </c>
      <c r="Q28" s="63">
        <f>(Tableau2[[#This Row],[Mathématique /20]]+Tableau2[[#This Row],[Français /202]])/2</f>
        <v>12</v>
      </c>
      <c r="S28"/>
      <c r="T28"/>
      <c r="U28"/>
      <c r="V28"/>
    </row>
    <row r="29" spans="1:22" ht="16" x14ac:dyDescent="0.2">
      <c r="A29" s="10" t="s">
        <v>16</v>
      </c>
      <c r="B29" s="10" t="s">
        <v>114</v>
      </c>
      <c r="C29" s="10" t="s">
        <v>63</v>
      </c>
      <c r="D29" s="10" t="s">
        <v>64</v>
      </c>
      <c r="E29" s="10" t="s">
        <v>1067</v>
      </c>
      <c r="F29" s="9" t="s">
        <v>997</v>
      </c>
      <c r="G29" s="10">
        <v>2024</v>
      </c>
      <c r="H29" s="10">
        <v>80</v>
      </c>
      <c r="I29" s="10">
        <f t="shared" si="1"/>
        <v>24</v>
      </c>
      <c r="J29" s="10" t="str">
        <f>Tableau2[[#This Row],[Annee d''inscription au programme]]&amp;"-"&amp;Tableau2[[#This Row],[Code d''ecole]]&amp;"-"&amp;Tableau2[[#This Row],[Numero HM de la femme]]</f>
        <v>2024-80-24</v>
      </c>
      <c r="K29" s="10">
        <f t="shared" si="0"/>
        <v>24</v>
      </c>
      <c r="L29" s="42">
        <v>0</v>
      </c>
      <c r="M29" s="52">
        <v>2</v>
      </c>
      <c r="N29" s="63">
        <f>SUM(Tableau2[[#This Row],[Mathématique/20]]+Tableau2[[#This Row],[Français /20]])/2</f>
        <v>1</v>
      </c>
      <c r="O29" s="42">
        <v>10</v>
      </c>
      <c r="P29" s="52">
        <v>13</v>
      </c>
      <c r="Q29" s="63">
        <f>(Tableau2[[#This Row],[Mathématique /20]]+Tableau2[[#This Row],[Français /202]])/2</f>
        <v>11.5</v>
      </c>
      <c r="S29"/>
      <c r="T29"/>
      <c r="U29"/>
      <c r="V29"/>
    </row>
    <row r="30" spans="1:22" ht="16" x14ac:dyDescent="0.2">
      <c r="A30" s="10" t="s">
        <v>16</v>
      </c>
      <c r="B30" s="10" t="s">
        <v>114</v>
      </c>
      <c r="C30" s="10" t="s">
        <v>40</v>
      </c>
      <c r="D30" s="10" t="s">
        <v>41</v>
      </c>
      <c r="E30" s="10" t="s">
        <v>1067</v>
      </c>
      <c r="F30" s="9" t="s">
        <v>997</v>
      </c>
      <c r="G30" s="10">
        <v>2024</v>
      </c>
      <c r="H30" s="10">
        <v>80</v>
      </c>
      <c r="I30" s="10">
        <f t="shared" si="1"/>
        <v>25</v>
      </c>
      <c r="J30" s="10" t="str">
        <f>Tableau2[[#This Row],[Annee d''inscription au programme]]&amp;"-"&amp;Tableau2[[#This Row],[Code d''ecole]]&amp;"-"&amp;Tableau2[[#This Row],[Numero HM de la femme]]</f>
        <v>2024-80-25</v>
      </c>
      <c r="K30" s="10">
        <f t="shared" si="0"/>
        <v>25</v>
      </c>
      <c r="L30" s="42">
        <v>0</v>
      </c>
      <c r="M30" s="52">
        <v>3.25</v>
      </c>
      <c r="N30" s="63">
        <f>SUM(Tableau2[[#This Row],[Mathématique/20]]+Tableau2[[#This Row],[Français /20]])/2</f>
        <v>1.625</v>
      </c>
      <c r="O30" s="42">
        <v>14</v>
      </c>
      <c r="P30" s="52">
        <v>12</v>
      </c>
      <c r="Q30" s="63">
        <f>(Tableau2[[#This Row],[Mathématique /20]]+Tableau2[[#This Row],[Français /202]])/2</f>
        <v>13</v>
      </c>
      <c r="S30"/>
      <c r="T30"/>
      <c r="U30"/>
      <c r="V30"/>
    </row>
    <row r="31" spans="1:22" ht="16" x14ac:dyDescent="0.2">
      <c r="A31" s="10" t="s">
        <v>16</v>
      </c>
      <c r="B31" s="11" t="s">
        <v>114</v>
      </c>
      <c r="C31" s="11" t="s">
        <v>978</v>
      </c>
      <c r="D31" s="10" t="s">
        <v>618</v>
      </c>
      <c r="E31" s="10" t="s">
        <v>1066</v>
      </c>
      <c r="F31" s="9" t="s">
        <v>997</v>
      </c>
      <c r="G31" s="10">
        <v>2024</v>
      </c>
      <c r="H31" s="10">
        <v>80</v>
      </c>
      <c r="I31" s="12">
        <v>542</v>
      </c>
      <c r="J31" s="11" t="str">
        <f>Tableau2[[#This Row],[Annee d''inscription au programme]]&amp;"-"&amp;Tableau2[[#This Row],[Code d''ecole]]&amp;"-"&amp;Tableau2[[#This Row],[Numero HM de la femme]]</f>
        <v>2024-80-542</v>
      </c>
      <c r="K31" s="10">
        <f t="shared" si="0"/>
        <v>26</v>
      </c>
      <c r="L31" s="42">
        <v>0</v>
      </c>
      <c r="M31" s="52">
        <v>3</v>
      </c>
      <c r="N31" s="63">
        <f>SUM(Tableau2[[#This Row],[Mathématique/20]]+Tableau2[[#This Row],[Français /20]])/2</f>
        <v>1.5</v>
      </c>
      <c r="O31" s="42">
        <v>10</v>
      </c>
      <c r="P31" s="52">
        <v>12</v>
      </c>
      <c r="Q31" s="63">
        <f>(Tableau2[[#This Row],[Mathématique /20]]+Tableau2[[#This Row],[Français /202]])/2</f>
        <v>11</v>
      </c>
      <c r="S31"/>
      <c r="T31"/>
      <c r="U31"/>
      <c r="V31"/>
    </row>
    <row r="32" spans="1:22" ht="16" x14ac:dyDescent="0.2">
      <c r="A32" s="10" t="s">
        <v>16</v>
      </c>
      <c r="B32" s="10" t="s">
        <v>114</v>
      </c>
      <c r="C32" s="10" t="s">
        <v>65</v>
      </c>
      <c r="D32" s="10" t="s">
        <v>66</v>
      </c>
      <c r="E32" s="10" t="s">
        <v>1066</v>
      </c>
      <c r="F32" s="9" t="s">
        <v>997</v>
      </c>
      <c r="G32" s="10">
        <v>2024</v>
      </c>
      <c r="H32" s="10">
        <v>80</v>
      </c>
      <c r="I32" s="10">
        <f>SUM(I30+1)</f>
        <v>26</v>
      </c>
      <c r="J32" s="10" t="str">
        <f>Tableau2[[#This Row],[Annee d''inscription au programme]]&amp;"-"&amp;Tableau2[[#This Row],[Code d''ecole]]&amp;"-"&amp;Tableau2[[#This Row],[Numero HM de la femme]]</f>
        <v>2024-80-26</v>
      </c>
      <c r="K32" s="10">
        <f t="shared" si="0"/>
        <v>27</v>
      </c>
      <c r="L32" s="42">
        <v>2</v>
      </c>
      <c r="M32" s="52">
        <v>3.6</v>
      </c>
      <c r="N32" s="63">
        <f>SUM(Tableau2[[#This Row],[Mathématique/20]]+Tableau2[[#This Row],[Français /20]])/2</f>
        <v>2.8</v>
      </c>
      <c r="O32" s="42">
        <v>10</v>
      </c>
      <c r="P32" s="52">
        <v>15</v>
      </c>
      <c r="Q32" s="63">
        <f>(Tableau2[[#This Row],[Mathématique /20]]+Tableau2[[#This Row],[Français /202]])/2</f>
        <v>12.5</v>
      </c>
      <c r="S32"/>
      <c r="T32"/>
      <c r="U32"/>
      <c r="V32"/>
    </row>
    <row r="33" spans="1:22" ht="16" x14ac:dyDescent="0.2">
      <c r="A33" s="10" t="s">
        <v>16</v>
      </c>
      <c r="B33" s="10" t="s">
        <v>114</v>
      </c>
      <c r="C33" s="10" t="s">
        <v>73</v>
      </c>
      <c r="D33" s="10" t="s">
        <v>74</v>
      </c>
      <c r="E33" s="10" t="s">
        <v>1067</v>
      </c>
      <c r="F33" s="9" t="s">
        <v>997</v>
      </c>
      <c r="G33" s="10">
        <v>2024</v>
      </c>
      <c r="H33" s="10">
        <v>80</v>
      </c>
      <c r="I33" s="10">
        <f>SUM(I539+1)</f>
        <v>28</v>
      </c>
      <c r="J33" s="10" t="str">
        <f>Tableau2[[#This Row],[Annee d''inscription au programme]]&amp;"-"&amp;Tableau2[[#This Row],[Code d''ecole]]&amp;"-"&amp;Tableau2[[#This Row],[Numero HM de la femme]]</f>
        <v>2024-80-28</v>
      </c>
      <c r="K33" s="10">
        <f t="shared" si="0"/>
        <v>28</v>
      </c>
      <c r="L33" s="42">
        <v>1</v>
      </c>
      <c r="M33" s="52">
        <v>5</v>
      </c>
      <c r="N33" s="63">
        <f>SUM(Tableau2[[#This Row],[Mathématique/20]]+Tableau2[[#This Row],[Français /20]])/2</f>
        <v>3</v>
      </c>
      <c r="O33" s="42">
        <v>14</v>
      </c>
      <c r="P33" s="52">
        <v>13</v>
      </c>
      <c r="Q33" s="63">
        <f>(Tableau2[[#This Row],[Mathématique /20]]+Tableau2[[#This Row],[Français /202]])/2</f>
        <v>13.5</v>
      </c>
      <c r="S33"/>
      <c r="T33"/>
      <c r="U33"/>
      <c r="V33"/>
    </row>
    <row r="34" spans="1:22" ht="16" x14ac:dyDescent="0.2">
      <c r="A34" s="10" t="s">
        <v>16</v>
      </c>
      <c r="B34" s="10" t="s">
        <v>114</v>
      </c>
      <c r="C34" s="10" t="s">
        <v>50</v>
      </c>
      <c r="D34" s="10" t="s">
        <v>51</v>
      </c>
      <c r="E34" s="10" t="s">
        <v>1067</v>
      </c>
      <c r="F34" s="9" t="s">
        <v>997</v>
      </c>
      <c r="G34" s="10">
        <v>2024</v>
      </c>
      <c r="H34" s="10">
        <v>80</v>
      </c>
      <c r="I34" s="10">
        <f t="shared" si="1"/>
        <v>29</v>
      </c>
      <c r="J34" s="10" t="str">
        <f>Tableau2[[#This Row],[Annee d''inscription au programme]]&amp;"-"&amp;Tableau2[[#This Row],[Code d''ecole]]&amp;"-"&amp;Tableau2[[#This Row],[Numero HM de la femme]]</f>
        <v>2024-80-29</v>
      </c>
      <c r="K34" s="10">
        <f t="shared" si="0"/>
        <v>29</v>
      </c>
      <c r="L34" s="42">
        <v>0</v>
      </c>
      <c r="M34" s="52">
        <v>2.6</v>
      </c>
      <c r="N34" s="63">
        <f>SUM(Tableau2[[#This Row],[Mathématique/20]]+Tableau2[[#This Row],[Français /20]])/2</f>
        <v>1.3</v>
      </c>
      <c r="O34" s="42">
        <v>11</v>
      </c>
      <c r="P34" s="52">
        <v>12</v>
      </c>
      <c r="Q34" s="63">
        <f>(Tableau2[[#This Row],[Mathématique /20]]+Tableau2[[#This Row],[Français /202]])/2</f>
        <v>11.5</v>
      </c>
      <c r="S34"/>
      <c r="T34"/>
      <c r="U34"/>
      <c r="V34"/>
    </row>
    <row r="35" spans="1:22" ht="16" x14ac:dyDescent="0.2">
      <c r="A35" s="10" t="s">
        <v>16</v>
      </c>
      <c r="B35" s="10" t="s">
        <v>114</v>
      </c>
      <c r="C35" s="10" t="s">
        <v>1072</v>
      </c>
      <c r="D35" s="10" t="s">
        <v>61</v>
      </c>
      <c r="E35" s="10" t="s">
        <v>1067</v>
      </c>
      <c r="F35" s="9" t="s">
        <v>997</v>
      </c>
      <c r="G35" s="10">
        <v>2024</v>
      </c>
      <c r="H35" s="10">
        <v>80</v>
      </c>
      <c r="I35" s="10">
        <f t="shared" si="1"/>
        <v>30</v>
      </c>
      <c r="J35" s="10" t="str">
        <f>Tableau2[[#This Row],[Annee d''inscription au programme]]&amp;"-"&amp;Tableau2[[#This Row],[Code d''ecole]]&amp;"-"&amp;Tableau2[[#This Row],[Numero HM de la femme]]</f>
        <v>2024-80-30</v>
      </c>
      <c r="K35" s="10">
        <f t="shared" si="0"/>
        <v>30</v>
      </c>
      <c r="L35" s="42">
        <v>0</v>
      </c>
      <c r="M35" s="52">
        <v>5</v>
      </c>
      <c r="N35" s="63">
        <f>SUM(Tableau2[[#This Row],[Mathématique/20]]+Tableau2[[#This Row],[Français /20]])/2</f>
        <v>2.5</v>
      </c>
      <c r="O35" s="42">
        <v>10</v>
      </c>
      <c r="P35" s="52">
        <v>13</v>
      </c>
      <c r="Q35" s="63">
        <f>(Tableau2[[#This Row],[Mathématique /20]]+Tableau2[[#This Row],[Français /202]])/2</f>
        <v>11.5</v>
      </c>
      <c r="S35"/>
      <c r="T35"/>
      <c r="U35"/>
      <c r="V35"/>
    </row>
    <row r="36" spans="1:22" ht="16" x14ac:dyDescent="0.2">
      <c r="A36" s="10" t="s">
        <v>16</v>
      </c>
      <c r="B36" s="10" t="s">
        <v>114</v>
      </c>
      <c r="C36" s="10" t="s">
        <v>959</v>
      </c>
      <c r="D36" s="10" t="s">
        <v>960</v>
      </c>
      <c r="E36" s="10" t="s">
        <v>1066</v>
      </c>
      <c r="F36" s="9" t="s">
        <v>997</v>
      </c>
      <c r="G36" s="10">
        <v>2024</v>
      </c>
      <c r="H36" s="10">
        <v>80</v>
      </c>
      <c r="I36" s="10">
        <f t="shared" si="1"/>
        <v>31</v>
      </c>
      <c r="J36" s="10" t="str">
        <f>Tableau2[[#This Row],[Annee d''inscription au programme]]&amp;"-"&amp;Tableau2[[#This Row],[Code d''ecole]]&amp;"-"&amp;Tableau2[[#This Row],[Numero HM de la femme]]</f>
        <v>2024-80-31</v>
      </c>
      <c r="K36" s="10">
        <f t="shared" si="0"/>
        <v>31</v>
      </c>
      <c r="L36" s="42">
        <v>3</v>
      </c>
      <c r="M36" s="52">
        <v>4.25</v>
      </c>
      <c r="N36" s="63">
        <f>SUM(Tableau2[[#This Row],[Mathématique/20]]+Tableau2[[#This Row],[Français /20]])/2</f>
        <v>3.625</v>
      </c>
      <c r="O36" s="42">
        <v>14</v>
      </c>
      <c r="P36" s="52">
        <v>18</v>
      </c>
      <c r="Q36" s="63">
        <f>(Tableau2[[#This Row],[Mathématique /20]]+Tableau2[[#This Row],[Français /202]])/2</f>
        <v>16</v>
      </c>
      <c r="S36"/>
      <c r="T36"/>
      <c r="U36"/>
      <c r="V36"/>
    </row>
    <row r="37" spans="1:22" ht="16" x14ac:dyDescent="0.2">
      <c r="A37" s="10" t="s">
        <v>4</v>
      </c>
      <c r="B37" s="10" t="s">
        <v>115</v>
      </c>
      <c r="C37" s="10" t="s">
        <v>995</v>
      </c>
      <c r="D37" s="10" t="s">
        <v>77</v>
      </c>
      <c r="E37" s="10" t="s">
        <v>1062</v>
      </c>
      <c r="F37" s="9" t="s">
        <v>999</v>
      </c>
      <c r="G37" s="10">
        <v>2024</v>
      </c>
      <c r="H37" s="10">
        <v>13</v>
      </c>
      <c r="I37" s="10">
        <f t="shared" si="1"/>
        <v>32</v>
      </c>
      <c r="J37" s="10" t="str">
        <f>Tableau2[[#This Row],[Annee d''inscription au programme]]&amp;"-"&amp;Tableau2[[#This Row],[Code d''ecole]]&amp;"-"&amp;Tableau2[[#This Row],[Numero HM de la femme]]</f>
        <v>2024-13-32</v>
      </c>
      <c r="K37" s="10">
        <f t="shared" si="0"/>
        <v>32</v>
      </c>
      <c r="L37" s="42">
        <v>2</v>
      </c>
      <c r="M37" s="52">
        <v>4</v>
      </c>
      <c r="N37" s="63">
        <f>SUM(Tableau2[[#This Row],[Mathématique/20]]+Tableau2[[#This Row],[Français /20]])/2</f>
        <v>3</v>
      </c>
      <c r="O37" s="42">
        <v>12</v>
      </c>
      <c r="P37" s="52">
        <v>14</v>
      </c>
      <c r="Q37" s="63">
        <f>(Tableau2[[#This Row],[Mathématique /20]]+Tableau2[[#This Row],[Français /202]])/2</f>
        <v>13</v>
      </c>
      <c r="S37"/>
      <c r="T37"/>
      <c r="U37"/>
      <c r="V37"/>
    </row>
    <row r="38" spans="1:22" ht="16" x14ac:dyDescent="0.2">
      <c r="A38" s="10" t="s">
        <v>4</v>
      </c>
      <c r="B38" s="10" t="s">
        <v>115</v>
      </c>
      <c r="C38" s="10" t="s">
        <v>87</v>
      </c>
      <c r="D38" s="10" t="s">
        <v>88</v>
      </c>
      <c r="E38" s="10" t="s">
        <v>1062</v>
      </c>
      <c r="F38" s="9" t="s">
        <v>999</v>
      </c>
      <c r="G38" s="10">
        <v>2024</v>
      </c>
      <c r="H38" s="10">
        <v>13</v>
      </c>
      <c r="I38" s="10">
        <f t="shared" si="1"/>
        <v>33</v>
      </c>
      <c r="J38" s="10" t="str">
        <f>Tableau2[[#This Row],[Annee d''inscription au programme]]&amp;"-"&amp;Tableau2[[#This Row],[Code d''ecole]]&amp;"-"&amp;Tableau2[[#This Row],[Numero HM de la femme]]</f>
        <v>2024-13-33</v>
      </c>
      <c r="K38" s="10">
        <f t="shared" si="0"/>
        <v>33</v>
      </c>
      <c r="L38" s="42">
        <v>2</v>
      </c>
      <c r="M38" s="52">
        <v>12</v>
      </c>
      <c r="N38" s="63">
        <f>SUM(Tableau2[[#This Row],[Mathématique/20]]+Tableau2[[#This Row],[Français /20]])/2</f>
        <v>7</v>
      </c>
      <c r="O38" s="42">
        <v>14</v>
      </c>
      <c r="P38" s="52">
        <v>18</v>
      </c>
      <c r="Q38" s="63">
        <f>(Tableau2[[#This Row],[Mathématique /20]]+Tableau2[[#This Row],[Français /202]])/2</f>
        <v>16</v>
      </c>
      <c r="S38"/>
      <c r="T38"/>
      <c r="U38"/>
      <c r="V38"/>
    </row>
    <row r="39" spans="1:22" ht="16" x14ac:dyDescent="0.2">
      <c r="A39" s="10" t="s">
        <v>4</v>
      </c>
      <c r="B39" s="10" t="s">
        <v>115</v>
      </c>
      <c r="C39" s="11" t="s">
        <v>100</v>
      </c>
      <c r="D39" s="10" t="s">
        <v>101</v>
      </c>
      <c r="E39" s="10" t="s">
        <v>1061</v>
      </c>
      <c r="F39" s="9" t="s">
        <v>999</v>
      </c>
      <c r="G39" s="10">
        <v>2024</v>
      </c>
      <c r="H39" s="10">
        <v>13</v>
      </c>
      <c r="I39" s="10">
        <f t="shared" si="1"/>
        <v>34</v>
      </c>
      <c r="J39" s="11" t="str">
        <f>Tableau2[[#This Row],[Annee d''inscription au programme]]&amp;"-"&amp;Tableau2[[#This Row],[Code d''ecole]]&amp;"-"&amp;Tableau2[[#This Row],[Numero HM de la femme]]</f>
        <v>2024-13-34</v>
      </c>
      <c r="K39" s="10">
        <f t="shared" si="0"/>
        <v>34</v>
      </c>
      <c r="L39" s="42">
        <v>2</v>
      </c>
      <c r="M39" s="52">
        <v>10</v>
      </c>
      <c r="N39" s="63">
        <f>SUM(Tableau2[[#This Row],[Mathématique/20]]+Tableau2[[#This Row],[Français /20]])/2</f>
        <v>6</v>
      </c>
      <c r="O39" s="42">
        <v>16</v>
      </c>
      <c r="P39" s="52">
        <v>20</v>
      </c>
      <c r="Q39" s="63">
        <f>(Tableau2[[#This Row],[Mathématique /20]]+Tableau2[[#This Row],[Français /202]])/2</f>
        <v>18</v>
      </c>
      <c r="S39"/>
      <c r="T39"/>
      <c r="U39"/>
      <c r="V39"/>
    </row>
    <row r="40" spans="1:22" ht="16" x14ac:dyDescent="0.2">
      <c r="A40" s="10" t="s">
        <v>4</v>
      </c>
      <c r="B40" s="10" t="s">
        <v>115</v>
      </c>
      <c r="C40" s="11" t="s">
        <v>106</v>
      </c>
      <c r="D40" s="10" t="s">
        <v>107</v>
      </c>
      <c r="E40" s="10" t="s">
        <v>1062</v>
      </c>
      <c r="F40" s="9" t="s">
        <v>999</v>
      </c>
      <c r="G40" s="10">
        <v>2024</v>
      </c>
      <c r="H40" s="10">
        <v>13</v>
      </c>
      <c r="I40" s="10">
        <f t="shared" si="1"/>
        <v>35</v>
      </c>
      <c r="J40" s="11" t="str">
        <f>Tableau2[[#This Row],[Annee d''inscription au programme]]&amp;"-"&amp;Tableau2[[#This Row],[Code d''ecole]]&amp;"-"&amp;Tableau2[[#This Row],[Numero HM de la femme]]</f>
        <v>2024-13-35</v>
      </c>
      <c r="K40" s="10">
        <f t="shared" si="0"/>
        <v>35</v>
      </c>
      <c r="L40" s="42">
        <v>2</v>
      </c>
      <c r="M40" s="52">
        <v>2.5</v>
      </c>
      <c r="N40" s="63">
        <f>SUM(Tableau2[[#This Row],[Mathématique/20]]+Tableau2[[#This Row],[Français /20]])/2</f>
        <v>2.25</v>
      </c>
      <c r="O40" s="42">
        <v>15</v>
      </c>
      <c r="P40" s="52">
        <v>13</v>
      </c>
      <c r="Q40" s="63">
        <f>(Tableau2[[#This Row],[Mathématique /20]]+Tableau2[[#This Row],[Français /202]])/2</f>
        <v>14</v>
      </c>
      <c r="S40"/>
      <c r="T40"/>
      <c r="U40"/>
      <c r="V40"/>
    </row>
    <row r="41" spans="1:22" ht="16" x14ac:dyDescent="0.2">
      <c r="A41" s="10" t="s">
        <v>4</v>
      </c>
      <c r="B41" s="10" t="s">
        <v>115</v>
      </c>
      <c r="C41" s="10" t="s">
        <v>85</v>
      </c>
      <c r="D41" s="10" t="s">
        <v>86</v>
      </c>
      <c r="E41" s="10" t="s">
        <v>1062</v>
      </c>
      <c r="F41" s="9" t="s">
        <v>999</v>
      </c>
      <c r="G41" s="10">
        <v>2024</v>
      </c>
      <c r="H41" s="10">
        <v>13</v>
      </c>
      <c r="I41" s="10">
        <f t="shared" si="1"/>
        <v>36</v>
      </c>
      <c r="J41" s="11" t="str">
        <f>Tableau2[[#This Row],[Annee d''inscription au programme]]&amp;"-"&amp;Tableau2[[#This Row],[Code d''ecole]]&amp;"-"&amp;Tableau2[[#This Row],[Numero HM de la femme]]</f>
        <v>2024-13-36</v>
      </c>
      <c r="K41" s="10">
        <f t="shared" si="0"/>
        <v>36</v>
      </c>
      <c r="L41" s="42">
        <v>2</v>
      </c>
      <c r="M41" s="52">
        <v>7</v>
      </c>
      <c r="N41" s="63">
        <f>SUM(Tableau2[[#This Row],[Mathématique/20]]+Tableau2[[#This Row],[Français /20]])/2</f>
        <v>4.5</v>
      </c>
      <c r="O41" s="42">
        <v>16</v>
      </c>
      <c r="P41" s="52">
        <v>18</v>
      </c>
      <c r="Q41" s="63">
        <f>(Tableau2[[#This Row],[Mathématique /20]]+Tableau2[[#This Row],[Français /202]])/2</f>
        <v>17</v>
      </c>
      <c r="S41"/>
      <c r="T41"/>
      <c r="U41"/>
      <c r="V41"/>
    </row>
    <row r="42" spans="1:22" ht="16" x14ac:dyDescent="0.2">
      <c r="A42" s="10" t="s">
        <v>4</v>
      </c>
      <c r="B42" s="10" t="s">
        <v>115</v>
      </c>
      <c r="C42" s="11" t="s">
        <v>94</v>
      </c>
      <c r="D42" s="10" t="s">
        <v>95</v>
      </c>
      <c r="E42" s="10" t="s">
        <v>1062</v>
      </c>
      <c r="F42" s="9" t="s">
        <v>999</v>
      </c>
      <c r="G42" s="10">
        <v>2024</v>
      </c>
      <c r="H42" s="10">
        <v>13</v>
      </c>
      <c r="I42" s="10">
        <f t="shared" si="1"/>
        <v>37</v>
      </c>
      <c r="J42" s="11" t="str">
        <f>Tableau2[[#This Row],[Annee d''inscription au programme]]&amp;"-"&amp;Tableau2[[#This Row],[Code d''ecole]]&amp;"-"&amp;Tableau2[[#This Row],[Numero HM de la femme]]</f>
        <v>2024-13-37</v>
      </c>
      <c r="K42" s="10">
        <f t="shared" si="0"/>
        <v>37</v>
      </c>
      <c r="L42" s="42">
        <v>0</v>
      </c>
      <c r="M42" s="52">
        <v>0</v>
      </c>
      <c r="N42" s="63">
        <f>SUM(Tableau2[[#This Row],[Mathématique/20]]+Tableau2[[#This Row],[Français /20]])/2</f>
        <v>0</v>
      </c>
      <c r="O42" s="42">
        <v>14</v>
      </c>
      <c r="P42" s="52">
        <v>15</v>
      </c>
      <c r="Q42" s="63">
        <f>(Tableau2[[#This Row],[Mathématique /20]]+Tableau2[[#This Row],[Français /202]])/2</f>
        <v>14.5</v>
      </c>
      <c r="S42"/>
      <c r="T42"/>
      <c r="U42"/>
      <c r="V42"/>
    </row>
    <row r="43" spans="1:22" ht="16" x14ac:dyDescent="0.2">
      <c r="A43" s="10" t="s">
        <v>4</v>
      </c>
      <c r="B43" s="10" t="s">
        <v>115</v>
      </c>
      <c r="C43" s="11" t="s">
        <v>109</v>
      </c>
      <c r="D43" s="10" t="s">
        <v>108</v>
      </c>
      <c r="E43" s="10" t="s">
        <v>1062</v>
      </c>
      <c r="F43" s="9" t="s">
        <v>999</v>
      </c>
      <c r="G43" s="10">
        <v>2024</v>
      </c>
      <c r="H43" s="10">
        <v>13</v>
      </c>
      <c r="I43" s="10">
        <f t="shared" si="1"/>
        <v>38</v>
      </c>
      <c r="J43" s="11" t="str">
        <f>Tableau2[[#This Row],[Annee d''inscription au programme]]&amp;"-"&amp;Tableau2[[#This Row],[Code d''ecole]]&amp;"-"&amp;Tableau2[[#This Row],[Numero HM de la femme]]</f>
        <v>2024-13-38</v>
      </c>
      <c r="K43" s="10">
        <f t="shared" si="0"/>
        <v>38</v>
      </c>
      <c r="L43" s="42">
        <v>1</v>
      </c>
      <c r="M43" s="52">
        <v>4.5</v>
      </c>
      <c r="N43" s="63">
        <f>SUM(Tableau2[[#This Row],[Mathématique/20]]+Tableau2[[#This Row],[Français /20]])/2</f>
        <v>2.75</v>
      </c>
      <c r="O43" s="42">
        <v>12</v>
      </c>
      <c r="P43" s="52">
        <v>20</v>
      </c>
      <c r="Q43" s="63">
        <f>(Tableau2[[#This Row],[Mathématique /20]]+Tableau2[[#This Row],[Français /202]])/2</f>
        <v>16</v>
      </c>
      <c r="S43"/>
      <c r="T43"/>
      <c r="U43"/>
      <c r="V43"/>
    </row>
    <row r="44" spans="1:22" ht="16" x14ac:dyDescent="0.2">
      <c r="A44" s="10" t="s">
        <v>4</v>
      </c>
      <c r="B44" s="10" t="s">
        <v>115</v>
      </c>
      <c r="C44" s="10" t="s">
        <v>1068</v>
      </c>
      <c r="D44" s="10" t="s">
        <v>78</v>
      </c>
      <c r="E44" s="10" t="s">
        <v>1061</v>
      </c>
      <c r="F44" s="9" t="s">
        <v>999</v>
      </c>
      <c r="G44" s="10">
        <v>2024</v>
      </c>
      <c r="H44" s="10">
        <v>13</v>
      </c>
      <c r="I44" s="10">
        <f t="shared" si="1"/>
        <v>39</v>
      </c>
      <c r="J44" s="10" t="str">
        <f>Tableau2[[#This Row],[Annee d''inscription au programme]]&amp;"-"&amp;Tableau2[[#This Row],[Code d''ecole]]&amp;"-"&amp;Tableau2[[#This Row],[Numero HM de la femme]]</f>
        <v>2024-13-39</v>
      </c>
      <c r="K44" s="10">
        <f t="shared" si="0"/>
        <v>39</v>
      </c>
      <c r="L44" s="42">
        <v>4</v>
      </c>
      <c r="M44" s="52">
        <v>12</v>
      </c>
      <c r="N44" s="63">
        <f>SUM(Tableau2[[#This Row],[Mathématique/20]]+Tableau2[[#This Row],[Français /20]])/2</f>
        <v>8</v>
      </c>
      <c r="O44" s="42">
        <v>15</v>
      </c>
      <c r="P44" s="52">
        <v>18</v>
      </c>
      <c r="Q44" s="63">
        <f>(Tableau2[[#This Row],[Mathématique /20]]+Tableau2[[#This Row],[Français /202]])/2</f>
        <v>16.5</v>
      </c>
      <c r="S44"/>
      <c r="T44"/>
      <c r="U44"/>
      <c r="V44"/>
    </row>
    <row r="45" spans="1:22" ht="16" x14ac:dyDescent="0.2">
      <c r="A45" s="10" t="s">
        <v>4</v>
      </c>
      <c r="B45" s="10" t="s">
        <v>115</v>
      </c>
      <c r="C45" s="11" t="s">
        <v>96</v>
      </c>
      <c r="D45" s="10" t="s">
        <v>97</v>
      </c>
      <c r="E45" s="10" t="s">
        <v>1061</v>
      </c>
      <c r="F45" s="9" t="s">
        <v>999</v>
      </c>
      <c r="G45" s="10">
        <v>2024</v>
      </c>
      <c r="H45" s="10">
        <v>13</v>
      </c>
      <c r="I45" s="10">
        <f t="shared" si="1"/>
        <v>40</v>
      </c>
      <c r="J45" s="11" t="str">
        <f>Tableau2[[#This Row],[Annee d''inscription au programme]]&amp;"-"&amp;Tableau2[[#This Row],[Code d''ecole]]&amp;"-"&amp;Tableau2[[#This Row],[Numero HM de la femme]]</f>
        <v>2024-13-40</v>
      </c>
      <c r="K45" s="10">
        <f t="shared" si="0"/>
        <v>40</v>
      </c>
      <c r="L45" s="42">
        <v>0</v>
      </c>
      <c r="M45" s="52">
        <v>0</v>
      </c>
      <c r="N45" s="63">
        <f>SUM(Tableau2[[#This Row],[Mathématique/20]]+Tableau2[[#This Row],[Français /20]])/2</f>
        <v>0</v>
      </c>
      <c r="O45" s="42">
        <v>9</v>
      </c>
      <c r="P45" s="52">
        <v>13</v>
      </c>
      <c r="Q45" s="63">
        <f>(Tableau2[[#This Row],[Mathématique /20]]+Tableau2[[#This Row],[Français /202]])/2</f>
        <v>11</v>
      </c>
      <c r="S45"/>
      <c r="T45"/>
      <c r="U45"/>
      <c r="V45"/>
    </row>
    <row r="46" spans="1:22" ht="16" x14ac:dyDescent="0.2">
      <c r="A46" s="10" t="s">
        <v>4</v>
      </c>
      <c r="B46" s="10" t="s">
        <v>115</v>
      </c>
      <c r="C46" s="10" t="s">
        <v>69</v>
      </c>
      <c r="D46" s="10" t="s">
        <v>70</v>
      </c>
      <c r="E46" s="10" t="s">
        <v>1062</v>
      </c>
      <c r="F46" s="9" t="s">
        <v>999</v>
      </c>
      <c r="G46" s="10">
        <v>2024</v>
      </c>
      <c r="H46" s="10">
        <v>13</v>
      </c>
      <c r="I46" s="10">
        <f t="shared" si="1"/>
        <v>41</v>
      </c>
      <c r="J46" s="10" t="str">
        <f>Tableau2[[#This Row],[Annee d''inscription au programme]]&amp;"-"&amp;Tableau2[[#This Row],[Code d''ecole]]&amp;"-"&amp;Tableau2[[#This Row],[Numero HM de la femme]]</f>
        <v>2024-13-41</v>
      </c>
      <c r="K46" s="10">
        <f t="shared" si="0"/>
        <v>41</v>
      </c>
      <c r="L46" s="42">
        <v>0</v>
      </c>
      <c r="M46" s="52">
        <v>3</v>
      </c>
      <c r="N46" s="63">
        <f>SUM(Tableau2[[#This Row],[Mathématique/20]]+Tableau2[[#This Row],[Français /20]])/2</f>
        <v>1.5</v>
      </c>
      <c r="O46" s="42">
        <v>15</v>
      </c>
      <c r="P46" s="52">
        <v>11</v>
      </c>
      <c r="Q46" s="63">
        <f>(Tableau2[[#This Row],[Mathématique /20]]+Tableau2[[#This Row],[Français /202]])/2</f>
        <v>13</v>
      </c>
      <c r="S46"/>
      <c r="T46"/>
      <c r="U46"/>
      <c r="V46"/>
    </row>
    <row r="47" spans="1:22" ht="16" x14ac:dyDescent="0.2">
      <c r="A47" s="10" t="s">
        <v>4</v>
      </c>
      <c r="B47" s="11" t="s">
        <v>115</v>
      </c>
      <c r="C47" s="11" t="s">
        <v>711</v>
      </c>
      <c r="D47" s="10" t="s">
        <v>712</v>
      </c>
      <c r="E47" s="10" t="s">
        <v>1061</v>
      </c>
      <c r="F47" s="9" t="s">
        <v>999</v>
      </c>
      <c r="G47" s="10">
        <v>2024</v>
      </c>
      <c r="H47" s="10">
        <v>13</v>
      </c>
      <c r="I47" s="10">
        <f t="shared" si="1"/>
        <v>42</v>
      </c>
      <c r="J47" s="11" t="str">
        <f>Tableau2[[#This Row],[Annee d''inscription au programme]]&amp;"-"&amp;Tableau2[[#This Row],[Code d''ecole]]&amp;"-"&amp;Tableau2[[#This Row],[Numero HM de la femme]]</f>
        <v>2024-13-42</v>
      </c>
      <c r="K47" s="10">
        <f t="shared" si="0"/>
        <v>42</v>
      </c>
      <c r="L47" s="42">
        <v>1</v>
      </c>
      <c r="M47" s="52">
        <v>8</v>
      </c>
      <c r="N47" s="63">
        <f>SUM(Tableau2[[#This Row],[Mathématique/20]]+Tableau2[[#This Row],[Français /20]])/2</f>
        <v>4.5</v>
      </c>
      <c r="O47" s="42">
        <v>14</v>
      </c>
      <c r="P47" s="52">
        <v>15</v>
      </c>
      <c r="Q47" s="63">
        <f>(Tableau2[[#This Row],[Mathématique /20]]+Tableau2[[#This Row],[Français /202]])/2</f>
        <v>14.5</v>
      </c>
      <c r="S47"/>
      <c r="T47"/>
      <c r="U47"/>
      <c r="V47"/>
    </row>
    <row r="48" spans="1:22" ht="16" x14ac:dyDescent="0.2">
      <c r="A48" s="10" t="s">
        <v>4</v>
      </c>
      <c r="B48" s="10" t="s">
        <v>115</v>
      </c>
      <c r="C48" s="10" t="s">
        <v>71</v>
      </c>
      <c r="D48" s="10" t="s">
        <v>72</v>
      </c>
      <c r="E48" s="10" t="s">
        <v>1061</v>
      </c>
      <c r="F48" s="9" t="s">
        <v>999</v>
      </c>
      <c r="G48" s="10">
        <v>2024</v>
      </c>
      <c r="H48" s="10">
        <v>13</v>
      </c>
      <c r="I48" s="10">
        <f t="shared" si="1"/>
        <v>43</v>
      </c>
      <c r="J48" s="10" t="str">
        <f>Tableau2[[#This Row],[Annee d''inscription au programme]]&amp;"-"&amp;Tableau2[[#This Row],[Code d''ecole]]&amp;"-"&amp;Tableau2[[#This Row],[Numero HM de la femme]]</f>
        <v>2024-13-43</v>
      </c>
      <c r="K48" s="10">
        <f t="shared" si="0"/>
        <v>43</v>
      </c>
      <c r="L48" s="42">
        <v>2</v>
      </c>
      <c r="M48" s="52">
        <v>4</v>
      </c>
      <c r="N48" s="63">
        <f>SUM(Tableau2[[#This Row],[Mathématique/20]]+Tableau2[[#This Row],[Français /20]])/2</f>
        <v>3</v>
      </c>
      <c r="O48" s="42">
        <v>18</v>
      </c>
      <c r="P48" s="52">
        <v>17</v>
      </c>
      <c r="Q48" s="63">
        <f>(Tableau2[[#This Row],[Mathématique /20]]+Tableau2[[#This Row],[Français /202]])/2</f>
        <v>17.5</v>
      </c>
      <c r="S48"/>
      <c r="T48"/>
      <c r="U48"/>
      <c r="V48"/>
    </row>
    <row r="49" spans="1:22" ht="16" x14ac:dyDescent="0.2">
      <c r="A49" s="10" t="s">
        <v>4</v>
      </c>
      <c r="B49" s="10" t="s">
        <v>115</v>
      </c>
      <c r="C49" s="11" t="s">
        <v>103</v>
      </c>
      <c r="D49" s="10" t="s">
        <v>102</v>
      </c>
      <c r="E49" s="10" t="s">
        <v>1061</v>
      </c>
      <c r="F49" s="9" t="s">
        <v>999</v>
      </c>
      <c r="G49" s="10">
        <v>2024</v>
      </c>
      <c r="H49" s="10">
        <v>13</v>
      </c>
      <c r="I49" s="10">
        <f t="shared" si="1"/>
        <v>44</v>
      </c>
      <c r="J49" s="10" t="str">
        <f>Tableau2[[#This Row],[Annee d''inscription au programme]]&amp;"-"&amp;Tableau2[[#This Row],[Code d''ecole]]&amp;"-"&amp;Tableau2[[#This Row],[Numero HM de la femme]]</f>
        <v>2024-13-44</v>
      </c>
      <c r="K49" s="10">
        <f t="shared" si="0"/>
        <v>44</v>
      </c>
      <c r="L49" s="42">
        <v>3</v>
      </c>
      <c r="M49" s="52">
        <v>8</v>
      </c>
      <c r="N49" s="63">
        <f>SUM(Tableau2[[#This Row],[Mathématique/20]]+Tableau2[[#This Row],[Français /20]])/2</f>
        <v>5.5</v>
      </c>
      <c r="O49" s="42">
        <v>16</v>
      </c>
      <c r="P49" s="52">
        <v>20</v>
      </c>
      <c r="Q49" s="63">
        <f>(Tableau2[[#This Row],[Mathématique /20]]+Tableau2[[#This Row],[Français /202]])/2</f>
        <v>18</v>
      </c>
      <c r="S49"/>
      <c r="T49"/>
      <c r="U49"/>
      <c r="V49"/>
    </row>
    <row r="50" spans="1:22" ht="16" x14ac:dyDescent="0.2">
      <c r="A50" s="10" t="s">
        <v>4</v>
      </c>
      <c r="B50" s="10" t="s">
        <v>115</v>
      </c>
      <c r="C50" s="10" t="s">
        <v>83</v>
      </c>
      <c r="D50" s="10" t="s">
        <v>84</v>
      </c>
      <c r="E50" s="10" t="s">
        <v>1061</v>
      </c>
      <c r="F50" s="9" t="s">
        <v>999</v>
      </c>
      <c r="G50" s="10">
        <v>2024</v>
      </c>
      <c r="H50" s="10">
        <v>13</v>
      </c>
      <c r="I50" s="10">
        <f t="shared" si="1"/>
        <v>45</v>
      </c>
      <c r="J50" s="10" t="str">
        <f>Tableau2[[#This Row],[Annee d''inscription au programme]]&amp;"-"&amp;Tableau2[[#This Row],[Code d''ecole]]&amp;"-"&amp;Tableau2[[#This Row],[Numero HM de la femme]]</f>
        <v>2024-13-45</v>
      </c>
      <c r="K50" s="10">
        <f t="shared" si="0"/>
        <v>45</v>
      </c>
      <c r="L50" s="42">
        <v>0</v>
      </c>
      <c r="M50" s="52">
        <v>0</v>
      </c>
      <c r="N50" s="63">
        <f>SUM(Tableau2[[#This Row],[Mathématique/20]]+Tableau2[[#This Row],[Français /20]])/2</f>
        <v>0</v>
      </c>
      <c r="O50" s="42">
        <v>10</v>
      </c>
      <c r="P50" s="52">
        <v>16</v>
      </c>
      <c r="Q50" s="63">
        <f>(Tableau2[[#This Row],[Mathématique /20]]+Tableau2[[#This Row],[Français /202]])/2</f>
        <v>13</v>
      </c>
      <c r="S50"/>
      <c r="T50"/>
      <c r="U50"/>
      <c r="V50"/>
    </row>
    <row r="51" spans="1:22" ht="16" x14ac:dyDescent="0.2">
      <c r="A51" s="10" t="s">
        <v>4</v>
      </c>
      <c r="B51" s="10" t="s">
        <v>115</v>
      </c>
      <c r="C51" s="11" t="s">
        <v>90</v>
      </c>
      <c r="D51" s="10" t="s">
        <v>89</v>
      </c>
      <c r="E51" s="10" t="s">
        <v>1061</v>
      </c>
      <c r="F51" s="9" t="s">
        <v>999</v>
      </c>
      <c r="G51" s="10">
        <v>2024</v>
      </c>
      <c r="H51" s="10">
        <v>13</v>
      </c>
      <c r="I51" s="10">
        <f t="shared" si="1"/>
        <v>46</v>
      </c>
      <c r="J51" s="11" t="str">
        <f>Tableau2[[#This Row],[Annee d''inscription au programme]]&amp;"-"&amp;Tableau2[[#This Row],[Code d''ecole]]&amp;"-"&amp;Tableau2[[#This Row],[Numero HM de la femme]]</f>
        <v>2024-13-46</v>
      </c>
      <c r="K51" s="10">
        <f t="shared" si="0"/>
        <v>46</v>
      </c>
      <c r="L51" s="42">
        <v>2.5</v>
      </c>
      <c r="M51" s="52">
        <v>5</v>
      </c>
      <c r="N51" s="63">
        <f>SUM(Tableau2[[#This Row],[Mathématique/20]]+Tableau2[[#This Row],[Français /20]])/2</f>
        <v>3.75</v>
      </c>
      <c r="O51" s="42">
        <v>13</v>
      </c>
      <c r="P51" s="52">
        <v>12</v>
      </c>
      <c r="Q51" s="63">
        <f>(Tableau2[[#This Row],[Mathématique /20]]+Tableau2[[#This Row],[Français /202]])/2</f>
        <v>12.5</v>
      </c>
      <c r="S51"/>
      <c r="T51"/>
      <c r="U51"/>
      <c r="V51"/>
    </row>
    <row r="52" spans="1:22" ht="16" x14ac:dyDescent="0.2">
      <c r="A52" s="10" t="s">
        <v>4</v>
      </c>
      <c r="B52" s="10" t="s">
        <v>115</v>
      </c>
      <c r="C52" s="10" t="s">
        <v>81</v>
      </c>
      <c r="D52" s="10" t="s">
        <v>82</v>
      </c>
      <c r="E52" s="10" t="s">
        <v>1061</v>
      </c>
      <c r="F52" s="9" t="s">
        <v>999</v>
      </c>
      <c r="G52" s="10">
        <v>2024</v>
      </c>
      <c r="H52" s="10">
        <v>13</v>
      </c>
      <c r="I52" s="10">
        <f t="shared" si="1"/>
        <v>47</v>
      </c>
      <c r="J52" s="10" t="str">
        <f>Tableau2[[#This Row],[Annee d''inscription au programme]]&amp;"-"&amp;Tableau2[[#This Row],[Code d''ecole]]&amp;"-"&amp;Tableau2[[#This Row],[Numero HM de la femme]]</f>
        <v>2024-13-47</v>
      </c>
      <c r="K52" s="10">
        <f t="shared" si="0"/>
        <v>47</v>
      </c>
      <c r="L52" s="42">
        <v>3</v>
      </c>
      <c r="M52" s="52">
        <v>2</v>
      </c>
      <c r="N52" s="63">
        <f>SUM(Tableau2[[#This Row],[Mathématique/20]]+Tableau2[[#This Row],[Français /20]])/2</f>
        <v>2.5</v>
      </c>
      <c r="O52" s="42">
        <v>13</v>
      </c>
      <c r="P52" s="52">
        <v>14</v>
      </c>
      <c r="Q52" s="63">
        <f>(Tableau2[[#This Row],[Mathématique /20]]+Tableau2[[#This Row],[Français /202]])/2</f>
        <v>13.5</v>
      </c>
      <c r="S52"/>
      <c r="T52"/>
      <c r="U52"/>
      <c r="V52"/>
    </row>
    <row r="53" spans="1:22" ht="16" x14ac:dyDescent="0.2">
      <c r="A53" s="10" t="s">
        <v>4</v>
      </c>
      <c r="B53" s="10" t="s">
        <v>115</v>
      </c>
      <c r="C53" s="11" t="s">
        <v>98</v>
      </c>
      <c r="D53" s="10" t="s">
        <v>97</v>
      </c>
      <c r="E53" s="10" t="s">
        <v>1062</v>
      </c>
      <c r="F53" s="9" t="s">
        <v>999</v>
      </c>
      <c r="G53" s="10">
        <v>2024</v>
      </c>
      <c r="H53" s="10">
        <v>13</v>
      </c>
      <c r="I53" s="10">
        <f t="shared" si="1"/>
        <v>48</v>
      </c>
      <c r="J53" s="11" t="str">
        <f>Tableau2[[#This Row],[Annee d''inscription au programme]]&amp;"-"&amp;Tableau2[[#This Row],[Code d''ecole]]&amp;"-"&amp;Tableau2[[#This Row],[Numero HM de la femme]]</f>
        <v>2024-13-48</v>
      </c>
      <c r="K53" s="10">
        <f t="shared" si="0"/>
        <v>48</v>
      </c>
      <c r="L53" s="42">
        <v>3.5</v>
      </c>
      <c r="M53" s="52">
        <v>7</v>
      </c>
      <c r="N53" s="63">
        <f>SUM(Tableau2[[#This Row],[Mathématique/20]]+Tableau2[[#This Row],[Français /20]])/2</f>
        <v>5.25</v>
      </c>
      <c r="O53" s="42">
        <v>17</v>
      </c>
      <c r="P53" s="59">
        <v>14.5</v>
      </c>
      <c r="Q53" s="63">
        <f>(Tableau2[[#This Row],[Mathématique /20]]+Tableau2[[#This Row],[Français /202]])/2</f>
        <v>15.75</v>
      </c>
      <c r="S53"/>
      <c r="T53"/>
      <c r="U53"/>
      <c r="V53"/>
    </row>
    <row r="54" spans="1:22" ht="16" x14ac:dyDescent="0.2">
      <c r="A54" s="10" t="s">
        <v>4</v>
      </c>
      <c r="B54" s="11" t="s">
        <v>115</v>
      </c>
      <c r="C54" s="11" t="s">
        <v>715</v>
      </c>
      <c r="D54" s="10" t="s">
        <v>74</v>
      </c>
      <c r="E54" s="10" t="s">
        <v>1062</v>
      </c>
      <c r="F54" s="9" t="s">
        <v>999</v>
      </c>
      <c r="G54" s="10">
        <v>2024</v>
      </c>
      <c r="H54" s="10">
        <v>13</v>
      </c>
      <c r="I54" s="10">
        <f t="shared" si="1"/>
        <v>49</v>
      </c>
      <c r="J54" s="11" t="str">
        <f>Tableau2[[#This Row],[Annee d''inscription au programme]]&amp;"-"&amp;Tableau2[[#This Row],[Code d''ecole]]&amp;"-"&amp;Tableau2[[#This Row],[Numero HM de la femme]]</f>
        <v>2024-13-49</v>
      </c>
      <c r="K54" s="10">
        <f t="shared" si="0"/>
        <v>49</v>
      </c>
      <c r="L54" s="42">
        <v>0</v>
      </c>
      <c r="M54" s="52">
        <v>6</v>
      </c>
      <c r="N54" s="63">
        <f>SUM(Tableau2[[#This Row],[Mathématique/20]]+Tableau2[[#This Row],[Français /20]])/2</f>
        <v>3</v>
      </c>
      <c r="O54" s="42">
        <v>12</v>
      </c>
      <c r="P54" s="52">
        <v>12</v>
      </c>
      <c r="Q54" s="63">
        <f>(Tableau2[[#This Row],[Mathématique /20]]+Tableau2[[#This Row],[Français /202]])/2</f>
        <v>12</v>
      </c>
      <c r="S54"/>
      <c r="T54"/>
      <c r="U54"/>
      <c r="V54"/>
    </row>
    <row r="55" spans="1:22" ht="16" x14ac:dyDescent="0.2">
      <c r="A55" s="10" t="s">
        <v>4</v>
      </c>
      <c r="B55" s="10" t="s">
        <v>115</v>
      </c>
      <c r="C55" s="11" t="s">
        <v>110</v>
      </c>
      <c r="D55" s="10" t="s">
        <v>111</v>
      </c>
      <c r="E55" s="10" t="s">
        <v>1062</v>
      </c>
      <c r="F55" s="9" t="s">
        <v>999</v>
      </c>
      <c r="G55" s="10">
        <v>2024</v>
      </c>
      <c r="H55" s="10">
        <v>13</v>
      </c>
      <c r="I55" s="10">
        <f t="shared" si="1"/>
        <v>50</v>
      </c>
      <c r="J55" s="11" t="str">
        <f>Tableau2[[#This Row],[Annee d''inscription au programme]]&amp;"-"&amp;Tableau2[[#This Row],[Code d''ecole]]&amp;"-"&amp;Tableau2[[#This Row],[Numero HM de la femme]]</f>
        <v>2024-13-50</v>
      </c>
      <c r="K55" s="10">
        <f t="shared" si="0"/>
        <v>50</v>
      </c>
      <c r="L55" s="42">
        <v>0</v>
      </c>
      <c r="M55" s="52">
        <v>1</v>
      </c>
      <c r="N55" s="63">
        <f>SUM(Tableau2[[#This Row],[Mathématique/20]]+Tableau2[[#This Row],[Français /20]])/2</f>
        <v>0.5</v>
      </c>
      <c r="O55" s="42">
        <v>11</v>
      </c>
      <c r="P55" s="52">
        <v>12</v>
      </c>
      <c r="Q55" s="63">
        <f>(Tableau2[[#This Row],[Mathématique /20]]+Tableau2[[#This Row],[Français /202]])/2</f>
        <v>11.5</v>
      </c>
      <c r="S55"/>
      <c r="T55"/>
      <c r="U55"/>
      <c r="V55"/>
    </row>
    <row r="56" spans="1:22" ht="16" x14ac:dyDescent="0.2">
      <c r="A56" s="10" t="s">
        <v>4</v>
      </c>
      <c r="B56" s="11" t="s">
        <v>115</v>
      </c>
      <c r="C56" s="11" t="s">
        <v>709</v>
      </c>
      <c r="D56" s="10" t="s">
        <v>710</v>
      </c>
      <c r="E56" s="10" t="s">
        <v>1061</v>
      </c>
      <c r="F56" s="9" t="s">
        <v>999</v>
      </c>
      <c r="G56" s="10">
        <v>2024</v>
      </c>
      <c r="H56" s="10">
        <v>13</v>
      </c>
      <c r="I56" s="10">
        <f t="shared" si="1"/>
        <v>51</v>
      </c>
      <c r="J56" s="11" t="str">
        <f>Tableau2[[#This Row],[Annee d''inscription au programme]]&amp;"-"&amp;Tableau2[[#This Row],[Code d''ecole]]&amp;"-"&amp;Tableau2[[#This Row],[Numero HM de la femme]]</f>
        <v>2024-13-51</v>
      </c>
      <c r="K56" s="10">
        <f t="shared" si="0"/>
        <v>51</v>
      </c>
      <c r="L56" s="42">
        <v>0</v>
      </c>
      <c r="M56" s="52">
        <v>5</v>
      </c>
      <c r="N56" s="63">
        <f>SUM(Tableau2[[#This Row],[Mathématique/20]]+Tableau2[[#This Row],[Français /20]])/2</f>
        <v>2.5</v>
      </c>
      <c r="O56" s="42">
        <v>12</v>
      </c>
      <c r="P56" s="52">
        <v>13</v>
      </c>
      <c r="Q56" s="63">
        <f>(Tableau2[[#This Row],[Mathématique /20]]+Tableau2[[#This Row],[Français /202]])/2</f>
        <v>12.5</v>
      </c>
      <c r="S56"/>
      <c r="T56"/>
      <c r="U56"/>
      <c r="V56"/>
    </row>
    <row r="57" spans="1:22" ht="16" x14ac:dyDescent="0.2">
      <c r="A57" s="10" t="s">
        <v>4</v>
      </c>
      <c r="B57" s="10" t="s">
        <v>115</v>
      </c>
      <c r="C57" s="10" t="s">
        <v>79</v>
      </c>
      <c r="D57" s="10" t="s">
        <v>80</v>
      </c>
      <c r="E57" s="10" t="s">
        <v>1062</v>
      </c>
      <c r="F57" s="9" t="s">
        <v>999</v>
      </c>
      <c r="G57" s="10">
        <v>2024</v>
      </c>
      <c r="H57" s="10">
        <v>13</v>
      </c>
      <c r="I57" s="10">
        <f t="shared" si="1"/>
        <v>52</v>
      </c>
      <c r="J57" s="10" t="str">
        <f>Tableau2[[#This Row],[Annee d''inscription au programme]]&amp;"-"&amp;Tableau2[[#This Row],[Code d''ecole]]&amp;"-"&amp;Tableau2[[#This Row],[Numero HM de la femme]]</f>
        <v>2024-13-52</v>
      </c>
      <c r="K57" s="10">
        <f t="shared" si="0"/>
        <v>52</v>
      </c>
      <c r="L57" s="42">
        <v>3</v>
      </c>
      <c r="M57" s="52">
        <v>11</v>
      </c>
      <c r="N57" s="63">
        <f>SUM(Tableau2[[#This Row],[Mathématique/20]]+Tableau2[[#This Row],[Français /20]])/2</f>
        <v>7</v>
      </c>
      <c r="O57" s="42">
        <v>16</v>
      </c>
      <c r="P57" s="52">
        <v>17</v>
      </c>
      <c r="Q57" s="63">
        <f>(Tableau2[[#This Row],[Mathématique /20]]+Tableau2[[#This Row],[Français /202]])/2</f>
        <v>16.5</v>
      </c>
      <c r="S57"/>
      <c r="T57"/>
      <c r="U57"/>
      <c r="V57"/>
    </row>
    <row r="58" spans="1:22" ht="16" x14ac:dyDescent="0.2">
      <c r="A58" s="10" t="s">
        <v>4</v>
      </c>
      <c r="B58" s="10" t="s">
        <v>115</v>
      </c>
      <c r="C58" s="10" t="s">
        <v>980</v>
      </c>
      <c r="D58" s="10" t="s">
        <v>365</v>
      </c>
      <c r="E58" s="10" t="s">
        <v>1062</v>
      </c>
      <c r="F58" s="9" t="s">
        <v>999</v>
      </c>
      <c r="G58" s="10">
        <v>2024</v>
      </c>
      <c r="H58" s="10">
        <v>13</v>
      </c>
      <c r="I58" s="10">
        <f t="shared" si="1"/>
        <v>53</v>
      </c>
      <c r="J58" s="11" t="str">
        <f>Tableau2[[#This Row],[Annee d''inscription au programme]]&amp;"-"&amp;Tableau2[[#This Row],[Code d''ecole]]&amp;"-"&amp;Tableau2[[#This Row],[Numero HM de la femme]]</f>
        <v>2024-13-53</v>
      </c>
      <c r="K58" s="10">
        <f t="shared" si="0"/>
        <v>53</v>
      </c>
      <c r="L58" s="42">
        <v>4.5</v>
      </c>
      <c r="M58" s="52">
        <v>7</v>
      </c>
      <c r="N58" s="63">
        <f>SUM(Tableau2[[#This Row],[Mathématique/20]]+Tableau2[[#This Row],[Français /20]])/2</f>
        <v>5.75</v>
      </c>
      <c r="O58" s="42">
        <v>15</v>
      </c>
      <c r="P58" s="52">
        <v>20</v>
      </c>
      <c r="Q58" s="63">
        <f>(Tableau2[[#This Row],[Mathématique /20]]+Tableau2[[#This Row],[Français /202]])/2</f>
        <v>17.5</v>
      </c>
      <c r="S58"/>
      <c r="T58"/>
      <c r="U58"/>
      <c r="V58"/>
    </row>
    <row r="59" spans="1:22" ht="16" x14ac:dyDescent="0.2">
      <c r="A59" s="10" t="s">
        <v>4</v>
      </c>
      <c r="B59" s="10" t="s">
        <v>115</v>
      </c>
      <c r="C59" s="13" t="s">
        <v>981</v>
      </c>
      <c r="D59" s="15" t="s">
        <v>982</v>
      </c>
      <c r="E59" s="10" t="s">
        <v>1062</v>
      </c>
      <c r="F59" s="9" t="s">
        <v>999</v>
      </c>
      <c r="G59" s="10">
        <v>2024</v>
      </c>
      <c r="H59" s="10">
        <v>13</v>
      </c>
      <c r="I59" s="10">
        <f t="shared" si="1"/>
        <v>54</v>
      </c>
      <c r="J59" s="11" t="str">
        <f>Tableau2[[#This Row],[Annee d''inscription au programme]]&amp;"-"&amp;Tableau2[[#This Row],[Code d''ecole]]&amp;"-"&amp;Tableau2[[#This Row],[Numero HM de la femme]]</f>
        <v>2024-13-54</v>
      </c>
      <c r="K59" s="10">
        <f t="shared" si="0"/>
        <v>54</v>
      </c>
      <c r="L59" s="42">
        <v>0</v>
      </c>
      <c r="M59" s="52">
        <v>5</v>
      </c>
      <c r="N59" s="63">
        <f>SUM(Tableau2[[#This Row],[Mathématique/20]]+Tableau2[[#This Row],[Français /20]])/2</f>
        <v>2.5</v>
      </c>
      <c r="O59" s="42">
        <v>10</v>
      </c>
      <c r="P59" s="52">
        <v>14</v>
      </c>
      <c r="Q59" s="63">
        <f>(Tableau2[[#This Row],[Mathématique /20]]+Tableau2[[#This Row],[Français /202]])/2</f>
        <v>12</v>
      </c>
      <c r="S59"/>
      <c r="T59"/>
      <c r="U59"/>
      <c r="V59"/>
    </row>
    <row r="60" spans="1:22" ht="16" x14ac:dyDescent="0.2">
      <c r="A60" s="10" t="s">
        <v>4</v>
      </c>
      <c r="B60" s="11" t="s">
        <v>115</v>
      </c>
      <c r="C60" s="11" t="s">
        <v>713</v>
      </c>
      <c r="D60" s="10" t="s">
        <v>714</v>
      </c>
      <c r="E60" s="10" t="s">
        <v>1061</v>
      </c>
      <c r="F60" s="9" t="s">
        <v>999</v>
      </c>
      <c r="G60" s="10">
        <v>2024</v>
      </c>
      <c r="H60" s="10">
        <v>13</v>
      </c>
      <c r="I60" s="10">
        <f t="shared" si="1"/>
        <v>55</v>
      </c>
      <c r="J60" s="11" t="str">
        <f>Tableau2[[#This Row],[Annee d''inscription au programme]]&amp;"-"&amp;Tableau2[[#This Row],[Code d''ecole]]&amp;"-"&amp;Tableau2[[#This Row],[Numero HM de la femme]]</f>
        <v>2024-13-55</v>
      </c>
      <c r="K60" s="10">
        <f t="shared" si="0"/>
        <v>55</v>
      </c>
      <c r="L60" s="42">
        <v>4</v>
      </c>
      <c r="M60" s="52">
        <v>15</v>
      </c>
      <c r="N60" s="63">
        <f>SUM(Tableau2[[#This Row],[Mathématique/20]]+Tableau2[[#This Row],[Français /20]])/2</f>
        <v>9.5</v>
      </c>
      <c r="O60" s="42">
        <v>12</v>
      </c>
      <c r="P60" s="59">
        <v>18.5</v>
      </c>
      <c r="Q60" s="63">
        <f>(Tableau2[[#This Row],[Mathématique /20]]+Tableau2[[#This Row],[Français /202]])/2</f>
        <v>15.25</v>
      </c>
      <c r="S60"/>
      <c r="T60"/>
      <c r="U60"/>
      <c r="V60"/>
    </row>
    <row r="61" spans="1:22" ht="16" x14ac:dyDescent="0.2">
      <c r="A61" s="10" t="s">
        <v>4</v>
      </c>
      <c r="B61" s="10" t="s">
        <v>115</v>
      </c>
      <c r="C61" s="11" t="s">
        <v>91</v>
      </c>
      <c r="D61" s="10" t="s">
        <v>92</v>
      </c>
      <c r="E61" s="10" t="s">
        <v>1061</v>
      </c>
      <c r="F61" s="9" t="s">
        <v>999</v>
      </c>
      <c r="G61" s="10">
        <v>2024</v>
      </c>
      <c r="H61" s="10">
        <v>13</v>
      </c>
      <c r="I61" s="10">
        <f t="shared" si="1"/>
        <v>56</v>
      </c>
      <c r="J61" s="11" t="str">
        <f>Tableau2[[#This Row],[Annee d''inscription au programme]]&amp;"-"&amp;Tableau2[[#This Row],[Code d''ecole]]&amp;"-"&amp;Tableau2[[#This Row],[Numero HM de la femme]]</f>
        <v>2024-13-56</v>
      </c>
      <c r="K61" s="10">
        <f t="shared" si="0"/>
        <v>56</v>
      </c>
      <c r="L61" s="42">
        <v>2</v>
      </c>
      <c r="M61" s="52">
        <v>2.5</v>
      </c>
      <c r="N61" s="63">
        <f>SUM(Tableau2[[#This Row],[Mathématique/20]]+Tableau2[[#This Row],[Français /20]])/2</f>
        <v>2.25</v>
      </c>
      <c r="O61" s="43">
        <v>16.5</v>
      </c>
      <c r="P61" s="52">
        <v>16</v>
      </c>
      <c r="Q61" s="63">
        <f>(Tableau2[[#This Row],[Mathématique /20]]+Tableau2[[#This Row],[Français /202]])/2</f>
        <v>16.25</v>
      </c>
      <c r="S61"/>
      <c r="T61"/>
      <c r="U61"/>
      <c r="V61"/>
    </row>
    <row r="62" spans="1:22" ht="16" x14ac:dyDescent="0.2">
      <c r="A62" s="10" t="s">
        <v>4</v>
      </c>
      <c r="B62" s="10" t="s">
        <v>115</v>
      </c>
      <c r="C62" s="11" t="s">
        <v>1073</v>
      </c>
      <c r="D62" s="10" t="s">
        <v>99</v>
      </c>
      <c r="E62" s="10" t="s">
        <v>1061</v>
      </c>
      <c r="F62" s="9" t="s">
        <v>999</v>
      </c>
      <c r="G62" s="10">
        <v>2024</v>
      </c>
      <c r="H62" s="10">
        <v>13</v>
      </c>
      <c r="I62" s="10">
        <f t="shared" si="1"/>
        <v>57</v>
      </c>
      <c r="J62" s="11" t="str">
        <f>Tableau2[[#This Row],[Annee d''inscription au programme]]&amp;"-"&amp;Tableau2[[#This Row],[Code d''ecole]]&amp;"-"&amp;Tableau2[[#This Row],[Numero HM de la femme]]</f>
        <v>2024-13-57</v>
      </c>
      <c r="K62" s="10">
        <f t="shared" si="0"/>
        <v>57</v>
      </c>
      <c r="L62" s="42">
        <v>0</v>
      </c>
      <c r="M62" s="52">
        <v>1</v>
      </c>
      <c r="N62" s="63">
        <f>SUM(Tableau2[[#This Row],[Mathématique/20]]+Tableau2[[#This Row],[Français /20]])/2</f>
        <v>0.5</v>
      </c>
      <c r="O62" s="42">
        <v>11</v>
      </c>
      <c r="P62" s="59">
        <v>11.5</v>
      </c>
      <c r="Q62" s="63">
        <f>(Tableau2[[#This Row],[Mathématique /20]]+Tableau2[[#This Row],[Français /202]])/2</f>
        <v>11.25</v>
      </c>
      <c r="S62"/>
      <c r="T62"/>
      <c r="U62"/>
      <c r="V62"/>
    </row>
    <row r="63" spans="1:22" ht="16" x14ac:dyDescent="0.2">
      <c r="A63" s="10" t="s">
        <v>4</v>
      </c>
      <c r="B63" s="10" t="s">
        <v>115</v>
      </c>
      <c r="C63" s="11" t="s">
        <v>112</v>
      </c>
      <c r="D63" s="10" t="s">
        <v>113</v>
      </c>
      <c r="E63" s="10" t="s">
        <v>1061</v>
      </c>
      <c r="F63" s="9" t="s">
        <v>999</v>
      </c>
      <c r="G63" s="10">
        <v>2024</v>
      </c>
      <c r="H63" s="10">
        <v>13</v>
      </c>
      <c r="I63" s="10">
        <f t="shared" si="1"/>
        <v>58</v>
      </c>
      <c r="J63" s="11" t="str">
        <f>Tableau2[[#This Row],[Annee d''inscription au programme]]&amp;"-"&amp;Tableau2[[#This Row],[Code d''ecole]]&amp;"-"&amp;Tableau2[[#This Row],[Numero HM de la femme]]</f>
        <v>2024-13-58</v>
      </c>
      <c r="K63" s="10">
        <f t="shared" si="0"/>
        <v>58</v>
      </c>
      <c r="L63" s="42">
        <v>2</v>
      </c>
      <c r="M63" s="52">
        <v>7</v>
      </c>
      <c r="N63" s="63">
        <f>SUM(Tableau2[[#This Row],[Mathématique/20]]+Tableau2[[#This Row],[Français /20]])/2</f>
        <v>4.5</v>
      </c>
      <c r="O63" s="42">
        <v>16</v>
      </c>
      <c r="P63" s="59">
        <v>17.5</v>
      </c>
      <c r="Q63" s="63">
        <f>(Tableau2[[#This Row],[Mathématique /20]]+Tableau2[[#This Row],[Français /202]])/2</f>
        <v>16.75</v>
      </c>
      <c r="S63"/>
      <c r="T63"/>
      <c r="U63"/>
      <c r="V63"/>
    </row>
    <row r="64" spans="1:22" ht="16" x14ac:dyDescent="0.2">
      <c r="A64" s="10" t="s">
        <v>4</v>
      </c>
      <c r="B64" s="10" t="s">
        <v>115</v>
      </c>
      <c r="C64" s="10" t="s">
        <v>75</v>
      </c>
      <c r="D64" s="10" t="s">
        <v>76</v>
      </c>
      <c r="E64" s="10" t="s">
        <v>1062</v>
      </c>
      <c r="F64" s="9" t="s">
        <v>999</v>
      </c>
      <c r="G64" s="10">
        <v>2024</v>
      </c>
      <c r="H64" s="10">
        <v>13</v>
      </c>
      <c r="I64" s="10">
        <f t="shared" si="1"/>
        <v>59</v>
      </c>
      <c r="J64" s="10" t="str">
        <f>Tableau2[[#This Row],[Annee d''inscription au programme]]&amp;"-"&amp;Tableau2[[#This Row],[Code d''ecole]]&amp;"-"&amp;Tableau2[[#This Row],[Numero HM de la femme]]</f>
        <v>2024-13-59</v>
      </c>
      <c r="K64" s="10">
        <f t="shared" si="0"/>
        <v>59</v>
      </c>
      <c r="L64" s="42">
        <v>0.25</v>
      </c>
      <c r="M64" s="52">
        <v>3</v>
      </c>
      <c r="N64" s="63">
        <f>SUM(Tableau2[[#This Row],[Mathématique/20]]+Tableau2[[#This Row],[Français /20]])/2</f>
        <v>1.625</v>
      </c>
      <c r="O64" s="42">
        <v>18</v>
      </c>
      <c r="P64" s="59">
        <v>14</v>
      </c>
      <c r="Q64" s="63">
        <f>(Tableau2[[#This Row],[Mathématique /20]]+Tableau2[[#This Row],[Français /202]])/2</f>
        <v>16</v>
      </c>
      <c r="S64"/>
      <c r="T64"/>
      <c r="U64"/>
      <c r="V64"/>
    </row>
    <row r="65" spans="1:22" ht="16" x14ac:dyDescent="0.2">
      <c r="A65" s="10" t="s">
        <v>4</v>
      </c>
      <c r="B65" s="10" t="s">
        <v>115</v>
      </c>
      <c r="C65" s="10" t="s">
        <v>104</v>
      </c>
      <c r="D65" s="10" t="s">
        <v>105</v>
      </c>
      <c r="E65" s="10" t="s">
        <v>1062</v>
      </c>
      <c r="F65" s="9" t="s">
        <v>999</v>
      </c>
      <c r="G65" s="10">
        <v>2024</v>
      </c>
      <c r="H65" s="10">
        <v>13</v>
      </c>
      <c r="I65" s="10">
        <f t="shared" si="1"/>
        <v>60</v>
      </c>
      <c r="J65" s="11" t="str">
        <f>Tableau2[[#This Row],[Annee d''inscription au programme]]&amp;"-"&amp;Tableau2[[#This Row],[Code d''ecole]]&amp;"-"&amp;Tableau2[[#This Row],[Numero HM de la femme]]</f>
        <v>2024-13-60</v>
      </c>
      <c r="K65" s="10">
        <f t="shared" si="0"/>
        <v>60</v>
      </c>
      <c r="L65" s="42">
        <v>0</v>
      </c>
      <c r="M65" s="52">
        <v>7</v>
      </c>
      <c r="N65" s="63">
        <f>SUM(Tableau2[[#This Row],[Mathématique/20]]+Tableau2[[#This Row],[Français /20]])/2</f>
        <v>3.5</v>
      </c>
      <c r="O65" s="42">
        <v>11</v>
      </c>
      <c r="P65" s="52">
        <v>14</v>
      </c>
      <c r="Q65" s="63">
        <f>(Tableau2[[#This Row],[Mathématique /20]]+Tableau2[[#This Row],[Français /202]])/2</f>
        <v>12.5</v>
      </c>
      <c r="S65"/>
      <c r="T65"/>
      <c r="U65"/>
      <c r="V65"/>
    </row>
    <row r="66" spans="1:22" ht="16" x14ac:dyDescent="0.2">
      <c r="A66" s="10" t="s">
        <v>4</v>
      </c>
      <c r="B66" s="10" t="s">
        <v>115</v>
      </c>
      <c r="C66" s="10" t="s">
        <v>93</v>
      </c>
      <c r="D66" s="10" t="s">
        <v>89</v>
      </c>
      <c r="E66" s="10" t="s">
        <v>1062</v>
      </c>
      <c r="F66" s="9" t="s">
        <v>999</v>
      </c>
      <c r="G66" s="10">
        <v>2024</v>
      </c>
      <c r="H66" s="10">
        <v>13</v>
      </c>
      <c r="I66" s="10">
        <f t="shared" si="1"/>
        <v>61</v>
      </c>
      <c r="J66" s="11" t="str">
        <f>Tableau2[[#This Row],[Annee d''inscription au programme]]&amp;"-"&amp;Tableau2[[#This Row],[Code d''ecole]]&amp;"-"&amp;Tableau2[[#This Row],[Numero HM de la femme]]</f>
        <v>2024-13-61</v>
      </c>
      <c r="K66" s="10">
        <f t="shared" si="0"/>
        <v>61</v>
      </c>
      <c r="L66" s="42">
        <v>0</v>
      </c>
      <c r="M66" s="52">
        <v>1.5</v>
      </c>
      <c r="N66" s="63">
        <f>SUM(Tableau2[[#This Row],[Mathématique/20]]+Tableau2[[#This Row],[Français /20]])/2</f>
        <v>0.75</v>
      </c>
      <c r="O66" s="42">
        <v>13</v>
      </c>
      <c r="P66" s="52">
        <v>15</v>
      </c>
      <c r="Q66" s="63">
        <f>(Tableau2[[#This Row],[Mathématique /20]]+Tableau2[[#This Row],[Français /202]])/2</f>
        <v>14</v>
      </c>
      <c r="S66"/>
      <c r="T66"/>
      <c r="U66"/>
      <c r="V66"/>
    </row>
    <row r="67" spans="1:22" ht="16" x14ac:dyDescent="0.2">
      <c r="A67" s="10" t="s">
        <v>4</v>
      </c>
      <c r="B67" s="10" t="s">
        <v>115</v>
      </c>
      <c r="C67" s="10" t="s">
        <v>73</v>
      </c>
      <c r="D67" s="10" t="s">
        <v>60</v>
      </c>
      <c r="E67" s="10" t="s">
        <v>1061</v>
      </c>
      <c r="F67" s="9" t="s">
        <v>999</v>
      </c>
      <c r="G67" s="10">
        <v>2024</v>
      </c>
      <c r="H67" s="10">
        <v>13</v>
      </c>
      <c r="I67" s="10">
        <f t="shared" si="1"/>
        <v>62</v>
      </c>
      <c r="J67" s="10" t="str">
        <f>Tableau2[[#This Row],[Annee d''inscription au programme]]&amp;"-"&amp;Tableau2[[#This Row],[Code d''ecole]]&amp;"-"&amp;Tableau2[[#This Row],[Numero HM de la femme]]</f>
        <v>2024-13-62</v>
      </c>
      <c r="K67" s="10">
        <f t="shared" si="0"/>
        <v>62</v>
      </c>
      <c r="L67" s="42">
        <v>3</v>
      </c>
      <c r="M67" s="52">
        <v>0</v>
      </c>
      <c r="N67" s="63">
        <f>SUM(Tableau2[[#This Row],[Mathématique/20]]+Tableau2[[#This Row],[Français /20]])/2</f>
        <v>1.5</v>
      </c>
      <c r="O67" s="43">
        <v>17.5</v>
      </c>
      <c r="P67" s="52">
        <v>15</v>
      </c>
      <c r="Q67" s="63">
        <f>(Tableau2[[#This Row],[Mathématique /20]]+Tableau2[[#This Row],[Français /202]])/2</f>
        <v>16.25</v>
      </c>
      <c r="S67"/>
      <c r="T67"/>
      <c r="U67"/>
      <c r="V67"/>
    </row>
    <row r="68" spans="1:22" ht="16" x14ac:dyDescent="0.2">
      <c r="A68" s="10" t="s">
        <v>116</v>
      </c>
      <c r="B68" s="10" t="s">
        <v>115</v>
      </c>
      <c r="C68" s="10" t="s">
        <v>916</v>
      </c>
      <c r="D68" s="10" t="s">
        <v>117</v>
      </c>
      <c r="E68" s="10" t="s">
        <v>1033</v>
      </c>
      <c r="F68" s="9" t="s">
        <v>1000</v>
      </c>
      <c r="G68" s="10">
        <v>2024</v>
      </c>
      <c r="H68" s="10">
        <v>15</v>
      </c>
      <c r="I68" s="10">
        <f t="shared" si="1"/>
        <v>63</v>
      </c>
      <c r="J68" s="10" t="str">
        <f>Tableau2[[#This Row],[Annee d''inscription au programme]]&amp;"-"&amp;Tableau2[[#This Row],[Code d''ecole]]&amp;"-"&amp;Tableau2[[#This Row],[Numero HM de la femme]]</f>
        <v>2024-15-63</v>
      </c>
      <c r="K68" s="10">
        <f t="shared" si="0"/>
        <v>63</v>
      </c>
      <c r="L68" s="42">
        <v>0</v>
      </c>
      <c r="M68" s="52">
        <v>0.5</v>
      </c>
      <c r="N68" s="63">
        <f>SUM(Tableau2[[#This Row],[Mathématique/20]]+Tableau2[[#This Row],[Français /20]])/2</f>
        <v>0.25</v>
      </c>
      <c r="O68" s="42">
        <v>12</v>
      </c>
      <c r="P68" s="52">
        <v>13</v>
      </c>
      <c r="Q68" s="63">
        <f>(Tableau2[[#This Row],[Mathématique /20]]+Tableau2[[#This Row],[Français /202]])/2</f>
        <v>12.5</v>
      </c>
      <c r="S68"/>
      <c r="T68"/>
      <c r="U68"/>
      <c r="V68"/>
    </row>
    <row r="69" spans="1:22" ht="16" x14ac:dyDescent="0.2">
      <c r="A69" s="10" t="s">
        <v>116</v>
      </c>
      <c r="B69" s="10" t="s">
        <v>115</v>
      </c>
      <c r="C69" s="11" t="s">
        <v>118</v>
      </c>
      <c r="D69" s="10" t="s">
        <v>119</v>
      </c>
      <c r="E69" s="10" t="s">
        <v>1033</v>
      </c>
      <c r="F69" s="9" t="s">
        <v>1000</v>
      </c>
      <c r="G69" s="10">
        <v>2024</v>
      </c>
      <c r="H69" s="10">
        <v>15</v>
      </c>
      <c r="I69" s="10">
        <f t="shared" si="1"/>
        <v>64</v>
      </c>
      <c r="J69" s="10" t="str">
        <f>Tableau2[[#This Row],[Annee d''inscription au programme]]&amp;"-"&amp;Tableau2[[#This Row],[Code d''ecole]]&amp;"-"&amp;Tableau2[[#This Row],[Numero HM de la femme]]</f>
        <v>2024-15-64</v>
      </c>
      <c r="K69" s="10">
        <f t="shared" si="0"/>
        <v>64</v>
      </c>
      <c r="L69" s="42">
        <v>2.5</v>
      </c>
      <c r="M69" s="52">
        <v>2.8</v>
      </c>
      <c r="N69" s="63">
        <f>SUM(Tableau2[[#This Row],[Mathématique/20]]+Tableau2[[#This Row],[Français /20]])/2</f>
        <v>2.65</v>
      </c>
      <c r="O69" s="42">
        <v>12</v>
      </c>
      <c r="P69" s="59">
        <v>14.5</v>
      </c>
      <c r="Q69" s="63">
        <f>(Tableau2[[#This Row],[Mathématique /20]]+Tableau2[[#This Row],[Français /202]])/2</f>
        <v>13.25</v>
      </c>
      <c r="S69"/>
      <c r="T69"/>
      <c r="U69"/>
      <c r="V69"/>
    </row>
    <row r="70" spans="1:22" ht="16" x14ac:dyDescent="0.2">
      <c r="A70" s="10" t="s">
        <v>116</v>
      </c>
      <c r="B70" s="10" t="s">
        <v>115</v>
      </c>
      <c r="C70" s="10" t="s">
        <v>120</v>
      </c>
      <c r="D70" s="10" t="s">
        <v>121</v>
      </c>
      <c r="E70" s="10" t="s">
        <v>1034</v>
      </c>
      <c r="F70" s="9" t="s">
        <v>1000</v>
      </c>
      <c r="G70" s="10">
        <v>2024</v>
      </c>
      <c r="H70" s="10">
        <v>15</v>
      </c>
      <c r="I70" s="10">
        <f t="shared" si="1"/>
        <v>65</v>
      </c>
      <c r="J70" s="10" t="str">
        <f>Tableau2[[#This Row],[Annee d''inscription au programme]]&amp;"-"&amp;Tableau2[[#This Row],[Code d''ecole]]&amp;"-"&amp;Tableau2[[#This Row],[Numero HM de la femme]]</f>
        <v>2024-15-65</v>
      </c>
      <c r="K70" s="10">
        <f t="shared" si="0"/>
        <v>65</v>
      </c>
      <c r="L70" s="42">
        <v>0</v>
      </c>
      <c r="M70" s="52">
        <v>1.1000000000000001</v>
      </c>
      <c r="N70" s="63">
        <f>SUM(Tableau2[[#This Row],[Mathématique/20]]+Tableau2[[#This Row],[Français /20]])/2</f>
        <v>0.55000000000000004</v>
      </c>
      <c r="O70" s="42">
        <v>12</v>
      </c>
      <c r="P70" s="59">
        <v>10.5</v>
      </c>
      <c r="Q70" s="63">
        <f>(Tableau2[[#This Row],[Mathématique /20]]+Tableau2[[#This Row],[Français /202]])/2</f>
        <v>11.25</v>
      </c>
      <c r="S70"/>
      <c r="T70"/>
      <c r="U70"/>
      <c r="V70"/>
    </row>
    <row r="71" spans="1:22" ht="16" x14ac:dyDescent="0.2">
      <c r="A71" s="10" t="s">
        <v>116</v>
      </c>
      <c r="B71" s="10" t="s">
        <v>115</v>
      </c>
      <c r="C71" s="10" t="s">
        <v>122</v>
      </c>
      <c r="D71" s="10" t="s">
        <v>123</v>
      </c>
      <c r="E71" s="10" t="s">
        <v>1033</v>
      </c>
      <c r="F71" s="9" t="s">
        <v>1000</v>
      </c>
      <c r="G71" s="10">
        <v>2024</v>
      </c>
      <c r="H71" s="10">
        <v>15</v>
      </c>
      <c r="I71" s="10">
        <f t="shared" si="1"/>
        <v>66</v>
      </c>
      <c r="J71" s="10" t="str">
        <f>Tableau2[[#This Row],[Annee d''inscription au programme]]&amp;"-"&amp;Tableau2[[#This Row],[Code d''ecole]]&amp;"-"&amp;Tableau2[[#This Row],[Numero HM de la femme]]</f>
        <v>2024-15-66</v>
      </c>
      <c r="K71" s="10">
        <f t="shared" si="0"/>
        <v>66</v>
      </c>
      <c r="L71" s="42">
        <v>2</v>
      </c>
      <c r="M71" s="52">
        <v>1.3</v>
      </c>
      <c r="N71" s="63">
        <f>SUM(Tableau2[[#This Row],[Mathématique/20]]+Tableau2[[#This Row],[Français /20]])/2</f>
        <v>1.65</v>
      </c>
      <c r="O71" s="42">
        <v>13</v>
      </c>
      <c r="P71" s="52">
        <v>17</v>
      </c>
      <c r="Q71" s="63">
        <f>(Tableau2[[#This Row],[Mathématique /20]]+Tableau2[[#This Row],[Français /202]])/2</f>
        <v>15</v>
      </c>
      <c r="S71"/>
      <c r="T71"/>
      <c r="U71"/>
      <c r="V71"/>
    </row>
    <row r="72" spans="1:22" ht="16" x14ac:dyDescent="0.2">
      <c r="A72" s="10" t="s">
        <v>116</v>
      </c>
      <c r="B72" s="10" t="s">
        <v>115</v>
      </c>
      <c r="C72" s="10" t="s">
        <v>124</v>
      </c>
      <c r="D72" s="10" t="s">
        <v>125</v>
      </c>
      <c r="E72" s="10" t="s">
        <v>1033</v>
      </c>
      <c r="F72" s="9" t="s">
        <v>1000</v>
      </c>
      <c r="G72" s="10">
        <v>2024</v>
      </c>
      <c r="H72" s="10">
        <v>15</v>
      </c>
      <c r="I72" s="10">
        <f t="shared" si="1"/>
        <v>67</v>
      </c>
      <c r="J72" s="10" t="str">
        <f>Tableau2[[#This Row],[Annee d''inscription au programme]]&amp;"-"&amp;Tableau2[[#This Row],[Code d''ecole]]&amp;"-"&amp;Tableau2[[#This Row],[Numero HM de la femme]]</f>
        <v>2024-15-67</v>
      </c>
      <c r="K72" s="10">
        <f t="shared" si="0"/>
        <v>67</v>
      </c>
      <c r="L72" s="42">
        <v>1</v>
      </c>
      <c r="M72" s="52">
        <v>1.8</v>
      </c>
      <c r="N72" s="63">
        <f>SUM(Tableau2[[#This Row],[Mathématique/20]]+Tableau2[[#This Row],[Français /20]])/2</f>
        <v>1.4</v>
      </c>
      <c r="O72" s="43">
        <v>11.5</v>
      </c>
      <c r="P72" s="59">
        <v>15.5</v>
      </c>
      <c r="Q72" s="63">
        <f>(Tableau2[[#This Row],[Mathématique /20]]+Tableau2[[#This Row],[Français /202]])/2</f>
        <v>13.5</v>
      </c>
      <c r="S72"/>
      <c r="T72"/>
      <c r="U72"/>
      <c r="V72"/>
    </row>
    <row r="73" spans="1:22" ht="16" x14ac:dyDescent="0.2">
      <c r="A73" s="10" t="s">
        <v>116</v>
      </c>
      <c r="B73" s="10" t="s">
        <v>115</v>
      </c>
      <c r="C73" s="10" t="s">
        <v>126</v>
      </c>
      <c r="D73" s="10" t="s">
        <v>127</v>
      </c>
      <c r="E73" s="10" t="s">
        <v>1033</v>
      </c>
      <c r="F73" s="9" t="s">
        <v>1000</v>
      </c>
      <c r="G73" s="10">
        <v>2024</v>
      </c>
      <c r="H73" s="10">
        <v>15</v>
      </c>
      <c r="I73" s="10">
        <f t="shared" ref="I73:I136" si="2">SUM(I72+1)</f>
        <v>68</v>
      </c>
      <c r="J73" s="10" t="str">
        <f>Tableau2[[#This Row],[Annee d''inscription au programme]]&amp;"-"&amp;Tableau2[[#This Row],[Code d''ecole]]&amp;"-"&amp;Tableau2[[#This Row],[Numero HM de la femme]]</f>
        <v>2024-15-68</v>
      </c>
      <c r="K73" s="10">
        <f t="shared" ref="K73:K136" si="3">SUM(K72+1)</f>
        <v>68</v>
      </c>
      <c r="L73" s="42">
        <v>0.5</v>
      </c>
      <c r="M73" s="52">
        <v>2.8</v>
      </c>
      <c r="N73" s="63">
        <f>SUM(Tableau2[[#This Row],[Mathématique/20]]+Tableau2[[#This Row],[Français /20]])/2</f>
        <v>1.65</v>
      </c>
      <c r="O73" s="42">
        <v>13</v>
      </c>
      <c r="P73" s="52">
        <v>12</v>
      </c>
      <c r="Q73" s="63">
        <f>(Tableau2[[#This Row],[Mathématique /20]]+Tableau2[[#This Row],[Français /202]])/2</f>
        <v>12.5</v>
      </c>
      <c r="S73"/>
      <c r="T73"/>
      <c r="U73"/>
      <c r="V73"/>
    </row>
    <row r="74" spans="1:22" ht="16" x14ac:dyDescent="0.2">
      <c r="A74" s="10" t="s">
        <v>116</v>
      </c>
      <c r="B74" s="10" t="s">
        <v>115</v>
      </c>
      <c r="C74" s="10" t="s">
        <v>128</v>
      </c>
      <c r="D74" s="10" t="s">
        <v>129</v>
      </c>
      <c r="E74" s="10" t="s">
        <v>1033</v>
      </c>
      <c r="F74" s="9" t="s">
        <v>1000</v>
      </c>
      <c r="G74" s="10">
        <v>2024</v>
      </c>
      <c r="H74" s="10">
        <v>15</v>
      </c>
      <c r="I74" s="10">
        <f t="shared" si="2"/>
        <v>69</v>
      </c>
      <c r="J74" s="10" t="str">
        <f>Tableau2[[#This Row],[Annee d''inscription au programme]]&amp;"-"&amp;Tableau2[[#This Row],[Code d''ecole]]&amp;"-"&amp;Tableau2[[#This Row],[Numero HM de la femme]]</f>
        <v>2024-15-69</v>
      </c>
      <c r="K74" s="10">
        <f t="shared" si="3"/>
        <v>69</v>
      </c>
      <c r="L74" s="42">
        <v>0</v>
      </c>
      <c r="M74" s="52">
        <v>0.5</v>
      </c>
      <c r="N74" s="63">
        <f>SUM(Tableau2[[#This Row],[Mathématique/20]]+Tableau2[[#This Row],[Français /20]])/2</f>
        <v>0.25</v>
      </c>
      <c r="O74" s="42">
        <v>12</v>
      </c>
      <c r="P74" s="52">
        <v>12</v>
      </c>
      <c r="Q74" s="63">
        <f>(Tableau2[[#This Row],[Mathématique /20]]+Tableau2[[#This Row],[Français /202]])/2</f>
        <v>12</v>
      </c>
      <c r="S74"/>
      <c r="T74"/>
      <c r="U74"/>
      <c r="V74"/>
    </row>
    <row r="75" spans="1:22" ht="16" x14ac:dyDescent="0.2">
      <c r="A75" s="10" t="s">
        <v>116</v>
      </c>
      <c r="B75" s="10" t="s">
        <v>115</v>
      </c>
      <c r="C75" s="10" t="s">
        <v>130</v>
      </c>
      <c r="D75" s="10" t="s">
        <v>131</v>
      </c>
      <c r="E75" s="10" t="s">
        <v>1033</v>
      </c>
      <c r="F75" s="9" t="s">
        <v>1000</v>
      </c>
      <c r="G75" s="10">
        <v>2024</v>
      </c>
      <c r="H75" s="10">
        <v>15</v>
      </c>
      <c r="I75" s="10">
        <f t="shared" si="2"/>
        <v>70</v>
      </c>
      <c r="J75" s="10" t="str">
        <f>Tableau2[[#This Row],[Annee d''inscription au programme]]&amp;"-"&amp;Tableau2[[#This Row],[Code d''ecole]]&amp;"-"&amp;Tableau2[[#This Row],[Numero HM de la femme]]</f>
        <v>2024-15-70</v>
      </c>
      <c r="K75" s="10">
        <f t="shared" si="3"/>
        <v>70</v>
      </c>
      <c r="L75" s="42">
        <v>0.5</v>
      </c>
      <c r="M75" s="52">
        <v>2.2999999999999998</v>
      </c>
      <c r="N75" s="63">
        <f>SUM(Tableau2[[#This Row],[Mathématique/20]]+Tableau2[[#This Row],[Français /20]])/2</f>
        <v>1.4</v>
      </c>
      <c r="O75" s="42">
        <v>12</v>
      </c>
      <c r="P75" s="52">
        <v>11</v>
      </c>
      <c r="Q75" s="63">
        <f>(Tableau2[[#This Row],[Mathématique /20]]+Tableau2[[#This Row],[Français /202]])/2</f>
        <v>11.5</v>
      </c>
      <c r="S75"/>
      <c r="T75"/>
      <c r="U75"/>
      <c r="V75"/>
    </row>
    <row r="76" spans="1:22" ht="16" x14ac:dyDescent="0.2">
      <c r="A76" s="10" t="s">
        <v>116</v>
      </c>
      <c r="B76" s="10" t="s">
        <v>115</v>
      </c>
      <c r="C76" s="10" t="s">
        <v>132</v>
      </c>
      <c r="D76" s="10" t="s">
        <v>133</v>
      </c>
      <c r="E76" s="10" t="s">
        <v>1034</v>
      </c>
      <c r="F76" s="9" t="s">
        <v>1000</v>
      </c>
      <c r="G76" s="10">
        <v>2024</v>
      </c>
      <c r="H76" s="10">
        <v>15</v>
      </c>
      <c r="I76" s="10">
        <f t="shared" si="2"/>
        <v>71</v>
      </c>
      <c r="J76" s="10" t="str">
        <f>Tableau2[[#This Row],[Annee d''inscription au programme]]&amp;"-"&amp;Tableau2[[#This Row],[Code d''ecole]]&amp;"-"&amp;Tableau2[[#This Row],[Numero HM de la femme]]</f>
        <v>2024-15-71</v>
      </c>
      <c r="K76" s="10">
        <f t="shared" si="3"/>
        <v>71</v>
      </c>
      <c r="L76" s="42">
        <v>0</v>
      </c>
      <c r="M76" s="52">
        <v>0.3</v>
      </c>
      <c r="N76" s="63">
        <f>SUM(Tableau2[[#This Row],[Mathématique/20]]+Tableau2[[#This Row],[Français /20]])/2</f>
        <v>0.15</v>
      </c>
      <c r="O76" s="42">
        <v>13</v>
      </c>
      <c r="P76" s="52">
        <v>12</v>
      </c>
      <c r="Q76" s="63">
        <f>(Tableau2[[#This Row],[Mathématique /20]]+Tableau2[[#This Row],[Français /202]])/2</f>
        <v>12.5</v>
      </c>
      <c r="S76"/>
      <c r="T76"/>
      <c r="U76"/>
      <c r="V76"/>
    </row>
    <row r="77" spans="1:22" ht="16" x14ac:dyDescent="0.2">
      <c r="A77" s="10" t="s">
        <v>116</v>
      </c>
      <c r="B77" s="10" t="s">
        <v>115</v>
      </c>
      <c r="C77" s="10" t="s">
        <v>134</v>
      </c>
      <c r="D77" s="10" t="s">
        <v>135</v>
      </c>
      <c r="E77" s="10" t="s">
        <v>1033</v>
      </c>
      <c r="F77" s="9" t="s">
        <v>1000</v>
      </c>
      <c r="G77" s="10">
        <v>2024</v>
      </c>
      <c r="H77" s="10">
        <v>15</v>
      </c>
      <c r="I77" s="10">
        <f t="shared" si="2"/>
        <v>72</v>
      </c>
      <c r="J77" s="10" t="str">
        <f>Tableau2[[#This Row],[Annee d''inscription au programme]]&amp;"-"&amp;Tableau2[[#This Row],[Code d''ecole]]&amp;"-"&amp;Tableau2[[#This Row],[Numero HM de la femme]]</f>
        <v>2024-15-72</v>
      </c>
      <c r="K77" s="10">
        <f t="shared" si="3"/>
        <v>72</v>
      </c>
      <c r="L77" s="42">
        <v>0</v>
      </c>
      <c r="M77" s="52">
        <v>6</v>
      </c>
      <c r="N77" s="63">
        <f>SUM(Tableau2[[#This Row],[Mathématique/20]]+Tableau2[[#This Row],[Français /20]])/2</f>
        <v>3</v>
      </c>
      <c r="O77" s="42">
        <v>12</v>
      </c>
      <c r="P77" s="52">
        <v>15</v>
      </c>
      <c r="Q77" s="63">
        <f>(Tableau2[[#This Row],[Mathématique /20]]+Tableau2[[#This Row],[Français /202]])/2</f>
        <v>13.5</v>
      </c>
      <c r="S77"/>
      <c r="T77"/>
      <c r="U77"/>
      <c r="V77"/>
    </row>
    <row r="78" spans="1:22" ht="16" x14ac:dyDescent="0.2">
      <c r="A78" s="10" t="s">
        <v>116</v>
      </c>
      <c r="B78" s="10" t="s">
        <v>115</v>
      </c>
      <c r="C78" s="10" t="s">
        <v>136</v>
      </c>
      <c r="D78" s="10" t="s">
        <v>137</v>
      </c>
      <c r="E78" s="10" t="s">
        <v>1033</v>
      </c>
      <c r="F78" s="9" t="s">
        <v>1000</v>
      </c>
      <c r="G78" s="10">
        <v>2024</v>
      </c>
      <c r="H78" s="10">
        <v>15</v>
      </c>
      <c r="I78" s="10">
        <f t="shared" si="2"/>
        <v>73</v>
      </c>
      <c r="J78" s="10" t="str">
        <f>Tableau2[[#This Row],[Annee d''inscription au programme]]&amp;"-"&amp;Tableau2[[#This Row],[Code d''ecole]]&amp;"-"&amp;Tableau2[[#This Row],[Numero HM de la femme]]</f>
        <v>2024-15-73</v>
      </c>
      <c r="K78" s="10">
        <f t="shared" si="3"/>
        <v>73</v>
      </c>
      <c r="L78" s="42">
        <v>0</v>
      </c>
      <c r="M78" s="52">
        <v>1.3</v>
      </c>
      <c r="N78" s="63">
        <f>SUM(Tableau2[[#This Row],[Mathématique/20]]+Tableau2[[#This Row],[Français /20]])/2</f>
        <v>0.65</v>
      </c>
      <c r="O78" s="42">
        <v>12</v>
      </c>
      <c r="P78" s="52">
        <v>10</v>
      </c>
      <c r="Q78" s="63">
        <f>(Tableau2[[#This Row],[Mathématique /20]]+Tableau2[[#This Row],[Français /202]])/2</f>
        <v>11</v>
      </c>
      <c r="S78"/>
      <c r="T78"/>
      <c r="U78"/>
      <c r="V78"/>
    </row>
    <row r="79" spans="1:22" ht="16" x14ac:dyDescent="0.2">
      <c r="A79" s="10" t="s">
        <v>116</v>
      </c>
      <c r="B79" s="10" t="s">
        <v>115</v>
      </c>
      <c r="C79" s="10" t="s">
        <v>138</v>
      </c>
      <c r="D79" s="10" t="s">
        <v>139</v>
      </c>
      <c r="E79" s="10" t="s">
        <v>1034</v>
      </c>
      <c r="F79" s="9" t="s">
        <v>1000</v>
      </c>
      <c r="G79" s="10">
        <v>2024</v>
      </c>
      <c r="H79" s="10">
        <v>15</v>
      </c>
      <c r="I79" s="10">
        <f t="shared" si="2"/>
        <v>74</v>
      </c>
      <c r="J79" s="10" t="str">
        <f>Tableau2[[#This Row],[Annee d''inscription au programme]]&amp;"-"&amp;Tableau2[[#This Row],[Code d''ecole]]&amp;"-"&amp;Tableau2[[#This Row],[Numero HM de la femme]]</f>
        <v>2024-15-74</v>
      </c>
      <c r="K79" s="10">
        <f t="shared" si="3"/>
        <v>74</v>
      </c>
      <c r="L79" s="42">
        <v>1</v>
      </c>
      <c r="M79" s="52">
        <v>1.3</v>
      </c>
      <c r="N79" s="63">
        <f>SUM(Tableau2[[#This Row],[Mathématique/20]]+Tableau2[[#This Row],[Français /20]])/2</f>
        <v>1.1499999999999999</v>
      </c>
      <c r="O79" s="42">
        <v>13</v>
      </c>
      <c r="P79" s="59">
        <v>13.5</v>
      </c>
      <c r="Q79" s="63">
        <f>(Tableau2[[#This Row],[Mathématique /20]]+Tableau2[[#This Row],[Français /202]])/2</f>
        <v>13.25</v>
      </c>
      <c r="S79"/>
      <c r="T79"/>
      <c r="U79"/>
      <c r="V79"/>
    </row>
    <row r="80" spans="1:22" ht="16" x14ac:dyDescent="0.2">
      <c r="A80" s="10" t="s">
        <v>116</v>
      </c>
      <c r="B80" s="10" t="s">
        <v>115</v>
      </c>
      <c r="C80" s="10" t="s">
        <v>140</v>
      </c>
      <c r="D80" s="10" t="s">
        <v>141</v>
      </c>
      <c r="E80" s="10" t="s">
        <v>1033</v>
      </c>
      <c r="F80" s="9" t="s">
        <v>1000</v>
      </c>
      <c r="G80" s="10">
        <v>2024</v>
      </c>
      <c r="H80" s="10">
        <v>15</v>
      </c>
      <c r="I80" s="10">
        <f t="shared" si="2"/>
        <v>75</v>
      </c>
      <c r="J80" s="10" t="str">
        <f>Tableau2[[#This Row],[Annee d''inscription au programme]]&amp;"-"&amp;Tableau2[[#This Row],[Code d''ecole]]&amp;"-"&amp;Tableau2[[#This Row],[Numero HM de la femme]]</f>
        <v>2024-15-75</v>
      </c>
      <c r="K80" s="10">
        <f t="shared" si="3"/>
        <v>75</v>
      </c>
      <c r="L80" s="42">
        <v>1.5</v>
      </c>
      <c r="M80" s="52">
        <v>2.7</v>
      </c>
      <c r="N80" s="63">
        <f>SUM(Tableau2[[#This Row],[Mathématique/20]]+Tableau2[[#This Row],[Français /20]])/2</f>
        <v>2.1</v>
      </c>
      <c r="O80" s="43">
        <v>10.5</v>
      </c>
      <c r="P80" s="52">
        <v>15</v>
      </c>
      <c r="Q80" s="63">
        <f>(Tableau2[[#This Row],[Mathématique /20]]+Tableau2[[#This Row],[Français /202]])/2</f>
        <v>12.75</v>
      </c>
      <c r="S80"/>
      <c r="T80"/>
      <c r="U80"/>
      <c r="V80"/>
    </row>
    <row r="81" spans="1:22" ht="16" x14ac:dyDescent="0.2">
      <c r="A81" s="10" t="s">
        <v>116</v>
      </c>
      <c r="B81" s="10" t="s">
        <v>115</v>
      </c>
      <c r="C81" s="10" t="s">
        <v>142</v>
      </c>
      <c r="D81" s="10" t="s">
        <v>143</v>
      </c>
      <c r="E81" s="10" t="s">
        <v>1033</v>
      </c>
      <c r="F81" s="9" t="s">
        <v>1000</v>
      </c>
      <c r="G81" s="10">
        <v>2024</v>
      </c>
      <c r="H81" s="10">
        <v>15</v>
      </c>
      <c r="I81" s="10">
        <f t="shared" si="2"/>
        <v>76</v>
      </c>
      <c r="J81" s="10" t="str">
        <f>Tableau2[[#This Row],[Annee d''inscription au programme]]&amp;"-"&amp;Tableau2[[#This Row],[Code d''ecole]]&amp;"-"&amp;Tableau2[[#This Row],[Numero HM de la femme]]</f>
        <v>2024-15-76</v>
      </c>
      <c r="K81" s="10">
        <f t="shared" si="3"/>
        <v>76</v>
      </c>
      <c r="L81" s="42">
        <v>2</v>
      </c>
      <c r="M81" s="52">
        <v>0.3</v>
      </c>
      <c r="N81" s="63">
        <f>SUM(Tableau2[[#This Row],[Mathématique/20]]+Tableau2[[#This Row],[Français /20]])/2</f>
        <v>1.1499999999999999</v>
      </c>
      <c r="O81" s="42">
        <v>12</v>
      </c>
      <c r="P81" s="52">
        <v>12</v>
      </c>
      <c r="Q81" s="63">
        <f>(Tableau2[[#This Row],[Mathématique /20]]+Tableau2[[#This Row],[Français /202]])/2</f>
        <v>12</v>
      </c>
      <c r="S81"/>
      <c r="T81"/>
      <c r="U81"/>
      <c r="V81"/>
    </row>
    <row r="82" spans="1:22" ht="16" x14ac:dyDescent="0.2">
      <c r="A82" s="10" t="s">
        <v>116</v>
      </c>
      <c r="B82" s="10" t="s">
        <v>115</v>
      </c>
      <c r="C82" s="10" t="s">
        <v>144</v>
      </c>
      <c r="D82" s="10" t="s">
        <v>145</v>
      </c>
      <c r="E82" s="10" t="s">
        <v>1034</v>
      </c>
      <c r="F82" s="9" t="s">
        <v>1000</v>
      </c>
      <c r="G82" s="10">
        <v>2024</v>
      </c>
      <c r="H82" s="10">
        <v>15</v>
      </c>
      <c r="I82" s="10">
        <f t="shared" si="2"/>
        <v>77</v>
      </c>
      <c r="J82" s="10" t="str">
        <f>Tableau2[[#This Row],[Annee d''inscription au programme]]&amp;"-"&amp;Tableau2[[#This Row],[Code d''ecole]]&amp;"-"&amp;Tableau2[[#This Row],[Numero HM de la femme]]</f>
        <v>2024-15-77</v>
      </c>
      <c r="K82" s="10">
        <f t="shared" si="3"/>
        <v>77</v>
      </c>
      <c r="L82" s="42">
        <v>1</v>
      </c>
      <c r="M82" s="52">
        <v>0.2</v>
      </c>
      <c r="N82" s="63">
        <f>SUM(Tableau2[[#This Row],[Mathématique/20]]+Tableau2[[#This Row],[Français /20]])/2</f>
        <v>0.6</v>
      </c>
      <c r="O82" s="42">
        <v>13</v>
      </c>
      <c r="P82" s="52">
        <v>19</v>
      </c>
      <c r="Q82" s="63">
        <f>(Tableau2[[#This Row],[Mathématique /20]]+Tableau2[[#This Row],[Français /202]])/2</f>
        <v>16</v>
      </c>
      <c r="S82"/>
      <c r="T82"/>
      <c r="U82"/>
      <c r="V82"/>
    </row>
    <row r="83" spans="1:22" ht="16" x14ac:dyDescent="0.2">
      <c r="A83" s="10" t="s">
        <v>116</v>
      </c>
      <c r="B83" s="10" t="s">
        <v>115</v>
      </c>
      <c r="C83" s="10" t="s">
        <v>146</v>
      </c>
      <c r="D83" s="10" t="s">
        <v>147</v>
      </c>
      <c r="E83" s="10" t="s">
        <v>1033</v>
      </c>
      <c r="F83" s="9" t="s">
        <v>1000</v>
      </c>
      <c r="G83" s="10">
        <v>2024</v>
      </c>
      <c r="H83" s="10">
        <v>15</v>
      </c>
      <c r="I83" s="10">
        <f t="shared" si="2"/>
        <v>78</v>
      </c>
      <c r="J83" s="10" t="str">
        <f>Tableau2[[#This Row],[Annee d''inscription au programme]]&amp;"-"&amp;Tableau2[[#This Row],[Code d''ecole]]&amp;"-"&amp;Tableau2[[#This Row],[Numero HM de la femme]]</f>
        <v>2024-15-78</v>
      </c>
      <c r="K83" s="10">
        <f t="shared" si="3"/>
        <v>78</v>
      </c>
      <c r="L83" s="42">
        <v>0</v>
      </c>
      <c r="M83" s="52">
        <v>0.6</v>
      </c>
      <c r="N83" s="63">
        <f>SUM(Tableau2[[#This Row],[Mathématique/20]]+Tableau2[[#This Row],[Français /20]])/2</f>
        <v>0.3</v>
      </c>
      <c r="O83" s="42">
        <v>10</v>
      </c>
      <c r="P83" s="59">
        <v>13.5</v>
      </c>
      <c r="Q83" s="63">
        <f>(Tableau2[[#This Row],[Mathématique /20]]+Tableau2[[#This Row],[Français /202]])/2</f>
        <v>11.75</v>
      </c>
      <c r="S83"/>
      <c r="T83"/>
      <c r="U83"/>
      <c r="V83"/>
    </row>
    <row r="84" spans="1:22" ht="16" x14ac:dyDescent="0.2">
      <c r="A84" s="10" t="s">
        <v>116</v>
      </c>
      <c r="B84" s="10" t="s">
        <v>115</v>
      </c>
      <c r="C84" s="10" t="s">
        <v>148</v>
      </c>
      <c r="D84" s="10" t="s">
        <v>149</v>
      </c>
      <c r="E84" s="10" t="s">
        <v>1033</v>
      </c>
      <c r="F84" s="9" t="s">
        <v>1000</v>
      </c>
      <c r="G84" s="10">
        <v>2024</v>
      </c>
      <c r="H84" s="10">
        <v>15</v>
      </c>
      <c r="I84" s="10">
        <f t="shared" si="2"/>
        <v>79</v>
      </c>
      <c r="J84" s="10" t="str">
        <f>Tableau2[[#This Row],[Annee d''inscription au programme]]&amp;"-"&amp;Tableau2[[#This Row],[Code d''ecole]]&amp;"-"&amp;Tableau2[[#This Row],[Numero HM de la femme]]</f>
        <v>2024-15-79</v>
      </c>
      <c r="K84" s="10">
        <f t="shared" si="3"/>
        <v>79</v>
      </c>
      <c r="L84" s="42">
        <v>0.5</v>
      </c>
      <c r="M84" s="52">
        <v>2.2999999999999998</v>
      </c>
      <c r="N84" s="63">
        <f>SUM(Tableau2[[#This Row],[Mathématique/20]]+Tableau2[[#This Row],[Français /20]])/2</f>
        <v>1.4</v>
      </c>
      <c r="O84" s="42">
        <v>13</v>
      </c>
      <c r="P84" s="52">
        <v>11</v>
      </c>
      <c r="Q84" s="63">
        <f>(Tableau2[[#This Row],[Mathématique /20]]+Tableau2[[#This Row],[Français /202]])/2</f>
        <v>12</v>
      </c>
      <c r="S84"/>
      <c r="T84"/>
      <c r="U84"/>
      <c r="V84"/>
    </row>
    <row r="85" spans="1:22" ht="16" x14ac:dyDescent="0.2">
      <c r="A85" s="10" t="s">
        <v>116</v>
      </c>
      <c r="B85" s="10" t="s">
        <v>115</v>
      </c>
      <c r="C85" s="10" t="s">
        <v>150</v>
      </c>
      <c r="D85" s="10" t="s">
        <v>151</v>
      </c>
      <c r="E85" s="10" t="s">
        <v>1033</v>
      </c>
      <c r="F85" s="9" t="s">
        <v>1000</v>
      </c>
      <c r="G85" s="10">
        <v>2024</v>
      </c>
      <c r="H85" s="10">
        <v>15</v>
      </c>
      <c r="I85" s="10">
        <f t="shared" si="2"/>
        <v>80</v>
      </c>
      <c r="J85" s="10" t="str">
        <f>Tableau2[[#This Row],[Annee d''inscription au programme]]&amp;"-"&amp;Tableau2[[#This Row],[Code d''ecole]]&amp;"-"&amp;Tableau2[[#This Row],[Numero HM de la femme]]</f>
        <v>2024-15-80</v>
      </c>
      <c r="K85" s="10">
        <f t="shared" si="3"/>
        <v>80</v>
      </c>
      <c r="L85" s="42">
        <v>1</v>
      </c>
      <c r="M85" s="52">
        <v>3.3</v>
      </c>
      <c r="N85" s="63">
        <f>SUM(Tableau2[[#This Row],[Mathématique/20]]+Tableau2[[#This Row],[Français /20]])/2</f>
        <v>2.15</v>
      </c>
      <c r="O85" s="42">
        <v>14</v>
      </c>
      <c r="P85" s="59">
        <v>13.5</v>
      </c>
      <c r="Q85" s="63">
        <f>(Tableau2[[#This Row],[Mathématique /20]]+Tableau2[[#This Row],[Français /202]])/2</f>
        <v>13.75</v>
      </c>
      <c r="S85"/>
      <c r="T85"/>
      <c r="U85"/>
      <c r="V85"/>
    </row>
    <row r="86" spans="1:22" ht="16" x14ac:dyDescent="0.2">
      <c r="A86" s="10" t="s">
        <v>116</v>
      </c>
      <c r="B86" s="10" t="s">
        <v>115</v>
      </c>
      <c r="C86" s="10" t="s">
        <v>153</v>
      </c>
      <c r="D86" s="10" t="s">
        <v>152</v>
      </c>
      <c r="E86" s="10" t="s">
        <v>1034</v>
      </c>
      <c r="F86" s="9" t="s">
        <v>1000</v>
      </c>
      <c r="G86" s="10">
        <v>2024</v>
      </c>
      <c r="H86" s="10">
        <v>15</v>
      </c>
      <c r="I86" s="10">
        <f t="shared" si="2"/>
        <v>81</v>
      </c>
      <c r="J86" s="10" t="str">
        <f>Tableau2[[#This Row],[Annee d''inscription au programme]]&amp;"-"&amp;Tableau2[[#This Row],[Code d''ecole]]&amp;"-"&amp;Tableau2[[#This Row],[Numero HM de la femme]]</f>
        <v>2024-15-81</v>
      </c>
      <c r="K86" s="10">
        <f t="shared" si="3"/>
        <v>81</v>
      </c>
      <c r="L86" s="42">
        <v>2</v>
      </c>
      <c r="M86" s="52">
        <v>7</v>
      </c>
      <c r="N86" s="63">
        <f>SUM(Tableau2[[#This Row],[Mathématique/20]]+Tableau2[[#This Row],[Français /20]])/2</f>
        <v>4.5</v>
      </c>
      <c r="O86" s="43">
        <v>12.5</v>
      </c>
      <c r="P86" s="52">
        <v>17</v>
      </c>
      <c r="Q86" s="63">
        <f>(Tableau2[[#This Row],[Mathématique /20]]+Tableau2[[#This Row],[Français /202]])/2</f>
        <v>14.75</v>
      </c>
      <c r="S86"/>
      <c r="T86"/>
      <c r="U86"/>
      <c r="V86"/>
    </row>
    <row r="87" spans="1:22" ht="16" x14ac:dyDescent="0.2">
      <c r="A87" s="10" t="s">
        <v>116</v>
      </c>
      <c r="B87" s="10" t="s">
        <v>115</v>
      </c>
      <c r="C87" s="10" t="s">
        <v>154</v>
      </c>
      <c r="D87" s="10" t="s">
        <v>41</v>
      </c>
      <c r="E87" s="10" t="s">
        <v>1034</v>
      </c>
      <c r="F87" s="9" t="s">
        <v>1000</v>
      </c>
      <c r="G87" s="10">
        <v>2024</v>
      </c>
      <c r="H87" s="10">
        <v>15</v>
      </c>
      <c r="I87" s="10">
        <f t="shared" si="2"/>
        <v>82</v>
      </c>
      <c r="J87" s="10" t="str">
        <f>Tableau2[[#This Row],[Annee d''inscription au programme]]&amp;"-"&amp;Tableau2[[#This Row],[Code d''ecole]]&amp;"-"&amp;Tableau2[[#This Row],[Numero HM de la femme]]</f>
        <v>2024-15-82</v>
      </c>
      <c r="K87" s="10">
        <f t="shared" si="3"/>
        <v>82</v>
      </c>
      <c r="L87" s="42">
        <v>0.5</v>
      </c>
      <c r="M87" s="52">
        <v>0.9</v>
      </c>
      <c r="N87" s="63">
        <f>SUM(Tableau2[[#This Row],[Mathématique/20]]+Tableau2[[#This Row],[Français /20]])/2</f>
        <v>0.7</v>
      </c>
      <c r="O87" s="42">
        <v>12</v>
      </c>
      <c r="P87" s="59">
        <v>10.5</v>
      </c>
      <c r="Q87" s="63">
        <f>(Tableau2[[#This Row],[Mathématique /20]]+Tableau2[[#This Row],[Français /202]])/2</f>
        <v>11.25</v>
      </c>
      <c r="S87"/>
      <c r="T87"/>
      <c r="U87"/>
      <c r="V87"/>
    </row>
    <row r="88" spans="1:22" ht="16" x14ac:dyDescent="0.2">
      <c r="A88" s="10" t="s">
        <v>116</v>
      </c>
      <c r="B88" s="10" t="s">
        <v>115</v>
      </c>
      <c r="C88" s="10" t="s">
        <v>155</v>
      </c>
      <c r="D88" s="10" t="s">
        <v>156</v>
      </c>
      <c r="E88" s="10" t="s">
        <v>1034</v>
      </c>
      <c r="F88" s="9" t="s">
        <v>1000</v>
      </c>
      <c r="G88" s="10">
        <v>2024</v>
      </c>
      <c r="H88" s="10">
        <v>15</v>
      </c>
      <c r="I88" s="10">
        <f t="shared" si="2"/>
        <v>83</v>
      </c>
      <c r="J88" s="10" t="str">
        <f>Tableau2[[#This Row],[Annee d''inscription au programme]]&amp;"-"&amp;Tableau2[[#This Row],[Code d''ecole]]&amp;"-"&amp;Tableau2[[#This Row],[Numero HM de la femme]]</f>
        <v>2024-15-83</v>
      </c>
      <c r="K88" s="10">
        <f t="shared" si="3"/>
        <v>83</v>
      </c>
      <c r="L88" s="42">
        <v>0</v>
      </c>
      <c r="M88" s="52">
        <v>1.7</v>
      </c>
      <c r="N88" s="63">
        <f>SUM(Tableau2[[#This Row],[Mathématique/20]]+Tableau2[[#This Row],[Français /20]])/2</f>
        <v>0.85</v>
      </c>
      <c r="O88" s="42">
        <v>10</v>
      </c>
      <c r="P88" s="52">
        <v>14</v>
      </c>
      <c r="Q88" s="63">
        <f>(Tableau2[[#This Row],[Mathématique /20]]+Tableau2[[#This Row],[Français /202]])/2</f>
        <v>12</v>
      </c>
      <c r="S88"/>
      <c r="T88"/>
      <c r="U88"/>
      <c r="V88"/>
    </row>
    <row r="89" spans="1:22" ht="16" x14ac:dyDescent="0.2">
      <c r="A89" s="10" t="s">
        <v>116</v>
      </c>
      <c r="B89" s="10" t="s">
        <v>115</v>
      </c>
      <c r="C89" s="10" t="s">
        <v>1074</v>
      </c>
      <c r="D89" s="10" t="s">
        <v>149</v>
      </c>
      <c r="E89" s="10" t="s">
        <v>1033</v>
      </c>
      <c r="F89" s="9" t="s">
        <v>1000</v>
      </c>
      <c r="G89" s="10">
        <v>2024</v>
      </c>
      <c r="H89" s="10">
        <v>15</v>
      </c>
      <c r="I89" s="10">
        <f t="shared" si="2"/>
        <v>84</v>
      </c>
      <c r="J89" s="10" t="str">
        <f>Tableau2[[#This Row],[Annee d''inscription au programme]]&amp;"-"&amp;Tableau2[[#This Row],[Code d''ecole]]&amp;"-"&amp;Tableau2[[#This Row],[Numero HM de la femme]]</f>
        <v>2024-15-84</v>
      </c>
      <c r="K89" s="10">
        <f t="shared" si="3"/>
        <v>84</v>
      </c>
      <c r="L89" s="42">
        <v>7</v>
      </c>
      <c r="M89" s="52">
        <v>0.2</v>
      </c>
      <c r="N89" s="63">
        <f>SUM(Tableau2[[#This Row],[Mathématique/20]]+Tableau2[[#This Row],[Français /20]])/2</f>
        <v>3.6</v>
      </c>
      <c r="O89" s="42">
        <v>12</v>
      </c>
      <c r="P89" s="52">
        <v>12</v>
      </c>
      <c r="Q89" s="63">
        <f>(Tableau2[[#This Row],[Mathématique /20]]+Tableau2[[#This Row],[Français /202]])/2</f>
        <v>12</v>
      </c>
      <c r="S89"/>
      <c r="T89"/>
      <c r="U89"/>
      <c r="V89"/>
    </row>
    <row r="90" spans="1:22" ht="16" x14ac:dyDescent="0.2">
      <c r="A90" s="10" t="s">
        <v>116</v>
      </c>
      <c r="B90" s="10" t="s">
        <v>115</v>
      </c>
      <c r="C90" s="10" t="s">
        <v>157</v>
      </c>
      <c r="D90" s="10" t="s">
        <v>166</v>
      </c>
      <c r="E90" s="10" t="s">
        <v>1034</v>
      </c>
      <c r="F90" s="9" t="s">
        <v>1000</v>
      </c>
      <c r="G90" s="10">
        <v>2024</v>
      </c>
      <c r="H90" s="10">
        <v>15</v>
      </c>
      <c r="I90" s="10">
        <f t="shared" si="2"/>
        <v>85</v>
      </c>
      <c r="J90" s="10" t="str">
        <f>Tableau2[[#This Row],[Annee d''inscription au programme]]&amp;"-"&amp;Tableau2[[#This Row],[Code d''ecole]]&amp;"-"&amp;Tableau2[[#This Row],[Numero HM de la femme]]</f>
        <v>2024-15-85</v>
      </c>
      <c r="K90" s="10">
        <f t="shared" si="3"/>
        <v>85</v>
      </c>
      <c r="L90" s="42">
        <v>0</v>
      </c>
      <c r="M90" s="52">
        <v>0.6</v>
      </c>
      <c r="N90" s="63">
        <f>SUM(Tableau2[[#This Row],[Mathématique/20]]+Tableau2[[#This Row],[Français /20]])/2</f>
        <v>0.3</v>
      </c>
      <c r="O90" s="42">
        <v>11</v>
      </c>
      <c r="P90" s="52">
        <v>11</v>
      </c>
      <c r="Q90" s="63">
        <f>(Tableau2[[#This Row],[Mathématique /20]]+Tableau2[[#This Row],[Français /202]])/2</f>
        <v>11</v>
      </c>
      <c r="S90"/>
      <c r="T90"/>
      <c r="U90"/>
      <c r="V90"/>
    </row>
    <row r="91" spans="1:22" ht="16" x14ac:dyDescent="0.2">
      <c r="A91" s="10" t="s">
        <v>116</v>
      </c>
      <c r="B91" s="10" t="s">
        <v>115</v>
      </c>
      <c r="C91" s="10" t="s">
        <v>158</v>
      </c>
      <c r="D91" s="10" t="s">
        <v>167</v>
      </c>
      <c r="E91" s="10" t="s">
        <v>1033</v>
      </c>
      <c r="F91" s="9" t="s">
        <v>1000</v>
      </c>
      <c r="G91" s="10">
        <v>2024</v>
      </c>
      <c r="H91" s="10">
        <v>15</v>
      </c>
      <c r="I91" s="10">
        <f t="shared" si="2"/>
        <v>86</v>
      </c>
      <c r="J91" s="10" t="str">
        <f>Tableau2[[#This Row],[Annee d''inscription au programme]]&amp;"-"&amp;Tableau2[[#This Row],[Code d''ecole]]&amp;"-"&amp;Tableau2[[#This Row],[Numero HM de la femme]]</f>
        <v>2024-15-86</v>
      </c>
      <c r="K91" s="10">
        <f t="shared" si="3"/>
        <v>86</v>
      </c>
      <c r="L91" s="42">
        <v>0</v>
      </c>
      <c r="M91" s="52">
        <v>0.5</v>
      </c>
      <c r="N91" s="63">
        <f>SUM(Tableau2[[#This Row],[Mathématique/20]]+Tableau2[[#This Row],[Français /20]])/2</f>
        <v>0.25</v>
      </c>
      <c r="O91" s="42">
        <v>15</v>
      </c>
      <c r="P91" s="52">
        <v>12</v>
      </c>
      <c r="Q91" s="63">
        <f>(Tableau2[[#This Row],[Mathématique /20]]+Tableau2[[#This Row],[Français /202]])/2</f>
        <v>13.5</v>
      </c>
      <c r="S91"/>
      <c r="T91"/>
      <c r="U91"/>
      <c r="V91"/>
    </row>
    <row r="92" spans="1:22" ht="16" x14ac:dyDescent="0.2">
      <c r="A92" s="10" t="s">
        <v>116</v>
      </c>
      <c r="B92" s="10" t="s">
        <v>115</v>
      </c>
      <c r="C92" s="10" t="s">
        <v>159</v>
      </c>
      <c r="D92" s="10" t="s">
        <v>168</v>
      </c>
      <c r="E92" s="10" t="s">
        <v>1033</v>
      </c>
      <c r="F92" s="9" t="s">
        <v>1000</v>
      </c>
      <c r="G92" s="10">
        <v>2024</v>
      </c>
      <c r="H92" s="10">
        <v>15</v>
      </c>
      <c r="I92" s="10">
        <f t="shared" si="2"/>
        <v>87</v>
      </c>
      <c r="J92" s="10" t="str">
        <f>Tableau2[[#This Row],[Annee d''inscription au programme]]&amp;"-"&amp;Tableau2[[#This Row],[Code d''ecole]]&amp;"-"&amp;Tableau2[[#This Row],[Numero HM de la femme]]</f>
        <v>2024-15-87</v>
      </c>
      <c r="K92" s="10">
        <f t="shared" si="3"/>
        <v>87</v>
      </c>
      <c r="L92" s="42">
        <v>1</v>
      </c>
      <c r="M92" s="52">
        <v>0.4</v>
      </c>
      <c r="N92" s="63">
        <f>SUM(Tableau2[[#This Row],[Mathématique/20]]+Tableau2[[#This Row],[Français /20]])/2</f>
        <v>0.7</v>
      </c>
      <c r="O92" s="42" t="s">
        <v>1077</v>
      </c>
      <c r="P92" s="52"/>
      <c r="Q92" s="63"/>
      <c r="S92"/>
      <c r="T92"/>
      <c r="U92"/>
      <c r="V92"/>
    </row>
    <row r="93" spans="1:22" ht="16" x14ac:dyDescent="0.2">
      <c r="A93" s="10" t="s">
        <v>116</v>
      </c>
      <c r="B93" s="10" t="s">
        <v>115</v>
      </c>
      <c r="C93" s="10" t="s">
        <v>160</v>
      </c>
      <c r="D93" s="10" t="s">
        <v>169</v>
      </c>
      <c r="E93" s="10" t="s">
        <v>1034</v>
      </c>
      <c r="F93" s="9" t="s">
        <v>1000</v>
      </c>
      <c r="G93" s="10">
        <v>2024</v>
      </c>
      <c r="H93" s="10">
        <v>15</v>
      </c>
      <c r="I93" s="10">
        <f t="shared" si="2"/>
        <v>88</v>
      </c>
      <c r="J93" s="10" t="str">
        <f>Tableau2[[#This Row],[Annee d''inscription au programme]]&amp;"-"&amp;Tableau2[[#This Row],[Code d''ecole]]&amp;"-"&amp;Tableau2[[#This Row],[Numero HM de la femme]]</f>
        <v>2024-15-88</v>
      </c>
      <c r="K93" s="10">
        <f t="shared" si="3"/>
        <v>88</v>
      </c>
      <c r="L93" s="42">
        <v>3</v>
      </c>
      <c r="M93" s="52">
        <v>2.4</v>
      </c>
      <c r="N93" s="63">
        <f>SUM(Tableau2[[#This Row],[Mathématique/20]]+Tableau2[[#This Row],[Français /20]])/2</f>
        <v>2.7</v>
      </c>
      <c r="O93" s="42">
        <v>12</v>
      </c>
      <c r="P93" s="52">
        <v>16</v>
      </c>
      <c r="Q93" s="63">
        <f>(Tableau2[[#This Row],[Mathématique /20]]+Tableau2[[#This Row],[Français /202]])/2</f>
        <v>14</v>
      </c>
      <c r="S93"/>
      <c r="T93"/>
      <c r="U93"/>
      <c r="V93"/>
    </row>
    <row r="94" spans="1:22" ht="16" x14ac:dyDescent="0.2">
      <c r="A94" s="10" t="s">
        <v>116</v>
      </c>
      <c r="B94" s="10" t="s">
        <v>115</v>
      </c>
      <c r="C94" s="10" t="s">
        <v>161</v>
      </c>
      <c r="D94" s="10" t="s">
        <v>170</v>
      </c>
      <c r="E94" s="10" t="s">
        <v>1034</v>
      </c>
      <c r="F94" s="9" t="s">
        <v>1000</v>
      </c>
      <c r="G94" s="10">
        <v>2024</v>
      </c>
      <c r="H94" s="10">
        <v>15</v>
      </c>
      <c r="I94" s="10">
        <f t="shared" si="2"/>
        <v>89</v>
      </c>
      <c r="J94" s="10" t="str">
        <f>Tableau2[[#This Row],[Annee d''inscription au programme]]&amp;"-"&amp;Tableau2[[#This Row],[Code d''ecole]]&amp;"-"&amp;Tableau2[[#This Row],[Numero HM de la femme]]</f>
        <v>2024-15-89</v>
      </c>
      <c r="K94" s="10">
        <f t="shared" si="3"/>
        <v>89</v>
      </c>
      <c r="L94" s="42">
        <v>0</v>
      </c>
      <c r="M94" s="52">
        <v>2</v>
      </c>
      <c r="N94" s="63">
        <f>SUM(Tableau2[[#This Row],[Mathématique/20]]+Tableau2[[#This Row],[Français /20]])/2</f>
        <v>1</v>
      </c>
      <c r="O94" s="42">
        <v>10</v>
      </c>
      <c r="P94" s="59">
        <v>14.5</v>
      </c>
      <c r="Q94" s="63">
        <f>(Tableau2[[#This Row],[Mathématique /20]]+Tableau2[[#This Row],[Français /202]])/2</f>
        <v>12.25</v>
      </c>
      <c r="S94"/>
      <c r="T94"/>
      <c r="U94"/>
      <c r="V94"/>
    </row>
    <row r="95" spans="1:22" ht="16" x14ac:dyDescent="0.2">
      <c r="A95" s="10" t="s">
        <v>116</v>
      </c>
      <c r="B95" s="10" t="s">
        <v>115</v>
      </c>
      <c r="C95" s="10" t="s">
        <v>162</v>
      </c>
      <c r="D95" s="10" t="s">
        <v>171</v>
      </c>
      <c r="E95" s="10" t="s">
        <v>1034</v>
      </c>
      <c r="F95" s="9" t="s">
        <v>1000</v>
      </c>
      <c r="G95" s="10">
        <v>2024</v>
      </c>
      <c r="H95" s="10">
        <v>15</v>
      </c>
      <c r="I95" s="10">
        <f t="shared" si="2"/>
        <v>90</v>
      </c>
      <c r="J95" s="10" t="str">
        <f>Tableau2[[#This Row],[Annee d''inscription au programme]]&amp;"-"&amp;Tableau2[[#This Row],[Code d''ecole]]&amp;"-"&amp;Tableau2[[#This Row],[Numero HM de la femme]]</f>
        <v>2024-15-90</v>
      </c>
      <c r="K95" s="10">
        <f t="shared" si="3"/>
        <v>90</v>
      </c>
      <c r="L95" s="42">
        <v>1.75</v>
      </c>
      <c r="M95" s="52">
        <v>1</v>
      </c>
      <c r="N95" s="63">
        <f>SUM(Tableau2[[#This Row],[Mathématique/20]]+Tableau2[[#This Row],[Français /20]])/2</f>
        <v>1.375</v>
      </c>
      <c r="O95" s="42">
        <v>11</v>
      </c>
      <c r="P95" s="59">
        <v>12.5</v>
      </c>
      <c r="Q95" s="63">
        <f>(Tableau2[[#This Row],[Mathématique /20]]+Tableau2[[#This Row],[Français /202]])/2</f>
        <v>11.75</v>
      </c>
      <c r="S95"/>
      <c r="T95"/>
      <c r="U95"/>
      <c r="V95"/>
    </row>
    <row r="96" spans="1:22" ht="16" x14ac:dyDescent="0.2">
      <c r="A96" s="10" t="s">
        <v>116</v>
      </c>
      <c r="B96" s="10" t="s">
        <v>115</v>
      </c>
      <c r="C96" s="10" t="s">
        <v>163</v>
      </c>
      <c r="D96" s="10" t="s">
        <v>41</v>
      </c>
      <c r="E96" s="10" t="s">
        <v>1034</v>
      </c>
      <c r="F96" s="9" t="s">
        <v>1000</v>
      </c>
      <c r="G96" s="10">
        <v>2024</v>
      </c>
      <c r="H96" s="10">
        <v>15</v>
      </c>
      <c r="I96" s="10">
        <f t="shared" si="2"/>
        <v>91</v>
      </c>
      <c r="J96" s="10" t="str">
        <f>Tableau2[[#This Row],[Annee d''inscription au programme]]&amp;"-"&amp;Tableau2[[#This Row],[Code d''ecole]]&amp;"-"&amp;Tableau2[[#This Row],[Numero HM de la femme]]</f>
        <v>2024-15-91</v>
      </c>
      <c r="K96" s="10">
        <f t="shared" si="3"/>
        <v>91</v>
      </c>
      <c r="L96" s="42">
        <v>2</v>
      </c>
      <c r="M96" s="52">
        <v>3</v>
      </c>
      <c r="N96" s="63">
        <f>SUM(Tableau2[[#This Row],[Mathématique/20]]+Tableau2[[#This Row],[Français /20]])/2</f>
        <v>2.5</v>
      </c>
      <c r="O96" s="42">
        <v>10</v>
      </c>
      <c r="P96" s="59">
        <v>12.5</v>
      </c>
      <c r="Q96" s="63">
        <f>(Tableau2[[#This Row],[Mathématique /20]]+Tableau2[[#This Row],[Français /202]])/2</f>
        <v>11.25</v>
      </c>
      <c r="S96"/>
      <c r="T96"/>
      <c r="U96"/>
      <c r="V96"/>
    </row>
    <row r="97" spans="1:22" ht="16" x14ac:dyDescent="0.2">
      <c r="A97" s="10" t="s">
        <v>116</v>
      </c>
      <c r="B97" s="10" t="s">
        <v>115</v>
      </c>
      <c r="C97" s="10" t="s">
        <v>164</v>
      </c>
      <c r="D97" s="10" t="s">
        <v>172</v>
      </c>
      <c r="E97" s="10" t="s">
        <v>1034</v>
      </c>
      <c r="F97" s="9" t="s">
        <v>1000</v>
      </c>
      <c r="G97" s="10">
        <v>2024</v>
      </c>
      <c r="H97" s="10">
        <v>15</v>
      </c>
      <c r="I97" s="10">
        <f t="shared" si="2"/>
        <v>92</v>
      </c>
      <c r="J97" s="10" t="str">
        <f>Tableau2[[#This Row],[Annee d''inscription au programme]]&amp;"-"&amp;Tableau2[[#This Row],[Code d''ecole]]&amp;"-"&amp;Tableau2[[#This Row],[Numero HM de la femme]]</f>
        <v>2024-15-92</v>
      </c>
      <c r="K97" s="10">
        <f t="shared" si="3"/>
        <v>92</v>
      </c>
      <c r="L97" s="42">
        <v>0</v>
      </c>
      <c r="M97" s="52">
        <v>1.3</v>
      </c>
      <c r="N97" s="63">
        <f>SUM(Tableau2[[#This Row],[Mathématique/20]]+Tableau2[[#This Row],[Français /20]])/2</f>
        <v>0.65</v>
      </c>
      <c r="O97" s="42">
        <v>13</v>
      </c>
      <c r="P97" s="52">
        <v>15</v>
      </c>
      <c r="Q97" s="63">
        <f>(Tableau2[[#This Row],[Mathématique /20]]+Tableau2[[#This Row],[Français /202]])/2</f>
        <v>14</v>
      </c>
      <c r="S97"/>
      <c r="T97"/>
      <c r="U97"/>
      <c r="V97"/>
    </row>
    <row r="98" spans="1:22" ht="16" x14ac:dyDescent="0.2">
      <c r="A98" s="10" t="s">
        <v>116</v>
      </c>
      <c r="B98" s="10" t="s">
        <v>115</v>
      </c>
      <c r="C98" s="10" t="s">
        <v>165</v>
      </c>
      <c r="D98" s="10" t="s">
        <v>41</v>
      </c>
      <c r="E98" s="10" t="s">
        <v>1034</v>
      </c>
      <c r="F98" s="9" t="s">
        <v>1000</v>
      </c>
      <c r="G98" s="10">
        <v>2024</v>
      </c>
      <c r="H98" s="10">
        <v>15</v>
      </c>
      <c r="I98" s="10">
        <f t="shared" si="2"/>
        <v>93</v>
      </c>
      <c r="J98" s="10" t="str">
        <f>Tableau2[[#This Row],[Annee d''inscription au programme]]&amp;"-"&amp;Tableau2[[#This Row],[Code d''ecole]]&amp;"-"&amp;Tableau2[[#This Row],[Numero HM de la femme]]</f>
        <v>2024-15-93</v>
      </c>
      <c r="K98" s="10">
        <f t="shared" si="3"/>
        <v>93</v>
      </c>
      <c r="L98" s="42">
        <v>0</v>
      </c>
      <c r="M98" s="52">
        <v>4.5999999999999996</v>
      </c>
      <c r="N98" s="63">
        <f>SUM(Tableau2[[#This Row],[Mathématique/20]]+Tableau2[[#This Row],[Français /20]])/2</f>
        <v>2.2999999999999998</v>
      </c>
      <c r="O98" s="42">
        <v>13</v>
      </c>
      <c r="P98" s="52">
        <v>10</v>
      </c>
      <c r="Q98" s="63">
        <f>(Tableau2[[#This Row],[Mathématique /20]]+Tableau2[[#This Row],[Français /202]])/2</f>
        <v>11.5</v>
      </c>
      <c r="S98"/>
      <c r="T98"/>
      <c r="U98"/>
      <c r="V98"/>
    </row>
    <row r="99" spans="1:22" ht="16" x14ac:dyDescent="0.2">
      <c r="A99" s="10" t="s">
        <v>116</v>
      </c>
      <c r="B99" s="10" t="s">
        <v>115</v>
      </c>
      <c r="C99" s="11" t="s">
        <v>922</v>
      </c>
      <c r="D99" s="10" t="s">
        <v>518</v>
      </c>
      <c r="E99" s="10" t="s">
        <v>1033</v>
      </c>
      <c r="F99" s="9" t="s">
        <v>1000</v>
      </c>
      <c r="G99" s="10">
        <v>2024</v>
      </c>
      <c r="H99" s="10">
        <v>15</v>
      </c>
      <c r="I99" s="10">
        <f t="shared" si="2"/>
        <v>94</v>
      </c>
      <c r="J99" s="11" t="str">
        <f>Tableau2[[#This Row],[Annee d''inscription au programme]]&amp;"-"&amp;Tableau2[[#This Row],[Code d''ecole]]&amp;"-"&amp;Tableau2[[#This Row],[Numero HM de la femme]]</f>
        <v>2024-15-94</v>
      </c>
      <c r="K99" s="10">
        <f t="shared" si="3"/>
        <v>94</v>
      </c>
      <c r="L99" s="42">
        <v>2.5</v>
      </c>
      <c r="M99" s="52">
        <v>4.9000000000000004</v>
      </c>
      <c r="N99" s="63">
        <f>SUM(Tableau2[[#This Row],[Mathématique/20]]+Tableau2[[#This Row],[Français /20]])/2</f>
        <v>3.7</v>
      </c>
      <c r="O99" s="42">
        <v>11</v>
      </c>
      <c r="P99" s="52">
        <v>13</v>
      </c>
      <c r="Q99" s="63">
        <f>(Tableau2[[#This Row],[Mathématique /20]]+Tableau2[[#This Row],[Français /202]])/2</f>
        <v>12</v>
      </c>
      <c r="S99"/>
      <c r="T99"/>
      <c r="U99"/>
      <c r="V99"/>
    </row>
    <row r="100" spans="1:22" ht="16" x14ac:dyDescent="0.2">
      <c r="A100" s="10" t="s">
        <v>116</v>
      </c>
      <c r="B100" s="10" t="s">
        <v>115</v>
      </c>
      <c r="C100" s="11" t="s">
        <v>923</v>
      </c>
      <c r="D100" s="10" t="s">
        <v>171</v>
      </c>
      <c r="E100" s="10" t="s">
        <v>1034</v>
      </c>
      <c r="F100" s="9" t="s">
        <v>1000</v>
      </c>
      <c r="G100" s="10">
        <v>2024</v>
      </c>
      <c r="H100" s="10">
        <v>15</v>
      </c>
      <c r="I100" s="10">
        <f t="shared" si="2"/>
        <v>95</v>
      </c>
      <c r="J100" s="11" t="str">
        <f>Tableau2[[#This Row],[Annee d''inscription au programme]]&amp;"-"&amp;Tableau2[[#This Row],[Code d''ecole]]&amp;"-"&amp;Tableau2[[#This Row],[Numero HM de la femme]]</f>
        <v>2024-15-95</v>
      </c>
      <c r="K100" s="10">
        <f t="shared" si="3"/>
        <v>95</v>
      </c>
      <c r="L100" s="42">
        <v>6</v>
      </c>
      <c r="M100" s="52">
        <v>7</v>
      </c>
      <c r="N100" s="63">
        <f>SUM(Tableau2[[#This Row],[Mathématique/20]]+Tableau2[[#This Row],[Français /20]])/2</f>
        <v>6.5</v>
      </c>
      <c r="O100" s="42">
        <v>11</v>
      </c>
      <c r="P100" s="52">
        <v>13</v>
      </c>
      <c r="Q100" s="63">
        <f>(Tableau2[[#This Row],[Mathématique /20]]+Tableau2[[#This Row],[Français /202]])/2</f>
        <v>12</v>
      </c>
      <c r="S100"/>
      <c r="T100"/>
      <c r="U100"/>
      <c r="V100"/>
    </row>
    <row r="101" spans="1:22" ht="16" x14ac:dyDescent="0.2">
      <c r="A101" s="10" t="s">
        <v>116</v>
      </c>
      <c r="B101" s="10" t="s">
        <v>115</v>
      </c>
      <c r="C101" s="11" t="s">
        <v>924</v>
      </c>
      <c r="D101" s="10" t="s">
        <v>167</v>
      </c>
      <c r="E101" s="10" t="s">
        <v>1034</v>
      </c>
      <c r="F101" s="9" t="s">
        <v>1000</v>
      </c>
      <c r="G101" s="10">
        <v>2024</v>
      </c>
      <c r="H101" s="10">
        <v>15</v>
      </c>
      <c r="I101" s="10">
        <f t="shared" si="2"/>
        <v>96</v>
      </c>
      <c r="J101" s="11" t="str">
        <f>Tableau2[[#This Row],[Annee d''inscription au programme]]&amp;"-"&amp;Tableau2[[#This Row],[Code d''ecole]]&amp;"-"&amp;Tableau2[[#This Row],[Numero HM de la femme]]</f>
        <v>2024-15-96</v>
      </c>
      <c r="K101" s="10">
        <f t="shared" si="3"/>
        <v>96</v>
      </c>
      <c r="L101" s="42">
        <v>3</v>
      </c>
      <c r="M101" s="52">
        <v>1.25</v>
      </c>
      <c r="N101" s="63">
        <f>SUM(Tableau2[[#This Row],[Mathématique/20]]+Tableau2[[#This Row],[Français /20]])/2</f>
        <v>2.125</v>
      </c>
      <c r="O101" s="42">
        <v>11</v>
      </c>
      <c r="P101" s="59">
        <v>11.5</v>
      </c>
      <c r="Q101" s="63">
        <f>(Tableau2[[#This Row],[Mathématique /20]]+Tableau2[[#This Row],[Français /202]])/2</f>
        <v>11.25</v>
      </c>
      <c r="S101"/>
      <c r="T101"/>
      <c r="U101"/>
      <c r="V101"/>
    </row>
    <row r="102" spans="1:22" ht="16" x14ac:dyDescent="0.2">
      <c r="A102" s="10" t="s">
        <v>116</v>
      </c>
      <c r="B102" s="10" t="s">
        <v>115</v>
      </c>
      <c r="C102" s="11" t="s">
        <v>917</v>
      </c>
      <c r="D102" s="10" t="s">
        <v>918</v>
      </c>
      <c r="E102" s="10" t="s">
        <v>1034</v>
      </c>
      <c r="F102" s="9" t="s">
        <v>1000</v>
      </c>
      <c r="G102" s="10">
        <v>2024</v>
      </c>
      <c r="H102" s="10">
        <v>15</v>
      </c>
      <c r="I102" s="10">
        <f t="shared" si="2"/>
        <v>97</v>
      </c>
      <c r="J102" s="11" t="str">
        <f>Tableau2[[#This Row],[Annee d''inscription au programme]]&amp;"-"&amp;Tableau2[[#This Row],[Code d''ecole]]&amp;"-"&amp;Tableau2[[#This Row],[Numero HM de la femme]]</f>
        <v>2024-15-97</v>
      </c>
      <c r="K102" s="10">
        <f t="shared" si="3"/>
        <v>97</v>
      </c>
      <c r="L102" s="42">
        <v>3</v>
      </c>
      <c r="M102" s="52">
        <v>2.7</v>
      </c>
      <c r="N102" s="63">
        <f>SUM(Tableau2[[#This Row],[Mathématique/20]]+Tableau2[[#This Row],[Français /20]])/2</f>
        <v>2.85</v>
      </c>
      <c r="O102" s="42">
        <v>12</v>
      </c>
      <c r="P102" s="52">
        <v>20</v>
      </c>
      <c r="Q102" s="63">
        <f>(Tableau2[[#This Row],[Mathématique /20]]+Tableau2[[#This Row],[Français /202]])/2</f>
        <v>16</v>
      </c>
      <c r="S102"/>
      <c r="T102"/>
      <c r="U102"/>
      <c r="V102"/>
    </row>
    <row r="103" spans="1:22" ht="16" x14ac:dyDescent="0.2">
      <c r="A103" s="10" t="s">
        <v>116</v>
      </c>
      <c r="B103" s="10" t="s">
        <v>115</v>
      </c>
      <c r="C103" s="11" t="s">
        <v>919</v>
      </c>
      <c r="D103" s="10" t="s">
        <v>149</v>
      </c>
      <c r="E103" s="10" t="s">
        <v>1034</v>
      </c>
      <c r="F103" s="9" t="s">
        <v>1000</v>
      </c>
      <c r="G103" s="10">
        <v>2024</v>
      </c>
      <c r="H103" s="10">
        <v>15</v>
      </c>
      <c r="I103" s="10">
        <f t="shared" si="2"/>
        <v>98</v>
      </c>
      <c r="J103" s="11" t="str">
        <f>Tableau2[[#This Row],[Annee d''inscription au programme]]&amp;"-"&amp;Tableau2[[#This Row],[Code d''ecole]]&amp;"-"&amp;Tableau2[[#This Row],[Numero HM de la femme]]</f>
        <v>2024-15-98</v>
      </c>
      <c r="K103" s="10">
        <f t="shared" si="3"/>
        <v>98</v>
      </c>
      <c r="L103" s="42">
        <v>5</v>
      </c>
      <c r="M103" s="52">
        <v>3.6</v>
      </c>
      <c r="N103" s="63">
        <f>SUM(Tableau2[[#This Row],[Mathématique/20]]+Tableau2[[#This Row],[Français /20]])/2</f>
        <v>4.3</v>
      </c>
      <c r="O103" s="42">
        <v>12</v>
      </c>
      <c r="P103" s="52">
        <v>20</v>
      </c>
      <c r="Q103" s="63">
        <f>(Tableau2[[#This Row],[Mathématique /20]]+Tableau2[[#This Row],[Français /202]])/2</f>
        <v>16</v>
      </c>
      <c r="S103"/>
      <c r="T103"/>
      <c r="U103"/>
      <c r="V103"/>
    </row>
    <row r="104" spans="1:22" ht="16" x14ac:dyDescent="0.2">
      <c r="A104" s="10" t="s">
        <v>116</v>
      </c>
      <c r="B104" s="10" t="s">
        <v>115</v>
      </c>
      <c r="C104" s="11" t="s">
        <v>920</v>
      </c>
      <c r="D104" s="10" t="s">
        <v>921</v>
      </c>
      <c r="E104" s="10" t="s">
        <v>1034</v>
      </c>
      <c r="F104" s="9" t="s">
        <v>1000</v>
      </c>
      <c r="G104" s="10">
        <v>2024</v>
      </c>
      <c r="H104" s="10">
        <v>15</v>
      </c>
      <c r="I104" s="10">
        <f t="shared" si="2"/>
        <v>99</v>
      </c>
      <c r="J104" s="11" t="str">
        <f>Tableau2[[#This Row],[Annee d''inscription au programme]]&amp;"-"&amp;Tableau2[[#This Row],[Code d''ecole]]&amp;"-"&amp;Tableau2[[#This Row],[Numero HM de la femme]]</f>
        <v>2024-15-99</v>
      </c>
      <c r="K104" s="10">
        <f t="shared" si="3"/>
        <v>99</v>
      </c>
      <c r="L104" s="42">
        <v>0</v>
      </c>
      <c r="M104" s="52">
        <v>2.6</v>
      </c>
      <c r="N104" s="63">
        <f>SUM(Tableau2[[#This Row],[Mathématique/20]]+Tableau2[[#This Row],[Français /20]])/2</f>
        <v>1.3</v>
      </c>
      <c r="O104" s="43">
        <v>12.5</v>
      </c>
      <c r="P104" s="52">
        <v>15</v>
      </c>
      <c r="Q104" s="63">
        <f>(Tableau2[[#This Row],[Mathématique /20]]+Tableau2[[#This Row],[Français /202]])/2</f>
        <v>13.75</v>
      </c>
      <c r="S104"/>
      <c r="T104"/>
      <c r="U104"/>
      <c r="V104"/>
    </row>
    <row r="105" spans="1:22" ht="16" x14ac:dyDescent="0.2">
      <c r="A105" s="10" t="s">
        <v>173</v>
      </c>
      <c r="B105" s="10" t="s">
        <v>114</v>
      </c>
      <c r="C105" s="10" t="s">
        <v>18</v>
      </c>
      <c r="D105" s="10" t="s">
        <v>24</v>
      </c>
      <c r="E105" s="10" t="s">
        <v>1043</v>
      </c>
      <c r="F105" s="9" t="s">
        <v>1001</v>
      </c>
      <c r="G105" s="10">
        <v>2024</v>
      </c>
      <c r="H105" s="10">
        <v>82</v>
      </c>
      <c r="I105" s="10">
        <f t="shared" si="2"/>
        <v>100</v>
      </c>
      <c r="J105" s="10" t="str">
        <f>Tableau2[[#This Row],[Annee d''inscription au programme]]&amp;"-"&amp;Tableau2[[#This Row],[Code d''ecole]]&amp;"-"&amp;Tableau2[[#This Row],[Numero HM de la femme]]</f>
        <v>2024-82-100</v>
      </c>
      <c r="K105" s="10">
        <f t="shared" si="3"/>
        <v>100</v>
      </c>
      <c r="L105" s="42">
        <v>5.5</v>
      </c>
      <c r="M105" s="52">
        <v>5.5</v>
      </c>
      <c r="N105" s="63">
        <f>SUM(Tableau2[[#This Row],[Mathématique/20]]+Tableau2[[#This Row],[Français /20]])/2</f>
        <v>5.5</v>
      </c>
      <c r="O105" s="42">
        <v>12</v>
      </c>
      <c r="P105" s="52">
        <v>9.5</v>
      </c>
      <c r="Q105" s="63">
        <f>(Tableau2[[#This Row],[Mathématique /20]]+Tableau2[[#This Row],[Français /202]])/2</f>
        <v>10.75</v>
      </c>
      <c r="S105"/>
      <c r="T105"/>
      <c r="U105"/>
      <c r="V105"/>
    </row>
    <row r="106" spans="1:22" ht="16" x14ac:dyDescent="0.2">
      <c r="A106" s="10" t="s">
        <v>173</v>
      </c>
      <c r="B106" s="10" t="s">
        <v>114</v>
      </c>
      <c r="C106" s="10" t="s">
        <v>106</v>
      </c>
      <c r="D106" s="10" t="s">
        <v>212</v>
      </c>
      <c r="E106" s="10" t="s">
        <v>1043</v>
      </c>
      <c r="F106" s="9" t="s">
        <v>1002</v>
      </c>
      <c r="G106" s="10">
        <v>2024</v>
      </c>
      <c r="H106" s="10">
        <v>82</v>
      </c>
      <c r="I106" s="10">
        <f t="shared" si="2"/>
        <v>101</v>
      </c>
      <c r="J106" s="10" t="str">
        <f>Tableau2[[#This Row],[Annee d''inscription au programme]]&amp;"-"&amp;Tableau2[[#This Row],[Code d''ecole]]&amp;"-"&amp;Tableau2[[#This Row],[Numero HM de la femme]]</f>
        <v>2024-82-101</v>
      </c>
      <c r="K106" s="10">
        <f t="shared" si="3"/>
        <v>101</v>
      </c>
      <c r="L106" s="42">
        <v>1</v>
      </c>
      <c r="M106" s="52">
        <v>1.2</v>
      </c>
      <c r="N106" s="63">
        <f>SUM(Tableau2[[#This Row],[Mathématique/20]]+Tableau2[[#This Row],[Français /20]])/2</f>
        <v>1.1000000000000001</v>
      </c>
      <c r="O106" s="42">
        <v>10.5</v>
      </c>
      <c r="P106" s="52">
        <v>9.5</v>
      </c>
      <c r="Q106" s="63">
        <f>(Tableau2[[#This Row],[Mathématique /20]]+Tableau2[[#This Row],[Français /202]])/2</f>
        <v>10</v>
      </c>
      <c r="S106"/>
      <c r="T106"/>
      <c r="U106"/>
      <c r="V106"/>
    </row>
    <row r="107" spans="1:22" ht="16" x14ac:dyDescent="0.2">
      <c r="A107" s="10" t="s">
        <v>173</v>
      </c>
      <c r="B107" s="10" t="s">
        <v>114</v>
      </c>
      <c r="C107" s="10" t="s">
        <v>174</v>
      </c>
      <c r="D107" s="10" t="s">
        <v>213</v>
      </c>
      <c r="E107" s="10" t="s">
        <v>1043</v>
      </c>
      <c r="F107" s="9" t="s">
        <v>1002</v>
      </c>
      <c r="G107" s="10">
        <v>2024</v>
      </c>
      <c r="H107" s="10">
        <v>82</v>
      </c>
      <c r="I107" s="10">
        <f t="shared" si="2"/>
        <v>102</v>
      </c>
      <c r="J107" s="10" t="str">
        <f>Tableau2[[#This Row],[Annee d''inscription au programme]]&amp;"-"&amp;Tableau2[[#This Row],[Code d''ecole]]&amp;"-"&amp;Tableau2[[#This Row],[Numero HM de la femme]]</f>
        <v>2024-82-102</v>
      </c>
      <c r="K107" s="10">
        <f t="shared" si="3"/>
        <v>102</v>
      </c>
      <c r="L107" s="42">
        <v>5</v>
      </c>
      <c r="M107" s="52">
        <v>2.75</v>
      </c>
      <c r="N107" s="63">
        <f>SUM(Tableau2[[#This Row],[Mathématique/20]]+Tableau2[[#This Row],[Français /20]])/2</f>
        <v>3.875</v>
      </c>
      <c r="O107" s="42">
        <v>12</v>
      </c>
      <c r="P107" s="52">
        <v>10.5</v>
      </c>
      <c r="Q107" s="63">
        <f>(Tableau2[[#This Row],[Mathématique /20]]+Tableau2[[#This Row],[Français /202]])/2</f>
        <v>11.25</v>
      </c>
      <c r="S107"/>
      <c r="T107"/>
      <c r="U107"/>
      <c r="V107"/>
    </row>
    <row r="108" spans="1:22" ht="16" x14ac:dyDescent="0.2">
      <c r="A108" s="10" t="s">
        <v>173</v>
      </c>
      <c r="B108" s="10" t="s">
        <v>114</v>
      </c>
      <c r="C108" s="10" t="s">
        <v>175</v>
      </c>
      <c r="D108" s="10" t="s">
        <v>24</v>
      </c>
      <c r="E108" s="10" t="s">
        <v>1042</v>
      </c>
      <c r="F108" s="9" t="s">
        <v>1002</v>
      </c>
      <c r="G108" s="10">
        <v>2024</v>
      </c>
      <c r="H108" s="10">
        <v>82</v>
      </c>
      <c r="I108" s="10">
        <f t="shared" si="2"/>
        <v>103</v>
      </c>
      <c r="J108" s="10" t="str">
        <f>Tableau2[[#This Row],[Annee d''inscription au programme]]&amp;"-"&amp;Tableau2[[#This Row],[Code d''ecole]]&amp;"-"&amp;Tableau2[[#This Row],[Numero HM de la femme]]</f>
        <v>2024-82-103</v>
      </c>
      <c r="K108" s="10">
        <f t="shared" si="3"/>
        <v>103</v>
      </c>
      <c r="L108" s="42">
        <v>0</v>
      </c>
      <c r="M108" s="52">
        <v>0.2</v>
      </c>
      <c r="N108" s="63">
        <f>SUM(Tableau2[[#This Row],[Mathématique/20]]+Tableau2[[#This Row],[Français /20]])/2</f>
        <v>0.1</v>
      </c>
      <c r="O108" s="42">
        <v>10</v>
      </c>
      <c r="P108" s="52">
        <v>13</v>
      </c>
      <c r="Q108" s="63">
        <f>(Tableau2[[#This Row],[Mathématique /20]]+Tableau2[[#This Row],[Français /202]])/2</f>
        <v>11.5</v>
      </c>
      <c r="S108"/>
      <c r="T108"/>
      <c r="U108"/>
      <c r="V108"/>
    </row>
    <row r="109" spans="1:22" ht="16" x14ac:dyDescent="0.2">
      <c r="A109" s="10" t="s">
        <v>173</v>
      </c>
      <c r="B109" s="10" t="s">
        <v>114</v>
      </c>
      <c r="C109" s="10" t="s">
        <v>176</v>
      </c>
      <c r="D109" s="10" t="s">
        <v>214</v>
      </c>
      <c r="E109" s="10" t="s">
        <v>1042</v>
      </c>
      <c r="F109" s="9" t="s">
        <v>1002</v>
      </c>
      <c r="G109" s="10">
        <v>2024</v>
      </c>
      <c r="H109" s="10">
        <v>82</v>
      </c>
      <c r="I109" s="10">
        <f t="shared" si="2"/>
        <v>104</v>
      </c>
      <c r="J109" s="10" t="str">
        <f>Tableau2[[#This Row],[Annee d''inscription au programme]]&amp;"-"&amp;Tableau2[[#This Row],[Code d''ecole]]&amp;"-"&amp;Tableau2[[#This Row],[Numero HM de la femme]]</f>
        <v>2024-82-104</v>
      </c>
      <c r="K109" s="10">
        <f t="shared" si="3"/>
        <v>104</v>
      </c>
      <c r="L109" s="42">
        <v>0</v>
      </c>
      <c r="M109" s="52">
        <v>2.8</v>
      </c>
      <c r="N109" s="63">
        <f>SUM(Tableau2[[#This Row],[Mathématique/20]]+Tableau2[[#This Row],[Français /20]])/2</f>
        <v>1.4</v>
      </c>
      <c r="O109" s="42">
        <v>11</v>
      </c>
      <c r="P109" s="52">
        <v>11</v>
      </c>
      <c r="Q109" s="63">
        <f>(Tableau2[[#This Row],[Mathématique /20]]+Tableau2[[#This Row],[Français /202]])/2</f>
        <v>11</v>
      </c>
      <c r="S109"/>
      <c r="T109"/>
      <c r="U109"/>
      <c r="V109"/>
    </row>
    <row r="110" spans="1:22" ht="16" x14ac:dyDescent="0.2">
      <c r="A110" s="10" t="s">
        <v>173</v>
      </c>
      <c r="B110" s="10" t="s">
        <v>114</v>
      </c>
      <c r="C110" s="14" t="s">
        <v>177</v>
      </c>
      <c r="D110" s="14" t="s">
        <v>215</v>
      </c>
      <c r="E110" s="10" t="s">
        <v>1043</v>
      </c>
      <c r="F110" s="9" t="s">
        <v>1002</v>
      </c>
      <c r="G110" s="10">
        <v>2024</v>
      </c>
      <c r="H110" s="10">
        <v>82</v>
      </c>
      <c r="I110" s="10">
        <f t="shared" si="2"/>
        <v>105</v>
      </c>
      <c r="J110" s="14" t="str">
        <f>Tableau2[[#This Row],[Annee d''inscription au programme]]&amp;"-"&amp;Tableau2[[#This Row],[Code d''ecole]]&amp;"-"&amp;Tableau2[[#This Row],[Numero HM de la femme]]</f>
        <v>2024-82-105</v>
      </c>
      <c r="K110" s="10">
        <f t="shared" si="3"/>
        <v>105</v>
      </c>
      <c r="L110" s="42">
        <v>1</v>
      </c>
      <c r="M110" s="52">
        <v>1.6</v>
      </c>
      <c r="N110" s="63">
        <f>SUM(Tableau2[[#This Row],[Mathématique/20]]+Tableau2[[#This Row],[Français /20]])/2</f>
        <v>1.3</v>
      </c>
      <c r="O110" s="42">
        <v>10</v>
      </c>
      <c r="P110" s="52">
        <v>10.75</v>
      </c>
      <c r="Q110" s="63">
        <f>(Tableau2[[#This Row],[Mathématique /20]]+Tableau2[[#This Row],[Français /202]])/2</f>
        <v>10.375</v>
      </c>
      <c r="S110"/>
      <c r="T110"/>
      <c r="U110"/>
      <c r="V110"/>
    </row>
    <row r="111" spans="1:22" ht="16" x14ac:dyDescent="0.2">
      <c r="A111" s="10" t="s">
        <v>173</v>
      </c>
      <c r="B111" s="10" t="s">
        <v>114</v>
      </c>
      <c r="C111" s="10" t="s">
        <v>178</v>
      </c>
      <c r="D111" s="10" t="s">
        <v>216</v>
      </c>
      <c r="E111" s="10" t="s">
        <v>1043</v>
      </c>
      <c r="F111" s="9" t="s">
        <v>1001</v>
      </c>
      <c r="G111" s="10">
        <v>2024</v>
      </c>
      <c r="H111" s="10">
        <v>82</v>
      </c>
      <c r="I111" s="10">
        <f t="shared" si="2"/>
        <v>106</v>
      </c>
      <c r="J111" s="10" t="str">
        <f>Tableau2[[#This Row],[Annee d''inscription au programme]]&amp;"-"&amp;Tableau2[[#This Row],[Code d''ecole]]&amp;"-"&amp;Tableau2[[#This Row],[Numero HM de la femme]]</f>
        <v>2024-82-106</v>
      </c>
      <c r="K111" s="10">
        <f t="shared" si="3"/>
        <v>106</v>
      </c>
      <c r="L111" s="42">
        <v>4.5</v>
      </c>
      <c r="M111" s="52">
        <v>3.1</v>
      </c>
      <c r="N111" s="63">
        <f>SUM(Tableau2[[#This Row],[Mathématique/20]]+Tableau2[[#This Row],[Français /20]])/2</f>
        <v>3.8</v>
      </c>
      <c r="O111" s="42">
        <v>11</v>
      </c>
      <c r="P111" s="52">
        <v>14.75</v>
      </c>
      <c r="Q111" s="63">
        <f>(Tableau2[[#This Row],[Mathématique /20]]+Tableau2[[#This Row],[Français /202]])/2</f>
        <v>12.875</v>
      </c>
      <c r="S111"/>
      <c r="T111"/>
      <c r="U111"/>
      <c r="V111"/>
    </row>
    <row r="112" spans="1:22" ht="16" x14ac:dyDescent="0.2">
      <c r="A112" s="10" t="s">
        <v>173</v>
      </c>
      <c r="B112" s="10" t="s">
        <v>114</v>
      </c>
      <c r="C112" s="10" t="s">
        <v>179</v>
      </c>
      <c r="D112" s="10" t="s">
        <v>217</v>
      </c>
      <c r="E112" s="10" t="s">
        <v>1042</v>
      </c>
      <c r="F112" s="9" t="s">
        <v>1002</v>
      </c>
      <c r="G112" s="10">
        <v>2024</v>
      </c>
      <c r="H112" s="10">
        <v>82</v>
      </c>
      <c r="I112" s="10">
        <f t="shared" si="2"/>
        <v>107</v>
      </c>
      <c r="J112" s="10" t="str">
        <f>Tableau2[[#This Row],[Annee d''inscription au programme]]&amp;"-"&amp;Tableau2[[#This Row],[Code d''ecole]]&amp;"-"&amp;Tableau2[[#This Row],[Numero HM de la femme]]</f>
        <v>2024-82-107</v>
      </c>
      <c r="K112" s="10">
        <f t="shared" si="3"/>
        <v>107</v>
      </c>
      <c r="L112" s="42">
        <v>0</v>
      </c>
      <c r="M112" s="52">
        <v>3.5</v>
      </c>
      <c r="N112" s="63">
        <f>SUM(Tableau2[[#This Row],[Mathématique/20]]+Tableau2[[#This Row],[Français /20]])/2</f>
        <v>1.75</v>
      </c>
      <c r="O112" s="42">
        <v>10</v>
      </c>
      <c r="P112" s="52">
        <v>10</v>
      </c>
      <c r="Q112" s="63">
        <f>(Tableau2[[#This Row],[Mathématique /20]]+Tableau2[[#This Row],[Français /202]])/2</f>
        <v>10</v>
      </c>
      <c r="S112"/>
      <c r="T112"/>
      <c r="U112"/>
      <c r="V112"/>
    </row>
    <row r="113" spans="1:22" ht="16" x14ac:dyDescent="0.2">
      <c r="A113" s="10" t="s">
        <v>173</v>
      </c>
      <c r="B113" s="10" t="s">
        <v>114</v>
      </c>
      <c r="C113" s="10" t="s">
        <v>180</v>
      </c>
      <c r="D113" s="10" t="s">
        <v>218</v>
      </c>
      <c r="E113" s="10" t="s">
        <v>1043</v>
      </c>
      <c r="F113" s="9" t="s">
        <v>1002</v>
      </c>
      <c r="G113" s="10">
        <v>2024</v>
      </c>
      <c r="H113" s="10">
        <v>82</v>
      </c>
      <c r="I113" s="10">
        <f t="shared" si="2"/>
        <v>108</v>
      </c>
      <c r="J113" s="10" t="str">
        <f>Tableau2[[#This Row],[Annee d''inscription au programme]]&amp;"-"&amp;Tableau2[[#This Row],[Code d''ecole]]&amp;"-"&amp;Tableau2[[#This Row],[Numero HM de la femme]]</f>
        <v>2024-82-108</v>
      </c>
      <c r="K113" s="10">
        <f t="shared" si="3"/>
        <v>108</v>
      </c>
      <c r="L113" s="42">
        <v>1</v>
      </c>
      <c r="M113" s="52">
        <v>2.2000000000000002</v>
      </c>
      <c r="N113" s="63">
        <f>SUM(Tableau2[[#This Row],[Mathématique/20]]+Tableau2[[#This Row],[Français /20]])/2</f>
        <v>1.6</v>
      </c>
      <c r="O113" s="42">
        <v>12</v>
      </c>
      <c r="P113" s="52">
        <v>14</v>
      </c>
      <c r="Q113" s="63">
        <f>(Tableau2[[#This Row],[Mathématique /20]]+Tableau2[[#This Row],[Français /202]])/2</f>
        <v>13</v>
      </c>
      <c r="S113"/>
      <c r="T113"/>
      <c r="U113"/>
      <c r="V113"/>
    </row>
    <row r="114" spans="1:22" ht="16" x14ac:dyDescent="0.2">
      <c r="A114" s="10" t="s">
        <v>173</v>
      </c>
      <c r="B114" s="10" t="s">
        <v>114</v>
      </c>
      <c r="C114" s="10" t="s">
        <v>181</v>
      </c>
      <c r="D114" s="10" t="s">
        <v>213</v>
      </c>
      <c r="E114" s="10" t="s">
        <v>1042</v>
      </c>
      <c r="F114" s="9" t="s">
        <v>1002</v>
      </c>
      <c r="G114" s="10">
        <v>2023</v>
      </c>
      <c r="H114" s="10">
        <v>82</v>
      </c>
      <c r="I114" s="10">
        <v>553</v>
      </c>
      <c r="J114" s="10" t="str">
        <f>Tableau2[[#This Row],[Annee d''inscription au programme]]&amp;"-"&amp;Tableau2[[#This Row],[Code d''ecole]]&amp;"-"&amp;Tableau2[[#This Row],[Numero HM de la femme]]</f>
        <v>2023-82-553</v>
      </c>
      <c r="K114" s="10">
        <f t="shared" si="3"/>
        <v>109</v>
      </c>
      <c r="L114" s="42">
        <v>3.5</v>
      </c>
      <c r="M114" s="52">
        <v>1.7</v>
      </c>
      <c r="N114" s="63">
        <f>SUM(Tableau2[[#This Row],[Mathématique/20]]+Tableau2[[#This Row],[Français /20]])/2</f>
        <v>2.6</v>
      </c>
      <c r="O114" s="42">
        <v>10</v>
      </c>
      <c r="P114" s="52">
        <v>11</v>
      </c>
      <c r="Q114" s="63">
        <f>(Tableau2[[#This Row],[Mathématique /20]]+Tableau2[[#This Row],[Français /202]])/2</f>
        <v>10.5</v>
      </c>
      <c r="S114"/>
      <c r="T114"/>
      <c r="U114"/>
      <c r="V114"/>
    </row>
    <row r="115" spans="1:22" ht="16" x14ac:dyDescent="0.2">
      <c r="A115" s="10" t="s">
        <v>173</v>
      </c>
      <c r="B115" s="10" t="s">
        <v>114</v>
      </c>
      <c r="C115" s="10" t="s">
        <v>182</v>
      </c>
      <c r="D115" s="10" t="s">
        <v>217</v>
      </c>
      <c r="E115" s="10" t="s">
        <v>1042</v>
      </c>
      <c r="F115" s="9" t="s">
        <v>1002</v>
      </c>
      <c r="G115" s="10">
        <v>2024</v>
      </c>
      <c r="H115" s="10">
        <v>82</v>
      </c>
      <c r="I115" s="10">
        <v>110</v>
      </c>
      <c r="J115" s="10" t="str">
        <f>Tableau2[[#This Row],[Annee d''inscription au programme]]&amp;"-"&amp;Tableau2[[#This Row],[Code d''ecole]]&amp;"-"&amp;Tableau2[[#This Row],[Numero HM de la femme]]</f>
        <v>2024-82-110</v>
      </c>
      <c r="K115" s="10">
        <f t="shared" si="3"/>
        <v>110</v>
      </c>
      <c r="L115" s="42">
        <v>0</v>
      </c>
      <c r="M115" s="52">
        <v>0.2</v>
      </c>
      <c r="N115" s="63">
        <f>SUM(Tableau2[[#This Row],[Mathématique/20]]+Tableau2[[#This Row],[Français /20]])/2</f>
        <v>0.1</v>
      </c>
      <c r="O115" s="42">
        <v>10.5</v>
      </c>
      <c r="P115" s="52">
        <v>11</v>
      </c>
      <c r="Q115" s="63">
        <f>(Tableau2[[#This Row],[Mathématique /20]]+Tableau2[[#This Row],[Français /202]])/2</f>
        <v>10.75</v>
      </c>
      <c r="S115"/>
      <c r="T115"/>
      <c r="U115"/>
      <c r="V115"/>
    </row>
    <row r="116" spans="1:22" ht="16" x14ac:dyDescent="0.2">
      <c r="A116" s="10" t="s">
        <v>173</v>
      </c>
      <c r="B116" s="10" t="s">
        <v>114</v>
      </c>
      <c r="C116" s="10" t="s">
        <v>183</v>
      </c>
      <c r="D116" s="10" t="s">
        <v>219</v>
      </c>
      <c r="E116" s="10" t="s">
        <v>1043</v>
      </c>
      <c r="F116" s="9" t="s">
        <v>1002</v>
      </c>
      <c r="G116" s="10">
        <v>2024</v>
      </c>
      <c r="H116" s="10">
        <v>82</v>
      </c>
      <c r="I116" s="10">
        <f t="shared" si="2"/>
        <v>111</v>
      </c>
      <c r="J116" s="10" t="str">
        <f>Tableau2[[#This Row],[Annee d''inscription au programme]]&amp;"-"&amp;Tableau2[[#This Row],[Code d''ecole]]&amp;"-"&amp;Tableau2[[#This Row],[Numero HM de la femme]]</f>
        <v>2024-82-111</v>
      </c>
      <c r="K116" s="10">
        <f t="shared" si="3"/>
        <v>111</v>
      </c>
      <c r="L116" s="42">
        <v>1.5</v>
      </c>
      <c r="M116" s="52">
        <v>0.4</v>
      </c>
      <c r="N116" s="63">
        <f>SUM(Tableau2[[#This Row],[Mathématique/20]]+Tableau2[[#This Row],[Français /20]])/2</f>
        <v>0.95</v>
      </c>
      <c r="O116" s="42">
        <v>8</v>
      </c>
      <c r="P116" s="52">
        <v>9.5</v>
      </c>
      <c r="Q116" s="63">
        <f>(Tableau2[[#This Row],[Mathématique /20]]+Tableau2[[#This Row],[Français /202]])/2</f>
        <v>8.75</v>
      </c>
      <c r="S116"/>
      <c r="T116"/>
      <c r="U116"/>
      <c r="V116"/>
    </row>
    <row r="117" spans="1:22" ht="16" x14ac:dyDescent="0.2">
      <c r="A117" s="10" t="s">
        <v>173</v>
      </c>
      <c r="B117" s="10" t="s">
        <v>114</v>
      </c>
      <c r="C117" s="10" t="s">
        <v>184</v>
      </c>
      <c r="D117" s="10" t="s">
        <v>220</v>
      </c>
      <c r="E117" s="10" t="s">
        <v>1042</v>
      </c>
      <c r="F117" s="9" t="s">
        <v>1002</v>
      </c>
      <c r="G117" s="10">
        <v>2024</v>
      </c>
      <c r="H117" s="10">
        <v>82</v>
      </c>
      <c r="I117" s="10">
        <f t="shared" si="2"/>
        <v>112</v>
      </c>
      <c r="J117" s="10" t="str">
        <f>Tableau2[[#This Row],[Annee d''inscription au programme]]&amp;"-"&amp;Tableau2[[#This Row],[Code d''ecole]]&amp;"-"&amp;Tableau2[[#This Row],[Numero HM de la femme]]</f>
        <v>2024-82-112</v>
      </c>
      <c r="K117" s="10">
        <f t="shared" si="3"/>
        <v>112</v>
      </c>
      <c r="L117" s="42">
        <v>2</v>
      </c>
      <c r="M117" s="52">
        <v>0</v>
      </c>
      <c r="N117" s="63">
        <f>SUM(Tableau2[[#This Row],[Mathématique/20]]+Tableau2[[#This Row],[Français /20]])/2</f>
        <v>1</v>
      </c>
      <c r="O117" s="42">
        <v>10</v>
      </c>
      <c r="P117" s="52">
        <v>10</v>
      </c>
      <c r="Q117" s="63">
        <f>(Tableau2[[#This Row],[Mathématique /20]]+Tableau2[[#This Row],[Français /202]])/2</f>
        <v>10</v>
      </c>
      <c r="S117"/>
      <c r="T117"/>
      <c r="U117"/>
      <c r="V117"/>
    </row>
    <row r="118" spans="1:22" ht="16" x14ac:dyDescent="0.2">
      <c r="A118" s="10" t="s">
        <v>173</v>
      </c>
      <c r="B118" s="10" t="s">
        <v>114</v>
      </c>
      <c r="C118" s="10" t="s">
        <v>185</v>
      </c>
      <c r="D118" s="10" t="s">
        <v>221</v>
      </c>
      <c r="E118" s="10" t="s">
        <v>1042</v>
      </c>
      <c r="F118" s="9" t="s">
        <v>1002</v>
      </c>
      <c r="G118" s="10">
        <v>2024</v>
      </c>
      <c r="H118" s="10">
        <v>82</v>
      </c>
      <c r="I118" s="10">
        <f t="shared" si="2"/>
        <v>113</v>
      </c>
      <c r="J118" s="10" t="str">
        <f>Tableau2[[#This Row],[Annee d''inscription au programme]]&amp;"-"&amp;Tableau2[[#This Row],[Code d''ecole]]&amp;"-"&amp;Tableau2[[#This Row],[Numero HM de la femme]]</f>
        <v>2024-82-113</v>
      </c>
      <c r="K118" s="10">
        <f t="shared" si="3"/>
        <v>113</v>
      </c>
      <c r="L118" s="42">
        <v>0</v>
      </c>
      <c r="M118" s="52">
        <v>2.6</v>
      </c>
      <c r="N118" s="63">
        <f>SUM(Tableau2[[#This Row],[Mathématique/20]]+Tableau2[[#This Row],[Français /20]])/2</f>
        <v>1.3</v>
      </c>
      <c r="O118" s="42">
        <v>10</v>
      </c>
      <c r="P118" s="52">
        <v>11</v>
      </c>
      <c r="Q118" s="63">
        <f>(Tableau2[[#This Row],[Mathématique /20]]+Tableau2[[#This Row],[Français /202]])/2</f>
        <v>10.5</v>
      </c>
      <c r="S118"/>
      <c r="T118"/>
      <c r="U118"/>
      <c r="V118"/>
    </row>
    <row r="119" spans="1:22" ht="16" x14ac:dyDescent="0.2">
      <c r="A119" s="10" t="s">
        <v>173</v>
      </c>
      <c r="B119" s="10" t="s">
        <v>114</v>
      </c>
      <c r="C119" s="10" t="s">
        <v>186</v>
      </c>
      <c r="D119" s="10" t="s">
        <v>29</v>
      </c>
      <c r="E119" s="10" t="s">
        <v>1042</v>
      </c>
      <c r="F119" s="9" t="s">
        <v>1002</v>
      </c>
      <c r="G119" s="10">
        <v>2024</v>
      </c>
      <c r="H119" s="10">
        <v>82</v>
      </c>
      <c r="I119" s="10">
        <f t="shared" si="2"/>
        <v>114</v>
      </c>
      <c r="J119" s="10" t="str">
        <f>Tableau2[[#This Row],[Annee d''inscription au programme]]&amp;"-"&amp;Tableau2[[#This Row],[Code d''ecole]]&amp;"-"&amp;Tableau2[[#This Row],[Numero HM de la femme]]</f>
        <v>2024-82-114</v>
      </c>
      <c r="K119" s="10">
        <f t="shared" si="3"/>
        <v>114</v>
      </c>
      <c r="L119" s="42">
        <v>2.5</v>
      </c>
      <c r="M119" s="52">
        <v>5.4</v>
      </c>
      <c r="N119" s="63">
        <f>SUM(Tableau2[[#This Row],[Mathématique/20]]+Tableau2[[#This Row],[Français /20]])/2</f>
        <v>3.95</v>
      </c>
      <c r="O119" s="42">
        <v>12</v>
      </c>
      <c r="P119" s="52">
        <v>17</v>
      </c>
      <c r="Q119" s="63">
        <f>(Tableau2[[#This Row],[Mathématique /20]]+Tableau2[[#This Row],[Français /202]])/2</f>
        <v>14.5</v>
      </c>
      <c r="S119"/>
      <c r="T119"/>
      <c r="U119"/>
      <c r="V119"/>
    </row>
    <row r="120" spans="1:22" ht="16" x14ac:dyDescent="0.2">
      <c r="A120" s="10" t="s">
        <v>173</v>
      </c>
      <c r="B120" s="10" t="s">
        <v>114</v>
      </c>
      <c r="C120" s="10" t="s">
        <v>187</v>
      </c>
      <c r="D120" s="10" t="s">
        <v>222</v>
      </c>
      <c r="E120" s="10" t="s">
        <v>1042</v>
      </c>
      <c r="F120" s="9" t="s">
        <v>1002</v>
      </c>
      <c r="G120" s="10">
        <v>2024</v>
      </c>
      <c r="H120" s="10">
        <v>82</v>
      </c>
      <c r="I120" s="10">
        <f t="shared" si="2"/>
        <v>115</v>
      </c>
      <c r="J120" s="10" t="str">
        <f>Tableau2[[#This Row],[Annee d''inscription au programme]]&amp;"-"&amp;Tableau2[[#This Row],[Code d''ecole]]&amp;"-"&amp;Tableau2[[#This Row],[Numero HM de la femme]]</f>
        <v>2024-82-115</v>
      </c>
      <c r="K120" s="10">
        <f t="shared" si="3"/>
        <v>115</v>
      </c>
      <c r="L120" s="42">
        <v>1</v>
      </c>
      <c r="M120" s="52">
        <v>0.6</v>
      </c>
      <c r="N120" s="63">
        <f>SUM(Tableau2[[#This Row],[Mathématique/20]]+Tableau2[[#This Row],[Français /20]])/2</f>
        <v>0.8</v>
      </c>
      <c r="O120" s="42">
        <v>13</v>
      </c>
      <c r="P120" s="52">
        <v>14</v>
      </c>
      <c r="Q120" s="63">
        <f>(Tableau2[[#This Row],[Mathématique /20]]+Tableau2[[#This Row],[Français /202]])/2</f>
        <v>13.5</v>
      </c>
      <c r="S120"/>
      <c r="T120"/>
      <c r="U120"/>
      <c r="V120"/>
    </row>
    <row r="121" spans="1:22" ht="16" x14ac:dyDescent="0.2">
      <c r="A121" s="10" t="s">
        <v>173</v>
      </c>
      <c r="B121" s="10" t="s">
        <v>114</v>
      </c>
      <c r="C121" s="10" t="s">
        <v>188</v>
      </c>
      <c r="D121" s="10" t="s">
        <v>223</v>
      </c>
      <c r="E121" s="10" t="s">
        <v>1043</v>
      </c>
      <c r="F121" s="9" t="s">
        <v>1002</v>
      </c>
      <c r="G121" s="10">
        <v>2024</v>
      </c>
      <c r="H121" s="10">
        <v>82</v>
      </c>
      <c r="I121" s="10">
        <f t="shared" si="2"/>
        <v>116</v>
      </c>
      <c r="J121" s="10" t="str">
        <f>Tableau2[[#This Row],[Annee d''inscription au programme]]&amp;"-"&amp;Tableau2[[#This Row],[Code d''ecole]]&amp;"-"&amp;Tableau2[[#This Row],[Numero HM de la femme]]</f>
        <v>2024-82-116</v>
      </c>
      <c r="K121" s="10">
        <f t="shared" si="3"/>
        <v>116</v>
      </c>
      <c r="L121" s="42">
        <v>0.5</v>
      </c>
      <c r="M121" s="52">
        <v>1</v>
      </c>
      <c r="N121" s="63">
        <f>SUM(Tableau2[[#This Row],[Mathématique/20]]+Tableau2[[#This Row],[Français /20]])/2</f>
        <v>0.75</v>
      </c>
      <c r="O121" s="42">
        <v>10.5</v>
      </c>
      <c r="P121" s="52">
        <v>13</v>
      </c>
      <c r="Q121" s="63">
        <f>(Tableau2[[#This Row],[Mathématique /20]]+Tableau2[[#This Row],[Français /202]])/2</f>
        <v>11.75</v>
      </c>
      <c r="S121"/>
      <c r="T121"/>
      <c r="U121"/>
      <c r="V121"/>
    </row>
    <row r="122" spans="1:22" ht="16" x14ac:dyDescent="0.2">
      <c r="A122" s="10" t="s">
        <v>173</v>
      </c>
      <c r="B122" s="10" t="s">
        <v>114</v>
      </c>
      <c r="C122" s="10" t="s">
        <v>189</v>
      </c>
      <c r="D122" s="10" t="s">
        <v>27</v>
      </c>
      <c r="E122" s="10" t="s">
        <v>1043</v>
      </c>
      <c r="F122" s="9" t="s">
        <v>1002</v>
      </c>
      <c r="G122" s="10">
        <v>2024</v>
      </c>
      <c r="H122" s="10">
        <v>82</v>
      </c>
      <c r="I122" s="10">
        <f t="shared" si="2"/>
        <v>117</v>
      </c>
      <c r="J122" s="10" t="str">
        <f>Tableau2[[#This Row],[Annee d''inscription au programme]]&amp;"-"&amp;Tableau2[[#This Row],[Code d''ecole]]&amp;"-"&amp;Tableau2[[#This Row],[Numero HM de la femme]]</f>
        <v>2024-82-117</v>
      </c>
      <c r="K122" s="10">
        <f t="shared" si="3"/>
        <v>117</v>
      </c>
      <c r="L122" s="42">
        <v>1</v>
      </c>
      <c r="M122" s="52">
        <v>0</v>
      </c>
      <c r="N122" s="63">
        <f>SUM(Tableau2[[#This Row],[Mathématique/20]]+Tableau2[[#This Row],[Français /20]])/2</f>
        <v>0.5</v>
      </c>
      <c r="O122" s="42">
        <v>11.5</v>
      </c>
      <c r="P122" s="52">
        <v>13.5</v>
      </c>
      <c r="Q122" s="63">
        <f>(Tableau2[[#This Row],[Mathématique /20]]+Tableau2[[#This Row],[Français /202]])/2</f>
        <v>12.5</v>
      </c>
      <c r="S122"/>
      <c r="T122"/>
      <c r="U122"/>
      <c r="V122"/>
    </row>
    <row r="123" spans="1:22" ht="16" x14ac:dyDescent="0.2">
      <c r="A123" s="10" t="s">
        <v>173</v>
      </c>
      <c r="B123" s="10" t="s">
        <v>114</v>
      </c>
      <c r="C123" s="11" t="s">
        <v>190</v>
      </c>
      <c r="D123" s="10" t="s">
        <v>24</v>
      </c>
      <c r="E123" s="10" t="s">
        <v>1043</v>
      </c>
      <c r="F123" s="9" t="s">
        <v>1002</v>
      </c>
      <c r="G123" s="10">
        <v>2024</v>
      </c>
      <c r="H123" s="10">
        <v>82</v>
      </c>
      <c r="I123" s="10">
        <f t="shared" si="2"/>
        <v>118</v>
      </c>
      <c r="J123" s="10" t="str">
        <f>Tableau2[[#This Row],[Annee d''inscription au programme]]&amp;"-"&amp;Tableau2[[#This Row],[Code d''ecole]]&amp;"-"&amp;Tableau2[[#This Row],[Numero HM de la femme]]</f>
        <v>2024-82-118</v>
      </c>
      <c r="K123" s="10">
        <f t="shared" si="3"/>
        <v>118</v>
      </c>
      <c r="L123" s="42">
        <v>5.5</v>
      </c>
      <c r="M123" s="52">
        <v>4.8</v>
      </c>
      <c r="N123" s="63">
        <f>SUM(Tableau2[[#This Row],[Mathématique/20]]+Tableau2[[#This Row],[Français /20]])/2</f>
        <v>5.15</v>
      </c>
      <c r="O123" s="42">
        <v>16</v>
      </c>
      <c r="P123" s="52">
        <v>13.5</v>
      </c>
      <c r="Q123" s="63">
        <f>(Tableau2[[#This Row],[Mathématique /20]]+Tableau2[[#This Row],[Français /202]])/2</f>
        <v>14.75</v>
      </c>
      <c r="S123"/>
      <c r="T123"/>
      <c r="U123"/>
      <c r="V123"/>
    </row>
    <row r="124" spans="1:22" ht="16" x14ac:dyDescent="0.2">
      <c r="A124" s="10" t="s">
        <v>173</v>
      </c>
      <c r="B124" s="10" t="s">
        <v>114</v>
      </c>
      <c r="C124" s="10" t="s">
        <v>191</v>
      </c>
      <c r="D124" s="10" t="s">
        <v>168</v>
      </c>
      <c r="E124" s="10" t="s">
        <v>1042</v>
      </c>
      <c r="F124" s="9" t="s">
        <v>1002</v>
      </c>
      <c r="G124" s="10">
        <v>2024</v>
      </c>
      <c r="H124" s="10">
        <v>82</v>
      </c>
      <c r="I124" s="10">
        <f t="shared" si="2"/>
        <v>119</v>
      </c>
      <c r="J124" s="10" t="str">
        <f>Tableau2[[#This Row],[Annee d''inscription au programme]]&amp;"-"&amp;Tableau2[[#This Row],[Code d''ecole]]&amp;"-"&amp;Tableau2[[#This Row],[Numero HM de la femme]]</f>
        <v>2024-82-119</v>
      </c>
      <c r="K124" s="10">
        <f t="shared" si="3"/>
        <v>119</v>
      </c>
      <c r="L124" s="42">
        <v>4</v>
      </c>
      <c r="M124" s="52">
        <v>6.1</v>
      </c>
      <c r="N124" s="63">
        <f>SUM(Tableau2[[#This Row],[Mathématique/20]]+Tableau2[[#This Row],[Français /20]])/2</f>
        <v>5.05</v>
      </c>
      <c r="O124" s="42">
        <v>10</v>
      </c>
      <c r="P124" s="52">
        <v>13.5</v>
      </c>
      <c r="Q124" s="63">
        <f>(Tableau2[[#This Row],[Mathématique /20]]+Tableau2[[#This Row],[Français /202]])/2</f>
        <v>11.75</v>
      </c>
      <c r="S124"/>
      <c r="T124"/>
      <c r="U124"/>
      <c r="V124"/>
    </row>
    <row r="125" spans="1:22" ht="16" x14ac:dyDescent="0.2">
      <c r="A125" s="10" t="s">
        <v>173</v>
      </c>
      <c r="B125" s="10" t="s">
        <v>114</v>
      </c>
      <c r="C125" s="10" t="s">
        <v>192</v>
      </c>
      <c r="D125" s="10" t="s">
        <v>224</v>
      </c>
      <c r="E125" s="10" t="s">
        <v>1043</v>
      </c>
      <c r="F125" s="9" t="s">
        <v>1002</v>
      </c>
      <c r="G125" s="10">
        <v>2024</v>
      </c>
      <c r="H125" s="10">
        <v>82</v>
      </c>
      <c r="I125" s="10">
        <f t="shared" si="2"/>
        <v>120</v>
      </c>
      <c r="J125" s="10" t="str">
        <f>Tableau2[[#This Row],[Annee d''inscription au programme]]&amp;"-"&amp;Tableau2[[#This Row],[Code d''ecole]]&amp;"-"&amp;Tableau2[[#This Row],[Numero HM de la femme]]</f>
        <v>2024-82-120</v>
      </c>
      <c r="K125" s="10">
        <f t="shared" si="3"/>
        <v>120</v>
      </c>
      <c r="L125" s="42">
        <v>0.5</v>
      </c>
      <c r="M125" s="52">
        <v>0.4</v>
      </c>
      <c r="N125" s="63">
        <f>SUM(Tableau2[[#This Row],[Mathématique/20]]+Tableau2[[#This Row],[Français /20]])/2</f>
        <v>0.45</v>
      </c>
      <c r="O125" s="42">
        <v>10</v>
      </c>
      <c r="P125" s="52">
        <v>16</v>
      </c>
      <c r="Q125" s="63">
        <f>(Tableau2[[#This Row],[Mathématique /20]]+Tableau2[[#This Row],[Français /202]])/2</f>
        <v>13</v>
      </c>
      <c r="S125"/>
      <c r="T125"/>
      <c r="U125"/>
      <c r="V125"/>
    </row>
    <row r="126" spans="1:22" ht="16" x14ac:dyDescent="0.2">
      <c r="A126" s="10" t="s">
        <v>173</v>
      </c>
      <c r="B126" s="10" t="s">
        <v>114</v>
      </c>
      <c r="C126" s="10" t="s">
        <v>193</v>
      </c>
      <c r="D126" s="10" t="s">
        <v>225</v>
      </c>
      <c r="E126" s="10" t="s">
        <v>1043</v>
      </c>
      <c r="F126" s="9" t="s">
        <v>1002</v>
      </c>
      <c r="G126" s="10">
        <v>2024</v>
      </c>
      <c r="H126" s="10">
        <v>82</v>
      </c>
      <c r="I126" s="10">
        <f t="shared" si="2"/>
        <v>121</v>
      </c>
      <c r="J126" s="10" t="str">
        <f>Tableau2[[#This Row],[Annee d''inscription au programme]]&amp;"-"&amp;Tableau2[[#This Row],[Code d''ecole]]&amp;"-"&amp;Tableau2[[#This Row],[Numero HM de la femme]]</f>
        <v>2024-82-121</v>
      </c>
      <c r="K126" s="10">
        <f t="shared" si="3"/>
        <v>121</v>
      </c>
      <c r="L126" s="42">
        <v>0</v>
      </c>
      <c r="M126" s="52">
        <v>0.4</v>
      </c>
      <c r="N126" s="63">
        <f>SUM(Tableau2[[#This Row],[Mathématique/20]]+Tableau2[[#This Row],[Français /20]])/2</f>
        <v>0.2</v>
      </c>
      <c r="O126" s="42">
        <v>10</v>
      </c>
      <c r="P126" s="52">
        <v>10.25</v>
      </c>
      <c r="Q126" s="63">
        <f>(Tableau2[[#This Row],[Mathématique /20]]+Tableau2[[#This Row],[Français /202]])/2</f>
        <v>10.125</v>
      </c>
      <c r="S126"/>
      <c r="T126"/>
      <c r="U126"/>
      <c r="V126"/>
    </row>
    <row r="127" spans="1:22" ht="16" x14ac:dyDescent="0.2">
      <c r="A127" s="10" t="s">
        <v>173</v>
      </c>
      <c r="B127" s="10" t="s">
        <v>114</v>
      </c>
      <c r="C127" s="10" t="s">
        <v>943</v>
      </c>
      <c r="D127" s="10" t="s">
        <v>29</v>
      </c>
      <c r="E127" s="10" t="s">
        <v>1042</v>
      </c>
      <c r="F127" s="9" t="s">
        <v>1002</v>
      </c>
      <c r="G127" s="10">
        <v>2024</v>
      </c>
      <c r="H127" s="10">
        <v>82</v>
      </c>
      <c r="I127" s="10">
        <f t="shared" si="2"/>
        <v>122</v>
      </c>
      <c r="J127" s="10" t="str">
        <f>Tableau2[[#This Row],[Annee d''inscription au programme]]&amp;"-"&amp;Tableau2[[#This Row],[Code d''ecole]]&amp;"-"&amp;Tableau2[[#This Row],[Numero HM de la femme]]</f>
        <v>2024-82-122</v>
      </c>
      <c r="K127" s="10">
        <f t="shared" si="3"/>
        <v>122</v>
      </c>
      <c r="L127" s="42">
        <v>2.5</v>
      </c>
      <c r="M127" s="52">
        <v>1</v>
      </c>
      <c r="N127" s="63">
        <f>SUM(Tableau2[[#This Row],[Mathématique/20]]+Tableau2[[#This Row],[Français /20]])/2</f>
        <v>1.75</v>
      </c>
      <c r="O127" s="42">
        <v>10</v>
      </c>
      <c r="P127" s="52">
        <v>12</v>
      </c>
      <c r="Q127" s="63">
        <f>(Tableau2[[#This Row],[Mathématique /20]]+Tableau2[[#This Row],[Français /202]])/2</f>
        <v>11</v>
      </c>
      <c r="S127"/>
      <c r="T127"/>
      <c r="U127"/>
      <c r="V127"/>
    </row>
    <row r="128" spans="1:22" ht="16" x14ac:dyDescent="0.2">
      <c r="A128" s="10" t="s">
        <v>173</v>
      </c>
      <c r="B128" s="10" t="s">
        <v>114</v>
      </c>
      <c r="C128" s="10" t="s">
        <v>194</v>
      </c>
      <c r="D128" s="10" t="s">
        <v>217</v>
      </c>
      <c r="E128" s="10" t="s">
        <v>1042</v>
      </c>
      <c r="F128" s="9" t="s">
        <v>1002</v>
      </c>
      <c r="G128" s="10">
        <v>2024</v>
      </c>
      <c r="H128" s="10">
        <v>82</v>
      </c>
      <c r="I128" s="10">
        <f t="shared" si="2"/>
        <v>123</v>
      </c>
      <c r="J128" s="10" t="str">
        <f>Tableau2[[#This Row],[Annee d''inscription au programme]]&amp;"-"&amp;Tableau2[[#This Row],[Code d''ecole]]&amp;"-"&amp;Tableau2[[#This Row],[Numero HM de la femme]]</f>
        <v>2024-82-123</v>
      </c>
      <c r="K128" s="10">
        <f t="shared" si="3"/>
        <v>123</v>
      </c>
      <c r="L128" s="42">
        <v>2.5</v>
      </c>
      <c r="M128" s="52">
        <v>0.4</v>
      </c>
      <c r="N128" s="63">
        <f>SUM(Tableau2[[#This Row],[Mathématique/20]]+Tableau2[[#This Row],[Français /20]])/2</f>
        <v>1.45</v>
      </c>
      <c r="O128" s="42">
        <v>9.5</v>
      </c>
      <c r="P128" s="52">
        <v>8</v>
      </c>
      <c r="Q128" s="63">
        <f>(Tableau2[[#This Row],[Mathématique /20]]+Tableau2[[#This Row],[Français /202]])/2</f>
        <v>8.75</v>
      </c>
      <c r="S128"/>
      <c r="T128"/>
      <c r="U128"/>
      <c r="V128"/>
    </row>
    <row r="129" spans="1:22" ht="16" x14ac:dyDescent="0.2">
      <c r="A129" s="10" t="s">
        <v>195</v>
      </c>
      <c r="B129" s="10" t="s">
        <v>114</v>
      </c>
      <c r="C129" s="10" t="s">
        <v>196</v>
      </c>
      <c r="D129" s="10" t="s">
        <v>226</v>
      </c>
      <c r="E129" s="10" t="s">
        <v>1052</v>
      </c>
      <c r="F129" s="9" t="s">
        <v>1003</v>
      </c>
      <c r="G129" s="10">
        <v>2024</v>
      </c>
      <c r="H129" s="10">
        <v>81</v>
      </c>
      <c r="I129" s="10">
        <f t="shared" si="2"/>
        <v>124</v>
      </c>
      <c r="J129" s="10" t="str">
        <f>Tableau2[[#This Row],[Annee d''inscription au programme]]&amp;"-"&amp;Tableau2[[#This Row],[Code d''ecole]]&amp;"-"&amp;Tableau2[[#This Row],[Numero HM de la femme]]</f>
        <v>2024-81-124</v>
      </c>
      <c r="K129" s="10">
        <f t="shared" si="3"/>
        <v>124</v>
      </c>
      <c r="L129" s="42">
        <v>0</v>
      </c>
      <c r="M129" s="52">
        <v>0.6</v>
      </c>
      <c r="N129" s="63">
        <f>SUM(Tableau2[[#This Row],[Mathématique/20]]+Tableau2[[#This Row],[Français /20]])/2</f>
        <v>0.3</v>
      </c>
      <c r="O129" s="42">
        <v>10</v>
      </c>
      <c r="P129" s="52">
        <v>17</v>
      </c>
      <c r="Q129" s="63">
        <f>(Tableau2[[#This Row],[Mathématique /20]]+Tableau2[[#This Row],[Français /202]])/2</f>
        <v>13.5</v>
      </c>
      <c r="S129"/>
      <c r="T129"/>
      <c r="U129"/>
      <c r="V129"/>
    </row>
    <row r="130" spans="1:22" ht="16" x14ac:dyDescent="0.2">
      <c r="A130" s="10" t="s">
        <v>195</v>
      </c>
      <c r="B130" s="10" t="s">
        <v>114</v>
      </c>
      <c r="C130" s="10" t="s">
        <v>197</v>
      </c>
      <c r="D130" s="10" t="s">
        <v>227</v>
      </c>
      <c r="E130" s="10" t="s">
        <v>1052</v>
      </c>
      <c r="F130" s="9" t="s">
        <v>1003</v>
      </c>
      <c r="G130" s="10">
        <v>2024</v>
      </c>
      <c r="H130" s="10">
        <v>81</v>
      </c>
      <c r="I130" s="10">
        <f t="shared" si="2"/>
        <v>125</v>
      </c>
      <c r="J130" s="10" t="str">
        <f>Tableau2[[#This Row],[Annee d''inscription au programme]]&amp;"-"&amp;Tableau2[[#This Row],[Code d''ecole]]&amp;"-"&amp;Tableau2[[#This Row],[Numero HM de la femme]]</f>
        <v>2024-81-125</v>
      </c>
      <c r="K130" s="10">
        <f t="shared" si="3"/>
        <v>125</v>
      </c>
      <c r="L130" s="42">
        <v>0</v>
      </c>
      <c r="M130" s="52">
        <v>0</v>
      </c>
      <c r="N130" s="63">
        <f>SUM(Tableau2[[#This Row],[Mathématique/20]]+Tableau2[[#This Row],[Français /20]])/2</f>
        <v>0</v>
      </c>
      <c r="O130" s="42">
        <v>9</v>
      </c>
      <c r="P130" s="52">
        <v>14.5</v>
      </c>
      <c r="Q130" s="63">
        <f>(Tableau2[[#This Row],[Mathématique /20]]+Tableau2[[#This Row],[Français /202]])/2</f>
        <v>11.75</v>
      </c>
      <c r="S130"/>
      <c r="T130"/>
      <c r="U130"/>
      <c r="V130"/>
    </row>
    <row r="131" spans="1:22" ht="16" x14ac:dyDescent="0.2">
      <c r="A131" s="10" t="s">
        <v>195</v>
      </c>
      <c r="B131" s="10" t="s">
        <v>114</v>
      </c>
      <c r="C131" s="10" t="s">
        <v>198</v>
      </c>
      <c r="D131" s="10" t="s">
        <v>228</v>
      </c>
      <c r="E131" s="10" t="s">
        <v>1052</v>
      </c>
      <c r="F131" s="9" t="s">
        <v>1003</v>
      </c>
      <c r="G131" s="10">
        <v>2024</v>
      </c>
      <c r="H131" s="10">
        <v>81</v>
      </c>
      <c r="I131" s="10">
        <f t="shared" si="2"/>
        <v>126</v>
      </c>
      <c r="J131" s="10" t="str">
        <f>Tableau2[[#This Row],[Annee d''inscription au programme]]&amp;"-"&amp;Tableau2[[#This Row],[Code d''ecole]]&amp;"-"&amp;Tableau2[[#This Row],[Numero HM de la femme]]</f>
        <v>2024-81-126</v>
      </c>
      <c r="K131" s="10">
        <f t="shared" si="3"/>
        <v>126</v>
      </c>
      <c r="L131" s="42">
        <v>3</v>
      </c>
      <c r="M131" s="52">
        <v>4</v>
      </c>
      <c r="N131" s="63">
        <f>SUM(Tableau2[[#This Row],[Mathématique/20]]+Tableau2[[#This Row],[Français /20]])/2</f>
        <v>3.5</v>
      </c>
      <c r="O131" s="42">
        <v>10</v>
      </c>
      <c r="P131" s="52">
        <v>14</v>
      </c>
      <c r="Q131" s="63">
        <f>(Tableau2[[#This Row],[Mathématique /20]]+Tableau2[[#This Row],[Français /202]])/2</f>
        <v>12</v>
      </c>
      <c r="S131"/>
      <c r="T131"/>
      <c r="U131"/>
      <c r="V131"/>
    </row>
    <row r="132" spans="1:22" ht="16" x14ac:dyDescent="0.2">
      <c r="A132" s="10" t="s">
        <v>195</v>
      </c>
      <c r="B132" s="10" t="s">
        <v>114</v>
      </c>
      <c r="C132" s="10" t="s">
        <v>199</v>
      </c>
      <c r="D132" s="10" t="s">
        <v>41</v>
      </c>
      <c r="E132" s="10" t="s">
        <v>1052</v>
      </c>
      <c r="F132" s="9" t="s">
        <v>1003</v>
      </c>
      <c r="G132" s="10">
        <v>2024</v>
      </c>
      <c r="H132" s="10">
        <v>81</v>
      </c>
      <c r="I132" s="10">
        <f t="shared" si="2"/>
        <v>127</v>
      </c>
      <c r="J132" s="10" t="str">
        <f>Tableau2[[#This Row],[Annee d''inscription au programme]]&amp;"-"&amp;Tableau2[[#This Row],[Code d''ecole]]&amp;"-"&amp;Tableau2[[#This Row],[Numero HM de la femme]]</f>
        <v>2024-81-127</v>
      </c>
      <c r="K132" s="10">
        <f t="shared" si="3"/>
        <v>127</v>
      </c>
      <c r="L132" s="42">
        <v>0</v>
      </c>
      <c r="M132" s="52">
        <v>3</v>
      </c>
      <c r="N132" s="63">
        <f>SUM(Tableau2[[#This Row],[Mathématique/20]]+Tableau2[[#This Row],[Français /20]])/2</f>
        <v>1.5</v>
      </c>
      <c r="O132" s="42">
        <v>8</v>
      </c>
      <c r="P132" s="52">
        <v>18</v>
      </c>
      <c r="Q132" s="63">
        <f>(Tableau2[[#This Row],[Mathématique /20]]+Tableau2[[#This Row],[Français /202]])/2</f>
        <v>13</v>
      </c>
      <c r="S132"/>
      <c r="T132"/>
      <c r="U132"/>
      <c r="V132"/>
    </row>
    <row r="133" spans="1:22" ht="16" x14ac:dyDescent="0.2">
      <c r="A133" s="10" t="s">
        <v>195</v>
      </c>
      <c r="B133" s="10" t="s">
        <v>114</v>
      </c>
      <c r="C133" s="10" t="s">
        <v>200</v>
      </c>
      <c r="D133" s="10" t="s">
        <v>229</v>
      </c>
      <c r="E133" s="10" t="s">
        <v>1052</v>
      </c>
      <c r="F133" s="9" t="s">
        <v>1003</v>
      </c>
      <c r="G133" s="10">
        <v>2024</v>
      </c>
      <c r="H133" s="10">
        <v>81</v>
      </c>
      <c r="I133" s="10">
        <f t="shared" si="2"/>
        <v>128</v>
      </c>
      <c r="J133" s="10" t="str">
        <f>Tableau2[[#This Row],[Annee d''inscription au programme]]&amp;"-"&amp;Tableau2[[#This Row],[Code d''ecole]]&amp;"-"&amp;Tableau2[[#This Row],[Numero HM de la femme]]</f>
        <v>2024-81-128</v>
      </c>
      <c r="K133" s="10">
        <f t="shared" si="3"/>
        <v>128</v>
      </c>
      <c r="L133" s="42">
        <v>0</v>
      </c>
      <c r="M133" s="52">
        <v>3.4</v>
      </c>
      <c r="N133" s="63">
        <f>SUM(Tableau2[[#This Row],[Mathématique/20]]+Tableau2[[#This Row],[Français /20]])/2</f>
        <v>1.7</v>
      </c>
      <c r="O133" s="42">
        <v>9.5</v>
      </c>
      <c r="P133" s="52">
        <v>18.5</v>
      </c>
      <c r="Q133" s="63">
        <f>(Tableau2[[#This Row],[Mathématique /20]]+Tableau2[[#This Row],[Français /202]])/2</f>
        <v>14</v>
      </c>
      <c r="S133"/>
      <c r="T133"/>
      <c r="U133"/>
      <c r="V133"/>
    </row>
    <row r="134" spans="1:22" ht="16" x14ac:dyDescent="0.2">
      <c r="A134" s="10" t="s">
        <v>195</v>
      </c>
      <c r="B134" s="10" t="s">
        <v>114</v>
      </c>
      <c r="C134" s="10" t="s">
        <v>201</v>
      </c>
      <c r="D134" s="10" t="s">
        <v>230</v>
      </c>
      <c r="E134" s="10" t="s">
        <v>1052</v>
      </c>
      <c r="F134" s="9" t="s">
        <v>1003</v>
      </c>
      <c r="G134" s="10">
        <v>2024</v>
      </c>
      <c r="H134" s="10">
        <v>81</v>
      </c>
      <c r="I134" s="10">
        <f t="shared" si="2"/>
        <v>129</v>
      </c>
      <c r="J134" s="10" t="str">
        <f>Tableau2[[#This Row],[Annee d''inscription au programme]]&amp;"-"&amp;Tableau2[[#This Row],[Code d''ecole]]&amp;"-"&amp;Tableau2[[#This Row],[Numero HM de la femme]]</f>
        <v>2024-81-129</v>
      </c>
      <c r="K134" s="10">
        <f t="shared" si="3"/>
        <v>129</v>
      </c>
      <c r="L134" s="42">
        <v>0</v>
      </c>
      <c r="M134" s="52">
        <v>7.5</v>
      </c>
      <c r="N134" s="63">
        <f>SUM(Tableau2[[#This Row],[Mathématique/20]]+Tableau2[[#This Row],[Français /20]])/2</f>
        <v>3.75</v>
      </c>
      <c r="O134" s="42">
        <v>6</v>
      </c>
      <c r="P134" s="52">
        <v>15.75</v>
      </c>
      <c r="Q134" s="63">
        <f>(Tableau2[[#This Row],[Mathématique /20]]+Tableau2[[#This Row],[Français /202]])/2</f>
        <v>10.875</v>
      </c>
      <c r="S134"/>
      <c r="T134"/>
      <c r="U134"/>
      <c r="V134"/>
    </row>
    <row r="135" spans="1:22" ht="16" x14ac:dyDescent="0.2">
      <c r="A135" s="10" t="s">
        <v>195</v>
      </c>
      <c r="B135" s="10" t="s">
        <v>114</v>
      </c>
      <c r="C135" s="10" t="s">
        <v>202</v>
      </c>
      <c r="D135" s="10" t="s">
        <v>231</v>
      </c>
      <c r="E135" s="10" t="s">
        <v>1052</v>
      </c>
      <c r="F135" s="9" t="s">
        <v>1003</v>
      </c>
      <c r="G135" s="10">
        <v>2024</v>
      </c>
      <c r="H135" s="10">
        <v>81</v>
      </c>
      <c r="I135" s="10">
        <f t="shared" si="2"/>
        <v>130</v>
      </c>
      <c r="J135" s="10" t="str">
        <f>Tableau2[[#This Row],[Annee d''inscription au programme]]&amp;"-"&amp;Tableau2[[#This Row],[Code d''ecole]]&amp;"-"&amp;Tableau2[[#This Row],[Numero HM de la femme]]</f>
        <v>2024-81-130</v>
      </c>
      <c r="K135" s="10">
        <f t="shared" si="3"/>
        <v>130</v>
      </c>
      <c r="L135" s="42">
        <v>0</v>
      </c>
      <c r="M135" s="52">
        <v>1.1000000000000001</v>
      </c>
      <c r="N135" s="63">
        <f>SUM(Tableau2[[#This Row],[Mathématique/20]]+Tableau2[[#This Row],[Français /20]])/2</f>
        <v>0.55000000000000004</v>
      </c>
      <c r="O135" s="42">
        <v>4</v>
      </c>
      <c r="P135" s="52">
        <v>19</v>
      </c>
      <c r="Q135" s="63">
        <f>(Tableau2[[#This Row],[Mathématique /20]]+Tableau2[[#This Row],[Français /202]])/2</f>
        <v>11.5</v>
      </c>
      <c r="S135"/>
      <c r="T135"/>
      <c r="U135"/>
      <c r="V135"/>
    </row>
    <row r="136" spans="1:22" ht="16" x14ac:dyDescent="0.2">
      <c r="A136" s="10" t="s">
        <v>195</v>
      </c>
      <c r="B136" s="10" t="s">
        <v>114</v>
      </c>
      <c r="C136" s="10" t="s">
        <v>203</v>
      </c>
      <c r="D136" s="10" t="s">
        <v>232</v>
      </c>
      <c r="E136" s="10" t="s">
        <v>1052</v>
      </c>
      <c r="F136" s="9" t="s">
        <v>1003</v>
      </c>
      <c r="G136" s="10">
        <v>2024</v>
      </c>
      <c r="H136" s="10">
        <v>81</v>
      </c>
      <c r="I136" s="10">
        <f t="shared" si="2"/>
        <v>131</v>
      </c>
      <c r="J136" s="10" t="str">
        <f>Tableau2[[#This Row],[Annee d''inscription au programme]]&amp;"-"&amp;Tableau2[[#This Row],[Code d''ecole]]&amp;"-"&amp;Tableau2[[#This Row],[Numero HM de la femme]]</f>
        <v>2024-81-131</v>
      </c>
      <c r="K136" s="10">
        <f t="shared" si="3"/>
        <v>131</v>
      </c>
      <c r="L136" s="42">
        <v>0</v>
      </c>
      <c r="M136" s="52">
        <v>0</v>
      </c>
      <c r="N136" s="63">
        <f>SUM(Tableau2[[#This Row],[Mathématique/20]]+Tableau2[[#This Row],[Français /20]])/2</f>
        <v>0</v>
      </c>
      <c r="O136" s="42">
        <v>5</v>
      </c>
      <c r="P136" s="52">
        <v>17.75</v>
      </c>
      <c r="Q136" s="63">
        <f>(Tableau2[[#This Row],[Mathématique /20]]+Tableau2[[#This Row],[Français /202]])/2</f>
        <v>11.375</v>
      </c>
      <c r="S136"/>
      <c r="T136"/>
      <c r="U136"/>
      <c r="V136"/>
    </row>
    <row r="137" spans="1:22" ht="16" x14ac:dyDescent="0.2">
      <c r="A137" s="10" t="s">
        <v>195</v>
      </c>
      <c r="B137" s="10" t="s">
        <v>114</v>
      </c>
      <c r="C137" s="10" t="s">
        <v>204</v>
      </c>
      <c r="D137" s="10" t="s">
        <v>227</v>
      </c>
      <c r="E137" s="10" t="s">
        <v>1052</v>
      </c>
      <c r="F137" s="9" t="s">
        <v>1003</v>
      </c>
      <c r="G137" s="10">
        <v>2024</v>
      </c>
      <c r="H137" s="10">
        <v>81</v>
      </c>
      <c r="I137" s="10">
        <f t="shared" ref="I137:I200" si="4">SUM(I136+1)</f>
        <v>132</v>
      </c>
      <c r="J137" s="10" t="str">
        <f>Tableau2[[#This Row],[Annee d''inscription au programme]]&amp;"-"&amp;Tableau2[[#This Row],[Code d''ecole]]&amp;"-"&amp;Tableau2[[#This Row],[Numero HM de la femme]]</f>
        <v>2024-81-132</v>
      </c>
      <c r="K137" s="10">
        <f t="shared" ref="K137:K200" si="5">SUM(K136+1)</f>
        <v>132</v>
      </c>
      <c r="L137" s="42">
        <v>0</v>
      </c>
      <c r="M137" s="52">
        <v>5.4</v>
      </c>
      <c r="N137" s="63">
        <f>SUM(Tableau2[[#This Row],[Mathématique/20]]+Tableau2[[#This Row],[Français /20]])/2</f>
        <v>2.7</v>
      </c>
      <c r="O137" s="42">
        <v>10.5</v>
      </c>
      <c r="P137" s="52">
        <v>16</v>
      </c>
      <c r="Q137" s="63">
        <f>(Tableau2[[#This Row],[Mathématique /20]]+Tableau2[[#This Row],[Français /202]])/2</f>
        <v>13.25</v>
      </c>
      <c r="S137"/>
      <c r="T137"/>
      <c r="U137"/>
      <c r="V137"/>
    </row>
    <row r="138" spans="1:22" ht="16" x14ac:dyDescent="0.2">
      <c r="A138" s="10" t="s">
        <v>195</v>
      </c>
      <c r="B138" s="10" t="s">
        <v>114</v>
      </c>
      <c r="C138" s="10" t="s">
        <v>205</v>
      </c>
      <c r="D138" s="10" t="s">
        <v>233</v>
      </c>
      <c r="E138" s="10" t="s">
        <v>1052</v>
      </c>
      <c r="F138" s="9" t="s">
        <v>1003</v>
      </c>
      <c r="G138" s="10">
        <v>2024</v>
      </c>
      <c r="H138" s="10">
        <v>81</v>
      </c>
      <c r="I138" s="10">
        <f t="shared" si="4"/>
        <v>133</v>
      </c>
      <c r="J138" s="10" t="str">
        <f>Tableau2[[#This Row],[Annee d''inscription au programme]]&amp;"-"&amp;Tableau2[[#This Row],[Code d''ecole]]&amp;"-"&amp;Tableau2[[#This Row],[Numero HM de la femme]]</f>
        <v>2024-81-133</v>
      </c>
      <c r="K138" s="10">
        <f t="shared" si="5"/>
        <v>133</v>
      </c>
      <c r="L138" s="42">
        <v>2.25</v>
      </c>
      <c r="M138" s="52">
        <v>0.25</v>
      </c>
      <c r="N138" s="63">
        <f>SUM(Tableau2[[#This Row],[Mathématique/20]]+Tableau2[[#This Row],[Français /20]])/2</f>
        <v>1.25</v>
      </c>
      <c r="O138" s="42">
        <v>7</v>
      </c>
      <c r="P138" s="52">
        <v>19.5</v>
      </c>
      <c r="Q138" s="63">
        <f>(Tableau2[[#This Row],[Mathématique /20]]+Tableau2[[#This Row],[Français /202]])/2</f>
        <v>13.25</v>
      </c>
      <c r="S138"/>
      <c r="T138"/>
      <c r="U138"/>
      <c r="V138"/>
    </row>
    <row r="139" spans="1:22" ht="16" x14ac:dyDescent="0.2">
      <c r="A139" s="10" t="s">
        <v>195</v>
      </c>
      <c r="B139" s="10" t="s">
        <v>114</v>
      </c>
      <c r="C139" s="10" t="s">
        <v>206</v>
      </c>
      <c r="D139" s="10" t="s">
        <v>234</v>
      </c>
      <c r="E139" s="10" t="s">
        <v>1052</v>
      </c>
      <c r="F139" s="9" t="s">
        <v>1003</v>
      </c>
      <c r="G139" s="10">
        <v>2024</v>
      </c>
      <c r="H139" s="10">
        <v>81</v>
      </c>
      <c r="I139" s="10">
        <f t="shared" si="4"/>
        <v>134</v>
      </c>
      <c r="J139" s="10" t="str">
        <f>Tableau2[[#This Row],[Annee d''inscription au programme]]&amp;"-"&amp;Tableau2[[#This Row],[Code d''ecole]]&amp;"-"&amp;Tableau2[[#This Row],[Numero HM de la femme]]</f>
        <v>2024-81-134</v>
      </c>
      <c r="K139" s="10">
        <f t="shared" si="5"/>
        <v>134</v>
      </c>
      <c r="L139" s="42">
        <v>0</v>
      </c>
      <c r="M139" s="52">
        <v>2</v>
      </c>
      <c r="N139" s="63">
        <f>SUM(Tableau2[[#This Row],[Mathématique/20]]+Tableau2[[#This Row],[Français /20]])/2</f>
        <v>1</v>
      </c>
      <c r="O139" s="42">
        <v>12</v>
      </c>
      <c r="P139" s="52">
        <v>17.5</v>
      </c>
      <c r="Q139" s="63">
        <f>(Tableau2[[#This Row],[Mathématique /20]]+Tableau2[[#This Row],[Français /202]])/2</f>
        <v>14.75</v>
      </c>
      <c r="S139"/>
      <c r="T139"/>
      <c r="U139"/>
      <c r="V139"/>
    </row>
    <row r="140" spans="1:22" ht="16" x14ac:dyDescent="0.2">
      <c r="A140" s="10" t="s">
        <v>195</v>
      </c>
      <c r="B140" s="10" t="s">
        <v>114</v>
      </c>
      <c r="C140" s="10" t="s">
        <v>207</v>
      </c>
      <c r="D140" s="10" t="s">
        <v>235</v>
      </c>
      <c r="E140" s="10" t="s">
        <v>1052</v>
      </c>
      <c r="F140" s="9" t="s">
        <v>1003</v>
      </c>
      <c r="G140" s="10">
        <v>2024</v>
      </c>
      <c r="H140" s="10">
        <v>81</v>
      </c>
      <c r="I140" s="10">
        <f t="shared" si="4"/>
        <v>135</v>
      </c>
      <c r="J140" s="10" t="str">
        <f>Tableau2[[#This Row],[Annee d''inscription au programme]]&amp;"-"&amp;Tableau2[[#This Row],[Code d''ecole]]&amp;"-"&amp;Tableau2[[#This Row],[Numero HM de la femme]]</f>
        <v>2024-81-135</v>
      </c>
      <c r="K140" s="10">
        <f t="shared" si="5"/>
        <v>135</v>
      </c>
      <c r="L140" s="42">
        <v>0</v>
      </c>
      <c r="M140" s="52">
        <v>2.4</v>
      </c>
      <c r="N140" s="63">
        <f>SUM(Tableau2[[#This Row],[Mathématique/20]]+Tableau2[[#This Row],[Français /20]])/2</f>
        <v>1.2</v>
      </c>
      <c r="O140" s="42">
        <v>6</v>
      </c>
      <c r="P140" s="52">
        <v>13.75</v>
      </c>
      <c r="Q140" s="63">
        <f>(Tableau2[[#This Row],[Mathématique /20]]+Tableau2[[#This Row],[Français /202]])/2</f>
        <v>9.875</v>
      </c>
      <c r="S140"/>
      <c r="T140"/>
      <c r="U140"/>
      <c r="V140"/>
    </row>
    <row r="141" spans="1:22" ht="16" x14ac:dyDescent="0.2">
      <c r="A141" s="10" t="s">
        <v>195</v>
      </c>
      <c r="B141" s="10" t="s">
        <v>114</v>
      </c>
      <c r="C141" s="10" t="s">
        <v>208</v>
      </c>
      <c r="D141" s="10" t="s">
        <v>233</v>
      </c>
      <c r="E141" s="10" t="s">
        <v>1052</v>
      </c>
      <c r="F141" s="9" t="s">
        <v>1003</v>
      </c>
      <c r="G141" s="10">
        <v>2024</v>
      </c>
      <c r="H141" s="10">
        <v>81</v>
      </c>
      <c r="I141" s="10">
        <f t="shared" si="4"/>
        <v>136</v>
      </c>
      <c r="J141" s="10" t="str">
        <f>Tableau2[[#This Row],[Annee d''inscription au programme]]&amp;"-"&amp;Tableau2[[#This Row],[Code d''ecole]]&amp;"-"&amp;Tableau2[[#This Row],[Numero HM de la femme]]</f>
        <v>2024-81-136</v>
      </c>
      <c r="K141" s="10">
        <f t="shared" si="5"/>
        <v>136</v>
      </c>
      <c r="L141" s="42">
        <v>0</v>
      </c>
      <c r="M141" s="52">
        <v>3.4</v>
      </c>
      <c r="N141" s="63">
        <f>SUM(Tableau2[[#This Row],[Mathématique/20]]+Tableau2[[#This Row],[Français /20]])/2</f>
        <v>1.7</v>
      </c>
      <c r="O141" s="42">
        <v>10</v>
      </c>
      <c r="P141" s="52">
        <v>15.75</v>
      </c>
      <c r="Q141" s="63">
        <f>(Tableau2[[#This Row],[Mathématique /20]]+Tableau2[[#This Row],[Français /202]])/2</f>
        <v>12.875</v>
      </c>
      <c r="S141"/>
      <c r="T141"/>
      <c r="U141"/>
      <c r="V141"/>
    </row>
    <row r="142" spans="1:22" ht="16" x14ac:dyDescent="0.2">
      <c r="A142" s="10" t="s">
        <v>195</v>
      </c>
      <c r="B142" s="10" t="s">
        <v>114</v>
      </c>
      <c r="C142" s="10" t="s">
        <v>209</v>
      </c>
      <c r="D142" s="10" t="s">
        <v>44</v>
      </c>
      <c r="E142" s="10" t="s">
        <v>1052</v>
      </c>
      <c r="F142" s="9" t="s">
        <v>1003</v>
      </c>
      <c r="G142" s="10">
        <v>2024</v>
      </c>
      <c r="H142" s="10">
        <v>81</v>
      </c>
      <c r="I142" s="10">
        <f t="shared" si="4"/>
        <v>137</v>
      </c>
      <c r="J142" s="10" t="str">
        <f>Tableau2[[#This Row],[Annee d''inscription au programme]]&amp;"-"&amp;Tableau2[[#This Row],[Code d''ecole]]&amp;"-"&amp;Tableau2[[#This Row],[Numero HM de la femme]]</f>
        <v>2024-81-137</v>
      </c>
      <c r="K142" s="10">
        <f t="shared" si="5"/>
        <v>137</v>
      </c>
      <c r="L142" s="42">
        <v>3</v>
      </c>
      <c r="M142" s="52">
        <v>3</v>
      </c>
      <c r="N142" s="63">
        <f>SUM(Tableau2[[#This Row],[Mathématique/20]]+Tableau2[[#This Row],[Français /20]])/2</f>
        <v>3</v>
      </c>
      <c r="O142" s="42">
        <v>10</v>
      </c>
      <c r="P142" s="52">
        <v>19</v>
      </c>
      <c r="Q142" s="63">
        <f>(Tableau2[[#This Row],[Mathématique /20]]+Tableau2[[#This Row],[Français /202]])/2</f>
        <v>14.5</v>
      </c>
      <c r="S142"/>
      <c r="T142"/>
      <c r="U142"/>
      <c r="V142"/>
    </row>
    <row r="143" spans="1:22" ht="16" x14ac:dyDescent="0.2">
      <c r="A143" s="10" t="s">
        <v>195</v>
      </c>
      <c r="B143" s="10" t="s">
        <v>114</v>
      </c>
      <c r="C143" s="10" t="s">
        <v>210</v>
      </c>
      <c r="D143" s="10" t="s">
        <v>41</v>
      </c>
      <c r="E143" s="10" t="s">
        <v>1052</v>
      </c>
      <c r="F143" s="9" t="s">
        <v>1003</v>
      </c>
      <c r="G143" s="10">
        <v>2024</v>
      </c>
      <c r="H143" s="10">
        <v>81</v>
      </c>
      <c r="I143" s="10">
        <f t="shared" si="4"/>
        <v>138</v>
      </c>
      <c r="J143" s="10" t="str">
        <f>Tableau2[[#This Row],[Annee d''inscription au programme]]&amp;"-"&amp;Tableau2[[#This Row],[Code d''ecole]]&amp;"-"&amp;Tableau2[[#This Row],[Numero HM de la femme]]</f>
        <v>2024-81-138</v>
      </c>
      <c r="K143" s="10">
        <f t="shared" si="5"/>
        <v>138</v>
      </c>
      <c r="L143" s="42">
        <v>0</v>
      </c>
      <c r="M143" s="52">
        <v>0</v>
      </c>
      <c r="N143" s="63">
        <f>SUM(Tableau2[[#This Row],[Mathématique/20]]+Tableau2[[#This Row],[Français /20]])/2</f>
        <v>0</v>
      </c>
      <c r="O143" s="42">
        <v>6</v>
      </c>
      <c r="P143" s="52">
        <v>18.5</v>
      </c>
      <c r="Q143" s="63">
        <f>(Tableau2[[#This Row],[Mathématique /20]]+Tableau2[[#This Row],[Français /202]])/2</f>
        <v>12.25</v>
      </c>
      <c r="S143"/>
      <c r="T143"/>
      <c r="U143"/>
      <c r="V143"/>
    </row>
    <row r="144" spans="1:22" ht="16" x14ac:dyDescent="0.2">
      <c r="A144" s="10" t="s">
        <v>195</v>
      </c>
      <c r="B144" s="10" t="s">
        <v>114</v>
      </c>
      <c r="C144" s="10" t="s">
        <v>211</v>
      </c>
      <c r="D144" s="10" t="s">
        <v>236</v>
      </c>
      <c r="E144" s="10" t="s">
        <v>1052</v>
      </c>
      <c r="F144" s="9" t="s">
        <v>1003</v>
      </c>
      <c r="G144" s="10">
        <v>2024</v>
      </c>
      <c r="H144" s="10">
        <v>81</v>
      </c>
      <c r="I144" s="10">
        <f t="shared" si="4"/>
        <v>139</v>
      </c>
      <c r="J144" s="10" t="str">
        <f>Tableau2[[#This Row],[Annee d''inscription au programme]]&amp;"-"&amp;Tableau2[[#This Row],[Code d''ecole]]&amp;"-"&amp;Tableau2[[#This Row],[Numero HM de la femme]]</f>
        <v>2024-81-139</v>
      </c>
      <c r="K144" s="10">
        <f t="shared" si="5"/>
        <v>139</v>
      </c>
      <c r="L144" s="42">
        <v>0</v>
      </c>
      <c r="M144" s="52">
        <v>16.5</v>
      </c>
      <c r="N144" s="63">
        <f>SUM(Tableau2[[#This Row],[Mathématique/20]]+Tableau2[[#This Row],[Français /20]])/2</f>
        <v>8.25</v>
      </c>
      <c r="O144" s="42">
        <v>10</v>
      </c>
      <c r="P144" s="52">
        <v>15</v>
      </c>
      <c r="Q144" s="63">
        <f>(Tableau2[[#This Row],[Mathématique /20]]+Tableau2[[#This Row],[Français /202]])/2</f>
        <v>12.5</v>
      </c>
      <c r="S144"/>
      <c r="T144"/>
      <c r="U144"/>
      <c r="V144"/>
    </row>
    <row r="145" spans="1:22" ht="16" x14ac:dyDescent="0.2">
      <c r="A145" s="10" t="s">
        <v>237</v>
      </c>
      <c r="B145" s="10" t="s">
        <v>238</v>
      </c>
      <c r="C145" s="10" t="s">
        <v>239</v>
      </c>
      <c r="D145" s="10" t="s">
        <v>297</v>
      </c>
      <c r="E145" s="10" t="s">
        <v>1046</v>
      </c>
      <c r="F145" s="9" t="s">
        <v>1004</v>
      </c>
      <c r="G145" s="10">
        <v>2024</v>
      </c>
      <c r="H145" s="10">
        <v>44</v>
      </c>
      <c r="I145" s="10">
        <f t="shared" si="4"/>
        <v>140</v>
      </c>
      <c r="J145" s="10" t="str">
        <f>Tableau2[[#This Row],[Annee d''inscription au programme]]&amp;"-"&amp;Tableau2[[#This Row],[Code d''ecole]]&amp;"-"&amp;Tableau2[[#This Row],[Numero HM de la femme]]</f>
        <v>2024-44-140</v>
      </c>
      <c r="K145" s="10">
        <f t="shared" si="5"/>
        <v>140</v>
      </c>
      <c r="L145" s="42">
        <v>2</v>
      </c>
      <c r="M145" s="52">
        <v>7</v>
      </c>
      <c r="N145" s="63">
        <f>SUM(Tableau2[[#This Row],[Mathématique/20]]+Tableau2[[#This Row],[Français /20]])/2</f>
        <v>4.5</v>
      </c>
      <c r="O145" s="42">
        <v>14</v>
      </c>
      <c r="P145" s="52">
        <v>17</v>
      </c>
      <c r="Q145" s="63">
        <f>(Tableau2[[#This Row],[Mathématique /20]]+Tableau2[[#This Row],[Français /202]])/2</f>
        <v>15.5</v>
      </c>
      <c r="S145"/>
      <c r="T145"/>
      <c r="U145"/>
      <c r="V145"/>
    </row>
    <row r="146" spans="1:22" ht="16" x14ac:dyDescent="0.2">
      <c r="A146" s="10" t="s">
        <v>237</v>
      </c>
      <c r="B146" s="10" t="s">
        <v>238</v>
      </c>
      <c r="C146" s="10" t="s">
        <v>240</v>
      </c>
      <c r="D146" s="10" t="s">
        <v>298</v>
      </c>
      <c r="E146" s="10" t="s">
        <v>1047</v>
      </c>
      <c r="F146" s="9" t="s">
        <v>1004</v>
      </c>
      <c r="G146" s="10">
        <v>2024</v>
      </c>
      <c r="H146" s="10">
        <v>44</v>
      </c>
      <c r="I146" s="10">
        <f t="shared" si="4"/>
        <v>141</v>
      </c>
      <c r="J146" s="10" t="str">
        <f>Tableau2[[#This Row],[Annee d''inscription au programme]]&amp;"-"&amp;Tableau2[[#This Row],[Code d''ecole]]&amp;"-"&amp;Tableau2[[#This Row],[Numero HM de la femme]]</f>
        <v>2024-44-141</v>
      </c>
      <c r="K146" s="10">
        <f t="shared" si="5"/>
        <v>141</v>
      </c>
      <c r="L146" s="42">
        <v>5</v>
      </c>
      <c r="M146" s="52">
        <v>3</v>
      </c>
      <c r="N146" s="63">
        <f>SUM(Tableau2[[#This Row],[Mathématique/20]]+Tableau2[[#This Row],[Français /20]])/2</f>
        <v>4</v>
      </c>
      <c r="O146" s="42">
        <v>10</v>
      </c>
      <c r="P146" s="52">
        <v>14</v>
      </c>
      <c r="Q146" s="63">
        <f>(Tableau2[[#This Row],[Mathématique /20]]+Tableau2[[#This Row],[Français /202]])/2</f>
        <v>12</v>
      </c>
      <c r="S146"/>
      <c r="T146"/>
      <c r="U146"/>
      <c r="V146"/>
    </row>
    <row r="147" spans="1:22" ht="16" x14ac:dyDescent="0.2">
      <c r="A147" s="10" t="s">
        <v>237</v>
      </c>
      <c r="B147" s="10" t="s">
        <v>238</v>
      </c>
      <c r="C147" s="10" t="s">
        <v>241</v>
      </c>
      <c r="D147" s="10" t="s">
        <v>246</v>
      </c>
      <c r="E147" s="10" t="s">
        <v>1046</v>
      </c>
      <c r="F147" s="9" t="s">
        <v>1004</v>
      </c>
      <c r="G147" s="10">
        <v>2024</v>
      </c>
      <c r="H147" s="10">
        <v>44</v>
      </c>
      <c r="I147" s="10">
        <f t="shared" si="4"/>
        <v>142</v>
      </c>
      <c r="J147" s="10" t="str">
        <f>Tableau2[[#This Row],[Annee d''inscription au programme]]&amp;"-"&amp;Tableau2[[#This Row],[Code d''ecole]]&amp;"-"&amp;Tableau2[[#This Row],[Numero HM de la femme]]</f>
        <v>2024-44-142</v>
      </c>
      <c r="K147" s="10">
        <f t="shared" si="5"/>
        <v>142</v>
      </c>
      <c r="L147" s="42">
        <v>0</v>
      </c>
      <c r="M147" s="52">
        <v>2</v>
      </c>
      <c r="N147" s="63">
        <f>SUM(Tableau2[[#This Row],[Mathématique/20]]+Tableau2[[#This Row],[Français /20]])/2</f>
        <v>1</v>
      </c>
      <c r="O147" s="42">
        <v>10</v>
      </c>
      <c r="P147" s="52">
        <v>11</v>
      </c>
      <c r="Q147" s="63">
        <f>(Tableau2[[#This Row],[Mathématique /20]]+Tableau2[[#This Row],[Français /202]])/2</f>
        <v>10.5</v>
      </c>
      <c r="S147"/>
      <c r="T147"/>
      <c r="U147"/>
      <c r="V147"/>
    </row>
    <row r="148" spans="1:22" ht="16" x14ac:dyDescent="0.2">
      <c r="A148" s="10" t="s">
        <v>237</v>
      </c>
      <c r="B148" s="10" t="s">
        <v>238</v>
      </c>
      <c r="C148" s="10" t="s">
        <v>242</v>
      </c>
      <c r="D148" s="10" t="s">
        <v>245</v>
      </c>
      <c r="E148" s="10" t="s">
        <v>1047</v>
      </c>
      <c r="F148" s="9" t="s">
        <v>1004</v>
      </c>
      <c r="G148" s="10">
        <v>2024</v>
      </c>
      <c r="H148" s="10">
        <v>44</v>
      </c>
      <c r="I148" s="10">
        <f t="shared" si="4"/>
        <v>143</v>
      </c>
      <c r="J148" s="10" t="str">
        <f>Tableau2[[#This Row],[Annee d''inscription au programme]]&amp;"-"&amp;Tableau2[[#This Row],[Code d''ecole]]&amp;"-"&amp;Tableau2[[#This Row],[Numero HM de la femme]]</f>
        <v>2024-44-143</v>
      </c>
      <c r="K148" s="10">
        <f t="shared" si="5"/>
        <v>143</v>
      </c>
      <c r="L148" s="42">
        <v>0</v>
      </c>
      <c r="M148" s="52">
        <v>1.3</v>
      </c>
      <c r="N148" s="63">
        <f>SUM(Tableau2[[#This Row],[Mathématique/20]]+Tableau2[[#This Row],[Français /20]])/2</f>
        <v>0.65</v>
      </c>
      <c r="O148" s="42">
        <v>10</v>
      </c>
      <c r="P148" s="52">
        <v>11</v>
      </c>
      <c r="Q148" s="63">
        <f>(Tableau2[[#This Row],[Mathématique /20]]+Tableau2[[#This Row],[Français /202]])/2</f>
        <v>10.5</v>
      </c>
      <c r="S148"/>
      <c r="T148"/>
      <c r="U148"/>
      <c r="V148"/>
    </row>
    <row r="149" spans="1:22" ht="16" x14ac:dyDescent="0.2">
      <c r="A149" s="10" t="s">
        <v>237</v>
      </c>
      <c r="B149" s="10" t="s">
        <v>238</v>
      </c>
      <c r="C149" s="10" t="s">
        <v>243</v>
      </c>
      <c r="D149" s="10" t="s">
        <v>244</v>
      </c>
      <c r="E149" s="10" t="s">
        <v>1046</v>
      </c>
      <c r="F149" s="9" t="s">
        <v>1004</v>
      </c>
      <c r="G149" s="10">
        <v>2024</v>
      </c>
      <c r="H149" s="10">
        <v>44</v>
      </c>
      <c r="I149" s="10">
        <f t="shared" si="4"/>
        <v>144</v>
      </c>
      <c r="J149" s="10" t="str">
        <f>Tableau2[[#This Row],[Annee d''inscription au programme]]&amp;"-"&amp;Tableau2[[#This Row],[Code d''ecole]]&amp;"-"&amp;Tableau2[[#This Row],[Numero HM de la femme]]</f>
        <v>2024-44-144</v>
      </c>
      <c r="K149" s="10">
        <f t="shared" si="5"/>
        <v>144</v>
      </c>
      <c r="L149" s="42">
        <v>2</v>
      </c>
      <c r="M149" s="52">
        <v>6.9</v>
      </c>
      <c r="N149" s="63">
        <f>SUM(Tableau2[[#This Row],[Mathématique/20]]+Tableau2[[#This Row],[Français /20]])/2</f>
        <v>4.45</v>
      </c>
      <c r="O149" s="42">
        <v>10</v>
      </c>
      <c r="P149" s="52">
        <v>16</v>
      </c>
      <c r="Q149" s="63">
        <f>(Tableau2[[#This Row],[Mathématique /20]]+Tableau2[[#This Row],[Français /202]])/2</f>
        <v>13</v>
      </c>
      <c r="S149"/>
      <c r="T149"/>
      <c r="U149"/>
      <c r="V149"/>
    </row>
    <row r="150" spans="1:22" ht="16" x14ac:dyDescent="0.2">
      <c r="A150" s="10" t="s">
        <v>237</v>
      </c>
      <c r="B150" s="10" t="s">
        <v>238</v>
      </c>
      <c r="C150" s="10" t="s">
        <v>247</v>
      </c>
      <c r="D150" s="10" t="s">
        <v>248</v>
      </c>
      <c r="E150" s="10" t="s">
        <v>1047</v>
      </c>
      <c r="F150" s="9" t="s">
        <v>1004</v>
      </c>
      <c r="G150" s="10">
        <v>2024</v>
      </c>
      <c r="H150" s="10">
        <v>44</v>
      </c>
      <c r="I150" s="10">
        <f t="shared" si="4"/>
        <v>145</v>
      </c>
      <c r="J150" s="10" t="str">
        <f>Tableau2[[#This Row],[Annee d''inscription au programme]]&amp;"-"&amp;Tableau2[[#This Row],[Code d''ecole]]&amp;"-"&amp;Tableau2[[#This Row],[Numero HM de la femme]]</f>
        <v>2024-44-145</v>
      </c>
      <c r="K150" s="10">
        <f t="shared" si="5"/>
        <v>145</v>
      </c>
      <c r="L150" s="42">
        <v>0</v>
      </c>
      <c r="M150" s="52">
        <v>3.25</v>
      </c>
      <c r="N150" s="63">
        <f>SUM(Tableau2[[#This Row],[Mathématique/20]]+Tableau2[[#This Row],[Français /20]])/2</f>
        <v>1.625</v>
      </c>
      <c r="O150" s="42">
        <v>10</v>
      </c>
      <c r="P150" s="52">
        <v>10</v>
      </c>
      <c r="Q150" s="63">
        <f>(Tableau2[[#This Row],[Mathématique /20]]+Tableau2[[#This Row],[Français /202]])/2</f>
        <v>10</v>
      </c>
      <c r="S150"/>
      <c r="T150"/>
      <c r="U150"/>
      <c r="V150"/>
    </row>
    <row r="151" spans="1:22" ht="16" x14ac:dyDescent="0.2">
      <c r="A151" s="10" t="s">
        <v>237</v>
      </c>
      <c r="B151" s="10" t="s">
        <v>238</v>
      </c>
      <c r="C151" s="10" t="s">
        <v>940</v>
      </c>
      <c r="D151" s="10" t="s">
        <v>941</v>
      </c>
      <c r="E151" s="10" t="s">
        <v>1047</v>
      </c>
      <c r="F151" s="9" t="s">
        <v>1004</v>
      </c>
      <c r="G151" s="10">
        <v>2024</v>
      </c>
      <c r="H151" s="10">
        <v>44</v>
      </c>
      <c r="I151" s="10">
        <f t="shared" si="4"/>
        <v>146</v>
      </c>
      <c r="J151" s="10" t="str">
        <f>Tableau2[[#This Row],[Annee d''inscription au programme]]&amp;"-"&amp;Tableau2[[#This Row],[Code d''ecole]]&amp;"-"&amp;Tableau2[[#This Row],[Numero HM de la femme]]</f>
        <v>2024-44-146</v>
      </c>
      <c r="K151" s="10">
        <f t="shared" si="5"/>
        <v>146</v>
      </c>
      <c r="L151" s="42">
        <v>1</v>
      </c>
      <c r="M151" s="52">
        <v>8</v>
      </c>
      <c r="N151" s="63">
        <f>SUM(Tableau2[[#This Row],[Mathématique/20]]+Tableau2[[#This Row],[Français /20]])/2</f>
        <v>4.5</v>
      </c>
      <c r="O151" s="42">
        <v>10</v>
      </c>
      <c r="P151" s="52">
        <v>18</v>
      </c>
      <c r="Q151" s="63">
        <f>(Tableau2[[#This Row],[Mathématique /20]]+Tableau2[[#This Row],[Français /202]])/2</f>
        <v>14</v>
      </c>
      <c r="S151"/>
      <c r="T151"/>
      <c r="U151"/>
      <c r="V151"/>
    </row>
    <row r="152" spans="1:22" ht="16" x14ac:dyDescent="0.2">
      <c r="A152" s="10" t="s">
        <v>237</v>
      </c>
      <c r="B152" s="10" t="s">
        <v>238</v>
      </c>
      <c r="C152" s="10" t="s">
        <v>249</v>
      </c>
      <c r="D152" s="10" t="s">
        <v>250</v>
      </c>
      <c r="E152" s="10" t="s">
        <v>1047</v>
      </c>
      <c r="F152" s="9" t="s">
        <v>1004</v>
      </c>
      <c r="G152" s="10">
        <v>2024</v>
      </c>
      <c r="H152" s="10">
        <v>44</v>
      </c>
      <c r="I152" s="10">
        <f t="shared" si="4"/>
        <v>147</v>
      </c>
      <c r="J152" s="10" t="str">
        <f>Tableau2[[#This Row],[Annee d''inscription au programme]]&amp;"-"&amp;Tableau2[[#This Row],[Code d''ecole]]&amp;"-"&amp;Tableau2[[#This Row],[Numero HM de la femme]]</f>
        <v>2024-44-147</v>
      </c>
      <c r="K152" s="10">
        <f t="shared" si="5"/>
        <v>147</v>
      </c>
      <c r="L152" s="42">
        <v>0</v>
      </c>
      <c r="M152" s="52">
        <v>4.45</v>
      </c>
      <c r="N152" s="63">
        <f>SUM(Tableau2[[#This Row],[Mathématique/20]]+Tableau2[[#This Row],[Français /20]])/2</f>
        <v>2.2250000000000001</v>
      </c>
      <c r="O152" s="42">
        <v>13</v>
      </c>
      <c r="P152" s="52">
        <v>14</v>
      </c>
      <c r="Q152" s="63">
        <f>(Tableau2[[#This Row],[Mathématique /20]]+Tableau2[[#This Row],[Français /202]])/2</f>
        <v>13.5</v>
      </c>
      <c r="S152"/>
      <c r="T152"/>
      <c r="U152"/>
      <c r="V152"/>
    </row>
    <row r="153" spans="1:22" ht="16" x14ac:dyDescent="0.2">
      <c r="A153" s="10" t="s">
        <v>237</v>
      </c>
      <c r="B153" s="10" t="s">
        <v>238</v>
      </c>
      <c r="C153" s="10" t="s">
        <v>251</v>
      </c>
      <c r="D153" s="10" t="s">
        <v>252</v>
      </c>
      <c r="E153" s="10" t="s">
        <v>1046</v>
      </c>
      <c r="F153" s="9" t="s">
        <v>1004</v>
      </c>
      <c r="G153" s="10">
        <v>2024</v>
      </c>
      <c r="H153" s="10">
        <v>44</v>
      </c>
      <c r="I153" s="10">
        <f t="shared" si="4"/>
        <v>148</v>
      </c>
      <c r="J153" s="10" t="str">
        <f>Tableau2[[#This Row],[Annee d''inscription au programme]]&amp;"-"&amp;Tableau2[[#This Row],[Code d''ecole]]&amp;"-"&amp;Tableau2[[#This Row],[Numero HM de la femme]]</f>
        <v>2024-44-148</v>
      </c>
      <c r="K153" s="10">
        <f t="shared" si="5"/>
        <v>148</v>
      </c>
      <c r="L153" s="42">
        <v>0</v>
      </c>
      <c r="M153" s="52">
        <v>1.5</v>
      </c>
      <c r="N153" s="63">
        <f>SUM(Tableau2[[#This Row],[Mathématique/20]]+Tableau2[[#This Row],[Français /20]])/2</f>
        <v>0.75</v>
      </c>
      <c r="O153" s="42">
        <v>10</v>
      </c>
      <c r="P153" s="52">
        <v>13</v>
      </c>
      <c r="Q153" s="63">
        <f>(Tableau2[[#This Row],[Mathématique /20]]+Tableau2[[#This Row],[Français /202]])/2</f>
        <v>11.5</v>
      </c>
      <c r="S153"/>
      <c r="T153"/>
      <c r="U153"/>
      <c r="V153"/>
    </row>
    <row r="154" spans="1:22" ht="16" x14ac:dyDescent="0.2">
      <c r="A154" s="10" t="s">
        <v>237</v>
      </c>
      <c r="B154" s="10" t="s">
        <v>238</v>
      </c>
      <c r="C154" s="10" t="s">
        <v>254</v>
      </c>
      <c r="D154" s="10" t="s">
        <v>253</v>
      </c>
      <c r="E154" s="10" t="s">
        <v>1047</v>
      </c>
      <c r="F154" s="9" t="s">
        <v>1004</v>
      </c>
      <c r="G154" s="10">
        <v>2024</v>
      </c>
      <c r="H154" s="10">
        <v>44</v>
      </c>
      <c r="I154" s="10">
        <f t="shared" si="4"/>
        <v>149</v>
      </c>
      <c r="J154" s="10" t="str">
        <f>Tableau2[[#This Row],[Annee d''inscription au programme]]&amp;"-"&amp;Tableau2[[#This Row],[Code d''ecole]]&amp;"-"&amp;Tableau2[[#This Row],[Numero HM de la femme]]</f>
        <v>2024-44-149</v>
      </c>
      <c r="K154" s="10">
        <f t="shared" si="5"/>
        <v>149</v>
      </c>
      <c r="L154" s="42">
        <v>0</v>
      </c>
      <c r="M154" s="52">
        <v>2.4500000000000002</v>
      </c>
      <c r="N154" s="63">
        <f>SUM(Tableau2[[#This Row],[Mathématique/20]]+Tableau2[[#This Row],[Français /20]])/2</f>
        <v>1.2250000000000001</v>
      </c>
      <c r="O154" s="42">
        <v>10</v>
      </c>
      <c r="P154" s="52">
        <v>13</v>
      </c>
      <c r="Q154" s="63">
        <f>(Tableau2[[#This Row],[Mathématique /20]]+Tableau2[[#This Row],[Français /202]])/2</f>
        <v>11.5</v>
      </c>
      <c r="S154"/>
      <c r="T154"/>
      <c r="U154"/>
      <c r="V154"/>
    </row>
    <row r="155" spans="1:22" ht="16" x14ac:dyDescent="0.2">
      <c r="A155" s="10" t="s">
        <v>237</v>
      </c>
      <c r="B155" s="10" t="s">
        <v>238</v>
      </c>
      <c r="C155" s="10" t="s">
        <v>255</v>
      </c>
      <c r="D155" s="10" t="s">
        <v>256</v>
      </c>
      <c r="E155" s="10" t="s">
        <v>1046</v>
      </c>
      <c r="F155" s="9" t="s">
        <v>1004</v>
      </c>
      <c r="G155" s="10">
        <v>2024</v>
      </c>
      <c r="H155" s="10">
        <v>44</v>
      </c>
      <c r="I155" s="10">
        <f t="shared" si="4"/>
        <v>150</v>
      </c>
      <c r="J155" s="10" t="str">
        <f>Tableau2[[#This Row],[Annee d''inscription au programme]]&amp;"-"&amp;Tableau2[[#This Row],[Code d''ecole]]&amp;"-"&amp;Tableau2[[#This Row],[Numero HM de la femme]]</f>
        <v>2024-44-150</v>
      </c>
      <c r="K155" s="10">
        <f t="shared" si="5"/>
        <v>150</v>
      </c>
      <c r="L155" s="42">
        <v>0</v>
      </c>
      <c r="M155" s="52">
        <v>6</v>
      </c>
      <c r="N155" s="63">
        <f>SUM(Tableau2[[#This Row],[Mathématique/20]]+Tableau2[[#This Row],[Français /20]])/2</f>
        <v>3</v>
      </c>
      <c r="O155" s="42">
        <v>12</v>
      </c>
      <c r="P155" s="52">
        <v>20</v>
      </c>
      <c r="Q155" s="63">
        <f>(Tableau2[[#This Row],[Mathématique /20]]+Tableau2[[#This Row],[Français /202]])/2</f>
        <v>16</v>
      </c>
      <c r="S155"/>
      <c r="T155"/>
      <c r="U155"/>
      <c r="V155"/>
    </row>
    <row r="156" spans="1:22" ht="16" x14ac:dyDescent="0.2">
      <c r="A156" s="10" t="s">
        <v>237</v>
      </c>
      <c r="B156" s="10" t="s">
        <v>238</v>
      </c>
      <c r="C156" s="10" t="s">
        <v>257</v>
      </c>
      <c r="D156" s="10" t="s">
        <v>258</v>
      </c>
      <c r="E156" s="10" t="s">
        <v>1047</v>
      </c>
      <c r="F156" s="9" t="s">
        <v>1004</v>
      </c>
      <c r="G156" s="10">
        <v>2024</v>
      </c>
      <c r="H156" s="10">
        <v>44</v>
      </c>
      <c r="I156" s="10">
        <f t="shared" si="4"/>
        <v>151</v>
      </c>
      <c r="J156" s="10" t="str">
        <f>Tableau2[[#This Row],[Annee d''inscription au programme]]&amp;"-"&amp;Tableau2[[#This Row],[Code d''ecole]]&amp;"-"&amp;Tableau2[[#This Row],[Numero HM de la femme]]</f>
        <v>2024-44-151</v>
      </c>
      <c r="K156" s="10">
        <f t="shared" si="5"/>
        <v>151</v>
      </c>
      <c r="L156" s="42">
        <v>2</v>
      </c>
      <c r="M156" s="52">
        <v>5.5</v>
      </c>
      <c r="N156" s="63">
        <f>SUM(Tableau2[[#This Row],[Mathématique/20]]+Tableau2[[#This Row],[Français /20]])/2</f>
        <v>3.75</v>
      </c>
      <c r="O156" s="42">
        <v>10</v>
      </c>
      <c r="P156" s="52">
        <v>20</v>
      </c>
      <c r="Q156" s="63">
        <f>(Tableau2[[#This Row],[Mathématique /20]]+Tableau2[[#This Row],[Français /202]])/2</f>
        <v>15</v>
      </c>
      <c r="S156"/>
      <c r="T156"/>
      <c r="U156"/>
      <c r="V156"/>
    </row>
    <row r="157" spans="1:22" ht="16" x14ac:dyDescent="0.2">
      <c r="A157" s="10" t="s">
        <v>237</v>
      </c>
      <c r="B157" s="10" t="s">
        <v>238</v>
      </c>
      <c r="C157" s="10" t="s">
        <v>260</v>
      </c>
      <c r="D157" s="10" t="s">
        <v>259</v>
      </c>
      <c r="E157" s="10" t="s">
        <v>1047</v>
      </c>
      <c r="F157" s="9" t="s">
        <v>1004</v>
      </c>
      <c r="G157" s="10">
        <v>2024</v>
      </c>
      <c r="H157" s="10">
        <v>44</v>
      </c>
      <c r="I157" s="10">
        <f t="shared" si="4"/>
        <v>152</v>
      </c>
      <c r="J157" s="10" t="str">
        <f>Tableau2[[#This Row],[Annee d''inscription au programme]]&amp;"-"&amp;Tableau2[[#This Row],[Code d''ecole]]&amp;"-"&amp;Tableau2[[#This Row],[Numero HM de la femme]]</f>
        <v>2024-44-152</v>
      </c>
      <c r="K157" s="10">
        <f t="shared" si="5"/>
        <v>152</v>
      </c>
      <c r="L157" s="42">
        <v>0</v>
      </c>
      <c r="M157" s="52">
        <v>4.5</v>
      </c>
      <c r="N157" s="63">
        <f>SUM(Tableau2[[#This Row],[Mathématique/20]]+Tableau2[[#This Row],[Français /20]])/2</f>
        <v>2.25</v>
      </c>
      <c r="O157" s="42">
        <v>10</v>
      </c>
      <c r="P157" s="52">
        <v>14</v>
      </c>
      <c r="Q157" s="63">
        <f>(Tableau2[[#This Row],[Mathématique /20]]+Tableau2[[#This Row],[Français /202]])/2</f>
        <v>12</v>
      </c>
      <c r="S157"/>
      <c r="T157"/>
      <c r="U157"/>
      <c r="V157"/>
    </row>
    <row r="158" spans="1:22" ht="16" x14ac:dyDescent="0.2">
      <c r="A158" s="10" t="s">
        <v>237</v>
      </c>
      <c r="B158" s="10" t="s">
        <v>238</v>
      </c>
      <c r="C158" s="10" t="s">
        <v>989</v>
      </c>
      <c r="D158" s="10" t="s">
        <v>250</v>
      </c>
      <c r="E158" s="10" t="s">
        <v>1046</v>
      </c>
      <c r="F158" s="9" t="s">
        <v>1004</v>
      </c>
      <c r="G158" s="10">
        <v>2024</v>
      </c>
      <c r="H158" s="10">
        <v>44</v>
      </c>
      <c r="I158" s="10">
        <f t="shared" si="4"/>
        <v>153</v>
      </c>
      <c r="J158" s="10" t="str">
        <f>Tableau2[[#This Row],[Annee d''inscription au programme]]&amp;"-"&amp;Tableau2[[#This Row],[Code d''ecole]]&amp;"-"&amp;Tableau2[[#This Row],[Numero HM de la femme]]</f>
        <v>2024-44-153</v>
      </c>
      <c r="K158" s="10">
        <f t="shared" si="5"/>
        <v>153</v>
      </c>
      <c r="L158" s="42">
        <v>0</v>
      </c>
      <c r="M158" s="52">
        <v>1.4</v>
      </c>
      <c r="N158" s="63">
        <f>SUM(Tableau2[[#This Row],[Mathématique/20]]+Tableau2[[#This Row],[Français /20]])/2</f>
        <v>0.7</v>
      </c>
      <c r="O158" s="42">
        <v>14</v>
      </c>
      <c r="P158" s="52">
        <v>13</v>
      </c>
      <c r="Q158" s="63">
        <f>(Tableau2[[#This Row],[Mathématique /20]]+Tableau2[[#This Row],[Français /202]])/2</f>
        <v>13.5</v>
      </c>
      <c r="S158"/>
      <c r="T158"/>
      <c r="U158"/>
      <c r="V158"/>
    </row>
    <row r="159" spans="1:22" ht="16" x14ac:dyDescent="0.2">
      <c r="A159" s="10" t="s">
        <v>237</v>
      </c>
      <c r="B159" s="10" t="s">
        <v>238</v>
      </c>
      <c r="C159" s="10" t="s">
        <v>261</v>
      </c>
      <c r="D159" s="10" t="s">
        <v>262</v>
      </c>
      <c r="E159" s="10" t="s">
        <v>1046</v>
      </c>
      <c r="F159" s="9" t="s">
        <v>1004</v>
      </c>
      <c r="G159" s="10">
        <v>2024</v>
      </c>
      <c r="H159" s="10">
        <v>44</v>
      </c>
      <c r="I159" s="10">
        <f t="shared" si="4"/>
        <v>154</v>
      </c>
      <c r="J159" s="10" t="str">
        <f>Tableau2[[#This Row],[Annee d''inscription au programme]]&amp;"-"&amp;Tableau2[[#This Row],[Code d''ecole]]&amp;"-"&amp;Tableau2[[#This Row],[Numero HM de la femme]]</f>
        <v>2024-44-154</v>
      </c>
      <c r="K159" s="10">
        <f t="shared" si="5"/>
        <v>154</v>
      </c>
      <c r="L159" s="42">
        <v>1</v>
      </c>
      <c r="M159" s="52">
        <v>5.5</v>
      </c>
      <c r="N159" s="63">
        <f>SUM(Tableau2[[#This Row],[Mathématique/20]]+Tableau2[[#This Row],[Français /20]])/2</f>
        <v>3.25</v>
      </c>
      <c r="O159" s="42">
        <v>12</v>
      </c>
      <c r="P159" s="52">
        <v>19</v>
      </c>
      <c r="Q159" s="63">
        <f>(Tableau2[[#This Row],[Mathématique /20]]+Tableau2[[#This Row],[Français /202]])/2</f>
        <v>15.5</v>
      </c>
      <c r="S159"/>
      <c r="T159"/>
      <c r="U159"/>
      <c r="V159"/>
    </row>
    <row r="160" spans="1:22" ht="16" x14ac:dyDescent="0.2">
      <c r="A160" s="10" t="s">
        <v>237</v>
      </c>
      <c r="B160" s="10" t="s">
        <v>238</v>
      </c>
      <c r="C160" s="11" t="s">
        <v>264</v>
      </c>
      <c r="D160" s="11" t="s">
        <v>263</v>
      </c>
      <c r="E160" s="10" t="s">
        <v>1046</v>
      </c>
      <c r="F160" s="9" t="s">
        <v>1004</v>
      </c>
      <c r="G160" s="10">
        <v>2024</v>
      </c>
      <c r="H160" s="10">
        <v>44</v>
      </c>
      <c r="I160" s="10">
        <f t="shared" si="4"/>
        <v>155</v>
      </c>
      <c r="J160" s="11" t="str">
        <f>Tableau2[[#This Row],[Annee d''inscription au programme]]&amp;"-"&amp;Tableau2[[#This Row],[Code d''ecole]]&amp;"-"&amp;Tableau2[[#This Row],[Numero HM de la femme]]</f>
        <v>2024-44-155</v>
      </c>
      <c r="K160" s="10">
        <f t="shared" si="5"/>
        <v>155</v>
      </c>
      <c r="L160" s="42">
        <v>0</v>
      </c>
      <c r="M160" s="52">
        <v>4.4000000000000004</v>
      </c>
      <c r="N160" s="63">
        <f>SUM(Tableau2[[#This Row],[Mathématique/20]]+Tableau2[[#This Row],[Français /20]])/2</f>
        <v>2.2000000000000002</v>
      </c>
      <c r="O160" s="42">
        <v>10</v>
      </c>
      <c r="P160" s="52">
        <v>16</v>
      </c>
      <c r="Q160" s="63">
        <f>(Tableau2[[#This Row],[Mathématique /20]]+Tableau2[[#This Row],[Français /202]])/2</f>
        <v>13</v>
      </c>
      <c r="S160"/>
      <c r="T160"/>
      <c r="U160"/>
      <c r="V160"/>
    </row>
    <row r="161" spans="1:22" ht="16" x14ac:dyDescent="0.2">
      <c r="A161" s="10" t="s">
        <v>237</v>
      </c>
      <c r="B161" s="10" t="s">
        <v>238</v>
      </c>
      <c r="C161" s="10" t="s">
        <v>265</v>
      </c>
      <c r="D161" s="10" t="s">
        <v>266</v>
      </c>
      <c r="E161" s="10" t="s">
        <v>1047</v>
      </c>
      <c r="F161" s="9" t="s">
        <v>1004</v>
      </c>
      <c r="G161" s="10">
        <v>2024</v>
      </c>
      <c r="H161" s="10">
        <v>44</v>
      </c>
      <c r="I161" s="10">
        <f t="shared" si="4"/>
        <v>156</v>
      </c>
      <c r="J161" s="10" t="str">
        <f>Tableau2[[#This Row],[Annee d''inscription au programme]]&amp;"-"&amp;Tableau2[[#This Row],[Code d''ecole]]&amp;"-"&amp;Tableau2[[#This Row],[Numero HM de la femme]]</f>
        <v>2024-44-156</v>
      </c>
      <c r="K161" s="10">
        <f t="shared" si="5"/>
        <v>156</v>
      </c>
      <c r="L161" s="42">
        <v>2</v>
      </c>
      <c r="M161" s="52">
        <v>4</v>
      </c>
      <c r="N161" s="63">
        <f>SUM(Tableau2[[#This Row],[Mathématique/20]]+Tableau2[[#This Row],[Français /20]])/2</f>
        <v>3</v>
      </c>
      <c r="O161" s="42">
        <v>14</v>
      </c>
      <c r="P161" s="52">
        <v>18</v>
      </c>
      <c r="Q161" s="63">
        <f>(Tableau2[[#This Row],[Mathématique /20]]+Tableau2[[#This Row],[Français /202]])/2</f>
        <v>16</v>
      </c>
      <c r="S161"/>
      <c r="T161"/>
      <c r="U161"/>
      <c r="V161"/>
    </row>
    <row r="162" spans="1:22" ht="16" x14ac:dyDescent="0.2">
      <c r="A162" s="10" t="s">
        <v>237</v>
      </c>
      <c r="B162" s="10" t="s">
        <v>238</v>
      </c>
      <c r="C162" s="10" t="s">
        <v>268</v>
      </c>
      <c r="D162" s="10" t="s">
        <v>267</v>
      </c>
      <c r="E162" s="10" t="s">
        <v>1047</v>
      </c>
      <c r="F162" s="9" t="s">
        <v>1004</v>
      </c>
      <c r="G162" s="10">
        <v>2024</v>
      </c>
      <c r="H162" s="10">
        <v>44</v>
      </c>
      <c r="I162" s="10">
        <f t="shared" si="4"/>
        <v>157</v>
      </c>
      <c r="J162" s="10" t="str">
        <f>Tableau2[[#This Row],[Annee d''inscription au programme]]&amp;"-"&amp;Tableau2[[#This Row],[Code d''ecole]]&amp;"-"&amp;Tableau2[[#This Row],[Numero HM de la femme]]</f>
        <v>2024-44-157</v>
      </c>
      <c r="K162" s="10">
        <f t="shared" si="5"/>
        <v>157</v>
      </c>
      <c r="L162" s="42">
        <v>0</v>
      </c>
      <c r="M162" s="52">
        <v>2.85</v>
      </c>
      <c r="N162" s="63">
        <f>SUM(Tableau2[[#This Row],[Mathématique/20]]+Tableau2[[#This Row],[Français /20]])/2</f>
        <v>1.425</v>
      </c>
      <c r="O162" s="42">
        <v>10</v>
      </c>
      <c r="P162" s="52">
        <v>13</v>
      </c>
      <c r="Q162" s="63">
        <f>(Tableau2[[#This Row],[Mathématique /20]]+Tableau2[[#This Row],[Français /202]])/2</f>
        <v>11.5</v>
      </c>
      <c r="S162"/>
      <c r="T162"/>
      <c r="U162"/>
      <c r="V162"/>
    </row>
    <row r="163" spans="1:22" ht="16" x14ac:dyDescent="0.2">
      <c r="A163" s="10" t="s">
        <v>237</v>
      </c>
      <c r="B163" s="10" t="s">
        <v>238</v>
      </c>
      <c r="C163" s="10" t="s">
        <v>269</v>
      </c>
      <c r="D163" s="10" t="s">
        <v>270</v>
      </c>
      <c r="E163" s="10" t="s">
        <v>1046</v>
      </c>
      <c r="F163" s="9" t="s">
        <v>1004</v>
      </c>
      <c r="G163" s="10">
        <v>2024</v>
      </c>
      <c r="H163" s="10">
        <v>44</v>
      </c>
      <c r="I163" s="10">
        <f t="shared" si="4"/>
        <v>158</v>
      </c>
      <c r="J163" s="10" t="str">
        <f>Tableau2[[#This Row],[Annee d''inscription au programme]]&amp;"-"&amp;Tableau2[[#This Row],[Code d''ecole]]&amp;"-"&amp;Tableau2[[#This Row],[Numero HM de la femme]]</f>
        <v>2024-44-158</v>
      </c>
      <c r="K163" s="10">
        <f t="shared" si="5"/>
        <v>158</v>
      </c>
      <c r="L163" s="42">
        <v>0</v>
      </c>
      <c r="M163" s="52">
        <v>0.2</v>
      </c>
      <c r="N163" s="63">
        <f>SUM(Tableau2[[#This Row],[Mathématique/20]]+Tableau2[[#This Row],[Français /20]])/2</f>
        <v>0.1</v>
      </c>
      <c r="O163" s="42">
        <v>10</v>
      </c>
      <c r="P163" s="52">
        <v>11</v>
      </c>
      <c r="Q163" s="63">
        <f>(Tableau2[[#This Row],[Mathématique /20]]+Tableau2[[#This Row],[Français /202]])/2</f>
        <v>10.5</v>
      </c>
      <c r="S163"/>
      <c r="T163"/>
      <c r="U163"/>
      <c r="V163"/>
    </row>
    <row r="164" spans="1:22" ht="16" x14ac:dyDescent="0.2">
      <c r="A164" s="10" t="s">
        <v>237</v>
      </c>
      <c r="B164" s="10" t="s">
        <v>238</v>
      </c>
      <c r="C164" s="10" t="s">
        <v>271</v>
      </c>
      <c r="D164" s="10" t="s">
        <v>272</v>
      </c>
      <c r="E164" s="10" t="s">
        <v>1046</v>
      </c>
      <c r="F164" s="9" t="s">
        <v>1004</v>
      </c>
      <c r="G164" s="10">
        <v>2024</v>
      </c>
      <c r="H164" s="10">
        <v>44</v>
      </c>
      <c r="I164" s="10">
        <f t="shared" si="4"/>
        <v>159</v>
      </c>
      <c r="J164" s="10" t="str">
        <f>Tableau2[[#This Row],[Annee d''inscription au programme]]&amp;"-"&amp;Tableau2[[#This Row],[Code d''ecole]]&amp;"-"&amp;Tableau2[[#This Row],[Numero HM de la femme]]</f>
        <v>2024-44-159</v>
      </c>
      <c r="K164" s="10">
        <f t="shared" si="5"/>
        <v>159</v>
      </c>
      <c r="L164" s="42">
        <v>0</v>
      </c>
      <c r="M164" s="52">
        <v>2.4500000000000002</v>
      </c>
      <c r="N164" s="63">
        <f>SUM(Tableau2[[#This Row],[Mathématique/20]]+Tableau2[[#This Row],[Français /20]])/2</f>
        <v>1.2250000000000001</v>
      </c>
      <c r="O164" s="42">
        <v>10</v>
      </c>
      <c r="P164" s="52">
        <v>18</v>
      </c>
      <c r="Q164" s="63">
        <f>(Tableau2[[#This Row],[Mathématique /20]]+Tableau2[[#This Row],[Français /202]])/2</f>
        <v>14</v>
      </c>
      <c r="S164"/>
      <c r="T164"/>
      <c r="U164"/>
      <c r="V164"/>
    </row>
    <row r="165" spans="1:22" ht="16" x14ac:dyDescent="0.2">
      <c r="A165" s="10" t="s">
        <v>237</v>
      </c>
      <c r="B165" s="10" t="s">
        <v>238</v>
      </c>
      <c r="C165" s="10" t="s">
        <v>136</v>
      </c>
      <c r="D165" s="10" t="s">
        <v>273</v>
      </c>
      <c r="E165" s="10" t="s">
        <v>1046</v>
      </c>
      <c r="F165" s="9" t="s">
        <v>1004</v>
      </c>
      <c r="G165" s="10">
        <v>2024</v>
      </c>
      <c r="H165" s="10">
        <v>44</v>
      </c>
      <c r="I165" s="10">
        <f t="shared" si="4"/>
        <v>160</v>
      </c>
      <c r="J165" s="10" t="str">
        <f>Tableau2[[#This Row],[Annee d''inscription au programme]]&amp;"-"&amp;Tableau2[[#This Row],[Code d''ecole]]&amp;"-"&amp;Tableau2[[#This Row],[Numero HM de la femme]]</f>
        <v>2024-44-160</v>
      </c>
      <c r="K165" s="10">
        <f t="shared" si="5"/>
        <v>160</v>
      </c>
      <c r="L165" s="42">
        <v>4</v>
      </c>
      <c r="M165" s="52">
        <v>4.7</v>
      </c>
      <c r="N165" s="63">
        <f>SUM(Tableau2[[#This Row],[Mathématique/20]]+Tableau2[[#This Row],[Français /20]])/2</f>
        <v>4.3499999999999996</v>
      </c>
      <c r="O165" s="42">
        <v>12</v>
      </c>
      <c r="P165" s="52">
        <v>20</v>
      </c>
      <c r="Q165" s="63">
        <f>(Tableau2[[#This Row],[Mathématique /20]]+Tableau2[[#This Row],[Français /202]])/2</f>
        <v>16</v>
      </c>
      <c r="S165"/>
      <c r="T165"/>
      <c r="U165"/>
      <c r="V165"/>
    </row>
    <row r="166" spans="1:22" ht="16" x14ac:dyDescent="0.2">
      <c r="A166" s="10" t="s">
        <v>237</v>
      </c>
      <c r="B166" s="10" t="s">
        <v>238</v>
      </c>
      <c r="C166" s="10" t="s">
        <v>274</v>
      </c>
      <c r="D166" s="10" t="s">
        <v>275</v>
      </c>
      <c r="E166" s="10" t="s">
        <v>1046</v>
      </c>
      <c r="F166" s="9" t="s">
        <v>1004</v>
      </c>
      <c r="G166" s="10">
        <v>2024</v>
      </c>
      <c r="H166" s="10">
        <v>44</v>
      </c>
      <c r="I166" s="10">
        <f t="shared" si="4"/>
        <v>161</v>
      </c>
      <c r="J166" s="10" t="str">
        <f>Tableau2[[#This Row],[Annee d''inscription au programme]]&amp;"-"&amp;Tableau2[[#This Row],[Code d''ecole]]&amp;"-"&amp;Tableau2[[#This Row],[Numero HM de la femme]]</f>
        <v>2024-44-161</v>
      </c>
      <c r="K166" s="10">
        <f t="shared" si="5"/>
        <v>161</v>
      </c>
      <c r="L166" s="42">
        <v>3</v>
      </c>
      <c r="M166" s="52">
        <v>1.5</v>
      </c>
      <c r="N166" s="63">
        <f>SUM(Tableau2[[#This Row],[Mathématique/20]]+Tableau2[[#This Row],[Français /20]])/2</f>
        <v>2.25</v>
      </c>
      <c r="O166" s="42">
        <v>10</v>
      </c>
      <c r="P166" s="52">
        <v>13</v>
      </c>
      <c r="Q166" s="63">
        <f>(Tableau2[[#This Row],[Mathématique /20]]+Tableau2[[#This Row],[Français /202]])/2</f>
        <v>11.5</v>
      </c>
      <c r="S166"/>
      <c r="T166"/>
      <c r="U166"/>
      <c r="V166"/>
    </row>
    <row r="167" spans="1:22" ht="16" x14ac:dyDescent="0.2">
      <c r="A167" s="10" t="s">
        <v>237</v>
      </c>
      <c r="B167" s="10" t="s">
        <v>238</v>
      </c>
      <c r="C167" s="10" t="s">
        <v>277</v>
      </c>
      <c r="D167" s="10" t="s">
        <v>276</v>
      </c>
      <c r="E167" s="10" t="s">
        <v>1047</v>
      </c>
      <c r="F167" s="9" t="s">
        <v>1004</v>
      </c>
      <c r="G167" s="10">
        <v>2024</v>
      </c>
      <c r="H167" s="10">
        <v>44</v>
      </c>
      <c r="I167" s="10">
        <f t="shared" si="4"/>
        <v>162</v>
      </c>
      <c r="J167" s="10" t="str">
        <f>Tableau2[[#This Row],[Annee d''inscription au programme]]&amp;"-"&amp;Tableau2[[#This Row],[Code d''ecole]]&amp;"-"&amp;Tableau2[[#This Row],[Numero HM de la femme]]</f>
        <v>2024-44-162</v>
      </c>
      <c r="K167" s="10">
        <f t="shared" si="5"/>
        <v>162</v>
      </c>
      <c r="L167" s="42">
        <v>0</v>
      </c>
      <c r="M167" s="52">
        <v>4.2</v>
      </c>
      <c r="N167" s="63">
        <f>SUM(Tableau2[[#This Row],[Mathématique/20]]+Tableau2[[#This Row],[Français /20]])/2</f>
        <v>2.1</v>
      </c>
      <c r="O167" s="42">
        <v>12</v>
      </c>
      <c r="P167" s="52">
        <v>12</v>
      </c>
      <c r="Q167" s="63">
        <f>(Tableau2[[#This Row],[Mathématique /20]]+Tableau2[[#This Row],[Français /202]])/2</f>
        <v>12</v>
      </c>
      <c r="S167"/>
      <c r="T167"/>
      <c r="U167"/>
      <c r="V167"/>
    </row>
    <row r="168" spans="1:22" ht="16" x14ac:dyDescent="0.2">
      <c r="A168" s="10" t="s">
        <v>237</v>
      </c>
      <c r="B168" s="10" t="s">
        <v>238</v>
      </c>
      <c r="C168" s="10" t="s">
        <v>278</v>
      </c>
      <c r="D168" s="10" t="s">
        <v>279</v>
      </c>
      <c r="E168" s="10" t="s">
        <v>1047</v>
      </c>
      <c r="F168" s="9" t="s">
        <v>1004</v>
      </c>
      <c r="G168" s="10">
        <v>2024</v>
      </c>
      <c r="H168" s="10">
        <v>44</v>
      </c>
      <c r="I168" s="10">
        <f t="shared" si="4"/>
        <v>163</v>
      </c>
      <c r="J168" s="10" t="str">
        <f>Tableau2[[#This Row],[Annee d''inscription au programme]]&amp;"-"&amp;Tableau2[[#This Row],[Code d''ecole]]&amp;"-"&amp;Tableau2[[#This Row],[Numero HM de la femme]]</f>
        <v>2024-44-163</v>
      </c>
      <c r="K168" s="10">
        <f t="shared" si="5"/>
        <v>163</v>
      </c>
      <c r="L168" s="42">
        <v>0</v>
      </c>
      <c r="M168" s="52">
        <v>5.25</v>
      </c>
      <c r="N168" s="63">
        <f>SUM(Tableau2[[#This Row],[Mathématique/20]]+Tableau2[[#This Row],[Français /20]])/2</f>
        <v>2.625</v>
      </c>
      <c r="O168" s="42">
        <v>10</v>
      </c>
      <c r="P168" s="52">
        <v>11</v>
      </c>
      <c r="Q168" s="63">
        <f>(Tableau2[[#This Row],[Mathématique /20]]+Tableau2[[#This Row],[Français /202]])/2</f>
        <v>10.5</v>
      </c>
      <c r="S168"/>
      <c r="T168"/>
      <c r="U168"/>
      <c r="V168"/>
    </row>
    <row r="169" spans="1:22" ht="16" x14ac:dyDescent="0.2">
      <c r="A169" s="10" t="s">
        <v>237</v>
      </c>
      <c r="B169" s="10" t="s">
        <v>238</v>
      </c>
      <c r="C169" s="10" t="s">
        <v>281</v>
      </c>
      <c r="D169" s="10" t="s">
        <v>280</v>
      </c>
      <c r="E169" s="10" t="s">
        <v>1047</v>
      </c>
      <c r="F169" s="9" t="s">
        <v>1004</v>
      </c>
      <c r="G169" s="10">
        <v>2024</v>
      </c>
      <c r="H169" s="10">
        <v>44</v>
      </c>
      <c r="I169" s="10">
        <f t="shared" si="4"/>
        <v>164</v>
      </c>
      <c r="J169" s="10" t="str">
        <f>Tableau2[[#This Row],[Annee d''inscription au programme]]&amp;"-"&amp;Tableau2[[#This Row],[Code d''ecole]]&amp;"-"&amp;Tableau2[[#This Row],[Numero HM de la femme]]</f>
        <v>2024-44-164</v>
      </c>
      <c r="K169" s="10">
        <f t="shared" si="5"/>
        <v>164</v>
      </c>
      <c r="L169" s="42">
        <v>3</v>
      </c>
      <c r="M169" s="52">
        <v>4</v>
      </c>
      <c r="N169" s="63">
        <f>SUM(Tableau2[[#This Row],[Mathématique/20]]+Tableau2[[#This Row],[Français /20]])/2</f>
        <v>3.5</v>
      </c>
      <c r="O169" s="42">
        <v>12</v>
      </c>
      <c r="P169" s="52">
        <v>17</v>
      </c>
      <c r="Q169" s="63">
        <f>(Tableau2[[#This Row],[Mathématique /20]]+Tableau2[[#This Row],[Français /202]])/2</f>
        <v>14.5</v>
      </c>
      <c r="S169"/>
      <c r="T169"/>
      <c r="U169"/>
      <c r="V169"/>
    </row>
    <row r="170" spans="1:22" ht="16" x14ac:dyDescent="0.2">
      <c r="A170" s="10" t="s">
        <v>237</v>
      </c>
      <c r="B170" s="10" t="s">
        <v>238</v>
      </c>
      <c r="C170" s="10" t="s">
        <v>282</v>
      </c>
      <c r="D170" s="10" t="s">
        <v>283</v>
      </c>
      <c r="E170" s="10" t="s">
        <v>1047</v>
      </c>
      <c r="F170" s="9" t="s">
        <v>1004</v>
      </c>
      <c r="G170" s="10">
        <v>2024</v>
      </c>
      <c r="H170" s="10">
        <v>44</v>
      </c>
      <c r="I170" s="10">
        <f t="shared" si="4"/>
        <v>165</v>
      </c>
      <c r="J170" s="10" t="str">
        <f>Tableau2[[#This Row],[Annee d''inscription au programme]]&amp;"-"&amp;Tableau2[[#This Row],[Code d''ecole]]&amp;"-"&amp;Tableau2[[#This Row],[Numero HM de la femme]]</f>
        <v>2024-44-165</v>
      </c>
      <c r="K170" s="10">
        <f t="shared" si="5"/>
        <v>165</v>
      </c>
      <c r="L170" s="42">
        <v>0</v>
      </c>
      <c r="M170" s="52">
        <v>1.6</v>
      </c>
      <c r="N170" s="63">
        <f>SUM(Tableau2[[#This Row],[Mathématique/20]]+Tableau2[[#This Row],[Français /20]])/2</f>
        <v>0.8</v>
      </c>
      <c r="O170" s="42">
        <v>10</v>
      </c>
      <c r="P170" s="52">
        <v>11</v>
      </c>
      <c r="Q170" s="63">
        <f>(Tableau2[[#This Row],[Mathématique /20]]+Tableau2[[#This Row],[Français /202]])/2</f>
        <v>10.5</v>
      </c>
      <c r="S170"/>
      <c r="T170"/>
      <c r="U170"/>
      <c r="V170"/>
    </row>
    <row r="171" spans="1:22" ht="16" x14ac:dyDescent="0.2">
      <c r="A171" s="10" t="s">
        <v>237</v>
      </c>
      <c r="B171" s="10" t="s">
        <v>238</v>
      </c>
      <c r="C171" s="10" t="s">
        <v>285</v>
      </c>
      <c r="D171" s="10" t="s">
        <v>284</v>
      </c>
      <c r="E171" s="10" t="s">
        <v>1046</v>
      </c>
      <c r="F171" s="9" t="s">
        <v>1004</v>
      </c>
      <c r="G171" s="10">
        <v>2024</v>
      </c>
      <c r="H171" s="10">
        <v>44</v>
      </c>
      <c r="I171" s="10">
        <f t="shared" si="4"/>
        <v>166</v>
      </c>
      <c r="J171" s="10" t="str">
        <f>Tableau2[[#This Row],[Annee d''inscription au programme]]&amp;"-"&amp;Tableau2[[#This Row],[Code d''ecole]]&amp;"-"&amp;Tableau2[[#This Row],[Numero HM de la femme]]</f>
        <v>2024-44-166</v>
      </c>
      <c r="K171" s="10">
        <f t="shared" si="5"/>
        <v>166</v>
      </c>
      <c r="L171" s="42">
        <v>0</v>
      </c>
      <c r="M171" s="52">
        <v>3.5</v>
      </c>
      <c r="N171" s="63">
        <f>SUM(Tableau2[[#This Row],[Mathématique/20]]+Tableau2[[#This Row],[Français /20]])/2</f>
        <v>1.75</v>
      </c>
      <c r="O171" s="42">
        <v>8</v>
      </c>
      <c r="P171" s="52">
        <v>14</v>
      </c>
      <c r="Q171" s="63">
        <f>(Tableau2[[#This Row],[Mathématique /20]]+Tableau2[[#This Row],[Français /202]])/2</f>
        <v>11</v>
      </c>
      <c r="S171"/>
      <c r="T171"/>
      <c r="U171"/>
      <c r="V171"/>
    </row>
    <row r="172" spans="1:22" ht="16" x14ac:dyDescent="0.2">
      <c r="A172" s="10" t="s">
        <v>237</v>
      </c>
      <c r="B172" s="10" t="s">
        <v>238</v>
      </c>
      <c r="C172" s="10" t="s">
        <v>286</v>
      </c>
      <c r="D172" s="10" t="s">
        <v>259</v>
      </c>
      <c r="E172" s="10" t="s">
        <v>1046</v>
      </c>
      <c r="F172" s="9" t="s">
        <v>1004</v>
      </c>
      <c r="G172" s="10">
        <v>2024</v>
      </c>
      <c r="H172" s="10">
        <v>44</v>
      </c>
      <c r="I172" s="10">
        <f t="shared" si="4"/>
        <v>167</v>
      </c>
      <c r="J172" s="10" t="str">
        <f>Tableau2[[#This Row],[Annee d''inscription au programme]]&amp;"-"&amp;Tableau2[[#This Row],[Code d''ecole]]&amp;"-"&amp;Tableau2[[#This Row],[Numero HM de la femme]]</f>
        <v>2024-44-167</v>
      </c>
      <c r="K172" s="10">
        <f t="shared" si="5"/>
        <v>167</v>
      </c>
      <c r="L172" s="42">
        <v>0</v>
      </c>
      <c r="M172" s="52">
        <v>4.5</v>
      </c>
      <c r="N172" s="63">
        <f>SUM(Tableau2[[#This Row],[Mathématique/20]]+Tableau2[[#This Row],[Français /20]])/2</f>
        <v>2.25</v>
      </c>
      <c r="O172" s="42">
        <v>10</v>
      </c>
      <c r="P172" s="52">
        <v>11</v>
      </c>
      <c r="Q172" s="63">
        <f>(Tableau2[[#This Row],[Mathématique /20]]+Tableau2[[#This Row],[Français /202]])/2</f>
        <v>10.5</v>
      </c>
      <c r="S172"/>
      <c r="T172"/>
      <c r="U172"/>
      <c r="V172"/>
    </row>
    <row r="173" spans="1:22" ht="16" x14ac:dyDescent="0.2">
      <c r="A173" s="10" t="s">
        <v>237</v>
      </c>
      <c r="B173" s="10" t="s">
        <v>238</v>
      </c>
      <c r="C173" s="10" t="s">
        <v>288</v>
      </c>
      <c r="D173" s="10" t="s">
        <v>287</v>
      </c>
      <c r="E173" s="10" t="s">
        <v>1046</v>
      </c>
      <c r="F173" s="9" t="s">
        <v>1004</v>
      </c>
      <c r="G173" s="10">
        <v>2024</v>
      </c>
      <c r="H173" s="10">
        <v>44</v>
      </c>
      <c r="I173" s="10">
        <f t="shared" si="4"/>
        <v>168</v>
      </c>
      <c r="J173" s="10" t="str">
        <f>Tableau2[[#This Row],[Annee d''inscription au programme]]&amp;"-"&amp;Tableau2[[#This Row],[Code d''ecole]]&amp;"-"&amp;Tableau2[[#This Row],[Numero HM de la femme]]</f>
        <v>2024-44-168</v>
      </c>
      <c r="K173" s="10">
        <f t="shared" si="5"/>
        <v>168</v>
      </c>
      <c r="L173" s="42">
        <v>1.5</v>
      </c>
      <c r="M173" s="52">
        <v>4.5</v>
      </c>
      <c r="N173" s="63">
        <f>SUM(Tableau2[[#This Row],[Mathématique/20]]+Tableau2[[#This Row],[Français /20]])/2</f>
        <v>3</v>
      </c>
      <c r="O173" s="42">
        <v>12</v>
      </c>
      <c r="P173" s="52">
        <v>17</v>
      </c>
      <c r="Q173" s="63">
        <f>(Tableau2[[#This Row],[Mathématique /20]]+Tableau2[[#This Row],[Français /202]])/2</f>
        <v>14.5</v>
      </c>
      <c r="S173"/>
      <c r="T173"/>
      <c r="U173"/>
      <c r="V173"/>
    </row>
    <row r="174" spans="1:22" ht="16" x14ac:dyDescent="0.2">
      <c r="A174" s="10" t="s">
        <v>237</v>
      </c>
      <c r="B174" s="10" t="s">
        <v>238</v>
      </c>
      <c r="C174" s="10" t="s">
        <v>289</v>
      </c>
      <c r="D174" s="10" t="s">
        <v>290</v>
      </c>
      <c r="E174" s="10" t="s">
        <v>1047</v>
      </c>
      <c r="F174" s="9" t="s">
        <v>1004</v>
      </c>
      <c r="G174" s="10">
        <v>2024</v>
      </c>
      <c r="H174" s="10">
        <v>44</v>
      </c>
      <c r="I174" s="10">
        <f t="shared" si="4"/>
        <v>169</v>
      </c>
      <c r="J174" s="10" t="str">
        <f>Tableau2[[#This Row],[Annee d''inscription au programme]]&amp;"-"&amp;Tableau2[[#This Row],[Code d''ecole]]&amp;"-"&amp;Tableau2[[#This Row],[Numero HM de la femme]]</f>
        <v>2024-44-169</v>
      </c>
      <c r="K174" s="10">
        <f t="shared" si="5"/>
        <v>169</v>
      </c>
      <c r="L174" s="42">
        <v>0</v>
      </c>
      <c r="M174" s="52"/>
      <c r="N174" s="63">
        <f>SUM(Tableau2[[#This Row],[Mathématique/20]]+Tableau2[[#This Row],[Français /20]])/2</f>
        <v>0</v>
      </c>
      <c r="O174" s="42">
        <v>10</v>
      </c>
      <c r="P174" s="52">
        <v>19</v>
      </c>
      <c r="Q174" s="63">
        <f>(Tableau2[[#This Row],[Mathématique /20]]+Tableau2[[#This Row],[Français /202]])/2</f>
        <v>14.5</v>
      </c>
      <c r="S174"/>
      <c r="T174"/>
      <c r="U174"/>
      <c r="V174"/>
    </row>
    <row r="175" spans="1:22" ht="16" x14ac:dyDescent="0.2">
      <c r="A175" s="10" t="s">
        <v>237</v>
      </c>
      <c r="B175" s="10" t="s">
        <v>238</v>
      </c>
      <c r="C175" s="10" t="s">
        <v>292</v>
      </c>
      <c r="D175" s="10" t="s">
        <v>291</v>
      </c>
      <c r="E175" s="10" t="s">
        <v>1047</v>
      </c>
      <c r="F175" s="9" t="s">
        <v>1004</v>
      </c>
      <c r="G175" s="10">
        <v>2024</v>
      </c>
      <c r="H175" s="10">
        <v>44</v>
      </c>
      <c r="I175" s="10">
        <f t="shared" si="4"/>
        <v>170</v>
      </c>
      <c r="J175" s="10" t="str">
        <f>Tableau2[[#This Row],[Annee d''inscription au programme]]&amp;"-"&amp;Tableau2[[#This Row],[Code d''ecole]]&amp;"-"&amp;Tableau2[[#This Row],[Numero HM de la femme]]</f>
        <v>2024-44-170</v>
      </c>
      <c r="K175" s="10">
        <f t="shared" si="5"/>
        <v>170</v>
      </c>
      <c r="L175" s="42">
        <v>0</v>
      </c>
      <c r="M175" s="52">
        <v>0.6</v>
      </c>
      <c r="N175" s="63">
        <f>SUM(Tableau2[[#This Row],[Mathématique/20]]+Tableau2[[#This Row],[Français /20]])/2</f>
        <v>0.3</v>
      </c>
      <c r="O175" s="42">
        <v>10</v>
      </c>
      <c r="P175" s="52">
        <v>17</v>
      </c>
      <c r="Q175" s="63">
        <f>(Tableau2[[#This Row],[Mathématique /20]]+Tableau2[[#This Row],[Français /202]])/2</f>
        <v>13.5</v>
      </c>
      <c r="S175"/>
      <c r="T175"/>
      <c r="U175"/>
      <c r="V175"/>
    </row>
    <row r="176" spans="1:22" ht="16" x14ac:dyDescent="0.2">
      <c r="A176" s="10" t="s">
        <v>237</v>
      </c>
      <c r="B176" s="10" t="s">
        <v>238</v>
      </c>
      <c r="C176" s="10" t="s">
        <v>293</v>
      </c>
      <c r="D176" s="10" t="s">
        <v>294</v>
      </c>
      <c r="E176" s="10" t="s">
        <v>1046</v>
      </c>
      <c r="F176" s="9" t="s">
        <v>1004</v>
      </c>
      <c r="G176" s="10">
        <v>2024</v>
      </c>
      <c r="H176" s="10">
        <v>44</v>
      </c>
      <c r="I176" s="10">
        <f t="shared" si="4"/>
        <v>171</v>
      </c>
      <c r="J176" s="10" t="str">
        <f>Tableau2[[#This Row],[Annee d''inscription au programme]]&amp;"-"&amp;Tableau2[[#This Row],[Code d''ecole]]&amp;"-"&amp;Tableau2[[#This Row],[Numero HM de la femme]]</f>
        <v>2024-44-171</v>
      </c>
      <c r="K176" s="10">
        <f t="shared" si="5"/>
        <v>171</v>
      </c>
      <c r="L176" s="42">
        <v>0</v>
      </c>
      <c r="M176" s="52">
        <v>2.5</v>
      </c>
      <c r="N176" s="63">
        <f>SUM(Tableau2[[#This Row],[Mathématique/20]]+Tableau2[[#This Row],[Français /20]])/2</f>
        <v>1.25</v>
      </c>
      <c r="O176" s="42">
        <v>10</v>
      </c>
      <c r="P176" s="52">
        <v>14</v>
      </c>
      <c r="Q176" s="63">
        <f>(Tableau2[[#This Row],[Mathématique /20]]+Tableau2[[#This Row],[Français /202]])/2</f>
        <v>12</v>
      </c>
      <c r="S176"/>
      <c r="T176"/>
      <c r="U176"/>
      <c r="V176"/>
    </row>
    <row r="177" spans="1:22" ht="16" x14ac:dyDescent="0.2">
      <c r="A177" s="10" t="s">
        <v>237</v>
      </c>
      <c r="B177" s="10" t="s">
        <v>238</v>
      </c>
      <c r="C177" s="10" t="s">
        <v>295</v>
      </c>
      <c r="D177" s="10" t="s">
        <v>296</v>
      </c>
      <c r="E177" s="10" t="s">
        <v>1046</v>
      </c>
      <c r="F177" s="9" t="s">
        <v>1004</v>
      </c>
      <c r="G177" s="10">
        <v>2024</v>
      </c>
      <c r="H177" s="10">
        <v>44</v>
      </c>
      <c r="I177" s="10">
        <f t="shared" si="4"/>
        <v>172</v>
      </c>
      <c r="J177" s="10" t="str">
        <f>Tableau2[[#This Row],[Annee d''inscription au programme]]&amp;"-"&amp;Tableau2[[#This Row],[Code d''ecole]]&amp;"-"&amp;Tableau2[[#This Row],[Numero HM de la femme]]</f>
        <v>2024-44-172</v>
      </c>
      <c r="K177" s="10">
        <f t="shared" si="5"/>
        <v>172</v>
      </c>
      <c r="L177" s="42">
        <v>4.5</v>
      </c>
      <c r="M177" s="52">
        <v>5</v>
      </c>
      <c r="N177" s="63">
        <f>SUM(Tableau2[[#This Row],[Mathématique/20]]+Tableau2[[#This Row],[Français /20]])/2</f>
        <v>4.75</v>
      </c>
      <c r="O177" s="42">
        <v>15</v>
      </c>
      <c r="P177" s="52">
        <v>13</v>
      </c>
      <c r="Q177" s="63">
        <f>(Tableau2[[#This Row],[Mathématique /20]]+Tableau2[[#This Row],[Français /202]])/2</f>
        <v>14</v>
      </c>
      <c r="S177"/>
      <c r="T177"/>
      <c r="U177"/>
      <c r="V177"/>
    </row>
    <row r="178" spans="1:22" ht="16" x14ac:dyDescent="0.2">
      <c r="A178" s="10" t="s">
        <v>299</v>
      </c>
      <c r="B178" s="10" t="s">
        <v>300</v>
      </c>
      <c r="C178" s="10" t="s">
        <v>301</v>
      </c>
      <c r="D178" s="10" t="s">
        <v>302</v>
      </c>
      <c r="E178" s="10" t="s">
        <v>1058</v>
      </c>
      <c r="F178" s="9" t="s">
        <v>1005</v>
      </c>
      <c r="G178" s="10">
        <v>2024</v>
      </c>
      <c r="H178" s="10">
        <v>56</v>
      </c>
      <c r="I178" s="10">
        <f t="shared" si="4"/>
        <v>173</v>
      </c>
      <c r="J178" s="10" t="str">
        <f>Tableau2[[#This Row],[Annee d''inscription au programme]]&amp;"-"&amp;Tableau2[[#This Row],[Code d''ecole]]&amp;"-"&amp;Tableau2[[#This Row],[Numero HM de la femme]]</f>
        <v>2024-56-173</v>
      </c>
      <c r="K178" s="10">
        <f t="shared" si="5"/>
        <v>173</v>
      </c>
      <c r="L178" s="42">
        <v>6</v>
      </c>
      <c r="M178" s="52">
        <v>3.5</v>
      </c>
      <c r="N178" s="63">
        <f>SUM(Tableau2[[#This Row],[Mathématique/20]]+Tableau2[[#This Row],[Français /20]])/2</f>
        <v>4.75</v>
      </c>
      <c r="O178" s="42">
        <v>12</v>
      </c>
      <c r="P178" s="52">
        <v>18</v>
      </c>
      <c r="Q178" s="63">
        <f>(Tableau2[[#This Row],[Mathématique /20]]+Tableau2[[#This Row],[Français /202]])/2</f>
        <v>15</v>
      </c>
      <c r="S178"/>
      <c r="T178"/>
      <c r="U178"/>
      <c r="V178"/>
    </row>
    <row r="179" spans="1:22" ht="16" x14ac:dyDescent="0.2">
      <c r="A179" s="10" t="s">
        <v>299</v>
      </c>
      <c r="B179" s="10" t="s">
        <v>300</v>
      </c>
      <c r="C179" s="10" t="s">
        <v>304</v>
      </c>
      <c r="D179" s="10" t="s">
        <v>303</v>
      </c>
      <c r="E179" s="10" t="s">
        <v>1058</v>
      </c>
      <c r="F179" s="9" t="s">
        <v>1005</v>
      </c>
      <c r="G179" s="10">
        <v>2024</v>
      </c>
      <c r="H179" s="10">
        <v>56</v>
      </c>
      <c r="I179" s="10">
        <f t="shared" si="4"/>
        <v>174</v>
      </c>
      <c r="J179" s="10" t="str">
        <f>Tableau2[[#This Row],[Annee d''inscription au programme]]&amp;"-"&amp;Tableau2[[#This Row],[Code d''ecole]]&amp;"-"&amp;Tableau2[[#This Row],[Numero HM de la femme]]</f>
        <v>2024-56-174</v>
      </c>
      <c r="K179" s="10">
        <f t="shared" si="5"/>
        <v>174</v>
      </c>
      <c r="L179" s="42">
        <v>5</v>
      </c>
      <c r="M179" s="52">
        <v>3</v>
      </c>
      <c r="N179" s="63">
        <f>SUM(Tableau2[[#This Row],[Mathématique/20]]+Tableau2[[#This Row],[Français /20]])/2</f>
        <v>4</v>
      </c>
      <c r="O179" s="42">
        <v>13.5</v>
      </c>
      <c r="P179" s="52">
        <v>20</v>
      </c>
      <c r="Q179" s="63">
        <f>(Tableau2[[#This Row],[Mathématique /20]]+Tableau2[[#This Row],[Français /202]])/2</f>
        <v>16.75</v>
      </c>
      <c r="S179"/>
      <c r="T179"/>
      <c r="U179"/>
      <c r="V179"/>
    </row>
    <row r="180" spans="1:22" ht="16" x14ac:dyDescent="0.2">
      <c r="A180" s="10" t="s">
        <v>299</v>
      </c>
      <c r="B180" s="10" t="s">
        <v>300</v>
      </c>
      <c r="C180" s="10" t="s">
        <v>305</v>
      </c>
      <c r="D180" s="10" t="s">
        <v>23</v>
      </c>
      <c r="E180" s="10" t="s">
        <v>1058</v>
      </c>
      <c r="F180" s="9" t="s">
        <v>1005</v>
      </c>
      <c r="G180" s="10">
        <v>2024</v>
      </c>
      <c r="H180" s="10">
        <v>56</v>
      </c>
      <c r="I180" s="10">
        <f t="shared" si="4"/>
        <v>175</v>
      </c>
      <c r="J180" s="10" t="str">
        <f>Tableau2[[#This Row],[Annee d''inscription au programme]]&amp;"-"&amp;Tableau2[[#This Row],[Code d''ecole]]&amp;"-"&amp;Tableau2[[#This Row],[Numero HM de la femme]]</f>
        <v>2024-56-175</v>
      </c>
      <c r="K180" s="10">
        <f t="shared" si="5"/>
        <v>175</v>
      </c>
      <c r="L180" s="42">
        <v>4.5</v>
      </c>
      <c r="M180" s="52">
        <v>0</v>
      </c>
      <c r="N180" s="63">
        <f>SUM(Tableau2[[#This Row],[Mathématique/20]]+Tableau2[[#This Row],[Français /20]])/2</f>
        <v>2.25</v>
      </c>
      <c r="O180" s="42">
        <v>10</v>
      </c>
      <c r="P180" s="52">
        <v>12.5</v>
      </c>
      <c r="Q180" s="63">
        <f>(Tableau2[[#This Row],[Mathématique /20]]+Tableau2[[#This Row],[Français /202]])/2</f>
        <v>11.25</v>
      </c>
      <c r="S180"/>
      <c r="T180"/>
      <c r="U180"/>
      <c r="V180"/>
    </row>
    <row r="181" spans="1:22" ht="16" x14ac:dyDescent="0.2">
      <c r="A181" s="10" t="s">
        <v>299</v>
      </c>
      <c r="B181" s="10" t="s">
        <v>300</v>
      </c>
      <c r="C181" s="10" t="s">
        <v>307</v>
      </c>
      <c r="D181" s="10" t="s">
        <v>306</v>
      </c>
      <c r="E181" s="10" t="s">
        <v>1058</v>
      </c>
      <c r="F181" s="9" t="s">
        <v>1005</v>
      </c>
      <c r="G181" s="10">
        <v>2024</v>
      </c>
      <c r="H181" s="10">
        <v>56</v>
      </c>
      <c r="I181" s="10">
        <f t="shared" si="4"/>
        <v>176</v>
      </c>
      <c r="J181" s="10" t="str">
        <f>Tableau2[[#This Row],[Annee d''inscription au programme]]&amp;"-"&amp;Tableau2[[#This Row],[Code d''ecole]]&amp;"-"&amp;Tableau2[[#This Row],[Numero HM de la femme]]</f>
        <v>2024-56-176</v>
      </c>
      <c r="K181" s="10">
        <f t="shared" si="5"/>
        <v>176</v>
      </c>
      <c r="L181" s="42">
        <v>7</v>
      </c>
      <c r="M181" s="52">
        <v>2.5</v>
      </c>
      <c r="N181" s="63">
        <f>SUM(Tableau2[[#This Row],[Mathématique/20]]+Tableau2[[#This Row],[Français /20]])/2</f>
        <v>4.75</v>
      </c>
      <c r="O181" s="42">
        <v>15</v>
      </c>
      <c r="P181" s="52">
        <v>19</v>
      </c>
      <c r="Q181" s="63">
        <f>(Tableau2[[#This Row],[Mathématique /20]]+Tableau2[[#This Row],[Français /202]])/2</f>
        <v>17</v>
      </c>
      <c r="S181"/>
      <c r="T181"/>
      <c r="U181"/>
      <c r="V181"/>
    </row>
    <row r="182" spans="1:22" ht="16" x14ac:dyDescent="0.2">
      <c r="A182" s="10" t="s">
        <v>299</v>
      </c>
      <c r="B182" s="10" t="s">
        <v>300</v>
      </c>
      <c r="C182" s="10" t="s">
        <v>308</v>
      </c>
      <c r="D182" s="10" t="s">
        <v>309</v>
      </c>
      <c r="E182" s="10" t="s">
        <v>1058</v>
      </c>
      <c r="F182" s="9" t="s">
        <v>1005</v>
      </c>
      <c r="G182" s="10">
        <v>2024</v>
      </c>
      <c r="H182" s="10">
        <v>56</v>
      </c>
      <c r="I182" s="10">
        <f t="shared" si="4"/>
        <v>177</v>
      </c>
      <c r="J182" s="10" t="str">
        <f>Tableau2[[#This Row],[Annee d''inscription au programme]]&amp;"-"&amp;Tableau2[[#This Row],[Code d''ecole]]&amp;"-"&amp;Tableau2[[#This Row],[Numero HM de la femme]]</f>
        <v>2024-56-177</v>
      </c>
      <c r="K182" s="10">
        <f t="shared" si="5"/>
        <v>177</v>
      </c>
      <c r="L182" s="42">
        <v>1</v>
      </c>
      <c r="M182" s="52">
        <v>3</v>
      </c>
      <c r="N182" s="63">
        <f>SUM(Tableau2[[#This Row],[Mathématique/20]]+Tableau2[[#This Row],[Français /20]])/2</f>
        <v>2</v>
      </c>
      <c r="O182" s="42">
        <v>11.5</v>
      </c>
      <c r="P182" s="52">
        <v>15.5</v>
      </c>
      <c r="Q182" s="63">
        <f>(Tableau2[[#This Row],[Mathématique /20]]+Tableau2[[#This Row],[Français /202]])/2</f>
        <v>13.5</v>
      </c>
      <c r="S182"/>
      <c r="T182"/>
      <c r="U182"/>
      <c r="V182"/>
    </row>
    <row r="183" spans="1:22" ht="16" x14ac:dyDescent="0.2">
      <c r="A183" s="10" t="s">
        <v>299</v>
      </c>
      <c r="B183" s="10" t="s">
        <v>300</v>
      </c>
      <c r="C183" s="10" t="s">
        <v>311</v>
      </c>
      <c r="D183" s="10" t="s">
        <v>310</v>
      </c>
      <c r="E183" s="10" t="s">
        <v>1058</v>
      </c>
      <c r="F183" s="9" t="s">
        <v>1005</v>
      </c>
      <c r="G183" s="10">
        <v>2024</v>
      </c>
      <c r="H183" s="10">
        <v>56</v>
      </c>
      <c r="I183" s="10">
        <f t="shared" si="4"/>
        <v>178</v>
      </c>
      <c r="J183" s="10" t="str">
        <f>Tableau2[[#This Row],[Annee d''inscription au programme]]&amp;"-"&amp;Tableau2[[#This Row],[Code d''ecole]]&amp;"-"&amp;Tableau2[[#This Row],[Numero HM de la femme]]</f>
        <v>2024-56-178</v>
      </c>
      <c r="K183" s="10">
        <f t="shared" si="5"/>
        <v>178</v>
      </c>
      <c r="L183" s="42">
        <v>4</v>
      </c>
      <c r="M183" s="52">
        <v>3.5</v>
      </c>
      <c r="N183" s="63">
        <f>SUM(Tableau2[[#This Row],[Mathématique/20]]+Tableau2[[#This Row],[Français /20]])/2</f>
        <v>3.75</v>
      </c>
      <c r="O183" s="42">
        <v>11.5</v>
      </c>
      <c r="P183" s="52">
        <v>15.5</v>
      </c>
      <c r="Q183" s="63">
        <f>(Tableau2[[#This Row],[Mathématique /20]]+Tableau2[[#This Row],[Français /202]])/2</f>
        <v>13.5</v>
      </c>
      <c r="S183"/>
      <c r="T183"/>
      <c r="U183"/>
      <c r="V183"/>
    </row>
    <row r="184" spans="1:22" ht="16" x14ac:dyDescent="0.2">
      <c r="A184" s="10" t="s">
        <v>299</v>
      </c>
      <c r="B184" s="10" t="s">
        <v>300</v>
      </c>
      <c r="C184" s="10" t="s">
        <v>312</v>
      </c>
      <c r="D184" s="10" t="s">
        <v>313</v>
      </c>
      <c r="E184" s="10" t="s">
        <v>1058</v>
      </c>
      <c r="F184" s="9" t="s">
        <v>1005</v>
      </c>
      <c r="G184" s="10">
        <v>2024</v>
      </c>
      <c r="H184" s="10">
        <v>56</v>
      </c>
      <c r="I184" s="10">
        <f t="shared" si="4"/>
        <v>179</v>
      </c>
      <c r="J184" s="10" t="str">
        <f>Tableau2[[#This Row],[Annee d''inscription au programme]]&amp;"-"&amp;Tableau2[[#This Row],[Code d''ecole]]&amp;"-"&amp;Tableau2[[#This Row],[Numero HM de la femme]]</f>
        <v>2024-56-179</v>
      </c>
      <c r="K184" s="10">
        <f t="shared" si="5"/>
        <v>179</v>
      </c>
      <c r="L184" s="42">
        <v>5</v>
      </c>
      <c r="M184" s="52">
        <v>3.5</v>
      </c>
      <c r="N184" s="63">
        <f>SUM(Tableau2[[#This Row],[Mathématique/20]]+Tableau2[[#This Row],[Français /20]])/2</f>
        <v>4.25</v>
      </c>
      <c r="O184" s="42">
        <v>10.5</v>
      </c>
      <c r="P184" s="52">
        <v>15</v>
      </c>
      <c r="Q184" s="63">
        <f>(Tableau2[[#This Row],[Mathématique /20]]+Tableau2[[#This Row],[Français /202]])/2</f>
        <v>12.75</v>
      </c>
      <c r="S184"/>
      <c r="T184"/>
      <c r="U184"/>
      <c r="V184"/>
    </row>
    <row r="185" spans="1:22" ht="16" x14ac:dyDescent="0.2">
      <c r="A185" s="10" t="s">
        <v>299</v>
      </c>
      <c r="B185" s="10" t="s">
        <v>300</v>
      </c>
      <c r="C185" s="10" t="s">
        <v>314</v>
      </c>
      <c r="D185" s="10" t="s">
        <v>315</v>
      </c>
      <c r="E185" s="10" t="s">
        <v>1058</v>
      </c>
      <c r="F185" s="9" t="s">
        <v>1005</v>
      </c>
      <c r="G185" s="10">
        <v>2024</v>
      </c>
      <c r="H185" s="10">
        <v>56</v>
      </c>
      <c r="I185" s="10">
        <f t="shared" si="4"/>
        <v>180</v>
      </c>
      <c r="J185" s="10" t="str">
        <f>Tableau2[[#This Row],[Annee d''inscription au programme]]&amp;"-"&amp;Tableau2[[#This Row],[Code d''ecole]]&amp;"-"&amp;Tableau2[[#This Row],[Numero HM de la femme]]</f>
        <v>2024-56-180</v>
      </c>
      <c r="K185" s="10">
        <f t="shared" si="5"/>
        <v>180</v>
      </c>
      <c r="L185" s="42">
        <v>0</v>
      </c>
      <c r="M185" s="52">
        <v>7</v>
      </c>
      <c r="N185" s="63">
        <f>SUM(Tableau2[[#This Row],[Mathématique/20]]+Tableau2[[#This Row],[Français /20]])/2</f>
        <v>3.5</v>
      </c>
      <c r="O185" s="42">
        <v>10</v>
      </c>
      <c r="P185" s="52">
        <v>19</v>
      </c>
      <c r="Q185" s="63">
        <f>(Tableau2[[#This Row],[Mathématique /20]]+Tableau2[[#This Row],[Français /202]])/2</f>
        <v>14.5</v>
      </c>
      <c r="S185"/>
      <c r="T185"/>
      <c r="U185"/>
      <c r="V185"/>
    </row>
    <row r="186" spans="1:22" ht="16" x14ac:dyDescent="0.2">
      <c r="A186" s="10" t="s">
        <v>299</v>
      </c>
      <c r="B186" s="10" t="s">
        <v>300</v>
      </c>
      <c r="C186" s="10" t="s">
        <v>316</v>
      </c>
      <c r="D186" s="10" t="s">
        <v>317</v>
      </c>
      <c r="E186" s="10" t="s">
        <v>1058</v>
      </c>
      <c r="F186" s="9" t="s">
        <v>1005</v>
      </c>
      <c r="G186" s="10">
        <v>2024</v>
      </c>
      <c r="H186" s="10">
        <v>56</v>
      </c>
      <c r="I186" s="10">
        <f t="shared" si="4"/>
        <v>181</v>
      </c>
      <c r="J186" s="10" t="str">
        <f>Tableau2[[#This Row],[Annee d''inscription au programme]]&amp;"-"&amp;Tableau2[[#This Row],[Code d''ecole]]&amp;"-"&amp;Tableau2[[#This Row],[Numero HM de la femme]]</f>
        <v>2024-56-181</v>
      </c>
      <c r="K186" s="10">
        <f t="shared" si="5"/>
        <v>181</v>
      </c>
      <c r="L186" s="42">
        <v>4</v>
      </c>
      <c r="M186" s="52">
        <v>5</v>
      </c>
      <c r="N186" s="63">
        <f>SUM(Tableau2[[#This Row],[Mathématique/20]]+Tableau2[[#This Row],[Français /20]])/2</f>
        <v>4.5</v>
      </c>
      <c r="O186" s="42">
        <v>11.5</v>
      </c>
      <c r="P186" s="52">
        <v>14</v>
      </c>
      <c r="Q186" s="63">
        <f>(Tableau2[[#This Row],[Mathématique /20]]+Tableau2[[#This Row],[Français /202]])/2</f>
        <v>12.75</v>
      </c>
      <c r="S186"/>
      <c r="T186"/>
      <c r="U186"/>
      <c r="V186"/>
    </row>
    <row r="187" spans="1:22" ht="16" x14ac:dyDescent="0.2">
      <c r="A187" s="10" t="s">
        <v>299</v>
      </c>
      <c r="B187" s="10" t="s">
        <v>300</v>
      </c>
      <c r="C187" s="10" t="s">
        <v>318</v>
      </c>
      <c r="D187" s="10" t="s">
        <v>319</v>
      </c>
      <c r="E187" s="10" t="s">
        <v>1058</v>
      </c>
      <c r="F187" s="9" t="s">
        <v>1005</v>
      </c>
      <c r="G187" s="10">
        <v>2024</v>
      </c>
      <c r="H187" s="10">
        <v>56</v>
      </c>
      <c r="I187" s="10">
        <f t="shared" si="4"/>
        <v>182</v>
      </c>
      <c r="J187" s="10" t="str">
        <f>Tableau2[[#This Row],[Annee d''inscription au programme]]&amp;"-"&amp;Tableau2[[#This Row],[Code d''ecole]]&amp;"-"&amp;Tableau2[[#This Row],[Numero HM de la femme]]</f>
        <v>2024-56-182</v>
      </c>
      <c r="K187" s="10">
        <f t="shared" si="5"/>
        <v>182</v>
      </c>
      <c r="L187" s="42">
        <v>5</v>
      </c>
      <c r="M187" s="52">
        <v>4</v>
      </c>
      <c r="N187" s="63">
        <f>SUM(Tableau2[[#This Row],[Mathématique/20]]+Tableau2[[#This Row],[Français /20]])/2</f>
        <v>4.5</v>
      </c>
      <c r="O187" s="42">
        <v>10.5</v>
      </c>
      <c r="P187" s="52">
        <v>14</v>
      </c>
      <c r="Q187" s="63">
        <f>(Tableau2[[#This Row],[Mathématique /20]]+Tableau2[[#This Row],[Français /202]])/2</f>
        <v>12.25</v>
      </c>
      <c r="S187"/>
      <c r="T187"/>
      <c r="U187"/>
      <c r="V187"/>
    </row>
    <row r="188" spans="1:22" ht="16" x14ac:dyDescent="0.2">
      <c r="A188" s="10" t="s">
        <v>299</v>
      </c>
      <c r="B188" s="10" t="s">
        <v>300</v>
      </c>
      <c r="C188" s="10" t="s">
        <v>320</v>
      </c>
      <c r="D188" s="10" t="s">
        <v>303</v>
      </c>
      <c r="E188" s="10" t="s">
        <v>1058</v>
      </c>
      <c r="F188" s="9" t="s">
        <v>1005</v>
      </c>
      <c r="G188" s="10">
        <v>2024</v>
      </c>
      <c r="H188" s="10">
        <v>56</v>
      </c>
      <c r="I188" s="10">
        <f t="shared" si="4"/>
        <v>183</v>
      </c>
      <c r="J188" s="10" t="str">
        <f>Tableau2[[#This Row],[Annee d''inscription au programme]]&amp;"-"&amp;Tableau2[[#This Row],[Code d''ecole]]&amp;"-"&amp;Tableau2[[#This Row],[Numero HM de la femme]]</f>
        <v>2024-56-183</v>
      </c>
      <c r="K188" s="10">
        <f t="shared" si="5"/>
        <v>183</v>
      </c>
      <c r="L188" s="42">
        <v>0</v>
      </c>
      <c r="M188" s="52">
        <v>3.5</v>
      </c>
      <c r="N188" s="63">
        <f>SUM(Tableau2[[#This Row],[Mathématique/20]]+Tableau2[[#This Row],[Français /20]])/2</f>
        <v>1.75</v>
      </c>
      <c r="O188" s="42">
        <v>7</v>
      </c>
      <c r="P188" s="52">
        <v>12</v>
      </c>
      <c r="Q188" s="63">
        <f>(Tableau2[[#This Row],[Mathématique /20]]+Tableau2[[#This Row],[Français /202]])/2</f>
        <v>9.5</v>
      </c>
      <c r="S188"/>
      <c r="T188"/>
      <c r="U188"/>
      <c r="V188"/>
    </row>
    <row r="189" spans="1:22" ht="16" x14ac:dyDescent="0.2">
      <c r="A189" s="10" t="s">
        <v>299</v>
      </c>
      <c r="B189" s="10" t="s">
        <v>300</v>
      </c>
      <c r="C189" s="10" t="s">
        <v>321</v>
      </c>
      <c r="D189" s="10" t="s">
        <v>322</v>
      </c>
      <c r="E189" s="10" t="s">
        <v>1058</v>
      </c>
      <c r="F189" s="9" t="s">
        <v>1005</v>
      </c>
      <c r="G189" s="10">
        <v>2024</v>
      </c>
      <c r="H189" s="10">
        <v>56</v>
      </c>
      <c r="I189" s="10">
        <f t="shared" si="4"/>
        <v>184</v>
      </c>
      <c r="J189" s="10" t="str">
        <f>Tableau2[[#This Row],[Annee d''inscription au programme]]&amp;"-"&amp;Tableau2[[#This Row],[Code d''ecole]]&amp;"-"&amp;Tableau2[[#This Row],[Numero HM de la femme]]</f>
        <v>2024-56-184</v>
      </c>
      <c r="K189" s="10">
        <f t="shared" si="5"/>
        <v>184</v>
      </c>
      <c r="L189" s="42">
        <v>5</v>
      </c>
      <c r="M189" s="52">
        <v>3.5</v>
      </c>
      <c r="N189" s="63">
        <f>SUM(Tableau2[[#This Row],[Mathématique/20]]+Tableau2[[#This Row],[Français /20]])/2</f>
        <v>4.25</v>
      </c>
      <c r="O189" s="42" t="s">
        <v>1076</v>
      </c>
      <c r="P189" s="52"/>
      <c r="Q189" s="63"/>
      <c r="S189"/>
      <c r="T189"/>
      <c r="U189"/>
      <c r="V189"/>
    </row>
    <row r="190" spans="1:22" ht="16" x14ac:dyDescent="0.2">
      <c r="A190" s="10" t="s">
        <v>323</v>
      </c>
      <c r="B190" s="10" t="s">
        <v>115</v>
      </c>
      <c r="C190" s="10" t="s">
        <v>324</v>
      </c>
      <c r="D190" s="10" t="s">
        <v>25</v>
      </c>
      <c r="E190" s="10" t="s">
        <v>1050</v>
      </c>
      <c r="F190" s="9" t="s">
        <v>1006</v>
      </c>
      <c r="G190" s="10">
        <v>2024</v>
      </c>
      <c r="H190" s="10">
        <v>27</v>
      </c>
      <c r="I190" s="10">
        <f t="shared" si="4"/>
        <v>185</v>
      </c>
      <c r="J190" s="10" t="str">
        <f>Tableau2[[#This Row],[Annee d''inscription au programme]]&amp;"-"&amp;Tableau2[[#This Row],[Code d''ecole]]&amp;"-"&amp;Tableau2[[#This Row],[Numero HM de la femme]]</f>
        <v>2024-27-185</v>
      </c>
      <c r="K190" s="10">
        <f t="shared" si="5"/>
        <v>185</v>
      </c>
      <c r="L190" s="42">
        <v>4</v>
      </c>
      <c r="M190" s="52">
        <v>3</v>
      </c>
      <c r="N190" s="63">
        <f>SUM(Tableau2[[#This Row],[Mathématique/20]]+Tableau2[[#This Row],[Français /20]])/2</f>
        <v>3.5</v>
      </c>
      <c r="O190" s="42">
        <v>12</v>
      </c>
      <c r="P190" s="52">
        <v>13</v>
      </c>
      <c r="Q190" s="63">
        <f>(Tableau2[[#This Row],[Mathématique /20]]+Tableau2[[#This Row],[Français /202]])/2</f>
        <v>12.5</v>
      </c>
      <c r="S190"/>
      <c r="T190"/>
      <c r="U190"/>
      <c r="V190"/>
    </row>
    <row r="191" spans="1:22" ht="16" x14ac:dyDescent="0.2">
      <c r="A191" s="10" t="s">
        <v>323</v>
      </c>
      <c r="B191" s="10" t="s">
        <v>115</v>
      </c>
      <c r="C191" s="10" t="s">
        <v>325</v>
      </c>
      <c r="D191" s="10" t="s">
        <v>326</v>
      </c>
      <c r="E191" s="10" t="s">
        <v>1050</v>
      </c>
      <c r="F191" s="9" t="s">
        <v>1007</v>
      </c>
      <c r="G191" s="10">
        <v>2024</v>
      </c>
      <c r="H191" s="10">
        <v>27</v>
      </c>
      <c r="I191" s="10">
        <f t="shared" si="4"/>
        <v>186</v>
      </c>
      <c r="J191" s="10" t="str">
        <f>Tableau2[[#This Row],[Annee d''inscription au programme]]&amp;"-"&amp;Tableau2[[#This Row],[Code d''ecole]]&amp;"-"&amp;Tableau2[[#This Row],[Numero HM de la femme]]</f>
        <v>2024-27-186</v>
      </c>
      <c r="K191" s="10">
        <f t="shared" si="5"/>
        <v>186</v>
      </c>
      <c r="L191" s="42">
        <v>4</v>
      </c>
      <c r="M191" s="52">
        <v>4.3</v>
      </c>
      <c r="N191" s="63">
        <f>SUM(Tableau2[[#This Row],[Mathématique/20]]+Tableau2[[#This Row],[Français /20]])/2</f>
        <v>4.1500000000000004</v>
      </c>
      <c r="O191" s="42">
        <v>7</v>
      </c>
      <c r="P191" s="52">
        <v>9</v>
      </c>
      <c r="Q191" s="63">
        <f>(Tableau2[[#This Row],[Mathématique /20]]+Tableau2[[#This Row],[Français /202]])/2</f>
        <v>8</v>
      </c>
      <c r="S191"/>
      <c r="T191"/>
      <c r="U191"/>
      <c r="V191"/>
    </row>
    <row r="192" spans="1:22" ht="16" x14ac:dyDescent="0.2">
      <c r="A192" s="10" t="s">
        <v>323</v>
      </c>
      <c r="B192" s="10" t="s">
        <v>115</v>
      </c>
      <c r="C192" s="10" t="s">
        <v>327</v>
      </c>
      <c r="D192" s="10" t="s">
        <v>328</v>
      </c>
      <c r="E192" s="10" t="s">
        <v>1050</v>
      </c>
      <c r="F192" s="9" t="s">
        <v>1007</v>
      </c>
      <c r="G192" s="10">
        <v>2024</v>
      </c>
      <c r="H192" s="10">
        <v>27</v>
      </c>
      <c r="I192" s="10">
        <f t="shared" si="4"/>
        <v>187</v>
      </c>
      <c r="J192" s="10" t="str">
        <f>Tableau2[[#This Row],[Annee d''inscription au programme]]&amp;"-"&amp;Tableau2[[#This Row],[Code d''ecole]]&amp;"-"&amp;Tableau2[[#This Row],[Numero HM de la femme]]</f>
        <v>2024-27-187</v>
      </c>
      <c r="K192" s="10">
        <f t="shared" si="5"/>
        <v>187</v>
      </c>
      <c r="L192" s="42">
        <v>4</v>
      </c>
      <c r="M192" s="52">
        <v>5.6</v>
      </c>
      <c r="N192" s="63">
        <f>SUM(Tableau2[[#This Row],[Mathématique/20]]+Tableau2[[#This Row],[Français /20]])/2</f>
        <v>4.8</v>
      </c>
      <c r="O192" s="42">
        <v>12</v>
      </c>
      <c r="P192" s="52">
        <v>13.5</v>
      </c>
      <c r="Q192" s="63">
        <f>(Tableau2[[#This Row],[Mathématique /20]]+Tableau2[[#This Row],[Français /202]])/2</f>
        <v>12.75</v>
      </c>
      <c r="S192"/>
      <c r="T192"/>
      <c r="U192"/>
      <c r="V192"/>
    </row>
    <row r="193" spans="1:22" ht="16" x14ac:dyDescent="0.2">
      <c r="A193" s="10" t="s">
        <v>323</v>
      </c>
      <c r="B193" s="10" t="s">
        <v>115</v>
      </c>
      <c r="C193" s="10" t="s">
        <v>329</v>
      </c>
      <c r="D193" s="10" t="s">
        <v>76</v>
      </c>
      <c r="E193" s="10" t="s">
        <v>1050</v>
      </c>
      <c r="F193" s="9" t="s">
        <v>1007</v>
      </c>
      <c r="G193" s="10">
        <v>2024</v>
      </c>
      <c r="H193" s="10">
        <v>27</v>
      </c>
      <c r="I193" s="10">
        <f t="shared" si="4"/>
        <v>188</v>
      </c>
      <c r="J193" s="10" t="str">
        <f>Tableau2[[#This Row],[Annee d''inscription au programme]]&amp;"-"&amp;Tableau2[[#This Row],[Code d''ecole]]&amp;"-"&amp;Tableau2[[#This Row],[Numero HM de la femme]]</f>
        <v>2024-27-188</v>
      </c>
      <c r="K193" s="10">
        <f t="shared" si="5"/>
        <v>188</v>
      </c>
      <c r="L193" s="42">
        <v>8</v>
      </c>
      <c r="M193" s="52">
        <v>5</v>
      </c>
      <c r="N193" s="63">
        <f>SUM(Tableau2[[#This Row],[Mathématique/20]]+Tableau2[[#This Row],[Français /20]])/2</f>
        <v>6.5</v>
      </c>
      <c r="O193" s="42">
        <v>10</v>
      </c>
      <c r="P193" s="52">
        <v>14</v>
      </c>
      <c r="Q193" s="63">
        <f>(Tableau2[[#This Row],[Mathématique /20]]+Tableau2[[#This Row],[Français /202]])/2</f>
        <v>12</v>
      </c>
      <c r="S193"/>
      <c r="T193"/>
      <c r="U193"/>
      <c r="V193"/>
    </row>
    <row r="194" spans="1:22" ht="16" x14ac:dyDescent="0.2">
      <c r="A194" s="10" t="s">
        <v>323</v>
      </c>
      <c r="B194" s="10" t="s">
        <v>115</v>
      </c>
      <c r="C194" s="10" t="s">
        <v>330</v>
      </c>
      <c r="D194" s="10" t="s">
        <v>41</v>
      </c>
      <c r="E194" s="10" t="s">
        <v>1050</v>
      </c>
      <c r="F194" s="9" t="s">
        <v>1006</v>
      </c>
      <c r="G194" s="10">
        <v>2024</v>
      </c>
      <c r="H194" s="10">
        <v>27</v>
      </c>
      <c r="I194" s="10">
        <f t="shared" si="4"/>
        <v>189</v>
      </c>
      <c r="J194" s="10" t="str">
        <f>Tableau2[[#This Row],[Annee d''inscription au programme]]&amp;"-"&amp;Tableau2[[#This Row],[Code d''ecole]]&amp;"-"&amp;Tableau2[[#This Row],[Numero HM de la femme]]</f>
        <v>2024-27-189</v>
      </c>
      <c r="K194" s="10">
        <f t="shared" si="5"/>
        <v>189</v>
      </c>
      <c r="L194" s="42">
        <v>4</v>
      </c>
      <c r="M194" s="52">
        <v>2.7</v>
      </c>
      <c r="N194" s="63">
        <f>SUM(Tableau2[[#This Row],[Mathématique/20]]+Tableau2[[#This Row],[Français /20]])/2</f>
        <v>3.35</v>
      </c>
      <c r="O194" s="42">
        <v>12</v>
      </c>
      <c r="P194" s="52">
        <v>13</v>
      </c>
      <c r="Q194" s="63">
        <f>(Tableau2[[#This Row],[Mathématique /20]]+Tableau2[[#This Row],[Français /202]])/2</f>
        <v>12.5</v>
      </c>
      <c r="S194"/>
      <c r="T194"/>
      <c r="U194"/>
      <c r="V194"/>
    </row>
    <row r="195" spans="1:22" ht="16" x14ac:dyDescent="0.2">
      <c r="A195" s="10" t="s">
        <v>323</v>
      </c>
      <c r="B195" s="10" t="s">
        <v>115</v>
      </c>
      <c r="C195" s="10" t="s">
        <v>331</v>
      </c>
      <c r="D195" s="10" t="s">
        <v>328</v>
      </c>
      <c r="E195" s="10" t="s">
        <v>1050</v>
      </c>
      <c r="F195" s="9" t="s">
        <v>1007</v>
      </c>
      <c r="G195" s="10">
        <v>2024</v>
      </c>
      <c r="H195" s="10">
        <v>27</v>
      </c>
      <c r="I195" s="10">
        <f t="shared" si="4"/>
        <v>190</v>
      </c>
      <c r="J195" s="10" t="str">
        <f>Tableau2[[#This Row],[Annee d''inscription au programme]]&amp;"-"&amp;Tableau2[[#This Row],[Code d''ecole]]&amp;"-"&amp;Tableau2[[#This Row],[Numero HM de la femme]]</f>
        <v>2024-27-190</v>
      </c>
      <c r="K195" s="10">
        <f t="shared" si="5"/>
        <v>190</v>
      </c>
      <c r="L195" s="42">
        <v>0</v>
      </c>
      <c r="M195" s="52">
        <v>3.6</v>
      </c>
      <c r="N195" s="63">
        <f>SUM(Tableau2[[#This Row],[Mathématique/20]]+Tableau2[[#This Row],[Français /20]])/2</f>
        <v>1.8</v>
      </c>
      <c r="O195" s="42">
        <v>10</v>
      </c>
      <c r="P195" s="52">
        <v>9</v>
      </c>
      <c r="Q195" s="63">
        <f>(Tableau2[[#This Row],[Mathématique /20]]+Tableau2[[#This Row],[Français /202]])/2</f>
        <v>9.5</v>
      </c>
      <c r="S195"/>
      <c r="T195"/>
      <c r="U195"/>
      <c r="V195"/>
    </row>
    <row r="196" spans="1:22" ht="16" x14ac:dyDescent="0.2">
      <c r="A196" s="10" t="s">
        <v>323</v>
      </c>
      <c r="B196" s="10" t="s">
        <v>115</v>
      </c>
      <c r="C196" s="10" t="s">
        <v>333</v>
      </c>
      <c r="D196" s="10" t="s">
        <v>332</v>
      </c>
      <c r="E196" s="10" t="s">
        <v>1050</v>
      </c>
      <c r="F196" s="9" t="s">
        <v>1006</v>
      </c>
      <c r="G196" s="10">
        <v>2024</v>
      </c>
      <c r="H196" s="10">
        <v>27</v>
      </c>
      <c r="I196" s="10">
        <f t="shared" si="4"/>
        <v>191</v>
      </c>
      <c r="J196" s="10" t="str">
        <f>Tableau2[[#This Row],[Annee d''inscription au programme]]&amp;"-"&amp;Tableau2[[#This Row],[Code d''ecole]]&amp;"-"&amp;Tableau2[[#This Row],[Numero HM de la femme]]</f>
        <v>2024-27-191</v>
      </c>
      <c r="K196" s="10">
        <f t="shared" si="5"/>
        <v>191</v>
      </c>
      <c r="L196" s="42">
        <v>0</v>
      </c>
      <c r="M196" s="52">
        <v>1.2</v>
      </c>
      <c r="N196" s="63">
        <f>SUM(Tableau2[[#This Row],[Mathématique/20]]+Tableau2[[#This Row],[Français /20]])/2</f>
        <v>0.6</v>
      </c>
      <c r="O196" s="42">
        <v>12</v>
      </c>
      <c r="P196" s="52">
        <v>7.5</v>
      </c>
      <c r="Q196" s="63">
        <f>(Tableau2[[#This Row],[Mathématique /20]]+Tableau2[[#This Row],[Français /202]])/2</f>
        <v>9.75</v>
      </c>
      <c r="S196"/>
      <c r="T196"/>
      <c r="U196"/>
      <c r="V196"/>
    </row>
    <row r="197" spans="1:22" ht="16" x14ac:dyDescent="0.2">
      <c r="A197" s="10" t="s">
        <v>323</v>
      </c>
      <c r="B197" s="10" t="s">
        <v>115</v>
      </c>
      <c r="C197" s="10" t="s">
        <v>334</v>
      </c>
      <c r="D197" s="10" t="s">
        <v>25</v>
      </c>
      <c r="E197" s="10" t="s">
        <v>1050</v>
      </c>
      <c r="F197" s="9" t="s">
        <v>1007</v>
      </c>
      <c r="G197" s="10">
        <v>2024</v>
      </c>
      <c r="H197" s="10">
        <v>27</v>
      </c>
      <c r="I197" s="10">
        <f t="shared" si="4"/>
        <v>192</v>
      </c>
      <c r="J197" s="10" t="str">
        <f>Tableau2[[#This Row],[Annee d''inscription au programme]]&amp;"-"&amp;Tableau2[[#This Row],[Code d''ecole]]&amp;"-"&amp;Tableau2[[#This Row],[Numero HM de la femme]]</f>
        <v>2024-27-192</v>
      </c>
      <c r="K197" s="10">
        <f t="shared" si="5"/>
        <v>192</v>
      </c>
      <c r="L197" s="42">
        <v>4</v>
      </c>
      <c r="M197" s="52">
        <v>1.6</v>
      </c>
      <c r="N197" s="63">
        <f>SUM(Tableau2[[#This Row],[Mathématique/20]]+Tableau2[[#This Row],[Français /20]])/2</f>
        <v>2.8</v>
      </c>
      <c r="O197" s="42">
        <v>12</v>
      </c>
      <c r="P197" s="52">
        <v>14</v>
      </c>
      <c r="Q197" s="63">
        <f>(Tableau2[[#This Row],[Mathématique /20]]+Tableau2[[#This Row],[Français /202]])/2</f>
        <v>13</v>
      </c>
      <c r="S197"/>
      <c r="T197"/>
      <c r="U197"/>
      <c r="V197"/>
    </row>
    <row r="198" spans="1:22" ht="16" x14ac:dyDescent="0.2">
      <c r="A198" s="10" t="s">
        <v>323</v>
      </c>
      <c r="B198" s="10" t="s">
        <v>115</v>
      </c>
      <c r="C198" s="10" t="s">
        <v>335</v>
      </c>
      <c r="D198" s="10" t="s">
        <v>167</v>
      </c>
      <c r="E198" s="10" t="s">
        <v>1050</v>
      </c>
      <c r="F198" s="9" t="s">
        <v>1006</v>
      </c>
      <c r="G198" s="10">
        <v>2024</v>
      </c>
      <c r="H198" s="10">
        <v>27</v>
      </c>
      <c r="I198" s="10">
        <f t="shared" si="4"/>
        <v>193</v>
      </c>
      <c r="J198" s="10" t="str">
        <f>Tableau2[[#This Row],[Annee d''inscription au programme]]&amp;"-"&amp;Tableau2[[#This Row],[Code d''ecole]]&amp;"-"&amp;Tableau2[[#This Row],[Numero HM de la femme]]</f>
        <v>2024-27-193</v>
      </c>
      <c r="K198" s="10">
        <f t="shared" si="5"/>
        <v>193</v>
      </c>
      <c r="L198" s="42">
        <v>4</v>
      </c>
      <c r="M198" s="52">
        <v>7.75</v>
      </c>
      <c r="N198" s="63">
        <f>SUM(Tableau2[[#This Row],[Mathématique/20]]+Tableau2[[#This Row],[Français /20]])/2</f>
        <v>5.875</v>
      </c>
      <c r="O198" s="42">
        <v>12</v>
      </c>
      <c r="P198" s="52">
        <v>15</v>
      </c>
      <c r="Q198" s="63">
        <f>(Tableau2[[#This Row],[Mathématique /20]]+Tableau2[[#This Row],[Français /202]])/2</f>
        <v>13.5</v>
      </c>
      <c r="S198"/>
      <c r="T198"/>
      <c r="U198"/>
      <c r="V198"/>
    </row>
    <row r="199" spans="1:22" ht="16" x14ac:dyDescent="0.2">
      <c r="A199" s="10" t="s">
        <v>323</v>
      </c>
      <c r="B199" s="10" t="s">
        <v>115</v>
      </c>
      <c r="C199" s="10" t="s">
        <v>336</v>
      </c>
      <c r="D199" s="10" t="s">
        <v>337</v>
      </c>
      <c r="E199" s="10" t="s">
        <v>1050</v>
      </c>
      <c r="F199" s="9" t="s">
        <v>1006</v>
      </c>
      <c r="G199" s="10">
        <v>2024</v>
      </c>
      <c r="H199" s="10">
        <v>27</v>
      </c>
      <c r="I199" s="10">
        <f t="shared" si="4"/>
        <v>194</v>
      </c>
      <c r="J199" s="10" t="str">
        <f>Tableau2[[#This Row],[Annee d''inscription au programme]]&amp;"-"&amp;Tableau2[[#This Row],[Code d''ecole]]&amp;"-"&amp;Tableau2[[#This Row],[Numero HM de la femme]]</f>
        <v>2024-27-194</v>
      </c>
      <c r="K199" s="10">
        <f t="shared" si="5"/>
        <v>194</v>
      </c>
      <c r="L199" s="42">
        <v>1</v>
      </c>
      <c r="M199" s="52">
        <v>2</v>
      </c>
      <c r="N199" s="63">
        <f>SUM(Tableau2[[#This Row],[Mathématique/20]]+Tableau2[[#This Row],[Français /20]])/2</f>
        <v>1.5</v>
      </c>
      <c r="O199" s="42">
        <v>12</v>
      </c>
      <c r="P199" s="52">
        <v>16</v>
      </c>
      <c r="Q199" s="63">
        <f>(Tableau2[[#This Row],[Mathématique /20]]+Tableau2[[#This Row],[Français /202]])/2</f>
        <v>14</v>
      </c>
      <c r="S199"/>
      <c r="T199"/>
      <c r="U199"/>
      <c r="V199"/>
    </row>
    <row r="200" spans="1:22" ht="16" x14ac:dyDescent="0.2">
      <c r="A200" s="10" t="s">
        <v>323</v>
      </c>
      <c r="B200" s="10" t="s">
        <v>115</v>
      </c>
      <c r="C200" s="10" t="s">
        <v>339</v>
      </c>
      <c r="D200" s="10" t="s">
        <v>338</v>
      </c>
      <c r="E200" s="10" t="s">
        <v>1050</v>
      </c>
      <c r="F200" s="9" t="s">
        <v>1007</v>
      </c>
      <c r="G200" s="10">
        <v>2024</v>
      </c>
      <c r="H200" s="10">
        <v>27</v>
      </c>
      <c r="I200" s="10">
        <f t="shared" si="4"/>
        <v>195</v>
      </c>
      <c r="J200" s="10" t="str">
        <f>Tableau2[[#This Row],[Annee d''inscription au programme]]&amp;"-"&amp;Tableau2[[#This Row],[Code d''ecole]]&amp;"-"&amp;Tableau2[[#This Row],[Numero HM de la femme]]</f>
        <v>2024-27-195</v>
      </c>
      <c r="K200" s="10">
        <f t="shared" si="5"/>
        <v>195</v>
      </c>
      <c r="L200" s="42">
        <v>5</v>
      </c>
      <c r="M200" s="52">
        <v>6.75</v>
      </c>
      <c r="N200" s="63">
        <f>SUM(Tableau2[[#This Row],[Mathématique/20]]+Tableau2[[#This Row],[Français /20]])/2</f>
        <v>5.875</v>
      </c>
      <c r="O200" s="42">
        <v>13</v>
      </c>
      <c r="P200" s="52">
        <v>13</v>
      </c>
      <c r="Q200" s="63">
        <f>(Tableau2[[#This Row],[Mathématique /20]]+Tableau2[[#This Row],[Français /202]])/2</f>
        <v>13</v>
      </c>
      <c r="S200"/>
      <c r="T200"/>
      <c r="U200"/>
      <c r="V200"/>
    </row>
    <row r="201" spans="1:22" ht="16" x14ac:dyDescent="0.2">
      <c r="A201" s="10" t="s">
        <v>323</v>
      </c>
      <c r="B201" s="10" t="s">
        <v>115</v>
      </c>
      <c r="C201" s="10" t="s">
        <v>340</v>
      </c>
      <c r="D201" s="10" t="s">
        <v>76</v>
      </c>
      <c r="E201" s="10" t="s">
        <v>1050</v>
      </c>
      <c r="F201" s="9" t="s">
        <v>1006</v>
      </c>
      <c r="G201" s="10">
        <v>2024</v>
      </c>
      <c r="H201" s="10">
        <v>27</v>
      </c>
      <c r="I201" s="10">
        <f t="shared" ref="I201:I264" si="6">SUM(I200+1)</f>
        <v>196</v>
      </c>
      <c r="J201" s="10" t="str">
        <f>Tableau2[[#This Row],[Annee d''inscription au programme]]&amp;"-"&amp;Tableau2[[#This Row],[Code d''ecole]]&amp;"-"&amp;Tableau2[[#This Row],[Numero HM de la femme]]</f>
        <v>2024-27-196</v>
      </c>
      <c r="K201" s="10">
        <f t="shared" ref="K201:K264" si="7">SUM(K200+1)</f>
        <v>196</v>
      </c>
      <c r="L201" s="42">
        <v>4</v>
      </c>
      <c r="M201" s="52">
        <v>2.2999999999999998</v>
      </c>
      <c r="N201" s="63">
        <f>SUM(Tableau2[[#This Row],[Mathématique/20]]+Tableau2[[#This Row],[Français /20]])/2</f>
        <v>3.15</v>
      </c>
      <c r="O201" s="42">
        <v>10</v>
      </c>
      <c r="P201" s="52">
        <v>16</v>
      </c>
      <c r="Q201" s="63">
        <f>(Tableau2[[#This Row],[Mathématique /20]]+Tableau2[[#This Row],[Français /202]])/2</f>
        <v>13</v>
      </c>
      <c r="S201"/>
      <c r="T201"/>
      <c r="U201"/>
      <c r="V201"/>
    </row>
    <row r="202" spans="1:22" ht="16" x14ac:dyDescent="0.2">
      <c r="A202" s="10" t="s">
        <v>323</v>
      </c>
      <c r="B202" s="10" t="s">
        <v>115</v>
      </c>
      <c r="C202" s="10" t="s">
        <v>341</v>
      </c>
      <c r="D202" s="10" t="s">
        <v>171</v>
      </c>
      <c r="E202" s="10" t="s">
        <v>1050</v>
      </c>
      <c r="F202" s="9" t="s">
        <v>1007</v>
      </c>
      <c r="G202" s="10">
        <v>2024</v>
      </c>
      <c r="H202" s="10">
        <v>27</v>
      </c>
      <c r="I202" s="10">
        <f t="shared" si="6"/>
        <v>197</v>
      </c>
      <c r="J202" s="10" t="str">
        <f>Tableau2[[#This Row],[Annee d''inscription au programme]]&amp;"-"&amp;Tableau2[[#This Row],[Code d''ecole]]&amp;"-"&amp;Tableau2[[#This Row],[Numero HM de la femme]]</f>
        <v>2024-27-197</v>
      </c>
      <c r="K202" s="10">
        <f t="shared" si="7"/>
        <v>197</v>
      </c>
      <c r="L202" s="42">
        <v>7</v>
      </c>
      <c r="M202" s="52">
        <v>5.7</v>
      </c>
      <c r="N202" s="63">
        <f>SUM(Tableau2[[#This Row],[Mathématique/20]]+Tableau2[[#This Row],[Français /20]])/2</f>
        <v>6.35</v>
      </c>
      <c r="O202" s="42">
        <v>10</v>
      </c>
      <c r="P202" s="52">
        <v>19</v>
      </c>
      <c r="Q202" s="63">
        <f>(Tableau2[[#This Row],[Mathématique /20]]+Tableau2[[#This Row],[Français /202]])/2</f>
        <v>14.5</v>
      </c>
      <c r="S202"/>
      <c r="T202"/>
      <c r="U202"/>
      <c r="V202"/>
    </row>
    <row r="203" spans="1:22" ht="16" x14ac:dyDescent="0.2">
      <c r="A203" s="10" t="s">
        <v>323</v>
      </c>
      <c r="B203" s="10" t="s">
        <v>115</v>
      </c>
      <c r="C203" s="10" t="s">
        <v>342</v>
      </c>
      <c r="D203" s="10" t="s">
        <v>217</v>
      </c>
      <c r="E203" s="10" t="s">
        <v>1050</v>
      </c>
      <c r="F203" s="9" t="s">
        <v>1007</v>
      </c>
      <c r="G203" s="10">
        <v>2024</v>
      </c>
      <c r="H203" s="10">
        <v>27</v>
      </c>
      <c r="I203" s="10">
        <f t="shared" si="6"/>
        <v>198</v>
      </c>
      <c r="J203" s="10" t="str">
        <f>Tableau2[[#This Row],[Annee d''inscription au programme]]&amp;"-"&amp;Tableau2[[#This Row],[Code d''ecole]]&amp;"-"&amp;Tableau2[[#This Row],[Numero HM de la femme]]</f>
        <v>2024-27-198</v>
      </c>
      <c r="K203" s="10">
        <f t="shared" si="7"/>
        <v>198</v>
      </c>
      <c r="L203" s="42">
        <v>6</v>
      </c>
      <c r="M203" s="52">
        <v>2.6</v>
      </c>
      <c r="N203" s="63">
        <f>SUM(Tableau2[[#This Row],[Mathématique/20]]+Tableau2[[#This Row],[Français /20]])/2</f>
        <v>4.3</v>
      </c>
      <c r="O203" s="42">
        <v>12</v>
      </c>
      <c r="P203" s="52">
        <v>8.5</v>
      </c>
      <c r="Q203" s="63">
        <f>(Tableau2[[#This Row],[Mathématique /20]]+Tableau2[[#This Row],[Français /202]])/2</f>
        <v>10.25</v>
      </c>
      <c r="S203"/>
      <c r="T203"/>
      <c r="U203"/>
      <c r="V203"/>
    </row>
    <row r="204" spans="1:22" ht="16" x14ac:dyDescent="0.2">
      <c r="A204" s="10" t="s">
        <v>323</v>
      </c>
      <c r="B204" s="10" t="s">
        <v>115</v>
      </c>
      <c r="C204" s="10" t="s">
        <v>343</v>
      </c>
      <c r="D204" s="10" t="s">
        <v>344</v>
      </c>
      <c r="E204" s="10" t="s">
        <v>1050</v>
      </c>
      <c r="F204" s="9" t="s">
        <v>1006</v>
      </c>
      <c r="G204" s="10">
        <v>2024</v>
      </c>
      <c r="H204" s="10">
        <v>27</v>
      </c>
      <c r="I204" s="10">
        <f t="shared" si="6"/>
        <v>199</v>
      </c>
      <c r="J204" s="10" t="str">
        <f>Tableau2[[#This Row],[Annee d''inscription au programme]]&amp;"-"&amp;Tableau2[[#This Row],[Code d''ecole]]&amp;"-"&amp;Tableau2[[#This Row],[Numero HM de la femme]]</f>
        <v>2024-27-199</v>
      </c>
      <c r="K204" s="10">
        <f t="shared" si="7"/>
        <v>199</v>
      </c>
      <c r="L204" s="42">
        <v>4</v>
      </c>
      <c r="M204" s="52">
        <v>4</v>
      </c>
      <c r="N204" s="63">
        <f>SUM(Tableau2[[#This Row],[Mathématique/20]]+Tableau2[[#This Row],[Français /20]])/2</f>
        <v>4</v>
      </c>
      <c r="O204" s="42">
        <v>10</v>
      </c>
      <c r="P204" s="52">
        <v>17</v>
      </c>
      <c r="Q204" s="63">
        <f>(Tableau2[[#This Row],[Mathématique /20]]+Tableau2[[#This Row],[Français /202]])/2</f>
        <v>13.5</v>
      </c>
      <c r="S204"/>
      <c r="T204"/>
      <c r="U204"/>
      <c r="V204"/>
    </row>
    <row r="205" spans="1:22" ht="16" x14ac:dyDescent="0.2">
      <c r="A205" s="10" t="s">
        <v>323</v>
      </c>
      <c r="B205" s="10" t="s">
        <v>115</v>
      </c>
      <c r="C205" s="10" t="s">
        <v>345</v>
      </c>
      <c r="D205" s="10" t="s">
        <v>223</v>
      </c>
      <c r="E205" s="10" t="s">
        <v>1050</v>
      </c>
      <c r="F205" s="9" t="s">
        <v>1006</v>
      </c>
      <c r="G205" s="10">
        <v>2024</v>
      </c>
      <c r="H205" s="10">
        <v>27</v>
      </c>
      <c r="I205" s="10">
        <f t="shared" si="6"/>
        <v>200</v>
      </c>
      <c r="J205" s="10" t="str">
        <f>Tableau2[[#This Row],[Annee d''inscription au programme]]&amp;"-"&amp;Tableau2[[#This Row],[Code d''ecole]]&amp;"-"&amp;Tableau2[[#This Row],[Numero HM de la femme]]</f>
        <v>2024-27-200</v>
      </c>
      <c r="K205" s="10">
        <f t="shared" si="7"/>
        <v>200</v>
      </c>
      <c r="L205" s="42">
        <v>2</v>
      </c>
      <c r="M205" s="52">
        <v>3.7</v>
      </c>
      <c r="N205" s="63">
        <f>SUM(Tableau2[[#This Row],[Mathématique/20]]+Tableau2[[#This Row],[Français /20]])/2</f>
        <v>2.85</v>
      </c>
      <c r="O205" s="42">
        <v>8</v>
      </c>
      <c r="P205" s="52">
        <v>11.5</v>
      </c>
      <c r="Q205" s="63">
        <f>(Tableau2[[#This Row],[Mathématique /20]]+Tableau2[[#This Row],[Français /202]])/2</f>
        <v>9.75</v>
      </c>
      <c r="S205"/>
      <c r="T205"/>
      <c r="U205"/>
      <c r="V205"/>
    </row>
    <row r="206" spans="1:22" ht="16" x14ac:dyDescent="0.2">
      <c r="A206" s="10" t="s">
        <v>323</v>
      </c>
      <c r="B206" s="10" t="s">
        <v>115</v>
      </c>
      <c r="C206" s="10" t="s">
        <v>346</v>
      </c>
      <c r="D206" s="10" t="s">
        <v>44</v>
      </c>
      <c r="E206" s="10" t="s">
        <v>1050</v>
      </c>
      <c r="F206" s="9" t="s">
        <v>1006</v>
      </c>
      <c r="G206" s="10">
        <v>2024</v>
      </c>
      <c r="H206" s="10">
        <v>27</v>
      </c>
      <c r="I206" s="10">
        <f t="shared" si="6"/>
        <v>201</v>
      </c>
      <c r="J206" s="10" t="str">
        <f>Tableau2[[#This Row],[Annee d''inscription au programme]]&amp;"-"&amp;Tableau2[[#This Row],[Code d''ecole]]&amp;"-"&amp;Tableau2[[#This Row],[Numero HM de la femme]]</f>
        <v>2024-27-201</v>
      </c>
      <c r="K206" s="10">
        <f t="shared" si="7"/>
        <v>201</v>
      </c>
      <c r="L206" s="42">
        <v>4</v>
      </c>
      <c r="M206" s="52">
        <v>1</v>
      </c>
      <c r="N206" s="63">
        <f>SUM(Tableau2[[#This Row],[Mathématique/20]]+Tableau2[[#This Row],[Français /20]])/2</f>
        <v>2.5</v>
      </c>
      <c r="O206" s="42">
        <v>10</v>
      </c>
      <c r="P206" s="52">
        <v>11.5</v>
      </c>
      <c r="Q206" s="63">
        <f>(Tableau2[[#This Row],[Mathématique /20]]+Tableau2[[#This Row],[Français /202]])/2</f>
        <v>10.75</v>
      </c>
      <c r="S206"/>
      <c r="T206"/>
      <c r="U206"/>
      <c r="V206"/>
    </row>
    <row r="207" spans="1:22" ht="16" x14ac:dyDescent="0.2">
      <c r="A207" s="10" t="s">
        <v>323</v>
      </c>
      <c r="B207" s="10" t="s">
        <v>115</v>
      </c>
      <c r="C207" s="10" t="s">
        <v>347</v>
      </c>
      <c r="D207" s="10" t="s">
        <v>233</v>
      </c>
      <c r="E207" s="10" t="s">
        <v>1050</v>
      </c>
      <c r="F207" s="9" t="s">
        <v>1007</v>
      </c>
      <c r="G207" s="10">
        <v>2024</v>
      </c>
      <c r="H207" s="10">
        <v>27</v>
      </c>
      <c r="I207" s="10">
        <f t="shared" si="6"/>
        <v>202</v>
      </c>
      <c r="J207" s="10" t="str">
        <f>Tableau2[[#This Row],[Annee d''inscription au programme]]&amp;"-"&amp;Tableau2[[#This Row],[Code d''ecole]]&amp;"-"&amp;Tableau2[[#This Row],[Numero HM de la femme]]</f>
        <v>2024-27-202</v>
      </c>
      <c r="K207" s="10">
        <f t="shared" si="7"/>
        <v>202</v>
      </c>
      <c r="L207" s="42">
        <v>4</v>
      </c>
      <c r="M207" s="52">
        <v>5</v>
      </c>
      <c r="N207" s="63">
        <f>SUM(Tableau2[[#This Row],[Mathématique/20]]+Tableau2[[#This Row],[Français /20]])/2</f>
        <v>4.5</v>
      </c>
      <c r="O207" s="42">
        <v>10</v>
      </c>
      <c r="P207" s="52">
        <v>17</v>
      </c>
      <c r="Q207" s="63">
        <f>(Tableau2[[#This Row],[Mathématique /20]]+Tableau2[[#This Row],[Français /202]])/2</f>
        <v>13.5</v>
      </c>
      <c r="S207"/>
      <c r="T207"/>
      <c r="U207"/>
      <c r="V207"/>
    </row>
    <row r="208" spans="1:22" ht="16" x14ac:dyDescent="0.2">
      <c r="A208" s="10" t="s">
        <v>323</v>
      </c>
      <c r="B208" s="10" t="s">
        <v>115</v>
      </c>
      <c r="C208" s="10" t="s">
        <v>348</v>
      </c>
      <c r="D208" s="10" t="s">
        <v>227</v>
      </c>
      <c r="E208" s="10" t="s">
        <v>1050</v>
      </c>
      <c r="F208" s="9" t="s">
        <v>1007</v>
      </c>
      <c r="G208" s="10">
        <v>2024</v>
      </c>
      <c r="H208" s="10">
        <v>27</v>
      </c>
      <c r="I208" s="10">
        <f t="shared" si="6"/>
        <v>203</v>
      </c>
      <c r="J208" s="10" t="str">
        <f>Tableau2[[#This Row],[Annee d''inscription au programme]]&amp;"-"&amp;Tableau2[[#This Row],[Code d''ecole]]&amp;"-"&amp;Tableau2[[#This Row],[Numero HM de la femme]]</f>
        <v>2024-27-203</v>
      </c>
      <c r="K208" s="10">
        <f t="shared" si="7"/>
        <v>203</v>
      </c>
      <c r="L208" s="42">
        <v>4</v>
      </c>
      <c r="M208" s="52">
        <v>2.2999999999999998</v>
      </c>
      <c r="N208" s="63">
        <f>SUM(Tableau2[[#This Row],[Mathématique/20]]+Tableau2[[#This Row],[Français /20]])/2</f>
        <v>3.15</v>
      </c>
      <c r="O208" s="42">
        <v>13</v>
      </c>
      <c r="P208" s="52">
        <v>11.5</v>
      </c>
      <c r="Q208" s="63">
        <f>(Tableau2[[#This Row],[Mathématique /20]]+Tableau2[[#This Row],[Français /202]])/2</f>
        <v>12.25</v>
      </c>
      <c r="S208"/>
      <c r="T208"/>
      <c r="U208"/>
      <c r="V208"/>
    </row>
    <row r="209" spans="1:22" ht="16" x14ac:dyDescent="0.2">
      <c r="A209" s="10" t="s">
        <v>323</v>
      </c>
      <c r="B209" s="10" t="s">
        <v>115</v>
      </c>
      <c r="C209" s="10" t="s">
        <v>349</v>
      </c>
      <c r="D209" s="10" t="s">
        <v>350</v>
      </c>
      <c r="E209" s="10" t="s">
        <v>1050</v>
      </c>
      <c r="F209" s="9" t="s">
        <v>1007</v>
      </c>
      <c r="G209" s="10">
        <v>2024</v>
      </c>
      <c r="H209" s="10">
        <v>27</v>
      </c>
      <c r="I209" s="10">
        <f t="shared" si="6"/>
        <v>204</v>
      </c>
      <c r="J209" s="10" t="str">
        <f>Tableau2[[#This Row],[Annee d''inscription au programme]]&amp;"-"&amp;Tableau2[[#This Row],[Code d''ecole]]&amp;"-"&amp;Tableau2[[#This Row],[Numero HM de la femme]]</f>
        <v>2024-27-204</v>
      </c>
      <c r="K209" s="10">
        <f t="shared" si="7"/>
        <v>204</v>
      </c>
      <c r="L209" s="42">
        <v>4</v>
      </c>
      <c r="M209" s="52">
        <v>2.2999999999999998</v>
      </c>
      <c r="N209" s="63">
        <f>SUM(Tableau2[[#This Row],[Mathématique/20]]+Tableau2[[#This Row],[Français /20]])/2</f>
        <v>3.15</v>
      </c>
      <c r="O209" s="42">
        <v>10</v>
      </c>
      <c r="P209" s="52">
        <v>11</v>
      </c>
      <c r="Q209" s="63">
        <f>(Tableau2[[#This Row],[Mathématique /20]]+Tableau2[[#This Row],[Français /202]])/2</f>
        <v>10.5</v>
      </c>
      <c r="S209"/>
      <c r="T209"/>
      <c r="U209"/>
      <c r="V209"/>
    </row>
    <row r="210" spans="1:22" ht="16" x14ac:dyDescent="0.2">
      <c r="A210" s="10" t="s">
        <v>323</v>
      </c>
      <c r="B210" s="10" t="s">
        <v>115</v>
      </c>
      <c r="C210" s="10" t="s">
        <v>352</v>
      </c>
      <c r="D210" s="10" t="s">
        <v>351</v>
      </c>
      <c r="E210" s="10" t="s">
        <v>1050</v>
      </c>
      <c r="F210" s="9" t="s">
        <v>1006</v>
      </c>
      <c r="G210" s="10">
        <v>2024</v>
      </c>
      <c r="H210" s="10">
        <v>27</v>
      </c>
      <c r="I210" s="10">
        <f t="shared" si="6"/>
        <v>205</v>
      </c>
      <c r="J210" s="10" t="str">
        <f>Tableau2[[#This Row],[Annee d''inscription au programme]]&amp;"-"&amp;Tableau2[[#This Row],[Code d''ecole]]&amp;"-"&amp;Tableau2[[#This Row],[Numero HM de la femme]]</f>
        <v>2024-27-205</v>
      </c>
      <c r="K210" s="10">
        <f t="shared" si="7"/>
        <v>205</v>
      </c>
      <c r="L210" s="42">
        <v>2</v>
      </c>
      <c r="M210" s="52">
        <v>2.2000000000000002</v>
      </c>
      <c r="N210" s="63">
        <f>SUM(Tableau2[[#This Row],[Mathématique/20]]+Tableau2[[#This Row],[Français /20]])/2</f>
        <v>2.1</v>
      </c>
      <c r="O210" s="42">
        <v>14</v>
      </c>
      <c r="P210" s="52">
        <v>11.5</v>
      </c>
      <c r="Q210" s="63">
        <f>(Tableau2[[#This Row],[Mathématique /20]]+Tableau2[[#This Row],[Français /202]])/2</f>
        <v>12.75</v>
      </c>
      <c r="S210"/>
      <c r="T210"/>
      <c r="U210"/>
      <c r="V210"/>
    </row>
    <row r="211" spans="1:22" ht="16" x14ac:dyDescent="0.2">
      <c r="A211" s="10" t="s">
        <v>323</v>
      </c>
      <c r="B211" s="10" t="s">
        <v>115</v>
      </c>
      <c r="C211" s="10" t="s">
        <v>353</v>
      </c>
      <c r="D211" s="10" t="s">
        <v>27</v>
      </c>
      <c r="E211" s="10" t="s">
        <v>1050</v>
      </c>
      <c r="F211" s="9" t="s">
        <v>1007</v>
      </c>
      <c r="G211" s="10">
        <v>2024</v>
      </c>
      <c r="H211" s="10">
        <v>27</v>
      </c>
      <c r="I211" s="10">
        <f t="shared" si="6"/>
        <v>206</v>
      </c>
      <c r="J211" s="10" t="str">
        <f>Tableau2[[#This Row],[Annee d''inscription au programme]]&amp;"-"&amp;Tableau2[[#This Row],[Code d''ecole]]&amp;"-"&amp;Tableau2[[#This Row],[Numero HM de la femme]]</f>
        <v>2024-27-206</v>
      </c>
      <c r="K211" s="10">
        <f t="shared" si="7"/>
        <v>206</v>
      </c>
      <c r="L211" s="42">
        <v>3</v>
      </c>
      <c r="M211" s="52">
        <v>9</v>
      </c>
      <c r="N211" s="63">
        <f>SUM(Tableau2[[#This Row],[Mathématique/20]]+Tableau2[[#This Row],[Français /20]])/2</f>
        <v>6</v>
      </c>
      <c r="O211" s="42">
        <v>15</v>
      </c>
      <c r="P211" s="52">
        <v>14.5</v>
      </c>
      <c r="Q211" s="63">
        <f>(Tableau2[[#This Row],[Mathématique /20]]+Tableau2[[#This Row],[Français /202]])/2</f>
        <v>14.75</v>
      </c>
      <c r="S211"/>
      <c r="T211"/>
      <c r="U211"/>
      <c r="V211"/>
    </row>
    <row r="212" spans="1:22" ht="16" x14ac:dyDescent="0.2">
      <c r="A212" s="10" t="s">
        <v>354</v>
      </c>
      <c r="B212" s="10" t="s">
        <v>115</v>
      </c>
      <c r="C212" s="10" t="s">
        <v>355</v>
      </c>
      <c r="D212" s="10" t="s">
        <v>356</v>
      </c>
      <c r="E212" s="10" t="s">
        <v>1065</v>
      </c>
      <c r="F212" s="9" t="s">
        <v>1008</v>
      </c>
      <c r="G212" s="10">
        <v>2024</v>
      </c>
      <c r="H212" s="10">
        <v>16</v>
      </c>
      <c r="I212" s="10">
        <f t="shared" si="6"/>
        <v>207</v>
      </c>
      <c r="J212" s="10" t="str">
        <f>Tableau2[[#This Row],[Annee d''inscription au programme]]&amp;"-"&amp;Tableau2[[#This Row],[Code d''ecole]]&amp;"-"&amp;Tableau2[[#This Row],[Numero HM de la femme]]</f>
        <v>2024-16-207</v>
      </c>
      <c r="K212" s="10">
        <f t="shared" si="7"/>
        <v>207</v>
      </c>
      <c r="L212" s="42">
        <v>0</v>
      </c>
      <c r="M212" s="52">
        <v>0</v>
      </c>
      <c r="N212" s="63">
        <f>SUM(Tableau2[[#This Row],[Mathématique/20]]+Tableau2[[#This Row],[Français /20]])/2</f>
        <v>0</v>
      </c>
      <c r="O212" s="42">
        <v>15</v>
      </c>
      <c r="P212" s="52">
        <v>15.75</v>
      </c>
      <c r="Q212" s="63">
        <f>(Tableau2[[#This Row],[Mathématique /20]]+Tableau2[[#This Row],[Français /202]])/2</f>
        <v>15.375</v>
      </c>
      <c r="S212"/>
      <c r="T212"/>
      <c r="U212"/>
      <c r="V212"/>
    </row>
    <row r="213" spans="1:22" ht="16" x14ac:dyDescent="0.2">
      <c r="A213" s="10" t="s">
        <v>354</v>
      </c>
      <c r="B213" s="10" t="s">
        <v>115</v>
      </c>
      <c r="C213" s="10" t="s">
        <v>909</v>
      </c>
      <c r="D213" s="10" t="s">
        <v>910</v>
      </c>
      <c r="E213" s="10" t="s">
        <v>1064</v>
      </c>
      <c r="F213" s="9" t="s">
        <v>1008</v>
      </c>
      <c r="G213" s="10">
        <v>2024</v>
      </c>
      <c r="H213" s="10">
        <v>16</v>
      </c>
      <c r="I213" s="10">
        <f t="shared" si="6"/>
        <v>208</v>
      </c>
      <c r="J213" s="10" t="str">
        <f>Tableau2[[#This Row],[Annee d''inscription au programme]]&amp;"-"&amp;Tableau2[[#This Row],[Code d''ecole]]&amp;"-"&amp;Tableau2[[#This Row],[Numero HM de la femme]]</f>
        <v>2024-16-208</v>
      </c>
      <c r="K213" s="10">
        <f t="shared" si="7"/>
        <v>208</v>
      </c>
      <c r="L213" s="42">
        <v>2</v>
      </c>
      <c r="M213" s="52">
        <v>4</v>
      </c>
      <c r="N213" s="63">
        <f>SUM(Tableau2[[#This Row],[Mathématique/20]]+Tableau2[[#This Row],[Français /20]])/2</f>
        <v>3</v>
      </c>
      <c r="O213" s="42">
        <v>16.5</v>
      </c>
      <c r="P213" s="52">
        <v>17</v>
      </c>
      <c r="Q213" s="63">
        <f>(Tableau2[[#This Row],[Mathématique /20]]+Tableau2[[#This Row],[Français /202]])/2</f>
        <v>16.75</v>
      </c>
      <c r="S213"/>
      <c r="T213"/>
      <c r="U213"/>
      <c r="V213"/>
    </row>
    <row r="214" spans="1:22" ht="16" x14ac:dyDescent="0.2">
      <c r="A214" s="10" t="s">
        <v>354</v>
      </c>
      <c r="B214" s="10" t="s">
        <v>115</v>
      </c>
      <c r="C214" s="10" t="s">
        <v>357</v>
      </c>
      <c r="D214" s="10" t="s">
        <v>358</v>
      </c>
      <c r="E214" s="10" t="s">
        <v>1065</v>
      </c>
      <c r="F214" s="9" t="s">
        <v>1008</v>
      </c>
      <c r="G214" s="10">
        <v>2024</v>
      </c>
      <c r="H214" s="10">
        <v>16</v>
      </c>
      <c r="I214" s="10">
        <f t="shared" si="6"/>
        <v>209</v>
      </c>
      <c r="J214" s="10" t="str">
        <f>Tableau2[[#This Row],[Annee d''inscription au programme]]&amp;"-"&amp;Tableau2[[#This Row],[Code d''ecole]]&amp;"-"&amp;Tableau2[[#This Row],[Numero HM de la femme]]</f>
        <v>2024-16-209</v>
      </c>
      <c r="K214" s="10">
        <f t="shared" si="7"/>
        <v>209</v>
      </c>
      <c r="L214" s="42">
        <v>2</v>
      </c>
      <c r="M214" s="52">
        <v>3</v>
      </c>
      <c r="N214" s="63">
        <f>SUM(Tableau2[[#This Row],[Mathématique/20]]+Tableau2[[#This Row],[Français /20]])/2</f>
        <v>2.5</v>
      </c>
      <c r="O214" s="42">
        <v>14.5</v>
      </c>
      <c r="P214" s="52">
        <v>18.5</v>
      </c>
      <c r="Q214" s="63">
        <f>(Tableau2[[#This Row],[Mathématique /20]]+Tableau2[[#This Row],[Français /202]])/2</f>
        <v>16.5</v>
      </c>
      <c r="S214"/>
      <c r="T214"/>
      <c r="U214"/>
      <c r="V214"/>
    </row>
    <row r="215" spans="1:22" ht="16" x14ac:dyDescent="0.2">
      <c r="A215" s="10" t="s">
        <v>354</v>
      </c>
      <c r="B215" s="10" t="s">
        <v>115</v>
      </c>
      <c r="C215" s="10" t="s">
        <v>966</v>
      </c>
      <c r="D215" s="10" t="s">
        <v>967</v>
      </c>
      <c r="E215" s="10" t="s">
        <v>1065</v>
      </c>
      <c r="F215" s="9" t="s">
        <v>1008</v>
      </c>
      <c r="G215" s="10">
        <v>2024</v>
      </c>
      <c r="H215" s="10">
        <v>16</v>
      </c>
      <c r="I215" s="10">
        <f t="shared" si="6"/>
        <v>210</v>
      </c>
      <c r="J215" s="10" t="str">
        <f>Tableau2[[#This Row],[Annee d''inscription au programme]]&amp;"-"&amp;Tableau2[[#This Row],[Code d''ecole]]&amp;"-"&amp;Tableau2[[#This Row],[Numero HM de la femme]]</f>
        <v>2024-16-210</v>
      </c>
      <c r="K215" s="10">
        <f t="shared" si="7"/>
        <v>210</v>
      </c>
      <c r="L215" s="42">
        <v>8</v>
      </c>
      <c r="M215" s="52">
        <v>6</v>
      </c>
      <c r="N215" s="63">
        <f>SUM(Tableau2[[#This Row],[Mathématique/20]]+Tableau2[[#This Row],[Français /20]])/2</f>
        <v>7</v>
      </c>
      <c r="O215" s="42">
        <v>11.5</v>
      </c>
      <c r="P215" s="52">
        <v>18</v>
      </c>
      <c r="Q215" s="63">
        <f>(Tableau2[[#This Row],[Mathématique /20]]+Tableau2[[#This Row],[Français /202]])/2</f>
        <v>14.75</v>
      </c>
      <c r="S215"/>
      <c r="T215"/>
      <c r="U215"/>
      <c r="V215"/>
    </row>
    <row r="216" spans="1:22" ht="16" x14ac:dyDescent="0.2">
      <c r="A216" s="10" t="s">
        <v>354</v>
      </c>
      <c r="B216" s="10" t="s">
        <v>115</v>
      </c>
      <c r="C216" s="10" t="s">
        <v>359</v>
      </c>
      <c r="D216" s="10" t="s">
        <v>360</v>
      </c>
      <c r="E216" s="10" t="s">
        <v>1064</v>
      </c>
      <c r="F216" s="9" t="s">
        <v>1008</v>
      </c>
      <c r="G216" s="10">
        <v>2024</v>
      </c>
      <c r="H216" s="10">
        <v>16</v>
      </c>
      <c r="I216" s="10">
        <f t="shared" si="6"/>
        <v>211</v>
      </c>
      <c r="J216" s="10" t="str">
        <f>Tableau2[[#This Row],[Annee d''inscription au programme]]&amp;"-"&amp;Tableau2[[#This Row],[Code d''ecole]]&amp;"-"&amp;Tableau2[[#This Row],[Numero HM de la femme]]</f>
        <v>2024-16-211</v>
      </c>
      <c r="K216" s="10">
        <f t="shared" si="7"/>
        <v>211</v>
      </c>
      <c r="L216" s="42">
        <v>0</v>
      </c>
      <c r="M216" s="52">
        <v>0.5</v>
      </c>
      <c r="N216" s="63">
        <f>SUM(Tableau2[[#This Row],[Mathématique/20]]+Tableau2[[#This Row],[Français /20]])/2</f>
        <v>0.25</v>
      </c>
      <c r="O216" s="42">
        <v>11.5</v>
      </c>
      <c r="P216" s="52">
        <v>15.25</v>
      </c>
      <c r="Q216" s="63">
        <f>(Tableau2[[#This Row],[Mathématique /20]]+Tableau2[[#This Row],[Français /202]])/2</f>
        <v>13.375</v>
      </c>
      <c r="S216"/>
      <c r="T216"/>
      <c r="U216"/>
      <c r="V216"/>
    </row>
    <row r="217" spans="1:22" ht="16" x14ac:dyDescent="0.2">
      <c r="A217" s="10" t="s">
        <v>354</v>
      </c>
      <c r="B217" s="10" t="s">
        <v>115</v>
      </c>
      <c r="C217" s="10" t="s">
        <v>361</v>
      </c>
      <c r="D217" s="10" t="s">
        <v>362</v>
      </c>
      <c r="E217" s="10" t="s">
        <v>1065</v>
      </c>
      <c r="F217" s="9" t="s">
        <v>1008</v>
      </c>
      <c r="G217" s="10">
        <v>2024</v>
      </c>
      <c r="H217" s="10">
        <v>16</v>
      </c>
      <c r="I217" s="10">
        <f t="shared" si="6"/>
        <v>212</v>
      </c>
      <c r="J217" s="10" t="str">
        <f>Tableau2[[#This Row],[Annee d''inscription au programme]]&amp;"-"&amp;Tableau2[[#This Row],[Code d''ecole]]&amp;"-"&amp;Tableau2[[#This Row],[Numero HM de la femme]]</f>
        <v>2024-16-212</v>
      </c>
      <c r="K217" s="10">
        <f t="shared" si="7"/>
        <v>212</v>
      </c>
      <c r="L217" s="42">
        <v>0</v>
      </c>
      <c r="M217" s="52">
        <v>1.75</v>
      </c>
      <c r="N217" s="63">
        <f>SUM(Tableau2[[#This Row],[Mathématique/20]]+Tableau2[[#This Row],[Français /20]])/2</f>
        <v>0.875</v>
      </c>
      <c r="O217" s="42">
        <v>10.5</v>
      </c>
      <c r="P217" s="52">
        <v>14.5</v>
      </c>
      <c r="Q217" s="63">
        <f>(Tableau2[[#This Row],[Mathématique /20]]+Tableau2[[#This Row],[Français /202]])/2</f>
        <v>12.5</v>
      </c>
      <c r="S217"/>
      <c r="T217"/>
      <c r="U217"/>
      <c r="V217"/>
    </row>
    <row r="218" spans="1:22" ht="16" x14ac:dyDescent="0.2">
      <c r="A218" s="10" t="s">
        <v>354</v>
      </c>
      <c r="B218" s="10" t="s">
        <v>115</v>
      </c>
      <c r="C218" s="10" t="s">
        <v>363</v>
      </c>
      <c r="D218" s="10" t="s">
        <v>76</v>
      </c>
      <c r="E218" s="10" t="s">
        <v>1064</v>
      </c>
      <c r="F218" s="9" t="s">
        <v>1008</v>
      </c>
      <c r="G218" s="10">
        <v>2024</v>
      </c>
      <c r="H218" s="10">
        <v>16</v>
      </c>
      <c r="I218" s="10">
        <f t="shared" si="6"/>
        <v>213</v>
      </c>
      <c r="J218" s="10" t="str">
        <f>Tableau2[[#This Row],[Annee d''inscription au programme]]&amp;"-"&amp;Tableau2[[#This Row],[Code d''ecole]]&amp;"-"&amp;Tableau2[[#This Row],[Numero HM de la femme]]</f>
        <v>2024-16-213</v>
      </c>
      <c r="K218" s="10">
        <f t="shared" si="7"/>
        <v>213</v>
      </c>
      <c r="L218" s="42">
        <v>0</v>
      </c>
      <c r="M218" s="52">
        <v>2.5</v>
      </c>
      <c r="N218" s="63">
        <f>SUM(Tableau2[[#This Row],[Mathématique/20]]+Tableau2[[#This Row],[Français /20]])/2</f>
        <v>1.25</v>
      </c>
      <c r="O218" s="42">
        <v>14</v>
      </c>
      <c r="P218" s="52">
        <v>17</v>
      </c>
      <c r="Q218" s="63">
        <f>(Tableau2[[#This Row],[Mathématique /20]]+Tableau2[[#This Row],[Français /202]])/2</f>
        <v>15.5</v>
      </c>
      <c r="S218"/>
      <c r="T218"/>
      <c r="U218"/>
      <c r="V218"/>
    </row>
    <row r="219" spans="1:22" ht="16" x14ac:dyDescent="0.2">
      <c r="A219" s="10" t="s">
        <v>354</v>
      </c>
      <c r="B219" s="10" t="s">
        <v>115</v>
      </c>
      <c r="C219" s="10" t="s">
        <v>364</v>
      </c>
      <c r="D219" s="10" t="s">
        <v>365</v>
      </c>
      <c r="E219" s="10" t="s">
        <v>1065</v>
      </c>
      <c r="F219" s="9" t="s">
        <v>1008</v>
      </c>
      <c r="G219" s="10">
        <v>2024</v>
      </c>
      <c r="H219" s="10">
        <v>16</v>
      </c>
      <c r="I219" s="10">
        <f t="shared" si="6"/>
        <v>214</v>
      </c>
      <c r="J219" s="10" t="str">
        <f>Tableau2[[#This Row],[Annee d''inscription au programme]]&amp;"-"&amp;Tableau2[[#This Row],[Code d''ecole]]&amp;"-"&amp;Tableau2[[#This Row],[Numero HM de la femme]]</f>
        <v>2024-16-214</v>
      </c>
      <c r="K219" s="10">
        <f t="shared" si="7"/>
        <v>214</v>
      </c>
      <c r="L219" s="42">
        <v>0</v>
      </c>
      <c r="M219" s="52">
        <v>0</v>
      </c>
      <c r="N219" s="63">
        <f>SUM(Tableau2[[#This Row],[Mathématique/20]]+Tableau2[[#This Row],[Français /20]])/2</f>
        <v>0</v>
      </c>
      <c r="O219" s="42">
        <v>14</v>
      </c>
      <c r="P219" s="52">
        <v>17</v>
      </c>
      <c r="Q219" s="63">
        <f>(Tableau2[[#This Row],[Mathématique /20]]+Tableau2[[#This Row],[Français /202]])/2</f>
        <v>15.5</v>
      </c>
      <c r="S219"/>
      <c r="T219"/>
      <c r="U219"/>
      <c r="V219"/>
    </row>
    <row r="220" spans="1:22" ht="16" x14ac:dyDescent="0.2">
      <c r="A220" s="10" t="s">
        <v>354</v>
      </c>
      <c r="B220" s="10" t="s">
        <v>115</v>
      </c>
      <c r="C220" s="10" t="s">
        <v>366</v>
      </c>
      <c r="D220" s="10" t="s">
        <v>367</v>
      </c>
      <c r="E220" s="10" t="s">
        <v>1065</v>
      </c>
      <c r="F220" s="9" t="s">
        <v>1008</v>
      </c>
      <c r="G220" s="10">
        <v>2024</v>
      </c>
      <c r="H220" s="10">
        <v>16</v>
      </c>
      <c r="I220" s="10">
        <f t="shared" si="6"/>
        <v>215</v>
      </c>
      <c r="J220" s="10" t="str">
        <f>Tableau2[[#This Row],[Annee d''inscription au programme]]&amp;"-"&amp;Tableau2[[#This Row],[Code d''ecole]]&amp;"-"&amp;Tableau2[[#This Row],[Numero HM de la femme]]</f>
        <v>2024-16-215</v>
      </c>
      <c r="K220" s="10">
        <f t="shared" si="7"/>
        <v>215</v>
      </c>
      <c r="L220" s="42">
        <v>0</v>
      </c>
      <c r="M220" s="52">
        <v>1.25</v>
      </c>
      <c r="N220" s="63">
        <f>SUM(Tableau2[[#This Row],[Mathématique/20]]+Tableau2[[#This Row],[Français /20]])/2</f>
        <v>0.625</v>
      </c>
      <c r="O220" s="42">
        <v>13.5</v>
      </c>
      <c r="P220" s="52">
        <v>16.75</v>
      </c>
      <c r="Q220" s="63">
        <f>(Tableau2[[#This Row],[Mathématique /20]]+Tableau2[[#This Row],[Français /202]])/2</f>
        <v>15.125</v>
      </c>
      <c r="S220"/>
      <c r="T220"/>
      <c r="U220"/>
      <c r="V220"/>
    </row>
    <row r="221" spans="1:22" ht="16" x14ac:dyDescent="0.2">
      <c r="A221" s="10" t="s">
        <v>354</v>
      </c>
      <c r="B221" s="10" t="s">
        <v>115</v>
      </c>
      <c r="C221" s="10" t="s">
        <v>368</v>
      </c>
      <c r="D221" s="10" t="s">
        <v>369</v>
      </c>
      <c r="E221" s="10" t="s">
        <v>1064</v>
      </c>
      <c r="F221" s="9" t="s">
        <v>1008</v>
      </c>
      <c r="G221" s="10">
        <v>2024</v>
      </c>
      <c r="H221" s="10">
        <v>16</v>
      </c>
      <c r="I221" s="10">
        <f t="shared" si="6"/>
        <v>216</v>
      </c>
      <c r="J221" s="10" t="str">
        <f>Tableau2[[#This Row],[Annee d''inscription au programme]]&amp;"-"&amp;Tableau2[[#This Row],[Code d''ecole]]&amp;"-"&amp;Tableau2[[#This Row],[Numero HM de la femme]]</f>
        <v>2024-16-216</v>
      </c>
      <c r="K221" s="10">
        <f t="shared" si="7"/>
        <v>216</v>
      </c>
      <c r="L221" s="42">
        <v>2</v>
      </c>
      <c r="M221" s="52">
        <v>0.5</v>
      </c>
      <c r="N221" s="63">
        <f>SUM(Tableau2[[#This Row],[Mathématique/20]]+Tableau2[[#This Row],[Français /20]])/2</f>
        <v>1.25</v>
      </c>
      <c r="O221" s="42">
        <v>15</v>
      </c>
      <c r="P221" s="52">
        <v>16.25</v>
      </c>
      <c r="Q221" s="63">
        <f>(Tableau2[[#This Row],[Mathématique /20]]+Tableau2[[#This Row],[Français /202]])/2</f>
        <v>15.625</v>
      </c>
      <c r="S221"/>
      <c r="T221"/>
      <c r="U221"/>
      <c r="V221"/>
    </row>
    <row r="222" spans="1:22" ht="16" x14ac:dyDescent="0.2">
      <c r="A222" s="10" t="s">
        <v>354</v>
      </c>
      <c r="B222" s="10" t="s">
        <v>115</v>
      </c>
      <c r="C222" s="10" t="s">
        <v>370</v>
      </c>
      <c r="D222" s="10" t="s">
        <v>371</v>
      </c>
      <c r="E222" s="10" t="s">
        <v>1064</v>
      </c>
      <c r="F222" s="9" t="s">
        <v>1008</v>
      </c>
      <c r="G222" s="10">
        <v>2024</v>
      </c>
      <c r="H222" s="10">
        <v>16</v>
      </c>
      <c r="I222" s="10">
        <f t="shared" si="6"/>
        <v>217</v>
      </c>
      <c r="J222" s="10" t="str">
        <f>Tableau2[[#This Row],[Annee d''inscription au programme]]&amp;"-"&amp;Tableau2[[#This Row],[Code d''ecole]]&amp;"-"&amp;Tableau2[[#This Row],[Numero HM de la femme]]</f>
        <v>2024-16-217</v>
      </c>
      <c r="K222" s="10">
        <f t="shared" si="7"/>
        <v>217</v>
      </c>
      <c r="L222" s="42">
        <v>0</v>
      </c>
      <c r="M222" s="52">
        <v>0.25</v>
      </c>
      <c r="N222" s="63">
        <f>SUM(Tableau2[[#This Row],[Mathématique/20]]+Tableau2[[#This Row],[Français /20]])/2</f>
        <v>0.125</v>
      </c>
      <c r="O222" s="42">
        <v>11</v>
      </c>
      <c r="P222" s="52">
        <v>17</v>
      </c>
      <c r="Q222" s="63">
        <f>(Tableau2[[#This Row],[Mathématique /20]]+Tableau2[[#This Row],[Français /202]])/2</f>
        <v>14</v>
      </c>
      <c r="S222"/>
      <c r="T222"/>
      <c r="U222"/>
      <c r="V222"/>
    </row>
    <row r="223" spans="1:22" ht="16" x14ac:dyDescent="0.2">
      <c r="A223" s="10" t="s">
        <v>354</v>
      </c>
      <c r="B223" s="10" t="s">
        <v>115</v>
      </c>
      <c r="C223" s="10" t="s">
        <v>201</v>
      </c>
      <c r="D223" s="10" t="s">
        <v>230</v>
      </c>
      <c r="E223" s="10" t="s">
        <v>1064</v>
      </c>
      <c r="F223" s="9" t="s">
        <v>1008</v>
      </c>
      <c r="G223" s="10">
        <v>2024</v>
      </c>
      <c r="H223" s="10">
        <v>16</v>
      </c>
      <c r="I223" s="10">
        <f t="shared" si="6"/>
        <v>218</v>
      </c>
      <c r="J223" s="10" t="str">
        <f>Tableau2[[#This Row],[Annee d''inscription au programme]]&amp;"-"&amp;Tableau2[[#This Row],[Code d''ecole]]&amp;"-"&amp;Tableau2[[#This Row],[Numero HM de la femme]]</f>
        <v>2024-16-218</v>
      </c>
      <c r="K223" s="10">
        <f t="shared" si="7"/>
        <v>218</v>
      </c>
      <c r="L223" s="42">
        <v>4.5</v>
      </c>
      <c r="M223" s="52">
        <v>3</v>
      </c>
      <c r="N223" s="63">
        <f>SUM(Tableau2[[#This Row],[Mathématique/20]]+Tableau2[[#This Row],[Français /20]])/2</f>
        <v>3.75</v>
      </c>
      <c r="O223" s="42">
        <v>12</v>
      </c>
      <c r="P223" s="52">
        <v>17.5</v>
      </c>
      <c r="Q223" s="63">
        <f>(Tableau2[[#This Row],[Mathématique /20]]+Tableau2[[#This Row],[Français /202]])/2</f>
        <v>14.75</v>
      </c>
      <c r="S223"/>
      <c r="T223"/>
      <c r="U223"/>
      <c r="V223"/>
    </row>
    <row r="224" spans="1:22" ht="16" x14ac:dyDescent="0.2">
      <c r="A224" s="10" t="s">
        <v>354</v>
      </c>
      <c r="B224" s="11" t="s">
        <v>115</v>
      </c>
      <c r="C224" s="11" t="s">
        <v>968</v>
      </c>
      <c r="D224" s="10" t="s">
        <v>212</v>
      </c>
      <c r="E224" s="10" t="s">
        <v>1065</v>
      </c>
      <c r="F224" s="9" t="s">
        <v>1009</v>
      </c>
      <c r="G224" s="10">
        <v>2024</v>
      </c>
      <c r="H224" s="10">
        <v>16</v>
      </c>
      <c r="I224" s="10">
        <f t="shared" si="6"/>
        <v>219</v>
      </c>
      <c r="J224" s="11" t="str">
        <f>Tableau2[[#This Row],[Annee d''inscription au programme]]&amp;"-"&amp;Tableau2[[#This Row],[Code d''ecole]]&amp;"-"&amp;Tableau2[[#This Row],[Numero HM de la femme]]</f>
        <v>2024-16-219</v>
      </c>
      <c r="K224" s="10">
        <f t="shared" si="7"/>
        <v>219</v>
      </c>
      <c r="L224" s="42">
        <v>1</v>
      </c>
      <c r="M224" s="52">
        <v>2</v>
      </c>
      <c r="N224" s="63">
        <f>SUM(Tableau2[[#This Row],[Mathématique/20]]+Tableau2[[#This Row],[Français /20]])/2</f>
        <v>1.5</v>
      </c>
      <c r="O224" s="42">
        <v>11.5</v>
      </c>
      <c r="P224" s="52">
        <v>13</v>
      </c>
      <c r="Q224" s="63">
        <f>(Tableau2[[#This Row],[Mathématique /20]]+Tableau2[[#This Row],[Français /202]])/2</f>
        <v>12.25</v>
      </c>
      <c r="S224"/>
      <c r="T224"/>
      <c r="U224"/>
      <c r="V224"/>
    </row>
    <row r="225" spans="1:22" ht="16" x14ac:dyDescent="0.2">
      <c r="A225" s="10" t="s">
        <v>354</v>
      </c>
      <c r="B225" s="10" t="s">
        <v>115</v>
      </c>
      <c r="C225" s="10" t="s">
        <v>372</v>
      </c>
      <c r="D225" s="10" t="s">
        <v>373</v>
      </c>
      <c r="E225" s="10" t="s">
        <v>1065</v>
      </c>
      <c r="F225" s="9" t="s">
        <v>1008</v>
      </c>
      <c r="G225" s="10">
        <v>2024</v>
      </c>
      <c r="H225" s="10">
        <v>16</v>
      </c>
      <c r="I225" s="10">
        <f t="shared" si="6"/>
        <v>220</v>
      </c>
      <c r="J225" s="10" t="str">
        <f>Tableau2[[#This Row],[Annee d''inscription au programme]]&amp;"-"&amp;Tableau2[[#This Row],[Code d''ecole]]&amp;"-"&amp;Tableau2[[#This Row],[Numero HM de la femme]]</f>
        <v>2024-16-220</v>
      </c>
      <c r="K225" s="10">
        <f t="shared" si="7"/>
        <v>220</v>
      </c>
      <c r="L225" s="42">
        <v>0</v>
      </c>
      <c r="M225" s="52">
        <v>0</v>
      </c>
      <c r="N225" s="63">
        <f>SUM(Tableau2[[#This Row],[Mathématique/20]]+Tableau2[[#This Row],[Français /20]])/2</f>
        <v>0</v>
      </c>
      <c r="O225" s="42">
        <v>10</v>
      </c>
      <c r="P225" s="52">
        <v>12</v>
      </c>
      <c r="Q225" s="63">
        <f>(Tableau2[[#This Row],[Mathématique /20]]+Tableau2[[#This Row],[Français /202]])/2</f>
        <v>11</v>
      </c>
      <c r="S225"/>
      <c r="T225"/>
      <c r="U225"/>
      <c r="V225"/>
    </row>
    <row r="226" spans="1:22" ht="16" x14ac:dyDescent="0.2">
      <c r="A226" s="10" t="s">
        <v>354</v>
      </c>
      <c r="B226" s="10" t="s">
        <v>115</v>
      </c>
      <c r="C226" s="10" t="s">
        <v>374</v>
      </c>
      <c r="D226" s="10" t="s">
        <v>375</v>
      </c>
      <c r="E226" s="10" t="s">
        <v>1065</v>
      </c>
      <c r="F226" s="9" t="s">
        <v>1008</v>
      </c>
      <c r="G226" s="10">
        <v>2024</v>
      </c>
      <c r="H226" s="10">
        <v>16</v>
      </c>
      <c r="I226" s="10">
        <f t="shared" si="6"/>
        <v>221</v>
      </c>
      <c r="J226" s="10" t="str">
        <f>Tableau2[[#This Row],[Annee d''inscription au programme]]&amp;"-"&amp;Tableau2[[#This Row],[Code d''ecole]]&amp;"-"&amp;Tableau2[[#This Row],[Numero HM de la femme]]</f>
        <v>2024-16-221</v>
      </c>
      <c r="K226" s="10">
        <f t="shared" si="7"/>
        <v>221</v>
      </c>
      <c r="L226" s="42">
        <v>0.5</v>
      </c>
      <c r="M226" s="52">
        <v>0</v>
      </c>
      <c r="N226" s="63">
        <f>SUM(Tableau2[[#This Row],[Mathématique/20]]+Tableau2[[#This Row],[Français /20]])/2</f>
        <v>0.25</v>
      </c>
      <c r="O226" s="42">
        <v>13.5</v>
      </c>
      <c r="P226" s="52">
        <v>13</v>
      </c>
      <c r="Q226" s="63">
        <f>(Tableau2[[#This Row],[Mathématique /20]]+Tableau2[[#This Row],[Français /202]])/2</f>
        <v>13.25</v>
      </c>
      <c r="S226"/>
      <c r="T226"/>
      <c r="U226"/>
      <c r="V226"/>
    </row>
    <row r="227" spans="1:22" ht="16" x14ac:dyDescent="0.2">
      <c r="A227" s="10" t="s">
        <v>354</v>
      </c>
      <c r="B227" s="10" t="s">
        <v>115</v>
      </c>
      <c r="C227" s="10" t="s">
        <v>969</v>
      </c>
      <c r="D227" s="10" t="s">
        <v>953</v>
      </c>
      <c r="E227" s="10" t="s">
        <v>1065</v>
      </c>
      <c r="F227" s="9" t="s">
        <v>1008</v>
      </c>
      <c r="G227" s="10">
        <v>2024</v>
      </c>
      <c r="H227" s="10">
        <v>16</v>
      </c>
      <c r="I227" s="10">
        <f t="shared" si="6"/>
        <v>222</v>
      </c>
      <c r="J227" s="10" t="str">
        <f>Tableau2[[#This Row],[Annee d''inscription au programme]]&amp;"-"&amp;Tableau2[[#This Row],[Code d''ecole]]&amp;"-"&amp;Tableau2[[#This Row],[Numero HM de la femme]]</f>
        <v>2024-16-222</v>
      </c>
      <c r="K227" s="10">
        <f t="shared" si="7"/>
        <v>222</v>
      </c>
      <c r="L227" s="42">
        <v>0</v>
      </c>
      <c r="M227" s="52">
        <v>0</v>
      </c>
      <c r="N227" s="63">
        <f>SUM(Tableau2[[#This Row],[Mathématique/20]]+Tableau2[[#This Row],[Français /20]])/2</f>
        <v>0</v>
      </c>
      <c r="O227" s="42">
        <v>15</v>
      </c>
      <c r="P227" s="52">
        <v>16.25</v>
      </c>
      <c r="Q227" s="63">
        <f>(Tableau2[[#This Row],[Mathématique /20]]+Tableau2[[#This Row],[Français /202]])/2</f>
        <v>15.625</v>
      </c>
      <c r="S227"/>
      <c r="T227"/>
      <c r="U227"/>
      <c r="V227"/>
    </row>
    <row r="228" spans="1:22" ht="16" x14ac:dyDescent="0.2">
      <c r="A228" s="10" t="s">
        <v>354</v>
      </c>
      <c r="B228" s="10" t="s">
        <v>115</v>
      </c>
      <c r="C228" s="10" t="s">
        <v>970</v>
      </c>
      <c r="D228" s="10" t="s">
        <v>971</v>
      </c>
      <c r="E228" s="10" t="s">
        <v>1065</v>
      </c>
      <c r="F228" s="9" t="s">
        <v>1008</v>
      </c>
      <c r="G228" s="10">
        <v>2024</v>
      </c>
      <c r="H228" s="10">
        <v>16</v>
      </c>
      <c r="I228" s="10">
        <f t="shared" si="6"/>
        <v>223</v>
      </c>
      <c r="J228" s="10" t="str">
        <f>Tableau2[[#This Row],[Annee d''inscription au programme]]&amp;"-"&amp;Tableau2[[#This Row],[Code d''ecole]]&amp;"-"&amp;Tableau2[[#This Row],[Numero HM de la femme]]</f>
        <v>2024-16-223</v>
      </c>
      <c r="K228" s="10">
        <f t="shared" si="7"/>
        <v>223</v>
      </c>
      <c r="L228" s="42">
        <v>0</v>
      </c>
      <c r="M228" s="52">
        <v>0</v>
      </c>
      <c r="N228" s="63">
        <f>SUM(Tableau2[[#This Row],[Mathématique/20]]+Tableau2[[#This Row],[Français /20]])/2</f>
        <v>0</v>
      </c>
      <c r="O228" s="42">
        <v>10.5</v>
      </c>
      <c r="P228" s="52">
        <v>10</v>
      </c>
      <c r="Q228" s="63">
        <f>(Tableau2[[#This Row],[Mathématique /20]]+Tableau2[[#This Row],[Français /202]])/2</f>
        <v>10.25</v>
      </c>
      <c r="S228"/>
      <c r="T228"/>
      <c r="U228"/>
      <c r="V228"/>
    </row>
    <row r="229" spans="1:22" ht="16" x14ac:dyDescent="0.2">
      <c r="A229" s="10" t="s">
        <v>354</v>
      </c>
      <c r="B229" s="10" t="s">
        <v>115</v>
      </c>
      <c r="C229" s="10" t="s">
        <v>376</v>
      </c>
      <c r="D229" s="10" t="s">
        <v>377</v>
      </c>
      <c r="E229" s="10" t="s">
        <v>1064</v>
      </c>
      <c r="F229" s="9" t="s">
        <v>1008</v>
      </c>
      <c r="G229" s="10">
        <v>2024</v>
      </c>
      <c r="H229" s="10">
        <v>16</v>
      </c>
      <c r="I229" s="10">
        <f t="shared" si="6"/>
        <v>224</v>
      </c>
      <c r="J229" s="10" t="str">
        <f>Tableau2[[#This Row],[Annee d''inscription au programme]]&amp;"-"&amp;Tableau2[[#This Row],[Code d''ecole]]&amp;"-"&amp;Tableau2[[#This Row],[Numero HM de la femme]]</f>
        <v>2024-16-224</v>
      </c>
      <c r="K229" s="10">
        <f t="shared" si="7"/>
        <v>224</v>
      </c>
      <c r="L229" s="42">
        <v>0.5</v>
      </c>
      <c r="M229" s="52">
        <v>0</v>
      </c>
      <c r="N229" s="63">
        <f>SUM(Tableau2[[#This Row],[Mathématique/20]]+Tableau2[[#This Row],[Français /20]])/2</f>
        <v>0.25</v>
      </c>
      <c r="O229" s="42">
        <v>13</v>
      </c>
      <c r="P229" s="52">
        <v>17.5</v>
      </c>
      <c r="Q229" s="63">
        <f>(Tableau2[[#This Row],[Mathématique /20]]+Tableau2[[#This Row],[Français /202]])/2</f>
        <v>15.25</v>
      </c>
      <c r="S229"/>
      <c r="T229"/>
      <c r="U229"/>
      <c r="V229"/>
    </row>
    <row r="230" spans="1:22" ht="16" x14ac:dyDescent="0.2">
      <c r="A230" s="10" t="s">
        <v>354</v>
      </c>
      <c r="B230" s="10" t="s">
        <v>115</v>
      </c>
      <c r="C230" s="10" t="s">
        <v>378</v>
      </c>
      <c r="D230" s="10" t="s">
        <v>379</v>
      </c>
      <c r="E230" s="10" t="s">
        <v>1064</v>
      </c>
      <c r="F230" s="9" t="s">
        <v>1008</v>
      </c>
      <c r="G230" s="10">
        <v>2024</v>
      </c>
      <c r="H230" s="10">
        <v>16</v>
      </c>
      <c r="I230" s="10">
        <f t="shared" si="6"/>
        <v>225</v>
      </c>
      <c r="J230" s="10" t="str">
        <f>Tableau2[[#This Row],[Annee d''inscription au programme]]&amp;"-"&amp;Tableau2[[#This Row],[Code d''ecole]]&amp;"-"&amp;Tableau2[[#This Row],[Numero HM de la femme]]</f>
        <v>2024-16-225</v>
      </c>
      <c r="K230" s="10">
        <f t="shared" si="7"/>
        <v>225</v>
      </c>
      <c r="L230" s="42">
        <v>0.5</v>
      </c>
      <c r="M230" s="52">
        <v>1.5</v>
      </c>
      <c r="N230" s="63">
        <f>SUM(Tableau2[[#This Row],[Mathématique/20]]+Tableau2[[#This Row],[Français /20]])/2</f>
        <v>1</v>
      </c>
      <c r="O230" s="42">
        <v>18</v>
      </c>
      <c r="P230" s="52">
        <v>19</v>
      </c>
      <c r="Q230" s="63">
        <f>(Tableau2[[#This Row],[Mathématique /20]]+Tableau2[[#This Row],[Français /202]])/2</f>
        <v>18.5</v>
      </c>
      <c r="S230"/>
      <c r="T230"/>
      <c r="U230"/>
      <c r="V230"/>
    </row>
    <row r="231" spans="1:22" ht="16" x14ac:dyDescent="0.2">
      <c r="A231" s="10" t="s">
        <v>354</v>
      </c>
      <c r="B231" s="10" t="s">
        <v>115</v>
      </c>
      <c r="C231" s="10" t="s">
        <v>380</v>
      </c>
      <c r="D231" s="10" t="s">
        <v>381</v>
      </c>
      <c r="E231" s="10" t="s">
        <v>1064</v>
      </c>
      <c r="F231" s="9" t="s">
        <v>1008</v>
      </c>
      <c r="G231" s="10">
        <v>2024</v>
      </c>
      <c r="H231" s="10">
        <v>16</v>
      </c>
      <c r="I231" s="10">
        <f t="shared" si="6"/>
        <v>226</v>
      </c>
      <c r="J231" s="10" t="str">
        <f>Tableau2[[#This Row],[Annee d''inscription au programme]]&amp;"-"&amp;Tableau2[[#This Row],[Code d''ecole]]&amp;"-"&amp;Tableau2[[#This Row],[Numero HM de la femme]]</f>
        <v>2024-16-226</v>
      </c>
      <c r="K231" s="10">
        <f t="shared" si="7"/>
        <v>226</v>
      </c>
      <c r="L231" s="42">
        <v>0</v>
      </c>
      <c r="M231" s="52">
        <v>2.5</v>
      </c>
      <c r="N231" s="63">
        <f>SUM(Tableau2[[#This Row],[Mathématique/20]]+Tableau2[[#This Row],[Français /20]])/2</f>
        <v>1.25</v>
      </c>
      <c r="O231" s="42">
        <v>15</v>
      </c>
      <c r="P231" s="52">
        <v>13</v>
      </c>
      <c r="Q231" s="63">
        <f>(Tableau2[[#This Row],[Mathématique /20]]+Tableau2[[#This Row],[Français /202]])/2</f>
        <v>14</v>
      </c>
      <c r="S231"/>
      <c r="T231"/>
      <c r="U231"/>
      <c r="V231"/>
    </row>
    <row r="232" spans="1:22" ht="16" x14ac:dyDescent="0.2">
      <c r="A232" s="10" t="s">
        <v>354</v>
      </c>
      <c r="B232" s="10" t="s">
        <v>115</v>
      </c>
      <c r="C232" s="10" t="s">
        <v>110</v>
      </c>
      <c r="D232" s="10" t="s">
        <v>382</v>
      </c>
      <c r="E232" s="10" t="s">
        <v>1064</v>
      </c>
      <c r="F232" s="9" t="s">
        <v>1008</v>
      </c>
      <c r="G232" s="10">
        <v>2024</v>
      </c>
      <c r="H232" s="10">
        <v>16</v>
      </c>
      <c r="I232" s="10">
        <f t="shared" si="6"/>
        <v>227</v>
      </c>
      <c r="J232" s="10" t="str">
        <f>Tableau2[[#This Row],[Annee d''inscription au programme]]&amp;"-"&amp;Tableau2[[#This Row],[Code d''ecole]]&amp;"-"&amp;Tableau2[[#This Row],[Numero HM de la femme]]</f>
        <v>2024-16-227</v>
      </c>
      <c r="K232" s="10">
        <f t="shared" si="7"/>
        <v>227</v>
      </c>
      <c r="L232" s="42">
        <v>0</v>
      </c>
      <c r="M232" s="52">
        <v>0</v>
      </c>
      <c r="N232" s="63">
        <f>SUM(Tableau2[[#This Row],[Mathématique/20]]+Tableau2[[#This Row],[Français /20]])/2</f>
        <v>0</v>
      </c>
      <c r="O232" s="42">
        <v>15</v>
      </c>
      <c r="P232" s="52">
        <v>13.75</v>
      </c>
      <c r="Q232" s="63">
        <f>(Tableau2[[#This Row],[Mathématique /20]]+Tableau2[[#This Row],[Français /202]])/2</f>
        <v>14.375</v>
      </c>
      <c r="S232"/>
      <c r="T232"/>
      <c r="U232"/>
      <c r="V232"/>
    </row>
    <row r="233" spans="1:22" ht="16" x14ac:dyDescent="0.2">
      <c r="A233" s="10" t="s">
        <v>354</v>
      </c>
      <c r="B233" s="10" t="s">
        <v>115</v>
      </c>
      <c r="C233" s="10" t="s">
        <v>383</v>
      </c>
      <c r="D233" s="10" t="s">
        <v>44</v>
      </c>
      <c r="E233" s="10" t="s">
        <v>1064</v>
      </c>
      <c r="F233" s="9" t="s">
        <v>1008</v>
      </c>
      <c r="G233" s="10">
        <v>2024</v>
      </c>
      <c r="H233" s="10">
        <v>16</v>
      </c>
      <c r="I233" s="10">
        <f t="shared" si="6"/>
        <v>228</v>
      </c>
      <c r="J233" s="10" t="str">
        <f>Tableau2[[#This Row],[Annee d''inscription au programme]]&amp;"-"&amp;Tableau2[[#This Row],[Code d''ecole]]&amp;"-"&amp;Tableau2[[#This Row],[Numero HM de la femme]]</f>
        <v>2024-16-228</v>
      </c>
      <c r="K233" s="10">
        <f t="shared" si="7"/>
        <v>228</v>
      </c>
      <c r="L233" s="42">
        <v>0</v>
      </c>
      <c r="M233" s="52">
        <v>1.5</v>
      </c>
      <c r="N233" s="63">
        <f>SUM(Tableau2[[#This Row],[Mathématique/20]]+Tableau2[[#This Row],[Français /20]])/2</f>
        <v>0.75</v>
      </c>
      <c r="O233" s="42">
        <v>15</v>
      </c>
      <c r="P233" s="52">
        <v>11.5</v>
      </c>
      <c r="Q233" s="63">
        <f>(Tableau2[[#This Row],[Mathématique /20]]+Tableau2[[#This Row],[Français /202]])/2</f>
        <v>13.25</v>
      </c>
      <c r="S233"/>
      <c r="T233"/>
      <c r="U233"/>
      <c r="V233"/>
    </row>
    <row r="234" spans="1:22" ht="16" x14ac:dyDescent="0.2">
      <c r="A234" s="10" t="s">
        <v>354</v>
      </c>
      <c r="B234" s="10" t="s">
        <v>115</v>
      </c>
      <c r="C234" s="10" t="s">
        <v>972</v>
      </c>
      <c r="D234" s="10" t="s">
        <v>973</v>
      </c>
      <c r="E234" s="10" t="s">
        <v>1065</v>
      </c>
      <c r="F234" s="9" t="s">
        <v>1008</v>
      </c>
      <c r="G234" s="10">
        <v>2024</v>
      </c>
      <c r="H234" s="10">
        <v>16</v>
      </c>
      <c r="I234" s="10">
        <f t="shared" si="6"/>
        <v>229</v>
      </c>
      <c r="J234" s="10" t="str">
        <f>Tableau2[[#This Row],[Annee d''inscription au programme]]&amp;"-"&amp;Tableau2[[#This Row],[Code d''ecole]]&amp;"-"&amp;Tableau2[[#This Row],[Numero HM de la femme]]</f>
        <v>2024-16-229</v>
      </c>
      <c r="K234" s="10">
        <f t="shared" si="7"/>
        <v>229</v>
      </c>
      <c r="L234" s="42">
        <v>3</v>
      </c>
      <c r="M234" s="52">
        <v>0.25</v>
      </c>
      <c r="N234" s="63">
        <f>SUM(Tableau2[[#This Row],[Mathématique/20]]+Tableau2[[#This Row],[Français /20]])/2</f>
        <v>1.625</v>
      </c>
      <c r="O234" s="42">
        <v>13</v>
      </c>
      <c r="P234" s="52">
        <v>17</v>
      </c>
      <c r="Q234" s="63">
        <f>(Tableau2[[#This Row],[Mathématique /20]]+Tableau2[[#This Row],[Français /202]])/2</f>
        <v>15</v>
      </c>
      <c r="S234"/>
      <c r="T234"/>
      <c r="U234"/>
      <c r="V234"/>
    </row>
    <row r="235" spans="1:22" ht="16" x14ac:dyDescent="0.2">
      <c r="A235" s="10" t="s">
        <v>354</v>
      </c>
      <c r="B235" s="10" t="s">
        <v>115</v>
      </c>
      <c r="C235" s="10" t="s">
        <v>384</v>
      </c>
      <c r="D235" s="10" t="s">
        <v>385</v>
      </c>
      <c r="E235" s="10" t="s">
        <v>1064</v>
      </c>
      <c r="F235" s="9" t="s">
        <v>1008</v>
      </c>
      <c r="G235" s="10">
        <v>2024</v>
      </c>
      <c r="H235" s="10">
        <v>16</v>
      </c>
      <c r="I235" s="10">
        <f t="shared" si="6"/>
        <v>230</v>
      </c>
      <c r="J235" s="10" t="str">
        <f>Tableau2[[#This Row],[Annee d''inscription au programme]]&amp;"-"&amp;Tableau2[[#This Row],[Code d''ecole]]&amp;"-"&amp;Tableau2[[#This Row],[Numero HM de la femme]]</f>
        <v>2024-16-230</v>
      </c>
      <c r="K235" s="10">
        <f t="shared" si="7"/>
        <v>230</v>
      </c>
      <c r="L235" s="42">
        <v>0</v>
      </c>
      <c r="M235" s="52">
        <v>0</v>
      </c>
      <c r="N235" s="63">
        <f>SUM(Tableau2[[#This Row],[Mathématique/20]]+Tableau2[[#This Row],[Français /20]])/2</f>
        <v>0</v>
      </c>
      <c r="O235" s="42">
        <v>16.5</v>
      </c>
      <c r="P235" s="52">
        <v>11</v>
      </c>
      <c r="Q235" s="63">
        <f>(Tableau2[[#This Row],[Mathématique /20]]+Tableau2[[#This Row],[Français /202]])/2</f>
        <v>13.75</v>
      </c>
      <c r="S235"/>
      <c r="T235"/>
      <c r="U235"/>
      <c r="V235"/>
    </row>
    <row r="236" spans="1:22" ht="16" x14ac:dyDescent="0.2">
      <c r="A236" s="10" t="s">
        <v>354</v>
      </c>
      <c r="B236" s="10" t="s">
        <v>115</v>
      </c>
      <c r="C236" s="10" t="s">
        <v>386</v>
      </c>
      <c r="D236" s="10" t="s">
        <v>387</v>
      </c>
      <c r="E236" s="10" t="s">
        <v>1065</v>
      </c>
      <c r="F236" s="9" t="s">
        <v>1008</v>
      </c>
      <c r="G236" s="10">
        <v>2024</v>
      </c>
      <c r="H236" s="10">
        <v>16</v>
      </c>
      <c r="I236" s="10">
        <f t="shared" si="6"/>
        <v>231</v>
      </c>
      <c r="J236" s="10" t="str">
        <f>Tableau2[[#This Row],[Annee d''inscription au programme]]&amp;"-"&amp;Tableau2[[#This Row],[Code d''ecole]]&amp;"-"&amp;Tableau2[[#This Row],[Numero HM de la femme]]</f>
        <v>2024-16-231</v>
      </c>
      <c r="K236" s="10">
        <f t="shared" si="7"/>
        <v>231</v>
      </c>
      <c r="L236" s="42">
        <v>0</v>
      </c>
      <c r="M236" s="52">
        <v>0</v>
      </c>
      <c r="N236" s="63">
        <f>SUM(Tableau2[[#This Row],[Mathématique/20]]+Tableau2[[#This Row],[Français /20]])/2</f>
        <v>0</v>
      </c>
      <c r="O236" s="42">
        <v>15</v>
      </c>
      <c r="P236" s="52">
        <v>12.5</v>
      </c>
      <c r="Q236" s="63">
        <f>(Tableau2[[#This Row],[Mathématique /20]]+Tableau2[[#This Row],[Français /202]])/2</f>
        <v>13.75</v>
      </c>
      <c r="S236"/>
      <c r="T236"/>
      <c r="U236"/>
      <c r="V236"/>
    </row>
    <row r="237" spans="1:22" ht="16" x14ac:dyDescent="0.2">
      <c r="A237" s="10" t="s">
        <v>354</v>
      </c>
      <c r="B237" s="10" t="s">
        <v>115</v>
      </c>
      <c r="C237" s="10" t="s">
        <v>388</v>
      </c>
      <c r="D237" s="10" t="s">
        <v>389</v>
      </c>
      <c r="E237" s="10" t="s">
        <v>1064</v>
      </c>
      <c r="F237" s="9" t="s">
        <v>1008</v>
      </c>
      <c r="G237" s="10">
        <v>2024</v>
      </c>
      <c r="H237" s="10">
        <v>16</v>
      </c>
      <c r="I237" s="10">
        <f t="shared" si="6"/>
        <v>232</v>
      </c>
      <c r="J237" s="10" t="str">
        <f>Tableau2[[#This Row],[Annee d''inscription au programme]]&amp;"-"&amp;Tableau2[[#This Row],[Code d''ecole]]&amp;"-"&amp;Tableau2[[#This Row],[Numero HM de la femme]]</f>
        <v>2024-16-232</v>
      </c>
      <c r="K237" s="10">
        <f t="shared" si="7"/>
        <v>232</v>
      </c>
      <c r="L237" s="42">
        <v>1</v>
      </c>
      <c r="M237" s="52">
        <v>4.75</v>
      </c>
      <c r="N237" s="63">
        <f>SUM(Tableau2[[#This Row],[Mathématique/20]]+Tableau2[[#This Row],[Français /20]])/2</f>
        <v>2.875</v>
      </c>
      <c r="O237" s="42">
        <v>15</v>
      </c>
      <c r="P237" s="52">
        <v>19</v>
      </c>
      <c r="Q237" s="63">
        <f>(Tableau2[[#This Row],[Mathématique /20]]+Tableau2[[#This Row],[Français /202]])/2</f>
        <v>17</v>
      </c>
      <c r="S237"/>
      <c r="T237"/>
      <c r="U237"/>
      <c r="V237"/>
    </row>
    <row r="238" spans="1:22" ht="16" x14ac:dyDescent="0.2">
      <c r="A238" s="10" t="s">
        <v>390</v>
      </c>
      <c r="B238" s="10" t="s">
        <v>114</v>
      </c>
      <c r="C238" s="10" t="s">
        <v>391</v>
      </c>
      <c r="D238" s="10" t="s">
        <v>392</v>
      </c>
      <c r="E238" s="10" t="s">
        <v>1060</v>
      </c>
      <c r="F238" s="9" t="s">
        <v>1010</v>
      </c>
      <c r="G238" s="10">
        <v>2024</v>
      </c>
      <c r="H238" s="10">
        <v>83</v>
      </c>
      <c r="I238" s="10">
        <f t="shared" si="6"/>
        <v>233</v>
      </c>
      <c r="J238" s="10" t="str">
        <f>Tableau2[[#This Row],[Annee d''inscription au programme]]&amp;"-"&amp;Tableau2[[#This Row],[Code d''ecole]]&amp;"-"&amp;Tableau2[[#This Row],[Numero HM de la femme]]</f>
        <v>2024-83-233</v>
      </c>
      <c r="K238" s="10">
        <f t="shared" si="7"/>
        <v>233</v>
      </c>
      <c r="L238" s="42">
        <v>2</v>
      </c>
      <c r="M238" s="52">
        <v>2.4</v>
      </c>
      <c r="N238" s="63">
        <f>SUM(Tableau2[[#This Row],[Mathématique/20]]+Tableau2[[#This Row],[Français /20]])/2</f>
        <v>2.2000000000000002</v>
      </c>
      <c r="O238" s="42">
        <v>18.25</v>
      </c>
      <c r="P238" s="52">
        <v>15</v>
      </c>
      <c r="Q238" s="63">
        <f>(Tableau2[[#This Row],[Mathématique /20]]+Tableau2[[#This Row],[Français /202]])/2</f>
        <v>16.625</v>
      </c>
      <c r="S238"/>
      <c r="T238"/>
      <c r="U238"/>
      <c r="V238"/>
    </row>
    <row r="239" spans="1:22" ht="16" x14ac:dyDescent="0.2">
      <c r="A239" s="10" t="s">
        <v>390</v>
      </c>
      <c r="B239" s="10" t="s">
        <v>114</v>
      </c>
      <c r="C239" s="10" t="s">
        <v>393</v>
      </c>
      <c r="D239" s="10" t="s">
        <v>394</v>
      </c>
      <c r="E239" s="10" t="s">
        <v>1059</v>
      </c>
      <c r="F239" s="9" t="s">
        <v>1010</v>
      </c>
      <c r="G239" s="10">
        <v>2024</v>
      </c>
      <c r="H239" s="10">
        <v>83</v>
      </c>
      <c r="I239" s="10">
        <f t="shared" si="6"/>
        <v>234</v>
      </c>
      <c r="J239" s="10" t="str">
        <f>Tableau2[[#This Row],[Annee d''inscription au programme]]&amp;"-"&amp;Tableau2[[#This Row],[Code d''ecole]]&amp;"-"&amp;Tableau2[[#This Row],[Numero HM de la femme]]</f>
        <v>2024-83-234</v>
      </c>
      <c r="K239" s="10">
        <f t="shared" si="7"/>
        <v>234</v>
      </c>
      <c r="L239" s="42">
        <v>11</v>
      </c>
      <c r="M239" s="52">
        <v>8</v>
      </c>
      <c r="N239" s="63">
        <f>SUM(Tableau2[[#This Row],[Mathématique/20]]+Tableau2[[#This Row],[Français /20]])/2</f>
        <v>9.5</v>
      </c>
      <c r="O239" s="42">
        <v>12</v>
      </c>
      <c r="P239" s="52">
        <v>12</v>
      </c>
      <c r="Q239" s="63">
        <f>(Tableau2[[#This Row],[Mathématique /20]]+Tableau2[[#This Row],[Français /202]])/2</f>
        <v>12</v>
      </c>
      <c r="S239"/>
      <c r="T239"/>
      <c r="U239"/>
      <c r="V239"/>
    </row>
    <row r="240" spans="1:22" ht="16" x14ac:dyDescent="0.2">
      <c r="A240" s="10" t="s">
        <v>390</v>
      </c>
      <c r="B240" s="10" t="s">
        <v>114</v>
      </c>
      <c r="C240" s="10" t="s">
        <v>395</v>
      </c>
      <c r="D240" s="10" t="s">
        <v>396</v>
      </c>
      <c r="E240" s="10" t="s">
        <v>1059</v>
      </c>
      <c r="F240" s="9" t="s">
        <v>1010</v>
      </c>
      <c r="G240" s="10">
        <v>2024</v>
      </c>
      <c r="H240" s="10">
        <v>83</v>
      </c>
      <c r="I240" s="10">
        <f t="shared" si="6"/>
        <v>235</v>
      </c>
      <c r="J240" s="10" t="str">
        <f>Tableau2[[#This Row],[Annee d''inscription au programme]]&amp;"-"&amp;Tableau2[[#This Row],[Code d''ecole]]&amp;"-"&amp;Tableau2[[#This Row],[Numero HM de la femme]]</f>
        <v>2024-83-235</v>
      </c>
      <c r="K240" s="10">
        <f t="shared" si="7"/>
        <v>235</v>
      </c>
      <c r="L240" s="42">
        <v>1</v>
      </c>
      <c r="M240" s="52">
        <v>2.5</v>
      </c>
      <c r="N240" s="63">
        <f>SUM(Tableau2[[#This Row],[Mathématique/20]]+Tableau2[[#This Row],[Français /20]])/2</f>
        <v>1.75</v>
      </c>
      <c r="O240" s="42">
        <v>15</v>
      </c>
      <c r="P240" s="52">
        <v>17.25</v>
      </c>
      <c r="Q240" s="63">
        <f>(Tableau2[[#This Row],[Mathématique /20]]+Tableau2[[#This Row],[Français /202]])/2</f>
        <v>16.125</v>
      </c>
      <c r="S240"/>
      <c r="T240"/>
      <c r="U240"/>
      <c r="V240"/>
    </row>
    <row r="241" spans="1:22" ht="16" x14ac:dyDescent="0.2">
      <c r="A241" s="10" t="s">
        <v>390</v>
      </c>
      <c r="B241" s="10" t="s">
        <v>114</v>
      </c>
      <c r="C241" s="10" t="s">
        <v>397</v>
      </c>
      <c r="D241" s="10" t="s">
        <v>398</v>
      </c>
      <c r="E241" s="10" t="s">
        <v>1059</v>
      </c>
      <c r="F241" s="9" t="s">
        <v>1010</v>
      </c>
      <c r="G241" s="10">
        <v>2024</v>
      </c>
      <c r="H241" s="10">
        <v>83</v>
      </c>
      <c r="I241" s="10">
        <f t="shared" si="6"/>
        <v>236</v>
      </c>
      <c r="J241" s="10" t="str">
        <f>Tableau2[[#This Row],[Annee d''inscription au programme]]&amp;"-"&amp;Tableau2[[#This Row],[Code d''ecole]]&amp;"-"&amp;Tableau2[[#This Row],[Numero HM de la femme]]</f>
        <v>2024-83-236</v>
      </c>
      <c r="K241" s="10">
        <f t="shared" si="7"/>
        <v>236</v>
      </c>
      <c r="L241" s="42">
        <v>4</v>
      </c>
      <c r="M241" s="52">
        <v>5.0999999999999996</v>
      </c>
      <c r="N241" s="63">
        <f>SUM(Tableau2[[#This Row],[Mathématique/20]]+Tableau2[[#This Row],[Français /20]])/2</f>
        <v>4.55</v>
      </c>
      <c r="O241" s="42">
        <v>17</v>
      </c>
      <c r="P241" s="52">
        <v>17.75</v>
      </c>
      <c r="Q241" s="63">
        <f>(Tableau2[[#This Row],[Mathématique /20]]+Tableau2[[#This Row],[Français /202]])/2</f>
        <v>17.375</v>
      </c>
      <c r="S241"/>
      <c r="T241"/>
      <c r="U241"/>
      <c r="V241"/>
    </row>
    <row r="242" spans="1:22" ht="16" x14ac:dyDescent="0.2">
      <c r="A242" s="10" t="s">
        <v>390</v>
      </c>
      <c r="B242" s="10" t="s">
        <v>114</v>
      </c>
      <c r="C242" s="10" t="s">
        <v>399</v>
      </c>
      <c r="D242" s="10" t="s">
        <v>400</v>
      </c>
      <c r="E242" s="10" t="s">
        <v>1060</v>
      </c>
      <c r="F242" s="9" t="s">
        <v>1010</v>
      </c>
      <c r="G242" s="10">
        <v>2024</v>
      </c>
      <c r="H242" s="10">
        <v>83</v>
      </c>
      <c r="I242" s="10">
        <f t="shared" si="6"/>
        <v>237</v>
      </c>
      <c r="J242" s="10" t="str">
        <f>Tableau2[[#This Row],[Annee d''inscription au programme]]&amp;"-"&amp;Tableau2[[#This Row],[Code d''ecole]]&amp;"-"&amp;Tableau2[[#This Row],[Numero HM de la femme]]</f>
        <v>2024-83-237</v>
      </c>
      <c r="K242" s="10">
        <f t="shared" si="7"/>
        <v>237</v>
      </c>
      <c r="L242" s="42">
        <v>0</v>
      </c>
      <c r="M242" s="52">
        <v>6.1</v>
      </c>
      <c r="N242" s="63">
        <f>SUM(Tableau2[[#This Row],[Mathématique/20]]+Tableau2[[#This Row],[Français /20]])/2</f>
        <v>3.05</v>
      </c>
      <c r="O242" s="42">
        <v>12</v>
      </c>
      <c r="P242" s="52">
        <v>12</v>
      </c>
      <c r="Q242" s="63">
        <f>(Tableau2[[#This Row],[Mathématique /20]]+Tableau2[[#This Row],[Français /202]])/2</f>
        <v>12</v>
      </c>
      <c r="S242"/>
      <c r="T242"/>
      <c r="U242"/>
      <c r="V242"/>
    </row>
    <row r="243" spans="1:22" ht="16" x14ac:dyDescent="0.2">
      <c r="A243" s="10" t="s">
        <v>390</v>
      </c>
      <c r="B243" s="10" t="s">
        <v>114</v>
      </c>
      <c r="C243" s="10" t="s">
        <v>401</v>
      </c>
      <c r="D243" s="10" t="s">
        <v>402</v>
      </c>
      <c r="E243" s="10" t="s">
        <v>1060</v>
      </c>
      <c r="F243" s="9" t="s">
        <v>1010</v>
      </c>
      <c r="G243" s="10">
        <v>2024</v>
      </c>
      <c r="H243" s="10">
        <v>83</v>
      </c>
      <c r="I243" s="10">
        <f t="shared" si="6"/>
        <v>238</v>
      </c>
      <c r="J243" s="10" t="str">
        <f>Tableau2[[#This Row],[Annee d''inscription au programme]]&amp;"-"&amp;Tableau2[[#This Row],[Code d''ecole]]&amp;"-"&amp;Tableau2[[#This Row],[Numero HM de la femme]]</f>
        <v>2024-83-238</v>
      </c>
      <c r="K243" s="10">
        <f t="shared" si="7"/>
        <v>238</v>
      </c>
      <c r="L243" s="42">
        <v>0</v>
      </c>
      <c r="M243" s="52">
        <v>1.8</v>
      </c>
      <c r="N243" s="63">
        <f>SUM(Tableau2[[#This Row],[Mathématique/20]]+Tableau2[[#This Row],[Français /20]])/2</f>
        <v>0.9</v>
      </c>
      <c r="O243" s="42">
        <v>12.5</v>
      </c>
      <c r="P243" s="52">
        <v>18.25</v>
      </c>
      <c r="Q243" s="63">
        <f>(Tableau2[[#This Row],[Mathématique /20]]+Tableau2[[#This Row],[Français /202]])/2</f>
        <v>15.375</v>
      </c>
      <c r="S243"/>
      <c r="T243"/>
      <c r="U243"/>
      <c r="V243"/>
    </row>
    <row r="244" spans="1:22" ht="16" x14ac:dyDescent="0.2">
      <c r="A244" s="10" t="s">
        <v>390</v>
      </c>
      <c r="B244" s="10" t="s">
        <v>114</v>
      </c>
      <c r="C244" s="10" t="s">
        <v>403</v>
      </c>
      <c r="D244" s="10" t="s">
        <v>404</v>
      </c>
      <c r="E244" s="10" t="s">
        <v>1059</v>
      </c>
      <c r="F244" s="9" t="s">
        <v>1010</v>
      </c>
      <c r="G244" s="10">
        <v>2024</v>
      </c>
      <c r="H244" s="10">
        <v>83</v>
      </c>
      <c r="I244" s="10">
        <f t="shared" si="6"/>
        <v>239</v>
      </c>
      <c r="J244" s="10" t="str">
        <f>Tableau2[[#This Row],[Annee d''inscription au programme]]&amp;"-"&amp;Tableau2[[#This Row],[Code d''ecole]]&amp;"-"&amp;Tableau2[[#This Row],[Numero HM de la femme]]</f>
        <v>2024-83-239</v>
      </c>
      <c r="K244" s="10">
        <f t="shared" si="7"/>
        <v>239</v>
      </c>
      <c r="L244" s="42">
        <v>1.5</v>
      </c>
      <c r="M244" s="52">
        <v>1.5</v>
      </c>
      <c r="N244" s="63">
        <f>SUM(Tableau2[[#This Row],[Mathématique/20]]+Tableau2[[#This Row],[Français /20]])/2</f>
        <v>1.5</v>
      </c>
      <c r="O244" s="42">
        <v>13</v>
      </c>
      <c r="P244" s="52">
        <v>16.5</v>
      </c>
      <c r="Q244" s="63">
        <f>(Tableau2[[#This Row],[Mathématique /20]]+Tableau2[[#This Row],[Français /202]])/2</f>
        <v>14.75</v>
      </c>
      <c r="S244"/>
      <c r="T244"/>
      <c r="U244"/>
      <c r="V244"/>
    </row>
    <row r="245" spans="1:22" ht="16" x14ac:dyDescent="0.2">
      <c r="A245" s="10" t="s">
        <v>390</v>
      </c>
      <c r="B245" s="10" t="s">
        <v>114</v>
      </c>
      <c r="C245" s="10" t="s">
        <v>405</v>
      </c>
      <c r="D245" s="10" t="s">
        <v>404</v>
      </c>
      <c r="E245" s="10" t="s">
        <v>1059</v>
      </c>
      <c r="F245" s="9" t="s">
        <v>1010</v>
      </c>
      <c r="G245" s="10">
        <v>2024</v>
      </c>
      <c r="H245" s="10">
        <v>83</v>
      </c>
      <c r="I245" s="10">
        <f t="shared" si="6"/>
        <v>240</v>
      </c>
      <c r="J245" s="10" t="str">
        <f>Tableau2[[#This Row],[Annee d''inscription au programme]]&amp;"-"&amp;Tableau2[[#This Row],[Code d''ecole]]&amp;"-"&amp;Tableau2[[#This Row],[Numero HM de la femme]]</f>
        <v>2024-83-240</v>
      </c>
      <c r="K245" s="10">
        <f t="shared" si="7"/>
        <v>240</v>
      </c>
      <c r="L245" s="42">
        <v>6.5</v>
      </c>
      <c r="M245" s="52">
        <v>3</v>
      </c>
      <c r="N245" s="63">
        <f>SUM(Tableau2[[#This Row],[Mathématique/20]]+Tableau2[[#This Row],[Français /20]])/2</f>
        <v>4.75</v>
      </c>
      <c r="O245" s="42">
        <v>14</v>
      </c>
      <c r="P245" s="52">
        <v>14.5</v>
      </c>
      <c r="Q245" s="63">
        <f>(Tableau2[[#This Row],[Mathématique /20]]+Tableau2[[#This Row],[Français /202]])/2</f>
        <v>14.25</v>
      </c>
      <c r="S245"/>
      <c r="T245"/>
      <c r="U245"/>
      <c r="V245"/>
    </row>
    <row r="246" spans="1:22" ht="16" x14ac:dyDescent="0.2">
      <c r="A246" s="10" t="s">
        <v>390</v>
      </c>
      <c r="B246" s="10" t="s">
        <v>114</v>
      </c>
      <c r="C246" s="10" t="s">
        <v>406</v>
      </c>
      <c r="D246" s="10" t="s">
        <v>407</v>
      </c>
      <c r="E246" s="10" t="s">
        <v>1060</v>
      </c>
      <c r="F246" s="9" t="s">
        <v>1010</v>
      </c>
      <c r="G246" s="10">
        <v>2024</v>
      </c>
      <c r="H246" s="10">
        <v>83</v>
      </c>
      <c r="I246" s="10">
        <f t="shared" si="6"/>
        <v>241</v>
      </c>
      <c r="J246" s="10" t="str">
        <f>Tableau2[[#This Row],[Annee d''inscription au programme]]&amp;"-"&amp;Tableau2[[#This Row],[Code d''ecole]]&amp;"-"&amp;Tableau2[[#This Row],[Numero HM de la femme]]</f>
        <v>2024-83-241</v>
      </c>
      <c r="K246" s="10">
        <f t="shared" si="7"/>
        <v>241</v>
      </c>
      <c r="L246" s="42">
        <v>0</v>
      </c>
      <c r="M246" s="52">
        <v>1</v>
      </c>
      <c r="N246" s="63">
        <f>SUM(Tableau2[[#This Row],[Mathématique/20]]+Tableau2[[#This Row],[Français /20]])/2</f>
        <v>0.5</v>
      </c>
      <c r="O246" s="42">
        <v>16</v>
      </c>
      <c r="P246" s="52">
        <v>20</v>
      </c>
      <c r="Q246" s="63">
        <f>(Tableau2[[#This Row],[Mathématique /20]]+Tableau2[[#This Row],[Français /202]])/2</f>
        <v>18</v>
      </c>
      <c r="S246"/>
      <c r="T246"/>
      <c r="U246"/>
      <c r="V246"/>
    </row>
    <row r="247" spans="1:22" ht="16" x14ac:dyDescent="0.2">
      <c r="A247" s="10" t="s">
        <v>390</v>
      </c>
      <c r="B247" s="10" t="s">
        <v>114</v>
      </c>
      <c r="C247" s="10" t="s">
        <v>408</v>
      </c>
      <c r="D247" s="10" t="s">
        <v>409</v>
      </c>
      <c r="E247" s="10" t="s">
        <v>1060</v>
      </c>
      <c r="F247" s="9" t="s">
        <v>1010</v>
      </c>
      <c r="G247" s="10">
        <v>2024</v>
      </c>
      <c r="H247" s="10">
        <v>83</v>
      </c>
      <c r="I247" s="10">
        <f t="shared" si="6"/>
        <v>242</v>
      </c>
      <c r="J247" s="10" t="str">
        <f>Tableau2[[#This Row],[Annee d''inscription au programme]]&amp;"-"&amp;Tableau2[[#This Row],[Code d''ecole]]&amp;"-"&amp;Tableau2[[#This Row],[Numero HM de la femme]]</f>
        <v>2024-83-242</v>
      </c>
      <c r="K247" s="10">
        <f t="shared" si="7"/>
        <v>242</v>
      </c>
      <c r="L247" s="42">
        <v>0</v>
      </c>
      <c r="M247" s="52">
        <v>4.5999999999999996</v>
      </c>
      <c r="N247" s="63">
        <f>SUM(Tableau2[[#This Row],[Mathématique/20]]+Tableau2[[#This Row],[Français /20]])/2</f>
        <v>2.2999999999999998</v>
      </c>
      <c r="O247" s="42">
        <v>12</v>
      </c>
      <c r="P247" s="52">
        <v>17.5</v>
      </c>
      <c r="Q247" s="63">
        <f>(Tableau2[[#This Row],[Mathématique /20]]+Tableau2[[#This Row],[Français /202]])/2</f>
        <v>14.75</v>
      </c>
      <c r="S247"/>
      <c r="T247"/>
      <c r="U247"/>
      <c r="V247"/>
    </row>
    <row r="248" spans="1:22" ht="16" x14ac:dyDescent="0.2">
      <c r="A248" s="10" t="s">
        <v>390</v>
      </c>
      <c r="B248" s="10" t="s">
        <v>114</v>
      </c>
      <c r="C248" s="10" t="s">
        <v>410</v>
      </c>
      <c r="D248" s="10" t="s">
        <v>411</v>
      </c>
      <c r="E248" s="10" t="s">
        <v>1059</v>
      </c>
      <c r="F248" s="9" t="s">
        <v>1010</v>
      </c>
      <c r="G248" s="10">
        <v>2024</v>
      </c>
      <c r="H248" s="10">
        <v>83</v>
      </c>
      <c r="I248" s="10">
        <f t="shared" si="6"/>
        <v>243</v>
      </c>
      <c r="J248" s="10" t="str">
        <f>Tableau2[[#This Row],[Annee d''inscription au programme]]&amp;"-"&amp;Tableau2[[#This Row],[Code d''ecole]]&amp;"-"&amp;Tableau2[[#This Row],[Numero HM de la femme]]</f>
        <v>2024-83-243</v>
      </c>
      <c r="K248" s="10">
        <f t="shared" si="7"/>
        <v>243</v>
      </c>
      <c r="L248" s="42">
        <v>2</v>
      </c>
      <c r="M248" s="52">
        <v>4</v>
      </c>
      <c r="N248" s="63">
        <f>SUM(Tableau2[[#This Row],[Mathématique/20]]+Tableau2[[#This Row],[Français /20]])/2</f>
        <v>3</v>
      </c>
      <c r="O248" s="42">
        <v>16</v>
      </c>
      <c r="P248" s="52">
        <v>17.5</v>
      </c>
      <c r="Q248" s="63">
        <f>(Tableau2[[#This Row],[Mathématique /20]]+Tableau2[[#This Row],[Français /202]])/2</f>
        <v>16.75</v>
      </c>
      <c r="S248"/>
      <c r="T248"/>
      <c r="U248"/>
      <c r="V248"/>
    </row>
    <row r="249" spans="1:22" ht="16" x14ac:dyDescent="0.2">
      <c r="A249" s="10" t="s">
        <v>390</v>
      </c>
      <c r="B249" s="10" t="s">
        <v>114</v>
      </c>
      <c r="C249" s="10" t="s">
        <v>412</v>
      </c>
      <c r="D249" s="10" t="s">
        <v>413</v>
      </c>
      <c r="E249" s="10" t="s">
        <v>1060</v>
      </c>
      <c r="F249" s="9" t="s">
        <v>1010</v>
      </c>
      <c r="G249" s="10">
        <v>2024</v>
      </c>
      <c r="H249" s="10">
        <v>83</v>
      </c>
      <c r="I249" s="10">
        <f t="shared" si="6"/>
        <v>244</v>
      </c>
      <c r="J249" s="10" t="str">
        <f>Tableau2[[#This Row],[Annee d''inscription au programme]]&amp;"-"&amp;Tableau2[[#This Row],[Code d''ecole]]&amp;"-"&amp;Tableau2[[#This Row],[Numero HM de la femme]]</f>
        <v>2024-83-244</v>
      </c>
      <c r="K249" s="10">
        <f t="shared" si="7"/>
        <v>244</v>
      </c>
      <c r="L249" s="42">
        <v>6</v>
      </c>
      <c r="M249" s="52">
        <v>2.8</v>
      </c>
      <c r="N249" s="63">
        <f>SUM(Tableau2[[#This Row],[Mathématique/20]]+Tableau2[[#This Row],[Français /20]])/2</f>
        <v>4.4000000000000004</v>
      </c>
      <c r="O249" s="42">
        <v>13</v>
      </c>
      <c r="P249" s="52">
        <v>19</v>
      </c>
      <c r="Q249" s="63">
        <f>(Tableau2[[#This Row],[Mathématique /20]]+Tableau2[[#This Row],[Français /202]])/2</f>
        <v>16</v>
      </c>
      <c r="S249"/>
      <c r="T249"/>
      <c r="U249"/>
      <c r="V249"/>
    </row>
    <row r="250" spans="1:22" ht="16" x14ac:dyDescent="0.2">
      <c r="A250" s="10" t="s">
        <v>390</v>
      </c>
      <c r="B250" s="10" t="s">
        <v>114</v>
      </c>
      <c r="C250" s="10" t="s">
        <v>415</v>
      </c>
      <c r="D250" s="10" t="s">
        <v>414</v>
      </c>
      <c r="E250" s="10" t="s">
        <v>1059</v>
      </c>
      <c r="F250" s="9" t="s">
        <v>1010</v>
      </c>
      <c r="G250" s="10">
        <v>2024</v>
      </c>
      <c r="H250" s="10">
        <v>83</v>
      </c>
      <c r="I250" s="10">
        <f t="shared" si="6"/>
        <v>245</v>
      </c>
      <c r="J250" s="10" t="str">
        <f>Tableau2[[#This Row],[Annee d''inscription au programme]]&amp;"-"&amp;Tableau2[[#This Row],[Code d''ecole]]&amp;"-"&amp;Tableau2[[#This Row],[Numero HM de la femme]]</f>
        <v>2024-83-245</v>
      </c>
      <c r="K250" s="10">
        <f t="shared" si="7"/>
        <v>245</v>
      </c>
      <c r="L250" s="42">
        <v>0</v>
      </c>
      <c r="M250" s="52">
        <v>0.8</v>
      </c>
      <c r="N250" s="63">
        <f>SUM(Tableau2[[#This Row],[Mathématique/20]]+Tableau2[[#This Row],[Français /20]])/2</f>
        <v>0.4</v>
      </c>
      <c r="O250" s="42">
        <v>13</v>
      </c>
      <c r="P250" s="52">
        <v>13.5</v>
      </c>
      <c r="Q250" s="63">
        <f>(Tableau2[[#This Row],[Mathématique /20]]+Tableau2[[#This Row],[Français /202]])/2</f>
        <v>13.25</v>
      </c>
      <c r="S250"/>
      <c r="T250"/>
      <c r="U250"/>
      <c r="V250"/>
    </row>
    <row r="251" spans="1:22" ht="16" x14ac:dyDescent="0.2">
      <c r="A251" s="10" t="s">
        <v>390</v>
      </c>
      <c r="B251" s="10" t="s">
        <v>114</v>
      </c>
      <c r="C251" s="10" t="s">
        <v>416</v>
      </c>
      <c r="D251" s="10" t="s">
        <v>417</v>
      </c>
      <c r="E251" s="10" t="s">
        <v>1059</v>
      </c>
      <c r="F251" s="9" t="s">
        <v>1010</v>
      </c>
      <c r="G251" s="10">
        <v>2024</v>
      </c>
      <c r="H251" s="10">
        <v>83</v>
      </c>
      <c r="I251" s="10">
        <f t="shared" si="6"/>
        <v>246</v>
      </c>
      <c r="J251" s="10" t="str">
        <f>Tableau2[[#This Row],[Annee d''inscription au programme]]&amp;"-"&amp;Tableau2[[#This Row],[Code d''ecole]]&amp;"-"&amp;Tableau2[[#This Row],[Numero HM de la femme]]</f>
        <v>2024-83-246</v>
      </c>
      <c r="K251" s="10">
        <f t="shared" si="7"/>
        <v>246</v>
      </c>
      <c r="L251" s="42">
        <v>5</v>
      </c>
      <c r="M251" s="52">
        <v>6.1</v>
      </c>
      <c r="N251" s="63">
        <f>SUM(Tableau2[[#This Row],[Mathématique/20]]+Tableau2[[#This Row],[Français /20]])/2</f>
        <v>5.55</v>
      </c>
      <c r="O251" s="42">
        <v>15</v>
      </c>
      <c r="P251" s="52">
        <v>20</v>
      </c>
      <c r="Q251" s="63">
        <f>(Tableau2[[#This Row],[Mathématique /20]]+Tableau2[[#This Row],[Français /202]])/2</f>
        <v>17.5</v>
      </c>
      <c r="S251"/>
      <c r="T251"/>
      <c r="U251"/>
      <c r="V251"/>
    </row>
    <row r="252" spans="1:22" ht="16" x14ac:dyDescent="0.2">
      <c r="A252" s="10" t="s">
        <v>390</v>
      </c>
      <c r="B252" s="10" t="s">
        <v>114</v>
      </c>
      <c r="C252" s="10" t="s">
        <v>418</v>
      </c>
      <c r="D252" s="10" t="s">
        <v>419</v>
      </c>
      <c r="E252" s="10" t="s">
        <v>1060</v>
      </c>
      <c r="F252" s="9" t="s">
        <v>1010</v>
      </c>
      <c r="G252" s="10">
        <v>2024</v>
      </c>
      <c r="H252" s="10">
        <v>83</v>
      </c>
      <c r="I252" s="10">
        <f t="shared" si="6"/>
        <v>247</v>
      </c>
      <c r="J252" s="10" t="str">
        <f>Tableau2[[#This Row],[Annee d''inscription au programme]]&amp;"-"&amp;Tableau2[[#This Row],[Code d''ecole]]&amp;"-"&amp;Tableau2[[#This Row],[Numero HM de la femme]]</f>
        <v>2024-83-247</v>
      </c>
      <c r="K252" s="10">
        <f t="shared" si="7"/>
        <v>247</v>
      </c>
      <c r="L252" s="42">
        <v>6</v>
      </c>
      <c r="M252" s="52">
        <v>2.5</v>
      </c>
      <c r="N252" s="63">
        <f>SUM(Tableau2[[#This Row],[Mathématique/20]]+Tableau2[[#This Row],[Français /20]])/2</f>
        <v>4.25</v>
      </c>
      <c r="O252" s="42">
        <v>14</v>
      </c>
      <c r="P252" s="52">
        <v>17.5</v>
      </c>
      <c r="Q252" s="63">
        <f>(Tableau2[[#This Row],[Mathématique /20]]+Tableau2[[#This Row],[Français /202]])/2</f>
        <v>15.75</v>
      </c>
      <c r="S252"/>
      <c r="T252"/>
      <c r="U252"/>
      <c r="V252"/>
    </row>
    <row r="253" spans="1:22" ht="16" x14ac:dyDescent="0.2">
      <c r="A253" s="10" t="s">
        <v>390</v>
      </c>
      <c r="B253" s="10" t="s">
        <v>114</v>
      </c>
      <c r="C253" s="10" t="s">
        <v>420</v>
      </c>
      <c r="D253" s="10" t="s">
        <v>421</v>
      </c>
      <c r="E253" s="10" t="s">
        <v>1060</v>
      </c>
      <c r="F253" s="9" t="s">
        <v>1010</v>
      </c>
      <c r="G253" s="10">
        <v>2024</v>
      </c>
      <c r="H253" s="10">
        <v>83</v>
      </c>
      <c r="I253" s="10">
        <f t="shared" si="6"/>
        <v>248</v>
      </c>
      <c r="J253" s="10" t="str">
        <f>Tableau2[[#This Row],[Annee d''inscription au programme]]&amp;"-"&amp;Tableau2[[#This Row],[Code d''ecole]]&amp;"-"&amp;Tableau2[[#This Row],[Numero HM de la femme]]</f>
        <v>2024-83-248</v>
      </c>
      <c r="K253" s="10">
        <f t="shared" si="7"/>
        <v>248</v>
      </c>
      <c r="L253" s="42">
        <v>3.25</v>
      </c>
      <c r="M253" s="52">
        <v>7</v>
      </c>
      <c r="N253" s="63">
        <f>SUM(Tableau2[[#This Row],[Mathématique/20]]+Tableau2[[#This Row],[Français /20]])/2</f>
        <v>5.125</v>
      </c>
      <c r="O253" s="42">
        <v>12</v>
      </c>
      <c r="P253" s="52">
        <v>15</v>
      </c>
      <c r="Q253" s="63">
        <f>(Tableau2[[#This Row],[Mathématique /20]]+Tableau2[[#This Row],[Français /202]])/2</f>
        <v>13.5</v>
      </c>
      <c r="S253"/>
      <c r="T253"/>
      <c r="U253"/>
      <c r="V253"/>
    </row>
    <row r="254" spans="1:22" ht="16" x14ac:dyDescent="0.2">
      <c r="A254" s="10" t="s">
        <v>390</v>
      </c>
      <c r="B254" s="10" t="s">
        <v>114</v>
      </c>
      <c r="C254" s="10" t="s">
        <v>422</v>
      </c>
      <c r="D254" s="10" t="s">
        <v>400</v>
      </c>
      <c r="E254" s="10" t="s">
        <v>1060</v>
      </c>
      <c r="F254" s="9" t="s">
        <v>1010</v>
      </c>
      <c r="G254" s="10">
        <v>2024</v>
      </c>
      <c r="H254" s="10">
        <v>83</v>
      </c>
      <c r="I254" s="10">
        <f t="shared" si="6"/>
        <v>249</v>
      </c>
      <c r="J254" s="10" t="str">
        <f>Tableau2[[#This Row],[Annee d''inscription au programme]]&amp;"-"&amp;Tableau2[[#This Row],[Code d''ecole]]&amp;"-"&amp;Tableau2[[#This Row],[Numero HM de la femme]]</f>
        <v>2024-83-249</v>
      </c>
      <c r="K254" s="10">
        <f t="shared" si="7"/>
        <v>249</v>
      </c>
      <c r="L254" s="42">
        <v>0</v>
      </c>
      <c r="M254" s="52">
        <v>2</v>
      </c>
      <c r="N254" s="63">
        <f>SUM(Tableau2[[#This Row],[Mathématique/20]]+Tableau2[[#This Row],[Français /20]])/2</f>
        <v>1</v>
      </c>
      <c r="O254" s="42">
        <v>16</v>
      </c>
      <c r="P254" s="52">
        <v>15</v>
      </c>
      <c r="Q254" s="63">
        <f>(Tableau2[[#This Row],[Mathématique /20]]+Tableau2[[#This Row],[Français /202]])/2</f>
        <v>15.5</v>
      </c>
      <c r="S254"/>
      <c r="T254"/>
      <c r="U254"/>
      <c r="V254"/>
    </row>
    <row r="255" spans="1:22" ht="16" x14ac:dyDescent="0.2">
      <c r="A255" s="10" t="s">
        <v>390</v>
      </c>
      <c r="B255" s="10" t="s">
        <v>114</v>
      </c>
      <c r="C255" s="10" t="s">
        <v>423</v>
      </c>
      <c r="D255" s="10" t="s">
        <v>424</v>
      </c>
      <c r="E255" s="10" t="s">
        <v>1059</v>
      </c>
      <c r="F255" s="9" t="s">
        <v>1010</v>
      </c>
      <c r="G255" s="10">
        <v>2024</v>
      </c>
      <c r="H255" s="10">
        <v>83</v>
      </c>
      <c r="I255" s="10">
        <f t="shared" si="6"/>
        <v>250</v>
      </c>
      <c r="J255" s="10" t="str">
        <f>Tableau2[[#This Row],[Annee d''inscription au programme]]&amp;"-"&amp;Tableau2[[#This Row],[Code d''ecole]]&amp;"-"&amp;Tableau2[[#This Row],[Numero HM de la femme]]</f>
        <v>2024-83-250</v>
      </c>
      <c r="K255" s="10">
        <f t="shared" si="7"/>
        <v>250</v>
      </c>
      <c r="L255" s="42">
        <v>0</v>
      </c>
      <c r="M255" s="52">
        <v>3.7</v>
      </c>
      <c r="N255" s="63">
        <f>SUM(Tableau2[[#This Row],[Mathématique/20]]+Tableau2[[#This Row],[Français /20]])/2</f>
        <v>1.85</v>
      </c>
      <c r="O255" s="42">
        <v>15</v>
      </c>
      <c r="P255" s="52">
        <v>16.5</v>
      </c>
      <c r="Q255" s="63">
        <f>(Tableau2[[#This Row],[Mathématique /20]]+Tableau2[[#This Row],[Français /202]])/2</f>
        <v>15.75</v>
      </c>
      <c r="S255"/>
      <c r="T255"/>
      <c r="U255"/>
      <c r="V255"/>
    </row>
    <row r="256" spans="1:22" ht="16" x14ac:dyDescent="0.2">
      <c r="A256" s="10" t="s">
        <v>390</v>
      </c>
      <c r="B256" s="10" t="s">
        <v>114</v>
      </c>
      <c r="C256" s="10" t="s">
        <v>425</v>
      </c>
      <c r="D256" s="10" t="s">
        <v>392</v>
      </c>
      <c r="E256" s="10" t="s">
        <v>1060</v>
      </c>
      <c r="F256" s="9" t="s">
        <v>1010</v>
      </c>
      <c r="G256" s="10">
        <v>2024</v>
      </c>
      <c r="H256" s="10">
        <v>83</v>
      </c>
      <c r="I256" s="10">
        <f t="shared" si="6"/>
        <v>251</v>
      </c>
      <c r="J256" s="10" t="str">
        <f>Tableau2[[#This Row],[Annee d''inscription au programme]]&amp;"-"&amp;Tableau2[[#This Row],[Code d''ecole]]&amp;"-"&amp;Tableau2[[#This Row],[Numero HM de la femme]]</f>
        <v>2024-83-251</v>
      </c>
      <c r="K256" s="10">
        <f t="shared" si="7"/>
        <v>251</v>
      </c>
      <c r="L256" s="42">
        <v>0</v>
      </c>
      <c r="M256" s="52">
        <v>6</v>
      </c>
      <c r="N256" s="63">
        <f>SUM(Tableau2[[#This Row],[Mathématique/20]]+Tableau2[[#This Row],[Français /20]])/2</f>
        <v>3</v>
      </c>
      <c r="O256" s="42">
        <v>17</v>
      </c>
      <c r="P256" s="52">
        <v>20</v>
      </c>
      <c r="Q256" s="63">
        <f>(Tableau2[[#This Row],[Mathématique /20]]+Tableau2[[#This Row],[Français /202]])/2</f>
        <v>18.5</v>
      </c>
      <c r="S256"/>
      <c r="T256"/>
      <c r="U256"/>
      <c r="V256"/>
    </row>
    <row r="257" spans="1:22" ht="16" x14ac:dyDescent="0.2">
      <c r="A257" s="10" t="s">
        <v>390</v>
      </c>
      <c r="B257" s="10" t="s">
        <v>114</v>
      </c>
      <c r="C257" s="10" t="s">
        <v>426</v>
      </c>
      <c r="D257" s="10" t="s">
        <v>427</v>
      </c>
      <c r="E257" s="10" t="s">
        <v>1060</v>
      </c>
      <c r="F257" s="9" t="s">
        <v>1010</v>
      </c>
      <c r="G257" s="10">
        <v>2024</v>
      </c>
      <c r="H257" s="10">
        <v>83</v>
      </c>
      <c r="I257" s="10">
        <f t="shared" si="6"/>
        <v>252</v>
      </c>
      <c r="J257" s="10" t="str">
        <f>Tableau2[[#This Row],[Annee d''inscription au programme]]&amp;"-"&amp;Tableau2[[#This Row],[Code d''ecole]]&amp;"-"&amp;Tableau2[[#This Row],[Numero HM de la femme]]</f>
        <v>2024-83-252</v>
      </c>
      <c r="K257" s="10">
        <f t="shared" si="7"/>
        <v>252</v>
      </c>
      <c r="L257" s="42">
        <v>1.75</v>
      </c>
      <c r="M257" s="52">
        <v>4</v>
      </c>
      <c r="N257" s="63">
        <f>SUM(Tableau2[[#This Row],[Mathématique/20]]+Tableau2[[#This Row],[Français /20]])/2</f>
        <v>2.875</v>
      </c>
      <c r="O257" s="42">
        <v>12</v>
      </c>
      <c r="P257" s="52">
        <v>11</v>
      </c>
      <c r="Q257" s="63">
        <f>(Tableau2[[#This Row],[Mathématique /20]]+Tableau2[[#This Row],[Français /202]])/2</f>
        <v>11.5</v>
      </c>
      <c r="S257"/>
      <c r="T257"/>
      <c r="U257"/>
      <c r="V257"/>
    </row>
    <row r="258" spans="1:22" ht="16" x14ac:dyDescent="0.2">
      <c r="A258" s="10" t="s">
        <v>390</v>
      </c>
      <c r="B258" s="10" t="s">
        <v>114</v>
      </c>
      <c r="C258" s="10" t="s">
        <v>428</v>
      </c>
      <c r="D258" s="10" t="s">
        <v>429</v>
      </c>
      <c r="E258" s="10" t="s">
        <v>1060</v>
      </c>
      <c r="F258" s="9" t="s">
        <v>1010</v>
      </c>
      <c r="G258" s="10">
        <v>2024</v>
      </c>
      <c r="H258" s="10">
        <v>83</v>
      </c>
      <c r="I258" s="10">
        <f t="shared" si="6"/>
        <v>253</v>
      </c>
      <c r="J258" s="10" t="str">
        <f>Tableau2[[#This Row],[Annee d''inscription au programme]]&amp;"-"&amp;Tableau2[[#This Row],[Code d''ecole]]&amp;"-"&amp;Tableau2[[#This Row],[Numero HM de la femme]]</f>
        <v>2024-83-253</v>
      </c>
      <c r="K258" s="10">
        <f t="shared" si="7"/>
        <v>253</v>
      </c>
      <c r="L258" s="42">
        <v>4</v>
      </c>
      <c r="M258" s="52">
        <v>2</v>
      </c>
      <c r="N258" s="63">
        <f>SUM(Tableau2[[#This Row],[Mathématique/20]]+Tableau2[[#This Row],[Français /20]])/2</f>
        <v>3</v>
      </c>
      <c r="O258" s="42">
        <v>15</v>
      </c>
      <c r="P258" s="52">
        <v>17.75</v>
      </c>
      <c r="Q258" s="63">
        <f>(Tableau2[[#This Row],[Mathématique /20]]+Tableau2[[#This Row],[Français /202]])/2</f>
        <v>16.375</v>
      </c>
      <c r="S258"/>
      <c r="T258"/>
      <c r="U258"/>
      <c r="V258"/>
    </row>
    <row r="259" spans="1:22" ht="16" x14ac:dyDescent="0.2">
      <c r="A259" s="10" t="s">
        <v>390</v>
      </c>
      <c r="B259" s="10" t="s">
        <v>114</v>
      </c>
      <c r="C259" s="10" t="s">
        <v>430</v>
      </c>
      <c r="D259" s="10" t="s">
        <v>431</v>
      </c>
      <c r="E259" s="10" t="s">
        <v>1059</v>
      </c>
      <c r="F259" s="9" t="s">
        <v>1010</v>
      </c>
      <c r="G259" s="10">
        <v>2024</v>
      </c>
      <c r="H259" s="10">
        <v>83</v>
      </c>
      <c r="I259" s="10">
        <f t="shared" si="6"/>
        <v>254</v>
      </c>
      <c r="J259" s="10" t="str">
        <f>Tableau2[[#This Row],[Annee d''inscription au programme]]&amp;"-"&amp;Tableau2[[#This Row],[Code d''ecole]]&amp;"-"&amp;Tableau2[[#This Row],[Numero HM de la femme]]</f>
        <v>2024-83-254</v>
      </c>
      <c r="K259" s="10">
        <f t="shared" si="7"/>
        <v>254</v>
      </c>
      <c r="L259" s="42">
        <v>0.5</v>
      </c>
      <c r="M259" s="52">
        <v>1.6</v>
      </c>
      <c r="N259" s="63">
        <f>SUM(Tableau2[[#This Row],[Mathématique/20]]+Tableau2[[#This Row],[Français /20]])/2</f>
        <v>1.05</v>
      </c>
      <c r="O259" s="42">
        <v>8.5</v>
      </c>
      <c r="P259" s="52">
        <v>12</v>
      </c>
      <c r="Q259" s="63">
        <f>(Tableau2[[#This Row],[Mathématique /20]]+Tableau2[[#This Row],[Français /202]])/2</f>
        <v>10.25</v>
      </c>
      <c r="S259"/>
      <c r="T259"/>
      <c r="U259"/>
      <c r="V259"/>
    </row>
    <row r="260" spans="1:22" ht="16" x14ac:dyDescent="0.2">
      <c r="A260" s="10" t="s">
        <v>390</v>
      </c>
      <c r="B260" s="10" t="s">
        <v>114</v>
      </c>
      <c r="C260" s="10" t="s">
        <v>432</v>
      </c>
      <c r="D260" s="10" t="s">
        <v>433</v>
      </c>
      <c r="E260" s="10" t="s">
        <v>1059</v>
      </c>
      <c r="F260" s="9" t="s">
        <v>1010</v>
      </c>
      <c r="G260" s="10">
        <v>2024</v>
      </c>
      <c r="H260" s="10">
        <v>83</v>
      </c>
      <c r="I260" s="10">
        <f t="shared" si="6"/>
        <v>255</v>
      </c>
      <c r="J260" s="10" t="str">
        <f>Tableau2[[#This Row],[Annee d''inscription au programme]]&amp;"-"&amp;Tableau2[[#This Row],[Code d''ecole]]&amp;"-"&amp;Tableau2[[#This Row],[Numero HM de la femme]]</f>
        <v>2024-83-255</v>
      </c>
      <c r="K260" s="10">
        <f t="shared" si="7"/>
        <v>255</v>
      </c>
      <c r="L260" s="42">
        <v>0</v>
      </c>
      <c r="M260" s="52">
        <v>0.6</v>
      </c>
      <c r="N260" s="63">
        <f>SUM(Tableau2[[#This Row],[Mathématique/20]]+Tableau2[[#This Row],[Français /20]])/2</f>
        <v>0.3</v>
      </c>
      <c r="O260" s="42">
        <v>16</v>
      </c>
      <c r="P260" s="52">
        <v>16.5</v>
      </c>
      <c r="Q260" s="63">
        <f>(Tableau2[[#This Row],[Mathématique /20]]+Tableau2[[#This Row],[Français /202]])/2</f>
        <v>16.25</v>
      </c>
      <c r="S260"/>
      <c r="T260"/>
      <c r="U260"/>
      <c r="V260"/>
    </row>
    <row r="261" spans="1:22" ht="16" x14ac:dyDescent="0.2">
      <c r="A261" s="10" t="s">
        <v>390</v>
      </c>
      <c r="B261" s="10" t="s">
        <v>114</v>
      </c>
      <c r="C261" s="10" t="s">
        <v>434</v>
      </c>
      <c r="D261" s="10" t="s">
        <v>404</v>
      </c>
      <c r="E261" s="10" t="s">
        <v>1060</v>
      </c>
      <c r="F261" s="9" t="s">
        <v>1010</v>
      </c>
      <c r="G261" s="10">
        <v>2024</v>
      </c>
      <c r="H261" s="10">
        <v>83</v>
      </c>
      <c r="I261" s="10">
        <f t="shared" si="6"/>
        <v>256</v>
      </c>
      <c r="J261" s="10" t="str">
        <f>Tableau2[[#This Row],[Annee d''inscription au programme]]&amp;"-"&amp;Tableau2[[#This Row],[Code d''ecole]]&amp;"-"&amp;Tableau2[[#This Row],[Numero HM de la femme]]</f>
        <v>2024-83-256</v>
      </c>
      <c r="K261" s="10">
        <f t="shared" si="7"/>
        <v>256</v>
      </c>
      <c r="L261" s="42">
        <v>2.5</v>
      </c>
      <c r="M261" s="52">
        <v>5</v>
      </c>
      <c r="N261" s="63">
        <f>SUM(Tableau2[[#This Row],[Mathématique/20]]+Tableau2[[#This Row],[Français /20]])/2</f>
        <v>3.75</v>
      </c>
      <c r="O261" s="42">
        <v>15</v>
      </c>
      <c r="P261" s="52">
        <v>13</v>
      </c>
      <c r="Q261" s="63">
        <f>(Tableau2[[#This Row],[Mathématique /20]]+Tableau2[[#This Row],[Français /202]])/2</f>
        <v>14</v>
      </c>
      <c r="S261"/>
      <c r="T261"/>
      <c r="U261"/>
      <c r="V261"/>
    </row>
    <row r="262" spans="1:22" ht="16" x14ac:dyDescent="0.2">
      <c r="A262" s="10" t="s">
        <v>390</v>
      </c>
      <c r="B262" s="10" t="s">
        <v>114</v>
      </c>
      <c r="C262" s="10" t="s">
        <v>435</v>
      </c>
      <c r="D262" s="10" t="s">
        <v>436</v>
      </c>
      <c r="E262" s="10" t="s">
        <v>1060</v>
      </c>
      <c r="F262" s="9" t="s">
        <v>1010</v>
      </c>
      <c r="G262" s="10">
        <v>2024</v>
      </c>
      <c r="H262" s="10">
        <v>83</v>
      </c>
      <c r="I262" s="10">
        <f t="shared" si="6"/>
        <v>257</v>
      </c>
      <c r="J262" s="10" t="str">
        <f>Tableau2[[#This Row],[Annee d''inscription au programme]]&amp;"-"&amp;Tableau2[[#This Row],[Code d''ecole]]&amp;"-"&amp;Tableau2[[#This Row],[Numero HM de la femme]]</f>
        <v>2024-83-257</v>
      </c>
      <c r="K262" s="10">
        <f t="shared" si="7"/>
        <v>257</v>
      </c>
      <c r="L262" s="42">
        <v>0</v>
      </c>
      <c r="M262" s="52">
        <v>0.4</v>
      </c>
      <c r="N262" s="63">
        <f>SUM(Tableau2[[#This Row],[Mathématique/20]]+Tableau2[[#This Row],[Français /20]])/2</f>
        <v>0.2</v>
      </c>
      <c r="O262" s="42">
        <v>15</v>
      </c>
      <c r="P262" s="52">
        <v>14</v>
      </c>
      <c r="Q262" s="63">
        <f>(Tableau2[[#This Row],[Mathématique /20]]+Tableau2[[#This Row],[Français /202]])/2</f>
        <v>14.5</v>
      </c>
      <c r="S262"/>
      <c r="T262"/>
      <c r="U262"/>
      <c r="V262"/>
    </row>
    <row r="263" spans="1:22" ht="16" x14ac:dyDescent="0.2">
      <c r="A263" s="10" t="s">
        <v>390</v>
      </c>
      <c r="B263" s="10" t="s">
        <v>114</v>
      </c>
      <c r="C263" s="10" t="s">
        <v>437</v>
      </c>
      <c r="D263" s="10" t="s">
        <v>438</v>
      </c>
      <c r="E263" s="10" t="s">
        <v>1060</v>
      </c>
      <c r="F263" s="9" t="s">
        <v>1010</v>
      </c>
      <c r="G263" s="10">
        <v>2024</v>
      </c>
      <c r="H263" s="10">
        <v>83</v>
      </c>
      <c r="I263" s="10">
        <f t="shared" si="6"/>
        <v>258</v>
      </c>
      <c r="J263" s="10" t="str">
        <f>Tableau2[[#This Row],[Annee d''inscription au programme]]&amp;"-"&amp;Tableau2[[#This Row],[Code d''ecole]]&amp;"-"&amp;Tableau2[[#This Row],[Numero HM de la femme]]</f>
        <v>2024-83-258</v>
      </c>
      <c r="K263" s="10">
        <f t="shared" si="7"/>
        <v>258</v>
      </c>
      <c r="L263" s="42">
        <v>2</v>
      </c>
      <c r="M263" s="52">
        <v>1.6</v>
      </c>
      <c r="N263" s="63">
        <f>SUM(Tableau2[[#This Row],[Mathématique/20]]+Tableau2[[#This Row],[Français /20]])/2</f>
        <v>1.8</v>
      </c>
      <c r="O263" s="42">
        <v>15</v>
      </c>
      <c r="P263" s="52">
        <v>14</v>
      </c>
      <c r="Q263" s="63">
        <f>(Tableau2[[#This Row],[Mathématique /20]]+Tableau2[[#This Row],[Français /202]])/2</f>
        <v>14.5</v>
      </c>
      <c r="S263"/>
      <c r="T263"/>
      <c r="U263"/>
      <c r="V263"/>
    </row>
    <row r="264" spans="1:22" ht="16" x14ac:dyDescent="0.2">
      <c r="A264" s="10" t="s">
        <v>390</v>
      </c>
      <c r="B264" s="10" t="s">
        <v>114</v>
      </c>
      <c r="C264" s="10" t="s">
        <v>439</v>
      </c>
      <c r="D264" s="10" t="s">
        <v>394</v>
      </c>
      <c r="E264" s="10" t="s">
        <v>1060</v>
      </c>
      <c r="F264" s="9" t="s">
        <v>1010</v>
      </c>
      <c r="G264" s="10">
        <v>2024</v>
      </c>
      <c r="H264" s="10">
        <v>83</v>
      </c>
      <c r="I264" s="10">
        <f t="shared" si="6"/>
        <v>259</v>
      </c>
      <c r="J264" s="10" t="str">
        <f>Tableau2[[#This Row],[Annee d''inscription au programme]]&amp;"-"&amp;Tableau2[[#This Row],[Code d''ecole]]&amp;"-"&amp;Tableau2[[#This Row],[Numero HM de la femme]]</f>
        <v>2024-83-259</v>
      </c>
      <c r="K264" s="10">
        <f t="shared" si="7"/>
        <v>259</v>
      </c>
      <c r="L264" s="42">
        <v>1</v>
      </c>
      <c r="M264" s="52">
        <v>3.75</v>
      </c>
      <c r="N264" s="63">
        <f>SUM(Tableau2[[#This Row],[Mathématique/20]]+Tableau2[[#This Row],[Français /20]])/2</f>
        <v>2.375</v>
      </c>
      <c r="O264" s="42">
        <v>11.5</v>
      </c>
      <c r="P264" s="52">
        <v>11.75</v>
      </c>
      <c r="Q264" s="63">
        <f>(Tableau2[[#This Row],[Mathématique /20]]+Tableau2[[#This Row],[Français /202]])/2</f>
        <v>11.625</v>
      </c>
      <c r="S264"/>
      <c r="T264"/>
      <c r="U264"/>
      <c r="V264"/>
    </row>
    <row r="265" spans="1:22" ht="16" x14ac:dyDescent="0.2">
      <c r="A265" s="10" t="s">
        <v>390</v>
      </c>
      <c r="B265" s="10" t="s">
        <v>114</v>
      </c>
      <c r="C265" s="10" t="s">
        <v>440</v>
      </c>
      <c r="D265" s="10" t="s">
        <v>441</v>
      </c>
      <c r="E265" s="10" t="s">
        <v>1059</v>
      </c>
      <c r="F265" s="9" t="s">
        <v>1010</v>
      </c>
      <c r="G265" s="10">
        <v>2024</v>
      </c>
      <c r="H265" s="10">
        <v>83</v>
      </c>
      <c r="I265" s="10">
        <f t="shared" ref="I265:I327" si="8">SUM(I264+1)</f>
        <v>260</v>
      </c>
      <c r="J265" s="10" t="str">
        <f>Tableau2[[#This Row],[Annee d''inscription au programme]]&amp;"-"&amp;Tableau2[[#This Row],[Code d''ecole]]&amp;"-"&amp;Tableau2[[#This Row],[Numero HM de la femme]]</f>
        <v>2024-83-260</v>
      </c>
      <c r="K265" s="10">
        <f t="shared" ref="K265:K327" si="9">SUM(K264+1)</f>
        <v>260</v>
      </c>
      <c r="L265" s="42">
        <v>7</v>
      </c>
      <c r="M265" s="52">
        <v>3.4</v>
      </c>
      <c r="N265" s="63">
        <f>SUM(Tableau2[[#This Row],[Mathématique/20]]+Tableau2[[#This Row],[Français /20]])/2</f>
        <v>5.2</v>
      </c>
      <c r="O265" s="42">
        <v>15</v>
      </c>
      <c r="P265" s="52">
        <v>19</v>
      </c>
      <c r="Q265" s="63">
        <f>(Tableau2[[#This Row],[Mathématique /20]]+Tableau2[[#This Row],[Français /202]])/2</f>
        <v>17</v>
      </c>
      <c r="S265"/>
      <c r="T265"/>
      <c r="U265"/>
      <c r="V265"/>
    </row>
    <row r="266" spans="1:22" ht="16" x14ac:dyDescent="0.2">
      <c r="A266" s="10" t="s">
        <v>390</v>
      </c>
      <c r="B266" s="10" t="s">
        <v>114</v>
      </c>
      <c r="C266" s="10" t="s">
        <v>442</v>
      </c>
      <c r="D266" s="10" t="s">
        <v>443</v>
      </c>
      <c r="E266" s="10" t="s">
        <v>1059</v>
      </c>
      <c r="F266" s="9" t="s">
        <v>1010</v>
      </c>
      <c r="G266" s="10">
        <v>2024</v>
      </c>
      <c r="H266" s="10">
        <v>83</v>
      </c>
      <c r="I266" s="10">
        <f t="shared" si="8"/>
        <v>261</v>
      </c>
      <c r="J266" s="10" t="str">
        <f>Tableau2[[#This Row],[Annee d''inscription au programme]]&amp;"-"&amp;Tableau2[[#This Row],[Code d''ecole]]&amp;"-"&amp;Tableau2[[#This Row],[Numero HM de la femme]]</f>
        <v>2024-83-261</v>
      </c>
      <c r="K266" s="10">
        <f t="shared" si="9"/>
        <v>261</v>
      </c>
      <c r="L266" s="42">
        <v>0</v>
      </c>
      <c r="M266" s="52">
        <v>0.6</v>
      </c>
      <c r="N266" s="63">
        <f>SUM(Tableau2[[#This Row],[Mathématique/20]]+Tableau2[[#This Row],[Français /20]])/2</f>
        <v>0.3</v>
      </c>
      <c r="O266" s="42">
        <v>12.5</v>
      </c>
      <c r="P266" s="52">
        <v>12.25</v>
      </c>
      <c r="Q266" s="63">
        <f>(Tableau2[[#This Row],[Mathématique /20]]+Tableau2[[#This Row],[Français /202]])/2</f>
        <v>12.375</v>
      </c>
      <c r="S266"/>
      <c r="T266"/>
      <c r="U266"/>
      <c r="V266"/>
    </row>
    <row r="267" spans="1:22" ht="16" x14ac:dyDescent="0.2">
      <c r="A267" s="10" t="s">
        <v>390</v>
      </c>
      <c r="B267" s="10" t="s">
        <v>114</v>
      </c>
      <c r="C267" s="10" t="s">
        <v>444</v>
      </c>
      <c r="D267" s="10" t="s">
        <v>212</v>
      </c>
      <c r="E267" s="10" t="s">
        <v>1059</v>
      </c>
      <c r="F267" s="9" t="s">
        <v>1010</v>
      </c>
      <c r="G267" s="10">
        <v>2024</v>
      </c>
      <c r="H267" s="10">
        <v>83</v>
      </c>
      <c r="I267" s="10">
        <f t="shared" si="8"/>
        <v>262</v>
      </c>
      <c r="J267" s="10" t="str">
        <f>Tableau2[[#This Row],[Annee d''inscription au programme]]&amp;"-"&amp;Tableau2[[#This Row],[Code d''ecole]]&amp;"-"&amp;Tableau2[[#This Row],[Numero HM de la femme]]</f>
        <v>2024-83-262</v>
      </c>
      <c r="K267" s="10">
        <f t="shared" si="9"/>
        <v>262</v>
      </c>
      <c r="L267" s="42">
        <v>0</v>
      </c>
      <c r="M267" s="52">
        <v>1</v>
      </c>
      <c r="N267" s="63">
        <f>SUM(Tableau2[[#This Row],[Mathématique/20]]+Tableau2[[#This Row],[Français /20]])/2</f>
        <v>0.5</v>
      </c>
      <c r="O267" s="42">
        <v>13</v>
      </c>
      <c r="P267" s="52">
        <v>15</v>
      </c>
      <c r="Q267" s="63">
        <f>(Tableau2[[#This Row],[Mathématique /20]]+Tableau2[[#This Row],[Français /202]])/2</f>
        <v>14</v>
      </c>
      <c r="S267"/>
      <c r="T267"/>
      <c r="U267"/>
      <c r="V267"/>
    </row>
    <row r="268" spans="1:22" ht="16" x14ac:dyDescent="0.2">
      <c r="A268" s="10" t="s">
        <v>445</v>
      </c>
      <c r="B268" s="10" t="s">
        <v>115</v>
      </c>
      <c r="C268" s="10" t="s">
        <v>446</v>
      </c>
      <c r="D268" s="10" t="s">
        <v>236</v>
      </c>
      <c r="E268" s="10" t="s">
        <v>1035</v>
      </c>
      <c r="F268" s="9" t="s">
        <v>1011</v>
      </c>
      <c r="G268" s="10">
        <v>2024</v>
      </c>
      <c r="H268" s="10">
        <v>5</v>
      </c>
      <c r="I268" s="10">
        <f t="shared" si="8"/>
        <v>263</v>
      </c>
      <c r="J268" s="10" t="str">
        <f>Tableau2[[#This Row],[Annee d''inscription au programme]]&amp;"-"&amp;Tableau2[[#This Row],[Code d''ecole]]&amp;"-"&amp;Tableau2[[#This Row],[Numero HM de la femme]]</f>
        <v>2024-5-263</v>
      </c>
      <c r="K268" s="10">
        <f t="shared" si="9"/>
        <v>263</v>
      </c>
      <c r="L268" s="42">
        <v>0</v>
      </c>
      <c r="M268" s="52">
        <v>0</v>
      </c>
      <c r="N268" s="63">
        <f>SUM(Tableau2[[#This Row],[Mathématique/20]]+Tableau2[[#This Row],[Français /20]])/2</f>
        <v>0</v>
      </c>
      <c r="O268" s="42">
        <v>11.5</v>
      </c>
      <c r="P268" s="52">
        <v>10.5</v>
      </c>
      <c r="Q268" s="63">
        <f>(Tableau2[[#This Row],[Mathématique /20]]+Tableau2[[#This Row],[Français /202]])/2</f>
        <v>11</v>
      </c>
      <c r="S268"/>
      <c r="T268"/>
      <c r="U268"/>
      <c r="V268"/>
    </row>
    <row r="269" spans="1:22" ht="16" x14ac:dyDescent="0.2">
      <c r="A269" s="10" t="s">
        <v>445</v>
      </c>
      <c r="B269" s="10" t="s">
        <v>115</v>
      </c>
      <c r="C269" s="10" t="s">
        <v>448</v>
      </c>
      <c r="D269" s="10" t="s">
        <v>447</v>
      </c>
      <c r="E269" s="10" t="s">
        <v>1035</v>
      </c>
      <c r="F269" s="9" t="s">
        <v>1011</v>
      </c>
      <c r="G269" s="10">
        <v>2024</v>
      </c>
      <c r="H269" s="10">
        <v>5</v>
      </c>
      <c r="I269" s="10">
        <f t="shared" si="8"/>
        <v>264</v>
      </c>
      <c r="J269" s="10" t="str">
        <f>Tableau2[[#This Row],[Annee d''inscription au programme]]&amp;"-"&amp;Tableau2[[#This Row],[Code d''ecole]]&amp;"-"&amp;Tableau2[[#This Row],[Numero HM de la femme]]</f>
        <v>2024-5-264</v>
      </c>
      <c r="K269" s="10">
        <f t="shared" si="9"/>
        <v>264</v>
      </c>
      <c r="L269" s="42">
        <v>5</v>
      </c>
      <c r="M269" s="52">
        <v>3</v>
      </c>
      <c r="N269" s="63">
        <f>SUM(Tableau2[[#This Row],[Mathématique/20]]+Tableau2[[#This Row],[Français /20]])/2</f>
        <v>4</v>
      </c>
      <c r="O269" s="42">
        <v>12</v>
      </c>
      <c r="P269" s="52">
        <v>15.5</v>
      </c>
      <c r="Q269" s="63">
        <f>(Tableau2[[#This Row],[Mathématique /20]]+Tableau2[[#This Row],[Français /202]])/2</f>
        <v>13.75</v>
      </c>
      <c r="S269"/>
      <c r="T269"/>
      <c r="U269"/>
      <c r="V269"/>
    </row>
    <row r="270" spans="1:22" ht="16" x14ac:dyDescent="0.2">
      <c r="A270" s="10" t="s">
        <v>445</v>
      </c>
      <c r="B270" s="10" t="s">
        <v>115</v>
      </c>
      <c r="C270" s="10" t="s">
        <v>449</v>
      </c>
      <c r="D270" s="10" t="s">
        <v>450</v>
      </c>
      <c r="E270" s="10" t="s">
        <v>1035</v>
      </c>
      <c r="F270" s="9" t="s">
        <v>1011</v>
      </c>
      <c r="G270" s="10">
        <v>2024</v>
      </c>
      <c r="H270" s="10">
        <v>5</v>
      </c>
      <c r="I270" s="10">
        <f t="shared" si="8"/>
        <v>265</v>
      </c>
      <c r="J270" s="10" t="str">
        <f>Tableau2[[#This Row],[Annee d''inscription au programme]]&amp;"-"&amp;Tableau2[[#This Row],[Code d''ecole]]&amp;"-"&amp;Tableau2[[#This Row],[Numero HM de la femme]]</f>
        <v>2024-5-265</v>
      </c>
      <c r="K270" s="10">
        <f t="shared" si="9"/>
        <v>265</v>
      </c>
      <c r="L270" s="42">
        <v>5</v>
      </c>
      <c r="M270" s="52">
        <v>5</v>
      </c>
      <c r="N270" s="63">
        <f>SUM(Tableau2[[#This Row],[Mathématique/20]]+Tableau2[[#This Row],[Français /20]])/2</f>
        <v>5</v>
      </c>
      <c r="O270" s="42">
        <v>13</v>
      </c>
      <c r="P270" s="52">
        <v>17.5</v>
      </c>
      <c r="Q270" s="63">
        <f>(Tableau2[[#This Row],[Mathématique /20]]+Tableau2[[#This Row],[Français /202]])/2</f>
        <v>15.25</v>
      </c>
      <c r="S270"/>
      <c r="T270"/>
      <c r="U270"/>
      <c r="V270"/>
    </row>
    <row r="271" spans="1:22" ht="16" x14ac:dyDescent="0.2">
      <c r="A271" s="10" t="s">
        <v>445</v>
      </c>
      <c r="B271" s="10" t="s">
        <v>115</v>
      </c>
      <c r="C271" s="10" t="s">
        <v>452</v>
      </c>
      <c r="D271" s="10" t="s">
        <v>451</v>
      </c>
      <c r="E271" s="10" t="s">
        <v>1035</v>
      </c>
      <c r="F271" s="9" t="s">
        <v>1011</v>
      </c>
      <c r="G271" s="10">
        <v>2024</v>
      </c>
      <c r="H271" s="10">
        <v>5</v>
      </c>
      <c r="I271" s="10">
        <f t="shared" si="8"/>
        <v>266</v>
      </c>
      <c r="J271" s="10" t="str">
        <f>Tableau2[[#This Row],[Annee d''inscription au programme]]&amp;"-"&amp;Tableau2[[#This Row],[Code d''ecole]]&amp;"-"&amp;Tableau2[[#This Row],[Numero HM de la femme]]</f>
        <v>2024-5-266</v>
      </c>
      <c r="K271" s="10">
        <f t="shared" si="9"/>
        <v>266</v>
      </c>
      <c r="L271" s="42">
        <v>2</v>
      </c>
      <c r="M271" s="52">
        <v>1</v>
      </c>
      <c r="N271" s="63">
        <f>SUM(Tableau2[[#This Row],[Mathématique/20]]+Tableau2[[#This Row],[Français /20]])/2</f>
        <v>1.5</v>
      </c>
      <c r="O271" s="42">
        <v>12</v>
      </c>
      <c r="P271" s="52">
        <v>14</v>
      </c>
      <c r="Q271" s="63">
        <f>(Tableau2[[#This Row],[Mathématique /20]]+Tableau2[[#This Row],[Français /202]])/2</f>
        <v>13</v>
      </c>
      <c r="S271"/>
      <c r="T271"/>
      <c r="U271"/>
      <c r="V271"/>
    </row>
    <row r="272" spans="1:22" ht="16" x14ac:dyDescent="0.2">
      <c r="A272" s="10" t="s">
        <v>445</v>
      </c>
      <c r="B272" s="10" t="s">
        <v>115</v>
      </c>
      <c r="C272" s="10" t="s">
        <v>453</v>
      </c>
      <c r="D272" s="10" t="s">
        <v>454</v>
      </c>
      <c r="E272" s="10" t="s">
        <v>1035</v>
      </c>
      <c r="F272" s="9" t="s">
        <v>1011</v>
      </c>
      <c r="G272" s="10">
        <v>2024</v>
      </c>
      <c r="H272" s="10">
        <v>5</v>
      </c>
      <c r="I272" s="10">
        <f t="shared" si="8"/>
        <v>267</v>
      </c>
      <c r="J272" s="10" t="str">
        <f>Tableau2[[#This Row],[Annee d''inscription au programme]]&amp;"-"&amp;Tableau2[[#This Row],[Code d''ecole]]&amp;"-"&amp;Tableau2[[#This Row],[Numero HM de la femme]]</f>
        <v>2024-5-267</v>
      </c>
      <c r="K272" s="10">
        <f t="shared" si="9"/>
        <v>267</v>
      </c>
      <c r="L272" s="42">
        <v>0</v>
      </c>
      <c r="M272" s="52">
        <v>2.5</v>
      </c>
      <c r="N272" s="63">
        <f>SUM(Tableau2[[#This Row],[Mathématique/20]]+Tableau2[[#This Row],[Français /20]])/2</f>
        <v>1.25</v>
      </c>
      <c r="O272" s="42">
        <v>12.5</v>
      </c>
      <c r="P272" s="52">
        <v>18</v>
      </c>
      <c r="Q272" s="63">
        <f>(Tableau2[[#This Row],[Mathématique /20]]+Tableau2[[#This Row],[Français /202]])/2</f>
        <v>15.25</v>
      </c>
      <c r="S272"/>
      <c r="T272"/>
      <c r="U272"/>
      <c r="V272"/>
    </row>
    <row r="273" spans="1:22" ht="16" x14ac:dyDescent="0.2">
      <c r="A273" s="10" t="s">
        <v>445</v>
      </c>
      <c r="B273" s="10" t="s">
        <v>115</v>
      </c>
      <c r="C273" s="10" t="s">
        <v>456</v>
      </c>
      <c r="D273" s="10" t="s">
        <v>455</v>
      </c>
      <c r="E273" s="10" t="s">
        <v>1035</v>
      </c>
      <c r="F273" s="9" t="s">
        <v>1011</v>
      </c>
      <c r="G273" s="10">
        <v>2024</v>
      </c>
      <c r="H273" s="10">
        <v>5</v>
      </c>
      <c r="I273" s="10">
        <f t="shared" si="8"/>
        <v>268</v>
      </c>
      <c r="J273" s="10" t="str">
        <f>Tableau2[[#This Row],[Annee d''inscription au programme]]&amp;"-"&amp;Tableau2[[#This Row],[Code d''ecole]]&amp;"-"&amp;Tableau2[[#This Row],[Numero HM de la femme]]</f>
        <v>2024-5-268</v>
      </c>
      <c r="K273" s="10">
        <f t="shared" si="9"/>
        <v>268</v>
      </c>
      <c r="L273" s="42">
        <v>0</v>
      </c>
      <c r="M273" s="52">
        <v>1</v>
      </c>
      <c r="N273" s="63">
        <f>SUM(Tableau2[[#This Row],[Mathématique/20]]+Tableau2[[#This Row],[Français /20]])/2</f>
        <v>0.5</v>
      </c>
      <c r="O273" s="42">
        <v>14</v>
      </c>
      <c r="P273" s="52">
        <v>10.75</v>
      </c>
      <c r="Q273" s="63">
        <f>(Tableau2[[#This Row],[Mathématique /20]]+Tableau2[[#This Row],[Français /202]])/2</f>
        <v>12.375</v>
      </c>
      <c r="S273"/>
      <c r="T273"/>
      <c r="U273"/>
      <c r="V273"/>
    </row>
    <row r="274" spans="1:22" ht="16" x14ac:dyDescent="0.2">
      <c r="A274" s="10" t="s">
        <v>445</v>
      </c>
      <c r="B274" s="10" t="s">
        <v>115</v>
      </c>
      <c r="C274" s="10" t="s">
        <v>457</v>
      </c>
      <c r="D274" s="10" t="s">
        <v>458</v>
      </c>
      <c r="E274" s="10" t="s">
        <v>1035</v>
      </c>
      <c r="F274" s="9" t="s">
        <v>1011</v>
      </c>
      <c r="G274" s="10">
        <v>2024</v>
      </c>
      <c r="H274" s="10">
        <v>5</v>
      </c>
      <c r="I274" s="10">
        <f t="shared" si="8"/>
        <v>269</v>
      </c>
      <c r="J274" s="10" t="str">
        <f>Tableau2[[#This Row],[Annee d''inscription au programme]]&amp;"-"&amp;Tableau2[[#This Row],[Code d''ecole]]&amp;"-"&amp;Tableau2[[#This Row],[Numero HM de la femme]]</f>
        <v>2024-5-269</v>
      </c>
      <c r="K274" s="10">
        <f t="shared" si="9"/>
        <v>269</v>
      </c>
      <c r="L274" s="42">
        <v>2</v>
      </c>
      <c r="M274" s="52">
        <v>1</v>
      </c>
      <c r="N274" s="63">
        <f>SUM(Tableau2[[#This Row],[Mathématique/20]]+Tableau2[[#This Row],[Français /20]])/2</f>
        <v>1.5</v>
      </c>
      <c r="O274" s="42">
        <v>10</v>
      </c>
      <c r="P274" s="52">
        <v>11.75</v>
      </c>
      <c r="Q274" s="63">
        <f>(Tableau2[[#This Row],[Mathématique /20]]+Tableau2[[#This Row],[Français /202]])/2</f>
        <v>10.875</v>
      </c>
      <c r="S274"/>
      <c r="T274"/>
      <c r="U274"/>
      <c r="V274"/>
    </row>
    <row r="275" spans="1:22" ht="16" x14ac:dyDescent="0.2">
      <c r="A275" s="10" t="s">
        <v>445</v>
      </c>
      <c r="B275" s="10" t="s">
        <v>115</v>
      </c>
      <c r="C275" s="10" t="s">
        <v>460</v>
      </c>
      <c r="D275" s="10" t="s">
        <v>459</v>
      </c>
      <c r="E275" s="10" t="s">
        <v>1035</v>
      </c>
      <c r="F275" s="9" t="s">
        <v>1011</v>
      </c>
      <c r="G275" s="10">
        <v>2024</v>
      </c>
      <c r="H275" s="10">
        <v>5</v>
      </c>
      <c r="I275" s="10">
        <f t="shared" si="8"/>
        <v>270</v>
      </c>
      <c r="J275" s="10" t="str">
        <f>Tableau2[[#This Row],[Annee d''inscription au programme]]&amp;"-"&amp;Tableau2[[#This Row],[Code d''ecole]]&amp;"-"&amp;Tableau2[[#This Row],[Numero HM de la femme]]</f>
        <v>2024-5-270</v>
      </c>
      <c r="K275" s="10">
        <f t="shared" si="9"/>
        <v>270</v>
      </c>
      <c r="L275" s="42">
        <v>1</v>
      </c>
      <c r="M275" s="52">
        <v>0.5</v>
      </c>
      <c r="N275" s="63">
        <f>SUM(Tableau2[[#This Row],[Mathématique/20]]+Tableau2[[#This Row],[Français /20]])/2</f>
        <v>0.75</v>
      </c>
      <c r="O275" s="42">
        <v>11</v>
      </c>
      <c r="P275" s="52">
        <v>15</v>
      </c>
      <c r="Q275" s="63">
        <f>(Tableau2[[#This Row],[Mathématique /20]]+Tableau2[[#This Row],[Français /202]])/2</f>
        <v>13</v>
      </c>
      <c r="S275"/>
      <c r="T275"/>
      <c r="U275"/>
      <c r="V275"/>
    </row>
    <row r="276" spans="1:22" ht="16" x14ac:dyDescent="0.2">
      <c r="A276" s="10" t="s">
        <v>445</v>
      </c>
      <c r="B276" s="10" t="s">
        <v>115</v>
      </c>
      <c r="C276" s="10" t="s">
        <v>461</v>
      </c>
      <c r="D276" s="10" t="s">
        <v>462</v>
      </c>
      <c r="E276" s="10" t="s">
        <v>1035</v>
      </c>
      <c r="F276" s="9" t="s">
        <v>1011</v>
      </c>
      <c r="G276" s="10">
        <v>2024</v>
      </c>
      <c r="H276" s="10">
        <v>5</v>
      </c>
      <c r="I276" s="10">
        <f t="shared" si="8"/>
        <v>271</v>
      </c>
      <c r="J276" s="10" t="str">
        <f>Tableau2[[#This Row],[Annee d''inscription au programme]]&amp;"-"&amp;Tableau2[[#This Row],[Code d''ecole]]&amp;"-"&amp;Tableau2[[#This Row],[Numero HM de la femme]]</f>
        <v>2024-5-271</v>
      </c>
      <c r="K276" s="10">
        <f t="shared" si="9"/>
        <v>271</v>
      </c>
      <c r="L276" s="42">
        <v>3</v>
      </c>
      <c r="M276" s="52">
        <v>2</v>
      </c>
      <c r="N276" s="63">
        <f>SUM(Tableau2[[#This Row],[Mathématique/20]]+Tableau2[[#This Row],[Français /20]])/2</f>
        <v>2.5</v>
      </c>
      <c r="O276" s="42">
        <v>12</v>
      </c>
      <c r="P276" s="52">
        <v>13</v>
      </c>
      <c r="Q276" s="63">
        <f>(Tableau2[[#This Row],[Mathématique /20]]+Tableau2[[#This Row],[Français /202]])/2</f>
        <v>12.5</v>
      </c>
      <c r="S276"/>
      <c r="T276"/>
      <c r="U276"/>
      <c r="V276"/>
    </row>
    <row r="277" spans="1:22" ht="16" x14ac:dyDescent="0.2">
      <c r="A277" s="10" t="s">
        <v>445</v>
      </c>
      <c r="B277" s="10" t="s">
        <v>115</v>
      </c>
      <c r="C277" s="10" t="s">
        <v>464</v>
      </c>
      <c r="D277" s="10" t="s">
        <v>463</v>
      </c>
      <c r="E277" s="10" t="s">
        <v>1035</v>
      </c>
      <c r="F277" s="9" t="s">
        <v>1011</v>
      </c>
      <c r="G277" s="10">
        <v>2024</v>
      </c>
      <c r="H277" s="10">
        <v>5</v>
      </c>
      <c r="I277" s="10">
        <f t="shared" si="8"/>
        <v>272</v>
      </c>
      <c r="J277" s="10" t="str">
        <f>Tableau2[[#This Row],[Annee d''inscription au programme]]&amp;"-"&amp;Tableau2[[#This Row],[Code d''ecole]]&amp;"-"&amp;Tableau2[[#This Row],[Numero HM de la femme]]</f>
        <v>2024-5-272</v>
      </c>
      <c r="K277" s="10">
        <f t="shared" si="9"/>
        <v>272</v>
      </c>
      <c r="L277" s="42">
        <v>10</v>
      </c>
      <c r="M277" s="52">
        <v>6</v>
      </c>
      <c r="N277" s="63">
        <f>SUM(Tableau2[[#This Row],[Mathématique/20]]+Tableau2[[#This Row],[Français /20]])/2</f>
        <v>8</v>
      </c>
      <c r="O277" s="42">
        <v>13</v>
      </c>
      <c r="P277" s="52">
        <v>12</v>
      </c>
      <c r="Q277" s="63">
        <f>(Tableau2[[#This Row],[Mathématique /20]]+Tableau2[[#This Row],[Français /202]])/2</f>
        <v>12.5</v>
      </c>
      <c r="S277"/>
      <c r="T277"/>
      <c r="U277"/>
      <c r="V277"/>
    </row>
    <row r="278" spans="1:22" ht="16" x14ac:dyDescent="0.2">
      <c r="A278" s="10" t="s">
        <v>445</v>
      </c>
      <c r="B278" s="10" t="s">
        <v>115</v>
      </c>
      <c r="C278" s="10" t="s">
        <v>465</v>
      </c>
      <c r="D278" s="10" t="s">
        <v>466</v>
      </c>
      <c r="E278" s="10" t="s">
        <v>1035</v>
      </c>
      <c r="F278" s="9" t="s">
        <v>1011</v>
      </c>
      <c r="G278" s="10">
        <v>2024</v>
      </c>
      <c r="H278" s="10">
        <v>5</v>
      </c>
      <c r="I278" s="10">
        <f t="shared" si="8"/>
        <v>273</v>
      </c>
      <c r="J278" s="10" t="str">
        <f>Tableau2[[#This Row],[Annee d''inscription au programme]]&amp;"-"&amp;Tableau2[[#This Row],[Code d''ecole]]&amp;"-"&amp;Tableau2[[#This Row],[Numero HM de la femme]]</f>
        <v>2024-5-273</v>
      </c>
      <c r="K278" s="10">
        <f t="shared" si="9"/>
        <v>273</v>
      </c>
      <c r="L278" s="42">
        <v>0</v>
      </c>
      <c r="M278" s="52">
        <v>1.5</v>
      </c>
      <c r="N278" s="63">
        <f>SUM(Tableau2[[#This Row],[Mathématique/20]]+Tableau2[[#This Row],[Français /20]])/2</f>
        <v>0.75</v>
      </c>
      <c r="O278" s="42">
        <v>11</v>
      </c>
      <c r="P278" s="52">
        <v>15.5</v>
      </c>
      <c r="Q278" s="63">
        <f>(Tableau2[[#This Row],[Mathématique /20]]+Tableau2[[#This Row],[Français /202]])/2</f>
        <v>13.25</v>
      </c>
      <c r="S278"/>
      <c r="T278"/>
      <c r="U278"/>
      <c r="V278"/>
    </row>
    <row r="279" spans="1:22" ht="16" x14ac:dyDescent="0.2">
      <c r="A279" s="10" t="s">
        <v>445</v>
      </c>
      <c r="B279" s="10" t="s">
        <v>115</v>
      </c>
      <c r="C279" s="10" t="s">
        <v>988</v>
      </c>
      <c r="D279" s="10" t="s">
        <v>467</v>
      </c>
      <c r="E279" s="10" t="s">
        <v>1035</v>
      </c>
      <c r="F279" s="9" t="s">
        <v>1011</v>
      </c>
      <c r="G279" s="10">
        <v>2024</v>
      </c>
      <c r="H279" s="10">
        <v>5</v>
      </c>
      <c r="I279" s="10">
        <f t="shared" si="8"/>
        <v>274</v>
      </c>
      <c r="J279" s="10" t="str">
        <f>Tableau2[[#This Row],[Annee d''inscription au programme]]&amp;"-"&amp;Tableau2[[#This Row],[Code d''ecole]]&amp;"-"&amp;Tableau2[[#This Row],[Numero HM de la femme]]</f>
        <v>2024-5-274</v>
      </c>
      <c r="K279" s="10">
        <f t="shared" si="9"/>
        <v>274</v>
      </c>
      <c r="L279" s="42">
        <v>0</v>
      </c>
      <c r="M279" s="52">
        <v>3</v>
      </c>
      <c r="N279" s="63">
        <f>SUM(Tableau2[[#This Row],[Mathématique/20]]+Tableau2[[#This Row],[Français /20]])/2</f>
        <v>1.5</v>
      </c>
      <c r="O279" s="42">
        <v>10</v>
      </c>
      <c r="P279" s="52">
        <v>15</v>
      </c>
      <c r="Q279" s="63">
        <f>(Tableau2[[#This Row],[Mathématique /20]]+Tableau2[[#This Row],[Français /202]])/2</f>
        <v>12.5</v>
      </c>
      <c r="S279"/>
      <c r="T279"/>
      <c r="U279"/>
      <c r="V279"/>
    </row>
    <row r="280" spans="1:22" ht="16" x14ac:dyDescent="0.2">
      <c r="A280" s="10" t="s">
        <v>445</v>
      </c>
      <c r="B280" s="10" t="s">
        <v>115</v>
      </c>
      <c r="C280" s="10" t="s">
        <v>468</v>
      </c>
      <c r="D280" s="10" t="s">
        <v>469</v>
      </c>
      <c r="E280" s="10" t="s">
        <v>1035</v>
      </c>
      <c r="F280" s="9" t="s">
        <v>1011</v>
      </c>
      <c r="G280" s="10">
        <v>2024</v>
      </c>
      <c r="H280" s="10">
        <v>5</v>
      </c>
      <c r="I280" s="10">
        <f t="shared" si="8"/>
        <v>275</v>
      </c>
      <c r="J280" s="10" t="str">
        <f>Tableau2[[#This Row],[Annee d''inscription au programme]]&amp;"-"&amp;Tableau2[[#This Row],[Code d''ecole]]&amp;"-"&amp;Tableau2[[#This Row],[Numero HM de la femme]]</f>
        <v>2024-5-275</v>
      </c>
      <c r="K280" s="10">
        <f t="shared" si="9"/>
        <v>275</v>
      </c>
      <c r="L280" s="42">
        <v>4</v>
      </c>
      <c r="M280" s="52">
        <v>2</v>
      </c>
      <c r="N280" s="63">
        <f>SUM(Tableau2[[#This Row],[Mathématique/20]]+Tableau2[[#This Row],[Français /20]])/2</f>
        <v>3</v>
      </c>
      <c r="O280" s="42">
        <v>12</v>
      </c>
      <c r="P280" s="52">
        <v>14.5</v>
      </c>
      <c r="Q280" s="63">
        <f>(Tableau2[[#This Row],[Mathématique /20]]+Tableau2[[#This Row],[Français /202]])/2</f>
        <v>13.25</v>
      </c>
      <c r="S280"/>
      <c r="T280"/>
      <c r="U280"/>
      <c r="V280"/>
    </row>
    <row r="281" spans="1:22" ht="16" x14ac:dyDescent="0.2">
      <c r="A281" s="10" t="s">
        <v>445</v>
      </c>
      <c r="B281" s="10" t="s">
        <v>115</v>
      </c>
      <c r="C281" s="10" t="s">
        <v>471</v>
      </c>
      <c r="D281" s="10" t="s">
        <v>470</v>
      </c>
      <c r="E281" s="10" t="s">
        <v>1035</v>
      </c>
      <c r="F281" s="9" t="s">
        <v>1011</v>
      </c>
      <c r="G281" s="10">
        <v>2024</v>
      </c>
      <c r="H281" s="10">
        <v>5</v>
      </c>
      <c r="I281" s="10">
        <f t="shared" si="8"/>
        <v>276</v>
      </c>
      <c r="J281" s="10" t="str">
        <f>Tableau2[[#This Row],[Annee d''inscription au programme]]&amp;"-"&amp;Tableau2[[#This Row],[Code d''ecole]]&amp;"-"&amp;Tableau2[[#This Row],[Numero HM de la femme]]</f>
        <v>2024-5-276</v>
      </c>
      <c r="K281" s="10">
        <f t="shared" si="9"/>
        <v>276</v>
      </c>
      <c r="L281" s="42">
        <v>1</v>
      </c>
      <c r="M281" s="52">
        <v>2</v>
      </c>
      <c r="N281" s="63">
        <f>SUM(Tableau2[[#This Row],[Mathématique/20]]+Tableau2[[#This Row],[Français /20]])/2</f>
        <v>1.5</v>
      </c>
      <c r="O281" s="42">
        <v>13</v>
      </c>
      <c r="P281" s="52">
        <v>18</v>
      </c>
      <c r="Q281" s="63">
        <f>(Tableau2[[#This Row],[Mathématique /20]]+Tableau2[[#This Row],[Français /202]])/2</f>
        <v>15.5</v>
      </c>
      <c r="S281"/>
      <c r="T281"/>
      <c r="U281"/>
      <c r="V281"/>
    </row>
    <row r="282" spans="1:22" ht="16" x14ac:dyDescent="0.2">
      <c r="A282" s="10" t="s">
        <v>472</v>
      </c>
      <c r="B282" s="10" t="s">
        <v>114</v>
      </c>
      <c r="C282" s="10" t="s">
        <v>194</v>
      </c>
      <c r="D282" s="10" t="s">
        <v>217</v>
      </c>
      <c r="E282" s="10" t="s">
        <v>1045</v>
      </c>
      <c r="F282" s="9" t="s">
        <v>1012</v>
      </c>
      <c r="G282" s="10">
        <v>2024</v>
      </c>
      <c r="H282" s="10">
        <v>84</v>
      </c>
      <c r="I282" s="10">
        <f t="shared" si="8"/>
        <v>277</v>
      </c>
      <c r="J282" s="10" t="str">
        <f>Tableau2[[#This Row],[Annee d''inscription au programme]]&amp;"-"&amp;Tableau2[[#This Row],[Code d''ecole]]&amp;"-"&amp;Tableau2[[#This Row],[Numero HM de la femme]]</f>
        <v>2024-84-277</v>
      </c>
      <c r="K282" s="10">
        <f t="shared" si="9"/>
        <v>277</v>
      </c>
      <c r="L282" s="42">
        <v>6</v>
      </c>
      <c r="M282" s="52">
        <v>3.5</v>
      </c>
      <c r="N282" s="63">
        <f>SUM(Tableau2[[#This Row],[Mathématique/20]]+Tableau2[[#This Row],[Français /20]])/2</f>
        <v>4.75</v>
      </c>
      <c r="O282" s="42">
        <v>11</v>
      </c>
      <c r="P282" s="52">
        <v>17</v>
      </c>
      <c r="Q282" s="63">
        <f>(Tableau2[[#This Row],[Mathématique /20]]+Tableau2[[#This Row],[Français /202]])/2</f>
        <v>14</v>
      </c>
      <c r="S282"/>
      <c r="T282"/>
      <c r="U282"/>
      <c r="V282"/>
    </row>
    <row r="283" spans="1:22" ht="16" x14ac:dyDescent="0.2">
      <c r="A283" s="10" t="s">
        <v>472</v>
      </c>
      <c r="B283" s="10" t="s">
        <v>114</v>
      </c>
      <c r="C283" s="10" t="s">
        <v>474</v>
      </c>
      <c r="D283" s="10" t="s">
        <v>473</v>
      </c>
      <c r="E283" s="10" t="s">
        <v>1045</v>
      </c>
      <c r="F283" s="9" t="s">
        <v>1012</v>
      </c>
      <c r="G283" s="10">
        <v>2024</v>
      </c>
      <c r="H283" s="10">
        <v>84</v>
      </c>
      <c r="I283" s="10">
        <f t="shared" si="8"/>
        <v>278</v>
      </c>
      <c r="J283" s="10" t="str">
        <f>Tableau2[[#This Row],[Annee d''inscription au programme]]&amp;"-"&amp;Tableau2[[#This Row],[Code d''ecole]]&amp;"-"&amp;Tableau2[[#This Row],[Numero HM de la femme]]</f>
        <v>2024-84-278</v>
      </c>
      <c r="K283" s="10">
        <f t="shared" si="9"/>
        <v>278</v>
      </c>
      <c r="L283" s="42">
        <v>4</v>
      </c>
      <c r="M283" s="52">
        <v>2.5</v>
      </c>
      <c r="N283" s="63">
        <f>SUM(Tableau2[[#This Row],[Mathématique/20]]+Tableau2[[#This Row],[Français /20]])/2</f>
        <v>3.25</v>
      </c>
      <c r="O283" s="42">
        <v>12</v>
      </c>
      <c r="P283" s="52">
        <v>16.75</v>
      </c>
      <c r="Q283" s="63">
        <f>(Tableau2[[#This Row],[Mathématique /20]]+Tableau2[[#This Row],[Français /202]])/2</f>
        <v>14.375</v>
      </c>
      <c r="S283"/>
      <c r="T283"/>
      <c r="U283"/>
      <c r="V283"/>
    </row>
    <row r="284" spans="1:22" ht="16" x14ac:dyDescent="0.2">
      <c r="A284" s="10" t="s">
        <v>472</v>
      </c>
      <c r="B284" s="10" t="s">
        <v>114</v>
      </c>
      <c r="C284" s="10" t="s">
        <v>930</v>
      </c>
      <c r="D284" s="10" t="s">
        <v>231</v>
      </c>
      <c r="E284" s="10" t="s">
        <v>1045</v>
      </c>
      <c r="F284" s="9" t="s">
        <v>1012</v>
      </c>
      <c r="G284" s="10">
        <v>2024</v>
      </c>
      <c r="H284" s="10">
        <v>84</v>
      </c>
      <c r="I284" s="10">
        <f t="shared" si="8"/>
        <v>279</v>
      </c>
      <c r="J284" s="10" t="str">
        <f>Tableau2[[#This Row],[Annee d''inscription au programme]]&amp;"-"&amp;Tableau2[[#This Row],[Code d''ecole]]&amp;"-"&amp;Tableau2[[#This Row],[Numero HM de la femme]]</f>
        <v>2024-84-279</v>
      </c>
      <c r="K284" s="10">
        <f t="shared" si="9"/>
        <v>279</v>
      </c>
      <c r="L284" s="42">
        <v>5</v>
      </c>
      <c r="M284" s="52">
        <v>2.5</v>
      </c>
      <c r="N284" s="63">
        <f>SUM(Tableau2[[#This Row],[Mathématique/20]]+Tableau2[[#This Row],[Français /20]])/2</f>
        <v>3.75</v>
      </c>
      <c r="O284" s="42">
        <v>11</v>
      </c>
      <c r="P284" s="52">
        <v>16.25</v>
      </c>
      <c r="Q284" s="63">
        <f>(Tableau2[[#This Row],[Mathématique /20]]+Tableau2[[#This Row],[Français /202]])/2</f>
        <v>13.625</v>
      </c>
      <c r="S284"/>
      <c r="T284"/>
      <c r="U284"/>
      <c r="V284"/>
    </row>
    <row r="285" spans="1:22" ht="16" x14ac:dyDescent="0.2">
      <c r="A285" s="10" t="s">
        <v>472</v>
      </c>
      <c r="B285" s="10" t="s">
        <v>114</v>
      </c>
      <c r="C285" s="10" t="s">
        <v>475</v>
      </c>
      <c r="D285" s="10" t="s">
        <v>476</v>
      </c>
      <c r="E285" s="10" t="s">
        <v>1045</v>
      </c>
      <c r="F285" s="9" t="s">
        <v>1013</v>
      </c>
      <c r="G285" s="10">
        <v>2024</v>
      </c>
      <c r="H285" s="10">
        <v>84</v>
      </c>
      <c r="I285" s="10">
        <f t="shared" si="8"/>
        <v>280</v>
      </c>
      <c r="J285" s="10" t="str">
        <f>Tableau2[[#This Row],[Annee d''inscription au programme]]&amp;"-"&amp;Tableau2[[#This Row],[Code d''ecole]]&amp;"-"&amp;Tableau2[[#This Row],[Numero HM de la femme]]</f>
        <v>2024-84-280</v>
      </c>
      <c r="K285" s="10">
        <f t="shared" si="9"/>
        <v>280</v>
      </c>
      <c r="L285" s="42">
        <v>0.5</v>
      </c>
      <c r="M285" s="52">
        <v>2</v>
      </c>
      <c r="N285" s="63">
        <f>SUM(Tableau2[[#This Row],[Mathématique/20]]+Tableau2[[#This Row],[Français /20]])/2</f>
        <v>1.25</v>
      </c>
      <c r="O285" s="42">
        <v>15</v>
      </c>
      <c r="P285" s="52">
        <v>16</v>
      </c>
      <c r="Q285" s="63">
        <f>(Tableau2[[#This Row],[Mathématique /20]]+Tableau2[[#This Row],[Français /202]])/2</f>
        <v>15.5</v>
      </c>
      <c r="S285"/>
      <c r="T285"/>
      <c r="U285"/>
      <c r="V285"/>
    </row>
    <row r="286" spans="1:22" ht="16" x14ac:dyDescent="0.2">
      <c r="A286" s="10" t="s">
        <v>472</v>
      </c>
      <c r="B286" s="10" t="s">
        <v>114</v>
      </c>
      <c r="C286" s="11" t="s">
        <v>931</v>
      </c>
      <c r="D286" s="10" t="s">
        <v>231</v>
      </c>
      <c r="E286" s="10" t="s">
        <v>1045</v>
      </c>
      <c r="F286" s="9" t="s">
        <v>1012</v>
      </c>
      <c r="G286" s="10">
        <v>2024</v>
      </c>
      <c r="H286" s="10">
        <v>84</v>
      </c>
      <c r="I286" s="10">
        <f t="shared" si="8"/>
        <v>281</v>
      </c>
      <c r="J286" s="11" t="str">
        <f>Tableau2[[#This Row],[Annee d''inscription au programme]]&amp;"-"&amp;Tableau2[[#This Row],[Code d''ecole]]&amp;"-"&amp;Tableau2[[#This Row],[Numero HM de la femme]]</f>
        <v>2024-84-281</v>
      </c>
      <c r="K286" s="10">
        <f t="shared" si="9"/>
        <v>281</v>
      </c>
      <c r="L286" s="42">
        <v>4</v>
      </c>
      <c r="M286" s="52">
        <v>4</v>
      </c>
      <c r="N286" s="63">
        <f>SUM(Tableau2[[#This Row],[Mathématique/20]]+Tableau2[[#This Row],[Français /20]])/2</f>
        <v>4</v>
      </c>
      <c r="O286" s="42">
        <v>11</v>
      </c>
      <c r="P286" s="52">
        <v>19</v>
      </c>
      <c r="Q286" s="63">
        <f>(Tableau2[[#This Row],[Mathématique /20]]+Tableau2[[#This Row],[Français /202]])/2</f>
        <v>15</v>
      </c>
      <c r="S286"/>
      <c r="T286"/>
      <c r="U286"/>
      <c r="V286"/>
    </row>
    <row r="287" spans="1:22" ht="16" x14ac:dyDescent="0.2">
      <c r="A287" s="10" t="s">
        <v>472</v>
      </c>
      <c r="B287" s="10" t="s">
        <v>114</v>
      </c>
      <c r="C287" s="11" t="s">
        <v>925</v>
      </c>
      <c r="D287" s="10" t="s">
        <v>227</v>
      </c>
      <c r="E287" s="10" t="s">
        <v>1045</v>
      </c>
      <c r="F287" s="9" t="s">
        <v>1012</v>
      </c>
      <c r="G287" s="10">
        <v>2024</v>
      </c>
      <c r="H287" s="10">
        <v>84</v>
      </c>
      <c r="I287" s="10">
        <f t="shared" si="8"/>
        <v>282</v>
      </c>
      <c r="J287" s="11" t="str">
        <f>Tableau2[[#This Row],[Annee d''inscription au programme]]&amp;"-"&amp;Tableau2[[#This Row],[Code d''ecole]]&amp;"-"&amp;Tableau2[[#This Row],[Numero HM de la femme]]</f>
        <v>2024-84-282</v>
      </c>
      <c r="K287" s="10">
        <f t="shared" si="9"/>
        <v>282</v>
      </c>
      <c r="L287" s="42">
        <v>4</v>
      </c>
      <c r="M287" s="52">
        <v>6</v>
      </c>
      <c r="N287" s="63">
        <f>SUM(Tableau2[[#This Row],[Mathématique/20]]+Tableau2[[#This Row],[Français /20]])/2</f>
        <v>5</v>
      </c>
      <c r="O287" s="42">
        <v>10.5</v>
      </c>
      <c r="P287" s="52">
        <v>18.5</v>
      </c>
      <c r="Q287" s="63">
        <f>(Tableau2[[#This Row],[Mathématique /20]]+Tableau2[[#This Row],[Français /202]])/2</f>
        <v>14.5</v>
      </c>
      <c r="S287"/>
      <c r="T287"/>
      <c r="U287"/>
      <c r="V287"/>
    </row>
    <row r="288" spans="1:22" ht="16" x14ac:dyDescent="0.2">
      <c r="A288" s="10" t="s">
        <v>472</v>
      </c>
      <c r="B288" s="10" t="s">
        <v>114</v>
      </c>
      <c r="C288" s="10" t="s">
        <v>478</v>
      </c>
      <c r="D288" s="10" t="s">
        <v>477</v>
      </c>
      <c r="E288" s="10" t="s">
        <v>1045</v>
      </c>
      <c r="F288" s="9" t="s">
        <v>1013</v>
      </c>
      <c r="G288" s="10">
        <v>2024</v>
      </c>
      <c r="H288" s="10">
        <v>84</v>
      </c>
      <c r="I288" s="10">
        <f t="shared" si="8"/>
        <v>283</v>
      </c>
      <c r="J288" s="10" t="str">
        <f>Tableau2[[#This Row],[Annee d''inscription au programme]]&amp;"-"&amp;Tableau2[[#This Row],[Code d''ecole]]&amp;"-"&amp;Tableau2[[#This Row],[Numero HM de la femme]]</f>
        <v>2024-84-283</v>
      </c>
      <c r="K288" s="10">
        <f t="shared" si="9"/>
        <v>283</v>
      </c>
      <c r="L288" s="42">
        <v>3</v>
      </c>
      <c r="M288" s="52">
        <v>3</v>
      </c>
      <c r="N288" s="63">
        <f>SUM(Tableau2[[#This Row],[Mathématique/20]]+Tableau2[[#This Row],[Français /20]])/2</f>
        <v>3</v>
      </c>
      <c r="O288" s="42">
        <v>16</v>
      </c>
      <c r="P288" s="52">
        <v>15.5</v>
      </c>
      <c r="Q288" s="63">
        <f>(Tableau2[[#This Row],[Mathématique /20]]+Tableau2[[#This Row],[Français /202]])/2</f>
        <v>15.75</v>
      </c>
      <c r="S288"/>
      <c r="T288"/>
      <c r="U288"/>
      <c r="V288"/>
    </row>
    <row r="289" spans="1:22" ht="16" x14ac:dyDescent="0.2">
      <c r="A289" s="10" t="s">
        <v>472</v>
      </c>
      <c r="B289" s="10" t="s">
        <v>114</v>
      </c>
      <c r="C289" s="10" t="s">
        <v>479</v>
      </c>
      <c r="D289" s="10" t="s">
        <v>480</v>
      </c>
      <c r="E289" s="10" t="s">
        <v>1045</v>
      </c>
      <c r="F289" s="9" t="s">
        <v>1013</v>
      </c>
      <c r="G289" s="10">
        <v>2024</v>
      </c>
      <c r="H289" s="10">
        <v>84</v>
      </c>
      <c r="I289" s="10">
        <f t="shared" si="8"/>
        <v>284</v>
      </c>
      <c r="J289" s="10" t="str">
        <f>Tableau2[[#This Row],[Annee d''inscription au programme]]&amp;"-"&amp;Tableau2[[#This Row],[Code d''ecole]]&amp;"-"&amp;Tableau2[[#This Row],[Numero HM de la femme]]</f>
        <v>2024-84-284</v>
      </c>
      <c r="K289" s="10">
        <f t="shared" si="9"/>
        <v>284</v>
      </c>
      <c r="L289" s="42">
        <v>2</v>
      </c>
      <c r="M289" s="52">
        <v>2.5</v>
      </c>
      <c r="N289" s="63">
        <f>SUM(Tableau2[[#This Row],[Mathématique/20]]+Tableau2[[#This Row],[Français /20]])/2</f>
        <v>2.25</v>
      </c>
      <c r="O289" s="42">
        <v>10.75</v>
      </c>
      <c r="P289" s="52">
        <v>16.25</v>
      </c>
      <c r="Q289" s="63">
        <f>(Tableau2[[#This Row],[Mathématique /20]]+Tableau2[[#This Row],[Français /202]])/2</f>
        <v>13.5</v>
      </c>
      <c r="S289"/>
      <c r="T289"/>
      <c r="U289"/>
      <c r="V289"/>
    </row>
    <row r="290" spans="1:22" ht="16" x14ac:dyDescent="0.2">
      <c r="A290" s="10" t="s">
        <v>472</v>
      </c>
      <c r="B290" s="10" t="s">
        <v>114</v>
      </c>
      <c r="C290" s="10" t="s">
        <v>481</v>
      </c>
      <c r="D290" s="10" t="s">
        <v>482</v>
      </c>
      <c r="E290" s="10" t="s">
        <v>1045</v>
      </c>
      <c r="F290" s="9" t="s">
        <v>1013</v>
      </c>
      <c r="G290" s="10">
        <v>2024</v>
      </c>
      <c r="H290" s="10">
        <v>84</v>
      </c>
      <c r="I290" s="10">
        <f t="shared" si="8"/>
        <v>285</v>
      </c>
      <c r="J290" s="10" t="str">
        <f>Tableau2[[#This Row],[Annee d''inscription au programme]]&amp;"-"&amp;Tableau2[[#This Row],[Code d''ecole]]&amp;"-"&amp;Tableau2[[#This Row],[Numero HM de la femme]]</f>
        <v>2024-84-285</v>
      </c>
      <c r="K290" s="10">
        <f t="shared" si="9"/>
        <v>285</v>
      </c>
      <c r="L290" s="42">
        <v>2</v>
      </c>
      <c r="M290" s="52">
        <v>2</v>
      </c>
      <c r="N290" s="63">
        <f>SUM(Tableau2[[#This Row],[Mathématique/20]]+Tableau2[[#This Row],[Français /20]])/2</f>
        <v>2</v>
      </c>
      <c r="O290" s="42">
        <v>13</v>
      </c>
      <c r="P290" s="52">
        <v>18.75</v>
      </c>
      <c r="Q290" s="63">
        <f>(Tableau2[[#This Row],[Mathématique /20]]+Tableau2[[#This Row],[Français /202]])/2</f>
        <v>15.875</v>
      </c>
      <c r="S290"/>
      <c r="T290"/>
      <c r="U290"/>
      <c r="V290"/>
    </row>
    <row r="291" spans="1:22" ht="16" x14ac:dyDescent="0.2">
      <c r="A291" s="10" t="s">
        <v>472</v>
      </c>
      <c r="B291" s="10" t="s">
        <v>114</v>
      </c>
      <c r="C291" s="10" t="s">
        <v>483</v>
      </c>
      <c r="D291" s="10" t="s">
        <v>484</v>
      </c>
      <c r="E291" s="10" t="s">
        <v>1045</v>
      </c>
      <c r="F291" s="9" t="s">
        <v>1013</v>
      </c>
      <c r="G291" s="10">
        <v>2024</v>
      </c>
      <c r="H291" s="10">
        <v>84</v>
      </c>
      <c r="I291" s="10">
        <f t="shared" si="8"/>
        <v>286</v>
      </c>
      <c r="J291" s="10" t="str">
        <f>Tableau2[[#This Row],[Annee d''inscription au programme]]&amp;"-"&amp;Tableau2[[#This Row],[Code d''ecole]]&amp;"-"&amp;Tableau2[[#This Row],[Numero HM de la femme]]</f>
        <v>2024-84-286</v>
      </c>
      <c r="K291" s="10">
        <f t="shared" si="9"/>
        <v>286</v>
      </c>
      <c r="L291" s="42">
        <v>4</v>
      </c>
      <c r="M291" s="52">
        <v>2.5</v>
      </c>
      <c r="N291" s="63">
        <f>SUM(Tableau2[[#This Row],[Mathématique/20]]+Tableau2[[#This Row],[Français /20]])/2</f>
        <v>3.25</v>
      </c>
      <c r="O291" s="42">
        <v>13.5</v>
      </c>
      <c r="P291" s="52">
        <v>19.75</v>
      </c>
      <c r="Q291" s="63">
        <f>(Tableau2[[#This Row],[Mathématique /20]]+Tableau2[[#This Row],[Français /202]])/2</f>
        <v>16.625</v>
      </c>
      <c r="S291"/>
      <c r="T291"/>
      <c r="U291"/>
      <c r="V291"/>
    </row>
    <row r="292" spans="1:22" ht="16" x14ac:dyDescent="0.2">
      <c r="A292" s="10" t="s">
        <v>472</v>
      </c>
      <c r="B292" s="10" t="s">
        <v>114</v>
      </c>
      <c r="C292" s="10" t="s">
        <v>485</v>
      </c>
      <c r="D292" s="10" t="s">
        <v>486</v>
      </c>
      <c r="E292" s="10" t="s">
        <v>1045</v>
      </c>
      <c r="F292" s="9" t="s">
        <v>1014</v>
      </c>
      <c r="G292" s="10">
        <v>2024</v>
      </c>
      <c r="H292" s="10">
        <v>84</v>
      </c>
      <c r="I292" s="10">
        <f t="shared" si="8"/>
        <v>287</v>
      </c>
      <c r="J292" s="10" t="str">
        <f>Tableau2[[#This Row],[Annee d''inscription au programme]]&amp;"-"&amp;Tableau2[[#This Row],[Code d''ecole]]&amp;"-"&amp;Tableau2[[#This Row],[Numero HM de la femme]]</f>
        <v>2024-84-287</v>
      </c>
      <c r="K292" s="10">
        <f t="shared" si="9"/>
        <v>287</v>
      </c>
      <c r="L292" s="42">
        <v>4</v>
      </c>
      <c r="M292" s="52">
        <v>2.5</v>
      </c>
      <c r="N292" s="63">
        <f>SUM(Tableau2[[#This Row],[Mathématique/20]]+Tableau2[[#This Row],[Français /20]])/2</f>
        <v>3.25</v>
      </c>
      <c r="O292" s="42">
        <v>11</v>
      </c>
      <c r="P292" s="52">
        <v>16.75</v>
      </c>
      <c r="Q292" s="63">
        <f>(Tableau2[[#This Row],[Mathématique /20]]+Tableau2[[#This Row],[Français /202]])/2</f>
        <v>13.875</v>
      </c>
      <c r="S292"/>
      <c r="T292"/>
      <c r="U292"/>
      <c r="V292"/>
    </row>
    <row r="293" spans="1:22" ht="16" x14ac:dyDescent="0.2">
      <c r="A293" s="10" t="s">
        <v>472</v>
      </c>
      <c r="B293" s="10" t="s">
        <v>114</v>
      </c>
      <c r="C293" s="10" t="s">
        <v>487</v>
      </c>
      <c r="D293" s="10" t="s">
        <v>488</v>
      </c>
      <c r="E293" s="10" t="s">
        <v>1045</v>
      </c>
      <c r="F293" s="9" t="s">
        <v>1013</v>
      </c>
      <c r="G293" s="10">
        <v>2024</v>
      </c>
      <c r="H293" s="10">
        <v>84</v>
      </c>
      <c r="I293" s="10">
        <f t="shared" si="8"/>
        <v>288</v>
      </c>
      <c r="J293" s="10" t="str">
        <f>Tableau2[[#This Row],[Annee d''inscription au programme]]&amp;"-"&amp;Tableau2[[#This Row],[Code d''ecole]]&amp;"-"&amp;Tableau2[[#This Row],[Numero HM de la femme]]</f>
        <v>2024-84-288</v>
      </c>
      <c r="K293" s="10">
        <f t="shared" si="9"/>
        <v>288</v>
      </c>
      <c r="L293" s="42">
        <v>4</v>
      </c>
      <c r="M293" s="52">
        <v>2</v>
      </c>
      <c r="N293" s="63">
        <f>SUM(Tableau2[[#This Row],[Mathématique/20]]+Tableau2[[#This Row],[Français /20]])/2</f>
        <v>3</v>
      </c>
      <c r="O293" s="42">
        <v>10</v>
      </c>
      <c r="P293" s="52">
        <v>15.75</v>
      </c>
      <c r="Q293" s="63">
        <f>(Tableau2[[#This Row],[Mathématique /20]]+Tableau2[[#This Row],[Français /202]])/2</f>
        <v>12.875</v>
      </c>
      <c r="S293"/>
      <c r="T293"/>
      <c r="U293"/>
      <c r="V293"/>
    </row>
    <row r="294" spans="1:22" ht="16" x14ac:dyDescent="0.2">
      <c r="A294" s="10" t="s">
        <v>472</v>
      </c>
      <c r="B294" s="10" t="s">
        <v>114</v>
      </c>
      <c r="C294" s="10" t="s">
        <v>489</v>
      </c>
      <c r="D294" s="10" t="s">
        <v>490</v>
      </c>
      <c r="E294" s="10" t="s">
        <v>1045</v>
      </c>
      <c r="F294" s="9" t="s">
        <v>1013</v>
      </c>
      <c r="G294" s="10">
        <v>2024</v>
      </c>
      <c r="H294" s="10">
        <v>84</v>
      </c>
      <c r="I294" s="10">
        <f t="shared" si="8"/>
        <v>289</v>
      </c>
      <c r="J294" s="10" t="str">
        <f>Tableau2[[#This Row],[Annee d''inscription au programme]]&amp;"-"&amp;Tableau2[[#This Row],[Code d''ecole]]&amp;"-"&amp;Tableau2[[#This Row],[Numero HM de la femme]]</f>
        <v>2024-84-289</v>
      </c>
      <c r="K294" s="10">
        <f t="shared" si="9"/>
        <v>289</v>
      </c>
      <c r="L294" s="42">
        <v>1</v>
      </c>
      <c r="M294" s="52">
        <v>2.5</v>
      </c>
      <c r="N294" s="63">
        <f>SUM(Tableau2[[#This Row],[Mathématique/20]]+Tableau2[[#This Row],[Français /20]])/2</f>
        <v>1.75</v>
      </c>
      <c r="O294" s="42">
        <v>13</v>
      </c>
      <c r="P294" s="52">
        <v>16.5</v>
      </c>
      <c r="Q294" s="63">
        <f>(Tableau2[[#This Row],[Mathématique /20]]+Tableau2[[#This Row],[Français /202]])/2</f>
        <v>14.75</v>
      </c>
      <c r="S294"/>
      <c r="T294"/>
      <c r="U294"/>
      <c r="V294"/>
    </row>
    <row r="295" spans="1:22" ht="16" x14ac:dyDescent="0.2">
      <c r="A295" s="10" t="s">
        <v>472</v>
      </c>
      <c r="B295" s="10" t="s">
        <v>114</v>
      </c>
      <c r="C295" s="10" t="s">
        <v>491</v>
      </c>
      <c r="D295" s="10" t="s">
        <v>25</v>
      </c>
      <c r="E295" s="10" t="s">
        <v>1045</v>
      </c>
      <c r="F295" s="9" t="s">
        <v>1012</v>
      </c>
      <c r="G295" s="10">
        <v>2024</v>
      </c>
      <c r="H295" s="10">
        <v>84</v>
      </c>
      <c r="I295" s="10">
        <f t="shared" si="8"/>
        <v>290</v>
      </c>
      <c r="J295" s="10" t="str">
        <f>Tableau2[[#This Row],[Annee d''inscription au programme]]&amp;"-"&amp;Tableau2[[#This Row],[Code d''ecole]]&amp;"-"&amp;Tableau2[[#This Row],[Numero HM de la femme]]</f>
        <v>2024-84-290</v>
      </c>
      <c r="K295" s="10">
        <f t="shared" si="9"/>
        <v>290</v>
      </c>
      <c r="L295" s="42">
        <v>3</v>
      </c>
      <c r="M295" s="52">
        <v>2</v>
      </c>
      <c r="N295" s="63">
        <f>SUM(Tableau2[[#This Row],[Mathématique/20]]+Tableau2[[#This Row],[Français /20]])/2</f>
        <v>2.5</v>
      </c>
      <c r="O295" s="42">
        <v>12.5</v>
      </c>
      <c r="P295" s="52">
        <v>15.75</v>
      </c>
      <c r="Q295" s="63">
        <f>(Tableau2[[#This Row],[Mathématique /20]]+Tableau2[[#This Row],[Français /202]])/2</f>
        <v>14.125</v>
      </c>
      <c r="S295"/>
      <c r="T295"/>
      <c r="U295"/>
      <c r="V295"/>
    </row>
    <row r="296" spans="1:22" ht="16" x14ac:dyDescent="0.2">
      <c r="A296" s="10" t="s">
        <v>472</v>
      </c>
      <c r="B296" s="10" t="s">
        <v>114</v>
      </c>
      <c r="C296" s="10" t="s">
        <v>492</v>
      </c>
      <c r="D296" s="10" t="s">
        <v>493</v>
      </c>
      <c r="E296" s="10" t="s">
        <v>1045</v>
      </c>
      <c r="F296" s="9" t="s">
        <v>1012</v>
      </c>
      <c r="G296" s="10">
        <v>2024</v>
      </c>
      <c r="H296" s="10">
        <v>84</v>
      </c>
      <c r="I296" s="10">
        <f t="shared" si="8"/>
        <v>291</v>
      </c>
      <c r="J296" s="10" t="str">
        <f>Tableau2[[#This Row],[Annee d''inscription au programme]]&amp;"-"&amp;Tableau2[[#This Row],[Code d''ecole]]&amp;"-"&amp;Tableau2[[#This Row],[Numero HM de la femme]]</f>
        <v>2024-84-291</v>
      </c>
      <c r="K296" s="10">
        <f t="shared" si="9"/>
        <v>291</v>
      </c>
      <c r="L296" s="42">
        <v>4</v>
      </c>
      <c r="M296" s="52">
        <v>1.5</v>
      </c>
      <c r="N296" s="63">
        <f>SUM(Tableau2[[#This Row],[Mathématique/20]]+Tableau2[[#This Row],[Français /20]])/2</f>
        <v>2.75</v>
      </c>
      <c r="O296" s="42">
        <v>10</v>
      </c>
      <c r="P296" s="52">
        <v>16.5</v>
      </c>
      <c r="Q296" s="63">
        <f>(Tableau2[[#This Row],[Mathématique /20]]+Tableau2[[#This Row],[Français /202]])/2</f>
        <v>13.25</v>
      </c>
      <c r="S296"/>
      <c r="T296"/>
      <c r="U296"/>
      <c r="V296"/>
    </row>
    <row r="297" spans="1:22" ht="16" x14ac:dyDescent="0.2">
      <c r="A297" s="10" t="s">
        <v>472</v>
      </c>
      <c r="B297" s="10" t="s">
        <v>114</v>
      </c>
      <c r="C297" s="10" t="s">
        <v>495</v>
      </c>
      <c r="D297" s="10" t="s">
        <v>494</v>
      </c>
      <c r="E297" s="10" t="s">
        <v>1045</v>
      </c>
      <c r="F297" s="9" t="s">
        <v>1013</v>
      </c>
      <c r="G297" s="10">
        <v>2024</v>
      </c>
      <c r="H297" s="10">
        <v>84</v>
      </c>
      <c r="I297" s="10">
        <f t="shared" si="8"/>
        <v>292</v>
      </c>
      <c r="J297" s="10" t="str">
        <f>Tableau2[[#This Row],[Annee d''inscription au programme]]&amp;"-"&amp;Tableau2[[#This Row],[Code d''ecole]]&amp;"-"&amp;Tableau2[[#This Row],[Numero HM de la femme]]</f>
        <v>2024-84-292</v>
      </c>
      <c r="K297" s="10">
        <f t="shared" si="9"/>
        <v>292</v>
      </c>
      <c r="L297" s="42">
        <v>3</v>
      </c>
      <c r="M297" s="52">
        <v>3</v>
      </c>
      <c r="N297" s="63">
        <f>SUM(Tableau2[[#This Row],[Mathématique/20]]+Tableau2[[#This Row],[Français /20]])/2</f>
        <v>3</v>
      </c>
      <c r="O297" s="42">
        <v>12</v>
      </c>
      <c r="P297" s="52">
        <v>16.5</v>
      </c>
      <c r="Q297" s="63">
        <f>(Tableau2[[#This Row],[Mathématique /20]]+Tableau2[[#This Row],[Français /202]])/2</f>
        <v>14.25</v>
      </c>
      <c r="S297"/>
      <c r="T297"/>
      <c r="U297"/>
      <c r="V297"/>
    </row>
    <row r="298" spans="1:22" ht="16" x14ac:dyDescent="0.2">
      <c r="A298" s="10" t="s">
        <v>496</v>
      </c>
      <c r="B298" s="10" t="s">
        <v>115</v>
      </c>
      <c r="C298" s="10" t="s">
        <v>497</v>
      </c>
      <c r="D298" s="10" t="s">
        <v>231</v>
      </c>
      <c r="E298" s="10" t="s">
        <v>1057</v>
      </c>
      <c r="F298" s="9" t="s">
        <v>1015</v>
      </c>
      <c r="G298" s="10">
        <v>2024</v>
      </c>
      <c r="H298" s="10">
        <v>31</v>
      </c>
      <c r="I298" s="10">
        <f t="shared" si="8"/>
        <v>293</v>
      </c>
      <c r="J298" s="10" t="str">
        <f>Tableau2[[#This Row],[Annee d''inscription au programme]]&amp;"-"&amp;Tableau2[[#This Row],[Code d''ecole]]&amp;"-"&amp;Tableau2[[#This Row],[Numero HM de la femme]]</f>
        <v>2024-31-293</v>
      </c>
      <c r="K298" s="10">
        <f t="shared" si="9"/>
        <v>293</v>
      </c>
      <c r="L298" s="42">
        <v>3.5</v>
      </c>
      <c r="M298" s="52">
        <v>1.5</v>
      </c>
      <c r="N298" s="63">
        <f>SUM(Tableau2[[#This Row],[Mathématique/20]]+Tableau2[[#This Row],[Français /20]])/2</f>
        <v>2.5</v>
      </c>
      <c r="O298" s="42">
        <v>12</v>
      </c>
      <c r="P298" s="52">
        <v>10</v>
      </c>
      <c r="Q298" s="63">
        <f>(Tableau2[[#This Row],[Mathématique /20]]+Tableau2[[#This Row],[Français /202]])/2</f>
        <v>11</v>
      </c>
      <c r="S298"/>
      <c r="T298"/>
      <c r="U298"/>
      <c r="V298"/>
    </row>
    <row r="299" spans="1:22" ht="16" x14ac:dyDescent="0.2">
      <c r="A299" s="10" t="s">
        <v>496</v>
      </c>
      <c r="B299" s="10" t="s">
        <v>115</v>
      </c>
      <c r="C299" s="10" t="s">
        <v>499</v>
      </c>
      <c r="D299" s="10" t="s">
        <v>498</v>
      </c>
      <c r="E299" s="10" t="s">
        <v>1057</v>
      </c>
      <c r="F299" s="9" t="s">
        <v>1015</v>
      </c>
      <c r="G299" s="10">
        <v>2024</v>
      </c>
      <c r="H299" s="10">
        <v>31</v>
      </c>
      <c r="I299" s="10">
        <f t="shared" si="8"/>
        <v>294</v>
      </c>
      <c r="J299" s="10" t="str">
        <f>Tableau2[[#This Row],[Annee d''inscription au programme]]&amp;"-"&amp;Tableau2[[#This Row],[Code d''ecole]]&amp;"-"&amp;Tableau2[[#This Row],[Numero HM de la femme]]</f>
        <v>2024-31-294</v>
      </c>
      <c r="K299" s="10">
        <f t="shared" si="9"/>
        <v>294</v>
      </c>
      <c r="L299" s="42">
        <v>2.5</v>
      </c>
      <c r="M299" s="52">
        <v>1</v>
      </c>
      <c r="N299" s="63">
        <f>SUM(Tableau2[[#This Row],[Mathématique/20]]+Tableau2[[#This Row],[Français /20]])/2</f>
        <v>1.75</v>
      </c>
      <c r="O299" s="42">
        <v>12</v>
      </c>
      <c r="P299" s="52">
        <v>10</v>
      </c>
      <c r="Q299" s="63">
        <f>(Tableau2[[#This Row],[Mathématique /20]]+Tableau2[[#This Row],[Français /202]])/2</f>
        <v>11</v>
      </c>
      <c r="S299"/>
      <c r="T299"/>
      <c r="U299"/>
      <c r="V299"/>
    </row>
    <row r="300" spans="1:22" ht="16" x14ac:dyDescent="0.2">
      <c r="A300" s="10" t="s">
        <v>496</v>
      </c>
      <c r="B300" s="10" t="s">
        <v>115</v>
      </c>
      <c r="C300" s="10" t="s">
        <v>500</v>
      </c>
      <c r="D300" s="10" t="s">
        <v>501</v>
      </c>
      <c r="E300" s="10" t="s">
        <v>1057</v>
      </c>
      <c r="F300" s="9" t="s">
        <v>1015</v>
      </c>
      <c r="G300" s="10">
        <v>2024</v>
      </c>
      <c r="H300" s="10">
        <v>31</v>
      </c>
      <c r="I300" s="10">
        <f t="shared" si="8"/>
        <v>295</v>
      </c>
      <c r="J300" s="10" t="str">
        <f>Tableau2[[#This Row],[Annee d''inscription au programme]]&amp;"-"&amp;Tableau2[[#This Row],[Code d''ecole]]&amp;"-"&amp;Tableau2[[#This Row],[Numero HM de la femme]]</f>
        <v>2024-31-295</v>
      </c>
      <c r="K300" s="10">
        <f t="shared" si="9"/>
        <v>295</v>
      </c>
      <c r="L300" s="42">
        <v>4.5</v>
      </c>
      <c r="M300" s="52">
        <v>2</v>
      </c>
      <c r="N300" s="63">
        <f>SUM(Tableau2[[#This Row],[Mathématique/20]]+Tableau2[[#This Row],[Français /20]])/2</f>
        <v>3.25</v>
      </c>
      <c r="O300" s="42">
        <v>19</v>
      </c>
      <c r="P300" s="52">
        <v>16</v>
      </c>
      <c r="Q300" s="63">
        <f>(Tableau2[[#This Row],[Mathématique /20]]+Tableau2[[#This Row],[Français /202]])/2</f>
        <v>17.5</v>
      </c>
      <c r="S300"/>
      <c r="T300"/>
      <c r="U300"/>
      <c r="V300"/>
    </row>
    <row r="301" spans="1:22" ht="16" x14ac:dyDescent="0.2">
      <c r="A301" s="10" t="s">
        <v>496</v>
      </c>
      <c r="B301" s="10" t="s">
        <v>115</v>
      </c>
      <c r="C301" s="10" t="s">
        <v>305</v>
      </c>
      <c r="D301" s="10" t="s">
        <v>230</v>
      </c>
      <c r="E301" s="10" t="s">
        <v>1057</v>
      </c>
      <c r="F301" s="9" t="s">
        <v>1015</v>
      </c>
      <c r="G301" s="10">
        <v>2024</v>
      </c>
      <c r="H301" s="10">
        <v>31</v>
      </c>
      <c r="I301" s="10">
        <f t="shared" si="8"/>
        <v>296</v>
      </c>
      <c r="J301" s="10" t="str">
        <f>Tableau2[[#This Row],[Annee d''inscription au programme]]&amp;"-"&amp;Tableau2[[#This Row],[Code d''ecole]]&amp;"-"&amp;Tableau2[[#This Row],[Numero HM de la femme]]</f>
        <v>2024-31-296</v>
      </c>
      <c r="K301" s="10">
        <f t="shared" si="9"/>
        <v>296</v>
      </c>
      <c r="L301" s="42">
        <v>2.5</v>
      </c>
      <c r="M301" s="52">
        <v>0</v>
      </c>
      <c r="N301" s="63">
        <f>SUM(Tableau2[[#This Row],[Mathématique/20]]+Tableau2[[#This Row],[Français /20]])/2</f>
        <v>1.25</v>
      </c>
      <c r="O301" s="42">
        <v>10</v>
      </c>
      <c r="P301" s="52">
        <v>13.5</v>
      </c>
      <c r="Q301" s="63">
        <f>(Tableau2[[#This Row],[Mathématique /20]]+Tableau2[[#This Row],[Français /202]])/2</f>
        <v>11.75</v>
      </c>
      <c r="S301"/>
      <c r="T301"/>
      <c r="U301"/>
      <c r="V301"/>
    </row>
    <row r="302" spans="1:22" ht="16" x14ac:dyDescent="0.2">
      <c r="A302" s="10" t="s">
        <v>496</v>
      </c>
      <c r="B302" s="10" t="s">
        <v>115</v>
      </c>
      <c r="C302" s="10" t="s">
        <v>502</v>
      </c>
      <c r="D302" s="10" t="s">
        <v>233</v>
      </c>
      <c r="E302" s="10" t="s">
        <v>1057</v>
      </c>
      <c r="F302" s="9" t="s">
        <v>1015</v>
      </c>
      <c r="G302" s="10">
        <v>2024</v>
      </c>
      <c r="H302" s="10">
        <v>31</v>
      </c>
      <c r="I302" s="10">
        <f t="shared" si="8"/>
        <v>297</v>
      </c>
      <c r="J302" s="10" t="str">
        <f>Tableau2[[#This Row],[Annee d''inscription au programme]]&amp;"-"&amp;Tableau2[[#This Row],[Code d''ecole]]&amp;"-"&amp;Tableau2[[#This Row],[Numero HM de la femme]]</f>
        <v>2024-31-297</v>
      </c>
      <c r="K302" s="10">
        <f t="shared" si="9"/>
        <v>297</v>
      </c>
      <c r="L302" s="42">
        <v>0.5</v>
      </c>
      <c r="M302" s="52">
        <v>2</v>
      </c>
      <c r="N302" s="63">
        <f>SUM(Tableau2[[#This Row],[Mathématique/20]]+Tableau2[[#This Row],[Français /20]])/2</f>
        <v>1.25</v>
      </c>
      <c r="O302" s="42">
        <v>13</v>
      </c>
      <c r="P302" s="52">
        <v>13</v>
      </c>
      <c r="Q302" s="63">
        <f>(Tableau2[[#This Row],[Mathématique /20]]+Tableau2[[#This Row],[Français /202]])/2</f>
        <v>13</v>
      </c>
      <c r="S302"/>
      <c r="T302"/>
      <c r="U302"/>
      <c r="V302"/>
    </row>
    <row r="303" spans="1:22" ht="16" x14ac:dyDescent="0.2">
      <c r="A303" s="10" t="s">
        <v>496</v>
      </c>
      <c r="B303" s="10" t="s">
        <v>115</v>
      </c>
      <c r="C303" s="10" t="s">
        <v>503</v>
      </c>
      <c r="D303" s="10" t="s">
        <v>230</v>
      </c>
      <c r="E303" s="10" t="s">
        <v>1057</v>
      </c>
      <c r="F303" s="9" t="s">
        <v>1015</v>
      </c>
      <c r="G303" s="10">
        <v>2024</v>
      </c>
      <c r="H303" s="10">
        <v>31</v>
      </c>
      <c r="I303" s="10">
        <f t="shared" si="8"/>
        <v>298</v>
      </c>
      <c r="J303" s="10" t="str">
        <f>Tableau2[[#This Row],[Annee d''inscription au programme]]&amp;"-"&amp;Tableau2[[#This Row],[Code d''ecole]]&amp;"-"&amp;Tableau2[[#This Row],[Numero HM de la femme]]</f>
        <v>2024-31-298</v>
      </c>
      <c r="K303" s="10">
        <f t="shared" si="9"/>
        <v>298</v>
      </c>
      <c r="L303" s="42">
        <v>1.5</v>
      </c>
      <c r="M303" s="52">
        <v>1.5</v>
      </c>
      <c r="N303" s="63">
        <f>SUM(Tableau2[[#This Row],[Mathématique/20]]+Tableau2[[#This Row],[Français /20]])/2</f>
        <v>1.5</v>
      </c>
      <c r="O303" s="42">
        <v>10</v>
      </c>
      <c r="P303" s="52">
        <v>10</v>
      </c>
      <c r="Q303" s="63">
        <f>(Tableau2[[#This Row],[Mathématique /20]]+Tableau2[[#This Row],[Français /202]])/2</f>
        <v>10</v>
      </c>
      <c r="S303"/>
      <c r="T303"/>
      <c r="U303"/>
      <c r="V303"/>
    </row>
    <row r="304" spans="1:22" ht="16" x14ac:dyDescent="0.2">
      <c r="A304" s="10" t="s">
        <v>496</v>
      </c>
      <c r="B304" s="10" t="s">
        <v>115</v>
      </c>
      <c r="C304" s="10" t="s">
        <v>505</v>
      </c>
      <c r="D304" s="10" t="s">
        <v>504</v>
      </c>
      <c r="E304" s="10" t="s">
        <v>1057</v>
      </c>
      <c r="F304" s="9" t="s">
        <v>1015</v>
      </c>
      <c r="G304" s="10">
        <v>2024</v>
      </c>
      <c r="H304" s="10">
        <v>31</v>
      </c>
      <c r="I304" s="10">
        <f t="shared" si="8"/>
        <v>299</v>
      </c>
      <c r="J304" s="10" t="str">
        <f>Tableau2[[#This Row],[Annee d''inscription au programme]]&amp;"-"&amp;Tableau2[[#This Row],[Code d''ecole]]&amp;"-"&amp;Tableau2[[#This Row],[Numero HM de la femme]]</f>
        <v>2024-31-299</v>
      </c>
      <c r="K304" s="10">
        <f t="shared" si="9"/>
        <v>299</v>
      </c>
      <c r="L304" s="42">
        <v>0.5</v>
      </c>
      <c r="M304" s="52">
        <v>1</v>
      </c>
      <c r="N304" s="63">
        <f>SUM(Tableau2[[#This Row],[Mathématique/20]]+Tableau2[[#This Row],[Français /20]])/2</f>
        <v>0.75</v>
      </c>
      <c r="O304" s="42">
        <v>12</v>
      </c>
      <c r="P304" s="52">
        <v>13</v>
      </c>
      <c r="Q304" s="63">
        <f>(Tableau2[[#This Row],[Mathématique /20]]+Tableau2[[#This Row],[Français /202]])/2</f>
        <v>12.5</v>
      </c>
      <c r="S304"/>
      <c r="T304"/>
      <c r="U304"/>
      <c r="V304"/>
    </row>
    <row r="305" spans="1:22" ht="16" x14ac:dyDescent="0.2">
      <c r="A305" s="10" t="s">
        <v>496</v>
      </c>
      <c r="B305" s="10" t="s">
        <v>115</v>
      </c>
      <c r="C305" s="10" t="s">
        <v>506</v>
      </c>
      <c r="D305" s="10" t="s">
        <v>507</v>
      </c>
      <c r="E305" s="10" t="s">
        <v>1057</v>
      </c>
      <c r="F305" s="9" t="s">
        <v>1015</v>
      </c>
      <c r="G305" s="10">
        <v>2024</v>
      </c>
      <c r="H305" s="10">
        <v>31</v>
      </c>
      <c r="I305" s="10">
        <f t="shared" si="8"/>
        <v>300</v>
      </c>
      <c r="J305" s="10" t="str">
        <f>Tableau2[[#This Row],[Annee d''inscription au programme]]&amp;"-"&amp;Tableau2[[#This Row],[Code d''ecole]]&amp;"-"&amp;Tableau2[[#This Row],[Numero HM de la femme]]</f>
        <v>2024-31-300</v>
      </c>
      <c r="K305" s="10">
        <f t="shared" si="9"/>
        <v>300</v>
      </c>
      <c r="L305" s="42">
        <v>1.5</v>
      </c>
      <c r="M305" s="52">
        <v>0</v>
      </c>
      <c r="N305" s="63">
        <f>SUM(Tableau2[[#This Row],[Mathématique/20]]+Tableau2[[#This Row],[Français /20]])/2</f>
        <v>0.75</v>
      </c>
      <c r="O305" s="42">
        <v>10</v>
      </c>
      <c r="P305" s="52">
        <v>11</v>
      </c>
      <c r="Q305" s="63">
        <f>(Tableau2[[#This Row],[Mathématique /20]]+Tableau2[[#This Row],[Français /202]])/2</f>
        <v>10.5</v>
      </c>
      <c r="S305"/>
      <c r="T305"/>
      <c r="U305"/>
      <c r="V305"/>
    </row>
    <row r="306" spans="1:22" ht="16" x14ac:dyDescent="0.2">
      <c r="A306" s="10" t="s">
        <v>496</v>
      </c>
      <c r="B306" s="10" t="s">
        <v>115</v>
      </c>
      <c r="C306" s="10" t="s">
        <v>508</v>
      </c>
      <c r="D306" s="10" t="s">
        <v>218</v>
      </c>
      <c r="E306" s="10" t="s">
        <v>1057</v>
      </c>
      <c r="F306" s="9" t="s">
        <v>1015</v>
      </c>
      <c r="G306" s="10">
        <v>2024</v>
      </c>
      <c r="H306" s="10">
        <v>31</v>
      </c>
      <c r="I306" s="10">
        <f t="shared" si="8"/>
        <v>301</v>
      </c>
      <c r="J306" s="10" t="str">
        <f>Tableau2[[#This Row],[Annee d''inscription au programme]]&amp;"-"&amp;Tableau2[[#This Row],[Code d''ecole]]&amp;"-"&amp;Tableau2[[#This Row],[Numero HM de la femme]]</f>
        <v>2024-31-301</v>
      </c>
      <c r="K306" s="10">
        <f t="shared" si="9"/>
        <v>301</v>
      </c>
      <c r="L306" s="42">
        <v>5</v>
      </c>
      <c r="M306" s="52">
        <v>2</v>
      </c>
      <c r="N306" s="63">
        <f>SUM(Tableau2[[#This Row],[Mathématique/20]]+Tableau2[[#This Row],[Français /20]])/2</f>
        <v>3.5</v>
      </c>
      <c r="O306" s="42">
        <v>16</v>
      </c>
      <c r="P306" s="52">
        <v>13</v>
      </c>
      <c r="Q306" s="63">
        <f>(Tableau2[[#This Row],[Mathématique /20]]+Tableau2[[#This Row],[Français /202]])/2</f>
        <v>14.5</v>
      </c>
      <c r="S306"/>
      <c r="T306"/>
      <c r="U306"/>
      <c r="V306"/>
    </row>
    <row r="307" spans="1:22" ht="16" x14ac:dyDescent="0.2">
      <c r="A307" s="10" t="s">
        <v>496</v>
      </c>
      <c r="B307" s="10" t="s">
        <v>115</v>
      </c>
      <c r="C307" s="10" t="s">
        <v>509</v>
      </c>
      <c r="D307" s="10" t="s">
        <v>222</v>
      </c>
      <c r="E307" s="10" t="s">
        <v>1057</v>
      </c>
      <c r="F307" s="9" t="s">
        <v>1015</v>
      </c>
      <c r="G307" s="10">
        <v>2024</v>
      </c>
      <c r="H307" s="10">
        <v>31</v>
      </c>
      <c r="I307" s="10">
        <f t="shared" si="8"/>
        <v>302</v>
      </c>
      <c r="J307" s="10" t="str">
        <f>Tableau2[[#This Row],[Annee d''inscription au programme]]&amp;"-"&amp;Tableau2[[#This Row],[Code d''ecole]]&amp;"-"&amp;Tableau2[[#This Row],[Numero HM de la femme]]</f>
        <v>2024-31-302</v>
      </c>
      <c r="K307" s="10">
        <f t="shared" si="9"/>
        <v>302</v>
      </c>
      <c r="L307" s="42">
        <v>1.25</v>
      </c>
      <c r="M307" s="52">
        <v>6</v>
      </c>
      <c r="N307" s="63">
        <f>SUM(Tableau2[[#This Row],[Mathématique/20]]+Tableau2[[#This Row],[Français /20]])/2</f>
        <v>3.625</v>
      </c>
      <c r="O307" s="42">
        <v>10</v>
      </c>
      <c r="P307" s="52">
        <v>13.5</v>
      </c>
      <c r="Q307" s="63">
        <f>(Tableau2[[#This Row],[Mathématique /20]]+Tableau2[[#This Row],[Français /202]])/2</f>
        <v>11.75</v>
      </c>
      <c r="S307"/>
      <c r="T307"/>
      <c r="U307"/>
      <c r="V307"/>
    </row>
    <row r="308" spans="1:22" ht="16" x14ac:dyDescent="0.2">
      <c r="A308" s="10" t="s">
        <v>496</v>
      </c>
      <c r="B308" s="10" t="s">
        <v>115</v>
      </c>
      <c r="C308" s="10" t="s">
        <v>510</v>
      </c>
      <c r="D308" s="10" t="s">
        <v>223</v>
      </c>
      <c r="E308" s="10" t="s">
        <v>1057</v>
      </c>
      <c r="F308" s="9" t="s">
        <v>1015</v>
      </c>
      <c r="G308" s="10">
        <v>2024</v>
      </c>
      <c r="H308" s="10">
        <v>31</v>
      </c>
      <c r="I308" s="10">
        <f t="shared" si="8"/>
        <v>303</v>
      </c>
      <c r="J308" s="10" t="str">
        <f>Tableau2[[#This Row],[Annee d''inscription au programme]]&amp;"-"&amp;Tableau2[[#This Row],[Code d''ecole]]&amp;"-"&amp;Tableau2[[#This Row],[Numero HM de la femme]]</f>
        <v>2024-31-303</v>
      </c>
      <c r="K308" s="10">
        <f t="shared" si="9"/>
        <v>303</v>
      </c>
      <c r="L308" s="42">
        <v>4</v>
      </c>
      <c r="M308" s="52">
        <v>1</v>
      </c>
      <c r="N308" s="63">
        <f>SUM(Tableau2[[#This Row],[Mathématique/20]]+Tableau2[[#This Row],[Français /20]])/2</f>
        <v>2.5</v>
      </c>
      <c r="O308" s="42">
        <v>12</v>
      </c>
      <c r="P308" s="52">
        <v>14.5</v>
      </c>
      <c r="Q308" s="63">
        <f>(Tableau2[[#This Row],[Mathématique /20]]+Tableau2[[#This Row],[Français /202]])/2</f>
        <v>13.25</v>
      </c>
      <c r="S308"/>
      <c r="T308"/>
      <c r="U308"/>
      <c r="V308"/>
    </row>
    <row r="309" spans="1:22" ht="16" x14ac:dyDescent="0.2">
      <c r="A309" s="10" t="s">
        <v>496</v>
      </c>
      <c r="B309" s="10" t="s">
        <v>115</v>
      </c>
      <c r="C309" s="10" t="s">
        <v>511</v>
      </c>
      <c r="D309" s="10" t="s">
        <v>232</v>
      </c>
      <c r="E309" s="10" t="s">
        <v>1057</v>
      </c>
      <c r="F309" s="9" t="s">
        <v>1015</v>
      </c>
      <c r="G309" s="10">
        <v>2024</v>
      </c>
      <c r="H309" s="10">
        <v>31</v>
      </c>
      <c r="I309" s="10">
        <f t="shared" si="8"/>
        <v>304</v>
      </c>
      <c r="J309" s="10" t="str">
        <f>Tableau2[[#This Row],[Annee d''inscription au programme]]&amp;"-"&amp;Tableau2[[#This Row],[Code d''ecole]]&amp;"-"&amp;Tableau2[[#This Row],[Numero HM de la femme]]</f>
        <v>2024-31-304</v>
      </c>
      <c r="K309" s="10">
        <f t="shared" si="9"/>
        <v>304</v>
      </c>
      <c r="L309" s="42">
        <v>3</v>
      </c>
      <c r="M309" s="52">
        <v>1</v>
      </c>
      <c r="N309" s="63">
        <f>SUM(Tableau2[[#This Row],[Mathématique/20]]+Tableau2[[#This Row],[Français /20]])/2</f>
        <v>2</v>
      </c>
      <c r="O309" s="42">
        <v>12</v>
      </c>
      <c r="P309" s="52">
        <v>14</v>
      </c>
      <c r="Q309" s="63">
        <f>(Tableau2[[#This Row],[Mathématique /20]]+Tableau2[[#This Row],[Français /202]])/2</f>
        <v>13</v>
      </c>
      <c r="S309"/>
      <c r="T309"/>
      <c r="U309"/>
      <c r="V309"/>
    </row>
    <row r="310" spans="1:22" ht="16" x14ac:dyDescent="0.2">
      <c r="A310" s="10" t="s">
        <v>496</v>
      </c>
      <c r="B310" s="10" t="s">
        <v>115</v>
      </c>
      <c r="C310" s="10" t="s">
        <v>512</v>
      </c>
      <c r="D310" s="10" t="s">
        <v>513</v>
      </c>
      <c r="E310" s="10" t="s">
        <v>1057</v>
      </c>
      <c r="F310" s="9" t="s">
        <v>1015</v>
      </c>
      <c r="G310" s="10">
        <v>2024</v>
      </c>
      <c r="H310" s="10">
        <v>31</v>
      </c>
      <c r="I310" s="10">
        <f t="shared" si="8"/>
        <v>305</v>
      </c>
      <c r="J310" s="10" t="str">
        <f>Tableau2[[#This Row],[Annee d''inscription au programme]]&amp;"-"&amp;Tableau2[[#This Row],[Code d''ecole]]&amp;"-"&amp;Tableau2[[#This Row],[Numero HM de la femme]]</f>
        <v>2024-31-305</v>
      </c>
      <c r="K310" s="10">
        <f t="shared" si="9"/>
        <v>305</v>
      </c>
      <c r="L310" s="42">
        <v>2</v>
      </c>
      <c r="M310" s="52">
        <v>1.5</v>
      </c>
      <c r="N310" s="63">
        <f>SUM(Tableau2[[#This Row],[Mathématique/20]]+Tableau2[[#This Row],[Français /20]])/2</f>
        <v>1.75</v>
      </c>
      <c r="O310" s="42" t="s">
        <v>1076</v>
      </c>
      <c r="P310" s="52"/>
      <c r="Q310" s="63"/>
      <c r="S310"/>
      <c r="T310"/>
      <c r="U310"/>
      <c r="V310"/>
    </row>
    <row r="311" spans="1:22" ht="16" x14ac:dyDescent="0.2">
      <c r="A311" s="10" t="s">
        <v>496</v>
      </c>
      <c r="B311" s="10" t="s">
        <v>115</v>
      </c>
      <c r="C311" s="10" t="s">
        <v>515</v>
      </c>
      <c r="D311" s="10" t="s">
        <v>514</v>
      </c>
      <c r="E311" s="10" t="s">
        <v>1057</v>
      </c>
      <c r="F311" s="9" t="s">
        <v>1015</v>
      </c>
      <c r="G311" s="10">
        <v>2024</v>
      </c>
      <c r="H311" s="10">
        <v>31</v>
      </c>
      <c r="I311" s="10">
        <f t="shared" si="8"/>
        <v>306</v>
      </c>
      <c r="J311" s="10" t="str">
        <f>Tableau2[[#This Row],[Annee d''inscription au programme]]&amp;"-"&amp;Tableau2[[#This Row],[Code d''ecole]]&amp;"-"&amp;Tableau2[[#This Row],[Numero HM de la femme]]</f>
        <v>2024-31-306</v>
      </c>
      <c r="K311" s="10">
        <f t="shared" si="9"/>
        <v>306</v>
      </c>
      <c r="L311" s="42">
        <v>1.5</v>
      </c>
      <c r="M311" s="52">
        <v>2</v>
      </c>
      <c r="N311" s="63">
        <f>SUM(Tableau2[[#This Row],[Mathématique/20]]+Tableau2[[#This Row],[Français /20]])/2</f>
        <v>1.75</v>
      </c>
      <c r="O311" s="42">
        <v>15</v>
      </c>
      <c r="P311" s="52">
        <v>12</v>
      </c>
      <c r="Q311" s="63">
        <f>(Tableau2[[#This Row],[Mathématique /20]]+Tableau2[[#This Row],[Français /202]])/2</f>
        <v>13.5</v>
      </c>
      <c r="S311"/>
      <c r="T311"/>
      <c r="U311"/>
      <c r="V311"/>
    </row>
    <row r="312" spans="1:22" ht="16" x14ac:dyDescent="0.2">
      <c r="A312" s="10" t="s">
        <v>496</v>
      </c>
      <c r="B312" s="10" t="s">
        <v>115</v>
      </c>
      <c r="C312" s="10" t="s">
        <v>516</v>
      </c>
      <c r="D312" s="10" t="s">
        <v>168</v>
      </c>
      <c r="E312" s="10" t="s">
        <v>1057</v>
      </c>
      <c r="F312" s="9" t="s">
        <v>1015</v>
      </c>
      <c r="G312" s="10">
        <v>2024</v>
      </c>
      <c r="H312" s="10">
        <v>31</v>
      </c>
      <c r="I312" s="10">
        <f t="shared" si="8"/>
        <v>307</v>
      </c>
      <c r="J312" s="10" t="str">
        <f>Tableau2[[#This Row],[Annee d''inscription au programme]]&amp;"-"&amp;Tableau2[[#This Row],[Code d''ecole]]&amp;"-"&amp;Tableau2[[#This Row],[Numero HM de la femme]]</f>
        <v>2024-31-307</v>
      </c>
      <c r="K312" s="10">
        <f t="shared" si="9"/>
        <v>307</v>
      </c>
      <c r="L312" s="42">
        <v>1</v>
      </c>
      <c r="M312" s="52">
        <v>0</v>
      </c>
      <c r="N312" s="63">
        <f>SUM(Tableau2[[#This Row],[Mathématique/20]]+Tableau2[[#This Row],[Français /20]])/2</f>
        <v>0.5</v>
      </c>
      <c r="O312" s="42">
        <v>10</v>
      </c>
      <c r="P312" s="52">
        <v>10</v>
      </c>
      <c r="Q312" s="63">
        <f>(Tableau2[[#This Row],[Mathématique /20]]+Tableau2[[#This Row],[Français /202]])/2</f>
        <v>10</v>
      </c>
      <c r="S312"/>
      <c r="T312"/>
      <c r="U312"/>
      <c r="V312"/>
    </row>
    <row r="313" spans="1:22" ht="16" x14ac:dyDescent="0.2">
      <c r="A313" s="10" t="s">
        <v>496</v>
      </c>
      <c r="B313" s="10" t="s">
        <v>115</v>
      </c>
      <c r="C313" s="10" t="s">
        <v>517</v>
      </c>
      <c r="D313" s="19" t="s">
        <v>518</v>
      </c>
      <c r="E313" s="10" t="s">
        <v>1057</v>
      </c>
      <c r="F313" s="9" t="s">
        <v>1015</v>
      </c>
      <c r="G313" s="10">
        <v>2024</v>
      </c>
      <c r="H313" s="10">
        <v>31</v>
      </c>
      <c r="I313" s="10">
        <f t="shared" si="8"/>
        <v>308</v>
      </c>
      <c r="J313" s="10" t="str">
        <f>Tableau2[[#This Row],[Annee d''inscription au programme]]&amp;"-"&amp;Tableau2[[#This Row],[Code d''ecole]]&amp;"-"&amp;Tableau2[[#This Row],[Numero HM de la femme]]</f>
        <v>2024-31-308</v>
      </c>
      <c r="K313" s="10">
        <f t="shared" si="9"/>
        <v>308</v>
      </c>
      <c r="L313" s="42">
        <v>1.5</v>
      </c>
      <c r="M313" s="52">
        <v>0.5</v>
      </c>
      <c r="N313" s="63">
        <f>SUM(Tableau2[[#This Row],[Mathématique/20]]+Tableau2[[#This Row],[Français /20]])/2</f>
        <v>1</v>
      </c>
      <c r="O313" s="42">
        <v>14</v>
      </c>
      <c r="P313" s="52">
        <v>12</v>
      </c>
      <c r="Q313" s="63">
        <f>(Tableau2[[#This Row],[Mathématique /20]]+Tableau2[[#This Row],[Français /202]])/2</f>
        <v>13</v>
      </c>
      <c r="S313"/>
      <c r="T313"/>
      <c r="U313"/>
      <c r="V313"/>
    </row>
    <row r="314" spans="1:22" ht="16" x14ac:dyDescent="0.2">
      <c r="A314" s="10" t="s">
        <v>519</v>
      </c>
      <c r="B314" s="10" t="s">
        <v>114</v>
      </c>
      <c r="C314" s="10" t="s">
        <v>520</v>
      </c>
      <c r="D314" s="10" t="s">
        <v>521</v>
      </c>
      <c r="E314" s="10" t="s">
        <v>1044</v>
      </c>
      <c r="F314" s="11" t="s">
        <v>1020</v>
      </c>
      <c r="G314" s="10">
        <v>2024</v>
      </c>
      <c r="H314" s="10">
        <v>85</v>
      </c>
      <c r="I314" s="10">
        <f t="shared" si="8"/>
        <v>309</v>
      </c>
      <c r="J314" s="10" t="str">
        <f>Tableau2[[#This Row],[Annee d''inscription au programme]]&amp;"-"&amp;Tableau2[[#This Row],[Code d''ecole]]&amp;"-"&amp;Tableau2[[#This Row],[Numero HM de la femme]]</f>
        <v>2024-85-309</v>
      </c>
      <c r="K314" s="10">
        <f t="shared" si="9"/>
        <v>309</v>
      </c>
      <c r="L314" s="42">
        <v>2</v>
      </c>
      <c r="M314" s="52">
        <v>3.5</v>
      </c>
      <c r="N314" s="63">
        <f>SUM(Tableau2[[#This Row],[Mathématique/20]]+Tableau2[[#This Row],[Français /20]])/2</f>
        <v>2.75</v>
      </c>
      <c r="O314" s="43">
        <v>8.5</v>
      </c>
      <c r="P314" s="52">
        <v>8</v>
      </c>
      <c r="Q314" s="63">
        <f>(Tableau2[[#This Row],[Mathématique /20]]+Tableau2[[#This Row],[Français /202]])/2</f>
        <v>8.25</v>
      </c>
      <c r="S314"/>
      <c r="T314"/>
      <c r="U314"/>
      <c r="V314"/>
    </row>
    <row r="315" spans="1:22" ht="16" x14ac:dyDescent="0.2">
      <c r="A315" s="10" t="s">
        <v>519</v>
      </c>
      <c r="B315" s="10" t="s">
        <v>114</v>
      </c>
      <c r="C315" s="10" t="s">
        <v>522</v>
      </c>
      <c r="D315" s="10" t="s">
        <v>129</v>
      </c>
      <c r="E315" s="10" t="s">
        <v>1044</v>
      </c>
      <c r="F315" s="11" t="s">
        <v>1020</v>
      </c>
      <c r="G315" s="10">
        <v>2024</v>
      </c>
      <c r="H315" s="10">
        <v>85</v>
      </c>
      <c r="I315" s="10">
        <f t="shared" si="8"/>
        <v>310</v>
      </c>
      <c r="J315" s="10" t="str">
        <f>Tableau2[[#This Row],[Annee d''inscription au programme]]&amp;"-"&amp;Tableau2[[#This Row],[Code d''ecole]]&amp;"-"&amp;Tableau2[[#This Row],[Numero HM de la femme]]</f>
        <v>2024-85-310</v>
      </c>
      <c r="K315" s="10">
        <f t="shared" si="9"/>
        <v>310</v>
      </c>
      <c r="L315" s="42">
        <v>1</v>
      </c>
      <c r="M315" s="52">
        <v>2</v>
      </c>
      <c r="N315" s="63">
        <f>SUM(Tableau2[[#This Row],[Mathématique/20]]+Tableau2[[#This Row],[Français /20]])/2</f>
        <v>1.5</v>
      </c>
      <c r="O315" s="42">
        <v>13</v>
      </c>
      <c r="P315" s="59">
        <v>8.5</v>
      </c>
      <c r="Q315" s="63">
        <f>(Tableau2[[#This Row],[Mathématique /20]]+Tableau2[[#This Row],[Français /202]])/2</f>
        <v>10.75</v>
      </c>
      <c r="S315"/>
      <c r="T315"/>
      <c r="U315"/>
      <c r="V315"/>
    </row>
    <row r="316" spans="1:22" ht="16" x14ac:dyDescent="0.2">
      <c r="A316" s="10" t="s">
        <v>519</v>
      </c>
      <c r="B316" s="10" t="s">
        <v>114</v>
      </c>
      <c r="C316" s="10" t="s">
        <v>524</v>
      </c>
      <c r="D316" s="10" t="s">
        <v>523</v>
      </c>
      <c r="E316" s="10" t="s">
        <v>1044</v>
      </c>
      <c r="F316" s="11" t="s">
        <v>1020</v>
      </c>
      <c r="G316" s="10">
        <v>2024</v>
      </c>
      <c r="H316" s="10">
        <v>85</v>
      </c>
      <c r="I316" s="10">
        <f t="shared" si="8"/>
        <v>311</v>
      </c>
      <c r="J316" s="10" t="str">
        <f>Tableau2[[#This Row],[Annee d''inscription au programme]]&amp;"-"&amp;Tableau2[[#This Row],[Code d''ecole]]&amp;"-"&amp;Tableau2[[#This Row],[Numero HM de la femme]]</f>
        <v>2024-85-311</v>
      </c>
      <c r="K316" s="10">
        <f t="shared" si="9"/>
        <v>311</v>
      </c>
      <c r="L316" s="42">
        <v>0</v>
      </c>
      <c r="M316" s="52">
        <v>1</v>
      </c>
      <c r="N316" s="63">
        <f>SUM(Tableau2[[#This Row],[Mathématique/20]]+Tableau2[[#This Row],[Français /20]])/2</f>
        <v>0.5</v>
      </c>
      <c r="O316" s="42">
        <v>8</v>
      </c>
      <c r="P316" s="59">
        <v>15.5</v>
      </c>
      <c r="Q316" s="63">
        <f>(Tableau2[[#This Row],[Mathématique /20]]+Tableau2[[#This Row],[Français /202]])/2</f>
        <v>11.75</v>
      </c>
      <c r="S316"/>
      <c r="T316"/>
      <c r="U316"/>
      <c r="V316"/>
    </row>
    <row r="317" spans="1:22" ht="16" x14ac:dyDescent="0.2">
      <c r="A317" s="10" t="s">
        <v>519</v>
      </c>
      <c r="B317" s="10" t="s">
        <v>114</v>
      </c>
      <c r="C317" s="10" t="s">
        <v>525</v>
      </c>
      <c r="D317" s="10" t="s">
        <v>526</v>
      </c>
      <c r="E317" s="10" t="s">
        <v>1044</v>
      </c>
      <c r="F317" s="11" t="s">
        <v>1020</v>
      </c>
      <c r="G317" s="10">
        <v>2024</v>
      </c>
      <c r="H317" s="10">
        <v>85</v>
      </c>
      <c r="I317" s="10">
        <f t="shared" si="8"/>
        <v>312</v>
      </c>
      <c r="J317" s="10" t="str">
        <f>Tableau2[[#This Row],[Annee d''inscription au programme]]&amp;"-"&amp;Tableau2[[#This Row],[Code d''ecole]]&amp;"-"&amp;Tableau2[[#This Row],[Numero HM de la femme]]</f>
        <v>2024-85-312</v>
      </c>
      <c r="K317" s="10">
        <f t="shared" si="9"/>
        <v>312</v>
      </c>
      <c r="L317" s="42">
        <v>0</v>
      </c>
      <c r="M317" s="52">
        <v>8</v>
      </c>
      <c r="N317" s="63">
        <f>SUM(Tableau2[[#This Row],[Mathématique/20]]+Tableau2[[#This Row],[Français /20]])/2</f>
        <v>4</v>
      </c>
      <c r="O317" s="43">
        <v>13.5</v>
      </c>
      <c r="P317" s="59">
        <v>18.5</v>
      </c>
      <c r="Q317" s="63">
        <f>(Tableau2[[#This Row],[Mathématique /20]]+Tableau2[[#This Row],[Français /202]])/2</f>
        <v>16</v>
      </c>
      <c r="S317"/>
      <c r="T317"/>
      <c r="U317"/>
      <c r="V317"/>
    </row>
    <row r="318" spans="1:22" ht="16" x14ac:dyDescent="0.2">
      <c r="A318" s="10" t="s">
        <v>519</v>
      </c>
      <c r="B318" s="10" t="s">
        <v>114</v>
      </c>
      <c r="C318" s="10" t="s">
        <v>528</v>
      </c>
      <c r="D318" s="10" t="s">
        <v>527</v>
      </c>
      <c r="E318" s="10" t="s">
        <v>1044</v>
      </c>
      <c r="F318" s="11" t="s">
        <v>1020</v>
      </c>
      <c r="G318" s="10">
        <v>2024</v>
      </c>
      <c r="H318" s="10">
        <v>85</v>
      </c>
      <c r="I318" s="10">
        <f t="shared" si="8"/>
        <v>313</v>
      </c>
      <c r="J318" s="10" t="str">
        <f>Tableau2[[#This Row],[Annee d''inscription au programme]]&amp;"-"&amp;Tableau2[[#This Row],[Code d''ecole]]&amp;"-"&amp;Tableau2[[#This Row],[Numero HM de la femme]]</f>
        <v>2024-85-313</v>
      </c>
      <c r="K318" s="10">
        <f t="shared" si="9"/>
        <v>313</v>
      </c>
      <c r="L318" s="42">
        <v>3</v>
      </c>
      <c r="M318" s="52">
        <v>1</v>
      </c>
      <c r="N318" s="63">
        <f>SUM(Tableau2[[#This Row],[Mathématique/20]]+Tableau2[[#This Row],[Français /20]])/2</f>
        <v>2</v>
      </c>
      <c r="O318" s="42">
        <v>14</v>
      </c>
      <c r="P318" s="52">
        <v>8</v>
      </c>
      <c r="Q318" s="63">
        <f>(Tableau2[[#This Row],[Mathématique /20]]+Tableau2[[#This Row],[Français /202]])/2</f>
        <v>11</v>
      </c>
      <c r="S318"/>
      <c r="T318"/>
      <c r="U318"/>
      <c r="V318"/>
    </row>
    <row r="319" spans="1:22" ht="16" x14ac:dyDescent="0.2">
      <c r="A319" s="10" t="s">
        <v>519</v>
      </c>
      <c r="B319" s="10" t="s">
        <v>114</v>
      </c>
      <c r="C319" s="10" t="s">
        <v>529</v>
      </c>
      <c r="D319" s="10" t="s">
        <v>530</v>
      </c>
      <c r="E319" s="10" t="s">
        <v>1044</v>
      </c>
      <c r="F319" s="11" t="s">
        <v>1020</v>
      </c>
      <c r="G319" s="10">
        <v>2024</v>
      </c>
      <c r="H319" s="10">
        <v>85</v>
      </c>
      <c r="I319" s="10">
        <f t="shared" si="8"/>
        <v>314</v>
      </c>
      <c r="J319" s="10" t="str">
        <f>Tableau2[[#This Row],[Annee d''inscription au programme]]&amp;"-"&amp;Tableau2[[#This Row],[Code d''ecole]]&amp;"-"&amp;Tableau2[[#This Row],[Numero HM de la femme]]</f>
        <v>2024-85-314</v>
      </c>
      <c r="K319" s="10">
        <f t="shared" si="9"/>
        <v>314</v>
      </c>
      <c r="L319" s="42">
        <v>1</v>
      </c>
      <c r="M319" s="52">
        <v>3.5</v>
      </c>
      <c r="N319" s="63">
        <f>SUM(Tableau2[[#This Row],[Mathématique/20]]+Tableau2[[#This Row],[Français /20]])/2</f>
        <v>2.25</v>
      </c>
      <c r="O319" s="42">
        <v>10</v>
      </c>
      <c r="P319" s="52">
        <v>17</v>
      </c>
      <c r="Q319" s="63">
        <f>(Tableau2[[#This Row],[Mathématique /20]]+Tableau2[[#This Row],[Français /202]])/2</f>
        <v>13.5</v>
      </c>
      <c r="S319"/>
      <c r="T319"/>
      <c r="U319"/>
      <c r="V319"/>
    </row>
    <row r="320" spans="1:22" ht="16" x14ac:dyDescent="0.2">
      <c r="A320" s="10" t="s">
        <v>519</v>
      </c>
      <c r="B320" s="10" t="s">
        <v>114</v>
      </c>
      <c r="C320" s="10" t="s">
        <v>532</v>
      </c>
      <c r="D320" s="10" t="s">
        <v>531</v>
      </c>
      <c r="E320" s="10" t="s">
        <v>1044</v>
      </c>
      <c r="F320" s="11" t="s">
        <v>1020</v>
      </c>
      <c r="G320" s="10">
        <v>2024</v>
      </c>
      <c r="H320" s="10">
        <v>85</v>
      </c>
      <c r="I320" s="10">
        <f t="shared" si="8"/>
        <v>315</v>
      </c>
      <c r="J320" s="10" t="str">
        <f>Tableau2[[#This Row],[Annee d''inscription au programme]]&amp;"-"&amp;Tableau2[[#This Row],[Code d''ecole]]&amp;"-"&amp;Tableau2[[#This Row],[Numero HM de la femme]]</f>
        <v>2024-85-315</v>
      </c>
      <c r="K320" s="10">
        <f t="shared" si="9"/>
        <v>315</v>
      </c>
      <c r="L320" s="42">
        <v>2</v>
      </c>
      <c r="M320" s="52">
        <v>1</v>
      </c>
      <c r="N320" s="63">
        <f>SUM(Tableau2[[#This Row],[Mathématique/20]]+Tableau2[[#This Row],[Français /20]])/2</f>
        <v>1.5</v>
      </c>
      <c r="O320" s="42">
        <v>10</v>
      </c>
      <c r="P320" s="52">
        <v>15</v>
      </c>
      <c r="Q320" s="63">
        <f>(Tableau2[[#This Row],[Mathématique /20]]+Tableau2[[#This Row],[Français /202]])/2</f>
        <v>12.5</v>
      </c>
      <c r="S320"/>
      <c r="T320"/>
      <c r="U320"/>
      <c r="V320"/>
    </row>
    <row r="321" spans="1:22" ht="16" x14ac:dyDescent="0.2">
      <c r="A321" s="10" t="s">
        <v>519</v>
      </c>
      <c r="B321" s="10" t="s">
        <v>114</v>
      </c>
      <c r="C321" s="10" t="s">
        <v>533</v>
      </c>
      <c r="D321" s="10" t="s">
        <v>534</v>
      </c>
      <c r="E321" s="10" t="s">
        <v>1044</v>
      </c>
      <c r="F321" s="11" t="s">
        <v>1020</v>
      </c>
      <c r="G321" s="10">
        <v>2024</v>
      </c>
      <c r="H321" s="10">
        <v>85</v>
      </c>
      <c r="I321" s="10">
        <f t="shared" si="8"/>
        <v>316</v>
      </c>
      <c r="J321" s="10" t="str">
        <f>Tableau2[[#This Row],[Annee d''inscription au programme]]&amp;"-"&amp;Tableau2[[#This Row],[Code d''ecole]]&amp;"-"&amp;Tableau2[[#This Row],[Numero HM de la femme]]</f>
        <v>2024-85-316</v>
      </c>
      <c r="K321" s="10">
        <f t="shared" si="9"/>
        <v>316</v>
      </c>
      <c r="L321" s="42">
        <v>3</v>
      </c>
      <c r="M321" s="52">
        <v>1</v>
      </c>
      <c r="N321" s="63">
        <f>SUM(Tableau2[[#This Row],[Mathématique/20]]+Tableau2[[#This Row],[Français /20]])/2</f>
        <v>2</v>
      </c>
      <c r="O321" s="42">
        <v>12</v>
      </c>
      <c r="P321" s="52">
        <v>12</v>
      </c>
      <c r="Q321" s="63">
        <f>(Tableau2[[#This Row],[Mathématique /20]]+Tableau2[[#This Row],[Français /202]])/2</f>
        <v>12</v>
      </c>
      <c r="S321"/>
      <c r="T321"/>
      <c r="U321"/>
      <c r="V321"/>
    </row>
    <row r="322" spans="1:22" ht="16" x14ac:dyDescent="0.2">
      <c r="A322" s="10" t="s">
        <v>519</v>
      </c>
      <c r="B322" s="10" t="s">
        <v>114</v>
      </c>
      <c r="C322" s="10" t="s">
        <v>535</v>
      </c>
      <c r="D322" s="10" t="s">
        <v>536</v>
      </c>
      <c r="E322" s="10" t="s">
        <v>1044</v>
      </c>
      <c r="F322" s="11" t="s">
        <v>1020</v>
      </c>
      <c r="G322" s="10">
        <v>2024</v>
      </c>
      <c r="H322" s="10">
        <v>85</v>
      </c>
      <c r="I322" s="10">
        <f t="shared" si="8"/>
        <v>317</v>
      </c>
      <c r="J322" s="10" t="str">
        <f>Tableau2[[#This Row],[Annee d''inscription au programme]]&amp;"-"&amp;Tableau2[[#This Row],[Code d''ecole]]&amp;"-"&amp;Tableau2[[#This Row],[Numero HM de la femme]]</f>
        <v>2024-85-317</v>
      </c>
      <c r="K322" s="10">
        <f t="shared" si="9"/>
        <v>317</v>
      </c>
      <c r="L322" s="42">
        <v>0</v>
      </c>
      <c r="M322" s="52">
        <v>0</v>
      </c>
      <c r="N322" s="63">
        <f>SUM(Tableau2[[#This Row],[Mathématique/20]]+Tableau2[[#This Row],[Français /20]])/2</f>
        <v>0</v>
      </c>
      <c r="O322" s="42">
        <v>11</v>
      </c>
      <c r="P322" s="52">
        <v>14</v>
      </c>
      <c r="Q322" s="63">
        <f>(Tableau2[[#This Row],[Mathématique /20]]+Tableau2[[#This Row],[Français /202]])/2</f>
        <v>12.5</v>
      </c>
      <c r="S322"/>
      <c r="T322"/>
      <c r="U322"/>
      <c r="V322"/>
    </row>
    <row r="323" spans="1:22" ht="16" x14ac:dyDescent="0.2">
      <c r="A323" s="10" t="s">
        <v>519</v>
      </c>
      <c r="B323" s="10" t="s">
        <v>114</v>
      </c>
      <c r="C323" s="10" t="s">
        <v>538</v>
      </c>
      <c r="D323" s="10" t="s">
        <v>537</v>
      </c>
      <c r="E323" s="10" t="s">
        <v>1044</v>
      </c>
      <c r="F323" s="11" t="s">
        <v>1020</v>
      </c>
      <c r="G323" s="10">
        <v>2024</v>
      </c>
      <c r="H323" s="10">
        <v>85</v>
      </c>
      <c r="I323" s="10">
        <f t="shared" si="8"/>
        <v>318</v>
      </c>
      <c r="J323" s="10" t="str">
        <f>Tableau2[[#This Row],[Annee d''inscription au programme]]&amp;"-"&amp;Tableau2[[#This Row],[Code d''ecole]]&amp;"-"&amp;Tableau2[[#This Row],[Numero HM de la femme]]</f>
        <v>2024-85-318</v>
      </c>
      <c r="K323" s="10">
        <f t="shared" si="9"/>
        <v>318</v>
      </c>
      <c r="L323" s="42">
        <v>3</v>
      </c>
      <c r="M323" s="52">
        <v>1</v>
      </c>
      <c r="N323" s="63">
        <f>SUM(Tableau2[[#This Row],[Mathématique/20]]+Tableau2[[#This Row],[Français /20]])/2</f>
        <v>2</v>
      </c>
      <c r="O323" s="42">
        <v>10</v>
      </c>
      <c r="P323" s="52">
        <v>9</v>
      </c>
      <c r="Q323" s="63">
        <f>(Tableau2[[#This Row],[Mathématique /20]]+Tableau2[[#This Row],[Français /202]])/2</f>
        <v>9.5</v>
      </c>
      <c r="S323"/>
      <c r="T323"/>
      <c r="U323"/>
      <c r="V323"/>
    </row>
    <row r="324" spans="1:22" ht="16" x14ac:dyDescent="0.2">
      <c r="A324" s="10" t="s">
        <v>519</v>
      </c>
      <c r="B324" s="10" t="s">
        <v>114</v>
      </c>
      <c r="C324" s="10" t="s">
        <v>539</v>
      </c>
      <c r="D324" s="10" t="s">
        <v>123</v>
      </c>
      <c r="E324" s="10" t="s">
        <v>1044</v>
      </c>
      <c r="F324" s="11" t="s">
        <v>1020</v>
      </c>
      <c r="G324" s="10">
        <v>2024</v>
      </c>
      <c r="H324" s="10">
        <v>85</v>
      </c>
      <c r="I324" s="10">
        <f t="shared" si="8"/>
        <v>319</v>
      </c>
      <c r="J324" s="10" t="str">
        <f>Tableau2[[#This Row],[Annee d''inscription au programme]]&amp;"-"&amp;Tableau2[[#This Row],[Code d''ecole]]&amp;"-"&amp;Tableau2[[#This Row],[Numero HM de la femme]]</f>
        <v>2024-85-319</v>
      </c>
      <c r="K324" s="10">
        <f t="shared" si="9"/>
        <v>319</v>
      </c>
      <c r="L324" s="42">
        <v>0</v>
      </c>
      <c r="M324" s="52">
        <v>0.5</v>
      </c>
      <c r="N324" s="63">
        <f>SUM(Tableau2[[#This Row],[Mathématique/20]]+Tableau2[[#This Row],[Français /20]])/2</f>
        <v>0.25</v>
      </c>
      <c r="O324" s="42">
        <v>10</v>
      </c>
      <c r="P324" s="52">
        <v>19</v>
      </c>
      <c r="Q324" s="63">
        <f>(Tableau2[[#This Row],[Mathématique /20]]+Tableau2[[#This Row],[Français /202]])/2</f>
        <v>14.5</v>
      </c>
      <c r="S324"/>
      <c r="T324"/>
      <c r="U324"/>
      <c r="V324"/>
    </row>
    <row r="325" spans="1:22" ht="16" x14ac:dyDescent="0.2">
      <c r="A325" s="10" t="s">
        <v>519</v>
      </c>
      <c r="B325" s="10" t="s">
        <v>114</v>
      </c>
      <c r="C325" s="10" t="s">
        <v>541</v>
      </c>
      <c r="D325" s="10" t="s">
        <v>540</v>
      </c>
      <c r="E325" s="10" t="s">
        <v>1044</v>
      </c>
      <c r="F325" s="11" t="s">
        <v>1020</v>
      </c>
      <c r="G325" s="10">
        <v>2024</v>
      </c>
      <c r="H325" s="10">
        <v>85</v>
      </c>
      <c r="I325" s="10">
        <f t="shared" si="8"/>
        <v>320</v>
      </c>
      <c r="J325" s="10" t="str">
        <f>Tableau2[[#This Row],[Annee d''inscription au programme]]&amp;"-"&amp;Tableau2[[#This Row],[Code d''ecole]]&amp;"-"&amp;Tableau2[[#This Row],[Numero HM de la femme]]</f>
        <v>2024-85-320</v>
      </c>
      <c r="K325" s="10">
        <f t="shared" si="9"/>
        <v>320</v>
      </c>
      <c r="L325" s="42">
        <v>2</v>
      </c>
      <c r="M325" s="52">
        <v>3</v>
      </c>
      <c r="N325" s="63">
        <f>SUM(Tableau2[[#This Row],[Mathématique/20]]+Tableau2[[#This Row],[Français /20]])/2</f>
        <v>2.5</v>
      </c>
      <c r="O325" s="42">
        <v>13</v>
      </c>
      <c r="P325" s="52">
        <v>16</v>
      </c>
      <c r="Q325" s="63">
        <f>(Tableau2[[#This Row],[Mathématique /20]]+Tableau2[[#This Row],[Français /202]])/2</f>
        <v>14.5</v>
      </c>
      <c r="S325"/>
      <c r="T325"/>
      <c r="U325"/>
      <c r="V325"/>
    </row>
    <row r="326" spans="1:22" ht="16" x14ac:dyDescent="0.2">
      <c r="A326" s="10" t="s">
        <v>519</v>
      </c>
      <c r="B326" s="10" t="s">
        <v>114</v>
      </c>
      <c r="C326" s="10" t="s">
        <v>542</v>
      </c>
      <c r="D326" s="10" t="s">
        <v>537</v>
      </c>
      <c r="E326" s="10" t="s">
        <v>1044</v>
      </c>
      <c r="F326" s="11" t="s">
        <v>1020</v>
      </c>
      <c r="G326" s="10">
        <v>2024</v>
      </c>
      <c r="H326" s="10">
        <v>85</v>
      </c>
      <c r="I326" s="10">
        <f t="shared" si="8"/>
        <v>321</v>
      </c>
      <c r="J326" s="10" t="str">
        <f>Tableau2[[#This Row],[Annee d''inscription au programme]]&amp;"-"&amp;Tableau2[[#This Row],[Code d''ecole]]&amp;"-"&amp;Tableau2[[#This Row],[Numero HM de la femme]]</f>
        <v>2024-85-321</v>
      </c>
      <c r="K326" s="10">
        <f t="shared" si="9"/>
        <v>321</v>
      </c>
      <c r="L326" s="42">
        <v>1</v>
      </c>
      <c r="M326" s="52">
        <v>1</v>
      </c>
      <c r="N326" s="63">
        <f>SUM(Tableau2[[#This Row],[Mathématique/20]]+Tableau2[[#This Row],[Français /20]])/2</f>
        <v>1</v>
      </c>
      <c r="O326" s="42">
        <v>13</v>
      </c>
      <c r="P326" s="52">
        <v>13</v>
      </c>
      <c r="Q326" s="63">
        <f>(Tableau2[[#This Row],[Mathématique /20]]+Tableau2[[#This Row],[Français /202]])/2</f>
        <v>13</v>
      </c>
      <c r="S326"/>
      <c r="T326"/>
      <c r="U326"/>
      <c r="V326"/>
    </row>
    <row r="327" spans="1:22" ht="16" x14ac:dyDescent="0.2">
      <c r="A327" s="10" t="s">
        <v>519</v>
      </c>
      <c r="B327" s="10" t="s">
        <v>114</v>
      </c>
      <c r="C327" s="10" t="s">
        <v>544</v>
      </c>
      <c r="D327" s="10" t="s">
        <v>543</v>
      </c>
      <c r="E327" s="10" t="s">
        <v>1044</v>
      </c>
      <c r="F327" s="11" t="s">
        <v>1020</v>
      </c>
      <c r="G327" s="10">
        <v>2024</v>
      </c>
      <c r="H327" s="10">
        <v>85</v>
      </c>
      <c r="I327" s="10">
        <f t="shared" si="8"/>
        <v>322</v>
      </c>
      <c r="J327" s="10" t="str">
        <f>Tableau2[[#This Row],[Annee d''inscription au programme]]&amp;"-"&amp;Tableau2[[#This Row],[Code d''ecole]]&amp;"-"&amp;Tableau2[[#This Row],[Numero HM de la femme]]</f>
        <v>2024-85-322</v>
      </c>
      <c r="K327" s="10">
        <f t="shared" si="9"/>
        <v>322</v>
      </c>
      <c r="L327" s="42">
        <v>1</v>
      </c>
      <c r="M327" s="52">
        <v>0.5</v>
      </c>
      <c r="N327" s="63">
        <f>SUM(Tableau2[[#This Row],[Mathématique/20]]+Tableau2[[#This Row],[Français /20]])/2</f>
        <v>0.75</v>
      </c>
      <c r="O327" s="42">
        <v>10</v>
      </c>
      <c r="P327" s="52">
        <v>10</v>
      </c>
      <c r="Q327" s="63">
        <f>(Tableau2[[#This Row],[Mathématique /20]]+Tableau2[[#This Row],[Français /202]])/2</f>
        <v>10</v>
      </c>
      <c r="S327"/>
      <c r="T327"/>
      <c r="U327"/>
      <c r="V327"/>
    </row>
    <row r="328" spans="1:22" ht="16" x14ac:dyDescent="0.2">
      <c r="A328" s="10" t="s">
        <v>9</v>
      </c>
      <c r="B328" s="10" t="s">
        <v>114</v>
      </c>
      <c r="C328" s="10" t="s">
        <v>545</v>
      </c>
      <c r="D328" s="20" t="s">
        <v>546</v>
      </c>
      <c r="E328" s="10" t="s">
        <v>1036</v>
      </c>
      <c r="F328" s="9" t="s">
        <v>1021</v>
      </c>
      <c r="G328" s="10">
        <v>2024</v>
      </c>
      <c r="H328" s="10">
        <v>88</v>
      </c>
      <c r="I328" s="10">
        <f t="shared" ref="I328:I339" si="10">SUM(I327+1)</f>
        <v>323</v>
      </c>
      <c r="J328" s="10" t="str">
        <f>Tableau2[[#This Row],[Annee d''inscription au programme]]&amp;"-"&amp;Tableau2[[#This Row],[Code d''ecole]]&amp;"-"&amp;Tableau2[[#This Row],[Numero HM de la femme]]</f>
        <v>2024-88-323</v>
      </c>
      <c r="K328" s="10">
        <f t="shared" ref="K328:K339" si="11">SUM(K327+1)</f>
        <v>323</v>
      </c>
      <c r="L328" s="42">
        <v>5</v>
      </c>
      <c r="M328" s="52">
        <v>5</v>
      </c>
      <c r="N328" s="63">
        <f>SUM(Tableau2[[#This Row],[Mathématique/20]]+Tableau2[[#This Row],[Français /20]])/2</f>
        <v>5</v>
      </c>
      <c r="O328" s="42">
        <v>12</v>
      </c>
      <c r="P328" s="52">
        <v>20</v>
      </c>
      <c r="Q328" s="63">
        <f>(Tableau2[[#This Row],[Mathématique /20]]+Tableau2[[#This Row],[Français /202]])/2</f>
        <v>16</v>
      </c>
      <c r="S328"/>
      <c r="T328"/>
      <c r="U328"/>
      <c r="V328"/>
    </row>
    <row r="329" spans="1:22" ht="16" x14ac:dyDescent="0.2">
      <c r="A329" s="10" t="s">
        <v>9</v>
      </c>
      <c r="B329" s="10" t="s">
        <v>114</v>
      </c>
      <c r="C329" s="10" t="s">
        <v>547</v>
      </c>
      <c r="D329" s="10" t="s">
        <v>548</v>
      </c>
      <c r="E329" s="10" t="s">
        <v>1036</v>
      </c>
      <c r="F329" s="9" t="s">
        <v>1021</v>
      </c>
      <c r="G329" s="10">
        <v>2024</v>
      </c>
      <c r="H329" s="10">
        <v>88</v>
      </c>
      <c r="I329" s="10">
        <f t="shared" si="10"/>
        <v>324</v>
      </c>
      <c r="J329" s="10" t="str">
        <f>Tableau2[[#This Row],[Annee d''inscription au programme]]&amp;"-"&amp;Tableau2[[#This Row],[Code d''ecole]]&amp;"-"&amp;Tableau2[[#This Row],[Numero HM de la femme]]</f>
        <v>2024-88-324</v>
      </c>
      <c r="K329" s="10">
        <f t="shared" si="11"/>
        <v>324</v>
      </c>
      <c r="L329" s="42">
        <v>0.5</v>
      </c>
      <c r="M329" s="52">
        <v>1</v>
      </c>
      <c r="N329" s="63">
        <f>SUM(Tableau2[[#This Row],[Mathématique/20]]+Tableau2[[#This Row],[Français /20]])/2</f>
        <v>0.75</v>
      </c>
      <c r="O329" s="42">
        <v>11</v>
      </c>
      <c r="P329" s="52">
        <v>19</v>
      </c>
      <c r="Q329" s="63">
        <f>(Tableau2[[#This Row],[Mathématique /20]]+Tableau2[[#This Row],[Français /202]])/2</f>
        <v>15</v>
      </c>
      <c r="S329"/>
      <c r="T329"/>
      <c r="U329"/>
      <c r="V329"/>
    </row>
    <row r="330" spans="1:22" ht="16" x14ac:dyDescent="0.2">
      <c r="A330" s="10" t="s">
        <v>9</v>
      </c>
      <c r="B330" s="10" t="s">
        <v>114</v>
      </c>
      <c r="C330" s="10" t="s">
        <v>549</v>
      </c>
      <c r="D330" s="10" t="s">
        <v>550</v>
      </c>
      <c r="E330" s="10" t="s">
        <v>1036</v>
      </c>
      <c r="F330" s="9" t="s">
        <v>1021</v>
      </c>
      <c r="G330" s="10">
        <v>2024</v>
      </c>
      <c r="H330" s="10">
        <v>88</v>
      </c>
      <c r="I330" s="10">
        <f t="shared" si="10"/>
        <v>325</v>
      </c>
      <c r="J330" s="10" t="str">
        <f>Tableau2[[#This Row],[Annee d''inscription au programme]]&amp;"-"&amp;Tableau2[[#This Row],[Code d''ecole]]&amp;"-"&amp;Tableau2[[#This Row],[Numero HM de la femme]]</f>
        <v>2024-88-325</v>
      </c>
      <c r="K330" s="10">
        <f t="shared" si="11"/>
        <v>325</v>
      </c>
      <c r="L330" s="42">
        <v>0.5</v>
      </c>
      <c r="M330" s="52">
        <v>1</v>
      </c>
      <c r="N330" s="63">
        <f>SUM(Tableau2[[#This Row],[Mathématique/20]]+Tableau2[[#This Row],[Français /20]])/2</f>
        <v>0.75</v>
      </c>
      <c r="O330" s="42">
        <v>10</v>
      </c>
      <c r="P330" s="52">
        <v>10</v>
      </c>
      <c r="Q330" s="63">
        <f>(Tableau2[[#This Row],[Mathématique /20]]+Tableau2[[#This Row],[Français /202]])/2</f>
        <v>10</v>
      </c>
      <c r="S330"/>
      <c r="T330"/>
      <c r="U330"/>
      <c r="V330"/>
    </row>
    <row r="331" spans="1:22" ht="16" x14ac:dyDescent="0.2">
      <c r="A331" s="10" t="s">
        <v>9</v>
      </c>
      <c r="B331" s="10" t="s">
        <v>114</v>
      </c>
      <c r="C331" s="10" t="s">
        <v>334</v>
      </c>
      <c r="D331" s="10" t="s">
        <v>551</v>
      </c>
      <c r="E331" s="10" t="s">
        <v>1036</v>
      </c>
      <c r="F331" s="9" t="s">
        <v>1021</v>
      </c>
      <c r="G331" s="10">
        <v>2024</v>
      </c>
      <c r="H331" s="10">
        <v>88</v>
      </c>
      <c r="I331" s="10">
        <f t="shared" si="10"/>
        <v>326</v>
      </c>
      <c r="J331" s="10" t="str">
        <f>Tableau2[[#This Row],[Annee d''inscription au programme]]&amp;"-"&amp;Tableau2[[#This Row],[Code d''ecole]]&amp;"-"&amp;Tableau2[[#This Row],[Numero HM de la femme]]</f>
        <v>2024-88-326</v>
      </c>
      <c r="K331" s="10">
        <f t="shared" si="11"/>
        <v>326</v>
      </c>
      <c r="L331" s="42">
        <v>0.5</v>
      </c>
      <c r="M331" s="52">
        <v>1</v>
      </c>
      <c r="N331" s="63">
        <f>SUM(Tableau2[[#This Row],[Mathématique/20]]+Tableau2[[#This Row],[Français /20]])/2</f>
        <v>0.75</v>
      </c>
      <c r="O331" s="43">
        <v>11.5</v>
      </c>
      <c r="P331" s="52">
        <v>15</v>
      </c>
      <c r="Q331" s="63">
        <f>(Tableau2[[#This Row],[Mathématique /20]]+Tableau2[[#This Row],[Français /202]])/2</f>
        <v>13.25</v>
      </c>
      <c r="S331"/>
      <c r="T331"/>
      <c r="U331"/>
      <c r="V331"/>
    </row>
    <row r="332" spans="1:22" ht="16" x14ac:dyDescent="0.2">
      <c r="A332" s="10" t="s">
        <v>9</v>
      </c>
      <c r="B332" s="10" t="s">
        <v>114</v>
      </c>
      <c r="C332" s="10" t="s">
        <v>552</v>
      </c>
      <c r="D332" s="10" t="s">
        <v>553</v>
      </c>
      <c r="E332" s="10" t="s">
        <v>1036</v>
      </c>
      <c r="F332" s="9" t="s">
        <v>1021</v>
      </c>
      <c r="G332" s="10">
        <v>2024</v>
      </c>
      <c r="H332" s="10">
        <v>88</v>
      </c>
      <c r="I332" s="10">
        <f t="shared" si="10"/>
        <v>327</v>
      </c>
      <c r="J332" s="10" t="str">
        <f>Tableau2[[#This Row],[Annee d''inscription au programme]]&amp;"-"&amp;Tableau2[[#This Row],[Code d''ecole]]&amp;"-"&amp;Tableau2[[#This Row],[Numero HM de la femme]]</f>
        <v>2024-88-327</v>
      </c>
      <c r="K332" s="10">
        <f t="shared" si="11"/>
        <v>327</v>
      </c>
      <c r="L332" s="42">
        <v>1</v>
      </c>
      <c r="M332" s="52">
        <v>1</v>
      </c>
      <c r="N332" s="63">
        <f>SUM(Tableau2[[#This Row],[Mathématique/20]]+Tableau2[[#This Row],[Français /20]])/2</f>
        <v>1</v>
      </c>
      <c r="O332" s="42">
        <v>11</v>
      </c>
      <c r="P332" s="52">
        <v>18</v>
      </c>
      <c r="Q332" s="63">
        <f>(Tableau2[[#This Row],[Mathématique /20]]+Tableau2[[#This Row],[Français /202]])/2</f>
        <v>14.5</v>
      </c>
      <c r="S332"/>
      <c r="T332"/>
      <c r="U332"/>
      <c r="V332"/>
    </row>
    <row r="333" spans="1:22" ht="16" x14ac:dyDescent="0.2">
      <c r="A333" s="10" t="s">
        <v>9</v>
      </c>
      <c r="B333" s="10" t="s">
        <v>114</v>
      </c>
      <c r="C333" s="10" t="s">
        <v>554</v>
      </c>
      <c r="D333" s="10" t="s">
        <v>555</v>
      </c>
      <c r="E333" s="10" t="s">
        <v>1036</v>
      </c>
      <c r="F333" s="9" t="s">
        <v>1021</v>
      </c>
      <c r="G333" s="10">
        <v>2024</v>
      </c>
      <c r="H333" s="10">
        <v>88</v>
      </c>
      <c r="I333" s="10">
        <f t="shared" si="10"/>
        <v>328</v>
      </c>
      <c r="J333" s="10" t="str">
        <f>Tableau2[[#This Row],[Annee d''inscription au programme]]&amp;"-"&amp;Tableau2[[#This Row],[Code d''ecole]]&amp;"-"&amp;Tableau2[[#This Row],[Numero HM de la femme]]</f>
        <v>2024-88-328</v>
      </c>
      <c r="K333" s="10">
        <f t="shared" si="11"/>
        <v>328</v>
      </c>
      <c r="L333" s="42">
        <v>0</v>
      </c>
      <c r="M333" s="52">
        <v>0</v>
      </c>
      <c r="N333" s="63">
        <f>SUM(Tableau2[[#This Row],[Mathématique/20]]+Tableau2[[#This Row],[Français /20]])/2</f>
        <v>0</v>
      </c>
      <c r="O333" s="42">
        <v>10</v>
      </c>
      <c r="P333" s="52">
        <v>11</v>
      </c>
      <c r="Q333" s="63">
        <f>(Tableau2[[#This Row],[Mathématique /20]]+Tableau2[[#This Row],[Français /202]])/2</f>
        <v>10.5</v>
      </c>
      <c r="S333"/>
      <c r="T333"/>
      <c r="U333"/>
      <c r="V333"/>
    </row>
    <row r="334" spans="1:22" ht="16" x14ac:dyDescent="0.2">
      <c r="A334" s="10" t="s">
        <v>9</v>
      </c>
      <c r="B334" s="10" t="s">
        <v>114</v>
      </c>
      <c r="C334" s="10" t="s">
        <v>556</v>
      </c>
      <c r="D334" s="10" t="s">
        <v>557</v>
      </c>
      <c r="E334" s="10" t="s">
        <v>1036</v>
      </c>
      <c r="F334" s="9" t="s">
        <v>1021</v>
      </c>
      <c r="G334" s="10">
        <v>2024</v>
      </c>
      <c r="H334" s="10">
        <v>88</v>
      </c>
      <c r="I334" s="10">
        <f t="shared" si="10"/>
        <v>329</v>
      </c>
      <c r="J334" s="10" t="str">
        <f>Tableau2[[#This Row],[Annee d''inscription au programme]]&amp;"-"&amp;Tableau2[[#This Row],[Code d''ecole]]&amp;"-"&amp;Tableau2[[#This Row],[Numero HM de la femme]]</f>
        <v>2024-88-329</v>
      </c>
      <c r="K334" s="10">
        <f t="shared" si="11"/>
        <v>329</v>
      </c>
      <c r="L334" s="42">
        <v>0.5</v>
      </c>
      <c r="M334" s="52">
        <v>1</v>
      </c>
      <c r="N334" s="63">
        <f>SUM(Tableau2[[#This Row],[Mathématique/20]]+Tableau2[[#This Row],[Français /20]])/2</f>
        <v>0.75</v>
      </c>
      <c r="O334" s="43">
        <v>10.5</v>
      </c>
      <c r="P334" s="59">
        <v>18.5</v>
      </c>
      <c r="Q334" s="63">
        <f>(Tableau2[[#This Row],[Mathématique /20]]+Tableau2[[#This Row],[Français /202]])/2</f>
        <v>14.5</v>
      </c>
      <c r="S334"/>
      <c r="T334"/>
      <c r="U334"/>
      <c r="V334"/>
    </row>
    <row r="335" spans="1:22" ht="16" x14ac:dyDescent="0.2">
      <c r="A335" s="10" t="s">
        <v>9</v>
      </c>
      <c r="B335" s="10" t="s">
        <v>114</v>
      </c>
      <c r="C335" s="10" t="s">
        <v>558</v>
      </c>
      <c r="D335" s="10" t="s">
        <v>559</v>
      </c>
      <c r="E335" s="10" t="s">
        <v>1036</v>
      </c>
      <c r="F335" s="9" t="s">
        <v>1021</v>
      </c>
      <c r="G335" s="10">
        <v>2024</v>
      </c>
      <c r="H335" s="10">
        <v>88</v>
      </c>
      <c r="I335" s="10">
        <f t="shared" si="10"/>
        <v>330</v>
      </c>
      <c r="J335" s="10" t="str">
        <f>Tableau2[[#This Row],[Annee d''inscription au programme]]&amp;"-"&amp;Tableau2[[#This Row],[Code d''ecole]]&amp;"-"&amp;Tableau2[[#This Row],[Numero HM de la femme]]</f>
        <v>2024-88-330</v>
      </c>
      <c r="K335" s="10">
        <f t="shared" si="11"/>
        <v>330</v>
      </c>
      <c r="L335" s="42">
        <v>4.5</v>
      </c>
      <c r="M335" s="52">
        <v>1</v>
      </c>
      <c r="N335" s="63">
        <f>SUM(Tableau2[[#This Row],[Mathématique/20]]+Tableau2[[#This Row],[Français /20]])/2</f>
        <v>2.75</v>
      </c>
      <c r="O335" s="43">
        <v>10.5</v>
      </c>
      <c r="P335" s="52">
        <v>10</v>
      </c>
      <c r="Q335" s="63">
        <f>(Tableau2[[#This Row],[Mathématique /20]]+Tableau2[[#This Row],[Français /202]])/2</f>
        <v>10.25</v>
      </c>
      <c r="S335"/>
      <c r="T335"/>
      <c r="U335"/>
      <c r="V335"/>
    </row>
    <row r="336" spans="1:22" ht="16" x14ac:dyDescent="0.2">
      <c r="A336" s="10" t="s">
        <v>9</v>
      </c>
      <c r="B336" s="10" t="s">
        <v>114</v>
      </c>
      <c r="C336" s="10" t="s">
        <v>560</v>
      </c>
      <c r="D336" s="10" t="s">
        <v>561</v>
      </c>
      <c r="E336" s="10" t="s">
        <v>1036</v>
      </c>
      <c r="F336" s="9" t="s">
        <v>1021</v>
      </c>
      <c r="G336" s="10">
        <v>2024</v>
      </c>
      <c r="H336" s="10">
        <v>88</v>
      </c>
      <c r="I336" s="10">
        <f t="shared" si="10"/>
        <v>331</v>
      </c>
      <c r="J336" s="10" t="str">
        <f>Tableau2[[#This Row],[Annee d''inscription au programme]]&amp;"-"&amp;Tableau2[[#This Row],[Code d''ecole]]&amp;"-"&amp;Tableau2[[#This Row],[Numero HM de la femme]]</f>
        <v>2024-88-331</v>
      </c>
      <c r="K336" s="10">
        <f t="shared" si="11"/>
        <v>331</v>
      </c>
      <c r="L336" s="42">
        <v>0.5</v>
      </c>
      <c r="M336" s="52">
        <v>1</v>
      </c>
      <c r="N336" s="63">
        <f>SUM(Tableau2[[#This Row],[Mathématique/20]]+Tableau2[[#This Row],[Français /20]])/2</f>
        <v>0.75</v>
      </c>
      <c r="O336" s="42">
        <v>10</v>
      </c>
      <c r="P336" s="52">
        <v>18</v>
      </c>
      <c r="Q336" s="63">
        <f>(Tableau2[[#This Row],[Mathématique /20]]+Tableau2[[#This Row],[Français /202]])/2</f>
        <v>14</v>
      </c>
      <c r="S336"/>
      <c r="T336"/>
      <c r="U336"/>
      <c r="V336"/>
    </row>
    <row r="337" spans="1:22" ht="16" x14ac:dyDescent="0.2">
      <c r="A337" s="10" t="s">
        <v>9</v>
      </c>
      <c r="B337" s="10" t="s">
        <v>114</v>
      </c>
      <c r="C337" s="10" t="s">
        <v>562</v>
      </c>
      <c r="D337" s="10" t="s">
        <v>563</v>
      </c>
      <c r="E337" s="10" t="s">
        <v>1036</v>
      </c>
      <c r="F337" s="9" t="s">
        <v>1021</v>
      </c>
      <c r="G337" s="10">
        <v>2024</v>
      </c>
      <c r="H337" s="10">
        <v>88</v>
      </c>
      <c r="I337" s="10">
        <f t="shared" si="10"/>
        <v>332</v>
      </c>
      <c r="J337" s="10" t="str">
        <f>Tableau2[[#This Row],[Annee d''inscription au programme]]&amp;"-"&amp;Tableau2[[#This Row],[Code d''ecole]]&amp;"-"&amp;Tableau2[[#This Row],[Numero HM de la femme]]</f>
        <v>2024-88-332</v>
      </c>
      <c r="K337" s="10">
        <f t="shared" si="11"/>
        <v>332</v>
      </c>
      <c r="L337" s="42">
        <v>1</v>
      </c>
      <c r="M337" s="52">
        <v>4</v>
      </c>
      <c r="N337" s="63">
        <f>SUM(Tableau2[[#This Row],[Mathématique/20]]+Tableau2[[#This Row],[Français /20]])/2</f>
        <v>2.5</v>
      </c>
      <c r="O337" s="42">
        <v>12</v>
      </c>
      <c r="P337" s="52">
        <v>20</v>
      </c>
      <c r="Q337" s="63">
        <f>(Tableau2[[#This Row],[Mathématique /20]]+Tableau2[[#This Row],[Français /202]])/2</f>
        <v>16</v>
      </c>
      <c r="S337"/>
      <c r="T337"/>
      <c r="U337"/>
      <c r="V337"/>
    </row>
    <row r="338" spans="1:22" ht="16" x14ac:dyDescent="0.2">
      <c r="A338" s="10" t="s">
        <v>9</v>
      </c>
      <c r="B338" s="10" t="s">
        <v>114</v>
      </c>
      <c r="C338" s="10" t="s">
        <v>564</v>
      </c>
      <c r="D338" s="10" t="s">
        <v>565</v>
      </c>
      <c r="E338" s="10" t="s">
        <v>1036</v>
      </c>
      <c r="F338" s="9" t="s">
        <v>1021</v>
      </c>
      <c r="G338" s="10">
        <v>2024</v>
      </c>
      <c r="H338" s="10">
        <v>88</v>
      </c>
      <c r="I338" s="10">
        <f t="shared" si="10"/>
        <v>333</v>
      </c>
      <c r="J338" s="10" t="str">
        <f>Tableau2[[#This Row],[Annee d''inscription au programme]]&amp;"-"&amp;Tableau2[[#This Row],[Code d''ecole]]&amp;"-"&amp;Tableau2[[#This Row],[Numero HM de la femme]]</f>
        <v>2024-88-333</v>
      </c>
      <c r="K338" s="10">
        <f t="shared" si="11"/>
        <v>333</v>
      </c>
      <c r="L338" s="42">
        <v>3</v>
      </c>
      <c r="M338" s="52">
        <v>2</v>
      </c>
      <c r="N338" s="63">
        <f>SUM(Tableau2[[#This Row],[Mathématique/20]]+Tableau2[[#This Row],[Français /20]])/2</f>
        <v>2.5</v>
      </c>
      <c r="O338" s="43">
        <v>10.5</v>
      </c>
      <c r="P338" s="52">
        <v>14</v>
      </c>
      <c r="Q338" s="63">
        <f>(Tableau2[[#This Row],[Mathématique /20]]+Tableau2[[#This Row],[Français /202]])/2</f>
        <v>12.25</v>
      </c>
      <c r="S338"/>
      <c r="T338"/>
      <c r="U338"/>
      <c r="V338"/>
    </row>
    <row r="339" spans="1:22" ht="16" x14ac:dyDescent="0.2">
      <c r="A339" s="10" t="s">
        <v>9</v>
      </c>
      <c r="B339" s="10" t="s">
        <v>114</v>
      </c>
      <c r="C339" s="10" t="s">
        <v>566</v>
      </c>
      <c r="D339" s="10" t="s">
        <v>567</v>
      </c>
      <c r="E339" s="10" t="s">
        <v>1036</v>
      </c>
      <c r="F339" s="9" t="s">
        <v>1021</v>
      </c>
      <c r="G339" s="10">
        <v>2024</v>
      </c>
      <c r="H339" s="10">
        <v>88</v>
      </c>
      <c r="I339" s="10">
        <f t="shared" si="10"/>
        <v>334</v>
      </c>
      <c r="J339" s="10" t="str">
        <f>Tableau2[[#This Row],[Annee d''inscription au programme]]&amp;"-"&amp;Tableau2[[#This Row],[Code d''ecole]]&amp;"-"&amp;Tableau2[[#This Row],[Numero HM de la femme]]</f>
        <v>2024-88-334</v>
      </c>
      <c r="K339" s="10">
        <f t="shared" si="11"/>
        <v>334</v>
      </c>
      <c r="L339" s="42">
        <v>0.5</v>
      </c>
      <c r="M339" s="52">
        <v>1</v>
      </c>
      <c r="N339" s="63">
        <f>SUM(Tableau2[[#This Row],[Mathématique/20]]+Tableau2[[#This Row],[Français /20]])/2</f>
        <v>0.75</v>
      </c>
      <c r="O339" s="42">
        <v>10</v>
      </c>
      <c r="P339" s="52">
        <v>10</v>
      </c>
      <c r="Q339" s="63">
        <f>(Tableau2[[#This Row],[Mathématique /20]]+Tableau2[[#This Row],[Français /202]])/2</f>
        <v>10</v>
      </c>
      <c r="S339"/>
      <c r="T339"/>
      <c r="U339"/>
      <c r="V339"/>
    </row>
    <row r="340" spans="1:22" ht="16" x14ac:dyDescent="0.2">
      <c r="A340" s="10" t="s">
        <v>568</v>
      </c>
      <c r="B340" s="11" t="s">
        <v>238</v>
      </c>
      <c r="C340" s="11" t="s">
        <v>904</v>
      </c>
      <c r="D340" s="10" t="s">
        <v>231</v>
      </c>
      <c r="E340" s="10" t="s">
        <v>1039</v>
      </c>
      <c r="F340" s="9" t="s">
        <v>1022</v>
      </c>
      <c r="G340" s="10">
        <v>2024</v>
      </c>
      <c r="H340" s="14">
        <v>36</v>
      </c>
      <c r="I340" s="10">
        <f t="shared" ref="I340:I390" si="12">SUM(I339+1)</f>
        <v>335</v>
      </c>
      <c r="J340" s="11" t="str">
        <f>Tableau2[[#This Row],[Annee d''inscription au programme]]&amp;"-"&amp;Tableau2[[#This Row],[Code d''ecole]]&amp;"-"&amp;Tableau2[[#This Row],[Numero HM de la femme]]</f>
        <v>2024-36-335</v>
      </c>
      <c r="K340" s="10">
        <f t="shared" ref="K340:K392" si="13">SUM(K339+1)</f>
        <v>335</v>
      </c>
      <c r="L340" s="42">
        <v>3</v>
      </c>
      <c r="M340" s="52">
        <v>1</v>
      </c>
      <c r="N340" s="63">
        <f>SUM(Tableau2[[#This Row],[Mathématique/20]]+Tableau2[[#This Row],[Français /20]])/2</f>
        <v>2</v>
      </c>
      <c r="O340" s="42">
        <v>8</v>
      </c>
      <c r="P340" s="59">
        <v>13.5</v>
      </c>
      <c r="Q340" s="63">
        <f>(Tableau2[[#This Row],[Mathématique /20]]+Tableau2[[#This Row],[Français /202]])/2</f>
        <v>10.75</v>
      </c>
      <c r="S340"/>
      <c r="T340"/>
      <c r="U340"/>
      <c r="V340"/>
    </row>
    <row r="341" spans="1:22" ht="16" x14ac:dyDescent="0.2">
      <c r="A341" s="10" t="s">
        <v>568</v>
      </c>
      <c r="B341" s="11" t="s">
        <v>238</v>
      </c>
      <c r="C341" s="11" t="s">
        <v>903</v>
      </c>
      <c r="D341" s="10" t="s">
        <v>231</v>
      </c>
      <c r="E341" s="10" t="s">
        <v>1039</v>
      </c>
      <c r="F341" s="9" t="s">
        <v>1022</v>
      </c>
      <c r="G341" s="10">
        <v>2024</v>
      </c>
      <c r="H341" s="14">
        <v>36</v>
      </c>
      <c r="I341" s="10">
        <f t="shared" si="12"/>
        <v>336</v>
      </c>
      <c r="J341" s="11" t="str">
        <f>Tableau2[[#This Row],[Annee d''inscription au programme]]&amp;"-"&amp;Tableau2[[#This Row],[Code d''ecole]]&amp;"-"&amp;Tableau2[[#This Row],[Numero HM de la femme]]</f>
        <v>2024-36-336</v>
      </c>
      <c r="K341" s="10">
        <f t="shared" si="13"/>
        <v>336</v>
      </c>
      <c r="L341" s="42">
        <v>1.75</v>
      </c>
      <c r="M341" s="52">
        <v>0.75</v>
      </c>
      <c r="N341" s="63">
        <f>SUM(Tableau2[[#This Row],[Mathématique/20]]+Tableau2[[#This Row],[Français /20]])/2</f>
        <v>1.25</v>
      </c>
      <c r="O341" s="42">
        <v>12</v>
      </c>
      <c r="P341" s="59">
        <v>17.5</v>
      </c>
      <c r="Q341" s="63">
        <f>(Tableau2[[#This Row],[Mathématique /20]]+Tableau2[[#This Row],[Français /202]])/2</f>
        <v>14.75</v>
      </c>
      <c r="S341"/>
      <c r="T341"/>
      <c r="U341"/>
      <c r="V341"/>
    </row>
    <row r="342" spans="1:22" ht="16" x14ac:dyDescent="0.2">
      <c r="A342" s="10" t="s">
        <v>568</v>
      </c>
      <c r="B342" s="10" t="s">
        <v>238</v>
      </c>
      <c r="C342" s="10" t="s">
        <v>569</v>
      </c>
      <c r="D342" s="10" t="s">
        <v>369</v>
      </c>
      <c r="E342" s="10" t="s">
        <v>1039</v>
      </c>
      <c r="F342" s="9" t="s">
        <v>1022</v>
      </c>
      <c r="G342" s="10">
        <v>2024</v>
      </c>
      <c r="H342" s="14">
        <v>36</v>
      </c>
      <c r="I342" s="10">
        <f t="shared" si="12"/>
        <v>337</v>
      </c>
      <c r="J342" s="10" t="str">
        <f>Tableau2[[#This Row],[Annee d''inscription au programme]]&amp;"-"&amp;Tableau2[[#This Row],[Code d''ecole]]&amp;"-"&amp;Tableau2[[#This Row],[Numero HM de la femme]]</f>
        <v>2024-36-337</v>
      </c>
      <c r="K342" s="10">
        <f t="shared" si="13"/>
        <v>337</v>
      </c>
      <c r="L342" s="42">
        <v>0</v>
      </c>
      <c r="M342" s="52">
        <v>1</v>
      </c>
      <c r="N342" s="63">
        <f>SUM(Tableau2[[#This Row],[Mathématique/20]]+Tableau2[[#This Row],[Français /20]])/2</f>
        <v>0.5</v>
      </c>
      <c r="O342" s="42" t="s">
        <v>1077</v>
      </c>
      <c r="P342" s="52"/>
      <c r="Q342" s="63"/>
      <c r="S342"/>
      <c r="T342"/>
      <c r="U342"/>
      <c r="V342"/>
    </row>
    <row r="343" spans="1:22" ht="16" x14ac:dyDescent="0.2">
      <c r="A343" s="10" t="s">
        <v>568</v>
      </c>
      <c r="B343" s="11" t="s">
        <v>238</v>
      </c>
      <c r="C343" s="11" t="s">
        <v>905</v>
      </c>
      <c r="D343" s="10" t="s">
        <v>232</v>
      </c>
      <c r="E343" s="10" t="s">
        <v>1039</v>
      </c>
      <c r="F343" s="9" t="s">
        <v>1022</v>
      </c>
      <c r="G343" s="10">
        <v>2024</v>
      </c>
      <c r="H343" s="14">
        <v>36</v>
      </c>
      <c r="I343" s="10">
        <f t="shared" si="12"/>
        <v>338</v>
      </c>
      <c r="J343" s="11" t="str">
        <f>Tableau2[[#This Row],[Annee d''inscription au programme]]&amp;"-"&amp;Tableau2[[#This Row],[Code d''ecole]]&amp;"-"&amp;Tableau2[[#This Row],[Numero HM de la femme]]</f>
        <v>2024-36-338</v>
      </c>
      <c r="K343" s="10">
        <f t="shared" si="13"/>
        <v>338</v>
      </c>
      <c r="L343" s="42">
        <v>3</v>
      </c>
      <c r="M343" s="52">
        <v>2</v>
      </c>
      <c r="N343" s="63">
        <f>SUM(Tableau2[[#This Row],[Mathématique/20]]+Tableau2[[#This Row],[Français /20]])/2</f>
        <v>2.5</v>
      </c>
      <c r="O343" s="42">
        <v>4</v>
      </c>
      <c r="P343" s="52">
        <v>3</v>
      </c>
      <c r="Q343" s="63">
        <f>(Tableau2[[#This Row],[Mathématique /20]]+Tableau2[[#This Row],[Français /202]])/2</f>
        <v>3.5</v>
      </c>
      <c r="S343"/>
      <c r="T343"/>
      <c r="U343"/>
      <c r="V343"/>
    </row>
    <row r="344" spans="1:22" ht="16" x14ac:dyDescent="0.2">
      <c r="A344" s="10" t="s">
        <v>568</v>
      </c>
      <c r="B344" s="10" t="s">
        <v>238</v>
      </c>
      <c r="C344" s="10" t="s">
        <v>570</v>
      </c>
      <c r="D344" s="10" t="s">
        <v>44</v>
      </c>
      <c r="E344" s="10" t="s">
        <v>1039</v>
      </c>
      <c r="F344" s="9" t="s">
        <v>1022</v>
      </c>
      <c r="G344" s="10">
        <v>2024</v>
      </c>
      <c r="H344" s="14">
        <v>36</v>
      </c>
      <c r="I344" s="10">
        <f t="shared" si="12"/>
        <v>339</v>
      </c>
      <c r="J344" s="10" t="str">
        <f>Tableau2[[#This Row],[Annee d''inscription au programme]]&amp;"-"&amp;Tableau2[[#This Row],[Code d''ecole]]&amp;"-"&amp;Tableau2[[#This Row],[Numero HM de la femme]]</f>
        <v>2024-36-339</v>
      </c>
      <c r="K344" s="10">
        <f t="shared" si="13"/>
        <v>339</v>
      </c>
      <c r="L344" s="42">
        <v>2</v>
      </c>
      <c r="M344" s="52">
        <v>0</v>
      </c>
      <c r="N344" s="63">
        <f>SUM(Tableau2[[#This Row],[Mathématique/20]]+Tableau2[[#This Row],[Français /20]])/2</f>
        <v>1</v>
      </c>
      <c r="O344" s="42">
        <v>11</v>
      </c>
      <c r="P344" s="52">
        <v>14</v>
      </c>
      <c r="Q344" s="63">
        <f>(Tableau2[[#This Row],[Mathématique /20]]+Tableau2[[#This Row],[Français /202]])/2</f>
        <v>12.5</v>
      </c>
      <c r="S344"/>
      <c r="T344"/>
      <c r="U344"/>
      <c r="V344"/>
    </row>
    <row r="345" spans="1:22" ht="16" x14ac:dyDescent="0.2">
      <c r="A345" s="10" t="s">
        <v>568</v>
      </c>
      <c r="B345" s="10" t="s">
        <v>238</v>
      </c>
      <c r="C345" s="10" t="s">
        <v>571</v>
      </c>
      <c r="D345" s="10" t="s">
        <v>44</v>
      </c>
      <c r="E345" s="10" t="s">
        <v>1039</v>
      </c>
      <c r="F345" s="9" t="s">
        <v>1022</v>
      </c>
      <c r="G345" s="10">
        <v>2024</v>
      </c>
      <c r="H345" s="14">
        <v>36</v>
      </c>
      <c r="I345" s="10">
        <f t="shared" si="12"/>
        <v>340</v>
      </c>
      <c r="J345" s="10" t="str">
        <f>Tableau2[[#This Row],[Annee d''inscription au programme]]&amp;"-"&amp;Tableau2[[#This Row],[Code d''ecole]]&amp;"-"&amp;Tableau2[[#This Row],[Numero HM de la femme]]</f>
        <v>2024-36-340</v>
      </c>
      <c r="K345" s="10">
        <f t="shared" si="13"/>
        <v>340</v>
      </c>
      <c r="L345" s="42">
        <v>3</v>
      </c>
      <c r="M345" s="52">
        <v>1</v>
      </c>
      <c r="N345" s="63">
        <f>SUM(Tableau2[[#This Row],[Mathématique/20]]+Tableau2[[#This Row],[Français /20]])/2</f>
        <v>2</v>
      </c>
      <c r="O345" s="42">
        <v>17</v>
      </c>
      <c r="P345" s="59">
        <v>17.5</v>
      </c>
      <c r="Q345" s="63">
        <f>(Tableau2[[#This Row],[Mathématique /20]]+Tableau2[[#This Row],[Français /202]])/2</f>
        <v>17.25</v>
      </c>
      <c r="S345"/>
      <c r="T345"/>
      <c r="U345"/>
      <c r="V345"/>
    </row>
    <row r="346" spans="1:22" ht="16" x14ac:dyDescent="0.2">
      <c r="A346" s="10" t="s">
        <v>568</v>
      </c>
      <c r="B346" s="10" t="s">
        <v>238</v>
      </c>
      <c r="C346" s="10" t="s">
        <v>572</v>
      </c>
      <c r="D346" s="10" t="s">
        <v>231</v>
      </c>
      <c r="E346" s="10" t="s">
        <v>1039</v>
      </c>
      <c r="F346" s="9" t="s">
        <v>1022</v>
      </c>
      <c r="G346" s="10">
        <v>2024</v>
      </c>
      <c r="H346" s="14">
        <v>36</v>
      </c>
      <c r="I346" s="10">
        <f t="shared" si="12"/>
        <v>341</v>
      </c>
      <c r="J346" s="10" t="str">
        <f>Tableau2[[#This Row],[Annee d''inscription au programme]]&amp;"-"&amp;Tableau2[[#This Row],[Code d''ecole]]&amp;"-"&amp;Tableau2[[#This Row],[Numero HM de la femme]]</f>
        <v>2024-36-341</v>
      </c>
      <c r="K346" s="10">
        <f t="shared" si="13"/>
        <v>341</v>
      </c>
      <c r="L346" s="42">
        <v>3</v>
      </c>
      <c r="M346" s="52">
        <v>1</v>
      </c>
      <c r="N346" s="63">
        <f>SUM(Tableau2[[#This Row],[Mathématique/20]]+Tableau2[[#This Row],[Français /20]])/2</f>
        <v>2</v>
      </c>
      <c r="O346" s="42">
        <v>15</v>
      </c>
      <c r="P346" s="59">
        <v>15.75</v>
      </c>
      <c r="Q346" s="63">
        <f>(Tableau2[[#This Row],[Mathématique /20]]+Tableau2[[#This Row],[Français /202]])/2</f>
        <v>15.375</v>
      </c>
      <c r="S346"/>
      <c r="T346"/>
      <c r="U346"/>
      <c r="V346"/>
    </row>
    <row r="347" spans="1:22" ht="16" x14ac:dyDescent="0.2">
      <c r="A347" s="10" t="s">
        <v>568</v>
      </c>
      <c r="B347" s="10" t="s">
        <v>238</v>
      </c>
      <c r="C347" s="10" t="s">
        <v>331</v>
      </c>
      <c r="D347" s="10" t="s">
        <v>328</v>
      </c>
      <c r="E347" s="10" t="s">
        <v>1039</v>
      </c>
      <c r="F347" s="9" t="s">
        <v>1022</v>
      </c>
      <c r="G347" s="10">
        <v>2024</v>
      </c>
      <c r="H347" s="14">
        <v>36</v>
      </c>
      <c r="I347" s="10">
        <f t="shared" si="12"/>
        <v>342</v>
      </c>
      <c r="J347" s="10" t="str">
        <f>Tableau2[[#This Row],[Annee d''inscription au programme]]&amp;"-"&amp;Tableau2[[#This Row],[Code d''ecole]]&amp;"-"&amp;Tableau2[[#This Row],[Numero HM de la femme]]</f>
        <v>2024-36-342</v>
      </c>
      <c r="K347" s="10">
        <f t="shared" si="13"/>
        <v>342</v>
      </c>
      <c r="L347" s="42">
        <v>0</v>
      </c>
      <c r="M347" s="52">
        <v>0.5</v>
      </c>
      <c r="N347" s="63">
        <f>SUM(Tableau2[[#This Row],[Mathématique/20]]+Tableau2[[#This Row],[Français /20]])/2</f>
        <v>0.25</v>
      </c>
      <c r="O347" s="42">
        <v>12</v>
      </c>
      <c r="P347" s="59">
        <v>16.5</v>
      </c>
      <c r="Q347" s="63">
        <f>(Tableau2[[#This Row],[Mathématique /20]]+Tableau2[[#This Row],[Français /202]])/2</f>
        <v>14.25</v>
      </c>
      <c r="S347"/>
      <c r="T347"/>
      <c r="U347"/>
      <c r="V347"/>
    </row>
    <row r="348" spans="1:22" ht="16" x14ac:dyDescent="0.2">
      <c r="A348" s="10" t="s">
        <v>568</v>
      </c>
      <c r="B348" s="10" t="s">
        <v>238</v>
      </c>
      <c r="C348" s="10" t="s">
        <v>573</v>
      </c>
      <c r="D348" s="10" t="s">
        <v>231</v>
      </c>
      <c r="E348" s="10" t="s">
        <v>1039</v>
      </c>
      <c r="F348" s="9" t="s">
        <v>1022</v>
      </c>
      <c r="G348" s="10">
        <v>2024</v>
      </c>
      <c r="H348" s="14">
        <v>36</v>
      </c>
      <c r="I348" s="10">
        <f t="shared" si="12"/>
        <v>343</v>
      </c>
      <c r="J348" s="10" t="str">
        <f>Tableau2[[#This Row],[Annee d''inscription au programme]]&amp;"-"&amp;Tableau2[[#This Row],[Code d''ecole]]&amp;"-"&amp;Tableau2[[#This Row],[Numero HM de la femme]]</f>
        <v>2024-36-343</v>
      </c>
      <c r="K348" s="10">
        <f t="shared" si="13"/>
        <v>343</v>
      </c>
      <c r="L348" s="42">
        <v>4</v>
      </c>
      <c r="M348" s="52">
        <v>1</v>
      </c>
      <c r="N348" s="63">
        <f>SUM(Tableau2[[#This Row],[Mathématique/20]]+Tableau2[[#This Row],[Français /20]])/2</f>
        <v>2.5</v>
      </c>
      <c r="O348" s="42">
        <v>13</v>
      </c>
      <c r="P348" s="52">
        <v>19</v>
      </c>
      <c r="Q348" s="63">
        <f>(Tableau2[[#This Row],[Mathématique /20]]+Tableau2[[#This Row],[Français /202]])/2</f>
        <v>16</v>
      </c>
      <c r="S348"/>
      <c r="T348"/>
      <c r="U348"/>
      <c r="V348"/>
    </row>
    <row r="349" spans="1:22" ht="16" x14ac:dyDescent="0.2">
      <c r="A349" s="10" t="s">
        <v>568</v>
      </c>
      <c r="B349" s="10" t="s">
        <v>238</v>
      </c>
      <c r="C349" s="10" t="s">
        <v>574</v>
      </c>
      <c r="D349" s="10" t="s">
        <v>575</v>
      </c>
      <c r="E349" s="10" t="s">
        <v>1039</v>
      </c>
      <c r="F349" s="9" t="s">
        <v>1022</v>
      </c>
      <c r="G349" s="10">
        <v>2024</v>
      </c>
      <c r="H349" s="14">
        <v>36</v>
      </c>
      <c r="I349" s="10">
        <f t="shared" si="12"/>
        <v>344</v>
      </c>
      <c r="J349" s="10" t="str">
        <f>Tableau2[[#This Row],[Annee d''inscription au programme]]&amp;"-"&amp;Tableau2[[#This Row],[Code d''ecole]]&amp;"-"&amp;Tableau2[[#This Row],[Numero HM de la femme]]</f>
        <v>2024-36-344</v>
      </c>
      <c r="K349" s="10">
        <f t="shared" si="13"/>
        <v>344</v>
      </c>
      <c r="L349" s="42">
        <v>3</v>
      </c>
      <c r="M349" s="52">
        <v>1</v>
      </c>
      <c r="N349" s="63">
        <f>SUM(Tableau2[[#This Row],[Mathématique/20]]+Tableau2[[#This Row],[Français /20]])/2</f>
        <v>2</v>
      </c>
      <c r="O349" s="42">
        <v>13</v>
      </c>
      <c r="P349" s="52">
        <v>15</v>
      </c>
      <c r="Q349" s="63">
        <f>(Tableau2[[#This Row],[Mathématique /20]]+Tableau2[[#This Row],[Français /202]])/2</f>
        <v>14</v>
      </c>
      <c r="S349"/>
      <c r="T349"/>
      <c r="U349"/>
      <c r="V349"/>
    </row>
    <row r="350" spans="1:22" ht="16" x14ac:dyDescent="0.2">
      <c r="A350" s="10" t="s">
        <v>568</v>
      </c>
      <c r="B350" s="10" t="s">
        <v>238</v>
      </c>
      <c r="C350" s="10" t="s">
        <v>577</v>
      </c>
      <c r="D350" s="10" t="s">
        <v>576</v>
      </c>
      <c r="E350" s="10" t="s">
        <v>1039</v>
      </c>
      <c r="F350" s="9" t="s">
        <v>1022</v>
      </c>
      <c r="G350" s="10">
        <v>2024</v>
      </c>
      <c r="H350" s="14">
        <v>36</v>
      </c>
      <c r="I350" s="10">
        <f t="shared" si="12"/>
        <v>345</v>
      </c>
      <c r="J350" s="10" t="str">
        <f>Tableau2[[#This Row],[Annee d''inscription au programme]]&amp;"-"&amp;Tableau2[[#This Row],[Code d''ecole]]&amp;"-"&amp;Tableau2[[#This Row],[Numero HM de la femme]]</f>
        <v>2024-36-345</v>
      </c>
      <c r="K350" s="10">
        <f t="shared" si="13"/>
        <v>345</v>
      </c>
      <c r="L350" s="42">
        <v>4</v>
      </c>
      <c r="M350" s="52">
        <v>1.5</v>
      </c>
      <c r="N350" s="63">
        <f>SUM(Tableau2[[#This Row],[Mathématique/20]]+Tableau2[[#This Row],[Français /20]])/2</f>
        <v>2.75</v>
      </c>
      <c r="O350" s="42">
        <v>15.5</v>
      </c>
      <c r="P350" s="52">
        <v>17.5</v>
      </c>
      <c r="Q350" s="63">
        <f>(Tableau2[[#This Row],[Mathématique /20]]+Tableau2[[#This Row],[Français /202]])/2</f>
        <v>16.5</v>
      </c>
      <c r="S350"/>
      <c r="T350"/>
      <c r="U350"/>
      <c r="V350"/>
    </row>
    <row r="351" spans="1:22" ht="16" x14ac:dyDescent="0.2">
      <c r="A351" s="10" t="s">
        <v>568</v>
      </c>
      <c r="B351" s="10" t="s">
        <v>238</v>
      </c>
      <c r="C351" s="10" t="s">
        <v>578</v>
      </c>
      <c r="D351" s="10" t="s">
        <v>579</v>
      </c>
      <c r="E351" s="10" t="s">
        <v>1039</v>
      </c>
      <c r="F351" s="9" t="s">
        <v>1022</v>
      </c>
      <c r="G351" s="10">
        <v>2024</v>
      </c>
      <c r="H351" s="14">
        <v>36</v>
      </c>
      <c r="I351" s="10">
        <f t="shared" si="12"/>
        <v>346</v>
      </c>
      <c r="J351" s="10" t="str">
        <f>Tableau2[[#This Row],[Annee d''inscription au programme]]&amp;"-"&amp;Tableau2[[#This Row],[Code d''ecole]]&amp;"-"&amp;Tableau2[[#This Row],[Numero HM de la femme]]</f>
        <v>2024-36-346</v>
      </c>
      <c r="K351" s="10">
        <f t="shared" si="13"/>
        <v>346</v>
      </c>
      <c r="L351" s="42">
        <v>0</v>
      </c>
      <c r="M351" s="52">
        <v>0</v>
      </c>
      <c r="N351" s="63">
        <f>SUM(Tableau2[[#This Row],[Mathématique/20]]+Tableau2[[#This Row],[Français /20]])/2</f>
        <v>0</v>
      </c>
      <c r="O351" s="42">
        <v>9</v>
      </c>
      <c r="P351" s="52">
        <v>13</v>
      </c>
      <c r="Q351" s="63">
        <f>(Tableau2[[#This Row],[Mathématique /20]]+Tableau2[[#This Row],[Français /202]])/2</f>
        <v>11</v>
      </c>
      <c r="S351"/>
      <c r="T351"/>
      <c r="U351"/>
      <c r="V351"/>
    </row>
    <row r="352" spans="1:22" ht="16" x14ac:dyDescent="0.2">
      <c r="A352" s="10" t="s">
        <v>568</v>
      </c>
      <c r="B352" s="10" t="s">
        <v>238</v>
      </c>
      <c r="C352" s="10" t="s">
        <v>581</v>
      </c>
      <c r="D352" s="10" t="s">
        <v>580</v>
      </c>
      <c r="E352" s="10" t="s">
        <v>1039</v>
      </c>
      <c r="F352" s="9" t="s">
        <v>1022</v>
      </c>
      <c r="G352" s="10">
        <v>2024</v>
      </c>
      <c r="H352" s="14">
        <v>36</v>
      </c>
      <c r="I352" s="10">
        <f t="shared" si="12"/>
        <v>347</v>
      </c>
      <c r="J352" s="10" t="str">
        <f>Tableau2[[#This Row],[Annee d''inscription au programme]]&amp;"-"&amp;Tableau2[[#This Row],[Code d''ecole]]&amp;"-"&amp;Tableau2[[#This Row],[Numero HM de la femme]]</f>
        <v>2024-36-347</v>
      </c>
      <c r="K352" s="10">
        <f t="shared" si="13"/>
        <v>347</v>
      </c>
      <c r="L352" s="42">
        <v>2</v>
      </c>
      <c r="M352" s="52">
        <v>0.5</v>
      </c>
      <c r="N352" s="63">
        <f>SUM(Tableau2[[#This Row],[Mathématique/20]]+Tableau2[[#This Row],[Français /20]])/2</f>
        <v>1.25</v>
      </c>
      <c r="O352" s="42">
        <v>10</v>
      </c>
      <c r="P352" s="52">
        <v>15</v>
      </c>
      <c r="Q352" s="63">
        <f>(Tableau2[[#This Row],[Mathématique /20]]+Tableau2[[#This Row],[Français /202]])/2</f>
        <v>12.5</v>
      </c>
      <c r="S352"/>
      <c r="T352"/>
      <c r="U352"/>
      <c r="V352"/>
    </row>
    <row r="353" spans="1:22" ht="16" x14ac:dyDescent="0.2">
      <c r="A353" s="10" t="s">
        <v>568</v>
      </c>
      <c r="B353" s="10" t="s">
        <v>238</v>
      </c>
      <c r="C353" s="10" t="s">
        <v>582</v>
      </c>
      <c r="D353" s="10" t="s">
        <v>583</v>
      </c>
      <c r="E353" s="10" t="s">
        <v>1039</v>
      </c>
      <c r="F353" s="9" t="s">
        <v>1022</v>
      </c>
      <c r="G353" s="10">
        <v>2024</v>
      </c>
      <c r="H353" s="14">
        <v>36</v>
      </c>
      <c r="I353" s="10">
        <f t="shared" si="12"/>
        <v>348</v>
      </c>
      <c r="J353" s="10" t="str">
        <f>Tableau2[[#This Row],[Annee d''inscription au programme]]&amp;"-"&amp;Tableau2[[#This Row],[Code d''ecole]]&amp;"-"&amp;Tableau2[[#This Row],[Numero HM de la femme]]</f>
        <v>2024-36-348</v>
      </c>
      <c r="K353" s="10">
        <f t="shared" si="13"/>
        <v>348</v>
      </c>
      <c r="L353" s="42">
        <v>3</v>
      </c>
      <c r="M353" s="52">
        <v>1</v>
      </c>
      <c r="N353" s="63">
        <f>SUM(Tableau2[[#This Row],[Mathématique/20]]+Tableau2[[#This Row],[Français /20]])/2</f>
        <v>2</v>
      </c>
      <c r="O353" s="42">
        <v>16</v>
      </c>
      <c r="P353" s="52">
        <v>17</v>
      </c>
      <c r="Q353" s="63">
        <f>(Tableau2[[#This Row],[Mathématique /20]]+Tableau2[[#This Row],[Français /202]])/2</f>
        <v>16.5</v>
      </c>
      <c r="S353"/>
      <c r="T353"/>
      <c r="U353"/>
      <c r="V353"/>
    </row>
    <row r="354" spans="1:22" ht="16" x14ac:dyDescent="0.2">
      <c r="A354" s="10" t="s">
        <v>568</v>
      </c>
      <c r="B354" s="10" t="s">
        <v>238</v>
      </c>
      <c r="C354" s="10" t="s">
        <v>585</v>
      </c>
      <c r="D354" s="10" t="s">
        <v>584</v>
      </c>
      <c r="E354" s="10" t="s">
        <v>1039</v>
      </c>
      <c r="F354" s="9" t="s">
        <v>1022</v>
      </c>
      <c r="G354" s="10">
        <v>2024</v>
      </c>
      <c r="H354" s="14">
        <v>36</v>
      </c>
      <c r="I354" s="10">
        <f t="shared" si="12"/>
        <v>349</v>
      </c>
      <c r="J354" s="10" t="str">
        <f>Tableau2[[#This Row],[Annee d''inscription au programme]]&amp;"-"&amp;Tableau2[[#This Row],[Code d''ecole]]&amp;"-"&amp;Tableau2[[#This Row],[Numero HM de la femme]]</f>
        <v>2024-36-349</v>
      </c>
      <c r="K354" s="10">
        <f t="shared" si="13"/>
        <v>349</v>
      </c>
      <c r="L354" s="42">
        <v>1</v>
      </c>
      <c r="M354" s="52">
        <v>2</v>
      </c>
      <c r="N354" s="63">
        <f>SUM(Tableau2[[#This Row],[Mathématique/20]]+Tableau2[[#This Row],[Français /20]])/2</f>
        <v>1.5</v>
      </c>
      <c r="O354" s="42">
        <v>14</v>
      </c>
      <c r="P354" s="52">
        <v>20</v>
      </c>
      <c r="Q354" s="63">
        <f>(Tableau2[[#This Row],[Mathématique /20]]+Tableau2[[#This Row],[Français /202]])/2</f>
        <v>17</v>
      </c>
      <c r="S354"/>
      <c r="T354"/>
      <c r="U354"/>
      <c r="V354"/>
    </row>
    <row r="355" spans="1:22" ht="16" x14ac:dyDescent="0.2">
      <c r="A355" s="10" t="s">
        <v>621</v>
      </c>
      <c r="B355" s="10" t="s">
        <v>238</v>
      </c>
      <c r="C355" s="10" t="s">
        <v>586</v>
      </c>
      <c r="D355" s="10" t="s">
        <v>28</v>
      </c>
      <c r="E355" s="10" t="s">
        <v>1051</v>
      </c>
      <c r="F355" s="9" t="s">
        <v>1023</v>
      </c>
      <c r="G355" s="10">
        <v>2024</v>
      </c>
      <c r="H355" s="10">
        <v>38</v>
      </c>
      <c r="I355" s="10">
        <f t="shared" si="12"/>
        <v>350</v>
      </c>
      <c r="J355" s="10" t="str">
        <f>Tableau2[[#This Row],[Annee d''inscription au programme]]&amp;"-"&amp;Tableau2[[#This Row],[Code d''ecole]]&amp;"-"&amp;Tableau2[[#This Row],[Numero HM de la femme]]</f>
        <v>2024-38-350</v>
      </c>
      <c r="K355" s="10">
        <f t="shared" si="13"/>
        <v>350</v>
      </c>
      <c r="L355" s="42">
        <v>4</v>
      </c>
      <c r="M355" s="52">
        <v>10.5</v>
      </c>
      <c r="N355" s="63">
        <f>SUM(Tableau2[[#This Row],[Mathématique/20]]+Tableau2[[#This Row],[Français /20]])/2</f>
        <v>7.25</v>
      </c>
      <c r="O355" s="42">
        <v>12</v>
      </c>
      <c r="P355" s="52">
        <v>14</v>
      </c>
      <c r="Q355" s="63">
        <f>(Tableau2[[#This Row],[Mathématique /20]]+Tableau2[[#This Row],[Français /202]])/2</f>
        <v>13</v>
      </c>
      <c r="S355"/>
      <c r="T355"/>
      <c r="U355"/>
      <c r="V355"/>
    </row>
    <row r="356" spans="1:22" ht="16" x14ac:dyDescent="0.2">
      <c r="A356" s="10" t="s">
        <v>621</v>
      </c>
      <c r="B356" s="10" t="s">
        <v>238</v>
      </c>
      <c r="C356" s="11" t="s">
        <v>596</v>
      </c>
      <c r="D356" s="10" t="s">
        <v>27</v>
      </c>
      <c r="E356" s="10" t="s">
        <v>1051</v>
      </c>
      <c r="F356" s="9" t="s">
        <v>1023</v>
      </c>
      <c r="G356" s="10">
        <v>2024</v>
      </c>
      <c r="H356" s="10">
        <v>38</v>
      </c>
      <c r="I356" s="10">
        <f t="shared" si="12"/>
        <v>351</v>
      </c>
      <c r="J356" s="11" t="str">
        <f>Tableau2[[#This Row],[Annee d''inscription au programme]]&amp;"-"&amp;Tableau2[[#This Row],[Code d''ecole]]&amp;"-"&amp;Tableau2[[#This Row],[Numero HM de la femme]]</f>
        <v>2024-38-351</v>
      </c>
      <c r="K356" s="10">
        <f t="shared" si="13"/>
        <v>351</v>
      </c>
      <c r="L356" s="42">
        <v>2.5</v>
      </c>
      <c r="M356" s="52">
        <v>2</v>
      </c>
      <c r="N356" s="63">
        <f>SUM(Tableau2[[#This Row],[Mathématique/20]]+Tableau2[[#This Row],[Français /20]])/2</f>
        <v>2.25</v>
      </c>
      <c r="O356" s="42">
        <v>10</v>
      </c>
      <c r="P356" s="52">
        <v>10</v>
      </c>
      <c r="Q356" s="63">
        <f>(Tableau2[[#This Row],[Mathématique /20]]+Tableau2[[#This Row],[Français /202]])/2</f>
        <v>10</v>
      </c>
      <c r="S356"/>
      <c r="T356"/>
      <c r="U356"/>
      <c r="V356"/>
    </row>
    <row r="357" spans="1:22" ht="16" x14ac:dyDescent="0.2">
      <c r="A357" s="10" t="s">
        <v>621</v>
      </c>
      <c r="B357" s="10" t="s">
        <v>238</v>
      </c>
      <c r="C357" s="11" t="s">
        <v>600</v>
      </c>
      <c r="D357" s="10" t="s">
        <v>601</v>
      </c>
      <c r="E357" s="10" t="s">
        <v>1051</v>
      </c>
      <c r="F357" s="9" t="s">
        <v>1023</v>
      </c>
      <c r="G357" s="10">
        <v>2024</v>
      </c>
      <c r="H357" s="10">
        <v>38</v>
      </c>
      <c r="I357" s="10">
        <f t="shared" si="12"/>
        <v>352</v>
      </c>
      <c r="J357" s="10" t="str">
        <f>Tableau2[[#This Row],[Annee d''inscription au programme]]&amp;"-"&amp;Tableau2[[#This Row],[Code d''ecole]]&amp;"-"&amp;Tableau2[[#This Row],[Numero HM de la femme]]</f>
        <v>2024-38-352</v>
      </c>
      <c r="K357" s="10">
        <f t="shared" si="13"/>
        <v>352</v>
      </c>
      <c r="L357" s="42">
        <v>0</v>
      </c>
      <c r="M357" s="52">
        <v>1</v>
      </c>
      <c r="N357" s="63">
        <f>SUM(Tableau2[[#This Row],[Mathématique/20]]+Tableau2[[#This Row],[Français /20]])/2</f>
        <v>0.5</v>
      </c>
      <c r="O357" s="42">
        <v>13</v>
      </c>
      <c r="P357" s="52">
        <v>14</v>
      </c>
      <c r="Q357" s="63">
        <f>(Tableau2[[#This Row],[Mathématique /20]]+Tableau2[[#This Row],[Français /202]])/2</f>
        <v>13.5</v>
      </c>
      <c r="S357"/>
      <c r="T357"/>
      <c r="U357"/>
      <c r="V357"/>
    </row>
    <row r="358" spans="1:22" ht="16" x14ac:dyDescent="0.2">
      <c r="A358" s="10" t="s">
        <v>621</v>
      </c>
      <c r="B358" s="10" t="s">
        <v>238</v>
      </c>
      <c r="C358" s="10" t="s">
        <v>589</v>
      </c>
      <c r="D358" s="10" t="s">
        <v>590</v>
      </c>
      <c r="E358" s="10" t="s">
        <v>1051</v>
      </c>
      <c r="F358" s="9" t="s">
        <v>1023</v>
      </c>
      <c r="G358" s="10">
        <v>2024</v>
      </c>
      <c r="H358" s="10">
        <v>38</v>
      </c>
      <c r="I358" s="10">
        <f t="shared" si="12"/>
        <v>353</v>
      </c>
      <c r="J358" s="10" t="str">
        <f>Tableau2[[#This Row],[Annee d''inscription au programme]]&amp;"-"&amp;Tableau2[[#This Row],[Code d''ecole]]&amp;"-"&amp;Tableau2[[#This Row],[Numero HM de la femme]]</f>
        <v>2024-38-353</v>
      </c>
      <c r="K358" s="10">
        <f t="shared" si="13"/>
        <v>353</v>
      </c>
      <c r="L358" s="42">
        <v>3</v>
      </c>
      <c r="M358" s="52">
        <v>1.75</v>
      </c>
      <c r="N358" s="63">
        <f>SUM(Tableau2[[#This Row],[Mathématique/20]]+Tableau2[[#This Row],[Français /20]])/2</f>
        <v>2.375</v>
      </c>
      <c r="O358" s="42">
        <v>13</v>
      </c>
      <c r="P358" s="52">
        <v>16</v>
      </c>
      <c r="Q358" s="63">
        <f>(Tableau2[[#This Row],[Mathématique /20]]+Tableau2[[#This Row],[Français /202]])/2</f>
        <v>14.5</v>
      </c>
      <c r="S358"/>
      <c r="T358"/>
      <c r="U358"/>
      <c r="V358"/>
    </row>
    <row r="359" spans="1:22" ht="16" x14ac:dyDescent="0.2">
      <c r="A359" s="10" t="s">
        <v>621</v>
      </c>
      <c r="B359" s="10" t="s">
        <v>238</v>
      </c>
      <c r="C359" s="10" t="s">
        <v>591</v>
      </c>
      <c r="D359" s="10" t="s">
        <v>592</v>
      </c>
      <c r="E359" s="10" t="s">
        <v>1051</v>
      </c>
      <c r="F359" s="9" t="s">
        <v>1023</v>
      </c>
      <c r="G359" s="10">
        <v>2024</v>
      </c>
      <c r="H359" s="10">
        <v>38</v>
      </c>
      <c r="I359" s="10">
        <f t="shared" si="12"/>
        <v>354</v>
      </c>
      <c r="J359" s="10" t="str">
        <f>Tableau2[[#This Row],[Annee d''inscription au programme]]&amp;"-"&amp;Tableau2[[#This Row],[Code d''ecole]]&amp;"-"&amp;Tableau2[[#This Row],[Numero HM de la femme]]</f>
        <v>2024-38-354</v>
      </c>
      <c r="K359" s="10">
        <f t="shared" si="13"/>
        <v>354</v>
      </c>
      <c r="L359" s="42">
        <v>0</v>
      </c>
      <c r="M359" s="52">
        <v>1</v>
      </c>
      <c r="N359" s="63">
        <f>SUM(Tableau2[[#This Row],[Mathématique/20]]+Tableau2[[#This Row],[Français /20]])/2</f>
        <v>0.5</v>
      </c>
      <c r="O359" s="42">
        <v>11</v>
      </c>
      <c r="P359" s="52">
        <v>11</v>
      </c>
      <c r="Q359" s="63">
        <f>(Tableau2[[#This Row],[Mathématique /20]]+Tableau2[[#This Row],[Français /202]])/2</f>
        <v>11</v>
      </c>
      <c r="S359"/>
      <c r="T359"/>
      <c r="U359"/>
      <c r="V359"/>
    </row>
    <row r="360" spans="1:22" ht="16" x14ac:dyDescent="0.2">
      <c r="A360" s="10" t="s">
        <v>621</v>
      </c>
      <c r="B360" s="10" t="s">
        <v>238</v>
      </c>
      <c r="C360" s="11" t="s">
        <v>599</v>
      </c>
      <c r="D360" s="10" t="s">
        <v>27</v>
      </c>
      <c r="E360" s="10" t="s">
        <v>1051</v>
      </c>
      <c r="F360" s="9" t="s">
        <v>1023</v>
      </c>
      <c r="G360" s="10">
        <v>2024</v>
      </c>
      <c r="H360" s="10">
        <v>38</v>
      </c>
      <c r="I360" s="10">
        <f t="shared" si="12"/>
        <v>355</v>
      </c>
      <c r="J360" s="10" t="str">
        <f>Tableau2[[#This Row],[Annee d''inscription au programme]]&amp;"-"&amp;Tableau2[[#This Row],[Code d''ecole]]&amp;"-"&amp;Tableau2[[#This Row],[Numero HM de la femme]]</f>
        <v>2024-38-355</v>
      </c>
      <c r="K360" s="10">
        <f t="shared" si="13"/>
        <v>355</v>
      </c>
      <c r="L360" s="42">
        <v>0</v>
      </c>
      <c r="M360" s="52">
        <v>5</v>
      </c>
      <c r="N360" s="63">
        <f>SUM(Tableau2[[#This Row],[Mathématique/20]]+Tableau2[[#This Row],[Français /20]])/2</f>
        <v>2.5</v>
      </c>
      <c r="O360" s="42">
        <v>11</v>
      </c>
      <c r="P360" s="52">
        <v>14</v>
      </c>
      <c r="Q360" s="63">
        <f>(Tableau2[[#This Row],[Mathématique /20]]+Tableau2[[#This Row],[Français /202]])/2</f>
        <v>12.5</v>
      </c>
      <c r="S360"/>
      <c r="T360"/>
      <c r="U360"/>
      <c r="V360"/>
    </row>
    <row r="361" spans="1:22" ht="16" x14ac:dyDescent="0.2">
      <c r="A361" s="10" t="s">
        <v>621</v>
      </c>
      <c r="B361" s="10" t="s">
        <v>238</v>
      </c>
      <c r="C361" s="10" t="s">
        <v>597</v>
      </c>
      <c r="D361" s="10" t="s">
        <v>598</v>
      </c>
      <c r="E361" s="10" t="s">
        <v>1051</v>
      </c>
      <c r="F361" s="9" t="s">
        <v>1023</v>
      </c>
      <c r="G361" s="10">
        <v>2024</v>
      </c>
      <c r="H361" s="10">
        <v>38</v>
      </c>
      <c r="I361" s="10">
        <f t="shared" si="12"/>
        <v>356</v>
      </c>
      <c r="J361" s="10" t="str">
        <f>Tableau2[[#This Row],[Annee d''inscription au programme]]&amp;"-"&amp;Tableau2[[#This Row],[Code d''ecole]]&amp;"-"&amp;Tableau2[[#This Row],[Numero HM de la femme]]</f>
        <v>2024-38-356</v>
      </c>
      <c r="K361" s="10">
        <f t="shared" si="13"/>
        <v>356</v>
      </c>
      <c r="L361" s="42">
        <v>6</v>
      </c>
      <c r="M361" s="52">
        <v>2.75</v>
      </c>
      <c r="N361" s="63">
        <f>SUM(Tableau2[[#This Row],[Mathématique/20]]+Tableau2[[#This Row],[Français /20]])/2</f>
        <v>4.375</v>
      </c>
      <c r="O361" s="42">
        <v>12</v>
      </c>
      <c r="P361" s="52">
        <v>11</v>
      </c>
      <c r="Q361" s="63">
        <f>(Tableau2[[#This Row],[Mathématique /20]]+Tableau2[[#This Row],[Français /202]])/2</f>
        <v>11.5</v>
      </c>
      <c r="S361"/>
      <c r="T361"/>
      <c r="U361"/>
      <c r="V361"/>
    </row>
    <row r="362" spans="1:22" ht="16" x14ac:dyDescent="0.2">
      <c r="A362" s="10" t="s">
        <v>621</v>
      </c>
      <c r="B362" s="10" t="s">
        <v>238</v>
      </c>
      <c r="C362" s="10" t="s">
        <v>587</v>
      </c>
      <c r="D362" s="10" t="s">
        <v>588</v>
      </c>
      <c r="E362" s="10" t="s">
        <v>1051</v>
      </c>
      <c r="F362" s="9" t="s">
        <v>1023</v>
      </c>
      <c r="G362" s="10">
        <v>2024</v>
      </c>
      <c r="H362" s="10">
        <v>38</v>
      </c>
      <c r="I362" s="10">
        <f t="shared" si="12"/>
        <v>357</v>
      </c>
      <c r="J362" s="10" t="str">
        <f>Tableau2[[#This Row],[Annee d''inscription au programme]]&amp;"-"&amp;Tableau2[[#This Row],[Code d''ecole]]&amp;"-"&amp;Tableau2[[#This Row],[Numero HM de la femme]]</f>
        <v>2024-38-357</v>
      </c>
      <c r="K362" s="10">
        <f t="shared" si="13"/>
        <v>357</v>
      </c>
      <c r="L362" s="42">
        <v>0</v>
      </c>
      <c r="M362" s="52">
        <v>1.5</v>
      </c>
      <c r="N362" s="63">
        <f>SUM(Tableau2[[#This Row],[Mathématique/20]]+Tableau2[[#This Row],[Français /20]])/2</f>
        <v>0.75</v>
      </c>
      <c r="O362" s="43">
        <v>11.5</v>
      </c>
      <c r="P362" s="52">
        <v>11</v>
      </c>
      <c r="Q362" s="63">
        <f>(Tableau2[[#This Row],[Mathématique /20]]+Tableau2[[#This Row],[Français /202]])/2</f>
        <v>11.25</v>
      </c>
      <c r="S362"/>
      <c r="T362"/>
      <c r="U362"/>
      <c r="V362"/>
    </row>
    <row r="363" spans="1:22" ht="16" x14ac:dyDescent="0.2">
      <c r="A363" s="10" t="s">
        <v>621</v>
      </c>
      <c r="B363" s="10" t="s">
        <v>238</v>
      </c>
      <c r="C363" s="11" t="s">
        <v>614</v>
      </c>
      <c r="D363" s="10" t="s">
        <v>603</v>
      </c>
      <c r="E363" s="10" t="s">
        <v>1051</v>
      </c>
      <c r="F363" s="9" t="s">
        <v>1023</v>
      </c>
      <c r="G363" s="10">
        <v>2024</v>
      </c>
      <c r="H363" s="10">
        <v>38</v>
      </c>
      <c r="I363" s="10">
        <f t="shared" si="12"/>
        <v>358</v>
      </c>
      <c r="J363" s="11" t="str">
        <f>Tableau2[[#This Row],[Annee d''inscription au programme]]&amp;"-"&amp;Tableau2[[#This Row],[Code d''ecole]]&amp;"-"&amp;Tableau2[[#This Row],[Numero HM de la femme]]</f>
        <v>2024-38-358</v>
      </c>
      <c r="K363" s="10">
        <f t="shared" si="13"/>
        <v>358</v>
      </c>
      <c r="L363" s="42">
        <v>0</v>
      </c>
      <c r="M363" s="52">
        <v>0</v>
      </c>
      <c r="N363" s="63">
        <f>SUM(Tableau2[[#This Row],[Mathématique/20]]+Tableau2[[#This Row],[Français /20]])/2</f>
        <v>0</v>
      </c>
      <c r="O363" s="42">
        <v>11</v>
      </c>
      <c r="P363" s="52">
        <v>17</v>
      </c>
      <c r="Q363" s="63">
        <f>(Tableau2[[#This Row],[Mathématique /20]]+Tableau2[[#This Row],[Français /202]])/2</f>
        <v>14</v>
      </c>
      <c r="S363"/>
      <c r="T363"/>
      <c r="U363"/>
      <c r="V363"/>
    </row>
    <row r="364" spans="1:22" ht="16" x14ac:dyDescent="0.2">
      <c r="A364" s="10" t="s">
        <v>621</v>
      </c>
      <c r="B364" s="10" t="s">
        <v>238</v>
      </c>
      <c r="C364" s="10" t="s">
        <v>593</v>
      </c>
      <c r="D364" s="10" t="s">
        <v>28</v>
      </c>
      <c r="E364" s="10" t="s">
        <v>1051</v>
      </c>
      <c r="F364" s="9" t="s">
        <v>1023</v>
      </c>
      <c r="G364" s="10">
        <v>2024</v>
      </c>
      <c r="H364" s="10">
        <v>38</v>
      </c>
      <c r="I364" s="10">
        <f t="shared" si="12"/>
        <v>359</v>
      </c>
      <c r="J364" s="10" t="str">
        <f>Tableau2[[#This Row],[Annee d''inscription au programme]]&amp;"-"&amp;Tableau2[[#This Row],[Code d''ecole]]&amp;"-"&amp;Tableau2[[#This Row],[Numero HM de la femme]]</f>
        <v>2024-38-359</v>
      </c>
      <c r="K364" s="10">
        <f t="shared" si="13"/>
        <v>359</v>
      </c>
      <c r="L364" s="42">
        <v>2</v>
      </c>
      <c r="M364" s="52">
        <v>0.25</v>
      </c>
      <c r="N364" s="63">
        <f>SUM(Tableau2[[#This Row],[Mathématique/20]]+Tableau2[[#This Row],[Français /20]])/2</f>
        <v>1.125</v>
      </c>
      <c r="O364" s="42">
        <v>11</v>
      </c>
      <c r="P364" s="52">
        <v>16</v>
      </c>
      <c r="Q364" s="63">
        <f>(Tableau2[[#This Row],[Mathématique /20]]+Tableau2[[#This Row],[Français /202]])/2</f>
        <v>13.5</v>
      </c>
      <c r="S364"/>
      <c r="T364"/>
      <c r="U364"/>
      <c r="V364"/>
    </row>
    <row r="365" spans="1:22" ht="16" x14ac:dyDescent="0.2">
      <c r="A365" s="10" t="s">
        <v>621</v>
      </c>
      <c r="B365" s="10" t="s">
        <v>238</v>
      </c>
      <c r="C365" s="10" t="s">
        <v>594</v>
      </c>
      <c r="D365" s="10" t="s">
        <v>595</v>
      </c>
      <c r="E365" s="10" t="s">
        <v>1051</v>
      </c>
      <c r="F365" s="9" t="s">
        <v>1023</v>
      </c>
      <c r="G365" s="10">
        <v>2024</v>
      </c>
      <c r="H365" s="10">
        <v>38</v>
      </c>
      <c r="I365" s="10">
        <f t="shared" si="12"/>
        <v>360</v>
      </c>
      <c r="J365" s="10" t="str">
        <f>Tableau2[[#This Row],[Annee d''inscription au programme]]&amp;"-"&amp;Tableau2[[#This Row],[Code d''ecole]]&amp;"-"&amp;Tableau2[[#This Row],[Numero HM de la femme]]</f>
        <v>2024-38-360</v>
      </c>
      <c r="K365" s="10">
        <f t="shared" si="13"/>
        <v>360</v>
      </c>
      <c r="L365" s="42">
        <v>0</v>
      </c>
      <c r="M365" s="52">
        <v>1</v>
      </c>
      <c r="N365" s="63">
        <f>SUM(Tableau2[[#This Row],[Mathématique/20]]+Tableau2[[#This Row],[Français /20]])/2</f>
        <v>0.5</v>
      </c>
      <c r="O365" s="42">
        <v>10</v>
      </c>
      <c r="P365" s="52">
        <v>19</v>
      </c>
      <c r="Q365" s="63">
        <f>(Tableau2[[#This Row],[Mathématique /20]]+Tableau2[[#This Row],[Français /202]])/2</f>
        <v>14.5</v>
      </c>
      <c r="S365"/>
      <c r="T365"/>
      <c r="U365"/>
      <c r="V365"/>
    </row>
    <row r="366" spans="1:22" ht="16" x14ac:dyDescent="0.2">
      <c r="A366" s="10" t="s">
        <v>621</v>
      </c>
      <c r="B366" s="10" t="s">
        <v>238</v>
      </c>
      <c r="C366" s="10" t="s">
        <v>602</v>
      </c>
      <c r="D366" s="10" t="s">
        <v>603</v>
      </c>
      <c r="E366" s="10" t="s">
        <v>1051</v>
      </c>
      <c r="F366" s="9" t="s">
        <v>1023</v>
      </c>
      <c r="G366" s="10">
        <v>2024</v>
      </c>
      <c r="H366" s="10">
        <v>38</v>
      </c>
      <c r="I366" s="10">
        <f t="shared" si="12"/>
        <v>361</v>
      </c>
      <c r="J366" s="10" t="str">
        <f>Tableau2[[#This Row],[Annee d''inscription au programme]]&amp;"-"&amp;Tableau2[[#This Row],[Code d''ecole]]&amp;"-"&amp;Tableau2[[#This Row],[Numero HM de la femme]]</f>
        <v>2024-38-361</v>
      </c>
      <c r="K366" s="10">
        <f t="shared" si="13"/>
        <v>361</v>
      </c>
      <c r="L366" s="42">
        <v>0</v>
      </c>
      <c r="M366" s="52">
        <v>0.5</v>
      </c>
      <c r="N366" s="63">
        <f>SUM(Tableau2[[#This Row],[Mathématique/20]]+Tableau2[[#This Row],[Français /20]])/2</f>
        <v>0.25</v>
      </c>
      <c r="O366" s="42">
        <v>13</v>
      </c>
      <c r="P366" s="52">
        <v>17</v>
      </c>
      <c r="Q366" s="63">
        <f>(Tableau2[[#This Row],[Mathématique /20]]+Tableau2[[#This Row],[Français /202]])/2</f>
        <v>15</v>
      </c>
      <c r="S366"/>
      <c r="T366"/>
      <c r="U366"/>
      <c r="V366"/>
    </row>
    <row r="367" spans="1:22" ht="16" x14ac:dyDescent="0.2">
      <c r="A367" s="10" t="s">
        <v>621</v>
      </c>
      <c r="B367" s="10" t="s">
        <v>238</v>
      </c>
      <c r="C367" s="10" t="s">
        <v>606</v>
      </c>
      <c r="D367" s="10" t="s">
        <v>607</v>
      </c>
      <c r="E367" s="10" t="s">
        <v>1051</v>
      </c>
      <c r="F367" s="9" t="s">
        <v>1023</v>
      </c>
      <c r="G367" s="10">
        <v>2024</v>
      </c>
      <c r="H367" s="10">
        <v>38</v>
      </c>
      <c r="I367" s="10">
        <f t="shared" si="12"/>
        <v>362</v>
      </c>
      <c r="J367" s="10" t="str">
        <f>Tableau2[[#This Row],[Annee d''inscription au programme]]&amp;"-"&amp;Tableau2[[#This Row],[Code d''ecole]]&amp;"-"&amp;Tableau2[[#This Row],[Numero HM de la femme]]</f>
        <v>2024-38-362</v>
      </c>
      <c r="K367" s="10">
        <f t="shared" si="13"/>
        <v>362</v>
      </c>
      <c r="L367" s="42">
        <v>0</v>
      </c>
      <c r="M367" s="52">
        <v>1</v>
      </c>
      <c r="N367" s="63">
        <f>SUM(Tableau2[[#This Row],[Mathématique/20]]+Tableau2[[#This Row],[Français /20]])/2</f>
        <v>0.5</v>
      </c>
      <c r="O367" s="42">
        <v>11</v>
      </c>
      <c r="P367" s="52">
        <v>12</v>
      </c>
      <c r="Q367" s="63">
        <f>(Tableau2[[#This Row],[Mathématique /20]]+Tableau2[[#This Row],[Français /202]])/2</f>
        <v>11.5</v>
      </c>
      <c r="S367"/>
      <c r="T367"/>
      <c r="U367"/>
      <c r="V367"/>
    </row>
    <row r="368" spans="1:22" ht="16" x14ac:dyDescent="0.2">
      <c r="A368" s="10" t="s">
        <v>621</v>
      </c>
      <c r="B368" s="10" t="s">
        <v>238</v>
      </c>
      <c r="C368" s="11" t="s">
        <v>613</v>
      </c>
      <c r="D368" s="10" t="s">
        <v>618</v>
      </c>
      <c r="E368" s="10" t="s">
        <v>1051</v>
      </c>
      <c r="F368" s="9" t="s">
        <v>1023</v>
      </c>
      <c r="G368" s="10">
        <v>2024</v>
      </c>
      <c r="H368" s="10">
        <v>38</v>
      </c>
      <c r="I368" s="10">
        <f t="shared" si="12"/>
        <v>363</v>
      </c>
      <c r="J368" s="11" t="str">
        <f>Tableau2[[#This Row],[Annee d''inscription au programme]]&amp;"-"&amp;Tableau2[[#This Row],[Code d''ecole]]&amp;"-"&amp;Tableau2[[#This Row],[Numero HM de la femme]]</f>
        <v>2024-38-363</v>
      </c>
      <c r="K368" s="10">
        <f t="shared" si="13"/>
        <v>363</v>
      </c>
      <c r="L368" s="42">
        <v>8.5</v>
      </c>
      <c r="M368" s="52">
        <v>3</v>
      </c>
      <c r="N368" s="63">
        <f>SUM(Tableau2[[#This Row],[Mathématique/20]]+Tableau2[[#This Row],[Français /20]])/2</f>
        <v>5.75</v>
      </c>
      <c r="O368" s="42">
        <v>14</v>
      </c>
      <c r="P368" s="52">
        <v>20</v>
      </c>
      <c r="Q368" s="63">
        <f>(Tableau2[[#This Row],[Mathématique /20]]+Tableau2[[#This Row],[Français /202]])/2</f>
        <v>17</v>
      </c>
      <c r="S368"/>
      <c r="T368"/>
      <c r="U368"/>
      <c r="V368"/>
    </row>
    <row r="369" spans="1:22" ht="16" x14ac:dyDescent="0.2">
      <c r="A369" s="10" t="s">
        <v>621</v>
      </c>
      <c r="B369" s="10" t="s">
        <v>238</v>
      </c>
      <c r="C369" s="11" t="s">
        <v>611</v>
      </c>
      <c r="D369" s="10" t="s">
        <v>612</v>
      </c>
      <c r="E369" s="10" t="s">
        <v>1051</v>
      </c>
      <c r="F369" s="9" t="s">
        <v>1023</v>
      </c>
      <c r="G369" s="10">
        <v>2024</v>
      </c>
      <c r="H369" s="10">
        <v>38</v>
      </c>
      <c r="I369" s="10">
        <f t="shared" si="12"/>
        <v>364</v>
      </c>
      <c r="J369" s="11" t="str">
        <f>Tableau2[[#This Row],[Annee d''inscription au programme]]&amp;"-"&amp;Tableau2[[#This Row],[Code d''ecole]]&amp;"-"&amp;Tableau2[[#This Row],[Numero HM de la femme]]</f>
        <v>2024-38-364</v>
      </c>
      <c r="K369" s="10">
        <f t="shared" si="13"/>
        <v>364</v>
      </c>
      <c r="L369" s="42">
        <v>0</v>
      </c>
      <c r="M369" s="52">
        <v>3</v>
      </c>
      <c r="N369" s="63">
        <f>SUM(Tableau2[[#This Row],[Mathématique/20]]+Tableau2[[#This Row],[Français /20]])/2</f>
        <v>1.5</v>
      </c>
      <c r="O369" s="42">
        <v>14</v>
      </c>
      <c r="P369" s="52">
        <v>14</v>
      </c>
      <c r="Q369" s="63">
        <f>(Tableau2[[#This Row],[Mathématique /20]]+Tableau2[[#This Row],[Français /202]])/2</f>
        <v>14</v>
      </c>
      <c r="S369"/>
      <c r="T369"/>
      <c r="U369"/>
      <c r="V369"/>
    </row>
    <row r="370" spans="1:22" ht="16" x14ac:dyDescent="0.2">
      <c r="A370" s="10" t="s">
        <v>621</v>
      </c>
      <c r="B370" s="10" t="s">
        <v>238</v>
      </c>
      <c r="C370" s="11" t="s">
        <v>619</v>
      </c>
      <c r="D370" s="10" t="s">
        <v>620</v>
      </c>
      <c r="E370" s="10" t="s">
        <v>1051</v>
      </c>
      <c r="F370" s="9" t="s">
        <v>1023</v>
      </c>
      <c r="G370" s="10">
        <v>2024</v>
      </c>
      <c r="H370" s="10">
        <v>38</v>
      </c>
      <c r="I370" s="10">
        <f t="shared" si="12"/>
        <v>365</v>
      </c>
      <c r="J370" s="11" t="str">
        <f>Tableau2[[#This Row],[Annee d''inscription au programme]]&amp;"-"&amp;Tableau2[[#This Row],[Code d''ecole]]&amp;"-"&amp;Tableau2[[#This Row],[Numero HM de la femme]]</f>
        <v>2024-38-365</v>
      </c>
      <c r="K370" s="10">
        <f t="shared" si="13"/>
        <v>365</v>
      </c>
      <c r="L370" s="42">
        <v>2.5</v>
      </c>
      <c r="M370" s="52">
        <v>8.5</v>
      </c>
      <c r="N370" s="63">
        <f>SUM(Tableau2[[#This Row],[Mathématique/20]]+Tableau2[[#This Row],[Français /20]])/2</f>
        <v>5.5</v>
      </c>
      <c r="O370" s="43">
        <v>12.5</v>
      </c>
      <c r="P370" s="52">
        <v>15</v>
      </c>
      <c r="Q370" s="63">
        <f>(Tableau2[[#This Row],[Mathématique /20]]+Tableau2[[#This Row],[Français /202]])/2</f>
        <v>13.75</v>
      </c>
      <c r="S370"/>
      <c r="T370"/>
      <c r="U370"/>
      <c r="V370"/>
    </row>
    <row r="371" spans="1:22" ht="16" x14ac:dyDescent="0.2">
      <c r="A371" s="10" t="s">
        <v>621</v>
      </c>
      <c r="B371" s="10" t="s">
        <v>238</v>
      </c>
      <c r="C371" s="10" t="s">
        <v>604</v>
      </c>
      <c r="D371" s="10" t="s">
        <v>605</v>
      </c>
      <c r="E371" s="10" t="s">
        <v>1051</v>
      </c>
      <c r="F371" s="9" t="s">
        <v>1023</v>
      </c>
      <c r="G371" s="10">
        <v>2024</v>
      </c>
      <c r="H371" s="10">
        <v>38</v>
      </c>
      <c r="I371" s="10">
        <f t="shared" si="12"/>
        <v>366</v>
      </c>
      <c r="J371" s="10" t="str">
        <f>Tableau2[[#This Row],[Annee d''inscription au programme]]&amp;"-"&amp;Tableau2[[#This Row],[Code d''ecole]]&amp;"-"&amp;Tableau2[[#This Row],[Numero HM de la femme]]</f>
        <v>2024-38-366</v>
      </c>
      <c r="K371" s="10">
        <f t="shared" si="13"/>
        <v>366</v>
      </c>
      <c r="L371" s="42">
        <v>0</v>
      </c>
      <c r="M371" s="52">
        <v>0.5</v>
      </c>
      <c r="N371" s="63">
        <f>SUM(Tableau2[[#This Row],[Mathématique/20]]+Tableau2[[#This Row],[Français /20]])/2</f>
        <v>0.25</v>
      </c>
      <c r="O371" s="42">
        <v>12</v>
      </c>
      <c r="P371" s="52">
        <v>10</v>
      </c>
      <c r="Q371" s="63">
        <f>(Tableau2[[#This Row],[Mathématique /20]]+Tableau2[[#This Row],[Français /202]])/2</f>
        <v>11</v>
      </c>
      <c r="S371"/>
      <c r="T371"/>
      <c r="U371"/>
      <c r="V371"/>
    </row>
    <row r="372" spans="1:22" ht="16" x14ac:dyDescent="0.2">
      <c r="A372" s="10" t="s">
        <v>621</v>
      </c>
      <c r="B372" s="10" t="s">
        <v>238</v>
      </c>
      <c r="C372" s="10" t="s">
        <v>608</v>
      </c>
      <c r="D372" s="10" t="s">
        <v>609</v>
      </c>
      <c r="E372" s="10" t="s">
        <v>1051</v>
      </c>
      <c r="F372" s="9" t="s">
        <v>1023</v>
      </c>
      <c r="G372" s="10">
        <v>2024</v>
      </c>
      <c r="H372" s="10">
        <v>38</v>
      </c>
      <c r="I372" s="10">
        <f t="shared" si="12"/>
        <v>367</v>
      </c>
      <c r="J372" s="10" t="str">
        <f>Tableau2[[#This Row],[Annee d''inscription au programme]]&amp;"-"&amp;Tableau2[[#This Row],[Code d''ecole]]&amp;"-"&amp;Tableau2[[#This Row],[Numero HM de la femme]]</f>
        <v>2024-38-367</v>
      </c>
      <c r="K372" s="10">
        <f t="shared" si="13"/>
        <v>367</v>
      </c>
      <c r="L372" s="42">
        <v>0.5</v>
      </c>
      <c r="M372" s="52">
        <v>5.5</v>
      </c>
      <c r="N372" s="63">
        <f>SUM(Tableau2[[#This Row],[Mathématique/20]]+Tableau2[[#This Row],[Français /20]])/2</f>
        <v>3</v>
      </c>
      <c r="O372" s="42">
        <v>12</v>
      </c>
      <c r="P372" s="52">
        <v>15</v>
      </c>
      <c r="Q372" s="63">
        <f>(Tableau2[[#This Row],[Mathématique /20]]+Tableau2[[#This Row],[Français /202]])/2</f>
        <v>13.5</v>
      </c>
      <c r="S372"/>
      <c r="T372"/>
      <c r="U372"/>
      <c r="V372"/>
    </row>
    <row r="373" spans="1:22" ht="16" x14ac:dyDescent="0.2">
      <c r="A373" s="10" t="s">
        <v>621</v>
      </c>
      <c r="B373" s="10" t="s">
        <v>238</v>
      </c>
      <c r="C373" s="10" t="s">
        <v>610</v>
      </c>
      <c r="D373" s="10" t="s">
        <v>617</v>
      </c>
      <c r="E373" s="10" t="s">
        <v>1051</v>
      </c>
      <c r="F373" s="9" t="s">
        <v>1023</v>
      </c>
      <c r="G373" s="10">
        <v>2024</v>
      </c>
      <c r="H373" s="10">
        <v>38</v>
      </c>
      <c r="I373" s="10">
        <f t="shared" si="12"/>
        <v>368</v>
      </c>
      <c r="J373" s="10" t="str">
        <f>Tableau2[[#This Row],[Annee d''inscription au programme]]&amp;"-"&amp;Tableau2[[#This Row],[Code d''ecole]]&amp;"-"&amp;Tableau2[[#This Row],[Numero HM de la femme]]</f>
        <v>2024-38-368</v>
      </c>
      <c r="K373" s="10">
        <f t="shared" si="13"/>
        <v>368</v>
      </c>
      <c r="L373" s="42">
        <v>6</v>
      </c>
      <c r="M373" s="52">
        <v>4</v>
      </c>
      <c r="N373" s="63">
        <f>SUM(Tableau2[[#This Row],[Mathématique/20]]+Tableau2[[#This Row],[Français /20]])/2</f>
        <v>5</v>
      </c>
      <c r="O373" s="42">
        <v>16</v>
      </c>
      <c r="P373" s="52">
        <v>16</v>
      </c>
      <c r="Q373" s="63">
        <f>(Tableau2[[#This Row],[Mathématique /20]]+Tableau2[[#This Row],[Français /202]])/2</f>
        <v>16</v>
      </c>
      <c r="S373"/>
      <c r="T373"/>
      <c r="U373"/>
      <c r="V373"/>
    </row>
    <row r="374" spans="1:22" ht="16" x14ac:dyDescent="0.2">
      <c r="A374" s="10" t="s">
        <v>621</v>
      </c>
      <c r="B374" s="10" t="s">
        <v>238</v>
      </c>
      <c r="C374" s="10" t="s">
        <v>615</v>
      </c>
      <c r="D374" s="10" t="s">
        <v>616</v>
      </c>
      <c r="E374" s="10" t="s">
        <v>1051</v>
      </c>
      <c r="F374" s="9" t="s">
        <v>1023</v>
      </c>
      <c r="G374" s="10">
        <v>2024</v>
      </c>
      <c r="H374" s="10">
        <v>38</v>
      </c>
      <c r="I374" s="10">
        <f t="shared" si="12"/>
        <v>369</v>
      </c>
      <c r="J374" s="10" t="str">
        <f>Tableau2[[#This Row],[Annee d''inscription au programme]]&amp;"-"&amp;Tableau2[[#This Row],[Code d''ecole]]&amp;"-"&amp;Tableau2[[#This Row],[Numero HM de la femme]]</f>
        <v>2024-38-369</v>
      </c>
      <c r="K374" s="10">
        <f t="shared" si="13"/>
        <v>369</v>
      </c>
      <c r="L374" s="42">
        <v>4</v>
      </c>
      <c r="M374" s="52">
        <v>9.5</v>
      </c>
      <c r="N374" s="63">
        <f>SUM(Tableau2[[#This Row],[Mathématique/20]]+Tableau2[[#This Row],[Français /20]])/2</f>
        <v>6.75</v>
      </c>
      <c r="O374" s="42">
        <v>14</v>
      </c>
      <c r="P374" s="52">
        <v>17</v>
      </c>
      <c r="Q374" s="63">
        <f>(Tableau2[[#This Row],[Mathématique /20]]+Tableau2[[#This Row],[Français /202]])/2</f>
        <v>15.5</v>
      </c>
      <c r="S374"/>
      <c r="T374"/>
      <c r="U374"/>
      <c r="V374"/>
    </row>
    <row r="375" spans="1:22" ht="16" x14ac:dyDescent="0.2">
      <c r="A375" s="10" t="s">
        <v>621</v>
      </c>
      <c r="B375" s="11" t="s">
        <v>238</v>
      </c>
      <c r="C375" s="11" t="s">
        <v>911</v>
      </c>
      <c r="D375" s="10" t="s">
        <v>25</v>
      </c>
      <c r="E375" s="10" t="s">
        <v>1051</v>
      </c>
      <c r="F375" s="9" t="s">
        <v>1023</v>
      </c>
      <c r="G375" s="10">
        <v>2024</v>
      </c>
      <c r="H375" s="10">
        <v>38</v>
      </c>
      <c r="I375" s="10">
        <f t="shared" si="12"/>
        <v>370</v>
      </c>
      <c r="J375" s="11" t="str">
        <f>Tableau2[[#This Row],[Annee d''inscription au programme]]&amp;"-"&amp;Tableau2[[#This Row],[Code d''ecole]]&amp;"-"&amp;Tableau2[[#This Row],[Numero HM de la femme]]</f>
        <v>2024-38-370</v>
      </c>
      <c r="K375" s="10">
        <f t="shared" si="13"/>
        <v>370</v>
      </c>
      <c r="L375" s="42">
        <v>0</v>
      </c>
      <c r="M375" s="52">
        <v>0.3</v>
      </c>
      <c r="N375" s="63">
        <f>SUM(Tableau2[[#This Row],[Mathématique/20]]+Tableau2[[#This Row],[Français /20]])/2</f>
        <v>0.15</v>
      </c>
      <c r="O375" s="42">
        <v>10</v>
      </c>
      <c r="P375" s="52">
        <v>16</v>
      </c>
      <c r="Q375" s="63">
        <f>(Tableau2[[#This Row],[Mathématique /20]]+Tableau2[[#This Row],[Français /202]])/2</f>
        <v>13</v>
      </c>
      <c r="S375"/>
      <c r="T375"/>
      <c r="U375"/>
      <c r="V375"/>
    </row>
    <row r="376" spans="1:22" ht="16" x14ac:dyDescent="0.2">
      <c r="A376" s="10" t="s">
        <v>622</v>
      </c>
      <c r="B376" s="10" t="s">
        <v>238</v>
      </c>
      <c r="C376" s="10" t="s">
        <v>623</v>
      </c>
      <c r="D376" s="10" t="s">
        <v>624</v>
      </c>
      <c r="E376" s="10" t="s">
        <v>1063</v>
      </c>
      <c r="F376" s="9" t="s">
        <v>1022</v>
      </c>
      <c r="G376" s="10">
        <v>2024</v>
      </c>
      <c r="H376" s="10">
        <v>104</v>
      </c>
      <c r="I376" s="10">
        <f t="shared" si="12"/>
        <v>371</v>
      </c>
      <c r="J376" s="10" t="str">
        <f>Tableau2[[#This Row],[Annee d''inscription au programme]]&amp;"-"&amp;Tableau2[[#This Row],[Code d''ecole]]&amp;"-"&amp;Tableau2[[#This Row],[Numero HM de la femme]]</f>
        <v>2024-104-371</v>
      </c>
      <c r="K376" s="10">
        <f t="shared" si="13"/>
        <v>371</v>
      </c>
      <c r="L376" s="42">
        <v>1</v>
      </c>
      <c r="M376" s="52">
        <v>0.5</v>
      </c>
      <c r="N376" s="63">
        <f>SUM(Tableau2[[#This Row],[Mathématique/20]]+Tableau2[[#This Row],[Français /20]])/2</f>
        <v>0.75</v>
      </c>
      <c r="O376" s="42">
        <v>11</v>
      </c>
      <c r="P376" s="52">
        <v>14</v>
      </c>
      <c r="Q376" s="63">
        <f>(Tableau2[[#This Row],[Mathématique /20]]+Tableau2[[#This Row],[Français /202]])/2</f>
        <v>12.5</v>
      </c>
      <c r="S376"/>
      <c r="T376"/>
      <c r="U376"/>
      <c r="V376"/>
    </row>
    <row r="377" spans="1:22" ht="16" x14ac:dyDescent="0.2">
      <c r="A377" s="10" t="s">
        <v>622</v>
      </c>
      <c r="B377" s="10" t="s">
        <v>238</v>
      </c>
      <c r="C377" s="10" t="s">
        <v>625</v>
      </c>
      <c r="D377" s="10" t="s">
        <v>626</v>
      </c>
      <c r="E377" s="10" t="s">
        <v>1063</v>
      </c>
      <c r="F377" s="9" t="s">
        <v>1022</v>
      </c>
      <c r="G377" s="10">
        <v>2024</v>
      </c>
      <c r="H377" s="10">
        <v>104</v>
      </c>
      <c r="I377" s="10">
        <f t="shared" si="12"/>
        <v>372</v>
      </c>
      <c r="J377" s="10" t="str">
        <f>Tableau2[[#This Row],[Annee d''inscription au programme]]&amp;"-"&amp;Tableau2[[#This Row],[Code d''ecole]]&amp;"-"&amp;Tableau2[[#This Row],[Numero HM de la femme]]</f>
        <v>2024-104-372</v>
      </c>
      <c r="K377" s="10">
        <f t="shared" si="13"/>
        <v>372</v>
      </c>
      <c r="L377" s="42">
        <v>1</v>
      </c>
      <c r="M377" s="52">
        <v>1</v>
      </c>
      <c r="N377" s="63">
        <f>SUM(Tableau2[[#This Row],[Mathématique/20]]+Tableau2[[#This Row],[Français /20]])/2</f>
        <v>1</v>
      </c>
      <c r="O377" s="42">
        <v>10</v>
      </c>
      <c r="P377" s="52">
        <v>18</v>
      </c>
      <c r="Q377" s="63">
        <f>(Tableau2[[#This Row],[Mathématique /20]]+Tableau2[[#This Row],[Français /202]])/2</f>
        <v>14</v>
      </c>
      <c r="S377"/>
      <c r="T377"/>
      <c r="U377"/>
      <c r="V377"/>
    </row>
    <row r="378" spans="1:22" ht="16" x14ac:dyDescent="0.2">
      <c r="A378" s="10" t="s">
        <v>622</v>
      </c>
      <c r="B378" s="10" t="s">
        <v>238</v>
      </c>
      <c r="C378" s="10" t="s">
        <v>627</v>
      </c>
      <c r="D378" s="10" t="s">
        <v>628</v>
      </c>
      <c r="E378" s="10" t="s">
        <v>1063</v>
      </c>
      <c r="F378" s="9" t="s">
        <v>1022</v>
      </c>
      <c r="G378" s="10">
        <v>2024</v>
      </c>
      <c r="H378" s="10">
        <v>104</v>
      </c>
      <c r="I378" s="10">
        <f t="shared" si="12"/>
        <v>373</v>
      </c>
      <c r="J378" s="10" t="str">
        <f>Tableau2[[#This Row],[Annee d''inscription au programme]]&amp;"-"&amp;Tableau2[[#This Row],[Code d''ecole]]&amp;"-"&amp;Tableau2[[#This Row],[Numero HM de la femme]]</f>
        <v>2024-104-373</v>
      </c>
      <c r="K378" s="10">
        <f t="shared" si="13"/>
        <v>373</v>
      </c>
      <c r="L378" s="42">
        <v>0</v>
      </c>
      <c r="M378" s="52">
        <v>1</v>
      </c>
      <c r="N378" s="63">
        <f>SUM(Tableau2[[#This Row],[Mathématique/20]]+Tableau2[[#This Row],[Français /20]])/2</f>
        <v>0.5</v>
      </c>
      <c r="O378" s="43">
        <v>10.5</v>
      </c>
      <c r="P378" s="59">
        <v>13.5</v>
      </c>
      <c r="Q378" s="63">
        <f>(Tableau2[[#This Row],[Mathématique /20]]+Tableau2[[#This Row],[Français /202]])/2</f>
        <v>12</v>
      </c>
      <c r="S378"/>
      <c r="T378"/>
      <c r="U378"/>
      <c r="V378"/>
    </row>
    <row r="379" spans="1:22" ht="16" x14ac:dyDescent="0.2">
      <c r="A379" s="10" t="s">
        <v>622</v>
      </c>
      <c r="B379" s="10" t="s">
        <v>238</v>
      </c>
      <c r="C379" s="10" t="s">
        <v>629</v>
      </c>
      <c r="D379" s="10" t="s">
        <v>630</v>
      </c>
      <c r="E379" s="10" t="s">
        <v>1063</v>
      </c>
      <c r="F379" s="9" t="s">
        <v>1022</v>
      </c>
      <c r="G379" s="10">
        <v>2024</v>
      </c>
      <c r="H379" s="10">
        <v>104</v>
      </c>
      <c r="I379" s="10">
        <f t="shared" si="12"/>
        <v>374</v>
      </c>
      <c r="J379" s="10" t="str">
        <f>Tableau2[[#This Row],[Annee d''inscription au programme]]&amp;"-"&amp;Tableau2[[#This Row],[Code d''ecole]]&amp;"-"&amp;Tableau2[[#This Row],[Numero HM de la femme]]</f>
        <v>2024-104-374</v>
      </c>
      <c r="K379" s="10">
        <f t="shared" si="13"/>
        <v>374</v>
      </c>
      <c r="L379" s="42">
        <v>0</v>
      </c>
      <c r="M379" s="52">
        <v>0.5</v>
      </c>
      <c r="N379" s="63">
        <f>SUM(Tableau2[[#This Row],[Mathématique/20]]+Tableau2[[#This Row],[Français /20]])/2</f>
        <v>0.25</v>
      </c>
      <c r="O379" s="42">
        <v>15</v>
      </c>
      <c r="P379" s="52">
        <v>13</v>
      </c>
      <c r="Q379" s="63">
        <f>(Tableau2[[#This Row],[Mathématique /20]]+Tableau2[[#This Row],[Français /202]])/2</f>
        <v>14</v>
      </c>
      <c r="S379"/>
      <c r="T379"/>
      <c r="U379"/>
      <c r="V379"/>
    </row>
    <row r="380" spans="1:22" ht="16" x14ac:dyDescent="0.2">
      <c r="A380" s="10" t="s">
        <v>622</v>
      </c>
      <c r="B380" s="10" t="s">
        <v>238</v>
      </c>
      <c r="C380" s="10" t="s">
        <v>632</v>
      </c>
      <c r="D380" s="10" t="s">
        <v>631</v>
      </c>
      <c r="E380" s="10" t="s">
        <v>1063</v>
      </c>
      <c r="F380" s="9" t="s">
        <v>1022</v>
      </c>
      <c r="G380" s="10">
        <v>2024</v>
      </c>
      <c r="H380" s="10">
        <v>104</v>
      </c>
      <c r="I380" s="10">
        <f t="shared" si="12"/>
        <v>375</v>
      </c>
      <c r="J380" s="10" t="str">
        <f>Tableau2[[#This Row],[Annee d''inscription au programme]]&amp;"-"&amp;Tableau2[[#This Row],[Code d''ecole]]&amp;"-"&amp;Tableau2[[#This Row],[Numero HM de la femme]]</f>
        <v>2024-104-375</v>
      </c>
      <c r="K380" s="10">
        <f t="shared" si="13"/>
        <v>375</v>
      </c>
      <c r="L380" s="42">
        <v>0</v>
      </c>
      <c r="M380" s="52">
        <v>1</v>
      </c>
      <c r="N380" s="63">
        <f>SUM(Tableau2[[#This Row],[Mathématique/20]]+Tableau2[[#This Row],[Français /20]])/2</f>
        <v>0.5</v>
      </c>
      <c r="O380" s="42">
        <v>14</v>
      </c>
      <c r="P380" s="59">
        <v>13.5</v>
      </c>
      <c r="Q380" s="63">
        <f>(Tableau2[[#This Row],[Mathématique /20]]+Tableau2[[#This Row],[Français /202]])/2</f>
        <v>13.75</v>
      </c>
      <c r="S380"/>
      <c r="T380"/>
      <c r="U380"/>
      <c r="V380"/>
    </row>
    <row r="381" spans="1:22" ht="16" x14ac:dyDescent="0.2">
      <c r="A381" s="10" t="s">
        <v>622</v>
      </c>
      <c r="B381" s="10" t="s">
        <v>238</v>
      </c>
      <c r="C381" s="10" t="s">
        <v>633</v>
      </c>
      <c r="D381" s="10" t="s">
        <v>634</v>
      </c>
      <c r="E381" s="10" t="s">
        <v>1063</v>
      </c>
      <c r="F381" s="9" t="s">
        <v>1022</v>
      </c>
      <c r="G381" s="10">
        <v>2024</v>
      </c>
      <c r="H381" s="10">
        <v>104</v>
      </c>
      <c r="I381" s="10">
        <f t="shared" si="12"/>
        <v>376</v>
      </c>
      <c r="J381" s="10" t="str">
        <f>Tableau2[[#This Row],[Annee d''inscription au programme]]&amp;"-"&amp;Tableau2[[#This Row],[Code d''ecole]]&amp;"-"&amp;Tableau2[[#This Row],[Numero HM de la femme]]</f>
        <v>2024-104-376</v>
      </c>
      <c r="K381" s="10">
        <f t="shared" si="13"/>
        <v>376</v>
      </c>
      <c r="L381" s="42">
        <v>2</v>
      </c>
      <c r="M381" s="52">
        <v>1</v>
      </c>
      <c r="N381" s="63">
        <f>SUM(Tableau2[[#This Row],[Mathématique/20]]+Tableau2[[#This Row],[Français /20]])/2</f>
        <v>1.5</v>
      </c>
      <c r="O381" s="42">
        <v>12</v>
      </c>
      <c r="P381" s="52">
        <v>13.5</v>
      </c>
      <c r="Q381" s="63">
        <f>(Tableau2[[#This Row],[Mathématique /20]]+Tableau2[[#This Row],[Français /202]])/2</f>
        <v>12.75</v>
      </c>
      <c r="S381"/>
      <c r="T381"/>
      <c r="U381"/>
      <c r="V381"/>
    </row>
    <row r="382" spans="1:22" ht="16" x14ac:dyDescent="0.2">
      <c r="A382" s="10" t="s">
        <v>622</v>
      </c>
      <c r="B382" s="10" t="s">
        <v>238</v>
      </c>
      <c r="C382" s="10" t="s">
        <v>635</v>
      </c>
      <c r="D382" s="10" t="s">
        <v>636</v>
      </c>
      <c r="E382" s="10" t="s">
        <v>1063</v>
      </c>
      <c r="F382" s="9" t="s">
        <v>1022</v>
      </c>
      <c r="G382" s="10">
        <v>2024</v>
      </c>
      <c r="H382" s="10">
        <v>104</v>
      </c>
      <c r="I382" s="10">
        <f t="shared" si="12"/>
        <v>377</v>
      </c>
      <c r="J382" s="10" t="str">
        <f>Tableau2[[#This Row],[Annee d''inscription au programme]]&amp;"-"&amp;Tableau2[[#This Row],[Code d''ecole]]&amp;"-"&amp;Tableau2[[#This Row],[Numero HM de la femme]]</f>
        <v>2024-104-377</v>
      </c>
      <c r="K382" s="10">
        <f t="shared" si="13"/>
        <v>377</v>
      </c>
      <c r="L382" s="42">
        <v>2</v>
      </c>
      <c r="M382" s="52">
        <v>0.5</v>
      </c>
      <c r="N382" s="63">
        <f>SUM(Tableau2[[#This Row],[Mathématique/20]]+Tableau2[[#This Row],[Français /20]])/2</f>
        <v>1.25</v>
      </c>
      <c r="O382" s="42">
        <v>8</v>
      </c>
      <c r="P382" s="52">
        <v>13</v>
      </c>
      <c r="Q382" s="63">
        <f>(Tableau2[[#This Row],[Mathématique /20]]+Tableau2[[#This Row],[Français /202]])/2</f>
        <v>10.5</v>
      </c>
      <c r="S382"/>
      <c r="T382"/>
      <c r="U382"/>
      <c r="V382"/>
    </row>
    <row r="383" spans="1:22" ht="16" x14ac:dyDescent="0.2">
      <c r="A383" s="10" t="s">
        <v>622</v>
      </c>
      <c r="B383" s="10" t="s">
        <v>238</v>
      </c>
      <c r="C383" s="10" t="s">
        <v>637</v>
      </c>
      <c r="D383" s="10" t="s">
        <v>638</v>
      </c>
      <c r="E383" s="10" t="s">
        <v>1063</v>
      </c>
      <c r="F383" s="9" t="s">
        <v>1022</v>
      </c>
      <c r="G383" s="10">
        <v>2024</v>
      </c>
      <c r="H383" s="10">
        <v>104</v>
      </c>
      <c r="I383" s="10">
        <f t="shared" si="12"/>
        <v>378</v>
      </c>
      <c r="J383" s="10" t="str">
        <f>Tableau2[[#This Row],[Annee d''inscription au programme]]&amp;"-"&amp;Tableau2[[#This Row],[Code d''ecole]]&amp;"-"&amp;Tableau2[[#This Row],[Numero HM de la femme]]</f>
        <v>2024-104-378</v>
      </c>
      <c r="K383" s="10">
        <f t="shared" si="13"/>
        <v>378</v>
      </c>
      <c r="L383" s="42">
        <v>1</v>
      </c>
      <c r="M383" s="52">
        <v>0.5</v>
      </c>
      <c r="N383" s="63">
        <f>SUM(Tableau2[[#This Row],[Mathématique/20]]+Tableau2[[#This Row],[Français /20]])/2</f>
        <v>0.75</v>
      </c>
      <c r="O383" s="42">
        <v>10</v>
      </c>
      <c r="P383" s="59">
        <v>14.5</v>
      </c>
      <c r="Q383" s="63">
        <f>(Tableau2[[#This Row],[Mathématique /20]]+Tableau2[[#This Row],[Français /202]])/2</f>
        <v>12.25</v>
      </c>
      <c r="S383"/>
      <c r="T383"/>
      <c r="U383"/>
      <c r="V383"/>
    </row>
    <row r="384" spans="1:22" ht="16" x14ac:dyDescent="0.2">
      <c r="A384" s="10" t="s">
        <v>646</v>
      </c>
      <c r="B384" s="10" t="s">
        <v>238</v>
      </c>
      <c r="C384" s="11" t="s">
        <v>993</v>
      </c>
      <c r="D384" s="10" t="s">
        <v>41</v>
      </c>
      <c r="E384" s="10" t="s">
        <v>1038</v>
      </c>
      <c r="F384" s="9" t="s">
        <v>1023</v>
      </c>
      <c r="G384" s="10">
        <v>2024</v>
      </c>
      <c r="H384" s="10">
        <v>50</v>
      </c>
      <c r="I384" s="10">
        <f t="shared" si="12"/>
        <v>379</v>
      </c>
      <c r="J384" s="11" t="str">
        <f>Tableau2[[#This Row],[Annee d''inscription au programme]]&amp;"-"&amp;Tableau2[[#This Row],[Code d''ecole]]&amp;"-"&amp;Tableau2[[#This Row],[Numero HM de la femme]]</f>
        <v>2024-50-379</v>
      </c>
      <c r="K384" s="10">
        <f t="shared" si="13"/>
        <v>379</v>
      </c>
      <c r="L384" s="42">
        <v>2.25</v>
      </c>
      <c r="M384" s="52">
        <v>1.25</v>
      </c>
      <c r="N384" s="63">
        <f>SUM(Tableau2[[#This Row],[Mathématique/20]]+Tableau2[[#This Row],[Français /20]])/2</f>
        <v>1.75</v>
      </c>
      <c r="O384" s="42">
        <v>12</v>
      </c>
      <c r="P384" s="52">
        <v>10</v>
      </c>
      <c r="Q384" s="63">
        <f>(Tableau2[[#This Row],[Mathématique /20]]+Tableau2[[#This Row],[Français /202]])/2</f>
        <v>11</v>
      </c>
      <c r="S384"/>
      <c r="T384"/>
      <c r="U384"/>
      <c r="V384"/>
    </row>
    <row r="385" spans="1:22" ht="16" x14ac:dyDescent="0.2">
      <c r="A385" s="10" t="s">
        <v>1019</v>
      </c>
      <c r="B385" s="11" t="s">
        <v>238</v>
      </c>
      <c r="C385" s="11" t="s">
        <v>1018</v>
      </c>
      <c r="D385" s="10" t="s">
        <v>44</v>
      </c>
      <c r="E385" s="10" t="s">
        <v>1041</v>
      </c>
      <c r="F385" s="9" t="s">
        <v>1032</v>
      </c>
      <c r="G385" s="10">
        <v>2024</v>
      </c>
      <c r="H385" s="10">
        <v>104</v>
      </c>
      <c r="I385" s="10">
        <v>381</v>
      </c>
      <c r="J385" s="11" t="str">
        <f>Tableau2[[#This Row],[Annee d''inscription au programme]]&amp;"-"&amp;Tableau2[[#This Row],[Code d''ecole]]&amp;"-"&amp;Tableau2[[#This Row],[Numero HM de la femme]]</f>
        <v>2024-104-381</v>
      </c>
      <c r="K385" s="10">
        <f t="shared" si="13"/>
        <v>380</v>
      </c>
      <c r="L385" s="42">
        <v>3.75</v>
      </c>
      <c r="M385" s="52">
        <v>1.5</v>
      </c>
      <c r="N385" s="63">
        <f>SUM(Tableau2[[#This Row],[Mathématique/20]]+Tableau2[[#This Row],[Français /20]])/2</f>
        <v>2.625</v>
      </c>
      <c r="O385" s="42">
        <v>11</v>
      </c>
      <c r="P385" s="52">
        <v>13</v>
      </c>
      <c r="Q385" s="63">
        <f>(Tableau2[[#This Row],[Mathématique /20]]+Tableau2[[#This Row],[Français /202]])/2</f>
        <v>12</v>
      </c>
      <c r="S385"/>
      <c r="T385"/>
      <c r="U385"/>
      <c r="V385"/>
    </row>
    <row r="386" spans="1:22" ht="16" x14ac:dyDescent="0.2">
      <c r="A386" s="10" t="s">
        <v>622</v>
      </c>
      <c r="B386" s="10" t="s">
        <v>238</v>
      </c>
      <c r="C386" s="10" t="s">
        <v>639</v>
      </c>
      <c r="D386" s="10" t="s">
        <v>640</v>
      </c>
      <c r="E386" s="10" t="s">
        <v>1063</v>
      </c>
      <c r="F386" s="9" t="s">
        <v>1022</v>
      </c>
      <c r="G386" s="10">
        <v>2024</v>
      </c>
      <c r="H386" s="10">
        <v>104</v>
      </c>
      <c r="I386" s="10">
        <f>SUM(I385+1)</f>
        <v>382</v>
      </c>
      <c r="J386" s="10" t="str">
        <f>Tableau2[[#This Row],[Annee d''inscription au programme]]&amp;"-"&amp;Tableau2[[#This Row],[Code d''ecole]]&amp;"-"&amp;Tableau2[[#This Row],[Numero HM de la femme]]</f>
        <v>2024-104-382</v>
      </c>
      <c r="K386" s="10">
        <f t="shared" si="13"/>
        <v>381</v>
      </c>
      <c r="L386" s="42">
        <v>0</v>
      </c>
      <c r="M386" s="52">
        <v>1.75</v>
      </c>
      <c r="N386" s="63">
        <f>SUM(Tableau2[[#This Row],[Mathématique/20]]+Tableau2[[#This Row],[Français /20]])/2</f>
        <v>0.875</v>
      </c>
      <c r="O386" s="43">
        <v>10.5</v>
      </c>
      <c r="P386" s="59">
        <v>13.5</v>
      </c>
      <c r="Q386" s="63">
        <f>(Tableau2[[#This Row],[Mathématique /20]]+Tableau2[[#This Row],[Français /202]])/2</f>
        <v>12</v>
      </c>
      <c r="S386"/>
      <c r="T386"/>
      <c r="U386"/>
      <c r="V386"/>
    </row>
    <row r="387" spans="1:22" ht="16" x14ac:dyDescent="0.2">
      <c r="A387" s="10" t="s">
        <v>622</v>
      </c>
      <c r="B387" s="10" t="s">
        <v>238</v>
      </c>
      <c r="C387" s="10" t="s">
        <v>641</v>
      </c>
      <c r="D387" s="10" t="s">
        <v>642</v>
      </c>
      <c r="E387" s="10" t="s">
        <v>1063</v>
      </c>
      <c r="F387" s="9" t="s">
        <v>1022</v>
      </c>
      <c r="G387" s="10">
        <v>2024</v>
      </c>
      <c r="H387" s="10">
        <v>104</v>
      </c>
      <c r="I387" s="10">
        <f t="shared" si="12"/>
        <v>383</v>
      </c>
      <c r="J387" s="10" t="str">
        <f>Tableau2[[#This Row],[Annee d''inscription au programme]]&amp;"-"&amp;Tableau2[[#This Row],[Code d''ecole]]&amp;"-"&amp;Tableau2[[#This Row],[Numero HM de la femme]]</f>
        <v>2024-104-383</v>
      </c>
      <c r="K387" s="10">
        <f t="shared" si="13"/>
        <v>382</v>
      </c>
      <c r="L387" s="42">
        <v>1</v>
      </c>
      <c r="M387" s="52">
        <v>2</v>
      </c>
      <c r="N387" s="63">
        <f>SUM(Tableau2[[#This Row],[Mathématique/20]]+Tableau2[[#This Row],[Français /20]])/2</f>
        <v>1.5</v>
      </c>
      <c r="O387" s="43">
        <v>15.5</v>
      </c>
      <c r="P387" s="52">
        <v>13</v>
      </c>
      <c r="Q387" s="63">
        <f>(Tableau2[[#This Row],[Mathématique /20]]+Tableau2[[#This Row],[Français /202]])/2</f>
        <v>14.25</v>
      </c>
      <c r="S387"/>
      <c r="T387"/>
      <c r="U387"/>
      <c r="V387"/>
    </row>
    <row r="388" spans="1:22" ht="16" x14ac:dyDescent="0.2">
      <c r="A388" s="10" t="s">
        <v>622</v>
      </c>
      <c r="B388" s="10" t="s">
        <v>238</v>
      </c>
      <c r="C388" s="10" t="s">
        <v>994</v>
      </c>
      <c r="D388" s="10" t="s">
        <v>643</v>
      </c>
      <c r="E388" s="10" t="s">
        <v>1063</v>
      </c>
      <c r="F388" s="9" t="s">
        <v>1022</v>
      </c>
      <c r="G388" s="10">
        <v>2024</v>
      </c>
      <c r="H388" s="10">
        <v>104</v>
      </c>
      <c r="I388" s="10">
        <f t="shared" si="12"/>
        <v>384</v>
      </c>
      <c r="J388" s="10" t="str">
        <f>Tableau2[[#This Row],[Annee d''inscription au programme]]&amp;"-"&amp;Tableau2[[#This Row],[Code d''ecole]]&amp;"-"&amp;Tableau2[[#This Row],[Numero HM de la femme]]</f>
        <v>2024-104-384</v>
      </c>
      <c r="K388" s="10">
        <f t="shared" si="13"/>
        <v>383</v>
      </c>
      <c r="L388" s="42">
        <v>0</v>
      </c>
      <c r="M388" s="52">
        <v>2.5</v>
      </c>
      <c r="N388" s="63">
        <f>SUM(Tableau2[[#This Row],[Mathématique/20]]+Tableau2[[#This Row],[Français /20]])/2</f>
        <v>1.25</v>
      </c>
      <c r="O388" s="42">
        <v>13</v>
      </c>
      <c r="P388" s="59">
        <v>11.5</v>
      </c>
      <c r="Q388" s="63">
        <f>(Tableau2[[#This Row],[Mathématique /20]]+Tableau2[[#This Row],[Français /202]])/2</f>
        <v>12.25</v>
      </c>
      <c r="S388"/>
      <c r="T388"/>
      <c r="U388"/>
      <c r="V388"/>
    </row>
    <row r="389" spans="1:22" ht="16" x14ac:dyDescent="0.2">
      <c r="A389" s="10" t="s">
        <v>622</v>
      </c>
      <c r="B389" s="10" t="s">
        <v>238</v>
      </c>
      <c r="C389" s="10" t="s">
        <v>644</v>
      </c>
      <c r="D389" s="10" t="s">
        <v>645</v>
      </c>
      <c r="E389" s="10" t="s">
        <v>1063</v>
      </c>
      <c r="F389" s="9" t="s">
        <v>1022</v>
      </c>
      <c r="G389" s="10">
        <v>2024</v>
      </c>
      <c r="H389" s="10">
        <v>104</v>
      </c>
      <c r="I389" s="10">
        <f t="shared" si="12"/>
        <v>385</v>
      </c>
      <c r="J389" s="10" t="str">
        <f>Tableau2[[#This Row],[Annee d''inscription au programme]]&amp;"-"&amp;Tableau2[[#This Row],[Code d''ecole]]&amp;"-"&amp;Tableau2[[#This Row],[Numero HM de la femme]]</f>
        <v>2024-104-385</v>
      </c>
      <c r="K389" s="10">
        <f t="shared" si="13"/>
        <v>384</v>
      </c>
      <c r="L389" s="42">
        <v>1</v>
      </c>
      <c r="M389" s="52">
        <v>0.5</v>
      </c>
      <c r="N389" s="63">
        <f>SUM(Tableau2[[#This Row],[Mathématique/20]]+Tableau2[[#This Row],[Français /20]])/2</f>
        <v>0.75</v>
      </c>
      <c r="O389" s="42">
        <v>12</v>
      </c>
      <c r="P389" s="59">
        <v>12.5</v>
      </c>
      <c r="Q389" s="63">
        <f>(Tableau2[[#This Row],[Mathématique /20]]+Tableau2[[#This Row],[Français /202]])/2</f>
        <v>12.25</v>
      </c>
      <c r="S389"/>
      <c r="T389"/>
      <c r="U389"/>
      <c r="V389"/>
    </row>
    <row r="390" spans="1:22" ht="16" x14ac:dyDescent="0.2">
      <c r="A390" s="10" t="s">
        <v>646</v>
      </c>
      <c r="B390" s="10" t="s">
        <v>238</v>
      </c>
      <c r="C390" s="10" t="s">
        <v>648</v>
      </c>
      <c r="D390" s="10" t="s">
        <v>647</v>
      </c>
      <c r="E390" s="10" t="s">
        <v>1038</v>
      </c>
      <c r="F390" s="9" t="s">
        <v>1023</v>
      </c>
      <c r="G390" s="10">
        <v>2024</v>
      </c>
      <c r="H390" s="10">
        <v>50</v>
      </c>
      <c r="I390" s="10">
        <f t="shared" si="12"/>
        <v>386</v>
      </c>
      <c r="J390" s="10" t="str">
        <f>Tableau2[[#This Row],[Annee d''inscription au programme]]&amp;"-"&amp;Tableau2[[#This Row],[Code d''ecole]]&amp;"-"&amp;Tableau2[[#This Row],[Numero HM de la femme]]</f>
        <v>2024-50-386</v>
      </c>
      <c r="K390" s="10">
        <f t="shared" si="13"/>
        <v>385</v>
      </c>
      <c r="L390" s="42">
        <v>1.5</v>
      </c>
      <c r="M390" s="52">
        <v>8</v>
      </c>
      <c r="N390" s="63">
        <f>SUM(Tableau2[[#This Row],[Mathématique/20]]+Tableau2[[#This Row],[Français /20]])/2</f>
        <v>4.75</v>
      </c>
      <c r="O390" s="42">
        <v>13</v>
      </c>
      <c r="P390" s="52">
        <v>18</v>
      </c>
      <c r="Q390" s="63">
        <f>(Tableau2[[#This Row],[Mathématique /20]]+Tableau2[[#This Row],[Français /202]])/2</f>
        <v>15.5</v>
      </c>
      <c r="S390"/>
      <c r="T390"/>
      <c r="U390"/>
      <c r="V390"/>
    </row>
    <row r="391" spans="1:22" ht="16" x14ac:dyDescent="0.2">
      <c r="A391" s="10" t="s">
        <v>646</v>
      </c>
      <c r="B391" s="10" t="s">
        <v>238</v>
      </c>
      <c r="C391" s="10" t="s">
        <v>936</v>
      </c>
      <c r="D391" s="10" t="s">
        <v>171</v>
      </c>
      <c r="E391" s="10" t="s">
        <v>1037</v>
      </c>
      <c r="F391" s="9" t="s">
        <v>1023</v>
      </c>
      <c r="G391" s="10">
        <v>2024</v>
      </c>
      <c r="H391" s="10">
        <v>50</v>
      </c>
      <c r="I391" s="10">
        <f t="shared" ref="I391:I454" si="14">SUM(I390+1)</f>
        <v>387</v>
      </c>
      <c r="J391" s="10" t="str">
        <f>Tableau2[[#This Row],[Annee d''inscription au programme]]&amp;"-"&amp;Tableau2[[#This Row],[Code d''ecole]]&amp;"-"&amp;Tableau2[[#This Row],[Numero HM de la femme]]</f>
        <v>2024-50-387</v>
      </c>
      <c r="K391" s="10">
        <f t="shared" si="13"/>
        <v>386</v>
      </c>
      <c r="L391" s="42">
        <v>0</v>
      </c>
      <c r="M391" s="52">
        <v>5.5</v>
      </c>
      <c r="N391" s="63">
        <f>SUM(Tableau2[[#This Row],[Mathématique/20]]+Tableau2[[#This Row],[Français /20]])/2</f>
        <v>2.75</v>
      </c>
      <c r="O391" s="42">
        <v>12</v>
      </c>
      <c r="P391" s="52">
        <v>13</v>
      </c>
      <c r="Q391" s="63">
        <f>(Tableau2[[#This Row],[Mathématique /20]]+Tableau2[[#This Row],[Français /202]])/2</f>
        <v>12.5</v>
      </c>
      <c r="S391"/>
      <c r="T391"/>
      <c r="U391"/>
      <c r="V391"/>
    </row>
    <row r="392" spans="1:22" ht="16" x14ac:dyDescent="0.2">
      <c r="A392" s="10" t="s">
        <v>646</v>
      </c>
      <c r="B392" s="10" t="s">
        <v>238</v>
      </c>
      <c r="C392" s="10" t="s">
        <v>650</v>
      </c>
      <c r="D392" s="10" t="s">
        <v>649</v>
      </c>
      <c r="E392" s="10" t="s">
        <v>1037</v>
      </c>
      <c r="F392" s="9" t="s">
        <v>1023</v>
      </c>
      <c r="G392" s="10">
        <v>2024</v>
      </c>
      <c r="H392" s="10">
        <v>50</v>
      </c>
      <c r="I392" s="10">
        <f t="shared" si="14"/>
        <v>388</v>
      </c>
      <c r="J392" s="10" t="str">
        <f>Tableau2[[#This Row],[Annee d''inscription au programme]]&amp;"-"&amp;Tableau2[[#This Row],[Code d''ecole]]&amp;"-"&amp;Tableau2[[#This Row],[Numero HM de la femme]]</f>
        <v>2024-50-388</v>
      </c>
      <c r="K392" s="10">
        <f t="shared" si="13"/>
        <v>387</v>
      </c>
      <c r="L392" s="42">
        <v>0</v>
      </c>
      <c r="M392" s="52">
        <v>4</v>
      </c>
      <c r="N392" s="63">
        <f>SUM(Tableau2[[#This Row],[Mathématique/20]]+Tableau2[[#This Row],[Français /20]])/2</f>
        <v>2</v>
      </c>
      <c r="O392" s="42">
        <v>12.5</v>
      </c>
      <c r="P392" s="52">
        <v>19</v>
      </c>
      <c r="Q392" s="63">
        <f>(Tableau2[[#This Row],[Mathématique /20]]+Tableau2[[#This Row],[Français /202]])/2</f>
        <v>15.75</v>
      </c>
      <c r="S392"/>
      <c r="T392"/>
      <c r="U392"/>
      <c r="V392"/>
    </row>
    <row r="393" spans="1:22" ht="16" x14ac:dyDescent="0.2">
      <c r="A393" s="10" t="s">
        <v>646</v>
      </c>
      <c r="B393" s="10" t="s">
        <v>238</v>
      </c>
      <c r="C393" s="10" t="s">
        <v>651</v>
      </c>
      <c r="D393" s="10" t="s">
        <v>652</v>
      </c>
      <c r="E393" s="10" t="s">
        <v>1037</v>
      </c>
      <c r="F393" s="9" t="s">
        <v>1023</v>
      </c>
      <c r="G393" s="10">
        <v>2024</v>
      </c>
      <c r="H393" s="10">
        <v>50</v>
      </c>
      <c r="I393" s="10">
        <f t="shared" si="14"/>
        <v>389</v>
      </c>
      <c r="J393" s="10" t="str">
        <f>Tableau2[[#This Row],[Annee d''inscription au programme]]&amp;"-"&amp;Tableau2[[#This Row],[Code d''ecole]]&amp;"-"&amp;Tableau2[[#This Row],[Numero HM de la femme]]</f>
        <v>2024-50-389</v>
      </c>
      <c r="K393" s="10">
        <f t="shared" ref="K393:K456" si="15">SUM(K392+1)</f>
        <v>388</v>
      </c>
      <c r="L393" s="42">
        <v>5.5</v>
      </c>
      <c r="M393" s="52">
        <v>4.5</v>
      </c>
      <c r="N393" s="63">
        <f>SUM(Tableau2[[#This Row],[Mathématique/20]]+Tableau2[[#This Row],[Français /20]])/2</f>
        <v>5</v>
      </c>
      <c r="O393" s="42">
        <v>14</v>
      </c>
      <c r="P393" s="52">
        <v>18</v>
      </c>
      <c r="Q393" s="63">
        <f>(Tableau2[[#This Row],[Mathématique /20]]+Tableau2[[#This Row],[Français /202]])/2</f>
        <v>16</v>
      </c>
      <c r="S393"/>
      <c r="T393"/>
      <c r="U393"/>
      <c r="V393"/>
    </row>
    <row r="394" spans="1:22" ht="16" x14ac:dyDescent="0.2">
      <c r="A394" s="10" t="s">
        <v>646</v>
      </c>
      <c r="B394" s="10" t="s">
        <v>238</v>
      </c>
      <c r="C394" s="10" t="s">
        <v>653</v>
      </c>
      <c r="D394" s="10" t="s">
        <v>654</v>
      </c>
      <c r="E394" s="10" t="s">
        <v>1038</v>
      </c>
      <c r="F394" s="9" t="s">
        <v>1023</v>
      </c>
      <c r="G394" s="10">
        <v>2024</v>
      </c>
      <c r="H394" s="10">
        <v>50</v>
      </c>
      <c r="I394" s="10">
        <f t="shared" si="14"/>
        <v>390</v>
      </c>
      <c r="J394" s="10" t="str">
        <f>Tableau2[[#This Row],[Annee d''inscription au programme]]&amp;"-"&amp;Tableau2[[#This Row],[Code d''ecole]]&amp;"-"&amp;Tableau2[[#This Row],[Numero HM de la femme]]</f>
        <v>2024-50-390</v>
      </c>
      <c r="K394" s="10">
        <f t="shared" si="15"/>
        <v>389</v>
      </c>
      <c r="L394" s="42">
        <v>2.5</v>
      </c>
      <c r="M394" s="52">
        <v>4.5</v>
      </c>
      <c r="N394" s="63">
        <f>SUM(Tableau2[[#This Row],[Mathématique/20]]+Tableau2[[#This Row],[Français /20]])/2</f>
        <v>3.5</v>
      </c>
      <c r="O394" s="42">
        <v>13.5</v>
      </c>
      <c r="P394" s="52">
        <v>15</v>
      </c>
      <c r="Q394" s="63">
        <f>(Tableau2[[#This Row],[Mathématique /20]]+Tableau2[[#This Row],[Français /202]])/2</f>
        <v>14.25</v>
      </c>
      <c r="S394"/>
      <c r="T394"/>
      <c r="U394"/>
      <c r="V394"/>
    </row>
    <row r="395" spans="1:22" ht="16" x14ac:dyDescent="0.2">
      <c r="A395" s="10" t="s">
        <v>646</v>
      </c>
      <c r="B395" s="10" t="s">
        <v>238</v>
      </c>
      <c r="C395" s="10" t="s">
        <v>655</v>
      </c>
      <c r="D395" s="10" t="s">
        <v>656</v>
      </c>
      <c r="E395" s="10" t="s">
        <v>1038</v>
      </c>
      <c r="F395" s="9" t="s">
        <v>1023</v>
      </c>
      <c r="G395" s="10">
        <v>2024</v>
      </c>
      <c r="H395" s="10">
        <v>50</v>
      </c>
      <c r="I395" s="10">
        <f t="shared" si="14"/>
        <v>391</v>
      </c>
      <c r="J395" s="10" t="str">
        <f>Tableau2[[#This Row],[Annee d''inscription au programme]]&amp;"-"&amp;Tableau2[[#This Row],[Code d''ecole]]&amp;"-"&amp;Tableau2[[#This Row],[Numero HM de la femme]]</f>
        <v>2024-50-391</v>
      </c>
      <c r="K395" s="10">
        <f t="shared" si="15"/>
        <v>390</v>
      </c>
      <c r="L395" s="42">
        <v>2.5</v>
      </c>
      <c r="M395" s="52">
        <v>1.5</v>
      </c>
      <c r="N395" s="63">
        <f>SUM(Tableau2[[#This Row],[Mathématique/20]]+Tableau2[[#This Row],[Français /20]])/2</f>
        <v>2</v>
      </c>
      <c r="O395" s="42">
        <v>9</v>
      </c>
      <c r="P395" s="52">
        <v>20</v>
      </c>
      <c r="Q395" s="63">
        <f>(Tableau2[[#This Row],[Mathématique /20]]+Tableau2[[#This Row],[Français /202]])/2</f>
        <v>14.5</v>
      </c>
      <c r="S395"/>
      <c r="T395"/>
      <c r="U395"/>
      <c r="V395"/>
    </row>
    <row r="396" spans="1:22" ht="16" x14ac:dyDescent="0.2">
      <c r="A396" s="10" t="s">
        <v>646</v>
      </c>
      <c r="B396" s="10" t="s">
        <v>238</v>
      </c>
      <c r="C396" s="10" t="s">
        <v>657</v>
      </c>
      <c r="D396" s="10" t="s">
        <v>25</v>
      </c>
      <c r="E396" s="10" t="s">
        <v>1038</v>
      </c>
      <c r="F396" s="9" t="s">
        <v>1023</v>
      </c>
      <c r="G396" s="10">
        <v>2024</v>
      </c>
      <c r="H396" s="10">
        <v>50</v>
      </c>
      <c r="I396" s="10">
        <f t="shared" si="14"/>
        <v>392</v>
      </c>
      <c r="J396" s="10" t="str">
        <f>Tableau2[[#This Row],[Annee d''inscription au programme]]&amp;"-"&amp;Tableau2[[#This Row],[Code d''ecole]]&amp;"-"&amp;Tableau2[[#This Row],[Numero HM de la femme]]</f>
        <v>2024-50-392</v>
      </c>
      <c r="K396" s="10">
        <f t="shared" si="15"/>
        <v>391</v>
      </c>
      <c r="L396" s="42">
        <v>2.5</v>
      </c>
      <c r="M396" s="52">
        <v>1</v>
      </c>
      <c r="N396" s="63">
        <f>SUM(Tableau2[[#This Row],[Mathématique/20]]+Tableau2[[#This Row],[Français /20]])/2</f>
        <v>1.75</v>
      </c>
      <c r="O396" s="42">
        <v>11</v>
      </c>
      <c r="P396" s="52">
        <v>17</v>
      </c>
      <c r="Q396" s="63">
        <f>(Tableau2[[#This Row],[Mathématique /20]]+Tableau2[[#This Row],[Français /202]])/2</f>
        <v>14</v>
      </c>
      <c r="S396"/>
      <c r="T396"/>
      <c r="U396"/>
      <c r="V396"/>
    </row>
    <row r="397" spans="1:22" ht="16" x14ac:dyDescent="0.2">
      <c r="A397" s="10" t="s">
        <v>646</v>
      </c>
      <c r="B397" s="10" t="s">
        <v>238</v>
      </c>
      <c r="C397" s="10" t="s">
        <v>658</v>
      </c>
      <c r="D397" s="10" t="s">
        <v>76</v>
      </c>
      <c r="E397" s="10" t="s">
        <v>1038</v>
      </c>
      <c r="F397" s="9" t="s">
        <v>1023</v>
      </c>
      <c r="G397" s="10">
        <v>2024</v>
      </c>
      <c r="H397" s="10">
        <v>50</v>
      </c>
      <c r="I397" s="10">
        <f t="shared" si="14"/>
        <v>393</v>
      </c>
      <c r="J397" s="10" t="str">
        <f>Tableau2[[#This Row],[Annee d''inscription au programme]]&amp;"-"&amp;Tableau2[[#This Row],[Code d''ecole]]&amp;"-"&amp;Tableau2[[#This Row],[Numero HM de la femme]]</f>
        <v>2024-50-393</v>
      </c>
      <c r="K397" s="10">
        <f t="shared" si="15"/>
        <v>392</v>
      </c>
      <c r="L397" s="42">
        <v>6</v>
      </c>
      <c r="M397" s="52">
        <v>10</v>
      </c>
      <c r="N397" s="63">
        <f>SUM(Tableau2[[#This Row],[Mathématique/20]]+Tableau2[[#This Row],[Français /20]])/2</f>
        <v>8</v>
      </c>
      <c r="O397" s="42">
        <v>13</v>
      </c>
      <c r="P397" s="52">
        <v>15</v>
      </c>
      <c r="Q397" s="63">
        <f>(Tableau2[[#This Row],[Mathématique /20]]+Tableau2[[#This Row],[Français /202]])/2</f>
        <v>14</v>
      </c>
      <c r="S397"/>
      <c r="T397"/>
      <c r="U397"/>
      <c r="V397"/>
    </row>
    <row r="398" spans="1:22" ht="16" x14ac:dyDescent="0.2">
      <c r="A398" s="10" t="s">
        <v>646</v>
      </c>
      <c r="B398" s="10" t="s">
        <v>238</v>
      </c>
      <c r="C398" s="10" t="s">
        <v>938</v>
      </c>
      <c r="D398" s="10" t="s">
        <v>659</v>
      </c>
      <c r="E398" s="10" t="s">
        <v>1037</v>
      </c>
      <c r="F398" s="9" t="s">
        <v>1023</v>
      </c>
      <c r="G398" s="10">
        <v>2024</v>
      </c>
      <c r="H398" s="10">
        <v>50</v>
      </c>
      <c r="I398" s="10">
        <f t="shared" si="14"/>
        <v>394</v>
      </c>
      <c r="J398" s="10" t="str">
        <f>Tableau2[[#This Row],[Annee d''inscription au programme]]&amp;"-"&amp;Tableau2[[#This Row],[Code d''ecole]]&amp;"-"&amp;Tableau2[[#This Row],[Numero HM de la femme]]</f>
        <v>2024-50-394</v>
      </c>
      <c r="K398" s="10">
        <f t="shared" si="15"/>
        <v>393</v>
      </c>
      <c r="L398" s="42">
        <v>0</v>
      </c>
      <c r="M398" s="52">
        <v>9</v>
      </c>
      <c r="N398" s="63">
        <f>SUM(Tableau2[[#This Row],[Mathématique/20]]+Tableau2[[#This Row],[Français /20]])/2</f>
        <v>4.5</v>
      </c>
      <c r="O398" s="42">
        <v>16.5</v>
      </c>
      <c r="P398" s="52">
        <v>18</v>
      </c>
      <c r="Q398" s="63">
        <f>(Tableau2[[#This Row],[Mathématique /20]]+Tableau2[[#This Row],[Français /202]])/2</f>
        <v>17.25</v>
      </c>
      <c r="S398"/>
      <c r="T398"/>
      <c r="U398"/>
      <c r="V398"/>
    </row>
    <row r="399" spans="1:22" ht="16" x14ac:dyDescent="0.2">
      <c r="A399" s="10" t="s">
        <v>646</v>
      </c>
      <c r="B399" s="10" t="s">
        <v>238</v>
      </c>
      <c r="C399" s="10" t="s">
        <v>660</v>
      </c>
      <c r="D399" s="10" t="s">
        <v>27</v>
      </c>
      <c r="E399" s="10" t="s">
        <v>1037</v>
      </c>
      <c r="F399" s="9" t="s">
        <v>1023</v>
      </c>
      <c r="G399" s="10">
        <v>2024</v>
      </c>
      <c r="H399" s="10">
        <v>50</v>
      </c>
      <c r="I399" s="10">
        <f t="shared" si="14"/>
        <v>395</v>
      </c>
      <c r="J399" s="10" t="str">
        <f>Tableau2[[#This Row],[Annee d''inscription au programme]]&amp;"-"&amp;Tableau2[[#This Row],[Code d''ecole]]&amp;"-"&amp;Tableau2[[#This Row],[Numero HM de la femme]]</f>
        <v>2024-50-395</v>
      </c>
      <c r="K399" s="10">
        <f t="shared" si="15"/>
        <v>394</v>
      </c>
      <c r="L399" s="42">
        <v>0</v>
      </c>
      <c r="M399" s="52">
        <v>2.5</v>
      </c>
      <c r="N399" s="63">
        <f>SUM(Tableau2[[#This Row],[Mathématique/20]]+Tableau2[[#This Row],[Français /20]])/2</f>
        <v>1.25</v>
      </c>
      <c r="O399" s="42">
        <v>12</v>
      </c>
      <c r="P399" s="52">
        <v>10.5</v>
      </c>
      <c r="Q399" s="63">
        <f>(Tableau2[[#This Row],[Mathématique /20]]+Tableau2[[#This Row],[Français /202]])/2</f>
        <v>11.25</v>
      </c>
      <c r="S399"/>
      <c r="T399"/>
      <c r="U399"/>
      <c r="V399"/>
    </row>
    <row r="400" spans="1:22" ht="16" x14ac:dyDescent="0.2">
      <c r="A400" s="10" t="s">
        <v>646</v>
      </c>
      <c r="B400" s="10" t="s">
        <v>238</v>
      </c>
      <c r="C400" s="10" t="s">
        <v>662</v>
      </c>
      <c r="D400" s="10" t="s">
        <v>661</v>
      </c>
      <c r="E400" s="10" t="s">
        <v>1038</v>
      </c>
      <c r="F400" s="9" t="s">
        <v>1023</v>
      </c>
      <c r="G400" s="10">
        <v>2024</v>
      </c>
      <c r="H400" s="10">
        <v>50</v>
      </c>
      <c r="I400" s="10">
        <f t="shared" si="14"/>
        <v>396</v>
      </c>
      <c r="J400" s="10" t="str">
        <f>Tableau2[[#This Row],[Annee d''inscription au programme]]&amp;"-"&amp;Tableau2[[#This Row],[Code d''ecole]]&amp;"-"&amp;Tableau2[[#This Row],[Numero HM de la femme]]</f>
        <v>2024-50-396</v>
      </c>
      <c r="K400" s="10">
        <f t="shared" si="15"/>
        <v>395</v>
      </c>
      <c r="L400" s="42">
        <v>5.5</v>
      </c>
      <c r="M400" s="52">
        <v>11</v>
      </c>
      <c r="N400" s="63">
        <f>SUM(Tableau2[[#This Row],[Mathématique/20]]+Tableau2[[#This Row],[Français /20]])/2</f>
        <v>8.25</v>
      </c>
      <c r="O400" s="42">
        <v>14</v>
      </c>
      <c r="P400" s="52">
        <v>18</v>
      </c>
      <c r="Q400" s="63">
        <f>(Tableau2[[#This Row],[Mathématique /20]]+Tableau2[[#This Row],[Français /202]])/2</f>
        <v>16</v>
      </c>
      <c r="S400"/>
      <c r="T400"/>
      <c r="U400"/>
      <c r="V400"/>
    </row>
    <row r="401" spans="1:22" ht="16" x14ac:dyDescent="0.2">
      <c r="A401" s="10" t="s">
        <v>646</v>
      </c>
      <c r="B401" s="10" t="s">
        <v>238</v>
      </c>
      <c r="C401" s="10" t="s">
        <v>663</v>
      </c>
      <c r="D401" s="10" t="s">
        <v>664</v>
      </c>
      <c r="E401" s="10" t="s">
        <v>1038</v>
      </c>
      <c r="F401" s="9" t="s">
        <v>1023</v>
      </c>
      <c r="G401" s="10">
        <v>2024</v>
      </c>
      <c r="H401" s="10">
        <v>50</v>
      </c>
      <c r="I401" s="10">
        <f t="shared" si="14"/>
        <v>397</v>
      </c>
      <c r="J401" s="10" t="str">
        <f>Tableau2[[#This Row],[Annee d''inscription au programme]]&amp;"-"&amp;Tableau2[[#This Row],[Code d''ecole]]&amp;"-"&amp;Tableau2[[#This Row],[Numero HM de la femme]]</f>
        <v>2024-50-397</v>
      </c>
      <c r="K401" s="10">
        <f t="shared" si="15"/>
        <v>396</v>
      </c>
      <c r="L401" s="42">
        <v>0</v>
      </c>
      <c r="M401" s="52">
        <v>7</v>
      </c>
      <c r="N401" s="63">
        <f>SUM(Tableau2[[#This Row],[Mathématique/20]]+Tableau2[[#This Row],[Français /20]])/2</f>
        <v>3.5</v>
      </c>
      <c r="O401" s="42">
        <v>11</v>
      </c>
      <c r="P401" s="52">
        <v>20</v>
      </c>
      <c r="Q401" s="63">
        <f>(Tableau2[[#This Row],[Mathématique /20]]+Tableau2[[#This Row],[Français /202]])/2</f>
        <v>15.5</v>
      </c>
      <c r="S401"/>
      <c r="T401"/>
      <c r="U401"/>
      <c r="V401"/>
    </row>
    <row r="402" spans="1:22" ht="16" x14ac:dyDescent="0.2">
      <c r="A402" s="10" t="s">
        <v>646</v>
      </c>
      <c r="B402" s="10" t="s">
        <v>238</v>
      </c>
      <c r="C402" s="10" t="s">
        <v>666</v>
      </c>
      <c r="D402" s="10" t="s">
        <v>665</v>
      </c>
      <c r="E402" s="10" t="s">
        <v>1037</v>
      </c>
      <c r="F402" s="9" t="s">
        <v>1023</v>
      </c>
      <c r="G402" s="10">
        <v>2024</v>
      </c>
      <c r="H402" s="10">
        <v>50</v>
      </c>
      <c r="I402" s="10">
        <f t="shared" si="14"/>
        <v>398</v>
      </c>
      <c r="J402" s="10" t="str">
        <f>Tableau2[[#This Row],[Annee d''inscription au programme]]&amp;"-"&amp;Tableau2[[#This Row],[Code d''ecole]]&amp;"-"&amp;Tableau2[[#This Row],[Numero HM de la femme]]</f>
        <v>2024-50-398</v>
      </c>
      <c r="K402" s="10">
        <f t="shared" si="15"/>
        <v>397</v>
      </c>
      <c r="L402" s="42">
        <v>2</v>
      </c>
      <c r="M402" s="52">
        <v>6.5</v>
      </c>
      <c r="N402" s="63">
        <f>SUM(Tableau2[[#This Row],[Mathématique/20]]+Tableau2[[#This Row],[Français /20]])/2</f>
        <v>4.25</v>
      </c>
      <c r="O402" s="42">
        <v>13.5</v>
      </c>
      <c r="P402" s="52">
        <v>18</v>
      </c>
      <c r="Q402" s="63">
        <f>(Tableau2[[#This Row],[Mathématique /20]]+Tableau2[[#This Row],[Français /202]])/2</f>
        <v>15.75</v>
      </c>
      <c r="S402"/>
      <c r="T402"/>
      <c r="U402"/>
      <c r="V402"/>
    </row>
    <row r="403" spans="1:22" ht="16" x14ac:dyDescent="0.2">
      <c r="A403" s="10" t="s">
        <v>646</v>
      </c>
      <c r="B403" s="10" t="s">
        <v>238</v>
      </c>
      <c r="C403" s="10" t="s">
        <v>667</v>
      </c>
      <c r="D403" s="10" t="s">
        <v>668</v>
      </c>
      <c r="E403" s="10" t="s">
        <v>1037</v>
      </c>
      <c r="F403" s="9" t="s">
        <v>1023</v>
      </c>
      <c r="G403" s="10">
        <v>2024</v>
      </c>
      <c r="H403" s="10">
        <v>50</v>
      </c>
      <c r="I403" s="10">
        <f t="shared" si="14"/>
        <v>399</v>
      </c>
      <c r="J403" s="10" t="str">
        <f>Tableau2[[#This Row],[Annee d''inscription au programme]]&amp;"-"&amp;Tableau2[[#This Row],[Code d''ecole]]&amp;"-"&amp;Tableau2[[#This Row],[Numero HM de la femme]]</f>
        <v>2024-50-399</v>
      </c>
      <c r="K403" s="10">
        <f t="shared" si="15"/>
        <v>398</v>
      </c>
      <c r="L403" s="42">
        <v>5</v>
      </c>
      <c r="M403" s="52">
        <v>2.5</v>
      </c>
      <c r="N403" s="63">
        <f>SUM(Tableau2[[#This Row],[Mathématique/20]]+Tableau2[[#This Row],[Français /20]])/2</f>
        <v>3.75</v>
      </c>
      <c r="O403" s="42">
        <v>12.5</v>
      </c>
      <c r="P403" s="52">
        <v>19</v>
      </c>
      <c r="Q403" s="63">
        <f>(Tableau2[[#This Row],[Mathématique /20]]+Tableau2[[#This Row],[Français /202]])/2</f>
        <v>15.75</v>
      </c>
      <c r="S403"/>
      <c r="T403"/>
      <c r="U403"/>
      <c r="V403"/>
    </row>
    <row r="404" spans="1:22" ht="16" x14ac:dyDescent="0.2">
      <c r="A404" s="10" t="s">
        <v>646</v>
      </c>
      <c r="B404" s="10" t="s">
        <v>238</v>
      </c>
      <c r="C404" s="10" t="s">
        <v>670</v>
      </c>
      <c r="D404" s="10" t="s">
        <v>669</v>
      </c>
      <c r="E404" s="10" t="s">
        <v>1037</v>
      </c>
      <c r="F404" s="9" t="s">
        <v>1023</v>
      </c>
      <c r="G404" s="10">
        <v>2024</v>
      </c>
      <c r="H404" s="10">
        <v>50</v>
      </c>
      <c r="I404" s="10">
        <f t="shared" si="14"/>
        <v>400</v>
      </c>
      <c r="J404" s="10" t="str">
        <f>Tableau2[[#This Row],[Annee d''inscription au programme]]&amp;"-"&amp;Tableau2[[#This Row],[Code d''ecole]]&amp;"-"&amp;Tableau2[[#This Row],[Numero HM de la femme]]</f>
        <v>2024-50-400</v>
      </c>
      <c r="K404" s="10">
        <f t="shared" si="15"/>
        <v>399</v>
      </c>
      <c r="L404" s="42">
        <v>4</v>
      </c>
      <c r="M404" s="52">
        <v>5.25</v>
      </c>
      <c r="N404" s="63">
        <f>SUM(Tableau2[[#This Row],[Mathématique/20]]+Tableau2[[#This Row],[Français /20]])/2</f>
        <v>4.625</v>
      </c>
      <c r="O404" s="42">
        <v>12.5</v>
      </c>
      <c r="P404" s="52">
        <v>19</v>
      </c>
      <c r="Q404" s="63">
        <f>(Tableau2[[#This Row],[Mathématique /20]]+Tableau2[[#This Row],[Français /202]])/2</f>
        <v>15.75</v>
      </c>
      <c r="S404"/>
      <c r="T404"/>
      <c r="U404"/>
      <c r="V404"/>
    </row>
    <row r="405" spans="1:22" ht="16" x14ac:dyDescent="0.2">
      <c r="A405" s="10" t="s">
        <v>646</v>
      </c>
      <c r="B405" s="10" t="s">
        <v>238</v>
      </c>
      <c r="C405" s="10" t="s">
        <v>671</v>
      </c>
      <c r="D405" s="10" t="s">
        <v>672</v>
      </c>
      <c r="E405" s="10" t="s">
        <v>1037</v>
      </c>
      <c r="F405" s="9" t="s">
        <v>1023</v>
      </c>
      <c r="G405" s="10">
        <v>2024</v>
      </c>
      <c r="H405" s="10">
        <v>50</v>
      </c>
      <c r="I405" s="10">
        <f t="shared" si="14"/>
        <v>401</v>
      </c>
      <c r="J405" s="10" t="str">
        <f>Tableau2[[#This Row],[Annee d''inscription au programme]]&amp;"-"&amp;Tableau2[[#This Row],[Code d''ecole]]&amp;"-"&amp;Tableau2[[#This Row],[Numero HM de la femme]]</f>
        <v>2024-50-401</v>
      </c>
      <c r="K405" s="10">
        <f t="shared" si="15"/>
        <v>400</v>
      </c>
      <c r="L405" s="42">
        <v>6</v>
      </c>
      <c r="M405" s="52">
        <v>4</v>
      </c>
      <c r="N405" s="63">
        <f>SUM(Tableau2[[#This Row],[Mathématique/20]]+Tableau2[[#This Row],[Français /20]])/2</f>
        <v>5</v>
      </c>
      <c r="O405" s="42">
        <v>9</v>
      </c>
      <c r="P405" s="52">
        <v>12</v>
      </c>
      <c r="Q405" s="63">
        <f>(Tableau2[[#This Row],[Mathématique /20]]+Tableau2[[#This Row],[Français /202]])/2</f>
        <v>10.5</v>
      </c>
      <c r="S405"/>
      <c r="T405"/>
      <c r="U405"/>
      <c r="V405"/>
    </row>
    <row r="406" spans="1:22" ht="16" x14ac:dyDescent="0.2">
      <c r="A406" s="10" t="s">
        <v>646</v>
      </c>
      <c r="B406" s="10" t="s">
        <v>238</v>
      </c>
      <c r="C406" s="10" t="s">
        <v>673</v>
      </c>
      <c r="D406" s="10" t="s">
        <v>76</v>
      </c>
      <c r="E406" s="10" t="s">
        <v>1038</v>
      </c>
      <c r="F406" s="9" t="s">
        <v>1023</v>
      </c>
      <c r="G406" s="10">
        <v>2024</v>
      </c>
      <c r="H406" s="10">
        <v>50</v>
      </c>
      <c r="I406" s="10">
        <f t="shared" si="14"/>
        <v>402</v>
      </c>
      <c r="J406" s="10" t="str">
        <f>Tableau2[[#This Row],[Annee d''inscription au programme]]&amp;"-"&amp;Tableau2[[#This Row],[Code d''ecole]]&amp;"-"&amp;Tableau2[[#This Row],[Numero HM de la femme]]</f>
        <v>2024-50-402</v>
      </c>
      <c r="K406" s="10">
        <f t="shared" si="15"/>
        <v>401</v>
      </c>
      <c r="L406" s="42">
        <v>3.5</v>
      </c>
      <c r="M406" s="52">
        <v>4.5</v>
      </c>
      <c r="N406" s="63">
        <f>SUM(Tableau2[[#This Row],[Mathématique/20]]+Tableau2[[#This Row],[Français /20]])/2</f>
        <v>4</v>
      </c>
      <c r="O406" s="42">
        <v>16.5</v>
      </c>
      <c r="P406" s="52">
        <v>10</v>
      </c>
      <c r="Q406" s="63">
        <f>(Tableau2[[#This Row],[Mathématique /20]]+Tableau2[[#This Row],[Français /202]])/2</f>
        <v>13.25</v>
      </c>
      <c r="S406"/>
      <c r="T406"/>
      <c r="U406"/>
      <c r="V406"/>
    </row>
    <row r="407" spans="1:22" ht="16" x14ac:dyDescent="0.2">
      <c r="A407" s="10" t="s">
        <v>646</v>
      </c>
      <c r="B407" s="10" t="s">
        <v>238</v>
      </c>
      <c r="C407" s="21" t="s">
        <v>937</v>
      </c>
      <c r="D407" s="10" t="s">
        <v>953</v>
      </c>
      <c r="E407" s="10" t="s">
        <v>1037</v>
      </c>
      <c r="F407" s="9" t="s">
        <v>1023</v>
      </c>
      <c r="G407" s="10">
        <v>2024</v>
      </c>
      <c r="H407" s="10">
        <v>50</v>
      </c>
      <c r="I407" s="10">
        <f t="shared" si="14"/>
        <v>403</v>
      </c>
      <c r="J407" s="10" t="str">
        <f>Tableau2[[#This Row],[Annee d''inscription au programme]]&amp;"-"&amp;Tableau2[[#This Row],[Code d''ecole]]&amp;"-"&amp;Tableau2[[#This Row],[Numero HM de la femme]]</f>
        <v>2024-50-403</v>
      </c>
      <c r="K407" s="10">
        <f t="shared" si="15"/>
        <v>402</v>
      </c>
      <c r="L407" s="42">
        <v>0</v>
      </c>
      <c r="M407" s="52">
        <v>0</v>
      </c>
      <c r="N407" s="63">
        <f>SUM(Tableau2[[#This Row],[Mathématique/20]]+Tableau2[[#This Row],[Français /20]])/2</f>
        <v>0</v>
      </c>
      <c r="O407" s="42">
        <v>13.5</v>
      </c>
      <c r="P407" s="52">
        <v>14</v>
      </c>
      <c r="Q407" s="63">
        <f>(Tableau2[[#This Row],[Mathématique /20]]+Tableau2[[#This Row],[Français /202]])/2</f>
        <v>13.75</v>
      </c>
      <c r="S407"/>
      <c r="T407"/>
      <c r="U407"/>
      <c r="V407"/>
    </row>
    <row r="408" spans="1:22" ht="16" x14ac:dyDescent="0.2">
      <c r="A408" s="10" t="s">
        <v>646</v>
      </c>
      <c r="B408" s="10" t="s">
        <v>238</v>
      </c>
      <c r="C408" s="10" t="s">
        <v>675</v>
      </c>
      <c r="D408" s="10" t="s">
        <v>674</v>
      </c>
      <c r="E408" s="10" t="s">
        <v>1037</v>
      </c>
      <c r="F408" s="9" t="s">
        <v>1023</v>
      </c>
      <c r="G408" s="10">
        <v>2024</v>
      </c>
      <c r="H408" s="10">
        <v>50</v>
      </c>
      <c r="I408" s="10">
        <f t="shared" si="14"/>
        <v>404</v>
      </c>
      <c r="J408" s="10" t="str">
        <f>Tableau2[[#This Row],[Annee d''inscription au programme]]&amp;"-"&amp;Tableau2[[#This Row],[Code d''ecole]]&amp;"-"&amp;Tableau2[[#This Row],[Numero HM de la femme]]</f>
        <v>2024-50-404</v>
      </c>
      <c r="K408" s="10">
        <f t="shared" si="15"/>
        <v>403</v>
      </c>
      <c r="L408" s="42">
        <v>5</v>
      </c>
      <c r="M408" s="52">
        <v>10</v>
      </c>
      <c r="N408" s="63">
        <f>SUM(Tableau2[[#This Row],[Mathématique/20]]+Tableau2[[#This Row],[Français /20]])/2</f>
        <v>7.5</v>
      </c>
      <c r="O408" s="42">
        <v>14</v>
      </c>
      <c r="P408" s="52">
        <v>19</v>
      </c>
      <c r="Q408" s="63">
        <f>(Tableau2[[#This Row],[Mathématique /20]]+Tableau2[[#This Row],[Français /202]])/2</f>
        <v>16.5</v>
      </c>
      <c r="S408"/>
      <c r="T408"/>
      <c r="U408"/>
      <c r="V408"/>
    </row>
    <row r="409" spans="1:22" ht="16" x14ac:dyDescent="0.2">
      <c r="A409" s="10" t="s">
        <v>646</v>
      </c>
      <c r="B409" s="10" t="s">
        <v>238</v>
      </c>
      <c r="C409" s="10" t="s">
        <v>676</v>
      </c>
      <c r="D409" s="10" t="s">
        <v>677</v>
      </c>
      <c r="E409" s="10" t="s">
        <v>1038</v>
      </c>
      <c r="F409" s="9" t="s">
        <v>1023</v>
      </c>
      <c r="G409" s="10">
        <v>2024</v>
      </c>
      <c r="H409" s="10">
        <v>50</v>
      </c>
      <c r="I409" s="10">
        <f t="shared" si="14"/>
        <v>405</v>
      </c>
      <c r="J409" s="10" t="str">
        <f>Tableau2[[#This Row],[Annee d''inscription au programme]]&amp;"-"&amp;Tableau2[[#This Row],[Code d''ecole]]&amp;"-"&amp;Tableau2[[#This Row],[Numero HM de la femme]]</f>
        <v>2024-50-405</v>
      </c>
      <c r="K409" s="10">
        <f t="shared" si="15"/>
        <v>404</v>
      </c>
      <c r="L409" s="42">
        <v>2.5</v>
      </c>
      <c r="M409" s="52">
        <v>7.5</v>
      </c>
      <c r="N409" s="63">
        <f>SUM(Tableau2[[#This Row],[Mathématique/20]]+Tableau2[[#This Row],[Français /20]])/2</f>
        <v>5</v>
      </c>
      <c r="O409" s="42">
        <v>10</v>
      </c>
      <c r="P409" s="52">
        <v>17</v>
      </c>
      <c r="Q409" s="63">
        <f>(Tableau2[[#This Row],[Mathématique /20]]+Tableau2[[#This Row],[Français /202]])/2</f>
        <v>13.5</v>
      </c>
      <c r="S409"/>
      <c r="T409"/>
      <c r="U409"/>
      <c r="V409"/>
    </row>
    <row r="410" spans="1:22" ht="16" x14ac:dyDescent="0.2">
      <c r="A410" s="10" t="s">
        <v>646</v>
      </c>
      <c r="B410" s="10" t="s">
        <v>238</v>
      </c>
      <c r="C410" s="10" t="s">
        <v>678</v>
      </c>
      <c r="D410" s="10" t="s">
        <v>76</v>
      </c>
      <c r="E410" s="10" t="s">
        <v>1038</v>
      </c>
      <c r="F410" s="9" t="s">
        <v>1023</v>
      </c>
      <c r="G410" s="10">
        <v>2024</v>
      </c>
      <c r="H410" s="10">
        <v>50</v>
      </c>
      <c r="I410" s="10">
        <f t="shared" si="14"/>
        <v>406</v>
      </c>
      <c r="J410" s="10" t="str">
        <f>Tableau2[[#This Row],[Annee d''inscription au programme]]&amp;"-"&amp;Tableau2[[#This Row],[Code d''ecole]]&amp;"-"&amp;Tableau2[[#This Row],[Numero HM de la femme]]</f>
        <v>2024-50-406</v>
      </c>
      <c r="K410" s="10">
        <f t="shared" si="15"/>
        <v>405</v>
      </c>
      <c r="L410" s="42">
        <v>3.5</v>
      </c>
      <c r="M410" s="52">
        <v>3.5</v>
      </c>
      <c r="N410" s="63">
        <f>SUM(Tableau2[[#This Row],[Mathématique/20]]+Tableau2[[#This Row],[Français /20]])/2</f>
        <v>3.5</v>
      </c>
      <c r="O410" s="42">
        <v>11.5</v>
      </c>
      <c r="P410" s="52">
        <v>17</v>
      </c>
      <c r="Q410" s="63">
        <f>(Tableau2[[#This Row],[Mathématique /20]]+Tableau2[[#This Row],[Français /202]])/2</f>
        <v>14.25</v>
      </c>
      <c r="S410"/>
      <c r="T410"/>
      <c r="U410"/>
      <c r="V410"/>
    </row>
    <row r="411" spans="1:22" ht="16" x14ac:dyDescent="0.2">
      <c r="A411" s="10" t="s">
        <v>646</v>
      </c>
      <c r="B411" s="10" t="s">
        <v>238</v>
      </c>
      <c r="C411" s="10" t="s">
        <v>680</v>
      </c>
      <c r="D411" s="10" t="s">
        <v>634</v>
      </c>
      <c r="E411" s="10" t="s">
        <v>1037</v>
      </c>
      <c r="F411" s="9" t="s">
        <v>1023</v>
      </c>
      <c r="G411" s="10">
        <v>2024</v>
      </c>
      <c r="H411" s="10">
        <v>50</v>
      </c>
      <c r="I411" s="10">
        <f t="shared" si="14"/>
        <v>407</v>
      </c>
      <c r="J411" s="10" t="str">
        <f>Tableau2[[#This Row],[Annee d''inscription au programme]]&amp;"-"&amp;Tableau2[[#This Row],[Code d''ecole]]&amp;"-"&amp;Tableau2[[#This Row],[Numero HM de la femme]]</f>
        <v>2024-50-407</v>
      </c>
      <c r="K411" s="10">
        <f t="shared" si="15"/>
        <v>406</v>
      </c>
      <c r="L411" s="42">
        <v>2</v>
      </c>
      <c r="M411" s="52">
        <v>7</v>
      </c>
      <c r="N411" s="63">
        <f>SUM(Tableau2[[#This Row],[Mathématique/20]]+Tableau2[[#This Row],[Français /20]])/2</f>
        <v>4.5</v>
      </c>
      <c r="O411" s="42">
        <v>12.5</v>
      </c>
      <c r="P411" s="52">
        <v>17</v>
      </c>
      <c r="Q411" s="63">
        <f>(Tableau2[[#This Row],[Mathématique /20]]+Tableau2[[#This Row],[Français /202]])/2</f>
        <v>14.75</v>
      </c>
      <c r="S411"/>
      <c r="T411"/>
      <c r="U411"/>
      <c r="V411"/>
    </row>
    <row r="412" spans="1:22" ht="16" x14ac:dyDescent="0.2">
      <c r="A412" s="10" t="s">
        <v>646</v>
      </c>
      <c r="B412" s="10" t="s">
        <v>238</v>
      </c>
      <c r="C412" s="10" t="s">
        <v>681</v>
      </c>
      <c r="D412" s="10" t="s">
        <v>679</v>
      </c>
      <c r="E412" s="10" t="s">
        <v>1038</v>
      </c>
      <c r="F412" s="9" t="s">
        <v>1023</v>
      </c>
      <c r="G412" s="10">
        <v>2024</v>
      </c>
      <c r="H412" s="10">
        <v>50</v>
      </c>
      <c r="I412" s="10">
        <f t="shared" si="14"/>
        <v>408</v>
      </c>
      <c r="J412" s="10" t="str">
        <f>Tableau2[[#This Row],[Annee d''inscription au programme]]&amp;"-"&amp;Tableau2[[#This Row],[Code d''ecole]]&amp;"-"&amp;Tableau2[[#This Row],[Numero HM de la femme]]</f>
        <v>2024-50-408</v>
      </c>
      <c r="K412" s="10">
        <f t="shared" si="15"/>
        <v>407</v>
      </c>
      <c r="L412" s="42">
        <v>0</v>
      </c>
      <c r="M412" s="52">
        <v>3</v>
      </c>
      <c r="N412" s="63">
        <f>SUM(Tableau2[[#This Row],[Mathématique/20]]+Tableau2[[#This Row],[Français /20]])/2</f>
        <v>1.5</v>
      </c>
      <c r="O412" s="42">
        <v>11.5</v>
      </c>
      <c r="P412" s="52">
        <v>17</v>
      </c>
      <c r="Q412" s="63">
        <f>(Tableau2[[#This Row],[Mathématique /20]]+Tableau2[[#This Row],[Français /202]])/2</f>
        <v>14.25</v>
      </c>
      <c r="S412"/>
      <c r="T412"/>
      <c r="U412"/>
      <c r="V412"/>
    </row>
    <row r="413" spans="1:22" ht="16" x14ac:dyDescent="0.2">
      <c r="A413" s="10" t="s">
        <v>646</v>
      </c>
      <c r="B413" s="10" t="s">
        <v>238</v>
      </c>
      <c r="C413" s="10" t="s">
        <v>990</v>
      </c>
      <c r="D413" s="10" t="s">
        <v>682</v>
      </c>
      <c r="E413" s="10" t="s">
        <v>1038</v>
      </c>
      <c r="F413" s="9" t="s">
        <v>1023</v>
      </c>
      <c r="G413" s="10">
        <v>2024</v>
      </c>
      <c r="H413" s="10">
        <v>50</v>
      </c>
      <c r="I413" s="10">
        <f t="shared" si="14"/>
        <v>409</v>
      </c>
      <c r="J413" s="10" t="str">
        <f>Tableau2[[#This Row],[Annee d''inscription au programme]]&amp;"-"&amp;Tableau2[[#This Row],[Code d''ecole]]&amp;"-"&amp;Tableau2[[#This Row],[Numero HM de la femme]]</f>
        <v>2024-50-409</v>
      </c>
      <c r="K413" s="10">
        <f t="shared" si="15"/>
        <v>408</v>
      </c>
      <c r="L413" s="42">
        <v>1.5</v>
      </c>
      <c r="M413" s="52">
        <v>5</v>
      </c>
      <c r="N413" s="63">
        <f>SUM(Tableau2[[#This Row],[Mathématique/20]]+Tableau2[[#This Row],[Français /20]])/2</f>
        <v>3.25</v>
      </c>
      <c r="O413" s="42">
        <v>14</v>
      </c>
      <c r="P413" s="52">
        <v>13</v>
      </c>
      <c r="Q413" s="63">
        <f>(Tableau2[[#This Row],[Mathématique /20]]+Tableau2[[#This Row],[Français /202]])/2</f>
        <v>13.5</v>
      </c>
      <c r="S413"/>
      <c r="T413"/>
      <c r="U413"/>
      <c r="V413"/>
    </row>
    <row r="414" spans="1:22" ht="16" x14ac:dyDescent="0.2">
      <c r="A414" s="10" t="s">
        <v>646</v>
      </c>
      <c r="B414" s="10" t="s">
        <v>238</v>
      </c>
      <c r="C414" s="10" t="s">
        <v>684</v>
      </c>
      <c r="D414" s="10" t="s">
        <v>683</v>
      </c>
      <c r="E414" s="10" t="s">
        <v>1037</v>
      </c>
      <c r="F414" s="9" t="s">
        <v>1023</v>
      </c>
      <c r="G414" s="10">
        <v>2024</v>
      </c>
      <c r="H414" s="10">
        <v>50</v>
      </c>
      <c r="I414" s="10">
        <f t="shared" si="14"/>
        <v>410</v>
      </c>
      <c r="J414" s="10" t="str">
        <f>Tableau2[[#This Row],[Annee d''inscription au programme]]&amp;"-"&amp;Tableau2[[#This Row],[Code d''ecole]]&amp;"-"&amp;Tableau2[[#This Row],[Numero HM de la femme]]</f>
        <v>2024-50-410</v>
      </c>
      <c r="K414" s="10">
        <f t="shared" si="15"/>
        <v>409</v>
      </c>
      <c r="L414" s="42">
        <v>1.5</v>
      </c>
      <c r="M414" s="52">
        <v>1.5</v>
      </c>
      <c r="N414" s="63">
        <f>SUM(Tableau2[[#This Row],[Mathématique/20]]+Tableau2[[#This Row],[Français /20]])/2</f>
        <v>1.5</v>
      </c>
      <c r="O414" s="42">
        <v>12.5</v>
      </c>
      <c r="P414" s="52">
        <v>17</v>
      </c>
      <c r="Q414" s="63">
        <f>(Tableau2[[#This Row],[Mathématique /20]]+Tableau2[[#This Row],[Français /202]])/2</f>
        <v>14.75</v>
      </c>
      <c r="S414"/>
      <c r="T414"/>
      <c r="U414"/>
      <c r="V414"/>
    </row>
    <row r="415" spans="1:22" ht="16" x14ac:dyDescent="0.2">
      <c r="A415" s="10" t="s">
        <v>646</v>
      </c>
      <c r="B415" s="10" t="s">
        <v>238</v>
      </c>
      <c r="C415" s="10" t="s">
        <v>685</v>
      </c>
      <c r="D415" s="10" t="s">
        <v>686</v>
      </c>
      <c r="E415" s="10" t="s">
        <v>1037</v>
      </c>
      <c r="F415" s="9" t="s">
        <v>1023</v>
      </c>
      <c r="G415" s="10">
        <v>2024</v>
      </c>
      <c r="H415" s="10">
        <v>50</v>
      </c>
      <c r="I415" s="10">
        <f t="shared" si="14"/>
        <v>411</v>
      </c>
      <c r="J415" s="10" t="str">
        <f>Tableau2[[#This Row],[Annee d''inscription au programme]]&amp;"-"&amp;Tableau2[[#This Row],[Code d''ecole]]&amp;"-"&amp;Tableau2[[#This Row],[Numero HM de la femme]]</f>
        <v>2024-50-411</v>
      </c>
      <c r="K415" s="10">
        <f t="shared" si="15"/>
        <v>410</v>
      </c>
      <c r="L415" s="42">
        <v>3.5</v>
      </c>
      <c r="M415" s="52">
        <v>3.5</v>
      </c>
      <c r="N415" s="63">
        <f>SUM(Tableau2[[#This Row],[Mathématique/20]]+Tableau2[[#This Row],[Français /20]])/2</f>
        <v>3.5</v>
      </c>
      <c r="O415" s="42">
        <v>13.5</v>
      </c>
      <c r="P415" s="52">
        <v>19</v>
      </c>
      <c r="Q415" s="63">
        <f>(Tableau2[[#This Row],[Mathématique /20]]+Tableau2[[#This Row],[Français /202]])/2</f>
        <v>16.25</v>
      </c>
      <c r="S415"/>
      <c r="T415"/>
      <c r="U415"/>
      <c r="V415"/>
    </row>
    <row r="416" spans="1:22" ht="16" x14ac:dyDescent="0.2">
      <c r="A416" s="10" t="s">
        <v>646</v>
      </c>
      <c r="B416" s="10" t="s">
        <v>238</v>
      </c>
      <c r="C416" s="10" t="s">
        <v>687</v>
      </c>
      <c r="D416" s="10" t="s">
        <v>688</v>
      </c>
      <c r="E416" s="10" t="s">
        <v>1038</v>
      </c>
      <c r="F416" s="9" t="s">
        <v>1023</v>
      </c>
      <c r="G416" s="10">
        <v>2024</v>
      </c>
      <c r="H416" s="10">
        <v>50</v>
      </c>
      <c r="I416" s="10">
        <f t="shared" si="14"/>
        <v>412</v>
      </c>
      <c r="J416" s="10" t="str">
        <f>Tableau2[[#This Row],[Annee d''inscription au programme]]&amp;"-"&amp;Tableau2[[#This Row],[Code d''ecole]]&amp;"-"&amp;Tableau2[[#This Row],[Numero HM de la femme]]</f>
        <v>2024-50-412</v>
      </c>
      <c r="K416" s="10">
        <f t="shared" si="15"/>
        <v>411</v>
      </c>
      <c r="L416" s="42">
        <v>3.5</v>
      </c>
      <c r="M416" s="52">
        <v>3</v>
      </c>
      <c r="N416" s="63">
        <f>SUM(Tableau2[[#This Row],[Mathématique/20]]+Tableau2[[#This Row],[Français /20]])/2</f>
        <v>3.25</v>
      </c>
      <c r="O416" s="42">
        <v>15.5</v>
      </c>
      <c r="P416" s="52">
        <v>18</v>
      </c>
      <c r="Q416" s="63">
        <f>(Tableau2[[#This Row],[Mathématique /20]]+Tableau2[[#This Row],[Français /202]])/2</f>
        <v>16.75</v>
      </c>
      <c r="S416"/>
      <c r="T416"/>
      <c r="U416"/>
      <c r="V416"/>
    </row>
    <row r="417" spans="1:22" ht="16" x14ac:dyDescent="0.2">
      <c r="A417" s="10" t="s">
        <v>646</v>
      </c>
      <c r="B417" s="10" t="s">
        <v>238</v>
      </c>
      <c r="C417" s="10" t="s">
        <v>690</v>
      </c>
      <c r="D417" s="10" t="s">
        <v>689</v>
      </c>
      <c r="E417" s="10" t="s">
        <v>1038</v>
      </c>
      <c r="F417" s="9" t="s">
        <v>1023</v>
      </c>
      <c r="G417" s="10">
        <v>2024</v>
      </c>
      <c r="H417" s="10">
        <v>50</v>
      </c>
      <c r="I417" s="10">
        <f t="shared" si="14"/>
        <v>413</v>
      </c>
      <c r="J417" s="10" t="str">
        <f>Tableau2[[#This Row],[Annee d''inscription au programme]]&amp;"-"&amp;Tableau2[[#This Row],[Code d''ecole]]&amp;"-"&amp;Tableau2[[#This Row],[Numero HM de la femme]]</f>
        <v>2024-50-413</v>
      </c>
      <c r="K417" s="10">
        <f t="shared" si="15"/>
        <v>412</v>
      </c>
      <c r="L417" s="42">
        <v>1.5</v>
      </c>
      <c r="M417" s="52">
        <v>1</v>
      </c>
      <c r="N417" s="63">
        <f>SUM(Tableau2[[#This Row],[Mathématique/20]]+Tableau2[[#This Row],[Français /20]])/2</f>
        <v>1.25</v>
      </c>
      <c r="O417" s="42">
        <v>8</v>
      </c>
      <c r="P417" s="52">
        <v>15</v>
      </c>
      <c r="Q417" s="63">
        <f>(Tableau2[[#This Row],[Mathématique /20]]+Tableau2[[#This Row],[Français /202]])/2</f>
        <v>11.5</v>
      </c>
      <c r="S417"/>
      <c r="T417"/>
      <c r="U417"/>
      <c r="V417"/>
    </row>
    <row r="418" spans="1:22" ht="16" x14ac:dyDescent="0.2">
      <c r="A418" s="10" t="s">
        <v>646</v>
      </c>
      <c r="B418" s="10" t="s">
        <v>238</v>
      </c>
      <c r="C418" s="10" t="s">
        <v>691</v>
      </c>
      <c r="D418" s="10" t="s">
        <v>692</v>
      </c>
      <c r="E418" s="10" t="s">
        <v>1038</v>
      </c>
      <c r="F418" s="9" t="s">
        <v>1023</v>
      </c>
      <c r="G418" s="10">
        <v>2024</v>
      </c>
      <c r="H418" s="10">
        <v>50</v>
      </c>
      <c r="I418" s="10">
        <f t="shared" si="14"/>
        <v>414</v>
      </c>
      <c r="J418" s="10" t="str">
        <f>Tableau2[[#This Row],[Annee d''inscription au programme]]&amp;"-"&amp;Tableau2[[#This Row],[Code d''ecole]]&amp;"-"&amp;Tableau2[[#This Row],[Numero HM de la femme]]</f>
        <v>2024-50-414</v>
      </c>
      <c r="K418" s="10">
        <f t="shared" si="15"/>
        <v>413</v>
      </c>
      <c r="L418" s="42">
        <v>1.5</v>
      </c>
      <c r="M418" s="52">
        <v>10</v>
      </c>
      <c r="N418" s="63">
        <f>SUM(Tableau2[[#This Row],[Mathématique/20]]+Tableau2[[#This Row],[Français /20]])/2</f>
        <v>5.75</v>
      </c>
      <c r="O418" s="42">
        <v>12.5</v>
      </c>
      <c r="P418" s="52">
        <v>20</v>
      </c>
      <c r="Q418" s="63">
        <f>(Tableau2[[#This Row],[Mathématique /20]]+Tableau2[[#This Row],[Français /202]])/2</f>
        <v>16.25</v>
      </c>
      <c r="S418"/>
      <c r="T418"/>
      <c r="U418"/>
      <c r="V418"/>
    </row>
    <row r="419" spans="1:22" ht="16" x14ac:dyDescent="0.2">
      <c r="A419" s="10" t="s">
        <v>646</v>
      </c>
      <c r="B419" s="10" t="s">
        <v>238</v>
      </c>
      <c r="C419" s="10" t="s">
        <v>694</v>
      </c>
      <c r="D419" s="10" t="s">
        <v>693</v>
      </c>
      <c r="E419" s="10" t="s">
        <v>1038</v>
      </c>
      <c r="F419" s="9" t="s">
        <v>1023</v>
      </c>
      <c r="G419" s="10">
        <v>2024</v>
      </c>
      <c r="H419" s="10">
        <v>50</v>
      </c>
      <c r="I419" s="10">
        <f t="shared" si="14"/>
        <v>415</v>
      </c>
      <c r="J419" s="10" t="str">
        <f>Tableau2[[#This Row],[Annee d''inscription au programme]]&amp;"-"&amp;Tableau2[[#This Row],[Code d''ecole]]&amp;"-"&amp;Tableau2[[#This Row],[Numero HM de la femme]]</f>
        <v>2024-50-415</v>
      </c>
      <c r="K419" s="10">
        <f t="shared" si="15"/>
        <v>414</v>
      </c>
      <c r="L419" s="42">
        <v>4</v>
      </c>
      <c r="M419" s="52">
        <v>2</v>
      </c>
      <c r="N419" s="63">
        <f>SUM(Tableau2[[#This Row],[Mathématique/20]]+Tableau2[[#This Row],[Français /20]])/2</f>
        <v>3</v>
      </c>
      <c r="O419" s="42">
        <v>10</v>
      </c>
      <c r="P419" s="52">
        <v>17</v>
      </c>
      <c r="Q419" s="63">
        <f>(Tableau2[[#This Row],[Mathématique /20]]+Tableau2[[#This Row],[Français /202]])/2</f>
        <v>13.5</v>
      </c>
      <c r="S419"/>
      <c r="T419"/>
      <c r="U419"/>
      <c r="V419"/>
    </row>
    <row r="420" spans="1:22" ht="16" x14ac:dyDescent="0.2">
      <c r="A420" s="10" t="s">
        <v>646</v>
      </c>
      <c r="B420" s="10" t="s">
        <v>238</v>
      </c>
      <c r="C420" s="10" t="s">
        <v>695</v>
      </c>
      <c r="D420" s="10" t="s">
        <v>647</v>
      </c>
      <c r="E420" s="10" t="s">
        <v>1037</v>
      </c>
      <c r="F420" s="9" t="s">
        <v>1023</v>
      </c>
      <c r="G420" s="10">
        <v>2024</v>
      </c>
      <c r="H420" s="10">
        <v>50</v>
      </c>
      <c r="I420" s="10">
        <f t="shared" si="14"/>
        <v>416</v>
      </c>
      <c r="J420" s="10" t="str">
        <f>Tableau2[[#This Row],[Annee d''inscription au programme]]&amp;"-"&amp;Tableau2[[#This Row],[Code d''ecole]]&amp;"-"&amp;Tableau2[[#This Row],[Numero HM de la femme]]</f>
        <v>2024-50-416</v>
      </c>
      <c r="K420" s="10">
        <f t="shared" si="15"/>
        <v>415</v>
      </c>
      <c r="L420" s="42">
        <v>5.5</v>
      </c>
      <c r="M420" s="52">
        <v>7</v>
      </c>
      <c r="N420" s="63">
        <f>SUM(Tableau2[[#This Row],[Mathématique/20]]+Tableau2[[#This Row],[Français /20]])/2</f>
        <v>6.25</v>
      </c>
      <c r="O420" s="42">
        <v>14</v>
      </c>
      <c r="P420" s="52">
        <v>18</v>
      </c>
      <c r="Q420" s="63">
        <f>(Tableau2[[#This Row],[Mathématique /20]]+Tableau2[[#This Row],[Français /202]])/2</f>
        <v>16</v>
      </c>
      <c r="S420"/>
      <c r="T420"/>
      <c r="U420"/>
      <c r="V420"/>
    </row>
    <row r="421" spans="1:22" ht="16" x14ac:dyDescent="0.2">
      <c r="A421" s="10" t="s">
        <v>646</v>
      </c>
      <c r="B421" s="10" t="s">
        <v>238</v>
      </c>
      <c r="C421" s="10" t="s">
        <v>696</v>
      </c>
      <c r="D421" s="10" t="s">
        <v>36</v>
      </c>
      <c r="E421" s="10" t="s">
        <v>1037</v>
      </c>
      <c r="F421" s="9" t="s">
        <v>1023</v>
      </c>
      <c r="G421" s="10">
        <v>2024</v>
      </c>
      <c r="H421" s="10">
        <v>50</v>
      </c>
      <c r="I421" s="10">
        <f t="shared" si="14"/>
        <v>417</v>
      </c>
      <c r="J421" s="10" t="str">
        <f>Tableau2[[#This Row],[Annee d''inscription au programme]]&amp;"-"&amp;Tableau2[[#This Row],[Code d''ecole]]&amp;"-"&amp;Tableau2[[#This Row],[Numero HM de la femme]]</f>
        <v>2024-50-417</v>
      </c>
      <c r="K421" s="10">
        <f t="shared" si="15"/>
        <v>416</v>
      </c>
      <c r="L421" s="42">
        <v>2</v>
      </c>
      <c r="M421" s="52">
        <v>10</v>
      </c>
      <c r="N421" s="63">
        <f>SUM(Tableau2[[#This Row],[Mathématique/20]]+Tableau2[[#This Row],[Français /20]])/2</f>
        <v>6</v>
      </c>
      <c r="O421" s="42">
        <v>13</v>
      </c>
      <c r="P421" s="52">
        <v>18</v>
      </c>
      <c r="Q421" s="63">
        <f>(Tableau2[[#This Row],[Mathématique /20]]+Tableau2[[#This Row],[Français /202]])/2</f>
        <v>15.5</v>
      </c>
      <c r="S421"/>
      <c r="T421"/>
      <c r="U421"/>
      <c r="V421"/>
    </row>
    <row r="422" spans="1:22" ht="16" x14ac:dyDescent="0.2">
      <c r="A422" s="10" t="s">
        <v>646</v>
      </c>
      <c r="B422" s="10" t="s">
        <v>238</v>
      </c>
      <c r="C422" s="10" t="s">
        <v>697</v>
      </c>
      <c r="D422" s="10" t="s">
        <v>698</v>
      </c>
      <c r="E422" s="10" t="s">
        <v>1038</v>
      </c>
      <c r="F422" s="9" t="s">
        <v>1023</v>
      </c>
      <c r="G422" s="10">
        <v>2024</v>
      </c>
      <c r="H422" s="10">
        <v>50</v>
      </c>
      <c r="I422" s="10">
        <f t="shared" si="14"/>
        <v>418</v>
      </c>
      <c r="J422" s="10" t="str">
        <f>Tableau2[[#This Row],[Annee d''inscription au programme]]&amp;"-"&amp;Tableau2[[#This Row],[Code d''ecole]]&amp;"-"&amp;Tableau2[[#This Row],[Numero HM de la femme]]</f>
        <v>2024-50-418</v>
      </c>
      <c r="K422" s="10">
        <f t="shared" si="15"/>
        <v>417</v>
      </c>
      <c r="L422" s="42">
        <v>2</v>
      </c>
      <c r="M422" s="52">
        <v>2</v>
      </c>
      <c r="N422" s="63">
        <f>SUM(Tableau2[[#This Row],[Mathématique/20]]+Tableau2[[#This Row],[Français /20]])/2</f>
        <v>2</v>
      </c>
      <c r="O422" s="42">
        <v>12</v>
      </c>
      <c r="P422" s="52">
        <v>10</v>
      </c>
      <c r="Q422" s="63">
        <f>(Tableau2[[#This Row],[Mathématique /20]]+Tableau2[[#This Row],[Français /202]])/2</f>
        <v>11</v>
      </c>
      <c r="S422"/>
      <c r="T422"/>
      <c r="U422"/>
      <c r="V422"/>
    </row>
    <row r="423" spans="1:22" ht="16" x14ac:dyDescent="0.2">
      <c r="A423" s="10" t="s">
        <v>646</v>
      </c>
      <c r="B423" s="10" t="s">
        <v>238</v>
      </c>
      <c r="C423" s="10" t="s">
        <v>699</v>
      </c>
      <c r="D423" s="10" t="s">
        <v>218</v>
      </c>
      <c r="E423" s="10" t="s">
        <v>1038</v>
      </c>
      <c r="F423" s="9" t="s">
        <v>1023</v>
      </c>
      <c r="G423" s="10">
        <v>2024</v>
      </c>
      <c r="H423" s="10">
        <v>50</v>
      </c>
      <c r="I423" s="10">
        <f t="shared" si="14"/>
        <v>419</v>
      </c>
      <c r="J423" s="10" t="str">
        <f>Tableau2[[#This Row],[Annee d''inscription au programme]]&amp;"-"&amp;Tableau2[[#This Row],[Code d''ecole]]&amp;"-"&amp;Tableau2[[#This Row],[Numero HM de la femme]]</f>
        <v>2024-50-419</v>
      </c>
      <c r="K423" s="10">
        <f t="shared" si="15"/>
        <v>418</v>
      </c>
      <c r="L423" s="42">
        <v>0</v>
      </c>
      <c r="M423" s="52">
        <v>0</v>
      </c>
      <c r="N423" s="63">
        <f>SUM(Tableau2[[#This Row],[Mathématique/20]]+Tableau2[[#This Row],[Français /20]])/2</f>
        <v>0</v>
      </c>
      <c r="O423" s="42">
        <v>9</v>
      </c>
      <c r="P423" s="52">
        <v>14</v>
      </c>
      <c r="Q423" s="63">
        <f>(Tableau2[[#This Row],[Mathématique /20]]+Tableau2[[#This Row],[Français /202]])/2</f>
        <v>11.5</v>
      </c>
      <c r="S423"/>
      <c r="T423"/>
      <c r="U423"/>
      <c r="V423"/>
    </row>
    <row r="424" spans="1:22" ht="16" x14ac:dyDescent="0.2">
      <c r="A424" s="10" t="s">
        <v>646</v>
      </c>
      <c r="B424" s="10" t="s">
        <v>238</v>
      </c>
      <c r="C424" s="10" t="s">
        <v>700</v>
      </c>
      <c r="D424" s="10" t="s">
        <v>701</v>
      </c>
      <c r="E424" s="10" t="s">
        <v>1038</v>
      </c>
      <c r="F424" s="9" t="s">
        <v>1023</v>
      </c>
      <c r="G424" s="10">
        <v>2024</v>
      </c>
      <c r="H424" s="10">
        <v>50</v>
      </c>
      <c r="I424" s="10">
        <f t="shared" si="14"/>
        <v>420</v>
      </c>
      <c r="J424" s="10" t="str">
        <f>Tableau2[[#This Row],[Annee d''inscription au programme]]&amp;"-"&amp;Tableau2[[#This Row],[Code d''ecole]]&amp;"-"&amp;Tableau2[[#This Row],[Numero HM de la femme]]</f>
        <v>2024-50-420</v>
      </c>
      <c r="K424" s="10">
        <f t="shared" si="15"/>
        <v>419</v>
      </c>
      <c r="L424" s="42">
        <v>2</v>
      </c>
      <c r="M424" s="52">
        <v>5</v>
      </c>
      <c r="N424" s="63">
        <f>SUM(Tableau2[[#This Row],[Mathématique/20]]+Tableau2[[#This Row],[Français /20]])/2</f>
        <v>3.5</v>
      </c>
      <c r="O424" s="42">
        <v>13</v>
      </c>
      <c r="P424" s="52">
        <v>10</v>
      </c>
      <c r="Q424" s="63">
        <f>(Tableau2[[#This Row],[Mathématique /20]]+Tableau2[[#This Row],[Français /202]])/2</f>
        <v>11.5</v>
      </c>
      <c r="S424"/>
      <c r="T424"/>
      <c r="U424"/>
      <c r="V424"/>
    </row>
    <row r="425" spans="1:22" ht="16" x14ac:dyDescent="0.2">
      <c r="A425" s="10" t="s">
        <v>646</v>
      </c>
      <c r="B425" s="10" t="s">
        <v>238</v>
      </c>
      <c r="C425" s="10" t="s">
        <v>703</v>
      </c>
      <c r="D425" s="10" t="s">
        <v>702</v>
      </c>
      <c r="E425" s="10" t="s">
        <v>1037</v>
      </c>
      <c r="F425" s="9" t="s">
        <v>1023</v>
      </c>
      <c r="G425" s="10">
        <v>2024</v>
      </c>
      <c r="H425" s="10">
        <v>50</v>
      </c>
      <c r="I425" s="10">
        <f t="shared" si="14"/>
        <v>421</v>
      </c>
      <c r="J425" s="10" t="str">
        <f>Tableau2[[#This Row],[Annee d''inscription au programme]]&amp;"-"&amp;Tableau2[[#This Row],[Code d''ecole]]&amp;"-"&amp;Tableau2[[#This Row],[Numero HM de la femme]]</f>
        <v>2024-50-421</v>
      </c>
      <c r="K425" s="10">
        <f t="shared" si="15"/>
        <v>420</v>
      </c>
      <c r="L425" s="42">
        <v>0</v>
      </c>
      <c r="M425" s="52">
        <v>5</v>
      </c>
      <c r="N425" s="63">
        <f>SUM(Tableau2[[#This Row],[Mathématique/20]]+Tableau2[[#This Row],[Français /20]])/2</f>
        <v>2.5</v>
      </c>
      <c r="O425" s="42">
        <v>12</v>
      </c>
      <c r="P425" s="52">
        <v>19</v>
      </c>
      <c r="Q425" s="63">
        <f>(Tableau2[[#This Row],[Mathématique /20]]+Tableau2[[#This Row],[Français /202]])/2</f>
        <v>15.5</v>
      </c>
      <c r="S425"/>
      <c r="T425"/>
      <c r="U425"/>
      <c r="V425"/>
    </row>
    <row r="426" spans="1:22" ht="16" x14ac:dyDescent="0.2">
      <c r="A426" s="10" t="s">
        <v>646</v>
      </c>
      <c r="B426" s="10" t="s">
        <v>238</v>
      </c>
      <c r="C426" s="10" t="s">
        <v>704</v>
      </c>
      <c r="D426" s="10" t="s">
        <v>404</v>
      </c>
      <c r="E426" s="10" t="s">
        <v>1038</v>
      </c>
      <c r="F426" s="9" t="s">
        <v>1023</v>
      </c>
      <c r="G426" s="10">
        <v>2024</v>
      </c>
      <c r="H426" s="10">
        <v>50</v>
      </c>
      <c r="I426" s="10">
        <f t="shared" si="14"/>
        <v>422</v>
      </c>
      <c r="J426" s="10" t="str">
        <f>Tableau2[[#This Row],[Annee d''inscription au programme]]&amp;"-"&amp;Tableau2[[#This Row],[Code d''ecole]]&amp;"-"&amp;Tableau2[[#This Row],[Numero HM de la femme]]</f>
        <v>2024-50-422</v>
      </c>
      <c r="K426" s="10">
        <f t="shared" si="15"/>
        <v>421</v>
      </c>
      <c r="L426" s="42">
        <v>1.5</v>
      </c>
      <c r="M426" s="52">
        <v>4.5</v>
      </c>
      <c r="N426" s="63">
        <f>SUM(Tableau2[[#This Row],[Mathématique/20]]+Tableau2[[#This Row],[Français /20]])/2</f>
        <v>3</v>
      </c>
      <c r="O426" s="42">
        <v>12</v>
      </c>
      <c r="P426" s="52">
        <v>14</v>
      </c>
      <c r="Q426" s="63">
        <f>(Tableau2[[#This Row],[Mathématique /20]]+Tableau2[[#This Row],[Français /202]])/2</f>
        <v>13</v>
      </c>
      <c r="S426"/>
      <c r="T426"/>
      <c r="U426"/>
      <c r="V426"/>
    </row>
    <row r="427" spans="1:22" ht="16" x14ac:dyDescent="0.2">
      <c r="A427" s="10" t="s">
        <v>646</v>
      </c>
      <c r="B427" s="10" t="s">
        <v>238</v>
      </c>
      <c r="C427" s="10" t="s">
        <v>705</v>
      </c>
      <c r="D427" s="10" t="s">
        <v>76</v>
      </c>
      <c r="E427" s="10" t="s">
        <v>1038</v>
      </c>
      <c r="F427" s="9" t="s">
        <v>1023</v>
      </c>
      <c r="G427" s="10">
        <v>2024</v>
      </c>
      <c r="H427" s="10">
        <v>50</v>
      </c>
      <c r="I427" s="10">
        <f t="shared" si="14"/>
        <v>423</v>
      </c>
      <c r="J427" s="10" t="str">
        <f>Tableau2[[#This Row],[Annee d''inscription au programme]]&amp;"-"&amp;Tableau2[[#This Row],[Code d''ecole]]&amp;"-"&amp;Tableau2[[#This Row],[Numero HM de la femme]]</f>
        <v>2024-50-423</v>
      </c>
      <c r="K427" s="10">
        <f t="shared" si="15"/>
        <v>422</v>
      </c>
      <c r="L427" s="42">
        <v>4.75</v>
      </c>
      <c r="M427" s="52">
        <v>3</v>
      </c>
      <c r="N427" s="63">
        <f>SUM(Tableau2[[#This Row],[Mathématique/20]]+Tableau2[[#This Row],[Français /20]])/2</f>
        <v>3.875</v>
      </c>
      <c r="O427" s="42">
        <v>11</v>
      </c>
      <c r="P427" s="52">
        <v>15</v>
      </c>
      <c r="Q427" s="63">
        <f>(Tableau2[[#This Row],[Mathématique /20]]+Tableau2[[#This Row],[Français /202]])/2</f>
        <v>13</v>
      </c>
      <c r="S427"/>
      <c r="T427"/>
      <c r="U427"/>
      <c r="V427"/>
    </row>
    <row r="428" spans="1:22" ht="16" x14ac:dyDescent="0.2">
      <c r="A428" s="10" t="s">
        <v>646</v>
      </c>
      <c r="B428" s="10" t="s">
        <v>238</v>
      </c>
      <c r="C428" s="10" t="s">
        <v>706</v>
      </c>
      <c r="D428" s="10" t="s">
        <v>168</v>
      </c>
      <c r="E428" s="10" t="s">
        <v>1038</v>
      </c>
      <c r="F428" s="9" t="s">
        <v>1023</v>
      </c>
      <c r="G428" s="10">
        <v>2024</v>
      </c>
      <c r="H428" s="10">
        <v>50</v>
      </c>
      <c r="I428" s="10">
        <f t="shared" si="14"/>
        <v>424</v>
      </c>
      <c r="J428" s="10" t="str">
        <f>Tableau2[[#This Row],[Annee d''inscription au programme]]&amp;"-"&amp;Tableau2[[#This Row],[Code d''ecole]]&amp;"-"&amp;Tableau2[[#This Row],[Numero HM de la femme]]</f>
        <v>2024-50-424</v>
      </c>
      <c r="K428" s="10">
        <f t="shared" si="15"/>
        <v>423</v>
      </c>
      <c r="L428" s="42">
        <v>0</v>
      </c>
      <c r="M428" s="52">
        <v>2</v>
      </c>
      <c r="N428" s="63">
        <f>SUM(Tableau2[[#This Row],[Mathématique/20]]+Tableau2[[#This Row],[Français /20]])/2</f>
        <v>1</v>
      </c>
      <c r="O428" s="42">
        <v>9</v>
      </c>
      <c r="P428" s="52">
        <v>17</v>
      </c>
      <c r="Q428" s="63">
        <f>(Tableau2[[#This Row],[Mathématique /20]]+Tableau2[[#This Row],[Français /202]])/2</f>
        <v>13</v>
      </c>
      <c r="S428"/>
      <c r="T428"/>
      <c r="U428"/>
      <c r="V428"/>
    </row>
    <row r="429" spans="1:22" ht="16" x14ac:dyDescent="0.2">
      <c r="A429" s="10" t="s">
        <v>646</v>
      </c>
      <c r="B429" s="10" t="s">
        <v>238</v>
      </c>
      <c r="C429" s="10" t="s">
        <v>707</v>
      </c>
      <c r="D429" s="10" t="s">
        <v>44</v>
      </c>
      <c r="E429" s="10" t="s">
        <v>1037</v>
      </c>
      <c r="F429" s="9" t="s">
        <v>1023</v>
      </c>
      <c r="G429" s="10">
        <v>2024</v>
      </c>
      <c r="H429" s="10">
        <v>50</v>
      </c>
      <c r="I429" s="10">
        <f t="shared" si="14"/>
        <v>425</v>
      </c>
      <c r="J429" s="10" t="str">
        <f>Tableau2[[#This Row],[Annee d''inscription au programme]]&amp;"-"&amp;Tableau2[[#This Row],[Code d''ecole]]&amp;"-"&amp;Tableau2[[#This Row],[Numero HM de la femme]]</f>
        <v>2024-50-425</v>
      </c>
      <c r="K429" s="10">
        <f t="shared" si="15"/>
        <v>424</v>
      </c>
      <c r="L429" s="42">
        <v>0</v>
      </c>
      <c r="M429" s="52">
        <v>1.5</v>
      </c>
      <c r="N429" s="63">
        <f>SUM(Tableau2[[#This Row],[Mathématique/20]]+Tableau2[[#This Row],[Français /20]])/2</f>
        <v>0.75</v>
      </c>
      <c r="O429" s="42">
        <v>8</v>
      </c>
      <c r="P429" s="52">
        <v>13</v>
      </c>
      <c r="Q429" s="63">
        <f>(Tableau2[[#This Row],[Mathématique /20]]+Tableau2[[#This Row],[Français /202]])/2</f>
        <v>10.5</v>
      </c>
      <c r="S429"/>
      <c r="T429"/>
      <c r="U429"/>
      <c r="V429"/>
    </row>
    <row r="430" spans="1:22" ht="16" x14ac:dyDescent="0.2">
      <c r="A430" s="10" t="s">
        <v>646</v>
      </c>
      <c r="B430" s="10" t="s">
        <v>238</v>
      </c>
      <c r="C430" s="10" t="s">
        <v>708</v>
      </c>
      <c r="D430" s="10" t="s">
        <v>716</v>
      </c>
      <c r="E430" s="10" t="s">
        <v>1037</v>
      </c>
      <c r="F430" s="9" t="s">
        <v>1023</v>
      </c>
      <c r="G430" s="10">
        <v>2024</v>
      </c>
      <c r="H430" s="10">
        <v>50</v>
      </c>
      <c r="I430" s="10">
        <f t="shared" si="14"/>
        <v>426</v>
      </c>
      <c r="J430" s="10" t="str">
        <f>Tableau2[[#This Row],[Annee d''inscription au programme]]&amp;"-"&amp;Tableau2[[#This Row],[Code d''ecole]]&amp;"-"&amp;Tableau2[[#This Row],[Numero HM de la femme]]</f>
        <v>2024-50-426</v>
      </c>
      <c r="K430" s="10">
        <f t="shared" si="15"/>
        <v>425</v>
      </c>
      <c r="L430" s="42">
        <v>0</v>
      </c>
      <c r="M430" s="52">
        <v>8</v>
      </c>
      <c r="N430" s="63">
        <f>SUM(Tableau2[[#This Row],[Mathématique/20]]+Tableau2[[#This Row],[Français /20]])/2</f>
        <v>4</v>
      </c>
      <c r="O430" s="42">
        <v>10</v>
      </c>
      <c r="P430" s="52">
        <v>17.5</v>
      </c>
      <c r="Q430" s="63">
        <f>(Tableau2[[#This Row],[Mathématique /20]]+Tableau2[[#This Row],[Français /202]])/2</f>
        <v>13.75</v>
      </c>
      <c r="S430"/>
      <c r="T430"/>
      <c r="U430"/>
      <c r="V430"/>
    </row>
    <row r="431" spans="1:22" ht="16" x14ac:dyDescent="0.2">
      <c r="A431" s="10" t="s">
        <v>717</v>
      </c>
      <c r="B431" s="10" t="s">
        <v>115</v>
      </c>
      <c r="C431" s="10" t="s">
        <v>718</v>
      </c>
      <c r="D431" s="10" t="s">
        <v>719</v>
      </c>
      <c r="E431" s="10" t="s">
        <v>1053</v>
      </c>
      <c r="F431" s="9" t="s">
        <v>1024</v>
      </c>
      <c r="G431" s="10">
        <v>2024</v>
      </c>
      <c r="H431" s="10">
        <v>8</v>
      </c>
      <c r="I431" s="10">
        <f t="shared" si="14"/>
        <v>427</v>
      </c>
      <c r="J431" s="10" t="str">
        <f>Tableau2[[#This Row],[Annee d''inscription au programme]]&amp;"-"&amp;Tableau2[[#This Row],[Code d''ecole]]&amp;"-"&amp;Tableau2[[#This Row],[Numero HM de la femme]]</f>
        <v>2024-8-427</v>
      </c>
      <c r="K431" s="10">
        <f t="shared" si="15"/>
        <v>426</v>
      </c>
      <c r="L431" s="42">
        <v>3.5</v>
      </c>
      <c r="M431" s="52">
        <v>2.2000000000000002</v>
      </c>
      <c r="N431" s="63">
        <f>SUM(Tableau2[[#This Row],[Mathématique/20]]+Tableau2[[#This Row],[Français /20]])/2</f>
        <v>2.85</v>
      </c>
      <c r="O431" s="42">
        <v>17.5</v>
      </c>
      <c r="P431" s="52">
        <v>18</v>
      </c>
      <c r="Q431" s="63">
        <f>(Tableau2[[#This Row],[Mathématique /20]]+Tableau2[[#This Row],[Français /202]])/2</f>
        <v>17.75</v>
      </c>
      <c r="S431"/>
      <c r="T431"/>
      <c r="U431"/>
      <c r="V431"/>
    </row>
    <row r="432" spans="1:22" ht="16" x14ac:dyDescent="0.2">
      <c r="A432" s="10" t="s">
        <v>717</v>
      </c>
      <c r="B432" s="10" t="s">
        <v>115</v>
      </c>
      <c r="C432" s="10" t="s">
        <v>405</v>
      </c>
      <c r="D432" s="10" t="s">
        <v>720</v>
      </c>
      <c r="E432" s="10" t="s">
        <v>1053</v>
      </c>
      <c r="F432" s="9" t="s">
        <v>1024</v>
      </c>
      <c r="G432" s="10">
        <v>2024</v>
      </c>
      <c r="H432" s="10">
        <v>8</v>
      </c>
      <c r="I432" s="10">
        <f t="shared" si="14"/>
        <v>428</v>
      </c>
      <c r="J432" s="10" t="str">
        <f>Tableau2[[#This Row],[Annee d''inscription au programme]]&amp;"-"&amp;Tableau2[[#This Row],[Code d''ecole]]&amp;"-"&amp;Tableau2[[#This Row],[Numero HM de la femme]]</f>
        <v>2024-8-428</v>
      </c>
      <c r="K432" s="10">
        <f t="shared" si="15"/>
        <v>427</v>
      </c>
      <c r="L432" s="42">
        <v>4.5</v>
      </c>
      <c r="M432" s="52">
        <v>7.1</v>
      </c>
      <c r="N432" s="63">
        <f>SUM(Tableau2[[#This Row],[Mathématique/20]]+Tableau2[[#This Row],[Français /20]])/2</f>
        <v>5.8</v>
      </c>
      <c r="O432" s="42">
        <v>14</v>
      </c>
      <c r="P432" s="52">
        <v>19</v>
      </c>
      <c r="Q432" s="63">
        <f>(Tableau2[[#This Row],[Mathématique /20]]+Tableau2[[#This Row],[Français /202]])/2</f>
        <v>16.5</v>
      </c>
      <c r="S432"/>
      <c r="T432"/>
      <c r="U432"/>
      <c r="V432"/>
    </row>
    <row r="433" spans="1:22" ht="16" x14ac:dyDescent="0.2">
      <c r="A433" s="10" t="s">
        <v>717</v>
      </c>
      <c r="B433" s="10" t="s">
        <v>115</v>
      </c>
      <c r="C433" s="10" t="s">
        <v>722</v>
      </c>
      <c r="D433" s="10" t="s">
        <v>721</v>
      </c>
      <c r="E433" s="10" t="s">
        <v>1054</v>
      </c>
      <c r="F433" s="9" t="s">
        <v>1024</v>
      </c>
      <c r="G433" s="10">
        <v>2024</v>
      </c>
      <c r="H433" s="10">
        <v>8</v>
      </c>
      <c r="I433" s="10">
        <f t="shared" si="14"/>
        <v>429</v>
      </c>
      <c r="J433" s="10" t="str">
        <f>Tableau2[[#This Row],[Annee d''inscription au programme]]&amp;"-"&amp;Tableau2[[#This Row],[Code d''ecole]]&amp;"-"&amp;Tableau2[[#This Row],[Numero HM de la femme]]</f>
        <v>2024-8-429</v>
      </c>
      <c r="K433" s="10">
        <f t="shared" si="15"/>
        <v>428</v>
      </c>
      <c r="L433" s="42">
        <v>8</v>
      </c>
      <c r="M433" s="52">
        <v>4.3</v>
      </c>
      <c r="N433" s="63">
        <f>SUM(Tableau2[[#This Row],[Mathématique/20]]+Tableau2[[#This Row],[Français /20]])/2</f>
        <v>6.15</v>
      </c>
      <c r="O433" s="42">
        <v>13</v>
      </c>
      <c r="P433" s="52">
        <v>20</v>
      </c>
      <c r="Q433" s="63">
        <f>(Tableau2[[#This Row],[Mathématique /20]]+Tableau2[[#This Row],[Français /202]])/2</f>
        <v>16.5</v>
      </c>
      <c r="S433"/>
      <c r="T433"/>
      <c r="U433"/>
      <c r="V433"/>
    </row>
    <row r="434" spans="1:22" ht="16" x14ac:dyDescent="0.2">
      <c r="A434" s="10" t="s">
        <v>717</v>
      </c>
      <c r="B434" s="10" t="s">
        <v>115</v>
      </c>
      <c r="C434" s="10" t="s">
        <v>723</v>
      </c>
      <c r="D434" s="10" t="s">
        <v>724</v>
      </c>
      <c r="E434" s="10" t="s">
        <v>1053</v>
      </c>
      <c r="F434" s="9" t="s">
        <v>1024</v>
      </c>
      <c r="G434" s="10">
        <v>2024</v>
      </c>
      <c r="H434" s="10">
        <v>8</v>
      </c>
      <c r="I434" s="10">
        <f t="shared" si="14"/>
        <v>430</v>
      </c>
      <c r="J434" s="10" t="str">
        <f>Tableau2[[#This Row],[Annee d''inscription au programme]]&amp;"-"&amp;Tableau2[[#This Row],[Code d''ecole]]&amp;"-"&amp;Tableau2[[#This Row],[Numero HM de la femme]]</f>
        <v>2024-8-430</v>
      </c>
      <c r="K434" s="10">
        <f t="shared" si="15"/>
        <v>429</v>
      </c>
      <c r="L434" s="42">
        <v>0</v>
      </c>
      <c r="M434" s="52">
        <v>0.7</v>
      </c>
      <c r="N434" s="63">
        <f>SUM(Tableau2[[#This Row],[Mathématique/20]]+Tableau2[[#This Row],[Français /20]])/2</f>
        <v>0.35</v>
      </c>
      <c r="O434" s="42">
        <v>17</v>
      </c>
      <c r="P434" s="52">
        <v>18.25</v>
      </c>
      <c r="Q434" s="63">
        <f>(Tableau2[[#This Row],[Mathématique /20]]+Tableau2[[#This Row],[Français /202]])/2</f>
        <v>17.625</v>
      </c>
      <c r="S434"/>
      <c r="T434"/>
      <c r="U434"/>
      <c r="V434"/>
    </row>
    <row r="435" spans="1:22" ht="16" x14ac:dyDescent="0.2">
      <c r="A435" s="10" t="s">
        <v>717</v>
      </c>
      <c r="B435" s="10" t="s">
        <v>115</v>
      </c>
      <c r="C435" s="10" t="s">
        <v>987</v>
      </c>
      <c r="D435" s="10" t="s">
        <v>725</v>
      </c>
      <c r="E435" s="10" t="s">
        <v>1053</v>
      </c>
      <c r="F435" s="9" t="s">
        <v>1024</v>
      </c>
      <c r="G435" s="10">
        <v>2024</v>
      </c>
      <c r="H435" s="10">
        <v>8</v>
      </c>
      <c r="I435" s="10">
        <f t="shared" si="14"/>
        <v>431</v>
      </c>
      <c r="J435" s="10" t="str">
        <f>Tableau2[[#This Row],[Annee d''inscription au programme]]&amp;"-"&amp;Tableau2[[#This Row],[Code d''ecole]]&amp;"-"&amp;Tableau2[[#This Row],[Numero HM de la femme]]</f>
        <v>2024-8-431</v>
      </c>
      <c r="K435" s="10">
        <f t="shared" si="15"/>
        <v>430</v>
      </c>
      <c r="L435" s="42">
        <v>5</v>
      </c>
      <c r="M435" s="52">
        <v>4.2</v>
      </c>
      <c r="N435" s="63">
        <f>SUM(Tableau2[[#This Row],[Mathématique/20]]+Tableau2[[#This Row],[Français /20]])/2</f>
        <v>4.5999999999999996</v>
      </c>
      <c r="O435" s="42">
        <v>19.5</v>
      </c>
      <c r="P435" s="52">
        <v>19</v>
      </c>
      <c r="Q435" s="63">
        <f>(Tableau2[[#This Row],[Mathématique /20]]+Tableau2[[#This Row],[Français /202]])/2</f>
        <v>19.25</v>
      </c>
      <c r="S435"/>
      <c r="T435"/>
      <c r="U435"/>
      <c r="V435"/>
    </row>
    <row r="436" spans="1:22" ht="16" x14ac:dyDescent="0.2">
      <c r="A436" s="10" t="s">
        <v>717</v>
      </c>
      <c r="B436" s="10" t="s">
        <v>115</v>
      </c>
      <c r="C436" s="10" t="s">
        <v>726</v>
      </c>
      <c r="D436" s="10" t="s">
        <v>727</v>
      </c>
      <c r="E436" s="10" t="s">
        <v>1053</v>
      </c>
      <c r="F436" s="9" t="s">
        <v>1024</v>
      </c>
      <c r="G436" s="10">
        <v>2024</v>
      </c>
      <c r="H436" s="10">
        <v>8</v>
      </c>
      <c r="I436" s="10">
        <f t="shared" si="14"/>
        <v>432</v>
      </c>
      <c r="J436" s="10" t="str">
        <f>Tableau2[[#This Row],[Annee d''inscription au programme]]&amp;"-"&amp;Tableau2[[#This Row],[Code d''ecole]]&amp;"-"&amp;Tableau2[[#This Row],[Numero HM de la femme]]</f>
        <v>2024-8-432</v>
      </c>
      <c r="K436" s="10">
        <f t="shared" si="15"/>
        <v>431</v>
      </c>
      <c r="L436" s="42">
        <v>11</v>
      </c>
      <c r="M436" s="52">
        <v>3.6</v>
      </c>
      <c r="N436" s="63">
        <f>SUM(Tableau2[[#This Row],[Mathématique/20]]+Tableau2[[#This Row],[Français /20]])/2</f>
        <v>7.3</v>
      </c>
      <c r="O436" s="42">
        <v>17.5</v>
      </c>
      <c r="P436" s="52">
        <v>20</v>
      </c>
      <c r="Q436" s="63">
        <f>(Tableau2[[#This Row],[Mathématique /20]]+Tableau2[[#This Row],[Français /202]])/2</f>
        <v>18.75</v>
      </c>
      <c r="S436"/>
      <c r="T436"/>
      <c r="U436"/>
      <c r="V436"/>
    </row>
    <row r="437" spans="1:22" ht="16" x14ac:dyDescent="0.2">
      <c r="A437" s="10" t="s">
        <v>717</v>
      </c>
      <c r="B437" s="10" t="s">
        <v>115</v>
      </c>
      <c r="C437" s="10" t="s">
        <v>728</v>
      </c>
      <c r="D437" s="10" t="s">
        <v>729</v>
      </c>
      <c r="E437" s="10" t="s">
        <v>1054</v>
      </c>
      <c r="F437" s="9" t="s">
        <v>1024</v>
      </c>
      <c r="G437" s="10">
        <v>2024</v>
      </c>
      <c r="H437" s="10">
        <v>8</v>
      </c>
      <c r="I437" s="10">
        <f t="shared" si="14"/>
        <v>433</v>
      </c>
      <c r="J437" s="10" t="str">
        <f>Tableau2[[#This Row],[Annee d''inscription au programme]]&amp;"-"&amp;Tableau2[[#This Row],[Code d''ecole]]&amp;"-"&amp;Tableau2[[#This Row],[Numero HM de la femme]]</f>
        <v>2024-8-433</v>
      </c>
      <c r="K437" s="10">
        <f t="shared" si="15"/>
        <v>432</v>
      </c>
      <c r="L437" s="42">
        <v>10</v>
      </c>
      <c r="M437" s="52">
        <v>3.9</v>
      </c>
      <c r="N437" s="63">
        <f>SUM(Tableau2[[#This Row],[Mathématique/20]]+Tableau2[[#This Row],[Français /20]])/2</f>
        <v>6.95</v>
      </c>
      <c r="O437" s="42">
        <v>18.5</v>
      </c>
      <c r="P437" s="52">
        <v>19</v>
      </c>
      <c r="Q437" s="63">
        <f>(Tableau2[[#This Row],[Mathématique /20]]+Tableau2[[#This Row],[Français /202]])/2</f>
        <v>18.75</v>
      </c>
      <c r="S437"/>
      <c r="T437"/>
      <c r="U437"/>
      <c r="V437"/>
    </row>
    <row r="438" spans="1:22" ht="16" x14ac:dyDescent="0.2">
      <c r="A438" s="10" t="s">
        <v>717</v>
      </c>
      <c r="B438" s="10" t="s">
        <v>115</v>
      </c>
      <c r="C438" s="10" t="s">
        <v>391</v>
      </c>
      <c r="D438" s="10" t="s">
        <v>730</v>
      </c>
      <c r="E438" s="10" t="s">
        <v>1053</v>
      </c>
      <c r="F438" s="9" t="s">
        <v>1024</v>
      </c>
      <c r="G438" s="10">
        <v>2024</v>
      </c>
      <c r="H438" s="10">
        <v>8</v>
      </c>
      <c r="I438" s="10">
        <f t="shared" si="14"/>
        <v>434</v>
      </c>
      <c r="J438" s="10" t="str">
        <f>Tableau2[[#This Row],[Annee d''inscription au programme]]&amp;"-"&amp;Tableau2[[#This Row],[Code d''ecole]]&amp;"-"&amp;Tableau2[[#This Row],[Numero HM de la femme]]</f>
        <v>2024-8-434</v>
      </c>
      <c r="K438" s="10">
        <f t="shared" si="15"/>
        <v>433</v>
      </c>
      <c r="L438" s="42">
        <v>0</v>
      </c>
      <c r="M438" s="52">
        <v>1.8</v>
      </c>
      <c r="N438" s="63">
        <f>SUM(Tableau2[[#This Row],[Mathématique/20]]+Tableau2[[#This Row],[Français /20]])/2</f>
        <v>0.9</v>
      </c>
      <c r="O438" s="42">
        <v>12.5</v>
      </c>
      <c r="P438" s="52">
        <v>14</v>
      </c>
      <c r="Q438" s="63">
        <f>(Tableau2[[#This Row],[Mathématique /20]]+Tableau2[[#This Row],[Français /202]])/2</f>
        <v>13.25</v>
      </c>
      <c r="S438"/>
      <c r="T438"/>
      <c r="U438"/>
      <c r="V438"/>
    </row>
    <row r="439" spans="1:22" ht="16" x14ac:dyDescent="0.2">
      <c r="A439" s="10" t="s">
        <v>717</v>
      </c>
      <c r="B439" s="10" t="s">
        <v>115</v>
      </c>
      <c r="C439" s="10" t="s">
        <v>731</v>
      </c>
      <c r="D439" s="10" t="s">
        <v>732</v>
      </c>
      <c r="E439" s="10" t="s">
        <v>1053</v>
      </c>
      <c r="F439" s="9" t="s">
        <v>1024</v>
      </c>
      <c r="G439" s="10">
        <v>2024</v>
      </c>
      <c r="H439" s="10">
        <v>8</v>
      </c>
      <c r="I439" s="10">
        <f t="shared" si="14"/>
        <v>435</v>
      </c>
      <c r="J439" s="10" t="str">
        <f>Tableau2[[#This Row],[Annee d''inscription au programme]]&amp;"-"&amp;Tableau2[[#This Row],[Code d''ecole]]&amp;"-"&amp;Tableau2[[#This Row],[Numero HM de la femme]]</f>
        <v>2024-8-435</v>
      </c>
      <c r="K439" s="10">
        <f t="shared" si="15"/>
        <v>434</v>
      </c>
      <c r="L439" s="42">
        <v>1</v>
      </c>
      <c r="M439" s="52">
        <v>0.2</v>
      </c>
      <c r="N439" s="63">
        <f>SUM(Tableau2[[#This Row],[Mathématique/20]]+Tableau2[[#This Row],[Français /20]])/2</f>
        <v>0.6</v>
      </c>
      <c r="O439" s="42">
        <v>17.5</v>
      </c>
      <c r="P439" s="52">
        <v>18</v>
      </c>
      <c r="Q439" s="63">
        <f>(Tableau2[[#This Row],[Mathématique /20]]+Tableau2[[#This Row],[Français /202]])/2</f>
        <v>17.75</v>
      </c>
      <c r="S439"/>
      <c r="T439"/>
      <c r="U439"/>
      <c r="V439"/>
    </row>
    <row r="440" spans="1:22" ht="16" x14ac:dyDescent="0.2">
      <c r="A440" s="10" t="s">
        <v>717</v>
      </c>
      <c r="B440" s="10" t="s">
        <v>115</v>
      </c>
      <c r="C440" s="10" t="s">
        <v>733</v>
      </c>
      <c r="D440" s="10" t="s">
        <v>734</v>
      </c>
      <c r="E440" s="10" t="s">
        <v>1053</v>
      </c>
      <c r="F440" s="9" t="s">
        <v>1024</v>
      </c>
      <c r="G440" s="10">
        <v>2024</v>
      </c>
      <c r="H440" s="10">
        <v>8</v>
      </c>
      <c r="I440" s="10">
        <f t="shared" si="14"/>
        <v>436</v>
      </c>
      <c r="J440" s="10" t="str">
        <f>Tableau2[[#This Row],[Annee d''inscription au programme]]&amp;"-"&amp;Tableau2[[#This Row],[Code d''ecole]]&amp;"-"&amp;Tableau2[[#This Row],[Numero HM de la femme]]</f>
        <v>2024-8-436</v>
      </c>
      <c r="K440" s="10">
        <f t="shared" si="15"/>
        <v>435</v>
      </c>
      <c r="L440" s="42">
        <v>1</v>
      </c>
      <c r="M440" s="52">
        <v>1</v>
      </c>
      <c r="N440" s="63">
        <f>SUM(Tableau2[[#This Row],[Mathématique/20]]+Tableau2[[#This Row],[Français /20]])/2</f>
        <v>1</v>
      </c>
      <c r="O440" s="42">
        <v>18</v>
      </c>
      <c r="P440" s="52">
        <v>19</v>
      </c>
      <c r="Q440" s="63">
        <f>(Tableau2[[#This Row],[Mathématique /20]]+Tableau2[[#This Row],[Français /202]])/2</f>
        <v>18.5</v>
      </c>
      <c r="S440"/>
      <c r="T440"/>
      <c r="U440"/>
      <c r="V440"/>
    </row>
    <row r="441" spans="1:22" ht="16" x14ac:dyDescent="0.2">
      <c r="A441" s="10" t="s">
        <v>717</v>
      </c>
      <c r="B441" s="10" t="s">
        <v>115</v>
      </c>
      <c r="C441" s="10" t="s">
        <v>736</v>
      </c>
      <c r="D441" s="10" t="s">
        <v>735</v>
      </c>
      <c r="E441" s="10" t="s">
        <v>1053</v>
      </c>
      <c r="F441" s="9" t="s">
        <v>1024</v>
      </c>
      <c r="G441" s="10">
        <v>2024</v>
      </c>
      <c r="H441" s="10">
        <v>8</v>
      </c>
      <c r="I441" s="10">
        <f t="shared" si="14"/>
        <v>437</v>
      </c>
      <c r="J441" s="10" t="str">
        <f>Tableau2[[#This Row],[Annee d''inscription au programme]]&amp;"-"&amp;Tableau2[[#This Row],[Code d''ecole]]&amp;"-"&amp;Tableau2[[#This Row],[Numero HM de la femme]]</f>
        <v>2024-8-437</v>
      </c>
      <c r="K441" s="10">
        <f t="shared" si="15"/>
        <v>436</v>
      </c>
      <c r="L441" s="42">
        <v>0</v>
      </c>
      <c r="M441" s="52">
        <v>2.7</v>
      </c>
      <c r="N441" s="63">
        <f>SUM(Tableau2[[#This Row],[Mathématique/20]]+Tableau2[[#This Row],[Français /20]])/2</f>
        <v>1.35</v>
      </c>
      <c r="O441" s="42">
        <v>12.5</v>
      </c>
      <c r="P441" s="52">
        <v>18.25</v>
      </c>
      <c r="Q441" s="63">
        <f>(Tableau2[[#This Row],[Mathématique /20]]+Tableau2[[#This Row],[Français /202]])/2</f>
        <v>15.375</v>
      </c>
      <c r="S441"/>
      <c r="T441"/>
      <c r="U441"/>
      <c r="V441"/>
    </row>
    <row r="442" spans="1:22" ht="16" x14ac:dyDescent="0.2">
      <c r="A442" s="10" t="s">
        <v>717</v>
      </c>
      <c r="B442" s="10" t="s">
        <v>115</v>
      </c>
      <c r="C442" s="10" t="s">
        <v>1055</v>
      </c>
      <c r="D442" s="10" t="s">
        <v>1056</v>
      </c>
      <c r="E442" s="10" t="s">
        <v>1053</v>
      </c>
      <c r="F442" s="9" t="s">
        <v>1024</v>
      </c>
      <c r="G442" s="10">
        <v>2024</v>
      </c>
      <c r="H442" s="10">
        <v>8</v>
      </c>
      <c r="I442" s="10">
        <f t="shared" si="14"/>
        <v>438</v>
      </c>
      <c r="J442" s="10" t="str">
        <f>Tableau2[[#This Row],[Annee d''inscription au programme]]&amp;"-"&amp;Tableau2[[#This Row],[Code d''ecole]]&amp;"-"&amp;Tableau2[[#This Row],[Numero HM de la femme]]</f>
        <v>2024-8-438</v>
      </c>
      <c r="K442" s="10">
        <f t="shared" si="15"/>
        <v>437</v>
      </c>
      <c r="L442" s="42">
        <v>4.5</v>
      </c>
      <c r="M442" s="52">
        <v>6</v>
      </c>
      <c r="N442" s="63">
        <f>SUM(Tableau2[[#This Row],[Mathématique/20]]+Tableau2[[#This Row],[Français /20]])/2</f>
        <v>5.25</v>
      </c>
      <c r="O442" s="42">
        <v>11.5</v>
      </c>
      <c r="P442" s="52">
        <v>17.5</v>
      </c>
      <c r="Q442" s="63">
        <f>(Tableau2[[#This Row],[Mathématique /20]]+Tableau2[[#This Row],[Français /202]])/2</f>
        <v>14.5</v>
      </c>
      <c r="S442"/>
      <c r="T442"/>
      <c r="U442"/>
      <c r="V442"/>
    </row>
    <row r="443" spans="1:22" ht="16" x14ac:dyDescent="0.2">
      <c r="A443" s="10" t="s">
        <v>717</v>
      </c>
      <c r="B443" s="10" t="s">
        <v>115</v>
      </c>
      <c r="C443" s="10" t="s">
        <v>737</v>
      </c>
      <c r="D443" s="10" t="s">
        <v>738</v>
      </c>
      <c r="E443" s="10" t="s">
        <v>1054</v>
      </c>
      <c r="F443" s="9" t="s">
        <v>1024</v>
      </c>
      <c r="G443" s="10">
        <v>2024</v>
      </c>
      <c r="H443" s="10">
        <v>8</v>
      </c>
      <c r="I443" s="10">
        <f t="shared" si="14"/>
        <v>439</v>
      </c>
      <c r="J443" s="10" t="str">
        <f>Tableau2[[#This Row],[Annee d''inscription au programme]]&amp;"-"&amp;Tableau2[[#This Row],[Code d''ecole]]&amp;"-"&amp;Tableau2[[#This Row],[Numero HM de la femme]]</f>
        <v>2024-8-439</v>
      </c>
      <c r="K443" s="10">
        <f t="shared" si="15"/>
        <v>438</v>
      </c>
      <c r="L443" s="42">
        <v>1</v>
      </c>
      <c r="M443" s="52">
        <v>1.1000000000000001</v>
      </c>
      <c r="N443" s="63">
        <f>SUM(Tableau2[[#This Row],[Mathématique/20]]+Tableau2[[#This Row],[Français /20]])/2</f>
        <v>1.05</v>
      </c>
      <c r="O443" s="42">
        <v>15.5</v>
      </c>
      <c r="P443" s="52">
        <v>19.5</v>
      </c>
      <c r="Q443" s="63">
        <f>(Tableau2[[#This Row],[Mathématique /20]]+Tableau2[[#This Row],[Français /202]])/2</f>
        <v>17.5</v>
      </c>
      <c r="S443"/>
      <c r="T443"/>
      <c r="U443"/>
      <c r="V443"/>
    </row>
    <row r="444" spans="1:22" ht="16" x14ac:dyDescent="0.2">
      <c r="A444" s="10" t="s">
        <v>717</v>
      </c>
      <c r="B444" s="10" t="s">
        <v>115</v>
      </c>
      <c r="C444" s="10" t="s">
        <v>739</v>
      </c>
      <c r="D444" s="10" t="s">
        <v>740</v>
      </c>
      <c r="E444" s="10" t="s">
        <v>1054</v>
      </c>
      <c r="F444" s="9" t="s">
        <v>1024</v>
      </c>
      <c r="G444" s="10">
        <v>2024</v>
      </c>
      <c r="H444" s="10">
        <v>8</v>
      </c>
      <c r="I444" s="10">
        <f t="shared" si="14"/>
        <v>440</v>
      </c>
      <c r="J444" s="10" t="str">
        <f>Tableau2[[#This Row],[Annee d''inscription au programme]]&amp;"-"&amp;Tableau2[[#This Row],[Code d''ecole]]&amp;"-"&amp;Tableau2[[#This Row],[Numero HM de la femme]]</f>
        <v>2024-8-440</v>
      </c>
      <c r="K444" s="10">
        <f t="shared" si="15"/>
        <v>439</v>
      </c>
      <c r="L444" s="42">
        <v>2.5</v>
      </c>
      <c r="M444" s="52">
        <v>2.1</v>
      </c>
      <c r="N444" s="63">
        <f>SUM(Tableau2[[#This Row],[Mathématique/20]]+Tableau2[[#This Row],[Français /20]])/2</f>
        <v>2.2999999999999998</v>
      </c>
      <c r="O444" s="42">
        <v>13</v>
      </c>
      <c r="P444" s="52">
        <v>19</v>
      </c>
      <c r="Q444" s="63">
        <f>(Tableau2[[#This Row],[Mathématique /20]]+Tableau2[[#This Row],[Français /202]])/2</f>
        <v>16</v>
      </c>
      <c r="S444"/>
      <c r="T444"/>
      <c r="U444"/>
      <c r="V444"/>
    </row>
    <row r="445" spans="1:22" ht="16" x14ac:dyDescent="0.2">
      <c r="A445" s="10" t="s">
        <v>717</v>
      </c>
      <c r="B445" s="10" t="s">
        <v>115</v>
      </c>
      <c r="C445" s="10" t="s">
        <v>742</v>
      </c>
      <c r="D445" s="10" t="s">
        <v>741</v>
      </c>
      <c r="E445" s="10" t="s">
        <v>1053</v>
      </c>
      <c r="F445" s="9" t="s">
        <v>1024</v>
      </c>
      <c r="G445" s="10">
        <v>2024</v>
      </c>
      <c r="H445" s="10">
        <v>8</v>
      </c>
      <c r="I445" s="10">
        <f t="shared" si="14"/>
        <v>441</v>
      </c>
      <c r="J445" s="10" t="str">
        <f>Tableau2[[#This Row],[Annee d''inscription au programme]]&amp;"-"&amp;Tableau2[[#This Row],[Code d''ecole]]&amp;"-"&amp;Tableau2[[#This Row],[Numero HM de la femme]]</f>
        <v>2024-8-441</v>
      </c>
      <c r="K445" s="10">
        <f t="shared" si="15"/>
        <v>440</v>
      </c>
      <c r="L445" s="42">
        <v>5</v>
      </c>
      <c r="M445" s="52">
        <v>5.6</v>
      </c>
      <c r="N445" s="63">
        <f>SUM(Tableau2[[#This Row],[Mathématique/20]]+Tableau2[[#This Row],[Français /20]])/2</f>
        <v>5.3</v>
      </c>
      <c r="O445" s="42">
        <v>16.5</v>
      </c>
      <c r="P445" s="52">
        <v>19</v>
      </c>
      <c r="Q445" s="63">
        <f>(Tableau2[[#This Row],[Mathématique /20]]+Tableau2[[#This Row],[Français /202]])/2</f>
        <v>17.75</v>
      </c>
      <c r="S445"/>
      <c r="T445"/>
      <c r="U445"/>
      <c r="V445"/>
    </row>
    <row r="446" spans="1:22" ht="16" x14ac:dyDescent="0.2">
      <c r="A446" s="10" t="s">
        <v>717</v>
      </c>
      <c r="B446" s="10" t="s">
        <v>115</v>
      </c>
      <c r="C446" s="10" t="s">
        <v>743</v>
      </c>
      <c r="D446" s="10" t="s">
        <v>744</v>
      </c>
      <c r="E446" s="10" t="s">
        <v>1053</v>
      </c>
      <c r="F446" s="9" t="s">
        <v>1024</v>
      </c>
      <c r="G446" s="10">
        <v>2024</v>
      </c>
      <c r="H446" s="10">
        <v>8</v>
      </c>
      <c r="I446" s="10">
        <f t="shared" si="14"/>
        <v>442</v>
      </c>
      <c r="J446" s="10" t="str">
        <f>Tableau2[[#This Row],[Annee d''inscription au programme]]&amp;"-"&amp;Tableau2[[#This Row],[Code d''ecole]]&amp;"-"&amp;Tableau2[[#This Row],[Numero HM de la femme]]</f>
        <v>2024-8-442</v>
      </c>
      <c r="K446" s="10">
        <f t="shared" si="15"/>
        <v>441</v>
      </c>
      <c r="L446" s="42">
        <v>0.5</v>
      </c>
      <c r="M446" s="52">
        <v>0.4</v>
      </c>
      <c r="N446" s="63">
        <f>SUM(Tableau2[[#This Row],[Mathématique/20]]+Tableau2[[#This Row],[Français /20]])/2</f>
        <v>0.45</v>
      </c>
      <c r="O446" s="42">
        <v>10</v>
      </c>
      <c r="P446" s="52">
        <v>16.5</v>
      </c>
      <c r="Q446" s="63">
        <f>(Tableau2[[#This Row],[Mathématique /20]]+Tableau2[[#This Row],[Français /202]])/2</f>
        <v>13.25</v>
      </c>
      <c r="S446"/>
      <c r="T446"/>
      <c r="U446"/>
      <c r="V446"/>
    </row>
    <row r="447" spans="1:22" ht="16" x14ac:dyDescent="0.2">
      <c r="A447" s="10" t="s">
        <v>717</v>
      </c>
      <c r="B447" s="10" t="s">
        <v>115</v>
      </c>
      <c r="C447" s="10" t="s">
        <v>746</v>
      </c>
      <c r="D447" s="10" t="s">
        <v>745</v>
      </c>
      <c r="E447" s="10" t="s">
        <v>1054</v>
      </c>
      <c r="F447" s="9" t="s">
        <v>1024</v>
      </c>
      <c r="G447" s="10">
        <v>2024</v>
      </c>
      <c r="H447" s="10">
        <v>8</v>
      </c>
      <c r="I447" s="10">
        <f t="shared" si="14"/>
        <v>443</v>
      </c>
      <c r="J447" s="10" t="str">
        <f>Tableau2[[#This Row],[Annee d''inscription au programme]]&amp;"-"&amp;Tableau2[[#This Row],[Code d''ecole]]&amp;"-"&amp;Tableau2[[#This Row],[Numero HM de la femme]]</f>
        <v>2024-8-443</v>
      </c>
      <c r="K447" s="10">
        <f t="shared" si="15"/>
        <v>442</v>
      </c>
      <c r="L447" s="42">
        <v>0.5</v>
      </c>
      <c r="M447" s="52">
        <v>3.2</v>
      </c>
      <c r="N447" s="63">
        <f>SUM(Tableau2[[#This Row],[Mathématique/20]]+Tableau2[[#This Row],[Français /20]])/2</f>
        <v>1.85</v>
      </c>
      <c r="O447" s="42">
        <v>18.5</v>
      </c>
      <c r="P447" s="52">
        <v>19</v>
      </c>
      <c r="Q447" s="63">
        <f>(Tableau2[[#This Row],[Mathématique /20]]+Tableau2[[#This Row],[Français /202]])/2</f>
        <v>18.75</v>
      </c>
      <c r="S447"/>
      <c r="T447"/>
      <c r="U447"/>
      <c r="V447"/>
    </row>
    <row r="448" spans="1:22" ht="16" x14ac:dyDescent="0.2">
      <c r="A448" s="10" t="s">
        <v>717</v>
      </c>
      <c r="B448" s="10" t="s">
        <v>115</v>
      </c>
      <c r="C448" s="10" t="s">
        <v>747</v>
      </c>
      <c r="D448" s="10" t="s">
        <v>748</v>
      </c>
      <c r="E448" s="10" t="s">
        <v>1054</v>
      </c>
      <c r="F448" s="9" t="s">
        <v>1024</v>
      </c>
      <c r="G448" s="10">
        <v>2024</v>
      </c>
      <c r="H448" s="10">
        <v>8</v>
      </c>
      <c r="I448" s="10">
        <f t="shared" si="14"/>
        <v>444</v>
      </c>
      <c r="J448" s="10" t="str">
        <f>Tableau2[[#This Row],[Annee d''inscription au programme]]&amp;"-"&amp;Tableau2[[#This Row],[Code d''ecole]]&amp;"-"&amp;Tableau2[[#This Row],[Numero HM de la femme]]</f>
        <v>2024-8-444</v>
      </c>
      <c r="K448" s="10">
        <f t="shared" si="15"/>
        <v>443</v>
      </c>
      <c r="L448" s="42">
        <v>1</v>
      </c>
      <c r="M448" s="52">
        <v>6.9</v>
      </c>
      <c r="N448" s="63">
        <f>SUM(Tableau2[[#This Row],[Mathématique/20]]+Tableau2[[#This Row],[Français /20]])/2</f>
        <v>3.95</v>
      </c>
      <c r="O448" s="42">
        <v>16.5</v>
      </c>
      <c r="P448" s="52">
        <v>17</v>
      </c>
      <c r="Q448" s="63">
        <f>(Tableau2[[#This Row],[Mathématique /20]]+Tableau2[[#This Row],[Français /202]])/2</f>
        <v>16.75</v>
      </c>
      <c r="S448"/>
      <c r="T448"/>
      <c r="U448"/>
      <c r="V448"/>
    </row>
    <row r="449" spans="1:22" ht="16" x14ac:dyDescent="0.2">
      <c r="A449" s="10" t="s">
        <v>717</v>
      </c>
      <c r="B449" s="10" t="s">
        <v>115</v>
      </c>
      <c r="C449" s="10" t="s">
        <v>750</v>
      </c>
      <c r="D449" s="10" t="s">
        <v>749</v>
      </c>
      <c r="E449" s="10" t="s">
        <v>1054</v>
      </c>
      <c r="F449" s="9" t="s">
        <v>1024</v>
      </c>
      <c r="G449" s="10">
        <v>2024</v>
      </c>
      <c r="H449" s="10">
        <v>8</v>
      </c>
      <c r="I449" s="10">
        <f t="shared" si="14"/>
        <v>445</v>
      </c>
      <c r="J449" s="10" t="str">
        <f>Tableau2[[#This Row],[Annee d''inscription au programme]]&amp;"-"&amp;Tableau2[[#This Row],[Code d''ecole]]&amp;"-"&amp;Tableau2[[#This Row],[Numero HM de la femme]]</f>
        <v>2024-8-445</v>
      </c>
      <c r="K449" s="10">
        <f t="shared" si="15"/>
        <v>444</v>
      </c>
      <c r="L449" s="42">
        <v>1</v>
      </c>
      <c r="M449" s="52">
        <v>5.0999999999999996</v>
      </c>
      <c r="N449" s="63">
        <f>SUM(Tableau2[[#This Row],[Mathématique/20]]+Tableau2[[#This Row],[Français /20]])/2</f>
        <v>3.05</v>
      </c>
      <c r="O449" s="42">
        <v>12.5</v>
      </c>
      <c r="P449" s="52">
        <v>16</v>
      </c>
      <c r="Q449" s="63">
        <f>(Tableau2[[#This Row],[Mathématique /20]]+Tableau2[[#This Row],[Français /202]])/2</f>
        <v>14.25</v>
      </c>
      <c r="S449"/>
      <c r="T449"/>
      <c r="U449"/>
      <c r="V449"/>
    </row>
    <row r="450" spans="1:22" ht="16" x14ac:dyDescent="0.2">
      <c r="A450" s="10" t="s">
        <v>717</v>
      </c>
      <c r="B450" s="10" t="s">
        <v>115</v>
      </c>
      <c r="C450" s="10" t="s">
        <v>751</v>
      </c>
      <c r="D450" s="10" t="s">
        <v>752</v>
      </c>
      <c r="E450" s="10" t="s">
        <v>1054</v>
      </c>
      <c r="F450" s="9" t="s">
        <v>1024</v>
      </c>
      <c r="G450" s="10">
        <v>2024</v>
      </c>
      <c r="H450" s="10">
        <v>8</v>
      </c>
      <c r="I450" s="10">
        <f t="shared" si="14"/>
        <v>446</v>
      </c>
      <c r="J450" s="10" t="str">
        <f>Tableau2[[#This Row],[Annee d''inscription au programme]]&amp;"-"&amp;Tableau2[[#This Row],[Code d''ecole]]&amp;"-"&amp;Tableau2[[#This Row],[Numero HM de la femme]]</f>
        <v>2024-8-446</v>
      </c>
      <c r="K450" s="10">
        <f t="shared" si="15"/>
        <v>445</v>
      </c>
      <c r="L450" s="42">
        <v>4</v>
      </c>
      <c r="M450" s="52">
        <v>1.7</v>
      </c>
      <c r="N450" s="63">
        <f>SUM(Tableau2[[#This Row],[Mathématique/20]]+Tableau2[[#This Row],[Français /20]])/2</f>
        <v>2.85</v>
      </c>
      <c r="O450" s="42">
        <v>12.5</v>
      </c>
      <c r="P450" s="52">
        <v>19</v>
      </c>
      <c r="Q450" s="63">
        <f>(Tableau2[[#This Row],[Mathématique /20]]+Tableau2[[#This Row],[Français /202]])/2</f>
        <v>15.75</v>
      </c>
      <c r="S450"/>
      <c r="T450"/>
      <c r="U450"/>
      <c r="V450"/>
    </row>
    <row r="451" spans="1:22" ht="16" x14ac:dyDescent="0.2">
      <c r="A451" s="10" t="s">
        <v>717</v>
      </c>
      <c r="B451" s="10" t="s">
        <v>115</v>
      </c>
      <c r="C451" s="10" t="s">
        <v>754</v>
      </c>
      <c r="D451" s="10" t="s">
        <v>753</v>
      </c>
      <c r="E451" s="10" t="s">
        <v>1054</v>
      </c>
      <c r="F451" s="9" t="s">
        <v>1024</v>
      </c>
      <c r="G451" s="10">
        <v>2024</v>
      </c>
      <c r="H451" s="10">
        <v>8</v>
      </c>
      <c r="I451" s="10">
        <f t="shared" si="14"/>
        <v>447</v>
      </c>
      <c r="J451" s="10" t="str">
        <f>Tableau2[[#This Row],[Annee d''inscription au programme]]&amp;"-"&amp;Tableau2[[#This Row],[Code d''ecole]]&amp;"-"&amp;Tableau2[[#This Row],[Numero HM de la femme]]</f>
        <v>2024-8-447</v>
      </c>
      <c r="K451" s="10">
        <f t="shared" si="15"/>
        <v>446</v>
      </c>
      <c r="L451" s="42">
        <v>3.5</v>
      </c>
      <c r="M451" s="52">
        <v>6.6</v>
      </c>
      <c r="N451" s="63">
        <f>SUM(Tableau2[[#This Row],[Mathématique/20]]+Tableau2[[#This Row],[Français /20]])/2</f>
        <v>5.05</v>
      </c>
      <c r="O451" s="42">
        <v>13.5</v>
      </c>
      <c r="P451" s="52">
        <v>19</v>
      </c>
      <c r="Q451" s="63">
        <f>(Tableau2[[#This Row],[Mathématique /20]]+Tableau2[[#This Row],[Français /202]])/2</f>
        <v>16.25</v>
      </c>
      <c r="S451"/>
      <c r="T451"/>
      <c r="U451"/>
      <c r="V451"/>
    </row>
    <row r="452" spans="1:22" ht="16" x14ac:dyDescent="0.2">
      <c r="A452" s="10" t="s">
        <v>717</v>
      </c>
      <c r="B452" s="10" t="s">
        <v>115</v>
      </c>
      <c r="C452" s="10" t="s">
        <v>755</v>
      </c>
      <c r="D452" s="10" t="s">
        <v>756</v>
      </c>
      <c r="E452" s="10" t="s">
        <v>1054</v>
      </c>
      <c r="F452" s="9" t="s">
        <v>1024</v>
      </c>
      <c r="G452" s="10">
        <v>2024</v>
      </c>
      <c r="H452" s="10">
        <v>8</v>
      </c>
      <c r="I452" s="10">
        <f t="shared" si="14"/>
        <v>448</v>
      </c>
      <c r="J452" s="10" t="str">
        <f>Tableau2[[#This Row],[Annee d''inscription au programme]]&amp;"-"&amp;Tableau2[[#This Row],[Code d''ecole]]&amp;"-"&amp;Tableau2[[#This Row],[Numero HM de la femme]]</f>
        <v>2024-8-448</v>
      </c>
      <c r="K452" s="10">
        <f t="shared" si="15"/>
        <v>447</v>
      </c>
      <c r="L452" s="42">
        <v>4</v>
      </c>
      <c r="M452" s="52">
        <v>3</v>
      </c>
      <c r="N452" s="63">
        <f>SUM(Tableau2[[#This Row],[Mathématique/20]]+Tableau2[[#This Row],[Français /20]])/2</f>
        <v>3.5</v>
      </c>
      <c r="O452" s="42">
        <v>15</v>
      </c>
      <c r="P452" s="52">
        <v>20</v>
      </c>
      <c r="Q452" s="63">
        <f>(Tableau2[[#This Row],[Mathématique /20]]+Tableau2[[#This Row],[Français /202]])/2</f>
        <v>17.5</v>
      </c>
      <c r="S452"/>
      <c r="T452"/>
      <c r="U452"/>
      <c r="V452"/>
    </row>
    <row r="453" spans="1:22" ht="16" x14ac:dyDescent="0.2">
      <c r="A453" s="10" t="s">
        <v>717</v>
      </c>
      <c r="B453" s="10" t="s">
        <v>115</v>
      </c>
      <c r="C453" s="10" t="s">
        <v>758</v>
      </c>
      <c r="D453" s="10" t="s">
        <v>757</v>
      </c>
      <c r="E453" s="10" t="s">
        <v>1054</v>
      </c>
      <c r="F453" s="9" t="s">
        <v>1024</v>
      </c>
      <c r="G453" s="10">
        <v>2024</v>
      </c>
      <c r="H453" s="10">
        <v>8</v>
      </c>
      <c r="I453" s="10">
        <f t="shared" si="14"/>
        <v>449</v>
      </c>
      <c r="J453" s="10" t="str">
        <f>Tableau2[[#This Row],[Annee d''inscription au programme]]&amp;"-"&amp;Tableau2[[#This Row],[Code d''ecole]]&amp;"-"&amp;Tableau2[[#This Row],[Numero HM de la femme]]</f>
        <v>2024-8-449</v>
      </c>
      <c r="K453" s="10">
        <f t="shared" si="15"/>
        <v>448</v>
      </c>
      <c r="L453" s="42">
        <v>1.5</v>
      </c>
      <c r="M453" s="52">
        <v>1.5</v>
      </c>
      <c r="N453" s="63">
        <f>SUM(Tableau2[[#This Row],[Mathématique/20]]+Tableau2[[#This Row],[Français /20]])/2</f>
        <v>1.5</v>
      </c>
      <c r="O453" s="42">
        <v>13.5</v>
      </c>
      <c r="P453" s="52">
        <v>18.75</v>
      </c>
      <c r="Q453" s="63">
        <f>(Tableau2[[#This Row],[Mathématique /20]]+Tableau2[[#This Row],[Français /202]])/2</f>
        <v>16.125</v>
      </c>
      <c r="S453"/>
      <c r="T453"/>
      <c r="U453"/>
      <c r="V453"/>
    </row>
    <row r="454" spans="1:22" ht="16" x14ac:dyDescent="0.2">
      <c r="A454" s="10" t="s">
        <v>717</v>
      </c>
      <c r="B454" s="10" t="s">
        <v>115</v>
      </c>
      <c r="C454" s="10" t="s">
        <v>759</v>
      </c>
      <c r="D454" s="10" t="s">
        <v>760</v>
      </c>
      <c r="E454" s="10" t="s">
        <v>1054</v>
      </c>
      <c r="F454" s="9" t="s">
        <v>1024</v>
      </c>
      <c r="G454" s="10">
        <v>2024</v>
      </c>
      <c r="H454" s="10">
        <v>8</v>
      </c>
      <c r="I454" s="10">
        <f t="shared" si="14"/>
        <v>450</v>
      </c>
      <c r="J454" s="10" t="str">
        <f>Tableau2[[#This Row],[Annee d''inscription au programme]]&amp;"-"&amp;Tableau2[[#This Row],[Code d''ecole]]&amp;"-"&amp;Tableau2[[#This Row],[Numero HM de la femme]]</f>
        <v>2024-8-450</v>
      </c>
      <c r="K454" s="10">
        <f t="shared" si="15"/>
        <v>449</v>
      </c>
      <c r="L454" s="42">
        <v>11</v>
      </c>
      <c r="M454" s="52">
        <v>4.0999999999999996</v>
      </c>
      <c r="N454" s="63">
        <f>SUM(Tableau2[[#This Row],[Mathématique/20]]+Tableau2[[#This Row],[Français /20]])/2</f>
        <v>7.55</v>
      </c>
      <c r="O454" s="42">
        <v>18.5</v>
      </c>
      <c r="P454" s="52">
        <v>19</v>
      </c>
      <c r="Q454" s="63">
        <f>(Tableau2[[#This Row],[Mathématique /20]]+Tableau2[[#This Row],[Français /202]])/2</f>
        <v>18.75</v>
      </c>
      <c r="S454"/>
      <c r="T454"/>
      <c r="U454"/>
      <c r="V454"/>
    </row>
    <row r="455" spans="1:22" ht="16" x14ac:dyDescent="0.2">
      <c r="A455" s="10" t="s">
        <v>717</v>
      </c>
      <c r="B455" s="10" t="s">
        <v>115</v>
      </c>
      <c r="C455" s="10" t="s">
        <v>762</v>
      </c>
      <c r="D455" s="10" t="s">
        <v>761</v>
      </c>
      <c r="E455" s="10" t="s">
        <v>1053</v>
      </c>
      <c r="F455" s="9" t="s">
        <v>1024</v>
      </c>
      <c r="G455" s="10">
        <v>2024</v>
      </c>
      <c r="H455" s="10">
        <v>8</v>
      </c>
      <c r="I455" s="10">
        <f t="shared" ref="I455:I518" si="16">SUM(I454+1)</f>
        <v>451</v>
      </c>
      <c r="J455" s="10" t="str">
        <f>Tableau2[[#This Row],[Annee d''inscription au programme]]&amp;"-"&amp;Tableau2[[#This Row],[Code d''ecole]]&amp;"-"&amp;Tableau2[[#This Row],[Numero HM de la femme]]</f>
        <v>2024-8-451</v>
      </c>
      <c r="K455" s="10">
        <f t="shared" si="15"/>
        <v>450</v>
      </c>
      <c r="L455" s="42">
        <v>0.5</v>
      </c>
      <c r="M455" s="52">
        <v>2.6</v>
      </c>
      <c r="N455" s="63">
        <f>SUM(Tableau2[[#This Row],[Mathématique/20]]+Tableau2[[#This Row],[Français /20]])/2</f>
        <v>1.55</v>
      </c>
      <c r="O455" s="42">
        <v>16.5</v>
      </c>
      <c r="P455" s="52">
        <v>20</v>
      </c>
      <c r="Q455" s="63">
        <f>(Tableau2[[#This Row],[Mathématique /20]]+Tableau2[[#This Row],[Français /202]])/2</f>
        <v>18.25</v>
      </c>
      <c r="S455"/>
      <c r="T455"/>
      <c r="U455"/>
      <c r="V455"/>
    </row>
    <row r="456" spans="1:22" ht="16" x14ac:dyDescent="0.2">
      <c r="A456" s="10" t="s">
        <v>717</v>
      </c>
      <c r="B456" s="10" t="s">
        <v>115</v>
      </c>
      <c r="C456" s="10" t="s">
        <v>763</v>
      </c>
      <c r="D456" s="10" t="s">
        <v>764</v>
      </c>
      <c r="E456" s="10" t="s">
        <v>1054</v>
      </c>
      <c r="F456" s="9" t="s">
        <v>1024</v>
      </c>
      <c r="G456" s="10">
        <v>2024</v>
      </c>
      <c r="H456" s="10">
        <v>8</v>
      </c>
      <c r="I456" s="10">
        <f t="shared" si="16"/>
        <v>452</v>
      </c>
      <c r="J456" s="10" t="str">
        <f>Tableau2[[#This Row],[Annee d''inscription au programme]]&amp;"-"&amp;Tableau2[[#This Row],[Code d''ecole]]&amp;"-"&amp;Tableau2[[#This Row],[Numero HM de la femme]]</f>
        <v>2024-8-452</v>
      </c>
      <c r="K456" s="10">
        <f t="shared" si="15"/>
        <v>451</v>
      </c>
      <c r="L456" s="42">
        <v>4.5</v>
      </c>
      <c r="M456" s="52">
        <v>4</v>
      </c>
      <c r="N456" s="63">
        <f>SUM(Tableau2[[#This Row],[Mathématique/20]]+Tableau2[[#This Row],[Français /20]])/2</f>
        <v>4.25</v>
      </c>
      <c r="O456" s="42">
        <v>17.5</v>
      </c>
      <c r="P456" s="52">
        <v>19</v>
      </c>
      <c r="Q456" s="63">
        <f>(Tableau2[[#This Row],[Mathématique /20]]+Tableau2[[#This Row],[Français /202]])/2</f>
        <v>18.25</v>
      </c>
      <c r="S456"/>
      <c r="T456"/>
      <c r="U456"/>
      <c r="V456"/>
    </row>
    <row r="457" spans="1:22" ht="16" x14ac:dyDescent="0.2">
      <c r="A457" s="10" t="s">
        <v>717</v>
      </c>
      <c r="B457" s="10" t="s">
        <v>115</v>
      </c>
      <c r="C457" s="10" t="s">
        <v>915</v>
      </c>
      <c r="D457" s="10" t="s">
        <v>765</v>
      </c>
      <c r="E457" s="10" t="s">
        <v>1054</v>
      </c>
      <c r="F457" s="9" t="s">
        <v>1024</v>
      </c>
      <c r="G457" s="10">
        <v>2024</v>
      </c>
      <c r="H457" s="10">
        <v>8</v>
      </c>
      <c r="I457" s="10">
        <f t="shared" si="16"/>
        <v>453</v>
      </c>
      <c r="J457" s="10" t="str">
        <f>Tableau2[[#This Row],[Annee d''inscription au programme]]&amp;"-"&amp;Tableau2[[#This Row],[Code d''ecole]]&amp;"-"&amp;Tableau2[[#This Row],[Numero HM de la femme]]</f>
        <v>2024-8-453</v>
      </c>
      <c r="K457" s="10">
        <f t="shared" ref="K457:K520" si="17">SUM(K456+1)</f>
        <v>452</v>
      </c>
      <c r="L457" s="42">
        <v>1.5</v>
      </c>
      <c r="M457" s="52">
        <v>5</v>
      </c>
      <c r="N457" s="63">
        <f>SUM(Tableau2[[#This Row],[Mathématique/20]]+Tableau2[[#This Row],[Français /20]])/2</f>
        <v>3.25</v>
      </c>
      <c r="O457" s="42">
        <v>16.5</v>
      </c>
      <c r="P457" s="52">
        <v>18</v>
      </c>
      <c r="Q457" s="63">
        <f>(Tableau2[[#This Row],[Mathématique /20]]+Tableau2[[#This Row],[Français /202]])/2</f>
        <v>17.25</v>
      </c>
      <c r="S457"/>
      <c r="T457"/>
      <c r="U457"/>
      <c r="V457"/>
    </row>
    <row r="458" spans="1:22" ht="16" x14ac:dyDescent="0.2">
      <c r="A458" s="10" t="s">
        <v>717</v>
      </c>
      <c r="B458" s="10" t="s">
        <v>115</v>
      </c>
      <c r="C458" s="10" t="s">
        <v>766</v>
      </c>
      <c r="D458" s="10" t="s">
        <v>767</v>
      </c>
      <c r="E458" s="10" t="s">
        <v>1053</v>
      </c>
      <c r="F458" s="9" t="s">
        <v>1024</v>
      </c>
      <c r="G458" s="10">
        <v>2024</v>
      </c>
      <c r="H458" s="10">
        <v>8</v>
      </c>
      <c r="I458" s="10">
        <f t="shared" si="16"/>
        <v>454</v>
      </c>
      <c r="J458" s="10" t="str">
        <f>Tableau2[[#This Row],[Annee d''inscription au programme]]&amp;"-"&amp;Tableau2[[#This Row],[Code d''ecole]]&amp;"-"&amp;Tableau2[[#This Row],[Numero HM de la femme]]</f>
        <v>2024-8-454</v>
      </c>
      <c r="K458" s="10">
        <f t="shared" si="17"/>
        <v>453</v>
      </c>
      <c r="L458" s="42">
        <v>3.5</v>
      </c>
      <c r="M458" s="52">
        <v>2</v>
      </c>
      <c r="N458" s="63">
        <f>SUM(Tableau2[[#This Row],[Mathématique/20]]+Tableau2[[#This Row],[Français /20]])/2</f>
        <v>2.75</v>
      </c>
      <c r="O458" s="42">
        <v>18.5</v>
      </c>
      <c r="P458" s="52">
        <v>18</v>
      </c>
      <c r="Q458" s="63">
        <f>(Tableau2[[#This Row],[Mathématique /20]]+Tableau2[[#This Row],[Français /202]])/2</f>
        <v>18.25</v>
      </c>
      <c r="S458"/>
      <c r="T458"/>
      <c r="U458"/>
      <c r="V458"/>
    </row>
    <row r="459" spans="1:22" ht="16" x14ac:dyDescent="0.2">
      <c r="A459" s="10" t="s">
        <v>768</v>
      </c>
      <c r="B459" s="10" t="s">
        <v>115</v>
      </c>
      <c r="C459" s="10" t="s">
        <v>769</v>
      </c>
      <c r="D459" s="10" t="s">
        <v>770</v>
      </c>
      <c r="E459" s="10" t="s">
        <v>1040</v>
      </c>
      <c r="F459" s="9" t="s">
        <v>1025</v>
      </c>
      <c r="G459" s="10">
        <v>2024</v>
      </c>
      <c r="H459" s="10">
        <v>25</v>
      </c>
      <c r="I459" s="10">
        <f t="shared" si="16"/>
        <v>455</v>
      </c>
      <c r="J459" s="10" t="str">
        <f>Tableau2[[#This Row],[Annee d''inscription au programme]]&amp;"-"&amp;Tableau2[[#This Row],[Code d''ecole]]&amp;"-"&amp;Tableau2[[#This Row],[Numero HM de la femme]]</f>
        <v>2024-25-455</v>
      </c>
      <c r="K459" s="10">
        <f t="shared" si="17"/>
        <v>454</v>
      </c>
      <c r="L459" s="42">
        <v>2</v>
      </c>
      <c r="M459" s="52">
        <v>5</v>
      </c>
      <c r="N459" s="63">
        <f>SUM(Tableau2[[#This Row],[Mathématique/20]]+Tableau2[[#This Row],[Français /20]])/2</f>
        <v>3.5</v>
      </c>
      <c r="O459" s="42">
        <v>16</v>
      </c>
      <c r="P459" s="52">
        <v>13.75</v>
      </c>
      <c r="Q459" s="63">
        <f>(Tableau2[[#This Row],[Mathématique /20]]+Tableau2[[#This Row],[Français /202]])/2</f>
        <v>14.875</v>
      </c>
      <c r="S459"/>
      <c r="T459"/>
      <c r="U459"/>
      <c r="V459"/>
    </row>
    <row r="460" spans="1:22" ht="16" x14ac:dyDescent="0.2">
      <c r="A460" s="10" t="s">
        <v>768</v>
      </c>
      <c r="B460" s="10" t="s">
        <v>115</v>
      </c>
      <c r="C460" s="10" t="s">
        <v>772</v>
      </c>
      <c r="D460" s="10" t="s">
        <v>771</v>
      </c>
      <c r="E460" s="10" t="s">
        <v>1040</v>
      </c>
      <c r="F460" s="9" t="s">
        <v>1026</v>
      </c>
      <c r="G460" s="10">
        <v>2024</v>
      </c>
      <c r="H460" s="10">
        <v>25</v>
      </c>
      <c r="I460" s="10">
        <f t="shared" si="16"/>
        <v>456</v>
      </c>
      <c r="J460" s="10" t="str">
        <f>Tableau2[[#This Row],[Annee d''inscription au programme]]&amp;"-"&amp;Tableau2[[#This Row],[Code d''ecole]]&amp;"-"&amp;Tableau2[[#This Row],[Numero HM de la femme]]</f>
        <v>2024-25-456</v>
      </c>
      <c r="K460" s="10">
        <f t="shared" si="17"/>
        <v>455</v>
      </c>
      <c r="L460" s="42">
        <v>4</v>
      </c>
      <c r="M460" s="52">
        <v>2</v>
      </c>
      <c r="N460" s="63">
        <f>SUM(Tableau2[[#This Row],[Mathématique/20]]+Tableau2[[#This Row],[Français /20]])/2</f>
        <v>3</v>
      </c>
      <c r="O460" s="42">
        <v>16</v>
      </c>
      <c r="P460" s="52">
        <v>16.5</v>
      </c>
      <c r="Q460" s="63">
        <f>(Tableau2[[#This Row],[Mathématique /20]]+Tableau2[[#This Row],[Français /202]])/2</f>
        <v>16.25</v>
      </c>
      <c r="S460"/>
      <c r="T460"/>
      <c r="U460"/>
      <c r="V460"/>
    </row>
    <row r="461" spans="1:22" ht="16" x14ac:dyDescent="0.2">
      <c r="A461" s="10" t="s">
        <v>768</v>
      </c>
      <c r="B461" s="10" t="s">
        <v>115</v>
      </c>
      <c r="C461" s="10" t="s">
        <v>773</v>
      </c>
      <c r="D461" s="10" t="s">
        <v>774</v>
      </c>
      <c r="E461" s="10" t="s">
        <v>1040</v>
      </c>
      <c r="F461" s="9" t="s">
        <v>1026</v>
      </c>
      <c r="G461" s="10">
        <v>2024</v>
      </c>
      <c r="H461" s="10">
        <v>25</v>
      </c>
      <c r="I461" s="10">
        <f t="shared" si="16"/>
        <v>457</v>
      </c>
      <c r="J461" s="10" t="str">
        <f>Tableau2[[#This Row],[Annee d''inscription au programme]]&amp;"-"&amp;Tableau2[[#This Row],[Code d''ecole]]&amp;"-"&amp;Tableau2[[#This Row],[Numero HM de la femme]]</f>
        <v>2024-25-457</v>
      </c>
      <c r="K461" s="10">
        <f t="shared" si="17"/>
        <v>456</v>
      </c>
      <c r="L461" s="42">
        <v>3</v>
      </c>
      <c r="M461" s="52">
        <v>7</v>
      </c>
      <c r="N461" s="63">
        <f>SUM(Tableau2[[#This Row],[Mathématique/20]]+Tableau2[[#This Row],[Français /20]])/2</f>
        <v>5</v>
      </c>
      <c r="O461" s="42">
        <v>14</v>
      </c>
      <c r="P461" s="52">
        <v>19.25</v>
      </c>
      <c r="Q461" s="63">
        <f>(Tableau2[[#This Row],[Mathématique /20]]+Tableau2[[#This Row],[Français /202]])/2</f>
        <v>16.625</v>
      </c>
      <c r="S461"/>
      <c r="T461"/>
      <c r="U461"/>
      <c r="V461"/>
    </row>
    <row r="462" spans="1:22" ht="16" x14ac:dyDescent="0.2">
      <c r="A462" s="10" t="s">
        <v>768</v>
      </c>
      <c r="B462" s="10" t="s">
        <v>115</v>
      </c>
      <c r="C462" s="10" t="s">
        <v>776</v>
      </c>
      <c r="D462" s="10" t="s">
        <v>775</v>
      </c>
      <c r="E462" s="10" t="s">
        <v>1040</v>
      </c>
      <c r="F462" s="9" t="s">
        <v>1026</v>
      </c>
      <c r="G462" s="10">
        <v>2024</v>
      </c>
      <c r="H462" s="10">
        <v>25</v>
      </c>
      <c r="I462" s="10">
        <f t="shared" si="16"/>
        <v>458</v>
      </c>
      <c r="J462" s="10" t="str">
        <f>Tableau2[[#This Row],[Annee d''inscription au programme]]&amp;"-"&amp;Tableau2[[#This Row],[Code d''ecole]]&amp;"-"&amp;Tableau2[[#This Row],[Numero HM de la femme]]</f>
        <v>2024-25-458</v>
      </c>
      <c r="K462" s="10">
        <f t="shared" si="17"/>
        <v>457</v>
      </c>
      <c r="L462" s="42">
        <v>4</v>
      </c>
      <c r="M462" s="52">
        <v>4.5</v>
      </c>
      <c r="N462" s="63">
        <f>SUM(Tableau2[[#This Row],[Mathématique/20]]+Tableau2[[#This Row],[Français /20]])/2</f>
        <v>4.25</v>
      </c>
      <c r="O462" s="42">
        <v>12</v>
      </c>
      <c r="P462" s="52">
        <v>13.5</v>
      </c>
      <c r="Q462" s="63">
        <f>(Tableau2[[#This Row],[Mathématique /20]]+Tableau2[[#This Row],[Français /202]])/2</f>
        <v>12.75</v>
      </c>
      <c r="S462"/>
      <c r="T462"/>
      <c r="U462"/>
      <c r="V462"/>
    </row>
    <row r="463" spans="1:22" ht="16" x14ac:dyDescent="0.2">
      <c r="A463" s="10" t="s">
        <v>768</v>
      </c>
      <c r="B463" s="10" t="s">
        <v>115</v>
      </c>
      <c r="C463" s="10" t="s">
        <v>777</v>
      </c>
      <c r="D463" s="10" t="s">
        <v>778</v>
      </c>
      <c r="E463" s="10" t="s">
        <v>1040</v>
      </c>
      <c r="F463" s="9" t="s">
        <v>1026</v>
      </c>
      <c r="G463" s="10">
        <v>2024</v>
      </c>
      <c r="H463" s="10">
        <v>25</v>
      </c>
      <c r="I463" s="10">
        <f t="shared" si="16"/>
        <v>459</v>
      </c>
      <c r="J463" s="10" t="str">
        <f>Tableau2[[#This Row],[Annee d''inscription au programme]]&amp;"-"&amp;Tableau2[[#This Row],[Code d''ecole]]&amp;"-"&amp;Tableau2[[#This Row],[Numero HM de la femme]]</f>
        <v>2024-25-459</v>
      </c>
      <c r="K463" s="10">
        <f t="shared" si="17"/>
        <v>458</v>
      </c>
      <c r="L463" s="42">
        <v>3</v>
      </c>
      <c r="M463" s="52">
        <v>5.5</v>
      </c>
      <c r="N463" s="63">
        <f>SUM(Tableau2[[#This Row],[Mathématique/20]]+Tableau2[[#This Row],[Français /20]])/2</f>
        <v>4.25</v>
      </c>
      <c r="O463" s="42">
        <v>14</v>
      </c>
      <c r="P463" s="52">
        <v>14.5</v>
      </c>
      <c r="Q463" s="63">
        <f>(Tableau2[[#This Row],[Mathématique /20]]+Tableau2[[#This Row],[Français /202]])/2</f>
        <v>14.25</v>
      </c>
      <c r="S463"/>
      <c r="T463"/>
      <c r="U463"/>
      <c r="V463"/>
    </row>
    <row r="464" spans="1:22" ht="16" x14ac:dyDescent="0.2">
      <c r="A464" s="10" t="s">
        <v>768</v>
      </c>
      <c r="B464" s="10" t="s">
        <v>115</v>
      </c>
      <c r="C464" s="10" t="s">
        <v>779</v>
      </c>
      <c r="D464" s="10" t="s">
        <v>273</v>
      </c>
      <c r="E464" s="10" t="s">
        <v>1040</v>
      </c>
      <c r="F464" s="9" t="s">
        <v>1026</v>
      </c>
      <c r="G464" s="10">
        <v>2024</v>
      </c>
      <c r="H464" s="10">
        <v>25</v>
      </c>
      <c r="I464" s="10">
        <f t="shared" si="16"/>
        <v>460</v>
      </c>
      <c r="J464" s="10" t="str">
        <f>Tableau2[[#This Row],[Annee d''inscription au programme]]&amp;"-"&amp;Tableau2[[#This Row],[Code d''ecole]]&amp;"-"&amp;Tableau2[[#This Row],[Numero HM de la femme]]</f>
        <v>2024-25-460</v>
      </c>
      <c r="K464" s="10">
        <f t="shared" si="17"/>
        <v>459</v>
      </c>
      <c r="L464" s="42">
        <v>0</v>
      </c>
      <c r="M464" s="52">
        <v>1</v>
      </c>
      <c r="N464" s="63">
        <f>SUM(Tableau2[[#This Row],[Mathématique/20]]+Tableau2[[#This Row],[Français /20]])/2</f>
        <v>0.5</v>
      </c>
      <c r="O464" s="42">
        <v>14</v>
      </c>
      <c r="P464" s="52">
        <v>13.5</v>
      </c>
      <c r="Q464" s="63">
        <f>(Tableau2[[#This Row],[Mathématique /20]]+Tableau2[[#This Row],[Français /202]])/2</f>
        <v>13.75</v>
      </c>
      <c r="S464"/>
      <c r="T464"/>
      <c r="U464"/>
      <c r="V464"/>
    </row>
    <row r="465" spans="1:22" ht="16" x14ac:dyDescent="0.2">
      <c r="A465" s="10" t="s">
        <v>768</v>
      </c>
      <c r="B465" s="10" t="s">
        <v>115</v>
      </c>
      <c r="C465" s="10" t="s">
        <v>781</v>
      </c>
      <c r="D465" s="10" t="s">
        <v>780</v>
      </c>
      <c r="E465" s="10" t="s">
        <v>1040</v>
      </c>
      <c r="F465" s="9" t="s">
        <v>1027</v>
      </c>
      <c r="G465" s="10">
        <v>2024</v>
      </c>
      <c r="H465" s="10">
        <v>25</v>
      </c>
      <c r="I465" s="10">
        <f t="shared" si="16"/>
        <v>461</v>
      </c>
      <c r="J465" s="10" t="str">
        <f>Tableau2[[#This Row],[Annee d''inscription au programme]]&amp;"-"&amp;Tableau2[[#This Row],[Code d''ecole]]&amp;"-"&amp;Tableau2[[#This Row],[Numero HM de la femme]]</f>
        <v>2024-25-461</v>
      </c>
      <c r="K465" s="10">
        <f t="shared" si="17"/>
        <v>460</v>
      </c>
      <c r="L465" s="42">
        <v>6</v>
      </c>
      <c r="M465" s="52">
        <v>0</v>
      </c>
      <c r="N465" s="63">
        <f>SUM(Tableau2[[#This Row],[Mathématique/20]]+Tableau2[[#This Row],[Français /20]])/2</f>
        <v>3</v>
      </c>
      <c r="O465" s="42">
        <v>10.5</v>
      </c>
      <c r="P465" s="52">
        <v>10.5</v>
      </c>
      <c r="Q465" s="63">
        <f>(Tableau2[[#This Row],[Mathématique /20]]+Tableau2[[#This Row],[Français /202]])/2</f>
        <v>10.5</v>
      </c>
      <c r="S465"/>
      <c r="T465"/>
      <c r="U465"/>
      <c r="V465"/>
    </row>
    <row r="466" spans="1:22" ht="16" x14ac:dyDescent="0.2">
      <c r="A466" s="10" t="s">
        <v>768</v>
      </c>
      <c r="B466" s="10" t="s">
        <v>115</v>
      </c>
      <c r="C466" s="10" t="s">
        <v>782</v>
      </c>
      <c r="D466" s="10" t="s">
        <v>783</v>
      </c>
      <c r="E466" s="10" t="s">
        <v>1040</v>
      </c>
      <c r="F466" s="9" t="s">
        <v>1025</v>
      </c>
      <c r="G466" s="10">
        <v>2024</v>
      </c>
      <c r="H466" s="10">
        <v>25</v>
      </c>
      <c r="I466" s="10">
        <f t="shared" si="16"/>
        <v>462</v>
      </c>
      <c r="J466" s="10" t="str">
        <f>Tableau2[[#This Row],[Annee d''inscription au programme]]&amp;"-"&amp;Tableau2[[#This Row],[Code d''ecole]]&amp;"-"&amp;Tableau2[[#This Row],[Numero HM de la femme]]</f>
        <v>2024-25-462</v>
      </c>
      <c r="K466" s="10">
        <f t="shared" si="17"/>
        <v>461</v>
      </c>
      <c r="L466" s="42">
        <v>6</v>
      </c>
      <c r="M466" s="52">
        <v>3</v>
      </c>
      <c r="N466" s="63">
        <f>SUM(Tableau2[[#This Row],[Mathématique/20]]+Tableau2[[#This Row],[Français /20]])/2</f>
        <v>4.5</v>
      </c>
      <c r="O466" s="42">
        <v>17</v>
      </c>
      <c r="P466" s="52">
        <v>14.5</v>
      </c>
      <c r="Q466" s="63">
        <f>(Tableau2[[#This Row],[Mathématique /20]]+Tableau2[[#This Row],[Français /202]])/2</f>
        <v>15.75</v>
      </c>
      <c r="S466"/>
      <c r="T466"/>
      <c r="U466"/>
      <c r="V466"/>
    </row>
    <row r="467" spans="1:22" ht="16" x14ac:dyDescent="0.2">
      <c r="A467" s="10" t="s">
        <v>768</v>
      </c>
      <c r="B467" s="10" t="s">
        <v>115</v>
      </c>
      <c r="C467" s="10" t="s">
        <v>784</v>
      </c>
      <c r="D467" s="10" t="s">
        <v>785</v>
      </c>
      <c r="E467" s="10" t="s">
        <v>1040</v>
      </c>
      <c r="F467" s="9" t="s">
        <v>1026</v>
      </c>
      <c r="G467" s="10">
        <v>2024</v>
      </c>
      <c r="H467" s="10">
        <v>25</v>
      </c>
      <c r="I467" s="10">
        <f t="shared" si="16"/>
        <v>463</v>
      </c>
      <c r="J467" s="10" t="str">
        <f>Tableau2[[#This Row],[Annee d''inscription au programme]]&amp;"-"&amp;Tableau2[[#This Row],[Code d''ecole]]&amp;"-"&amp;Tableau2[[#This Row],[Numero HM de la femme]]</f>
        <v>2024-25-463</v>
      </c>
      <c r="K467" s="10">
        <f t="shared" si="17"/>
        <v>462</v>
      </c>
      <c r="L467" s="42">
        <v>0</v>
      </c>
      <c r="M467" s="52">
        <v>4</v>
      </c>
      <c r="N467" s="63">
        <f>SUM(Tableau2[[#This Row],[Mathématique/20]]+Tableau2[[#This Row],[Français /20]])/2</f>
        <v>2</v>
      </c>
      <c r="O467" s="42">
        <v>15</v>
      </c>
      <c r="P467" s="52">
        <v>17.25</v>
      </c>
      <c r="Q467" s="63">
        <f>(Tableau2[[#This Row],[Mathématique /20]]+Tableau2[[#This Row],[Français /202]])/2</f>
        <v>16.125</v>
      </c>
      <c r="S467"/>
      <c r="T467"/>
      <c r="U467"/>
      <c r="V467"/>
    </row>
    <row r="468" spans="1:22" ht="16" x14ac:dyDescent="0.2">
      <c r="A468" s="10" t="s">
        <v>768</v>
      </c>
      <c r="B468" s="10" t="s">
        <v>115</v>
      </c>
      <c r="C468" s="10" t="s">
        <v>787</v>
      </c>
      <c r="D468" s="10" t="s">
        <v>786</v>
      </c>
      <c r="E468" s="10" t="s">
        <v>1040</v>
      </c>
      <c r="F468" s="9" t="s">
        <v>1025</v>
      </c>
      <c r="G468" s="10">
        <v>2024</v>
      </c>
      <c r="H468" s="10">
        <v>25</v>
      </c>
      <c r="I468" s="10">
        <f t="shared" si="16"/>
        <v>464</v>
      </c>
      <c r="J468" s="10" t="str">
        <f>Tableau2[[#This Row],[Annee d''inscription au programme]]&amp;"-"&amp;Tableau2[[#This Row],[Code d''ecole]]&amp;"-"&amp;Tableau2[[#This Row],[Numero HM de la femme]]</f>
        <v>2024-25-464</v>
      </c>
      <c r="K468" s="10">
        <f t="shared" si="17"/>
        <v>463</v>
      </c>
      <c r="L468" s="42">
        <v>5</v>
      </c>
      <c r="M468" s="52">
        <v>2.5</v>
      </c>
      <c r="N468" s="63">
        <f>SUM(Tableau2[[#This Row],[Mathématique/20]]+Tableau2[[#This Row],[Français /20]])/2</f>
        <v>3.75</v>
      </c>
      <c r="O468" s="42">
        <v>16</v>
      </c>
      <c r="P468" s="52">
        <v>17</v>
      </c>
      <c r="Q468" s="63">
        <f>(Tableau2[[#This Row],[Mathématique /20]]+Tableau2[[#This Row],[Français /202]])/2</f>
        <v>16.5</v>
      </c>
      <c r="S468"/>
      <c r="T468"/>
      <c r="U468"/>
      <c r="V468"/>
    </row>
    <row r="469" spans="1:22" ht="16" x14ac:dyDescent="0.2">
      <c r="A469" s="10" t="s">
        <v>768</v>
      </c>
      <c r="B469" s="10" t="s">
        <v>115</v>
      </c>
      <c r="C469" s="10" t="s">
        <v>788</v>
      </c>
      <c r="D469" s="10" t="s">
        <v>789</v>
      </c>
      <c r="E469" s="10" t="s">
        <v>1040</v>
      </c>
      <c r="F469" s="9" t="s">
        <v>1026</v>
      </c>
      <c r="G469" s="10">
        <v>2024</v>
      </c>
      <c r="H469" s="10">
        <v>25</v>
      </c>
      <c r="I469" s="10">
        <f t="shared" si="16"/>
        <v>465</v>
      </c>
      <c r="J469" s="10" t="str">
        <f>Tableau2[[#This Row],[Annee d''inscription au programme]]&amp;"-"&amp;Tableau2[[#This Row],[Code d''ecole]]&amp;"-"&amp;Tableau2[[#This Row],[Numero HM de la femme]]</f>
        <v>2024-25-465</v>
      </c>
      <c r="K469" s="10">
        <f t="shared" si="17"/>
        <v>464</v>
      </c>
      <c r="L469" s="42">
        <v>3</v>
      </c>
      <c r="M469" s="52">
        <v>6</v>
      </c>
      <c r="N469" s="63">
        <f>SUM(Tableau2[[#This Row],[Mathématique/20]]+Tableau2[[#This Row],[Français /20]])/2</f>
        <v>4.5</v>
      </c>
      <c r="O469" s="42">
        <v>16</v>
      </c>
      <c r="P469" s="52">
        <v>18.75</v>
      </c>
      <c r="Q469" s="63">
        <f>(Tableau2[[#This Row],[Mathématique /20]]+Tableau2[[#This Row],[Français /202]])/2</f>
        <v>17.375</v>
      </c>
      <c r="S469"/>
      <c r="T469"/>
      <c r="U469"/>
      <c r="V469"/>
    </row>
    <row r="470" spans="1:22" ht="16" x14ac:dyDescent="0.2">
      <c r="A470" s="10" t="s">
        <v>768</v>
      </c>
      <c r="B470" s="10" t="s">
        <v>115</v>
      </c>
      <c r="C470" s="10" t="s">
        <v>791</v>
      </c>
      <c r="D470" s="10" t="s">
        <v>790</v>
      </c>
      <c r="E470" s="10" t="s">
        <v>1040</v>
      </c>
      <c r="F470" s="9" t="s">
        <v>1026</v>
      </c>
      <c r="G470" s="10">
        <v>2024</v>
      </c>
      <c r="H470" s="10">
        <v>25</v>
      </c>
      <c r="I470" s="10">
        <f t="shared" si="16"/>
        <v>466</v>
      </c>
      <c r="J470" s="10" t="str">
        <f>Tableau2[[#This Row],[Annee d''inscription au programme]]&amp;"-"&amp;Tableau2[[#This Row],[Code d''ecole]]&amp;"-"&amp;Tableau2[[#This Row],[Numero HM de la femme]]</f>
        <v>2024-25-466</v>
      </c>
      <c r="K470" s="10">
        <f t="shared" si="17"/>
        <v>465</v>
      </c>
      <c r="L470" s="42">
        <v>5</v>
      </c>
      <c r="M470" s="52">
        <v>2</v>
      </c>
      <c r="N470" s="63">
        <f>SUM(Tableau2[[#This Row],[Mathématique/20]]+Tableau2[[#This Row],[Français /20]])/2</f>
        <v>3.5</v>
      </c>
      <c r="O470" s="42">
        <v>16</v>
      </c>
      <c r="P470" s="52">
        <v>17.25</v>
      </c>
      <c r="Q470" s="63">
        <f>(Tableau2[[#This Row],[Mathématique /20]]+Tableau2[[#This Row],[Français /202]])/2</f>
        <v>16.625</v>
      </c>
      <c r="S470"/>
      <c r="T470"/>
      <c r="U470"/>
      <c r="V470"/>
    </row>
    <row r="471" spans="1:22" ht="16" x14ac:dyDescent="0.2">
      <c r="A471" s="10" t="s">
        <v>768</v>
      </c>
      <c r="B471" s="10" t="s">
        <v>115</v>
      </c>
      <c r="C471" s="10" t="s">
        <v>792</v>
      </c>
      <c r="D471" s="10" t="s">
        <v>793</v>
      </c>
      <c r="E471" s="10" t="s">
        <v>1040</v>
      </c>
      <c r="F471" s="9" t="s">
        <v>1026</v>
      </c>
      <c r="G471" s="10">
        <v>2024</v>
      </c>
      <c r="H471" s="10">
        <v>25</v>
      </c>
      <c r="I471" s="10">
        <f t="shared" si="16"/>
        <v>467</v>
      </c>
      <c r="J471" s="10" t="str">
        <f>Tableau2[[#This Row],[Annee d''inscription au programme]]&amp;"-"&amp;Tableau2[[#This Row],[Code d''ecole]]&amp;"-"&amp;Tableau2[[#This Row],[Numero HM de la femme]]</f>
        <v>2024-25-467</v>
      </c>
      <c r="K471" s="10">
        <f t="shared" si="17"/>
        <v>466</v>
      </c>
      <c r="L471" s="42">
        <v>2</v>
      </c>
      <c r="M471" s="52">
        <v>0.75</v>
      </c>
      <c r="N471" s="63">
        <f>SUM(Tableau2[[#This Row],[Mathématique/20]]+Tableau2[[#This Row],[Français /20]])/2</f>
        <v>1.375</v>
      </c>
      <c r="O471" s="42">
        <v>16</v>
      </c>
      <c r="P471" s="52">
        <v>17.25</v>
      </c>
      <c r="Q471" s="63">
        <f>(Tableau2[[#This Row],[Mathématique /20]]+Tableau2[[#This Row],[Français /202]])/2</f>
        <v>16.625</v>
      </c>
      <c r="S471"/>
      <c r="T471"/>
      <c r="U471"/>
      <c r="V471"/>
    </row>
    <row r="472" spans="1:22" ht="16" x14ac:dyDescent="0.2">
      <c r="A472" s="10" t="s">
        <v>768</v>
      </c>
      <c r="B472" s="10" t="s">
        <v>115</v>
      </c>
      <c r="C472" s="10" t="s">
        <v>794</v>
      </c>
      <c r="D472" s="10" t="s">
        <v>795</v>
      </c>
      <c r="E472" s="10" t="s">
        <v>1040</v>
      </c>
      <c r="F472" s="9" t="s">
        <v>1025</v>
      </c>
      <c r="G472" s="10">
        <v>2024</v>
      </c>
      <c r="H472" s="10">
        <v>25</v>
      </c>
      <c r="I472" s="10">
        <f t="shared" si="16"/>
        <v>468</v>
      </c>
      <c r="J472" s="10" t="str">
        <f>Tableau2[[#This Row],[Annee d''inscription au programme]]&amp;"-"&amp;Tableau2[[#This Row],[Code d''ecole]]&amp;"-"&amp;Tableau2[[#This Row],[Numero HM de la femme]]</f>
        <v>2024-25-468</v>
      </c>
      <c r="K472" s="10">
        <f t="shared" si="17"/>
        <v>467</v>
      </c>
      <c r="L472" s="42">
        <v>6</v>
      </c>
      <c r="M472" s="52">
        <v>8</v>
      </c>
      <c r="N472" s="63">
        <f>SUM(Tableau2[[#This Row],[Mathématique/20]]+Tableau2[[#This Row],[Français /20]])/2</f>
        <v>7</v>
      </c>
      <c r="O472" s="42">
        <v>15</v>
      </c>
      <c r="P472" s="52">
        <v>17</v>
      </c>
      <c r="Q472" s="63">
        <f>(Tableau2[[#This Row],[Mathématique /20]]+Tableau2[[#This Row],[Français /202]])/2</f>
        <v>16</v>
      </c>
      <c r="S472"/>
      <c r="T472"/>
      <c r="U472"/>
      <c r="V472"/>
    </row>
    <row r="473" spans="1:22" ht="16" x14ac:dyDescent="0.2">
      <c r="A473" s="10" t="s">
        <v>768</v>
      </c>
      <c r="B473" s="10" t="s">
        <v>115</v>
      </c>
      <c r="C473" s="10" t="s">
        <v>796</v>
      </c>
      <c r="D473" s="10" t="s">
        <v>797</v>
      </c>
      <c r="E473" s="10" t="s">
        <v>1040</v>
      </c>
      <c r="F473" s="9" t="s">
        <v>1026</v>
      </c>
      <c r="G473" s="10">
        <v>2024</v>
      </c>
      <c r="H473" s="10">
        <v>25</v>
      </c>
      <c r="I473" s="10">
        <f t="shared" si="16"/>
        <v>469</v>
      </c>
      <c r="J473" s="10" t="str">
        <f>Tableau2[[#This Row],[Annee d''inscription au programme]]&amp;"-"&amp;Tableau2[[#This Row],[Code d''ecole]]&amp;"-"&amp;Tableau2[[#This Row],[Numero HM de la femme]]</f>
        <v>2024-25-469</v>
      </c>
      <c r="K473" s="10">
        <f t="shared" si="17"/>
        <v>468</v>
      </c>
      <c r="L473" s="42">
        <v>0</v>
      </c>
      <c r="M473" s="52">
        <v>2</v>
      </c>
      <c r="N473" s="63">
        <f>SUM(Tableau2[[#This Row],[Mathématique/20]]+Tableau2[[#This Row],[Français /20]])/2</f>
        <v>1</v>
      </c>
      <c r="O473" s="42">
        <v>8</v>
      </c>
      <c r="P473" s="52">
        <v>16.75</v>
      </c>
      <c r="Q473" s="63">
        <f>(Tableau2[[#This Row],[Mathématique /20]]+Tableau2[[#This Row],[Français /202]])/2</f>
        <v>12.375</v>
      </c>
      <c r="S473"/>
      <c r="T473"/>
      <c r="U473"/>
      <c r="V473"/>
    </row>
    <row r="474" spans="1:22" ht="16" x14ac:dyDescent="0.2">
      <c r="A474" s="10" t="s">
        <v>768</v>
      </c>
      <c r="B474" s="10" t="s">
        <v>115</v>
      </c>
      <c r="C474" s="10" t="s">
        <v>798</v>
      </c>
      <c r="D474" s="10" t="s">
        <v>774</v>
      </c>
      <c r="E474" s="10" t="s">
        <v>1040</v>
      </c>
      <c r="F474" s="9" t="s">
        <v>1026</v>
      </c>
      <c r="G474" s="10">
        <v>2024</v>
      </c>
      <c r="H474" s="10">
        <v>25</v>
      </c>
      <c r="I474" s="10">
        <f t="shared" si="16"/>
        <v>470</v>
      </c>
      <c r="J474" s="10" t="str">
        <f>Tableau2[[#This Row],[Annee d''inscription au programme]]&amp;"-"&amp;Tableau2[[#This Row],[Code d''ecole]]&amp;"-"&amp;Tableau2[[#This Row],[Numero HM de la femme]]</f>
        <v>2024-25-470</v>
      </c>
      <c r="K474" s="10">
        <f t="shared" si="17"/>
        <v>469</v>
      </c>
      <c r="L474" s="42">
        <v>0</v>
      </c>
      <c r="M474" s="52">
        <v>3.5</v>
      </c>
      <c r="N474" s="63">
        <f>SUM(Tableau2[[#This Row],[Mathématique/20]]+Tableau2[[#This Row],[Français /20]])/2</f>
        <v>1.75</v>
      </c>
      <c r="O474" s="42">
        <v>15</v>
      </c>
      <c r="P474" s="52">
        <v>17.25</v>
      </c>
      <c r="Q474" s="63">
        <f>(Tableau2[[#This Row],[Mathématique /20]]+Tableau2[[#This Row],[Français /202]])/2</f>
        <v>16.125</v>
      </c>
      <c r="S474"/>
      <c r="T474"/>
      <c r="U474"/>
      <c r="V474"/>
    </row>
    <row r="475" spans="1:22" ht="16" x14ac:dyDescent="0.2">
      <c r="A475" s="10" t="s">
        <v>768</v>
      </c>
      <c r="B475" s="10" t="s">
        <v>115</v>
      </c>
      <c r="C475" s="10" t="s">
        <v>799</v>
      </c>
      <c r="D475" s="10" t="s">
        <v>404</v>
      </c>
      <c r="E475" s="10" t="s">
        <v>1040</v>
      </c>
      <c r="F475" s="9" t="s">
        <v>1026</v>
      </c>
      <c r="G475" s="10">
        <v>2024</v>
      </c>
      <c r="H475" s="10">
        <v>25</v>
      </c>
      <c r="I475" s="10">
        <f t="shared" si="16"/>
        <v>471</v>
      </c>
      <c r="J475" s="10" t="str">
        <f>Tableau2[[#This Row],[Annee d''inscription au programme]]&amp;"-"&amp;Tableau2[[#This Row],[Code d''ecole]]&amp;"-"&amp;Tableau2[[#This Row],[Numero HM de la femme]]</f>
        <v>2024-25-471</v>
      </c>
      <c r="K475" s="10">
        <f t="shared" si="17"/>
        <v>470</v>
      </c>
      <c r="L475" s="42">
        <v>5</v>
      </c>
      <c r="M475" s="52">
        <v>3</v>
      </c>
      <c r="N475" s="63">
        <f>SUM(Tableau2[[#This Row],[Mathématique/20]]+Tableau2[[#This Row],[Français /20]])/2</f>
        <v>4</v>
      </c>
      <c r="O475" s="42">
        <v>15.75</v>
      </c>
      <c r="P475" s="52">
        <v>15</v>
      </c>
      <c r="Q475" s="63">
        <f>(Tableau2[[#This Row],[Mathématique /20]]+Tableau2[[#This Row],[Français /202]])/2</f>
        <v>15.375</v>
      </c>
      <c r="S475"/>
      <c r="T475"/>
      <c r="U475"/>
      <c r="V475"/>
    </row>
    <row r="476" spans="1:22" ht="16" x14ac:dyDescent="0.2">
      <c r="A476" s="10" t="s">
        <v>768</v>
      </c>
      <c r="B476" s="10" t="s">
        <v>115</v>
      </c>
      <c r="C476" s="10" t="s">
        <v>801</v>
      </c>
      <c r="D476" s="10" t="s">
        <v>800</v>
      </c>
      <c r="E476" s="10" t="s">
        <v>1040</v>
      </c>
      <c r="F476" s="9" t="s">
        <v>1026</v>
      </c>
      <c r="G476" s="10">
        <v>2024</v>
      </c>
      <c r="H476" s="10">
        <v>25</v>
      </c>
      <c r="I476" s="10">
        <f t="shared" si="16"/>
        <v>472</v>
      </c>
      <c r="J476" s="10" t="str">
        <f>Tableau2[[#This Row],[Annee d''inscription au programme]]&amp;"-"&amp;Tableau2[[#This Row],[Code d''ecole]]&amp;"-"&amp;Tableau2[[#This Row],[Numero HM de la femme]]</f>
        <v>2024-25-472</v>
      </c>
      <c r="K476" s="10">
        <f t="shared" si="17"/>
        <v>471</v>
      </c>
      <c r="L476" s="42">
        <v>0</v>
      </c>
      <c r="M476" s="52">
        <v>4</v>
      </c>
      <c r="N476" s="63">
        <f>SUM(Tableau2[[#This Row],[Mathématique/20]]+Tableau2[[#This Row],[Français /20]])/2</f>
        <v>2</v>
      </c>
      <c r="O476" s="42">
        <v>14</v>
      </c>
      <c r="P476" s="52">
        <v>14.25</v>
      </c>
      <c r="Q476" s="63">
        <f>(Tableau2[[#This Row],[Mathématique /20]]+Tableau2[[#This Row],[Français /202]])/2</f>
        <v>14.125</v>
      </c>
      <c r="S476"/>
      <c r="T476"/>
      <c r="U476"/>
      <c r="V476"/>
    </row>
    <row r="477" spans="1:22" ht="16" x14ac:dyDescent="0.2">
      <c r="A477" s="10" t="s">
        <v>768</v>
      </c>
      <c r="B477" s="10" t="s">
        <v>115</v>
      </c>
      <c r="C477" s="10" t="s">
        <v>802</v>
      </c>
      <c r="D477" s="10" t="s">
        <v>803</v>
      </c>
      <c r="E477" s="10" t="s">
        <v>1040</v>
      </c>
      <c r="F477" s="9" t="s">
        <v>1026</v>
      </c>
      <c r="G477" s="10">
        <v>2024</v>
      </c>
      <c r="H477" s="10">
        <v>25</v>
      </c>
      <c r="I477" s="10">
        <f t="shared" si="16"/>
        <v>473</v>
      </c>
      <c r="J477" s="10" t="str">
        <f>Tableau2[[#This Row],[Annee d''inscription au programme]]&amp;"-"&amp;Tableau2[[#This Row],[Code d''ecole]]&amp;"-"&amp;Tableau2[[#This Row],[Numero HM de la femme]]</f>
        <v>2024-25-473</v>
      </c>
      <c r="K477" s="10">
        <f t="shared" si="17"/>
        <v>472</v>
      </c>
      <c r="L477" s="42">
        <v>4</v>
      </c>
      <c r="M477" s="52">
        <v>5</v>
      </c>
      <c r="N477" s="63">
        <f>SUM(Tableau2[[#This Row],[Mathématique/20]]+Tableau2[[#This Row],[Français /20]])/2</f>
        <v>4.5</v>
      </c>
      <c r="O477" s="42">
        <v>16</v>
      </c>
      <c r="P477" s="52">
        <v>16.75</v>
      </c>
      <c r="Q477" s="63">
        <f>(Tableau2[[#This Row],[Mathématique /20]]+Tableau2[[#This Row],[Français /202]])/2</f>
        <v>16.375</v>
      </c>
      <c r="S477"/>
      <c r="T477"/>
      <c r="U477"/>
      <c r="V477"/>
    </row>
    <row r="478" spans="1:22" ht="16" x14ac:dyDescent="0.2">
      <c r="A478" s="10" t="s">
        <v>768</v>
      </c>
      <c r="B478" s="10" t="s">
        <v>115</v>
      </c>
      <c r="C478" s="10" t="s">
        <v>804</v>
      </c>
      <c r="D478" s="10" t="s">
        <v>404</v>
      </c>
      <c r="E478" s="10" t="s">
        <v>1040</v>
      </c>
      <c r="F478" s="9" t="s">
        <v>1026</v>
      </c>
      <c r="G478" s="10">
        <v>2024</v>
      </c>
      <c r="H478" s="10">
        <v>25</v>
      </c>
      <c r="I478" s="10">
        <f t="shared" si="16"/>
        <v>474</v>
      </c>
      <c r="J478" s="10" t="str">
        <f>Tableau2[[#This Row],[Annee d''inscription au programme]]&amp;"-"&amp;Tableau2[[#This Row],[Code d''ecole]]&amp;"-"&amp;Tableau2[[#This Row],[Numero HM de la femme]]</f>
        <v>2024-25-474</v>
      </c>
      <c r="K478" s="10">
        <f t="shared" si="17"/>
        <v>473</v>
      </c>
      <c r="L478" s="42">
        <v>3</v>
      </c>
      <c r="M478" s="52">
        <v>3.75</v>
      </c>
      <c r="N478" s="63">
        <f>SUM(Tableau2[[#This Row],[Mathématique/20]]+Tableau2[[#This Row],[Français /20]])/2</f>
        <v>3.375</v>
      </c>
      <c r="O478" s="42">
        <v>17</v>
      </c>
      <c r="P478" s="52">
        <v>16</v>
      </c>
      <c r="Q478" s="63">
        <f>(Tableau2[[#This Row],[Mathématique /20]]+Tableau2[[#This Row],[Français /202]])/2</f>
        <v>16.5</v>
      </c>
      <c r="S478"/>
      <c r="T478"/>
      <c r="U478"/>
      <c r="V478"/>
    </row>
    <row r="479" spans="1:22" ht="16" x14ac:dyDescent="0.2">
      <c r="A479" s="10" t="s">
        <v>768</v>
      </c>
      <c r="B479" s="10" t="s">
        <v>115</v>
      </c>
      <c r="C479" s="10" t="s">
        <v>805</v>
      </c>
      <c r="D479" s="10" t="s">
        <v>806</v>
      </c>
      <c r="E479" s="10" t="s">
        <v>1040</v>
      </c>
      <c r="F479" s="9" t="s">
        <v>1026</v>
      </c>
      <c r="G479" s="10">
        <v>2024</v>
      </c>
      <c r="H479" s="10">
        <v>25</v>
      </c>
      <c r="I479" s="10">
        <f t="shared" si="16"/>
        <v>475</v>
      </c>
      <c r="J479" s="10" t="str">
        <f>Tableau2[[#This Row],[Annee d''inscription au programme]]&amp;"-"&amp;Tableau2[[#This Row],[Code d''ecole]]&amp;"-"&amp;Tableau2[[#This Row],[Numero HM de la femme]]</f>
        <v>2024-25-475</v>
      </c>
      <c r="K479" s="10">
        <f t="shared" si="17"/>
        <v>474</v>
      </c>
      <c r="L479" s="42">
        <v>4</v>
      </c>
      <c r="M479" s="52">
        <v>2</v>
      </c>
      <c r="N479" s="63">
        <f>SUM(Tableau2[[#This Row],[Mathématique/20]]+Tableau2[[#This Row],[Français /20]])/2</f>
        <v>3</v>
      </c>
      <c r="O479" s="42">
        <v>13</v>
      </c>
      <c r="P479" s="52">
        <v>14.5</v>
      </c>
      <c r="Q479" s="63">
        <f>(Tableau2[[#This Row],[Mathématique /20]]+Tableau2[[#This Row],[Français /202]])/2</f>
        <v>13.75</v>
      </c>
      <c r="S479"/>
      <c r="T479"/>
      <c r="U479"/>
      <c r="V479"/>
    </row>
    <row r="480" spans="1:22" ht="16" x14ac:dyDescent="0.2">
      <c r="A480" s="10" t="s">
        <v>768</v>
      </c>
      <c r="B480" s="10" t="s">
        <v>115</v>
      </c>
      <c r="C480" s="10" t="s">
        <v>807</v>
      </c>
      <c r="D480" s="10" t="s">
        <v>808</v>
      </c>
      <c r="E480" s="10" t="s">
        <v>1040</v>
      </c>
      <c r="F480" s="9" t="s">
        <v>1025</v>
      </c>
      <c r="G480" s="10">
        <v>2024</v>
      </c>
      <c r="H480" s="10">
        <v>25</v>
      </c>
      <c r="I480" s="10">
        <f t="shared" si="16"/>
        <v>476</v>
      </c>
      <c r="J480" s="10" t="str">
        <f>Tableau2[[#This Row],[Annee d''inscription au programme]]&amp;"-"&amp;Tableau2[[#This Row],[Code d''ecole]]&amp;"-"&amp;Tableau2[[#This Row],[Numero HM de la femme]]</f>
        <v>2024-25-476</v>
      </c>
      <c r="K480" s="10">
        <f t="shared" si="17"/>
        <v>475</v>
      </c>
      <c r="L480" s="42">
        <v>6</v>
      </c>
      <c r="M480" s="52">
        <v>6</v>
      </c>
      <c r="N480" s="63">
        <f>SUM(Tableau2[[#This Row],[Mathématique/20]]+Tableau2[[#This Row],[Français /20]])/2</f>
        <v>6</v>
      </c>
      <c r="O480" s="42">
        <v>11</v>
      </c>
      <c r="P480" s="52">
        <v>12</v>
      </c>
      <c r="Q480" s="63">
        <f>(Tableau2[[#This Row],[Mathématique /20]]+Tableau2[[#This Row],[Français /202]])/2</f>
        <v>11.5</v>
      </c>
      <c r="S480"/>
      <c r="T480"/>
      <c r="U480"/>
      <c r="V480"/>
    </row>
    <row r="481" spans="1:22" ht="16" x14ac:dyDescent="0.2">
      <c r="A481" s="10" t="s">
        <v>768</v>
      </c>
      <c r="B481" s="10" t="s">
        <v>115</v>
      </c>
      <c r="C481" s="10" t="s">
        <v>809</v>
      </c>
      <c r="D481" s="10" t="s">
        <v>810</v>
      </c>
      <c r="E481" s="10" t="s">
        <v>1040</v>
      </c>
      <c r="F481" s="9" t="s">
        <v>1028</v>
      </c>
      <c r="G481" s="10">
        <v>2024</v>
      </c>
      <c r="H481" s="10">
        <v>25</v>
      </c>
      <c r="I481" s="10">
        <f t="shared" si="16"/>
        <v>477</v>
      </c>
      <c r="J481" s="10" t="str">
        <f>Tableau2[[#This Row],[Annee d''inscription au programme]]&amp;"-"&amp;Tableau2[[#This Row],[Code d''ecole]]&amp;"-"&amp;Tableau2[[#This Row],[Numero HM de la femme]]</f>
        <v>2024-25-477</v>
      </c>
      <c r="K481" s="10">
        <f t="shared" si="17"/>
        <v>476</v>
      </c>
      <c r="L481" s="42">
        <v>2</v>
      </c>
      <c r="M481" s="52">
        <v>4</v>
      </c>
      <c r="N481" s="63">
        <f>SUM(Tableau2[[#This Row],[Mathématique/20]]+Tableau2[[#This Row],[Français /20]])/2</f>
        <v>3</v>
      </c>
      <c r="O481" s="42">
        <v>15</v>
      </c>
      <c r="P481" s="52">
        <v>20</v>
      </c>
      <c r="Q481" s="63">
        <f>(Tableau2[[#This Row],[Mathématique /20]]+Tableau2[[#This Row],[Français /202]])/2</f>
        <v>17.5</v>
      </c>
      <c r="S481"/>
      <c r="T481"/>
      <c r="U481"/>
      <c r="V481"/>
    </row>
    <row r="482" spans="1:22" ht="16" x14ac:dyDescent="0.2">
      <c r="A482" s="10" t="s">
        <v>768</v>
      </c>
      <c r="B482" s="10" t="s">
        <v>115</v>
      </c>
      <c r="C482" s="10" t="s">
        <v>811</v>
      </c>
      <c r="D482" s="10" t="s">
        <v>812</v>
      </c>
      <c r="E482" s="10" t="s">
        <v>1040</v>
      </c>
      <c r="F482" s="9" t="s">
        <v>1026</v>
      </c>
      <c r="G482" s="10">
        <v>2024</v>
      </c>
      <c r="H482" s="10">
        <v>25</v>
      </c>
      <c r="I482" s="10">
        <f t="shared" si="16"/>
        <v>478</v>
      </c>
      <c r="J482" s="10" t="str">
        <f>Tableau2[[#This Row],[Annee d''inscription au programme]]&amp;"-"&amp;Tableau2[[#This Row],[Code d''ecole]]&amp;"-"&amp;Tableau2[[#This Row],[Numero HM de la femme]]</f>
        <v>2024-25-478</v>
      </c>
      <c r="K482" s="10">
        <f t="shared" si="17"/>
        <v>477</v>
      </c>
      <c r="L482" s="42">
        <v>0</v>
      </c>
      <c r="M482" s="52">
        <v>5.75</v>
      </c>
      <c r="N482" s="63">
        <f>SUM(Tableau2[[#This Row],[Mathématique/20]]+Tableau2[[#This Row],[Français /20]])/2</f>
        <v>2.875</v>
      </c>
      <c r="O482" s="42">
        <v>13</v>
      </c>
      <c r="P482" s="52">
        <v>14</v>
      </c>
      <c r="Q482" s="63">
        <f>(Tableau2[[#This Row],[Mathématique /20]]+Tableau2[[#This Row],[Français /202]])/2</f>
        <v>13.5</v>
      </c>
      <c r="S482"/>
      <c r="T482"/>
      <c r="U482"/>
      <c r="V482"/>
    </row>
    <row r="483" spans="1:22" ht="16" x14ac:dyDescent="0.2">
      <c r="A483" s="10" t="s">
        <v>768</v>
      </c>
      <c r="B483" s="10" t="s">
        <v>115</v>
      </c>
      <c r="C483" s="10" t="s">
        <v>813</v>
      </c>
      <c r="D483" s="10" t="s">
        <v>814</v>
      </c>
      <c r="E483" s="10" t="s">
        <v>1040</v>
      </c>
      <c r="F483" s="9" t="s">
        <v>1026</v>
      </c>
      <c r="G483" s="10">
        <v>2024</v>
      </c>
      <c r="H483" s="10">
        <v>25</v>
      </c>
      <c r="I483" s="10">
        <f t="shared" si="16"/>
        <v>479</v>
      </c>
      <c r="J483" s="10" t="str">
        <f>Tableau2[[#This Row],[Annee d''inscription au programme]]&amp;"-"&amp;Tableau2[[#This Row],[Code d''ecole]]&amp;"-"&amp;Tableau2[[#This Row],[Numero HM de la femme]]</f>
        <v>2024-25-479</v>
      </c>
      <c r="K483" s="10">
        <f t="shared" si="17"/>
        <v>478</v>
      </c>
      <c r="L483" s="42">
        <v>5</v>
      </c>
      <c r="M483" s="52">
        <v>6.5</v>
      </c>
      <c r="N483" s="63">
        <f>SUM(Tableau2[[#This Row],[Mathématique/20]]+Tableau2[[#This Row],[Français /20]])/2</f>
        <v>5.75</v>
      </c>
      <c r="O483" s="42">
        <v>16</v>
      </c>
      <c r="P483" s="52">
        <v>15.5</v>
      </c>
      <c r="Q483" s="63">
        <f>(Tableau2[[#This Row],[Mathématique /20]]+Tableau2[[#This Row],[Français /202]])/2</f>
        <v>15.75</v>
      </c>
      <c r="S483"/>
      <c r="T483"/>
      <c r="U483"/>
      <c r="V483"/>
    </row>
    <row r="484" spans="1:22" ht="16" x14ac:dyDescent="0.2">
      <c r="A484" s="10" t="s">
        <v>768</v>
      </c>
      <c r="B484" s="10" t="s">
        <v>115</v>
      </c>
      <c r="C484" s="10" t="s">
        <v>816</v>
      </c>
      <c r="D484" s="10" t="s">
        <v>815</v>
      </c>
      <c r="E484" s="10" t="s">
        <v>1040</v>
      </c>
      <c r="F484" s="9" t="s">
        <v>1026</v>
      </c>
      <c r="G484" s="10">
        <v>2024</v>
      </c>
      <c r="H484" s="10">
        <v>25</v>
      </c>
      <c r="I484" s="10">
        <f t="shared" si="16"/>
        <v>480</v>
      </c>
      <c r="J484" s="10" t="str">
        <f>Tableau2[[#This Row],[Annee d''inscription au programme]]&amp;"-"&amp;Tableau2[[#This Row],[Code d''ecole]]&amp;"-"&amp;Tableau2[[#This Row],[Numero HM de la femme]]</f>
        <v>2024-25-480</v>
      </c>
      <c r="K484" s="10">
        <f t="shared" si="17"/>
        <v>479</v>
      </c>
      <c r="L484" s="42">
        <v>2</v>
      </c>
      <c r="M484" s="52">
        <v>2</v>
      </c>
      <c r="N484" s="63">
        <f>SUM(Tableau2[[#This Row],[Mathématique/20]]+Tableau2[[#This Row],[Français /20]])/2</f>
        <v>2</v>
      </c>
      <c r="O484" s="42">
        <v>16</v>
      </c>
      <c r="P484" s="52">
        <v>16.25</v>
      </c>
      <c r="Q484" s="63">
        <f>(Tableau2[[#This Row],[Mathématique /20]]+Tableau2[[#This Row],[Français /202]])/2</f>
        <v>16.125</v>
      </c>
      <c r="S484"/>
      <c r="T484"/>
      <c r="U484"/>
      <c r="V484"/>
    </row>
    <row r="485" spans="1:22" ht="16" x14ac:dyDescent="0.2">
      <c r="A485" s="10" t="s">
        <v>768</v>
      </c>
      <c r="B485" s="10" t="s">
        <v>115</v>
      </c>
      <c r="C485" s="10" t="s">
        <v>817</v>
      </c>
      <c r="D485" s="10" t="s">
        <v>818</v>
      </c>
      <c r="E485" s="10" t="s">
        <v>1040</v>
      </c>
      <c r="F485" s="9" t="s">
        <v>1029</v>
      </c>
      <c r="G485" s="10">
        <v>2024</v>
      </c>
      <c r="H485" s="10">
        <v>25</v>
      </c>
      <c r="I485" s="10">
        <f t="shared" si="16"/>
        <v>481</v>
      </c>
      <c r="J485" s="10" t="str">
        <f>Tableau2[[#This Row],[Annee d''inscription au programme]]&amp;"-"&amp;Tableau2[[#This Row],[Code d''ecole]]&amp;"-"&amp;Tableau2[[#This Row],[Numero HM de la femme]]</f>
        <v>2024-25-481</v>
      </c>
      <c r="K485" s="10">
        <f t="shared" si="17"/>
        <v>480</v>
      </c>
      <c r="L485" s="42">
        <v>1</v>
      </c>
      <c r="M485" s="52">
        <v>8.5</v>
      </c>
      <c r="N485" s="63">
        <f>SUM(Tableau2[[#This Row],[Mathématique/20]]+Tableau2[[#This Row],[Français /20]])/2</f>
        <v>4.75</v>
      </c>
      <c r="O485" s="42">
        <v>17</v>
      </c>
      <c r="P485" s="52">
        <v>17.25</v>
      </c>
      <c r="Q485" s="63">
        <f>(Tableau2[[#This Row],[Mathématique /20]]+Tableau2[[#This Row],[Français /202]])/2</f>
        <v>17.125</v>
      </c>
      <c r="S485"/>
      <c r="T485"/>
      <c r="U485"/>
      <c r="V485"/>
    </row>
    <row r="486" spans="1:22" ht="16" x14ac:dyDescent="0.2">
      <c r="A486" s="10" t="s">
        <v>768</v>
      </c>
      <c r="B486" s="10" t="s">
        <v>115</v>
      </c>
      <c r="C486" s="10" t="s">
        <v>820</v>
      </c>
      <c r="D486" s="10" t="s">
        <v>819</v>
      </c>
      <c r="E486" s="10" t="s">
        <v>1040</v>
      </c>
      <c r="F486" s="9" t="s">
        <v>1026</v>
      </c>
      <c r="G486" s="10">
        <v>2024</v>
      </c>
      <c r="H486" s="10">
        <v>25</v>
      </c>
      <c r="I486" s="10">
        <f t="shared" si="16"/>
        <v>482</v>
      </c>
      <c r="J486" s="10" t="str">
        <f>Tableau2[[#This Row],[Annee d''inscription au programme]]&amp;"-"&amp;Tableau2[[#This Row],[Code d''ecole]]&amp;"-"&amp;Tableau2[[#This Row],[Numero HM de la femme]]</f>
        <v>2024-25-482</v>
      </c>
      <c r="K486" s="10">
        <f t="shared" si="17"/>
        <v>481</v>
      </c>
      <c r="L486" s="42">
        <v>4</v>
      </c>
      <c r="M486" s="52">
        <v>3.5</v>
      </c>
      <c r="N486" s="63">
        <f>SUM(Tableau2[[#This Row],[Mathématique/20]]+Tableau2[[#This Row],[Français /20]])/2</f>
        <v>3.75</v>
      </c>
      <c r="O486" s="42">
        <v>14</v>
      </c>
      <c r="P486" s="52">
        <v>16.5</v>
      </c>
      <c r="Q486" s="63">
        <f>(Tableau2[[#This Row],[Mathématique /20]]+Tableau2[[#This Row],[Français /202]])/2</f>
        <v>15.25</v>
      </c>
      <c r="S486"/>
      <c r="T486"/>
      <c r="U486"/>
      <c r="V486"/>
    </row>
    <row r="487" spans="1:22" ht="16" x14ac:dyDescent="0.2">
      <c r="A487" s="10" t="s">
        <v>768</v>
      </c>
      <c r="B487" s="10" t="s">
        <v>115</v>
      </c>
      <c r="C487" s="10" t="s">
        <v>821</v>
      </c>
      <c r="D487" s="10" t="s">
        <v>822</v>
      </c>
      <c r="E487" s="10" t="s">
        <v>1040</v>
      </c>
      <c r="F487" s="9" t="s">
        <v>1026</v>
      </c>
      <c r="G487" s="10">
        <v>2024</v>
      </c>
      <c r="H487" s="10">
        <v>25</v>
      </c>
      <c r="I487" s="10">
        <f t="shared" si="16"/>
        <v>483</v>
      </c>
      <c r="J487" s="10" t="str">
        <f>Tableau2[[#This Row],[Annee d''inscription au programme]]&amp;"-"&amp;Tableau2[[#This Row],[Code d''ecole]]&amp;"-"&amp;Tableau2[[#This Row],[Numero HM de la femme]]</f>
        <v>2024-25-483</v>
      </c>
      <c r="K487" s="10">
        <f t="shared" si="17"/>
        <v>482</v>
      </c>
      <c r="L487" s="42">
        <v>6</v>
      </c>
      <c r="M487" s="52">
        <v>9.5</v>
      </c>
      <c r="N487" s="63">
        <f>SUM(Tableau2[[#This Row],[Mathématique/20]]+Tableau2[[#This Row],[Français /20]])/2</f>
        <v>7.75</v>
      </c>
      <c r="O487" s="42">
        <v>16</v>
      </c>
      <c r="P487" s="52">
        <v>17.25</v>
      </c>
      <c r="Q487" s="63">
        <f>(Tableau2[[#This Row],[Mathématique /20]]+Tableau2[[#This Row],[Français /202]])/2</f>
        <v>16.625</v>
      </c>
      <c r="S487"/>
      <c r="T487"/>
      <c r="U487"/>
      <c r="V487"/>
    </row>
    <row r="488" spans="1:22" ht="16" x14ac:dyDescent="0.2">
      <c r="A488" s="10" t="s">
        <v>768</v>
      </c>
      <c r="B488" s="11" t="s">
        <v>115</v>
      </c>
      <c r="C488" s="11" t="s">
        <v>912</v>
      </c>
      <c r="D488" s="10" t="s">
        <v>326</v>
      </c>
      <c r="E488" s="10" t="s">
        <v>1040</v>
      </c>
      <c r="F488" s="9" t="s">
        <v>1025</v>
      </c>
      <c r="G488" s="10">
        <v>2024</v>
      </c>
      <c r="H488" s="10">
        <v>25</v>
      </c>
      <c r="I488" s="10">
        <f t="shared" si="16"/>
        <v>484</v>
      </c>
      <c r="J488" s="14" t="str">
        <f>Tableau2[[#This Row],[Annee d''inscription au programme]]&amp;"-"&amp;Tableau2[[#This Row],[Code d''ecole]]&amp;"-"&amp;Tableau2[[#This Row],[Numero HM de la femme]]</f>
        <v>2024-25-484</v>
      </c>
      <c r="K488" s="10">
        <f t="shared" si="17"/>
        <v>483</v>
      </c>
      <c r="L488" s="42">
        <v>8</v>
      </c>
      <c r="M488" s="52">
        <v>3.25</v>
      </c>
      <c r="N488" s="63">
        <f>SUM(Tableau2[[#This Row],[Mathématique/20]]+Tableau2[[#This Row],[Français /20]])/2</f>
        <v>5.625</v>
      </c>
      <c r="O488" s="42">
        <v>17</v>
      </c>
      <c r="P488" s="52">
        <v>18</v>
      </c>
      <c r="Q488" s="63">
        <f>(Tableau2[[#This Row],[Mathématique /20]]+Tableau2[[#This Row],[Français /202]])/2</f>
        <v>17.5</v>
      </c>
      <c r="S488"/>
      <c r="T488"/>
      <c r="U488"/>
      <c r="V488"/>
    </row>
    <row r="489" spans="1:22" ht="16" x14ac:dyDescent="0.2">
      <c r="A489" s="10" t="s">
        <v>768</v>
      </c>
      <c r="B489" s="10" t="s">
        <v>115</v>
      </c>
      <c r="C489" s="10" t="s">
        <v>964</v>
      </c>
      <c r="D489" s="10" t="s">
        <v>965</v>
      </c>
      <c r="E489" s="10" t="s">
        <v>1040</v>
      </c>
      <c r="F489" s="9" t="s">
        <v>1025</v>
      </c>
      <c r="G489" s="10">
        <v>2024</v>
      </c>
      <c r="H489" s="10">
        <v>25</v>
      </c>
      <c r="I489" s="10">
        <f t="shared" si="16"/>
        <v>485</v>
      </c>
      <c r="J489" s="10" t="str">
        <f>Tableau2[[#This Row],[Annee d''inscription au programme]]&amp;"-"&amp;Tableau2[[#This Row],[Code d''ecole]]&amp;"-"&amp;Tableau2[[#This Row],[Numero HM de la femme]]</f>
        <v>2024-25-485</v>
      </c>
      <c r="K489" s="10">
        <f t="shared" si="17"/>
        <v>484</v>
      </c>
      <c r="L489" s="42">
        <v>0</v>
      </c>
      <c r="M489" s="52">
        <v>1</v>
      </c>
      <c r="N489" s="63">
        <f>SUM(Tableau2[[#This Row],[Mathématique/20]]+Tableau2[[#This Row],[Français /20]])/2</f>
        <v>0.5</v>
      </c>
      <c r="O489" s="42">
        <v>16.5</v>
      </c>
      <c r="P489" s="52">
        <v>20</v>
      </c>
      <c r="Q489" s="63">
        <f>(Tableau2[[#This Row],[Mathématique /20]]+Tableau2[[#This Row],[Français /202]])/2</f>
        <v>18.25</v>
      </c>
      <c r="S489"/>
      <c r="T489"/>
      <c r="U489"/>
      <c r="V489"/>
    </row>
    <row r="490" spans="1:22" ht="16" x14ac:dyDescent="0.2">
      <c r="A490" s="10" t="s">
        <v>768</v>
      </c>
      <c r="B490" s="11" t="s">
        <v>115</v>
      </c>
      <c r="C490" s="11" t="s">
        <v>913</v>
      </c>
      <c r="D490" s="10" t="s">
        <v>914</v>
      </c>
      <c r="E490" s="10" t="s">
        <v>1040</v>
      </c>
      <c r="F490" s="9" t="s">
        <v>1025</v>
      </c>
      <c r="G490" s="10">
        <v>2024</v>
      </c>
      <c r="H490" s="10">
        <v>25</v>
      </c>
      <c r="I490" s="10">
        <f t="shared" si="16"/>
        <v>486</v>
      </c>
      <c r="J490" s="11" t="str">
        <f>Tableau2[[#This Row],[Annee d''inscription au programme]]&amp;"-"&amp;Tableau2[[#This Row],[Code d''ecole]]&amp;"-"&amp;Tableau2[[#This Row],[Numero HM de la femme]]</f>
        <v>2024-25-486</v>
      </c>
      <c r="K490" s="10">
        <f t="shared" si="17"/>
        <v>485</v>
      </c>
      <c r="L490" s="42">
        <v>8</v>
      </c>
      <c r="M490" s="52">
        <v>1.75</v>
      </c>
      <c r="N490" s="63">
        <f>SUM(Tableau2[[#This Row],[Mathématique/20]]+Tableau2[[#This Row],[Français /20]])/2</f>
        <v>4.875</v>
      </c>
      <c r="O490" s="42">
        <v>16</v>
      </c>
      <c r="P490" s="52">
        <v>18.75</v>
      </c>
      <c r="Q490" s="63">
        <f>(Tableau2[[#This Row],[Mathématique /20]]+Tableau2[[#This Row],[Français /202]])/2</f>
        <v>17.375</v>
      </c>
      <c r="S490"/>
      <c r="T490"/>
      <c r="U490"/>
      <c r="V490"/>
    </row>
    <row r="491" spans="1:22" ht="16" x14ac:dyDescent="0.2">
      <c r="A491" s="10" t="s">
        <v>823</v>
      </c>
      <c r="B491" s="10" t="s">
        <v>238</v>
      </c>
      <c r="C491" s="10" t="s">
        <v>824</v>
      </c>
      <c r="D491" s="10" t="s">
        <v>825</v>
      </c>
      <c r="E491" s="10" t="s">
        <v>1041</v>
      </c>
      <c r="F491" s="11" t="s">
        <v>1032</v>
      </c>
      <c r="G491" s="10">
        <v>2024</v>
      </c>
      <c r="H491" s="10">
        <v>40</v>
      </c>
      <c r="I491" s="10">
        <f>SUM(I490+1)</f>
        <v>487</v>
      </c>
      <c r="J491" s="10" t="str">
        <f>Tableau2[[#This Row],[Annee d''inscription au programme]]&amp;"-"&amp;Tableau2[[#This Row],[Code d''ecole]]&amp;"-"&amp;Tableau2[[#This Row],[Numero HM de la femme]]</f>
        <v>2024-40-487</v>
      </c>
      <c r="K491" s="10">
        <f t="shared" si="17"/>
        <v>486</v>
      </c>
      <c r="L491" s="42">
        <v>1.5</v>
      </c>
      <c r="M491" s="52">
        <v>2</v>
      </c>
      <c r="N491" s="63">
        <f>SUM(Tableau2[[#This Row],[Mathématique/20]]+Tableau2[[#This Row],[Français /20]])/2</f>
        <v>1.75</v>
      </c>
      <c r="O491" s="42">
        <v>10.5</v>
      </c>
      <c r="P491" s="52">
        <v>13.5</v>
      </c>
      <c r="Q491" s="63">
        <f>(Tableau2[[#This Row],[Mathématique /20]]+Tableau2[[#This Row],[Français /202]])/2</f>
        <v>12</v>
      </c>
      <c r="S491"/>
      <c r="T491"/>
      <c r="U491"/>
      <c r="V491"/>
    </row>
    <row r="492" spans="1:22" ht="16" x14ac:dyDescent="0.2">
      <c r="A492" s="10" t="s">
        <v>823</v>
      </c>
      <c r="B492" s="10" t="s">
        <v>238</v>
      </c>
      <c r="C492" s="10" t="s">
        <v>826</v>
      </c>
      <c r="D492" s="10" t="s">
        <v>827</v>
      </c>
      <c r="E492" s="10" t="s">
        <v>1041</v>
      </c>
      <c r="F492" s="11" t="s">
        <v>1032</v>
      </c>
      <c r="G492" s="10">
        <v>2024</v>
      </c>
      <c r="H492" s="10">
        <v>40</v>
      </c>
      <c r="I492" s="10">
        <f t="shared" si="16"/>
        <v>488</v>
      </c>
      <c r="J492" s="10" t="str">
        <f>Tableau2[[#This Row],[Annee d''inscription au programme]]&amp;"-"&amp;Tableau2[[#This Row],[Code d''ecole]]&amp;"-"&amp;Tableau2[[#This Row],[Numero HM de la femme]]</f>
        <v>2024-40-488</v>
      </c>
      <c r="K492" s="10">
        <f t="shared" si="17"/>
        <v>487</v>
      </c>
      <c r="L492" s="42">
        <v>3</v>
      </c>
      <c r="M492" s="52">
        <v>2</v>
      </c>
      <c r="N492" s="63">
        <f>SUM(Tableau2[[#This Row],[Mathématique/20]]+Tableau2[[#This Row],[Français /20]])/2</f>
        <v>2.5</v>
      </c>
      <c r="O492" s="42">
        <v>11</v>
      </c>
      <c r="P492" s="52">
        <v>12</v>
      </c>
      <c r="Q492" s="63">
        <f>(Tableau2[[#This Row],[Mathématique /20]]+Tableau2[[#This Row],[Français /202]])/2</f>
        <v>11.5</v>
      </c>
      <c r="S492"/>
      <c r="T492"/>
      <c r="U492"/>
      <c r="V492"/>
    </row>
    <row r="493" spans="1:22" ht="16" x14ac:dyDescent="0.2">
      <c r="A493" s="10" t="s">
        <v>823</v>
      </c>
      <c r="B493" s="10" t="s">
        <v>238</v>
      </c>
      <c r="C493" s="10" t="s">
        <v>828</v>
      </c>
      <c r="D493" s="10" t="s">
        <v>829</v>
      </c>
      <c r="E493" s="10" t="s">
        <v>1041</v>
      </c>
      <c r="F493" s="11" t="s">
        <v>1032</v>
      </c>
      <c r="G493" s="10">
        <v>2024</v>
      </c>
      <c r="H493" s="10">
        <v>40</v>
      </c>
      <c r="I493" s="10">
        <f t="shared" si="16"/>
        <v>489</v>
      </c>
      <c r="J493" s="10" t="str">
        <f>Tableau2[[#This Row],[Annee d''inscription au programme]]&amp;"-"&amp;Tableau2[[#This Row],[Code d''ecole]]&amp;"-"&amp;Tableau2[[#This Row],[Numero HM de la femme]]</f>
        <v>2024-40-489</v>
      </c>
      <c r="K493" s="10">
        <f t="shared" si="17"/>
        <v>488</v>
      </c>
      <c r="L493" s="42">
        <v>3</v>
      </c>
      <c r="M493" s="52">
        <v>4.5</v>
      </c>
      <c r="N493" s="63">
        <f>SUM(Tableau2[[#This Row],[Mathématique/20]]+Tableau2[[#This Row],[Français /20]])/2</f>
        <v>3.75</v>
      </c>
      <c r="O493" s="42">
        <v>10.5</v>
      </c>
      <c r="P493" s="52">
        <v>10</v>
      </c>
      <c r="Q493" s="63">
        <f>(Tableau2[[#This Row],[Mathématique /20]]+Tableau2[[#This Row],[Français /202]])/2</f>
        <v>10.25</v>
      </c>
      <c r="S493"/>
      <c r="T493"/>
      <c r="U493"/>
      <c r="V493"/>
    </row>
    <row r="494" spans="1:22" ht="16" x14ac:dyDescent="0.2">
      <c r="A494" s="10" t="s">
        <v>823</v>
      </c>
      <c r="B494" s="10" t="s">
        <v>238</v>
      </c>
      <c r="C494" s="10" t="s">
        <v>830</v>
      </c>
      <c r="D494" s="10" t="s">
        <v>831</v>
      </c>
      <c r="E494" s="10" t="s">
        <v>1041</v>
      </c>
      <c r="F494" s="11" t="s">
        <v>1032</v>
      </c>
      <c r="G494" s="10">
        <v>2024</v>
      </c>
      <c r="H494" s="10">
        <v>40</v>
      </c>
      <c r="I494" s="10">
        <f t="shared" si="16"/>
        <v>490</v>
      </c>
      <c r="J494" s="10" t="str">
        <f>Tableau2[[#This Row],[Annee d''inscription au programme]]&amp;"-"&amp;Tableau2[[#This Row],[Code d''ecole]]&amp;"-"&amp;Tableau2[[#This Row],[Numero HM de la femme]]</f>
        <v>2024-40-490</v>
      </c>
      <c r="K494" s="10">
        <f t="shared" si="17"/>
        <v>489</v>
      </c>
      <c r="L494" s="42">
        <v>3</v>
      </c>
      <c r="M494" s="52">
        <v>4</v>
      </c>
      <c r="N494" s="63">
        <f>SUM(Tableau2[[#This Row],[Mathématique/20]]+Tableau2[[#This Row],[Français /20]])/2</f>
        <v>3.5</v>
      </c>
      <c r="O494" s="42">
        <v>12</v>
      </c>
      <c r="P494" s="52">
        <v>14.5</v>
      </c>
      <c r="Q494" s="63">
        <f>(Tableau2[[#This Row],[Mathématique /20]]+Tableau2[[#This Row],[Français /202]])/2</f>
        <v>13.25</v>
      </c>
      <c r="S494"/>
      <c r="T494"/>
      <c r="U494"/>
      <c r="V494"/>
    </row>
    <row r="495" spans="1:22" ht="16" x14ac:dyDescent="0.2">
      <c r="A495" s="10" t="s">
        <v>823</v>
      </c>
      <c r="B495" s="10" t="s">
        <v>238</v>
      </c>
      <c r="C495" s="10" t="s">
        <v>832</v>
      </c>
      <c r="D495" s="10" t="s">
        <v>833</v>
      </c>
      <c r="E495" s="10" t="s">
        <v>1041</v>
      </c>
      <c r="F495" s="11" t="s">
        <v>1032</v>
      </c>
      <c r="G495" s="10">
        <v>2024</v>
      </c>
      <c r="H495" s="10">
        <v>40</v>
      </c>
      <c r="I495" s="10">
        <f t="shared" si="16"/>
        <v>491</v>
      </c>
      <c r="J495" s="10" t="str">
        <f>Tableau2[[#This Row],[Annee d''inscription au programme]]&amp;"-"&amp;Tableau2[[#This Row],[Code d''ecole]]&amp;"-"&amp;Tableau2[[#This Row],[Numero HM de la femme]]</f>
        <v>2024-40-491</v>
      </c>
      <c r="K495" s="10">
        <f t="shared" si="17"/>
        <v>490</v>
      </c>
      <c r="L495" s="42">
        <v>2</v>
      </c>
      <c r="M495" s="52">
        <v>2.5</v>
      </c>
      <c r="N495" s="63">
        <f>SUM(Tableau2[[#This Row],[Mathématique/20]]+Tableau2[[#This Row],[Français /20]])/2</f>
        <v>2.25</v>
      </c>
      <c r="O495" s="42">
        <v>13</v>
      </c>
      <c r="P495" s="52">
        <v>12.5</v>
      </c>
      <c r="Q495" s="63">
        <f>(Tableau2[[#This Row],[Mathématique /20]]+Tableau2[[#This Row],[Français /202]])/2</f>
        <v>12.75</v>
      </c>
      <c r="S495"/>
      <c r="T495"/>
      <c r="U495"/>
      <c r="V495"/>
    </row>
    <row r="496" spans="1:22" ht="16" x14ac:dyDescent="0.2">
      <c r="A496" s="10" t="s">
        <v>823</v>
      </c>
      <c r="B496" s="10" t="s">
        <v>238</v>
      </c>
      <c r="C496" s="10" t="s">
        <v>834</v>
      </c>
      <c r="D496" s="10" t="s">
        <v>835</v>
      </c>
      <c r="E496" s="10" t="s">
        <v>1041</v>
      </c>
      <c r="F496" s="11" t="s">
        <v>1032</v>
      </c>
      <c r="G496" s="10">
        <v>2024</v>
      </c>
      <c r="H496" s="10">
        <v>40</v>
      </c>
      <c r="I496" s="10">
        <f t="shared" si="16"/>
        <v>492</v>
      </c>
      <c r="J496" s="10" t="str">
        <f>Tableau2[[#This Row],[Annee d''inscription au programme]]&amp;"-"&amp;Tableau2[[#This Row],[Code d''ecole]]&amp;"-"&amp;Tableau2[[#This Row],[Numero HM de la femme]]</f>
        <v>2024-40-492</v>
      </c>
      <c r="K496" s="10">
        <f t="shared" si="17"/>
        <v>491</v>
      </c>
      <c r="L496" s="42">
        <v>5</v>
      </c>
      <c r="M496" s="52">
        <v>4</v>
      </c>
      <c r="N496" s="63">
        <f>SUM(Tableau2[[#This Row],[Mathématique/20]]+Tableau2[[#This Row],[Français /20]])/2</f>
        <v>4.5</v>
      </c>
      <c r="O496" s="42">
        <v>10.5</v>
      </c>
      <c r="P496" s="52">
        <v>17</v>
      </c>
      <c r="Q496" s="63">
        <f>(Tableau2[[#This Row],[Mathématique /20]]+Tableau2[[#This Row],[Français /202]])/2</f>
        <v>13.75</v>
      </c>
      <c r="S496"/>
      <c r="T496"/>
      <c r="U496"/>
      <c r="V496"/>
    </row>
    <row r="497" spans="1:22" ht="16" x14ac:dyDescent="0.2">
      <c r="A497" s="10" t="s">
        <v>823</v>
      </c>
      <c r="B497" s="10" t="s">
        <v>238</v>
      </c>
      <c r="C497" s="10" t="s">
        <v>464</v>
      </c>
      <c r="D497" s="10" t="s">
        <v>836</v>
      </c>
      <c r="E497" s="10" t="s">
        <v>1041</v>
      </c>
      <c r="F497" s="11" t="s">
        <v>1032</v>
      </c>
      <c r="G497" s="10">
        <v>2024</v>
      </c>
      <c r="H497" s="10">
        <v>40</v>
      </c>
      <c r="I497" s="10">
        <f t="shared" si="16"/>
        <v>493</v>
      </c>
      <c r="J497" s="10" t="str">
        <f>Tableau2[[#This Row],[Annee d''inscription au programme]]&amp;"-"&amp;Tableau2[[#This Row],[Code d''ecole]]&amp;"-"&amp;Tableau2[[#This Row],[Numero HM de la femme]]</f>
        <v>2024-40-493</v>
      </c>
      <c r="K497" s="10">
        <f t="shared" si="17"/>
        <v>492</v>
      </c>
      <c r="L497" s="42">
        <v>5</v>
      </c>
      <c r="M497" s="52">
        <v>3.25</v>
      </c>
      <c r="N497" s="63">
        <f>SUM(Tableau2[[#This Row],[Mathématique/20]]+Tableau2[[#This Row],[Français /20]])/2</f>
        <v>4.125</v>
      </c>
      <c r="O497" s="42">
        <v>11</v>
      </c>
      <c r="P497" s="52">
        <v>19</v>
      </c>
      <c r="Q497" s="63">
        <f>(Tableau2[[#This Row],[Mathématique /20]]+Tableau2[[#This Row],[Français /202]])/2</f>
        <v>15</v>
      </c>
      <c r="S497"/>
      <c r="T497"/>
      <c r="U497"/>
      <c r="V497"/>
    </row>
    <row r="498" spans="1:22" ht="16" x14ac:dyDescent="0.2">
      <c r="A498" s="10" t="s">
        <v>823</v>
      </c>
      <c r="B498" s="10" t="s">
        <v>238</v>
      </c>
      <c r="C498" s="10" t="s">
        <v>979</v>
      </c>
      <c r="D498" s="10" t="s">
        <v>837</v>
      </c>
      <c r="E498" s="10" t="s">
        <v>1041</v>
      </c>
      <c r="F498" s="11" t="s">
        <v>1032</v>
      </c>
      <c r="G498" s="10">
        <v>2024</v>
      </c>
      <c r="H498" s="10">
        <v>40</v>
      </c>
      <c r="I498" s="10">
        <f t="shared" si="16"/>
        <v>494</v>
      </c>
      <c r="J498" s="10" t="str">
        <f>Tableau2[[#This Row],[Annee d''inscription au programme]]&amp;"-"&amp;Tableau2[[#This Row],[Code d''ecole]]&amp;"-"&amp;Tableau2[[#This Row],[Numero HM de la femme]]</f>
        <v>2024-40-494</v>
      </c>
      <c r="K498" s="10">
        <f t="shared" si="17"/>
        <v>493</v>
      </c>
      <c r="L498" s="42">
        <v>7</v>
      </c>
      <c r="M498" s="52">
        <v>0.75</v>
      </c>
      <c r="N498" s="63">
        <f>SUM(Tableau2[[#This Row],[Mathématique/20]]+Tableau2[[#This Row],[Français /20]])/2</f>
        <v>3.875</v>
      </c>
      <c r="O498" s="42">
        <v>11</v>
      </c>
      <c r="P498" s="52">
        <v>17</v>
      </c>
      <c r="Q498" s="63">
        <f>(Tableau2[[#This Row],[Mathématique /20]]+Tableau2[[#This Row],[Français /202]])/2</f>
        <v>14</v>
      </c>
      <c r="S498"/>
      <c r="T498"/>
      <c r="U498"/>
      <c r="V498"/>
    </row>
    <row r="499" spans="1:22" ht="16" x14ac:dyDescent="0.2">
      <c r="A499" s="10" t="s">
        <v>823</v>
      </c>
      <c r="B499" s="10" t="s">
        <v>238</v>
      </c>
      <c r="C499" s="10" t="s">
        <v>838</v>
      </c>
      <c r="D499" s="10" t="s">
        <v>839</v>
      </c>
      <c r="E499" s="10" t="s">
        <v>1041</v>
      </c>
      <c r="F499" s="11" t="s">
        <v>1032</v>
      </c>
      <c r="G499" s="10">
        <v>2024</v>
      </c>
      <c r="H499" s="10">
        <v>40</v>
      </c>
      <c r="I499" s="10">
        <f t="shared" si="16"/>
        <v>495</v>
      </c>
      <c r="J499" s="10" t="str">
        <f>Tableau2[[#This Row],[Annee d''inscription au programme]]&amp;"-"&amp;Tableau2[[#This Row],[Code d''ecole]]&amp;"-"&amp;Tableau2[[#This Row],[Numero HM de la femme]]</f>
        <v>2024-40-495</v>
      </c>
      <c r="K499" s="10">
        <f t="shared" si="17"/>
        <v>494</v>
      </c>
      <c r="L499" s="42">
        <v>4</v>
      </c>
      <c r="M499" s="52">
        <v>4</v>
      </c>
      <c r="N499" s="63">
        <f>SUM(Tableau2[[#This Row],[Mathématique/20]]+Tableau2[[#This Row],[Français /20]])/2</f>
        <v>4</v>
      </c>
      <c r="O499" s="42">
        <v>12</v>
      </c>
      <c r="P499" s="52">
        <v>17</v>
      </c>
      <c r="Q499" s="63">
        <f>(Tableau2[[#This Row],[Mathématique /20]]+Tableau2[[#This Row],[Français /202]])/2</f>
        <v>14.5</v>
      </c>
      <c r="S499"/>
      <c r="T499"/>
      <c r="U499"/>
      <c r="V499"/>
    </row>
    <row r="500" spans="1:22" ht="16" x14ac:dyDescent="0.2">
      <c r="A500" s="10" t="s">
        <v>823</v>
      </c>
      <c r="B500" s="10" t="s">
        <v>238</v>
      </c>
      <c r="C500" s="10" t="s">
        <v>841</v>
      </c>
      <c r="D500" s="10" t="s">
        <v>840</v>
      </c>
      <c r="E500" s="10" t="s">
        <v>1041</v>
      </c>
      <c r="F500" s="11" t="s">
        <v>1032</v>
      </c>
      <c r="G500" s="10">
        <v>2024</v>
      </c>
      <c r="H500" s="10">
        <v>40</v>
      </c>
      <c r="I500" s="10">
        <f t="shared" si="16"/>
        <v>496</v>
      </c>
      <c r="J500" s="10" t="str">
        <f>Tableau2[[#This Row],[Annee d''inscription au programme]]&amp;"-"&amp;Tableau2[[#This Row],[Code d''ecole]]&amp;"-"&amp;Tableau2[[#This Row],[Numero HM de la femme]]</f>
        <v>2024-40-496</v>
      </c>
      <c r="K500" s="10">
        <f t="shared" si="17"/>
        <v>495</v>
      </c>
      <c r="L500" s="42">
        <v>6</v>
      </c>
      <c r="M500" s="52">
        <v>3</v>
      </c>
      <c r="N500" s="63">
        <f>SUM(Tableau2[[#This Row],[Mathématique/20]]+Tableau2[[#This Row],[Français /20]])/2</f>
        <v>4.5</v>
      </c>
      <c r="O500" s="42">
        <v>12</v>
      </c>
      <c r="P500" s="52">
        <v>20</v>
      </c>
      <c r="Q500" s="63">
        <f>(Tableau2[[#This Row],[Mathématique /20]]+Tableau2[[#This Row],[Français /202]])/2</f>
        <v>16</v>
      </c>
      <c r="S500"/>
      <c r="T500"/>
      <c r="U500"/>
      <c r="V500"/>
    </row>
    <row r="501" spans="1:22" ht="16" x14ac:dyDescent="0.2">
      <c r="A501" s="10" t="s">
        <v>823</v>
      </c>
      <c r="B501" s="10" t="s">
        <v>238</v>
      </c>
      <c r="C501" s="10" t="s">
        <v>843</v>
      </c>
      <c r="D501" s="10" t="s">
        <v>842</v>
      </c>
      <c r="E501" s="10" t="s">
        <v>1041</v>
      </c>
      <c r="F501" s="11" t="s">
        <v>1032</v>
      </c>
      <c r="G501" s="10">
        <v>2024</v>
      </c>
      <c r="H501" s="10">
        <v>40</v>
      </c>
      <c r="I501" s="10">
        <f t="shared" si="16"/>
        <v>497</v>
      </c>
      <c r="J501" s="10" t="str">
        <f>Tableau2[[#This Row],[Annee d''inscription au programme]]&amp;"-"&amp;Tableau2[[#This Row],[Code d''ecole]]&amp;"-"&amp;Tableau2[[#This Row],[Numero HM de la femme]]</f>
        <v>2024-40-497</v>
      </c>
      <c r="K501" s="10">
        <f t="shared" si="17"/>
        <v>496</v>
      </c>
      <c r="L501" s="42">
        <v>0</v>
      </c>
      <c r="M501" s="52">
        <v>2.5</v>
      </c>
      <c r="N501" s="63">
        <f>SUM(Tableau2[[#This Row],[Mathématique/20]]+Tableau2[[#This Row],[Français /20]])/2</f>
        <v>1.25</v>
      </c>
      <c r="O501" s="42">
        <v>11.5</v>
      </c>
      <c r="P501" s="52">
        <v>19</v>
      </c>
      <c r="Q501" s="63">
        <f>(Tableau2[[#This Row],[Mathématique /20]]+Tableau2[[#This Row],[Français /202]])/2</f>
        <v>15.25</v>
      </c>
      <c r="S501"/>
      <c r="T501"/>
      <c r="U501"/>
      <c r="V501"/>
    </row>
    <row r="502" spans="1:22" ht="16" x14ac:dyDescent="0.2">
      <c r="A502" s="10" t="s">
        <v>823</v>
      </c>
      <c r="B502" s="10" t="s">
        <v>238</v>
      </c>
      <c r="C502" s="10" t="s">
        <v>844</v>
      </c>
      <c r="D502" s="10" t="s">
        <v>845</v>
      </c>
      <c r="E502" s="10" t="s">
        <v>1041</v>
      </c>
      <c r="F502" s="11" t="s">
        <v>1032</v>
      </c>
      <c r="G502" s="10">
        <v>2024</v>
      </c>
      <c r="H502" s="10">
        <v>40</v>
      </c>
      <c r="I502" s="10">
        <f t="shared" si="16"/>
        <v>498</v>
      </c>
      <c r="J502" s="10" t="str">
        <f>Tableau2[[#This Row],[Annee d''inscription au programme]]&amp;"-"&amp;Tableau2[[#This Row],[Code d''ecole]]&amp;"-"&amp;Tableau2[[#This Row],[Numero HM de la femme]]</f>
        <v>2024-40-498</v>
      </c>
      <c r="K502" s="10">
        <f t="shared" si="17"/>
        <v>497</v>
      </c>
      <c r="L502" s="42">
        <v>3</v>
      </c>
      <c r="M502" s="52">
        <v>5</v>
      </c>
      <c r="N502" s="63">
        <f>SUM(Tableau2[[#This Row],[Mathématique/20]]+Tableau2[[#This Row],[Français /20]])/2</f>
        <v>4</v>
      </c>
      <c r="O502" s="42">
        <v>11</v>
      </c>
      <c r="P502" s="52">
        <v>20</v>
      </c>
      <c r="Q502" s="63">
        <f>(Tableau2[[#This Row],[Mathématique /20]]+Tableau2[[#This Row],[Français /202]])/2</f>
        <v>15.5</v>
      </c>
      <c r="S502"/>
      <c r="T502"/>
      <c r="U502"/>
      <c r="V502"/>
    </row>
    <row r="503" spans="1:22" ht="16" x14ac:dyDescent="0.2">
      <c r="A503" s="10" t="s">
        <v>823</v>
      </c>
      <c r="B503" s="10" t="s">
        <v>238</v>
      </c>
      <c r="C503" s="10" t="s">
        <v>846</v>
      </c>
      <c r="D503" s="10" t="s">
        <v>847</v>
      </c>
      <c r="E503" s="10" t="s">
        <v>1041</v>
      </c>
      <c r="F503" s="11" t="s">
        <v>1032</v>
      </c>
      <c r="G503" s="10">
        <v>2024</v>
      </c>
      <c r="H503" s="10">
        <v>40</v>
      </c>
      <c r="I503" s="10">
        <f t="shared" si="16"/>
        <v>499</v>
      </c>
      <c r="J503" s="10" t="str">
        <f>Tableau2[[#This Row],[Annee d''inscription au programme]]&amp;"-"&amp;Tableau2[[#This Row],[Code d''ecole]]&amp;"-"&amp;Tableau2[[#This Row],[Numero HM de la femme]]</f>
        <v>2024-40-499</v>
      </c>
      <c r="K503" s="10">
        <f t="shared" si="17"/>
        <v>498</v>
      </c>
      <c r="L503" s="42">
        <v>1</v>
      </c>
      <c r="M503" s="52">
        <v>7</v>
      </c>
      <c r="N503" s="63">
        <f>SUM(Tableau2[[#This Row],[Mathématique/20]]+Tableau2[[#This Row],[Français /20]])/2</f>
        <v>4</v>
      </c>
      <c r="O503" s="42">
        <v>10.5</v>
      </c>
      <c r="P503" s="52">
        <v>10.5</v>
      </c>
      <c r="Q503" s="63">
        <f>(Tableau2[[#This Row],[Mathématique /20]]+Tableau2[[#This Row],[Français /202]])/2</f>
        <v>10.5</v>
      </c>
      <c r="S503"/>
      <c r="T503"/>
      <c r="U503"/>
      <c r="V503"/>
    </row>
    <row r="504" spans="1:22" ht="16" x14ac:dyDescent="0.2">
      <c r="A504" s="10" t="s">
        <v>823</v>
      </c>
      <c r="B504" s="10" t="s">
        <v>238</v>
      </c>
      <c r="C504" s="10" t="s">
        <v>976</v>
      </c>
      <c r="D504" s="10" t="s">
        <v>977</v>
      </c>
      <c r="E504" s="10" t="s">
        <v>1041</v>
      </c>
      <c r="F504" s="11" t="s">
        <v>1032</v>
      </c>
      <c r="G504" s="10">
        <v>2024</v>
      </c>
      <c r="H504" s="10">
        <v>40</v>
      </c>
      <c r="I504" s="10">
        <v>333</v>
      </c>
      <c r="J504" s="10" t="str">
        <f>Tableau2[[#This Row],[Annee d''inscription au programme]]&amp;"-"&amp;Tableau2[[#This Row],[Code d''ecole]]&amp;"-"&amp;Tableau2[[#This Row],[Numero HM de la femme]]</f>
        <v>2024-40-333</v>
      </c>
      <c r="K504" s="10">
        <f t="shared" si="17"/>
        <v>499</v>
      </c>
      <c r="L504" s="42">
        <v>3.25</v>
      </c>
      <c r="M504" s="52">
        <v>5</v>
      </c>
      <c r="N504" s="63">
        <f>SUM(Tableau2[[#This Row],[Mathématique/20]]+Tableau2[[#This Row],[Français /20]])/2</f>
        <v>4.125</v>
      </c>
      <c r="O504" s="42">
        <v>12.5</v>
      </c>
      <c r="P504" s="52">
        <v>20</v>
      </c>
      <c r="Q504" s="63">
        <f>(Tableau2[[#This Row],[Mathématique /20]]+Tableau2[[#This Row],[Français /202]])/2</f>
        <v>16.25</v>
      </c>
      <c r="S504"/>
      <c r="T504"/>
      <c r="U504"/>
      <c r="V504"/>
    </row>
    <row r="505" spans="1:22" ht="16" x14ac:dyDescent="0.2">
      <c r="A505" s="10" t="s">
        <v>823</v>
      </c>
      <c r="B505" s="10" t="s">
        <v>238</v>
      </c>
      <c r="C505" s="10" t="s">
        <v>848</v>
      </c>
      <c r="D505" s="10" t="s">
        <v>849</v>
      </c>
      <c r="E505" s="10" t="s">
        <v>1041</v>
      </c>
      <c r="F505" s="11" t="s">
        <v>1032</v>
      </c>
      <c r="G505" s="10">
        <v>2024</v>
      </c>
      <c r="H505" s="10">
        <v>40</v>
      </c>
      <c r="I505" s="10">
        <v>501</v>
      </c>
      <c r="J505" s="10" t="str">
        <f>Tableau2[[#This Row],[Annee d''inscription au programme]]&amp;"-"&amp;Tableau2[[#This Row],[Code d''ecole]]&amp;"-"&amp;Tableau2[[#This Row],[Numero HM de la femme]]</f>
        <v>2024-40-501</v>
      </c>
      <c r="K505" s="10">
        <f t="shared" si="17"/>
        <v>500</v>
      </c>
      <c r="L505" s="42">
        <v>0</v>
      </c>
      <c r="M505" s="52">
        <v>1.5</v>
      </c>
      <c r="N505" s="63">
        <f>SUM(Tableau2[[#This Row],[Mathématique/20]]+Tableau2[[#This Row],[Français /20]])/2</f>
        <v>0.75</v>
      </c>
      <c r="O505" s="42">
        <v>12</v>
      </c>
      <c r="P505" s="52">
        <v>15</v>
      </c>
      <c r="Q505" s="63">
        <f>(Tableau2[[#This Row],[Mathématique /20]]+Tableau2[[#This Row],[Français /202]])/2</f>
        <v>13.5</v>
      </c>
      <c r="S505"/>
      <c r="T505"/>
      <c r="U505"/>
      <c r="V505"/>
    </row>
    <row r="506" spans="1:22" ht="16" x14ac:dyDescent="0.2">
      <c r="A506" s="10" t="s">
        <v>823</v>
      </c>
      <c r="B506" s="10" t="s">
        <v>238</v>
      </c>
      <c r="C506" s="10" t="s">
        <v>929</v>
      </c>
      <c r="D506" s="10" t="s">
        <v>850</v>
      </c>
      <c r="E506" s="10" t="s">
        <v>1041</v>
      </c>
      <c r="F506" s="11" t="s">
        <v>1032</v>
      </c>
      <c r="G506" s="10">
        <v>2023</v>
      </c>
      <c r="H506" s="10">
        <v>40</v>
      </c>
      <c r="I506" s="10">
        <v>323</v>
      </c>
      <c r="J506" s="10" t="str">
        <f>Tableau2[[#This Row],[Annee d''inscription au programme]]&amp;"-"&amp;Tableau2[[#This Row],[Code d''ecole]]&amp;"-"&amp;Tableau2[[#This Row],[Numero HM de la femme]]</f>
        <v>2023-40-323</v>
      </c>
      <c r="K506" s="10">
        <f t="shared" si="17"/>
        <v>501</v>
      </c>
      <c r="L506" s="42">
        <v>4</v>
      </c>
      <c r="M506" s="52">
        <v>4</v>
      </c>
      <c r="N506" s="63">
        <f>SUM(Tableau2[[#This Row],[Mathématique/20]]+Tableau2[[#This Row],[Français /20]])/2</f>
        <v>4</v>
      </c>
      <c r="O506" s="42" t="s">
        <v>1076</v>
      </c>
      <c r="P506" s="52"/>
      <c r="Q506" s="63"/>
      <c r="S506"/>
      <c r="T506"/>
      <c r="U506"/>
      <c r="V506"/>
    </row>
    <row r="507" spans="1:22" ht="16" x14ac:dyDescent="0.2">
      <c r="A507" s="10" t="s">
        <v>823</v>
      </c>
      <c r="B507" s="10" t="s">
        <v>238</v>
      </c>
      <c r="C507" s="10" t="s">
        <v>136</v>
      </c>
      <c r="D507" s="10" t="s">
        <v>851</v>
      </c>
      <c r="E507" s="10" t="s">
        <v>1041</v>
      </c>
      <c r="F507" s="11" t="s">
        <v>1032</v>
      </c>
      <c r="G507" s="10">
        <v>2024</v>
      </c>
      <c r="H507" s="10">
        <v>40</v>
      </c>
      <c r="I507" s="10">
        <v>503</v>
      </c>
      <c r="J507" s="10" t="str">
        <f>Tableau2[[#This Row],[Annee d''inscription au programme]]&amp;"-"&amp;Tableau2[[#This Row],[Code d''ecole]]&amp;"-"&amp;Tableau2[[#This Row],[Numero HM de la femme]]</f>
        <v>2024-40-503</v>
      </c>
      <c r="K507" s="10">
        <f t="shared" si="17"/>
        <v>502</v>
      </c>
      <c r="L507" s="42">
        <v>0</v>
      </c>
      <c r="M507" s="52">
        <v>0</v>
      </c>
      <c r="N507" s="63">
        <f>SUM(Tableau2[[#This Row],[Mathématique/20]]+Tableau2[[#This Row],[Français /20]])/2</f>
        <v>0</v>
      </c>
      <c r="O507" s="42">
        <v>12</v>
      </c>
      <c r="P507" s="52">
        <v>11.5</v>
      </c>
      <c r="Q507" s="63">
        <f>(Tableau2[[#This Row],[Mathématique /20]]+Tableau2[[#This Row],[Français /202]])/2</f>
        <v>11.75</v>
      </c>
      <c r="S507"/>
      <c r="T507"/>
      <c r="U507"/>
      <c r="V507"/>
    </row>
    <row r="508" spans="1:22" ht="16" x14ac:dyDescent="0.2">
      <c r="A508" s="10" t="s">
        <v>1016</v>
      </c>
      <c r="B508" s="10" t="s">
        <v>300</v>
      </c>
      <c r="C508" s="10" t="s">
        <v>852</v>
      </c>
      <c r="D508" s="10" t="s">
        <v>853</v>
      </c>
      <c r="E508" s="10" t="s">
        <v>1049</v>
      </c>
      <c r="F508" s="9" t="s">
        <v>1030</v>
      </c>
      <c r="G508" s="10">
        <v>2024</v>
      </c>
      <c r="H508" s="10">
        <v>61</v>
      </c>
      <c r="I508" s="10">
        <f t="shared" si="16"/>
        <v>504</v>
      </c>
      <c r="J508" s="10" t="str">
        <f>Tableau2[[#This Row],[Annee d''inscription au programme]]&amp;"-"&amp;Tableau2[[#This Row],[Code d''ecole]]&amp;"-"&amp;Tableau2[[#This Row],[Numero HM de la femme]]</f>
        <v>2024-61-504</v>
      </c>
      <c r="K508" s="10">
        <f t="shared" si="17"/>
        <v>503</v>
      </c>
      <c r="L508" s="42">
        <v>0</v>
      </c>
      <c r="M508" s="52">
        <v>0</v>
      </c>
      <c r="N508" s="63">
        <f>SUM(Tableau2[[#This Row],[Mathématique/20]]+Tableau2[[#This Row],[Français /20]])/2</f>
        <v>0</v>
      </c>
      <c r="O508" s="42">
        <v>10</v>
      </c>
      <c r="P508" s="52">
        <v>12</v>
      </c>
      <c r="Q508" s="63">
        <f>(Tableau2[[#This Row],[Mathématique /20]]+Tableau2[[#This Row],[Français /202]])/2</f>
        <v>11</v>
      </c>
      <c r="S508"/>
      <c r="T508"/>
      <c r="U508"/>
      <c r="V508"/>
    </row>
    <row r="509" spans="1:22" ht="16" x14ac:dyDescent="0.2">
      <c r="A509" s="10" t="s">
        <v>1016</v>
      </c>
      <c r="B509" s="10" t="s">
        <v>300</v>
      </c>
      <c r="C509" s="10" t="s">
        <v>854</v>
      </c>
      <c r="D509" s="10" t="s">
        <v>855</v>
      </c>
      <c r="E509" s="10" t="s">
        <v>1049</v>
      </c>
      <c r="F509" s="9" t="s">
        <v>1030</v>
      </c>
      <c r="G509" s="10">
        <v>2024</v>
      </c>
      <c r="H509" s="10">
        <v>61</v>
      </c>
      <c r="I509" s="10">
        <f t="shared" si="16"/>
        <v>505</v>
      </c>
      <c r="J509" s="10" t="str">
        <f>Tableau2[[#This Row],[Annee d''inscription au programme]]&amp;"-"&amp;Tableau2[[#This Row],[Code d''ecole]]&amp;"-"&amp;Tableau2[[#This Row],[Numero HM de la femme]]</f>
        <v>2024-61-505</v>
      </c>
      <c r="K509" s="10">
        <f t="shared" si="17"/>
        <v>504</v>
      </c>
      <c r="L509" s="42">
        <v>3</v>
      </c>
      <c r="M509" s="52">
        <v>4.5</v>
      </c>
      <c r="N509" s="63">
        <f>SUM(Tableau2[[#This Row],[Mathématique/20]]+Tableau2[[#This Row],[Français /20]])/2</f>
        <v>3.75</v>
      </c>
      <c r="O509" s="42">
        <v>10</v>
      </c>
      <c r="P509" s="52">
        <v>16.5</v>
      </c>
      <c r="Q509" s="63">
        <f>(Tableau2[[#This Row],[Mathématique /20]]+Tableau2[[#This Row],[Français /202]])/2</f>
        <v>13.25</v>
      </c>
      <c r="S509"/>
      <c r="T509"/>
      <c r="U509"/>
      <c r="V509"/>
    </row>
    <row r="510" spans="1:22" ht="16" x14ac:dyDescent="0.2">
      <c r="A510" s="10" t="s">
        <v>1016</v>
      </c>
      <c r="B510" s="10" t="s">
        <v>300</v>
      </c>
      <c r="C510" s="10" t="s">
        <v>856</v>
      </c>
      <c r="D510" s="10" t="s">
        <v>857</v>
      </c>
      <c r="E510" s="10" t="s">
        <v>1048</v>
      </c>
      <c r="F510" s="9" t="s">
        <v>1030</v>
      </c>
      <c r="G510" s="10">
        <v>2024</v>
      </c>
      <c r="H510" s="10">
        <v>61</v>
      </c>
      <c r="I510" s="10">
        <f t="shared" si="16"/>
        <v>506</v>
      </c>
      <c r="J510" s="10" t="str">
        <f>Tableau2[[#This Row],[Annee d''inscription au programme]]&amp;"-"&amp;Tableau2[[#This Row],[Code d''ecole]]&amp;"-"&amp;Tableau2[[#This Row],[Numero HM de la femme]]</f>
        <v>2024-61-506</v>
      </c>
      <c r="K510" s="10">
        <f t="shared" si="17"/>
        <v>505</v>
      </c>
      <c r="L510" s="42">
        <v>1</v>
      </c>
      <c r="M510" s="52">
        <v>0.5</v>
      </c>
      <c r="N510" s="63">
        <f>SUM(Tableau2[[#This Row],[Mathématique/20]]+Tableau2[[#This Row],[Français /20]])/2</f>
        <v>0.75</v>
      </c>
      <c r="O510" s="42">
        <v>10.5</v>
      </c>
      <c r="P510" s="52">
        <v>12.5</v>
      </c>
      <c r="Q510" s="63">
        <f>(Tableau2[[#This Row],[Mathématique /20]]+Tableau2[[#This Row],[Français /202]])/2</f>
        <v>11.5</v>
      </c>
      <c r="S510"/>
      <c r="T510"/>
      <c r="U510"/>
      <c r="V510"/>
    </row>
    <row r="511" spans="1:22" ht="16" x14ac:dyDescent="0.2">
      <c r="A511" s="10" t="s">
        <v>1016</v>
      </c>
      <c r="B511" s="10" t="s">
        <v>300</v>
      </c>
      <c r="C511" s="10" t="s">
        <v>858</v>
      </c>
      <c r="D511" s="10" t="s">
        <v>859</v>
      </c>
      <c r="E511" s="10" t="s">
        <v>1048</v>
      </c>
      <c r="F511" s="9" t="s">
        <v>1030</v>
      </c>
      <c r="G511" s="10">
        <v>2024</v>
      </c>
      <c r="H511" s="10">
        <v>61</v>
      </c>
      <c r="I511" s="10">
        <f t="shared" si="16"/>
        <v>507</v>
      </c>
      <c r="J511" s="10" t="str">
        <f>Tableau2[[#This Row],[Annee d''inscription au programme]]&amp;"-"&amp;Tableau2[[#This Row],[Code d''ecole]]&amp;"-"&amp;Tableau2[[#This Row],[Numero HM de la femme]]</f>
        <v>2024-61-507</v>
      </c>
      <c r="K511" s="10">
        <f t="shared" si="17"/>
        <v>506</v>
      </c>
      <c r="L511" s="42">
        <v>0</v>
      </c>
      <c r="M511" s="52">
        <v>1</v>
      </c>
      <c r="N511" s="63">
        <f>SUM(Tableau2[[#This Row],[Mathématique/20]]+Tableau2[[#This Row],[Français /20]])/2</f>
        <v>0.5</v>
      </c>
      <c r="O511" s="42">
        <v>10</v>
      </c>
      <c r="P511" s="52">
        <v>14</v>
      </c>
      <c r="Q511" s="63">
        <f>(Tableau2[[#This Row],[Mathématique /20]]+Tableau2[[#This Row],[Français /202]])/2</f>
        <v>12</v>
      </c>
      <c r="S511"/>
      <c r="T511"/>
      <c r="U511"/>
      <c r="V511"/>
    </row>
    <row r="512" spans="1:22" ht="16" x14ac:dyDescent="0.2">
      <c r="A512" s="10" t="s">
        <v>1016</v>
      </c>
      <c r="B512" s="10" t="s">
        <v>300</v>
      </c>
      <c r="C512" s="10" t="s">
        <v>861</v>
      </c>
      <c r="D512" s="10" t="s">
        <v>860</v>
      </c>
      <c r="E512" s="10" t="s">
        <v>1048</v>
      </c>
      <c r="F512" s="9" t="s">
        <v>1030</v>
      </c>
      <c r="G512" s="10">
        <v>2024</v>
      </c>
      <c r="H512" s="10">
        <v>61</v>
      </c>
      <c r="I512" s="10">
        <f t="shared" si="16"/>
        <v>508</v>
      </c>
      <c r="J512" s="10" t="str">
        <f>Tableau2[[#This Row],[Annee d''inscription au programme]]&amp;"-"&amp;Tableau2[[#This Row],[Code d''ecole]]&amp;"-"&amp;Tableau2[[#This Row],[Numero HM de la femme]]</f>
        <v>2024-61-508</v>
      </c>
      <c r="K512" s="10">
        <f t="shared" si="17"/>
        <v>507</v>
      </c>
      <c r="L512" s="42">
        <v>2.5</v>
      </c>
      <c r="M512" s="52">
        <v>3</v>
      </c>
      <c r="N512" s="63">
        <f>SUM(Tableau2[[#This Row],[Mathématique/20]]+Tableau2[[#This Row],[Français /20]])/2</f>
        <v>2.75</v>
      </c>
      <c r="O512" s="42">
        <v>11</v>
      </c>
      <c r="P512" s="52">
        <v>16.5</v>
      </c>
      <c r="Q512" s="63">
        <f>(Tableau2[[#This Row],[Mathématique /20]]+Tableau2[[#This Row],[Français /202]])/2</f>
        <v>13.75</v>
      </c>
      <c r="S512"/>
      <c r="T512"/>
      <c r="U512"/>
      <c r="V512"/>
    </row>
    <row r="513" spans="1:22" ht="16" x14ac:dyDescent="0.2">
      <c r="A513" s="10" t="s">
        <v>1016</v>
      </c>
      <c r="B513" s="10" t="s">
        <v>300</v>
      </c>
      <c r="C513" s="10" t="s">
        <v>862</v>
      </c>
      <c r="D513" s="10" t="s">
        <v>863</v>
      </c>
      <c r="E513" s="10" t="s">
        <v>1049</v>
      </c>
      <c r="F513" s="9" t="s">
        <v>1030</v>
      </c>
      <c r="G513" s="10">
        <v>2024</v>
      </c>
      <c r="H513" s="10">
        <v>61</v>
      </c>
      <c r="I513" s="10">
        <f t="shared" si="16"/>
        <v>509</v>
      </c>
      <c r="J513" s="10" t="str">
        <f>Tableau2[[#This Row],[Annee d''inscription au programme]]&amp;"-"&amp;Tableau2[[#This Row],[Code d''ecole]]&amp;"-"&amp;Tableau2[[#This Row],[Numero HM de la femme]]</f>
        <v>2024-61-509</v>
      </c>
      <c r="K513" s="10">
        <f t="shared" si="17"/>
        <v>508</v>
      </c>
      <c r="L513" s="42">
        <v>1.5</v>
      </c>
      <c r="M513" s="52">
        <v>2</v>
      </c>
      <c r="N513" s="63">
        <f>SUM(Tableau2[[#This Row],[Mathématique/20]]+Tableau2[[#This Row],[Français /20]])/2</f>
        <v>1.75</v>
      </c>
      <c r="O513" s="42">
        <v>11</v>
      </c>
      <c r="P513" s="52">
        <v>18.5</v>
      </c>
      <c r="Q513" s="63">
        <f>(Tableau2[[#This Row],[Mathématique /20]]+Tableau2[[#This Row],[Français /202]])/2</f>
        <v>14.75</v>
      </c>
      <c r="S513"/>
      <c r="T513"/>
      <c r="U513"/>
      <c r="V513"/>
    </row>
    <row r="514" spans="1:22" ht="16" x14ac:dyDescent="0.2">
      <c r="A514" s="10" t="s">
        <v>1016</v>
      </c>
      <c r="B514" s="10" t="s">
        <v>300</v>
      </c>
      <c r="C514" s="10" t="s">
        <v>865</v>
      </c>
      <c r="D514" s="10" t="s">
        <v>864</v>
      </c>
      <c r="E514" s="10" t="s">
        <v>1049</v>
      </c>
      <c r="F514" s="9" t="s">
        <v>1030</v>
      </c>
      <c r="G514" s="10">
        <v>2024</v>
      </c>
      <c r="H514" s="10">
        <v>61</v>
      </c>
      <c r="I514" s="10">
        <f t="shared" si="16"/>
        <v>510</v>
      </c>
      <c r="J514" s="10" t="str">
        <f>Tableau2[[#This Row],[Annee d''inscription au programme]]&amp;"-"&amp;Tableau2[[#This Row],[Code d''ecole]]&amp;"-"&amp;Tableau2[[#This Row],[Numero HM de la femme]]</f>
        <v>2024-61-510</v>
      </c>
      <c r="K514" s="10">
        <f t="shared" si="17"/>
        <v>509</v>
      </c>
      <c r="L514" s="42">
        <v>2</v>
      </c>
      <c r="M514" s="53">
        <v>5</v>
      </c>
      <c r="N514" s="63">
        <f>SUM(Tableau2[[#This Row],[Mathématique/20]]+Tableau2[[#This Row],[Français /20]])/2</f>
        <v>3.5</v>
      </c>
      <c r="O514" s="42">
        <v>13</v>
      </c>
      <c r="P514" s="52">
        <v>17</v>
      </c>
      <c r="Q514" s="63">
        <f>(Tableau2[[#This Row],[Mathématique /20]]+Tableau2[[#This Row],[Français /202]])/2</f>
        <v>15</v>
      </c>
      <c r="S514"/>
      <c r="T514"/>
      <c r="U514"/>
      <c r="V514"/>
    </row>
    <row r="515" spans="1:22" ht="16" x14ac:dyDescent="0.2">
      <c r="A515" s="10" t="s">
        <v>1016</v>
      </c>
      <c r="B515" s="10" t="s">
        <v>300</v>
      </c>
      <c r="C515" s="10" t="s">
        <v>866</v>
      </c>
      <c r="D515" s="10" t="s">
        <v>867</v>
      </c>
      <c r="E515" s="10" t="s">
        <v>1048</v>
      </c>
      <c r="F515" s="9" t="s">
        <v>1030</v>
      </c>
      <c r="G515" s="10">
        <v>2024</v>
      </c>
      <c r="H515" s="10">
        <v>61</v>
      </c>
      <c r="I515" s="10">
        <f t="shared" si="16"/>
        <v>511</v>
      </c>
      <c r="J515" s="10" t="str">
        <f>Tableau2[[#This Row],[Annee d''inscription au programme]]&amp;"-"&amp;Tableau2[[#This Row],[Code d''ecole]]&amp;"-"&amp;Tableau2[[#This Row],[Numero HM de la femme]]</f>
        <v>2024-61-511</v>
      </c>
      <c r="K515" s="10">
        <f t="shared" si="17"/>
        <v>510</v>
      </c>
      <c r="L515" s="42">
        <v>1</v>
      </c>
      <c r="M515" s="52">
        <v>1</v>
      </c>
      <c r="N515" s="63">
        <f>SUM(Tableau2[[#This Row],[Mathématique/20]]+Tableau2[[#This Row],[Français /20]])/2</f>
        <v>1</v>
      </c>
      <c r="O515" s="42">
        <v>11.5</v>
      </c>
      <c r="P515" s="52">
        <v>12</v>
      </c>
      <c r="Q515" s="63">
        <f>(Tableau2[[#This Row],[Mathématique /20]]+Tableau2[[#This Row],[Français /202]])/2</f>
        <v>11.75</v>
      </c>
      <c r="S515"/>
      <c r="T515"/>
      <c r="U515"/>
      <c r="V515"/>
    </row>
    <row r="516" spans="1:22" ht="16" x14ac:dyDescent="0.2">
      <c r="A516" s="10" t="s">
        <v>1016</v>
      </c>
      <c r="B516" s="10" t="s">
        <v>300</v>
      </c>
      <c r="C516" s="10" t="s">
        <v>869</v>
      </c>
      <c r="D516" s="10" t="s">
        <v>868</v>
      </c>
      <c r="E516" s="10" t="s">
        <v>1049</v>
      </c>
      <c r="F516" s="9" t="s">
        <v>1030</v>
      </c>
      <c r="G516" s="10">
        <v>2024</v>
      </c>
      <c r="H516" s="10">
        <v>61</v>
      </c>
      <c r="I516" s="10">
        <f t="shared" si="16"/>
        <v>512</v>
      </c>
      <c r="J516" s="10" t="str">
        <f>Tableau2[[#This Row],[Annee d''inscription au programme]]&amp;"-"&amp;Tableau2[[#This Row],[Code d''ecole]]&amp;"-"&amp;Tableau2[[#This Row],[Numero HM de la femme]]</f>
        <v>2024-61-512</v>
      </c>
      <c r="K516" s="10">
        <f t="shared" si="17"/>
        <v>511</v>
      </c>
      <c r="L516" s="42">
        <v>3</v>
      </c>
      <c r="M516" s="52">
        <v>3.25</v>
      </c>
      <c r="N516" s="63">
        <f>SUM(Tableau2[[#This Row],[Mathématique/20]]+Tableau2[[#This Row],[Français /20]])/2</f>
        <v>3.125</v>
      </c>
      <c r="O516" s="42">
        <v>10</v>
      </c>
      <c r="P516" s="52">
        <v>16</v>
      </c>
      <c r="Q516" s="63">
        <f>(Tableau2[[#This Row],[Mathématique /20]]+Tableau2[[#This Row],[Français /202]])/2</f>
        <v>13</v>
      </c>
      <c r="S516"/>
      <c r="T516"/>
      <c r="U516"/>
      <c r="V516"/>
    </row>
    <row r="517" spans="1:22" ht="16" x14ac:dyDescent="0.2">
      <c r="A517" s="10" t="s">
        <v>1016</v>
      </c>
      <c r="B517" s="10" t="s">
        <v>300</v>
      </c>
      <c r="C517" s="10" t="s">
        <v>870</v>
      </c>
      <c r="D517" s="10" t="s">
        <v>871</v>
      </c>
      <c r="E517" s="10" t="s">
        <v>1048</v>
      </c>
      <c r="F517" s="9" t="s">
        <v>1030</v>
      </c>
      <c r="G517" s="10">
        <v>2024</v>
      </c>
      <c r="H517" s="10">
        <v>61</v>
      </c>
      <c r="I517" s="10">
        <f t="shared" si="16"/>
        <v>513</v>
      </c>
      <c r="J517" s="10" t="str">
        <f>Tableau2[[#This Row],[Annee d''inscription au programme]]&amp;"-"&amp;Tableau2[[#This Row],[Code d''ecole]]&amp;"-"&amp;Tableau2[[#This Row],[Numero HM de la femme]]</f>
        <v>2024-61-513</v>
      </c>
      <c r="K517" s="10">
        <f t="shared" si="17"/>
        <v>512</v>
      </c>
      <c r="L517" s="42">
        <v>1.5</v>
      </c>
      <c r="M517" s="52">
        <v>1.5</v>
      </c>
      <c r="N517" s="63">
        <f>SUM(Tableau2[[#This Row],[Mathématique/20]]+Tableau2[[#This Row],[Français /20]])/2</f>
        <v>1.5</v>
      </c>
      <c r="O517" s="42">
        <v>13</v>
      </c>
      <c r="P517" s="52">
        <v>18</v>
      </c>
      <c r="Q517" s="63">
        <f>(Tableau2[[#This Row],[Mathématique /20]]+Tableau2[[#This Row],[Français /202]])/2</f>
        <v>15.5</v>
      </c>
      <c r="S517"/>
      <c r="T517"/>
      <c r="U517"/>
      <c r="V517"/>
    </row>
    <row r="518" spans="1:22" ht="16" x14ac:dyDescent="0.2">
      <c r="A518" s="10" t="s">
        <v>1016</v>
      </c>
      <c r="B518" s="10" t="s">
        <v>300</v>
      </c>
      <c r="C518" s="10" t="s">
        <v>991</v>
      </c>
      <c r="D518" s="10" t="s">
        <v>872</v>
      </c>
      <c r="E518" s="10" t="s">
        <v>1048</v>
      </c>
      <c r="F518" s="9" t="s">
        <v>1030</v>
      </c>
      <c r="G518" s="10">
        <v>2024</v>
      </c>
      <c r="H518" s="10">
        <v>61</v>
      </c>
      <c r="I518" s="10">
        <f t="shared" si="16"/>
        <v>514</v>
      </c>
      <c r="J518" s="10" t="str">
        <f>Tableau2[[#This Row],[Annee d''inscription au programme]]&amp;"-"&amp;Tableau2[[#This Row],[Code d''ecole]]&amp;"-"&amp;Tableau2[[#This Row],[Numero HM de la femme]]</f>
        <v>2024-61-514</v>
      </c>
      <c r="K518" s="10">
        <f t="shared" si="17"/>
        <v>513</v>
      </c>
      <c r="L518" s="42">
        <v>4</v>
      </c>
      <c r="M518" s="52">
        <v>4</v>
      </c>
      <c r="N518" s="63">
        <f>SUM(Tableau2[[#This Row],[Mathématique/20]]+Tableau2[[#This Row],[Français /20]])/2</f>
        <v>4</v>
      </c>
      <c r="O518" s="42">
        <v>11.5</v>
      </c>
      <c r="P518" s="52">
        <v>15</v>
      </c>
      <c r="Q518" s="63">
        <f>(Tableau2[[#This Row],[Mathématique /20]]+Tableau2[[#This Row],[Français /202]])/2</f>
        <v>13.25</v>
      </c>
      <c r="S518"/>
      <c r="T518"/>
      <c r="U518"/>
      <c r="V518"/>
    </row>
    <row r="519" spans="1:22" ht="16" x14ac:dyDescent="0.2">
      <c r="A519" s="10" t="s">
        <v>1016</v>
      </c>
      <c r="B519" s="10" t="s">
        <v>300</v>
      </c>
      <c r="C519" s="10" t="s">
        <v>873</v>
      </c>
      <c r="D519" s="10" t="s">
        <v>874</v>
      </c>
      <c r="E519" s="10" t="s">
        <v>1049</v>
      </c>
      <c r="F519" s="9" t="s">
        <v>1030</v>
      </c>
      <c r="G519" s="10">
        <v>2024</v>
      </c>
      <c r="H519" s="10">
        <v>61</v>
      </c>
      <c r="I519" s="10">
        <f t="shared" ref="I519:I548" si="18">SUM(I518+1)</f>
        <v>515</v>
      </c>
      <c r="J519" s="10" t="str">
        <f>Tableau2[[#This Row],[Annee d''inscription au programme]]&amp;"-"&amp;Tableau2[[#This Row],[Code d''ecole]]&amp;"-"&amp;Tableau2[[#This Row],[Numero HM de la femme]]</f>
        <v>2024-61-515</v>
      </c>
      <c r="K519" s="10">
        <f t="shared" si="17"/>
        <v>514</v>
      </c>
      <c r="L519" s="42">
        <v>2</v>
      </c>
      <c r="M519" s="52">
        <v>3.5</v>
      </c>
      <c r="N519" s="63">
        <f>SUM(Tableau2[[#This Row],[Mathématique/20]]+Tableau2[[#This Row],[Français /20]])/2</f>
        <v>2.75</v>
      </c>
      <c r="O519" s="42">
        <v>12</v>
      </c>
      <c r="P519" s="52">
        <v>14</v>
      </c>
      <c r="Q519" s="63">
        <f>(Tableau2[[#This Row],[Mathématique /20]]+Tableau2[[#This Row],[Français /202]])/2</f>
        <v>13</v>
      </c>
      <c r="S519"/>
      <c r="T519"/>
      <c r="U519"/>
      <c r="V519"/>
    </row>
    <row r="520" spans="1:22" ht="16" x14ac:dyDescent="0.2">
      <c r="A520" s="10" t="s">
        <v>1016</v>
      </c>
      <c r="B520" s="10" t="s">
        <v>300</v>
      </c>
      <c r="C520" s="10" t="s">
        <v>875</v>
      </c>
      <c r="D520" s="10" t="s">
        <v>876</v>
      </c>
      <c r="E520" s="10" t="s">
        <v>1049</v>
      </c>
      <c r="F520" s="9" t="s">
        <v>1030</v>
      </c>
      <c r="G520" s="10">
        <v>2024</v>
      </c>
      <c r="H520" s="10">
        <v>61</v>
      </c>
      <c r="I520" s="10">
        <f t="shared" si="18"/>
        <v>516</v>
      </c>
      <c r="J520" s="10" t="str">
        <f>Tableau2[[#This Row],[Annee d''inscription au programme]]&amp;"-"&amp;Tableau2[[#This Row],[Code d''ecole]]&amp;"-"&amp;Tableau2[[#This Row],[Numero HM de la femme]]</f>
        <v>2024-61-516</v>
      </c>
      <c r="K520" s="10">
        <f t="shared" si="17"/>
        <v>515</v>
      </c>
      <c r="L520" s="42">
        <v>0</v>
      </c>
      <c r="M520" s="52">
        <v>5</v>
      </c>
      <c r="N520" s="63">
        <f>SUM(Tableau2[[#This Row],[Mathématique/20]]+Tableau2[[#This Row],[Français /20]])/2</f>
        <v>2.5</v>
      </c>
      <c r="O520" s="42">
        <v>12</v>
      </c>
      <c r="P520" s="52">
        <v>3</v>
      </c>
      <c r="Q520" s="63">
        <f>(Tableau2[[#This Row],[Mathématique /20]]+Tableau2[[#This Row],[Français /202]])/2</f>
        <v>7.5</v>
      </c>
      <c r="S520"/>
      <c r="T520"/>
      <c r="U520"/>
      <c r="V520"/>
    </row>
    <row r="521" spans="1:22" ht="16" x14ac:dyDescent="0.2">
      <c r="A521" s="10" t="s">
        <v>1016</v>
      </c>
      <c r="B521" s="10" t="s">
        <v>300</v>
      </c>
      <c r="C521" s="10" t="s">
        <v>878</v>
      </c>
      <c r="D521" s="10" t="s">
        <v>877</v>
      </c>
      <c r="E521" s="10" t="s">
        <v>1048</v>
      </c>
      <c r="F521" s="9" t="s">
        <v>1030</v>
      </c>
      <c r="G521" s="10">
        <v>2024</v>
      </c>
      <c r="H521" s="10">
        <v>61</v>
      </c>
      <c r="I521" s="10">
        <f t="shared" si="18"/>
        <v>517</v>
      </c>
      <c r="J521" s="10" t="str">
        <f>Tableau2[[#This Row],[Annee d''inscription au programme]]&amp;"-"&amp;Tableau2[[#This Row],[Code d''ecole]]&amp;"-"&amp;Tableau2[[#This Row],[Numero HM de la femme]]</f>
        <v>2024-61-517</v>
      </c>
      <c r="K521" s="10">
        <f t="shared" ref="K521:K549" si="19">SUM(K520+1)</f>
        <v>516</v>
      </c>
      <c r="L521" s="42">
        <v>3</v>
      </c>
      <c r="M521" s="52">
        <v>2</v>
      </c>
      <c r="N521" s="63">
        <f>SUM(Tableau2[[#This Row],[Mathématique/20]]+Tableau2[[#This Row],[Français /20]])/2</f>
        <v>2.5</v>
      </c>
      <c r="O521" s="42">
        <v>15</v>
      </c>
      <c r="P521" s="52">
        <v>12.5</v>
      </c>
      <c r="Q521" s="63">
        <f>(Tableau2[[#This Row],[Mathématique /20]]+Tableau2[[#This Row],[Français /202]])/2</f>
        <v>13.75</v>
      </c>
      <c r="S521"/>
      <c r="T521"/>
      <c r="U521"/>
      <c r="V521"/>
    </row>
    <row r="522" spans="1:22" ht="16" x14ac:dyDescent="0.2">
      <c r="A522" s="10" t="s">
        <v>1016</v>
      </c>
      <c r="B522" s="10" t="s">
        <v>300</v>
      </c>
      <c r="C522" s="10" t="s">
        <v>879</v>
      </c>
      <c r="D522" s="10" t="s">
        <v>880</v>
      </c>
      <c r="E522" s="10" t="s">
        <v>1049</v>
      </c>
      <c r="F522" s="9" t="s">
        <v>1030</v>
      </c>
      <c r="G522" s="10">
        <v>2024</v>
      </c>
      <c r="H522" s="10">
        <v>61</v>
      </c>
      <c r="I522" s="10">
        <f t="shared" si="18"/>
        <v>518</v>
      </c>
      <c r="J522" s="10" t="str">
        <f>Tableau2[[#This Row],[Annee d''inscription au programme]]&amp;"-"&amp;Tableau2[[#This Row],[Code d''ecole]]&amp;"-"&amp;Tableau2[[#This Row],[Numero HM de la femme]]</f>
        <v>2024-61-518</v>
      </c>
      <c r="K522" s="10">
        <f t="shared" si="19"/>
        <v>517</v>
      </c>
      <c r="L522" s="42">
        <v>1.5</v>
      </c>
      <c r="M522" s="52">
        <v>0.5</v>
      </c>
      <c r="N522" s="63">
        <f>SUM(Tableau2[[#This Row],[Mathématique/20]]+Tableau2[[#This Row],[Français /20]])/2</f>
        <v>1</v>
      </c>
      <c r="O522" s="42">
        <v>10.5</v>
      </c>
      <c r="P522" s="52">
        <v>14</v>
      </c>
      <c r="Q522" s="63">
        <f>(Tableau2[[#This Row],[Mathématique /20]]+Tableau2[[#This Row],[Français /202]])/2</f>
        <v>12.25</v>
      </c>
      <c r="S522"/>
      <c r="T522"/>
      <c r="U522"/>
      <c r="V522"/>
    </row>
    <row r="523" spans="1:22" ht="16" x14ac:dyDescent="0.2">
      <c r="A523" s="10" t="s">
        <v>1016</v>
      </c>
      <c r="B523" s="10" t="s">
        <v>300</v>
      </c>
      <c r="C523" s="10" t="s">
        <v>934</v>
      </c>
      <c r="D523" s="10" t="s">
        <v>881</v>
      </c>
      <c r="E523" s="10" t="s">
        <v>1048</v>
      </c>
      <c r="F523" s="9" t="s">
        <v>1030</v>
      </c>
      <c r="G523" s="10">
        <v>2024</v>
      </c>
      <c r="H523" s="10">
        <v>61</v>
      </c>
      <c r="I523" s="10">
        <f t="shared" si="18"/>
        <v>519</v>
      </c>
      <c r="J523" s="10" t="str">
        <f>Tableau2[[#This Row],[Annee d''inscription au programme]]&amp;"-"&amp;Tableau2[[#This Row],[Code d''ecole]]&amp;"-"&amp;Tableau2[[#This Row],[Numero HM de la femme]]</f>
        <v>2024-61-519</v>
      </c>
      <c r="K523" s="10">
        <f t="shared" si="19"/>
        <v>518</v>
      </c>
      <c r="L523" s="42">
        <v>0.5</v>
      </c>
      <c r="M523" s="52">
        <v>1</v>
      </c>
      <c r="N523" s="63">
        <f>SUM(Tableau2[[#This Row],[Mathématique/20]]+Tableau2[[#This Row],[Français /20]])/2</f>
        <v>0.75</v>
      </c>
      <c r="O523" s="42">
        <v>14</v>
      </c>
      <c r="P523" s="52">
        <v>11</v>
      </c>
      <c r="Q523" s="63">
        <f>(Tableau2[[#This Row],[Mathématique /20]]+Tableau2[[#This Row],[Français /202]])/2</f>
        <v>12.5</v>
      </c>
      <c r="S523"/>
      <c r="T523"/>
      <c r="U523"/>
      <c r="V523"/>
    </row>
    <row r="524" spans="1:22" ht="16" x14ac:dyDescent="0.2">
      <c r="A524" s="10" t="s">
        <v>1016</v>
      </c>
      <c r="B524" s="10" t="s">
        <v>300</v>
      </c>
      <c r="C524" s="10" t="s">
        <v>883</v>
      </c>
      <c r="D524" s="10" t="s">
        <v>882</v>
      </c>
      <c r="E524" s="10" t="s">
        <v>1049</v>
      </c>
      <c r="F524" s="9" t="s">
        <v>1030</v>
      </c>
      <c r="G524" s="10">
        <v>2024</v>
      </c>
      <c r="H524" s="10">
        <v>61</v>
      </c>
      <c r="I524" s="10">
        <f t="shared" si="18"/>
        <v>520</v>
      </c>
      <c r="J524" s="10" t="str">
        <f>Tableau2[[#This Row],[Annee d''inscription au programme]]&amp;"-"&amp;Tableau2[[#This Row],[Code d''ecole]]&amp;"-"&amp;Tableau2[[#This Row],[Numero HM de la femme]]</f>
        <v>2024-61-520</v>
      </c>
      <c r="K524" s="10">
        <f t="shared" si="19"/>
        <v>519</v>
      </c>
      <c r="L524" s="42">
        <v>0</v>
      </c>
      <c r="M524" s="52">
        <v>0.5</v>
      </c>
      <c r="N524" s="63">
        <f>SUM(Tableau2[[#This Row],[Mathématique/20]]+Tableau2[[#This Row],[Français /20]])/2</f>
        <v>0.25</v>
      </c>
      <c r="O524" s="42">
        <v>13</v>
      </c>
      <c r="P524" s="52">
        <v>16</v>
      </c>
      <c r="Q524" s="63">
        <f>(Tableau2[[#This Row],[Mathématique /20]]+Tableau2[[#This Row],[Français /202]])/2</f>
        <v>14.5</v>
      </c>
      <c r="S524"/>
      <c r="T524"/>
      <c r="U524"/>
      <c r="V524"/>
    </row>
    <row r="525" spans="1:22" ht="16" x14ac:dyDescent="0.2">
      <c r="A525" s="10" t="s">
        <v>1016</v>
      </c>
      <c r="B525" s="10" t="s">
        <v>300</v>
      </c>
      <c r="C525" s="10" t="s">
        <v>884</v>
      </c>
      <c r="D525" s="10" t="s">
        <v>885</v>
      </c>
      <c r="E525" s="10" t="s">
        <v>1048</v>
      </c>
      <c r="F525" s="9" t="s">
        <v>1030</v>
      </c>
      <c r="G525" s="10">
        <v>2024</v>
      </c>
      <c r="H525" s="10">
        <v>61</v>
      </c>
      <c r="I525" s="10">
        <f t="shared" si="18"/>
        <v>521</v>
      </c>
      <c r="J525" s="10" t="str">
        <f>Tableau2[[#This Row],[Annee d''inscription au programme]]&amp;"-"&amp;Tableau2[[#This Row],[Code d''ecole]]&amp;"-"&amp;Tableau2[[#This Row],[Numero HM de la femme]]</f>
        <v>2024-61-521</v>
      </c>
      <c r="K525" s="10">
        <f t="shared" si="19"/>
        <v>520</v>
      </c>
      <c r="L525" s="42">
        <v>0</v>
      </c>
      <c r="M525" s="52">
        <v>3.5</v>
      </c>
      <c r="N525" s="63">
        <f>SUM(Tableau2[[#This Row],[Mathématique/20]]+Tableau2[[#This Row],[Français /20]])/2</f>
        <v>1.75</v>
      </c>
      <c r="O525" s="42">
        <v>13</v>
      </c>
      <c r="P525" s="52">
        <v>18.5</v>
      </c>
      <c r="Q525" s="63">
        <f>(Tableau2[[#This Row],[Mathématique /20]]+Tableau2[[#This Row],[Français /202]])/2</f>
        <v>15.75</v>
      </c>
      <c r="S525"/>
      <c r="T525"/>
      <c r="U525"/>
      <c r="V525"/>
    </row>
    <row r="526" spans="1:22" ht="16" x14ac:dyDescent="0.2">
      <c r="A526" s="10" t="s">
        <v>1016</v>
      </c>
      <c r="B526" s="10" t="s">
        <v>300</v>
      </c>
      <c r="C526" s="10" t="s">
        <v>886</v>
      </c>
      <c r="D526" s="10" t="s">
        <v>887</v>
      </c>
      <c r="E526" s="10" t="s">
        <v>1048</v>
      </c>
      <c r="F526" s="9" t="s">
        <v>1030</v>
      </c>
      <c r="G526" s="10">
        <v>2024</v>
      </c>
      <c r="H526" s="10">
        <v>61</v>
      </c>
      <c r="I526" s="10">
        <f t="shared" si="18"/>
        <v>522</v>
      </c>
      <c r="J526" s="10" t="str">
        <f>Tableau2[[#This Row],[Annee d''inscription au programme]]&amp;"-"&amp;Tableau2[[#This Row],[Code d''ecole]]&amp;"-"&amp;Tableau2[[#This Row],[Numero HM de la femme]]</f>
        <v>2024-61-522</v>
      </c>
      <c r="K526" s="10">
        <f t="shared" si="19"/>
        <v>521</v>
      </c>
      <c r="L526" s="42">
        <v>0</v>
      </c>
      <c r="M526" s="52">
        <v>2</v>
      </c>
      <c r="N526" s="63">
        <f>SUM(Tableau2[[#This Row],[Mathématique/20]]+Tableau2[[#This Row],[Français /20]])/2</f>
        <v>1</v>
      </c>
      <c r="O526" s="42">
        <v>10</v>
      </c>
      <c r="P526" s="52">
        <v>15</v>
      </c>
      <c r="Q526" s="63">
        <f>(Tableau2[[#This Row],[Mathématique /20]]+Tableau2[[#This Row],[Français /202]])/2</f>
        <v>12.5</v>
      </c>
      <c r="S526"/>
      <c r="T526"/>
      <c r="U526"/>
      <c r="V526"/>
    </row>
    <row r="527" spans="1:22" ht="16" x14ac:dyDescent="0.2">
      <c r="A527" s="10" t="s">
        <v>1016</v>
      </c>
      <c r="B527" s="10" t="s">
        <v>300</v>
      </c>
      <c r="C527" s="10" t="s">
        <v>889</v>
      </c>
      <c r="D527" s="10" t="s">
        <v>888</v>
      </c>
      <c r="E527" s="10" t="s">
        <v>1048</v>
      </c>
      <c r="F527" s="9" t="s">
        <v>1030</v>
      </c>
      <c r="G527" s="10">
        <v>2024</v>
      </c>
      <c r="H527" s="10">
        <v>61</v>
      </c>
      <c r="I527" s="10">
        <f t="shared" si="18"/>
        <v>523</v>
      </c>
      <c r="J527" s="10" t="str">
        <f>Tableau2[[#This Row],[Annee d''inscription au programme]]&amp;"-"&amp;Tableau2[[#This Row],[Code d''ecole]]&amp;"-"&amp;Tableau2[[#This Row],[Numero HM de la femme]]</f>
        <v>2024-61-523</v>
      </c>
      <c r="K527" s="10">
        <f t="shared" si="19"/>
        <v>522</v>
      </c>
      <c r="L527" s="42">
        <v>0</v>
      </c>
      <c r="M527" s="52">
        <v>4.5</v>
      </c>
      <c r="N527" s="63">
        <f>SUM(Tableau2[[#This Row],[Mathématique/20]]+Tableau2[[#This Row],[Français /20]])/2</f>
        <v>2.25</v>
      </c>
      <c r="O527" s="42">
        <v>11</v>
      </c>
      <c r="P527" s="52">
        <v>16</v>
      </c>
      <c r="Q527" s="63">
        <f>(Tableau2[[#This Row],[Mathématique /20]]+Tableau2[[#This Row],[Français /202]])/2</f>
        <v>13.5</v>
      </c>
      <c r="S527"/>
      <c r="T527"/>
      <c r="U527"/>
      <c r="V527"/>
    </row>
    <row r="528" spans="1:22" ht="16" x14ac:dyDescent="0.2">
      <c r="A528" s="10" t="s">
        <v>1016</v>
      </c>
      <c r="B528" s="10" t="s">
        <v>300</v>
      </c>
      <c r="C528" s="10" t="s">
        <v>890</v>
      </c>
      <c r="D528" s="10" t="s">
        <v>891</v>
      </c>
      <c r="E528" s="10" t="s">
        <v>1049</v>
      </c>
      <c r="F528" s="9" t="s">
        <v>1030</v>
      </c>
      <c r="G528" s="10">
        <v>2024</v>
      </c>
      <c r="H528" s="10">
        <v>61</v>
      </c>
      <c r="I528" s="10">
        <f t="shared" si="18"/>
        <v>524</v>
      </c>
      <c r="J528" s="10" t="str">
        <f>Tableau2[[#This Row],[Annee d''inscription au programme]]&amp;"-"&amp;Tableau2[[#This Row],[Code d''ecole]]&amp;"-"&amp;Tableau2[[#This Row],[Numero HM de la femme]]</f>
        <v>2024-61-524</v>
      </c>
      <c r="K528" s="10">
        <f t="shared" si="19"/>
        <v>523</v>
      </c>
      <c r="L528" s="42">
        <v>2</v>
      </c>
      <c r="M528" s="52">
        <v>4</v>
      </c>
      <c r="N528" s="63">
        <f>SUM(Tableau2[[#This Row],[Mathématique/20]]+Tableau2[[#This Row],[Français /20]])/2</f>
        <v>3</v>
      </c>
      <c r="O528" s="42">
        <v>10</v>
      </c>
      <c r="P528" s="52">
        <v>17</v>
      </c>
      <c r="Q528" s="63">
        <f>(Tableau2[[#This Row],[Mathématique /20]]+Tableau2[[#This Row],[Français /202]])/2</f>
        <v>13.5</v>
      </c>
      <c r="S528"/>
      <c r="T528"/>
      <c r="U528"/>
      <c r="V528"/>
    </row>
    <row r="529" spans="1:22" ht="16" x14ac:dyDescent="0.2">
      <c r="A529" s="10" t="s">
        <v>1016</v>
      </c>
      <c r="B529" s="10" t="s">
        <v>300</v>
      </c>
      <c r="C529" s="10" t="s">
        <v>893</v>
      </c>
      <c r="D529" s="10" t="s">
        <v>892</v>
      </c>
      <c r="E529" s="10" t="s">
        <v>1048</v>
      </c>
      <c r="F529" s="9" t="s">
        <v>1030</v>
      </c>
      <c r="G529" s="10">
        <v>2024</v>
      </c>
      <c r="H529" s="10">
        <v>61</v>
      </c>
      <c r="I529" s="10">
        <f t="shared" si="18"/>
        <v>525</v>
      </c>
      <c r="J529" s="10" t="str">
        <f>Tableau2[[#This Row],[Annee d''inscription au programme]]&amp;"-"&amp;Tableau2[[#This Row],[Code d''ecole]]&amp;"-"&amp;Tableau2[[#This Row],[Numero HM de la femme]]</f>
        <v>2024-61-525</v>
      </c>
      <c r="K529" s="10">
        <f t="shared" si="19"/>
        <v>524</v>
      </c>
      <c r="L529" s="42">
        <v>0</v>
      </c>
      <c r="M529" s="52">
        <v>0.5</v>
      </c>
      <c r="N529" s="63">
        <f>SUM(Tableau2[[#This Row],[Mathématique/20]]+Tableau2[[#This Row],[Français /20]])/2</f>
        <v>0.25</v>
      </c>
      <c r="O529" s="42">
        <v>13</v>
      </c>
      <c r="P529" s="52">
        <v>17.5</v>
      </c>
      <c r="Q529" s="63">
        <f>(Tableau2[[#This Row],[Mathématique /20]]+Tableau2[[#This Row],[Français /202]])/2</f>
        <v>15.25</v>
      </c>
      <c r="S529"/>
      <c r="T529"/>
      <c r="U529"/>
      <c r="V529"/>
    </row>
    <row r="530" spans="1:22" ht="16" x14ac:dyDescent="0.2">
      <c r="A530" s="10" t="s">
        <v>1016</v>
      </c>
      <c r="B530" s="10" t="s">
        <v>300</v>
      </c>
      <c r="C530" s="10" t="s">
        <v>894</v>
      </c>
      <c r="D530" s="10" t="s">
        <v>895</v>
      </c>
      <c r="E530" s="10" t="s">
        <v>1049</v>
      </c>
      <c r="F530" s="9" t="s">
        <v>1030</v>
      </c>
      <c r="G530" s="10">
        <v>2024</v>
      </c>
      <c r="H530" s="10">
        <v>61</v>
      </c>
      <c r="I530" s="10">
        <f t="shared" si="18"/>
        <v>526</v>
      </c>
      <c r="J530" s="10" t="str">
        <f>Tableau2[[#This Row],[Annee d''inscription au programme]]&amp;"-"&amp;Tableau2[[#This Row],[Code d''ecole]]&amp;"-"&amp;Tableau2[[#This Row],[Numero HM de la femme]]</f>
        <v>2024-61-526</v>
      </c>
      <c r="K530" s="10">
        <f t="shared" si="19"/>
        <v>525</v>
      </c>
      <c r="L530" s="42">
        <v>6</v>
      </c>
      <c r="M530" s="52">
        <v>6</v>
      </c>
      <c r="N530" s="63">
        <f>SUM(Tableau2[[#This Row],[Mathématique/20]]+Tableau2[[#This Row],[Français /20]])/2</f>
        <v>6</v>
      </c>
      <c r="O530" s="42">
        <v>10</v>
      </c>
      <c r="P530" s="52">
        <v>14</v>
      </c>
      <c r="Q530" s="63">
        <f>(Tableau2[[#This Row],[Mathématique /20]]+Tableau2[[#This Row],[Français /202]])/2</f>
        <v>12</v>
      </c>
      <c r="S530"/>
      <c r="T530"/>
      <c r="U530"/>
      <c r="V530"/>
    </row>
    <row r="531" spans="1:22" ht="16" x14ac:dyDescent="0.2">
      <c r="A531" s="10" t="s">
        <v>1016</v>
      </c>
      <c r="B531" s="10" t="s">
        <v>300</v>
      </c>
      <c r="C531" s="10" t="s">
        <v>897</v>
      </c>
      <c r="D531" s="10" t="s">
        <v>896</v>
      </c>
      <c r="E531" s="10" t="s">
        <v>1049</v>
      </c>
      <c r="F531" s="9" t="s">
        <v>1030</v>
      </c>
      <c r="G531" s="10">
        <v>2024</v>
      </c>
      <c r="H531" s="10">
        <v>61</v>
      </c>
      <c r="I531" s="10">
        <f t="shared" si="18"/>
        <v>527</v>
      </c>
      <c r="J531" s="10" t="str">
        <f>Tableau2[[#This Row],[Annee d''inscription au programme]]&amp;"-"&amp;Tableau2[[#This Row],[Code d''ecole]]&amp;"-"&amp;Tableau2[[#This Row],[Numero HM de la femme]]</f>
        <v>2024-61-527</v>
      </c>
      <c r="K531" s="10">
        <f t="shared" si="19"/>
        <v>526</v>
      </c>
      <c r="L531" s="42">
        <v>0</v>
      </c>
      <c r="M531" s="54">
        <v>2</v>
      </c>
      <c r="N531" s="63">
        <f>SUM(Tableau2[[#This Row],[Mathématique/20]]+Tableau2[[#This Row],[Français /20]])/2</f>
        <v>1</v>
      </c>
      <c r="O531" s="42">
        <v>10</v>
      </c>
      <c r="P531" s="52">
        <v>13.5</v>
      </c>
      <c r="Q531" s="63">
        <f>(Tableau2[[#This Row],[Mathématique /20]]+Tableau2[[#This Row],[Français /202]])/2</f>
        <v>11.75</v>
      </c>
      <c r="S531"/>
      <c r="T531"/>
      <c r="U531"/>
      <c r="V531"/>
    </row>
    <row r="532" spans="1:22" ht="16" x14ac:dyDescent="0.2">
      <c r="A532" s="10" t="s">
        <v>1016</v>
      </c>
      <c r="B532" s="10" t="s">
        <v>300</v>
      </c>
      <c r="C532" s="10" t="s">
        <v>898</v>
      </c>
      <c r="D532" s="10" t="s">
        <v>899</v>
      </c>
      <c r="E532" s="10" t="s">
        <v>1049</v>
      </c>
      <c r="F532" s="9" t="s">
        <v>1030</v>
      </c>
      <c r="G532" s="10">
        <v>2024</v>
      </c>
      <c r="H532" s="10">
        <v>61</v>
      </c>
      <c r="I532" s="10">
        <f t="shared" si="18"/>
        <v>528</v>
      </c>
      <c r="J532" s="10" t="str">
        <f>Tableau2[[#This Row],[Annee d''inscription au programme]]&amp;"-"&amp;Tableau2[[#This Row],[Code d''ecole]]&amp;"-"&amp;Tableau2[[#This Row],[Numero HM de la femme]]</f>
        <v>2024-61-528</v>
      </c>
      <c r="K532" s="10">
        <f t="shared" si="19"/>
        <v>527</v>
      </c>
      <c r="L532" s="42">
        <v>0</v>
      </c>
      <c r="M532" s="54">
        <v>2</v>
      </c>
      <c r="N532" s="63">
        <f>SUM(Tableau2[[#This Row],[Mathématique/20]]+Tableau2[[#This Row],[Français /20]])/2</f>
        <v>1</v>
      </c>
      <c r="O532" s="42">
        <v>10</v>
      </c>
      <c r="P532" s="52">
        <v>16</v>
      </c>
      <c r="Q532" s="63">
        <f>(Tableau2[[#This Row],[Mathématique /20]]+Tableau2[[#This Row],[Français /202]])/2</f>
        <v>13</v>
      </c>
      <c r="S532"/>
      <c r="T532"/>
      <c r="U532"/>
      <c r="V532"/>
    </row>
    <row r="533" spans="1:22" ht="16" x14ac:dyDescent="0.2">
      <c r="A533" s="10" t="s">
        <v>1016</v>
      </c>
      <c r="B533" s="10" t="s">
        <v>300</v>
      </c>
      <c r="C533" s="10" t="s">
        <v>932</v>
      </c>
      <c r="D533" s="10" t="s">
        <v>933</v>
      </c>
      <c r="E533" s="10" t="s">
        <v>1048</v>
      </c>
      <c r="F533" s="9" t="s">
        <v>1030</v>
      </c>
      <c r="G533" s="10">
        <v>2024</v>
      </c>
      <c r="H533" s="10">
        <v>61</v>
      </c>
      <c r="I533" s="10">
        <f t="shared" si="18"/>
        <v>529</v>
      </c>
      <c r="J533" s="10" t="str">
        <f>Tableau2[[#This Row],[Annee d''inscription au programme]]&amp;"-"&amp;Tableau2[[#This Row],[Code d''ecole]]&amp;"-"&amp;Tableau2[[#This Row],[Numero HM de la femme]]</f>
        <v>2024-61-529</v>
      </c>
      <c r="K533" s="10">
        <f t="shared" si="19"/>
        <v>528</v>
      </c>
      <c r="L533" s="43">
        <v>0.5</v>
      </c>
      <c r="M533" s="53">
        <v>1.25</v>
      </c>
      <c r="N533" s="63">
        <f>SUM(Tableau2[[#This Row],[Mathématique/20]]+Tableau2[[#This Row],[Français /20]])/2</f>
        <v>0.875</v>
      </c>
      <c r="O533" s="42">
        <v>10.5</v>
      </c>
      <c r="P533" s="52">
        <v>14.5</v>
      </c>
      <c r="Q533" s="63">
        <f>(Tableau2[[#This Row],[Mathématique /20]]+Tableau2[[#This Row],[Français /202]])/2</f>
        <v>12.5</v>
      </c>
      <c r="S533"/>
      <c r="T533"/>
      <c r="U533"/>
      <c r="V533"/>
    </row>
    <row r="534" spans="1:22" ht="16" x14ac:dyDescent="0.2">
      <c r="A534" s="10" t="s">
        <v>1016</v>
      </c>
      <c r="B534" s="10" t="s">
        <v>300</v>
      </c>
      <c r="C534" s="10" t="s">
        <v>247</v>
      </c>
      <c r="D534" s="10" t="s">
        <v>900</v>
      </c>
      <c r="E534" s="10" t="s">
        <v>1049</v>
      </c>
      <c r="F534" s="9" t="s">
        <v>1030</v>
      </c>
      <c r="G534" s="10">
        <v>2024</v>
      </c>
      <c r="H534" s="10">
        <v>61</v>
      </c>
      <c r="I534" s="10">
        <f t="shared" si="18"/>
        <v>530</v>
      </c>
      <c r="J534" s="10" t="str">
        <f>Tableau2[[#This Row],[Annee d''inscription au programme]]&amp;"-"&amp;Tableau2[[#This Row],[Code d''ecole]]&amp;"-"&amp;Tableau2[[#This Row],[Numero HM de la femme]]</f>
        <v>2024-61-530</v>
      </c>
      <c r="K534" s="10">
        <f t="shared" si="19"/>
        <v>529</v>
      </c>
      <c r="L534" s="43">
        <v>2</v>
      </c>
      <c r="M534" s="53">
        <v>5</v>
      </c>
      <c r="N534" s="63">
        <f>SUM(Tableau2[[#This Row],[Mathématique/20]]+Tableau2[[#This Row],[Français /20]])/2</f>
        <v>3.5</v>
      </c>
      <c r="O534" s="42" t="s">
        <v>1077</v>
      </c>
      <c r="P534" s="52"/>
      <c r="Q534" s="63"/>
      <c r="S534"/>
      <c r="T534"/>
      <c r="U534"/>
      <c r="V534"/>
    </row>
    <row r="535" spans="1:22" ht="16" x14ac:dyDescent="0.2">
      <c r="A535" s="10" t="s">
        <v>1016</v>
      </c>
      <c r="B535" s="10" t="s">
        <v>300</v>
      </c>
      <c r="C535" s="10" t="s">
        <v>902</v>
      </c>
      <c r="D535" s="10" t="s">
        <v>901</v>
      </c>
      <c r="E535" s="10" t="s">
        <v>1048</v>
      </c>
      <c r="F535" s="9" t="s">
        <v>1031</v>
      </c>
      <c r="G535" s="10">
        <v>2024</v>
      </c>
      <c r="H535" s="10">
        <v>61</v>
      </c>
      <c r="I535" s="10">
        <f t="shared" si="18"/>
        <v>531</v>
      </c>
      <c r="J535" s="10" t="str">
        <f>Tableau2[[#This Row],[Annee d''inscription au programme]]&amp;"-"&amp;Tableau2[[#This Row],[Code d''ecole]]&amp;"-"&amp;Tableau2[[#This Row],[Numero HM de la femme]]</f>
        <v>2024-61-531</v>
      </c>
      <c r="K535" s="10">
        <f t="shared" si="19"/>
        <v>530</v>
      </c>
      <c r="L535" s="42">
        <v>8</v>
      </c>
      <c r="M535" s="53">
        <v>12.5</v>
      </c>
      <c r="N535" s="63">
        <f>SUM(Tableau2[[#This Row],[Mathématique/20]]+Tableau2[[#This Row],[Français /20]])/2</f>
        <v>10.25</v>
      </c>
      <c r="O535" s="42">
        <v>11</v>
      </c>
      <c r="P535" s="52">
        <v>20</v>
      </c>
      <c r="Q535" s="63">
        <f>(Tableau2[[#This Row],[Mathématique /20]]+Tableau2[[#This Row],[Français /202]])/2</f>
        <v>15.5</v>
      </c>
      <c r="S535"/>
      <c r="T535"/>
      <c r="U535"/>
      <c r="V535"/>
    </row>
    <row r="536" spans="1:22" ht="16" x14ac:dyDescent="0.2">
      <c r="A536" s="10" t="s">
        <v>496</v>
      </c>
      <c r="B536" s="10" t="s">
        <v>952</v>
      </c>
      <c r="C536" s="10" t="s">
        <v>946</v>
      </c>
      <c r="D536" s="10" t="s">
        <v>947</v>
      </c>
      <c r="E536" s="10" t="s">
        <v>1057</v>
      </c>
      <c r="F536" s="9" t="s">
        <v>1015</v>
      </c>
      <c r="G536" s="10">
        <v>2024</v>
      </c>
      <c r="H536" s="10">
        <v>31</v>
      </c>
      <c r="I536" s="10">
        <f t="shared" si="18"/>
        <v>532</v>
      </c>
      <c r="J536" s="10" t="str">
        <f>Tableau2[[#This Row],[Annee d''inscription au programme]]&amp;"-"&amp;Tableau2[[#This Row],[Code d''ecole]]&amp;"-"&amp;Tableau2[[#This Row],[Numero HM de la femme]]</f>
        <v>2024-31-532</v>
      </c>
      <c r="K536" s="10">
        <f t="shared" si="19"/>
        <v>531</v>
      </c>
      <c r="L536" s="42">
        <v>2</v>
      </c>
      <c r="M536" s="52">
        <v>2</v>
      </c>
      <c r="N536" s="63">
        <f>SUM(Tableau2[[#This Row],[Mathématique/20]]+Tableau2[[#This Row],[Français /20]])/2</f>
        <v>2</v>
      </c>
      <c r="O536" s="42">
        <v>17</v>
      </c>
      <c r="P536" s="52">
        <v>12</v>
      </c>
      <c r="Q536" s="63">
        <f>(Tableau2[[#This Row],[Mathématique /20]]+Tableau2[[#This Row],[Français /202]])/2</f>
        <v>14.5</v>
      </c>
      <c r="S536"/>
      <c r="T536"/>
      <c r="U536"/>
      <c r="V536"/>
    </row>
    <row r="537" spans="1:22" ht="16" x14ac:dyDescent="0.2">
      <c r="A537" s="10" t="s">
        <v>496</v>
      </c>
      <c r="B537" s="10" t="s">
        <v>952</v>
      </c>
      <c r="C537" s="11" t="s">
        <v>948</v>
      </c>
      <c r="D537" s="10" t="s">
        <v>949</v>
      </c>
      <c r="E537" s="10" t="s">
        <v>1057</v>
      </c>
      <c r="F537" s="9" t="s">
        <v>1015</v>
      </c>
      <c r="G537" s="10">
        <v>2024</v>
      </c>
      <c r="H537" s="12">
        <v>31</v>
      </c>
      <c r="I537" s="10">
        <f t="shared" si="18"/>
        <v>533</v>
      </c>
      <c r="J537" s="11" t="str">
        <f>Tableau2[[#This Row],[Annee d''inscription au programme]]&amp;"-"&amp;Tableau2[[#This Row],[Code d''ecole]]&amp;"-"&amp;Tableau2[[#This Row],[Numero HM de la femme]]</f>
        <v>2024-31-533</v>
      </c>
      <c r="K537" s="10">
        <f t="shared" si="19"/>
        <v>532</v>
      </c>
      <c r="L537" s="42">
        <v>2</v>
      </c>
      <c r="M537" s="52">
        <v>0</v>
      </c>
      <c r="N537" s="63">
        <f>SUM(Tableau2[[#This Row],[Mathématique/20]]+Tableau2[[#This Row],[Français /20]])/2</f>
        <v>1</v>
      </c>
      <c r="O537" s="42">
        <v>10</v>
      </c>
      <c r="P537" s="52">
        <v>12.5</v>
      </c>
      <c r="Q537" s="63">
        <f>(Tableau2[[#This Row],[Mathématique /20]]+Tableau2[[#This Row],[Français /202]])/2</f>
        <v>11.25</v>
      </c>
      <c r="S537"/>
      <c r="T537"/>
      <c r="U537"/>
      <c r="V537"/>
    </row>
    <row r="538" spans="1:22" ht="16" x14ac:dyDescent="0.2">
      <c r="A538" s="10" t="s">
        <v>496</v>
      </c>
      <c r="B538" s="10" t="s">
        <v>952</v>
      </c>
      <c r="C538" s="11" t="s">
        <v>950</v>
      </c>
      <c r="D538" s="10" t="s">
        <v>951</v>
      </c>
      <c r="E538" s="10" t="s">
        <v>1057</v>
      </c>
      <c r="F538" s="9" t="s">
        <v>1015</v>
      </c>
      <c r="G538" s="10">
        <v>2024</v>
      </c>
      <c r="H538" s="12">
        <v>31</v>
      </c>
      <c r="I538" s="10">
        <f t="shared" si="18"/>
        <v>534</v>
      </c>
      <c r="J538" s="11" t="str">
        <f>Tableau2[[#This Row],[Annee d''inscription au programme]]&amp;"-"&amp;Tableau2[[#This Row],[Code d''ecole]]&amp;"-"&amp;Tableau2[[#This Row],[Numero HM de la femme]]</f>
        <v>2024-31-534</v>
      </c>
      <c r="K538" s="10">
        <f t="shared" si="19"/>
        <v>533</v>
      </c>
      <c r="L538" s="42">
        <v>1.5</v>
      </c>
      <c r="M538" s="52">
        <v>1</v>
      </c>
      <c r="N538" s="63">
        <f>SUM(Tableau2[[#This Row],[Mathématique/20]]+Tableau2[[#This Row],[Français /20]])/2</f>
        <v>1.25</v>
      </c>
      <c r="O538" s="42">
        <v>17</v>
      </c>
      <c r="P538" s="52">
        <v>12</v>
      </c>
      <c r="Q538" s="63">
        <f>(Tableau2[[#This Row],[Mathématique /20]]+Tableau2[[#This Row],[Français /202]])/2</f>
        <v>14.5</v>
      </c>
      <c r="S538"/>
      <c r="T538"/>
      <c r="U538"/>
      <c r="V538"/>
    </row>
    <row r="539" spans="1:22" ht="16" x14ac:dyDescent="0.2">
      <c r="A539" s="15" t="s">
        <v>646</v>
      </c>
      <c r="B539" s="11" t="s">
        <v>238</v>
      </c>
      <c r="C539" s="10" t="s">
        <v>939</v>
      </c>
      <c r="D539" s="10" t="s">
        <v>171</v>
      </c>
      <c r="E539" s="10" t="s">
        <v>1037</v>
      </c>
      <c r="F539" s="9" t="s">
        <v>1023</v>
      </c>
      <c r="G539" s="10">
        <v>2024</v>
      </c>
      <c r="H539" s="10">
        <v>50</v>
      </c>
      <c r="I539" s="10">
        <v>27</v>
      </c>
      <c r="J539" s="10" t="str">
        <f>Tableau2[[#This Row],[Annee d''inscription au programme]]&amp;"-"&amp;Tableau2[[#This Row],[Code d''ecole]]&amp;"-"&amp;Tableau2[[#This Row],[Numero HM de la femme]]</f>
        <v>2024-50-27</v>
      </c>
      <c r="K539" s="10">
        <f t="shared" si="19"/>
        <v>534</v>
      </c>
      <c r="L539" s="42">
        <v>2.5</v>
      </c>
      <c r="M539" s="52">
        <v>11</v>
      </c>
      <c r="N539" s="63">
        <f>SUM(Tableau2[[#This Row],[Mathématique/20]]+Tableau2[[#This Row],[Français /20]])/2</f>
        <v>6.75</v>
      </c>
      <c r="O539" s="42">
        <v>16</v>
      </c>
      <c r="P539" s="52">
        <v>12.5</v>
      </c>
      <c r="Q539" s="63">
        <f>(Tableau2[[#This Row],[Mathématique /20]]+Tableau2[[#This Row],[Français /202]])/2</f>
        <v>14.25</v>
      </c>
      <c r="S539"/>
      <c r="T539"/>
      <c r="U539"/>
      <c r="V539"/>
    </row>
    <row r="540" spans="1:22" ht="16" x14ac:dyDescent="0.2">
      <c r="A540" s="10" t="s">
        <v>942</v>
      </c>
      <c r="B540" s="11" t="s">
        <v>238</v>
      </c>
      <c r="C540" s="11" t="s">
        <v>954</v>
      </c>
      <c r="D540" s="10" t="s">
        <v>44</v>
      </c>
      <c r="E540" s="10" t="s">
        <v>1047</v>
      </c>
      <c r="F540" s="9" t="s">
        <v>1004</v>
      </c>
      <c r="G540" s="10">
        <v>2024</v>
      </c>
      <c r="H540" s="12">
        <v>44</v>
      </c>
      <c r="I540" s="10">
        <v>535</v>
      </c>
      <c r="J540" s="11" t="str">
        <f>Tableau2[[#This Row],[Annee d''inscription au programme]]&amp;"-"&amp;Tableau2[[#This Row],[Code d''ecole]]&amp;"-"&amp;Tableau2[[#This Row],[Numero HM de la femme]]</f>
        <v>2024-44-535</v>
      </c>
      <c r="K540" s="10">
        <f t="shared" si="19"/>
        <v>535</v>
      </c>
      <c r="L540" s="42">
        <v>1</v>
      </c>
      <c r="M540" s="52">
        <v>1</v>
      </c>
      <c r="N540" s="63">
        <f>SUM(Tableau2[[#This Row],[Mathématique/20]]+Tableau2[[#This Row],[Français /20]])/2</f>
        <v>1</v>
      </c>
      <c r="O540" s="42">
        <v>14</v>
      </c>
      <c r="P540" s="52">
        <v>12</v>
      </c>
      <c r="Q540" s="63">
        <f>(Tableau2[[#This Row],[Mathématique /20]]+Tableau2[[#This Row],[Français /202]])/2</f>
        <v>13</v>
      </c>
      <c r="S540"/>
      <c r="T540"/>
      <c r="U540"/>
      <c r="V540"/>
    </row>
    <row r="541" spans="1:22" ht="16" x14ac:dyDescent="0.2">
      <c r="A541" s="10" t="s">
        <v>942</v>
      </c>
      <c r="B541" s="11" t="s">
        <v>238</v>
      </c>
      <c r="C541" s="11" t="s">
        <v>955</v>
      </c>
      <c r="D541" s="10" t="s">
        <v>956</v>
      </c>
      <c r="E541" s="10" t="s">
        <v>1047</v>
      </c>
      <c r="F541" s="9" t="s">
        <v>1004</v>
      </c>
      <c r="G541" s="10">
        <v>2024</v>
      </c>
      <c r="H541" s="16">
        <v>44</v>
      </c>
      <c r="I541" s="10">
        <f t="shared" si="18"/>
        <v>536</v>
      </c>
      <c r="J541" s="13" t="str">
        <f>Tableau2[[#This Row],[Annee d''inscription au programme]]&amp;"-"&amp;Tableau2[[#This Row],[Code d''ecole]]&amp;"-"&amp;Tableau2[[#This Row],[Numero HM de la femme]]</f>
        <v>2024-44-536</v>
      </c>
      <c r="K541" s="10">
        <f t="shared" si="19"/>
        <v>536</v>
      </c>
      <c r="L541" s="42">
        <v>1</v>
      </c>
      <c r="M541" s="52">
        <v>4.5</v>
      </c>
      <c r="N541" s="63">
        <f>SUM(Tableau2[[#This Row],[Mathématique/20]]+Tableau2[[#This Row],[Français /20]])/2</f>
        <v>2.75</v>
      </c>
      <c r="O541" s="42">
        <v>10</v>
      </c>
      <c r="P541" s="52">
        <v>10</v>
      </c>
      <c r="Q541" s="63">
        <f>(Tableau2[[#This Row],[Mathématique /20]]+Tableau2[[#This Row],[Français /202]])/2</f>
        <v>10</v>
      </c>
      <c r="S541"/>
      <c r="T541"/>
      <c r="U541"/>
      <c r="V541"/>
    </row>
    <row r="542" spans="1:22" ht="16" x14ac:dyDescent="0.2">
      <c r="A542" s="10" t="s">
        <v>299</v>
      </c>
      <c r="B542" s="11" t="s">
        <v>300</v>
      </c>
      <c r="C542" s="11" t="s">
        <v>983</v>
      </c>
      <c r="D542" s="10" t="s">
        <v>992</v>
      </c>
      <c r="E542" s="10" t="s">
        <v>1058</v>
      </c>
      <c r="F542" s="9" t="s">
        <v>1005</v>
      </c>
      <c r="G542" s="10">
        <v>2024</v>
      </c>
      <c r="H542" s="16">
        <v>56</v>
      </c>
      <c r="I542" s="10">
        <f t="shared" si="18"/>
        <v>537</v>
      </c>
      <c r="J542" s="13" t="str">
        <f>Tableau2[[#This Row],[Annee d''inscription au programme]]&amp;"-"&amp;Tableau2[[#This Row],[Code d''ecole]]&amp;"-"&amp;Tableau2[[#This Row],[Numero HM de la femme]]</f>
        <v>2024-56-537</v>
      </c>
      <c r="K542" s="10">
        <f t="shared" si="19"/>
        <v>537</v>
      </c>
      <c r="L542" s="42">
        <v>3</v>
      </c>
      <c r="M542" s="52">
        <v>3.25</v>
      </c>
      <c r="N542" s="63">
        <f>SUM(Tableau2[[#This Row],[Mathématique/20]]+Tableau2[[#This Row],[Français /20]])/2</f>
        <v>3.125</v>
      </c>
      <c r="O542" s="42">
        <v>10.5</v>
      </c>
      <c r="P542" s="52">
        <v>13.5</v>
      </c>
      <c r="Q542" s="63">
        <f>(Tableau2[[#This Row],[Mathématique /20]]+Tableau2[[#This Row],[Français /202]])/2</f>
        <v>12</v>
      </c>
      <c r="S542"/>
      <c r="T542"/>
      <c r="U542"/>
      <c r="V542"/>
    </row>
    <row r="543" spans="1:22" ht="16" x14ac:dyDescent="0.2">
      <c r="A543" s="10" t="s">
        <v>942</v>
      </c>
      <c r="B543" s="11" t="s">
        <v>238</v>
      </c>
      <c r="C543" s="11" t="s">
        <v>957</v>
      </c>
      <c r="D543" s="10" t="s">
        <v>958</v>
      </c>
      <c r="E543" s="10" t="s">
        <v>1046</v>
      </c>
      <c r="F543" s="9" t="s">
        <v>1004</v>
      </c>
      <c r="G543" s="10">
        <v>2024</v>
      </c>
      <c r="H543" s="16">
        <v>44</v>
      </c>
      <c r="I543" s="10">
        <f t="shared" si="18"/>
        <v>538</v>
      </c>
      <c r="J543" s="13" t="str">
        <f>Tableau2[[#This Row],[Annee d''inscription au programme]]&amp;"-"&amp;Tableau2[[#This Row],[Code d''ecole]]&amp;"-"&amp;Tableau2[[#This Row],[Numero HM de la femme]]</f>
        <v>2024-44-538</v>
      </c>
      <c r="K543" s="10">
        <f t="shared" si="19"/>
        <v>538</v>
      </c>
      <c r="L543" s="42">
        <v>0</v>
      </c>
      <c r="M543" s="52">
        <v>1.2</v>
      </c>
      <c r="N543" s="63">
        <f>SUM(Tableau2[[#This Row],[Mathématique/20]]+Tableau2[[#This Row],[Français /20]])/2</f>
        <v>0.6</v>
      </c>
      <c r="O543" s="42" t="s">
        <v>1077</v>
      </c>
      <c r="P543" s="52"/>
      <c r="Q543" s="63"/>
      <c r="S543"/>
      <c r="T543"/>
      <c r="U543"/>
      <c r="V543"/>
    </row>
    <row r="544" spans="1:22" ht="16" x14ac:dyDescent="0.2">
      <c r="A544" s="10" t="s">
        <v>472</v>
      </c>
      <c r="B544" s="11" t="s">
        <v>114</v>
      </c>
      <c r="C544" s="11" t="s">
        <v>962</v>
      </c>
      <c r="D544" s="10" t="s">
        <v>963</v>
      </c>
      <c r="E544" s="10" t="s">
        <v>1045</v>
      </c>
      <c r="F544" s="9" t="s">
        <v>1012</v>
      </c>
      <c r="G544" s="10">
        <v>2024</v>
      </c>
      <c r="H544" s="16">
        <v>84</v>
      </c>
      <c r="I544" s="10">
        <f t="shared" si="18"/>
        <v>539</v>
      </c>
      <c r="J544" s="13" t="str">
        <f>Tableau2[[#This Row],[Annee d''inscription au programme]]&amp;"-"&amp;Tableau2[[#This Row],[Code d''ecole]]&amp;"-"&amp;Tableau2[[#This Row],[Numero HM de la femme]]</f>
        <v>2024-84-539</v>
      </c>
      <c r="K544" s="10">
        <f t="shared" si="19"/>
        <v>539</v>
      </c>
      <c r="L544" s="42">
        <v>1.5</v>
      </c>
      <c r="M544" s="52">
        <v>1.5</v>
      </c>
      <c r="N544" s="63">
        <f>SUM(Tableau2[[#This Row],[Mathématique/20]]+Tableau2[[#This Row],[Français /20]])/2</f>
        <v>1.5</v>
      </c>
      <c r="O544" s="42">
        <v>10</v>
      </c>
      <c r="P544" s="52">
        <v>16.5</v>
      </c>
      <c r="Q544" s="63">
        <f>(Tableau2[[#This Row],[Mathématique /20]]+Tableau2[[#This Row],[Français /202]])/2</f>
        <v>13.25</v>
      </c>
      <c r="S544"/>
      <c r="T544"/>
      <c r="U544"/>
      <c r="V544"/>
    </row>
    <row r="545" spans="1:22" ht="16" x14ac:dyDescent="0.2">
      <c r="A545" s="10" t="s">
        <v>974</v>
      </c>
      <c r="B545" s="10" t="s">
        <v>952</v>
      </c>
      <c r="C545" s="10" t="s">
        <v>975</v>
      </c>
      <c r="D545" s="10" t="s">
        <v>618</v>
      </c>
      <c r="E545" s="10" t="s">
        <v>1065</v>
      </c>
      <c r="F545" s="9" t="s">
        <v>1008</v>
      </c>
      <c r="G545" s="10">
        <v>2024</v>
      </c>
      <c r="H545" s="16">
        <v>16</v>
      </c>
      <c r="I545" s="10">
        <f t="shared" si="18"/>
        <v>540</v>
      </c>
      <c r="J545" s="13" t="str">
        <f>Tableau2[[#This Row],[Annee d''inscription au programme]]&amp;"-"&amp;Tableau2[[#This Row],[Code d''ecole]]&amp;"-"&amp;Tableau2[[#This Row],[Numero HM de la femme]]</f>
        <v>2024-16-540</v>
      </c>
      <c r="K545" s="10">
        <f t="shared" si="19"/>
        <v>540</v>
      </c>
      <c r="L545" s="42">
        <v>0</v>
      </c>
      <c r="M545" s="52">
        <v>0</v>
      </c>
      <c r="N545" s="63">
        <f>SUM(Tableau2[[#This Row],[Mathématique/20]]+Tableau2[[#This Row],[Français /20]])/2</f>
        <v>0</v>
      </c>
      <c r="O545" s="42">
        <v>16</v>
      </c>
      <c r="P545" s="52">
        <v>11</v>
      </c>
      <c r="Q545" s="63">
        <f>(Tableau2[[#This Row],[Mathématique /20]]+Tableau2[[#This Row],[Français /202]])/2</f>
        <v>13.5</v>
      </c>
      <c r="S545"/>
      <c r="T545"/>
      <c r="U545"/>
      <c r="V545"/>
    </row>
    <row r="546" spans="1:22" ht="16" x14ac:dyDescent="0.2">
      <c r="A546" s="10" t="s">
        <v>445</v>
      </c>
      <c r="B546" s="10" t="s">
        <v>952</v>
      </c>
      <c r="C546" s="11" t="s">
        <v>944</v>
      </c>
      <c r="D546" s="10" t="s">
        <v>945</v>
      </c>
      <c r="E546" s="10" t="s">
        <v>1035</v>
      </c>
      <c r="F546" s="9" t="s">
        <v>1011</v>
      </c>
      <c r="G546" s="10">
        <v>2024</v>
      </c>
      <c r="H546" s="12">
        <v>5</v>
      </c>
      <c r="I546" s="10">
        <f t="shared" si="18"/>
        <v>541</v>
      </c>
      <c r="J546" s="11" t="str">
        <f>Tableau2[[#This Row],[Annee d''inscription au programme]]&amp;"-"&amp;Tableau2[[#This Row],[Code d''ecole]]&amp;"-"&amp;Tableau2[[#This Row],[Numero HM de la femme]]</f>
        <v>2024-5-541</v>
      </c>
      <c r="K546" s="10">
        <f t="shared" si="19"/>
        <v>541</v>
      </c>
      <c r="L546" s="42">
        <v>2</v>
      </c>
      <c r="M546" s="52">
        <v>1.5</v>
      </c>
      <c r="N546" s="63">
        <f>SUM(Tableau2[[#This Row],[Mathématique/20]]+Tableau2[[#This Row],[Français /20]])/2</f>
        <v>1.75</v>
      </c>
      <c r="O546" s="42" t="s">
        <v>1076</v>
      </c>
      <c r="P546" s="52"/>
      <c r="Q546" s="63"/>
      <c r="S546"/>
      <c r="T546"/>
      <c r="U546"/>
      <c r="V546"/>
    </row>
    <row r="547" spans="1:22" ht="16" x14ac:dyDescent="0.2">
      <c r="A547" s="10" t="s">
        <v>299</v>
      </c>
      <c r="B547" s="11" t="s">
        <v>300</v>
      </c>
      <c r="C547" s="11" t="s">
        <v>984</v>
      </c>
      <c r="D547" s="10"/>
      <c r="E547" s="10" t="s">
        <v>1058</v>
      </c>
      <c r="F547" s="9" t="s">
        <v>1005</v>
      </c>
      <c r="G547" s="14">
        <v>2024</v>
      </c>
      <c r="H547" s="12">
        <v>56</v>
      </c>
      <c r="I547" s="10">
        <f t="shared" si="18"/>
        <v>542</v>
      </c>
      <c r="J547" s="11" t="str">
        <f>Tableau2[[#This Row],[Annee d''inscription au programme]]&amp;"-"&amp;Tableau2[[#This Row],[Code d''ecole]]&amp;"-"&amp;Tableau2[[#This Row],[Numero HM de la femme]]</f>
        <v>2024-56-542</v>
      </c>
      <c r="K547" s="10">
        <f t="shared" si="19"/>
        <v>542</v>
      </c>
      <c r="L547" s="42">
        <v>3</v>
      </c>
      <c r="M547" s="52">
        <v>4</v>
      </c>
      <c r="N547" s="63">
        <f>SUM(Tableau2[[#This Row],[Mathématique/20]]+Tableau2[[#This Row],[Français /20]])/2</f>
        <v>3.5</v>
      </c>
      <c r="O547" s="42">
        <v>3.5</v>
      </c>
      <c r="P547" s="52">
        <v>15</v>
      </c>
      <c r="Q547" s="63">
        <f>(Tableau2[[#This Row],[Mathématique /20]]+Tableau2[[#This Row],[Français /202]])/2</f>
        <v>9.25</v>
      </c>
      <c r="S547"/>
      <c r="T547"/>
      <c r="U547"/>
      <c r="V547"/>
    </row>
    <row r="548" spans="1:22" ht="16" x14ac:dyDescent="0.2">
      <c r="A548" s="10" t="s">
        <v>299</v>
      </c>
      <c r="B548" s="11" t="s">
        <v>300</v>
      </c>
      <c r="C548" s="11" t="s">
        <v>985</v>
      </c>
      <c r="D548" s="19"/>
      <c r="E548" s="10" t="s">
        <v>1058</v>
      </c>
      <c r="F548" s="9" t="s">
        <v>1005</v>
      </c>
      <c r="G548" s="14">
        <v>2024</v>
      </c>
      <c r="H548" s="12">
        <v>56</v>
      </c>
      <c r="I548" s="10">
        <f t="shared" si="18"/>
        <v>543</v>
      </c>
      <c r="J548" s="11" t="str">
        <f>Tableau2[[#This Row],[Annee d''inscription au programme]]&amp;"-"&amp;Tableau2[[#This Row],[Code d''ecole]]&amp;"-"&amp;Tableau2[[#This Row],[Numero HM de la femme]]</f>
        <v>2024-56-543</v>
      </c>
      <c r="K548" s="10">
        <f t="shared" si="19"/>
        <v>543</v>
      </c>
      <c r="L548" s="42">
        <v>4</v>
      </c>
      <c r="M548" s="52">
        <v>4</v>
      </c>
      <c r="N548" s="63">
        <f>SUM(Tableau2[[#This Row],[Mathématique/20]]+Tableau2[[#This Row],[Français /20]])/2</f>
        <v>4</v>
      </c>
      <c r="O548" s="42">
        <v>10</v>
      </c>
      <c r="P548" s="52">
        <v>14.25</v>
      </c>
      <c r="Q548" s="63">
        <f>(Tableau2[[#This Row],[Mathématique /20]]+Tableau2[[#This Row],[Français /202]])/2</f>
        <v>12.125</v>
      </c>
      <c r="S548"/>
      <c r="T548"/>
      <c r="U548"/>
      <c r="V548"/>
    </row>
    <row r="549" spans="1:22" ht="16" x14ac:dyDescent="0.2">
      <c r="A549" s="10" t="s">
        <v>519</v>
      </c>
      <c r="B549" s="10" t="s">
        <v>114</v>
      </c>
      <c r="C549" s="11" t="s">
        <v>1017</v>
      </c>
      <c r="D549" s="10" t="s">
        <v>986</v>
      </c>
      <c r="E549" s="10" t="s">
        <v>1044</v>
      </c>
      <c r="F549" s="9" t="s">
        <v>1005</v>
      </c>
      <c r="G549" s="14">
        <v>2024</v>
      </c>
      <c r="H549" s="10">
        <v>85</v>
      </c>
      <c r="I549" s="12">
        <v>544</v>
      </c>
      <c r="J549" s="11" t="str">
        <f>Tableau2[[#This Row],[Annee d''inscription au programme]]&amp;"-"&amp;Tableau2[[#This Row],[Code d''ecole]]&amp;"-"&amp;Tableau2[[#This Row],[Numero HM de la femme]]</f>
        <v>2024-85-544</v>
      </c>
      <c r="K549" s="10">
        <f t="shared" si="19"/>
        <v>544</v>
      </c>
      <c r="L549" s="42">
        <v>2</v>
      </c>
      <c r="M549" s="52">
        <v>3.5</v>
      </c>
      <c r="N549" s="63">
        <f>SUM(Tableau2[[#This Row],[Mathématique/20]]+Tableau2[[#This Row],[Français /20]])/2</f>
        <v>2.75</v>
      </c>
      <c r="O549" s="42">
        <v>10.5</v>
      </c>
      <c r="P549" s="52">
        <v>19</v>
      </c>
      <c r="Q549" s="63">
        <f>(Tableau2[[#This Row],[Mathématique /20]]+Tableau2[[#This Row],[Français /202]])/2</f>
        <v>14.75</v>
      </c>
      <c r="S549"/>
      <c r="T549"/>
      <c r="U549"/>
      <c r="V549"/>
    </row>
    <row r="550" spans="1:22" ht="16" x14ac:dyDescent="0.2">
      <c r="A550" s="28" t="s">
        <v>1086</v>
      </c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44">
        <f>SUBTOTAL(101,Tableau2[Mathématique/20])</f>
        <v>2.0211397058823528</v>
      </c>
      <c r="M550" s="55">
        <f>SUBTOTAL(101,Tableau2[Français /20])</f>
        <v>3.0175874769797422</v>
      </c>
      <c r="N550" s="64">
        <f>SUBTOTAL(101,Tableau2[Moyenne générale])</f>
        <v>2.5165900735294104</v>
      </c>
      <c r="O550" s="44">
        <f>SUBTOTAL(101,Tableau2[Mathématique /20])</f>
        <v>12.258861940298507</v>
      </c>
      <c r="P550" s="55">
        <f>SUBTOTAL(101,Tableau2[Français /202])</f>
        <v>14.898320895522389</v>
      </c>
      <c r="Q550" s="64">
        <f>SUBTOTAL(101,Tableau2[Moyenne générale2])</f>
        <v>13.578591417910447</v>
      </c>
    </row>
    <row r="551" spans="1:22" ht="19" x14ac:dyDescent="0.25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45"/>
      <c r="M551" s="56"/>
      <c r="N551" s="65"/>
      <c r="O551" s="45"/>
      <c r="P551" s="56"/>
      <c r="Q551" s="65"/>
      <c r="R551" s="38" t="s">
        <v>1087</v>
      </c>
      <c r="S551" s="38"/>
    </row>
    <row r="552" spans="1:22" ht="16" x14ac:dyDescent="0.2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45"/>
      <c r="M552" s="56"/>
      <c r="N552" s="65"/>
      <c r="O552" s="45"/>
      <c r="P552" s="56"/>
      <c r="Q552" s="65"/>
    </row>
    <row r="553" spans="1:22" ht="16" x14ac:dyDescent="0.2">
      <c r="A553" s="15"/>
      <c r="B553" s="13"/>
      <c r="C553" s="13"/>
      <c r="D553" s="15"/>
      <c r="E553" s="15"/>
      <c r="F553" s="13"/>
      <c r="G553" s="23"/>
      <c r="H553" s="13"/>
      <c r="I553" s="13"/>
      <c r="J553" s="13"/>
      <c r="K553" s="15"/>
      <c r="L553" s="46" t="s">
        <v>1088</v>
      </c>
      <c r="M553" s="57" t="s">
        <v>1089</v>
      </c>
      <c r="N553" s="66" t="s">
        <v>1090</v>
      </c>
      <c r="O553" s="48"/>
      <c r="P553" s="60"/>
      <c r="Q553" s="68"/>
    </row>
    <row r="554" spans="1:22" ht="16" x14ac:dyDescent="0.2">
      <c r="A554" s="15"/>
      <c r="B554" s="13"/>
      <c r="C554" s="13"/>
      <c r="D554" s="15"/>
      <c r="E554" s="15"/>
      <c r="F554" s="13"/>
      <c r="G554" s="23"/>
      <c r="H554" s="13"/>
      <c r="I554" s="13"/>
      <c r="J554" s="13"/>
      <c r="K554" s="15"/>
      <c r="L554" s="69">
        <f>Tableau2[[#Totals],[Mathématique /20]]-Tableau2[[#Totals],[Mathématique/20]]</f>
        <v>10.237722234416154</v>
      </c>
      <c r="M554" s="70">
        <f>Tableau2[[#Totals],[Français /202]]-Tableau2[[#Totals],[Français /20]]</f>
        <v>11.880733418542647</v>
      </c>
      <c r="N554" s="71">
        <f>Tableau2[[#Totals],[Moyenne générale2]]-Tableau2[[#Totals],[Moyenne générale]]</f>
        <v>11.062001344381036</v>
      </c>
      <c r="R554" s="29"/>
      <c r="S554" s="30"/>
      <c r="T554" s="30"/>
      <c r="U554" s="30"/>
    </row>
    <row r="555" spans="1:22" ht="18" x14ac:dyDescent="0.2">
      <c r="D555" s="26" t="s">
        <v>1069</v>
      </c>
      <c r="E555" s="26"/>
      <c r="L555" s="69">
        <f>Tableau2[[#Totals],[Mathématique /20]]-Tableau2[[#Totals],[Mathématique/20]]</f>
        <v>10.237722234416154</v>
      </c>
      <c r="M555" s="70">
        <f>Tableau2[[#Totals],[Français /202]]-Tableau2[[#Totals],[Français /20]]</f>
        <v>11.880733418542647</v>
      </c>
      <c r="N555" s="71">
        <f>Tableau2[[#Totals],[Moyenne générale2]]-Tableau2[[#Totals],[Moyenne générale]]</f>
        <v>11.062001344381036</v>
      </c>
    </row>
    <row r="556" spans="1:22" ht="18" x14ac:dyDescent="0.2">
      <c r="D556" s="26" t="s">
        <v>1070</v>
      </c>
      <c r="E556" s="26"/>
    </row>
    <row r="557" spans="1:22" ht="18" x14ac:dyDescent="0.2">
      <c r="D557" s="26" t="s">
        <v>1071</v>
      </c>
      <c r="E557" s="26"/>
    </row>
    <row r="558" spans="1:22" x14ac:dyDescent="0.2">
      <c r="D558" s="27"/>
      <c r="E558" s="27"/>
    </row>
  </sheetData>
  <mergeCells count="4">
    <mergeCell ref="R4:BA4"/>
    <mergeCell ref="L4:N4"/>
    <mergeCell ref="O4:Q4"/>
    <mergeCell ref="R551:S551"/>
  </mergeCells>
  <phoneticPr fontId="6" type="noConversion"/>
  <conditionalFormatting sqref="I4:I5">
    <cfRule type="duplicateValues" dxfId="14" priority="4"/>
    <cfRule type="duplicateValues" dxfId="13" priority="5"/>
    <cfRule type="duplicateValues" dxfId="12" priority="8"/>
  </conditionalFormatting>
  <pageMargins left="1" right="1" top="1" bottom="1" header="0.5" footer="0.5"/>
  <pageSetup paperSize="9" orientation="portrait" horizontalDpi="300" verticalDpi="300" r:id="rId1"/>
  <rowBreaks count="22" manualBreakCount="22">
    <brk id="36" max="16383" man="1"/>
    <brk id="67" max="16383" man="1"/>
    <brk id="104" max="16383" man="1"/>
    <brk id="128" max="16383" man="1"/>
    <brk id="144" max="16383" man="1"/>
    <brk id="177" max="16383" man="1"/>
    <brk id="189" max="16383" man="1"/>
    <brk id="211" max="16383" man="1"/>
    <brk id="237" max="16383" man="1"/>
    <brk id="267" max="16383" man="1"/>
    <brk id="281" max="16383" man="1"/>
    <brk id="297" max="16383" man="1"/>
    <brk id="313" max="16383" man="1"/>
    <brk id="327" max="16383" man="1"/>
    <brk id="339" max="16383" man="1"/>
    <brk id="354" max="16383" man="1"/>
    <brk id="375" max="16383" man="1"/>
    <brk id="389" max="16383" man="1"/>
    <brk id="430" max="16383" man="1"/>
    <brk id="458" max="16383" man="1"/>
    <brk id="507" max="16383" man="1"/>
    <brk id="535" max="16383" man="1"/>
  </row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Base de donnée Hilin Mu CM1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Windows;LFF</dc:creator>
  <cp:lastModifiedBy>Marcus Daniels</cp:lastModifiedBy>
  <cp:lastPrinted>2023-12-06T08:57:58Z</cp:lastPrinted>
  <dcterms:created xsi:type="dcterms:W3CDTF">2019-11-19T10:35:22Z</dcterms:created>
  <dcterms:modified xsi:type="dcterms:W3CDTF">2024-08-13T15:09:05Z</dcterms:modified>
</cp:coreProperties>
</file>