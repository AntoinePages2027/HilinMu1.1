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 des filles des CM" sheetId="1" r:id="rId4"/>
    <sheet state="visible" name="CM1" sheetId="2" r:id="rId5"/>
    <sheet state="visible" name="CM2" sheetId="3" r:id="rId6"/>
    <sheet state="visible" name="CM1 &amp; CM2 Metrics" sheetId="4" r:id="rId7"/>
  </sheets>
  <definedNames/>
  <calcPr/>
  <extLst>
    <ext uri="GoogleSheetsCustomDataVersion2">
      <go:sheetsCustomData xmlns:go="http://customooxmlschemas.google.com/" r:id="rId8" roundtripDataChecksum="z0fLhYE5+irUwkuLMMfi5a4kTDrsETCk0oPuUkcgsGo="/>
    </ext>
  </extLst>
</workbook>
</file>

<file path=xl/sharedStrings.xml><?xml version="1.0" encoding="utf-8"?>
<sst xmlns="http://schemas.openxmlformats.org/spreadsheetml/2006/main" count="1445" uniqueCount="210">
  <si>
    <t>Région de Maradi</t>
  </si>
  <si>
    <t>DREN de Maradi</t>
  </si>
  <si>
    <t>IREP/P de Maradi</t>
  </si>
  <si>
    <t>IEP/P de Safo</t>
  </si>
  <si>
    <t xml:space="preserve">  Situation des élèves filles des classes CM1 et CM2</t>
  </si>
  <si>
    <t>a)Les élèves  FILLES du CM1</t>
  </si>
  <si>
    <t>b)Les élèves  FILLES du CM2</t>
  </si>
  <si>
    <t>Etablissement</t>
  </si>
  <si>
    <t xml:space="preserve">PRENOMS ET NOMS  </t>
  </si>
  <si>
    <t>Sexe</t>
  </si>
  <si>
    <t>1ere Evaluation</t>
  </si>
  <si>
    <t>2ème Evaluation</t>
  </si>
  <si>
    <t>3ème COMPO</t>
  </si>
  <si>
    <t>Moyenne</t>
  </si>
  <si>
    <t>Situation Finale</t>
  </si>
  <si>
    <t>Annuelle</t>
  </si>
  <si>
    <t xml:space="preserve">Dates   et   Lieu de Naissances </t>
  </si>
  <si>
    <t>Statut</t>
  </si>
  <si>
    <t>1er trim</t>
  </si>
  <si>
    <t>2eme trim</t>
  </si>
  <si>
    <t>moy CFEPD</t>
  </si>
  <si>
    <t>Situations FINALES</t>
  </si>
  <si>
    <t>Ecole de Safo Nassaraoua</t>
  </si>
  <si>
    <t>Safo Nassaraoua</t>
  </si>
  <si>
    <t>Faouziya Harouna</t>
  </si>
  <si>
    <t>F</t>
  </si>
  <si>
    <t>Passe</t>
  </si>
  <si>
    <t>Amira</t>
  </si>
  <si>
    <t>Ali</t>
  </si>
  <si>
    <t>Safo NASSARAOUA</t>
  </si>
  <si>
    <t>Passant</t>
  </si>
  <si>
    <t>non Admise</t>
  </si>
  <si>
    <t>Redouble</t>
  </si>
  <si>
    <t>Chamsiya Chitou</t>
  </si>
  <si>
    <t>Balkissa</t>
  </si>
  <si>
    <t>Daouda</t>
  </si>
  <si>
    <t>Hanifa Amadou</t>
  </si>
  <si>
    <t>Hassia</t>
  </si>
  <si>
    <t>Rafia Tanimoune</t>
  </si>
  <si>
    <t>Laouratou</t>
  </si>
  <si>
    <t>Minnirou</t>
  </si>
  <si>
    <t>CEG</t>
  </si>
  <si>
    <t>Fatima Salissou</t>
  </si>
  <si>
    <t>Mouhoussina</t>
  </si>
  <si>
    <t>Issoufou</t>
  </si>
  <si>
    <t>Zeinab Harouna</t>
  </si>
  <si>
    <t>Nana Moustahida</t>
  </si>
  <si>
    <t>Idi</t>
  </si>
  <si>
    <t>Manira Laouali</t>
  </si>
  <si>
    <t>Nana Bassira</t>
  </si>
  <si>
    <t>Chitou</t>
  </si>
  <si>
    <t>Aziza Nouhou</t>
  </si>
  <si>
    <t>Nana Kaoussar</t>
  </si>
  <si>
    <t>Tassiou</t>
  </si>
  <si>
    <t>Mouhoussina Dayabou</t>
  </si>
  <si>
    <t>Samira</t>
  </si>
  <si>
    <t>Abdoulaye</t>
  </si>
  <si>
    <t>Oumma abiha Saminou</t>
  </si>
  <si>
    <t>Soumaya</t>
  </si>
  <si>
    <t>Youchaou</t>
  </si>
  <si>
    <t>Oumaeira Kabirou</t>
  </si>
  <si>
    <t xml:space="preserve">Zaharaou </t>
  </si>
  <si>
    <t>Souley</t>
  </si>
  <si>
    <t>Redoublant</t>
  </si>
  <si>
    <t>Souraya Illa</t>
  </si>
  <si>
    <t xml:space="preserve">Farida </t>
  </si>
  <si>
    <t>Mahamane</t>
  </si>
  <si>
    <t>Nana Zaharaou Nouhou</t>
  </si>
  <si>
    <t>SAFO DAN ALI</t>
  </si>
  <si>
    <t>Mariama Rabé</t>
  </si>
  <si>
    <t>Safo Dan Ali</t>
  </si>
  <si>
    <t>Aicha</t>
  </si>
  <si>
    <t>Issaka</t>
  </si>
  <si>
    <t>Roufaatou Abdousalam</t>
  </si>
  <si>
    <t>Chaâwanatou</t>
  </si>
  <si>
    <t>Ichaou</t>
  </si>
  <si>
    <t>Harissa</t>
  </si>
  <si>
    <t>Moussa</t>
  </si>
  <si>
    <t>MARADOU Centre</t>
  </si>
  <si>
    <t>Najiba Haladou</t>
  </si>
  <si>
    <t>Lamratou</t>
  </si>
  <si>
    <t>Saidou</t>
  </si>
  <si>
    <t>Saadiya Moussa</t>
  </si>
  <si>
    <t>Mariama</t>
  </si>
  <si>
    <t>Laouali</t>
  </si>
  <si>
    <t>Khadidja Hadi</t>
  </si>
  <si>
    <t>Salissou</t>
  </si>
  <si>
    <t>Firdaoussi Tassiou</t>
  </si>
  <si>
    <t>Mounawara</t>
  </si>
  <si>
    <t>Larwanou</t>
  </si>
  <si>
    <t>Yassimina Illa</t>
  </si>
  <si>
    <t>Rabé</t>
  </si>
  <si>
    <t>Khadidja Maty</t>
  </si>
  <si>
    <t>Rahila</t>
  </si>
  <si>
    <t>Firdaoussi Laouali</t>
  </si>
  <si>
    <t>rédble le CM1</t>
  </si>
  <si>
    <t>Sadika</t>
  </si>
  <si>
    <t>Ousmane</t>
  </si>
  <si>
    <t>Habsatou Nouhou</t>
  </si>
  <si>
    <t>Zeinabou</t>
  </si>
  <si>
    <t>Issa</t>
  </si>
  <si>
    <t>Mounawara Salélé</t>
  </si>
  <si>
    <t>Nana Firdaoussi</t>
  </si>
  <si>
    <t>M Yaou</t>
  </si>
  <si>
    <t>Orienté CFM</t>
  </si>
  <si>
    <t>Aicha Nafiou</t>
  </si>
  <si>
    <t>ECOLE TCHIKADJI CENTRE</t>
  </si>
  <si>
    <t>Anifa Ibrahim</t>
  </si>
  <si>
    <t>Tchikadji Centre</t>
  </si>
  <si>
    <t>Ouma Maimounatou</t>
  </si>
  <si>
    <t xml:space="preserve">Tchikadji </t>
  </si>
  <si>
    <t>Chamsiya Yahaya</t>
  </si>
  <si>
    <t>Abdou</t>
  </si>
  <si>
    <t>Hassana Rabé</t>
  </si>
  <si>
    <t>Kadidja Soupianou</t>
  </si>
  <si>
    <t>Fatchima</t>
  </si>
  <si>
    <t>Garba</t>
  </si>
  <si>
    <t>Koursiya Laouali</t>
  </si>
  <si>
    <t>Habsatou</t>
  </si>
  <si>
    <t>Malika Hamissou</t>
  </si>
  <si>
    <t>Ikilima</t>
  </si>
  <si>
    <t>Malika Salissou</t>
  </si>
  <si>
    <t>Khadidja</t>
  </si>
  <si>
    <t>Hassan</t>
  </si>
  <si>
    <t>Mariyama Laminou</t>
  </si>
  <si>
    <t>Mariam</t>
  </si>
  <si>
    <t>Maryam Laouali</t>
  </si>
  <si>
    <t>Rakia</t>
  </si>
  <si>
    <t>Achirou</t>
  </si>
  <si>
    <t>Nabila Yahaya</t>
  </si>
  <si>
    <t>Zeinab</t>
  </si>
  <si>
    <t>Aboubacar</t>
  </si>
  <si>
    <t>Nazira Souley</t>
  </si>
  <si>
    <t>Rafi'a Rabiou</t>
  </si>
  <si>
    <t xml:space="preserve">Zeinab </t>
  </si>
  <si>
    <t>Sabiou</t>
  </si>
  <si>
    <t>Rafi'a Souley</t>
  </si>
  <si>
    <t>Youssira Issoufou</t>
  </si>
  <si>
    <t>Yassimina Rabé</t>
  </si>
  <si>
    <t>ECOLE MARADOU CENTRE</t>
  </si>
  <si>
    <t>Zaharaou Laouali</t>
  </si>
  <si>
    <t>Maradou Centre</t>
  </si>
  <si>
    <t>Alhéri</t>
  </si>
  <si>
    <t>Nouhou</t>
  </si>
  <si>
    <t>01/01/2012</t>
  </si>
  <si>
    <t>Maradou</t>
  </si>
  <si>
    <t>Zahariya Salissou</t>
  </si>
  <si>
    <t>Aichatou</t>
  </si>
  <si>
    <t>Sani</t>
  </si>
  <si>
    <t>Zainab Souley</t>
  </si>
  <si>
    <t>Hamissou</t>
  </si>
  <si>
    <t>Badamassi</t>
  </si>
  <si>
    <t>Chappa</t>
  </si>
  <si>
    <t>Fati</t>
  </si>
  <si>
    <t>Fadila</t>
  </si>
  <si>
    <t>Kara'a</t>
  </si>
  <si>
    <t>Soupia</t>
  </si>
  <si>
    <t>Halima</t>
  </si>
  <si>
    <t>Kadija</t>
  </si>
  <si>
    <t>Hachimou</t>
  </si>
  <si>
    <t>Latifa</t>
  </si>
  <si>
    <t>Illa</t>
  </si>
  <si>
    <t>Ibrahim</t>
  </si>
  <si>
    <t>Nazipa</t>
  </si>
  <si>
    <t>Mourtala</t>
  </si>
  <si>
    <t>Nazira</t>
  </si>
  <si>
    <t>Nouwaira</t>
  </si>
  <si>
    <t>Abdoullahi</t>
  </si>
  <si>
    <t>Nana Fadila</t>
  </si>
  <si>
    <t>Kader</t>
  </si>
  <si>
    <t>Angouwal Mata</t>
  </si>
  <si>
    <t>Rapia</t>
  </si>
  <si>
    <t>Mountaka</t>
  </si>
  <si>
    <t>mld      0</t>
  </si>
  <si>
    <t>Sapawila</t>
  </si>
  <si>
    <t>Tsahirou</t>
  </si>
  <si>
    <t xml:space="preserve">Le chargé des examens </t>
  </si>
  <si>
    <t>Silbiya</t>
  </si>
  <si>
    <t>Yassira</t>
  </si>
  <si>
    <t>Manirou Sani</t>
  </si>
  <si>
    <t>Zaharaou</t>
  </si>
  <si>
    <t>Ado</t>
  </si>
  <si>
    <t xml:space="preserve">Najiba </t>
  </si>
  <si>
    <t>Haladou</t>
  </si>
  <si>
    <t>passant</t>
  </si>
  <si>
    <t>Manira</t>
  </si>
  <si>
    <t>Haoua</t>
  </si>
  <si>
    <t>Saâdou</t>
  </si>
  <si>
    <t>Proposée CFM</t>
  </si>
  <si>
    <t>Ecole</t>
  </si>
  <si>
    <t>Moyenne Annuelle</t>
  </si>
  <si>
    <t>Total</t>
  </si>
  <si>
    <t>Prénom</t>
  </si>
  <si>
    <t>Nom de famille</t>
  </si>
  <si>
    <t>Date de naissance</t>
  </si>
  <si>
    <t>Lieu de naissance</t>
  </si>
  <si>
    <t>Comments</t>
  </si>
  <si>
    <t xml:space="preserve">Ouma </t>
  </si>
  <si>
    <t>Maimounatou</t>
  </si>
  <si>
    <t>*563 is an error please review. I would guess 5.63 but please review</t>
  </si>
  <si>
    <t>CM1</t>
  </si>
  <si>
    <t>Insrites</t>
  </si>
  <si>
    <t>Abandonee #</t>
  </si>
  <si>
    <t>Presentes</t>
  </si>
  <si>
    <t>Admises #</t>
  </si>
  <si>
    <t>Non Admise #</t>
  </si>
  <si>
    <t>Abandonee %</t>
  </si>
  <si>
    <t>Admises %</t>
  </si>
  <si>
    <t>Non Admise %</t>
  </si>
  <si>
    <t>CM2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</si>
</sst>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Calibri"/>
    </font>
    <font>
      <u/>
      <sz val="11.0"/>
      <color theme="1"/>
      <name val="Calibri"/>
    </font>
    <font>
      <b/>
      <sz val="16.0"/>
      <color theme="1"/>
      <name val="Calibri"/>
    </font>
    <font/>
    <font>
      <sz val="11.0"/>
      <color theme="1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11.0"/>
      <color rgb="FFFF0000"/>
      <name val="Calibri"/>
    </font>
    <font>
      <sz val="11.0"/>
      <color rgb="FF00B050"/>
      <name val="Calibri"/>
    </font>
    <font>
      <sz val="10.0"/>
      <color rgb="FF00B050"/>
      <name val="Calibri"/>
    </font>
    <font>
      <sz val="10.0"/>
      <color theme="1"/>
      <name val="Calibri"/>
    </font>
    <font>
      <b/>
      <sz val="12.0"/>
      <color theme="0"/>
      <name val="Calibri"/>
    </font>
    <font>
      <b/>
      <sz val="12.0"/>
      <color theme="1"/>
      <name val="Calibri"/>
    </font>
    <font>
      <sz val="12.0"/>
      <color theme="0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6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3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95B3D7"/>
      </bottom>
    </border>
    <border>
      <left/>
      <right style="thin">
        <color rgb="FF95B3D7"/>
      </right>
      <top/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4" numFmtId="0" xfId="0" applyBorder="1" applyFont="1"/>
    <xf borderId="0" fillId="0" fontId="1" numFmtId="0" xfId="0" applyAlignment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ill="1" applyFont="1">
      <alignment horizontal="left" vertical="center"/>
    </xf>
    <xf borderId="5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6" fillId="0" fontId="5" numFmtId="0" xfId="0" applyBorder="1" applyFont="1"/>
    <xf borderId="7" fillId="0" fontId="5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5" fillId="0" fontId="5" numFmtId="0" xfId="0" applyBorder="1" applyFont="1"/>
    <xf borderId="10" fillId="0" fontId="4" numFmtId="0" xfId="0" applyBorder="1" applyFont="1"/>
    <xf borderId="10" fillId="0" fontId="7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12" fillId="0" fontId="4" numFmtId="0" xfId="0" applyBorder="1" applyFont="1"/>
    <xf borderId="7" fillId="2" fontId="6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2" fillId="0" fontId="1" numFmtId="0" xfId="0" applyAlignment="1" applyBorder="1" applyFont="1">
      <alignment horizontal="center"/>
    </xf>
    <xf borderId="4" fillId="0" fontId="4" numFmtId="0" xfId="0" applyBorder="1" applyFont="1"/>
    <xf borderId="6" fillId="0" fontId="5" numFmtId="0" xfId="0" applyAlignment="1" applyBorder="1" applyFont="1">
      <alignment horizontal="center" vertical="center"/>
    </xf>
    <xf borderId="6" fillId="0" fontId="5" numFmtId="2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6" fillId="0" fontId="5" numFmtId="0" xfId="0" applyAlignment="1" applyBorder="1" applyFont="1">
      <alignment horizontal="center"/>
    </xf>
    <xf borderId="2" fillId="0" fontId="8" numFmtId="0" xfId="0" applyAlignment="1" applyBorder="1" applyFont="1">
      <alignment horizontal="left" shrinkToFit="0" vertical="center" wrapText="1"/>
    </xf>
    <xf borderId="7" fillId="0" fontId="5" numFmtId="14" xfId="0" applyBorder="1" applyFont="1" applyNumberFormat="1"/>
    <xf borderId="9" fillId="0" fontId="5" numFmtId="0" xfId="0" applyBorder="1" applyFont="1"/>
    <xf borderId="20" fillId="4" fontId="5" numFmtId="0" xfId="0" applyBorder="1" applyFill="1" applyFont="1"/>
    <xf borderId="6" fillId="0" fontId="9" numFmtId="0" xfId="0" applyAlignment="1" applyBorder="1" applyFont="1">
      <alignment horizontal="center" vertical="center"/>
    </xf>
    <xf borderId="6" fillId="4" fontId="5" numFmtId="0" xfId="0" applyBorder="1" applyFont="1"/>
    <xf borderId="14" fillId="0" fontId="5" numFmtId="14" xfId="0" applyBorder="1" applyFont="1" applyNumberFormat="1"/>
    <xf borderId="16" fillId="0" fontId="5" numFmtId="0" xfId="0" applyBorder="1" applyFont="1"/>
    <xf borderId="6" fillId="0" fontId="10" numFmtId="0" xfId="0" applyAlignment="1" applyBorder="1" applyFont="1">
      <alignment horizontal="center" vertical="center"/>
    </xf>
    <xf borderId="6" fillId="4" fontId="11" numFmtId="0" xfId="0" applyBorder="1" applyFont="1"/>
    <xf borderId="14" fillId="0" fontId="5" numFmtId="0" xfId="0" applyBorder="1" applyFont="1"/>
    <xf borderId="0" fillId="0" fontId="5" numFmtId="0" xfId="0" applyAlignment="1" applyFont="1">
      <alignment horizontal="center"/>
    </xf>
    <xf borderId="21" fillId="4" fontId="5" numFmtId="0" xfId="0" applyAlignment="1" applyBorder="1" applyFont="1">
      <alignment horizontal="left"/>
    </xf>
    <xf borderId="6" fillId="4" fontId="5" numFmtId="0" xfId="0" applyAlignment="1" applyBorder="1" applyFont="1">
      <alignment horizontal="left"/>
    </xf>
    <xf borderId="9" fillId="0" fontId="5" numFmtId="0" xfId="0" applyAlignment="1" applyBorder="1" applyFont="1">
      <alignment horizontal="left"/>
    </xf>
    <xf borderId="16" fillId="0" fontId="5" numFmtId="0" xfId="0" applyAlignment="1" applyBorder="1" applyFont="1">
      <alignment horizontal="left"/>
    </xf>
    <xf borderId="21" fillId="4" fontId="5" numFmtId="0" xfId="0" applyBorder="1" applyFont="1"/>
    <xf borderId="6" fillId="0" fontId="8" numFmtId="0" xfId="0" applyBorder="1" applyFont="1"/>
    <xf borderId="22" fillId="4" fontId="5" numFmtId="0" xfId="0" applyBorder="1" applyFont="1"/>
    <xf borderId="23" fillId="4" fontId="5" numFmtId="0" xfId="0" applyBorder="1" applyFont="1"/>
    <xf borderId="24" fillId="4" fontId="5" numFmtId="0" xfId="0" applyAlignment="1" applyBorder="1" applyFont="1">
      <alignment horizontal="left"/>
    </xf>
    <xf borderId="6" fillId="4" fontId="5" numFmtId="0" xfId="0" applyAlignment="1" applyBorder="1" applyFont="1">
      <alignment horizontal="center" vertical="center"/>
    </xf>
    <xf borderId="6" fillId="0" fontId="9" numFmtId="0" xfId="0" applyBorder="1" applyFont="1"/>
    <xf borderId="25" fillId="4" fontId="5" numFmtId="14" xfId="0" applyBorder="1" applyFont="1" applyNumberFormat="1"/>
    <xf borderId="2" fillId="0" fontId="5" numFmtId="14" xfId="0" applyBorder="1" applyFont="1" applyNumberFormat="1"/>
    <xf borderId="0" fillId="0" fontId="5" numFmtId="0" xfId="0" applyAlignment="1" applyFont="1">
      <alignment horizontal="center" vertical="center"/>
    </xf>
    <xf borderId="21" fillId="4" fontId="1" numFmtId="0" xfId="0" applyBorder="1" applyFont="1"/>
    <xf borderId="21" fillId="4" fontId="1" numFmtId="14" xfId="0" applyBorder="1" applyFont="1" applyNumberFormat="1"/>
    <xf borderId="0" fillId="0" fontId="5" numFmtId="0" xfId="0" applyFont="1"/>
    <xf borderId="0" fillId="0" fontId="9" numFmtId="0" xfId="0" applyAlignment="1" applyFont="1">
      <alignment horizontal="center" vertical="center"/>
    </xf>
    <xf borderId="0" fillId="0" fontId="10" numFmtId="0" xfId="0" applyFont="1"/>
    <xf borderId="0" fillId="0" fontId="5" numFmtId="14" xfId="0" applyFont="1" applyNumberFormat="1"/>
    <xf borderId="26" fillId="4" fontId="5" numFmtId="14" xfId="0" applyBorder="1" applyFont="1" applyNumberFormat="1"/>
    <xf borderId="10" fillId="0" fontId="5" numFmtId="14" xfId="0" applyBorder="1" applyFont="1" applyNumberFormat="1"/>
    <xf borderId="0" fillId="0" fontId="10" numFmtId="0" xfId="0" applyAlignment="1" applyFont="1">
      <alignment horizontal="center"/>
    </xf>
    <xf borderId="10" fillId="0" fontId="5" numFmtId="0" xfId="0" applyBorder="1" applyFont="1"/>
    <xf borderId="6" fillId="0" fontId="12" numFmtId="0" xfId="0" applyBorder="1" applyFont="1"/>
    <xf borderId="6" fillId="0" fontId="13" numFmtId="0" xfId="0" applyBorder="1" applyFont="1"/>
    <xf borderId="16" fillId="0" fontId="14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horizontal="center" vertical="center"/>
    </xf>
    <xf borderId="4" fillId="0" fontId="5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horizontal="center" vertical="center"/>
    </xf>
    <xf borderId="6" fillId="0" fontId="5" numFmtId="2" xfId="0" applyAlignment="1" applyBorder="1" applyFont="1" applyNumberFormat="1">
      <alignment horizontal="center" vertical="center"/>
    </xf>
    <xf borderId="2" fillId="0" fontId="5" numFmtId="0" xfId="0" applyBorder="1" applyFont="1"/>
    <xf borderId="4" fillId="0" fontId="8" numFmtId="0" xfId="0" applyBorder="1" applyFont="1"/>
    <xf borderId="6" fillId="0" fontId="5" numFmtId="0" xfId="0" applyAlignment="1" applyBorder="1" applyFont="1">
      <alignment horizontal="center"/>
    </xf>
    <xf borderId="2" fillId="0" fontId="9" numFmtId="0" xfId="0" applyBorder="1" applyFont="1"/>
    <xf borderId="9" fillId="0" fontId="8" numFmtId="0" xfId="0" applyBorder="1" applyFont="1"/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5" fillId="0" fontId="5" numFmtId="2" xfId="0" applyAlignment="1" applyBorder="1" applyFont="1" applyNumberFormat="1">
      <alignment horizontal="center" vertical="center"/>
    </xf>
    <xf borderId="7" fillId="0" fontId="5" numFmtId="0" xfId="0" applyBorder="1" applyFont="1"/>
    <xf borderId="24" fillId="5" fontId="15" numFmtId="0" xfId="0" applyBorder="1" applyFill="1" applyFont="1"/>
    <xf borderId="26" fillId="5" fontId="15" numFmtId="0" xfId="0" applyBorder="1" applyFont="1"/>
    <xf borderId="26" fillId="5" fontId="15" numFmtId="0" xfId="0" applyAlignment="1" applyBorder="1" applyFont="1">
      <alignment horizontal="center"/>
    </xf>
    <xf borderId="26" fillId="5" fontId="15" numFmtId="2" xfId="0" applyAlignment="1" applyBorder="1" applyFont="1" applyNumberFormat="1">
      <alignment horizontal="center" vertical="center"/>
    </xf>
    <xf borderId="25" fillId="5" fontId="15" numFmtId="0" xfId="0" applyBorder="1" applyFont="1"/>
    <xf borderId="9" fillId="0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right" vertical="center"/>
    </xf>
    <xf borderId="9" fillId="0" fontId="14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/>
    </xf>
    <xf borderId="10" fillId="0" fontId="16" numFmtId="0" xfId="0" applyAlignment="1" applyBorder="1" applyFont="1">
      <alignment horizontal="center"/>
    </xf>
    <xf borderId="0" fillId="0" fontId="5" numFmtId="0" xfId="0" applyFont="1"/>
    <xf borderId="0" fillId="0" fontId="17" numFmtId="0" xfId="0" applyFont="1"/>
    <xf borderId="0" fillId="0" fontId="8" numFmtId="0" xfId="0" applyAlignment="1" applyFont="1">
      <alignment horizontal="right" shrinkToFit="0" vertical="center" wrapText="1"/>
    </xf>
    <xf borderId="0" fillId="0" fontId="5" numFmtId="1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2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10" numFmtId="0" xfId="0" applyAlignment="1" applyFont="1">
      <alignment horizontal="right" vertical="center"/>
    </xf>
    <xf borderId="0" fillId="0" fontId="11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right" vertical="center"/>
    </xf>
    <xf borderId="21" fillId="6" fontId="1" numFmtId="0" xfId="0" applyBorder="1" applyFill="1" applyFont="1"/>
    <xf borderId="21" fillId="6" fontId="1" numFmtId="0" xfId="0" applyAlignment="1" applyBorder="1" applyFont="1">
      <alignment horizontal="right"/>
    </xf>
    <xf borderId="21" fillId="6" fontId="1" numFmtId="14" xfId="0" applyAlignment="1" applyBorder="1" applyFont="1" applyNumberFormat="1">
      <alignment horizontal="right"/>
    </xf>
    <xf borderId="21" fillId="6" fontId="1" numFmtId="2" xfId="0" applyAlignment="1" applyBorder="1" applyFont="1" applyNumberFormat="1">
      <alignment horizontal="right" vertical="center"/>
    </xf>
    <xf borderId="21" fillId="6" fontId="15" numFmtId="2" xfId="0" applyAlignment="1" applyBorder="1" applyFont="1" applyNumberFormat="1">
      <alignment horizontal="right" vertical="center"/>
    </xf>
    <xf borderId="21" fillId="6" fontId="7" numFmtId="0" xfId="0" applyAlignment="1" applyBorder="1" applyFont="1">
      <alignment horizontal="right" vertical="center"/>
    </xf>
    <xf borderId="21" fillId="6" fontId="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right"/>
    </xf>
    <xf borderId="0" fillId="0" fontId="13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18" numFmtId="0" xfId="0" applyAlignment="1" applyFont="1">
      <alignment horizontal="center" vertical="center"/>
    </xf>
    <xf borderId="27" fillId="7" fontId="14" numFmtId="0" xfId="0" applyAlignment="1" applyBorder="1" applyFill="1" applyFont="1">
      <alignment horizontal="center"/>
    </xf>
    <xf borderId="28" fillId="7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29" fillId="8" fontId="5" numFmtId="0" xfId="0" applyAlignment="1" applyBorder="1" applyFill="1" applyFont="1">
      <alignment horizontal="right"/>
    </xf>
    <xf borderId="29" fillId="8" fontId="5" numFmtId="1" xfId="0" applyAlignment="1" applyBorder="1" applyFont="1" applyNumberFormat="1">
      <alignment horizontal="right"/>
    </xf>
    <xf borderId="29" fillId="8" fontId="5" numFmtId="10" xfId="0" applyAlignment="1" applyBorder="1" applyFont="1" applyNumberFormat="1">
      <alignment horizontal="right"/>
    </xf>
    <xf borderId="29" fillId="8" fontId="5" numFmtId="10" xfId="0" applyBorder="1" applyFont="1" applyNumberFormat="1"/>
    <xf borderId="0" fillId="0" fontId="19" numFmtId="0" xfId="0" applyFont="1"/>
    <xf borderId="0" fillId="0" fontId="1" numFmtId="0" xfId="0" applyFont="1"/>
    <xf borderId="30" fillId="8" fontId="5" numFmtId="0" xfId="0" applyBorder="1" applyFont="1"/>
    <xf borderId="21" fillId="5" fontId="5" numFmtId="0" xfId="0" applyBorder="1" applyFont="1"/>
    <xf borderId="21" fillId="5" fontId="5" numFmtId="1" xfId="0" applyBorder="1" applyFont="1" applyNumberFormat="1"/>
    <xf borderId="21" fillId="5" fontId="5" numFmtId="10" xfId="0" applyBorder="1" applyFont="1" applyNumberFormat="1"/>
    <xf borderId="31" fillId="0" fontId="5" numFmtId="0" xfId="0" applyAlignment="1" applyBorder="1" applyFont="1">
      <alignment horizontal="right"/>
    </xf>
    <xf borderId="31" fillId="0" fontId="5" numFmtId="1" xfId="0" applyAlignment="1" applyBorder="1" applyFont="1" applyNumberFormat="1">
      <alignment horizontal="right"/>
    </xf>
    <xf borderId="31" fillId="0" fontId="5" numFmtId="10" xfId="0" applyAlignment="1" applyBorder="1" applyFont="1" applyNumberFormat="1">
      <alignment horizontal="right"/>
    </xf>
    <xf borderId="31" fillId="0" fontId="5" numFmtId="10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4" pivot="0" name="CM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CM2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CM1 &amp; CM2 Metrics-style">
      <tableStyleElement dxfId="4" type="headerRow"/>
      <tableStyleElement dxfId="2" type="firstRowStripe"/>
      <tableStyleElement dxfId="3" type="secondRowStripe"/>
      <tableStyleElement dxfId="4" type="totalRow"/>
    </tableStyle>
    <tableStyle count="4" pivot="0" name="CM1 &amp; CM2 Metrics-style 2">
      <tableStyleElement dxfId="4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5" displayName="Table_1" name="Table_1" id="1">
  <tableColumns count="8">
    <tableColumn name="Ecole" id="1"/>
    <tableColumn name="PRENOMS ET NOMS  " id="2"/>
    <tableColumn name="Sexe" id="3"/>
    <tableColumn name="1ere Evaluation" id="4"/>
    <tableColumn name="2ème Evaluation" id="5"/>
    <tableColumn name="3ème COMPO" id="6"/>
    <tableColumn name="Moyenne Annuelle" id="7"/>
    <tableColumn name="Situation Finale" id="8"/>
  </tableColumns>
  <tableStyleInfo name="CM1-style" showColumnStripes="0" showFirstColumn="1" showLastColumn="1" showRowStripes="1"/>
</table>
</file>

<file path=xl/tables/table2.xml><?xml version="1.0" encoding="utf-8"?>
<table xmlns="http://schemas.openxmlformats.org/spreadsheetml/2006/main" ref="A1:L66" displayName="Table_2" name="Table_2" id="2">
  <tableColumns count="12">
    <tableColumn name="Ecole" id="1"/>
    <tableColumn name="Prénom" id="2"/>
    <tableColumn name="Nom de famille" id="3"/>
    <tableColumn name="Sexe" id="4"/>
    <tableColumn name="Date de naissance" id="5"/>
    <tableColumn name="Lieu de naissance" id="6"/>
    <tableColumn name="Statut" id="7"/>
    <tableColumn name="1er trim" id="8"/>
    <tableColumn name="2eme trim" id="9"/>
    <tableColumn name="moy CFEPD" id="10"/>
    <tableColumn name="Situations FINALES" id="11"/>
    <tableColumn name="Comments" id="12"/>
  </tableColumns>
  <tableStyleInfo name="CM2-style" showColumnStripes="0" showFirstColumn="1" showLastColumn="1" showRowStripes="1"/>
</table>
</file>

<file path=xl/tables/table3.xml><?xml version="1.0" encoding="utf-8"?>
<table xmlns="http://schemas.openxmlformats.org/spreadsheetml/2006/main" ref="A4:J7" displayName="Table_3" name="Table_3" id="3">
  <tableColumns count="10">
    <tableColumn name="Ecole" id="1"/>
    <tableColumn name="Insrites" id="2"/>
    <tableColumn name="Abandonee #" id="3"/>
    <tableColumn name="Presentes" id="4"/>
    <tableColumn name="Admises #" id="5"/>
    <tableColumn name="Non Admise #" id="6"/>
    <tableColumn name="Abandonee %" id="7"/>
    <tableColumn name="Admises %" id="8"/>
    <tableColumn name="Non Admise %" id="9"/>
    <tableColumn name="Comments" id="10"/>
  </tableColumns>
  <tableStyleInfo name="CM1 &amp; CM2 Metrics-style" showColumnStripes="0" showFirstColumn="1" showLastColumn="1" showRowStripes="1"/>
</table>
</file>

<file path=xl/tables/table4.xml><?xml version="1.0" encoding="utf-8"?>
<table xmlns="http://schemas.openxmlformats.org/spreadsheetml/2006/main" ref="A15:J20" displayName="Table_4" name="Table_4" id="4">
  <tableColumns count="10">
    <tableColumn name="Ecole" id="1"/>
    <tableColumn name="Insrites" id="2"/>
    <tableColumn name="Abandonee #" id="3"/>
    <tableColumn name="Presentes" id="4"/>
    <tableColumn name="Admises #" id="5"/>
    <tableColumn name="Non Admise #" id="6"/>
    <tableColumn name="Abandonee %" id="7"/>
    <tableColumn name="Admises %" id="8"/>
    <tableColumn name="Non Admise %" id="9"/>
    <tableColumn name="Comments" id="10"/>
  </tableColumns>
  <tableStyleInfo name="CM1 &amp; CM2 Metric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57"/>
    <col customWidth="1" min="3" max="3" width="3.86"/>
    <col customWidth="1" min="4" max="4" width="6.86"/>
    <col customWidth="1" min="5" max="5" width="5.86"/>
    <col customWidth="1" min="6" max="7" width="8.14"/>
    <col customWidth="1" min="8" max="8" width="7.57"/>
    <col customWidth="1" min="9" max="9" width="3.43"/>
    <col customWidth="1" min="10" max="11" width="10.86"/>
    <col customWidth="1" min="12" max="12" width="8.43"/>
    <col customWidth="1" min="13" max="13" width="5.43"/>
    <col customWidth="1" min="14" max="14" width="17.43"/>
    <col customWidth="1" min="15" max="15" width="10.86"/>
    <col customWidth="1" min="16" max="16" width="9.14"/>
    <col customWidth="1" min="17" max="17" width="9.43"/>
    <col customWidth="1" min="18" max="26" width="10.86"/>
  </cols>
  <sheetData>
    <row r="1" ht="14.25" customHeight="1">
      <c r="A1" s="1" t="s">
        <v>0</v>
      </c>
      <c r="B1" s="1"/>
      <c r="C1" s="2"/>
    </row>
    <row r="2" ht="14.25" customHeight="1">
      <c r="A2" s="1" t="s">
        <v>1</v>
      </c>
      <c r="B2" s="1"/>
      <c r="C2" s="2"/>
    </row>
    <row r="3" ht="14.25" customHeight="1">
      <c r="A3" s="1" t="s">
        <v>2</v>
      </c>
      <c r="B3" s="1"/>
      <c r="C3" s="2"/>
    </row>
    <row r="4" ht="14.25" customHeight="1">
      <c r="A4" s="1" t="s">
        <v>3</v>
      </c>
      <c r="B4" s="1"/>
      <c r="C4" s="2"/>
    </row>
    <row r="5" ht="14.25" customHeight="1"/>
    <row r="6" ht="14.25" customHeight="1">
      <c r="B6" s="3"/>
      <c r="C6" s="4" t="s">
        <v>4</v>
      </c>
    </row>
    <row r="7" ht="14.25" customHeight="1">
      <c r="B7" s="3"/>
    </row>
    <row r="8" ht="14.25" customHeight="1">
      <c r="B8" s="3"/>
      <c r="C8" s="5" t="s">
        <v>5</v>
      </c>
      <c r="D8" s="6"/>
      <c r="E8" s="6"/>
      <c r="F8" s="6"/>
      <c r="G8" s="6"/>
      <c r="L8" s="7"/>
      <c r="P8" s="8" t="s">
        <v>6</v>
      </c>
      <c r="Q8" s="9"/>
      <c r="R8" s="10"/>
    </row>
    <row r="9" ht="14.25" customHeight="1">
      <c r="A9" s="11" t="s">
        <v>7</v>
      </c>
      <c r="B9" s="12" t="s">
        <v>8</v>
      </c>
      <c r="C9" s="13" t="s">
        <v>9</v>
      </c>
      <c r="D9" s="14" t="s">
        <v>10</v>
      </c>
      <c r="E9" s="14" t="s">
        <v>11</v>
      </c>
      <c r="F9" s="14" t="s">
        <v>12</v>
      </c>
      <c r="G9" s="14" t="s">
        <v>13</v>
      </c>
      <c r="H9" s="15" t="s">
        <v>14</v>
      </c>
      <c r="J9" s="16"/>
      <c r="K9" s="17"/>
      <c r="M9" s="17"/>
      <c r="N9" s="18"/>
      <c r="O9" s="18"/>
      <c r="P9" s="19"/>
      <c r="Q9" s="20"/>
      <c r="R9" s="21"/>
      <c r="S9" s="22"/>
      <c r="T9" s="18"/>
      <c r="U9" s="18"/>
    </row>
    <row r="10" ht="14.25" customHeight="1">
      <c r="A10" s="23"/>
      <c r="B10" s="23"/>
      <c r="C10" s="23"/>
      <c r="D10" s="23"/>
      <c r="E10" s="23"/>
      <c r="F10" s="23"/>
      <c r="G10" s="24" t="s">
        <v>15</v>
      </c>
      <c r="H10" s="23"/>
      <c r="N10" s="11" t="s">
        <v>7</v>
      </c>
      <c r="O10" s="25" t="s">
        <v>8</v>
      </c>
      <c r="P10" s="26"/>
      <c r="Q10" s="13" t="s">
        <v>9</v>
      </c>
      <c r="R10" s="27" t="s">
        <v>16</v>
      </c>
      <c r="S10" s="21"/>
      <c r="T10" s="28" t="s">
        <v>17</v>
      </c>
      <c r="U10" s="28" t="s">
        <v>18</v>
      </c>
      <c r="V10" s="28" t="s">
        <v>19</v>
      </c>
      <c r="W10" s="28" t="s">
        <v>20</v>
      </c>
      <c r="X10" s="15" t="s">
        <v>21</v>
      </c>
    </row>
    <row r="11" ht="14.25" customHeight="1">
      <c r="A11" s="29"/>
      <c r="B11" s="29"/>
      <c r="C11" s="29"/>
      <c r="D11" s="29"/>
      <c r="E11" s="29"/>
      <c r="F11" s="29"/>
      <c r="G11" s="29"/>
      <c r="H11" s="29"/>
      <c r="N11" s="23"/>
      <c r="O11" s="30"/>
      <c r="P11" s="31"/>
      <c r="Q11" s="23"/>
      <c r="R11" s="30"/>
      <c r="S11" s="32"/>
      <c r="T11" s="23"/>
      <c r="U11" s="29"/>
      <c r="V11" s="29"/>
      <c r="W11" s="29"/>
      <c r="X11" s="23"/>
    </row>
    <row r="12" ht="14.25" customHeight="1">
      <c r="A12" s="33" t="s">
        <v>22</v>
      </c>
      <c r="B12" s="34"/>
      <c r="C12" s="35"/>
      <c r="D12" s="35"/>
      <c r="E12" s="35"/>
      <c r="F12" s="35"/>
      <c r="G12" s="36"/>
      <c r="H12" s="18"/>
      <c r="M12" s="37"/>
      <c r="N12" s="29"/>
      <c r="O12" s="38"/>
      <c r="P12" s="39"/>
      <c r="Q12" s="29"/>
      <c r="R12" s="38"/>
      <c r="S12" s="40"/>
      <c r="T12" s="29"/>
      <c r="U12" s="41"/>
      <c r="V12" s="41"/>
      <c r="W12" s="41"/>
      <c r="X12" s="23"/>
    </row>
    <row r="13" ht="14.25" customHeight="1">
      <c r="A13" s="18" t="s">
        <v>23</v>
      </c>
      <c r="B13" s="18" t="s">
        <v>24</v>
      </c>
      <c r="C13" s="35" t="s">
        <v>25</v>
      </c>
      <c r="D13" s="35">
        <v>8.44</v>
      </c>
      <c r="E13" s="35">
        <v>8.73</v>
      </c>
      <c r="F13" s="35">
        <v>8.62</v>
      </c>
      <c r="G13" s="36">
        <f t="shared" ref="G13:G27" si="1">(D13+E13+F13)/3</f>
        <v>8.596666667</v>
      </c>
      <c r="H13" s="18" t="s">
        <v>26</v>
      </c>
      <c r="M13" s="37"/>
      <c r="N13" s="18" t="s">
        <v>23</v>
      </c>
      <c r="O13" s="8" t="s">
        <v>27</v>
      </c>
      <c r="P13" s="10" t="s">
        <v>28</v>
      </c>
      <c r="Q13" s="42" t="s">
        <v>25</v>
      </c>
      <c r="R13" s="43">
        <v>40874.0</v>
      </c>
      <c r="S13" s="44" t="s">
        <v>29</v>
      </c>
      <c r="T13" s="45" t="s">
        <v>30</v>
      </c>
      <c r="U13" s="35">
        <v>5.2</v>
      </c>
      <c r="V13" s="35">
        <v>6.11</v>
      </c>
      <c r="W13" s="46" t="s">
        <v>31</v>
      </c>
      <c r="X13" s="47" t="s">
        <v>32</v>
      </c>
    </row>
    <row r="14" ht="14.25" customHeight="1">
      <c r="A14" s="18" t="s">
        <v>23</v>
      </c>
      <c r="B14" s="18" t="s">
        <v>33</v>
      </c>
      <c r="C14" s="35" t="s">
        <v>25</v>
      </c>
      <c r="D14" s="35">
        <v>6.63</v>
      </c>
      <c r="E14" s="35">
        <v>5.78</v>
      </c>
      <c r="F14" s="35">
        <v>5.22</v>
      </c>
      <c r="G14" s="36">
        <f t="shared" si="1"/>
        <v>5.876666667</v>
      </c>
      <c r="H14" s="18" t="s">
        <v>26</v>
      </c>
      <c r="M14" s="37"/>
      <c r="N14" s="18" t="s">
        <v>23</v>
      </c>
      <c r="O14" s="8" t="s">
        <v>34</v>
      </c>
      <c r="P14" s="10" t="s">
        <v>35</v>
      </c>
      <c r="Q14" s="42" t="s">
        <v>25</v>
      </c>
      <c r="R14" s="48">
        <v>40909.0</v>
      </c>
      <c r="S14" s="49" t="s">
        <v>29</v>
      </c>
      <c r="T14" s="45" t="s">
        <v>30</v>
      </c>
      <c r="U14" s="35">
        <v>4.3</v>
      </c>
      <c r="V14" s="35">
        <v>5.29</v>
      </c>
      <c r="W14" s="46" t="s">
        <v>31</v>
      </c>
      <c r="X14" s="47" t="s">
        <v>32</v>
      </c>
    </row>
    <row r="15" ht="14.25" customHeight="1">
      <c r="A15" s="18" t="s">
        <v>23</v>
      </c>
      <c r="B15" s="18" t="s">
        <v>36</v>
      </c>
      <c r="C15" s="35" t="s">
        <v>25</v>
      </c>
      <c r="D15" s="35">
        <v>8.27</v>
      </c>
      <c r="E15" s="35">
        <v>7.98</v>
      </c>
      <c r="F15" s="35">
        <v>8.13</v>
      </c>
      <c r="G15" s="36">
        <f t="shared" si="1"/>
        <v>8.126666667</v>
      </c>
      <c r="H15" s="18" t="s">
        <v>26</v>
      </c>
      <c r="M15" s="37"/>
      <c r="N15" s="18" t="s">
        <v>23</v>
      </c>
      <c r="O15" s="8" t="s">
        <v>37</v>
      </c>
      <c r="P15" s="10" t="s">
        <v>28</v>
      </c>
      <c r="Q15" s="42" t="s">
        <v>25</v>
      </c>
      <c r="R15" s="48">
        <v>40909.0</v>
      </c>
      <c r="S15" s="49" t="s">
        <v>29</v>
      </c>
      <c r="T15" s="45" t="s">
        <v>30</v>
      </c>
      <c r="U15" s="35">
        <v>5.29</v>
      </c>
      <c r="V15" s="35">
        <v>6.14</v>
      </c>
      <c r="W15" s="46" t="s">
        <v>31</v>
      </c>
      <c r="X15" s="47" t="s">
        <v>32</v>
      </c>
    </row>
    <row r="16" ht="14.25" customHeight="1">
      <c r="A16" s="18" t="s">
        <v>23</v>
      </c>
      <c r="B16" s="18" t="s">
        <v>38</v>
      </c>
      <c r="C16" s="35" t="s">
        <v>25</v>
      </c>
      <c r="D16" s="35">
        <v>7.41</v>
      </c>
      <c r="E16" s="35">
        <v>6.83</v>
      </c>
      <c r="F16" s="35">
        <v>6.66</v>
      </c>
      <c r="G16" s="36">
        <f t="shared" si="1"/>
        <v>6.966666667</v>
      </c>
      <c r="H16" s="18" t="s">
        <v>26</v>
      </c>
      <c r="M16" s="37"/>
      <c r="N16" s="18" t="s">
        <v>23</v>
      </c>
      <c r="O16" s="8" t="s">
        <v>39</v>
      </c>
      <c r="P16" s="10" t="s">
        <v>40</v>
      </c>
      <c r="Q16" s="42" t="s">
        <v>25</v>
      </c>
      <c r="R16" s="48">
        <v>40775.0</v>
      </c>
      <c r="S16" s="49" t="s">
        <v>29</v>
      </c>
      <c r="T16" s="45" t="s">
        <v>30</v>
      </c>
      <c r="U16" s="35">
        <v>7.38</v>
      </c>
      <c r="V16" s="35">
        <v>8.0</v>
      </c>
      <c r="W16" s="50">
        <v>5.21</v>
      </c>
      <c r="X16" s="51" t="s">
        <v>41</v>
      </c>
    </row>
    <row r="17" ht="14.25" customHeight="1">
      <c r="A17" s="18" t="s">
        <v>23</v>
      </c>
      <c r="B17" s="18" t="s">
        <v>42</v>
      </c>
      <c r="C17" s="35" t="s">
        <v>25</v>
      </c>
      <c r="D17" s="35">
        <v>4.69</v>
      </c>
      <c r="E17" s="35">
        <v>4.25</v>
      </c>
      <c r="F17" s="35">
        <v>5.14</v>
      </c>
      <c r="G17" s="36">
        <f t="shared" si="1"/>
        <v>4.693333333</v>
      </c>
      <c r="H17" s="18" t="s">
        <v>26</v>
      </c>
      <c r="M17" s="37"/>
      <c r="N17" s="18" t="s">
        <v>23</v>
      </c>
      <c r="O17" s="52" t="s">
        <v>43</v>
      </c>
      <c r="P17" s="49" t="s">
        <v>44</v>
      </c>
      <c r="Q17" s="42" t="s">
        <v>25</v>
      </c>
      <c r="R17" s="48">
        <v>40909.0</v>
      </c>
      <c r="S17" s="49" t="s">
        <v>29</v>
      </c>
      <c r="T17" s="45" t="s">
        <v>30</v>
      </c>
      <c r="U17" s="35">
        <v>4.57</v>
      </c>
      <c r="V17" s="35">
        <v>0.0</v>
      </c>
      <c r="W17" s="46" t="s">
        <v>31</v>
      </c>
      <c r="X17" s="47" t="s">
        <v>32</v>
      </c>
    </row>
    <row r="18" ht="14.25" customHeight="1">
      <c r="A18" s="18" t="s">
        <v>23</v>
      </c>
      <c r="B18" s="18" t="s">
        <v>45</v>
      </c>
      <c r="C18" s="35" t="s">
        <v>25</v>
      </c>
      <c r="D18" s="35">
        <v>5.21</v>
      </c>
      <c r="E18" s="35">
        <v>4.66</v>
      </c>
      <c r="F18" s="35">
        <v>3.94</v>
      </c>
      <c r="G18" s="36">
        <f t="shared" si="1"/>
        <v>4.603333333</v>
      </c>
      <c r="H18" s="18" t="s">
        <v>26</v>
      </c>
      <c r="M18" s="37"/>
      <c r="N18" s="18" t="s">
        <v>23</v>
      </c>
      <c r="O18" s="52" t="s">
        <v>46</v>
      </c>
      <c r="P18" s="49" t="s">
        <v>47</v>
      </c>
      <c r="Q18" s="42" t="s">
        <v>25</v>
      </c>
      <c r="R18" s="48">
        <v>41396.0</v>
      </c>
      <c r="S18" s="49" t="s">
        <v>29</v>
      </c>
      <c r="T18" s="45" t="s">
        <v>30</v>
      </c>
      <c r="U18" s="35">
        <v>6.29</v>
      </c>
      <c r="V18" s="35">
        <v>7.91</v>
      </c>
      <c r="W18" s="50">
        <v>6.36</v>
      </c>
      <c r="X18" s="51" t="s">
        <v>41</v>
      </c>
    </row>
    <row r="19" ht="14.25" customHeight="1">
      <c r="A19" s="18" t="s">
        <v>23</v>
      </c>
      <c r="B19" s="18" t="s">
        <v>48</v>
      </c>
      <c r="C19" s="35" t="s">
        <v>25</v>
      </c>
      <c r="D19" s="35">
        <v>6.01</v>
      </c>
      <c r="E19" s="35">
        <v>5.24</v>
      </c>
      <c r="F19" s="35">
        <v>3.55</v>
      </c>
      <c r="G19" s="36">
        <f t="shared" si="1"/>
        <v>4.933333333</v>
      </c>
      <c r="H19" s="18" t="s">
        <v>26</v>
      </c>
      <c r="M19" s="37"/>
      <c r="N19" s="18" t="s">
        <v>23</v>
      </c>
      <c r="O19" s="8" t="s">
        <v>49</v>
      </c>
      <c r="P19" s="10" t="s">
        <v>50</v>
      </c>
      <c r="Q19" s="42" t="s">
        <v>25</v>
      </c>
      <c r="R19" s="48">
        <v>40909.0</v>
      </c>
      <c r="S19" s="49" t="s">
        <v>29</v>
      </c>
      <c r="T19" s="45" t="s">
        <v>30</v>
      </c>
      <c r="U19" s="35">
        <v>5.04</v>
      </c>
      <c r="V19" s="35">
        <v>5.52</v>
      </c>
      <c r="W19" s="46" t="s">
        <v>31</v>
      </c>
      <c r="X19" s="47" t="s">
        <v>32</v>
      </c>
    </row>
    <row r="20" ht="14.25" customHeight="1">
      <c r="A20" s="18" t="s">
        <v>23</v>
      </c>
      <c r="B20" s="18" t="s">
        <v>51</v>
      </c>
      <c r="C20" s="35" t="s">
        <v>25</v>
      </c>
      <c r="D20" s="35">
        <v>4.78</v>
      </c>
      <c r="E20" s="35">
        <v>4.23</v>
      </c>
      <c r="F20" s="35">
        <v>5.18</v>
      </c>
      <c r="G20" s="36">
        <f t="shared" si="1"/>
        <v>4.73</v>
      </c>
      <c r="H20" s="18" t="s">
        <v>26</v>
      </c>
      <c r="M20" s="37"/>
      <c r="N20" s="18" t="s">
        <v>23</v>
      </c>
      <c r="O20" s="8" t="s">
        <v>52</v>
      </c>
      <c r="P20" s="10" t="s">
        <v>53</v>
      </c>
      <c r="Q20" s="42" t="s">
        <v>25</v>
      </c>
      <c r="R20" s="48">
        <v>41368.0</v>
      </c>
      <c r="S20" s="49" t="s">
        <v>29</v>
      </c>
      <c r="T20" s="45" t="s">
        <v>30</v>
      </c>
      <c r="U20" s="35">
        <v>6.89</v>
      </c>
      <c r="V20" s="35">
        <v>8.67</v>
      </c>
      <c r="W20" s="50">
        <v>7.18</v>
      </c>
      <c r="X20" s="51" t="s">
        <v>41</v>
      </c>
    </row>
    <row r="21" ht="14.25" customHeight="1">
      <c r="A21" s="18" t="s">
        <v>23</v>
      </c>
      <c r="B21" s="18" t="s">
        <v>54</v>
      </c>
      <c r="C21" s="35" t="s">
        <v>25</v>
      </c>
      <c r="D21" s="35">
        <v>5.21</v>
      </c>
      <c r="E21" s="35">
        <v>4.39</v>
      </c>
      <c r="F21" s="35">
        <v>3.96</v>
      </c>
      <c r="G21" s="36">
        <f t="shared" si="1"/>
        <v>4.52</v>
      </c>
      <c r="H21" s="18" t="s">
        <v>26</v>
      </c>
      <c r="M21" s="37"/>
      <c r="N21" s="18" t="s">
        <v>23</v>
      </c>
      <c r="O21" s="8" t="s">
        <v>55</v>
      </c>
      <c r="P21" s="10" t="s">
        <v>56</v>
      </c>
      <c r="Q21" s="42" t="s">
        <v>25</v>
      </c>
      <c r="R21" s="48">
        <v>40909.0</v>
      </c>
      <c r="S21" s="49" t="s">
        <v>29</v>
      </c>
      <c r="T21" s="45" t="s">
        <v>30</v>
      </c>
      <c r="U21" s="35">
        <v>6.01</v>
      </c>
      <c r="V21" s="35">
        <v>5.52</v>
      </c>
      <c r="W21" s="50">
        <v>6.02</v>
      </c>
      <c r="X21" s="51" t="s">
        <v>41</v>
      </c>
    </row>
    <row r="22" ht="14.25" customHeight="1">
      <c r="A22" s="18" t="s">
        <v>23</v>
      </c>
      <c r="B22" s="18" t="s">
        <v>57</v>
      </c>
      <c r="C22" s="35" t="s">
        <v>25</v>
      </c>
      <c r="D22" s="35">
        <v>8.22</v>
      </c>
      <c r="E22" s="35">
        <v>7.54</v>
      </c>
      <c r="F22" s="35">
        <v>7.41</v>
      </c>
      <c r="G22" s="36">
        <f t="shared" si="1"/>
        <v>7.723333333</v>
      </c>
      <c r="H22" s="18" t="s">
        <v>26</v>
      </c>
      <c r="M22" s="37"/>
      <c r="N22" s="18" t="s">
        <v>23</v>
      </c>
      <c r="O22" s="8" t="s">
        <v>58</v>
      </c>
      <c r="P22" s="10" t="s">
        <v>59</v>
      </c>
      <c r="Q22" s="42" t="s">
        <v>25</v>
      </c>
      <c r="R22" s="48">
        <v>40659.0</v>
      </c>
      <c r="S22" s="49" t="s">
        <v>29</v>
      </c>
      <c r="T22" s="45" t="s">
        <v>30</v>
      </c>
      <c r="U22" s="35">
        <v>5.1</v>
      </c>
      <c r="V22" s="35">
        <v>5.26</v>
      </c>
      <c r="W22" s="46" t="s">
        <v>31</v>
      </c>
      <c r="X22" s="47" t="s">
        <v>32</v>
      </c>
    </row>
    <row r="23" ht="14.25" customHeight="1">
      <c r="A23" s="18" t="s">
        <v>23</v>
      </c>
      <c r="B23" s="18" t="s">
        <v>60</v>
      </c>
      <c r="C23" s="35" t="s">
        <v>25</v>
      </c>
      <c r="D23" s="35">
        <v>5.62</v>
      </c>
      <c r="E23" s="35">
        <v>5.17</v>
      </c>
      <c r="F23" s="35">
        <v>4.44</v>
      </c>
      <c r="G23" s="36">
        <f t="shared" si="1"/>
        <v>5.076666667</v>
      </c>
      <c r="H23" s="18" t="s">
        <v>26</v>
      </c>
      <c r="J23" s="7"/>
      <c r="M23" s="53"/>
      <c r="N23" s="18" t="s">
        <v>23</v>
      </c>
      <c r="O23" s="8" t="s">
        <v>61</v>
      </c>
      <c r="P23" s="10" t="s">
        <v>62</v>
      </c>
      <c r="Q23" s="42" t="s">
        <v>25</v>
      </c>
      <c r="R23" s="48">
        <v>40179.0</v>
      </c>
      <c r="S23" s="49" t="s">
        <v>29</v>
      </c>
      <c r="T23" s="45" t="s">
        <v>63</v>
      </c>
      <c r="U23" s="35">
        <v>4.35</v>
      </c>
      <c r="V23" s="35">
        <v>4.2</v>
      </c>
      <c r="W23" s="50">
        <v>4.65</v>
      </c>
      <c r="X23" s="51" t="s">
        <v>41</v>
      </c>
    </row>
    <row r="24" ht="14.25" customHeight="1">
      <c r="A24" s="18" t="s">
        <v>23</v>
      </c>
      <c r="B24" s="18" t="s">
        <v>64</v>
      </c>
      <c r="C24" s="35" t="s">
        <v>25</v>
      </c>
      <c r="D24" s="35">
        <v>4.24</v>
      </c>
      <c r="E24" s="35">
        <v>4.99</v>
      </c>
      <c r="F24" s="35">
        <v>4.95</v>
      </c>
      <c r="G24" s="36">
        <f t="shared" si="1"/>
        <v>4.726666667</v>
      </c>
      <c r="H24" s="18" t="s">
        <v>26</v>
      </c>
      <c r="J24" s="54"/>
      <c r="M24" s="53"/>
      <c r="N24" s="18" t="s">
        <v>23</v>
      </c>
      <c r="O24" s="8" t="s">
        <v>65</v>
      </c>
      <c r="P24" s="10" t="s">
        <v>66</v>
      </c>
      <c r="Q24" s="42" t="s">
        <v>25</v>
      </c>
      <c r="R24" s="48">
        <v>40673.0</v>
      </c>
      <c r="S24" s="49" t="s">
        <v>29</v>
      </c>
      <c r="T24" s="45" t="s">
        <v>63</v>
      </c>
      <c r="U24" s="35">
        <v>4.66</v>
      </c>
      <c r="V24" s="35">
        <v>4.02</v>
      </c>
      <c r="W24" s="50">
        <v>4.5</v>
      </c>
      <c r="X24" s="51" t="s">
        <v>41</v>
      </c>
    </row>
    <row r="25" ht="14.25" customHeight="1">
      <c r="A25" s="18" t="s">
        <v>23</v>
      </c>
      <c r="B25" s="18" t="s">
        <v>67</v>
      </c>
      <c r="C25" s="35" t="s">
        <v>25</v>
      </c>
      <c r="D25" s="35">
        <v>4.59</v>
      </c>
      <c r="E25" s="35">
        <v>3.96</v>
      </c>
      <c r="F25" s="35">
        <v>4.96</v>
      </c>
      <c r="G25" s="36">
        <f t="shared" si="1"/>
        <v>4.503333333</v>
      </c>
      <c r="H25" s="18" t="s">
        <v>26</v>
      </c>
      <c r="J25" s="54"/>
      <c r="M25" s="53"/>
      <c r="O25" s="1" t="s">
        <v>68</v>
      </c>
      <c r="U25" s="35"/>
      <c r="V25" s="35"/>
      <c r="W25" s="46"/>
      <c r="X25" s="51"/>
    </row>
    <row r="26" ht="14.25" customHeight="1">
      <c r="A26" s="18" t="s">
        <v>23</v>
      </c>
      <c r="B26" s="18" t="s">
        <v>69</v>
      </c>
      <c r="C26" s="35" t="s">
        <v>25</v>
      </c>
      <c r="D26" s="35">
        <v>3.94</v>
      </c>
      <c r="E26" s="35">
        <v>4.97</v>
      </c>
      <c r="F26" s="35">
        <v>4.86</v>
      </c>
      <c r="G26" s="36">
        <f t="shared" si="1"/>
        <v>4.59</v>
      </c>
      <c r="H26" s="18" t="s">
        <v>26</v>
      </c>
      <c r="J26" s="54"/>
      <c r="M26" s="53"/>
      <c r="N26" s="55" t="s">
        <v>70</v>
      </c>
      <c r="O26" s="8" t="s">
        <v>71</v>
      </c>
      <c r="P26" s="10" t="s">
        <v>72</v>
      </c>
      <c r="Q26" s="8" t="s">
        <v>25</v>
      </c>
      <c r="R26" s="43">
        <v>40909.0</v>
      </c>
      <c r="S26" s="56" t="s">
        <v>70</v>
      </c>
      <c r="T26" s="45" t="s">
        <v>30</v>
      </c>
      <c r="U26" s="35">
        <v>6.64</v>
      </c>
      <c r="V26" s="35">
        <v>5.8</v>
      </c>
      <c r="W26" s="50">
        <v>4.56</v>
      </c>
      <c r="X26" s="51" t="s">
        <v>41</v>
      </c>
    </row>
    <row r="27" ht="14.25" customHeight="1">
      <c r="A27" s="18" t="s">
        <v>23</v>
      </c>
      <c r="B27" s="18" t="s">
        <v>73</v>
      </c>
      <c r="C27" s="35" t="s">
        <v>25</v>
      </c>
      <c r="D27" s="35">
        <v>3.96</v>
      </c>
      <c r="E27" s="35">
        <v>4.85</v>
      </c>
      <c r="F27" s="35">
        <v>4.91</v>
      </c>
      <c r="G27" s="36">
        <f t="shared" si="1"/>
        <v>4.573333333</v>
      </c>
      <c r="H27" s="18" t="s">
        <v>26</v>
      </c>
      <c r="J27" s="54"/>
      <c r="M27" s="53"/>
      <c r="N27" s="55" t="s">
        <v>70</v>
      </c>
      <c r="O27" s="8" t="s">
        <v>74</v>
      </c>
      <c r="P27" s="10" t="s">
        <v>75</v>
      </c>
      <c r="Q27" s="8" t="s">
        <v>25</v>
      </c>
      <c r="R27" s="48">
        <v>40909.0</v>
      </c>
      <c r="S27" s="57" t="s">
        <v>70</v>
      </c>
      <c r="T27" s="45" t="s">
        <v>30</v>
      </c>
      <c r="U27" s="35">
        <v>5.88</v>
      </c>
      <c r="V27" s="35">
        <v>5.47</v>
      </c>
      <c r="W27" s="46" t="s">
        <v>31</v>
      </c>
      <c r="X27" s="47" t="s">
        <v>32</v>
      </c>
    </row>
    <row r="28" ht="14.25" customHeight="1">
      <c r="J28" s="54"/>
      <c r="K28" s="58"/>
      <c r="L28" s="58"/>
      <c r="M28" s="53"/>
      <c r="N28" s="55" t="s">
        <v>70</v>
      </c>
      <c r="O28" s="8" t="s">
        <v>76</v>
      </c>
      <c r="P28" s="10" t="s">
        <v>77</v>
      </c>
      <c r="Q28" s="8" t="s">
        <v>25</v>
      </c>
      <c r="R28" s="48">
        <v>40909.0</v>
      </c>
      <c r="S28" s="57" t="s">
        <v>70</v>
      </c>
      <c r="T28" s="45" t="s">
        <v>30</v>
      </c>
      <c r="U28" s="35">
        <v>8.02</v>
      </c>
      <c r="V28" s="35">
        <v>3.69</v>
      </c>
      <c r="W28" s="46" t="s">
        <v>31</v>
      </c>
      <c r="X28" s="47" t="s">
        <v>32</v>
      </c>
    </row>
    <row r="29" ht="14.25" customHeight="1">
      <c r="A29" s="59" t="s">
        <v>78</v>
      </c>
      <c r="B29" s="18" t="s">
        <v>79</v>
      </c>
      <c r="C29" s="18" t="s">
        <v>25</v>
      </c>
      <c r="D29" s="35">
        <v>5.96</v>
      </c>
      <c r="E29" s="35">
        <v>5.46</v>
      </c>
      <c r="F29" s="35">
        <v>5.5</v>
      </c>
      <c r="G29" s="35">
        <v>5.64</v>
      </c>
      <c r="H29" s="18" t="s">
        <v>26</v>
      </c>
      <c r="J29" s="54"/>
      <c r="K29" s="58"/>
      <c r="L29" s="58"/>
      <c r="M29" s="53"/>
      <c r="N29" s="55" t="s">
        <v>70</v>
      </c>
      <c r="O29" s="8" t="s">
        <v>80</v>
      </c>
      <c r="P29" s="10" t="s">
        <v>81</v>
      </c>
      <c r="Q29" s="8" t="s">
        <v>25</v>
      </c>
      <c r="R29" s="48">
        <v>40909.0</v>
      </c>
      <c r="S29" s="57" t="s">
        <v>70</v>
      </c>
      <c r="T29" s="45" t="s">
        <v>30</v>
      </c>
      <c r="U29" s="35">
        <v>8.29</v>
      </c>
      <c r="V29" s="35">
        <v>6.51</v>
      </c>
      <c r="W29" s="50">
        <v>6.55</v>
      </c>
      <c r="X29" s="51" t="s">
        <v>41</v>
      </c>
    </row>
    <row r="30" ht="14.25" customHeight="1">
      <c r="A30" s="59" t="s">
        <v>78</v>
      </c>
      <c r="B30" s="18" t="s">
        <v>82</v>
      </c>
      <c r="C30" s="18" t="s">
        <v>25</v>
      </c>
      <c r="D30" s="35">
        <v>6.0</v>
      </c>
      <c r="E30" s="35">
        <v>6.5</v>
      </c>
      <c r="F30" s="35">
        <v>5.26</v>
      </c>
      <c r="G30" s="35">
        <v>5.92</v>
      </c>
      <c r="H30" s="18" t="s">
        <v>26</v>
      </c>
      <c r="J30" s="54"/>
      <c r="K30" s="58"/>
      <c r="L30" s="58"/>
      <c r="M30" s="53"/>
      <c r="N30" s="55" t="s">
        <v>70</v>
      </c>
      <c r="O30" s="8" t="s">
        <v>83</v>
      </c>
      <c r="P30" s="10" t="s">
        <v>84</v>
      </c>
      <c r="Q30" s="8" t="s">
        <v>25</v>
      </c>
      <c r="R30" s="48">
        <v>40909.0</v>
      </c>
      <c r="S30" s="57" t="s">
        <v>70</v>
      </c>
      <c r="T30" s="45" t="s">
        <v>30</v>
      </c>
      <c r="U30" s="35">
        <v>6.44</v>
      </c>
      <c r="V30" s="35">
        <v>5.02</v>
      </c>
      <c r="W30" s="46" t="s">
        <v>31</v>
      </c>
      <c r="X30" s="47" t="s">
        <v>32</v>
      </c>
    </row>
    <row r="31" ht="14.25" customHeight="1">
      <c r="A31" s="59" t="s">
        <v>78</v>
      </c>
      <c r="B31" s="18" t="s">
        <v>85</v>
      </c>
      <c r="C31" s="18" t="s">
        <v>25</v>
      </c>
      <c r="D31" s="35">
        <v>4.0</v>
      </c>
      <c r="E31" s="35">
        <v>5.5</v>
      </c>
      <c r="F31" s="35">
        <v>5.24</v>
      </c>
      <c r="G31" s="35">
        <v>4.58</v>
      </c>
      <c r="H31" s="18" t="s">
        <v>26</v>
      </c>
      <c r="J31" s="54"/>
      <c r="K31" s="58"/>
      <c r="L31" s="58"/>
      <c r="M31" s="53"/>
      <c r="N31" s="55" t="s">
        <v>70</v>
      </c>
      <c r="O31" s="52" t="s">
        <v>83</v>
      </c>
      <c r="P31" s="49" t="s">
        <v>86</v>
      </c>
      <c r="Q31" s="8" t="s">
        <v>25</v>
      </c>
      <c r="R31" s="48">
        <v>40909.0</v>
      </c>
      <c r="S31" s="57" t="s">
        <v>70</v>
      </c>
      <c r="T31" s="45" t="s">
        <v>30</v>
      </c>
      <c r="U31" s="35">
        <v>5.52</v>
      </c>
      <c r="V31" s="35">
        <v>3.5</v>
      </c>
      <c r="W31" s="46" t="s">
        <v>31</v>
      </c>
      <c r="X31" s="47" t="s">
        <v>32</v>
      </c>
    </row>
    <row r="32" ht="14.25" customHeight="1">
      <c r="A32" s="59" t="s">
        <v>78</v>
      </c>
      <c r="B32" s="18" t="s">
        <v>87</v>
      </c>
      <c r="C32" s="18" t="s">
        <v>25</v>
      </c>
      <c r="D32" s="35">
        <v>3.32</v>
      </c>
      <c r="E32" s="35">
        <v>4.93</v>
      </c>
      <c r="F32" s="35">
        <v>5.52</v>
      </c>
      <c r="G32" s="35">
        <v>4.59</v>
      </c>
      <c r="H32" s="18" t="s">
        <v>26</v>
      </c>
      <c r="J32" s="54"/>
      <c r="K32" s="58"/>
      <c r="L32" s="58"/>
      <c r="M32" s="53"/>
      <c r="N32" s="55" t="s">
        <v>70</v>
      </c>
      <c r="O32" s="8" t="s">
        <v>88</v>
      </c>
      <c r="P32" s="10" t="s">
        <v>89</v>
      </c>
      <c r="Q32" s="8" t="s">
        <v>25</v>
      </c>
      <c r="R32" s="48">
        <v>40909.0</v>
      </c>
      <c r="S32" s="57" t="s">
        <v>70</v>
      </c>
      <c r="T32" s="45" t="s">
        <v>30</v>
      </c>
      <c r="U32" s="35">
        <v>9.38</v>
      </c>
      <c r="V32" s="35">
        <v>8.29</v>
      </c>
      <c r="W32" s="50">
        <v>8.5</v>
      </c>
      <c r="X32" s="51" t="s">
        <v>41</v>
      </c>
    </row>
    <row r="33" ht="14.25" customHeight="1">
      <c r="A33" s="59" t="s">
        <v>78</v>
      </c>
      <c r="B33" s="18" t="s">
        <v>90</v>
      </c>
      <c r="C33" s="18" t="s">
        <v>25</v>
      </c>
      <c r="D33" s="35">
        <v>3.67</v>
      </c>
      <c r="E33" s="35">
        <v>4.98</v>
      </c>
      <c r="F33" s="35">
        <v>6.0</v>
      </c>
      <c r="G33" s="35">
        <v>4.7</v>
      </c>
      <c r="H33" s="18" t="s">
        <v>26</v>
      </c>
      <c r="J33" s="54"/>
      <c r="K33" s="58"/>
      <c r="L33" s="58"/>
      <c r="M33" s="53"/>
      <c r="N33" s="55" t="s">
        <v>70</v>
      </c>
      <c r="O33" s="8" t="s">
        <v>43</v>
      </c>
      <c r="P33" s="10" t="s">
        <v>91</v>
      </c>
      <c r="Q33" s="8" t="s">
        <v>25</v>
      </c>
      <c r="R33" s="48">
        <v>40909.0</v>
      </c>
      <c r="S33" s="57" t="s">
        <v>70</v>
      </c>
      <c r="T33" s="45" t="s">
        <v>30</v>
      </c>
      <c r="U33" s="35">
        <v>5.7</v>
      </c>
      <c r="V33" s="35">
        <v>2.41</v>
      </c>
      <c r="W33" s="46" t="s">
        <v>31</v>
      </c>
      <c r="X33" s="47" t="s">
        <v>32</v>
      </c>
    </row>
    <row r="34" ht="14.25" customHeight="1">
      <c r="A34" s="59" t="s">
        <v>78</v>
      </c>
      <c r="B34" s="18" t="s">
        <v>92</v>
      </c>
      <c r="C34" s="18" t="s">
        <v>25</v>
      </c>
      <c r="D34" s="35">
        <v>3.68</v>
      </c>
      <c r="E34" s="35">
        <v>4.66</v>
      </c>
      <c r="F34" s="35">
        <v>5.54</v>
      </c>
      <c r="G34" s="35">
        <v>4.62</v>
      </c>
      <c r="H34" s="18" t="s">
        <v>26</v>
      </c>
      <c r="J34" s="1"/>
      <c r="K34" s="1"/>
      <c r="M34" s="53"/>
      <c r="N34" s="55" t="s">
        <v>70</v>
      </c>
      <c r="O34" s="60" t="s">
        <v>93</v>
      </c>
      <c r="P34" s="61" t="s">
        <v>81</v>
      </c>
      <c r="Q34" s="8" t="s">
        <v>25</v>
      </c>
      <c r="R34" s="48">
        <v>40909.0</v>
      </c>
      <c r="S34" s="62" t="s">
        <v>70</v>
      </c>
      <c r="T34" s="45" t="s">
        <v>30</v>
      </c>
      <c r="U34" s="63">
        <v>6.05</v>
      </c>
      <c r="V34" s="63">
        <v>5.7</v>
      </c>
      <c r="W34" s="46" t="s">
        <v>31</v>
      </c>
      <c r="X34" s="47" t="s">
        <v>32</v>
      </c>
    </row>
    <row r="35" ht="14.25" customHeight="1">
      <c r="A35" s="59" t="s">
        <v>78</v>
      </c>
      <c r="B35" s="18" t="s">
        <v>94</v>
      </c>
      <c r="C35" s="18" t="s">
        <v>25</v>
      </c>
      <c r="D35" s="35">
        <v>0.0</v>
      </c>
      <c r="E35" s="35">
        <v>0.0</v>
      </c>
      <c r="F35" s="35">
        <v>3.0</v>
      </c>
      <c r="G35" s="35">
        <v>1.0</v>
      </c>
      <c r="H35" s="64" t="s">
        <v>95</v>
      </c>
      <c r="M35" s="53"/>
      <c r="N35" s="55" t="s">
        <v>70</v>
      </c>
      <c r="O35" s="60" t="s">
        <v>96</v>
      </c>
      <c r="P35" s="61" t="s">
        <v>97</v>
      </c>
      <c r="Q35" s="8" t="s">
        <v>25</v>
      </c>
      <c r="R35" s="48">
        <v>40909.0</v>
      </c>
      <c r="S35" s="62" t="s">
        <v>70</v>
      </c>
      <c r="T35" s="45" t="s">
        <v>30</v>
      </c>
      <c r="U35" s="63">
        <v>7.52</v>
      </c>
      <c r="V35" s="63">
        <v>5.79</v>
      </c>
      <c r="W35" s="50">
        <v>5.0</v>
      </c>
      <c r="X35" s="51" t="s">
        <v>41</v>
      </c>
    </row>
    <row r="36" ht="14.25" customHeight="1">
      <c r="A36" s="59" t="s">
        <v>78</v>
      </c>
      <c r="B36" s="18" t="s">
        <v>98</v>
      </c>
      <c r="C36" s="18" t="s">
        <v>25</v>
      </c>
      <c r="D36" s="35">
        <v>0.0</v>
      </c>
      <c r="E36" s="35">
        <v>3.0</v>
      </c>
      <c r="F36" s="35">
        <v>0.0</v>
      </c>
      <c r="G36" s="35">
        <v>1.0</v>
      </c>
      <c r="H36" s="64" t="s">
        <v>95</v>
      </c>
      <c r="M36" s="53"/>
      <c r="N36" s="55" t="s">
        <v>70</v>
      </c>
      <c r="O36" s="60" t="s">
        <v>99</v>
      </c>
      <c r="P36" s="61" t="s">
        <v>100</v>
      </c>
      <c r="Q36" s="8" t="s">
        <v>25</v>
      </c>
      <c r="R36" s="48">
        <v>40909.0</v>
      </c>
      <c r="S36" s="62" t="s">
        <v>70</v>
      </c>
      <c r="T36" s="45" t="s">
        <v>30</v>
      </c>
      <c r="U36" s="63">
        <v>6.47</v>
      </c>
      <c r="V36" s="63">
        <v>5.67</v>
      </c>
      <c r="W36" s="50">
        <v>4.85</v>
      </c>
      <c r="X36" s="51" t="s">
        <v>41</v>
      </c>
    </row>
    <row r="37" ht="14.25" customHeight="1">
      <c r="A37" s="59" t="s">
        <v>78</v>
      </c>
      <c r="B37" s="18" t="s">
        <v>101</v>
      </c>
      <c r="C37" s="18" t="s">
        <v>25</v>
      </c>
      <c r="D37" s="35">
        <v>0.0</v>
      </c>
      <c r="E37" s="35">
        <v>3.0</v>
      </c>
      <c r="F37" s="35">
        <v>0.0</v>
      </c>
      <c r="G37" s="35">
        <v>1.0</v>
      </c>
      <c r="H37" s="64" t="s">
        <v>95</v>
      </c>
      <c r="M37" s="53"/>
      <c r="N37" s="55" t="s">
        <v>70</v>
      </c>
      <c r="O37" s="60" t="s">
        <v>102</v>
      </c>
      <c r="P37" s="61" t="s">
        <v>103</v>
      </c>
      <c r="Q37" s="8" t="s">
        <v>25</v>
      </c>
      <c r="R37" s="65">
        <v>40544.0</v>
      </c>
      <c r="S37" s="62" t="s">
        <v>70</v>
      </c>
      <c r="T37" s="45" t="s">
        <v>63</v>
      </c>
      <c r="U37" s="63">
        <v>6.47</v>
      </c>
      <c r="V37" s="63">
        <v>5.79</v>
      </c>
      <c r="W37" s="46" t="s">
        <v>31</v>
      </c>
      <c r="X37" s="47" t="s">
        <v>104</v>
      </c>
    </row>
    <row r="38" ht="14.25" customHeight="1">
      <c r="A38" s="59" t="s">
        <v>78</v>
      </c>
      <c r="B38" s="18" t="s">
        <v>105</v>
      </c>
      <c r="C38" s="18" t="s">
        <v>25</v>
      </c>
      <c r="D38" s="35">
        <v>6.4</v>
      </c>
      <c r="E38" s="35">
        <v>6.0</v>
      </c>
      <c r="F38" s="35">
        <v>6.2</v>
      </c>
      <c r="G38" s="35">
        <v>6.2</v>
      </c>
      <c r="H38" s="18" t="s">
        <v>26</v>
      </c>
      <c r="M38" s="53"/>
      <c r="O38" s="1" t="s">
        <v>106</v>
      </c>
      <c r="U38" s="35"/>
      <c r="V38" s="35"/>
      <c r="W38" s="46"/>
      <c r="X38" s="18"/>
    </row>
    <row r="39" ht="14.25" customHeight="1">
      <c r="A39" s="59" t="s">
        <v>78</v>
      </c>
      <c r="B39" s="18" t="s">
        <v>107</v>
      </c>
      <c r="C39" s="18" t="s">
        <v>25</v>
      </c>
      <c r="D39" s="35">
        <v>3.76</v>
      </c>
      <c r="E39" s="35">
        <v>4.5</v>
      </c>
      <c r="F39" s="35">
        <v>5.7</v>
      </c>
      <c r="G39" s="35">
        <f t="shared" ref="G39:G55" si="2">(F39+E39+D39)/3</f>
        <v>4.653333333</v>
      </c>
      <c r="H39" s="18" t="s">
        <v>26</v>
      </c>
      <c r="M39" s="53"/>
      <c r="N39" s="18" t="s">
        <v>108</v>
      </c>
      <c r="O39" s="8" t="s">
        <v>109</v>
      </c>
      <c r="P39" s="10"/>
      <c r="Q39" s="18" t="s">
        <v>25</v>
      </c>
      <c r="R39" s="66">
        <v>40909.0</v>
      </c>
      <c r="S39" s="10" t="s">
        <v>110</v>
      </c>
      <c r="T39" s="60" t="s">
        <v>30</v>
      </c>
      <c r="U39" s="35">
        <v>5.95</v>
      </c>
      <c r="V39" s="35">
        <v>3.41</v>
      </c>
      <c r="W39" s="46" t="s">
        <v>31</v>
      </c>
      <c r="X39" s="47" t="s">
        <v>104</v>
      </c>
    </row>
    <row r="40" ht="14.25" customHeight="1">
      <c r="A40" s="59" t="s">
        <v>78</v>
      </c>
      <c r="B40" s="18" t="s">
        <v>111</v>
      </c>
      <c r="C40" s="18" t="s">
        <v>25</v>
      </c>
      <c r="D40" s="35">
        <v>3.87</v>
      </c>
      <c r="E40" s="35">
        <v>4.78</v>
      </c>
      <c r="F40" s="35">
        <v>5.5</v>
      </c>
      <c r="G40" s="35">
        <f t="shared" si="2"/>
        <v>4.716666667</v>
      </c>
      <c r="H40" s="18" t="s">
        <v>26</v>
      </c>
      <c r="M40" s="53"/>
      <c r="N40" s="18" t="s">
        <v>108</v>
      </c>
      <c r="O40" s="8" t="s">
        <v>27</v>
      </c>
      <c r="P40" s="10" t="s">
        <v>112</v>
      </c>
      <c r="Q40" s="18" t="s">
        <v>25</v>
      </c>
      <c r="R40" s="66">
        <v>40909.0</v>
      </c>
      <c r="S40" s="10" t="s">
        <v>110</v>
      </c>
      <c r="T40" s="60" t="s">
        <v>30</v>
      </c>
      <c r="U40" s="35">
        <v>8.17</v>
      </c>
      <c r="V40" s="35">
        <v>5.2</v>
      </c>
      <c r="W40" s="46" t="s">
        <v>31</v>
      </c>
      <c r="X40" s="47" t="s">
        <v>32</v>
      </c>
    </row>
    <row r="41" ht="14.25" customHeight="1">
      <c r="A41" s="59" t="s">
        <v>78</v>
      </c>
      <c r="B41" s="18" t="s">
        <v>113</v>
      </c>
      <c r="C41" s="18" t="s">
        <v>25</v>
      </c>
      <c r="D41" s="35">
        <v>5.0</v>
      </c>
      <c r="E41" s="35">
        <v>5.0</v>
      </c>
      <c r="F41" s="35">
        <v>4.94</v>
      </c>
      <c r="G41" s="35">
        <f t="shared" si="2"/>
        <v>4.98</v>
      </c>
      <c r="H41" s="18" t="s">
        <v>26</v>
      </c>
      <c r="M41" s="53"/>
      <c r="N41" s="18" t="s">
        <v>108</v>
      </c>
      <c r="O41" s="8" t="s">
        <v>34</v>
      </c>
      <c r="P41" s="10" t="s">
        <v>84</v>
      </c>
      <c r="Q41" s="18" t="s">
        <v>25</v>
      </c>
      <c r="R41" s="66">
        <v>40909.0</v>
      </c>
      <c r="S41" s="10" t="s">
        <v>110</v>
      </c>
      <c r="T41" s="60" t="s">
        <v>30</v>
      </c>
      <c r="U41" s="35">
        <v>8.42</v>
      </c>
      <c r="V41" s="35">
        <v>6.91</v>
      </c>
      <c r="W41" s="50">
        <v>7.45</v>
      </c>
      <c r="X41" s="51" t="s">
        <v>41</v>
      </c>
    </row>
    <row r="42" ht="14.25" customHeight="1">
      <c r="A42" s="59" t="s">
        <v>78</v>
      </c>
      <c r="B42" s="18" t="s">
        <v>114</v>
      </c>
      <c r="C42" s="18" t="s">
        <v>25</v>
      </c>
      <c r="D42" s="35">
        <v>4.0</v>
      </c>
      <c r="E42" s="35">
        <v>5.65</v>
      </c>
      <c r="F42" s="35">
        <v>4.0</v>
      </c>
      <c r="G42" s="35">
        <f t="shared" si="2"/>
        <v>4.55</v>
      </c>
      <c r="H42" s="18" t="s">
        <v>26</v>
      </c>
      <c r="M42" s="53"/>
      <c r="N42" s="18" t="s">
        <v>108</v>
      </c>
      <c r="O42" s="8" t="s">
        <v>115</v>
      </c>
      <c r="P42" s="10" t="s">
        <v>116</v>
      </c>
      <c r="Q42" s="18" t="s">
        <v>25</v>
      </c>
      <c r="R42" s="66">
        <v>40909.0</v>
      </c>
      <c r="S42" s="10" t="s">
        <v>110</v>
      </c>
      <c r="T42" s="60" t="s">
        <v>30</v>
      </c>
      <c r="U42" s="35">
        <v>8.55</v>
      </c>
      <c r="V42" s="35">
        <v>6.94</v>
      </c>
      <c r="W42" s="50">
        <v>6.25</v>
      </c>
      <c r="X42" s="51" t="s">
        <v>41</v>
      </c>
    </row>
    <row r="43" ht="14.25" customHeight="1">
      <c r="A43" s="59" t="s">
        <v>78</v>
      </c>
      <c r="B43" s="18" t="s">
        <v>117</v>
      </c>
      <c r="C43" s="18" t="s">
        <v>25</v>
      </c>
      <c r="D43" s="35">
        <v>3.5</v>
      </c>
      <c r="E43" s="35">
        <v>4.76</v>
      </c>
      <c r="F43" s="35">
        <v>5.9</v>
      </c>
      <c r="G43" s="35">
        <f t="shared" si="2"/>
        <v>4.72</v>
      </c>
      <c r="H43" s="18" t="s">
        <v>26</v>
      </c>
      <c r="M43" s="53"/>
      <c r="N43" s="18" t="s">
        <v>108</v>
      </c>
      <c r="O43" s="8" t="s">
        <v>118</v>
      </c>
      <c r="P43" s="10" t="s">
        <v>77</v>
      </c>
      <c r="Q43" s="18" t="s">
        <v>25</v>
      </c>
      <c r="R43" s="66">
        <v>40909.0</v>
      </c>
      <c r="S43" s="10" t="s">
        <v>110</v>
      </c>
      <c r="T43" s="60" t="s">
        <v>30</v>
      </c>
      <c r="U43" s="35">
        <v>7.52</v>
      </c>
      <c r="V43" s="35">
        <v>6.14</v>
      </c>
      <c r="W43" s="46" t="s">
        <v>31</v>
      </c>
      <c r="X43" s="47" t="s">
        <v>32</v>
      </c>
    </row>
    <row r="44" ht="14.25" customHeight="1">
      <c r="A44" s="59" t="s">
        <v>78</v>
      </c>
      <c r="B44" s="18" t="s">
        <v>119</v>
      </c>
      <c r="C44" s="18" t="s">
        <v>25</v>
      </c>
      <c r="D44" s="35">
        <v>9.25</v>
      </c>
      <c r="E44" s="35">
        <v>8.7</v>
      </c>
      <c r="F44" s="35">
        <v>8.0</v>
      </c>
      <c r="G44" s="35">
        <f t="shared" si="2"/>
        <v>8.65</v>
      </c>
      <c r="H44" s="18" t="s">
        <v>26</v>
      </c>
      <c r="M44" s="53"/>
      <c r="N44" s="18" t="s">
        <v>108</v>
      </c>
      <c r="O44" s="8" t="s">
        <v>120</v>
      </c>
      <c r="P44" s="10" t="s">
        <v>112</v>
      </c>
      <c r="Q44" s="18" t="s">
        <v>25</v>
      </c>
      <c r="R44" s="66">
        <v>40909.0</v>
      </c>
      <c r="S44" s="10" t="s">
        <v>110</v>
      </c>
      <c r="T44" s="60" t="s">
        <v>30</v>
      </c>
      <c r="U44" s="35">
        <v>7.76</v>
      </c>
      <c r="V44" s="35">
        <v>5.85</v>
      </c>
      <c r="W44" s="46" t="s">
        <v>31</v>
      </c>
      <c r="X44" s="47" t="s">
        <v>32</v>
      </c>
    </row>
    <row r="45" ht="14.25" customHeight="1">
      <c r="A45" s="59" t="s">
        <v>78</v>
      </c>
      <c r="B45" s="18" t="s">
        <v>121</v>
      </c>
      <c r="C45" s="18" t="s">
        <v>25</v>
      </c>
      <c r="D45" s="35">
        <v>8.0</v>
      </c>
      <c r="E45" s="35">
        <v>8.6</v>
      </c>
      <c r="F45" s="35">
        <v>8.27</v>
      </c>
      <c r="G45" s="35">
        <f t="shared" si="2"/>
        <v>8.29</v>
      </c>
      <c r="H45" s="18" t="s">
        <v>26</v>
      </c>
      <c r="M45" s="53"/>
      <c r="N45" s="18" t="s">
        <v>108</v>
      </c>
      <c r="O45" s="8" t="s">
        <v>122</v>
      </c>
      <c r="P45" s="10" t="s">
        <v>123</v>
      </c>
      <c r="Q45" s="18" t="s">
        <v>25</v>
      </c>
      <c r="R45" s="66">
        <v>40909.0</v>
      </c>
      <c r="S45" s="10" t="s">
        <v>110</v>
      </c>
      <c r="T45" s="60" t="s">
        <v>30</v>
      </c>
      <c r="U45" s="35">
        <v>6.97</v>
      </c>
      <c r="V45" s="35">
        <v>5.17</v>
      </c>
      <c r="W45" s="46" t="s">
        <v>31</v>
      </c>
      <c r="X45" s="47" t="s">
        <v>32</v>
      </c>
    </row>
    <row r="46" ht="14.25" customHeight="1">
      <c r="A46" s="59" t="s">
        <v>78</v>
      </c>
      <c r="B46" s="18" t="s">
        <v>124</v>
      </c>
      <c r="C46" s="18" t="s">
        <v>25</v>
      </c>
      <c r="D46" s="35">
        <v>3.13</v>
      </c>
      <c r="E46" s="35">
        <v>4.6</v>
      </c>
      <c r="F46" s="35">
        <v>5.9</v>
      </c>
      <c r="G46" s="35">
        <f t="shared" si="2"/>
        <v>4.543333333</v>
      </c>
      <c r="H46" s="18" t="s">
        <v>26</v>
      </c>
      <c r="M46" s="53"/>
      <c r="N46" s="18" t="s">
        <v>108</v>
      </c>
      <c r="O46" s="8" t="s">
        <v>125</v>
      </c>
      <c r="P46" s="10" t="s">
        <v>84</v>
      </c>
      <c r="Q46" s="18" t="s">
        <v>25</v>
      </c>
      <c r="R46" s="66">
        <v>40909.0</v>
      </c>
      <c r="S46" s="10" t="s">
        <v>110</v>
      </c>
      <c r="T46" s="60" t="s">
        <v>30</v>
      </c>
      <c r="U46" s="35">
        <v>7.42</v>
      </c>
      <c r="V46" s="35">
        <v>5.35</v>
      </c>
      <c r="W46" s="46" t="s">
        <v>31</v>
      </c>
      <c r="X46" s="47" t="s">
        <v>32</v>
      </c>
    </row>
    <row r="47" ht="14.25" customHeight="1">
      <c r="A47" s="59" t="s">
        <v>78</v>
      </c>
      <c r="B47" s="18" t="s">
        <v>126</v>
      </c>
      <c r="C47" s="18" t="s">
        <v>25</v>
      </c>
      <c r="D47" s="35">
        <v>4.15</v>
      </c>
      <c r="E47" s="35">
        <v>4.98</v>
      </c>
      <c r="F47" s="35">
        <v>4.78</v>
      </c>
      <c r="G47" s="35">
        <f t="shared" si="2"/>
        <v>4.636666667</v>
      </c>
      <c r="H47" s="18" t="s">
        <v>26</v>
      </c>
      <c r="M47" s="53"/>
      <c r="N47" s="18" t="s">
        <v>108</v>
      </c>
      <c r="O47" s="8" t="s">
        <v>127</v>
      </c>
      <c r="P47" s="10" t="s">
        <v>128</v>
      </c>
      <c r="Q47" s="18" t="s">
        <v>25</v>
      </c>
      <c r="R47" s="66">
        <v>40909.0</v>
      </c>
      <c r="S47" s="10" t="s">
        <v>110</v>
      </c>
      <c r="T47" s="60" t="s">
        <v>30</v>
      </c>
      <c r="U47" s="35">
        <v>6.69</v>
      </c>
      <c r="V47" s="35">
        <v>5.14</v>
      </c>
      <c r="W47" s="46" t="s">
        <v>31</v>
      </c>
      <c r="X47" s="47" t="s">
        <v>32</v>
      </c>
    </row>
    <row r="48" ht="14.25" customHeight="1">
      <c r="A48" s="59" t="s">
        <v>78</v>
      </c>
      <c r="B48" s="18" t="s">
        <v>129</v>
      </c>
      <c r="C48" s="18" t="s">
        <v>25</v>
      </c>
      <c r="D48" s="35">
        <v>6.21</v>
      </c>
      <c r="E48" s="35">
        <v>6.0</v>
      </c>
      <c r="F48" s="35">
        <v>6.6</v>
      </c>
      <c r="G48" s="35">
        <f t="shared" si="2"/>
        <v>6.27</v>
      </c>
      <c r="H48" s="18" t="s">
        <v>26</v>
      </c>
      <c r="M48" s="53"/>
      <c r="N48" s="18" t="s">
        <v>108</v>
      </c>
      <c r="O48" s="8" t="s">
        <v>130</v>
      </c>
      <c r="P48" s="10" t="s">
        <v>131</v>
      </c>
      <c r="Q48" s="18" t="s">
        <v>25</v>
      </c>
      <c r="R48" s="66">
        <v>40909.0</v>
      </c>
      <c r="S48" s="10" t="s">
        <v>110</v>
      </c>
      <c r="T48" s="60" t="s">
        <v>30</v>
      </c>
      <c r="U48" s="35">
        <v>6.35</v>
      </c>
      <c r="V48" s="35">
        <v>7.41</v>
      </c>
      <c r="W48" s="50">
        <v>5.25</v>
      </c>
      <c r="X48" s="51" t="s">
        <v>41</v>
      </c>
    </row>
    <row r="49" ht="14.25" customHeight="1">
      <c r="A49" s="59" t="s">
        <v>78</v>
      </c>
      <c r="B49" s="18" t="s">
        <v>132</v>
      </c>
      <c r="C49" s="18" t="s">
        <v>25</v>
      </c>
      <c r="D49" s="35">
        <v>3.5</v>
      </c>
      <c r="E49" s="35">
        <v>4.5</v>
      </c>
      <c r="F49" s="35">
        <v>5.5</v>
      </c>
      <c r="G49" s="35">
        <f t="shared" si="2"/>
        <v>4.5</v>
      </c>
      <c r="H49" s="18" t="s">
        <v>26</v>
      </c>
      <c r="M49" s="53"/>
      <c r="N49" s="18" t="s">
        <v>108</v>
      </c>
      <c r="O49" s="8" t="s">
        <v>125</v>
      </c>
      <c r="P49" s="10" t="s">
        <v>112</v>
      </c>
      <c r="Q49" s="8" t="s">
        <v>25</v>
      </c>
      <c r="R49" s="48">
        <v>40544.0</v>
      </c>
      <c r="S49" s="49" t="s">
        <v>110</v>
      </c>
      <c r="T49" s="45" t="s">
        <v>63</v>
      </c>
      <c r="U49" s="35">
        <v>6.58</v>
      </c>
      <c r="V49" s="35">
        <v>8.88</v>
      </c>
      <c r="W49" s="50">
        <v>5.65</v>
      </c>
      <c r="X49" s="51" t="s">
        <v>41</v>
      </c>
    </row>
    <row r="50" ht="14.25" customHeight="1">
      <c r="A50" s="59" t="s">
        <v>78</v>
      </c>
      <c r="B50" s="18" t="s">
        <v>133</v>
      </c>
      <c r="C50" s="18" t="s">
        <v>25</v>
      </c>
      <c r="D50" s="35">
        <v>8.24</v>
      </c>
      <c r="E50" s="35">
        <v>9.0</v>
      </c>
      <c r="F50" s="35">
        <v>9.4</v>
      </c>
      <c r="G50" s="35">
        <f t="shared" si="2"/>
        <v>8.88</v>
      </c>
      <c r="H50" s="18" t="s">
        <v>26</v>
      </c>
      <c r="M50" s="53"/>
      <c r="N50" s="18" t="s">
        <v>108</v>
      </c>
      <c r="O50" s="8" t="s">
        <v>134</v>
      </c>
      <c r="P50" s="10" t="s">
        <v>135</v>
      </c>
      <c r="Q50" s="8" t="s">
        <v>25</v>
      </c>
      <c r="R50" s="48">
        <v>40544.0</v>
      </c>
      <c r="S50" s="49" t="s">
        <v>110</v>
      </c>
      <c r="T50" s="45" t="s">
        <v>63</v>
      </c>
      <c r="U50" s="35">
        <v>5.23</v>
      </c>
      <c r="V50" s="35">
        <v>5.29</v>
      </c>
      <c r="W50" s="50">
        <v>5.0</v>
      </c>
      <c r="X50" s="51" t="s">
        <v>41</v>
      </c>
    </row>
    <row r="51" ht="14.25" customHeight="1">
      <c r="A51" s="59" t="s">
        <v>78</v>
      </c>
      <c r="B51" s="18" t="s">
        <v>136</v>
      </c>
      <c r="C51" s="18" t="s">
        <v>25</v>
      </c>
      <c r="D51" s="35">
        <v>3.7</v>
      </c>
      <c r="E51" s="35">
        <v>4.9</v>
      </c>
      <c r="F51" s="35">
        <v>5.2</v>
      </c>
      <c r="G51" s="35">
        <f t="shared" si="2"/>
        <v>4.6</v>
      </c>
      <c r="H51" s="18" t="s">
        <v>26</v>
      </c>
      <c r="M51" s="53"/>
      <c r="U51" s="67"/>
      <c r="V51" s="67"/>
      <c r="W51" s="67"/>
    </row>
    <row r="52" ht="14.25" customHeight="1">
      <c r="A52" s="59" t="s">
        <v>78</v>
      </c>
      <c r="B52" s="18" t="s">
        <v>137</v>
      </c>
      <c r="C52" s="18" t="s">
        <v>25</v>
      </c>
      <c r="D52" s="35">
        <v>7.0</v>
      </c>
      <c r="E52" s="35">
        <v>8.0</v>
      </c>
      <c r="F52" s="35">
        <v>8.49</v>
      </c>
      <c r="G52" s="35">
        <f t="shared" si="2"/>
        <v>7.83</v>
      </c>
      <c r="H52" s="18" t="s">
        <v>26</v>
      </c>
      <c r="M52" s="53"/>
      <c r="N52" s="68"/>
      <c r="O52" s="68"/>
      <c r="P52" s="68"/>
      <c r="Q52" s="68"/>
      <c r="R52" s="69"/>
      <c r="S52" s="70"/>
      <c r="T52" s="58"/>
      <c r="U52" s="67"/>
      <c r="V52" s="67"/>
      <c r="W52" s="71"/>
      <c r="X52" s="58"/>
    </row>
    <row r="53" ht="14.25" customHeight="1">
      <c r="A53" s="59" t="s">
        <v>78</v>
      </c>
      <c r="B53" s="18" t="s">
        <v>138</v>
      </c>
      <c r="C53" s="18" t="s">
        <v>25</v>
      </c>
      <c r="D53" s="35">
        <v>5.0</v>
      </c>
      <c r="E53" s="35">
        <v>5.27</v>
      </c>
      <c r="F53" s="35">
        <v>5.6</v>
      </c>
      <c r="G53" s="35">
        <f t="shared" si="2"/>
        <v>5.29</v>
      </c>
      <c r="H53" s="18" t="s">
        <v>26</v>
      </c>
      <c r="M53" s="53"/>
      <c r="N53" s="72"/>
      <c r="P53" s="1" t="s">
        <v>139</v>
      </c>
      <c r="R53" s="73"/>
      <c r="T53" s="58"/>
      <c r="U53" s="67"/>
      <c r="V53" s="67"/>
      <c r="W53" s="71"/>
      <c r="X53" s="58"/>
    </row>
    <row r="54" ht="14.25" customHeight="1">
      <c r="A54" s="59" t="s">
        <v>78</v>
      </c>
      <c r="B54" s="18" t="s">
        <v>140</v>
      </c>
      <c r="C54" s="18" t="s">
        <v>25</v>
      </c>
      <c r="D54" s="35">
        <v>3.61</v>
      </c>
      <c r="E54" s="35">
        <v>4.7</v>
      </c>
      <c r="F54" s="35">
        <v>5.5</v>
      </c>
      <c r="G54" s="35">
        <f t="shared" si="2"/>
        <v>4.603333333</v>
      </c>
      <c r="H54" s="18" t="s">
        <v>26</v>
      </c>
      <c r="M54" s="53"/>
      <c r="N54" s="47" t="s">
        <v>141</v>
      </c>
      <c r="O54" s="47" t="s">
        <v>142</v>
      </c>
      <c r="P54" s="47" t="s">
        <v>143</v>
      </c>
      <c r="Q54" s="60" t="s">
        <v>25</v>
      </c>
      <c r="R54" s="74" t="s">
        <v>144</v>
      </c>
      <c r="S54" s="18" t="s">
        <v>145</v>
      </c>
      <c r="T54" s="47" t="s">
        <v>30</v>
      </c>
      <c r="U54" s="35">
        <v>7.25</v>
      </c>
      <c r="V54" s="35">
        <v>6.52</v>
      </c>
      <c r="W54" s="35">
        <v>5.63</v>
      </c>
      <c r="X54" s="51" t="s">
        <v>41</v>
      </c>
    </row>
    <row r="55" ht="14.25" customHeight="1">
      <c r="A55" s="59" t="s">
        <v>78</v>
      </c>
      <c r="B55" s="18" t="s">
        <v>146</v>
      </c>
      <c r="C55" s="18" t="s">
        <v>25</v>
      </c>
      <c r="D55" s="35">
        <v>3.55</v>
      </c>
      <c r="E55" s="35">
        <v>3.95</v>
      </c>
      <c r="F55" s="35">
        <v>6.0</v>
      </c>
      <c r="G55" s="35">
        <f t="shared" si="2"/>
        <v>4.5</v>
      </c>
      <c r="H55" s="18" t="s">
        <v>26</v>
      </c>
      <c r="M55" s="53"/>
      <c r="N55" s="47" t="s">
        <v>141</v>
      </c>
      <c r="O55" s="18" t="s">
        <v>147</v>
      </c>
      <c r="P55" s="18" t="s">
        <v>148</v>
      </c>
      <c r="Q55" s="8" t="s">
        <v>25</v>
      </c>
      <c r="R55" s="75" t="s">
        <v>144</v>
      </c>
      <c r="S55" s="18" t="s">
        <v>145</v>
      </c>
      <c r="T55" s="47" t="s">
        <v>30</v>
      </c>
      <c r="U55" s="35">
        <v>5.91</v>
      </c>
      <c r="V55" s="35">
        <v>4.6</v>
      </c>
      <c r="W55" s="46" t="s">
        <v>31</v>
      </c>
      <c r="X55" s="47" t="s">
        <v>32</v>
      </c>
    </row>
    <row r="56" ht="14.25" customHeight="1">
      <c r="A56" s="59" t="s">
        <v>78</v>
      </c>
      <c r="B56" s="18" t="s">
        <v>149</v>
      </c>
      <c r="C56" s="18" t="s">
        <v>25</v>
      </c>
      <c r="D56" s="35">
        <v>5.0</v>
      </c>
      <c r="E56" s="35">
        <v>5.15</v>
      </c>
      <c r="F56" s="35">
        <v>5.2</v>
      </c>
      <c r="G56" s="35">
        <v>5.25</v>
      </c>
      <c r="H56" s="18" t="s">
        <v>26</v>
      </c>
      <c r="M56" s="53"/>
      <c r="N56" s="47" t="s">
        <v>141</v>
      </c>
      <c r="O56" s="18" t="s">
        <v>27</v>
      </c>
      <c r="P56" s="18" t="s">
        <v>150</v>
      </c>
      <c r="Q56" s="8" t="s">
        <v>25</v>
      </c>
      <c r="R56" s="75" t="s">
        <v>144</v>
      </c>
      <c r="S56" s="18" t="s">
        <v>145</v>
      </c>
      <c r="T56" s="47" t="s">
        <v>30</v>
      </c>
      <c r="U56" s="35">
        <v>4.52</v>
      </c>
      <c r="V56" s="35">
        <v>5.35</v>
      </c>
      <c r="W56" s="46" t="s">
        <v>31</v>
      </c>
      <c r="X56" s="47" t="s">
        <v>32</v>
      </c>
    </row>
    <row r="57" ht="14.25" customHeight="1">
      <c r="J57" s="72"/>
      <c r="K57" s="72"/>
      <c r="L57" s="72"/>
      <c r="M57" s="76"/>
      <c r="N57" s="47" t="s">
        <v>141</v>
      </c>
      <c r="O57" s="18" t="s">
        <v>34</v>
      </c>
      <c r="P57" s="18" t="s">
        <v>151</v>
      </c>
      <c r="Q57" s="8" t="s">
        <v>25</v>
      </c>
      <c r="R57" s="75" t="s">
        <v>144</v>
      </c>
      <c r="S57" s="18" t="s">
        <v>145</v>
      </c>
      <c r="T57" s="47" t="s">
        <v>30</v>
      </c>
      <c r="U57" s="35">
        <v>6.94</v>
      </c>
      <c r="V57" s="35">
        <v>7.2</v>
      </c>
      <c r="W57" s="46" t="s">
        <v>31</v>
      </c>
      <c r="X57" s="47" t="s">
        <v>32</v>
      </c>
    </row>
    <row r="58" ht="14.25" customHeight="1">
      <c r="M58" s="53"/>
      <c r="N58" s="47" t="s">
        <v>141</v>
      </c>
      <c r="O58" s="18" t="s">
        <v>152</v>
      </c>
      <c r="P58" s="18" t="s">
        <v>84</v>
      </c>
      <c r="Q58" s="8" t="s">
        <v>25</v>
      </c>
      <c r="R58" s="75" t="s">
        <v>144</v>
      </c>
      <c r="S58" s="18" t="s">
        <v>145</v>
      </c>
      <c r="T58" s="47" t="s">
        <v>30</v>
      </c>
      <c r="U58" s="35">
        <v>6.69</v>
      </c>
      <c r="V58" s="35">
        <v>5.78</v>
      </c>
      <c r="W58" s="35">
        <v>4.89</v>
      </c>
      <c r="X58" s="51" t="s">
        <v>41</v>
      </c>
    </row>
    <row r="59" ht="14.25" customHeight="1">
      <c r="M59" s="53"/>
      <c r="N59" s="47" t="s">
        <v>141</v>
      </c>
      <c r="O59" s="77" t="s">
        <v>153</v>
      </c>
      <c r="P59" s="77" t="s">
        <v>131</v>
      </c>
      <c r="Q59" s="8" t="s">
        <v>25</v>
      </c>
      <c r="R59" s="75" t="s">
        <v>144</v>
      </c>
      <c r="S59" s="18" t="s">
        <v>145</v>
      </c>
      <c r="T59" s="47" t="s">
        <v>30</v>
      </c>
      <c r="U59" s="35">
        <v>6.35</v>
      </c>
      <c r="V59" s="35">
        <v>3.44</v>
      </c>
      <c r="W59" s="46" t="s">
        <v>31</v>
      </c>
      <c r="X59" s="47" t="s">
        <v>32</v>
      </c>
    </row>
    <row r="60" ht="14.25" customHeight="1">
      <c r="M60" s="53"/>
      <c r="N60" s="47" t="s">
        <v>141</v>
      </c>
      <c r="O60" s="18" t="s">
        <v>154</v>
      </c>
      <c r="P60" s="18" t="s">
        <v>72</v>
      </c>
      <c r="Q60" s="8" t="s">
        <v>25</v>
      </c>
      <c r="R60" s="75" t="s">
        <v>144</v>
      </c>
      <c r="S60" s="18" t="s">
        <v>145</v>
      </c>
      <c r="T60" s="47" t="s">
        <v>30</v>
      </c>
      <c r="U60" s="35">
        <v>6.67</v>
      </c>
      <c r="V60" s="35">
        <v>5.23</v>
      </c>
      <c r="W60" s="35">
        <v>4.54</v>
      </c>
      <c r="X60" s="51" t="s">
        <v>41</v>
      </c>
    </row>
    <row r="61" ht="14.25" customHeight="1">
      <c r="M61" s="53"/>
      <c r="N61" s="47" t="s">
        <v>141</v>
      </c>
      <c r="O61" s="18" t="s">
        <v>155</v>
      </c>
      <c r="P61" s="18" t="s">
        <v>112</v>
      </c>
      <c r="Q61" s="8" t="s">
        <v>25</v>
      </c>
      <c r="R61" s="75" t="s">
        <v>144</v>
      </c>
      <c r="S61" s="18" t="s">
        <v>145</v>
      </c>
      <c r="T61" s="47" t="s">
        <v>30</v>
      </c>
      <c r="U61" s="35">
        <v>8.57</v>
      </c>
      <c r="V61" s="35">
        <v>8.55</v>
      </c>
      <c r="W61" s="35">
        <v>8.84</v>
      </c>
      <c r="X61" s="51" t="s">
        <v>41</v>
      </c>
    </row>
    <row r="62" ht="14.25" customHeight="1">
      <c r="M62" s="53"/>
      <c r="N62" s="47" t="s">
        <v>141</v>
      </c>
      <c r="O62" s="18" t="s">
        <v>118</v>
      </c>
      <c r="P62" s="18" t="s">
        <v>156</v>
      </c>
      <c r="Q62" s="8" t="s">
        <v>25</v>
      </c>
      <c r="R62" s="75" t="s">
        <v>144</v>
      </c>
      <c r="S62" s="18" t="s">
        <v>145</v>
      </c>
      <c r="T62" s="47" t="s">
        <v>30</v>
      </c>
      <c r="U62" s="35">
        <v>7.1</v>
      </c>
      <c r="V62" s="35">
        <v>6.5</v>
      </c>
      <c r="W62" s="46" t="s">
        <v>31</v>
      </c>
      <c r="X62" s="47" t="s">
        <v>32</v>
      </c>
    </row>
    <row r="63" ht="14.25" customHeight="1">
      <c r="M63" s="53"/>
      <c r="N63" s="47" t="s">
        <v>141</v>
      </c>
      <c r="O63" s="18" t="s">
        <v>157</v>
      </c>
      <c r="P63" s="18" t="s">
        <v>148</v>
      </c>
      <c r="Q63" s="8" t="s">
        <v>25</v>
      </c>
      <c r="R63" s="75" t="s">
        <v>144</v>
      </c>
      <c r="S63" s="18" t="s">
        <v>145</v>
      </c>
      <c r="T63" s="47" t="s">
        <v>30</v>
      </c>
      <c r="U63" s="35">
        <v>6.64</v>
      </c>
      <c r="V63" s="35">
        <v>563.0</v>
      </c>
      <c r="W63" s="46" t="s">
        <v>31</v>
      </c>
      <c r="X63" s="47" t="s">
        <v>32</v>
      </c>
    </row>
    <row r="64" ht="14.25" customHeight="1">
      <c r="J64" s="72"/>
      <c r="K64" s="72"/>
      <c r="L64" s="72"/>
      <c r="M64" s="76"/>
      <c r="N64" s="47" t="s">
        <v>141</v>
      </c>
      <c r="O64" s="18" t="s">
        <v>158</v>
      </c>
      <c r="P64" s="18" t="s">
        <v>159</v>
      </c>
      <c r="Q64" s="8" t="s">
        <v>25</v>
      </c>
      <c r="R64" s="75" t="s">
        <v>144</v>
      </c>
      <c r="S64" s="18" t="s">
        <v>145</v>
      </c>
      <c r="T64" s="47" t="s">
        <v>30</v>
      </c>
      <c r="U64" s="35">
        <v>4.38</v>
      </c>
      <c r="V64" s="35">
        <v>5.64</v>
      </c>
      <c r="W64" s="46" t="s">
        <v>31</v>
      </c>
      <c r="X64" s="47" t="s">
        <v>32</v>
      </c>
    </row>
    <row r="65" ht="14.25" customHeight="1">
      <c r="M65" s="53"/>
      <c r="N65" s="47" t="s">
        <v>141</v>
      </c>
      <c r="O65" s="18" t="s">
        <v>160</v>
      </c>
      <c r="P65" s="18" t="s">
        <v>161</v>
      </c>
      <c r="Q65" s="8" t="s">
        <v>25</v>
      </c>
      <c r="R65" s="75" t="s">
        <v>144</v>
      </c>
      <c r="S65" s="18" t="s">
        <v>145</v>
      </c>
      <c r="T65" s="47" t="s">
        <v>30</v>
      </c>
      <c r="U65" s="35">
        <v>6.55</v>
      </c>
      <c r="V65" s="35">
        <v>6.11</v>
      </c>
      <c r="W65" s="35">
        <v>4.9</v>
      </c>
      <c r="X65" s="51" t="s">
        <v>41</v>
      </c>
    </row>
    <row r="66" ht="14.25" customHeight="1">
      <c r="M66" s="53"/>
      <c r="N66" s="47" t="s">
        <v>141</v>
      </c>
      <c r="O66" s="18" t="s">
        <v>83</v>
      </c>
      <c r="P66" s="18" t="s">
        <v>162</v>
      </c>
      <c r="Q66" s="8" t="s">
        <v>25</v>
      </c>
      <c r="R66" s="75" t="s">
        <v>144</v>
      </c>
      <c r="S66" s="18" t="s">
        <v>145</v>
      </c>
      <c r="T66" s="47" t="s">
        <v>30</v>
      </c>
      <c r="U66" s="35">
        <v>6.61</v>
      </c>
      <c r="V66" s="35">
        <v>5.2</v>
      </c>
      <c r="W66" s="46" t="s">
        <v>31</v>
      </c>
      <c r="X66" s="47" t="s">
        <v>32</v>
      </c>
    </row>
    <row r="67" ht="14.25" customHeight="1">
      <c r="M67" s="53"/>
      <c r="N67" s="47" t="s">
        <v>141</v>
      </c>
      <c r="O67" s="18" t="s">
        <v>163</v>
      </c>
      <c r="P67" s="18" t="s">
        <v>164</v>
      </c>
      <c r="Q67" s="8" t="s">
        <v>25</v>
      </c>
      <c r="R67" s="75" t="s">
        <v>144</v>
      </c>
      <c r="S67" s="18" t="s">
        <v>145</v>
      </c>
      <c r="T67" s="47" t="s">
        <v>30</v>
      </c>
      <c r="U67" s="35">
        <v>4.91</v>
      </c>
      <c r="V67" s="35">
        <v>2.67</v>
      </c>
      <c r="W67" s="46" t="s">
        <v>31</v>
      </c>
      <c r="X67" s="47" t="s">
        <v>32</v>
      </c>
    </row>
    <row r="68" ht="14.25" customHeight="1">
      <c r="J68" s="72"/>
      <c r="K68" s="72"/>
      <c r="L68" s="72"/>
      <c r="M68" s="76"/>
      <c r="N68" s="47" t="s">
        <v>141</v>
      </c>
      <c r="O68" s="18" t="s">
        <v>165</v>
      </c>
      <c r="P68" s="18" t="s">
        <v>35</v>
      </c>
      <c r="Q68" s="8" t="s">
        <v>25</v>
      </c>
      <c r="R68" s="75" t="s">
        <v>144</v>
      </c>
      <c r="S68" s="18" t="s">
        <v>145</v>
      </c>
      <c r="T68" s="47" t="s">
        <v>30</v>
      </c>
      <c r="U68" s="35">
        <v>4.75</v>
      </c>
      <c r="V68" s="35">
        <v>5.5</v>
      </c>
      <c r="W68" s="46" t="s">
        <v>31</v>
      </c>
      <c r="X68" s="47" t="s">
        <v>32</v>
      </c>
    </row>
    <row r="69" ht="14.25" customHeight="1">
      <c r="M69" s="53"/>
      <c r="N69" s="47" t="s">
        <v>141</v>
      </c>
      <c r="O69" s="18" t="s">
        <v>166</v>
      </c>
      <c r="P69" s="18" t="s">
        <v>167</v>
      </c>
      <c r="Q69" s="8" t="s">
        <v>25</v>
      </c>
      <c r="R69" s="75" t="s">
        <v>144</v>
      </c>
      <c r="S69" s="18" t="s">
        <v>145</v>
      </c>
      <c r="T69" s="47" t="s">
        <v>30</v>
      </c>
      <c r="U69" s="35">
        <v>8.11</v>
      </c>
      <c r="V69" s="35">
        <v>7.88</v>
      </c>
      <c r="W69" s="35">
        <v>4.86</v>
      </c>
      <c r="X69" s="51" t="s">
        <v>41</v>
      </c>
    </row>
    <row r="70" ht="14.25" customHeight="1">
      <c r="J70" s="72"/>
      <c r="K70" s="72"/>
      <c r="L70" s="72"/>
      <c r="M70" s="76"/>
      <c r="N70" s="47" t="s">
        <v>141</v>
      </c>
      <c r="O70" s="18" t="s">
        <v>168</v>
      </c>
      <c r="P70" s="18" t="s">
        <v>169</v>
      </c>
      <c r="Q70" s="8" t="s">
        <v>25</v>
      </c>
      <c r="R70" s="75" t="s">
        <v>144</v>
      </c>
      <c r="S70" s="18" t="s">
        <v>170</v>
      </c>
      <c r="T70" s="47" t="s">
        <v>30</v>
      </c>
      <c r="U70" s="35">
        <v>7.85</v>
      </c>
      <c r="V70" s="35">
        <v>6.2</v>
      </c>
      <c r="W70" s="35">
        <v>4.82</v>
      </c>
      <c r="X70" s="51" t="s">
        <v>41</v>
      </c>
    </row>
    <row r="71" ht="14.25" customHeight="1">
      <c r="N71" s="47" t="s">
        <v>141</v>
      </c>
      <c r="O71" s="18" t="s">
        <v>171</v>
      </c>
      <c r="P71" s="18" t="s">
        <v>172</v>
      </c>
      <c r="Q71" s="8" t="s">
        <v>25</v>
      </c>
      <c r="R71" s="75" t="s">
        <v>144</v>
      </c>
      <c r="S71" s="18" t="s">
        <v>145</v>
      </c>
      <c r="T71" s="47" t="s">
        <v>30</v>
      </c>
      <c r="U71" s="35" t="s">
        <v>173</v>
      </c>
      <c r="V71" s="35">
        <v>4.01</v>
      </c>
      <c r="W71" s="46" t="s">
        <v>31</v>
      </c>
      <c r="X71" s="47" t="s">
        <v>32</v>
      </c>
    </row>
    <row r="72" ht="14.25" customHeight="1">
      <c r="N72" s="47" t="s">
        <v>141</v>
      </c>
      <c r="O72" s="77" t="s">
        <v>174</v>
      </c>
      <c r="P72" s="77" t="s">
        <v>175</v>
      </c>
      <c r="Q72" s="8" t="s">
        <v>25</v>
      </c>
      <c r="R72" s="75" t="s">
        <v>144</v>
      </c>
      <c r="S72" s="18" t="s">
        <v>145</v>
      </c>
      <c r="T72" s="47" t="s">
        <v>30</v>
      </c>
      <c r="U72" s="35">
        <v>4.58</v>
      </c>
      <c r="V72" s="35">
        <v>5.35</v>
      </c>
      <c r="W72" s="46" t="s">
        <v>31</v>
      </c>
      <c r="X72" s="47" t="s">
        <v>32</v>
      </c>
    </row>
    <row r="73" ht="14.25" customHeight="1">
      <c r="B73" s="1" t="s">
        <v>176</v>
      </c>
      <c r="C73" s="1"/>
      <c r="N73" s="47" t="s">
        <v>141</v>
      </c>
      <c r="O73" s="18" t="s">
        <v>177</v>
      </c>
      <c r="P73" s="18" t="s">
        <v>148</v>
      </c>
      <c r="Q73" s="8" t="s">
        <v>25</v>
      </c>
      <c r="R73" s="75" t="s">
        <v>144</v>
      </c>
      <c r="S73" s="18" t="s">
        <v>145</v>
      </c>
      <c r="T73" s="47" t="s">
        <v>30</v>
      </c>
      <c r="U73" s="35">
        <v>7.41</v>
      </c>
      <c r="V73" s="35">
        <v>7.91</v>
      </c>
      <c r="W73" s="35">
        <v>5.93</v>
      </c>
      <c r="X73" s="51" t="s">
        <v>41</v>
      </c>
    </row>
    <row r="74" ht="14.25" customHeight="1">
      <c r="N74" s="47" t="s">
        <v>141</v>
      </c>
      <c r="O74" s="18" t="s">
        <v>178</v>
      </c>
      <c r="P74" s="18" t="s">
        <v>148</v>
      </c>
      <c r="Q74" s="8" t="s">
        <v>25</v>
      </c>
      <c r="R74" s="75" t="s">
        <v>144</v>
      </c>
      <c r="S74" s="18" t="s">
        <v>145</v>
      </c>
      <c r="T74" s="47" t="s">
        <v>30</v>
      </c>
      <c r="U74" s="35">
        <v>5.1</v>
      </c>
      <c r="V74" s="35">
        <v>4.53</v>
      </c>
      <c r="W74" s="46" t="s">
        <v>31</v>
      </c>
      <c r="X74" s="47" t="s">
        <v>32</v>
      </c>
    </row>
    <row r="75" ht="14.25" customHeight="1">
      <c r="B75" s="1" t="s">
        <v>179</v>
      </c>
      <c r="N75" s="47" t="s">
        <v>141</v>
      </c>
      <c r="O75" s="18" t="s">
        <v>99</v>
      </c>
      <c r="P75" s="18" t="s">
        <v>91</v>
      </c>
      <c r="Q75" s="8" t="s">
        <v>25</v>
      </c>
      <c r="R75" s="75" t="s">
        <v>144</v>
      </c>
      <c r="S75" s="18" t="s">
        <v>145</v>
      </c>
      <c r="T75" s="47" t="s">
        <v>30</v>
      </c>
      <c r="U75" s="35">
        <v>6.79</v>
      </c>
      <c r="V75" s="35">
        <v>7.02</v>
      </c>
      <c r="W75" s="35">
        <v>4.56</v>
      </c>
      <c r="X75" s="51" t="s">
        <v>41</v>
      </c>
    </row>
    <row r="76" ht="14.25" customHeight="1">
      <c r="N76" s="47" t="s">
        <v>141</v>
      </c>
      <c r="O76" s="18" t="s">
        <v>180</v>
      </c>
      <c r="P76" s="18" t="s">
        <v>62</v>
      </c>
      <c r="Q76" s="8" t="s">
        <v>25</v>
      </c>
      <c r="R76" s="75" t="s">
        <v>144</v>
      </c>
      <c r="S76" s="18" t="s">
        <v>145</v>
      </c>
      <c r="T76" s="47" t="s">
        <v>30</v>
      </c>
      <c r="U76" s="35">
        <v>5.5</v>
      </c>
      <c r="V76" s="35">
        <v>5.3</v>
      </c>
      <c r="W76" s="46" t="s">
        <v>31</v>
      </c>
      <c r="X76" s="47" t="s">
        <v>32</v>
      </c>
    </row>
    <row r="77" ht="14.25" customHeight="1">
      <c r="N77" s="47" t="s">
        <v>141</v>
      </c>
      <c r="O77" s="18" t="s">
        <v>99</v>
      </c>
      <c r="P77" s="18" t="s">
        <v>181</v>
      </c>
      <c r="Q77" s="8" t="s">
        <v>25</v>
      </c>
      <c r="R77" s="75" t="s">
        <v>144</v>
      </c>
      <c r="S77" s="18" t="s">
        <v>145</v>
      </c>
      <c r="T77" s="47" t="s">
        <v>30</v>
      </c>
      <c r="U77" s="35">
        <v>4.5</v>
      </c>
      <c r="V77" s="35">
        <v>6.58</v>
      </c>
      <c r="W77" s="46" t="s">
        <v>31</v>
      </c>
      <c r="X77" s="47" t="s">
        <v>32</v>
      </c>
    </row>
    <row r="78" ht="14.25" customHeight="1">
      <c r="N78" s="47" t="s">
        <v>141</v>
      </c>
      <c r="O78" s="18" t="s">
        <v>182</v>
      </c>
      <c r="P78" s="18" t="s">
        <v>183</v>
      </c>
      <c r="Q78" s="8" t="s">
        <v>25</v>
      </c>
      <c r="R78" s="48">
        <v>40544.0</v>
      </c>
      <c r="S78" s="18" t="s">
        <v>145</v>
      </c>
      <c r="T78" s="47" t="s">
        <v>184</v>
      </c>
      <c r="U78" s="35">
        <v>5.22</v>
      </c>
      <c r="V78" s="35">
        <v>5.8</v>
      </c>
      <c r="W78" s="35">
        <v>5.0</v>
      </c>
      <c r="X78" s="78" t="s">
        <v>41</v>
      </c>
    </row>
    <row r="79" ht="14.25" customHeight="1">
      <c r="N79" s="47" t="s">
        <v>141</v>
      </c>
      <c r="O79" s="18" t="s">
        <v>185</v>
      </c>
      <c r="P79" s="18" t="s">
        <v>44</v>
      </c>
      <c r="Q79" s="8" t="s">
        <v>25</v>
      </c>
      <c r="R79" s="48">
        <v>40545.0</v>
      </c>
      <c r="S79" s="18" t="s">
        <v>145</v>
      </c>
      <c r="T79" s="47" t="s">
        <v>30</v>
      </c>
      <c r="U79" s="35">
        <v>5.79</v>
      </c>
      <c r="V79" s="35">
        <v>4.91</v>
      </c>
      <c r="W79" s="35">
        <v>5.12</v>
      </c>
      <c r="X79" s="78" t="s">
        <v>41</v>
      </c>
    </row>
    <row r="80" ht="14.25" customHeight="1">
      <c r="N80" s="18" t="s">
        <v>141</v>
      </c>
      <c r="O80" s="18" t="s">
        <v>186</v>
      </c>
      <c r="P80" s="18" t="s">
        <v>187</v>
      </c>
      <c r="Q80" s="8" t="s">
        <v>25</v>
      </c>
      <c r="R80" s="48">
        <v>40544.0</v>
      </c>
      <c r="S80" s="18" t="s">
        <v>145</v>
      </c>
      <c r="T80" s="47" t="s">
        <v>63</v>
      </c>
      <c r="U80" s="35">
        <v>6.14</v>
      </c>
      <c r="V80" s="35">
        <v>5.8</v>
      </c>
      <c r="W80" s="35">
        <v>5.05</v>
      </c>
      <c r="X80" s="78" t="s">
        <v>41</v>
      </c>
    </row>
    <row r="81" ht="14.25" customHeight="1">
      <c r="N81" s="18" t="s">
        <v>141</v>
      </c>
      <c r="O81" s="18" t="s">
        <v>83</v>
      </c>
      <c r="P81" s="18" t="s">
        <v>91</v>
      </c>
      <c r="Q81" s="8" t="s">
        <v>25</v>
      </c>
      <c r="R81" s="48">
        <v>40545.0</v>
      </c>
      <c r="S81" s="18" t="s">
        <v>145</v>
      </c>
      <c r="T81" s="47" t="s">
        <v>63</v>
      </c>
      <c r="U81" s="35">
        <v>3.67</v>
      </c>
      <c r="V81" s="35">
        <v>5.05</v>
      </c>
      <c r="W81" s="46" t="s">
        <v>31</v>
      </c>
      <c r="X81" s="79" t="s">
        <v>188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C1:G1"/>
    <mergeCell ref="C2:G2"/>
    <mergeCell ref="C3:G3"/>
    <mergeCell ref="C4:F4"/>
    <mergeCell ref="C6:K6"/>
    <mergeCell ref="C8:G8"/>
    <mergeCell ref="L8:M8"/>
    <mergeCell ref="R10:S12"/>
    <mergeCell ref="T10:T12"/>
    <mergeCell ref="U10:U11"/>
    <mergeCell ref="V10:V11"/>
    <mergeCell ref="W10:W11"/>
    <mergeCell ref="X10:X12"/>
    <mergeCell ref="J9:J11"/>
    <mergeCell ref="K9:L11"/>
    <mergeCell ref="M9:M11"/>
    <mergeCell ref="P9:R9"/>
    <mergeCell ref="N10:N12"/>
    <mergeCell ref="O10:P12"/>
    <mergeCell ref="Q10:Q12"/>
    <mergeCell ref="J23:K23"/>
    <mergeCell ref="B9:B11"/>
    <mergeCell ref="A12:B12"/>
    <mergeCell ref="A9:A11"/>
    <mergeCell ref="C9:C11"/>
    <mergeCell ref="D9:D11"/>
    <mergeCell ref="E9:E11"/>
    <mergeCell ref="F9:F11"/>
    <mergeCell ref="H9:H11"/>
    <mergeCell ref="G10:G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4.14"/>
    <col customWidth="1" min="3" max="3" width="10.14"/>
    <col customWidth="1" min="4" max="4" width="19.0"/>
    <col customWidth="1" min="5" max="5" width="14.86"/>
    <col customWidth="1" min="6" max="6" width="12.43"/>
    <col customWidth="1" min="7" max="7" width="13.86"/>
    <col customWidth="1" min="8" max="8" width="19.0"/>
    <col customWidth="1" min="9" max="26" width="10.86"/>
  </cols>
  <sheetData>
    <row r="1" ht="14.25" customHeight="1">
      <c r="A1" s="80" t="s">
        <v>189</v>
      </c>
      <c r="B1" s="81" t="s">
        <v>8</v>
      </c>
      <c r="C1" s="81" t="s">
        <v>9</v>
      </c>
      <c r="D1" s="82" t="s">
        <v>10</v>
      </c>
      <c r="E1" s="82" t="s">
        <v>11</v>
      </c>
      <c r="F1" s="82" t="s">
        <v>12</v>
      </c>
      <c r="G1" s="82" t="s">
        <v>190</v>
      </c>
      <c r="H1" s="83" t="s">
        <v>14</v>
      </c>
    </row>
    <row r="2" ht="14.25" customHeight="1">
      <c r="A2" s="84" t="s">
        <v>23</v>
      </c>
      <c r="B2" s="85" t="s">
        <v>24</v>
      </c>
      <c r="C2" s="86" t="s">
        <v>25</v>
      </c>
      <c r="D2" s="87">
        <v>8.44</v>
      </c>
      <c r="E2" s="87">
        <v>8.73</v>
      </c>
      <c r="F2" s="87">
        <v>8.62</v>
      </c>
      <c r="G2" s="87">
        <f t="shared" ref="G2:G16" si="1">(D2+E2+F2)/3</f>
        <v>8.596666667</v>
      </c>
      <c r="H2" s="88" t="s">
        <v>26</v>
      </c>
    </row>
    <row r="3" ht="14.25" customHeight="1">
      <c r="A3" s="84" t="s">
        <v>23</v>
      </c>
      <c r="B3" s="85" t="s">
        <v>33</v>
      </c>
      <c r="C3" s="86" t="s">
        <v>25</v>
      </c>
      <c r="D3" s="87">
        <v>6.63</v>
      </c>
      <c r="E3" s="87">
        <v>5.78</v>
      </c>
      <c r="F3" s="87">
        <v>5.22</v>
      </c>
      <c r="G3" s="87">
        <f t="shared" si="1"/>
        <v>5.876666667</v>
      </c>
      <c r="H3" s="88" t="s">
        <v>26</v>
      </c>
    </row>
    <row r="4" ht="14.25" customHeight="1">
      <c r="A4" s="84" t="s">
        <v>23</v>
      </c>
      <c r="B4" s="85" t="s">
        <v>36</v>
      </c>
      <c r="C4" s="86" t="s">
        <v>25</v>
      </c>
      <c r="D4" s="87">
        <v>8.27</v>
      </c>
      <c r="E4" s="87">
        <v>7.98</v>
      </c>
      <c r="F4" s="87">
        <v>8.13</v>
      </c>
      <c r="G4" s="87">
        <f t="shared" si="1"/>
        <v>8.126666667</v>
      </c>
      <c r="H4" s="88" t="s">
        <v>26</v>
      </c>
    </row>
    <row r="5" ht="14.25" customHeight="1">
      <c r="A5" s="84" t="s">
        <v>23</v>
      </c>
      <c r="B5" s="85" t="s">
        <v>38</v>
      </c>
      <c r="C5" s="86" t="s">
        <v>25</v>
      </c>
      <c r="D5" s="87">
        <v>7.41</v>
      </c>
      <c r="E5" s="87">
        <v>6.83</v>
      </c>
      <c r="F5" s="87">
        <v>6.66</v>
      </c>
      <c r="G5" s="87">
        <f t="shared" si="1"/>
        <v>6.966666667</v>
      </c>
      <c r="H5" s="88" t="s">
        <v>26</v>
      </c>
    </row>
    <row r="6" ht="14.25" customHeight="1">
      <c r="A6" s="84" t="s">
        <v>23</v>
      </c>
      <c r="B6" s="85" t="s">
        <v>42</v>
      </c>
      <c r="C6" s="86" t="s">
        <v>25</v>
      </c>
      <c r="D6" s="87">
        <v>4.69</v>
      </c>
      <c r="E6" s="87">
        <v>4.25</v>
      </c>
      <c r="F6" s="87">
        <v>5.14</v>
      </c>
      <c r="G6" s="87">
        <f t="shared" si="1"/>
        <v>4.693333333</v>
      </c>
      <c r="H6" s="88" t="s">
        <v>26</v>
      </c>
    </row>
    <row r="7" ht="14.25" customHeight="1">
      <c r="A7" s="84" t="s">
        <v>23</v>
      </c>
      <c r="B7" s="85" t="s">
        <v>45</v>
      </c>
      <c r="C7" s="86" t="s">
        <v>25</v>
      </c>
      <c r="D7" s="87">
        <v>5.21</v>
      </c>
      <c r="E7" s="87">
        <v>4.66</v>
      </c>
      <c r="F7" s="87">
        <v>3.94</v>
      </c>
      <c r="G7" s="87">
        <f t="shared" si="1"/>
        <v>4.603333333</v>
      </c>
      <c r="H7" s="88" t="s">
        <v>26</v>
      </c>
    </row>
    <row r="8" ht="14.25" customHeight="1">
      <c r="A8" s="84" t="s">
        <v>23</v>
      </c>
      <c r="B8" s="85" t="s">
        <v>48</v>
      </c>
      <c r="C8" s="86" t="s">
        <v>25</v>
      </c>
      <c r="D8" s="87">
        <v>6.01</v>
      </c>
      <c r="E8" s="87">
        <v>5.24</v>
      </c>
      <c r="F8" s="87">
        <v>3.55</v>
      </c>
      <c r="G8" s="87">
        <f t="shared" si="1"/>
        <v>4.933333333</v>
      </c>
      <c r="H8" s="88" t="s">
        <v>26</v>
      </c>
    </row>
    <row r="9" ht="14.25" customHeight="1">
      <c r="A9" s="84" t="s">
        <v>23</v>
      </c>
      <c r="B9" s="85" t="s">
        <v>51</v>
      </c>
      <c r="C9" s="86" t="s">
        <v>25</v>
      </c>
      <c r="D9" s="87">
        <v>4.78</v>
      </c>
      <c r="E9" s="87">
        <v>4.23</v>
      </c>
      <c r="F9" s="87">
        <v>5.18</v>
      </c>
      <c r="G9" s="87">
        <f t="shared" si="1"/>
        <v>4.73</v>
      </c>
      <c r="H9" s="88" t="s">
        <v>26</v>
      </c>
    </row>
    <row r="10" ht="14.25" customHeight="1">
      <c r="A10" s="84" t="s">
        <v>23</v>
      </c>
      <c r="B10" s="85" t="s">
        <v>54</v>
      </c>
      <c r="C10" s="86" t="s">
        <v>25</v>
      </c>
      <c r="D10" s="87">
        <v>5.21</v>
      </c>
      <c r="E10" s="87">
        <v>4.39</v>
      </c>
      <c r="F10" s="87">
        <v>3.96</v>
      </c>
      <c r="G10" s="87">
        <f t="shared" si="1"/>
        <v>4.52</v>
      </c>
      <c r="H10" s="88" t="s">
        <v>26</v>
      </c>
    </row>
    <row r="11" ht="14.25" customHeight="1">
      <c r="A11" s="84" t="s">
        <v>23</v>
      </c>
      <c r="B11" s="85" t="s">
        <v>57</v>
      </c>
      <c r="C11" s="86" t="s">
        <v>25</v>
      </c>
      <c r="D11" s="87">
        <v>8.22</v>
      </c>
      <c r="E11" s="87">
        <v>7.54</v>
      </c>
      <c r="F11" s="87">
        <v>7.41</v>
      </c>
      <c r="G11" s="87">
        <f t="shared" si="1"/>
        <v>7.723333333</v>
      </c>
      <c r="H11" s="88" t="s">
        <v>26</v>
      </c>
    </row>
    <row r="12" ht="14.25" customHeight="1">
      <c r="A12" s="84" t="s">
        <v>23</v>
      </c>
      <c r="B12" s="85" t="s">
        <v>60</v>
      </c>
      <c r="C12" s="86" t="s">
        <v>25</v>
      </c>
      <c r="D12" s="87">
        <v>5.62</v>
      </c>
      <c r="E12" s="87">
        <v>5.17</v>
      </c>
      <c r="F12" s="87">
        <v>4.44</v>
      </c>
      <c r="G12" s="87">
        <f t="shared" si="1"/>
        <v>5.076666667</v>
      </c>
      <c r="H12" s="88" t="s">
        <v>26</v>
      </c>
    </row>
    <row r="13" ht="14.25" customHeight="1">
      <c r="A13" s="84" t="s">
        <v>23</v>
      </c>
      <c r="B13" s="85" t="s">
        <v>64</v>
      </c>
      <c r="C13" s="86" t="s">
        <v>25</v>
      </c>
      <c r="D13" s="87">
        <v>4.24</v>
      </c>
      <c r="E13" s="87">
        <v>4.99</v>
      </c>
      <c r="F13" s="87">
        <v>4.95</v>
      </c>
      <c r="G13" s="87">
        <f t="shared" si="1"/>
        <v>4.726666667</v>
      </c>
      <c r="H13" s="88" t="s">
        <v>26</v>
      </c>
    </row>
    <row r="14" ht="14.25" customHeight="1">
      <c r="A14" s="84" t="s">
        <v>23</v>
      </c>
      <c r="B14" s="85" t="s">
        <v>67</v>
      </c>
      <c r="C14" s="86" t="s">
        <v>25</v>
      </c>
      <c r="D14" s="87">
        <v>4.59</v>
      </c>
      <c r="E14" s="87">
        <v>3.96</v>
      </c>
      <c r="F14" s="87">
        <v>4.96</v>
      </c>
      <c r="G14" s="87">
        <f t="shared" si="1"/>
        <v>4.503333333</v>
      </c>
      <c r="H14" s="88" t="s">
        <v>26</v>
      </c>
    </row>
    <row r="15" ht="14.25" customHeight="1">
      <c r="A15" s="84" t="s">
        <v>23</v>
      </c>
      <c r="B15" s="85" t="s">
        <v>69</v>
      </c>
      <c r="C15" s="86" t="s">
        <v>25</v>
      </c>
      <c r="D15" s="87">
        <v>3.94</v>
      </c>
      <c r="E15" s="87">
        <v>4.97</v>
      </c>
      <c r="F15" s="87">
        <v>4.86</v>
      </c>
      <c r="G15" s="87">
        <f t="shared" si="1"/>
        <v>4.59</v>
      </c>
      <c r="H15" s="88" t="s">
        <v>26</v>
      </c>
    </row>
    <row r="16" ht="14.25" customHeight="1">
      <c r="A16" s="84" t="s">
        <v>23</v>
      </c>
      <c r="B16" s="85" t="s">
        <v>73</v>
      </c>
      <c r="C16" s="86" t="s">
        <v>25</v>
      </c>
      <c r="D16" s="87">
        <v>3.96</v>
      </c>
      <c r="E16" s="87">
        <v>4.85</v>
      </c>
      <c r="F16" s="87">
        <v>4.91</v>
      </c>
      <c r="G16" s="87">
        <f t="shared" si="1"/>
        <v>4.573333333</v>
      </c>
      <c r="H16" s="88" t="s">
        <v>26</v>
      </c>
    </row>
    <row r="17" ht="14.25" customHeight="1">
      <c r="A17" s="89" t="s">
        <v>78</v>
      </c>
      <c r="B17" s="85" t="s">
        <v>79</v>
      </c>
      <c r="C17" s="90" t="s">
        <v>25</v>
      </c>
      <c r="D17" s="87">
        <v>5.96</v>
      </c>
      <c r="E17" s="87">
        <v>5.46</v>
      </c>
      <c r="F17" s="87">
        <v>5.5</v>
      </c>
      <c r="G17" s="87">
        <v>5.64</v>
      </c>
      <c r="H17" s="88" t="s">
        <v>26</v>
      </c>
    </row>
    <row r="18" ht="14.25" customHeight="1">
      <c r="A18" s="89" t="s">
        <v>78</v>
      </c>
      <c r="B18" s="85" t="s">
        <v>82</v>
      </c>
      <c r="C18" s="90" t="s">
        <v>25</v>
      </c>
      <c r="D18" s="87">
        <v>6.0</v>
      </c>
      <c r="E18" s="87">
        <v>6.5</v>
      </c>
      <c r="F18" s="87">
        <v>5.26</v>
      </c>
      <c r="G18" s="87">
        <v>5.92</v>
      </c>
      <c r="H18" s="88" t="s">
        <v>26</v>
      </c>
    </row>
    <row r="19" ht="14.25" customHeight="1">
      <c r="A19" s="89" t="s">
        <v>78</v>
      </c>
      <c r="B19" s="85" t="s">
        <v>85</v>
      </c>
      <c r="C19" s="90" t="s">
        <v>25</v>
      </c>
      <c r="D19" s="87">
        <v>4.0</v>
      </c>
      <c r="E19" s="87">
        <v>5.5</v>
      </c>
      <c r="F19" s="87">
        <v>5.24</v>
      </c>
      <c r="G19" s="87">
        <v>4.58</v>
      </c>
      <c r="H19" s="88" t="s">
        <v>26</v>
      </c>
    </row>
    <row r="20" ht="14.25" customHeight="1">
      <c r="A20" s="89" t="s">
        <v>78</v>
      </c>
      <c r="B20" s="85" t="s">
        <v>87</v>
      </c>
      <c r="C20" s="90" t="s">
        <v>25</v>
      </c>
      <c r="D20" s="87">
        <v>3.32</v>
      </c>
      <c r="E20" s="87">
        <v>4.93</v>
      </c>
      <c r="F20" s="87">
        <v>5.52</v>
      </c>
      <c r="G20" s="87">
        <v>4.59</v>
      </c>
      <c r="H20" s="88" t="s">
        <v>26</v>
      </c>
    </row>
    <row r="21" ht="14.25" customHeight="1">
      <c r="A21" s="89" t="s">
        <v>78</v>
      </c>
      <c r="B21" s="85" t="s">
        <v>90</v>
      </c>
      <c r="C21" s="90" t="s">
        <v>25</v>
      </c>
      <c r="D21" s="87">
        <v>3.67</v>
      </c>
      <c r="E21" s="87">
        <v>4.98</v>
      </c>
      <c r="F21" s="87">
        <v>6.0</v>
      </c>
      <c r="G21" s="87">
        <v>4.7</v>
      </c>
      <c r="H21" s="88" t="s">
        <v>26</v>
      </c>
    </row>
    <row r="22" ht="14.25" customHeight="1">
      <c r="A22" s="89" t="s">
        <v>78</v>
      </c>
      <c r="B22" s="85" t="s">
        <v>92</v>
      </c>
      <c r="C22" s="90" t="s">
        <v>25</v>
      </c>
      <c r="D22" s="87">
        <v>3.68</v>
      </c>
      <c r="E22" s="87">
        <v>4.66</v>
      </c>
      <c r="F22" s="87">
        <v>5.54</v>
      </c>
      <c r="G22" s="87">
        <v>4.62</v>
      </c>
      <c r="H22" s="88" t="s">
        <v>26</v>
      </c>
    </row>
    <row r="23" ht="14.25" customHeight="1">
      <c r="A23" s="89" t="s">
        <v>78</v>
      </c>
      <c r="B23" s="85" t="s">
        <v>94</v>
      </c>
      <c r="C23" s="90" t="s">
        <v>25</v>
      </c>
      <c r="D23" s="87">
        <v>0.0</v>
      </c>
      <c r="E23" s="87">
        <v>0.0</v>
      </c>
      <c r="F23" s="87">
        <v>3.0</v>
      </c>
      <c r="G23" s="87">
        <v>1.0</v>
      </c>
      <c r="H23" s="91" t="s">
        <v>95</v>
      </c>
    </row>
    <row r="24" ht="14.25" customHeight="1">
      <c r="A24" s="89" t="s">
        <v>78</v>
      </c>
      <c r="B24" s="85" t="s">
        <v>98</v>
      </c>
      <c r="C24" s="90" t="s">
        <v>25</v>
      </c>
      <c r="D24" s="87">
        <v>0.0</v>
      </c>
      <c r="E24" s="87">
        <v>3.0</v>
      </c>
      <c r="F24" s="87">
        <v>0.0</v>
      </c>
      <c r="G24" s="87">
        <v>1.0</v>
      </c>
      <c r="H24" s="91" t="s">
        <v>95</v>
      </c>
    </row>
    <row r="25" ht="14.25" customHeight="1">
      <c r="A25" s="89" t="s">
        <v>78</v>
      </c>
      <c r="B25" s="85" t="s">
        <v>101</v>
      </c>
      <c r="C25" s="90" t="s">
        <v>25</v>
      </c>
      <c r="D25" s="87">
        <v>0.0</v>
      </c>
      <c r="E25" s="87">
        <v>3.0</v>
      </c>
      <c r="F25" s="87">
        <v>0.0</v>
      </c>
      <c r="G25" s="87">
        <v>1.0</v>
      </c>
      <c r="H25" s="91" t="s">
        <v>95</v>
      </c>
    </row>
    <row r="26" ht="14.25" customHeight="1">
      <c r="A26" s="89" t="s">
        <v>78</v>
      </c>
      <c r="B26" s="85" t="s">
        <v>105</v>
      </c>
      <c r="C26" s="90" t="s">
        <v>25</v>
      </c>
      <c r="D26" s="87">
        <v>6.4</v>
      </c>
      <c r="E26" s="87">
        <v>6.0</v>
      </c>
      <c r="F26" s="87">
        <v>6.2</v>
      </c>
      <c r="G26" s="87">
        <v>6.2</v>
      </c>
      <c r="H26" s="88" t="s">
        <v>26</v>
      </c>
    </row>
    <row r="27" ht="14.25" customHeight="1">
      <c r="A27" s="89" t="s">
        <v>78</v>
      </c>
      <c r="B27" s="85" t="s">
        <v>107</v>
      </c>
      <c r="C27" s="90" t="s">
        <v>25</v>
      </c>
      <c r="D27" s="87">
        <v>3.76</v>
      </c>
      <c r="E27" s="87">
        <v>4.5</v>
      </c>
      <c r="F27" s="87">
        <v>5.7</v>
      </c>
      <c r="G27" s="87">
        <f t="shared" ref="G27:G43" si="2">(F27+E27+D27)/3</f>
        <v>4.653333333</v>
      </c>
      <c r="H27" s="88" t="s">
        <v>26</v>
      </c>
    </row>
    <row r="28" ht="14.25" customHeight="1">
      <c r="A28" s="89" t="s">
        <v>78</v>
      </c>
      <c r="B28" s="85" t="s">
        <v>111</v>
      </c>
      <c r="C28" s="90" t="s">
        <v>25</v>
      </c>
      <c r="D28" s="87">
        <v>3.87</v>
      </c>
      <c r="E28" s="87">
        <v>4.78</v>
      </c>
      <c r="F28" s="87">
        <v>5.5</v>
      </c>
      <c r="G28" s="87">
        <f t="shared" si="2"/>
        <v>4.716666667</v>
      </c>
      <c r="H28" s="88" t="s">
        <v>26</v>
      </c>
    </row>
    <row r="29" ht="14.25" customHeight="1">
      <c r="A29" s="89" t="s">
        <v>78</v>
      </c>
      <c r="B29" s="85" t="s">
        <v>113</v>
      </c>
      <c r="C29" s="90" t="s">
        <v>25</v>
      </c>
      <c r="D29" s="87">
        <v>5.0</v>
      </c>
      <c r="E29" s="87">
        <v>5.0</v>
      </c>
      <c r="F29" s="87">
        <v>4.94</v>
      </c>
      <c r="G29" s="87">
        <f t="shared" si="2"/>
        <v>4.98</v>
      </c>
      <c r="H29" s="88" t="s">
        <v>26</v>
      </c>
    </row>
    <row r="30" ht="14.25" customHeight="1">
      <c r="A30" s="89" t="s">
        <v>78</v>
      </c>
      <c r="B30" s="85" t="s">
        <v>114</v>
      </c>
      <c r="C30" s="90" t="s">
        <v>25</v>
      </c>
      <c r="D30" s="87">
        <v>4.0</v>
      </c>
      <c r="E30" s="87">
        <v>5.65</v>
      </c>
      <c r="F30" s="87">
        <v>4.0</v>
      </c>
      <c r="G30" s="87">
        <f t="shared" si="2"/>
        <v>4.55</v>
      </c>
      <c r="H30" s="88" t="s">
        <v>26</v>
      </c>
    </row>
    <row r="31" ht="14.25" customHeight="1">
      <c r="A31" s="89" t="s">
        <v>78</v>
      </c>
      <c r="B31" s="85" t="s">
        <v>117</v>
      </c>
      <c r="C31" s="90" t="s">
        <v>25</v>
      </c>
      <c r="D31" s="87">
        <v>3.5</v>
      </c>
      <c r="E31" s="87">
        <v>4.76</v>
      </c>
      <c r="F31" s="87">
        <v>5.9</v>
      </c>
      <c r="G31" s="87">
        <f t="shared" si="2"/>
        <v>4.72</v>
      </c>
      <c r="H31" s="88" t="s">
        <v>26</v>
      </c>
    </row>
    <row r="32" ht="14.25" customHeight="1">
      <c r="A32" s="89" t="s">
        <v>78</v>
      </c>
      <c r="B32" s="85" t="s">
        <v>119</v>
      </c>
      <c r="C32" s="90" t="s">
        <v>25</v>
      </c>
      <c r="D32" s="87">
        <v>9.25</v>
      </c>
      <c r="E32" s="87">
        <v>8.7</v>
      </c>
      <c r="F32" s="87">
        <v>8.0</v>
      </c>
      <c r="G32" s="87">
        <f t="shared" si="2"/>
        <v>8.65</v>
      </c>
      <c r="H32" s="88" t="s">
        <v>26</v>
      </c>
    </row>
    <row r="33" ht="14.25" customHeight="1">
      <c r="A33" s="89" t="s">
        <v>78</v>
      </c>
      <c r="B33" s="85" t="s">
        <v>121</v>
      </c>
      <c r="C33" s="90" t="s">
        <v>25</v>
      </c>
      <c r="D33" s="87">
        <v>8.0</v>
      </c>
      <c r="E33" s="87">
        <v>8.6</v>
      </c>
      <c r="F33" s="87">
        <v>8.27</v>
      </c>
      <c r="G33" s="87">
        <f t="shared" si="2"/>
        <v>8.29</v>
      </c>
      <c r="H33" s="88" t="s">
        <v>26</v>
      </c>
    </row>
    <row r="34" ht="14.25" customHeight="1">
      <c r="A34" s="89" t="s">
        <v>78</v>
      </c>
      <c r="B34" s="85" t="s">
        <v>124</v>
      </c>
      <c r="C34" s="90" t="s">
        <v>25</v>
      </c>
      <c r="D34" s="87">
        <v>3.13</v>
      </c>
      <c r="E34" s="87">
        <v>4.6</v>
      </c>
      <c r="F34" s="87">
        <v>5.9</v>
      </c>
      <c r="G34" s="87">
        <f t="shared" si="2"/>
        <v>4.543333333</v>
      </c>
      <c r="H34" s="88" t="s">
        <v>26</v>
      </c>
    </row>
    <row r="35" ht="14.25" customHeight="1">
      <c r="A35" s="89" t="s">
        <v>78</v>
      </c>
      <c r="B35" s="85" t="s">
        <v>126</v>
      </c>
      <c r="C35" s="90" t="s">
        <v>25</v>
      </c>
      <c r="D35" s="87">
        <v>4.15</v>
      </c>
      <c r="E35" s="87">
        <v>4.98</v>
      </c>
      <c r="F35" s="87">
        <v>4.78</v>
      </c>
      <c r="G35" s="87">
        <f t="shared" si="2"/>
        <v>4.636666667</v>
      </c>
      <c r="H35" s="88" t="s">
        <v>26</v>
      </c>
    </row>
    <row r="36" ht="14.25" customHeight="1">
      <c r="A36" s="89" t="s">
        <v>78</v>
      </c>
      <c r="B36" s="85" t="s">
        <v>129</v>
      </c>
      <c r="C36" s="90" t="s">
        <v>25</v>
      </c>
      <c r="D36" s="87">
        <v>6.21</v>
      </c>
      <c r="E36" s="87">
        <v>6.0</v>
      </c>
      <c r="F36" s="87">
        <v>6.6</v>
      </c>
      <c r="G36" s="87">
        <f t="shared" si="2"/>
        <v>6.27</v>
      </c>
      <c r="H36" s="88" t="s">
        <v>26</v>
      </c>
    </row>
    <row r="37" ht="14.25" customHeight="1">
      <c r="A37" s="89" t="s">
        <v>78</v>
      </c>
      <c r="B37" s="85" t="s">
        <v>132</v>
      </c>
      <c r="C37" s="90" t="s">
        <v>25</v>
      </c>
      <c r="D37" s="87">
        <v>3.5</v>
      </c>
      <c r="E37" s="87">
        <v>4.5</v>
      </c>
      <c r="F37" s="87">
        <v>5.5</v>
      </c>
      <c r="G37" s="87">
        <f t="shared" si="2"/>
        <v>4.5</v>
      </c>
      <c r="H37" s="88" t="s">
        <v>26</v>
      </c>
    </row>
    <row r="38" ht="14.25" customHeight="1">
      <c r="A38" s="89" t="s">
        <v>78</v>
      </c>
      <c r="B38" s="85" t="s">
        <v>133</v>
      </c>
      <c r="C38" s="90" t="s">
        <v>25</v>
      </c>
      <c r="D38" s="87">
        <v>8.24</v>
      </c>
      <c r="E38" s="87">
        <v>9.0</v>
      </c>
      <c r="F38" s="87">
        <v>9.4</v>
      </c>
      <c r="G38" s="87">
        <f t="shared" si="2"/>
        <v>8.88</v>
      </c>
      <c r="H38" s="88" t="s">
        <v>26</v>
      </c>
    </row>
    <row r="39" ht="14.25" customHeight="1">
      <c r="A39" s="89" t="s">
        <v>78</v>
      </c>
      <c r="B39" s="85" t="s">
        <v>136</v>
      </c>
      <c r="C39" s="90" t="s">
        <v>25</v>
      </c>
      <c r="D39" s="87">
        <v>3.7</v>
      </c>
      <c r="E39" s="87">
        <v>4.9</v>
      </c>
      <c r="F39" s="87">
        <v>5.2</v>
      </c>
      <c r="G39" s="87">
        <f t="shared" si="2"/>
        <v>4.6</v>
      </c>
      <c r="H39" s="88" t="s">
        <v>26</v>
      </c>
    </row>
    <row r="40" ht="14.25" customHeight="1">
      <c r="A40" s="89" t="s">
        <v>78</v>
      </c>
      <c r="B40" s="85" t="s">
        <v>137</v>
      </c>
      <c r="C40" s="90" t="s">
        <v>25</v>
      </c>
      <c r="D40" s="87">
        <v>7.0</v>
      </c>
      <c r="E40" s="87">
        <v>8.0</v>
      </c>
      <c r="F40" s="87">
        <v>8.49</v>
      </c>
      <c r="G40" s="87">
        <f t="shared" si="2"/>
        <v>7.83</v>
      </c>
      <c r="H40" s="88" t="s">
        <v>26</v>
      </c>
    </row>
    <row r="41" ht="14.25" customHeight="1">
      <c r="A41" s="89" t="s">
        <v>78</v>
      </c>
      <c r="B41" s="85" t="s">
        <v>138</v>
      </c>
      <c r="C41" s="90" t="s">
        <v>25</v>
      </c>
      <c r="D41" s="87">
        <v>5.0</v>
      </c>
      <c r="E41" s="87">
        <v>5.27</v>
      </c>
      <c r="F41" s="87">
        <v>5.6</v>
      </c>
      <c r="G41" s="87">
        <f t="shared" si="2"/>
        <v>5.29</v>
      </c>
      <c r="H41" s="88" t="s">
        <v>26</v>
      </c>
    </row>
    <row r="42" ht="14.25" customHeight="1">
      <c r="A42" s="89" t="s">
        <v>78</v>
      </c>
      <c r="B42" s="85" t="s">
        <v>140</v>
      </c>
      <c r="C42" s="90" t="s">
        <v>25</v>
      </c>
      <c r="D42" s="87">
        <v>3.61</v>
      </c>
      <c r="E42" s="87">
        <v>4.7</v>
      </c>
      <c r="F42" s="87">
        <v>5.5</v>
      </c>
      <c r="G42" s="87">
        <f t="shared" si="2"/>
        <v>4.603333333</v>
      </c>
      <c r="H42" s="88" t="s">
        <v>26</v>
      </c>
    </row>
    <row r="43" ht="14.25" customHeight="1">
      <c r="A43" s="89" t="s">
        <v>78</v>
      </c>
      <c r="B43" s="85" t="s">
        <v>146</v>
      </c>
      <c r="C43" s="90" t="s">
        <v>25</v>
      </c>
      <c r="D43" s="87">
        <v>3.55</v>
      </c>
      <c r="E43" s="87">
        <v>3.95</v>
      </c>
      <c r="F43" s="87">
        <v>6.0</v>
      </c>
      <c r="G43" s="87">
        <f t="shared" si="2"/>
        <v>4.5</v>
      </c>
      <c r="H43" s="88" t="s">
        <v>26</v>
      </c>
    </row>
    <row r="44" ht="14.25" customHeight="1">
      <c r="A44" s="92" t="s">
        <v>78</v>
      </c>
      <c r="B44" s="93" t="s">
        <v>149</v>
      </c>
      <c r="C44" s="94" t="s">
        <v>25</v>
      </c>
      <c r="D44" s="95">
        <v>5.0</v>
      </c>
      <c r="E44" s="95">
        <v>5.15</v>
      </c>
      <c r="F44" s="95">
        <v>5.2</v>
      </c>
      <c r="G44" s="95">
        <v>5.25</v>
      </c>
      <c r="H44" s="96" t="s">
        <v>26</v>
      </c>
    </row>
    <row r="45" ht="14.25" customHeight="1">
      <c r="A45" s="97" t="s">
        <v>191</v>
      </c>
      <c r="B45" s="98">
        <f>SUBTOTAL(103,'CM1'!$B$2:$B$44)</f>
        <v>43</v>
      </c>
      <c r="C45" s="99"/>
      <c r="D45" s="100">
        <f>SUBTOTAL(101,'CM1'!$D$2:$D$44)</f>
        <v>4.900465116</v>
      </c>
      <c r="E45" s="100">
        <f>SUBTOTAL(101,'CM1'!$E$2:$E$44)</f>
        <v>5.36372093</v>
      </c>
      <c r="F45" s="100">
        <f>SUBTOTAL(101,'CM1'!$F$2:$F$44)</f>
        <v>5.45744186</v>
      </c>
      <c r="G45" s="100">
        <f>SUBTOTAL(101,'CM1'!$G$2:$G$44)</f>
        <v>5.231472868</v>
      </c>
      <c r="H45" s="101">
        <f>SUBTOTAL(103,'CM1'!$H$2:$H$44)</f>
        <v>43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7.0"/>
    <col customWidth="1" min="3" max="3" width="19.0"/>
    <col customWidth="1" min="4" max="4" width="10.14"/>
    <col customWidth="1" min="5" max="5" width="21.43"/>
    <col customWidth="1" min="6" max="6" width="20.43"/>
    <col customWidth="1" min="7" max="7" width="11.14"/>
    <col customWidth="1" min="8" max="8" width="12.86"/>
    <col customWidth="1" min="9" max="9" width="14.86"/>
    <col customWidth="1" min="10" max="10" width="15.57"/>
    <col customWidth="1" min="11" max="11" width="21.86"/>
    <col customWidth="1" min="12" max="12" width="23.86"/>
    <col customWidth="1" min="13" max="26" width="10.86"/>
  </cols>
  <sheetData>
    <row r="1" ht="14.25" customHeight="1">
      <c r="A1" s="102" t="s">
        <v>189</v>
      </c>
      <c r="B1" s="103" t="s">
        <v>192</v>
      </c>
      <c r="C1" s="104" t="s">
        <v>193</v>
      </c>
      <c r="D1" s="105" t="s">
        <v>9</v>
      </c>
      <c r="E1" s="106" t="s">
        <v>194</v>
      </c>
      <c r="F1" s="107" t="s">
        <v>195</v>
      </c>
      <c r="G1" s="108" t="s">
        <v>17</v>
      </c>
      <c r="H1" s="108" t="s">
        <v>18</v>
      </c>
      <c r="I1" s="108" t="s">
        <v>19</v>
      </c>
      <c r="J1" s="108" t="s">
        <v>20</v>
      </c>
      <c r="K1" s="103" t="s">
        <v>21</v>
      </c>
      <c r="L1" s="109" t="s">
        <v>196</v>
      </c>
    </row>
    <row r="2" ht="14.25" customHeight="1">
      <c r="A2" s="110" t="s">
        <v>23</v>
      </c>
      <c r="B2" s="111" t="s">
        <v>27</v>
      </c>
      <c r="C2" s="111" t="s">
        <v>28</v>
      </c>
      <c r="D2" s="112" t="s">
        <v>25</v>
      </c>
      <c r="E2" s="113">
        <v>40874.0</v>
      </c>
      <c r="F2" s="114" t="s">
        <v>29</v>
      </c>
      <c r="G2" s="114" t="s">
        <v>30</v>
      </c>
      <c r="H2" s="115">
        <v>5.2</v>
      </c>
      <c r="I2" s="115">
        <v>6.11</v>
      </c>
      <c r="J2" s="116" t="s">
        <v>31</v>
      </c>
      <c r="K2" s="114" t="s">
        <v>32</v>
      </c>
      <c r="L2" s="117"/>
    </row>
    <row r="3" ht="14.25" customHeight="1">
      <c r="A3" s="110" t="s">
        <v>23</v>
      </c>
      <c r="B3" s="111" t="s">
        <v>34</v>
      </c>
      <c r="C3" s="111" t="s">
        <v>35</v>
      </c>
      <c r="D3" s="112" t="s">
        <v>25</v>
      </c>
      <c r="E3" s="113">
        <v>40909.0</v>
      </c>
      <c r="F3" s="114" t="s">
        <v>29</v>
      </c>
      <c r="G3" s="114" t="s">
        <v>30</v>
      </c>
      <c r="H3" s="115">
        <v>4.3</v>
      </c>
      <c r="I3" s="115">
        <v>5.29</v>
      </c>
      <c r="J3" s="116" t="s">
        <v>31</v>
      </c>
      <c r="K3" s="114" t="s">
        <v>32</v>
      </c>
      <c r="L3" s="117"/>
    </row>
    <row r="4" ht="14.25" customHeight="1">
      <c r="A4" s="110" t="s">
        <v>23</v>
      </c>
      <c r="B4" s="111" t="s">
        <v>37</v>
      </c>
      <c r="C4" s="111" t="s">
        <v>28</v>
      </c>
      <c r="D4" s="112" t="s">
        <v>25</v>
      </c>
      <c r="E4" s="113">
        <v>40909.0</v>
      </c>
      <c r="F4" s="114" t="s">
        <v>29</v>
      </c>
      <c r="G4" s="114" t="s">
        <v>30</v>
      </c>
      <c r="H4" s="115">
        <v>5.29</v>
      </c>
      <c r="I4" s="115">
        <v>6.14</v>
      </c>
      <c r="J4" s="116" t="s">
        <v>31</v>
      </c>
      <c r="K4" s="114" t="s">
        <v>32</v>
      </c>
      <c r="L4" s="117"/>
    </row>
    <row r="5" ht="14.25" customHeight="1">
      <c r="A5" s="110" t="s">
        <v>23</v>
      </c>
      <c r="B5" s="111" t="s">
        <v>39</v>
      </c>
      <c r="C5" s="111" t="s">
        <v>40</v>
      </c>
      <c r="D5" s="112" t="s">
        <v>25</v>
      </c>
      <c r="E5" s="113">
        <v>40775.0</v>
      </c>
      <c r="F5" s="114" t="s">
        <v>29</v>
      </c>
      <c r="G5" s="114" t="s">
        <v>30</v>
      </c>
      <c r="H5" s="115">
        <v>7.38</v>
      </c>
      <c r="I5" s="115">
        <v>8.0</v>
      </c>
      <c r="J5" s="118">
        <v>5.21</v>
      </c>
      <c r="K5" s="119" t="s">
        <v>41</v>
      </c>
      <c r="L5" s="117"/>
    </row>
    <row r="6" ht="14.25" customHeight="1">
      <c r="A6" s="110" t="s">
        <v>23</v>
      </c>
      <c r="B6" s="111" t="s">
        <v>43</v>
      </c>
      <c r="C6" s="111" t="s">
        <v>44</v>
      </c>
      <c r="D6" s="112" t="s">
        <v>25</v>
      </c>
      <c r="E6" s="113">
        <v>40909.0</v>
      </c>
      <c r="F6" s="114" t="s">
        <v>29</v>
      </c>
      <c r="G6" s="114" t="s">
        <v>30</v>
      </c>
      <c r="H6" s="115">
        <v>4.57</v>
      </c>
      <c r="I6" s="115">
        <v>0.0</v>
      </c>
      <c r="J6" s="116" t="s">
        <v>31</v>
      </c>
      <c r="K6" s="114" t="s">
        <v>32</v>
      </c>
      <c r="L6" s="117"/>
    </row>
    <row r="7" ht="14.25" customHeight="1">
      <c r="A7" s="110" t="s">
        <v>23</v>
      </c>
      <c r="B7" s="111" t="s">
        <v>46</v>
      </c>
      <c r="C7" s="111" t="s">
        <v>47</v>
      </c>
      <c r="D7" s="112" t="s">
        <v>25</v>
      </c>
      <c r="E7" s="113">
        <v>41396.0</v>
      </c>
      <c r="F7" s="114" t="s">
        <v>29</v>
      </c>
      <c r="G7" s="114" t="s">
        <v>30</v>
      </c>
      <c r="H7" s="115">
        <v>6.29</v>
      </c>
      <c r="I7" s="115">
        <v>7.91</v>
      </c>
      <c r="J7" s="118">
        <v>6.36</v>
      </c>
      <c r="K7" s="119" t="s">
        <v>41</v>
      </c>
      <c r="L7" s="117"/>
    </row>
    <row r="8" ht="14.25" customHeight="1">
      <c r="A8" s="110" t="s">
        <v>23</v>
      </c>
      <c r="B8" s="111" t="s">
        <v>49</v>
      </c>
      <c r="C8" s="111" t="s">
        <v>50</v>
      </c>
      <c r="D8" s="112" t="s">
        <v>25</v>
      </c>
      <c r="E8" s="113">
        <v>40909.0</v>
      </c>
      <c r="F8" s="114" t="s">
        <v>29</v>
      </c>
      <c r="G8" s="114" t="s">
        <v>30</v>
      </c>
      <c r="H8" s="115">
        <v>5.04</v>
      </c>
      <c r="I8" s="115">
        <v>5.52</v>
      </c>
      <c r="J8" s="116" t="s">
        <v>31</v>
      </c>
      <c r="K8" s="114" t="s">
        <v>32</v>
      </c>
      <c r="L8" s="117"/>
    </row>
    <row r="9" ht="14.25" customHeight="1">
      <c r="A9" s="110" t="s">
        <v>23</v>
      </c>
      <c r="B9" s="111" t="s">
        <v>52</v>
      </c>
      <c r="C9" s="111" t="s">
        <v>53</v>
      </c>
      <c r="D9" s="112" t="s">
        <v>25</v>
      </c>
      <c r="E9" s="113">
        <v>41368.0</v>
      </c>
      <c r="F9" s="114" t="s">
        <v>29</v>
      </c>
      <c r="G9" s="114" t="s">
        <v>30</v>
      </c>
      <c r="H9" s="115">
        <v>6.89</v>
      </c>
      <c r="I9" s="115">
        <v>8.67</v>
      </c>
      <c r="J9" s="118">
        <v>7.18</v>
      </c>
      <c r="K9" s="119" t="s">
        <v>41</v>
      </c>
      <c r="L9" s="117"/>
    </row>
    <row r="10" ht="14.25" customHeight="1">
      <c r="A10" s="110" t="s">
        <v>23</v>
      </c>
      <c r="B10" s="111" t="s">
        <v>55</v>
      </c>
      <c r="C10" s="111" t="s">
        <v>56</v>
      </c>
      <c r="D10" s="112" t="s">
        <v>25</v>
      </c>
      <c r="E10" s="113">
        <v>40909.0</v>
      </c>
      <c r="F10" s="114" t="s">
        <v>29</v>
      </c>
      <c r="G10" s="114" t="s">
        <v>30</v>
      </c>
      <c r="H10" s="115">
        <v>6.01</v>
      </c>
      <c r="I10" s="115">
        <v>5.52</v>
      </c>
      <c r="J10" s="118">
        <v>6.02</v>
      </c>
      <c r="K10" s="119" t="s">
        <v>41</v>
      </c>
      <c r="L10" s="117"/>
    </row>
    <row r="11" ht="14.25" customHeight="1">
      <c r="A11" s="110" t="s">
        <v>23</v>
      </c>
      <c r="B11" s="111" t="s">
        <v>58</v>
      </c>
      <c r="C11" s="111" t="s">
        <v>59</v>
      </c>
      <c r="D11" s="112" t="s">
        <v>25</v>
      </c>
      <c r="E11" s="113">
        <v>40659.0</v>
      </c>
      <c r="F11" s="114" t="s">
        <v>29</v>
      </c>
      <c r="G11" s="114" t="s">
        <v>30</v>
      </c>
      <c r="H11" s="115">
        <v>5.1</v>
      </c>
      <c r="I11" s="115">
        <v>5.26</v>
      </c>
      <c r="J11" s="116" t="s">
        <v>31</v>
      </c>
      <c r="K11" s="114" t="s">
        <v>32</v>
      </c>
      <c r="L11" s="117"/>
    </row>
    <row r="12" ht="14.25" customHeight="1">
      <c r="A12" s="110" t="s">
        <v>23</v>
      </c>
      <c r="B12" s="111" t="s">
        <v>61</v>
      </c>
      <c r="C12" s="111" t="s">
        <v>62</v>
      </c>
      <c r="D12" s="112" t="s">
        <v>25</v>
      </c>
      <c r="E12" s="113">
        <v>40179.0</v>
      </c>
      <c r="F12" s="114" t="s">
        <v>29</v>
      </c>
      <c r="G12" s="114" t="s">
        <v>63</v>
      </c>
      <c r="H12" s="115">
        <v>4.35</v>
      </c>
      <c r="I12" s="115">
        <v>4.2</v>
      </c>
      <c r="J12" s="118">
        <v>4.65</v>
      </c>
      <c r="K12" s="119" t="s">
        <v>41</v>
      </c>
      <c r="L12" s="117"/>
    </row>
    <row r="13" ht="14.25" customHeight="1">
      <c r="A13" s="110" t="s">
        <v>23</v>
      </c>
      <c r="B13" s="111" t="s">
        <v>65</v>
      </c>
      <c r="C13" s="111" t="s">
        <v>66</v>
      </c>
      <c r="D13" s="112" t="s">
        <v>25</v>
      </c>
      <c r="E13" s="113">
        <v>40673.0</v>
      </c>
      <c r="F13" s="114" t="s">
        <v>29</v>
      </c>
      <c r="G13" s="114" t="s">
        <v>63</v>
      </c>
      <c r="H13" s="115">
        <v>4.66</v>
      </c>
      <c r="I13" s="115">
        <v>4.02</v>
      </c>
      <c r="J13" s="118">
        <v>4.5</v>
      </c>
      <c r="K13" s="119" t="s">
        <v>41</v>
      </c>
      <c r="L13" s="117"/>
    </row>
    <row r="14" ht="14.25" customHeight="1">
      <c r="A14" s="120" t="s">
        <v>70</v>
      </c>
      <c r="B14" s="111" t="s">
        <v>71</v>
      </c>
      <c r="C14" s="111" t="s">
        <v>72</v>
      </c>
      <c r="D14" s="114" t="s">
        <v>25</v>
      </c>
      <c r="E14" s="113">
        <v>40909.0</v>
      </c>
      <c r="F14" s="114" t="s">
        <v>70</v>
      </c>
      <c r="G14" s="114" t="s">
        <v>30</v>
      </c>
      <c r="H14" s="115">
        <v>6.64</v>
      </c>
      <c r="I14" s="115">
        <v>5.8</v>
      </c>
      <c r="J14" s="118">
        <v>4.56</v>
      </c>
      <c r="K14" s="119" t="s">
        <v>41</v>
      </c>
      <c r="L14" s="117"/>
    </row>
    <row r="15" ht="14.25" customHeight="1">
      <c r="A15" s="120" t="s">
        <v>70</v>
      </c>
      <c r="B15" s="111" t="s">
        <v>74</v>
      </c>
      <c r="C15" s="111" t="s">
        <v>75</v>
      </c>
      <c r="D15" s="114" t="s">
        <v>25</v>
      </c>
      <c r="E15" s="113">
        <v>40909.0</v>
      </c>
      <c r="F15" s="114" t="s">
        <v>70</v>
      </c>
      <c r="G15" s="114" t="s">
        <v>30</v>
      </c>
      <c r="H15" s="115">
        <v>5.88</v>
      </c>
      <c r="I15" s="115">
        <v>5.47</v>
      </c>
      <c r="J15" s="116" t="s">
        <v>31</v>
      </c>
      <c r="K15" s="114" t="s">
        <v>32</v>
      </c>
      <c r="L15" s="117"/>
    </row>
    <row r="16" ht="14.25" customHeight="1">
      <c r="A16" s="120" t="s">
        <v>70</v>
      </c>
      <c r="B16" s="111" t="s">
        <v>76</v>
      </c>
      <c r="C16" s="111" t="s">
        <v>77</v>
      </c>
      <c r="D16" s="114" t="s">
        <v>25</v>
      </c>
      <c r="E16" s="113">
        <v>40909.0</v>
      </c>
      <c r="F16" s="114" t="s">
        <v>70</v>
      </c>
      <c r="G16" s="114" t="s">
        <v>30</v>
      </c>
      <c r="H16" s="115">
        <v>8.02</v>
      </c>
      <c r="I16" s="115">
        <v>3.69</v>
      </c>
      <c r="J16" s="116" t="s">
        <v>31</v>
      </c>
      <c r="K16" s="114" t="s">
        <v>32</v>
      </c>
      <c r="L16" s="117"/>
    </row>
    <row r="17" ht="14.25" customHeight="1">
      <c r="A17" s="120" t="s">
        <v>70</v>
      </c>
      <c r="B17" s="111" t="s">
        <v>80</v>
      </c>
      <c r="C17" s="111" t="s">
        <v>81</v>
      </c>
      <c r="D17" s="114" t="s">
        <v>25</v>
      </c>
      <c r="E17" s="113">
        <v>40909.0</v>
      </c>
      <c r="F17" s="114" t="s">
        <v>70</v>
      </c>
      <c r="G17" s="114" t="s">
        <v>30</v>
      </c>
      <c r="H17" s="115">
        <v>8.29</v>
      </c>
      <c r="I17" s="115">
        <v>6.51</v>
      </c>
      <c r="J17" s="118">
        <v>6.55</v>
      </c>
      <c r="K17" s="119" t="s">
        <v>41</v>
      </c>
      <c r="L17" s="117"/>
    </row>
    <row r="18" ht="14.25" customHeight="1">
      <c r="A18" s="120" t="s">
        <v>70</v>
      </c>
      <c r="B18" s="111" t="s">
        <v>83</v>
      </c>
      <c r="C18" s="111" t="s">
        <v>84</v>
      </c>
      <c r="D18" s="114" t="s">
        <v>25</v>
      </c>
      <c r="E18" s="113">
        <v>40909.0</v>
      </c>
      <c r="F18" s="114" t="s">
        <v>70</v>
      </c>
      <c r="G18" s="114" t="s">
        <v>30</v>
      </c>
      <c r="H18" s="115">
        <v>6.44</v>
      </c>
      <c r="I18" s="115">
        <v>5.02</v>
      </c>
      <c r="J18" s="116" t="s">
        <v>31</v>
      </c>
      <c r="K18" s="114" t="s">
        <v>32</v>
      </c>
      <c r="L18" s="117"/>
    </row>
    <row r="19" ht="14.25" customHeight="1">
      <c r="A19" s="120" t="s">
        <v>70</v>
      </c>
      <c r="B19" s="111" t="s">
        <v>83</v>
      </c>
      <c r="C19" s="111" t="s">
        <v>86</v>
      </c>
      <c r="D19" s="114" t="s">
        <v>25</v>
      </c>
      <c r="E19" s="113">
        <v>40909.0</v>
      </c>
      <c r="F19" s="114" t="s">
        <v>70</v>
      </c>
      <c r="G19" s="114" t="s">
        <v>30</v>
      </c>
      <c r="H19" s="115">
        <v>5.52</v>
      </c>
      <c r="I19" s="115">
        <v>3.5</v>
      </c>
      <c r="J19" s="116" t="s">
        <v>31</v>
      </c>
      <c r="K19" s="114" t="s">
        <v>32</v>
      </c>
      <c r="L19" s="117"/>
    </row>
    <row r="20" ht="14.25" customHeight="1">
      <c r="A20" s="120" t="s">
        <v>70</v>
      </c>
      <c r="B20" s="111" t="s">
        <v>88</v>
      </c>
      <c r="C20" s="111" t="s">
        <v>89</v>
      </c>
      <c r="D20" s="114" t="s">
        <v>25</v>
      </c>
      <c r="E20" s="113">
        <v>40909.0</v>
      </c>
      <c r="F20" s="114" t="s">
        <v>70</v>
      </c>
      <c r="G20" s="114" t="s">
        <v>30</v>
      </c>
      <c r="H20" s="115">
        <v>9.38</v>
      </c>
      <c r="I20" s="115">
        <v>8.29</v>
      </c>
      <c r="J20" s="118">
        <v>8.5</v>
      </c>
      <c r="K20" s="119" t="s">
        <v>41</v>
      </c>
      <c r="L20" s="117"/>
    </row>
    <row r="21" ht="14.25" customHeight="1">
      <c r="A21" s="120" t="s">
        <v>70</v>
      </c>
      <c r="B21" s="111" t="s">
        <v>43</v>
      </c>
      <c r="C21" s="111" t="s">
        <v>91</v>
      </c>
      <c r="D21" s="114" t="s">
        <v>25</v>
      </c>
      <c r="E21" s="113">
        <v>40909.0</v>
      </c>
      <c r="F21" s="114" t="s">
        <v>70</v>
      </c>
      <c r="G21" s="114" t="s">
        <v>30</v>
      </c>
      <c r="H21" s="115">
        <v>5.7</v>
      </c>
      <c r="I21" s="115">
        <v>2.41</v>
      </c>
      <c r="J21" s="116" t="s">
        <v>31</v>
      </c>
      <c r="K21" s="114" t="s">
        <v>32</v>
      </c>
      <c r="L21" s="117"/>
    </row>
    <row r="22" ht="14.25" customHeight="1">
      <c r="A22" s="120" t="s">
        <v>70</v>
      </c>
      <c r="B22" s="111" t="s">
        <v>93</v>
      </c>
      <c r="C22" s="111" t="s">
        <v>81</v>
      </c>
      <c r="D22" s="114" t="s">
        <v>25</v>
      </c>
      <c r="E22" s="113">
        <v>40909.0</v>
      </c>
      <c r="F22" s="114" t="s">
        <v>70</v>
      </c>
      <c r="G22" s="114" t="s">
        <v>30</v>
      </c>
      <c r="H22" s="115">
        <v>6.05</v>
      </c>
      <c r="I22" s="115">
        <v>5.7</v>
      </c>
      <c r="J22" s="116" t="s">
        <v>31</v>
      </c>
      <c r="K22" s="114" t="s">
        <v>32</v>
      </c>
      <c r="L22" s="117"/>
    </row>
    <row r="23" ht="14.25" customHeight="1">
      <c r="A23" s="120" t="s">
        <v>70</v>
      </c>
      <c r="B23" s="110" t="s">
        <v>96</v>
      </c>
      <c r="C23" s="110" t="s">
        <v>97</v>
      </c>
      <c r="D23" s="114" t="s">
        <v>25</v>
      </c>
      <c r="E23" s="113">
        <v>40909.0</v>
      </c>
      <c r="F23" s="114" t="s">
        <v>70</v>
      </c>
      <c r="G23" s="114" t="s">
        <v>30</v>
      </c>
      <c r="H23" s="115">
        <v>7.52</v>
      </c>
      <c r="I23" s="115">
        <v>5.79</v>
      </c>
      <c r="J23" s="118">
        <v>5.0</v>
      </c>
      <c r="K23" s="119" t="s">
        <v>41</v>
      </c>
      <c r="L23" s="117"/>
    </row>
    <row r="24" ht="14.25" customHeight="1">
      <c r="A24" s="120" t="s">
        <v>70</v>
      </c>
      <c r="B24" s="111" t="s">
        <v>99</v>
      </c>
      <c r="C24" s="111" t="s">
        <v>100</v>
      </c>
      <c r="D24" s="114" t="s">
        <v>25</v>
      </c>
      <c r="E24" s="113">
        <v>40909.0</v>
      </c>
      <c r="F24" s="114" t="s">
        <v>70</v>
      </c>
      <c r="G24" s="114" t="s">
        <v>30</v>
      </c>
      <c r="H24" s="115">
        <v>6.47</v>
      </c>
      <c r="I24" s="115">
        <v>5.67</v>
      </c>
      <c r="J24" s="118">
        <v>4.85</v>
      </c>
      <c r="K24" s="119" t="s">
        <v>41</v>
      </c>
      <c r="L24" s="117"/>
    </row>
    <row r="25" ht="14.25" customHeight="1">
      <c r="A25" s="120" t="s">
        <v>70</v>
      </c>
      <c r="B25" s="111" t="s">
        <v>102</v>
      </c>
      <c r="C25" s="111" t="s">
        <v>103</v>
      </c>
      <c r="D25" s="114" t="s">
        <v>25</v>
      </c>
      <c r="E25" s="113">
        <v>40544.0</v>
      </c>
      <c r="F25" s="114" t="s">
        <v>70</v>
      </c>
      <c r="G25" s="114" t="s">
        <v>63</v>
      </c>
      <c r="H25" s="115">
        <v>6.47</v>
      </c>
      <c r="I25" s="115">
        <v>5.79</v>
      </c>
      <c r="J25" s="116" t="s">
        <v>31</v>
      </c>
      <c r="K25" s="114" t="s">
        <v>104</v>
      </c>
      <c r="L25" s="117"/>
    </row>
    <row r="26" ht="14.25" customHeight="1">
      <c r="A26" s="111" t="s">
        <v>108</v>
      </c>
      <c r="B26" s="111" t="s">
        <v>197</v>
      </c>
      <c r="C26" s="111" t="s">
        <v>198</v>
      </c>
      <c r="D26" s="114" t="s">
        <v>25</v>
      </c>
      <c r="E26" s="113">
        <v>40909.0</v>
      </c>
      <c r="F26" s="114" t="s">
        <v>110</v>
      </c>
      <c r="G26" s="114" t="s">
        <v>30</v>
      </c>
      <c r="H26" s="115">
        <v>5.95</v>
      </c>
      <c r="I26" s="115">
        <v>3.41</v>
      </c>
      <c r="J26" s="116" t="s">
        <v>31</v>
      </c>
      <c r="K26" s="114" t="s">
        <v>104</v>
      </c>
      <c r="L26" s="117"/>
    </row>
    <row r="27" ht="14.25" customHeight="1">
      <c r="A27" s="111" t="s">
        <v>108</v>
      </c>
      <c r="B27" s="111" t="s">
        <v>27</v>
      </c>
      <c r="C27" s="111" t="s">
        <v>112</v>
      </c>
      <c r="D27" s="114" t="s">
        <v>25</v>
      </c>
      <c r="E27" s="113">
        <v>40909.0</v>
      </c>
      <c r="F27" s="114" t="s">
        <v>110</v>
      </c>
      <c r="G27" s="114" t="s">
        <v>30</v>
      </c>
      <c r="H27" s="115">
        <v>8.17</v>
      </c>
      <c r="I27" s="115">
        <v>5.2</v>
      </c>
      <c r="J27" s="116" t="s">
        <v>31</v>
      </c>
      <c r="K27" s="114" t="s">
        <v>32</v>
      </c>
      <c r="L27" s="117"/>
    </row>
    <row r="28" ht="14.25" customHeight="1">
      <c r="A28" s="111" t="s">
        <v>108</v>
      </c>
      <c r="B28" s="111" t="s">
        <v>34</v>
      </c>
      <c r="C28" s="111" t="s">
        <v>84</v>
      </c>
      <c r="D28" s="114" t="s">
        <v>25</v>
      </c>
      <c r="E28" s="113">
        <v>40909.0</v>
      </c>
      <c r="F28" s="114" t="s">
        <v>110</v>
      </c>
      <c r="G28" s="114" t="s">
        <v>30</v>
      </c>
      <c r="H28" s="115">
        <v>8.42</v>
      </c>
      <c r="I28" s="115">
        <v>6.91</v>
      </c>
      <c r="J28" s="118">
        <v>7.45</v>
      </c>
      <c r="K28" s="119" t="s">
        <v>41</v>
      </c>
      <c r="L28" s="117"/>
    </row>
    <row r="29" ht="14.25" customHeight="1">
      <c r="A29" s="111" t="s">
        <v>108</v>
      </c>
      <c r="B29" s="111" t="s">
        <v>115</v>
      </c>
      <c r="C29" s="111" t="s">
        <v>116</v>
      </c>
      <c r="D29" s="114" t="s">
        <v>25</v>
      </c>
      <c r="E29" s="113">
        <v>40909.0</v>
      </c>
      <c r="F29" s="114" t="s">
        <v>110</v>
      </c>
      <c r="G29" s="114" t="s">
        <v>30</v>
      </c>
      <c r="H29" s="115">
        <v>8.55</v>
      </c>
      <c r="I29" s="115">
        <v>6.94</v>
      </c>
      <c r="J29" s="118">
        <v>6.25</v>
      </c>
      <c r="K29" s="119" t="s">
        <v>41</v>
      </c>
      <c r="L29" s="117"/>
    </row>
    <row r="30" ht="14.25" customHeight="1">
      <c r="A30" s="111" t="s">
        <v>108</v>
      </c>
      <c r="B30" s="111" t="s">
        <v>118</v>
      </c>
      <c r="C30" s="111" t="s">
        <v>77</v>
      </c>
      <c r="D30" s="114" t="s">
        <v>25</v>
      </c>
      <c r="E30" s="113">
        <v>40909.0</v>
      </c>
      <c r="F30" s="114" t="s">
        <v>110</v>
      </c>
      <c r="G30" s="114" t="s">
        <v>30</v>
      </c>
      <c r="H30" s="115">
        <v>7.52</v>
      </c>
      <c r="I30" s="115">
        <v>6.14</v>
      </c>
      <c r="J30" s="116" t="s">
        <v>31</v>
      </c>
      <c r="K30" s="114" t="s">
        <v>32</v>
      </c>
      <c r="L30" s="117"/>
    </row>
    <row r="31" ht="14.25" customHeight="1">
      <c r="A31" s="111" t="s">
        <v>108</v>
      </c>
      <c r="B31" s="111" t="s">
        <v>120</v>
      </c>
      <c r="C31" s="111" t="s">
        <v>112</v>
      </c>
      <c r="D31" s="114" t="s">
        <v>25</v>
      </c>
      <c r="E31" s="113">
        <v>40909.0</v>
      </c>
      <c r="F31" s="114" t="s">
        <v>110</v>
      </c>
      <c r="G31" s="114" t="s">
        <v>30</v>
      </c>
      <c r="H31" s="115">
        <v>7.76</v>
      </c>
      <c r="I31" s="115">
        <v>5.85</v>
      </c>
      <c r="J31" s="116" t="s">
        <v>31</v>
      </c>
      <c r="K31" s="114" t="s">
        <v>32</v>
      </c>
      <c r="L31" s="117"/>
    </row>
    <row r="32" ht="14.25" customHeight="1">
      <c r="A32" s="111" t="s">
        <v>108</v>
      </c>
      <c r="B32" s="111" t="s">
        <v>122</v>
      </c>
      <c r="C32" s="111" t="s">
        <v>123</v>
      </c>
      <c r="D32" s="114" t="s">
        <v>25</v>
      </c>
      <c r="E32" s="113">
        <v>40909.0</v>
      </c>
      <c r="F32" s="114" t="s">
        <v>110</v>
      </c>
      <c r="G32" s="114" t="s">
        <v>30</v>
      </c>
      <c r="H32" s="115">
        <v>6.97</v>
      </c>
      <c r="I32" s="115">
        <v>5.17</v>
      </c>
      <c r="J32" s="116" t="s">
        <v>31</v>
      </c>
      <c r="K32" s="114" t="s">
        <v>32</v>
      </c>
      <c r="L32" s="117"/>
    </row>
    <row r="33" ht="14.25" customHeight="1">
      <c r="A33" s="111" t="s">
        <v>108</v>
      </c>
      <c r="B33" s="111" t="s">
        <v>125</v>
      </c>
      <c r="C33" s="111" t="s">
        <v>84</v>
      </c>
      <c r="D33" s="114" t="s">
        <v>25</v>
      </c>
      <c r="E33" s="113">
        <v>40909.0</v>
      </c>
      <c r="F33" s="114" t="s">
        <v>110</v>
      </c>
      <c r="G33" s="114" t="s">
        <v>30</v>
      </c>
      <c r="H33" s="115">
        <v>7.42</v>
      </c>
      <c r="I33" s="115">
        <v>5.35</v>
      </c>
      <c r="J33" s="116" t="s">
        <v>31</v>
      </c>
      <c r="K33" s="114" t="s">
        <v>32</v>
      </c>
      <c r="L33" s="117"/>
    </row>
    <row r="34" ht="14.25" customHeight="1">
      <c r="A34" s="111" t="s">
        <v>108</v>
      </c>
      <c r="B34" s="111" t="s">
        <v>127</v>
      </c>
      <c r="C34" s="111" t="s">
        <v>128</v>
      </c>
      <c r="D34" s="114" t="s">
        <v>25</v>
      </c>
      <c r="E34" s="113">
        <v>40909.0</v>
      </c>
      <c r="F34" s="114" t="s">
        <v>110</v>
      </c>
      <c r="G34" s="114" t="s">
        <v>30</v>
      </c>
      <c r="H34" s="115">
        <v>6.69</v>
      </c>
      <c r="I34" s="115">
        <v>5.14</v>
      </c>
      <c r="J34" s="116" t="s">
        <v>31</v>
      </c>
      <c r="K34" s="114" t="s">
        <v>32</v>
      </c>
      <c r="L34" s="117"/>
    </row>
    <row r="35" ht="14.25" customHeight="1">
      <c r="A35" s="111" t="s">
        <v>108</v>
      </c>
      <c r="B35" s="111" t="s">
        <v>130</v>
      </c>
      <c r="C35" s="111" t="s">
        <v>131</v>
      </c>
      <c r="D35" s="114" t="s">
        <v>25</v>
      </c>
      <c r="E35" s="113">
        <v>40909.0</v>
      </c>
      <c r="F35" s="114" t="s">
        <v>110</v>
      </c>
      <c r="G35" s="114" t="s">
        <v>30</v>
      </c>
      <c r="H35" s="115">
        <v>6.35</v>
      </c>
      <c r="I35" s="115">
        <v>7.41</v>
      </c>
      <c r="J35" s="118">
        <v>5.25</v>
      </c>
      <c r="K35" s="119" t="s">
        <v>41</v>
      </c>
      <c r="L35" s="117"/>
    </row>
    <row r="36" ht="14.25" customHeight="1">
      <c r="A36" s="111" t="s">
        <v>108</v>
      </c>
      <c r="B36" s="111" t="s">
        <v>125</v>
      </c>
      <c r="C36" s="111" t="s">
        <v>112</v>
      </c>
      <c r="D36" s="114" t="s">
        <v>25</v>
      </c>
      <c r="E36" s="113">
        <v>40544.0</v>
      </c>
      <c r="F36" s="114" t="s">
        <v>110</v>
      </c>
      <c r="G36" s="114" t="s">
        <v>63</v>
      </c>
      <c r="H36" s="115">
        <v>6.58</v>
      </c>
      <c r="I36" s="115">
        <v>8.88</v>
      </c>
      <c r="J36" s="118">
        <v>5.65</v>
      </c>
      <c r="K36" s="119" t="s">
        <v>41</v>
      </c>
      <c r="L36" s="117"/>
    </row>
    <row r="37" ht="14.25" customHeight="1">
      <c r="A37" s="111" t="s">
        <v>108</v>
      </c>
      <c r="B37" s="111" t="s">
        <v>134</v>
      </c>
      <c r="C37" s="111" t="s">
        <v>135</v>
      </c>
      <c r="D37" s="114" t="s">
        <v>25</v>
      </c>
      <c r="E37" s="113">
        <v>40544.0</v>
      </c>
      <c r="F37" s="114" t="s">
        <v>110</v>
      </c>
      <c r="G37" s="114" t="s">
        <v>63</v>
      </c>
      <c r="H37" s="115">
        <v>5.23</v>
      </c>
      <c r="I37" s="115">
        <v>5.29</v>
      </c>
      <c r="J37" s="118">
        <v>5.0</v>
      </c>
      <c r="K37" s="119" t="s">
        <v>41</v>
      </c>
      <c r="L37" s="117"/>
    </row>
    <row r="38" ht="14.25" customHeight="1">
      <c r="A38" s="110" t="s">
        <v>141</v>
      </c>
      <c r="B38" s="110" t="s">
        <v>142</v>
      </c>
      <c r="C38" s="110" t="s">
        <v>143</v>
      </c>
      <c r="D38" s="114" t="s">
        <v>25</v>
      </c>
      <c r="E38" s="113" t="s">
        <v>144</v>
      </c>
      <c r="F38" s="114" t="s">
        <v>145</v>
      </c>
      <c r="G38" s="114" t="s">
        <v>30</v>
      </c>
      <c r="H38" s="115">
        <v>7.25</v>
      </c>
      <c r="I38" s="115">
        <v>6.52</v>
      </c>
      <c r="J38" s="121">
        <v>5.63</v>
      </c>
      <c r="K38" s="119" t="s">
        <v>41</v>
      </c>
      <c r="L38" s="117"/>
    </row>
    <row r="39" ht="14.25" customHeight="1">
      <c r="A39" s="110" t="s">
        <v>141</v>
      </c>
      <c r="B39" s="111" t="s">
        <v>147</v>
      </c>
      <c r="C39" s="111" t="s">
        <v>148</v>
      </c>
      <c r="D39" s="114" t="s">
        <v>25</v>
      </c>
      <c r="E39" s="113" t="s">
        <v>144</v>
      </c>
      <c r="F39" s="114" t="s">
        <v>145</v>
      </c>
      <c r="G39" s="114" t="s">
        <v>30</v>
      </c>
      <c r="H39" s="115">
        <v>5.91</v>
      </c>
      <c r="I39" s="115">
        <v>4.6</v>
      </c>
      <c r="J39" s="116" t="s">
        <v>31</v>
      </c>
      <c r="K39" s="114" t="s">
        <v>32</v>
      </c>
      <c r="L39" s="117"/>
    </row>
    <row r="40" ht="14.25" customHeight="1">
      <c r="A40" s="110" t="s">
        <v>141</v>
      </c>
      <c r="B40" s="111" t="s">
        <v>27</v>
      </c>
      <c r="C40" s="111" t="s">
        <v>150</v>
      </c>
      <c r="D40" s="114" t="s">
        <v>25</v>
      </c>
      <c r="E40" s="113" t="s">
        <v>144</v>
      </c>
      <c r="F40" s="114" t="s">
        <v>145</v>
      </c>
      <c r="G40" s="114" t="s">
        <v>30</v>
      </c>
      <c r="H40" s="115">
        <v>4.52</v>
      </c>
      <c r="I40" s="115">
        <v>5.35</v>
      </c>
      <c r="J40" s="116" t="s">
        <v>31</v>
      </c>
      <c r="K40" s="114" t="s">
        <v>32</v>
      </c>
      <c r="L40" s="117"/>
    </row>
    <row r="41" ht="14.25" customHeight="1">
      <c r="A41" s="110" t="s">
        <v>141</v>
      </c>
      <c r="B41" s="111" t="s">
        <v>34</v>
      </c>
      <c r="C41" s="111" t="s">
        <v>151</v>
      </c>
      <c r="D41" s="114" t="s">
        <v>25</v>
      </c>
      <c r="E41" s="113" t="s">
        <v>144</v>
      </c>
      <c r="F41" s="114" t="s">
        <v>145</v>
      </c>
      <c r="G41" s="114" t="s">
        <v>30</v>
      </c>
      <c r="H41" s="115">
        <v>6.94</v>
      </c>
      <c r="I41" s="115">
        <v>7.2</v>
      </c>
      <c r="J41" s="116" t="s">
        <v>31</v>
      </c>
      <c r="K41" s="114" t="s">
        <v>32</v>
      </c>
      <c r="L41" s="117"/>
    </row>
    <row r="42" ht="14.25" customHeight="1">
      <c r="A42" s="110" t="s">
        <v>141</v>
      </c>
      <c r="B42" s="111" t="s">
        <v>152</v>
      </c>
      <c r="C42" s="111" t="s">
        <v>84</v>
      </c>
      <c r="D42" s="114" t="s">
        <v>25</v>
      </c>
      <c r="E42" s="113" t="s">
        <v>144</v>
      </c>
      <c r="F42" s="114" t="s">
        <v>145</v>
      </c>
      <c r="G42" s="114" t="s">
        <v>30</v>
      </c>
      <c r="H42" s="115">
        <v>6.69</v>
      </c>
      <c r="I42" s="115">
        <v>5.78</v>
      </c>
      <c r="J42" s="121">
        <v>4.89</v>
      </c>
      <c r="K42" s="119" t="s">
        <v>41</v>
      </c>
      <c r="L42" s="117"/>
    </row>
    <row r="43" ht="14.25" customHeight="1">
      <c r="A43" s="110" t="s">
        <v>141</v>
      </c>
      <c r="B43" s="111" t="s">
        <v>153</v>
      </c>
      <c r="C43" s="111" t="s">
        <v>131</v>
      </c>
      <c r="D43" s="114" t="s">
        <v>25</v>
      </c>
      <c r="E43" s="113" t="s">
        <v>144</v>
      </c>
      <c r="F43" s="114" t="s">
        <v>145</v>
      </c>
      <c r="G43" s="114" t="s">
        <v>30</v>
      </c>
      <c r="H43" s="115">
        <v>6.35</v>
      </c>
      <c r="I43" s="115">
        <v>3.44</v>
      </c>
      <c r="J43" s="116" t="s">
        <v>31</v>
      </c>
      <c r="K43" s="114" t="s">
        <v>32</v>
      </c>
      <c r="L43" s="117"/>
    </row>
    <row r="44" ht="14.25" customHeight="1">
      <c r="A44" s="110" t="s">
        <v>141</v>
      </c>
      <c r="B44" s="111" t="s">
        <v>154</v>
      </c>
      <c r="C44" s="111" t="s">
        <v>72</v>
      </c>
      <c r="D44" s="114" t="s">
        <v>25</v>
      </c>
      <c r="E44" s="113" t="s">
        <v>144</v>
      </c>
      <c r="F44" s="114" t="s">
        <v>145</v>
      </c>
      <c r="G44" s="114" t="s">
        <v>30</v>
      </c>
      <c r="H44" s="115">
        <v>6.67</v>
      </c>
      <c r="I44" s="115">
        <v>5.23</v>
      </c>
      <c r="J44" s="121">
        <v>4.54</v>
      </c>
      <c r="K44" s="119" t="s">
        <v>41</v>
      </c>
      <c r="L44" s="117"/>
    </row>
    <row r="45" ht="14.25" customHeight="1">
      <c r="A45" s="110" t="s">
        <v>141</v>
      </c>
      <c r="B45" s="111" t="s">
        <v>155</v>
      </c>
      <c r="C45" s="111" t="s">
        <v>112</v>
      </c>
      <c r="D45" s="114" t="s">
        <v>25</v>
      </c>
      <c r="E45" s="113" t="s">
        <v>144</v>
      </c>
      <c r="F45" s="114" t="s">
        <v>145</v>
      </c>
      <c r="G45" s="114" t="s">
        <v>30</v>
      </c>
      <c r="H45" s="115">
        <v>8.57</v>
      </c>
      <c r="I45" s="115">
        <v>8.55</v>
      </c>
      <c r="J45" s="121">
        <v>8.84</v>
      </c>
      <c r="K45" s="119" t="s">
        <v>41</v>
      </c>
      <c r="L45" s="117"/>
    </row>
    <row r="46" ht="14.25" customHeight="1">
      <c r="A46" s="110" t="s">
        <v>141</v>
      </c>
      <c r="B46" s="111" t="s">
        <v>118</v>
      </c>
      <c r="C46" s="111" t="s">
        <v>156</v>
      </c>
      <c r="D46" s="114" t="s">
        <v>25</v>
      </c>
      <c r="E46" s="113" t="s">
        <v>144</v>
      </c>
      <c r="F46" s="114" t="s">
        <v>145</v>
      </c>
      <c r="G46" s="114" t="s">
        <v>30</v>
      </c>
      <c r="H46" s="115">
        <v>7.1</v>
      </c>
      <c r="I46" s="115">
        <v>6.5</v>
      </c>
      <c r="J46" s="116" t="s">
        <v>31</v>
      </c>
      <c r="K46" s="114" t="s">
        <v>32</v>
      </c>
      <c r="L46" s="117"/>
    </row>
    <row r="47" ht="14.25" customHeight="1">
      <c r="A47" s="122" t="s">
        <v>141</v>
      </c>
      <c r="B47" s="122" t="s">
        <v>157</v>
      </c>
      <c r="C47" s="122" t="s">
        <v>148</v>
      </c>
      <c r="D47" s="123" t="s">
        <v>25</v>
      </c>
      <c r="E47" s="124" t="s">
        <v>144</v>
      </c>
      <c r="F47" s="123" t="s">
        <v>145</v>
      </c>
      <c r="G47" s="123" t="s">
        <v>30</v>
      </c>
      <c r="H47" s="125">
        <v>6.64</v>
      </c>
      <c r="I47" s="126">
        <v>563.0</v>
      </c>
      <c r="J47" s="127" t="s">
        <v>31</v>
      </c>
      <c r="K47" s="123" t="s">
        <v>32</v>
      </c>
      <c r="L47" s="128" t="s">
        <v>199</v>
      </c>
    </row>
    <row r="48" ht="14.25" customHeight="1">
      <c r="A48" s="110" t="s">
        <v>141</v>
      </c>
      <c r="B48" s="111" t="s">
        <v>158</v>
      </c>
      <c r="C48" s="111" t="s">
        <v>159</v>
      </c>
      <c r="D48" s="114" t="s">
        <v>25</v>
      </c>
      <c r="E48" s="113" t="s">
        <v>144</v>
      </c>
      <c r="F48" s="114" t="s">
        <v>145</v>
      </c>
      <c r="G48" s="114" t="s">
        <v>30</v>
      </c>
      <c r="H48" s="115">
        <v>4.38</v>
      </c>
      <c r="I48" s="115">
        <v>5.64</v>
      </c>
      <c r="J48" s="116" t="s">
        <v>31</v>
      </c>
      <c r="K48" s="114" t="s">
        <v>32</v>
      </c>
      <c r="L48" s="117"/>
    </row>
    <row r="49" ht="14.25" customHeight="1">
      <c r="A49" s="110" t="s">
        <v>141</v>
      </c>
      <c r="B49" s="111" t="s">
        <v>160</v>
      </c>
      <c r="C49" s="111" t="s">
        <v>161</v>
      </c>
      <c r="D49" s="114" t="s">
        <v>25</v>
      </c>
      <c r="E49" s="113" t="s">
        <v>144</v>
      </c>
      <c r="F49" s="114" t="s">
        <v>145</v>
      </c>
      <c r="G49" s="114" t="s">
        <v>30</v>
      </c>
      <c r="H49" s="115">
        <v>6.55</v>
      </c>
      <c r="I49" s="115">
        <v>6.11</v>
      </c>
      <c r="J49" s="121">
        <v>4.9</v>
      </c>
      <c r="K49" s="119" t="s">
        <v>41</v>
      </c>
      <c r="L49" s="117"/>
    </row>
    <row r="50" ht="14.25" customHeight="1">
      <c r="A50" s="110" t="s">
        <v>141</v>
      </c>
      <c r="B50" s="111" t="s">
        <v>83</v>
      </c>
      <c r="C50" s="111" t="s">
        <v>162</v>
      </c>
      <c r="D50" s="114" t="s">
        <v>25</v>
      </c>
      <c r="E50" s="113" t="s">
        <v>144</v>
      </c>
      <c r="F50" s="114" t="s">
        <v>145</v>
      </c>
      <c r="G50" s="114" t="s">
        <v>30</v>
      </c>
      <c r="H50" s="115">
        <v>6.61</v>
      </c>
      <c r="I50" s="115">
        <v>5.2</v>
      </c>
      <c r="J50" s="116" t="s">
        <v>31</v>
      </c>
      <c r="K50" s="114" t="s">
        <v>32</v>
      </c>
      <c r="L50" s="117"/>
    </row>
    <row r="51" ht="14.25" customHeight="1">
      <c r="A51" s="110" t="s">
        <v>141</v>
      </c>
      <c r="B51" s="111" t="s">
        <v>163</v>
      </c>
      <c r="C51" s="111" t="s">
        <v>164</v>
      </c>
      <c r="D51" s="114" t="s">
        <v>25</v>
      </c>
      <c r="E51" s="113" t="s">
        <v>144</v>
      </c>
      <c r="F51" s="114" t="s">
        <v>145</v>
      </c>
      <c r="G51" s="114" t="s">
        <v>30</v>
      </c>
      <c r="H51" s="115">
        <v>4.91</v>
      </c>
      <c r="I51" s="115">
        <v>2.67</v>
      </c>
      <c r="J51" s="116" t="s">
        <v>31</v>
      </c>
      <c r="K51" s="114" t="s">
        <v>32</v>
      </c>
      <c r="L51" s="117"/>
    </row>
    <row r="52" ht="14.25" customHeight="1">
      <c r="A52" s="110" t="s">
        <v>141</v>
      </c>
      <c r="B52" s="111" t="s">
        <v>165</v>
      </c>
      <c r="C52" s="111" t="s">
        <v>35</v>
      </c>
      <c r="D52" s="114" t="s">
        <v>25</v>
      </c>
      <c r="E52" s="113" t="s">
        <v>144</v>
      </c>
      <c r="F52" s="114" t="s">
        <v>145</v>
      </c>
      <c r="G52" s="114" t="s">
        <v>30</v>
      </c>
      <c r="H52" s="115">
        <v>4.75</v>
      </c>
      <c r="I52" s="115">
        <v>5.5</v>
      </c>
      <c r="J52" s="116" t="s">
        <v>31</v>
      </c>
      <c r="K52" s="114" t="s">
        <v>32</v>
      </c>
      <c r="L52" s="117"/>
    </row>
    <row r="53" ht="14.25" customHeight="1">
      <c r="A53" s="110" t="s">
        <v>141</v>
      </c>
      <c r="B53" s="111" t="s">
        <v>166</v>
      </c>
      <c r="C53" s="111" t="s">
        <v>167</v>
      </c>
      <c r="D53" s="114" t="s">
        <v>25</v>
      </c>
      <c r="E53" s="113" t="s">
        <v>144</v>
      </c>
      <c r="F53" s="114" t="s">
        <v>145</v>
      </c>
      <c r="G53" s="114" t="s">
        <v>30</v>
      </c>
      <c r="H53" s="115">
        <v>8.11</v>
      </c>
      <c r="I53" s="115">
        <v>7.88</v>
      </c>
      <c r="J53" s="121">
        <v>4.86</v>
      </c>
      <c r="K53" s="119" t="s">
        <v>41</v>
      </c>
      <c r="L53" s="117"/>
    </row>
    <row r="54" ht="14.25" customHeight="1">
      <c r="A54" s="110" t="s">
        <v>141</v>
      </c>
      <c r="B54" s="111" t="s">
        <v>168</v>
      </c>
      <c r="C54" s="111" t="s">
        <v>169</v>
      </c>
      <c r="D54" s="114" t="s">
        <v>25</v>
      </c>
      <c r="E54" s="113" t="s">
        <v>144</v>
      </c>
      <c r="F54" s="114" t="s">
        <v>170</v>
      </c>
      <c r="G54" s="114" t="s">
        <v>30</v>
      </c>
      <c r="H54" s="115">
        <v>7.85</v>
      </c>
      <c r="I54" s="115">
        <v>6.2</v>
      </c>
      <c r="J54" s="121">
        <v>4.82</v>
      </c>
      <c r="K54" s="119" t="s">
        <v>41</v>
      </c>
      <c r="L54" s="117"/>
    </row>
    <row r="55" ht="14.25" customHeight="1">
      <c r="A55" s="110" t="s">
        <v>141</v>
      </c>
      <c r="B55" s="111" t="s">
        <v>171</v>
      </c>
      <c r="C55" s="111" t="s">
        <v>172</v>
      </c>
      <c r="D55" s="114" t="s">
        <v>25</v>
      </c>
      <c r="E55" s="113" t="s">
        <v>144</v>
      </c>
      <c r="F55" s="114" t="s">
        <v>145</v>
      </c>
      <c r="G55" s="114" t="s">
        <v>30</v>
      </c>
      <c r="H55" s="115" t="s">
        <v>173</v>
      </c>
      <c r="I55" s="115">
        <v>4.01</v>
      </c>
      <c r="J55" s="116" t="s">
        <v>31</v>
      </c>
      <c r="K55" s="114" t="s">
        <v>32</v>
      </c>
      <c r="L55" s="117"/>
    </row>
    <row r="56" ht="14.25" customHeight="1">
      <c r="A56" s="110" t="s">
        <v>141</v>
      </c>
      <c r="B56" s="111" t="s">
        <v>174</v>
      </c>
      <c r="C56" s="111" t="s">
        <v>175</v>
      </c>
      <c r="D56" s="114" t="s">
        <v>25</v>
      </c>
      <c r="E56" s="113" t="s">
        <v>144</v>
      </c>
      <c r="F56" s="114" t="s">
        <v>145</v>
      </c>
      <c r="G56" s="114" t="s">
        <v>30</v>
      </c>
      <c r="H56" s="115">
        <v>4.58</v>
      </c>
      <c r="I56" s="115">
        <v>5.35</v>
      </c>
      <c r="J56" s="116" t="s">
        <v>31</v>
      </c>
      <c r="K56" s="114" t="s">
        <v>32</v>
      </c>
      <c r="L56" s="117"/>
    </row>
    <row r="57" ht="14.25" customHeight="1">
      <c r="A57" s="110" t="s">
        <v>141</v>
      </c>
      <c r="B57" s="111" t="s">
        <v>177</v>
      </c>
      <c r="C57" s="111" t="s">
        <v>148</v>
      </c>
      <c r="D57" s="114" t="s">
        <v>25</v>
      </c>
      <c r="E57" s="113" t="s">
        <v>144</v>
      </c>
      <c r="F57" s="114" t="s">
        <v>145</v>
      </c>
      <c r="G57" s="114" t="s">
        <v>30</v>
      </c>
      <c r="H57" s="115">
        <v>7.41</v>
      </c>
      <c r="I57" s="115">
        <v>7.91</v>
      </c>
      <c r="J57" s="121">
        <v>5.93</v>
      </c>
      <c r="K57" s="119" t="s">
        <v>41</v>
      </c>
      <c r="L57" s="117"/>
    </row>
    <row r="58" ht="14.25" customHeight="1">
      <c r="A58" s="110" t="s">
        <v>141</v>
      </c>
      <c r="B58" s="111" t="s">
        <v>178</v>
      </c>
      <c r="C58" s="111" t="s">
        <v>148</v>
      </c>
      <c r="D58" s="114" t="s">
        <v>25</v>
      </c>
      <c r="E58" s="113" t="s">
        <v>144</v>
      </c>
      <c r="F58" s="114" t="s">
        <v>145</v>
      </c>
      <c r="G58" s="114" t="s">
        <v>30</v>
      </c>
      <c r="H58" s="115">
        <v>5.1</v>
      </c>
      <c r="I58" s="115">
        <v>4.53</v>
      </c>
      <c r="J58" s="116" t="s">
        <v>31</v>
      </c>
      <c r="K58" s="114" t="s">
        <v>32</v>
      </c>
      <c r="L58" s="117"/>
    </row>
    <row r="59" ht="14.25" customHeight="1">
      <c r="A59" s="110" t="s">
        <v>141</v>
      </c>
      <c r="B59" s="111" t="s">
        <v>99</v>
      </c>
      <c r="C59" s="111" t="s">
        <v>91</v>
      </c>
      <c r="D59" s="114" t="s">
        <v>25</v>
      </c>
      <c r="E59" s="113" t="s">
        <v>144</v>
      </c>
      <c r="F59" s="114" t="s">
        <v>145</v>
      </c>
      <c r="G59" s="114" t="s">
        <v>30</v>
      </c>
      <c r="H59" s="115">
        <v>6.79</v>
      </c>
      <c r="I59" s="115">
        <v>7.02</v>
      </c>
      <c r="J59" s="121">
        <v>4.56</v>
      </c>
      <c r="K59" s="119" t="s">
        <v>41</v>
      </c>
      <c r="L59" s="117"/>
    </row>
    <row r="60" ht="14.25" customHeight="1">
      <c r="A60" s="110" t="s">
        <v>141</v>
      </c>
      <c r="B60" s="111" t="s">
        <v>180</v>
      </c>
      <c r="C60" s="111" t="s">
        <v>62</v>
      </c>
      <c r="D60" s="114" t="s">
        <v>25</v>
      </c>
      <c r="E60" s="113" t="s">
        <v>144</v>
      </c>
      <c r="F60" s="114" t="s">
        <v>145</v>
      </c>
      <c r="G60" s="114" t="s">
        <v>30</v>
      </c>
      <c r="H60" s="115">
        <v>5.5</v>
      </c>
      <c r="I60" s="115">
        <v>5.3</v>
      </c>
      <c r="J60" s="116" t="s">
        <v>31</v>
      </c>
      <c r="K60" s="114" t="s">
        <v>32</v>
      </c>
      <c r="L60" s="117"/>
    </row>
    <row r="61" ht="14.25" customHeight="1">
      <c r="A61" s="110" t="s">
        <v>141</v>
      </c>
      <c r="B61" s="111" t="s">
        <v>99</v>
      </c>
      <c r="C61" s="111" t="s">
        <v>181</v>
      </c>
      <c r="D61" s="114" t="s">
        <v>25</v>
      </c>
      <c r="E61" s="113" t="s">
        <v>144</v>
      </c>
      <c r="F61" s="114" t="s">
        <v>145</v>
      </c>
      <c r="G61" s="114" t="s">
        <v>30</v>
      </c>
      <c r="H61" s="115">
        <v>4.5</v>
      </c>
      <c r="I61" s="115">
        <v>6.58</v>
      </c>
      <c r="J61" s="116" t="s">
        <v>31</v>
      </c>
      <c r="K61" s="114" t="s">
        <v>32</v>
      </c>
      <c r="L61" s="117"/>
    </row>
    <row r="62" ht="14.25" customHeight="1">
      <c r="A62" s="110" t="s">
        <v>141</v>
      </c>
      <c r="B62" s="111" t="s">
        <v>182</v>
      </c>
      <c r="C62" s="111" t="s">
        <v>183</v>
      </c>
      <c r="D62" s="114" t="s">
        <v>25</v>
      </c>
      <c r="E62" s="113">
        <v>40544.0</v>
      </c>
      <c r="F62" s="114" t="s">
        <v>145</v>
      </c>
      <c r="G62" s="114" t="s">
        <v>184</v>
      </c>
      <c r="H62" s="115">
        <v>5.22</v>
      </c>
      <c r="I62" s="115">
        <v>5.8</v>
      </c>
      <c r="J62" s="121">
        <v>5.0</v>
      </c>
      <c r="K62" s="129" t="s">
        <v>41</v>
      </c>
      <c r="L62" s="117"/>
    </row>
    <row r="63" ht="14.25" customHeight="1">
      <c r="A63" s="110" t="s">
        <v>141</v>
      </c>
      <c r="B63" s="111" t="s">
        <v>185</v>
      </c>
      <c r="C63" s="111" t="s">
        <v>44</v>
      </c>
      <c r="D63" s="114" t="s">
        <v>25</v>
      </c>
      <c r="E63" s="113">
        <v>40545.0</v>
      </c>
      <c r="F63" s="114" t="s">
        <v>145</v>
      </c>
      <c r="G63" s="114" t="s">
        <v>30</v>
      </c>
      <c r="H63" s="115">
        <v>5.79</v>
      </c>
      <c r="I63" s="115">
        <v>4.91</v>
      </c>
      <c r="J63" s="121">
        <v>5.12</v>
      </c>
      <c r="K63" s="129" t="s">
        <v>41</v>
      </c>
      <c r="L63" s="117"/>
    </row>
    <row r="64" ht="14.25" customHeight="1">
      <c r="A64" s="111" t="s">
        <v>141</v>
      </c>
      <c r="B64" s="111" t="s">
        <v>186</v>
      </c>
      <c r="C64" s="111" t="s">
        <v>187</v>
      </c>
      <c r="D64" s="114" t="s">
        <v>25</v>
      </c>
      <c r="E64" s="113">
        <v>40544.0</v>
      </c>
      <c r="F64" s="114" t="s">
        <v>145</v>
      </c>
      <c r="G64" s="114" t="s">
        <v>63</v>
      </c>
      <c r="H64" s="115">
        <v>6.14</v>
      </c>
      <c r="I64" s="115">
        <v>5.8</v>
      </c>
      <c r="J64" s="121">
        <v>5.05</v>
      </c>
      <c r="K64" s="129" t="s">
        <v>41</v>
      </c>
      <c r="L64" s="117"/>
    </row>
    <row r="65" ht="14.25" customHeight="1">
      <c r="A65" s="111" t="s">
        <v>141</v>
      </c>
      <c r="B65" s="111" t="s">
        <v>83</v>
      </c>
      <c r="C65" s="111" t="s">
        <v>91</v>
      </c>
      <c r="D65" s="114" t="s">
        <v>25</v>
      </c>
      <c r="E65" s="113">
        <v>40545.0</v>
      </c>
      <c r="F65" s="114" t="s">
        <v>145</v>
      </c>
      <c r="G65" s="114" t="s">
        <v>63</v>
      </c>
      <c r="H65" s="115">
        <v>3.67</v>
      </c>
      <c r="I65" s="115">
        <v>5.05</v>
      </c>
      <c r="J65" s="116" t="s">
        <v>31</v>
      </c>
      <c r="K65" s="130" t="s">
        <v>188</v>
      </c>
      <c r="L65" s="117"/>
    </row>
    <row r="66" ht="14.25" customHeight="1">
      <c r="A66" s="110" t="s">
        <v>191</v>
      </c>
      <c r="B66" s="111"/>
      <c r="C66" s="111">
        <f>SUBTOTAL(103,'CM2'!$C$2:$C$65)</f>
        <v>64</v>
      </c>
      <c r="D66" s="114"/>
      <c r="E66" s="114"/>
      <c r="F66" s="114"/>
      <c r="G66" s="114"/>
      <c r="H66" s="115">
        <f>SUBTOTAL(101,'CM2'!$H$2:$H$65)</f>
        <v>6.310634921</v>
      </c>
      <c r="I66" s="115">
        <f>SUBTOTAL(101,'CM2'!$I$2:$I$65)</f>
        <v>14.36875</v>
      </c>
      <c r="J66" s="115">
        <f>SUBTOTAL(101,'CM2'!$J$2:$J$65)</f>
        <v>5.611428571</v>
      </c>
      <c r="K66" s="129">
        <f>SUBTOTAL(103,'CM2'!$K$2:$K$65)</f>
        <v>64</v>
      </c>
      <c r="L66" s="121"/>
    </row>
    <row r="67" ht="14.25" customHeight="1">
      <c r="E67" s="131"/>
    </row>
    <row r="68" ht="14.25" customHeight="1">
      <c r="E68" s="131"/>
    </row>
    <row r="69" ht="14.25" customHeight="1">
      <c r="E69" s="131"/>
    </row>
    <row r="70" ht="14.25" customHeight="1">
      <c r="E70" s="131"/>
    </row>
    <row r="71" ht="14.25" customHeight="1">
      <c r="E71" s="131"/>
    </row>
    <row r="72" ht="14.25" customHeight="1">
      <c r="E72" s="131"/>
    </row>
    <row r="73" ht="14.25" customHeight="1">
      <c r="E73" s="131"/>
    </row>
    <row r="74" ht="14.25" customHeight="1">
      <c r="E74" s="131"/>
    </row>
    <row r="75" ht="14.25" customHeight="1">
      <c r="E75" s="131"/>
    </row>
    <row r="76" ht="14.25" customHeight="1">
      <c r="E76" s="131"/>
    </row>
    <row r="77" ht="14.25" customHeight="1">
      <c r="E77" s="131"/>
    </row>
    <row r="78" ht="14.25" customHeight="1">
      <c r="E78" s="131"/>
    </row>
    <row r="79" ht="14.25" customHeight="1">
      <c r="E79" s="131"/>
    </row>
    <row r="80" ht="14.25" customHeight="1">
      <c r="E80" s="131"/>
    </row>
    <row r="81" ht="14.25" customHeight="1">
      <c r="E81" s="131"/>
    </row>
    <row r="82" ht="14.25" customHeight="1">
      <c r="E82" s="131"/>
    </row>
    <row r="83" ht="14.25" customHeight="1">
      <c r="E83" s="131"/>
    </row>
    <row r="84" ht="14.25" customHeight="1">
      <c r="E84" s="131"/>
    </row>
    <row r="85" ht="14.25" customHeight="1">
      <c r="E85" s="131"/>
    </row>
    <row r="86" ht="14.25" customHeight="1">
      <c r="E86" s="131"/>
    </row>
    <row r="87" ht="14.25" customHeight="1">
      <c r="E87" s="131"/>
    </row>
    <row r="88" ht="14.25" customHeight="1">
      <c r="E88" s="131"/>
    </row>
    <row r="89" ht="14.25" customHeight="1">
      <c r="E89" s="131"/>
    </row>
    <row r="90" ht="14.25" customHeight="1">
      <c r="E90" s="131"/>
    </row>
    <row r="91" ht="14.25" customHeight="1">
      <c r="E91" s="131"/>
    </row>
    <row r="92" ht="14.25" customHeight="1">
      <c r="E92" s="131"/>
    </row>
    <row r="93" ht="14.25" customHeight="1">
      <c r="E93" s="131"/>
    </row>
    <row r="94" ht="14.25" customHeight="1">
      <c r="E94" s="131"/>
    </row>
    <row r="95" ht="14.25" customHeight="1">
      <c r="E95" s="131"/>
    </row>
    <row r="96" ht="14.25" customHeight="1">
      <c r="E96" s="131"/>
    </row>
    <row r="97" ht="14.25" customHeight="1">
      <c r="E97" s="131"/>
    </row>
    <row r="98" ht="14.25" customHeight="1">
      <c r="E98" s="131"/>
    </row>
    <row r="99" ht="14.25" customHeight="1">
      <c r="E99" s="131"/>
    </row>
    <row r="100" ht="14.25" customHeight="1">
      <c r="E100" s="131"/>
    </row>
    <row r="101" ht="14.25" customHeight="1">
      <c r="E101" s="131"/>
    </row>
    <row r="102" ht="14.25" customHeight="1">
      <c r="E102" s="131"/>
    </row>
    <row r="103" ht="14.25" customHeight="1">
      <c r="E103" s="131"/>
    </row>
    <row r="104" ht="14.25" customHeight="1">
      <c r="E104" s="131"/>
    </row>
    <row r="105" ht="14.25" customHeight="1">
      <c r="E105" s="131"/>
    </row>
    <row r="106" ht="14.25" customHeight="1">
      <c r="E106" s="131"/>
    </row>
    <row r="107" ht="14.25" customHeight="1">
      <c r="E107" s="131"/>
    </row>
    <row r="108" ht="14.25" customHeight="1">
      <c r="E108" s="131"/>
    </row>
    <row r="109" ht="14.25" customHeight="1">
      <c r="E109" s="131"/>
    </row>
    <row r="110" ht="14.25" customHeight="1">
      <c r="E110" s="131"/>
    </row>
    <row r="111" ht="14.25" customHeight="1">
      <c r="E111" s="131"/>
    </row>
    <row r="112" ht="14.25" customHeight="1">
      <c r="E112" s="131"/>
    </row>
    <row r="113" ht="14.25" customHeight="1">
      <c r="E113" s="131"/>
    </row>
    <row r="114" ht="14.25" customHeight="1">
      <c r="E114" s="131"/>
    </row>
    <row r="115" ht="14.25" customHeight="1">
      <c r="E115" s="131"/>
    </row>
    <row r="116" ht="14.25" customHeight="1">
      <c r="E116" s="131"/>
    </row>
    <row r="117" ht="14.25" customHeight="1">
      <c r="E117" s="131"/>
    </row>
    <row r="118" ht="14.25" customHeight="1">
      <c r="E118" s="131"/>
    </row>
    <row r="119" ht="14.25" customHeight="1">
      <c r="E119" s="131"/>
    </row>
    <row r="120" ht="14.25" customHeight="1">
      <c r="E120" s="131"/>
    </row>
    <row r="121" ht="14.25" customHeight="1">
      <c r="E121" s="131"/>
    </row>
    <row r="122" ht="14.25" customHeight="1">
      <c r="E122" s="131"/>
    </row>
    <row r="123" ht="14.25" customHeight="1">
      <c r="E123" s="131"/>
    </row>
    <row r="124" ht="14.25" customHeight="1">
      <c r="E124" s="131"/>
    </row>
    <row r="125" ht="14.25" customHeight="1">
      <c r="E125" s="131"/>
    </row>
    <row r="126" ht="14.25" customHeight="1">
      <c r="E126" s="131"/>
    </row>
    <row r="127" ht="14.25" customHeight="1">
      <c r="E127" s="131"/>
    </row>
    <row r="128" ht="14.25" customHeight="1">
      <c r="E128" s="131"/>
    </row>
    <row r="129" ht="14.25" customHeight="1">
      <c r="E129" s="131"/>
    </row>
    <row r="130" ht="14.25" customHeight="1">
      <c r="E130" s="131"/>
    </row>
    <row r="131" ht="14.25" customHeight="1">
      <c r="E131" s="131"/>
    </row>
    <row r="132" ht="14.25" customHeight="1">
      <c r="E132" s="131"/>
    </row>
    <row r="133" ht="14.25" customHeight="1">
      <c r="E133" s="131"/>
    </row>
    <row r="134" ht="14.25" customHeight="1">
      <c r="E134" s="131"/>
    </row>
    <row r="135" ht="14.25" customHeight="1">
      <c r="E135" s="131"/>
    </row>
    <row r="136" ht="14.25" customHeight="1">
      <c r="E136" s="131"/>
    </row>
    <row r="137" ht="14.25" customHeight="1">
      <c r="E137" s="131"/>
    </row>
    <row r="138" ht="14.25" customHeight="1">
      <c r="E138" s="131"/>
    </row>
    <row r="139" ht="14.25" customHeight="1">
      <c r="E139" s="131"/>
    </row>
    <row r="140" ht="14.25" customHeight="1">
      <c r="E140" s="131"/>
    </row>
    <row r="141" ht="14.25" customHeight="1">
      <c r="E141" s="131"/>
    </row>
    <row r="142" ht="14.25" customHeight="1">
      <c r="E142" s="131"/>
    </row>
    <row r="143" ht="14.25" customHeight="1">
      <c r="E143" s="131"/>
    </row>
    <row r="144" ht="14.25" customHeight="1">
      <c r="E144" s="131"/>
    </row>
    <row r="145" ht="14.25" customHeight="1">
      <c r="E145" s="131"/>
    </row>
    <row r="146" ht="14.25" customHeight="1">
      <c r="E146" s="131"/>
    </row>
    <row r="147" ht="14.25" customHeight="1">
      <c r="E147" s="131"/>
    </row>
    <row r="148" ht="14.25" customHeight="1">
      <c r="E148" s="131"/>
    </row>
    <row r="149" ht="14.25" customHeight="1">
      <c r="E149" s="131"/>
    </row>
    <row r="150" ht="14.25" customHeight="1">
      <c r="E150" s="131"/>
    </row>
    <row r="151" ht="14.25" customHeight="1">
      <c r="E151" s="131"/>
    </row>
    <row r="152" ht="14.25" customHeight="1">
      <c r="E152" s="131"/>
    </row>
    <row r="153" ht="14.25" customHeight="1">
      <c r="E153" s="131"/>
    </row>
    <row r="154" ht="14.25" customHeight="1">
      <c r="E154" s="131"/>
    </row>
    <row r="155" ht="14.25" customHeight="1">
      <c r="E155" s="131"/>
    </row>
    <row r="156" ht="14.25" customHeight="1">
      <c r="E156" s="131"/>
    </row>
    <row r="157" ht="14.25" customHeight="1">
      <c r="E157" s="131"/>
    </row>
    <row r="158" ht="14.25" customHeight="1">
      <c r="E158" s="131"/>
    </row>
    <row r="159" ht="14.25" customHeight="1">
      <c r="E159" s="131"/>
    </row>
    <row r="160" ht="14.25" customHeight="1">
      <c r="E160" s="131"/>
    </row>
    <row r="161" ht="14.25" customHeight="1">
      <c r="E161" s="131"/>
    </row>
    <row r="162" ht="14.25" customHeight="1">
      <c r="E162" s="131"/>
    </row>
    <row r="163" ht="14.25" customHeight="1">
      <c r="E163" s="131"/>
    </row>
    <row r="164" ht="14.25" customHeight="1">
      <c r="E164" s="131"/>
    </row>
    <row r="165" ht="14.25" customHeight="1">
      <c r="E165" s="131"/>
    </row>
    <row r="166" ht="14.25" customHeight="1">
      <c r="E166" s="131"/>
    </row>
    <row r="167" ht="14.25" customHeight="1">
      <c r="E167" s="131"/>
    </row>
    <row r="168" ht="14.25" customHeight="1">
      <c r="E168" s="131"/>
    </row>
    <row r="169" ht="14.25" customHeight="1">
      <c r="E169" s="131"/>
    </row>
    <row r="170" ht="14.25" customHeight="1">
      <c r="E170" s="131"/>
    </row>
    <row r="171" ht="14.25" customHeight="1">
      <c r="E171" s="131"/>
    </row>
    <row r="172" ht="14.25" customHeight="1">
      <c r="E172" s="131"/>
    </row>
    <row r="173" ht="14.25" customHeight="1">
      <c r="E173" s="131"/>
    </row>
    <row r="174" ht="14.25" customHeight="1">
      <c r="E174" s="131"/>
    </row>
    <row r="175" ht="14.25" customHeight="1">
      <c r="E175" s="131"/>
    </row>
    <row r="176" ht="14.25" customHeight="1">
      <c r="E176" s="131"/>
    </row>
    <row r="177" ht="14.25" customHeight="1">
      <c r="E177" s="131"/>
    </row>
    <row r="178" ht="14.25" customHeight="1">
      <c r="E178" s="131"/>
    </row>
    <row r="179" ht="14.25" customHeight="1">
      <c r="E179" s="131"/>
    </row>
    <row r="180" ht="14.25" customHeight="1">
      <c r="E180" s="131"/>
    </row>
    <row r="181" ht="14.25" customHeight="1">
      <c r="E181" s="131"/>
    </row>
    <row r="182" ht="14.25" customHeight="1">
      <c r="E182" s="131"/>
    </row>
    <row r="183" ht="14.25" customHeight="1">
      <c r="E183" s="131"/>
    </row>
    <row r="184" ht="14.25" customHeight="1">
      <c r="E184" s="131"/>
    </row>
    <row r="185" ht="14.25" customHeight="1">
      <c r="E185" s="131"/>
    </row>
    <row r="186" ht="14.25" customHeight="1">
      <c r="E186" s="131"/>
    </row>
    <row r="187" ht="14.25" customHeight="1">
      <c r="E187" s="131"/>
    </row>
    <row r="188" ht="14.25" customHeight="1">
      <c r="E188" s="131"/>
    </row>
    <row r="189" ht="14.25" customHeight="1">
      <c r="E189" s="131"/>
    </row>
    <row r="190" ht="14.25" customHeight="1">
      <c r="E190" s="131"/>
    </row>
    <row r="191" ht="14.25" customHeight="1">
      <c r="E191" s="131"/>
    </row>
    <row r="192" ht="14.25" customHeight="1">
      <c r="E192" s="131"/>
    </row>
    <row r="193" ht="14.25" customHeight="1">
      <c r="E193" s="131"/>
    </row>
    <row r="194" ht="14.25" customHeight="1">
      <c r="E194" s="131"/>
    </row>
    <row r="195" ht="14.25" customHeight="1">
      <c r="E195" s="131"/>
    </row>
    <row r="196" ht="14.25" customHeight="1">
      <c r="E196" s="131"/>
    </row>
    <row r="197" ht="14.25" customHeight="1">
      <c r="E197" s="131"/>
    </row>
    <row r="198" ht="14.25" customHeight="1">
      <c r="E198" s="131"/>
    </row>
    <row r="199" ht="14.25" customHeight="1">
      <c r="E199" s="131"/>
    </row>
    <row r="200" ht="14.25" customHeight="1">
      <c r="E200" s="131"/>
    </row>
    <row r="201" ht="14.25" customHeight="1">
      <c r="E201" s="131"/>
    </row>
    <row r="202" ht="14.25" customHeight="1">
      <c r="E202" s="131"/>
    </row>
    <row r="203" ht="14.25" customHeight="1">
      <c r="E203" s="131"/>
    </row>
    <row r="204" ht="14.25" customHeight="1">
      <c r="E204" s="131"/>
    </row>
    <row r="205" ht="14.25" customHeight="1">
      <c r="E205" s="131"/>
    </row>
    <row r="206" ht="14.25" customHeight="1">
      <c r="E206" s="131"/>
    </row>
    <row r="207" ht="14.25" customHeight="1">
      <c r="E207" s="131"/>
    </row>
    <row r="208" ht="14.25" customHeight="1">
      <c r="E208" s="131"/>
    </row>
    <row r="209" ht="14.25" customHeight="1">
      <c r="E209" s="131"/>
    </row>
    <row r="210" ht="14.25" customHeight="1">
      <c r="E210" s="131"/>
    </row>
    <row r="211" ht="14.25" customHeight="1">
      <c r="E211" s="131"/>
    </row>
    <row r="212" ht="14.25" customHeight="1">
      <c r="E212" s="131"/>
    </row>
    <row r="213" ht="14.25" customHeight="1">
      <c r="E213" s="131"/>
    </row>
    <row r="214" ht="14.25" customHeight="1">
      <c r="E214" s="131"/>
    </row>
    <row r="215" ht="14.25" customHeight="1">
      <c r="E215" s="131"/>
    </row>
    <row r="216" ht="14.25" customHeight="1">
      <c r="E216" s="131"/>
    </row>
    <row r="217" ht="14.25" customHeight="1">
      <c r="E217" s="131"/>
    </row>
    <row r="218" ht="14.25" customHeight="1">
      <c r="E218" s="131"/>
    </row>
    <row r="219" ht="14.25" customHeight="1">
      <c r="E219" s="131"/>
    </row>
    <row r="220" ht="14.25" customHeight="1">
      <c r="E220" s="131"/>
    </row>
    <row r="221" ht="14.25" customHeight="1">
      <c r="E221" s="131"/>
    </row>
    <row r="222" ht="14.25" customHeight="1">
      <c r="E222" s="131"/>
    </row>
    <row r="223" ht="14.25" customHeight="1">
      <c r="E223" s="131"/>
    </row>
    <row r="224" ht="14.25" customHeight="1">
      <c r="E224" s="131"/>
    </row>
    <row r="225" ht="14.25" customHeight="1">
      <c r="E225" s="131"/>
    </row>
    <row r="226" ht="14.25" customHeight="1">
      <c r="E226" s="131"/>
    </row>
    <row r="227" ht="14.25" customHeight="1">
      <c r="E227" s="131"/>
    </row>
    <row r="228" ht="14.25" customHeight="1">
      <c r="E228" s="131"/>
    </row>
    <row r="229" ht="14.25" customHeight="1">
      <c r="E229" s="131"/>
    </row>
    <row r="230" ht="14.25" customHeight="1">
      <c r="E230" s="131"/>
    </row>
    <row r="231" ht="14.25" customHeight="1">
      <c r="E231" s="131"/>
    </row>
    <row r="232" ht="14.25" customHeight="1">
      <c r="E232" s="131"/>
    </row>
    <row r="233" ht="14.25" customHeight="1">
      <c r="E233" s="131"/>
    </row>
    <row r="234" ht="14.25" customHeight="1">
      <c r="E234" s="131"/>
    </row>
    <row r="235" ht="14.25" customHeight="1">
      <c r="E235" s="131"/>
    </row>
    <row r="236" ht="14.25" customHeight="1">
      <c r="E236" s="131"/>
    </row>
    <row r="237" ht="14.25" customHeight="1">
      <c r="E237" s="131"/>
    </row>
    <row r="238" ht="14.25" customHeight="1">
      <c r="E238" s="131"/>
    </row>
    <row r="239" ht="14.25" customHeight="1">
      <c r="E239" s="131"/>
    </row>
    <row r="240" ht="14.25" customHeight="1">
      <c r="E240" s="131"/>
    </row>
    <row r="241" ht="14.25" customHeight="1">
      <c r="E241" s="131"/>
    </row>
    <row r="242" ht="14.25" customHeight="1">
      <c r="E242" s="131"/>
    </row>
    <row r="243" ht="14.25" customHeight="1">
      <c r="E243" s="131"/>
    </row>
    <row r="244" ht="14.25" customHeight="1">
      <c r="E244" s="131"/>
    </row>
    <row r="245" ht="14.25" customHeight="1">
      <c r="E245" s="131"/>
    </row>
    <row r="246" ht="14.25" customHeight="1">
      <c r="E246" s="131"/>
    </row>
    <row r="247" ht="14.25" customHeight="1">
      <c r="E247" s="131"/>
    </row>
    <row r="248" ht="14.25" customHeight="1">
      <c r="E248" s="131"/>
    </row>
    <row r="249" ht="14.25" customHeight="1">
      <c r="E249" s="131"/>
    </row>
    <row r="250" ht="14.25" customHeight="1">
      <c r="E250" s="131"/>
    </row>
    <row r="251" ht="14.25" customHeight="1">
      <c r="E251" s="131"/>
    </row>
    <row r="252" ht="14.25" customHeight="1">
      <c r="E252" s="131"/>
    </row>
    <row r="253" ht="14.25" customHeight="1">
      <c r="E253" s="131"/>
    </row>
    <row r="254" ht="14.25" customHeight="1">
      <c r="E254" s="131"/>
    </row>
    <row r="255" ht="14.25" customHeight="1">
      <c r="E255" s="131"/>
    </row>
    <row r="256" ht="14.25" customHeight="1">
      <c r="E256" s="131"/>
    </row>
    <row r="257" ht="14.25" customHeight="1">
      <c r="E257" s="131"/>
    </row>
    <row r="258" ht="14.25" customHeight="1">
      <c r="E258" s="131"/>
    </row>
    <row r="259" ht="14.25" customHeight="1">
      <c r="E259" s="131"/>
    </row>
    <row r="260" ht="14.25" customHeight="1">
      <c r="E260" s="131"/>
    </row>
    <row r="261" ht="14.25" customHeight="1">
      <c r="E261" s="131"/>
    </row>
    <row r="262" ht="14.25" customHeight="1">
      <c r="E262" s="131"/>
    </row>
    <row r="263" ht="14.25" customHeight="1">
      <c r="E263" s="131"/>
    </row>
    <row r="264" ht="14.25" customHeight="1">
      <c r="E264" s="131"/>
    </row>
    <row r="265" ht="14.25" customHeight="1">
      <c r="E265" s="131"/>
    </row>
    <row r="266" ht="14.25" customHeight="1">
      <c r="E266" s="131"/>
    </row>
    <row r="267" ht="14.25" customHeight="1">
      <c r="E267" s="131"/>
    </row>
    <row r="268" ht="14.25" customHeight="1">
      <c r="E268" s="131"/>
    </row>
    <row r="269" ht="14.25" customHeight="1">
      <c r="E269" s="131"/>
    </row>
    <row r="270" ht="14.25" customHeight="1">
      <c r="E270" s="131"/>
    </row>
    <row r="271" ht="14.25" customHeight="1">
      <c r="E271" s="131"/>
    </row>
    <row r="272" ht="14.25" customHeight="1">
      <c r="E272" s="131"/>
    </row>
    <row r="273" ht="14.25" customHeight="1">
      <c r="E273" s="131"/>
    </row>
    <row r="274" ht="14.25" customHeight="1">
      <c r="E274" s="131"/>
    </row>
    <row r="275" ht="14.25" customHeight="1">
      <c r="E275" s="131"/>
    </row>
    <row r="276" ht="14.25" customHeight="1">
      <c r="E276" s="131"/>
    </row>
    <row r="277" ht="14.25" customHeight="1">
      <c r="E277" s="131"/>
    </row>
    <row r="278" ht="14.25" customHeight="1">
      <c r="E278" s="131"/>
    </row>
    <row r="279" ht="14.25" customHeight="1">
      <c r="E279" s="131"/>
    </row>
    <row r="280" ht="14.25" customHeight="1">
      <c r="E280" s="131"/>
    </row>
    <row r="281" ht="14.25" customHeight="1">
      <c r="E281" s="131"/>
    </row>
    <row r="282" ht="14.25" customHeight="1">
      <c r="E282" s="131"/>
    </row>
    <row r="283" ht="14.25" customHeight="1">
      <c r="E283" s="131"/>
    </row>
    <row r="284" ht="14.25" customHeight="1">
      <c r="E284" s="131"/>
    </row>
    <row r="285" ht="14.25" customHeight="1">
      <c r="E285" s="131"/>
    </row>
    <row r="286" ht="14.25" customHeight="1">
      <c r="E286" s="131"/>
    </row>
    <row r="287" ht="14.25" customHeight="1">
      <c r="E287" s="131"/>
    </row>
    <row r="288" ht="14.25" customHeight="1">
      <c r="E288" s="131"/>
    </row>
    <row r="289" ht="14.25" customHeight="1">
      <c r="E289" s="131"/>
    </row>
    <row r="290" ht="14.25" customHeight="1">
      <c r="E290" s="131"/>
    </row>
    <row r="291" ht="14.25" customHeight="1">
      <c r="E291" s="131"/>
    </row>
    <row r="292" ht="14.25" customHeight="1">
      <c r="E292" s="131"/>
    </row>
    <row r="293" ht="14.25" customHeight="1">
      <c r="E293" s="131"/>
    </row>
    <row r="294" ht="14.25" customHeight="1">
      <c r="E294" s="131"/>
    </row>
    <row r="295" ht="14.25" customHeight="1">
      <c r="E295" s="131"/>
    </row>
    <row r="296" ht="14.25" customHeight="1">
      <c r="E296" s="131"/>
    </row>
    <row r="297" ht="14.25" customHeight="1">
      <c r="E297" s="131"/>
    </row>
    <row r="298" ht="14.25" customHeight="1">
      <c r="E298" s="131"/>
    </row>
    <row r="299" ht="14.25" customHeight="1">
      <c r="E299" s="131"/>
    </row>
    <row r="300" ht="14.25" customHeight="1">
      <c r="E300" s="131"/>
    </row>
    <row r="301" ht="14.25" customHeight="1">
      <c r="E301" s="131"/>
    </row>
    <row r="302" ht="14.25" customHeight="1">
      <c r="E302" s="131"/>
    </row>
    <row r="303" ht="14.25" customHeight="1">
      <c r="E303" s="131"/>
    </row>
    <row r="304" ht="14.25" customHeight="1">
      <c r="E304" s="131"/>
    </row>
    <row r="305" ht="14.25" customHeight="1">
      <c r="E305" s="131"/>
    </row>
    <row r="306" ht="14.25" customHeight="1">
      <c r="E306" s="131"/>
    </row>
    <row r="307" ht="14.25" customHeight="1">
      <c r="E307" s="131"/>
    </row>
    <row r="308" ht="14.25" customHeight="1">
      <c r="E308" s="131"/>
    </row>
    <row r="309" ht="14.25" customHeight="1">
      <c r="E309" s="131"/>
    </row>
    <row r="310" ht="14.25" customHeight="1">
      <c r="E310" s="131"/>
    </row>
    <row r="311" ht="14.25" customHeight="1">
      <c r="E311" s="131"/>
    </row>
    <row r="312" ht="14.25" customHeight="1">
      <c r="E312" s="131"/>
    </row>
    <row r="313" ht="14.25" customHeight="1">
      <c r="E313" s="131"/>
    </row>
    <row r="314" ht="14.25" customHeight="1">
      <c r="E314" s="131"/>
    </row>
    <row r="315" ht="14.25" customHeight="1">
      <c r="E315" s="131"/>
    </row>
    <row r="316" ht="14.25" customHeight="1">
      <c r="E316" s="131"/>
    </row>
    <row r="317" ht="14.25" customHeight="1">
      <c r="E317" s="131"/>
    </row>
    <row r="318" ht="14.25" customHeight="1">
      <c r="E318" s="131"/>
    </row>
    <row r="319" ht="14.25" customHeight="1">
      <c r="E319" s="131"/>
    </row>
    <row r="320" ht="14.25" customHeight="1">
      <c r="E320" s="131"/>
    </row>
    <row r="321" ht="14.25" customHeight="1">
      <c r="E321" s="131"/>
    </row>
    <row r="322" ht="14.25" customHeight="1">
      <c r="E322" s="131"/>
    </row>
    <row r="323" ht="14.25" customHeight="1">
      <c r="E323" s="131"/>
    </row>
    <row r="324" ht="14.25" customHeight="1">
      <c r="E324" s="131"/>
    </row>
    <row r="325" ht="14.25" customHeight="1">
      <c r="E325" s="131"/>
    </row>
    <row r="326" ht="14.25" customHeight="1">
      <c r="E326" s="131"/>
    </row>
    <row r="327" ht="14.25" customHeight="1">
      <c r="E327" s="131"/>
    </row>
    <row r="328" ht="14.25" customHeight="1">
      <c r="E328" s="131"/>
    </row>
    <row r="329" ht="14.25" customHeight="1">
      <c r="E329" s="131"/>
    </row>
    <row r="330" ht="14.25" customHeight="1">
      <c r="E330" s="131"/>
    </row>
    <row r="331" ht="14.25" customHeight="1">
      <c r="E331" s="131"/>
    </row>
    <row r="332" ht="14.25" customHeight="1">
      <c r="E332" s="131"/>
    </row>
    <row r="333" ht="14.25" customHeight="1">
      <c r="E333" s="131"/>
    </row>
    <row r="334" ht="14.25" customHeight="1">
      <c r="E334" s="131"/>
    </row>
    <row r="335" ht="14.25" customHeight="1">
      <c r="E335" s="131"/>
    </row>
    <row r="336" ht="14.25" customHeight="1">
      <c r="E336" s="131"/>
    </row>
    <row r="337" ht="14.25" customHeight="1">
      <c r="E337" s="131"/>
    </row>
    <row r="338" ht="14.25" customHeight="1">
      <c r="E338" s="131"/>
    </row>
    <row r="339" ht="14.25" customHeight="1">
      <c r="E339" s="131"/>
    </row>
    <row r="340" ht="14.25" customHeight="1">
      <c r="E340" s="131"/>
    </row>
    <row r="341" ht="14.25" customHeight="1">
      <c r="E341" s="131"/>
    </row>
    <row r="342" ht="14.25" customHeight="1">
      <c r="E342" s="131"/>
    </row>
    <row r="343" ht="14.25" customHeight="1">
      <c r="E343" s="131"/>
    </row>
    <row r="344" ht="14.25" customHeight="1">
      <c r="E344" s="131"/>
    </row>
    <row r="345" ht="14.25" customHeight="1">
      <c r="E345" s="131"/>
    </row>
    <row r="346" ht="14.25" customHeight="1">
      <c r="E346" s="131"/>
    </row>
    <row r="347" ht="14.25" customHeight="1">
      <c r="E347" s="131"/>
    </row>
    <row r="348" ht="14.25" customHeight="1">
      <c r="E348" s="131"/>
    </row>
    <row r="349" ht="14.25" customHeight="1">
      <c r="E349" s="131"/>
    </row>
    <row r="350" ht="14.25" customHeight="1">
      <c r="E350" s="131"/>
    </row>
    <row r="351" ht="14.25" customHeight="1">
      <c r="E351" s="131"/>
    </row>
    <row r="352" ht="14.25" customHeight="1">
      <c r="E352" s="131"/>
    </row>
    <row r="353" ht="14.25" customHeight="1">
      <c r="E353" s="131"/>
    </row>
    <row r="354" ht="14.25" customHeight="1">
      <c r="E354" s="131"/>
    </row>
    <row r="355" ht="14.25" customHeight="1">
      <c r="E355" s="131"/>
    </row>
    <row r="356" ht="14.25" customHeight="1">
      <c r="E356" s="131"/>
    </row>
    <row r="357" ht="14.25" customHeight="1">
      <c r="E357" s="131"/>
    </row>
    <row r="358" ht="14.25" customHeight="1">
      <c r="E358" s="131"/>
    </row>
    <row r="359" ht="14.25" customHeight="1">
      <c r="E359" s="131"/>
    </row>
    <row r="360" ht="14.25" customHeight="1">
      <c r="E360" s="131"/>
    </row>
    <row r="361" ht="14.25" customHeight="1">
      <c r="E361" s="131"/>
    </row>
    <row r="362" ht="14.25" customHeight="1">
      <c r="E362" s="131"/>
    </row>
    <row r="363" ht="14.25" customHeight="1">
      <c r="E363" s="131"/>
    </row>
    <row r="364" ht="14.25" customHeight="1">
      <c r="E364" s="131"/>
    </row>
    <row r="365" ht="14.25" customHeight="1">
      <c r="E365" s="131"/>
    </row>
    <row r="366" ht="14.25" customHeight="1">
      <c r="E366" s="131"/>
    </row>
    <row r="367" ht="14.25" customHeight="1">
      <c r="E367" s="131"/>
    </row>
    <row r="368" ht="14.25" customHeight="1">
      <c r="E368" s="131"/>
    </row>
    <row r="369" ht="14.25" customHeight="1">
      <c r="E369" s="131"/>
    </row>
    <row r="370" ht="14.25" customHeight="1">
      <c r="E370" s="131"/>
    </row>
    <row r="371" ht="14.25" customHeight="1">
      <c r="E371" s="131"/>
    </row>
    <row r="372" ht="14.25" customHeight="1">
      <c r="E372" s="131"/>
    </row>
    <row r="373" ht="14.25" customHeight="1">
      <c r="E373" s="131"/>
    </row>
    <row r="374" ht="14.25" customHeight="1">
      <c r="E374" s="131"/>
    </row>
    <row r="375" ht="14.25" customHeight="1">
      <c r="E375" s="131"/>
    </row>
    <row r="376" ht="14.25" customHeight="1">
      <c r="E376" s="131"/>
    </row>
    <row r="377" ht="14.25" customHeight="1">
      <c r="E377" s="131"/>
    </row>
    <row r="378" ht="14.25" customHeight="1">
      <c r="E378" s="131"/>
    </row>
    <row r="379" ht="14.25" customHeight="1">
      <c r="E379" s="131"/>
    </row>
    <row r="380" ht="14.25" customHeight="1">
      <c r="E380" s="131"/>
    </row>
    <row r="381" ht="14.25" customHeight="1">
      <c r="E381" s="131"/>
    </row>
    <row r="382" ht="14.25" customHeight="1">
      <c r="E382" s="131"/>
    </row>
    <row r="383" ht="14.25" customHeight="1">
      <c r="E383" s="131"/>
    </row>
    <row r="384" ht="14.25" customHeight="1">
      <c r="E384" s="131"/>
    </row>
    <row r="385" ht="14.25" customHeight="1">
      <c r="E385" s="131"/>
    </row>
    <row r="386" ht="14.25" customHeight="1">
      <c r="E386" s="131"/>
    </row>
    <row r="387" ht="14.25" customHeight="1">
      <c r="E387" s="131"/>
    </row>
    <row r="388" ht="14.25" customHeight="1">
      <c r="E388" s="131"/>
    </row>
    <row r="389" ht="14.25" customHeight="1">
      <c r="E389" s="131"/>
    </row>
    <row r="390" ht="14.25" customHeight="1">
      <c r="E390" s="131"/>
    </row>
    <row r="391" ht="14.25" customHeight="1">
      <c r="E391" s="131"/>
    </row>
    <row r="392" ht="14.25" customHeight="1">
      <c r="E392" s="131"/>
    </row>
    <row r="393" ht="14.25" customHeight="1">
      <c r="E393" s="131"/>
    </row>
    <row r="394" ht="14.25" customHeight="1">
      <c r="E394" s="131"/>
    </row>
    <row r="395" ht="14.25" customHeight="1">
      <c r="E395" s="131"/>
    </row>
    <row r="396" ht="14.25" customHeight="1">
      <c r="E396" s="131"/>
    </row>
    <row r="397" ht="14.25" customHeight="1">
      <c r="E397" s="131"/>
    </row>
    <row r="398" ht="14.25" customHeight="1">
      <c r="E398" s="131"/>
    </row>
    <row r="399" ht="14.25" customHeight="1">
      <c r="E399" s="131"/>
    </row>
    <row r="400" ht="14.25" customHeight="1">
      <c r="E400" s="131"/>
    </row>
    <row r="401" ht="14.25" customHeight="1">
      <c r="E401" s="131"/>
    </row>
    <row r="402" ht="14.25" customHeight="1">
      <c r="E402" s="131"/>
    </row>
    <row r="403" ht="14.25" customHeight="1">
      <c r="E403" s="131"/>
    </row>
    <row r="404" ht="14.25" customHeight="1">
      <c r="E404" s="131"/>
    </row>
    <row r="405" ht="14.25" customHeight="1">
      <c r="E405" s="131"/>
    </row>
    <row r="406" ht="14.25" customHeight="1">
      <c r="E406" s="131"/>
    </row>
    <row r="407" ht="14.25" customHeight="1">
      <c r="E407" s="131"/>
    </row>
    <row r="408" ht="14.25" customHeight="1">
      <c r="E408" s="131"/>
    </row>
    <row r="409" ht="14.25" customHeight="1">
      <c r="E409" s="131"/>
    </row>
    <row r="410" ht="14.25" customHeight="1">
      <c r="E410" s="131"/>
    </row>
    <row r="411" ht="14.25" customHeight="1">
      <c r="E411" s="131"/>
    </row>
    <row r="412" ht="14.25" customHeight="1">
      <c r="E412" s="131"/>
    </row>
    <row r="413" ht="14.25" customHeight="1">
      <c r="E413" s="131"/>
    </row>
    <row r="414" ht="14.25" customHeight="1">
      <c r="E414" s="131"/>
    </row>
    <row r="415" ht="14.25" customHeight="1">
      <c r="E415" s="131"/>
    </row>
    <row r="416" ht="14.25" customHeight="1">
      <c r="E416" s="131"/>
    </row>
    <row r="417" ht="14.25" customHeight="1">
      <c r="E417" s="131"/>
    </row>
    <row r="418" ht="14.25" customHeight="1">
      <c r="E418" s="131"/>
    </row>
    <row r="419" ht="14.25" customHeight="1">
      <c r="E419" s="131"/>
    </row>
    <row r="420" ht="14.25" customHeight="1">
      <c r="E420" s="131"/>
    </row>
    <row r="421" ht="14.25" customHeight="1">
      <c r="E421" s="131"/>
    </row>
    <row r="422" ht="14.25" customHeight="1">
      <c r="E422" s="131"/>
    </row>
    <row r="423" ht="14.25" customHeight="1">
      <c r="E423" s="131"/>
    </row>
    <row r="424" ht="14.25" customHeight="1">
      <c r="E424" s="131"/>
    </row>
    <row r="425" ht="14.25" customHeight="1">
      <c r="E425" s="131"/>
    </row>
    <row r="426" ht="14.25" customHeight="1">
      <c r="E426" s="131"/>
    </row>
    <row r="427" ht="14.25" customHeight="1">
      <c r="E427" s="131"/>
    </row>
    <row r="428" ht="14.25" customHeight="1">
      <c r="E428" s="131"/>
    </row>
    <row r="429" ht="14.25" customHeight="1">
      <c r="E429" s="131"/>
    </row>
    <row r="430" ht="14.25" customHeight="1">
      <c r="E430" s="131"/>
    </row>
    <row r="431" ht="14.25" customHeight="1">
      <c r="E431" s="131"/>
    </row>
    <row r="432" ht="14.25" customHeight="1">
      <c r="E432" s="131"/>
    </row>
    <row r="433" ht="14.25" customHeight="1">
      <c r="E433" s="131"/>
    </row>
    <row r="434" ht="14.25" customHeight="1">
      <c r="E434" s="131"/>
    </row>
    <row r="435" ht="14.25" customHeight="1">
      <c r="E435" s="131"/>
    </row>
    <row r="436" ht="14.25" customHeight="1">
      <c r="E436" s="131"/>
    </row>
    <row r="437" ht="14.25" customHeight="1">
      <c r="E437" s="131"/>
    </row>
    <row r="438" ht="14.25" customHeight="1">
      <c r="E438" s="131"/>
    </row>
    <row r="439" ht="14.25" customHeight="1">
      <c r="E439" s="131"/>
    </row>
    <row r="440" ht="14.25" customHeight="1">
      <c r="E440" s="131"/>
    </row>
    <row r="441" ht="14.25" customHeight="1">
      <c r="E441" s="131"/>
    </row>
    <row r="442" ht="14.25" customHeight="1">
      <c r="E442" s="131"/>
    </row>
    <row r="443" ht="14.25" customHeight="1">
      <c r="E443" s="131"/>
    </row>
    <row r="444" ht="14.25" customHeight="1">
      <c r="E444" s="131"/>
    </row>
    <row r="445" ht="14.25" customHeight="1">
      <c r="E445" s="131"/>
    </row>
    <row r="446" ht="14.25" customHeight="1">
      <c r="E446" s="131"/>
    </row>
    <row r="447" ht="14.25" customHeight="1">
      <c r="E447" s="131"/>
    </row>
    <row r="448" ht="14.25" customHeight="1">
      <c r="E448" s="131"/>
    </row>
    <row r="449" ht="14.25" customHeight="1">
      <c r="E449" s="131"/>
    </row>
    <row r="450" ht="14.25" customHeight="1">
      <c r="E450" s="131"/>
    </row>
    <row r="451" ht="14.25" customHeight="1">
      <c r="E451" s="131"/>
    </row>
    <row r="452" ht="14.25" customHeight="1">
      <c r="E452" s="131"/>
    </row>
    <row r="453" ht="14.25" customHeight="1">
      <c r="E453" s="131"/>
    </row>
    <row r="454" ht="14.25" customHeight="1">
      <c r="E454" s="131"/>
    </row>
    <row r="455" ht="14.25" customHeight="1">
      <c r="E455" s="131"/>
    </row>
    <row r="456" ht="14.25" customHeight="1">
      <c r="E456" s="131"/>
    </row>
    <row r="457" ht="14.25" customHeight="1">
      <c r="E457" s="131"/>
    </row>
    <row r="458" ht="14.25" customHeight="1">
      <c r="E458" s="131"/>
    </row>
    <row r="459" ht="14.25" customHeight="1">
      <c r="E459" s="131"/>
    </row>
    <row r="460" ht="14.25" customHeight="1">
      <c r="E460" s="131"/>
    </row>
    <row r="461" ht="14.25" customHeight="1">
      <c r="E461" s="131"/>
    </row>
    <row r="462" ht="14.25" customHeight="1">
      <c r="E462" s="131"/>
    </row>
    <row r="463" ht="14.25" customHeight="1">
      <c r="E463" s="131"/>
    </row>
    <row r="464" ht="14.25" customHeight="1">
      <c r="E464" s="131"/>
    </row>
    <row r="465" ht="14.25" customHeight="1">
      <c r="E465" s="131"/>
    </row>
    <row r="466" ht="14.25" customHeight="1">
      <c r="E466" s="131"/>
    </row>
    <row r="467" ht="14.25" customHeight="1">
      <c r="E467" s="131"/>
    </row>
    <row r="468" ht="14.25" customHeight="1">
      <c r="E468" s="131"/>
    </row>
    <row r="469" ht="14.25" customHeight="1">
      <c r="E469" s="131"/>
    </row>
    <row r="470" ht="14.25" customHeight="1">
      <c r="E470" s="131"/>
    </row>
    <row r="471" ht="14.25" customHeight="1">
      <c r="E471" s="131"/>
    </row>
    <row r="472" ht="14.25" customHeight="1">
      <c r="E472" s="131"/>
    </row>
    <row r="473" ht="14.25" customHeight="1">
      <c r="E473" s="131"/>
    </row>
    <row r="474" ht="14.25" customHeight="1">
      <c r="E474" s="131"/>
    </row>
    <row r="475" ht="14.25" customHeight="1">
      <c r="E475" s="131"/>
    </row>
    <row r="476" ht="14.25" customHeight="1">
      <c r="E476" s="131"/>
    </row>
    <row r="477" ht="14.25" customHeight="1">
      <c r="E477" s="131"/>
    </row>
    <row r="478" ht="14.25" customHeight="1">
      <c r="E478" s="131"/>
    </row>
    <row r="479" ht="14.25" customHeight="1">
      <c r="E479" s="131"/>
    </row>
    <row r="480" ht="14.25" customHeight="1">
      <c r="E480" s="131"/>
    </row>
    <row r="481" ht="14.25" customHeight="1">
      <c r="E481" s="131"/>
    </row>
    <row r="482" ht="14.25" customHeight="1">
      <c r="E482" s="131"/>
    </row>
    <row r="483" ht="14.25" customHeight="1">
      <c r="E483" s="131"/>
    </row>
    <row r="484" ht="14.25" customHeight="1">
      <c r="E484" s="131"/>
    </row>
    <row r="485" ht="14.25" customHeight="1">
      <c r="E485" s="131"/>
    </row>
    <row r="486" ht="14.25" customHeight="1">
      <c r="E486" s="131"/>
    </row>
    <row r="487" ht="14.25" customHeight="1">
      <c r="E487" s="131"/>
    </row>
    <row r="488" ht="14.25" customHeight="1">
      <c r="E488" s="131"/>
    </row>
    <row r="489" ht="14.25" customHeight="1">
      <c r="E489" s="131"/>
    </row>
    <row r="490" ht="14.25" customHeight="1">
      <c r="E490" s="131"/>
    </row>
    <row r="491" ht="14.25" customHeight="1">
      <c r="E491" s="131"/>
    </row>
    <row r="492" ht="14.25" customHeight="1">
      <c r="E492" s="131"/>
    </row>
    <row r="493" ht="14.25" customHeight="1">
      <c r="E493" s="131"/>
    </row>
    <row r="494" ht="14.25" customHeight="1">
      <c r="E494" s="131"/>
    </row>
    <row r="495" ht="14.25" customHeight="1">
      <c r="E495" s="131"/>
    </row>
    <row r="496" ht="14.25" customHeight="1">
      <c r="E496" s="131"/>
    </row>
    <row r="497" ht="14.25" customHeight="1">
      <c r="E497" s="131"/>
    </row>
    <row r="498" ht="14.25" customHeight="1">
      <c r="E498" s="131"/>
    </row>
    <row r="499" ht="14.25" customHeight="1">
      <c r="E499" s="131"/>
    </row>
    <row r="500" ht="14.25" customHeight="1">
      <c r="E500" s="131"/>
    </row>
    <row r="501" ht="14.25" customHeight="1">
      <c r="E501" s="131"/>
    </row>
    <row r="502" ht="14.25" customHeight="1">
      <c r="E502" s="131"/>
    </row>
    <row r="503" ht="14.25" customHeight="1">
      <c r="E503" s="131"/>
    </row>
    <row r="504" ht="14.25" customHeight="1">
      <c r="E504" s="131"/>
    </row>
    <row r="505" ht="14.25" customHeight="1">
      <c r="E505" s="131"/>
    </row>
    <row r="506" ht="14.25" customHeight="1">
      <c r="E506" s="131"/>
    </row>
    <row r="507" ht="14.25" customHeight="1">
      <c r="E507" s="131"/>
    </row>
    <row r="508" ht="14.25" customHeight="1">
      <c r="E508" s="131"/>
    </row>
    <row r="509" ht="14.25" customHeight="1">
      <c r="E509" s="131"/>
    </row>
    <row r="510" ht="14.25" customHeight="1">
      <c r="E510" s="131"/>
    </row>
    <row r="511" ht="14.25" customHeight="1">
      <c r="E511" s="131"/>
    </row>
    <row r="512" ht="14.25" customHeight="1">
      <c r="E512" s="131"/>
    </row>
    <row r="513" ht="14.25" customHeight="1">
      <c r="E513" s="131"/>
    </row>
    <row r="514" ht="14.25" customHeight="1">
      <c r="E514" s="131"/>
    </row>
    <row r="515" ht="14.25" customHeight="1">
      <c r="E515" s="131"/>
    </row>
    <row r="516" ht="14.25" customHeight="1">
      <c r="E516" s="131"/>
    </row>
    <row r="517" ht="14.25" customHeight="1">
      <c r="E517" s="131"/>
    </row>
    <row r="518" ht="14.25" customHeight="1">
      <c r="E518" s="131"/>
    </row>
    <row r="519" ht="14.25" customHeight="1">
      <c r="E519" s="131"/>
    </row>
    <row r="520" ht="14.25" customHeight="1">
      <c r="E520" s="131"/>
    </row>
    <row r="521" ht="14.25" customHeight="1">
      <c r="E521" s="131"/>
    </row>
    <row r="522" ht="14.25" customHeight="1">
      <c r="E522" s="131"/>
    </row>
    <row r="523" ht="14.25" customHeight="1">
      <c r="E523" s="131"/>
    </row>
    <row r="524" ht="14.25" customHeight="1">
      <c r="E524" s="131"/>
    </row>
    <row r="525" ht="14.25" customHeight="1">
      <c r="E525" s="131"/>
    </row>
    <row r="526" ht="14.25" customHeight="1">
      <c r="E526" s="131"/>
    </row>
    <row r="527" ht="14.25" customHeight="1">
      <c r="E527" s="131"/>
    </row>
    <row r="528" ht="14.25" customHeight="1">
      <c r="E528" s="131"/>
    </row>
    <row r="529" ht="14.25" customHeight="1">
      <c r="E529" s="131"/>
    </row>
    <row r="530" ht="14.25" customHeight="1">
      <c r="E530" s="131"/>
    </row>
    <row r="531" ht="14.25" customHeight="1">
      <c r="E531" s="131"/>
    </row>
    <row r="532" ht="14.25" customHeight="1">
      <c r="E532" s="131"/>
    </row>
    <row r="533" ht="14.25" customHeight="1">
      <c r="E533" s="131"/>
    </row>
    <row r="534" ht="14.25" customHeight="1">
      <c r="E534" s="131"/>
    </row>
    <row r="535" ht="14.25" customHeight="1">
      <c r="E535" s="131"/>
    </row>
    <row r="536" ht="14.25" customHeight="1">
      <c r="E536" s="131"/>
    </row>
    <row r="537" ht="14.25" customHeight="1">
      <c r="E537" s="131"/>
    </row>
    <row r="538" ht="14.25" customHeight="1">
      <c r="E538" s="131"/>
    </row>
    <row r="539" ht="14.25" customHeight="1">
      <c r="E539" s="131"/>
    </row>
    <row r="540" ht="14.25" customHeight="1">
      <c r="E540" s="131"/>
    </row>
    <row r="541" ht="14.25" customHeight="1">
      <c r="E541" s="131"/>
    </row>
    <row r="542" ht="14.25" customHeight="1">
      <c r="E542" s="131"/>
    </row>
    <row r="543" ht="14.25" customHeight="1">
      <c r="E543" s="131"/>
    </row>
    <row r="544" ht="14.25" customHeight="1">
      <c r="E544" s="131"/>
    </row>
    <row r="545" ht="14.25" customHeight="1">
      <c r="E545" s="131"/>
    </row>
    <row r="546" ht="14.25" customHeight="1">
      <c r="E546" s="131"/>
    </row>
    <row r="547" ht="14.25" customHeight="1">
      <c r="E547" s="131"/>
    </row>
    <row r="548" ht="14.25" customHeight="1">
      <c r="E548" s="131"/>
    </row>
    <row r="549" ht="14.25" customHeight="1">
      <c r="E549" s="131"/>
    </row>
    <row r="550" ht="14.25" customHeight="1">
      <c r="E550" s="131"/>
    </row>
    <row r="551" ht="14.25" customHeight="1">
      <c r="E551" s="131"/>
    </row>
    <row r="552" ht="14.25" customHeight="1">
      <c r="E552" s="131"/>
    </row>
    <row r="553" ht="14.25" customHeight="1">
      <c r="E553" s="131"/>
    </row>
    <row r="554" ht="14.25" customHeight="1">
      <c r="E554" s="131"/>
    </row>
    <row r="555" ht="14.25" customHeight="1">
      <c r="E555" s="131"/>
    </row>
    <row r="556" ht="14.25" customHeight="1">
      <c r="E556" s="131"/>
    </row>
    <row r="557" ht="14.25" customHeight="1">
      <c r="E557" s="131"/>
    </row>
    <row r="558" ht="14.25" customHeight="1">
      <c r="E558" s="131"/>
    </row>
    <row r="559" ht="14.25" customHeight="1">
      <c r="E559" s="131"/>
    </row>
    <row r="560" ht="14.25" customHeight="1">
      <c r="E560" s="131"/>
    </row>
    <row r="561" ht="14.25" customHeight="1">
      <c r="E561" s="131"/>
    </row>
    <row r="562" ht="14.25" customHeight="1">
      <c r="E562" s="131"/>
    </row>
    <row r="563" ht="14.25" customHeight="1">
      <c r="E563" s="131"/>
    </row>
    <row r="564" ht="14.25" customHeight="1">
      <c r="E564" s="131"/>
    </row>
    <row r="565" ht="14.25" customHeight="1">
      <c r="E565" s="131"/>
    </row>
    <row r="566" ht="14.25" customHeight="1">
      <c r="E566" s="131"/>
    </row>
    <row r="567" ht="14.25" customHeight="1">
      <c r="E567" s="131"/>
    </row>
    <row r="568" ht="14.25" customHeight="1">
      <c r="E568" s="131"/>
    </row>
    <row r="569" ht="14.25" customHeight="1">
      <c r="E569" s="131"/>
    </row>
    <row r="570" ht="14.25" customHeight="1">
      <c r="E570" s="131"/>
    </row>
    <row r="571" ht="14.25" customHeight="1">
      <c r="E571" s="131"/>
    </row>
    <row r="572" ht="14.25" customHeight="1">
      <c r="E572" s="131"/>
    </row>
    <row r="573" ht="14.25" customHeight="1">
      <c r="E573" s="131"/>
    </row>
    <row r="574" ht="14.25" customHeight="1">
      <c r="E574" s="131"/>
    </row>
    <row r="575" ht="14.25" customHeight="1">
      <c r="E575" s="131"/>
    </row>
    <row r="576" ht="14.25" customHeight="1">
      <c r="E576" s="131"/>
    </row>
    <row r="577" ht="14.25" customHeight="1">
      <c r="E577" s="131"/>
    </row>
    <row r="578" ht="14.25" customHeight="1">
      <c r="E578" s="131"/>
    </row>
    <row r="579" ht="14.25" customHeight="1">
      <c r="E579" s="131"/>
    </row>
    <row r="580" ht="14.25" customHeight="1">
      <c r="E580" s="131"/>
    </row>
    <row r="581" ht="14.25" customHeight="1">
      <c r="E581" s="131"/>
    </row>
    <row r="582" ht="14.25" customHeight="1">
      <c r="E582" s="131"/>
    </row>
    <row r="583" ht="14.25" customHeight="1">
      <c r="E583" s="131"/>
    </row>
    <row r="584" ht="14.25" customHeight="1">
      <c r="E584" s="131"/>
    </row>
    <row r="585" ht="14.25" customHeight="1">
      <c r="E585" s="131"/>
    </row>
    <row r="586" ht="14.25" customHeight="1">
      <c r="E586" s="131"/>
    </row>
    <row r="587" ht="14.25" customHeight="1">
      <c r="E587" s="131"/>
    </row>
    <row r="588" ht="14.25" customHeight="1">
      <c r="E588" s="131"/>
    </row>
    <row r="589" ht="14.25" customHeight="1">
      <c r="E589" s="131"/>
    </row>
    <row r="590" ht="14.25" customHeight="1">
      <c r="E590" s="131"/>
    </row>
    <row r="591" ht="14.25" customHeight="1">
      <c r="E591" s="131"/>
    </row>
    <row r="592" ht="14.25" customHeight="1">
      <c r="E592" s="131"/>
    </row>
    <row r="593" ht="14.25" customHeight="1">
      <c r="E593" s="131"/>
    </row>
    <row r="594" ht="14.25" customHeight="1">
      <c r="E594" s="131"/>
    </row>
    <row r="595" ht="14.25" customHeight="1">
      <c r="E595" s="131"/>
    </row>
    <row r="596" ht="14.25" customHeight="1">
      <c r="E596" s="131"/>
    </row>
    <row r="597" ht="14.25" customHeight="1">
      <c r="E597" s="131"/>
    </row>
    <row r="598" ht="14.25" customHeight="1">
      <c r="E598" s="131"/>
    </row>
    <row r="599" ht="14.25" customHeight="1">
      <c r="E599" s="131"/>
    </row>
    <row r="600" ht="14.25" customHeight="1">
      <c r="E600" s="131"/>
    </row>
    <row r="601" ht="14.25" customHeight="1">
      <c r="E601" s="131"/>
    </row>
    <row r="602" ht="14.25" customHeight="1">
      <c r="E602" s="131"/>
    </row>
    <row r="603" ht="14.25" customHeight="1">
      <c r="E603" s="131"/>
    </row>
    <row r="604" ht="14.25" customHeight="1">
      <c r="E604" s="131"/>
    </row>
    <row r="605" ht="14.25" customHeight="1">
      <c r="E605" s="131"/>
    </row>
    <row r="606" ht="14.25" customHeight="1">
      <c r="E606" s="131"/>
    </row>
    <row r="607" ht="14.25" customHeight="1">
      <c r="E607" s="131"/>
    </row>
    <row r="608" ht="14.25" customHeight="1">
      <c r="E608" s="131"/>
    </row>
    <row r="609" ht="14.25" customHeight="1">
      <c r="E609" s="131"/>
    </row>
    <row r="610" ht="14.25" customHeight="1">
      <c r="E610" s="131"/>
    </row>
    <row r="611" ht="14.25" customHeight="1">
      <c r="E611" s="131"/>
    </row>
    <row r="612" ht="14.25" customHeight="1">
      <c r="E612" s="131"/>
    </row>
    <row r="613" ht="14.25" customHeight="1">
      <c r="E613" s="131"/>
    </row>
    <row r="614" ht="14.25" customHeight="1">
      <c r="E614" s="131"/>
    </row>
    <row r="615" ht="14.25" customHeight="1">
      <c r="E615" s="131"/>
    </row>
    <row r="616" ht="14.25" customHeight="1">
      <c r="E616" s="131"/>
    </row>
    <row r="617" ht="14.25" customHeight="1">
      <c r="E617" s="131"/>
    </row>
    <row r="618" ht="14.25" customHeight="1">
      <c r="E618" s="131"/>
    </row>
    <row r="619" ht="14.25" customHeight="1">
      <c r="E619" s="131"/>
    </row>
    <row r="620" ht="14.25" customHeight="1">
      <c r="E620" s="131"/>
    </row>
    <row r="621" ht="14.25" customHeight="1">
      <c r="E621" s="131"/>
    </row>
    <row r="622" ht="14.25" customHeight="1">
      <c r="E622" s="131"/>
    </row>
    <row r="623" ht="14.25" customHeight="1">
      <c r="E623" s="131"/>
    </row>
    <row r="624" ht="14.25" customHeight="1">
      <c r="E624" s="131"/>
    </row>
    <row r="625" ht="14.25" customHeight="1">
      <c r="E625" s="131"/>
    </row>
    <row r="626" ht="14.25" customHeight="1">
      <c r="E626" s="131"/>
    </row>
    <row r="627" ht="14.25" customHeight="1">
      <c r="E627" s="131"/>
    </row>
    <row r="628" ht="14.25" customHeight="1">
      <c r="E628" s="131"/>
    </row>
    <row r="629" ht="14.25" customHeight="1">
      <c r="E629" s="131"/>
    </row>
    <row r="630" ht="14.25" customHeight="1">
      <c r="E630" s="131"/>
    </row>
    <row r="631" ht="14.25" customHeight="1">
      <c r="E631" s="131"/>
    </row>
    <row r="632" ht="14.25" customHeight="1">
      <c r="E632" s="131"/>
    </row>
    <row r="633" ht="14.25" customHeight="1">
      <c r="E633" s="131"/>
    </row>
    <row r="634" ht="14.25" customHeight="1">
      <c r="E634" s="131"/>
    </row>
    <row r="635" ht="14.25" customHeight="1">
      <c r="E635" s="131"/>
    </row>
    <row r="636" ht="14.25" customHeight="1">
      <c r="E636" s="131"/>
    </row>
    <row r="637" ht="14.25" customHeight="1">
      <c r="E637" s="131"/>
    </row>
    <row r="638" ht="14.25" customHeight="1">
      <c r="E638" s="131"/>
    </row>
    <row r="639" ht="14.25" customHeight="1">
      <c r="E639" s="131"/>
    </row>
    <row r="640" ht="14.25" customHeight="1">
      <c r="E640" s="131"/>
    </row>
    <row r="641" ht="14.25" customHeight="1">
      <c r="E641" s="131"/>
    </row>
    <row r="642" ht="14.25" customHeight="1">
      <c r="E642" s="131"/>
    </row>
    <row r="643" ht="14.25" customHeight="1">
      <c r="E643" s="131"/>
    </row>
    <row r="644" ht="14.25" customHeight="1">
      <c r="E644" s="131"/>
    </row>
    <row r="645" ht="14.25" customHeight="1">
      <c r="E645" s="131"/>
    </row>
    <row r="646" ht="14.25" customHeight="1">
      <c r="E646" s="131"/>
    </row>
    <row r="647" ht="14.25" customHeight="1">
      <c r="E647" s="131"/>
    </row>
    <row r="648" ht="14.25" customHeight="1">
      <c r="E648" s="131"/>
    </row>
    <row r="649" ht="14.25" customHeight="1">
      <c r="E649" s="131"/>
    </row>
    <row r="650" ht="14.25" customHeight="1">
      <c r="E650" s="131"/>
    </row>
    <row r="651" ht="14.25" customHeight="1">
      <c r="E651" s="131"/>
    </row>
    <row r="652" ht="14.25" customHeight="1">
      <c r="E652" s="131"/>
    </row>
    <row r="653" ht="14.25" customHeight="1">
      <c r="E653" s="131"/>
    </row>
    <row r="654" ht="14.25" customHeight="1">
      <c r="E654" s="131"/>
    </row>
    <row r="655" ht="14.25" customHeight="1">
      <c r="E655" s="131"/>
    </row>
    <row r="656" ht="14.25" customHeight="1">
      <c r="E656" s="131"/>
    </row>
    <row r="657" ht="14.25" customHeight="1">
      <c r="E657" s="131"/>
    </row>
    <row r="658" ht="14.25" customHeight="1">
      <c r="E658" s="131"/>
    </row>
    <row r="659" ht="14.25" customHeight="1">
      <c r="E659" s="131"/>
    </row>
    <row r="660" ht="14.25" customHeight="1">
      <c r="E660" s="131"/>
    </row>
    <row r="661" ht="14.25" customHeight="1">
      <c r="E661" s="131"/>
    </row>
    <row r="662" ht="14.25" customHeight="1">
      <c r="E662" s="131"/>
    </row>
    <row r="663" ht="14.25" customHeight="1">
      <c r="E663" s="131"/>
    </row>
    <row r="664" ht="14.25" customHeight="1">
      <c r="E664" s="131"/>
    </row>
    <row r="665" ht="14.25" customHeight="1">
      <c r="E665" s="131"/>
    </row>
    <row r="666" ht="14.25" customHeight="1">
      <c r="E666" s="131"/>
    </row>
    <row r="667" ht="14.25" customHeight="1">
      <c r="E667" s="131"/>
    </row>
    <row r="668" ht="14.25" customHeight="1">
      <c r="E668" s="131"/>
    </row>
    <row r="669" ht="14.25" customHeight="1">
      <c r="E669" s="131"/>
    </row>
    <row r="670" ht="14.25" customHeight="1">
      <c r="E670" s="131"/>
    </row>
    <row r="671" ht="14.25" customHeight="1">
      <c r="E671" s="131"/>
    </row>
    <row r="672" ht="14.25" customHeight="1">
      <c r="E672" s="131"/>
    </row>
    <row r="673" ht="14.25" customHeight="1">
      <c r="E673" s="131"/>
    </row>
    <row r="674" ht="14.25" customHeight="1">
      <c r="E674" s="131"/>
    </row>
    <row r="675" ht="14.25" customHeight="1">
      <c r="E675" s="131"/>
    </row>
    <row r="676" ht="14.25" customHeight="1">
      <c r="E676" s="131"/>
    </row>
    <row r="677" ht="14.25" customHeight="1">
      <c r="E677" s="131"/>
    </row>
    <row r="678" ht="14.25" customHeight="1">
      <c r="E678" s="131"/>
    </row>
    <row r="679" ht="14.25" customHeight="1">
      <c r="E679" s="131"/>
    </row>
    <row r="680" ht="14.25" customHeight="1">
      <c r="E680" s="131"/>
    </row>
    <row r="681" ht="14.25" customHeight="1">
      <c r="E681" s="131"/>
    </row>
    <row r="682" ht="14.25" customHeight="1">
      <c r="E682" s="131"/>
    </row>
    <row r="683" ht="14.25" customHeight="1">
      <c r="E683" s="131"/>
    </row>
    <row r="684" ht="14.25" customHeight="1">
      <c r="E684" s="131"/>
    </row>
    <row r="685" ht="14.25" customHeight="1">
      <c r="E685" s="131"/>
    </row>
    <row r="686" ht="14.25" customHeight="1">
      <c r="E686" s="131"/>
    </row>
    <row r="687" ht="14.25" customHeight="1">
      <c r="E687" s="131"/>
    </row>
    <row r="688" ht="14.25" customHeight="1">
      <c r="E688" s="131"/>
    </row>
    <row r="689" ht="14.25" customHeight="1">
      <c r="E689" s="131"/>
    </row>
    <row r="690" ht="14.25" customHeight="1">
      <c r="E690" s="131"/>
    </row>
    <row r="691" ht="14.25" customHeight="1">
      <c r="E691" s="131"/>
    </row>
    <row r="692" ht="14.25" customHeight="1">
      <c r="E692" s="131"/>
    </row>
    <row r="693" ht="14.25" customHeight="1">
      <c r="E693" s="131"/>
    </row>
    <row r="694" ht="14.25" customHeight="1">
      <c r="E694" s="131"/>
    </row>
    <row r="695" ht="14.25" customHeight="1">
      <c r="E695" s="131"/>
    </row>
    <row r="696" ht="14.25" customHeight="1">
      <c r="E696" s="131"/>
    </row>
    <row r="697" ht="14.25" customHeight="1">
      <c r="E697" s="131"/>
    </row>
    <row r="698" ht="14.25" customHeight="1">
      <c r="E698" s="131"/>
    </row>
    <row r="699" ht="14.25" customHeight="1">
      <c r="E699" s="131"/>
    </row>
    <row r="700" ht="14.25" customHeight="1">
      <c r="E700" s="131"/>
    </row>
    <row r="701" ht="14.25" customHeight="1">
      <c r="E701" s="131"/>
    </row>
    <row r="702" ht="14.25" customHeight="1">
      <c r="E702" s="131"/>
    </row>
    <row r="703" ht="14.25" customHeight="1">
      <c r="E703" s="131"/>
    </row>
    <row r="704" ht="14.25" customHeight="1">
      <c r="E704" s="131"/>
    </row>
    <row r="705" ht="14.25" customHeight="1">
      <c r="E705" s="131"/>
    </row>
    <row r="706" ht="14.25" customHeight="1">
      <c r="E706" s="131"/>
    </row>
    <row r="707" ht="14.25" customHeight="1">
      <c r="E707" s="131"/>
    </row>
    <row r="708" ht="14.25" customHeight="1">
      <c r="E708" s="131"/>
    </row>
    <row r="709" ht="14.25" customHeight="1">
      <c r="E709" s="131"/>
    </row>
    <row r="710" ht="14.25" customHeight="1">
      <c r="E710" s="131"/>
    </row>
    <row r="711" ht="14.25" customHeight="1">
      <c r="E711" s="131"/>
    </row>
    <row r="712" ht="14.25" customHeight="1">
      <c r="E712" s="131"/>
    </row>
    <row r="713" ht="14.25" customHeight="1">
      <c r="E713" s="131"/>
    </row>
    <row r="714" ht="14.25" customHeight="1">
      <c r="E714" s="131"/>
    </row>
    <row r="715" ht="14.25" customHeight="1">
      <c r="E715" s="131"/>
    </row>
    <row r="716" ht="14.25" customHeight="1">
      <c r="E716" s="131"/>
    </row>
    <row r="717" ht="14.25" customHeight="1">
      <c r="E717" s="131"/>
    </row>
    <row r="718" ht="14.25" customHeight="1">
      <c r="E718" s="131"/>
    </row>
    <row r="719" ht="14.25" customHeight="1">
      <c r="E719" s="131"/>
    </row>
    <row r="720" ht="14.25" customHeight="1">
      <c r="E720" s="131"/>
    </row>
    <row r="721" ht="14.25" customHeight="1">
      <c r="E721" s="131"/>
    </row>
    <row r="722" ht="14.25" customHeight="1">
      <c r="E722" s="131"/>
    </row>
    <row r="723" ht="14.25" customHeight="1">
      <c r="E723" s="131"/>
    </row>
    <row r="724" ht="14.25" customHeight="1">
      <c r="E724" s="131"/>
    </row>
    <row r="725" ht="14.25" customHeight="1">
      <c r="E725" s="131"/>
    </row>
    <row r="726" ht="14.25" customHeight="1">
      <c r="E726" s="131"/>
    </row>
    <row r="727" ht="14.25" customHeight="1">
      <c r="E727" s="131"/>
    </row>
    <row r="728" ht="14.25" customHeight="1">
      <c r="E728" s="131"/>
    </row>
    <row r="729" ht="14.25" customHeight="1">
      <c r="E729" s="131"/>
    </row>
    <row r="730" ht="14.25" customHeight="1">
      <c r="E730" s="131"/>
    </row>
    <row r="731" ht="14.25" customHeight="1">
      <c r="E731" s="131"/>
    </row>
    <row r="732" ht="14.25" customHeight="1">
      <c r="E732" s="131"/>
    </row>
    <row r="733" ht="14.25" customHeight="1">
      <c r="E733" s="131"/>
    </row>
    <row r="734" ht="14.25" customHeight="1">
      <c r="E734" s="131"/>
    </row>
    <row r="735" ht="14.25" customHeight="1">
      <c r="E735" s="131"/>
    </row>
    <row r="736" ht="14.25" customHeight="1">
      <c r="E736" s="131"/>
    </row>
    <row r="737" ht="14.25" customHeight="1">
      <c r="E737" s="131"/>
    </row>
    <row r="738" ht="14.25" customHeight="1">
      <c r="E738" s="131"/>
    </row>
    <row r="739" ht="14.25" customHeight="1">
      <c r="E739" s="131"/>
    </row>
    <row r="740" ht="14.25" customHeight="1">
      <c r="E740" s="131"/>
    </row>
    <row r="741" ht="14.25" customHeight="1">
      <c r="E741" s="131"/>
    </row>
    <row r="742" ht="14.25" customHeight="1">
      <c r="E742" s="131"/>
    </row>
    <row r="743" ht="14.25" customHeight="1">
      <c r="E743" s="131"/>
    </row>
    <row r="744" ht="14.25" customHeight="1">
      <c r="E744" s="131"/>
    </row>
    <row r="745" ht="14.25" customHeight="1">
      <c r="E745" s="131"/>
    </row>
    <row r="746" ht="14.25" customHeight="1">
      <c r="E746" s="131"/>
    </row>
    <row r="747" ht="14.25" customHeight="1">
      <c r="E747" s="131"/>
    </row>
    <row r="748" ht="14.25" customHeight="1">
      <c r="E748" s="131"/>
    </row>
    <row r="749" ht="14.25" customHeight="1">
      <c r="E749" s="131"/>
    </row>
    <row r="750" ht="14.25" customHeight="1">
      <c r="E750" s="131"/>
    </row>
    <row r="751" ht="14.25" customHeight="1">
      <c r="E751" s="131"/>
    </row>
    <row r="752" ht="14.25" customHeight="1">
      <c r="E752" s="131"/>
    </row>
    <row r="753" ht="14.25" customHeight="1">
      <c r="E753" s="131"/>
    </row>
    <row r="754" ht="14.25" customHeight="1">
      <c r="E754" s="131"/>
    </row>
    <row r="755" ht="14.25" customHeight="1">
      <c r="E755" s="131"/>
    </row>
    <row r="756" ht="14.25" customHeight="1">
      <c r="E756" s="131"/>
    </row>
    <row r="757" ht="14.25" customHeight="1">
      <c r="E757" s="131"/>
    </row>
    <row r="758" ht="14.25" customHeight="1">
      <c r="E758" s="131"/>
    </row>
    <row r="759" ht="14.25" customHeight="1">
      <c r="E759" s="131"/>
    </row>
    <row r="760" ht="14.25" customHeight="1">
      <c r="E760" s="131"/>
    </row>
    <row r="761" ht="14.25" customHeight="1">
      <c r="E761" s="131"/>
    </row>
    <row r="762" ht="14.25" customHeight="1">
      <c r="E762" s="131"/>
    </row>
    <row r="763" ht="14.25" customHeight="1">
      <c r="E763" s="131"/>
    </row>
    <row r="764" ht="14.25" customHeight="1">
      <c r="E764" s="131"/>
    </row>
    <row r="765" ht="14.25" customHeight="1">
      <c r="E765" s="131"/>
    </row>
    <row r="766" ht="14.25" customHeight="1">
      <c r="E766" s="131"/>
    </row>
    <row r="767" ht="14.25" customHeight="1">
      <c r="E767" s="131"/>
    </row>
    <row r="768" ht="14.25" customHeight="1">
      <c r="E768" s="131"/>
    </row>
    <row r="769" ht="14.25" customHeight="1">
      <c r="E769" s="131"/>
    </row>
    <row r="770" ht="14.25" customHeight="1">
      <c r="E770" s="131"/>
    </row>
    <row r="771" ht="14.25" customHeight="1">
      <c r="E771" s="131"/>
    </row>
    <row r="772" ht="14.25" customHeight="1">
      <c r="E772" s="131"/>
    </row>
    <row r="773" ht="14.25" customHeight="1">
      <c r="E773" s="131"/>
    </row>
    <row r="774" ht="14.25" customHeight="1">
      <c r="E774" s="131"/>
    </row>
    <row r="775" ht="14.25" customHeight="1">
      <c r="E775" s="131"/>
    </row>
    <row r="776" ht="14.25" customHeight="1">
      <c r="E776" s="131"/>
    </row>
    <row r="777" ht="14.25" customHeight="1">
      <c r="E777" s="131"/>
    </row>
    <row r="778" ht="14.25" customHeight="1">
      <c r="E778" s="131"/>
    </row>
    <row r="779" ht="14.25" customHeight="1">
      <c r="E779" s="131"/>
    </row>
    <row r="780" ht="14.25" customHeight="1">
      <c r="E780" s="131"/>
    </row>
    <row r="781" ht="14.25" customHeight="1">
      <c r="E781" s="131"/>
    </row>
    <row r="782" ht="14.25" customHeight="1">
      <c r="E782" s="131"/>
    </row>
    <row r="783" ht="14.25" customHeight="1">
      <c r="E783" s="131"/>
    </row>
    <row r="784" ht="14.25" customHeight="1">
      <c r="E784" s="131"/>
    </row>
    <row r="785" ht="14.25" customHeight="1">
      <c r="E785" s="131"/>
    </row>
    <row r="786" ht="14.25" customHeight="1">
      <c r="E786" s="131"/>
    </row>
    <row r="787" ht="14.25" customHeight="1">
      <c r="E787" s="131"/>
    </row>
    <row r="788" ht="14.25" customHeight="1">
      <c r="E788" s="131"/>
    </row>
    <row r="789" ht="14.25" customHeight="1">
      <c r="E789" s="131"/>
    </row>
    <row r="790" ht="14.25" customHeight="1">
      <c r="E790" s="131"/>
    </row>
    <row r="791" ht="14.25" customHeight="1">
      <c r="E791" s="131"/>
    </row>
    <row r="792" ht="14.25" customHeight="1">
      <c r="E792" s="131"/>
    </row>
    <row r="793" ht="14.25" customHeight="1">
      <c r="E793" s="131"/>
    </row>
    <row r="794" ht="14.25" customHeight="1">
      <c r="E794" s="131"/>
    </row>
    <row r="795" ht="14.25" customHeight="1">
      <c r="E795" s="131"/>
    </row>
    <row r="796" ht="14.25" customHeight="1">
      <c r="E796" s="131"/>
    </row>
    <row r="797" ht="14.25" customHeight="1">
      <c r="E797" s="131"/>
    </row>
    <row r="798" ht="14.25" customHeight="1">
      <c r="E798" s="131"/>
    </row>
    <row r="799" ht="14.25" customHeight="1">
      <c r="E799" s="131"/>
    </row>
    <row r="800" ht="14.25" customHeight="1">
      <c r="E800" s="131"/>
    </row>
    <row r="801" ht="14.25" customHeight="1">
      <c r="E801" s="131"/>
    </row>
    <row r="802" ht="14.25" customHeight="1">
      <c r="E802" s="131"/>
    </row>
    <row r="803" ht="14.25" customHeight="1">
      <c r="E803" s="131"/>
    </row>
    <row r="804" ht="14.25" customHeight="1">
      <c r="E804" s="131"/>
    </row>
    <row r="805" ht="14.25" customHeight="1">
      <c r="E805" s="131"/>
    </row>
    <row r="806" ht="14.25" customHeight="1">
      <c r="E806" s="131"/>
    </row>
    <row r="807" ht="14.25" customHeight="1">
      <c r="E807" s="131"/>
    </row>
    <row r="808" ht="14.25" customHeight="1">
      <c r="E808" s="131"/>
    </row>
    <row r="809" ht="14.25" customHeight="1">
      <c r="E809" s="131"/>
    </row>
    <row r="810" ht="14.25" customHeight="1">
      <c r="E810" s="131"/>
    </row>
    <row r="811" ht="14.25" customHeight="1">
      <c r="E811" s="131"/>
    </row>
    <row r="812" ht="14.25" customHeight="1">
      <c r="E812" s="131"/>
    </row>
    <row r="813" ht="14.25" customHeight="1">
      <c r="E813" s="131"/>
    </row>
    <row r="814" ht="14.25" customHeight="1">
      <c r="E814" s="131"/>
    </row>
    <row r="815" ht="14.25" customHeight="1">
      <c r="E815" s="131"/>
    </row>
    <row r="816" ht="14.25" customHeight="1">
      <c r="E816" s="131"/>
    </row>
    <row r="817" ht="14.25" customHeight="1">
      <c r="E817" s="131"/>
    </row>
    <row r="818" ht="14.25" customHeight="1">
      <c r="E818" s="131"/>
    </row>
    <row r="819" ht="14.25" customHeight="1">
      <c r="E819" s="131"/>
    </row>
    <row r="820" ht="14.25" customHeight="1">
      <c r="E820" s="131"/>
    </row>
    <row r="821" ht="14.25" customHeight="1">
      <c r="E821" s="131"/>
    </row>
    <row r="822" ht="14.25" customHeight="1">
      <c r="E822" s="131"/>
    </row>
    <row r="823" ht="14.25" customHeight="1">
      <c r="E823" s="131"/>
    </row>
    <row r="824" ht="14.25" customHeight="1">
      <c r="E824" s="131"/>
    </row>
    <row r="825" ht="14.25" customHeight="1">
      <c r="E825" s="131"/>
    </row>
    <row r="826" ht="14.25" customHeight="1">
      <c r="E826" s="131"/>
    </row>
    <row r="827" ht="14.25" customHeight="1">
      <c r="E827" s="131"/>
    </row>
    <row r="828" ht="14.25" customHeight="1">
      <c r="E828" s="131"/>
    </row>
    <row r="829" ht="14.25" customHeight="1">
      <c r="E829" s="131"/>
    </row>
    <row r="830" ht="14.25" customHeight="1">
      <c r="E830" s="131"/>
    </row>
    <row r="831" ht="14.25" customHeight="1">
      <c r="E831" s="131"/>
    </row>
    <row r="832" ht="14.25" customHeight="1">
      <c r="E832" s="131"/>
    </row>
    <row r="833" ht="14.25" customHeight="1">
      <c r="E833" s="131"/>
    </row>
    <row r="834" ht="14.25" customHeight="1">
      <c r="E834" s="131"/>
    </row>
    <row r="835" ht="14.25" customHeight="1">
      <c r="E835" s="131"/>
    </row>
    <row r="836" ht="14.25" customHeight="1">
      <c r="E836" s="131"/>
    </row>
    <row r="837" ht="14.25" customHeight="1">
      <c r="E837" s="131"/>
    </row>
    <row r="838" ht="14.25" customHeight="1">
      <c r="E838" s="131"/>
    </row>
    <row r="839" ht="14.25" customHeight="1">
      <c r="E839" s="131"/>
    </row>
    <row r="840" ht="14.25" customHeight="1">
      <c r="E840" s="131"/>
    </row>
    <row r="841" ht="14.25" customHeight="1">
      <c r="E841" s="131"/>
    </row>
    <row r="842" ht="14.25" customHeight="1">
      <c r="E842" s="131"/>
    </row>
    <row r="843" ht="14.25" customHeight="1">
      <c r="E843" s="131"/>
    </row>
    <row r="844" ht="14.25" customHeight="1">
      <c r="E844" s="131"/>
    </row>
    <row r="845" ht="14.25" customHeight="1">
      <c r="E845" s="131"/>
    </row>
    <row r="846" ht="14.25" customHeight="1">
      <c r="E846" s="131"/>
    </row>
    <row r="847" ht="14.25" customHeight="1">
      <c r="E847" s="131"/>
    </row>
    <row r="848" ht="14.25" customHeight="1">
      <c r="E848" s="131"/>
    </row>
    <row r="849" ht="14.25" customHeight="1">
      <c r="E849" s="131"/>
    </row>
    <row r="850" ht="14.25" customHeight="1">
      <c r="E850" s="131"/>
    </row>
    <row r="851" ht="14.25" customHeight="1">
      <c r="E851" s="131"/>
    </row>
    <row r="852" ht="14.25" customHeight="1">
      <c r="E852" s="131"/>
    </row>
    <row r="853" ht="14.25" customHeight="1">
      <c r="E853" s="131"/>
    </row>
    <row r="854" ht="14.25" customHeight="1">
      <c r="E854" s="131"/>
    </row>
    <row r="855" ht="14.25" customHeight="1">
      <c r="E855" s="131"/>
    </row>
    <row r="856" ht="14.25" customHeight="1">
      <c r="E856" s="131"/>
    </row>
    <row r="857" ht="14.25" customHeight="1">
      <c r="E857" s="131"/>
    </row>
    <row r="858" ht="14.25" customHeight="1">
      <c r="E858" s="131"/>
    </row>
    <row r="859" ht="14.25" customHeight="1">
      <c r="E859" s="131"/>
    </row>
    <row r="860" ht="14.25" customHeight="1">
      <c r="E860" s="131"/>
    </row>
    <row r="861" ht="14.25" customHeight="1">
      <c r="E861" s="131"/>
    </row>
    <row r="862" ht="14.25" customHeight="1">
      <c r="E862" s="131"/>
    </row>
    <row r="863" ht="14.25" customHeight="1">
      <c r="E863" s="131"/>
    </row>
    <row r="864" ht="14.25" customHeight="1">
      <c r="E864" s="131"/>
    </row>
    <row r="865" ht="14.25" customHeight="1">
      <c r="E865" s="131"/>
    </row>
    <row r="866" ht="14.25" customHeight="1">
      <c r="E866" s="131"/>
    </row>
    <row r="867" ht="14.25" customHeight="1">
      <c r="E867" s="131"/>
    </row>
    <row r="868" ht="14.25" customHeight="1">
      <c r="E868" s="131"/>
    </row>
    <row r="869" ht="14.25" customHeight="1">
      <c r="E869" s="131"/>
    </row>
    <row r="870" ht="14.25" customHeight="1">
      <c r="E870" s="131"/>
    </row>
    <row r="871" ht="14.25" customHeight="1">
      <c r="E871" s="131"/>
    </row>
    <row r="872" ht="14.25" customHeight="1">
      <c r="E872" s="131"/>
    </row>
    <row r="873" ht="14.25" customHeight="1">
      <c r="E873" s="131"/>
    </row>
    <row r="874" ht="14.25" customHeight="1">
      <c r="E874" s="131"/>
    </row>
    <row r="875" ht="14.25" customHeight="1">
      <c r="E875" s="131"/>
    </row>
    <row r="876" ht="14.25" customHeight="1">
      <c r="E876" s="131"/>
    </row>
    <row r="877" ht="14.25" customHeight="1">
      <c r="E877" s="131"/>
    </row>
    <row r="878" ht="14.25" customHeight="1">
      <c r="E878" s="131"/>
    </row>
    <row r="879" ht="14.25" customHeight="1">
      <c r="E879" s="131"/>
    </row>
    <row r="880" ht="14.25" customHeight="1">
      <c r="E880" s="131"/>
    </row>
    <row r="881" ht="14.25" customHeight="1">
      <c r="E881" s="131"/>
    </row>
    <row r="882" ht="14.25" customHeight="1">
      <c r="E882" s="131"/>
    </row>
    <row r="883" ht="14.25" customHeight="1">
      <c r="E883" s="131"/>
    </row>
    <row r="884" ht="14.25" customHeight="1">
      <c r="E884" s="131"/>
    </row>
    <row r="885" ht="14.25" customHeight="1">
      <c r="E885" s="131"/>
    </row>
    <row r="886" ht="14.25" customHeight="1">
      <c r="E886" s="131"/>
    </row>
    <row r="887" ht="14.25" customHeight="1">
      <c r="E887" s="131"/>
    </row>
    <row r="888" ht="14.25" customHeight="1">
      <c r="E888" s="131"/>
    </row>
    <row r="889" ht="14.25" customHeight="1">
      <c r="E889" s="131"/>
    </row>
    <row r="890" ht="14.25" customHeight="1">
      <c r="E890" s="131"/>
    </row>
    <row r="891" ht="14.25" customHeight="1">
      <c r="E891" s="131"/>
    </row>
    <row r="892" ht="14.25" customHeight="1">
      <c r="E892" s="131"/>
    </row>
    <row r="893" ht="14.25" customHeight="1">
      <c r="E893" s="131"/>
    </row>
    <row r="894" ht="14.25" customHeight="1">
      <c r="E894" s="131"/>
    </row>
    <row r="895" ht="14.25" customHeight="1">
      <c r="E895" s="131"/>
    </row>
    <row r="896" ht="14.25" customHeight="1">
      <c r="E896" s="131"/>
    </row>
    <row r="897" ht="14.25" customHeight="1">
      <c r="E897" s="131"/>
    </row>
    <row r="898" ht="14.25" customHeight="1">
      <c r="E898" s="131"/>
    </row>
    <row r="899" ht="14.25" customHeight="1">
      <c r="E899" s="131"/>
    </row>
    <row r="900" ht="14.25" customHeight="1">
      <c r="E900" s="131"/>
    </row>
    <row r="901" ht="14.25" customHeight="1">
      <c r="E901" s="131"/>
    </row>
    <row r="902" ht="14.25" customHeight="1">
      <c r="E902" s="131"/>
    </row>
    <row r="903" ht="14.25" customHeight="1">
      <c r="E903" s="131"/>
    </row>
    <row r="904" ht="14.25" customHeight="1">
      <c r="E904" s="131"/>
    </row>
    <row r="905" ht="14.25" customHeight="1">
      <c r="E905" s="131"/>
    </row>
    <row r="906" ht="14.25" customHeight="1">
      <c r="E906" s="131"/>
    </row>
    <row r="907" ht="14.25" customHeight="1">
      <c r="E907" s="131"/>
    </row>
    <row r="908" ht="14.25" customHeight="1">
      <c r="E908" s="131"/>
    </row>
    <row r="909" ht="14.25" customHeight="1">
      <c r="E909" s="131"/>
    </row>
    <row r="910" ht="14.25" customHeight="1">
      <c r="E910" s="131"/>
    </row>
    <row r="911" ht="14.25" customHeight="1">
      <c r="E911" s="131"/>
    </row>
    <row r="912" ht="14.25" customHeight="1">
      <c r="E912" s="131"/>
    </row>
    <row r="913" ht="14.25" customHeight="1">
      <c r="E913" s="131"/>
    </row>
    <row r="914" ht="14.25" customHeight="1">
      <c r="E914" s="131"/>
    </row>
    <row r="915" ht="14.25" customHeight="1">
      <c r="E915" s="131"/>
    </row>
    <row r="916" ht="14.25" customHeight="1">
      <c r="E916" s="131"/>
    </row>
    <row r="917" ht="14.25" customHeight="1">
      <c r="E917" s="131"/>
    </row>
    <row r="918" ht="14.25" customHeight="1">
      <c r="E918" s="131"/>
    </row>
    <row r="919" ht="14.25" customHeight="1">
      <c r="E919" s="131"/>
    </row>
    <row r="920" ht="14.25" customHeight="1">
      <c r="E920" s="131"/>
    </row>
    <row r="921" ht="14.25" customHeight="1">
      <c r="E921" s="131"/>
    </row>
    <row r="922" ht="14.25" customHeight="1">
      <c r="E922" s="131"/>
    </row>
    <row r="923" ht="14.25" customHeight="1">
      <c r="E923" s="131"/>
    </row>
    <row r="924" ht="14.25" customHeight="1">
      <c r="E924" s="131"/>
    </row>
    <row r="925" ht="14.25" customHeight="1">
      <c r="E925" s="131"/>
    </row>
    <row r="926" ht="14.25" customHeight="1">
      <c r="E926" s="131"/>
    </row>
    <row r="927" ht="14.25" customHeight="1">
      <c r="E927" s="131"/>
    </row>
    <row r="928" ht="14.25" customHeight="1">
      <c r="E928" s="131"/>
    </row>
    <row r="929" ht="14.25" customHeight="1">
      <c r="E929" s="131"/>
    </row>
    <row r="930" ht="14.25" customHeight="1">
      <c r="E930" s="131"/>
    </row>
    <row r="931" ht="14.25" customHeight="1">
      <c r="E931" s="131"/>
    </row>
    <row r="932" ht="14.25" customHeight="1">
      <c r="E932" s="131"/>
    </row>
    <row r="933" ht="14.25" customHeight="1">
      <c r="E933" s="131"/>
    </row>
    <row r="934" ht="14.25" customHeight="1">
      <c r="E934" s="131"/>
    </row>
    <row r="935" ht="14.25" customHeight="1">
      <c r="E935" s="131"/>
    </row>
    <row r="936" ht="14.25" customHeight="1">
      <c r="E936" s="131"/>
    </row>
    <row r="937" ht="14.25" customHeight="1">
      <c r="E937" s="131"/>
    </row>
    <row r="938" ht="14.25" customHeight="1">
      <c r="E938" s="131"/>
    </row>
    <row r="939" ht="14.25" customHeight="1">
      <c r="E939" s="131"/>
    </row>
    <row r="940" ht="14.25" customHeight="1">
      <c r="E940" s="131"/>
    </row>
    <row r="941" ht="14.25" customHeight="1">
      <c r="E941" s="131"/>
    </row>
    <row r="942" ht="14.25" customHeight="1">
      <c r="E942" s="131"/>
    </row>
    <row r="943" ht="14.25" customHeight="1">
      <c r="E943" s="131"/>
    </row>
    <row r="944" ht="14.25" customHeight="1">
      <c r="E944" s="131"/>
    </row>
    <row r="945" ht="14.25" customHeight="1">
      <c r="E945" s="131"/>
    </row>
    <row r="946" ht="14.25" customHeight="1">
      <c r="E946" s="131"/>
    </row>
    <row r="947" ht="14.25" customHeight="1">
      <c r="E947" s="131"/>
    </row>
    <row r="948" ht="14.25" customHeight="1">
      <c r="E948" s="131"/>
    </row>
    <row r="949" ht="14.25" customHeight="1">
      <c r="E949" s="131"/>
    </row>
    <row r="950" ht="14.25" customHeight="1">
      <c r="E950" s="131"/>
    </row>
    <row r="951" ht="14.25" customHeight="1">
      <c r="E951" s="131"/>
    </row>
    <row r="952" ht="14.25" customHeight="1">
      <c r="E952" s="131"/>
    </row>
    <row r="953" ht="14.25" customHeight="1">
      <c r="E953" s="131"/>
    </row>
    <row r="954" ht="14.25" customHeight="1">
      <c r="E954" s="131"/>
    </row>
    <row r="955" ht="14.25" customHeight="1">
      <c r="E955" s="131"/>
    </row>
    <row r="956" ht="14.25" customHeight="1">
      <c r="E956" s="131"/>
    </row>
    <row r="957" ht="14.25" customHeight="1">
      <c r="E957" s="131"/>
    </row>
    <row r="958" ht="14.25" customHeight="1">
      <c r="E958" s="131"/>
    </row>
    <row r="959" ht="14.25" customHeight="1">
      <c r="E959" s="131"/>
    </row>
    <row r="960" ht="14.25" customHeight="1">
      <c r="E960" s="131"/>
    </row>
    <row r="961" ht="14.25" customHeight="1">
      <c r="E961" s="131"/>
    </row>
    <row r="962" ht="14.25" customHeight="1">
      <c r="E962" s="131"/>
    </row>
    <row r="963" ht="14.25" customHeight="1">
      <c r="E963" s="131"/>
    </row>
    <row r="964" ht="14.25" customHeight="1">
      <c r="E964" s="131"/>
    </row>
    <row r="965" ht="14.25" customHeight="1">
      <c r="E965" s="131"/>
    </row>
    <row r="966" ht="14.25" customHeight="1">
      <c r="E966" s="131"/>
    </row>
    <row r="967" ht="14.25" customHeight="1">
      <c r="E967" s="131"/>
    </row>
    <row r="968" ht="14.25" customHeight="1">
      <c r="E968" s="131"/>
    </row>
    <row r="969" ht="14.25" customHeight="1">
      <c r="E969" s="131"/>
    </row>
    <row r="970" ht="14.25" customHeight="1">
      <c r="E970" s="131"/>
    </row>
    <row r="971" ht="14.25" customHeight="1">
      <c r="E971" s="131"/>
    </row>
    <row r="972" ht="14.25" customHeight="1">
      <c r="E972" s="131"/>
    </row>
    <row r="973" ht="14.25" customHeight="1">
      <c r="E973" s="131"/>
    </row>
    <row r="974" ht="14.25" customHeight="1">
      <c r="E974" s="131"/>
    </row>
    <row r="975" ht="14.25" customHeight="1">
      <c r="E975" s="131"/>
    </row>
    <row r="976" ht="14.25" customHeight="1">
      <c r="E976" s="131"/>
    </row>
    <row r="977" ht="14.25" customHeight="1">
      <c r="E977" s="131"/>
    </row>
    <row r="978" ht="14.25" customHeight="1">
      <c r="E978" s="131"/>
    </row>
    <row r="979" ht="14.25" customHeight="1">
      <c r="E979" s="131"/>
    </row>
    <row r="980" ht="14.25" customHeight="1">
      <c r="E980" s="131"/>
    </row>
    <row r="981" ht="14.25" customHeight="1">
      <c r="E981" s="131"/>
    </row>
    <row r="982" ht="14.25" customHeight="1">
      <c r="E982" s="131"/>
    </row>
    <row r="983" ht="14.25" customHeight="1">
      <c r="E983" s="131"/>
    </row>
    <row r="984" ht="14.25" customHeight="1">
      <c r="E984" s="131"/>
    </row>
    <row r="985" ht="14.25" customHeight="1">
      <c r="E985" s="131"/>
    </row>
    <row r="986" ht="14.25" customHeight="1">
      <c r="E986" s="131"/>
    </row>
    <row r="987" ht="14.25" customHeight="1">
      <c r="E987" s="131"/>
    </row>
    <row r="988" ht="14.25" customHeight="1">
      <c r="E988" s="131"/>
    </row>
    <row r="989" ht="14.25" customHeight="1">
      <c r="E989" s="131"/>
    </row>
    <row r="990" ht="14.25" customHeight="1">
      <c r="E990" s="131"/>
    </row>
    <row r="991" ht="14.25" customHeight="1">
      <c r="E991" s="131"/>
    </row>
    <row r="992" ht="14.25" customHeight="1">
      <c r="E992" s="131"/>
    </row>
    <row r="993" ht="14.25" customHeight="1">
      <c r="E993" s="131"/>
    </row>
    <row r="994" ht="14.25" customHeight="1">
      <c r="E994" s="131"/>
    </row>
    <row r="995" ht="14.25" customHeight="1">
      <c r="E995" s="131"/>
    </row>
    <row r="996" ht="14.25" customHeight="1">
      <c r="E996" s="131"/>
    </row>
    <row r="997" ht="14.25" customHeight="1">
      <c r="E997" s="131"/>
    </row>
    <row r="998" ht="14.25" customHeight="1">
      <c r="E998" s="131"/>
    </row>
    <row r="999" ht="14.25" customHeight="1">
      <c r="E999" s="131"/>
    </row>
    <row r="1000" ht="14.25" customHeight="1">
      <c r="E1000" s="13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2.14"/>
    <col customWidth="1" min="3" max="3" width="14.14"/>
    <col customWidth="1" min="4" max="4" width="14.57"/>
    <col customWidth="1" min="5" max="5" width="35.14"/>
    <col customWidth="1" min="6" max="6" width="33.57"/>
    <col customWidth="1" min="7" max="7" width="17.43"/>
    <col customWidth="1" min="8" max="8" width="15.14"/>
    <col customWidth="1" min="9" max="9" width="18.14"/>
    <col customWidth="1" min="10" max="10" width="15.0"/>
    <col customWidth="1" min="11" max="26" width="10.86"/>
  </cols>
  <sheetData>
    <row r="1" ht="14.25" customHeight="1"/>
    <row r="2" ht="14.25" customHeight="1"/>
    <row r="3" ht="14.25" customHeight="1">
      <c r="E3" s="132" t="s">
        <v>200</v>
      </c>
    </row>
    <row r="4" ht="14.25" customHeight="1">
      <c r="A4" s="133" t="s">
        <v>189</v>
      </c>
      <c r="B4" s="133" t="s">
        <v>201</v>
      </c>
      <c r="C4" s="133" t="s">
        <v>202</v>
      </c>
      <c r="D4" s="133" t="s">
        <v>203</v>
      </c>
      <c r="E4" s="133" t="s">
        <v>204</v>
      </c>
      <c r="F4" s="133" t="s">
        <v>205</v>
      </c>
      <c r="G4" s="133" t="s">
        <v>206</v>
      </c>
      <c r="H4" s="133" t="s">
        <v>207</v>
      </c>
      <c r="I4" s="133" t="s">
        <v>208</v>
      </c>
      <c r="J4" s="134" t="s">
        <v>196</v>
      </c>
    </row>
    <row r="5" ht="14.25" customHeight="1">
      <c r="A5" s="135" t="s">
        <v>141</v>
      </c>
      <c r="B5" s="136">
        <v>28.0</v>
      </c>
      <c r="C5" s="136">
        <v>0.0</v>
      </c>
      <c r="D5" s="136">
        <v>28.0</v>
      </c>
      <c r="E5" s="137">
        <v>25.0</v>
      </c>
      <c r="F5" s="136">
        <v>3.0</v>
      </c>
      <c r="G5" s="138">
        <v>0.0</v>
      </c>
      <c r="H5" s="139">
        <f>'CM1 &amp; CM2 Metrics'!$E5/'CM1 &amp; CM2 Metrics'!$D5</f>
        <v>0.8928571429</v>
      </c>
      <c r="I5" s="139">
        <f>'CM1 &amp; CM2 Metrics'!$F5/'CM1 &amp; CM2 Metrics'!$D5</f>
        <v>0.1071428571</v>
      </c>
      <c r="J5" s="140"/>
    </row>
    <row r="6" ht="14.25" customHeight="1">
      <c r="A6" s="141" t="s">
        <v>23</v>
      </c>
      <c r="B6" s="136">
        <v>15.0</v>
      </c>
      <c r="C6" s="136">
        <v>0.0</v>
      </c>
      <c r="D6" s="136">
        <v>15.0</v>
      </c>
      <c r="E6" s="137">
        <v>15.0</v>
      </c>
      <c r="F6" s="136">
        <v>0.0</v>
      </c>
      <c r="G6" s="138">
        <v>0.0</v>
      </c>
      <c r="H6" s="139">
        <f>'CM1 &amp; CM2 Metrics'!$E6/'CM1 &amp; CM2 Metrics'!$D6</f>
        <v>1</v>
      </c>
      <c r="I6" s="139">
        <f>'CM1 &amp; CM2 Metrics'!$F6/'CM1 &amp; CM2 Metrics'!$D6</f>
        <v>0</v>
      </c>
      <c r="J6" s="142"/>
    </row>
    <row r="7" ht="14.25" customHeight="1">
      <c r="A7" s="143" t="s">
        <v>191</v>
      </c>
      <c r="B7" s="143">
        <f>SUBTOTAL(109,'CM1 &amp; CM2 Metrics'!$B$5:$B$6)</f>
        <v>43</v>
      </c>
      <c r="C7" s="143"/>
      <c r="D7" s="143">
        <f>SUBTOTAL(109,'CM1 &amp; CM2 Metrics'!$D$5:$D$6)</f>
        <v>43</v>
      </c>
      <c r="E7" s="144">
        <f>SUBTOTAL(109,'CM1 &amp; CM2 Metrics'!$E$5:$E$6)</f>
        <v>40</v>
      </c>
      <c r="F7" s="143">
        <f>SUBTOTAL(109,'CM1 &amp; CM2 Metrics'!$F$5:$F$6)</f>
        <v>3</v>
      </c>
      <c r="G7" s="143"/>
      <c r="H7" s="145">
        <f>'CM1 &amp; CM2 Metrics'!$E$7/'CM1 &amp; CM2 Metrics'!$D$7</f>
        <v>0.9302325581</v>
      </c>
      <c r="I7" s="145">
        <f>'CM1 &amp; CM2 Metrics'!$F$7/'CM1 &amp; CM2 Metrics'!$D$7</f>
        <v>0.06976744186</v>
      </c>
      <c r="J7" s="14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E14" s="132" t="s">
        <v>209</v>
      </c>
    </row>
    <row r="15" ht="14.25" customHeight="1">
      <c r="A15" s="133" t="s">
        <v>189</v>
      </c>
      <c r="B15" s="133" t="s">
        <v>201</v>
      </c>
      <c r="C15" s="133" t="s">
        <v>202</v>
      </c>
      <c r="D15" s="133" t="s">
        <v>203</v>
      </c>
      <c r="E15" s="133" t="s">
        <v>204</v>
      </c>
      <c r="F15" s="133" t="s">
        <v>205</v>
      </c>
      <c r="G15" s="133" t="s">
        <v>206</v>
      </c>
      <c r="H15" s="133" t="s">
        <v>207</v>
      </c>
      <c r="I15" s="133" t="s">
        <v>208</v>
      </c>
      <c r="J15" s="134" t="s">
        <v>196</v>
      </c>
    </row>
    <row r="16" ht="14.25" customHeight="1">
      <c r="A16" s="135" t="s">
        <v>141</v>
      </c>
      <c r="B16" s="114">
        <v>28.0</v>
      </c>
      <c r="C16" s="136">
        <v>0.0</v>
      </c>
      <c r="D16" s="136">
        <v>28.0</v>
      </c>
      <c r="E16" s="137">
        <v>12.0</v>
      </c>
      <c r="F16" s="136">
        <v>16.0</v>
      </c>
      <c r="G16" s="138">
        <v>0.0</v>
      </c>
      <c r="H16" s="139">
        <f>'CM1 &amp; CM2 Metrics'!$E16/'CM1 &amp; CM2 Metrics'!$D16</f>
        <v>0.4285714286</v>
      </c>
      <c r="I16" s="139">
        <f>'CM1 &amp; CM2 Metrics'!$F16/'CM1 &amp; CM2 Metrics'!$D16</f>
        <v>0.5714285714</v>
      </c>
      <c r="J16" s="140"/>
    </row>
    <row r="17" ht="14.25" customHeight="1">
      <c r="A17" s="141" t="s">
        <v>70</v>
      </c>
      <c r="B17" s="114">
        <v>12.0</v>
      </c>
      <c r="C17" s="136">
        <v>0.0</v>
      </c>
      <c r="D17" s="136">
        <v>12.0</v>
      </c>
      <c r="E17" s="137">
        <v>5.0</v>
      </c>
      <c r="F17" s="136">
        <v>7.0</v>
      </c>
      <c r="G17" s="138">
        <v>0.0</v>
      </c>
      <c r="H17" s="139">
        <f>'CM1 &amp; CM2 Metrics'!$E17/'CM1 &amp; CM2 Metrics'!$D17</f>
        <v>0.4166666667</v>
      </c>
      <c r="I17" s="139">
        <f>'CM1 &amp; CM2 Metrics'!$F17/'CM1 &amp; CM2 Metrics'!$D17</f>
        <v>0.5833333333</v>
      </c>
      <c r="J17" s="142"/>
    </row>
    <row r="18" ht="14.25" customHeight="1">
      <c r="A18" s="110" t="s">
        <v>23</v>
      </c>
      <c r="B18" s="114">
        <v>12.0</v>
      </c>
      <c r="C18" s="146">
        <v>0.0</v>
      </c>
      <c r="D18" s="146">
        <v>12.0</v>
      </c>
      <c r="E18" s="147">
        <v>6.0</v>
      </c>
      <c r="F18" s="146">
        <v>6.0</v>
      </c>
      <c r="G18" s="148">
        <v>0.0</v>
      </c>
      <c r="H18" s="149">
        <f>'CM1 &amp; CM2 Metrics'!$E18/'CM1 &amp; CM2 Metrics'!$D18</f>
        <v>0.5</v>
      </c>
      <c r="I18" s="139">
        <f>'CM1 &amp; CM2 Metrics'!$F18/'CM1 &amp; CM2 Metrics'!$D18</f>
        <v>0.5</v>
      </c>
      <c r="J18" s="111"/>
    </row>
    <row r="19" ht="14.25" customHeight="1">
      <c r="A19" s="141" t="s">
        <v>108</v>
      </c>
      <c r="B19" s="114">
        <v>12.0</v>
      </c>
      <c r="C19" s="146">
        <v>0.0</v>
      </c>
      <c r="D19" s="146">
        <v>12.0</v>
      </c>
      <c r="E19" s="147">
        <v>5.0</v>
      </c>
      <c r="F19" s="146">
        <v>7.0</v>
      </c>
      <c r="G19" s="148">
        <v>0.0</v>
      </c>
      <c r="H19" s="149">
        <f>'CM1 &amp; CM2 Metrics'!$E19/'CM1 &amp; CM2 Metrics'!$D19</f>
        <v>0.4166666667</v>
      </c>
      <c r="I19" s="139">
        <f>'CM1 &amp; CM2 Metrics'!$F19/'CM1 &amp; CM2 Metrics'!$D19</f>
        <v>0.5833333333</v>
      </c>
      <c r="J19" s="111"/>
    </row>
    <row r="20" ht="14.25" customHeight="1">
      <c r="A20" s="143" t="s">
        <v>191</v>
      </c>
      <c r="B20" s="143">
        <f>SUBTOTAL(109,'CM1 &amp; CM2 Metrics'!$B$16:$B$19)</f>
        <v>64</v>
      </c>
      <c r="C20" s="143">
        <f>SUBTOTAL(109,'CM1 &amp; CM2 Metrics'!$C$16:$C$19)</f>
        <v>0</v>
      </c>
      <c r="D20" s="143">
        <f>SUBTOTAL(109,'CM1 &amp; CM2 Metrics'!$D$16:$D$19)</f>
        <v>64</v>
      </c>
      <c r="E20" s="144">
        <f>SUBTOTAL(109,'CM1 &amp; CM2 Metrics'!$E$16:$E$19)</f>
        <v>28</v>
      </c>
      <c r="F20" s="143">
        <f>SUBTOTAL(109,'CM1 &amp; CM2 Metrics'!$F$16:$F$19)</f>
        <v>36</v>
      </c>
      <c r="G20" s="143"/>
      <c r="H20" s="145">
        <f>'CM1 &amp; CM2 Metrics'!$E$20/'CM1 &amp; CM2 Metrics'!$D$20</f>
        <v>0.4375</v>
      </c>
      <c r="I20" s="145">
        <f>'CM1 &amp; CM2 Metrics'!$F$20/'CM1 &amp; CM2 Metrics'!$D$20</f>
        <v>0.5625</v>
      </c>
      <c r="J20" s="143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3:F3"/>
    <mergeCell ref="E14:F14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2024-08-14T03:22:44Z</dcterms:created>
  <dc:creator>H-TECH</dc:creator>
</cp:coreProperties>
</file>