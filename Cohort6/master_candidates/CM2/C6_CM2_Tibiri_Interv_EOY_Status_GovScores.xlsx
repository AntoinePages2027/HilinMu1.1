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7a5568e1ef3ca4c6/Documents/OASIS assignment/Hilin Mu/Cohort 7/"/>
    </mc:Choice>
  </mc:AlternateContent>
  <xr:revisionPtr revIDLastSave="0" documentId="8_{DB0C3981-DE64-448E-A28B-BB8C422DE02F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MD Résultats CM1" sheetId="12" r:id="rId1"/>
    <sheet name="MD CM1 Syntheses" sheetId="13" r:id="rId2"/>
    <sheet name="MD Résultats CM2" sheetId="6" r:id="rId3"/>
    <sheet name="Original CM2 Synthèse" sheetId="3" r:id="rId4"/>
    <sheet name="CM1 &amp; CM2 Metric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9" l="1"/>
  <c r="H36" i="9"/>
  <c r="G36" i="9"/>
  <c r="F36" i="9"/>
  <c r="E36" i="9"/>
  <c r="D36" i="9"/>
  <c r="C36" i="9"/>
  <c r="B36" i="9"/>
  <c r="I20" i="9"/>
  <c r="H20" i="9"/>
  <c r="G20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B20" i="9"/>
  <c r="C20" i="9"/>
  <c r="D20" i="9"/>
  <c r="E20" i="9"/>
  <c r="F20" i="9"/>
  <c r="D23" i="9"/>
  <c r="F23" i="9"/>
  <c r="I23" i="9" s="1"/>
  <c r="H23" i="9"/>
  <c r="G35" i="9"/>
  <c r="G29" i="9"/>
  <c r="G30" i="9"/>
  <c r="G31" i="9"/>
  <c r="G32" i="9"/>
  <c r="G33" i="9"/>
  <c r="G34" i="9"/>
  <c r="G28" i="9"/>
  <c r="G27" i="9"/>
  <c r="G26" i="9"/>
  <c r="G25" i="9"/>
  <c r="F24" i="9"/>
  <c r="I24" i="9" s="1"/>
  <c r="F25" i="9"/>
  <c r="I25" i="9" s="1"/>
  <c r="F31" i="9"/>
  <c r="I31" i="9" s="1"/>
  <c r="F32" i="9"/>
  <c r="I32" i="9" s="1"/>
  <c r="D35" i="9"/>
  <c r="F35" i="9" s="1"/>
  <c r="I35" i="9" s="1"/>
  <c r="D34" i="9"/>
  <c r="H34" i="9" s="1"/>
  <c r="D33" i="9"/>
  <c r="F33" i="9" s="1"/>
  <c r="I33" i="9" s="1"/>
  <c r="D32" i="9"/>
  <c r="H32" i="9" s="1"/>
  <c r="D31" i="9"/>
  <c r="H31" i="9" s="1"/>
  <c r="D30" i="9"/>
  <c r="H30" i="9" s="1"/>
  <c r="D29" i="9"/>
  <c r="F29" i="9" s="1"/>
  <c r="I29" i="9" s="1"/>
  <c r="D28" i="9"/>
  <c r="F28" i="9" s="1"/>
  <c r="I28" i="9" s="1"/>
  <c r="D27" i="9"/>
  <c r="F27" i="9" s="1"/>
  <c r="I27" i="9" s="1"/>
  <c r="D26" i="9"/>
  <c r="F26" i="9" s="1"/>
  <c r="I26" i="9" s="1"/>
  <c r="D25" i="9"/>
  <c r="H25" i="9" s="1"/>
  <c r="D24" i="9"/>
  <c r="H24" i="9" s="1"/>
  <c r="E15" i="13"/>
  <c r="D15" i="13"/>
  <c r="H35" i="9" l="1"/>
  <c r="F34" i="9"/>
  <c r="I34" i="9" s="1"/>
  <c r="H29" i="9"/>
  <c r="H33" i="9"/>
  <c r="H28" i="9"/>
  <c r="H27" i="9"/>
  <c r="H26" i="9"/>
  <c r="F30" i="9"/>
  <c r="I30" i="9" s="1"/>
  <c r="B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D368" i="12"/>
  <c r="A316" i="12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F327" i="6"/>
  <c r="B327" i="6"/>
  <c r="I327" i="6"/>
  <c r="G327" i="6"/>
  <c r="H4" i="6"/>
  <c r="J4" i="6" s="1"/>
  <c r="H326" i="6"/>
  <c r="J326" i="6" s="1"/>
  <c r="H325" i="6"/>
  <c r="J325" i="6" s="1"/>
  <c r="H324" i="6"/>
  <c r="J324" i="6" s="1"/>
  <c r="H323" i="6"/>
  <c r="J323" i="6" s="1"/>
  <c r="H322" i="6"/>
  <c r="J322" i="6" s="1"/>
  <c r="H321" i="6"/>
  <c r="J321" i="6" s="1"/>
  <c r="H320" i="6"/>
  <c r="J320" i="6" s="1"/>
  <c r="H319" i="6"/>
  <c r="J319" i="6" s="1"/>
  <c r="H318" i="6"/>
  <c r="J318" i="6" s="1"/>
  <c r="H317" i="6"/>
  <c r="J317" i="6" s="1"/>
  <c r="H316" i="6"/>
  <c r="J316" i="6" s="1"/>
  <c r="H315" i="6"/>
  <c r="J315" i="6" s="1"/>
  <c r="H314" i="6"/>
  <c r="J314" i="6" s="1"/>
  <c r="H313" i="6"/>
  <c r="J313" i="6" s="1"/>
  <c r="H312" i="6"/>
  <c r="J312" i="6" s="1"/>
  <c r="H311" i="6"/>
  <c r="J311" i="6" s="1"/>
  <c r="H310" i="6"/>
  <c r="J310" i="6" s="1"/>
  <c r="H309" i="6"/>
  <c r="J309" i="6" s="1"/>
  <c r="H308" i="6"/>
  <c r="J308" i="6" s="1"/>
  <c r="H307" i="6"/>
  <c r="J307" i="6" s="1"/>
  <c r="H306" i="6"/>
  <c r="J306" i="6" s="1"/>
  <c r="H305" i="6"/>
  <c r="J305" i="6" s="1"/>
  <c r="H304" i="6"/>
  <c r="J304" i="6" s="1"/>
  <c r="H303" i="6"/>
  <c r="J303" i="6" s="1"/>
  <c r="H302" i="6"/>
  <c r="J302" i="6" s="1"/>
  <c r="H301" i="6"/>
  <c r="J301" i="6" s="1"/>
  <c r="H300" i="6"/>
  <c r="J300" i="6" s="1"/>
  <c r="H299" i="6"/>
  <c r="J299" i="6" s="1"/>
  <c r="H298" i="6"/>
  <c r="J298" i="6" s="1"/>
  <c r="H297" i="6"/>
  <c r="J297" i="6" s="1"/>
  <c r="H296" i="6"/>
  <c r="J296" i="6" s="1"/>
  <c r="H295" i="6"/>
  <c r="J295" i="6" s="1"/>
  <c r="H294" i="6"/>
  <c r="J294" i="6" s="1"/>
  <c r="H293" i="6"/>
  <c r="J293" i="6" s="1"/>
  <c r="H292" i="6"/>
  <c r="J292" i="6" s="1"/>
  <c r="H291" i="6"/>
  <c r="J291" i="6" s="1"/>
  <c r="H290" i="6"/>
  <c r="J290" i="6" s="1"/>
  <c r="H289" i="6"/>
  <c r="J289" i="6" s="1"/>
  <c r="H288" i="6"/>
  <c r="J288" i="6" s="1"/>
  <c r="H287" i="6"/>
  <c r="J287" i="6" s="1"/>
  <c r="H286" i="6"/>
  <c r="J286" i="6" s="1"/>
  <c r="H285" i="6"/>
  <c r="J285" i="6" s="1"/>
  <c r="H284" i="6"/>
  <c r="J284" i="6" s="1"/>
  <c r="H283" i="6"/>
  <c r="J283" i="6" s="1"/>
  <c r="H282" i="6"/>
  <c r="J282" i="6" s="1"/>
  <c r="H281" i="6"/>
  <c r="J281" i="6" s="1"/>
  <c r="H280" i="6"/>
  <c r="J280" i="6" s="1"/>
  <c r="H279" i="6"/>
  <c r="J279" i="6" s="1"/>
  <c r="H278" i="6"/>
  <c r="J278" i="6" s="1"/>
  <c r="H277" i="6"/>
  <c r="J277" i="6" s="1"/>
  <c r="H276" i="6"/>
  <c r="J276" i="6" s="1"/>
  <c r="H275" i="6"/>
  <c r="J275" i="6" s="1"/>
  <c r="H274" i="6"/>
  <c r="J274" i="6" s="1"/>
  <c r="H273" i="6"/>
  <c r="J273" i="6" s="1"/>
  <c r="H272" i="6"/>
  <c r="J272" i="6" s="1"/>
  <c r="H271" i="6"/>
  <c r="J271" i="6" s="1"/>
  <c r="H270" i="6"/>
  <c r="J270" i="6" s="1"/>
  <c r="H269" i="6"/>
  <c r="J269" i="6" s="1"/>
  <c r="H268" i="6"/>
  <c r="J268" i="6" s="1"/>
  <c r="H267" i="6"/>
  <c r="J267" i="6" s="1"/>
  <c r="H266" i="6"/>
  <c r="J266" i="6" s="1"/>
  <c r="H265" i="6"/>
  <c r="J265" i="6" s="1"/>
  <c r="H264" i="6"/>
  <c r="J264" i="6" s="1"/>
  <c r="H263" i="6"/>
  <c r="J263" i="6" s="1"/>
  <c r="H262" i="6"/>
  <c r="J262" i="6" s="1"/>
  <c r="H261" i="6"/>
  <c r="J261" i="6" s="1"/>
  <c r="H260" i="6"/>
  <c r="J260" i="6" s="1"/>
  <c r="H259" i="6"/>
  <c r="J259" i="6" s="1"/>
  <c r="H258" i="6"/>
  <c r="J258" i="6" s="1"/>
  <c r="H257" i="6"/>
  <c r="J257" i="6" s="1"/>
  <c r="H256" i="6"/>
  <c r="J256" i="6" s="1"/>
  <c r="H255" i="6"/>
  <c r="J255" i="6" s="1"/>
  <c r="H254" i="6"/>
  <c r="J254" i="6" s="1"/>
  <c r="H253" i="6"/>
  <c r="J253" i="6" s="1"/>
  <c r="H252" i="6"/>
  <c r="J252" i="6" s="1"/>
  <c r="H251" i="6"/>
  <c r="J251" i="6" s="1"/>
  <c r="H250" i="6"/>
  <c r="J250" i="6" s="1"/>
  <c r="H249" i="6"/>
  <c r="J249" i="6" s="1"/>
  <c r="H248" i="6"/>
  <c r="J248" i="6" s="1"/>
  <c r="H247" i="6"/>
  <c r="J247" i="6" s="1"/>
  <c r="H246" i="6"/>
  <c r="J246" i="6" s="1"/>
  <c r="H245" i="6"/>
  <c r="J245" i="6" s="1"/>
  <c r="H244" i="6"/>
  <c r="J244" i="6" s="1"/>
  <c r="H243" i="6"/>
  <c r="J243" i="6" s="1"/>
  <c r="H242" i="6"/>
  <c r="J242" i="6" s="1"/>
  <c r="H241" i="6"/>
  <c r="J241" i="6" s="1"/>
  <c r="H240" i="6"/>
  <c r="J240" i="6" s="1"/>
  <c r="H239" i="6"/>
  <c r="J239" i="6" s="1"/>
  <c r="H238" i="6"/>
  <c r="J238" i="6" s="1"/>
  <c r="H237" i="6"/>
  <c r="J237" i="6" s="1"/>
  <c r="H236" i="6"/>
  <c r="J236" i="6" s="1"/>
  <c r="H235" i="6"/>
  <c r="J235" i="6" s="1"/>
  <c r="H234" i="6"/>
  <c r="J234" i="6" s="1"/>
  <c r="H233" i="6"/>
  <c r="J233" i="6" s="1"/>
  <c r="H232" i="6"/>
  <c r="J232" i="6" s="1"/>
  <c r="H231" i="6"/>
  <c r="J231" i="6" s="1"/>
  <c r="H230" i="6"/>
  <c r="J230" i="6" s="1"/>
  <c r="H229" i="6"/>
  <c r="J229" i="6" s="1"/>
  <c r="H228" i="6"/>
  <c r="J228" i="6" s="1"/>
  <c r="H227" i="6"/>
  <c r="J227" i="6" s="1"/>
  <c r="H226" i="6"/>
  <c r="J226" i="6" s="1"/>
  <c r="H225" i="6"/>
  <c r="J225" i="6" s="1"/>
  <c r="H224" i="6"/>
  <c r="J224" i="6" s="1"/>
  <c r="H223" i="6"/>
  <c r="J223" i="6" s="1"/>
  <c r="H222" i="6"/>
  <c r="J222" i="6" s="1"/>
  <c r="H221" i="6"/>
  <c r="J221" i="6" s="1"/>
  <c r="H220" i="6"/>
  <c r="J220" i="6" s="1"/>
  <c r="H219" i="6"/>
  <c r="J219" i="6" s="1"/>
  <c r="H218" i="6"/>
  <c r="J218" i="6" s="1"/>
  <c r="H217" i="6"/>
  <c r="J217" i="6" s="1"/>
  <c r="H216" i="6"/>
  <c r="J216" i="6" s="1"/>
  <c r="H215" i="6"/>
  <c r="J215" i="6" s="1"/>
  <c r="H214" i="6"/>
  <c r="J214" i="6" s="1"/>
  <c r="H213" i="6"/>
  <c r="J213" i="6" s="1"/>
  <c r="H212" i="6"/>
  <c r="J212" i="6" s="1"/>
  <c r="H211" i="6"/>
  <c r="J211" i="6" s="1"/>
  <c r="H210" i="6"/>
  <c r="J210" i="6" s="1"/>
  <c r="H209" i="6"/>
  <c r="J209" i="6" s="1"/>
  <c r="H208" i="6"/>
  <c r="J208" i="6" s="1"/>
  <c r="H207" i="6"/>
  <c r="J207" i="6" s="1"/>
  <c r="H206" i="6"/>
  <c r="J206" i="6" s="1"/>
  <c r="H205" i="6"/>
  <c r="J205" i="6" s="1"/>
  <c r="H204" i="6"/>
  <c r="J204" i="6" s="1"/>
  <c r="H203" i="6"/>
  <c r="J203" i="6" s="1"/>
  <c r="H202" i="6"/>
  <c r="J202" i="6" s="1"/>
  <c r="H201" i="6"/>
  <c r="J201" i="6" s="1"/>
  <c r="H200" i="6"/>
  <c r="J200" i="6" s="1"/>
  <c r="H199" i="6"/>
  <c r="J199" i="6" s="1"/>
  <c r="H198" i="6"/>
  <c r="J198" i="6" s="1"/>
  <c r="H197" i="6"/>
  <c r="J197" i="6" s="1"/>
  <c r="H196" i="6"/>
  <c r="J196" i="6" s="1"/>
  <c r="H195" i="6"/>
  <c r="J195" i="6" s="1"/>
  <c r="H194" i="6"/>
  <c r="J194" i="6" s="1"/>
  <c r="H193" i="6"/>
  <c r="J193" i="6" s="1"/>
  <c r="H192" i="6"/>
  <c r="J192" i="6" s="1"/>
  <c r="H191" i="6"/>
  <c r="J191" i="6" s="1"/>
  <c r="H190" i="6"/>
  <c r="J190" i="6" s="1"/>
  <c r="H189" i="6"/>
  <c r="J189" i="6" s="1"/>
  <c r="H188" i="6"/>
  <c r="J188" i="6" s="1"/>
  <c r="H187" i="6"/>
  <c r="J187" i="6" s="1"/>
  <c r="H186" i="6"/>
  <c r="J186" i="6" s="1"/>
  <c r="H185" i="6"/>
  <c r="J185" i="6" s="1"/>
  <c r="H184" i="6"/>
  <c r="J184" i="6" s="1"/>
  <c r="H183" i="6"/>
  <c r="J183" i="6" s="1"/>
  <c r="H182" i="6"/>
  <c r="J182" i="6" s="1"/>
  <c r="H181" i="6"/>
  <c r="J181" i="6" s="1"/>
  <c r="H180" i="6"/>
  <c r="J180" i="6" s="1"/>
  <c r="H179" i="6"/>
  <c r="J179" i="6" s="1"/>
  <c r="H178" i="6"/>
  <c r="J178" i="6" s="1"/>
  <c r="H177" i="6"/>
  <c r="J177" i="6" s="1"/>
  <c r="H176" i="6"/>
  <c r="J176" i="6" s="1"/>
  <c r="H175" i="6"/>
  <c r="J175" i="6" s="1"/>
  <c r="H174" i="6"/>
  <c r="J174" i="6" s="1"/>
  <c r="H173" i="6"/>
  <c r="J173" i="6" s="1"/>
  <c r="H172" i="6"/>
  <c r="J172" i="6" s="1"/>
  <c r="H171" i="6"/>
  <c r="J171" i="6" s="1"/>
  <c r="H170" i="6"/>
  <c r="J170" i="6" s="1"/>
  <c r="H169" i="6"/>
  <c r="J169" i="6" s="1"/>
  <c r="H168" i="6"/>
  <c r="J168" i="6" s="1"/>
  <c r="H167" i="6"/>
  <c r="J167" i="6" s="1"/>
  <c r="H166" i="6"/>
  <c r="J166" i="6" s="1"/>
  <c r="H165" i="6"/>
  <c r="J165" i="6" s="1"/>
  <c r="H164" i="6"/>
  <c r="J164" i="6" s="1"/>
  <c r="H163" i="6"/>
  <c r="J163" i="6" s="1"/>
  <c r="H162" i="6"/>
  <c r="J162" i="6" s="1"/>
  <c r="H161" i="6"/>
  <c r="J161" i="6" s="1"/>
  <c r="H160" i="6"/>
  <c r="J160" i="6" s="1"/>
  <c r="H159" i="6"/>
  <c r="J159" i="6" s="1"/>
  <c r="H158" i="6"/>
  <c r="J158" i="6" s="1"/>
  <c r="H157" i="6"/>
  <c r="J157" i="6" s="1"/>
  <c r="H156" i="6"/>
  <c r="J156" i="6" s="1"/>
  <c r="H155" i="6"/>
  <c r="J155" i="6" s="1"/>
  <c r="H154" i="6"/>
  <c r="J154" i="6" s="1"/>
  <c r="H153" i="6"/>
  <c r="J153" i="6" s="1"/>
  <c r="H152" i="6"/>
  <c r="J152" i="6" s="1"/>
  <c r="H151" i="6"/>
  <c r="J151" i="6" s="1"/>
  <c r="H150" i="6"/>
  <c r="J150" i="6" s="1"/>
  <c r="H149" i="6"/>
  <c r="J149" i="6" s="1"/>
  <c r="H148" i="6"/>
  <c r="J148" i="6" s="1"/>
  <c r="H147" i="6"/>
  <c r="J147" i="6" s="1"/>
  <c r="H146" i="6"/>
  <c r="J146" i="6" s="1"/>
  <c r="H145" i="6"/>
  <c r="J145" i="6" s="1"/>
  <c r="H144" i="6"/>
  <c r="J144" i="6" s="1"/>
  <c r="H143" i="6"/>
  <c r="J143" i="6" s="1"/>
  <c r="H142" i="6"/>
  <c r="J142" i="6" s="1"/>
  <c r="H141" i="6"/>
  <c r="J141" i="6" s="1"/>
  <c r="H140" i="6"/>
  <c r="J140" i="6" s="1"/>
  <c r="H139" i="6"/>
  <c r="J139" i="6" s="1"/>
  <c r="H138" i="6"/>
  <c r="J138" i="6" s="1"/>
  <c r="H137" i="6"/>
  <c r="J137" i="6" s="1"/>
  <c r="H136" i="6"/>
  <c r="J136" i="6" s="1"/>
  <c r="H135" i="6"/>
  <c r="J135" i="6" s="1"/>
  <c r="H134" i="6"/>
  <c r="J134" i="6" s="1"/>
  <c r="H133" i="6"/>
  <c r="J133" i="6" s="1"/>
  <c r="H132" i="6"/>
  <c r="J132" i="6" s="1"/>
  <c r="H131" i="6"/>
  <c r="J131" i="6" s="1"/>
  <c r="H130" i="6"/>
  <c r="J130" i="6" s="1"/>
  <c r="H129" i="6"/>
  <c r="J129" i="6" s="1"/>
  <c r="H128" i="6"/>
  <c r="J128" i="6" s="1"/>
  <c r="H127" i="6"/>
  <c r="J127" i="6" s="1"/>
  <c r="H126" i="6"/>
  <c r="J126" i="6" s="1"/>
  <c r="H125" i="6"/>
  <c r="J125" i="6" s="1"/>
  <c r="H124" i="6"/>
  <c r="J124" i="6" s="1"/>
  <c r="H123" i="6"/>
  <c r="J123" i="6" s="1"/>
  <c r="H122" i="6"/>
  <c r="J122" i="6" s="1"/>
  <c r="H121" i="6"/>
  <c r="J121" i="6" s="1"/>
  <c r="H120" i="6"/>
  <c r="J120" i="6" s="1"/>
  <c r="H119" i="6"/>
  <c r="J119" i="6" s="1"/>
  <c r="H118" i="6"/>
  <c r="J118" i="6" s="1"/>
  <c r="H117" i="6"/>
  <c r="J117" i="6" s="1"/>
  <c r="H116" i="6"/>
  <c r="J116" i="6" s="1"/>
  <c r="H115" i="6"/>
  <c r="J115" i="6" s="1"/>
  <c r="H114" i="6"/>
  <c r="J114" i="6" s="1"/>
  <c r="H113" i="6"/>
  <c r="J113" i="6" s="1"/>
  <c r="H112" i="6"/>
  <c r="J112" i="6" s="1"/>
  <c r="H111" i="6"/>
  <c r="J111" i="6" s="1"/>
  <c r="H110" i="6"/>
  <c r="J110" i="6" s="1"/>
  <c r="H109" i="6"/>
  <c r="J109" i="6" s="1"/>
  <c r="H108" i="6"/>
  <c r="J108" i="6" s="1"/>
  <c r="H107" i="6"/>
  <c r="J107" i="6" s="1"/>
  <c r="H106" i="6"/>
  <c r="J106" i="6" s="1"/>
  <c r="H105" i="6"/>
  <c r="J105" i="6" s="1"/>
  <c r="H104" i="6"/>
  <c r="J104" i="6" s="1"/>
  <c r="H103" i="6"/>
  <c r="J103" i="6" s="1"/>
  <c r="H102" i="6"/>
  <c r="J102" i="6" s="1"/>
  <c r="H101" i="6"/>
  <c r="J101" i="6" s="1"/>
  <c r="H100" i="6"/>
  <c r="J100" i="6" s="1"/>
  <c r="H99" i="6"/>
  <c r="J99" i="6" s="1"/>
  <c r="H98" i="6"/>
  <c r="J98" i="6" s="1"/>
  <c r="H97" i="6"/>
  <c r="J97" i="6" s="1"/>
  <c r="H96" i="6"/>
  <c r="J96" i="6" s="1"/>
  <c r="H95" i="6"/>
  <c r="J95" i="6" s="1"/>
  <c r="H94" i="6"/>
  <c r="J94" i="6" s="1"/>
  <c r="H93" i="6"/>
  <c r="J93" i="6" s="1"/>
  <c r="H92" i="6"/>
  <c r="J92" i="6" s="1"/>
  <c r="H91" i="6"/>
  <c r="J91" i="6" s="1"/>
  <c r="H90" i="6"/>
  <c r="J90" i="6" s="1"/>
  <c r="H89" i="6"/>
  <c r="J89" i="6" s="1"/>
  <c r="H88" i="6"/>
  <c r="J88" i="6" s="1"/>
  <c r="H87" i="6"/>
  <c r="J87" i="6" s="1"/>
  <c r="H86" i="6"/>
  <c r="J86" i="6" s="1"/>
  <c r="H85" i="6"/>
  <c r="J85" i="6" s="1"/>
  <c r="H84" i="6"/>
  <c r="J84" i="6" s="1"/>
  <c r="H83" i="6"/>
  <c r="J83" i="6" s="1"/>
  <c r="H82" i="6"/>
  <c r="J82" i="6" s="1"/>
  <c r="H81" i="6"/>
  <c r="J81" i="6" s="1"/>
  <c r="H80" i="6"/>
  <c r="J80" i="6" s="1"/>
  <c r="H79" i="6"/>
  <c r="J79" i="6" s="1"/>
  <c r="H78" i="6"/>
  <c r="J78" i="6" s="1"/>
  <c r="H77" i="6"/>
  <c r="J77" i="6" s="1"/>
  <c r="H76" i="6"/>
  <c r="J76" i="6" s="1"/>
  <c r="H75" i="6"/>
  <c r="J75" i="6" s="1"/>
  <c r="H74" i="6"/>
  <c r="J74" i="6" s="1"/>
  <c r="H73" i="6"/>
  <c r="J73" i="6" s="1"/>
  <c r="H72" i="6"/>
  <c r="J72" i="6" s="1"/>
  <c r="H71" i="6"/>
  <c r="J71" i="6" s="1"/>
  <c r="H70" i="6"/>
  <c r="J70" i="6" s="1"/>
  <c r="H69" i="6"/>
  <c r="J69" i="6" s="1"/>
  <c r="H68" i="6"/>
  <c r="J68" i="6" s="1"/>
  <c r="H67" i="6"/>
  <c r="J67" i="6" s="1"/>
  <c r="H66" i="6"/>
  <c r="J66" i="6" s="1"/>
  <c r="H65" i="6"/>
  <c r="J65" i="6" s="1"/>
  <c r="H64" i="6"/>
  <c r="J64" i="6" s="1"/>
  <c r="H63" i="6"/>
  <c r="J63" i="6" s="1"/>
  <c r="H62" i="6"/>
  <c r="J62" i="6" s="1"/>
  <c r="H61" i="6"/>
  <c r="J61" i="6" s="1"/>
  <c r="H60" i="6"/>
  <c r="J60" i="6" s="1"/>
  <c r="H59" i="6"/>
  <c r="J59" i="6" s="1"/>
  <c r="H58" i="6"/>
  <c r="J58" i="6" s="1"/>
  <c r="H57" i="6"/>
  <c r="J57" i="6" s="1"/>
  <c r="H56" i="6"/>
  <c r="J56" i="6" s="1"/>
  <c r="H55" i="6"/>
  <c r="J55" i="6" s="1"/>
  <c r="H54" i="6"/>
  <c r="J54" i="6" s="1"/>
  <c r="H53" i="6"/>
  <c r="J53" i="6" s="1"/>
  <c r="H52" i="6"/>
  <c r="J52" i="6" s="1"/>
  <c r="H51" i="6"/>
  <c r="J51" i="6" s="1"/>
  <c r="H50" i="6"/>
  <c r="J50" i="6" s="1"/>
  <c r="H49" i="6"/>
  <c r="J49" i="6" s="1"/>
  <c r="H48" i="6"/>
  <c r="J48" i="6" s="1"/>
  <c r="H47" i="6"/>
  <c r="J47" i="6" s="1"/>
  <c r="H46" i="6"/>
  <c r="J46" i="6" s="1"/>
  <c r="H45" i="6"/>
  <c r="J45" i="6" s="1"/>
  <c r="H44" i="6"/>
  <c r="J44" i="6" s="1"/>
  <c r="H43" i="6"/>
  <c r="J43" i="6" s="1"/>
  <c r="H42" i="6"/>
  <c r="J42" i="6" s="1"/>
  <c r="H41" i="6"/>
  <c r="J41" i="6" s="1"/>
  <c r="H40" i="6"/>
  <c r="J40" i="6" s="1"/>
  <c r="H39" i="6"/>
  <c r="J39" i="6" s="1"/>
  <c r="H38" i="6"/>
  <c r="J38" i="6" s="1"/>
  <c r="H37" i="6"/>
  <c r="J37" i="6" s="1"/>
  <c r="H36" i="6"/>
  <c r="J36" i="6" s="1"/>
  <c r="H35" i="6"/>
  <c r="J35" i="6" s="1"/>
  <c r="H34" i="6"/>
  <c r="J34" i="6" s="1"/>
  <c r="H33" i="6"/>
  <c r="J33" i="6" s="1"/>
  <c r="H32" i="6"/>
  <c r="J32" i="6" s="1"/>
  <c r="H31" i="6"/>
  <c r="J31" i="6" s="1"/>
  <c r="H30" i="6"/>
  <c r="J30" i="6" s="1"/>
  <c r="H29" i="6"/>
  <c r="J29" i="6" s="1"/>
  <c r="H28" i="6"/>
  <c r="J28" i="6" s="1"/>
  <c r="H27" i="6"/>
  <c r="J27" i="6" s="1"/>
  <c r="H26" i="6"/>
  <c r="J26" i="6" s="1"/>
  <c r="H25" i="6"/>
  <c r="J25" i="6" s="1"/>
  <c r="H24" i="6"/>
  <c r="J24" i="6" s="1"/>
  <c r="H23" i="6"/>
  <c r="J23" i="6" s="1"/>
  <c r="H22" i="6"/>
  <c r="J22" i="6" s="1"/>
  <c r="H21" i="6"/>
  <c r="J21" i="6" s="1"/>
  <c r="H20" i="6"/>
  <c r="J20" i="6" s="1"/>
  <c r="H19" i="6"/>
  <c r="J19" i="6" s="1"/>
  <c r="H18" i="6"/>
  <c r="J18" i="6" s="1"/>
  <c r="H17" i="6"/>
  <c r="J17" i="6" s="1"/>
  <c r="H16" i="6"/>
  <c r="J16" i="6" s="1"/>
  <c r="H15" i="6"/>
  <c r="J15" i="6" s="1"/>
  <c r="H14" i="6"/>
  <c r="J14" i="6" s="1"/>
  <c r="H13" i="6"/>
  <c r="J13" i="6" s="1"/>
  <c r="H12" i="6"/>
  <c r="J12" i="6" s="1"/>
  <c r="H11" i="6"/>
  <c r="J11" i="6" s="1"/>
  <c r="H10" i="6"/>
  <c r="J10" i="6" s="1"/>
  <c r="H9" i="6"/>
  <c r="J9" i="6" s="1"/>
  <c r="H8" i="6"/>
  <c r="J8" i="6" s="1"/>
  <c r="H7" i="6"/>
  <c r="J7" i="6" s="1"/>
  <c r="H6" i="6"/>
  <c r="J6" i="6" s="1"/>
  <c r="H5" i="6"/>
  <c r="J5" i="6" s="1"/>
  <c r="A368" i="12" l="1"/>
  <c r="J327" i="6"/>
  <c r="H327" i="6"/>
</calcChain>
</file>

<file path=xl/sharedStrings.xml><?xml version="1.0" encoding="utf-8"?>
<sst xmlns="http://schemas.openxmlformats.org/spreadsheetml/2006/main" count="2188" uniqueCount="761">
  <si>
    <t>Ecole</t>
  </si>
  <si>
    <t>N° d'ordre</t>
  </si>
  <si>
    <t xml:space="preserve">PRENOMS ET NOMS  </t>
  </si>
  <si>
    <t>Date et lieu de naissance</t>
  </si>
  <si>
    <t>Sexe</t>
  </si>
  <si>
    <t>MA</t>
  </si>
  <si>
    <t>M/CFEPD</t>
  </si>
  <si>
    <t>MG</t>
  </si>
  <si>
    <t>F</t>
  </si>
  <si>
    <t>31/12/2012 à Tibiri</t>
  </si>
  <si>
    <t>Charifa Sani</t>
  </si>
  <si>
    <t>Habsatou Laouali</t>
  </si>
  <si>
    <t>Tibiri dan Fillo III</t>
  </si>
  <si>
    <t>Nafissa Sani</t>
  </si>
  <si>
    <t>Aminatou Hamidou</t>
  </si>
  <si>
    <t>Aminatou Rabiou</t>
  </si>
  <si>
    <t>Safaraou Salissou</t>
  </si>
  <si>
    <t>Fatima Ousseini</t>
  </si>
  <si>
    <t>Nadia Sanoussi</t>
  </si>
  <si>
    <t>Mariam Sani</t>
  </si>
  <si>
    <t>Hadjara Souley</t>
  </si>
  <si>
    <t>Mariama Laminou Issaka</t>
  </si>
  <si>
    <t>05/06/2012 à Tibiri</t>
  </si>
  <si>
    <t>Nana Farida Yacouba Issaka</t>
  </si>
  <si>
    <t>18/07/2012 à Tibiri</t>
  </si>
  <si>
    <t>Massaouda Yahaya</t>
  </si>
  <si>
    <t>Nana Khadidja Sani Ilia</t>
  </si>
  <si>
    <t>Rahila Oumarou</t>
  </si>
  <si>
    <t>Garin Yari Idi</t>
  </si>
  <si>
    <t>31/12/2011 à Garin Yari Idi</t>
  </si>
  <si>
    <t>Haouaou Moustapha</t>
  </si>
  <si>
    <t>Nana Fadila Halilou</t>
  </si>
  <si>
    <t>Fati Souley</t>
  </si>
  <si>
    <t>Habsatou Issaka</t>
  </si>
  <si>
    <t>Mariama Laouali</t>
  </si>
  <si>
    <t>Nadia Bahari</t>
  </si>
  <si>
    <t>31/12/2010 à Garin Yari Idi</t>
  </si>
  <si>
    <t>Fati Mamane</t>
  </si>
  <si>
    <t>Salamatou Abdoulaye</t>
  </si>
  <si>
    <t>Chafaâtou Moustapha</t>
  </si>
  <si>
    <t>Rahina Mamane</t>
  </si>
  <si>
    <t>Rafi'a Halilou</t>
  </si>
  <si>
    <t>Laouré Daouda</t>
  </si>
  <si>
    <t>Roueida Mamane</t>
  </si>
  <si>
    <t>Faiza Harouna</t>
  </si>
  <si>
    <t>Aichatou Yacouba</t>
  </si>
  <si>
    <t>Waraou</t>
  </si>
  <si>
    <t>Halimatou Maman</t>
  </si>
  <si>
    <t>31/12/2011 à Waraou</t>
  </si>
  <si>
    <t>Madina Nouhou</t>
  </si>
  <si>
    <t>Oubeida Sani</t>
  </si>
  <si>
    <t>31/12/2012 à Waraou</t>
  </si>
  <si>
    <t>Manira Issaka</t>
  </si>
  <si>
    <t>Ouma Salma Mamane</t>
  </si>
  <si>
    <t>Bassira Sallah</t>
  </si>
  <si>
    <t>Amira Ousmane</t>
  </si>
  <si>
    <t>Kalgon Waraou</t>
  </si>
  <si>
    <t>31/12/2011 à Kalgon Waraou</t>
  </si>
  <si>
    <t>Soura I</t>
  </si>
  <si>
    <t>Naamaou Moustapha</t>
  </si>
  <si>
    <t>01/01/2012 à Soura</t>
  </si>
  <si>
    <t>Habsat Maman Bachir</t>
  </si>
  <si>
    <t>Chapiya Aboubacar</t>
  </si>
  <si>
    <t>01/01/2011 à Soura</t>
  </si>
  <si>
    <t>Hanifa Tassiou</t>
  </si>
  <si>
    <t>Abida Yaouba</t>
  </si>
  <si>
    <t>Nadjaâtou Laouali</t>
  </si>
  <si>
    <t>Dayyaba Abdoulahi</t>
  </si>
  <si>
    <t>Zeinab Ousseini</t>
  </si>
  <si>
    <t>Iziya Abdou</t>
  </si>
  <si>
    <t>Zaharaou Salissou</t>
  </si>
  <si>
    <t>Kadidja Mamane</t>
  </si>
  <si>
    <t>Nisseiba Salissou</t>
  </si>
  <si>
    <t>Ousseina Moutari</t>
  </si>
  <si>
    <t>Soura II</t>
  </si>
  <si>
    <t>Nana Firdaoussi Noura</t>
  </si>
  <si>
    <t>Oumeiratou Aminou</t>
  </si>
  <si>
    <t>Mariam Hamidou</t>
  </si>
  <si>
    <t>Fatouma Zara Adamou</t>
  </si>
  <si>
    <t>Nadjaatou Aboubacar</t>
  </si>
  <si>
    <t>Fatouma Moustapha</t>
  </si>
  <si>
    <t>Wassila Noura</t>
  </si>
  <si>
    <t>Soura III</t>
  </si>
  <si>
    <t>Souraya Salissou</t>
  </si>
  <si>
    <t>Zeinab Sani</t>
  </si>
  <si>
    <t>Soura Sarkin Galma I</t>
  </si>
  <si>
    <t>31/12/2011 à Soura Sarkin Galma</t>
  </si>
  <si>
    <t>Aminatou Abdou</t>
  </si>
  <si>
    <t>Safia Mahaman Laouali</t>
  </si>
  <si>
    <t>Zaharia Abdou</t>
  </si>
  <si>
    <t>Oubeida Sanoussi</t>
  </si>
  <si>
    <t>Soura Sarkin Galma II</t>
  </si>
  <si>
    <t>Nabila Tassiou</t>
  </si>
  <si>
    <t>31/12/2012 à Soura Sarkin Galma</t>
  </si>
  <si>
    <t>Rachida Amadou Bako</t>
  </si>
  <si>
    <t>Souraya Ousmane</t>
  </si>
  <si>
    <t>Halissa Sani</t>
  </si>
  <si>
    <t>Chamsiya Laouali</t>
  </si>
  <si>
    <t>Farida Ibrahim</t>
  </si>
  <si>
    <t>Salima Abdou</t>
  </si>
  <si>
    <t>31/12/11 à Tibiri</t>
  </si>
  <si>
    <t>31/12/12 à Tibiri</t>
  </si>
  <si>
    <t>Tibiri Nord III</t>
  </si>
  <si>
    <t>Nana Fadila Moustapha</t>
  </si>
  <si>
    <t>Hadizatou Hassan</t>
  </si>
  <si>
    <t>Ouma Djamila Laouali</t>
  </si>
  <si>
    <t>Rouwaida Aminou</t>
  </si>
  <si>
    <t>Mouniba Laminou</t>
  </si>
  <si>
    <t>Houmeira Yacouba</t>
  </si>
  <si>
    <t>Mariam Oumarou</t>
  </si>
  <si>
    <t>Fatchima Ibrahim</t>
  </si>
  <si>
    <t>Balkissa Saminou</t>
  </si>
  <si>
    <t>Nadjaâtou Sani</t>
  </si>
  <si>
    <t>Rafia Moussa</t>
  </si>
  <si>
    <t>Salamatou Rabiou</t>
  </si>
  <si>
    <t>Samira Saâdou</t>
  </si>
  <si>
    <t>Nana Firdaoussi Inoussa</t>
  </si>
  <si>
    <t>Rafia Sanoussi</t>
  </si>
  <si>
    <t>Mariam Salissou</t>
  </si>
  <si>
    <t>Mansoura Rabiou</t>
  </si>
  <si>
    <t>Kadidja Salissou</t>
  </si>
  <si>
    <t>Kataré Guidan Ousman I</t>
  </si>
  <si>
    <t>Ouzeifa Maman Zaya</t>
  </si>
  <si>
    <t xml:space="preserve">31/12/2012 à Kataré Guidan Ousman </t>
  </si>
  <si>
    <t xml:space="preserve">31/12/2011 à Kataré Guidan Ousman </t>
  </si>
  <si>
    <t>Oumeima Hamza</t>
  </si>
  <si>
    <t>Kamila Souley</t>
  </si>
  <si>
    <t>Sadjida Amadou</t>
  </si>
  <si>
    <t>Zaraou Halarou</t>
  </si>
  <si>
    <t>Naïma Adamou</t>
  </si>
  <si>
    <t>Farida Elh Almou</t>
  </si>
  <si>
    <t>Khariya Issa</t>
  </si>
  <si>
    <t>Kataré Guidan Ousman II</t>
  </si>
  <si>
    <t>Nana Nahayatou Hamissou</t>
  </si>
  <si>
    <t>Fatiha Amadou</t>
  </si>
  <si>
    <t>Zalika Halarou</t>
  </si>
  <si>
    <t>Halimatou Abou</t>
  </si>
  <si>
    <t>Salima Nassirou</t>
  </si>
  <si>
    <t>Fadila Halilou</t>
  </si>
  <si>
    <t>Roumaissaou Inoussa</t>
  </si>
  <si>
    <t>Fati Issia</t>
  </si>
  <si>
    <t>Moufida Hassan</t>
  </si>
  <si>
    <t>Soura Magagi Rogo</t>
  </si>
  <si>
    <t>31/12/2011 Soura Magagi Rogo</t>
  </si>
  <si>
    <t>Nadia Kabirou</t>
  </si>
  <si>
    <t>Sakina Ibrahim</t>
  </si>
  <si>
    <t>Samira Habou</t>
  </si>
  <si>
    <t>30/10/2013 Tibiri</t>
  </si>
  <si>
    <t>Housna Salissou</t>
  </si>
  <si>
    <t>Jamila Aboubacar</t>
  </si>
  <si>
    <t>31/12/2010 Soura Magagi Rogo</t>
  </si>
  <si>
    <t>Chamsia Rabiou</t>
  </si>
  <si>
    <t>03/08/2010 Soura Magagi Rogo</t>
  </si>
  <si>
    <t>Bassira Hamissou</t>
  </si>
  <si>
    <t>Bassira Arzika</t>
  </si>
  <si>
    <t>Zeinab Rabé</t>
  </si>
  <si>
    <t>REPUBLIQUE  DU NIGER</t>
  </si>
  <si>
    <t>REGION DE MARADI</t>
  </si>
  <si>
    <t>DREN DE MARADI</t>
  </si>
  <si>
    <t>IRREP DE MARADI</t>
  </si>
  <si>
    <t>IEPP DE TIBIRI-GOBIR</t>
  </si>
  <si>
    <t>M du 1er trimestre</t>
  </si>
  <si>
    <t>Aicha Aboubacar</t>
  </si>
  <si>
    <t>Aicha Mamane</t>
  </si>
  <si>
    <t>Amira Illa</t>
  </si>
  <si>
    <t>Fadila Soufianou</t>
  </si>
  <si>
    <t>Kadidja Samaila</t>
  </si>
  <si>
    <t>Lamratou Inoussa</t>
  </si>
  <si>
    <t>Malika Halilou</t>
  </si>
  <si>
    <t>Moufida Ibrahim</t>
  </si>
  <si>
    <t>Nana Fadila Abara</t>
  </si>
  <si>
    <t>Nana Firadaoussi Illa</t>
  </si>
  <si>
    <t>Nisseiba Abdou</t>
  </si>
  <si>
    <t>Ousseina Aweissou</t>
  </si>
  <si>
    <t>Yasmina Daouda</t>
  </si>
  <si>
    <t>Djamila Saidou</t>
  </si>
  <si>
    <t>Charifa Idi</t>
  </si>
  <si>
    <t>Djamila Sabiou</t>
  </si>
  <si>
    <t>Fati Abdou</t>
  </si>
  <si>
    <t>Fatima Sabiou</t>
  </si>
  <si>
    <t>Halimatou Saadia Abdou</t>
  </si>
  <si>
    <t>Mouniba Hassan</t>
  </si>
  <si>
    <t>Nazira Sabiou</t>
  </si>
  <si>
    <t>Rahila Sadé</t>
  </si>
  <si>
    <t>Zeinab Kané</t>
  </si>
  <si>
    <t>Adama Abdou</t>
  </si>
  <si>
    <t>Baraâtou Harouna</t>
  </si>
  <si>
    <t>Baraâtou Sabiou</t>
  </si>
  <si>
    <t>Chikouria Tassiou</t>
  </si>
  <si>
    <t>Faiza Abass</t>
  </si>
  <si>
    <t>Farida Mamoudou</t>
  </si>
  <si>
    <t>Firdaoussi Hassan</t>
  </si>
  <si>
    <t>Hadjara Salissou</t>
  </si>
  <si>
    <t>Hassana Rabiou</t>
  </si>
  <si>
    <t>Kadidja Sabiou</t>
  </si>
  <si>
    <t>Kaidja Sani Idi</t>
  </si>
  <si>
    <t>Malika Chaibou</t>
  </si>
  <si>
    <t>Mariam Moussa</t>
  </si>
  <si>
    <t>Nafissa Laouali</t>
  </si>
  <si>
    <t>Nana Faika Anass</t>
  </si>
  <si>
    <t>Nana Soumaya Aweissou</t>
  </si>
  <si>
    <t>Ousseina Rabiou</t>
  </si>
  <si>
    <t>Rabila Kané</t>
  </si>
  <si>
    <t>Roufaida Saadou</t>
  </si>
  <si>
    <t>Sabila Salissou</t>
  </si>
  <si>
    <t>Yassira Abou Soufouane</t>
  </si>
  <si>
    <t>Azima Djibrila</t>
  </si>
  <si>
    <t>Fatiya Rabiou</t>
  </si>
  <si>
    <t>firdaoussi Hamissou</t>
  </si>
  <si>
    <t>Firdaoussi Sanoussi</t>
  </si>
  <si>
    <t>Mouniba Moustapha</t>
  </si>
  <si>
    <t>Nana Soumaya Nassirou</t>
  </si>
  <si>
    <t>Rissalah Salissou</t>
  </si>
  <si>
    <t>Soumaya Issouhou</t>
  </si>
  <si>
    <t>Zakia Abdou Razak</t>
  </si>
  <si>
    <t>Amira Sadissou</t>
  </si>
  <si>
    <t>Baraâtou Daouda</t>
  </si>
  <si>
    <t>Fadila Oumarou</t>
  </si>
  <si>
    <t>Faika Ibrahim</t>
  </si>
  <si>
    <t>Firdaoussi Abou</t>
  </si>
  <si>
    <t>Firdaoussi Ousmane</t>
  </si>
  <si>
    <t>Koursiya Ousmane</t>
  </si>
  <si>
    <t>Mahafouza Idi</t>
  </si>
  <si>
    <t>Mariama Tanimoune</t>
  </si>
  <si>
    <t>Nana Nassoussa Issa</t>
  </si>
  <si>
    <t>Nijaâtou Rachidou</t>
  </si>
  <si>
    <t>Ouma Djamila Moussa</t>
  </si>
  <si>
    <t>Rachida Mahamadou</t>
  </si>
  <si>
    <t>Rafia Sabiou</t>
  </si>
  <si>
    <t>Youssira Laouali</t>
  </si>
  <si>
    <t>Zeinab Hassan</t>
  </si>
  <si>
    <t>Azima Ichaou</t>
  </si>
  <si>
    <t>Bassira Jadi</t>
  </si>
  <si>
    <t>Cherifa Aboubacar</t>
  </si>
  <si>
    <t xml:space="preserve">Firdaoussi Nouhou </t>
  </si>
  <si>
    <t>Hanifa Sadissou</t>
  </si>
  <si>
    <t>Nabiyatou Yacouba</t>
  </si>
  <si>
    <t>Nana Hanifa Laouali</t>
  </si>
  <si>
    <t>Rafia Adamou</t>
  </si>
  <si>
    <t>Rakiya Mamane</t>
  </si>
  <si>
    <t>Rouweida Tsahirou</t>
  </si>
  <si>
    <t>Aichatou Bachar</t>
  </si>
  <si>
    <t>Charifa Hadi</t>
  </si>
  <si>
    <t>Firdaoussi Hamissou</t>
  </si>
  <si>
    <t>Nana Kadidja Mamane</t>
  </si>
  <si>
    <t>Rachida Harouna</t>
  </si>
  <si>
    <t>Zalika Illa</t>
  </si>
  <si>
    <t>Zeinab Amadou</t>
  </si>
  <si>
    <t>Zeinab Maman Salifou</t>
  </si>
  <si>
    <t>Zeinabou Salissou</t>
  </si>
  <si>
    <t>Balkissa Sanoussi</t>
  </si>
  <si>
    <t>Chapia habibou</t>
  </si>
  <si>
    <t>Firdaoussi Kabirou</t>
  </si>
  <si>
    <t>Habsatou Maman</t>
  </si>
  <si>
    <t>Haoualatou Mamoudou</t>
  </si>
  <si>
    <t>Kadidja Abass</t>
  </si>
  <si>
    <t>Kadidja Falalou</t>
  </si>
  <si>
    <t>Kassira Rabé</t>
  </si>
  <si>
    <t>Mabarouka saâdou</t>
  </si>
  <si>
    <t>Maraliya Illa</t>
  </si>
  <si>
    <t>Mariame Nafiou</t>
  </si>
  <si>
    <t>Naâmaou Laouali</t>
  </si>
  <si>
    <t>Nazifa Chiitou</t>
  </si>
  <si>
    <t>Rabila Illa</t>
  </si>
  <si>
    <t>Razika Tahirou</t>
  </si>
  <si>
    <t>Roumaïssaou Laouali</t>
  </si>
  <si>
    <t>Salbiya Aboubacar</t>
  </si>
  <si>
    <t>Salima Ichaou</t>
  </si>
  <si>
    <t>Soumaya Abdou</t>
  </si>
  <si>
    <t>Soumayya Idi</t>
  </si>
  <si>
    <t>Aliya Roufai</t>
  </si>
  <si>
    <t>Amina Ousmane</t>
  </si>
  <si>
    <t>Azima Harouna</t>
  </si>
  <si>
    <t>Bouchara Abou</t>
  </si>
  <si>
    <t>Faiza Wailou</t>
  </si>
  <si>
    <t>Fati Badamassi</t>
  </si>
  <si>
    <t>Maryam Chaibou</t>
  </si>
  <si>
    <t>Mourjanatou Abdou</t>
  </si>
  <si>
    <t>Nana Aicha Abdoul Nasser</t>
  </si>
  <si>
    <t>Nana Aicha Anass</t>
  </si>
  <si>
    <t>Nana Aicha Elh Tsalha</t>
  </si>
  <si>
    <t>Nazifa Abdoul Kadir</t>
  </si>
  <si>
    <t>Samira Elh Tsalha</t>
  </si>
  <si>
    <t>Badaria Salissou</t>
  </si>
  <si>
    <t>Chaâwanatou Chaibou</t>
  </si>
  <si>
    <t>Farida Harouna</t>
  </si>
  <si>
    <t>Fatchima Oumarou</t>
  </si>
  <si>
    <t>Hamida Mani</t>
  </si>
  <si>
    <t>Massaouda Illa</t>
  </si>
  <si>
    <t>Nana Firdaoussi Illa</t>
  </si>
  <si>
    <t>Rabia Aboubacar</t>
  </si>
  <si>
    <t>31/12/2012 à Fagagaou</t>
  </si>
  <si>
    <t>Rachida Issoufou</t>
  </si>
  <si>
    <t>Roufaida Hamissou</t>
  </si>
  <si>
    <t>Sadika Chaibou</t>
  </si>
  <si>
    <t>Sakina Abdou</t>
  </si>
  <si>
    <t>Wassila Ibrahim</t>
  </si>
  <si>
    <t>Yasmina Issoufou</t>
  </si>
  <si>
    <t>Nasseiba Salissou</t>
  </si>
  <si>
    <t>Nana Zouératou Souleymane</t>
  </si>
  <si>
    <t>Parissatou Moussa</t>
  </si>
  <si>
    <t>Zeinab Bassirou</t>
  </si>
  <si>
    <t>Nana Farida Mahaman Sabiou</t>
  </si>
  <si>
    <t>29/02/2012 à Tibiri</t>
  </si>
  <si>
    <t>Safia Moussa</t>
  </si>
  <si>
    <t>Nana Moufida Tidjani</t>
  </si>
  <si>
    <t>Nana Bassira Saminou Saâdou</t>
  </si>
  <si>
    <t>Ousseina Sani</t>
  </si>
  <si>
    <t>Nadiya Sani</t>
  </si>
  <si>
    <t>Zalika Moutari</t>
  </si>
  <si>
    <t>Balkissa Hamissou</t>
  </si>
  <si>
    <t>Safia mamane</t>
  </si>
  <si>
    <t>Kadidjatou Siradji</t>
  </si>
  <si>
    <t>28/06/2012 à Tibiri</t>
  </si>
  <si>
    <t>Rahamatou Laouali</t>
  </si>
  <si>
    <t>Ousseina Souley Kané</t>
  </si>
  <si>
    <t>Farida Aboubacar</t>
  </si>
  <si>
    <t>Rachida Abdoulaye</t>
  </si>
  <si>
    <t>Zaharaou Illia Na'Neito</t>
  </si>
  <si>
    <t>M du 2e trimestre</t>
  </si>
  <si>
    <t>13/08/2013 à Tibiri</t>
  </si>
  <si>
    <t>Fatouma Zara Tassiou</t>
  </si>
  <si>
    <t>Zeinab Tassiou</t>
  </si>
  <si>
    <t>Nana Naima Ousman</t>
  </si>
  <si>
    <t>Bassira Salissou</t>
  </si>
  <si>
    <t>Faouzia Salihou</t>
  </si>
  <si>
    <t>Fatchima Sabiou</t>
  </si>
  <si>
    <t>Hanatou Hakilou</t>
  </si>
  <si>
    <t>Madjida Sabiou</t>
  </si>
  <si>
    <t>Aichatou Zabeirou</t>
  </si>
  <si>
    <t>Balkissa Ousmane</t>
  </si>
  <si>
    <t>Chappa Ibrahim</t>
  </si>
  <si>
    <t>Fati Maâroufi</t>
  </si>
  <si>
    <t>Mansoura Ila</t>
  </si>
  <si>
    <t>Maria Ibrahim</t>
  </si>
  <si>
    <t>Na'Ima Souley</t>
  </si>
  <si>
    <t>Nazifa Salifou</t>
  </si>
  <si>
    <t>Rafia Djadi</t>
  </si>
  <si>
    <t>Ramatou Saidou</t>
  </si>
  <si>
    <t>Raya Issoufou</t>
  </si>
  <si>
    <t>Souraya Boukari</t>
  </si>
  <si>
    <t>Zina Issa</t>
  </si>
  <si>
    <t xml:space="preserve">                                       Résultats des élèves filles du CM1 2023-2024</t>
  </si>
  <si>
    <t>N°</t>
  </si>
  <si>
    <t>Ecoles</t>
  </si>
  <si>
    <t>Nom et Prénom</t>
  </si>
  <si>
    <t>Zoubeida Moustapha</t>
  </si>
  <si>
    <t>Assamaou abdoul Aziz</t>
  </si>
  <si>
    <t>Leilatou Aboubacar</t>
  </si>
  <si>
    <t>Naima Abdoul Razak</t>
  </si>
  <si>
    <t>Fadila Salissou</t>
  </si>
  <si>
    <t>Zeinabou Saminou</t>
  </si>
  <si>
    <t>Balkissou Salissou</t>
  </si>
  <si>
    <t>Yasmina Tsahirou</t>
  </si>
  <si>
    <t>Soumaya Sani</t>
  </si>
  <si>
    <t>Fadimatou Abdou</t>
  </si>
  <si>
    <t>Fadila Rabiou</t>
  </si>
  <si>
    <t>Dayaba Illia</t>
  </si>
  <si>
    <t>Nana Mariama Souley</t>
  </si>
  <si>
    <t>Dayaba Laouali</t>
  </si>
  <si>
    <t>Oumal Kaire Soufianou</t>
  </si>
  <si>
    <t>Amra Mamane</t>
  </si>
  <si>
    <t>Azima Rabiou</t>
  </si>
  <si>
    <t>Farida Moudaha</t>
  </si>
  <si>
    <t>Aminatou Laouali</t>
  </si>
  <si>
    <t>Zeinabou Sani</t>
  </si>
  <si>
    <t>Nana Aicha Adamou</t>
  </si>
  <si>
    <t>Mariama Maâzou</t>
  </si>
  <si>
    <t>Nazifa Arzika</t>
  </si>
  <si>
    <t>Souraya yacouba</t>
  </si>
  <si>
    <t>Kaddja Laouali</t>
  </si>
  <si>
    <t>Ousseina Sabiou</t>
  </si>
  <si>
    <t>Nana Aichatou Rabiou</t>
  </si>
  <si>
    <t>Mariama Laminou</t>
  </si>
  <si>
    <t>Souraya Kabirou</t>
  </si>
  <si>
    <t>Roufaida Salissou</t>
  </si>
  <si>
    <t>Kaddja Rabiou</t>
  </si>
  <si>
    <t>Nadia Hamidou</t>
  </si>
  <si>
    <t>Chaifa Hamza</t>
  </si>
  <si>
    <t>Firdaoussi Souley</t>
  </si>
  <si>
    <t>Farida Maâzou</t>
  </si>
  <si>
    <t>Chapia Abdoul Rachid</t>
  </si>
  <si>
    <t>Chamsiya Saâdou</t>
  </si>
  <si>
    <t>Mabarouka Saâdou</t>
  </si>
  <si>
    <t>Mardiya Sabiou</t>
  </si>
  <si>
    <t>Roufaâtou Kabirou</t>
  </si>
  <si>
    <t>Yassira Issoufou</t>
  </si>
  <si>
    <t>Azima Kassoum</t>
  </si>
  <si>
    <t>Rafia Shafii</t>
  </si>
  <si>
    <t>Firdaoussi Maârou</t>
  </si>
  <si>
    <t>wassila sabiou</t>
  </si>
  <si>
    <t>Amira chaibou</t>
  </si>
  <si>
    <t>Nazira Haladou</t>
  </si>
  <si>
    <t>Faouzia Siradji</t>
  </si>
  <si>
    <t>Ramlatou Chaibou</t>
  </si>
  <si>
    <t>Amira yahouza</t>
  </si>
  <si>
    <t>Roukaya Elh Illia</t>
  </si>
  <si>
    <t>Halissa Hamissou</t>
  </si>
  <si>
    <t>Djamila Abdou</t>
  </si>
  <si>
    <t>Ouzeifa Hamza</t>
  </si>
  <si>
    <t>Kamila Yahaya</t>
  </si>
  <si>
    <t>Salima Saminou</t>
  </si>
  <si>
    <t>Roumana tou Adamou</t>
  </si>
  <si>
    <t>Souraya Abdoul Aziz</t>
  </si>
  <si>
    <t>Roufaida Saddi</t>
  </si>
  <si>
    <t>Daliba Alkassoum</t>
  </si>
  <si>
    <t>Aminatou Sani</t>
  </si>
  <si>
    <t>Naima Issoufou</t>
  </si>
  <si>
    <t>Choukouriya Zabeirou</t>
  </si>
  <si>
    <t>Roubeika Iassaka</t>
  </si>
  <si>
    <t>Nana Hadiza Sani</t>
  </si>
  <si>
    <t>Fatima Zara Sani</t>
  </si>
  <si>
    <t>Faiza Abdourahamane</t>
  </si>
  <si>
    <t>Nazira Chitou</t>
  </si>
  <si>
    <t>Djamila Bachir</t>
  </si>
  <si>
    <t>Fati Marwane</t>
  </si>
  <si>
    <t>Leila Issoufou</t>
  </si>
  <si>
    <t>Nazifa Youssouf</t>
  </si>
  <si>
    <t>Nazira Issaka</t>
  </si>
  <si>
    <t>Roumaissaou Maâzou</t>
  </si>
  <si>
    <t>Rahila Issaka</t>
  </si>
  <si>
    <t>Sabila chapii</t>
  </si>
  <si>
    <t>Wassila Illia</t>
  </si>
  <si>
    <t>Roubeika Issaka</t>
  </si>
  <si>
    <t>Nazifa Yahaya</t>
  </si>
  <si>
    <t>Mouhoussina Amadou</t>
  </si>
  <si>
    <t>Aichatou Laouali</t>
  </si>
  <si>
    <t>Mariam Hamissou</t>
  </si>
  <si>
    <t>Farida Bassirou</t>
  </si>
  <si>
    <t>Kadija Aboubacar</t>
  </si>
  <si>
    <t>Faouzia Baraou</t>
  </si>
  <si>
    <t>Aminatou Yahaya</t>
  </si>
  <si>
    <t>Aichatou Mahamadou</t>
  </si>
  <si>
    <t>Fati Adamou</t>
  </si>
  <si>
    <t>Firdaoussi Aboubacar</t>
  </si>
  <si>
    <t>Naamaou Salissou</t>
  </si>
  <si>
    <t>Naima Adamou</t>
  </si>
  <si>
    <t>Nadjaâtou Aboubacar</t>
  </si>
  <si>
    <t>Kadija Illia</t>
  </si>
  <si>
    <t>Nana Fatima Maâzou</t>
  </si>
  <si>
    <t>Nana Mariama yahaya</t>
  </si>
  <si>
    <t>Roukaya Bachir</t>
  </si>
  <si>
    <t>Habsatou Falaou</t>
  </si>
  <si>
    <t>Chapaâtou Salissou</t>
  </si>
  <si>
    <t>Anifa Maman</t>
  </si>
  <si>
    <t>Raya Rabiou</t>
  </si>
  <si>
    <t>Aichatou Chaibou</t>
  </si>
  <si>
    <t>Badaria Adamou</t>
  </si>
  <si>
    <t>Chaâwa Aboubacar</t>
  </si>
  <si>
    <t>Faouzia Issoufou</t>
  </si>
  <si>
    <t>Halimatou Saâdia Ada</t>
  </si>
  <si>
    <t>Nana Fatchima Issa</t>
  </si>
  <si>
    <t>Nadjaâtou Ado</t>
  </si>
  <si>
    <t>Zakiya Abdou</t>
  </si>
  <si>
    <t>Nana Wassila Inoussa</t>
  </si>
  <si>
    <t>Ramatou Moussa</t>
  </si>
  <si>
    <t>Samina Ali</t>
  </si>
  <si>
    <t>Nafissa Issoufou</t>
  </si>
  <si>
    <t>Nana Chahouda Ibrahim</t>
  </si>
  <si>
    <t>Oumeira Abdou</t>
  </si>
  <si>
    <t>Mazizia Moussa</t>
  </si>
  <si>
    <t>Roufaida Moussa</t>
  </si>
  <si>
    <t>Ouma Issaka</t>
  </si>
  <si>
    <t>Farida Ousmane</t>
  </si>
  <si>
    <t>Walida Inoussa</t>
  </si>
  <si>
    <t>Amira Maman</t>
  </si>
  <si>
    <t>Salissou Mani</t>
  </si>
  <si>
    <t>Marliya Mamouda</t>
  </si>
  <si>
    <t>Mariam Issoufou</t>
  </si>
  <si>
    <t>Mariam Idi</t>
  </si>
  <si>
    <t>Mariam</t>
  </si>
  <si>
    <t>Roufaida</t>
  </si>
  <si>
    <t>Oumaira Abou</t>
  </si>
  <si>
    <t>Safia Abdou</t>
  </si>
  <si>
    <t>Aichatou Ibrahim</t>
  </si>
  <si>
    <t>Firdaoussi</t>
  </si>
  <si>
    <t>Nissaiba Laouali</t>
  </si>
  <si>
    <t>Wassila Abdou</t>
  </si>
  <si>
    <t>Sabia Sabiou</t>
  </si>
  <si>
    <t>Zakia Achirou</t>
  </si>
  <si>
    <t>Bacharia Ousman</t>
  </si>
  <si>
    <t>Ousseina Issoufou</t>
  </si>
  <si>
    <t>Ainaou Achirou</t>
  </si>
  <si>
    <t>Aicha Soupianou</t>
  </si>
  <si>
    <t>Chamsia Laouali</t>
  </si>
  <si>
    <t>Fatchima Abdoul Wahab</t>
  </si>
  <si>
    <t>Fati Saâdou</t>
  </si>
  <si>
    <t>Hajara Alou</t>
  </si>
  <si>
    <t>Lami Daouda</t>
  </si>
  <si>
    <t>Lantana Maâzou</t>
  </si>
  <si>
    <t>Marliya Yacouba</t>
  </si>
  <si>
    <t>Mourjanatou</t>
  </si>
  <si>
    <t>Najaâtou Abdou</t>
  </si>
  <si>
    <t>Nafissou Abdou</t>
  </si>
  <si>
    <t>Nabila Rabiou</t>
  </si>
  <si>
    <t>Roumanatou Yahouza</t>
  </si>
  <si>
    <t>Roufaida Laouali</t>
  </si>
  <si>
    <t>Sabila Illia</t>
  </si>
  <si>
    <t>Sayada Moussa</t>
  </si>
  <si>
    <t>Yassira Chaibou</t>
  </si>
  <si>
    <t>Chamsia Souley</t>
  </si>
  <si>
    <t>Aicha Amadou</t>
  </si>
  <si>
    <t>Faiza Amadou</t>
  </si>
  <si>
    <t>Rouweida Abou</t>
  </si>
  <si>
    <t>Rafia Chaibou</t>
  </si>
  <si>
    <t>Ramatou Issaka</t>
  </si>
  <si>
    <t>Badaria Yahaya</t>
  </si>
  <si>
    <t>Nadia Ibarahim</t>
  </si>
  <si>
    <t>Halimatou Abdoul Aziz</t>
  </si>
  <si>
    <t>Saâdou Maâzou</t>
  </si>
  <si>
    <t>Sabila Saidou</t>
  </si>
  <si>
    <t>Moustahida Mourtala</t>
  </si>
  <si>
    <t>Fatiya Salissou</t>
  </si>
  <si>
    <t>Maryam Salifou</t>
  </si>
  <si>
    <t>Hannatou Idrissa</t>
  </si>
  <si>
    <t>Bichira Samaila</t>
  </si>
  <si>
    <t>Yesmina Zabeirou</t>
  </si>
  <si>
    <t>Salima Salissou</t>
  </si>
  <si>
    <t>Firdaoussi Saminou</t>
  </si>
  <si>
    <t>Malika Nassirou</t>
  </si>
  <si>
    <t>Faiza Ibrahim</t>
  </si>
  <si>
    <t>Kadidja Moussa</t>
  </si>
  <si>
    <t>Malika Laouali</t>
  </si>
  <si>
    <t>Rabila Ibrahim</t>
  </si>
  <si>
    <t>Roukaya Sani</t>
  </si>
  <si>
    <t>Houmeira Hassan</t>
  </si>
  <si>
    <t>Leila Rabiou</t>
  </si>
  <si>
    <t>Habsatou Hamissou</t>
  </si>
  <si>
    <t>Mafida Sabiou</t>
  </si>
  <si>
    <t>Nadia Laouali</t>
  </si>
  <si>
    <t>Halatou Sani</t>
  </si>
  <si>
    <t>Nana Firdaoussi Abdou</t>
  </si>
  <si>
    <t>Amira Bello</t>
  </si>
  <si>
    <t>Amatoulahi Hassane</t>
  </si>
  <si>
    <t>Charifa Boukari</t>
  </si>
  <si>
    <t>Chaawa Nassirou</t>
  </si>
  <si>
    <t>Fatsima Ibbo</t>
  </si>
  <si>
    <t>Hamida Maharazou</t>
  </si>
  <si>
    <t>Hassana Issoufou</t>
  </si>
  <si>
    <t>Halimatou Moutari</t>
  </si>
  <si>
    <t>Ihsane Saminou</t>
  </si>
  <si>
    <t>Malika Ismael</t>
  </si>
  <si>
    <t>Marfoua Laouali</t>
  </si>
  <si>
    <t>Mansoura Sabiou</t>
  </si>
  <si>
    <t>Mouniba Yacouba</t>
  </si>
  <si>
    <t>Mariam Tassiou</t>
  </si>
  <si>
    <t>Nazifa Siradji</t>
  </si>
  <si>
    <t>Oumeira Zakari</t>
  </si>
  <si>
    <t>Ousseina Daouda</t>
  </si>
  <si>
    <t>Yasmina Issaka</t>
  </si>
  <si>
    <t>Youssira Sabiou</t>
  </si>
  <si>
    <t>Amira sadé</t>
  </si>
  <si>
    <t>Bichira Yahouza</t>
  </si>
  <si>
    <t>Fadila Moustapha</t>
  </si>
  <si>
    <t>Farida Abdoulaye</t>
  </si>
  <si>
    <t>Fatouma Zara Sani</t>
  </si>
  <si>
    <t>Faida Ali</t>
  </si>
  <si>
    <t>Halimatou Mahamadou</t>
  </si>
  <si>
    <t>Malika Kassoumou</t>
  </si>
  <si>
    <t>Mansoura Laouali</t>
  </si>
  <si>
    <t>Nana Rouwaida Sani</t>
  </si>
  <si>
    <t>Nabila Mountari</t>
  </si>
  <si>
    <t>Ousseina Laouali</t>
  </si>
  <si>
    <t>Rachida Sanouchi</t>
  </si>
  <si>
    <t>Soura Mansour</t>
  </si>
  <si>
    <t>Yasmina Hamza</t>
  </si>
  <si>
    <t>Siyama Bassirou</t>
  </si>
  <si>
    <t>Zeinab Hadi</t>
  </si>
  <si>
    <t>Kadidja Ayouba</t>
  </si>
  <si>
    <t>Tibiri Dan Fillo III</t>
  </si>
  <si>
    <t>Nana Aichatou Moustapha</t>
  </si>
  <si>
    <t xml:space="preserve">Firdaoussi Yahouza </t>
  </si>
  <si>
    <t>Azima Baraou</t>
  </si>
  <si>
    <t>Oumoul Kair Zabeirou</t>
  </si>
  <si>
    <t>Fadila Moussa</t>
  </si>
  <si>
    <t>Aichtou Ousmane</t>
  </si>
  <si>
    <t>Oumaira Oumarou</t>
  </si>
  <si>
    <t>Nafissa Rabiou</t>
  </si>
  <si>
    <t>Mariama Salissou</t>
  </si>
  <si>
    <t>Haoua Illa</t>
  </si>
  <si>
    <t>Naima Hassane</t>
  </si>
  <si>
    <t>Fatchima Salissou</t>
  </si>
  <si>
    <t>Zoubeida Chaibou</t>
  </si>
  <si>
    <t>Naima Hannafi</t>
  </si>
  <si>
    <t>Salima Saâdou</t>
  </si>
  <si>
    <t>Nassiba Rabiou</t>
  </si>
  <si>
    <t>Soumaya Moussa</t>
  </si>
  <si>
    <t>Zina Laouali</t>
  </si>
  <si>
    <t>Nafissa Kabirou</t>
  </si>
  <si>
    <t>Rachida Illa</t>
  </si>
  <si>
    <t>Nana Farissa Ibrahim</t>
  </si>
  <si>
    <t>Malika Issoufou</t>
  </si>
  <si>
    <t>Binta Souley</t>
  </si>
  <si>
    <t>Chamsiya Ibrahim</t>
  </si>
  <si>
    <t>Naima Sabiou</t>
  </si>
  <si>
    <t>Nana Firdaoussi Maâroufi</t>
  </si>
  <si>
    <t>Nazifa Mamane</t>
  </si>
  <si>
    <t>Safiya Sanoussi</t>
  </si>
  <si>
    <t>Nana Charifa Zabeirou</t>
  </si>
  <si>
    <t>Nazira Sani</t>
  </si>
  <si>
    <t>Bassira Maâzou</t>
  </si>
  <si>
    <t>Nana Nabila Laminou</t>
  </si>
  <si>
    <t>Charifa Souley</t>
  </si>
  <si>
    <t>Bassira Saidou</t>
  </si>
  <si>
    <t>Chamsiya Abdou</t>
  </si>
  <si>
    <t>Charifa Djadi</t>
  </si>
  <si>
    <t>Hassana Saidou</t>
  </si>
  <si>
    <t>Zahariya Aminou</t>
  </si>
  <si>
    <t>Bassira Amani</t>
  </si>
  <si>
    <t>Yasmina Illia</t>
  </si>
  <si>
    <t>Habsatou Moutari</t>
  </si>
  <si>
    <t>Maida Salifou</t>
  </si>
  <si>
    <t>Kadidja Ouchamou</t>
  </si>
  <si>
    <t>Roukaya Salissou</t>
  </si>
  <si>
    <t>Nafissa Adamou</t>
  </si>
  <si>
    <t>Roumana  Salissou</t>
  </si>
  <si>
    <t>Amira Issa</t>
  </si>
  <si>
    <t>Kadidja Abou</t>
  </si>
  <si>
    <t>Safia Yahouza</t>
  </si>
  <si>
    <t>Manira Sani</t>
  </si>
  <si>
    <t>Amira Harouna</t>
  </si>
  <si>
    <t>Racida Mamane</t>
  </si>
  <si>
    <t>Mariam Yacouba</t>
  </si>
  <si>
    <t>Aichatou Habibou</t>
  </si>
  <si>
    <t>Ramanatou Yacouba</t>
  </si>
  <si>
    <t>Ramatou Sanoussi</t>
  </si>
  <si>
    <t>Rachida Inoussa</t>
  </si>
  <si>
    <t>Nana Roufaida Tsahirou</t>
  </si>
  <si>
    <t>Mariam illia</t>
  </si>
  <si>
    <t>Nafissa Ichaou</t>
  </si>
  <si>
    <t>Aminatou Saidou</t>
  </si>
  <si>
    <t>Nana fadila Zaharadine</t>
  </si>
  <si>
    <t>Kadija Issaka</t>
  </si>
  <si>
    <t>Fati Illa</t>
  </si>
  <si>
    <t>Fati Illia</t>
  </si>
  <si>
    <t>Rahanatou Amadou</t>
  </si>
  <si>
    <t>Mansoura Abou</t>
  </si>
  <si>
    <t>Kadidja Aminou</t>
  </si>
  <si>
    <t>Fati Mahaman</t>
  </si>
  <si>
    <t>Iklima Inoussa</t>
  </si>
  <si>
    <t>Hassana Hassan</t>
  </si>
  <si>
    <t>Nana Firdaoussi Idrissa</t>
  </si>
  <si>
    <t>Hassana Nazirou</t>
  </si>
  <si>
    <t>Maimouna Halilou</t>
  </si>
  <si>
    <t>Firdaoussi Harouna</t>
  </si>
  <si>
    <t>Na'amaou Laouali</t>
  </si>
  <si>
    <t>Safia Ousmane</t>
  </si>
  <si>
    <t>Habsatou Ali</t>
  </si>
  <si>
    <t>Hafiza Idi</t>
  </si>
  <si>
    <t>Saratou Laouali</t>
  </si>
  <si>
    <t>Rafia Hamissou</t>
  </si>
  <si>
    <t>Ainaou Sabiou</t>
  </si>
  <si>
    <t>Aminatou Moustapha</t>
  </si>
  <si>
    <t>Aichatou Noura</t>
  </si>
  <si>
    <t>Bassira Awaissou</t>
  </si>
  <si>
    <t>Chappa Hamissou</t>
  </si>
  <si>
    <t>Djamila Tsahirou</t>
  </si>
  <si>
    <t>Fatimatou Hachimou</t>
  </si>
  <si>
    <t>Fati Ibrahim</t>
  </si>
  <si>
    <t>Faiza Yahaya</t>
  </si>
  <si>
    <t>Fadila Inoussa</t>
  </si>
  <si>
    <t>Housna Mhamadou</t>
  </si>
  <si>
    <t>Hawaou Hamissou</t>
  </si>
  <si>
    <t>Hawaou Amadou</t>
  </si>
  <si>
    <t>Nana Aicha Abdoulaye</t>
  </si>
  <si>
    <t>Nana Balkissa Rabiou</t>
  </si>
  <si>
    <t>Rahamatou Issaka</t>
  </si>
  <si>
    <t>Roumeissaou Hamissou</t>
  </si>
  <si>
    <t>Ramlatou Sani</t>
  </si>
  <si>
    <t>Yassira Sani</t>
  </si>
  <si>
    <t>Kaoussar Sabiou</t>
  </si>
  <si>
    <t>Nana Bassira Ali</t>
  </si>
  <si>
    <t>Zeinabou Issa</t>
  </si>
  <si>
    <t>Halimatou Moussa</t>
  </si>
  <si>
    <t>Kadidja Issia</t>
  </si>
  <si>
    <t>Oumeira Ila</t>
  </si>
  <si>
    <t>Nassiba Harouna</t>
  </si>
  <si>
    <t>Fouréra Abdoul kader</t>
  </si>
  <si>
    <t>Hassana Laouali</t>
  </si>
  <si>
    <t>Firadoussi Salissou</t>
  </si>
  <si>
    <t>Nazifa Issaka</t>
  </si>
  <si>
    <t>Kadidja Sani</t>
  </si>
  <si>
    <t>Ouma Salma Salissou</t>
  </si>
  <si>
    <t>Mouchtahida Chaibou</t>
  </si>
  <si>
    <t>Mariam Baraou</t>
  </si>
  <si>
    <t>Hapiza Salissou</t>
  </si>
  <si>
    <t>Halimatou Hamissou</t>
  </si>
  <si>
    <t>Firadaoussi Ibrahim</t>
  </si>
  <si>
    <t>Farida Noura</t>
  </si>
  <si>
    <t>Nana Hadiza Idi</t>
  </si>
  <si>
    <t>Mariam ,Kané</t>
  </si>
  <si>
    <t>Azima rabiou</t>
  </si>
  <si>
    <t>Rabia Laouali</t>
  </si>
  <si>
    <t>Transférée</t>
  </si>
  <si>
    <t xml:space="preserve"> </t>
  </si>
  <si>
    <t>Yasmina Ouseini</t>
  </si>
  <si>
    <t>Roufaida Aboubacar</t>
  </si>
  <si>
    <t>Ousseïna Abaché</t>
  </si>
  <si>
    <t>Firdaoussi Abaché</t>
  </si>
  <si>
    <t>Zaharaou Idi</t>
  </si>
  <si>
    <t>Mouhoussina Souleymane</t>
  </si>
  <si>
    <t>Soumaya Maharazou</t>
  </si>
  <si>
    <t>Farida Hamidou</t>
  </si>
  <si>
    <t>Naima Hassan Sani</t>
  </si>
  <si>
    <t>Nana Kaoussar Sahailou</t>
  </si>
  <si>
    <t>Mouhoussina ilia</t>
  </si>
  <si>
    <t>KATARE GUIDAN OUSMAN 2</t>
  </si>
  <si>
    <t>Insrites</t>
  </si>
  <si>
    <t>Absante</t>
  </si>
  <si>
    <t>Presentes</t>
  </si>
  <si>
    <t>Pourcentage</t>
  </si>
  <si>
    <t>Admises</t>
  </si>
  <si>
    <t>KATARE GUIDAN OUSMAN 1</t>
  </si>
  <si>
    <t>Fatima Hamissou</t>
  </si>
  <si>
    <t>Hanifa Salifou</t>
  </si>
  <si>
    <t>Aminatou Souley</t>
  </si>
  <si>
    <t>Hanatou Sani</t>
  </si>
  <si>
    <t>Houmaira Hachimou</t>
  </si>
  <si>
    <t>Hadiza Mourtala</t>
  </si>
  <si>
    <t>SOURA 1</t>
  </si>
  <si>
    <t>SOURA 2</t>
  </si>
  <si>
    <t>SOURA 3</t>
  </si>
  <si>
    <t>SOURA MAGAGIN ROGO</t>
  </si>
  <si>
    <t>Aicha Aliou</t>
  </si>
  <si>
    <t>Kadidji Salissou</t>
  </si>
  <si>
    <t>Soumayya Laouali</t>
  </si>
  <si>
    <t>Charifa Illia</t>
  </si>
  <si>
    <t>SOURA SAKIN GALMA 1</t>
  </si>
  <si>
    <t>Nana Sourayya Rabiou</t>
  </si>
  <si>
    <t>Roufaida Hannafi</t>
  </si>
  <si>
    <t>KALGON WARAOU</t>
  </si>
  <si>
    <r>
      <t>SO</t>
    </r>
    <r>
      <rPr>
        <b/>
        <sz val="11"/>
        <color theme="1"/>
        <rFont val="Calibri"/>
        <family val="2"/>
        <scheme val="minor"/>
      </rPr>
      <t>URA SAKIN GALMA 2</t>
    </r>
  </si>
  <si>
    <t>DAN FILLO 3</t>
  </si>
  <si>
    <t>WAROU</t>
  </si>
  <si>
    <t>Nana Sabia Sabiou</t>
  </si>
  <si>
    <t>Wassila Ousmane</t>
  </si>
  <si>
    <t>Aicha Bahari</t>
  </si>
  <si>
    <t>Aicha Samaila</t>
  </si>
  <si>
    <t>Nadia Nassirou</t>
  </si>
  <si>
    <t>Chappa Hachimou</t>
  </si>
  <si>
    <t>Soumayya Issoufou</t>
  </si>
  <si>
    <t>Halissa Mani</t>
  </si>
  <si>
    <t>TIBIRI NORD 3</t>
  </si>
  <si>
    <t>GARIN YARI IDI</t>
  </si>
  <si>
    <t>Total</t>
  </si>
  <si>
    <t>Admises #</t>
  </si>
  <si>
    <t>Admises %</t>
  </si>
  <si>
    <t>Comments</t>
  </si>
  <si>
    <t>Total Count:360</t>
  </si>
  <si>
    <t>Total Average MA: 5.84</t>
  </si>
  <si>
    <t>CM1 Totals</t>
  </si>
  <si>
    <t>MA Pass #</t>
  </si>
  <si>
    <t>MA Pass %</t>
  </si>
  <si>
    <t>What School?</t>
  </si>
  <si>
    <t>Abandonee #</t>
  </si>
  <si>
    <t>Non Admise #</t>
  </si>
  <si>
    <t>Abandonee %</t>
  </si>
  <si>
    <t>Non Admise %</t>
  </si>
  <si>
    <t>CM2</t>
  </si>
  <si>
    <t>Presentes #</t>
  </si>
  <si>
    <t>CM1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</si>
</sst>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[Red]\-#,##0.00\ &quot;€&quot;"/>
  </numFmts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gency FB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0"/>
      <color rgb="FF00B0F0"/>
      <name val="Tahoma"/>
      <family val="2"/>
    </font>
    <font>
      <sz val="9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theme="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9" fontId="12" fillId="0" borderId="0" applyFont="0" applyFill="0" applyBorder="0" applyAlignment="0" applyProtection="0"/>
  </cellStyleXfs>
  <cellXfs count="104">
    <xf numFmtId="0" fontId="0" fillId="0" borderId="0" xfId="0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4" xfId="0" applyFont="1" applyFill="1" applyBorder="1"/>
    <xf numFmtId="0" fontId="2" fillId="0" borderId="0" xfId="0" applyFont="1"/>
    <xf numFmtId="0" fontId="6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2" borderId="1" xfId="0" applyNumberFormat="1" applyFont="1" applyFill="1" applyBorder="1"/>
    <xf numFmtId="0" fontId="7" fillId="0" borderId="0" xfId="0" applyFont="1"/>
    <xf numFmtId="0" fontId="0" fillId="0" borderId="1" xfId="0" applyBorder="1"/>
    <xf numFmtId="20" fontId="0" fillId="0" borderId="1" xfId="0" applyNumberFormat="1" applyBorder="1"/>
    <xf numFmtId="2" fontId="5" fillId="0" borderId="1" xfId="0" applyNumberFormat="1" applyFont="1" applyBorder="1"/>
    <xf numFmtId="2" fontId="8" fillId="2" borderId="1" xfId="0" applyNumberFormat="1" applyFont="1" applyFill="1" applyBorder="1"/>
    <xf numFmtId="0" fontId="5" fillId="2" borderId="1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2" fontId="8" fillId="0" borderId="1" xfId="0" applyNumberFormat="1" applyFont="1" applyBorder="1"/>
    <xf numFmtId="0" fontId="9" fillId="2" borderId="1" xfId="0" applyFont="1" applyFill="1" applyBorder="1"/>
    <xf numFmtId="0" fontId="10" fillId="2" borderId="1" xfId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2" fontId="9" fillId="0" borderId="1" xfId="0" applyNumberFormat="1" applyFont="1" applyBorder="1"/>
    <xf numFmtId="2" fontId="11" fillId="2" borderId="1" xfId="0" applyNumberFormat="1" applyFont="1" applyFill="1" applyBorder="1"/>
    <xf numFmtId="0" fontId="9" fillId="2" borderId="1" xfId="0" applyFont="1" applyFill="1" applyBorder="1" applyProtection="1"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2" fontId="11" fillId="0" borderId="1" xfId="0" applyNumberFormat="1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4" xfId="0" applyFont="1" applyBorder="1"/>
    <xf numFmtId="0" fontId="5" fillId="2" borderId="4" xfId="0" applyFont="1" applyFill="1" applyBorder="1" applyProtection="1">
      <protection locked="0"/>
    </xf>
    <xf numFmtId="0" fontId="9" fillId="2" borderId="5" xfId="0" applyFont="1" applyFill="1" applyBorder="1"/>
    <xf numFmtId="0" fontId="5" fillId="2" borderId="5" xfId="0" applyFont="1" applyFill="1" applyBorder="1"/>
    <xf numFmtId="0" fontId="9" fillId="0" borderId="5" xfId="0" applyFont="1" applyBorder="1"/>
    <xf numFmtId="0" fontId="5" fillId="0" borderId="5" xfId="0" applyFont="1" applyBorder="1"/>
    <xf numFmtId="2" fontId="9" fillId="2" borderId="6" xfId="0" applyNumberFormat="1" applyFont="1" applyFill="1" applyBorder="1"/>
    <xf numFmtId="2" fontId="5" fillId="2" borderId="6" xfId="0" applyNumberFormat="1" applyFont="1" applyFill="1" applyBorder="1"/>
    <xf numFmtId="0" fontId="4" fillId="2" borderId="4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5" fillId="2" borderId="8" xfId="0" applyFont="1" applyFill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2" fontId="5" fillId="0" borderId="2" xfId="0" applyNumberFormat="1" applyFont="1" applyBorder="1"/>
    <xf numFmtId="2" fontId="8" fillId="2" borderId="2" xfId="0" applyNumberFormat="1" applyFont="1" applyFill="1" applyBorder="1"/>
    <xf numFmtId="2" fontId="5" fillId="2" borderId="3" xfId="0" applyNumberFormat="1" applyFont="1" applyFill="1" applyBorder="1"/>
    <xf numFmtId="0" fontId="4" fillId="2" borderId="10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/>
    </xf>
    <xf numFmtId="0" fontId="2" fillId="0" borderId="1" xfId="0" applyFont="1" applyBorder="1"/>
    <xf numFmtId="0" fontId="4" fillId="2" borderId="9" xfId="1" applyFont="1" applyFill="1" applyBorder="1" applyAlignment="1">
      <alignment horizontal="center" vertical="center" wrapText="1"/>
    </xf>
    <xf numFmtId="10" fontId="0" fillId="0" borderId="0" xfId="3" applyNumberFormat="1" applyFont="1"/>
    <xf numFmtId="0" fontId="2" fillId="3" borderId="0" xfId="0" applyFont="1" applyFill="1"/>
    <xf numFmtId="2" fontId="0" fillId="0" borderId="0" xfId="0" applyNumberFormat="1"/>
    <xf numFmtId="2" fontId="14" fillId="2" borderId="11" xfId="0" applyNumberFormat="1" applyFont="1" applyFill="1" applyBorder="1" applyAlignment="1">
      <alignment horizontal="center"/>
    </xf>
    <xf numFmtId="0" fontId="0" fillId="0" borderId="10" xfId="0" applyBorder="1"/>
    <xf numFmtId="0" fontId="2" fillId="0" borderId="2" xfId="0" applyFont="1" applyBorder="1"/>
    <xf numFmtId="0" fontId="6" fillId="3" borderId="1" xfId="0" applyFont="1" applyFill="1" applyBorder="1"/>
    <xf numFmtId="2" fontId="6" fillId="3" borderId="1" xfId="0" applyNumberFormat="1" applyFont="1" applyFill="1" applyBorder="1"/>
    <xf numFmtId="10" fontId="6" fillId="3" borderId="1" xfId="3" applyNumberFormat="1" applyFont="1" applyFill="1" applyBorder="1"/>
    <xf numFmtId="0" fontId="0" fillId="0" borderId="5" xfId="0" applyBorder="1"/>
    <xf numFmtId="0" fontId="9" fillId="0" borderId="6" xfId="0" applyFont="1" applyBorder="1"/>
    <xf numFmtId="0" fontId="0" fillId="0" borderId="6" xfId="0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2" fontId="0" fillId="0" borderId="7" xfId="0" applyNumberFormat="1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6" fillId="4" borderId="0" xfId="0" applyFont="1" applyFill="1"/>
    <xf numFmtId="0" fontId="15" fillId="0" borderId="0" xfId="1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5" fillId="5" borderId="10" xfId="0" applyFont="1" applyFill="1" applyBorder="1"/>
    <xf numFmtId="0" fontId="13" fillId="5" borderId="4" xfId="0" applyFont="1" applyFill="1" applyBorder="1" applyAlignment="1">
      <alignment horizontal="center"/>
    </xf>
    <xf numFmtId="0" fontId="5" fillId="5" borderId="4" xfId="0" applyFont="1" applyFill="1" applyBorder="1"/>
    <xf numFmtId="0" fontId="5" fillId="5" borderId="4" xfId="0" applyFont="1" applyFill="1" applyBorder="1" applyAlignment="1">
      <alignment horizontal="center"/>
    </xf>
    <xf numFmtId="2" fontId="5" fillId="5" borderId="4" xfId="0" applyNumberFormat="1" applyFont="1" applyFill="1" applyBorder="1" applyAlignment="1">
      <alignment horizontal="center"/>
    </xf>
    <xf numFmtId="2" fontId="5" fillId="5" borderId="4" xfId="0" applyNumberFormat="1" applyFont="1" applyFill="1" applyBorder="1"/>
    <xf numFmtId="2" fontId="8" fillId="5" borderId="4" xfId="0" applyNumberFormat="1" applyFont="1" applyFill="1" applyBorder="1"/>
    <xf numFmtId="2" fontId="5" fillId="5" borderId="7" xfId="0" applyNumberFormat="1" applyFont="1" applyFill="1" applyBorder="1"/>
    <xf numFmtId="0" fontId="0" fillId="5" borderId="0" xfId="0" applyFill="1"/>
    <xf numFmtId="0" fontId="0" fillId="7" borderId="15" xfId="0" applyFill="1" applyBorder="1"/>
    <xf numFmtId="0" fontId="0" fillId="0" borderId="15" xfId="0" applyBorder="1"/>
    <xf numFmtId="0" fontId="6" fillId="0" borderId="0" xfId="0" applyFont="1" applyAlignment="1">
      <alignment horizontal="center"/>
    </xf>
    <xf numFmtId="0" fontId="15" fillId="6" borderId="16" xfId="0" applyFont="1" applyFill="1" applyBorder="1" applyAlignment="1">
      <alignment horizont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2" fillId="5" borderId="4" xfId="0" applyFont="1" applyFill="1" applyBorder="1"/>
    <xf numFmtId="10" fontId="0" fillId="0" borderId="0" xfId="3" applyNumberFormat="1" applyFont="1" applyAlignment="1">
      <alignment vertical="center"/>
    </xf>
    <xf numFmtId="10" fontId="15" fillId="0" borderId="0" xfId="3" applyNumberFormat="1" applyFont="1" applyAlignment="1">
      <alignment horizontal="center"/>
    </xf>
    <xf numFmtId="0" fontId="2" fillId="7" borderId="1" xfId="0" applyFont="1" applyFill="1" applyBorder="1"/>
    <xf numFmtId="0" fontId="2" fillId="7" borderId="9" xfId="0" applyFont="1" applyFill="1" applyBorder="1"/>
    <xf numFmtId="0" fontId="0" fillId="0" borderId="0" xfId="0" applyAlignment="1">
      <alignment horizontal="right"/>
    </xf>
    <xf numFmtId="0" fontId="17" fillId="0" borderId="0" xfId="0" applyFont="1" applyAlignment="1">
      <alignment horizontal="right" vertical="center"/>
    </xf>
    <xf numFmtId="10" fontId="16" fillId="0" borderId="0" xfId="3" applyNumberFormat="1" applyFont="1"/>
    <xf numFmtId="10" fontId="16" fillId="0" borderId="0" xfId="3" applyNumberFormat="1" applyFont="1" applyAlignment="1">
      <alignment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10" fontId="0" fillId="0" borderId="0" xfId="0" applyNumberFormat="1"/>
    <xf numFmtId="10" fontId="0" fillId="5" borderId="0" xfId="3" applyNumberFormat="1" applyFont="1" applyFill="1"/>
    <xf numFmtId="0" fontId="19" fillId="0" borderId="0" xfId="0" applyFont="1" applyAlignment="1">
      <alignment horizontal="center" vertical="center"/>
    </xf>
  </cellXfs>
  <cellStyles count="4">
    <cellStyle name="Normal" xfId="0" builtinId="0"/>
    <cellStyle name="Normal 4" xfId="1" xr:uid="{00000000-0005-0000-0000-000001000000}"/>
    <cellStyle name="Normal 5" xfId="2" xr:uid="{00000000-0005-0000-0000-000002000000}"/>
    <cellStyle name="Percent" xfId="3" builtinId="5"/>
  </cellStyles>
  <dxfs count="81">
    <dxf>
      <fill>
        <patternFill patternType="solid">
          <fgColor indexed="64"/>
          <bgColor rgb="FF00B050"/>
        </patternFill>
      </fill>
    </dxf>
    <dxf>
      <numFmt numFmtId="14" formatCode="0.00%"/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</dxf>
    <dxf>
      <numFmt numFmtId="14" formatCode="0.00%"/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</dxf>
    <dxf>
      <numFmt numFmtId="14" formatCode="0.00%"/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</dxf>
    <dxf>
      <fill>
        <patternFill patternType="solid">
          <fgColor indexed="64"/>
          <bgColor rgb="FF00B050"/>
        </patternFill>
      </fill>
    </dxf>
    <dxf>
      <numFmt numFmtId="0" formatCode="General"/>
    </dxf>
    <dxf>
      <fill>
        <patternFill patternType="solid">
          <fgColor indexed="64"/>
          <bgColor rgb="FF00B050"/>
        </patternFill>
      </fill>
    </dxf>
    <dxf>
      <alignment horizontal="right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B050"/>
        </patternFill>
      </fill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B050"/>
        </patternFill>
      </fill>
    </dxf>
    <dxf>
      <numFmt numFmtId="14" formatCode="0.00%"/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rgb="FF00B05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gency FB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/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60669-E332-A042-B750-495496DB9B5D}" name="Table1" displayName="Table1" ref="A7:E368" totalsRowCount="1" headerRowDxfId="80" headerRowBorderDxfId="79" tableBorderDxfId="78">
  <autoFilter ref="A7:E367" xr:uid="{0AC60669-E332-A042-B750-495496DB9B5D}"/>
  <tableColumns count="5">
    <tableColumn id="1" xr3:uid="{551A2488-0B44-074C-9C97-3DDA121FCE62}" name="N°" totalsRowFunction="count" dataDxfId="77" totalsRowDxfId="76"/>
    <tableColumn id="2" xr3:uid="{8B1646AC-17A4-D143-929F-AF776E75D906}" name="Ecoles" dataDxfId="75" totalsRowDxfId="74"/>
    <tableColumn id="3" xr3:uid="{27212EBD-1C19-C946-9937-EFB76BD0100D}" name="Nom et Prénom" dataDxfId="73" totalsRowDxfId="72"/>
    <tableColumn id="4" xr3:uid="{DEAB7D17-E50E-264A-99F3-5BC0A3B2A838}" name="MA" totalsRowFunction="average" dataDxfId="71" totalsRowDxfId="70"/>
    <tableColumn id="5" xr3:uid="{E5BB41C6-A15A-8441-AEFE-C8F2F8960651}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EBE74F-FD13-8E49-8A9E-2BCAB247D132}" name="Table53" displayName="Table53" ref="A1:E15">
  <autoFilter ref="A1:E15" xr:uid="{FFFDE1F3-D7A5-004B-A880-3AAA957BBC59}"/>
  <tableColumns count="5">
    <tableColumn id="1" xr3:uid="{089E6A82-F4CD-FD42-8F1F-417EB6DE6CAC}" name="Ecole" totalsRowLabel="Total" dataDxfId="69" totalsRowDxfId="68"/>
    <tableColumn id="2" xr3:uid="{D19B015C-A4D6-9346-B5D9-0166073AFFB2}" name="Insrites" totalsRowFunction="sum"/>
    <tableColumn id="7" xr3:uid="{29C31725-EE16-AF4A-93E2-46DE8315B684}" name="MA" totalsRowLabel="5.44" dataDxfId="67" totalsRowDxfId="66"/>
    <tableColumn id="10" xr3:uid="{04B5BAFA-DA8C-154C-A804-C73B7189A97B}" name="MA Pass #"/>
    <tableColumn id="11" xr3:uid="{507A32A0-C5F1-5C4A-B692-783A031DC878}" name="MA Pass %" dataDxfId="65" totalsRowDxfId="64" dataCellStyle="Percent">
      <calculatedColumnFormula>Table53[[#This Row],[MA Pass '#]]/Table53[[#This Row],[Insrites]]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392A5E-5587-EB47-867E-F2E98844F2F3}" name="Table4" displayName="Table4" ref="A3:J327" totalsRowCount="1" headerRowDxfId="63" totalsRowDxfId="61" tableBorderDxfId="62" headerRowCellStyle="Normal 4">
  <autoFilter ref="A3:J326" xr:uid="{47392A5E-5587-EB47-867E-F2E98844F2F3}"/>
  <tableColumns count="10">
    <tableColumn id="1" xr3:uid="{0886D54C-704B-4A47-A674-02E83D355D86}" name="Ecole" totalsRowLabel="Total" dataDxfId="60" totalsRowDxfId="59"/>
    <tableColumn id="2" xr3:uid="{C2DF9B78-B711-EF44-9FE3-0DA43EE8DA78}" name="N° d'ordre" totalsRowFunction="count" dataDxfId="58" totalsRowDxfId="57" dataCellStyle="Normal 4"/>
    <tableColumn id="3" xr3:uid="{DCA5F61E-10E5-AB43-B96F-472FEF485F25}" name="PRENOMS ET NOMS  " dataDxfId="56" totalsRowDxfId="55"/>
    <tableColumn id="4" xr3:uid="{E797CD76-E870-F141-A243-6714106913F5}" name="Date et lieu de naissance" dataDxfId="54" totalsRowDxfId="53"/>
    <tableColumn id="5" xr3:uid="{49CAB627-FF40-D74F-8758-3663617D6F8B}" name="Sexe" dataDxfId="52" totalsRowDxfId="51"/>
    <tableColumn id="6" xr3:uid="{2E907A2F-758E-1649-8089-D0C9DDF56251}" name="M du 1er trimestre" totalsRowFunction="average" dataDxfId="50" totalsRowDxfId="49"/>
    <tableColumn id="7" xr3:uid="{E968501D-4D6E-BA4B-A00F-7B24363E326F}" name="M du 2e trimestre" totalsRowFunction="average" dataDxfId="48" totalsRowDxfId="47"/>
    <tableColumn id="8" xr3:uid="{352E1E67-0E5D-FC4C-B263-CEE9D8726C48}" name="MA" totalsRowFunction="average" dataDxfId="46" totalsRowDxfId="45">
      <calculatedColumnFormula>(F4+G4)/2</calculatedColumnFormula>
    </tableColumn>
    <tableColumn id="9" xr3:uid="{6A0D2430-8B5E-DE4B-8012-57A67B5C67FC}" name="M/CFEPD" totalsRowFunction="average" dataDxfId="44" totalsRowDxfId="43"/>
    <tableColumn id="10" xr3:uid="{AA76DFCC-6544-CC41-B540-1DDD07A62930}" name="MG" totalsRowFunction="average" dataDxfId="42" totalsRowDxfId="41">
      <calculatedColumnFormula>(H4+I4)/2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3114B5-70F8-904D-9B35-1DC698696100}" name="Table54" displayName="Table54" ref="A22:J36" totalsRowCount="1" headerRowDxfId="40" totalsRowDxfId="39">
  <autoFilter ref="A22:J35" xr:uid="{EB3114B5-70F8-904D-9B35-1DC698696100}"/>
  <tableColumns count="10">
    <tableColumn id="1" xr3:uid="{F9FA4807-C83C-6A4A-90DA-2472038404EF}" name="Ecole" totalsRowLabel="Total" dataDxfId="38" totalsRowDxfId="37"/>
    <tableColumn id="2" xr3:uid="{E1573327-9226-5C4F-A30E-AD197FBE5F8D}" name="Insrites" totalsRowFunction="sum" dataDxfId="36" totalsRowDxfId="35"/>
    <tableColumn id="6" xr3:uid="{6A61A6AC-5801-364A-9409-A686C634C88F}" name="Abandonee #" totalsRowFunction="sum" dataDxfId="34" totalsRowDxfId="33"/>
    <tableColumn id="5" xr3:uid="{4E633FD3-96DB-154E-86CE-6B6D6CC9955E}" name="Presentes #" totalsRowFunction="sum" dataDxfId="32" totalsRowDxfId="31">
      <calculatedColumnFormula>B23-C23</calculatedColumnFormula>
    </tableColumn>
    <tableColumn id="3" xr3:uid="{F3DFC0C7-FBF0-D14B-AD5B-4406BE593C8C}" name="Admises #" totalsRowFunction="sum" dataDxfId="30" totalsRowDxfId="29"/>
    <tableColumn id="4" xr3:uid="{7CE8B632-A7B4-5F4A-8801-3DD04788FC62}" name="Non Admise #" totalsRowFunction="sum" dataDxfId="28" totalsRowDxfId="27">
      <calculatedColumnFormula>Table54[[#This Row],[Presentes '#]]-Table54[[#This Row],[Admises '#]]</calculatedColumnFormula>
    </tableColumn>
    <tableColumn id="7" xr3:uid="{604DBD1B-8DFA-374B-B515-05D744F030CB}" name="Abandonee %" totalsRowFunction="custom" dataDxfId="26" totalsRowDxfId="25" dataCellStyle="Percent" totalsRowCellStyle="Percent">
      <totalsRowFormula>Table54[[#Totals],[Abandonee '#]]/Table54[[#Totals],[Insrites]]</totalsRowFormula>
    </tableColumn>
    <tableColumn id="10" xr3:uid="{E020923F-AD7B-0C45-B04B-A39932CAFFE4}" name="Admises %" totalsRowFunction="custom" dataDxfId="24" totalsRowDxfId="23" totalsRowCellStyle="Percent">
      <calculatedColumnFormula>Table54[[#This Row],[Admises '#]]/Table54[[#This Row],[Presentes '#]]</calculatedColumnFormula>
      <totalsRowFormula>Table54[[#Totals],[Admises '#]]/Table54[[#Totals],[Presentes '#]]</totalsRowFormula>
    </tableColumn>
    <tableColumn id="11" xr3:uid="{C2ED3A87-8E23-7341-8EE0-1E294C58828E}" name="Non Admise %" totalsRowFunction="custom" dataDxfId="22" totalsRowDxfId="21" dataCellStyle="Percent" totalsRowCellStyle="Percent">
      <calculatedColumnFormula>Table54[[#This Row],[Non Admise '#]]/Table54[[#This Row],[Presentes '#]]</calculatedColumnFormula>
      <totalsRowFormula>Table54[[#Totals],[Non Admise '#]]/Table54[[#Totals],[Presentes '#]]</totalsRowFormula>
    </tableColumn>
    <tableColumn id="12" xr3:uid="{5C01F56E-34CA-9146-996B-164A0F4612F5}" name="Comments" totalsRow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CCBA02-EBFC-2248-BD10-809CF80BF149}" name="Table556" displayName="Table556" ref="A6:J20" totalsRowCount="1" headerRowDxfId="19" totalsRowDxfId="18">
  <autoFilter ref="A6:J19" xr:uid="{18CCBA02-EBFC-2248-BD10-809CF80BF149}"/>
  <tableColumns count="10">
    <tableColumn id="1" xr3:uid="{2F42076D-D017-8E4E-BB0A-5EBCC2F261CA}" name="Ecole" totalsRowLabel="Total" dataDxfId="17" totalsRowDxfId="16"/>
    <tableColumn id="2" xr3:uid="{C3FDD5C6-DF0A-EF43-ACD6-DDE17D6CFAEF}" name="Insrites" totalsRowFunction="sum" dataDxfId="15" totalsRowDxfId="14"/>
    <tableColumn id="6" xr3:uid="{0512942F-0821-1149-AC78-BA3089EEC000}" name="Abandonee #" totalsRowFunction="sum" totalsRowDxfId="13"/>
    <tableColumn id="5" xr3:uid="{602A4789-53C8-264D-9E64-8E6460E44535}" name="Presentes" totalsRowFunction="sum" dataDxfId="12" totalsRowDxfId="11"/>
    <tableColumn id="3" xr3:uid="{7F2A15D9-BED3-5A47-8AA5-2F572835FBD9}" name="Admises #" totalsRowFunction="sum" dataDxfId="10" totalsRowDxfId="9"/>
    <tableColumn id="4" xr3:uid="{64A9F110-324A-F841-B538-5FB5290CA028}" name="Non Admise #" totalsRowFunction="sum" dataDxfId="8" totalsRowDxfId="7">
      <calculatedColumnFormula>Table556[[#This Row],[Presentes]]-Table556[[#This Row],[Admises '#]]</calculatedColumnFormula>
    </tableColumn>
    <tableColumn id="7" xr3:uid="{D1B7D698-D6F1-4646-9C7A-B23C324376DF}" name="Abandonee %" totalsRowFunction="custom" dataDxfId="6" totalsRowDxfId="5" dataCellStyle="Percent" totalsRowCellStyle="Percent">
      <calculatedColumnFormula>Table556[[#This Row],[Abandonee '#]]/Table556[[#This Row],[Insrites]]</calculatedColumnFormula>
      <totalsRowFormula>Table556[[#Totals],[Abandonee '#]]/Table556[[#Totals],[Insrites]]</totalsRowFormula>
    </tableColumn>
    <tableColumn id="10" xr3:uid="{12EF601F-828A-454B-A773-B5E7F931976F}" name="Admises %" totalsRowFunction="custom" dataDxfId="4" totalsRowDxfId="3" dataCellStyle="Percent" totalsRowCellStyle="Percent">
      <calculatedColumnFormula>Table556[[#This Row],[Admises '#]]/Table556[[#This Row],[Presentes]]</calculatedColumnFormula>
      <totalsRowFormula>Table556[[#Totals],[Admises '#]]/Table556[[#Totals],[Presentes]]</totalsRowFormula>
    </tableColumn>
    <tableColumn id="11" xr3:uid="{10B5C589-5290-0D4F-9599-5E8F52FCB6AA}" name="Non Admise %" totalsRowFunction="custom" dataDxfId="2" totalsRowDxfId="1" dataCellStyle="Percent" totalsRowCellStyle="Percent">
      <calculatedColumnFormula>Table556[[#This Row],[Non Admise '#]]/Table556[[#This Row],[Presentes]]</calculatedColumnFormula>
      <totalsRowFormula>Table556[[#Totals],[Non Admise '#]]/Table556[[#Totals],[Presentes]]</totalsRowFormula>
    </tableColumn>
    <tableColumn id="12" xr3:uid="{5097E712-FCE4-7C4E-8DED-BBC971F51764}" name="Comments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8C09-8331-DC42-A245-7D5F4005992E}">
  <dimension ref="A1:E371"/>
  <sheetViews>
    <sheetView topLeftCell="A6" workbookViewId="0">
      <selection activeCell="D22" sqref="D22:D279"/>
    </sheetView>
  </sheetViews>
  <sheetFormatPr defaultColWidth="10.90625" defaultRowHeight="14.5" x14ac:dyDescent="0.35"/>
  <cols>
    <col min="1" max="1" width="5.36328125" customWidth="1"/>
    <col min="2" max="2" width="24.36328125" customWidth="1"/>
    <col min="3" max="3" width="23.81640625" customWidth="1"/>
    <col min="4" max="4" width="14.6328125" bestFit="1" customWidth="1"/>
    <col min="5" max="5" width="14.453125" bestFit="1" customWidth="1"/>
  </cols>
  <sheetData>
    <row r="1" spans="1:5" x14ac:dyDescent="0.35">
      <c r="A1" s="4" t="s">
        <v>156</v>
      </c>
    </row>
    <row r="2" spans="1:5" x14ac:dyDescent="0.35">
      <c r="A2" s="4" t="s">
        <v>157</v>
      </c>
    </row>
    <row r="3" spans="1:5" x14ac:dyDescent="0.35">
      <c r="A3" s="4" t="s">
        <v>158</v>
      </c>
    </row>
    <row r="4" spans="1:5" x14ac:dyDescent="0.35">
      <c r="A4" s="4" t="s">
        <v>159</v>
      </c>
    </row>
    <row r="5" spans="1:5" x14ac:dyDescent="0.35">
      <c r="A5" s="4" t="s">
        <v>160</v>
      </c>
    </row>
    <row r="6" spans="1:5" x14ac:dyDescent="0.35">
      <c r="B6" t="s">
        <v>342</v>
      </c>
    </row>
    <row r="7" spans="1:5" x14ac:dyDescent="0.35">
      <c r="A7" s="61" t="s">
        <v>343</v>
      </c>
      <c r="B7" s="62" t="s">
        <v>344</v>
      </c>
      <c r="C7" s="62" t="s">
        <v>345</v>
      </c>
      <c r="D7" s="63" t="s">
        <v>5</v>
      </c>
      <c r="E7" s="62" t="s">
        <v>747</v>
      </c>
    </row>
    <row r="8" spans="1:5" x14ac:dyDescent="0.35">
      <c r="A8" s="31">
        <v>1</v>
      </c>
      <c r="B8" s="25" t="s">
        <v>74</v>
      </c>
      <c r="C8" s="25" t="s">
        <v>673</v>
      </c>
      <c r="D8" s="59">
        <v>9.8699999999999992</v>
      </c>
    </row>
    <row r="9" spans="1:5" x14ac:dyDescent="0.35">
      <c r="A9" s="31">
        <f t="shared" ref="A9:A72" si="0">A8+1</f>
        <v>2</v>
      </c>
      <c r="B9" s="25" t="s">
        <v>74</v>
      </c>
      <c r="C9" s="25" t="s">
        <v>674</v>
      </c>
      <c r="D9" s="59">
        <v>9.85</v>
      </c>
    </row>
    <row r="10" spans="1:5" x14ac:dyDescent="0.35">
      <c r="A10" s="31">
        <f t="shared" si="0"/>
        <v>3</v>
      </c>
      <c r="B10" s="25" t="s">
        <v>569</v>
      </c>
      <c r="C10" s="25" t="s">
        <v>638</v>
      </c>
      <c r="D10" s="59">
        <v>9.8000000000000007</v>
      </c>
    </row>
    <row r="11" spans="1:5" x14ac:dyDescent="0.35">
      <c r="A11" s="31">
        <f t="shared" si="0"/>
        <v>4</v>
      </c>
      <c r="B11" s="25" t="s">
        <v>74</v>
      </c>
      <c r="C11" s="25" t="s">
        <v>675</v>
      </c>
      <c r="D11" s="59">
        <v>9.75</v>
      </c>
    </row>
    <row r="12" spans="1:5" x14ac:dyDescent="0.35">
      <c r="A12" s="31">
        <f t="shared" si="0"/>
        <v>5</v>
      </c>
      <c r="B12" s="25" t="s">
        <v>74</v>
      </c>
      <c r="C12" s="25" t="s">
        <v>676</v>
      </c>
      <c r="D12" s="59">
        <v>9.75</v>
      </c>
    </row>
    <row r="13" spans="1:5" x14ac:dyDescent="0.35">
      <c r="A13" s="31">
        <f t="shared" si="0"/>
        <v>6</v>
      </c>
      <c r="B13" s="25" t="s">
        <v>58</v>
      </c>
      <c r="C13" s="25" t="s">
        <v>517</v>
      </c>
      <c r="D13" s="59">
        <v>9.6999999999999993</v>
      </c>
    </row>
    <row r="14" spans="1:5" x14ac:dyDescent="0.35">
      <c r="A14" s="31">
        <f t="shared" si="0"/>
        <v>7</v>
      </c>
      <c r="B14" s="25" t="s">
        <v>142</v>
      </c>
      <c r="C14" s="25" t="s">
        <v>367</v>
      </c>
      <c r="D14" s="59">
        <v>9.64</v>
      </c>
    </row>
    <row r="15" spans="1:5" x14ac:dyDescent="0.35">
      <c r="A15" s="31">
        <f t="shared" si="0"/>
        <v>8</v>
      </c>
      <c r="B15" s="25" t="s">
        <v>74</v>
      </c>
      <c r="C15" s="25" t="s">
        <v>541</v>
      </c>
      <c r="D15" s="59">
        <v>9.58</v>
      </c>
    </row>
    <row r="16" spans="1:5" x14ac:dyDescent="0.35">
      <c r="A16" s="31">
        <f t="shared" si="0"/>
        <v>9</v>
      </c>
      <c r="B16" s="25" t="s">
        <v>28</v>
      </c>
      <c r="C16" s="25" t="s">
        <v>485</v>
      </c>
      <c r="D16" s="59">
        <v>9.48</v>
      </c>
    </row>
    <row r="17" spans="1:4" x14ac:dyDescent="0.35">
      <c r="A17" s="31">
        <f t="shared" si="0"/>
        <v>10</v>
      </c>
      <c r="B17" s="25" t="s">
        <v>28</v>
      </c>
      <c r="C17" s="25" t="s">
        <v>486</v>
      </c>
      <c r="D17" s="59">
        <v>9.48</v>
      </c>
    </row>
    <row r="18" spans="1:4" x14ac:dyDescent="0.35">
      <c r="A18" s="31">
        <f t="shared" si="0"/>
        <v>11</v>
      </c>
      <c r="B18" s="25" t="s">
        <v>74</v>
      </c>
      <c r="C18" s="25" t="s">
        <v>533</v>
      </c>
      <c r="D18" s="59">
        <v>9.48</v>
      </c>
    </row>
    <row r="19" spans="1:4" x14ac:dyDescent="0.35">
      <c r="A19" s="31">
        <f t="shared" si="0"/>
        <v>12</v>
      </c>
      <c r="B19" s="25" t="s">
        <v>74</v>
      </c>
      <c r="C19" s="25" t="s">
        <v>537</v>
      </c>
      <c r="D19" s="59">
        <v>9.43</v>
      </c>
    </row>
    <row r="20" spans="1:4" x14ac:dyDescent="0.35">
      <c r="A20" s="31">
        <f t="shared" si="0"/>
        <v>13</v>
      </c>
      <c r="B20" s="25" t="s">
        <v>142</v>
      </c>
      <c r="C20" s="25" t="s">
        <v>363</v>
      </c>
      <c r="D20" s="59">
        <v>9.42</v>
      </c>
    </row>
    <row r="21" spans="1:4" x14ac:dyDescent="0.35">
      <c r="A21" s="31">
        <f t="shared" si="0"/>
        <v>14</v>
      </c>
      <c r="B21" s="25" t="s">
        <v>569</v>
      </c>
      <c r="C21" s="25" t="s">
        <v>626</v>
      </c>
      <c r="D21" s="59">
        <v>9.3800000000000008</v>
      </c>
    </row>
    <row r="22" spans="1:4" x14ac:dyDescent="0.35">
      <c r="A22" s="31">
        <f t="shared" si="0"/>
        <v>15</v>
      </c>
      <c r="B22" s="25" t="s">
        <v>46</v>
      </c>
      <c r="C22" s="25" t="s">
        <v>451</v>
      </c>
      <c r="D22" s="59">
        <v>9.3800000000000008</v>
      </c>
    </row>
    <row r="23" spans="1:4" x14ac:dyDescent="0.35">
      <c r="A23" s="31">
        <f t="shared" si="0"/>
        <v>16</v>
      </c>
      <c r="B23" s="25" t="s">
        <v>46</v>
      </c>
      <c r="C23" s="25" t="s">
        <v>450</v>
      </c>
      <c r="D23" s="59">
        <v>9.35</v>
      </c>
    </row>
    <row r="24" spans="1:4" x14ac:dyDescent="0.35">
      <c r="A24" s="31">
        <f t="shared" si="0"/>
        <v>17</v>
      </c>
      <c r="B24" s="25" t="s">
        <v>569</v>
      </c>
      <c r="C24" s="25" t="s">
        <v>649</v>
      </c>
      <c r="D24" s="59">
        <v>9.3000000000000007</v>
      </c>
    </row>
    <row r="25" spans="1:4" x14ac:dyDescent="0.35">
      <c r="A25" s="31">
        <f t="shared" si="0"/>
        <v>18</v>
      </c>
      <c r="B25" s="25" t="s">
        <v>28</v>
      </c>
      <c r="C25" s="25" t="s">
        <v>490</v>
      </c>
      <c r="D25" s="59">
        <v>9.2799999999999994</v>
      </c>
    </row>
    <row r="26" spans="1:4" x14ac:dyDescent="0.35">
      <c r="A26" s="31">
        <f t="shared" si="0"/>
        <v>19</v>
      </c>
      <c r="B26" s="25" t="s">
        <v>46</v>
      </c>
      <c r="C26" s="25" t="s">
        <v>467</v>
      </c>
      <c r="D26" s="59">
        <v>9.25</v>
      </c>
    </row>
    <row r="27" spans="1:4" x14ac:dyDescent="0.35">
      <c r="A27" s="31">
        <f t="shared" si="0"/>
        <v>20</v>
      </c>
      <c r="B27" s="25" t="s">
        <v>58</v>
      </c>
      <c r="C27" s="25" t="s">
        <v>512</v>
      </c>
      <c r="D27" s="59">
        <v>9.16</v>
      </c>
    </row>
    <row r="28" spans="1:4" x14ac:dyDescent="0.35">
      <c r="A28" s="31">
        <f t="shared" si="0"/>
        <v>21</v>
      </c>
      <c r="B28" s="25" t="s">
        <v>142</v>
      </c>
      <c r="C28" s="25" t="s">
        <v>375</v>
      </c>
      <c r="D28" s="59">
        <v>9.16</v>
      </c>
    </row>
    <row r="29" spans="1:4" x14ac:dyDescent="0.35">
      <c r="A29" s="31">
        <f t="shared" si="0"/>
        <v>22</v>
      </c>
      <c r="B29" s="25" t="s">
        <v>121</v>
      </c>
      <c r="C29" s="25" t="s">
        <v>387</v>
      </c>
      <c r="D29" s="59">
        <v>9.1199999999999992</v>
      </c>
    </row>
    <row r="30" spans="1:4" x14ac:dyDescent="0.35">
      <c r="A30" s="31">
        <f t="shared" si="0"/>
        <v>23</v>
      </c>
      <c r="B30" s="25" t="s">
        <v>82</v>
      </c>
      <c r="C30" s="25" t="s">
        <v>552</v>
      </c>
      <c r="D30" s="59">
        <v>9.09</v>
      </c>
    </row>
    <row r="31" spans="1:4" x14ac:dyDescent="0.35">
      <c r="A31" s="31">
        <f t="shared" si="0"/>
        <v>24</v>
      </c>
      <c r="B31" s="25" t="s">
        <v>82</v>
      </c>
      <c r="C31" s="25" t="s">
        <v>553</v>
      </c>
      <c r="D31" s="59">
        <v>9</v>
      </c>
    </row>
    <row r="32" spans="1:4" x14ac:dyDescent="0.35">
      <c r="A32" s="31">
        <f t="shared" si="0"/>
        <v>25</v>
      </c>
      <c r="B32" s="25" t="s">
        <v>569</v>
      </c>
      <c r="C32" s="25" t="s">
        <v>637</v>
      </c>
      <c r="D32" s="59">
        <v>9</v>
      </c>
    </row>
    <row r="33" spans="1:4" x14ac:dyDescent="0.35">
      <c r="A33" s="31">
        <f t="shared" si="0"/>
        <v>26</v>
      </c>
      <c r="B33" s="25" t="s">
        <v>85</v>
      </c>
      <c r="C33" s="25" t="s">
        <v>570</v>
      </c>
      <c r="D33" s="59">
        <v>8.9700000000000006</v>
      </c>
    </row>
    <row r="34" spans="1:4" x14ac:dyDescent="0.35">
      <c r="A34" s="31">
        <f t="shared" si="0"/>
        <v>27</v>
      </c>
      <c r="B34" s="25" t="s">
        <v>74</v>
      </c>
      <c r="C34" s="25" t="s">
        <v>677</v>
      </c>
      <c r="D34" s="59">
        <v>8.94</v>
      </c>
    </row>
    <row r="35" spans="1:4" x14ac:dyDescent="0.35">
      <c r="A35" s="31">
        <f t="shared" si="0"/>
        <v>28</v>
      </c>
      <c r="B35" s="25" t="s">
        <v>569</v>
      </c>
      <c r="C35" s="25" t="s">
        <v>645</v>
      </c>
      <c r="D35" s="59">
        <v>8.92</v>
      </c>
    </row>
    <row r="36" spans="1:4" x14ac:dyDescent="0.35">
      <c r="A36" s="31">
        <f t="shared" si="0"/>
        <v>29</v>
      </c>
      <c r="B36" s="25" t="s">
        <v>74</v>
      </c>
      <c r="C36" s="25" t="s">
        <v>543</v>
      </c>
      <c r="D36" s="59">
        <v>8.91</v>
      </c>
    </row>
    <row r="37" spans="1:4" x14ac:dyDescent="0.35">
      <c r="A37" s="31">
        <f t="shared" si="0"/>
        <v>30</v>
      </c>
      <c r="B37" s="25" t="s">
        <v>82</v>
      </c>
      <c r="C37" s="25" t="s">
        <v>561</v>
      </c>
      <c r="D37" s="59">
        <v>8.9</v>
      </c>
    </row>
    <row r="38" spans="1:4" x14ac:dyDescent="0.35">
      <c r="A38" s="31">
        <f t="shared" si="0"/>
        <v>31</v>
      </c>
      <c r="B38" s="25" t="s">
        <v>121</v>
      </c>
      <c r="C38" s="25" t="s">
        <v>388</v>
      </c>
      <c r="D38" s="59">
        <v>8.84</v>
      </c>
    </row>
    <row r="39" spans="1:4" x14ac:dyDescent="0.35">
      <c r="A39" s="31">
        <f t="shared" si="0"/>
        <v>32</v>
      </c>
      <c r="B39" s="25" t="s">
        <v>569</v>
      </c>
      <c r="C39" s="25" t="s">
        <v>628</v>
      </c>
      <c r="D39" s="59">
        <v>8.84</v>
      </c>
    </row>
    <row r="40" spans="1:4" x14ac:dyDescent="0.35">
      <c r="A40" s="31">
        <f t="shared" si="0"/>
        <v>33</v>
      </c>
      <c r="B40" s="25" t="s">
        <v>132</v>
      </c>
      <c r="C40" s="25" t="s">
        <v>402</v>
      </c>
      <c r="D40" s="59">
        <v>8.82</v>
      </c>
    </row>
    <row r="41" spans="1:4" x14ac:dyDescent="0.35">
      <c r="A41" s="31">
        <f t="shared" si="0"/>
        <v>34</v>
      </c>
      <c r="B41" s="25" t="s">
        <v>74</v>
      </c>
      <c r="C41" s="25" t="s">
        <v>678</v>
      </c>
      <c r="D41" s="59">
        <v>8.8000000000000007</v>
      </c>
    </row>
    <row r="42" spans="1:4" x14ac:dyDescent="0.35">
      <c r="A42" s="31">
        <f t="shared" si="0"/>
        <v>35</v>
      </c>
      <c r="B42" s="25" t="s">
        <v>132</v>
      </c>
      <c r="C42" s="25" t="s">
        <v>403</v>
      </c>
      <c r="D42" s="59">
        <v>8.77</v>
      </c>
    </row>
    <row r="43" spans="1:4" x14ac:dyDescent="0.35">
      <c r="A43" s="31">
        <f t="shared" si="0"/>
        <v>36</v>
      </c>
      <c r="B43" s="25" t="s">
        <v>85</v>
      </c>
      <c r="C43" s="25" t="s">
        <v>571</v>
      </c>
      <c r="D43" s="59">
        <v>8.7200000000000006</v>
      </c>
    </row>
    <row r="44" spans="1:4" x14ac:dyDescent="0.35">
      <c r="A44" s="31">
        <f t="shared" si="0"/>
        <v>37</v>
      </c>
      <c r="B44" s="25" t="s">
        <v>132</v>
      </c>
      <c r="C44" s="25" t="s">
        <v>404</v>
      </c>
      <c r="D44" s="59">
        <v>8.7100000000000009</v>
      </c>
    </row>
    <row r="45" spans="1:4" x14ac:dyDescent="0.35">
      <c r="A45" s="31">
        <f t="shared" si="0"/>
        <v>38</v>
      </c>
      <c r="B45" s="25" t="s">
        <v>28</v>
      </c>
      <c r="C45" s="25" t="s">
        <v>500</v>
      </c>
      <c r="D45" s="59">
        <v>8.64</v>
      </c>
    </row>
    <row r="46" spans="1:4" x14ac:dyDescent="0.35">
      <c r="A46" s="31">
        <f t="shared" si="0"/>
        <v>39</v>
      </c>
      <c r="B46" s="25" t="s">
        <v>74</v>
      </c>
      <c r="C46" s="25" t="s">
        <v>536</v>
      </c>
      <c r="D46" s="59">
        <v>8.6300000000000008</v>
      </c>
    </row>
    <row r="47" spans="1:4" x14ac:dyDescent="0.35">
      <c r="A47" s="31">
        <f t="shared" si="0"/>
        <v>40</v>
      </c>
      <c r="B47" s="25" t="s">
        <v>91</v>
      </c>
      <c r="C47" s="25" t="s">
        <v>653</v>
      </c>
      <c r="D47" s="59">
        <v>8.61</v>
      </c>
    </row>
    <row r="48" spans="1:4" x14ac:dyDescent="0.35">
      <c r="A48" s="31">
        <f t="shared" si="0"/>
        <v>41</v>
      </c>
      <c r="B48" s="25" t="s">
        <v>74</v>
      </c>
      <c r="C48" s="25" t="s">
        <v>540</v>
      </c>
      <c r="D48" s="59">
        <v>8.52</v>
      </c>
    </row>
    <row r="49" spans="1:4" x14ac:dyDescent="0.35">
      <c r="A49" s="31">
        <f t="shared" si="0"/>
        <v>42</v>
      </c>
      <c r="B49" s="25" t="s">
        <v>132</v>
      </c>
      <c r="C49" s="25" t="s">
        <v>426</v>
      </c>
      <c r="D49" s="59">
        <v>8.5</v>
      </c>
    </row>
    <row r="50" spans="1:4" x14ac:dyDescent="0.35">
      <c r="A50" s="31">
        <f t="shared" si="0"/>
        <v>43</v>
      </c>
      <c r="B50" s="25" t="s">
        <v>58</v>
      </c>
      <c r="C50" s="25" t="s">
        <v>514</v>
      </c>
      <c r="D50" s="59">
        <v>8.5</v>
      </c>
    </row>
    <row r="51" spans="1:4" x14ac:dyDescent="0.35">
      <c r="A51" s="31">
        <f t="shared" si="0"/>
        <v>44</v>
      </c>
      <c r="B51" s="25" t="s">
        <v>569</v>
      </c>
      <c r="C51" s="25" t="s">
        <v>635</v>
      </c>
      <c r="D51" s="59">
        <v>8.48</v>
      </c>
    </row>
    <row r="52" spans="1:4" x14ac:dyDescent="0.35">
      <c r="A52" s="31">
        <f t="shared" si="0"/>
        <v>45</v>
      </c>
      <c r="B52" s="25" t="s">
        <v>28</v>
      </c>
      <c r="C52" s="25" t="s">
        <v>494</v>
      </c>
      <c r="D52" s="59">
        <v>8.4600000000000009</v>
      </c>
    </row>
    <row r="53" spans="1:4" x14ac:dyDescent="0.35">
      <c r="A53" s="31">
        <f t="shared" si="0"/>
        <v>46</v>
      </c>
      <c r="B53" s="25" t="s">
        <v>121</v>
      </c>
      <c r="C53" s="25" t="s">
        <v>389</v>
      </c>
      <c r="D53" s="59">
        <v>8.4600000000000009</v>
      </c>
    </row>
    <row r="54" spans="1:4" x14ac:dyDescent="0.35">
      <c r="A54" s="31">
        <f t="shared" si="0"/>
        <v>47</v>
      </c>
      <c r="B54" s="25" t="s">
        <v>74</v>
      </c>
      <c r="C54" s="25" t="s">
        <v>534</v>
      </c>
      <c r="D54" s="59">
        <v>8.4499999999999993</v>
      </c>
    </row>
    <row r="55" spans="1:4" x14ac:dyDescent="0.35">
      <c r="A55" s="31">
        <f t="shared" si="0"/>
        <v>48</v>
      </c>
      <c r="B55" s="25" t="s">
        <v>132</v>
      </c>
      <c r="C55" s="25" t="s">
        <v>427</v>
      </c>
      <c r="D55" s="59">
        <v>8.42</v>
      </c>
    </row>
    <row r="56" spans="1:4" x14ac:dyDescent="0.35">
      <c r="A56" s="31">
        <f t="shared" si="0"/>
        <v>49</v>
      </c>
      <c r="B56" s="25" t="s">
        <v>28</v>
      </c>
      <c r="C56" s="25" t="s">
        <v>482</v>
      </c>
      <c r="D56" s="59">
        <v>8.39</v>
      </c>
    </row>
    <row r="57" spans="1:4" x14ac:dyDescent="0.35">
      <c r="A57" s="31">
        <f t="shared" si="0"/>
        <v>50</v>
      </c>
      <c r="B57" s="25" t="s">
        <v>28</v>
      </c>
      <c r="C57" s="25" t="s">
        <v>501</v>
      </c>
      <c r="D57" s="59">
        <v>8.3800000000000008</v>
      </c>
    </row>
    <row r="58" spans="1:4" x14ac:dyDescent="0.35">
      <c r="A58" s="31">
        <f t="shared" si="0"/>
        <v>51</v>
      </c>
      <c r="B58" s="25" t="s">
        <v>569</v>
      </c>
      <c r="C58" s="25" t="s">
        <v>642</v>
      </c>
      <c r="D58" s="59">
        <v>8.19</v>
      </c>
    </row>
    <row r="59" spans="1:4" x14ac:dyDescent="0.35">
      <c r="A59" s="31">
        <f t="shared" si="0"/>
        <v>52</v>
      </c>
      <c r="B59" s="25" t="s">
        <v>569</v>
      </c>
      <c r="C59" s="25" t="s">
        <v>629</v>
      </c>
      <c r="D59" s="59">
        <v>8.1</v>
      </c>
    </row>
    <row r="60" spans="1:4" x14ac:dyDescent="0.35">
      <c r="A60" s="31">
        <f t="shared" si="0"/>
        <v>53</v>
      </c>
      <c r="B60" s="25" t="s">
        <v>58</v>
      </c>
      <c r="C60" s="25" t="s">
        <v>513</v>
      </c>
      <c r="D60" s="59">
        <v>8.07</v>
      </c>
    </row>
    <row r="61" spans="1:4" x14ac:dyDescent="0.35">
      <c r="A61" s="31">
        <f t="shared" si="0"/>
        <v>54</v>
      </c>
      <c r="B61" s="25" t="s">
        <v>132</v>
      </c>
      <c r="C61" s="25" t="s">
        <v>428</v>
      </c>
      <c r="D61" s="59">
        <v>8.0399999999999991</v>
      </c>
    </row>
    <row r="62" spans="1:4" x14ac:dyDescent="0.35">
      <c r="A62" s="31">
        <f t="shared" si="0"/>
        <v>55</v>
      </c>
      <c r="B62" s="25" t="s">
        <v>58</v>
      </c>
      <c r="C62" s="25" t="s">
        <v>515</v>
      </c>
      <c r="D62" s="59">
        <v>8</v>
      </c>
    </row>
    <row r="63" spans="1:4" x14ac:dyDescent="0.35">
      <c r="A63" s="31">
        <f t="shared" si="0"/>
        <v>56</v>
      </c>
      <c r="B63" s="25" t="s">
        <v>82</v>
      </c>
      <c r="C63" s="25" t="s">
        <v>463</v>
      </c>
      <c r="D63" s="59">
        <v>8</v>
      </c>
    </row>
    <row r="64" spans="1:4" x14ac:dyDescent="0.35">
      <c r="A64" s="31">
        <f t="shared" si="0"/>
        <v>57</v>
      </c>
      <c r="B64" s="25" t="s">
        <v>46</v>
      </c>
      <c r="C64" s="25" t="s">
        <v>447</v>
      </c>
      <c r="D64" s="59">
        <v>7.99</v>
      </c>
    </row>
    <row r="65" spans="1:4" x14ac:dyDescent="0.35">
      <c r="A65" s="31">
        <f t="shared" si="0"/>
        <v>58</v>
      </c>
      <c r="B65" s="25" t="s">
        <v>569</v>
      </c>
      <c r="C65" s="25" t="s">
        <v>643</v>
      </c>
      <c r="D65" s="59">
        <v>7.96</v>
      </c>
    </row>
    <row r="66" spans="1:4" x14ac:dyDescent="0.35">
      <c r="A66" s="31">
        <f t="shared" si="0"/>
        <v>59</v>
      </c>
      <c r="B66" s="25" t="s">
        <v>142</v>
      </c>
      <c r="C66" s="25" t="s">
        <v>369</v>
      </c>
      <c r="D66" s="59">
        <v>7.93</v>
      </c>
    </row>
    <row r="67" spans="1:4" x14ac:dyDescent="0.35">
      <c r="A67" s="31">
        <f t="shared" si="0"/>
        <v>60</v>
      </c>
      <c r="B67" s="25" t="s">
        <v>142</v>
      </c>
      <c r="C67" s="25" t="s">
        <v>373</v>
      </c>
      <c r="D67" s="59">
        <v>7.92</v>
      </c>
    </row>
    <row r="68" spans="1:4" x14ac:dyDescent="0.35">
      <c r="A68" s="31">
        <f t="shared" si="0"/>
        <v>61</v>
      </c>
      <c r="B68" s="25" t="s">
        <v>46</v>
      </c>
      <c r="C68" s="25" t="s">
        <v>446</v>
      </c>
      <c r="D68" s="59">
        <v>7.92</v>
      </c>
    </row>
    <row r="69" spans="1:4" x14ac:dyDescent="0.35">
      <c r="A69" s="31">
        <f t="shared" si="0"/>
        <v>62</v>
      </c>
      <c r="B69" s="25" t="s">
        <v>28</v>
      </c>
      <c r="C69" s="25" t="s">
        <v>483</v>
      </c>
      <c r="D69" s="59">
        <v>7.86</v>
      </c>
    </row>
    <row r="70" spans="1:4" x14ac:dyDescent="0.35">
      <c r="A70" s="31">
        <f t="shared" si="0"/>
        <v>63</v>
      </c>
      <c r="B70" s="25" t="s">
        <v>91</v>
      </c>
      <c r="C70" s="25" t="s">
        <v>652</v>
      </c>
      <c r="D70" s="59">
        <v>7.82</v>
      </c>
    </row>
    <row r="71" spans="1:4" x14ac:dyDescent="0.35">
      <c r="A71" s="31">
        <f t="shared" si="0"/>
        <v>64</v>
      </c>
      <c r="B71" s="25" t="s">
        <v>91</v>
      </c>
      <c r="C71" s="25" t="s">
        <v>651</v>
      </c>
      <c r="D71" s="59">
        <v>7.8</v>
      </c>
    </row>
    <row r="72" spans="1:4" x14ac:dyDescent="0.35">
      <c r="A72" s="31">
        <f t="shared" si="0"/>
        <v>65</v>
      </c>
      <c r="B72" s="25" t="s">
        <v>74</v>
      </c>
      <c r="C72" s="25" t="s">
        <v>542</v>
      </c>
      <c r="D72" s="59">
        <v>7.76</v>
      </c>
    </row>
    <row r="73" spans="1:4" x14ac:dyDescent="0.35">
      <c r="A73" s="31">
        <f t="shared" ref="A73:A136" si="1">A72+1</f>
        <v>66</v>
      </c>
      <c r="B73" s="25" t="s">
        <v>142</v>
      </c>
      <c r="C73" s="25" t="s">
        <v>364</v>
      </c>
      <c r="D73" s="59">
        <v>7.75</v>
      </c>
    </row>
    <row r="74" spans="1:4" x14ac:dyDescent="0.35">
      <c r="A74" s="31">
        <f t="shared" si="1"/>
        <v>67</v>
      </c>
      <c r="B74" s="25" t="s">
        <v>74</v>
      </c>
      <c r="C74" s="25" t="s">
        <v>679</v>
      </c>
      <c r="D74" s="59">
        <v>7.68</v>
      </c>
    </row>
    <row r="75" spans="1:4" x14ac:dyDescent="0.35">
      <c r="A75" s="31">
        <f t="shared" si="1"/>
        <v>68</v>
      </c>
      <c r="B75" s="25" t="s">
        <v>46</v>
      </c>
      <c r="C75" s="25" t="s">
        <v>468</v>
      </c>
      <c r="D75" s="59">
        <v>7.68</v>
      </c>
    </row>
    <row r="76" spans="1:4" x14ac:dyDescent="0.35">
      <c r="A76" s="31">
        <f t="shared" si="1"/>
        <v>69</v>
      </c>
      <c r="B76" s="25" t="s">
        <v>74</v>
      </c>
      <c r="C76" s="25" t="s">
        <v>680</v>
      </c>
      <c r="D76" s="59">
        <v>7.65</v>
      </c>
    </row>
    <row r="77" spans="1:4" x14ac:dyDescent="0.35">
      <c r="A77" s="31">
        <f t="shared" si="1"/>
        <v>70</v>
      </c>
      <c r="B77" s="25" t="s">
        <v>132</v>
      </c>
      <c r="C77" s="25" t="s">
        <v>429</v>
      </c>
      <c r="D77" s="59">
        <v>7.64</v>
      </c>
    </row>
    <row r="78" spans="1:4" x14ac:dyDescent="0.35">
      <c r="A78" s="31">
        <f t="shared" si="1"/>
        <v>71</v>
      </c>
      <c r="B78" s="25" t="s">
        <v>46</v>
      </c>
      <c r="C78" s="25" t="s">
        <v>465</v>
      </c>
      <c r="D78" s="59">
        <v>7.61</v>
      </c>
    </row>
    <row r="79" spans="1:4" x14ac:dyDescent="0.35">
      <c r="A79" s="31">
        <f t="shared" si="1"/>
        <v>72</v>
      </c>
      <c r="B79" s="25" t="s">
        <v>74</v>
      </c>
      <c r="C79" s="25" t="s">
        <v>681</v>
      </c>
      <c r="D79" s="59">
        <v>7.6</v>
      </c>
    </row>
    <row r="80" spans="1:4" x14ac:dyDescent="0.35">
      <c r="A80" s="31">
        <f t="shared" si="1"/>
        <v>73</v>
      </c>
      <c r="B80" s="25" t="s">
        <v>74</v>
      </c>
      <c r="C80" s="25" t="s">
        <v>544</v>
      </c>
      <c r="D80" s="59">
        <v>7.56</v>
      </c>
    </row>
    <row r="81" spans="1:4" x14ac:dyDescent="0.35">
      <c r="A81" s="31">
        <f t="shared" si="1"/>
        <v>74</v>
      </c>
      <c r="B81" s="25" t="s">
        <v>46</v>
      </c>
      <c r="C81" s="25" t="s">
        <v>476</v>
      </c>
      <c r="D81" s="59">
        <v>7.53</v>
      </c>
    </row>
    <row r="82" spans="1:4" x14ac:dyDescent="0.35">
      <c r="A82" s="31">
        <f t="shared" si="1"/>
        <v>75</v>
      </c>
      <c r="B82" s="25" t="s">
        <v>85</v>
      </c>
      <c r="C82" s="25" t="s">
        <v>572</v>
      </c>
      <c r="D82" s="59">
        <v>7.48</v>
      </c>
    </row>
    <row r="83" spans="1:4" x14ac:dyDescent="0.35">
      <c r="A83" s="31">
        <f t="shared" si="1"/>
        <v>76</v>
      </c>
      <c r="B83" s="25" t="s">
        <v>142</v>
      </c>
      <c r="C83" s="25" t="s">
        <v>347</v>
      </c>
      <c r="D83" s="59">
        <v>7.46</v>
      </c>
    </row>
    <row r="84" spans="1:4" x14ac:dyDescent="0.35">
      <c r="A84" s="31">
        <f t="shared" si="1"/>
        <v>77</v>
      </c>
      <c r="B84" s="25" t="s">
        <v>46</v>
      </c>
      <c r="C84" s="25" t="s">
        <v>196</v>
      </c>
      <c r="D84" s="59">
        <v>7.45</v>
      </c>
    </row>
    <row r="85" spans="1:4" x14ac:dyDescent="0.35">
      <c r="A85" s="31">
        <f t="shared" si="1"/>
        <v>78</v>
      </c>
      <c r="B85" s="25" t="s">
        <v>132</v>
      </c>
      <c r="C85" s="25" t="s">
        <v>405</v>
      </c>
      <c r="D85" s="59">
        <v>7.44</v>
      </c>
    </row>
    <row r="86" spans="1:4" x14ac:dyDescent="0.35">
      <c r="A86" s="31">
        <f t="shared" si="1"/>
        <v>79</v>
      </c>
      <c r="B86" s="25" t="s">
        <v>85</v>
      </c>
      <c r="C86" s="25" t="s">
        <v>573</v>
      </c>
      <c r="D86" s="59">
        <v>7.44</v>
      </c>
    </row>
    <row r="87" spans="1:4" x14ac:dyDescent="0.35">
      <c r="A87" s="31">
        <f t="shared" si="1"/>
        <v>80</v>
      </c>
      <c r="B87" s="25" t="s">
        <v>28</v>
      </c>
      <c r="C87" s="25" t="s">
        <v>495</v>
      </c>
      <c r="D87" s="59">
        <v>7.43</v>
      </c>
    </row>
    <row r="88" spans="1:4" x14ac:dyDescent="0.35">
      <c r="A88" s="31">
        <f t="shared" si="1"/>
        <v>81</v>
      </c>
      <c r="B88" s="25" t="s">
        <v>132</v>
      </c>
      <c r="C88" s="25" t="s">
        <v>430</v>
      </c>
      <c r="D88" s="59">
        <v>7.42</v>
      </c>
    </row>
    <row r="89" spans="1:4" x14ac:dyDescent="0.35">
      <c r="A89" s="31">
        <f t="shared" si="1"/>
        <v>82</v>
      </c>
      <c r="B89" s="25" t="s">
        <v>142</v>
      </c>
      <c r="C89" s="25" t="s">
        <v>346</v>
      </c>
      <c r="D89" s="59">
        <v>7.41</v>
      </c>
    </row>
    <row r="90" spans="1:4" x14ac:dyDescent="0.35">
      <c r="A90" s="31">
        <f t="shared" si="1"/>
        <v>83</v>
      </c>
      <c r="B90" s="25" t="s">
        <v>121</v>
      </c>
      <c r="C90" s="25" t="s">
        <v>384</v>
      </c>
      <c r="D90" s="59">
        <v>7.4</v>
      </c>
    </row>
    <row r="91" spans="1:4" x14ac:dyDescent="0.35">
      <c r="A91" s="31">
        <f t="shared" si="1"/>
        <v>84</v>
      </c>
      <c r="B91" s="25" t="s">
        <v>85</v>
      </c>
      <c r="C91" s="25" t="s">
        <v>574</v>
      </c>
      <c r="D91" s="59">
        <v>7.36</v>
      </c>
    </row>
    <row r="92" spans="1:4" x14ac:dyDescent="0.35">
      <c r="A92" s="31">
        <f t="shared" si="1"/>
        <v>85</v>
      </c>
      <c r="B92" s="25" t="s">
        <v>28</v>
      </c>
      <c r="C92" s="25" t="s">
        <v>502</v>
      </c>
      <c r="D92" s="59">
        <v>7.3</v>
      </c>
    </row>
    <row r="93" spans="1:4" x14ac:dyDescent="0.35">
      <c r="A93" s="31">
        <f t="shared" si="1"/>
        <v>86</v>
      </c>
      <c r="B93" s="25" t="s">
        <v>132</v>
      </c>
      <c r="C93" s="25" t="s">
        <v>431</v>
      </c>
      <c r="D93" s="59">
        <v>7.28</v>
      </c>
    </row>
    <row r="94" spans="1:4" x14ac:dyDescent="0.35">
      <c r="A94" s="31">
        <f t="shared" si="1"/>
        <v>87</v>
      </c>
      <c r="B94" s="25" t="s">
        <v>46</v>
      </c>
      <c r="C94" s="25" t="s">
        <v>469</v>
      </c>
      <c r="D94" s="59">
        <v>7.25</v>
      </c>
    </row>
    <row r="95" spans="1:4" x14ac:dyDescent="0.35">
      <c r="A95" s="31">
        <f t="shared" si="1"/>
        <v>88</v>
      </c>
      <c r="B95" s="25" t="s">
        <v>85</v>
      </c>
      <c r="C95" s="25" t="s">
        <v>575</v>
      </c>
      <c r="D95" s="59">
        <v>7.22</v>
      </c>
    </row>
    <row r="96" spans="1:4" x14ac:dyDescent="0.35">
      <c r="A96" s="31">
        <f t="shared" si="1"/>
        <v>89</v>
      </c>
      <c r="B96" s="25" t="s">
        <v>56</v>
      </c>
      <c r="C96" s="25" t="s">
        <v>587</v>
      </c>
      <c r="D96" s="59">
        <v>7.13</v>
      </c>
    </row>
    <row r="97" spans="1:4" x14ac:dyDescent="0.35">
      <c r="A97" s="31">
        <f t="shared" si="1"/>
        <v>90</v>
      </c>
      <c r="B97" s="25" t="s">
        <v>56</v>
      </c>
      <c r="C97" s="25" t="s">
        <v>588</v>
      </c>
      <c r="D97" s="59">
        <v>7.11</v>
      </c>
    </row>
    <row r="98" spans="1:4" x14ac:dyDescent="0.35">
      <c r="A98" s="31">
        <f t="shared" si="1"/>
        <v>91</v>
      </c>
      <c r="B98" s="25" t="s">
        <v>56</v>
      </c>
      <c r="C98" s="25" t="s">
        <v>589</v>
      </c>
      <c r="D98" s="59">
        <v>7.08</v>
      </c>
    </row>
    <row r="99" spans="1:4" x14ac:dyDescent="0.35">
      <c r="A99" s="31">
        <f t="shared" si="1"/>
        <v>92</v>
      </c>
      <c r="B99" s="25" t="s">
        <v>56</v>
      </c>
      <c r="C99" s="25" t="s">
        <v>590</v>
      </c>
      <c r="D99" s="59">
        <v>7.06</v>
      </c>
    </row>
    <row r="100" spans="1:4" x14ac:dyDescent="0.35">
      <c r="A100" s="31">
        <f t="shared" si="1"/>
        <v>93</v>
      </c>
      <c r="B100" s="25" t="s">
        <v>132</v>
      </c>
      <c r="C100" s="25" t="s">
        <v>406</v>
      </c>
      <c r="D100" s="59">
        <v>7</v>
      </c>
    </row>
    <row r="101" spans="1:4" x14ac:dyDescent="0.35">
      <c r="A101" s="31">
        <f t="shared" si="1"/>
        <v>94</v>
      </c>
      <c r="B101" s="25" t="s">
        <v>132</v>
      </c>
      <c r="C101" s="25" t="s">
        <v>433</v>
      </c>
      <c r="D101" s="59">
        <v>7</v>
      </c>
    </row>
    <row r="102" spans="1:4" x14ac:dyDescent="0.35">
      <c r="A102" s="31">
        <f t="shared" si="1"/>
        <v>95</v>
      </c>
      <c r="B102" s="25" t="s">
        <v>74</v>
      </c>
      <c r="C102" s="25" t="s">
        <v>682</v>
      </c>
      <c r="D102" s="59">
        <v>7</v>
      </c>
    </row>
    <row r="103" spans="1:4" x14ac:dyDescent="0.35">
      <c r="A103" s="31">
        <f t="shared" si="1"/>
        <v>96</v>
      </c>
      <c r="B103" s="25" t="s">
        <v>74</v>
      </c>
      <c r="C103" s="25" t="s">
        <v>683</v>
      </c>
      <c r="D103" s="59">
        <v>7</v>
      </c>
    </row>
    <row r="104" spans="1:4" x14ac:dyDescent="0.35">
      <c r="A104" s="31">
        <f t="shared" si="1"/>
        <v>97</v>
      </c>
      <c r="B104" s="25" t="s">
        <v>46</v>
      </c>
      <c r="C104" s="25" t="s">
        <v>474</v>
      </c>
      <c r="D104" s="59">
        <v>6.99</v>
      </c>
    </row>
    <row r="105" spans="1:4" x14ac:dyDescent="0.35">
      <c r="A105" s="31">
        <f t="shared" si="1"/>
        <v>98</v>
      </c>
      <c r="B105" s="25" t="s">
        <v>56</v>
      </c>
      <c r="C105" s="25" t="s">
        <v>591</v>
      </c>
      <c r="D105" s="59">
        <v>6.98</v>
      </c>
    </row>
    <row r="106" spans="1:4" x14ac:dyDescent="0.35">
      <c r="A106" s="31">
        <f t="shared" si="1"/>
        <v>99</v>
      </c>
      <c r="B106" s="25" t="s">
        <v>85</v>
      </c>
      <c r="C106" s="25" t="s">
        <v>576</v>
      </c>
      <c r="D106" s="59">
        <v>6.98</v>
      </c>
    </row>
    <row r="107" spans="1:4" x14ac:dyDescent="0.35">
      <c r="A107" s="31">
        <f t="shared" si="1"/>
        <v>100</v>
      </c>
      <c r="B107" s="25" t="s">
        <v>74</v>
      </c>
      <c r="C107" s="25" t="s">
        <v>550</v>
      </c>
      <c r="D107" s="59">
        <v>6.93</v>
      </c>
    </row>
    <row r="108" spans="1:4" x14ac:dyDescent="0.35">
      <c r="A108" s="31">
        <f t="shared" si="1"/>
        <v>101</v>
      </c>
      <c r="B108" s="25" t="s">
        <v>132</v>
      </c>
      <c r="C108" s="25" t="s">
        <v>407</v>
      </c>
      <c r="D108" s="59">
        <v>6.91</v>
      </c>
    </row>
    <row r="109" spans="1:4" x14ac:dyDescent="0.35">
      <c r="A109" s="31">
        <f t="shared" si="1"/>
        <v>102</v>
      </c>
      <c r="B109" s="25" t="s">
        <v>121</v>
      </c>
      <c r="C109" s="25" t="s">
        <v>390</v>
      </c>
      <c r="D109" s="59">
        <v>6.87</v>
      </c>
    </row>
    <row r="110" spans="1:4" x14ac:dyDescent="0.35">
      <c r="A110" s="31">
        <f t="shared" si="1"/>
        <v>103</v>
      </c>
      <c r="B110" s="25" t="s">
        <v>121</v>
      </c>
      <c r="C110" s="25" t="s">
        <v>381</v>
      </c>
      <c r="D110" s="59">
        <v>6.86</v>
      </c>
    </row>
    <row r="111" spans="1:4" x14ac:dyDescent="0.35">
      <c r="A111" s="31">
        <f t="shared" si="1"/>
        <v>104</v>
      </c>
      <c r="B111" s="25" t="s">
        <v>74</v>
      </c>
      <c r="C111" s="25" t="s">
        <v>539</v>
      </c>
      <c r="D111" s="59">
        <v>6.86</v>
      </c>
    </row>
    <row r="112" spans="1:4" x14ac:dyDescent="0.35">
      <c r="A112" s="31">
        <f t="shared" si="1"/>
        <v>105</v>
      </c>
      <c r="B112" s="25" t="s">
        <v>28</v>
      </c>
      <c r="C112" s="25" t="s">
        <v>498</v>
      </c>
      <c r="D112" s="59">
        <v>6.8</v>
      </c>
    </row>
    <row r="113" spans="1:4" x14ac:dyDescent="0.35">
      <c r="A113" s="31">
        <f t="shared" si="1"/>
        <v>106</v>
      </c>
      <c r="B113" s="25" t="s">
        <v>132</v>
      </c>
      <c r="C113" s="25" t="s">
        <v>408</v>
      </c>
      <c r="D113" s="59">
        <v>6.8</v>
      </c>
    </row>
    <row r="114" spans="1:4" x14ac:dyDescent="0.35">
      <c r="A114" s="31">
        <f t="shared" si="1"/>
        <v>107</v>
      </c>
      <c r="B114" s="25" t="s">
        <v>56</v>
      </c>
      <c r="C114" s="25" t="s">
        <v>592</v>
      </c>
      <c r="D114" s="59">
        <v>6.78</v>
      </c>
    </row>
    <row r="115" spans="1:4" x14ac:dyDescent="0.35">
      <c r="A115" s="31">
        <f t="shared" si="1"/>
        <v>108</v>
      </c>
      <c r="B115" s="25" t="s">
        <v>46</v>
      </c>
      <c r="C115" s="25" t="s">
        <v>456</v>
      </c>
      <c r="D115" s="59">
        <v>6.78</v>
      </c>
    </row>
    <row r="116" spans="1:4" x14ac:dyDescent="0.35">
      <c r="A116" s="31">
        <f t="shared" si="1"/>
        <v>109</v>
      </c>
      <c r="B116" s="25" t="s">
        <v>74</v>
      </c>
      <c r="C116" s="25" t="s">
        <v>684</v>
      </c>
      <c r="D116" s="59">
        <v>6.77</v>
      </c>
    </row>
    <row r="117" spans="1:4" x14ac:dyDescent="0.35">
      <c r="A117" s="31">
        <f t="shared" si="1"/>
        <v>110</v>
      </c>
      <c r="B117" s="25" t="s">
        <v>85</v>
      </c>
      <c r="C117" s="25" t="s">
        <v>577</v>
      </c>
      <c r="D117" s="59">
        <v>6.77</v>
      </c>
    </row>
    <row r="118" spans="1:4" x14ac:dyDescent="0.35">
      <c r="A118" s="31">
        <f t="shared" si="1"/>
        <v>111</v>
      </c>
      <c r="B118" s="25" t="s">
        <v>58</v>
      </c>
      <c r="C118" s="25" t="s">
        <v>516</v>
      </c>
      <c r="D118" s="59">
        <v>6.75</v>
      </c>
    </row>
    <row r="119" spans="1:4" x14ac:dyDescent="0.35">
      <c r="A119" s="31">
        <f t="shared" si="1"/>
        <v>112</v>
      </c>
      <c r="B119" s="25" t="s">
        <v>56</v>
      </c>
      <c r="C119" s="25" t="s">
        <v>593</v>
      </c>
      <c r="D119" s="59">
        <v>6.73</v>
      </c>
    </row>
    <row r="120" spans="1:4" x14ac:dyDescent="0.35">
      <c r="A120" s="31">
        <f t="shared" si="1"/>
        <v>113</v>
      </c>
      <c r="B120" s="25" t="s">
        <v>132</v>
      </c>
      <c r="C120" s="25" t="s">
        <v>432</v>
      </c>
      <c r="D120" s="59">
        <v>6.73</v>
      </c>
    </row>
    <row r="121" spans="1:4" x14ac:dyDescent="0.35">
      <c r="A121" s="31">
        <f t="shared" si="1"/>
        <v>114</v>
      </c>
      <c r="B121" s="25" t="s">
        <v>56</v>
      </c>
      <c r="C121" s="25" t="s">
        <v>594</v>
      </c>
      <c r="D121" s="59">
        <v>6.7</v>
      </c>
    </row>
    <row r="122" spans="1:4" x14ac:dyDescent="0.35">
      <c r="A122" s="31">
        <f t="shared" si="1"/>
        <v>115</v>
      </c>
      <c r="B122" s="25" t="s">
        <v>58</v>
      </c>
      <c r="C122" s="25" t="s">
        <v>324</v>
      </c>
      <c r="D122" s="59">
        <v>6.66</v>
      </c>
    </row>
    <row r="123" spans="1:4" x14ac:dyDescent="0.35">
      <c r="A123" s="31">
        <f t="shared" si="1"/>
        <v>116</v>
      </c>
      <c r="B123" s="25" t="s">
        <v>569</v>
      </c>
      <c r="C123" s="25" t="s">
        <v>631</v>
      </c>
      <c r="D123" s="59">
        <v>6.64</v>
      </c>
    </row>
    <row r="124" spans="1:4" x14ac:dyDescent="0.35">
      <c r="A124" s="31">
        <f t="shared" si="1"/>
        <v>117</v>
      </c>
      <c r="B124" s="25" t="s">
        <v>569</v>
      </c>
      <c r="C124" s="25" t="s">
        <v>647</v>
      </c>
      <c r="D124" s="59">
        <v>6.64</v>
      </c>
    </row>
    <row r="125" spans="1:4" x14ac:dyDescent="0.35">
      <c r="A125" s="31">
        <f t="shared" si="1"/>
        <v>118</v>
      </c>
      <c r="B125" s="25" t="s">
        <v>142</v>
      </c>
      <c r="C125" s="25" t="s">
        <v>354</v>
      </c>
      <c r="D125" s="59">
        <v>6.6</v>
      </c>
    </row>
    <row r="126" spans="1:4" x14ac:dyDescent="0.35">
      <c r="A126" s="31">
        <f t="shared" si="1"/>
        <v>119</v>
      </c>
      <c r="B126" s="25" t="s">
        <v>58</v>
      </c>
      <c r="C126" s="25" t="s">
        <v>518</v>
      </c>
      <c r="D126" s="59">
        <v>6.58</v>
      </c>
    </row>
    <row r="127" spans="1:4" x14ac:dyDescent="0.35">
      <c r="A127" s="31">
        <f t="shared" si="1"/>
        <v>120</v>
      </c>
      <c r="B127" s="25" t="s">
        <v>569</v>
      </c>
      <c r="C127" s="25" t="s">
        <v>641</v>
      </c>
      <c r="D127" s="59">
        <v>6.58</v>
      </c>
    </row>
    <row r="128" spans="1:4" x14ac:dyDescent="0.35">
      <c r="A128" s="31">
        <f t="shared" si="1"/>
        <v>121</v>
      </c>
      <c r="B128" s="25" t="s">
        <v>74</v>
      </c>
      <c r="C128" s="25" t="s">
        <v>535</v>
      </c>
      <c r="D128" s="59">
        <v>6.55</v>
      </c>
    </row>
    <row r="129" spans="1:4" x14ac:dyDescent="0.35">
      <c r="A129" s="31">
        <f t="shared" si="1"/>
        <v>122</v>
      </c>
      <c r="B129" s="25" t="s">
        <v>85</v>
      </c>
      <c r="C129" s="25" t="s">
        <v>578</v>
      </c>
      <c r="D129" s="59">
        <v>6.53</v>
      </c>
    </row>
    <row r="130" spans="1:4" x14ac:dyDescent="0.35">
      <c r="A130" s="31">
        <f t="shared" si="1"/>
        <v>123</v>
      </c>
      <c r="B130" s="25" t="s">
        <v>46</v>
      </c>
      <c r="C130" s="25" t="s">
        <v>466</v>
      </c>
      <c r="D130" s="59">
        <v>6.51</v>
      </c>
    </row>
    <row r="131" spans="1:4" x14ac:dyDescent="0.35">
      <c r="A131" s="31">
        <f t="shared" si="1"/>
        <v>124</v>
      </c>
      <c r="B131" s="25" t="s">
        <v>74</v>
      </c>
      <c r="C131" s="25" t="s">
        <v>685</v>
      </c>
      <c r="D131" s="59">
        <v>6.5</v>
      </c>
    </row>
    <row r="132" spans="1:4" x14ac:dyDescent="0.35">
      <c r="A132" s="31">
        <f t="shared" si="1"/>
        <v>125</v>
      </c>
      <c r="B132" s="25" t="s">
        <v>91</v>
      </c>
      <c r="C132" s="25" t="s">
        <v>661</v>
      </c>
      <c r="D132" s="59">
        <v>6.5</v>
      </c>
    </row>
    <row r="133" spans="1:4" x14ac:dyDescent="0.35">
      <c r="A133" s="31">
        <f t="shared" si="1"/>
        <v>126</v>
      </c>
      <c r="B133" s="25" t="s">
        <v>121</v>
      </c>
      <c r="C133" s="25" t="s">
        <v>391</v>
      </c>
      <c r="D133" s="59">
        <v>6.46</v>
      </c>
    </row>
    <row r="134" spans="1:4" x14ac:dyDescent="0.35">
      <c r="A134" s="31">
        <f t="shared" si="1"/>
        <v>127</v>
      </c>
      <c r="B134" s="25" t="s">
        <v>132</v>
      </c>
      <c r="C134" s="25" t="s">
        <v>409</v>
      </c>
      <c r="D134" s="59">
        <v>6.44</v>
      </c>
    </row>
    <row r="135" spans="1:4" x14ac:dyDescent="0.35">
      <c r="A135" s="31">
        <f t="shared" si="1"/>
        <v>128</v>
      </c>
      <c r="B135" s="25" t="s">
        <v>132</v>
      </c>
      <c r="C135" s="25" t="s">
        <v>434</v>
      </c>
      <c r="D135" s="59">
        <v>6.44</v>
      </c>
    </row>
    <row r="136" spans="1:4" x14ac:dyDescent="0.35">
      <c r="A136" s="31">
        <f t="shared" si="1"/>
        <v>129</v>
      </c>
      <c r="B136" s="25" t="s">
        <v>142</v>
      </c>
      <c r="C136" s="25" t="s">
        <v>376</v>
      </c>
      <c r="D136" s="59">
        <v>6.42</v>
      </c>
    </row>
    <row r="137" spans="1:4" x14ac:dyDescent="0.35">
      <c r="A137" s="31">
        <f t="shared" ref="A137:A200" si="2">A136+1</f>
        <v>130</v>
      </c>
      <c r="B137" s="25" t="s">
        <v>28</v>
      </c>
      <c r="C137" s="25" t="s">
        <v>497</v>
      </c>
      <c r="D137" s="59">
        <v>6.4</v>
      </c>
    </row>
    <row r="138" spans="1:4" x14ac:dyDescent="0.35">
      <c r="A138" s="31">
        <f t="shared" si="2"/>
        <v>131</v>
      </c>
      <c r="B138" s="25" t="s">
        <v>142</v>
      </c>
      <c r="C138" s="25" t="s">
        <v>350</v>
      </c>
      <c r="D138" s="59">
        <v>6.33</v>
      </c>
    </row>
    <row r="139" spans="1:4" x14ac:dyDescent="0.35">
      <c r="A139" s="31">
        <f t="shared" si="2"/>
        <v>132</v>
      </c>
      <c r="B139" s="25" t="s">
        <v>132</v>
      </c>
      <c r="C139" s="25" t="s">
        <v>435</v>
      </c>
      <c r="D139" s="59">
        <v>6.32</v>
      </c>
    </row>
    <row r="140" spans="1:4" x14ac:dyDescent="0.35">
      <c r="A140" s="31">
        <f t="shared" si="2"/>
        <v>133</v>
      </c>
      <c r="B140" s="25" t="s">
        <v>132</v>
      </c>
      <c r="C140" s="25" t="s">
        <v>436</v>
      </c>
      <c r="D140" s="59">
        <v>6.31</v>
      </c>
    </row>
    <row r="141" spans="1:4" x14ac:dyDescent="0.35">
      <c r="A141" s="31">
        <f t="shared" si="2"/>
        <v>134</v>
      </c>
      <c r="B141" s="25" t="s">
        <v>569</v>
      </c>
      <c r="C141" s="25" t="s">
        <v>644</v>
      </c>
      <c r="D141" s="59">
        <v>6.31</v>
      </c>
    </row>
    <row r="142" spans="1:4" x14ac:dyDescent="0.35">
      <c r="A142" s="31">
        <f t="shared" si="2"/>
        <v>135</v>
      </c>
      <c r="B142" s="25" t="s">
        <v>28</v>
      </c>
      <c r="C142" s="25" t="s">
        <v>491</v>
      </c>
      <c r="D142" s="59">
        <v>6.3</v>
      </c>
    </row>
    <row r="143" spans="1:4" x14ac:dyDescent="0.35">
      <c r="A143" s="31">
        <f t="shared" si="2"/>
        <v>136</v>
      </c>
      <c r="B143" s="25" t="s">
        <v>142</v>
      </c>
      <c r="C143" s="25" t="s">
        <v>349</v>
      </c>
      <c r="D143" s="59">
        <v>6.29</v>
      </c>
    </row>
    <row r="144" spans="1:4" x14ac:dyDescent="0.35">
      <c r="A144" s="31">
        <f t="shared" si="2"/>
        <v>137</v>
      </c>
      <c r="B144" s="25" t="s">
        <v>142</v>
      </c>
      <c r="C144" s="25" t="s">
        <v>365</v>
      </c>
      <c r="D144" s="59">
        <v>6.28</v>
      </c>
    </row>
    <row r="145" spans="1:4" x14ac:dyDescent="0.35">
      <c r="A145" s="31">
        <f t="shared" si="2"/>
        <v>138</v>
      </c>
      <c r="B145" s="25" t="s">
        <v>46</v>
      </c>
      <c r="C145" s="25" t="s">
        <v>477</v>
      </c>
      <c r="D145" s="59">
        <v>6.27</v>
      </c>
    </row>
    <row r="146" spans="1:4" x14ac:dyDescent="0.35">
      <c r="A146" s="31">
        <f t="shared" si="2"/>
        <v>139</v>
      </c>
      <c r="B146" s="25" t="s">
        <v>46</v>
      </c>
      <c r="C146" s="25" t="s">
        <v>455</v>
      </c>
      <c r="D146" s="59">
        <v>6.25</v>
      </c>
    </row>
    <row r="147" spans="1:4" x14ac:dyDescent="0.35">
      <c r="A147" s="31">
        <f t="shared" si="2"/>
        <v>140</v>
      </c>
      <c r="B147" s="25" t="s">
        <v>142</v>
      </c>
      <c r="C147" s="25" t="s">
        <v>366</v>
      </c>
      <c r="D147" s="59">
        <v>6.21</v>
      </c>
    </row>
    <row r="148" spans="1:4" x14ac:dyDescent="0.35">
      <c r="A148" s="31">
        <f t="shared" si="2"/>
        <v>141</v>
      </c>
      <c r="B148" s="25" t="s">
        <v>569</v>
      </c>
      <c r="C148" s="25" t="s">
        <v>646</v>
      </c>
      <c r="D148" s="59">
        <v>6.19</v>
      </c>
    </row>
    <row r="149" spans="1:4" x14ac:dyDescent="0.35">
      <c r="A149" s="31">
        <f t="shared" si="2"/>
        <v>142</v>
      </c>
      <c r="B149" s="25" t="s">
        <v>74</v>
      </c>
      <c r="C149" s="25" t="s">
        <v>547</v>
      </c>
      <c r="D149" s="59">
        <v>6.16</v>
      </c>
    </row>
    <row r="150" spans="1:4" x14ac:dyDescent="0.35">
      <c r="A150" s="31">
        <f t="shared" si="2"/>
        <v>143</v>
      </c>
      <c r="B150" s="25" t="s">
        <v>58</v>
      </c>
      <c r="C150" s="25" t="s">
        <v>519</v>
      </c>
      <c r="D150" s="59">
        <v>6.15</v>
      </c>
    </row>
    <row r="151" spans="1:4" x14ac:dyDescent="0.35">
      <c r="A151" s="31">
        <f t="shared" si="2"/>
        <v>144</v>
      </c>
      <c r="B151" s="25" t="s">
        <v>91</v>
      </c>
      <c r="C151" s="25" t="s">
        <v>672</v>
      </c>
      <c r="D151" s="59">
        <v>6.15</v>
      </c>
    </row>
    <row r="152" spans="1:4" x14ac:dyDescent="0.35">
      <c r="A152" s="31">
        <f t="shared" si="2"/>
        <v>145</v>
      </c>
      <c r="B152" s="25" t="s">
        <v>28</v>
      </c>
      <c r="C152" s="25" t="s">
        <v>496</v>
      </c>
      <c r="D152" s="59">
        <v>6.13</v>
      </c>
    </row>
    <row r="153" spans="1:4" x14ac:dyDescent="0.35">
      <c r="A153" s="31">
        <f t="shared" si="2"/>
        <v>146</v>
      </c>
      <c r="B153" s="25" t="s">
        <v>132</v>
      </c>
      <c r="C153" s="25" t="s">
        <v>411</v>
      </c>
      <c r="D153" s="59">
        <v>6.07</v>
      </c>
    </row>
    <row r="154" spans="1:4" x14ac:dyDescent="0.35">
      <c r="A154" s="31">
        <f t="shared" si="2"/>
        <v>147</v>
      </c>
      <c r="B154" s="25" t="s">
        <v>58</v>
      </c>
      <c r="C154" s="25" t="s">
        <v>520</v>
      </c>
      <c r="D154" s="59">
        <v>6.05</v>
      </c>
    </row>
    <row r="155" spans="1:4" x14ac:dyDescent="0.35">
      <c r="A155" s="31">
        <f t="shared" si="2"/>
        <v>148</v>
      </c>
      <c r="B155" s="25" t="s">
        <v>132</v>
      </c>
      <c r="C155" s="25" t="s">
        <v>437</v>
      </c>
      <c r="D155" s="59">
        <v>6.04</v>
      </c>
    </row>
    <row r="156" spans="1:4" x14ac:dyDescent="0.35">
      <c r="A156" s="31">
        <f t="shared" si="2"/>
        <v>149</v>
      </c>
      <c r="B156" s="25" t="s">
        <v>569</v>
      </c>
      <c r="C156" s="25" t="s">
        <v>350</v>
      </c>
      <c r="D156" s="59">
        <v>6</v>
      </c>
    </row>
    <row r="157" spans="1:4" x14ac:dyDescent="0.35">
      <c r="A157" s="31">
        <f t="shared" si="2"/>
        <v>150</v>
      </c>
      <c r="B157" s="25" t="s">
        <v>132</v>
      </c>
      <c r="C157" s="25" t="s">
        <v>410</v>
      </c>
      <c r="D157" s="59">
        <v>5.94</v>
      </c>
    </row>
    <row r="158" spans="1:4" x14ac:dyDescent="0.35">
      <c r="A158" s="31">
        <f t="shared" si="2"/>
        <v>151</v>
      </c>
      <c r="B158" s="25" t="s">
        <v>132</v>
      </c>
      <c r="C158" s="25" t="s">
        <v>412</v>
      </c>
      <c r="D158" s="59">
        <v>5.92</v>
      </c>
    </row>
    <row r="159" spans="1:4" x14ac:dyDescent="0.35">
      <c r="A159" s="31">
        <f t="shared" si="2"/>
        <v>152</v>
      </c>
      <c r="B159" s="25" t="s">
        <v>132</v>
      </c>
      <c r="C159" s="25" t="s">
        <v>413</v>
      </c>
      <c r="D159" s="59">
        <v>5.91</v>
      </c>
    </row>
    <row r="160" spans="1:4" x14ac:dyDescent="0.35">
      <c r="A160" s="31">
        <f t="shared" si="2"/>
        <v>153</v>
      </c>
      <c r="B160" s="25" t="s">
        <v>46</v>
      </c>
      <c r="C160" s="25" t="s">
        <v>453</v>
      </c>
      <c r="D160" s="59">
        <v>5.91</v>
      </c>
    </row>
    <row r="161" spans="1:4" x14ac:dyDescent="0.35">
      <c r="A161" s="31">
        <f t="shared" si="2"/>
        <v>154</v>
      </c>
      <c r="B161" s="25" t="s">
        <v>85</v>
      </c>
      <c r="C161" s="25" t="s">
        <v>579</v>
      </c>
      <c r="D161" s="59">
        <v>5.9</v>
      </c>
    </row>
    <row r="162" spans="1:4" x14ac:dyDescent="0.35">
      <c r="A162" s="31">
        <f t="shared" si="2"/>
        <v>155</v>
      </c>
      <c r="B162" s="25" t="s">
        <v>85</v>
      </c>
      <c r="C162" s="25" t="s">
        <v>580</v>
      </c>
      <c r="D162" s="59">
        <v>5.88</v>
      </c>
    </row>
    <row r="163" spans="1:4" x14ac:dyDescent="0.35">
      <c r="A163" s="31">
        <f t="shared" si="2"/>
        <v>156</v>
      </c>
      <c r="B163" s="25" t="s">
        <v>56</v>
      </c>
      <c r="C163" s="25" t="s">
        <v>595</v>
      </c>
      <c r="D163" s="59">
        <v>5.86</v>
      </c>
    </row>
    <row r="164" spans="1:4" x14ac:dyDescent="0.35">
      <c r="A164" s="31">
        <f t="shared" si="2"/>
        <v>157</v>
      </c>
      <c r="B164" s="25" t="s">
        <v>58</v>
      </c>
      <c r="C164" s="25" t="s">
        <v>521</v>
      </c>
      <c r="D164" s="59">
        <v>5.85</v>
      </c>
    </row>
    <row r="165" spans="1:4" x14ac:dyDescent="0.35">
      <c r="A165" s="31">
        <f t="shared" si="2"/>
        <v>158</v>
      </c>
      <c r="B165" s="25" t="s">
        <v>28</v>
      </c>
      <c r="C165" s="25" t="s">
        <v>511</v>
      </c>
      <c r="D165" s="59">
        <v>5.82</v>
      </c>
    </row>
    <row r="166" spans="1:4" x14ac:dyDescent="0.35">
      <c r="A166" s="31">
        <f t="shared" si="2"/>
        <v>159</v>
      </c>
      <c r="B166" s="25" t="s">
        <v>56</v>
      </c>
      <c r="C166" s="25" t="s">
        <v>596</v>
      </c>
      <c r="D166" s="59">
        <v>5.82</v>
      </c>
    </row>
    <row r="167" spans="1:4" x14ac:dyDescent="0.35">
      <c r="A167" s="31">
        <f t="shared" si="2"/>
        <v>160</v>
      </c>
      <c r="B167" s="25" t="s">
        <v>28</v>
      </c>
      <c r="C167" s="25" t="s">
        <v>503</v>
      </c>
      <c r="D167" s="59">
        <v>5.8</v>
      </c>
    </row>
    <row r="168" spans="1:4" x14ac:dyDescent="0.35">
      <c r="A168" s="31">
        <f t="shared" si="2"/>
        <v>161</v>
      </c>
      <c r="B168" s="25" t="s">
        <v>46</v>
      </c>
      <c r="C168" s="25" t="s">
        <v>448</v>
      </c>
      <c r="D168" s="59">
        <v>5.78</v>
      </c>
    </row>
    <row r="169" spans="1:4" x14ac:dyDescent="0.35">
      <c r="A169" s="31">
        <f t="shared" si="2"/>
        <v>162</v>
      </c>
      <c r="B169" s="25" t="s">
        <v>85</v>
      </c>
      <c r="C169" s="25" t="s">
        <v>581</v>
      </c>
      <c r="D169" s="59">
        <v>5.76</v>
      </c>
    </row>
    <row r="170" spans="1:4" x14ac:dyDescent="0.35">
      <c r="A170" s="31">
        <f t="shared" si="2"/>
        <v>163</v>
      </c>
      <c r="B170" s="25" t="s">
        <v>569</v>
      </c>
      <c r="C170" s="25" t="s">
        <v>625</v>
      </c>
      <c r="D170" s="59">
        <v>5.72</v>
      </c>
    </row>
    <row r="171" spans="1:4" x14ac:dyDescent="0.35">
      <c r="A171" s="31">
        <f t="shared" si="2"/>
        <v>164</v>
      </c>
      <c r="B171" s="25" t="s">
        <v>102</v>
      </c>
      <c r="C171" s="25" t="s">
        <v>608</v>
      </c>
      <c r="D171" s="59">
        <v>5.66</v>
      </c>
    </row>
    <row r="172" spans="1:4" x14ac:dyDescent="0.35">
      <c r="A172" s="31">
        <f t="shared" si="2"/>
        <v>165</v>
      </c>
      <c r="B172" s="25" t="s">
        <v>142</v>
      </c>
      <c r="C172" s="25" t="s">
        <v>368</v>
      </c>
      <c r="D172" s="59">
        <v>5.64</v>
      </c>
    </row>
    <row r="173" spans="1:4" x14ac:dyDescent="0.35">
      <c r="A173" s="31">
        <f t="shared" si="2"/>
        <v>166</v>
      </c>
      <c r="B173" s="25" t="s">
        <v>91</v>
      </c>
      <c r="C173" s="25" t="s">
        <v>99</v>
      </c>
      <c r="D173" s="59">
        <v>5.61</v>
      </c>
    </row>
    <row r="174" spans="1:4" x14ac:dyDescent="0.35">
      <c r="A174" s="31">
        <f t="shared" si="2"/>
        <v>167</v>
      </c>
      <c r="B174" s="25" t="s">
        <v>142</v>
      </c>
      <c r="C174" s="25" t="s">
        <v>357</v>
      </c>
      <c r="D174" s="59">
        <v>5.6</v>
      </c>
    </row>
    <row r="175" spans="1:4" x14ac:dyDescent="0.35">
      <c r="A175" s="31">
        <f t="shared" si="2"/>
        <v>168</v>
      </c>
      <c r="B175" s="25" t="s">
        <v>46</v>
      </c>
      <c r="C175" s="25" t="s">
        <v>460</v>
      </c>
      <c r="D175" s="59">
        <v>5.6</v>
      </c>
    </row>
    <row r="176" spans="1:4" x14ac:dyDescent="0.35">
      <c r="A176" s="31">
        <f t="shared" si="2"/>
        <v>169</v>
      </c>
      <c r="B176" s="25" t="s">
        <v>569</v>
      </c>
      <c r="C176" s="25" t="s">
        <v>627</v>
      </c>
      <c r="D176" s="59">
        <v>5.59</v>
      </c>
    </row>
    <row r="177" spans="1:4" x14ac:dyDescent="0.35">
      <c r="A177" s="31">
        <f t="shared" si="2"/>
        <v>170</v>
      </c>
      <c r="B177" s="25" t="s">
        <v>56</v>
      </c>
      <c r="C177" s="25" t="s">
        <v>597</v>
      </c>
      <c r="D177" s="59">
        <v>5.58</v>
      </c>
    </row>
    <row r="178" spans="1:4" x14ac:dyDescent="0.35">
      <c r="A178" s="31">
        <f t="shared" si="2"/>
        <v>171</v>
      </c>
      <c r="B178" s="25" t="s">
        <v>46</v>
      </c>
      <c r="C178" s="25" t="s">
        <v>478</v>
      </c>
      <c r="D178" s="59">
        <v>5.55</v>
      </c>
    </row>
    <row r="179" spans="1:4" x14ac:dyDescent="0.35">
      <c r="A179" s="31">
        <f t="shared" si="2"/>
        <v>172</v>
      </c>
      <c r="B179" s="25" t="s">
        <v>56</v>
      </c>
      <c r="C179" s="25" t="s">
        <v>607</v>
      </c>
      <c r="D179" s="59">
        <v>5.53</v>
      </c>
    </row>
    <row r="180" spans="1:4" x14ac:dyDescent="0.35">
      <c r="A180" s="31">
        <f t="shared" si="2"/>
        <v>173</v>
      </c>
      <c r="B180" s="25" t="s">
        <v>142</v>
      </c>
      <c r="C180" s="25" t="s">
        <v>351</v>
      </c>
      <c r="D180" s="59">
        <v>5.53</v>
      </c>
    </row>
    <row r="181" spans="1:4" x14ac:dyDescent="0.35">
      <c r="A181" s="31">
        <f t="shared" si="2"/>
        <v>174</v>
      </c>
      <c r="B181" s="25" t="s">
        <v>91</v>
      </c>
      <c r="C181" s="25" t="s">
        <v>654</v>
      </c>
      <c r="D181" s="59">
        <v>5.53</v>
      </c>
    </row>
    <row r="182" spans="1:4" x14ac:dyDescent="0.35">
      <c r="A182" s="31">
        <f t="shared" si="2"/>
        <v>175</v>
      </c>
      <c r="B182" s="25" t="s">
        <v>56</v>
      </c>
      <c r="C182" s="25" t="s">
        <v>598</v>
      </c>
      <c r="D182" s="59">
        <v>5.51</v>
      </c>
    </row>
    <row r="183" spans="1:4" x14ac:dyDescent="0.35">
      <c r="A183" s="31">
        <f t="shared" si="2"/>
        <v>176</v>
      </c>
      <c r="B183" s="25" t="s">
        <v>121</v>
      </c>
      <c r="C183" s="25" t="s">
        <v>383</v>
      </c>
      <c r="D183" s="59">
        <v>5.5</v>
      </c>
    </row>
    <row r="184" spans="1:4" x14ac:dyDescent="0.35">
      <c r="A184" s="31">
        <f t="shared" si="2"/>
        <v>177</v>
      </c>
      <c r="B184" s="25" t="s">
        <v>74</v>
      </c>
      <c r="C184" s="25" t="s">
        <v>538</v>
      </c>
      <c r="D184" s="59">
        <v>5.5</v>
      </c>
    </row>
    <row r="185" spans="1:4" x14ac:dyDescent="0.35">
      <c r="A185" s="31">
        <f t="shared" si="2"/>
        <v>178</v>
      </c>
      <c r="B185" s="25" t="s">
        <v>142</v>
      </c>
      <c r="C185" s="25" t="s">
        <v>348</v>
      </c>
      <c r="D185" s="59">
        <v>5.5</v>
      </c>
    </row>
    <row r="186" spans="1:4" x14ac:dyDescent="0.35">
      <c r="A186" s="31">
        <f t="shared" si="2"/>
        <v>179</v>
      </c>
      <c r="B186" s="25" t="s">
        <v>46</v>
      </c>
      <c r="C186" s="25" t="s">
        <v>473</v>
      </c>
      <c r="D186" s="59">
        <v>5.5</v>
      </c>
    </row>
    <row r="187" spans="1:4" x14ac:dyDescent="0.35">
      <c r="A187" s="31">
        <f t="shared" si="2"/>
        <v>180</v>
      </c>
      <c r="B187" s="25" t="s">
        <v>28</v>
      </c>
      <c r="C187" s="25" t="s">
        <v>489</v>
      </c>
      <c r="D187" s="59">
        <v>5.49</v>
      </c>
    </row>
    <row r="188" spans="1:4" x14ac:dyDescent="0.35">
      <c r="A188" s="31">
        <f t="shared" si="2"/>
        <v>181</v>
      </c>
      <c r="B188" s="25" t="s">
        <v>28</v>
      </c>
      <c r="C188" s="25" t="s">
        <v>510</v>
      </c>
      <c r="D188" s="59">
        <v>5.46</v>
      </c>
    </row>
    <row r="189" spans="1:4" x14ac:dyDescent="0.35">
      <c r="A189" s="31">
        <f t="shared" si="2"/>
        <v>182</v>
      </c>
      <c r="B189" s="25" t="s">
        <v>132</v>
      </c>
      <c r="C189" s="25" t="s">
        <v>438</v>
      </c>
      <c r="D189" s="59">
        <v>5.46</v>
      </c>
    </row>
    <row r="190" spans="1:4" x14ac:dyDescent="0.35">
      <c r="A190" s="31">
        <f t="shared" si="2"/>
        <v>183</v>
      </c>
      <c r="B190" s="25" t="s">
        <v>28</v>
      </c>
      <c r="C190" s="25" t="s">
        <v>499</v>
      </c>
      <c r="D190" s="59">
        <v>5.45</v>
      </c>
    </row>
    <row r="191" spans="1:4" x14ac:dyDescent="0.35">
      <c r="A191" s="31">
        <f t="shared" si="2"/>
        <v>184</v>
      </c>
      <c r="B191" s="25" t="s">
        <v>102</v>
      </c>
      <c r="C191" s="25" t="s">
        <v>609</v>
      </c>
      <c r="D191" s="59">
        <v>5.45</v>
      </c>
    </row>
    <row r="192" spans="1:4" x14ac:dyDescent="0.35">
      <c r="A192" s="31">
        <f t="shared" si="2"/>
        <v>185</v>
      </c>
      <c r="B192" s="25" t="s">
        <v>569</v>
      </c>
      <c r="C192" s="25" t="s">
        <v>632</v>
      </c>
      <c r="D192" s="59">
        <v>5.39</v>
      </c>
    </row>
    <row r="193" spans="1:4" x14ac:dyDescent="0.35">
      <c r="A193" s="31">
        <f t="shared" si="2"/>
        <v>186</v>
      </c>
      <c r="B193" s="25" t="s">
        <v>74</v>
      </c>
      <c r="C193" s="25" t="s">
        <v>496</v>
      </c>
      <c r="D193" s="59">
        <v>5.38</v>
      </c>
    </row>
    <row r="194" spans="1:4" x14ac:dyDescent="0.35">
      <c r="A194" s="31">
        <f t="shared" si="2"/>
        <v>187</v>
      </c>
      <c r="B194" s="25" t="s">
        <v>121</v>
      </c>
      <c r="C194" s="25" t="s">
        <v>392</v>
      </c>
      <c r="D194" s="59">
        <v>5.37</v>
      </c>
    </row>
    <row r="195" spans="1:4" x14ac:dyDescent="0.35">
      <c r="A195" s="31">
        <f t="shared" si="2"/>
        <v>188</v>
      </c>
      <c r="B195" s="25" t="s">
        <v>74</v>
      </c>
      <c r="C195" s="25" t="s">
        <v>549</v>
      </c>
      <c r="D195" s="59">
        <v>5.35</v>
      </c>
    </row>
    <row r="196" spans="1:4" x14ac:dyDescent="0.35">
      <c r="A196" s="31">
        <f t="shared" si="2"/>
        <v>189</v>
      </c>
      <c r="B196" s="25" t="s">
        <v>121</v>
      </c>
      <c r="C196" s="25" t="s">
        <v>378</v>
      </c>
      <c r="D196" s="59">
        <v>5.34</v>
      </c>
    </row>
    <row r="197" spans="1:4" x14ac:dyDescent="0.35">
      <c r="A197" s="31">
        <f t="shared" si="2"/>
        <v>190</v>
      </c>
      <c r="B197" s="25" t="s">
        <v>569</v>
      </c>
      <c r="C197" s="25" t="s">
        <v>640</v>
      </c>
      <c r="D197" s="59">
        <v>5.34</v>
      </c>
    </row>
    <row r="198" spans="1:4" x14ac:dyDescent="0.35">
      <c r="A198" s="31">
        <f t="shared" si="2"/>
        <v>191</v>
      </c>
      <c r="B198" s="25" t="s">
        <v>85</v>
      </c>
      <c r="C198" s="25" t="s">
        <v>582</v>
      </c>
      <c r="D198" s="59">
        <v>5.32</v>
      </c>
    </row>
    <row r="199" spans="1:4" x14ac:dyDescent="0.35">
      <c r="A199" s="31">
        <f t="shared" si="2"/>
        <v>192</v>
      </c>
      <c r="B199" s="25" t="s">
        <v>46</v>
      </c>
      <c r="C199" s="25" t="s">
        <v>457</v>
      </c>
      <c r="D199" s="59">
        <v>5.32</v>
      </c>
    </row>
    <row r="200" spans="1:4" x14ac:dyDescent="0.35">
      <c r="A200" s="31">
        <f t="shared" si="2"/>
        <v>193</v>
      </c>
      <c r="B200" s="25" t="s">
        <v>142</v>
      </c>
      <c r="C200" s="25" t="s">
        <v>352</v>
      </c>
      <c r="D200" s="59">
        <v>5.26</v>
      </c>
    </row>
    <row r="201" spans="1:4" x14ac:dyDescent="0.35">
      <c r="A201" s="31">
        <f t="shared" ref="A201:A264" si="3">A200+1</f>
        <v>194</v>
      </c>
      <c r="B201" s="25" t="s">
        <v>28</v>
      </c>
      <c r="C201" s="25" t="s">
        <v>509</v>
      </c>
      <c r="D201" s="59">
        <v>5.25</v>
      </c>
    </row>
    <row r="202" spans="1:4" x14ac:dyDescent="0.35">
      <c r="A202" s="31">
        <f t="shared" si="3"/>
        <v>195</v>
      </c>
      <c r="B202" s="25" t="s">
        <v>121</v>
      </c>
      <c r="C202" s="25" t="s">
        <v>386</v>
      </c>
      <c r="D202" s="59">
        <v>5.25</v>
      </c>
    </row>
    <row r="203" spans="1:4" x14ac:dyDescent="0.35">
      <c r="A203" s="31">
        <f t="shared" si="3"/>
        <v>196</v>
      </c>
      <c r="B203" s="25" t="s">
        <v>28</v>
      </c>
      <c r="C203" s="25" t="s">
        <v>507</v>
      </c>
      <c r="D203" s="59">
        <v>5.23</v>
      </c>
    </row>
    <row r="204" spans="1:4" x14ac:dyDescent="0.35">
      <c r="A204" s="31">
        <f t="shared" si="3"/>
        <v>197</v>
      </c>
      <c r="B204" s="25" t="s">
        <v>121</v>
      </c>
      <c r="C204" s="25" t="s">
        <v>393</v>
      </c>
      <c r="D204" s="59">
        <v>5.23</v>
      </c>
    </row>
    <row r="205" spans="1:4" x14ac:dyDescent="0.35">
      <c r="A205" s="31">
        <f t="shared" si="3"/>
        <v>198</v>
      </c>
      <c r="B205" s="25" t="s">
        <v>85</v>
      </c>
      <c r="C205" s="25" t="s">
        <v>583</v>
      </c>
      <c r="D205" s="59">
        <v>5.23</v>
      </c>
    </row>
    <row r="206" spans="1:4" x14ac:dyDescent="0.35">
      <c r="A206" s="31">
        <f t="shared" si="3"/>
        <v>199</v>
      </c>
      <c r="B206" s="25" t="s">
        <v>91</v>
      </c>
      <c r="C206" s="25" t="s">
        <v>666</v>
      </c>
      <c r="D206" s="59">
        <v>5.23</v>
      </c>
    </row>
    <row r="207" spans="1:4" x14ac:dyDescent="0.35">
      <c r="A207" s="31">
        <f t="shared" si="3"/>
        <v>200</v>
      </c>
      <c r="B207" s="25" t="s">
        <v>142</v>
      </c>
      <c r="C207" s="25" t="s">
        <v>372</v>
      </c>
      <c r="D207" s="59">
        <v>5.21</v>
      </c>
    </row>
    <row r="208" spans="1:4" x14ac:dyDescent="0.35">
      <c r="A208" s="31">
        <f t="shared" si="3"/>
        <v>201</v>
      </c>
      <c r="B208" s="25" t="s">
        <v>46</v>
      </c>
      <c r="C208" s="25" t="s">
        <v>464</v>
      </c>
      <c r="D208" s="59">
        <v>5.19</v>
      </c>
    </row>
    <row r="209" spans="1:4" x14ac:dyDescent="0.35">
      <c r="A209" s="31">
        <f t="shared" si="3"/>
        <v>202</v>
      </c>
      <c r="B209" s="25" t="s">
        <v>56</v>
      </c>
      <c r="C209" s="25" t="s">
        <v>599</v>
      </c>
      <c r="D209" s="59">
        <v>5.17</v>
      </c>
    </row>
    <row r="210" spans="1:4" x14ac:dyDescent="0.35">
      <c r="A210" s="31">
        <f t="shared" si="3"/>
        <v>203</v>
      </c>
      <c r="B210" s="25" t="s">
        <v>46</v>
      </c>
      <c r="C210" s="25" t="s">
        <v>463</v>
      </c>
      <c r="D210" s="59">
        <v>5.15</v>
      </c>
    </row>
    <row r="211" spans="1:4" x14ac:dyDescent="0.35">
      <c r="A211" s="31">
        <f t="shared" si="3"/>
        <v>204</v>
      </c>
      <c r="B211" s="25" t="s">
        <v>142</v>
      </c>
      <c r="C211" s="25" t="s">
        <v>371</v>
      </c>
      <c r="D211" s="59">
        <v>5.14</v>
      </c>
    </row>
    <row r="212" spans="1:4" x14ac:dyDescent="0.35">
      <c r="A212" s="31">
        <f t="shared" si="3"/>
        <v>205</v>
      </c>
      <c r="B212" s="25" t="s">
        <v>28</v>
      </c>
      <c r="C212" s="25" t="s">
        <v>493</v>
      </c>
      <c r="D212" s="59">
        <v>5.13</v>
      </c>
    </row>
    <row r="213" spans="1:4" x14ac:dyDescent="0.35">
      <c r="A213" s="31">
        <f t="shared" si="3"/>
        <v>206</v>
      </c>
      <c r="B213" s="25" t="s">
        <v>132</v>
      </c>
      <c r="C213" s="25" t="s">
        <v>439</v>
      </c>
      <c r="D213" s="59">
        <v>5.13</v>
      </c>
    </row>
    <row r="214" spans="1:4" x14ac:dyDescent="0.35">
      <c r="A214" s="31">
        <f t="shared" si="3"/>
        <v>207</v>
      </c>
      <c r="B214" s="25" t="s">
        <v>28</v>
      </c>
      <c r="C214" s="25" t="s">
        <v>484</v>
      </c>
      <c r="D214" s="59">
        <v>5.12</v>
      </c>
    </row>
    <row r="215" spans="1:4" x14ac:dyDescent="0.35">
      <c r="A215" s="31">
        <f t="shared" si="3"/>
        <v>208</v>
      </c>
      <c r="B215" s="25" t="s">
        <v>132</v>
      </c>
      <c r="C215" s="25" t="s">
        <v>414</v>
      </c>
      <c r="D215" s="59">
        <v>5.1100000000000003</v>
      </c>
    </row>
    <row r="216" spans="1:4" x14ac:dyDescent="0.35">
      <c r="A216" s="31">
        <f t="shared" si="3"/>
        <v>209</v>
      </c>
      <c r="B216" s="25" t="s">
        <v>28</v>
      </c>
      <c r="C216" s="25" t="s">
        <v>492</v>
      </c>
      <c r="D216" s="59">
        <v>5.0999999999999996</v>
      </c>
    </row>
    <row r="217" spans="1:4" x14ac:dyDescent="0.35">
      <c r="A217" s="31">
        <f t="shared" si="3"/>
        <v>210</v>
      </c>
      <c r="B217" s="25" t="s">
        <v>132</v>
      </c>
      <c r="C217" s="25" t="s">
        <v>415</v>
      </c>
      <c r="D217" s="59">
        <v>5.0999999999999996</v>
      </c>
    </row>
    <row r="218" spans="1:4" x14ac:dyDescent="0.35">
      <c r="A218" s="31">
        <f t="shared" si="3"/>
        <v>211</v>
      </c>
      <c r="B218" s="25" t="s">
        <v>74</v>
      </c>
      <c r="C218" s="25" t="s">
        <v>546</v>
      </c>
      <c r="D218" s="59">
        <v>5.0999999999999996</v>
      </c>
    </row>
    <row r="219" spans="1:4" x14ac:dyDescent="0.35">
      <c r="A219" s="31">
        <f t="shared" si="3"/>
        <v>212</v>
      </c>
      <c r="B219" s="25" t="s">
        <v>82</v>
      </c>
      <c r="C219" s="25" t="s">
        <v>560</v>
      </c>
      <c r="D219" s="59">
        <v>5.09</v>
      </c>
    </row>
    <row r="220" spans="1:4" x14ac:dyDescent="0.35">
      <c r="A220" s="31">
        <f t="shared" si="3"/>
        <v>213</v>
      </c>
      <c r="B220" s="25" t="s">
        <v>121</v>
      </c>
      <c r="C220" s="25" t="s">
        <v>34</v>
      </c>
      <c r="D220" s="59">
        <v>5.08</v>
      </c>
    </row>
    <row r="221" spans="1:4" x14ac:dyDescent="0.35">
      <c r="A221" s="31">
        <f t="shared" si="3"/>
        <v>214</v>
      </c>
      <c r="B221" s="25" t="s">
        <v>46</v>
      </c>
      <c r="C221" s="25" t="s">
        <v>475</v>
      </c>
      <c r="D221" s="59">
        <v>5.08</v>
      </c>
    </row>
    <row r="222" spans="1:4" x14ac:dyDescent="0.35">
      <c r="A222" s="31">
        <f t="shared" si="3"/>
        <v>215</v>
      </c>
      <c r="B222" s="25" t="s">
        <v>56</v>
      </c>
      <c r="C222" s="25" t="s">
        <v>600</v>
      </c>
      <c r="D222" s="59">
        <v>5.07</v>
      </c>
    </row>
    <row r="223" spans="1:4" x14ac:dyDescent="0.35">
      <c r="A223" s="31">
        <f t="shared" si="3"/>
        <v>216</v>
      </c>
      <c r="B223" s="25" t="s">
        <v>28</v>
      </c>
      <c r="C223" s="25" t="s">
        <v>504</v>
      </c>
      <c r="D223" s="59">
        <v>5.0599999999999996</v>
      </c>
    </row>
    <row r="224" spans="1:4" x14ac:dyDescent="0.35">
      <c r="A224" s="31">
        <f t="shared" si="3"/>
        <v>217</v>
      </c>
      <c r="B224" s="25" t="s">
        <v>28</v>
      </c>
      <c r="C224" s="25" t="s">
        <v>508</v>
      </c>
      <c r="D224" s="59">
        <v>5.0599999999999996</v>
      </c>
    </row>
    <row r="225" spans="1:4" x14ac:dyDescent="0.35">
      <c r="A225" s="31">
        <f t="shared" si="3"/>
        <v>218</v>
      </c>
      <c r="B225" s="25" t="s">
        <v>569</v>
      </c>
      <c r="C225" s="25" t="s">
        <v>636</v>
      </c>
      <c r="D225" s="59">
        <v>5.0599999999999996</v>
      </c>
    </row>
    <row r="226" spans="1:4" x14ac:dyDescent="0.35">
      <c r="A226" s="31">
        <f t="shared" si="3"/>
        <v>219</v>
      </c>
      <c r="B226" s="25" t="s">
        <v>121</v>
      </c>
      <c r="C226" s="25" t="s">
        <v>394</v>
      </c>
      <c r="D226" s="59">
        <v>5.03</v>
      </c>
    </row>
    <row r="227" spans="1:4" x14ac:dyDescent="0.35">
      <c r="A227" s="31">
        <f t="shared" si="3"/>
        <v>220</v>
      </c>
      <c r="B227" s="25" t="s">
        <v>142</v>
      </c>
      <c r="C227" s="25" t="s">
        <v>353</v>
      </c>
      <c r="D227" s="59">
        <v>5.03</v>
      </c>
    </row>
    <row r="228" spans="1:4" x14ac:dyDescent="0.35">
      <c r="A228" s="31">
        <f t="shared" si="3"/>
        <v>221</v>
      </c>
      <c r="B228" s="25" t="s">
        <v>121</v>
      </c>
      <c r="C228" s="25" t="s">
        <v>395</v>
      </c>
      <c r="D228" s="59">
        <v>5.0199999999999996</v>
      </c>
    </row>
    <row r="229" spans="1:4" x14ac:dyDescent="0.35">
      <c r="A229" s="31">
        <f t="shared" si="3"/>
        <v>222</v>
      </c>
      <c r="B229" s="25" t="s">
        <v>132</v>
      </c>
      <c r="C229" s="25" t="s">
        <v>418</v>
      </c>
      <c r="D229" s="59">
        <v>5.0199999999999996</v>
      </c>
    </row>
    <row r="230" spans="1:4" x14ac:dyDescent="0.35">
      <c r="A230" s="31">
        <f t="shared" si="3"/>
        <v>223</v>
      </c>
      <c r="B230" s="25" t="s">
        <v>46</v>
      </c>
      <c r="C230" s="25" t="s">
        <v>449</v>
      </c>
      <c r="D230" s="59">
        <v>5.01</v>
      </c>
    </row>
    <row r="231" spans="1:4" x14ac:dyDescent="0.35">
      <c r="A231" s="31">
        <f t="shared" si="3"/>
        <v>224</v>
      </c>
      <c r="B231" s="25" t="s">
        <v>46</v>
      </c>
      <c r="C231" s="25" t="s">
        <v>470</v>
      </c>
      <c r="D231" s="59">
        <v>5.01</v>
      </c>
    </row>
    <row r="232" spans="1:4" x14ac:dyDescent="0.35">
      <c r="A232" s="31">
        <f t="shared" si="3"/>
        <v>225</v>
      </c>
      <c r="B232" s="25" t="s">
        <v>28</v>
      </c>
      <c r="C232" s="25" t="s">
        <v>488</v>
      </c>
      <c r="D232" s="59">
        <v>5</v>
      </c>
    </row>
    <row r="233" spans="1:4" x14ac:dyDescent="0.35">
      <c r="A233" s="31">
        <f t="shared" si="3"/>
        <v>226</v>
      </c>
      <c r="B233" s="25" t="s">
        <v>28</v>
      </c>
      <c r="C233" s="25" t="s">
        <v>505</v>
      </c>
      <c r="D233" s="59">
        <v>5</v>
      </c>
    </row>
    <row r="234" spans="1:4" x14ac:dyDescent="0.35">
      <c r="A234" s="31">
        <f t="shared" si="3"/>
        <v>227</v>
      </c>
      <c r="B234" s="25" t="s">
        <v>28</v>
      </c>
      <c r="C234" s="25" t="s">
        <v>506</v>
      </c>
      <c r="D234" s="59">
        <v>5</v>
      </c>
    </row>
    <row r="235" spans="1:4" x14ac:dyDescent="0.35">
      <c r="A235" s="31">
        <f t="shared" si="3"/>
        <v>228</v>
      </c>
      <c r="B235" s="25" t="s">
        <v>132</v>
      </c>
      <c r="C235" s="25" t="s">
        <v>416</v>
      </c>
      <c r="D235" s="59">
        <v>5</v>
      </c>
    </row>
    <row r="236" spans="1:4" x14ac:dyDescent="0.35">
      <c r="A236" s="31">
        <f t="shared" si="3"/>
        <v>229</v>
      </c>
      <c r="B236" s="25" t="s">
        <v>132</v>
      </c>
      <c r="C236" s="25" t="s">
        <v>417</v>
      </c>
      <c r="D236" s="59">
        <v>5</v>
      </c>
    </row>
    <row r="237" spans="1:4" x14ac:dyDescent="0.35">
      <c r="A237" s="31">
        <f t="shared" si="3"/>
        <v>230</v>
      </c>
      <c r="B237" s="25" t="s">
        <v>132</v>
      </c>
      <c r="C237" s="25" t="s">
        <v>442</v>
      </c>
      <c r="D237" s="59">
        <v>5</v>
      </c>
    </row>
    <row r="238" spans="1:4" x14ac:dyDescent="0.35">
      <c r="A238" s="31">
        <f t="shared" si="3"/>
        <v>231</v>
      </c>
      <c r="B238" s="25" t="s">
        <v>74</v>
      </c>
      <c r="C238" s="25" t="s">
        <v>686</v>
      </c>
      <c r="D238" s="59">
        <v>5</v>
      </c>
    </row>
    <row r="239" spans="1:4" x14ac:dyDescent="0.35">
      <c r="A239" s="31">
        <f t="shared" si="3"/>
        <v>232</v>
      </c>
      <c r="B239" s="25" t="s">
        <v>74</v>
      </c>
      <c r="C239" s="25" t="s">
        <v>687</v>
      </c>
      <c r="D239" s="59">
        <v>5</v>
      </c>
    </row>
    <row r="240" spans="1:4" x14ac:dyDescent="0.35">
      <c r="A240" s="31">
        <f t="shared" si="3"/>
        <v>233</v>
      </c>
      <c r="B240" s="25" t="s">
        <v>46</v>
      </c>
      <c r="C240" s="25" t="s">
        <v>458</v>
      </c>
      <c r="D240" s="59">
        <v>4.99</v>
      </c>
    </row>
    <row r="241" spans="1:4" x14ac:dyDescent="0.35">
      <c r="A241" s="31">
        <f t="shared" si="3"/>
        <v>234</v>
      </c>
      <c r="B241" s="25" t="s">
        <v>46</v>
      </c>
      <c r="C241" s="25" t="s">
        <v>472</v>
      </c>
      <c r="D241" s="59">
        <v>4.99</v>
      </c>
    </row>
    <row r="242" spans="1:4" x14ac:dyDescent="0.35">
      <c r="A242" s="31">
        <f t="shared" si="3"/>
        <v>235</v>
      </c>
      <c r="B242" s="25" t="s">
        <v>46</v>
      </c>
      <c r="C242" s="25" t="s">
        <v>461</v>
      </c>
      <c r="D242" s="59">
        <v>4.9800000000000004</v>
      </c>
    </row>
    <row r="243" spans="1:4" x14ac:dyDescent="0.35">
      <c r="A243" s="31">
        <f t="shared" si="3"/>
        <v>236</v>
      </c>
      <c r="B243" s="25" t="s">
        <v>56</v>
      </c>
      <c r="C243" s="25" t="s">
        <v>601</v>
      </c>
      <c r="D243" s="59">
        <v>4.97</v>
      </c>
    </row>
    <row r="244" spans="1:4" x14ac:dyDescent="0.35">
      <c r="A244" s="31">
        <f t="shared" si="3"/>
        <v>237</v>
      </c>
      <c r="B244" s="25" t="s">
        <v>85</v>
      </c>
      <c r="C244" s="25" t="s">
        <v>584</v>
      </c>
      <c r="D244" s="59">
        <v>4.97</v>
      </c>
    </row>
    <row r="245" spans="1:4" x14ac:dyDescent="0.35">
      <c r="A245" s="31">
        <f t="shared" si="3"/>
        <v>238</v>
      </c>
      <c r="B245" s="25" t="s">
        <v>74</v>
      </c>
      <c r="C245" s="25" t="s">
        <v>688</v>
      </c>
      <c r="D245" s="59">
        <v>4.93</v>
      </c>
    </row>
    <row r="246" spans="1:4" x14ac:dyDescent="0.35">
      <c r="A246" s="31">
        <f t="shared" si="3"/>
        <v>239</v>
      </c>
      <c r="B246" s="25" t="s">
        <v>46</v>
      </c>
      <c r="C246" s="25" t="s">
        <v>462</v>
      </c>
      <c r="D246" s="59">
        <v>4.92</v>
      </c>
    </row>
    <row r="247" spans="1:4" x14ac:dyDescent="0.35">
      <c r="A247" s="31">
        <f t="shared" si="3"/>
        <v>240</v>
      </c>
      <c r="B247" s="25" t="s">
        <v>46</v>
      </c>
      <c r="C247" s="25" t="s">
        <v>454</v>
      </c>
      <c r="D247" s="59">
        <v>4.8499999999999996</v>
      </c>
    </row>
    <row r="248" spans="1:4" x14ac:dyDescent="0.35">
      <c r="A248" s="31">
        <f t="shared" si="3"/>
        <v>241</v>
      </c>
      <c r="B248" s="25" t="s">
        <v>91</v>
      </c>
      <c r="C248" s="25" t="s">
        <v>658</v>
      </c>
      <c r="D248" s="59">
        <v>4.84</v>
      </c>
    </row>
    <row r="249" spans="1:4" x14ac:dyDescent="0.35">
      <c r="A249" s="31">
        <f t="shared" si="3"/>
        <v>242</v>
      </c>
      <c r="B249" s="25" t="s">
        <v>569</v>
      </c>
      <c r="C249" s="25" t="s">
        <v>630</v>
      </c>
      <c r="D249" s="59">
        <v>4.84</v>
      </c>
    </row>
    <row r="250" spans="1:4" x14ac:dyDescent="0.35">
      <c r="A250" s="31">
        <f t="shared" si="3"/>
        <v>243</v>
      </c>
      <c r="B250" s="25" t="s">
        <v>102</v>
      </c>
      <c r="C250" s="25" t="s">
        <v>610</v>
      </c>
      <c r="D250" s="59">
        <v>4.84</v>
      </c>
    </row>
    <row r="251" spans="1:4" x14ac:dyDescent="0.35">
      <c r="A251" s="31">
        <f t="shared" si="3"/>
        <v>244</v>
      </c>
      <c r="B251" s="25" t="s">
        <v>58</v>
      </c>
      <c r="C251" s="25" t="s">
        <v>522</v>
      </c>
      <c r="D251" s="59">
        <v>4.8</v>
      </c>
    </row>
    <row r="252" spans="1:4" x14ac:dyDescent="0.35">
      <c r="A252" s="31">
        <f t="shared" si="3"/>
        <v>245</v>
      </c>
      <c r="B252" s="25" t="s">
        <v>91</v>
      </c>
      <c r="C252" s="27" t="s">
        <v>664</v>
      </c>
      <c r="D252" s="59">
        <v>4.8</v>
      </c>
    </row>
    <row r="253" spans="1:4" x14ac:dyDescent="0.35">
      <c r="A253" s="31">
        <f t="shared" si="3"/>
        <v>246</v>
      </c>
      <c r="B253" s="25" t="s">
        <v>46</v>
      </c>
      <c r="C253" s="25" t="s">
        <v>452</v>
      </c>
      <c r="D253" s="59">
        <v>4.8</v>
      </c>
    </row>
    <row r="254" spans="1:4" x14ac:dyDescent="0.35">
      <c r="A254" s="31">
        <f t="shared" si="3"/>
        <v>247</v>
      </c>
      <c r="B254" s="25" t="s">
        <v>102</v>
      </c>
      <c r="C254" s="25" t="s">
        <v>611</v>
      </c>
      <c r="D254" s="59">
        <v>4.79</v>
      </c>
    </row>
    <row r="255" spans="1:4" x14ac:dyDescent="0.35">
      <c r="A255" s="31">
        <f t="shared" si="3"/>
        <v>248</v>
      </c>
      <c r="B255" s="25" t="s">
        <v>121</v>
      </c>
      <c r="C255" s="25" t="s">
        <v>382</v>
      </c>
      <c r="D255" s="59">
        <v>4.78</v>
      </c>
    </row>
    <row r="256" spans="1:4" x14ac:dyDescent="0.35">
      <c r="A256" s="31">
        <f t="shared" si="3"/>
        <v>249</v>
      </c>
      <c r="B256" s="25" t="s">
        <v>46</v>
      </c>
      <c r="C256" s="25" t="s">
        <v>459</v>
      </c>
      <c r="D256" s="59">
        <v>4.78</v>
      </c>
    </row>
    <row r="257" spans="1:4" x14ac:dyDescent="0.35">
      <c r="A257" s="31">
        <f t="shared" si="3"/>
        <v>250</v>
      </c>
      <c r="B257" s="25" t="s">
        <v>102</v>
      </c>
      <c r="C257" s="25" t="s">
        <v>612</v>
      </c>
      <c r="D257" s="59">
        <v>4.7699999999999996</v>
      </c>
    </row>
    <row r="258" spans="1:4" x14ac:dyDescent="0.35">
      <c r="A258" s="31">
        <f t="shared" si="3"/>
        <v>251</v>
      </c>
      <c r="B258" s="25" t="s">
        <v>91</v>
      </c>
      <c r="C258" s="25" t="s">
        <v>120</v>
      </c>
      <c r="D258" s="59">
        <v>4.76</v>
      </c>
    </row>
    <row r="259" spans="1:4" x14ac:dyDescent="0.35">
      <c r="A259" s="31">
        <f t="shared" si="3"/>
        <v>252</v>
      </c>
      <c r="B259" s="25" t="s">
        <v>58</v>
      </c>
      <c r="C259" s="25" t="s">
        <v>523</v>
      </c>
      <c r="D259" s="59">
        <v>4.75</v>
      </c>
    </row>
    <row r="260" spans="1:4" x14ac:dyDescent="0.35">
      <c r="A260" s="31">
        <f t="shared" si="3"/>
        <v>253</v>
      </c>
      <c r="B260" s="25" t="s">
        <v>85</v>
      </c>
      <c r="C260" s="25" t="s">
        <v>585</v>
      </c>
      <c r="D260" s="59">
        <v>4.75</v>
      </c>
    </row>
    <row r="261" spans="1:4" x14ac:dyDescent="0.35">
      <c r="A261" s="31">
        <f t="shared" si="3"/>
        <v>254</v>
      </c>
      <c r="B261" s="25" t="s">
        <v>569</v>
      </c>
      <c r="C261" s="25" t="s">
        <v>623</v>
      </c>
      <c r="D261" s="59">
        <v>4.75</v>
      </c>
    </row>
    <row r="262" spans="1:4" x14ac:dyDescent="0.35">
      <c r="A262" s="31">
        <f t="shared" si="3"/>
        <v>255</v>
      </c>
      <c r="B262" s="25" t="s">
        <v>569</v>
      </c>
      <c r="C262" s="25" t="s">
        <v>639</v>
      </c>
      <c r="D262" s="59">
        <v>4.6900000000000004</v>
      </c>
    </row>
    <row r="263" spans="1:4" x14ac:dyDescent="0.35">
      <c r="A263" s="31">
        <f t="shared" si="3"/>
        <v>256</v>
      </c>
      <c r="B263" s="25" t="s">
        <v>85</v>
      </c>
      <c r="C263" s="25" t="s">
        <v>586</v>
      </c>
      <c r="D263" s="59">
        <v>4.66</v>
      </c>
    </row>
    <row r="264" spans="1:4" x14ac:dyDescent="0.35">
      <c r="A264" s="31">
        <f t="shared" si="3"/>
        <v>257</v>
      </c>
      <c r="B264" s="25" t="s">
        <v>56</v>
      </c>
      <c r="C264" s="25" t="s">
        <v>602</v>
      </c>
      <c r="D264" s="59">
        <v>4.5999999999999996</v>
      </c>
    </row>
    <row r="265" spans="1:4" x14ac:dyDescent="0.35">
      <c r="A265" s="31">
        <f t="shared" ref="A265:A314" si="4">A264+1</f>
        <v>258</v>
      </c>
      <c r="B265" s="25" t="s">
        <v>56</v>
      </c>
      <c r="C265" s="25" t="s">
        <v>603</v>
      </c>
      <c r="D265" s="59">
        <v>4.5999999999999996</v>
      </c>
    </row>
    <row r="266" spans="1:4" x14ac:dyDescent="0.35">
      <c r="A266" s="31">
        <f t="shared" si="4"/>
        <v>259</v>
      </c>
      <c r="B266" s="25" t="s">
        <v>91</v>
      </c>
      <c r="C266" s="25" t="s">
        <v>662</v>
      </c>
      <c r="D266" s="59">
        <v>4.5999999999999996</v>
      </c>
    </row>
    <row r="267" spans="1:4" x14ac:dyDescent="0.35">
      <c r="A267" s="31">
        <f t="shared" si="4"/>
        <v>260</v>
      </c>
      <c r="B267" s="25" t="s">
        <v>91</v>
      </c>
      <c r="C267" s="25" t="s">
        <v>667</v>
      </c>
      <c r="D267" s="59">
        <v>4.5999999999999996</v>
      </c>
    </row>
    <row r="268" spans="1:4" x14ac:dyDescent="0.35">
      <c r="A268" s="31">
        <f t="shared" si="4"/>
        <v>261</v>
      </c>
      <c r="B268" s="25" t="s">
        <v>58</v>
      </c>
      <c r="C268" s="25" t="s">
        <v>524</v>
      </c>
      <c r="D268" s="59">
        <v>4.5999999999999996</v>
      </c>
    </row>
    <row r="269" spans="1:4" x14ac:dyDescent="0.35">
      <c r="A269" s="31">
        <f t="shared" si="4"/>
        <v>262</v>
      </c>
      <c r="B269" s="25" t="s">
        <v>102</v>
      </c>
      <c r="C269" s="25" t="s">
        <v>613</v>
      </c>
      <c r="D269" s="59">
        <v>4.5999999999999996</v>
      </c>
    </row>
    <row r="270" spans="1:4" x14ac:dyDescent="0.35">
      <c r="A270" s="31">
        <f t="shared" si="4"/>
        <v>263</v>
      </c>
      <c r="B270" s="25" t="s">
        <v>56</v>
      </c>
      <c r="C270" s="25" t="s">
        <v>604</v>
      </c>
      <c r="D270" s="59">
        <v>4.59</v>
      </c>
    </row>
    <row r="271" spans="1:4" x14ac:dyDescent="0.35">
      <c r="A271" s="31">
        <f t="shared" si="4"/>
        <v>264</v>
      </c>
      <c r="B271" s="25" t="s">
        <v>58</v>
      </c>
      <c r="C271" s="25" t="s">
        <v>525</v>
      </c>
      <c r="D271" s="59">
        <v>4.59</v>
      </c>
    </row>
    <row r="272" spans="1:4" x14ac:dyDescent="0.35">
      <c r="A272" s="31">
        <f t="shared" si="4"/>
        <v>265</v>
      </c>
      <c r="B272" s="25" t="s">
        <v>132</v>
      </c>
      <c r="C272" s="25" t="s">
        <v>418</v>
      </c>
      <c r="D272" s="59">
        <v>4.59</v>
      </c>
    </row>
    <row r="273" spans="1:4" x14ac:dyDescent="0.35">
      <c r="A273" s="31">
        <f t="shared" si="4"/>
        <v>266</v>
      </c>
      <c r="B273" s="25" t="s">
        <v>91</v>
      </c>
      <c r="C273" s="25" t="s">
        <v>670</v>
      </c>
      <c r="D273" s="59">
        <v>4.59</v>
      </c>
    </row>
    <row r="274" spans="1:4" x14ac:dyDescent="0.35">
      <c r="A274" s="31">
        <f t="shared" si="4"/>
        <v>267</v>
      </c>
      <c r="B274" s="25" t="s">
        <v>142</v>
      </c>
      <c r="C274" s="25" t="s">
        <v>355</v>
      </c>
      <c r="D274" s="59">
        <v>4.57</v>
      </c>
    </row>
    <row r="275" spans="1:4" x14ac:dyDescent="0.35">
      <c r="A275" s="31">
        <f t="shared" si="4"/>
        <v>268</v>
      </c>
      <c r="B275" s="25" t="s">
        <v>91</v>
      </c>
      <c r="C275" s="25" t="s">
        <v>71</v>
      </c>
      <c r="D275" s="59">
        <v>4.57</v>
      </c>
    </row>
    <row r="276" spans="1:4" x14ac:dyDescent="0.35">
      <c r="A276" s="31">
        <f t="shared" si="4"/>
        <v>269</v>
      </c>
      <c r="B276" s="25" t="s">
        <v>46</v>
      </c>
      <c r="C276" s="25" t="s">
        <v>471</v>
      </c>
      <c r="D276" s="59">
        <v>4.57</v>
      </c>
    </row>
    <row r="277" spans="1:4" x14ac:dyDescent="0.35">
      <c r="A277" s="31">
        <f t="shared" si="4"/>
        <v>270</v>
      </c>
      <c r="B277" s="25" t="s">
        <v>142</v>
      </c>
      <c r="C277" s="25" t="s">
        <v>360</v>
      </c>
      <c r="D277" s="59">
        <v>4.57</v>
      </c>
    </row>
    <row r="278" spans="1:4" x14ac:dyDescent="0.35">
      <c r="A278" s="31">
        <f t="shared" si="4"/>
        <v>271</v>
      </c>
      <c r="B278" s="25" t="s">
        <v>142</v>
      </c>
      <c r="C278" s="25" t="s">
        <v>359</v>
      </c>
      <c r="D278" s="59">
        <v>4.55</v>
      </c>
    </row>
    <row r="279" spans="1:4" x14ac:dyDescent="0.35">
      <c r="A279" s="31">
        <f t="shared" si="4"/>
        <v>272</v>
      </c>
      <c r="B279" s="25" t="s">
        <v>46</v>
      </c>
      <c r="C279" s="25" t="s">
        <v>481</v>
      </c>
      <c r="D279" s="59">
        <v>4.55</v>
      </c>
    </row>
    <row r="280" spans="1:4" x14ac:dyDescent="0.35">
      <c r="A280" s="31">
        <f t="shared" si="4"/>
        <v>273</v>
      </c>
      <c r="B280" s="25" t="s">
        <v>91</v>
      </c>
      <c r="C280" s="25" t="s">
        <v>660</v>
      </c>
      <c r="D280" s="59">
        <v>4.55</v>
      </c>
    </row>
    <row r="281" spans="1:4" x14ac:dyDescent="0.35">
      <c r="A281" s="31">
        <f t="shared" si="4"/>
        <v>274</v>
      </c>
      <c r="B281" s="25" t="s">
        <v>142</v>
      </c>
      <c r="C281" s="25" t="s">
        <v>361</v>
      </c>
      <c r="D281" s="59">
        <v>4.55</v>
      </c>
    </row>
    <row r="282" spans="1:4" x14ac:dyDescent="0.35">
      <c r="A282" s="31">
        <f t="shared" si="4"/>
        <v>275</v>
      </c>
      <c r="B282" s="25" t="s">
        <v>82</v>
      </c>
      <c r="C282" s="25" t="s">
        <v>556</v>
      </c>
      <c r="D282" s="59">
        <v>4.55</v>
      </c>
    </row>
    <row r="283" spans="1:4" x14ac:dyDescent="0.35">
      <c r="A283" s="31">
        <f t="shared" si="4"/>
        <v>276</v>
      </c>
      <c r="B283" s="25" t="s">
        <v>91</v>
      </c>
      <c r="C283" s="25" t="s">
        <v>663</v>
      </c>
      <c r="D283" s="59">
        <v>4.55</v>
      </c>
    </row>
    <row r="284" spans="1:4" x14ac:dyDescent="0.35">
      <c r="A284" s="31">
        <f t="shared" si="4"/>
        <v>277</v>
      </c>
      <c r="B284" s="25" t="s">
        <v>85</v>
      </c>
      <c r="C284" s="25" t="s">
        <v>455</v>
      </c>
      <c r="D284" s="59">
        <v>4.54</v>
      </c>
    </row>
    <row r="285" spans="1:4" x14ac:dyDescent="0.35">
      <c r="A285" s="31">
        <f t="shared" si="4"/>
        <v>278</v>
      </c>
      <c r="B285" s="25" t="s">
        <v>74</v>
      </c>
      <c r="C285" s="25" t="s">
        <v>545</v>
      </c>
      <c r="D285" s="59">
        <v>4.54</v>
      </c>
    </row>
    <row r="286" spans="1:4" x14ac:dyDescent="0.35">
      <c r="A286" s="31">
        <f t="shared" si="4"/>
        <v>279</v>
      </c>
      <c r="B286" s="25" t="s">
        <v>91</v>
      </c>
      <c r="C286" s="25" t="s">
        <v>659</v>
      </c>
      <c r="D286" s="59">
        <v>4.5199999999999996</v>
      </c>
    </row>
    <row r="287" spans="1:4" x14ac:dyDescent="0.35">
      <c r="A287" s="31">
        <f t="shared" si="4"/>
        <v>280</v>
      </c>
      <c r="B287" s="25" t="s">
        <v>91</v>
      </c>
      <c r="C287" s="25" t="s">
        <v>668</v>
      </c>
      <c r="D287" s="59">
        <v>4.5199999999999996</v>
      </c>
    </row>
    <row r="288" spans="1:4" x14ac:dyDescent="0.35">
      <c r="A288" s="31">
        <f t="shared" si="4"/>
        <v>281</v>
      </c>
      <c r="B288" s="25" t="s">
        <v>142</v>
      </c>
      <c r="C288" s="25" t="s">
        <v>362</v>
      </c>
      <c r="D288" s="59">
        <v>4.5199999999999996</v>
      </c>
    </row>
    <row r="289" spans="1:4" x14ac:dyDescent="0.35">
      <c r="A289" s="31">
        <f t="shared" si="4"/>
        <v>282</v>
      </c>
      <c r="B289" s="25" t="s">
        <v>91</v>
      </c>
      <c r="C289" s="25" t="s">
        <v>669</v>
      </c>
      <c r="D289" s="59">
        <v>4.5199999999999996</v>
      </c>
    </row>
    <row r="290" spans="1:4" x14ac:dyDescent="0.35">
      <c r="A290" s="31">
        <f t="shared" si="4"/>
        <v>283</v>
      </c>
      <c r="B290" s="25" t="s">
        <v>121</v>
      </c>
      <c r="C290" s="25" t="s">
        <v>385</v>
      </c>
      <c r="D290" s="59">
        <v>4.5199999999999996</v>
      </c>
    </row>
    <row r="291" spans="1:4" x14ac:dyDescent="0.35">
      <c r="A291" s="31">
        <f t="shared" si="4"/>
        <v>284</v>
      </c>
      <c r="B291" s="25" t="s">
        <v>132</v>
      </c>
      <c r="C291" s="25" t="s">
        <v>419</v>
      </c>
      <c r="D291" s="59">
        <v>4.5199999999999996</v>
      </c>
    </row>
    <row r="292" spans="1:4" x14ac:dyDescent="0.35">
      <c r="A292" s="31">
        <f t="shared" si="4"/>
        <v>285</v>
      </c>
      <c r="B292" s="25" t="s">
        <v>142</v>
      </c>
      <c r="C292" s="25" t="s">
        <v>377</v>
      </c>
      <c r="D292" s="59">
        <v>4.5199999999999996</v>
      </c>
    </row>
    <row r="293" spans="1:4" x14ac:dyDescent="0.35">
      <c r="A293" s="31">
        <f t="shared" si="4"/>
        <v>286</v>
      </c>
      <c r="B293" s="25" t="s">
        <v>91</v>
      </c>
      <c r="C293" s="25" t="s">
        <v>657</v>
      </c>
      <c r="D293" s="59">
        <v>4.51</v>
      </c>
    </row>
    <row r="294" spans="1:4" x14ac:dyDescent="0.35">
      <c r="A294" s="31">
        <f t="shared" si="4"/>
        <v>287</v>
      </c>
      <c r="B294" s="25" t="s">
        <v>121</v>
      </c>
      <c r="C294" s="25" t="s">
        <v>380</v>
      </c>
      <c r="D294" s="59">
        <v>4.51</v>
      </c>
    </row>
    <row r="295" spans="1:4" x14ac:dyDescent="0.35">
      <c r="A295" s="31">
        <f t="shared" si="4"/>
        <v>288</v>
      </c>
      <c r="B295" s="25" t="s">
        <v>102</v>
      </c>
      <c r="C295" s="25" t="s">
        <v>614</v>
      </c>
      <c r="D295" s="59">
        <v>4.51</v>
      </c>
    </row>
    <row r="296" spans="1:4" x14ac:dyDescent="0.35">
      <c r="A296" s="31">
        <f t="shared" si="4"/>
        <v>289</v>
      </c>
      <c r="B296" s="25" t="s">
        <v>132</v>
      </c>
      <c r="C296" s="25" t="s">
        <v>420</v>
      </c>
      <c r="D296" s="59">
        <v>4.51</v>
      </c>
    </row>
    <row r="297" spans="1:4" x14ac:dyDescent="0.35">
      <c r="A297" s="31">
        <f t="shared" si="4"/>
        <v>290</v>
      </c>
      <c r="B297" s="25" t="s">
        <v>569</v>
      </c>
      <c r="C297" s="25" t="s">
        <v>633</v>
      </c>
      <c r="D297" s="59">
        <v>4.51</v>
      </c>
    </row>
    <row r="298" spans="1:4" x14ac:dyDescent="0.35">
      <c r="A298" s="31">
        <f t="shared" si="4"/>
        <v>291</v>
      </c>
      <c r="B298" s="25" t="s">
        <v>82</v>
      </c>
      <c r="C298" s="25" t="s">
        <v>554</v>
      </c>
      <c r="D298" s="59">
        <v>4.5</v>
      </c>
    </row>
    <row r="299" spans="1:4" x14ac:dyDescent="0.35">
      <c r="A299" s="31">
        <f t="shared" si="4"/>
        <v>292</v>
      </c>
      <c r="B299" s="25" t="s">
        <v>142</v>
      </c>
      <c r="C299" s="25" t="s">
        <v>370</v>
      </c>
      <c r="D299" s="59">
        <v>4.5</v>
      </c>
    </row>
    <row r="300" spans="1:4" x14ac:dyDescent="0.35">
      <c r="A300" s="31">
        <f t="shared" si="4"/>
        <v>293</v>
      </c>
      <c r="B300" s="25" t="s">
        <v>91</v>
      </c>
      <c r="C300" s="25" t="s">
        <v>665</v>
      </c>
      <c r="D300" s="59">
        <v>4.5</v>
      </c>
    </row>
    <row r="301" spans="1:4" x14ac:dyDescent="0.35">
      <c r="A301" s="31">
        <f t="shared" si="4"/>
        <v>294</v>
      </c>
      <c r="B301" s="25" t="s">
        <v>74</v>
      </c>
      <c r="C301" s="25" t="s">
        <v>548</v>
      </c>
      <c r="D301" s="59">
        <v>4.5</v>
      </c>
    </row>
    <row r="302" spans="1:4" x14ac:dyDescent="0.35">
      <c r="A302" s="31">
        <f t="shared" si="4"/>
        <v>295</v>
      </c>
      <c r="B302" s="25" t="s">
        <v>102</v>
      </c>
      <c r="C302" s="25" t="s">
        <v>615</v>
      </c>
      <c r="D302" s="59">
        <v>4.5</v>
      </c>
    </row>
    <row r="303" spans="1:4" x14ac:dyDescent="0.35">
      <c r="A303" s="31">
        <f t="shared" si="4"/>
        <v>296</v>
      </c>
      <c r="B303" s="25" t="s">
        <v>58</v>
      </c>
      <c r="C303" s="25" t="s">
        <v>526</v>
      </c>
      <c r="D303" s="59">
        <v>4.5</v>
      </c>
    </row>
    <row r="304" spans="1:4" x14ac:dyDescent="0.35">
      <c r="A304" s="31">
        <f t="shared" si="4"/>
        <v>297</v>
      </c>
      <c r="B304" s="25" t="s">
        <v>142</v>
      </c>
      <c r="C304" s="25" t="s">
        <v>374</v>
      </c>
      <c r="D304" s="59">
        <v>4.5</v>
      </c>
    </row>
    <row r="305" spans="1:4" x14ac:dyDescent="0.35">
      <c r="A305" s="31">
        <f t="shared" si="4"/>
        <v>298</v>
      </c>
      <c r="B305" s="25" t="s">
        <v>91</v>
      </c>
      <c r="C305" s="25" t="s">
        <v>243</v>
      </c>
      <c r="D305" s="59">
        <v>4.5</v>
      </c>
    </row>
    <row r="306" spans="1:4" x14ac:dyDescent="0.35">
      <c r="A306" s="31">
        <f t="shared" si="4"/>
        <v>299</v>
      </c>
      <c r="B306" s="25" t="s">
        <v>82</v>
      </c>
      <c r="C306" s="25" t="s">
        <v>350</v>
      </c>
      <c r="D306" s="59">
        <v>4.5</v>
      </c>
    </row>
    <row r="307" spans="1:4" x14ac:dyDescent="0.35">
      <c r="A307" s="31">
        <f t="shared" si="4"/>
        <v>300</v>
      </c>
      <c r="B307" s="25" t="s">
        <v>82</v>
      </c>
      <c r="C307" s="25" t="s">
        <v>559</v>
      </c>
      <c r="D307" s="59">
        <v>4.5</v>
      </c>
    </row>
    <row r="308" spans="1:4" x14ac:dyDescent="0.35">
      <c r="A308" s="31">
        <f t="shared" si="4"/>
        <v>301</v>
      </c>
      <c r="B308" s="25" t="s">
        <v>102</v>
      </c>
      <c r="C308" s="25" t="s">
        <v>616</v>
      </c>
      <c r="D308" s="59">
        <v>4.5</v>
      </c>
    </row>
    <row r="309" spans="1:4" x14ac:dyDescent="0.35">
      <c r="A309" s="31">
        <f t="shared" si="4"/>
        <v>302</v>
      </c>
      <c r="B309" s="25" t="s">
        <v>569</v>
      </c>
      <c r="C309" s="25" t="s">
        <v>634</v>
      </c>
      <c r="D309" s="59">
        <v>4.5</v>
      </c>
    </row>
    <row r="310" spans="1:4" x14ac:dyDescent="0.35">
      <c r="A310" s="31">
        <f t="shared" si="4"/>
        <v>303</v>
      </c>
      <c r="B310" s="25" t="s">
        <v>56</v>
      </c>
      <c r="C310" s="25" t="s">
        <v>605</v>
      </c>
      <c r="D310" s="59">
        <v>4.5</v>
      </c>
    </row>
    <row r="311" spans="1:4" x14ac:dyDescent="0.35">
      <c r="A311" s="31">
        <f t="shared" si="4"/>
        <v>304</v>
      </c>
      <c r="B311" s="25" t="s">
        <v>74</v>
      </c>
      <c r="C311" s="25" t="s">
        <v>689</v>
      </c>
      <c r="D311" s="59">
        <v>4.5</v>
      </c>
    </row>
    <row r="312" spans="1:4" x14ac:dyDescent="0.35">
      <c r="A312" s="31">
        <f t="shared" si="4"/>
        <v>305</v>
      </c>
      <c r="B312" s="25" t="s">
        <v>74</v>
      </c>
      <c r="C312" s="25" t="s">
        <v>690</v>
      </c>
      <c r="D312" s="59">
        <v>4.5</v>
      </c>
    </row>
    <row r="313" spans="1:4" x14ac:dyDescent="0.35">
      <c r="A313" s="31">
        <f t="shared" si="4"/>
        <v>306</v>
      </c>
      <c r="B313" s="25" t="s">
        <v>82</v>
      </c>
      <c r="C313" s="25" t="s">
        <v>562</v>
      </c>
      <c r="D313" s="59">
        <v>4.5</v>
      </c>
    </row>
    <row r="314" spans="1:4" x14ac:dyDescent="0.35">
      <c r="A314" s="31">
        <f t="shared" si="4"/>
        <v>307</v>
      </c>
      <c r="B314" s="25" t="s">
        <v>142</v>
      </c>
      <c r="C314" s="25" t="s">
        <v>358</v>
      </c>
      <c r="D314" s="59">
        <v>4.5</v>
      </c>
    </row>
    <row r="315" spans="1:4" x14ac:dyDescent="0.35">
      <c r="A315" s="58">
        <v>1</v>
      </c>
      <c r="B315" s="10" t="s">
        <v>102</v>
      </c>
      <c r="C315" s="10" t="s">
        <v>617</v>
      </c>
      <c r="D315" s="60">
        <v>4</v>
      </c>
    </row>
    <row r="316" spans="1:4" x14ac:dyDescent="0.35">
      <c r="A316" s="58">
        <f t="shared" ref="A316:A366" si="5">A315+1</f>
        <v>2</v>
      </c>
      <c r="B316" s="10" t="s">
        <v>102</v>
      </c>
      <c r="C316" s="10" t="s">
        <v>618</v>
      </c>
      <c r="D316" s="60">
        <v>3.95</v>
      </c>
    </row>
    <row r="317" spans="1:4" x14ac:dyDescent="0.35">
      <c r="A317" s="58">
        <f t="shared" si="5"/>
        <v>3</v>
      </c>
      <c r="B317" s="10" t="s">
        <v>58</v>
      </c>
      <c r="C317" s="10" t="s">
        <v>527</v>
      </c>
      <c r="D317" s="60">
        <v>3.91</v>
      </c>
    </row>
    <row r="318" spans="1:4" x14ac:dyDescent="0.35">
      <c r="A318" s="58">
        <f t="shared" si="5"/>
        <v>4</v>
      </c>
      <c r="B318" s="10" t="s">
        <v>46</v>
      </c>
      <c r="C318" s="10" t="s">
        <v>479</v>
      </c>
      <c r="D318" s="60">
        <v>3.86</v>
      </c>
    </row>
    <row r="319" spans="1:4" x14ac:dyDescent="0.35">
      <c r="A319" s="58">
        <f t="shared" si="5"/>
        <v>5</v>
      </c>
      <c r="B319" s="10" t="s">
        <v>82</v>
      </c>
      <c r="C319" s="10" t="s">
        <v>551</v>
      </c>
      <c r="D319" s="60">
        <v>3.83</v>
      </c>
    </row>
    <row r="320" spans="1:4" x14ac:dyDescent="0.35">
      <c r="A320" s="58">
        <f t="shared" si="5"/>
        <v>6</v>
      </c>
      <c r="B320" s="10" t="s">
        <v>46</v>
      </c>
      <c r="C320" s="10" t="s">
        <v>480</v>
      </c>
      <c r="D320" s="60">
        <v>3.8</v>
      </c>
    </row>
    <row r="321" spans="1:4" x14ac:dyDescent="0.35">
      <c r="A321" s="58">
        <f t="shared" si="5"/>
        <v>7</v>
      </c>
      <c r="B321" s="10" t="s">
        <v>121</v>
      </c>
      <c r="C321" s="10" t="s">
        <v>396</v>
      </c>
      <c r="D321" s="60">
        <v>3.76</v>
      </c>
    </row>
    <row r="322" spans="1:4" x14ac:dyDescent="0.35">
      <c r="A322" s="58">
        <f t="shared" si="5"/>
        <v>8</v>
      </c>
      <c r="B322" s="10" t="s">
        <v>82</v>
      </c>
      <c r="C322" s="10" t="s">
        <v>557</v>
      </c>
      <c r="D322" s="60">
        <v>3.72</v>
      </c>
    </row>
    <row r="323" spans="1:4" x14ac:dyDescent="0.35">
      <c r="A323" s="58">
        <f t="shared" si="5"/>
        <v>9</v>
      </c>
      <c r="B323" s="10" t="s">
        <v>58</v>
      </c>
      <c r="C323" s="10" t="s">
        <v>528</v>
      </c>
      <c r="D323" s="60">
        <v>3.66</v>
      </c>
    </row>
    <row r="324" spans="1:4" x14ac:dyDescent="0.35">
      <c r="A324" s="58">
        <f t="shared" si="5"/>
        <v>10</v>
      </c>
      <c r="B324" s="10" t="s">
        <v>569</v>
      </c>
      <c r="C324" s="10" t="s">
        <v>648</v>
      </c>
      <c r="D324" s="60">
        <v>3.65</v>
      </c>
    </row>
    <row r="325" spans="1:4" x14ac:dyDescent="0.35">
      <c r="A325" s="58">
        <f t="shared" si="5"/>
        <v>11</v>
      </c>
      <c r="B325" s="10" t="s">
        <v>102</v>
      </c>
      <c r="C325" s="10" t="s">
        <v>619</v>
      </c>
      <c r="D325" s="60">
        <v>3.65</v>
      </c>
    </row>
    <row r="326" spans="1:4" x14ac:dyDescent="0.35">
      <c r="A326" s="58">
        <f t="shared" si="5"/>
        <v>12</v>
      </c>
      <c r="B326" s="10" t="s">
        <v>569</v>
      </c>
      <c r="C326" s="10" t="s">
        <v>650</v>
      </c>
      <c r="D326" s="60">
        <v>3.61</v>
      </c>
    </row>
    <row r="327" spans="1:4" x14ac:dyDescent="0.35">
      <c r="A327" s="58">
        <f t="shared" si="5"/>
        <v>13</v>
      </c>
      <c r="B327" s="10" t="s">
        <v>56</v>
      </c>
      <c r="C327" s="10" t="s">
        <v>606</v>
      </c>
      <c r="D327" s="60">
        <v>3.6</v>
      </c>
    </row>
    <row r="328" spans="1:4" x14ac:dyDescent="0.35">
      <c r="A328" s="58">
        <f t="shared" si="5"/>
        <v>14</v>
      </c>
      <c r="B328" s="10" t="s">
        <v>58</v>
      </c>
      <c r="C328" s="10" t="s">
        <v>529</v>
      </c>
      <c r="D328" s="60">
        <v>3.58</v>
      </c>
    </row>
    <row r="329" spans="1:4" x14ac:dyDescent="0.35">
      <c r="A329" s="58">
        <f t="shared" si="5"/>
        <v>15</v>
      </c>
      <c r="B329" s="10" t="s">
        <v>82</v>
      </c>
      <c r="C329" s="10" t="s">
        <v>558</v>
      </c>
      <c r="D329" s="60">
        <v>3.56</v>
      </c>
    </row>
    <row r="330" spans="1:4" x14ac:dyDescent="0.35">
      <c r="A330" s="58">
        <f t="shared" si="5"/>
        <v>16</v>
      </c>
      <c r="B330" s="10" t="s">
        <v>91</v>
      </c>
      <c r="C330" s="10" t="s">
        <v>521</v>
      </c>
      <c r="D330" s="60">
        <v>3.53</v>
      </c>
    </row>
    <row r="331" spans="1:4" x14ac:dyDescent="0.35">
      <c r="A331" s="58">
        <f t="shared" si="5"/>
        <v>17</v>
      </c>
      <c r="B331" s="10" t="s">
        <v>121</v>
      </c>
      <c r="C331" s="10" t="s">
        <v>397</v>
      </c>
      <c r="D331" s="60">
        <v>3.51</v>
      </c>
    </row>
    <row r="332" spans="1:4" x14ac:dyDescent="0.35">
      <c r="A332" s="58">
        <f t="shared" si="5"/>
        <v>18</v>
      </c>
      <c r="B332" s="10" t="s">
        <v>82</v>
      </c>
      <c r="C332" s="10" t="s">
        <v>563</v>
      </c>
      <c r="D332" s="60">
        <v>3.51</v>
      </c>
    </row>
    <row r="333" spans="1:4" x14ac:dyDescent="0.35">
      <c r="A333" s="58">
        <f t="shared" si="5"/>
        <v>19</v>
      </c>
      <c r="B333" s="10" t="s">
        <v>74</v>
      </c>
      <c r="C333" s="10" t="s">
        <v>691</v>
      </c>
      <c r="D333" s="60">
        <v>3.5</v>
      </c>
    </row>
    <row r="334" spans="1:4" x14ac:dyDescent="0.35">
      <c r="A334" s="58">
        <f t="shared" si="5"/>
        <v>20</v>
      </c>
      <c r="B334" s="10" t="s">
        <v>82</v>
      </c>
      <c r="C334" s="10" t="s">
        <v>565</v>
      </c>
      <c r="D334" s="60">
        <v>3.5</v>
      </c>
    </row>
    <row r="335" spans="1:4" x14ac:dyDescent="0.35">
      <c r="A335" s="58">
        <f t="shared" si="5"/>
        <v>21</v>
      </c>
      <c r="B335" s="10" t="s">
        <v>91</v>
      </c>
      <c r="C335" s="10" t="s">
        <v>671</v>
      </c>
      <c r="D335" s="60">
        <v>3.5</v>
      </c>
    </row>
    <row r="336" spans="1:4" x14ac:dyDescent="0.35">
      <c r="A336" s="58">
        <f t="shared" si="5"/>
        <v>22</v>
      </c>
      <c r="B336" s="10" t="s">
        <v>82</v>
      </c>
      <c r="C336" s="10" t="s">
        <v>567</v>
      </c>
      <c r="D336" s="60">
        <v>3.46</v>
      </c>
    </row>
    <row r="337" spans="1:4" x14ac:dyDescent="0.35">
      <c r="A337" s="58">
        <f t="shared" si="5"/>
        <v>23</v>
      </c>
      <c r="B337" s="10" t="s">
        <v>132</v>
      </c>
      <c r="C337" s="10" t="s">
        <v>421</v>
      </c>
      <c r="D337" s="60">
        <v>3.45</v>
      </c>
    </row>
    <row r="338" spans="1:4" x14ac:dyDescent="0.35">
      <c r="A338" s="58">
        <f t="shared" si="5"/>
        <v>24</v>
      </c>
      <c r="B338" s="10" t="s">
        <v>132</v>
      </c>
      <c r="C338" s="10" t="s">
        <v>440</v>
      </c>
      <c r="D338" s="60">
        <v>3.42</v>
      </c>
    </row>
    <row r="339" spans="1:4" x14ac:dyDescent="0.35">
      <c r="A339" s="58">
        <f t="shared" si="5"/>
        <v>25</v>
      </c>
      <c r="B339" s="10" t="s">
        <v>132</v>
      </c>
      <c r="C339" s="10" t="s">
        <v>441</v>
      </c>
      <c r="D339" s="60">
        <v>3.4</v>
      </c>
    </row>
    <row r="340" spans="1:4" x14ac:dyDescent="0.35">
      <c r="A340" s="58">
        <f t="shared" si="5"/>
        <v>26</v>
      </c>
      <c r="B340" s="10" t="s">
        <v>82</v>
      </c>
      <c r="C340" s="10" t="s">
        <v>564</v>
      </c>
      <c r="D340" s="60">
        <v>3.39</v>
      </c>
    </row>
    <row r="341" spans="1:4" x14ac:dyDescent="0.35">
      <c r="A341" s="58">
        <f t="shared" si="5"/>
        <v>27</v>
      </c>
      <c r="B341" s="10" t="s">
        <v>121</v>
      </c>
      <c r="C341" s="10" t="s">
        <v>379</v>
      </c>
      <c r="D341" s="60">
        <v>3.37</v>
      </c>
    </row>
    <row r="342" spans="1:4" x14ac:dyDescent="0.35">
      <c r="A342" s="58">
        <f t="shared" si="5"/>
        <v>28</v>
      </c>
      <c r="B342" s="10" t="s">
        <v>82</v>
      </c>
      <c r="C342" s="11" t="s">
        <v>555</v>
      </c>
      <c r="D342" s="60">
        <v>3.35</v>
      </c>
    </row>
    <row r="343" spans="1:4" x14ac:dyDescent="0.35">
      <c r="A343" s="58">
        <f t="shared" si="5"/>
        <v>29</v>
      </c>
      <c r="B343" s="10" t="s">
        <v>28</v>
      </c>
      <c r="C343" s="10" t="s">
        <v>487</v>
      </c>
      <c r="D343" s="60">
        <v>3.14</v>
      </c>
    </row>
    <row r="344" spans="1:4" x14ac:dyDescent="0.35">
      <c r="A344" s="58">
        <f t="shared" si="5"/>
        <v>30</v>
      </c>
      <c r="B344" s="10" t="s">
        <v>74</v>
      </c>
      <c r="C344" s="10" t="s">
        <v>532</v>
      </c>
      <c r="D344" s="60">
        <v>3.14</v>
      </c>
    </row>
    <row r="345" spans="1:4" x14ac:dyDescent="0.35">
      <c r="A345" s="58">
        <f t="shared" si="5"/>
        <v>31</v>
      </c>
      <c r="B345" s="10" t="s">
        <v>121</v>
      </c>
      <c r="C345" s="10" t="s">
        <v>398</v>
      </c>
      <c r="D345" s="60">
        <v>3.03</v>
      </c>
    </row>
    <row r="346" spans="1:4" x14ac:dyDescent="0.35">
      <c r="A346" s="58">
        <f t="shared" si="5"/>
        <v>32</v>
      </c>
      <c r="B346" s="10" t="s">
        <v>121</v>
      </c>
      <c r="C346" s="10" t="s">
        <v>401</v>
      </c>
      <c r="D346" s="60">
        <v>3</v>
      </c>
    </row>
    <row r="347" spans="1:4" x14ac:dyDescent="0.35">
      <c r="A347" s="58">
        <f t="shared" si="5"/>
        <v>33</v>
      </c>
      <c r="B347" s="10" t="s">
        <v>58</v>
      </c>
      <c r="C347" s="10" t="s">
        <v>530</v>
      </c>
      <c r="D347" s="60">
        <v>3</v>
      </c>
    </row>
    <row r="348" spans="1:4" x14ac:dyDescent="0.35">
      <c r="A348" s="58">
        <f t="shared" si="5"/>
        <v>34</v>
      </c>
      <c r="B348" s="10" t="s">
        <v>74</v>
      </c>
      <c r="C348" s="10" t="s">
        <v>692</v>
      </c>
      <c r="D348" s="60">
        <v>3</v>
      </c>
    </row>
    <row r="349" spans="1:4" x14ac:dyDescent="0.35">
      <c r="A349" s="58">
        <f t="shared" si="5"/>
        <v>35</v>
      </c>
      <c r="B349" s="10" t="s">
        <v>91</v>
      </c>
      <c r="C349" s="10" t="s">
        <v>655</v>
      </c>
      <c r="D349" s="60">
        <v>3</v>
      </c>
    </row>
    <row r="350" spans="1:4" x14ac:dyDescent="0.35">
      <c r="A350" s="58">
        <f t="shared" si="5"/>
        <v>36</v>
      </c>
      <c r="B350" s="10" t="s">
        <v>82</v>
      </c>
      <c r="C350" s="10" t="s">
        <v>566</v>
      </c>
      <c r="D350" s="60">
        <v>2.87</v>
      </c>
    </row>
    <row r="351" spans="1:4" x14ac:dyDescent="0.35">
      <c r="A351" s="58">
        <f t="shared" si="5"/>
        <v>37</v>
      </c>
      <c r="B351" s="10" t="s">
        <v>132</v>
      </c>
      <c r="C351" s="10" t="s">
        <v>443</v>
      </c>
      <c r="D351" s="60">
        <v>2.73</v>
      </c>
    </row>
    <row r="352" spans="1:4" x14ac:dyDescent="0.35">
      <c r="A352" s="58">
        <f t="shared" si="5"/>
        <v>38</v>
      </c>
      <c r="B352" s="10" t="s">
        <v>82</v>
      </c>
      <c r="C352" s="10" t="s">
        <v>568</v>
      </c>
      <c r="D352" s="60">
        <v>2.64</v>
      </c>
    </row>
    <row r="353" spans="1:5" x14ac:dyDescent="0.35">
      <c r="A353" s="58">
        <f t="shared" si="5"/>
        <v>39</v>
      </c>
      <c r="B353" s="10" t="s">
        <v>58</v>
      </c>
      <c r="C353" s="10" t="s">
        <v>531</v>
      </c>
      <c r="D353" s="60">
        <v>2.5</v>
      </c>
    </row>
    <row r="354" spans="1:5" x14ac:dyDescent="0.35">
      <c r="A354" s="58">
        <f t="shared" si="5"/>
        <v>40</v>
      </c>
      <c r="B354" s="10" t="s">
        <v>132</v>
      </c>
      <c r="C354" s="10" t="s">
        <v>444</v>
      </c>
      <c r="D354" s="60">
        <v>2.44</v>
      </c>
    </row>
    <row r="355" spans="1:5" x14ac:dyDescent="0.35">
      <c r="A355" s="58">
        <f t="shared" si="5"/>
        <v>41</v>
      </c>
      <c r="B355" s="10" t="s">
        <v>132</v>
      </c>
      <c r="C355" s="10" t="s">
        <v>422</v>
      </c>
      <c r="D355" s="60">
        <v>2.36</v>
      </c>
    </row>
    <row r="356" spans="1:5" x14ac:dyDescent="0.35">
      <c r="A356" s="58">
        <f t="shared" si="5"/>
        <v>42</v>
      </c>
      <c r="B356" s="10" t="s">
        <v>121</v>
      </c>
      <c r="C356" s="10" t="s">
        <v>400</v>
      </c>
      <c r="D356" s="60">
        <v>2.14</v>
      </c>
    </row>
    <row r="357" spans="1:5" x14ac:dyDescent="0.35">
      <c r="A357" s="58">
        <f t="shared" si="5"/>
        <v>43</v>
      </c>
      <c r="B357" s="10" t="s">
        <v>121</v>
      </c>
      <c r="C357" s="10" t="s">
        <v>399</v>
      </c>
      <c r="D357" s="60">
        <v>2.08</v>
      </c>
    </row>
    <row r="358" spans="1:5" x14ac:dyDescent="0.35">
      <c r="A358" s="58">
        <f t="shared" si="5"/>
        <v>44</v>
      </c>
      <c r="B358" s="10" t="s">
        <v>91</v>
      </c>
      <c r="C358" s="10" t="s">
        <v>656</v>
      </c>
      <c r="D358" s="60">
        <v>2.0699999999999998</v>
      </c>
    </row>
    <row r="359" spans="1:5" x14ac:dyDescent="0.35">
      <c r="A359" s="58">
        <f t="shared" si="5"/>
        <v>45</v>
      </c>
      <c r="B359" s="10" t="s">
        <v>132</v>
      </c>
      <c r="C359" s="10" t="s">
        <v>423</v>
      </c>
      <c r="D359" s="60">
        <v>2</v>
      </c>
    </row>
    <row r="360" spans="1:5" x14ac:dyDescent="0.35">
      <c r="A360" s="58">
        <f t="shared" si="5"/>
        <v>46</v>
      </c>
      <c r="B360" s="10" t="s">
        <v>132</v>
      </c>
      <c r="C360" s="10" t="s">
        <v>424</v>
      </c>
      <c r="D360" s="60">
        <v>2</v>
      </c>
    </row>
    <row r="361" spans="1:5" x14ac:dyDescent="0.35">
      <c r="A361" s="58">
        <f t="shared" si="5"/>
        <v>47</v>
      </c>
      <c r="B361" s="10" t="s">
        <v>132</v>
      </c>
      <c r="C361" s="10" t="s">
        <v>445</v>
      </c>
      <c r="D361" s="60">
        <v>2</v>
      </c>
    </row>
    <row r="362" spans="1:5" x14ac:dyDescent="0.35">
      <c r="A362" s="58">
        <f t="shared" si="5"/>
        <v>48</v>
      </c>
      <c r="B362" s="10" t="s">
        <v>102</v>
      </c>
      <c r="C362" s="10" t="s">
        <v>620</v>
      </c>
      <c r="D362" s="60">
        <v>2</v>
      </c>
    </row>
    <row r="363" spans="1:5" x14ac:dyDescent="0.35">
      <c r="A363" s="58">
        <f t="shared" si="5"/>
        <v>49</v>
      </c>
      <c r="B363" s="10" t="s">
        <v>102</v>
      </c>
      <c r="C363" s="10" t="s">
        <v>621</v>
      </c>
      <c r="D363" s="60">
        <v>1.65</v>
      </c>
    </row>
    <row r="364" spans="1:5" x14ac:dyDescent="0.35">
      <c r="A364" s="58">
        <f t="shared" si="5"/>
        <v>50</v>
      </c>
      <c r="B364" s="10" t="s">
        <v>132</v>
      </c>
      <c r="C364" s="10" t="s">
        <v>425</v>
      </c>
      <c r="D364" s="60">
        <v>1.57</v>
      </c>
    </row>
    <row r="365" spans="1:5" x14ac:dyDescent="0.35">
      <c r="A365" s="58">
        <f t="shared" si="5"/>
        <v>51</v>
      </c>
      <c r="B365" s="10" t="s">
        <v>102</v>
      </c>
      <c r="C365" s="10" t="s">
        <v>622</v>
      </c>
      <c r="D365" s="60">
        <v>1.37</v>
      </c>
    </row>
    <row r="366" spans="1:5" ht="15.5" x14ac:dyDescent="0.35">
      <c r="A366" s="69">
        <f t="shared" si="5"/>
        <v>52</v>
      </c>
      <c r="B366" s="70" t="s">
        <v>694</v>
      </c>
      <c r="C366" s="70" t="s">
        <v>624</v>
      </c>
      <c r="D366" s="71">
        <v>1.3</v>
      </c>
      <c r="E366" s="72" t="s">
        <v>753</v>
      </c>
    </row>
    <row r="367" spans="1:5" x14ac:dyDescent="0.35">
      <c r="A367" s="64">
        <v>1</v>
      </c>
      <c r="B367" s="65" t="s">
        <v>142</v>
      </c>
      <c r="C367" s="65" t="s">
        <v>356</v>
      </c>
      <c r="D367" s="66" t="s">
        <v>693</v>
      </c>
    </row>
    <row r="368" spans="1:5" x14ac:dyDescent="0.35">
      <c r="A368" s="53">
        <f>SUBTOTAL(103,Table1[N°])</f>
        <v>360</v>
      </c>
      <c r="B368" s="67"/>
      <c r="C368" s="67"/>
      <c r="D368" s="68">
        <f>SUBTOTAL(101,Table1[MA])</f>
        <v>5.837186629526455</v>
      </c>
    </row>
    <row r="371" spans="2:3" x14ac:dyDescent="0.35">
      <c r="B371" s="50" t="s">
        <v>748</v>
      </c>
      <c r="C371" s="50" t="s">
        <v>749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1671-5FFB-9F46-99C5-2E90897391E3}">
  <dimension ref="A1:E15"/>
  <sheetViews>
    <sheetView workbookViewId="0">
      <selection sqref="A1:XFD1"/>
    </sheetView>
  </sheetViews>
  <sheetFormatPr defaultColWidth="10.90625" defaultRowHeight="14.5" x14ac:dyDescent="0.35"/>
  <cols>
    <col min="1" max="1" width="20" bestFit="1" customWidth="1"/>
    <col min="3" max="3" width="11.6328125" bestFit="1" customWidth="1"/>
    <col min="4" max="4" width="11.1796875" customWidth="1"/>
    <col min="5" max="5" width="11.6328125" customWidth="1"/>
  </cols>
  <sheetData>
    <row r="1" spans="1:5" x14ac:dyDescent="0.35">
      <c r="A1" t="s">
        <v>0</v>
      </c>
      <c r="B1" t="s">
        <v>707</v>
      </c>
      <c r="C1" s="48" t="s">
        <v>5</v>
      </c>
      <c r="D1" t="s">
        <v>751</v>
      </c>
      <c r="E1" t="s">
        <v>752</v>
      </c>
    </row>
    <row r="2" spans="1:5" x14ac:dyDescent="0.35">
      <c r="A2" s="47" t="s">
        <v>28</v>
      </c>
      <c r="B2">
        <v>30</v>
      </c>
      <c r="C2" s="51">
        <v>5.8429687500000016</v>
      </c>
      <c r="D2">
        <v>29</v>
      </c>
      <c r="E2" s="49">
        <f>Table53[[#This Row],[MA Pass '#]]/Table53[[#This Row],[Insrites]]</f>
        <v>0.96666666666666667</v>
      </c>
    </row>
    <row r="3" spans="1:5" x14ac:dyDescent="0.35">
      <c r="A3" s="47" t="s">
        <v>56</v>
      </c>
      <c r="B3">
        <v>21</v>
      </c>
      <c r="C3" s="51">
        <v>5.76</v>
      </c>
      <c r="D3">
        <v>20</v>
      </c>
      <c r="E3" s="49">
        <f>Table53[[#This Row],[MA Pass '#]]/Table53[[#This Row],[Insrites]]</f>
        <v>0.95238095238095233</v>
      </c>
    </row>
    <row r="4" spans="1:5" x14ac:dyDescent="0.35">
      <c r="A4" s="47" t="s">
        <v>121</v>
      </c>
      <c r="B4">
        <v>25</v>
      </c>
      <c r="C4" s="51">
        <v>5.22</v>
      </c>
      <c r="D4">
        <v>18</v>
      </c>
      <c r="E4" s="49">
        <f>Table53[[#This Row],[MA Pass '#]]/Table53[[#This Row],[Insrites]]</f>
        <v>0.72</v>
      </c>
    </row>
    <row r="5" spans="1:5" x14ac:dyDescent="0.35">
      <c r="A5" s="47" t="s">
        <v>132</v>
      </c>
      <c r="B5">
        <v>45</v>
      </c>
      <c r="C5" s="51">
        <v>5.57</v>
      </c>
      <c r="D5">
        <v>35</v>
      </c>
      <c r="E5" s="49">
        <f>Table53[[#This Row],[MA Pass '#]]/Table53[[#This Row],[Insrites]]</f>
        <v>0.77777777777777779</v>
      </c>
    </row>
    <row r="6" spans="1:5" x14ac:dyDescent="0.35">
      <c r="A6" s="47" t="s">
        <v>58</v>
      </c>
      <c r="B6">
        <v>21</v>
      </c>
      <c r="C6" s="51">
        <v>5.78</v>
      </c>
      <c r="D6">
        <v>16</v>
      </c>
      <c r="E6" s="49">
        <f>Table53[[#This Row],[MA Pass '#]]/Table53[[#This Row],[Insrites]]</f>
        <v>0.76190476190476186</v>
      </c>
    </row>
    <row r="7" spans="1:5" x14ac:dyDescent="0.35">
      <c r="A7" s="47" t="s">
        <v>74</v>
      </c>
      <c r="B7">
        <v>40</v>
      </c>
      <c r="C7" s="51">
        <v>6.9</v>
      </c>
      <c r="D7">
        <v>37</v>
      </c>
      <c r="E7" s="49">
        <f>Table53[[#This Row],[MA Pass '#]]/Table53[[#This Row],[Insrites]]</f>
        <v>0.92500000000000004</v>
      </c>
    </row>
    <row r="8" spans="1:5" x14ac:dyDescent="0.35">
      <c r="A8" s="47" t="s">
        <v>82</v>
      </c>
      <c r="B8">
        <v>20</v>
      </c>
      <c r="C8" s="51">
        <v>4.82</v>
      </c>
      <c r="D8">
        <v>10</v>
      </c>
      <c r="E8" s="49">
        <f>Table53[[#This Row],[MA Pass '#]]/Table53[[#This Row],[Insrites]]</f>
        <v>0.5</v>
      </c>
    </row>
    <row r="9" spans="1:5" x14ac:dyDescent="0.35">
      <c r="A9" s="47" t="s">
        <v>142</v>
      </c>
      <c r="B9">
        <v>32</v>
      </c>
      <c r="C9" s="51">
        <v>6.08</v>
      </c>
      <c r="D9">
        <v>31</v>
      </c>
      <c r="E9" s="49">
        <f>Table53[[#This Row],[MA Pass '#]]/Table53[[#This Row],[Insrites]]</f>
        <v>0.96875</v>
      </c>
    </row>
    <row r="10" spans="1:5" x14ac:dyDescent="0.35">
      <c r="A10" s="47" t="s">
        <v>85</v>
      </c>
      <c r="B10">
        <v>18</v>
      </c>
      <c r="C10" s="51">
        <v>6.36</v>
      </c>
      <c r="D10">
        <v>18</v>
      </c>
      <c r="E10" s="49">
        <f>Table53[[#This Row],[MA Pass '#]]/Table53[[#This Row],[Insrites]]</f>
        <v>1</v>
      </c>
    </row>
    <row r="11" spans="1:5" x14ac:dyDescent="0.35">
      <c r="A11" s="47" t="s">
        <v>91</v>
      </c>
      <c r="B11">
        <v>27</v>
      </c>
      <c r="C11" s="51">
        <v>4.97</v>
      </c>
      <c r="D11">
        <v>23</v>
      </c>
      <c r="E11" s="49">
        <f>Table53[[#This Row],[MA Pass '#]]/Table53[[#This Row],[Insrites]]</f>
        <v>0.85185185185185186</v>
      </c>
    </row>
    <row r="12" spans="1:5" x14ac:dyDescent="0.35">
      <c r="A12" s="47" t="s">
        <v>12</v>
      </c>
      <c r="B12">
        <v>28</v>
      </c>
      <c r="C12" s="51">
        <v>6.57</v>
      </c>
      <c r="D12">
        <v>26</v>
      </c>
      <c r="E12" s="49">
        <f>Table53[[#This Row],[MA Pass '#]]/Table53[[#This Row],[Insrites]]</f>
        <v>0.9285714285714286</v>
      </c>
    </row>
    <row r="13" spans="1:5" x14ac:dyDescent="0.35">
      <c r="A13" s="47" t="s">
        <v>102</v>
      </c>
      <c r="B13">
        <v>15</v>
      </c>
      <c r="C13" s="51">
        <v>4.0199999999999996</v>
      </c>
      <c r="D13">
        <v>9</v>
      </c>
      <c r="E13" s="49">
        <f>Table53[[#This Row],[MA Pass '#]]/Table53[[#This Row],[Insrites]]</f>
        <v>0.6</v>
      </c>
    </row>
    <row r="14" spans="1:5" x14ac:dyDescent="0.35">
      <c r="A14" s="54" t="s">
        <v>46</v>
      </c>
      <c r="B14">
        <v>37</v>
      </c>
      <c r="C14" s="51">
        <v>6.06</v>
      </c>
      <c r="D14">
        <v>35</v>
      </c>
      <c r="E14" s="49">
        <f>Table53[[#This Row],[MA Pass '#]]/Table53[[#This Row],[Insrites]]</f>
        <v>0.94594594594594594</v>
      </c>
    </row>
    <row r="15" spans="1:5" ht="15.5" x14ac:dyDescent="0.35">
      <c r="A15" s="55" t="s">
        <v>750</v>
      </c>
      <c r="B15" s="55">
        <f>SUBTOTAL(109,B2:B14)</f>
        <v>359</v>
      </c>
      <c r="C15" s="56">
        <v>5.84</v>
      </c>
      <c r="D15" s="55">
        <f>SUBTOTAL(109,D2:D14)</f>
        <v>307</v>
      </c>
      <c r="E15" s="57">
        <f>Table53[[#This Row],[MA Pass '#]]/Table53[[#This Row],[Insrites]]</f>
        <v>0.85515320334261835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6C5A-9356-1247-A909-B9B8E59FB939}">
  <dimension ref="A3:P333"/>
  <sheetViews>
    <sheetView tabSelected="1" workbookViewId="0">
      <selection activeCell="K238" sqref="K238"/>
    </sheetView>
  </sheetViews>
  <sheetFormatPr defaultColWidth="10.90625" defaultRowHeight="14.5" x14ac:dyDescent="0.35"/>
  <cols>
    <col min="1" max="1" width="20" bestFit="1" customWidth="1"/>
    <col min="3" max="3" width="13" customWidth="1"/>
    <col min="4" max="4" width="14.6328125" customWidth="1"/>
    <col min="6" max="6" width="14.1796875" bestFit="1" customWidth="1"/>
    <col min="7" max="7" width="14" bestFit="1" customWidth="1"/>
  </cols>
  <sheetData>
    <row r="3" spans="1:16" x14ac:dyDescent="0.35">
      <c r="A3" s="43" t="s">
        <v>0</v>
      </c>
      <c r="B3" s="35" t="s">
        <v>1</v>
      </c>
      <c r="C3" s="44" t="s">
        <v>2</v>
      </c>
      <c r="D3" s="35" t="s">
        <v>3</v>
      </c>
      <c r="E3" s="45" t="s">
        <v>4</v>
      </c>
      <c r="F3" s="35" t="s">
        <v>161</v>
      </c>
      <c r="G3" s="35" t="s">
        <v>319</v>
      </c>
      <c r="H3" s="35" t="s">
        <v>5</v>
      </c>
      <c r="I3" s="35" t="s">
        <v>6</v>
      </c>
      <c r="J3" s="36" t="s">
        <v>7</v>
      </c>
    </row>
    <row r="4" spans="1:16" x14ac:dyDescent="0.35">
      <c r="A4" s="29" t="s">
        <v>28</v>
      </c>
      <c r="B4" s="18">
        <v>1</v>
      </c>
      <c r="C4" s="17" t="s">
        <v>166</v>
      </c>
      <c r="D4" s="17" t="s">
        <v>29</v>
      </c>
      <c r="E4" s="19" t="s">
        <v>8</v>
      </c>
      <c r="F4" s="19">
        <v>4.33</v>
      </c>
      <c r="G4" s="19">
        <v>3.43</v>
      </c>
      <c r="H4" s="20">
        <f t="shared" ref="H4:H67" si="0">(F4+G4)/2</f>
        <v>3.88</v>
      </c>
      <c r="I4" s="21">
        <v>7.1428571428571432</v>
      </c>
      <c r="J4" s="33">
        <f t="shared" ref="J4:J67" si="1">(H4+I4)/2</f>
        <v>5.5114285714285716</v>
      </c>
    </row>
    <row r="5" spans="1:16" x14ac:dyDescent="0.35">
      <c r="A5" s="29" t="s">
        <v>28</v>
      </c>
      <c r="B5" s="18">
        <v>2</v>
      </c>
      <c r="C5" s="17" t="s">
        <v>171</v>
      </c>
      <c r="D5" s="17" t="s">
        <v>29</v>
      </c>
      <c r="E5" s="19" t="s">
        <v>8</v>
      </c>
      <c r="F5" s="19">
        <v>6.52</v>
      </c>
      <c r="G5" s="19">
        <v>5.23</v>
      </c>
      <c r="H5" s="20">
        <f t="shared" si="0"/>
        <v>5.875</v>
      </c>
      <c r="I5" s="21">
        <v>7.0357142857142856</v>
      </c>
      <c r="J5" s="33">
        <f t="shared" si="1"/>
        <v>6.4553571428571423</v>
      </c>
    </row>
    <row r="6" spans="1:16" x14ac:dyDescent="0.35">
      <c r="A6" s="29" t="s">
        <v>28</v>
      </c>
      <c r="B6" s="18">
        <v>3</v>
      </c>
      <c r="C6" s="17" t="s">
        <v>66</v>
      </c>
      <c r="D6" s="17" t="s">
        <v>29</v>
      </c>
      <c r="E6" s="19" t="s">
        <v>8</v>
      </c>
      <c r="F6" s="19">
        <v>4.0199999999999996</v>
      </c>
      <c r="G6" s="19">
        <v>4.5199999999999996</v>
      </c>
      <c r="H6" s="20">
        <f t="shared" si="0"/>
        <v>4.2699999999999996</v>
      </c>
      <c r="I6" s="21">
        <v>6.2857142857142856</v>
      </c>
      <c r="J6" s="33">
        <f t="shared" si="1"/>
        <v>5.2778571428571421</v>
      </c>
    </row>
    <row r="7" spans="1:16" x14ac:dyDescent="0.35">
      <c r="A7" s="29" t="s">
        <v>28</v>
      </c>
      <c r="B7" s="18">
        <v>4</v>
      </c>
      <c r="C7" s="17" t="s">
        <v>32</v>
      </c>
      <c r="D7" s="17" t="s">
        <v>29</v>
      </c>
      <c r="E7" s="19" t="s">
        <v>8</v>
      </c>
      <c r="F7" s="19">
        <v>9.3800000000000008</v>
      </c>
      <c r="G7" s="19">
        <v>8.8800000000000008</v>
      </c>
      <c r="H7" s="20">
        <f t="shared" si="0"/>
        <v>9.1300000000000008</v>
      </c>
      <c r="I7" s="21">
        <v>6.1428571428571432</v>
      </c>
      <c r="J7" s="33">
        <f t="shared" si="1"/>
        <v>7.6364285714285725</v>
      </c>
    </row>
    <row r="8" spans="1:16" x14ac:dyDescent="0.35">
      <c r="A8" s="29" t="s">
        <v>28</v>
      </c>
      <c r="B8" s="18">
        <v>5</v>
      </c>
      <c r="C8" s="17" t="s">
        <v>41</v>
      </c>
      <c r="D8" s="17" t="s">
        <v>29</v>
      </c>
      <c r="E8" s="19" t="s">
        <v>8</v>
      </c>
      <c r="F8" s="19">
        <v>4.41</v>
      </c>
      <c r="G8" s="19">
        <v>2.58</v>
      </c>
      <c r="H8" s="20">
        <f t="shared" si="0"/>
        <v>3.4950000000000001</v>
      </c>
      <c r="I8" s="21">
        <v>6.1071428571428568</v>
      </c>
      <c r="J8" s="33">
        <f t="shared" si="1"/>
        <v>4.8010714285714284</v>
      </c>
    </row>
    <row r="9" spans="1:16" x14ac:dyDescent="0.35">
      <c r="A9" s="29" t="s">
        <v>28</v>
      </c>
      <c r="B9" s="18">
        <v>6</v>
      </c>
      <c r="C9" s="17" t="s">
        <v>39</v>
      </c>
      <c r="D9" s="17" t="s">
        <v>29</v>
      </c>
      <c r="E9" s="19" t="s">
        <v>8</v>
      </c>
      <c r="F9" s="19">
        <v>9.0500000000000007</v>
      </c>
      <c r="G9" s="19">
        <v>8.6199999999999992</v>
      </c>
      <c r="H9" s="20">
        <f t="shared" si="0"/>
        <v>8.8350000000000009</v>
      </c>
      <c r="I9" s="21">
        <v>5.8571428571428568</v>
      </c>
      <c r="J9" s="33">
        <f t="shared" si="1"/>
        <v>7.3460714285714293</v>
      </c>
    </row>
    <row r="10" spans="1:16" x14ac:dyDescent="0.35">
      <c r="A10" s="29" t="s">
        <v>28</v>
      </c>
      <c r="B10" s="18">
        <v>7</v>
      </c>
      <c r="C10" s="17" t="s">
        <v>169</v>
      </c>
      <c r="D10" s="17" t="s">
        <v>29</v>
      </c>
      <c r="E10" s="19" t="s">
        <v>8</v>
      </c>
      <c r="F10" s="19">
        <v>2.5</v>
      </c>
      <c r="G10" s="19">
        <v>2.12</v>
      </c>
      <c r="H10" s="20">
        <f t="shared" si="0"/>
        <v>2.31</v>
      </c>
      <c r="I10" s="21">
        <v>5.1071428571428568</v>
      </c>
      <c r="J10" s="33">
        <f t="shared" si="1"/>
        <v>3.7085714285714282</v>
      </c>
    </row>
    <row r="11" spans="1:16" x14ac:dyDescent="0.35">
      <c r="A11" s="29" t="s">
        <v>28</v>
      </c>
      <c r="B11" s="18">
        <v>8</v>
      </c>
      <c r="C11" s="17" t="s">
        <v>40</v>
      </c>
      <c r="D11" s="17" t="s">
        <v>29</v>
      </c>
      <c r="E11" s="19" t="s">
        <v>8</v>
      </c>
      <c r="F11" s="19">
        <v>5.27</v>
      </c>
      <c r="G11" s="19">
        <v>5.98</v>
      </c>
      <c r="H11" s="20">
        <f t="shared" si="0"/>
        <v>5.625</v>
      </c>
      <c r="I11" s="21">
        <v>4.8571428571428568</v>
      </c>
      <c r="J11" s="33">
        <f t="shared" si="1"/>
        <v>5.2410714285714288</v>
      </c>
    </row>
    <row r="12" spans="1:16" ht="15" thickBot="1" x14ac:dyDescent="0.4">
      <c r="A12" s="29" t="s">
        <v>28</v>
      </c>
      <c r="B12" s="18">
        <v>9</v>
      </c>
      <c r="C12" s="17" t="s">
        <v>33</v>
      </c>
      <c r="D12" s="17" t="s">
        <v>29</v>
      </c>
      <c r="E12" s="19" t="s">
        <v>8</v>
      </c>
      <c r="F12" s="19">
        <v>6.77</v>
      </c>
      <c r="G12" s="19">
        <v>6.93</v>
      </c>
      <c r="H12" s="20">
        <f t="shared" si="0"/>
        <v>6.85</v>
      </c>
      <c r="I12" s="21">
        <v>4.7857142857142856</v>
      </c>
      <c r="J12" s="33">
        <f t="shared" si="1"/>
        <v>5.8178571428571431</v>
      </c>
    </row>
    <row r="13" spans="1:16" ht="15" thickTop="1" x14ac:dyDescent="0.35">
      <c r="A13" s="29" t="s">
        <v>28</v>
      </c>
      <c r="B13" s="18">
        <v>10</v>
      </c>
      <c r="C13" s="17" t="s">
        <v>168</v>
      </c>
      <c r="D13" s="17" t="s">
        <v>29</v>
      </c>
      <c r="E13" s="19" t="s">
        <v>8</v>
      </c>
      <c r="F13" s="19">
        <v>5.1100000000000003</v>
      </c>
      <c r="G13" s="19">
        <v>5</v>
      </c>
      <c r="H13" s="20">
        <f t="shared" si="0"/>
        <v>5.0549999999999997</v>
      </c>
      <c r="I13" s="21">
        <v>4.6785714285714288</v>
      </c>
      <c r="J13" s="33">
        <f t="shared" si="1"/>
        <v>4.8667857142857143</v>
      </c>
      <c r="P13" s="52"/>
    </row>
    <row r="14" spans="1:16" x14ac:dyDescent="0.35">
      <c r="A14" s="29" t="s">
        <v>28</v>
      </c>
      <c r="B14" s="18">
        <v>11</v>
      </c>
      <c r="C14" s="17" t="s">
        <v>696</v>
      </c>
      <c r="D14" s="17" t="s">
        <v>36</v>
      </c>
      <c r="E14" s="19" t="s">
        <v>8</v>
      </c>
      <c r="F14" s="19">
        <v>4.4400000000000004</v>
      </c>
      <c r="G14" s="19">
        <v>2.5499999999999998</v>
      </c>
      <c r="H14" s="20">
        <f t="shared" si="0"/>
        <v>3.4950000000000001</v>
      </c>
      <c r="I14" s="21">
        <v>4.6014285714285696</v>
      </c>
      <c r="J14" s="33">
        <f t="shared" si="1"/>
        <v>4.0482142857142849</v>
      </c>
    </row>
    <row r="15" spans="1:16" x14ac:dyDescent="0.35">
      <c r="A15" s="29" t="s">
        <v>28</v>
      </c>
      <c r="B15" s="18">
        <v>12</v>
      </c>
      <c r="C15" s="17" t="s">
        <v>34</v>
      </c>
      <c r="D15" s="17" t="s">
        <v>29</v>
      </c>
      <c r="E15" s="19" t="s">
        <v>8</v>
      </c>
      <c r="F15" s="19">
        <v>9.33</v>
      </c>
      <c r="G15" s="19">
        <v>9.41</v>
      </c>
      <c r="H15" s="20">
        <f t="shared" si="0"/>
        <v>9.370000000000001</v>
      </c>
      <c r="I15" s="21">
        <v>4.6028571428571396</v>
      </c>
      <c r="J15" s="33">
        <f t="shared" si="1"/>
        <v>6.9864285714285703</v>
      </c>
    </row>
    <row r="16" spans="1:16" x14ac:dyDescent="0.35">
      <c r="A16" s="29" t="s">
        <v>28</v>
      </c>
      <c r="B16" s="18">
        <v>13</v>
      </c>
      <c r="C16" s="17" t="s">
        <v>38</v>
      </c>
      <c r="D16" s="17" t="s">
        <v>29</v>
      </c>
      <c r="E16" s="19" t="s">
        <v>8</v>
      </c>
      <c r="F16" s="19">
        <v>5.33</v>
      </c>
      <c r="G16" s="19">
        <v>7.12</v>
      </c>
      <c r="H16" s="20">
        <f t="shared" si="0"/>
        <v>6.2249999999999996</v>
      </c>
      <c r="I16" s="21">
        <v>4.5828571428571401</v>
      </c>
      <c r="J16" s="33">
        <f t="shared" si="1"/>
        <v>5.4039285714285699</v>
      </c>
    </row>
    <row r="17" spans="1:10" x14ac:dyDescent="0.35">
      <c r="A17" s="29" t="s">
        <v>28</v>
      </c>
      <c r="B17" s="18">
        <v>14</v>
      </c>
      <c r="C17" s="17" t="s">
        <v>695</v>
      </c>
      <c r="D17" s="17" t="s">
        <v>36</v>
      </c>
      <c r="E17" s="19" t="s">
        <v>8</v>
      </c>
      <c r="F17" s="19">
        <v>5.1100000000000003</v>
      </c>
      <c r="G17" s="19">
        <v>5.2</v>
      </c>
      <c r="H17" s="20">
        <f t="shared" si="0"/>
        <v>5.1550000000000002</v>
      </c>
      <c r="I17" s="21">
        <v>4.5757142857142901</v>
      </c>
      <c r="J17" s="33">
        <f t="shared" si="1"/>
        <v>4.8653571428571452</v>
      </c>
    </row>
    <row r="18" spans="1:10" x14ac:dyDescent="0.35">
      <c r="A18" s="30" t="s">
        <v>28</v>
      </c>
      <c r="B18" s="46">
        <v>15</v>
      </c>
      <c r="C18" s="1" t="s">
        <v>45</v>
      </c>
      <c r="D18" s="1" t="s">
        <v>29</v>
      </c>
      <c r="E18" s="2" t="s">
        <v>8</v>
      </c>
      <c r="F18" s="2">
        <v>6.41</v>
      </c>
      <c r="G18" s="2">
        <v>5.73</v>
      </c>
      <c r="H18" s="12">
        <f t="shared" si="0"/>
        <v>6.07</v>
      </c>
      <c r="I18" s="13">
        <v>3.7321428571428572</v>
      </c>
      <c r="J18" s="34">
        <f t="shared" si="1"/>
        <v>4.901071428571429</v>
      </c>
    </row>
    <row r="19" spans="1:10" x14ac:dyDescent="0.35">
      <c r="A19" s="30" t="s">
        <v>28</v>
      </c>
      <c r="B19" s="46">
        <v>16</v>
      </c>
      <c r="C19" s="1" t="s">
        <v>37</v>
      </c>
      <c r="D19" s="1" t="s">
        <v>29</v>
      </c>
      <c r="E19" s="2" t="s">
        <v>8</v>
      </c>
      <c r="F19" s="2">
        <v>8.5</v>
      </c>
      <c r="G19" s="2">
        <v>9.3000000000000007</v>
      </c>
      <c r="H19" s="12">
        <f t="shared" si="0"/>
        <v>8.9</v>
      </c>
      <c r="I19" s="13">
        <v>3.5535714285714284</v>
      </c>
      <c r="J19" s="34">
        <f t="shared" si="1"/>
        <v>6.2267857142857146</v>
      </c>
    </row>
    <row r="20" spans="1:10" x14ac:dyDescent="0.35">
      <c r="A20" s="30" t="s">
        <v>28</v>
      </c>
      <c r="B20" s="46">
        <v>17</v>
      </c>
      <c r="C20" s="1" t="s">
        <v>175</v>
      </c>
      <c r="D20" s="1" t="s">
        <v>29</v>
      </c>
      <c r="E20" s="2" t="s">
        <v>8</v>
      </c>
      <c r="F20" s="2">
        <v>7.33</v>
      </c>
      <c r="G20" s="2">
        <v>3.23</v>
      </c>
      <c r="H20" s="12">
        <f t="shared" si="0"/>
        <v>5.28</v>
      </c>
      <c r="I20" s="13">
        <v>3.5535714285714284</v>
      </c>
      <c r="J20" s="34">
        <f t="shared" si="1"/>
        <v>4.4167857142857141</v>
      </c>
    </row>
    <row r="21" spans="1:10" x14ac:dyDescent="0.35">
      <c r="A21" s="30" t="s">
        <v>28</v>
      </c>
      <c r="B21" s="46">
        <v>18</v>
      </c>
      <c r="C21" s="1" t="s">
        <v>31</v>
      </c>
      <c r="D21" s="1" t="s">
        <v>29</v>
      </c>
      <c r="E21" s="2" t="s">
        <v>8</v>
      </c>
      <c r="F21" s="2">
        <v>9.31</v>
      </c>
      <c r="G21" s="2">
        <v>8.68</v>
      </c>
      <c r="H21" s="12">
        <f t="shared" si="0"/>
        <v>8.995000000000001</v>
      </c>
      <c r="I21" s="13">
        <v>3.1071428571428572</v>
      </c>
      <c r="J21" s="34">
        <f t="shared" si="1"/>
        <v>6.0510714285714293</v>
      </c>
    </row>
    <row r="22" spans="1:10" x14ac:dyDescent="0.35">
      <c r="A22" s="30" t="s">
        <v>28</v>
      </c>
      <c r="B22" s="46">
        <v>19</v>
      </c>
      <c r="C22" s="1" t="s">
        <v>44</v>
      </c>
      <c r="D22" s="1" t="s">
        <v>29</v>
      </c>
      <c r="E22" s="2" t="s">
        <v>8</v>
      </c>
      <c r="F22" s="2">
        <v>6.94</v>
      </c>
      <c r="G22" s="2">
        <v>6.54</v>
      </c>
      <c r="H22" s="12">
        <f t="shared" si="0"/>
        <v>6.74</v>
      </c>
      <c r="I22" s="13">
        <v>3.0535714285714284</v>
      </c>
      <c r="J22" s="34">
        <f t="shared" si="1"/>
        <v>4.8967857142857145</v>
      </c>
    </row>
    <row r="23" spans="1:10" x14ac:dyDescent="0.35">
      <c r="A23" s="30" t="s">
        <v>28</v>
      </c>
      <c r="B23" s="46">
        <v>20</v>
      </c>
      <c r="C23" s="1" t="s">
        <v>42</v>
      </c>
      <c r="D23" s="1" t="s">
        <v>29</v>
      </c>
      <c r="E23" s="2" t="s">
        <v>8</v>
      </c>
      <c r="F23" s="2">
        <v>7.08</v>
      </c>
      <c r="G23" s="2">
        <v>6.47</v>
      </c>
      <c r="H23" s="12">
        <f t="shared" si="0"/>
        <v>6.7750000000000004</v>
      </c>
      <c r="I23" s="13">
        <v>3.0357142857142856</v>
      </c>
      <c r="J23" s="34">
        <f t="shared" si="1"/>
        <v>4.9053571428571434</v>
      </c>
    </row>
    <row r="24" spans="1:10" x14ac:dyDescent="0.35">
      <c r="A24" s="30" t="s">
        <v>28</v>
      </c>
      <c r="B24" s="46">
        <v>21</v>
      </c>
      <c r="C24" s="1" t="s">
        <v>167</v>
      </c>
      <c r="D24" s="1" t="s">
        <v>29</v>
      </c>
      <c r="E24" s="2" t="s">
        <v>8</v>
      </c>
      <c r="F24" s="2">
        <v>6.41</v>
      </c>
      <c r="G24" s="2">
        <v>6.37</v>
      </c>
      <c r="H24" s="12">
        <f t="shared" si="0"/>
        <v>6.3900000000000006</v>
      </c>
      <c r="I24" s="13">
        <v>2.9107142857142856</v>
      </c>
      <c r="J24" s="34">
        <f t="shared" si="1"/>
        <v>4.6503571428571426</v>
      </c>
    </row>
    <row r="25" spans="1:10" x14ac:dyDescent="0.35">
      <c r="A25" s="30" t="s">
        <v>28</v>
      </c>
      <c r="B25" s="46">
        <v>22</v>
      </c>
      <c r="C25" s="1" t="s">
        <v>43</v>
      </c>
      <c r="D25" s="1" t="s">
        <v>29</v>
      </c>
      <c r="E25" s="2" t="s">
        <v>8</v>
      </c>
      <c r="F25" s="2">
        <v>6.05</v>
      </c>
      <c r="G25" s="2">
        <v>5.05</v>
      </c>
      <c r="H25" s="12">
        <f t="shared" si="0"/>
        <v>5.55</v>
      </c>
      <c r="I25" s="13">
        <v>2.75</v>
      </c>
      <c r="J25" s="34">
        <f t="shared" si="1"/>
        <v>4.1500000000000004</v>
      </c>
    </row>
    <row r="26" spans="1:10" x14ac:dyDescent="0.35">
      <c r="A26" s="30" t="s">
        <v>28</v>
      </c>
      <c r="B26" s="46">
        <v>23</v>
      </c>
      <c r="C26" s="1" t="s">
        <v>164</v>
      </c>
      <c r="D26" s="1" t="s">
        <v>29</v>
      </c>
      <c r="E26" s="2" t="s">
        <v>8</v>
      </c>
      <c r="F26" s="2">
        <v>4.25</v>
      </c>
      <c r="G26" s="2">
        <v>2.36</v>
      </c>
      <c r="H26" s="12">
        <f t="shared" si="0"/>
        <v>3.3049999999999997</v>
      </c>
      <c r="I26" s="13">
        <v>2.1607142857142856</v>
      </c>
      <c r="J26" s="34">
        <f t="shared" si="1"/>
        <v>2.7328571428571427</v>
      </c>
    </row>
    <row r="27" spans="1:10" x14ac:dyDescent="0.35">
      <c r="A27" s="30" t="s">
        <v>28</v>
      </c>
      <c r="B27" s="46">
        <v>24</v>
      </c>
      <c r="C27" s="1" t="s">
        <v>162</v>
      </c>
      <c r="D27" s="1" t="s">
        <v>29</v>
      </c>
      <c r="E27" s="2" t="s">
        <v>8</v>
      </c>
      <c r="F27" s="2">
        <v>5.13</v>
      </c>
      <c r="G27" s="2">
        <v>5.4</v>
      </c>
      <c r="H27" s="12">
        <f t="shared" si="0"/>
        <v>5.2650000000000006</v>
      </c>
      <c r="I27" s="13">
        <v>2.0357142857142856</v>
      </c>
      <c r="J27" s="34">
        <f t="shared" si="1"/>
        <v>3.6503571428571431</v>
      </c>
    </row>
    <row r="28" spans="1:10" x14ac:dyDescent="0.35">
      <c r="A28" s="30" t="s">
        <v>28</v>
      </c>
      <c r="B28" s="46">
        <v>25</v>
      </c>
      <c r="C28" s="1" t="s">
        <v>10</v>
      </c>
      <c r="D28" s="1" t="s">
        <v>29</v>
      </c>
      <c r="E28" s="2" t="s">
        <v>8</v>
      </c>
      <c r="F28" s="2">
        <v>5</v>
      </c>
      <c r="G28" s="2">
        <v>5</v>
      </c>
      <c r="H28" s="12">
        <f t="shared" si="0"/>
        <v>5</v>
      </c>
      <c r="I28" s="13">
        <v>2.0357142857142856</v>
      </c>
      <c r="J28" s="34">
        <f t="shared" si="1"/>
        <v>3.5178571428571428</v>
      </c>
    </row>
    <row r="29" spans="1:10" x14ac:dyDescent="0.35">
      <c r="A29" s="30" t="s">
        <v>28</v>
      </c>
      <c r="B29" s="46">
        <v>26</v>
      </c>
      <c r="C29" s="1" t="s">
        <v>163</v>
      </c>
      <c r="D29" s="1" t="s">
        <v>29</v>
      </c>
      <c r="E29" s="2" t="s">
        <v>8</v>
      </c>
      <c r="F29" s="2">
        <v>3.77</v>
      </c>
      <c r="G29" s="2">
        <v>4.91</v>
      </c>
      <c r="H29" s="12">
        <f t="shared" si="0"/>
        <v>4.34</v>
      </c>
      <c r="I29" s="13">
        <v>2</v>
      </c>
      <c r="J29" s="34">
        <f t="shared" si="1"/>
        <v>3.17</v>
      </c>
    </row>
    <row r="30" spans="1:10" x14ac:dyDescent="0.35">
      <c r="A30" s="30" t="s">
        <v>28</v>
      </c>
      <c r="B30" s="46">
        <v>27</v>
      </c>
      <c r="C30" s="1" t="s">
        <v>172</v>
      </c>
      <c r="D30" s="1" t="s">
        <v>29</v>
      </c>
      <c r="E30" s="2" t="s">
        <v>8</v>
      </c>
      <c r="F30" s="2">
        <v>5.08</v>
      </c>
      <c r="G30" s="2">
        <v>3</v>
      </c>
      <c r="H30" s="12">
        <f t="shared" si="0"/>
        <v>4.04</v>
      </c>
      <c r="I30" s="13">
        <v>2</v>
      </c>
      <c r="J30" s="34">
        <f t="shared" si="1"/>
        <v>3.02</v>
      </c>
    </row>
    <row r="31" spans="1:10" x14ac:dyDescent="0.35">
      <c r="A31" s="30" t="s">
        <v>28</v>
      </c>
      <c r="B31" s="46">
        <v>28</v>
      </c>
      <c r="C31" s="1" t="s">
        <v>170</v>
      </c>
      <c r="D31" s="1" t="s">
        <v>29</v>
      </c>
      <c r="E31" s="2" t="s">
        <v>8</v>
      </c>
      <c r="F31" s="2">
        <v>5.61</v>
      </c>
      <c r="G31" s="2">
        <v>4.5</v>
      </c>
      <c r="H31" s="12">
        <f t="shared" si="0"/>
        <v>5.0549999999999997</v>
      </c>
      <c r="I31" s="13">
        <v>1.9642857142857142</v>
      </c>
      <c r="J31" s="34">
        <f t="shared" si="1"/>
        <v>3.5096428571428571</v>
      </c>
    </row>
    <row r="32" spans="1:10" x14ac:dyDescent="0.35">
      <c r="A32" s="30" t="s">
        <v>28</v>
      </c>
      <c r="B32" s="46">
        <v>29</v>
      </c>
      <c r="C32" s="1" t="s">
        <v>165</v>
      </c>
      <c r="D32" s="1" t="s">
        <v>29</v>
      </c>
      <c r="E32" s="2" t="s">
        <v>8</v>
      </c>
      <c r="F32" s="2">
        <v>5.25</v>
      </c>
      <c r="G32" s="2">
        <v>5.5</v>
      </c>
      <c r="H32" s="12">
        <f t="shared" si="0"/>
        <v>5.375</v>
      </c>
      <c r="I32" s="13">
        <v>1.8928571428571428</v>
      </c>
      <c r="J32" s="34">
        <f t="shared" si="1"/>
        <v>3.6339285714285712</v>
      </c>
    </row>
    <row r="33" spans="1:10" x14ac:dyDescent="0.35">
      <c r="A33" s="30" t="s">
        <v>28</v>
      </c>
      <c r="B33" s="46">
        <v>30</v>
      </c>
      <c r="C33" s="1" t="s">
        <v>173</v>
      </c>
      <c r="D33" s="1" t="s">
        <v>29</v>
      </c>
      <c r="E33" s="2" t="s">
        <v>8</v>
      </c>
      <c r="F33" s="2">
        <v>2.72</v>
      </c>
      <c r="G33" s="2">
        <v>4.97</v>
      </c>
      <c r="H33" s="12">
        <f t="shared" si="0"/>
        <v>3.8449999999999998</v>
      </c>
      <c r="I33" s="13">
        <v>1.5357142857142858</v>
      </c>
      <c r="J33" s="34">
        <f t="shared" si="1"/>
        <v>2.6903571428571427</v>
      </c>
    </row>
    <row r="34" spans="1:10" x14ac:dyDescent="0.35">
      <c r="A34" s="30" t="s">
        <v>28</v>
      </c>
      <c r="B34" s="46">
        <v>31</v>
      </c>
      <c r="C34" s="1" t="s">
        <v>30</v>
      </c>
      <c r="D34" s="1" t="s">
        <v>29</v>
      </c>
      <c r="E34" s="2" t="s">
        <v>8</v>
      </c>
      <c r="F34" s="2">
        <v>5.36</v>
      </c>
      <c r="G34" s="2">
        <v>9.06</v>
      </c>
      <c r="H34" s="12">
        <f t="shared" si="0"/>
        <v>7.2100000000000009</v>
      </c>
      <c r="I34" s="13">
        <v>1.1785714285714286</v>
      </c>
      <c r="J34" s="34">
        <f t="shared" si="1"/>
        <v>4.1942857142857148</v>
      </c>
    </row>
    <row r="35" spans="1:10" x14ac:dyDescent="0.35">
      <c r="A35" s="30" t="s">
        <v>28</v>
      </c>
      <c r="B35" s="46">
        <v>32</v>
      </c>
      <c r="C35" s="1" t="s">
        <v>35</v>
      </c>
      <c r="D35" s="1" t="s">
        <v>29</v>
      </c>
      <c r="E35" s="2" t="s">
        <v>8</v>
      </c>
      <c r="F35" s="2">
        <v>9.1300000000000008</v>
      </c>
      <c r="G35" s="2">
        <v>9.41</v>
      </c>
      <c r="H35" s="12">
        <f t="shared" si="0"/>
        <v>9.27</v>
      </c>
      <c r="I35" s="13">
        <v>0.6785714285714286</v>
      </c>
      <c r="J35" s="34">
        <f t="shared" si="1"/>
        <v>4.9742857142857142</v>
      </c>
    </row>
    <row r="36" spans="1:10" x14ac:dyDescent="0.35">
      <c r="A36" s="29" t="s">
        <v>56</v>
      </c>
      <c r="B36" s="18">
        <v>33</v>
      </c>
      <c r="C36" s="17" t="s">
        <v>27</v>
      </c>
      <c r="D36" s="17" t="s">
        <v>57</v>
      </c>
      <c r="E36" s="19" t="s">
        <v>8</v>
      </c>
      <c r="F36" s="19">
        <v>8.6999999999999993</v>
      </c>
      <c r="G36" s="19">
        <v>8.5</v>
      </c>
      <c r="H36" s="20">
        <f t="shared" si="0"/>
        <v>8.6</v>
      </c>
      <c r="I36" s="21">
        <v>6.3214285714285712</v>
      </c>
      <c r="J36" s="33">
        <f t="shared" si="1"/>
        <v>7.4607142857142854</v>
      </c>
    </row>
    <row r="37" spans="1:10" x14ac:dyDescent="0.35">
      <c r="A37" s="29" t="s">
        <v>56</v>
      </c>
      <c r="B37" s="18">
        <v>34</v>
      </c>
      <c r="C37" s="17" t="s">
        <v>331</v>
      </c>
      <c r="D37" s="17" t="s">
        <v>57</v>
      </c>
      <c r="E37" s="19" t="s">
        <v>8</v>
      </c>
      <c r="F37" s="19">
        <v>5.5</v>
      </c>
      <c r="G37" s="19">
        <v>6.55</v>
      </c>
      <c r="H37" s="20">
        <f t="shared" si="0"/>
        <v>6.0250000000000004</v>
      </c>
      <c r="I37" s="21">
        <v>4.5085714285714298</v>
      </c>
      <c r="J37" s="33">
        <f t="shared" si="1"/>
        <v>5.2667857142857155</v>
      </c>
    </row>
    <row r="38" spans="1:10" x14ac:dyDescent="0.35">
      <c r="A38" s="29" t="s">
        <v>56</v>
      </c>
      <c r="B38" s="18">
        <v>35</v>
      </c>
      <c r="C38" s="17" t="s">
        <v>334</v>
      </c>
      <c r="D38" s="17" t="s">
        <v>57</v>
      </c>
      <c r="E38" s="19" t="s">
        <v>8</v>
      </c>
      <c r="F38" s="19">
        <v>8.26</v>
      </c>
      <c r="G38" s="19">
        <v>7.11</v>
      </c>
      <c r="H38" s="20">
        <f t="shared" si="0"/>
        <v>7.6850000000000005</v>
      </c>
      <c r="I38" s="21">
        <v>4.5057142857142898</v>
      </c>
      <c r="J38" s="33">
        <f t="shared" si="1"/>
        <v>6.0953571428571447</v>
      </c>
    </row>
    <row r="39" spans="1:10" x14ac:dyDescent="0.35">
      <c r="A39" s="29" t="s">
        <v>56</v>
      </c>
      <c r="B39" s="18">
        <v>36</v>
      </c>
      <c r="C39" s="17" t="s">
        <v>330</v>
      </c>
      <c r="D39" s="17" t="s">
        <v>57</v>
      </c>
      <c r="E39" s="19" t="s">
        <v>8</v>
      </c>
      <c r="F39" s="19">
        <v>5.58</v>
      </c>
      <c r="G39" s="19">
        <v>6.11</v>
      </c>
      <c r="H39" s="20">
        <f t="shared" si="0"/>
        <v>5.8450000000000006</v>
      </c>
      <c r="I39" s="21">
        <v>4.5</v>
      </c>
      <c r="J39" s="33">
        <f t="shared" si="1"/>
        <v>5.1725000000000003</v>
      </c>
    </row>
    <row r="40" spans="1:10" x14ac:dyDescent="0.35">
      <c r="A40" s="29" t="s">
        <v>56</v>
      </c>
      <c r="B40" s="18">
        <v>37</v>
      </c>
      <c r="C40" s="17" t="s">
        <v>333</v>
      </c>
      <c r="D40" s="17" t="s">
        <v>57</v>
      </c>
      <c r="E40" s="19" t="s">
        <v>8</v>
      </c>
      <c r="F40" s="19">
        <v>5.32</v>
      </c>
      <c r="G40" s="19">
        <v>5.22</v>
      </c>
      <c r="H40" s="20">
        <f t="shared" si="0"/>
        <v>5.27</v>
      </c>
      <c r="I40" s="21">
        <v>4.4964285714285701</v>
      </c>
      <c r="J40" s="33">
        <f t="shared" si="1"/>
        <v>4.8832142857142848</v>
      </c>
    </row>
    <row r="41" spans="1:10" x14ac:dyDescent="0.35">
      <c r="A41" s="29" t="s">
        <v>56</v>
      </c>
      <c r="B41" s="18">
        <v>38</v>
      </c>
      <c r="C41" s="17" t="s">
        <v>341</v>
      </c>
      <c r="D41" s="17" t="s">
        <v>57</v>
      </c>
      <c r="E41" s="19" t="s">
        <v>8</v>
      </c>
      <c r="F41" s="19">
        <v>7.05</v>
      </c>
      <c r="G41" s="19">
        <v>7.08</v>
      </c>
      <c r="H41" s="20">
        <f t="shared" si="0"/>
        <v>7.0649999999999995</v>
      </c>
      <c r="I41" s="21">
        <v>4.50142857142857</v>
      </c>
      <c r="J41" s="33">
        <f t="shared" si="1"/>
        <v>5.7832142857142852</v>
      </c>
    </row>
    <row r="42" spans="1:10" x14ac:dyDescent="0.35">
      <c r="A42" s="30" t="s">
        <v>56</v>
      </c>
      <c r="B42" s="46">
        <v>39</v>
      </c>
      <c r="C42" s="1" t="s">
        <v>329</v>
      </c>
      <c r="D42" s="1" t="s">
        <v>57</v>
      </c>
      <c r="E42" s="2" t="s">
        <v>8</v>
      </c>
      <c r="F42" s="2">
        <v>5.76</v>
      </c>
      <c r="G42" s="2">
        <v>6.22</v>
      </c>
      <c r="H42" s="12">
        <f t="shared" si="0"/>
        <v>5.99</v>
      </c>
      <c r="I42" s="13">
        <v>2.6071428571428572</v>
      </c>
      <c r="J42" s="34">
        <f t="shared" si="1"/>
        <v>4.2985714285714289</v>
      </c>
    </row>
    <row r="43" spans="1:10" x14ac:dyDescent="0.35">
      <c r="A43" s="30" t="s">
        <v>56</v>
      </c>
      <c r="B43" s="46">
        <v>40</v>
      </c>
      <c r="C43" s="1" t="s">
        <v>336</v>
      </c>
      <c r="D43" s="1" t="s">
        <v>57</v>
      </c>
      <c r="E43" s="2" t="s">
        <v>8</v>
      </c>
      <c r="F43" s="2">
        <v>5.85</v>
      </c>
      <c r="G43" s="2">
        <v>5.3</v>
      </c>
      <c r="H43" s="12">
        <f t="shared" si="0"/>
        <v>5.5749999999999993</v>
      </c>
      <c r="I43" s="13">
        <v>2.5</v>
      </c>
      <c r="J43" s="34">
        <f t="shared" si="1"/>
        <v>4.0374999999999996</v>
      </c>
    </row>
    <row r="44" spans="1:10" x14ac:dyDescent="0.35">
      <c r="A44" s="30" t="s">
        <v>56</v>
      </c>
      <c r="B44" s="46">
        <v>41</v>
      </c>
      <c r="C44" s="1" t="s">
        <v>340</v>
      </c>
      <c r="D44" s="1" t="s">
        <v>57</v>
      </c>
      <c r="E44" s="2" t="s">
        <v>8</v>
      </c>
      <c r="F44" s="2">
        <v>4.9400000000000004</v>
      </c>
      <c r="G44" s="2">
        <v>6.63</v>
      </c>
      <c r="H44" s="12">
        <f t="shared" si="0"/>
        <v>5.7850000000000001</v>
      </c>
      <c r="I44" s="13">
        <v>2.0357142857142856</v>
      </c>
      <c r="J44" s="34">
        <f t="shared" si="1"/>
        <v>3.9103571428571429</v>
      </c>
    </row>
    <row r="45" spans="1:10" x14ac:dyDescent="0.35">
      <c r="A45" s="30" t="s">
        <v>56</v>
      </c>
      <c r="B45" s="46">
        <v>42</v>
      </c>
      <c r="C45" s="1" t="s">
        <v>338</v>
      </c>
      <c r="D45" s="1" t="s">
        <v>57</v>
      </c>
      <c r="E45" s="2" t="s">
        <v>8</v>
      </c>
      <c r="F45" s="2">
        <v>6.82</v>
      </c>
      <c r="G45" s="2">
        <v>6</v>
      </c>
      <c r="H45" s="12">
        <f t="shared" si="0"/>
        <v>6.41</v>
      </c>
      <c r="I45" s="13">
        <v>1.7678571428571428</v>
      </c>
      <c r="J45" s="34">
        <f t="shared" si="1"/>
        <v>4.0889285714285712</v>
      </c>
    </row>
    <row r="46" spans="1:10" x14ac:dyDescent="0.35">
      <c r="A46" s="30" t="s">
        <v>56</v>
      </c>
      <c r="B46" s="46">
        <v>43</v>
      </c>
      <c r="C46" s="1" t="s">
        <v>332</v>
      </c>
      <c r="D46" s="1" t="s">
        <v>57</v>
      </c>
      <c r="E46" s="2" t="s">
        <v>8</v>
      </c>
      <c r="F46" s="2">
        <v>5.1100000000000003</v>
      </c>
      <c r="G46" s="2">
        <v>4.5</v>
      </c>
      <c r="H46" s="12">
        <f t="shared" si="0"/>
        <v>4.8049999999999997</v>
      </c>
      <c r="I46" s="13">
        <v>1.6785714285714286</v>
      </c>
      <c r="J46" s="34">
        <f t="shared" si="1"/>
        <v>3.2417857142857143</v>
      </c>
    </row>
    <row r="47" spans="1:10" x14ac:dyDescent="0.35">
      <c r="A47" s="30" t="s">
        <v>56</v>
      </c>
      <c r="B47" s="46">
        <v>44</v>
      </c>
      <c r="C47" s="1" t="s">
        <v>335</v>
      </c>
      <c r="D47" s="1" t="s">
        <v>57</v>
      </c>
      <c r="E47" s="2" t="s">
        <v>8</v>
      </c>
      <c r="F47" s="2">
        <v>4.17</v>
      </c>
      <c r="G47" s="2">
        <v>2.86</v>
      </c>
      <c r="H47" s="12">
        <f t="shared" si="0"/>
        <v>3.5149999999999997</v>
      </c>
      <c r="I47" s="13">
        <v>1.3035714285714286</v>
      </c>
      <c r="J47" s="34">
        <f t="shared" si="1"/>
        <v>2.4092857142857143</v>
      </c>
    </row>
    <row r="48" spans="1:10" x14ac:dyDescent="0.35">
      <c r="A48" s="30" t="s">
        <v>56</v>
      </c>
      <c r="B48" s="46">
        <v>45</v>
      </c>
      <c r="C48" s="1" t="s">
        <v>337</v>
      </c>
      <c r="D48" s="1" t="s">
        <v>57</v>
      </c>
      <c r="E48" s="2" t="s">
        <v>8</v>
      </c>
      <c r="F48" s="2">
        <v>5.14</v>
      </c>
      <c r="G48" s="2">
        <v>3.83</v>
      </c>
      <c r="H48" s="12">
        <f t="shared" si="0"/>
        <v>4.4849999999999994</v>
      </c>
      <c r="I48" s="13">
        <v>1.1785714285714286</v>
      </c>
      <c r="J48" s="34">
        <f t="shared" si="1"/>
        <v>2.8317857142857141</v>
      </c>
    </row>
    <row r="49" spans="1:10" x14ac:dyDescent="0.35">
      <c r="A49" s="30" t="s">
        <v>56</v>
      </c>
      <c r="B49" s="46">
        <v>46</v>
      </c>
      <c r="C49" s="1" t="s">
        <v>339</v>
      </c>
      <c r="D49" s="1" t="s">
        <v>57</v>
      </c>
      <c r="E49" s="2" t="s">
        <v>8</v>
      </c>
      <c r="F49" s="2">
        <v>5.05</v>
      </c>
      <c r="G49" s="2">
        <v>2.94</v>
      </c>
      <c r="H49" s="12">
        <f t="shared" si="0"/>
        <v>3.9950000000000001</v>
      </c>
      <c r="I49" s="13">
        <v>1.1428571428571428</v>
      </c>
      <c r="J49" s="34">
        <f t="shared" si="1"/>
        <v>2.5689285714285717</v>
      </c>
    </row>
    <row r="50" spans="1:10" x14ac:dyDescent="0.35">
      <c r="A50" s="29" t="s">
        <v>121</v>
      </c>
      <c r="B50" s="18">
        <v>47</v>
      </c>
      <c r="C50" s="22" t="s">
        <v>122</v>
      </c>
      <c r="D50" s="22" t="s">
        <v>123</v>
      </c>
      <c r="E50" s="23" t="s">
        <v>8</v>
      </c>
      <c r="F50" s="19">
        <v>9.31</v>
      </c>
      <c r="G50" s="19">
        <v>9.4700000000000006</v>
      </c>
      <c r="H50" s="20">
        <f t="shared" si="0"/>
        <v>9.39</v>
      </c>
      <c r="I50" s="21">
        <v>8.3928571428571423</v>
      </c>
      <c r="J50" s="33">
        <f t="shared" si="1"/>
        <v>8.8914285714285715</v>
      </c>
    </row>
    <row r="51" spans="1:10" x14ac:dyDescent="0.35">
      <c r="A51" s="29" t="s">
        <v>121</v>
      </c>
      <c r="B51" s="18">
        <v>48</v>
      </c>
      <c r="C51" s="22" t="s">
        <v>125</v>
      </c>
      <c r="D51" s="17" t="s">
        <v>124</v>
      </c>
      <c r="E51" s="23" t="s">
        <v>8</v>
      </c>
      <c r="F51" s="19">
        <v>8.56</v>
      </c>
      <c r="G51" s="19">
        <v>0</v>
      </c>
      <c r="H51" s="20">
        <f t="shared" si="0"/>
        <v>4.28</v>
      </c>
      <c r="I51" s="21">
        <v>7.5892857142857144</v>
      </c>
      <c r="J51" s="33">
        <f t="shared" si="1"/>
        <v>5.9346428571428573</v>
      </c>
    </row>
    <row r="52" spans="1:10" x14ac:dyDescent="0.35">
      <c r="A52" s="29" t="s">
        <v>121</v>
      </c>
      <c r="B52" s="18">
        <v>49</v>
      </c>
      <c r="C52" s="22" t="s">
        <v>126</v>
      </c>
      <c r="D52" s="22" t="s">
        <v>123</v>
      </c>
      <c r="E52" s="23" t="s">
        <v>8</v>
      </c>
      <c r="F52" s="19">
        <v>5.75</v>
      </c>
      <c r="G52" s="19">
        <v>7.33</v>
      </c>
      <c r="H52" s="20">
        <f t="shared" si="0"/>
        <v>6.54</v>
      </c>
      <c r="I52" s="21">
        <v>6.6964285714285712</v>
      </c>
      <c r="J52" s="33">
        <f t="shared" si="1"/>
        <v>6.618214285714286</v>
      </c>
    </row>
    <row r="53" spans="1:10" x14ac:dyDescent="0.35">
      <c r="A53" s="29" t="s">
        <v>121</v>
      </c>
      <c r="B53" s="18">
        <v>50</v>
      </c>
      <c r="C53" s="22" t="s">
        <v>127</v>
      </c>
      <c r="D53" s="22" t="s">
        <v>123</v>
      </c>
      <c r="E53" s="23" t="s">
        <v>8</v>
      </c>
      <c r="F53" s="19">
        <v>5.67</v>
      </c>
      <c r="G53" s="19">
        <v>6.72</v>
      </c>
      <c r="H53" s="20">
        <f t="shared" si="0"/>
        <v>6.1950000000000003</v>
      </c>
      <c r="I53" s="21">
        <v>6</v>
      </c>
      <c r="J53" s="33">
        <f t="shared" si="1"/>
        <v>6.0975000000000001</v>
      </c>
    </row>
    <row r="54" spans="1:10" x14ac:dyDescent="0.35">
      <c r="A54" s="29" t="s">
        <v>121</v>
      </c>
      <c r="B54" s="18">
        <v>51</v>
      </c>
      <c r="C54" s="22" t="s">
        <v>700</v>
      </c>
      <c r="D54" s="17" t="s">
        <v>124</v>
      </c>
      <c r="E54" s="23" t="s">
        <v>8</v>
      </c>
      <c r="F54" s="19">
        <v>7.78</v>
      </c>
      <c r="G54" s="19">
        <v>0</v>
      </c>
      <c r="H54" s="20">
        <f t="shared" si="0"/>
        <v>3.89</v>
      </c>
      <c r="I54" s="21">
        <v>5.3928571428571432</v>
      </c>
      <c r="J54" s="33">
        <f t="shared" si="1"/>
        <v>4.6414285714285715</v>
      </c>
    </row>
    <row r="55" spans="1:10" x14ac:dyDescent="0.35">
      <c r="A55" s="29" t="s">
        <v>121</v>
      </c>
      <c r="B55" s="18">
        <v>52</v>
      </c>
      <c r="C55" s="22" t="s">
        <v>128</v>
      </c>
      <c r="D55" s="17" t="s">
        <v>124</v>
      </c>
      <c r="E55" s="23" t="s">
        <v>8</v>
      </c>
      <c r="F55" s="19">
        <v>5.47</v>
      </c>
      <c r="G55" s="19">
        <v>6.64</v>
      </c>
      <c r="H55" s="20">
        <f t="shared" si="0"/>
        <v>6.0549999999999997</v>
      </c>
      <c r="I55" s="21">
        <v>5.3928571428571432</v>
      </c>
      <c r="J55" s="33">
        <f t="shared" si="1"/>
        <v>5.723928571428571</v>
      </c>
    </row>
    <row r="56" spans="1:10" x14ac:dyDescent="0.35">
      <c r="A56" s="29" t="s">
        <v>121</v>
      </c>
      <c r="B56" s="18">
        <v>53</v>
      </c>
      <c r="C56" s="22" t="s">
        <v>129</v>
      </c>
      <c r="D56" s="22" t="s">
        <v>123</v>
      </c>
      <c r="E56" s="23" t="s">
        <v>8</v>
      </c>
      <c r="F56" s="19">
        <v>6.39</v>
      </c>
      <c r="G56" s="19">
        <v>6.28</v>
      </c>
      <c r="H56" s="20">
        <f t="shared" si="0"/>
        <v>6.335</v>
      </c>
      <c r="I56" s="21">
        <v>4.8214285714285712</v>
      </c>
      <c r="J56" s="33">
        <f t="shared" si="1"/>
        <v>5.5782142857142851</v>
      </c>
    </row>
    <row r="57" spans="1:10" x14ac:dyDescent="0.35">
      <c r="A57" s="29" t="s">
        <v>121</v>
      </c>
      <c r="B57" s="18">
        <v>54</v>
      </c>
      <c r="C57" s="22" t="s">
        <v>130</v>
      </c>
      <c r="D57" s="22" t="s">
        <v>123</v>
      </c>
      <c r="E57" s="23" t="s">
        <v>8</v>
      </c>
      <c r="F57" s="19">
        <v>5.44</v>
      </c>
      <c r="G57" s="19">
        <v>6.67</v>
      </c>
      <c r="H57" s="20">
        <f t="shared" si="0"/>
        <v>6.0549999999999997</v>
      </c>
      <c r="I57" s="21">
        <v>4.6964285714285712</v>
      </c>
      <c r="J57" s="33">
        <f t="shared" si="1"/>
        <v>5.3757142857142854</v>
      </c>
    </row>
    <row r="58" spans="1:10" x14ac:dyDescent="0.35">
      <c r="A58" s="29" t="s">
        <v>121</v>
      </c>
      <c r="B58" s="18">
        <v>55</v>
      </c>
      <c r="C58" s="22" t="s">
        <v>131</v>
      </c>
      <c r="D58" s="22" t="s">
        <v>123</v>
      </c>
      <c r="E58" s="23" t="s">
        <v>8</v>
      </c>
      <c r="F58" s="19">
        <v>6.47</v>
      </c>
      <c r="G58" s="19">
        <v>6.28</v>
      </c>
      <c r="H58" s="20">
        <f t="shared" si="0"/>
        <v>6.375</v>
      </c>
      <c r="I58" s="21">
        <v>4.6071428571428568</v>
      </c>
      <c r="J58" s="33">
        <f t="shared" si="1"/>
        <v>5.4910714285714288</v>
      </c>
    </row>
    <row r="59" spans="1:10" x14ac:dyDescent="0.35">
      <c r="A59" s="29" t="s">
        <v>121</v>
      </c>
      <c r="B59" s="18">
        <v>56</v>
      </c>
      <c r="C59" s="22" t="s">
        <v>701</v>
      </c>
      <c r="D59" s="22" t="s">
        <v>123</v>
      </c>
      <c r="E59" s="23" t="s">
        <v>8</v>
      </c>
      <c r="F59" s="19">
        <v>5.75</v>
      </c>
      <c r="G59" s="19">
        <v>5.19</v>
      </c>
      <c r="H59" s="20">
        <f t="shared" si="0"/>
        <v>5.4700000000000006</v>
      </c>
      <c r="I59" s="21">
        <v>4.53</v>
      </c>
      <c r="J59" s="33">
        <f t="shared" si="1"/>
        <v>5</v>
      </c>
    </row>
    <row r="60" spans="1:10" x14ac:dyDescent="0.35">
      <c r="A60" s="29" t="s">
        <v>121</v>
      </c>
      <c r="B60" s="18">
        <v>57</v>
      </c>
      <c r="C60" s="22" t="s">
        <v>267</v>
      </c>
      <c r="D60" s="22" t="s">
        <v>123</v>
      </c>
      <c r="E60" s="23" t="s">
        <v>8</v>
      </c>
      <c r="F60" s="19">
        <v>5.14</v>
      </c>
      <c r="G60" s="19">
        <v>5.75</v>
      </c>
      <c r="H60" s="20">
        <f t="shared" si="0"/>
        <v>5.4450000000000003</v>
      </c>
      <c r="I60" s="21">
        <v>4.5347142857142897</v>
      </c>
      <c r="J60" s="33">
        <f t="shared" si="1"/>
        <v>4.9898571428571454</v>
      </c>
    </row>
    <row r="61" spans="1:10" x14ac:dyDescent="0.35">
      <c r="A61" s="29" t="s">
        <v>121</v>
      </c>
      <c r="B61" s="18">
        <v>58</v>
      </c>
      <c r="C61" s="22" t="s">
        <v>261</v>
      </c>
      <c r="D61" s="22" t="s">
        <v>123</v>
      </c>
      <c r="E61" s="23" t="s">
        <v>8</v>
      </c>
      <c r="F61" s="19">
        <v>5.47</v>
      </c>
      <c r="G61" s="19">
        <v>6.47</v>
      </c>
      <c r="H61" s="20">
        <f t="shared" si="0"/>
        <v>5.97</v>
      </c>
      <c r="I61" s="21">
        <v>4.5264285714285704</v>
      </c>
      <c r="J61" s="33">
        <f t="shared" si="1"/>
        <v>5.2482142857142851</v>
      </c>
    </row>
    <row r="62" spans="1:10" x14ac:dyDescent="0.35">
      <c r="A62" s="29" t="s">
        <v>121</v>
      </c>
      <c r="B62" s="18">
        <v>59</v>
      </c>
      <c r="C62" s="22" t="s">
        <v>266</v>
      </c>
      <c r="D62" s="22" t="s">
        <v>123</v>
      </c>
      <c r="E62" s="23" t="s">
        <v>8</v>
      </c>
      <c r="F62" s="19">
        <v>5.17</v>
      </c>
      <c r="G62" s="19">
        <v>5</v>
      </c>
      <c r="H62" s="20">
        <f t="shared" si="0"/>
        <v>5.085</v>
      </c>
      <c r="I62" s="21">
        <v>4.5228571428571396</v>
      </c>
      <c r="J62" s="33">
        <f t="shared" si="1"/>
        <v>4.8039285714285693</v>
      </c>
    </row>
    <row r="63" spans="1:10" x14ac:dyDescent="0.35">
      <c r="A63" s="29" t="s">
        <v>121</v>
      </c>
      <c r="B63" s="18">
        <v>60</v>
      </c>
      <c r="C63" s="22" t="s">
        <v>258</v>
      </c>
      <c r="D63" s="22" t="s">
        <v>123</v>
      </c>
      <c r="E63" s="23" t="s">
        <v>8</v>
      </c>
      <c r="F63" s="19">
        <v>5.08</v>
      </c>
      <c r="G63" s="19">
        <v>5</v>
      </c>
      <c r="H63" s="20">
        <f t="shared" si="0"/>
        <v>5.04</v>
      </c>
      <c r="I63" s="21">
        <v>4.5242857142857096</v>
      </c>
      <c r="J63" s="33">
        <f t="shared" si="1"/>
        <v>4.7821428571428548</v>
      </c>
    </row>
    <row r="64" spans="1:10" x14ac:dyDescent="0.35">
      <c r="A64" s="29" t="s">
        <v>121</v>
      </c>
      <c r="B64" s="18">
        <v>61</v>
      </c>
      <c r="C64" s="22" t="s">
        <v>250</v>
      </c>
      <c r="D64" s="22" t="s">
        <v>123</v>
      </c>
      <c r="E64" s="23" t="s">
        <v>8</v>
      </c>
      <c r="F64" s="19">
        <v>2.75</v>
      </c>
      <c r="G64" s="19">
        <v>7.17</v>
      </c>
      <c r="H64" s="20">
        <f t="shared" si="0"/>
        <v>4.96</v>
      </c>
      <c r="I64" s="21">
        <v>4.5071428571428598</v>
      </c>
      <c r="J64" s="33">
        <f t="shared" si="1"/>
        <v>4.7335714285714303</v>
      </c>
    </row>
    <row r="65" spans="1:10" x14ac:dyDescent="0.35">
      <c r="A65" s="30" t="s">
        <v>121</v>
      </c>
      <c r="B65" s="46">
        <v>62</v>
      </c>
      <c r="C65" s="14" t="s">
        <v>265</v>
      </c>
      <c r="D65" s="14" t="s">
        <v>123</v>
      </c>
      <c r="E65" s="15" t="s">
        <v>8</v>
      </c>
      <c r="F65" s="2">
        <v>5.19</v>
      </c>
      <c r="G65" s="2">
        <v>5.33</v>
      </c>
      <c r="H65" s="12">
        <f t="shared" si="0"/>
        <v>5.26</v>
      </c>
      <c r="I65" s="13">
        <v>3.4642857142857144</v>
      </c>
      <c r="J65" s="34">
        <f t="shared" si="1"/>
        <v>4.3621428571428567</v>
      </c>
    </row>
    <row r="66" spans="1:10" x14ac:dyDescent="0.35">
      <c r="A66" s="30" t="s">
        <v>121</v>
      </c>
      <c r="B66" s="46">
        <v>63</v>
      </c>
      <c r="C66" s="14" t="s">
        <v>269</v>
      </c>
      <c r="D66" s="14" t="s">
        <v>123</v>
      </c>
      <c r="E66" s="15" t="s">
        <v>8</v>
      </c>
      <c r="F66" s="2">
        <v>5.1100000000000003</v>
      </c>
      <c r="G66" s="2">
        <v>4</v>
      </c>
      <c r="H66" s="12">
        <f t="shared" si="0"/>
        <v>4.5549999999999997</v>
      </c>
      <c r="I66" s="13">
        <v>3.3035714285714284</v>
      </c>
      <c r="J66" s="34">
        <f t="shared" si="1"/>
        <v>3.9292857142857143</v>
      </c>
    </row>
    <row r="67" spans="1:10" x14ac:dyDescent="0.35">
      <c r="A67" s="30" t="s">
        <v>121</v>
      </c>
      <c r="B67" s="46">
        <v>64</v>
      </c>
      <c r="C67" s="14" t="s">
        <v>268</v>
      </c>
      <c r="D67" s="14" t="s">
        <v>123</v>
      </c>
      <c r="E67" s="15" t="s">
        <v>8</v>
      </c>
      <c r="F67" s="2">
        <v>5.22</v>
      </c>
      <c r="G67" s="2">
        <v>3.44</v>
      </c>
      <c r="H67" s="12">
        <f t="shared" si="0"/>
        <v>4.33</v>
      </c>
      <c r="I67" s="13">
        <v>3.1607142857142856</v>
      </c>
      <c r="J67" s="34">
        <f t="shared" si="1"/>
        <v>3.7453571428571428</v>
      </c>
    </row>
    <row r="68" spans="1:10" x14ac:dyDescent="0.35">
      <c r="A68" s="30" t="s">
        <v>121</v>
      </c>
      <c r="B68" s="46">
        <v>65</v>
      </c>
      <c r="C68" s="14" t="s">
        <v>262</v>
      </c>
      <c r="D68" s="14" t="s">
        <v>123</v>
      </c>
      <c r="E68" s="15" t="s">
        <v>8</v>
      </c>
      <c r="F68" s="2">
        <v>5</v>
      </c>
      <c r="G68" s="2">
        <v>5</v>
      </c>
      <c r="H68" s="12">
        <f t="shared" ref="H68:H131" si="2">(F68+G68)/2</f>
        <v>5</v>
      </c>
      <c r="I68" s="13">
        <v>2.8392857142857144</v>
      </c>
      <c r="J68" s="34">
        <f t="shared" ref="J68:J131" si="3">(H68+I68)/2</f>
        <v>3.9196428571428572</v>
      </c>
    </row>
    <row r="69" spans="1:10" x14ac:dyDescent="0.35">
      <c r="A69" s="30" t="s">
        <v>121</v>
      </c>
      <c r="B69" s="46">
        <v>66</v>
      </c>
      <c r="C69" s="14" t="s">
        <v>255</v>
      </c>
      <c r="D69" s="14" t="s">
        <v>123</v>
      </c>
      <c r="E69" s="15" t="s">
        <v>8</v>
      </c>
      <c r="F69" s="2">
        <v>5.69</v>
      </c>
      <c r="G69" s="2">
        <v>5.0599999999999996</v>
      </c>
      <c r="H69" s="12">
        <f t="shared" si="2"/>
        <v>5.375</v>
      </c>
      <c r="I69" s="13">
        <v>2.8214285714285716</v>
      </c>
      <c r="J69" s="34">
        <f t="shared" si="3"/>
        <v>4.0982142857142856</v>
      </c>
    </row>
    <row r="70" spans="1:10" x14ac:dyDescent="0.35">
      <c r="A70" s="30" t="s">
        <v>121</v>
      </c>
      <c r="B70" s="46">
        <v>67</v>
      </c>
      <c r="C70" s="14" t="s">
        <v>253</v>
      </c>
      <c r="D70" s="14" t="s">
        <v>123</v>
      </c>
      <c r="E70" s="15" t="s">
        <v>8</v>
      </c>
      <c r="F70" s="2">
        <v>5.33</v>
      </c>
      <c r="G70" s="2">
        <v>3.81</v>
      </c>
      <c r="H70" s="12">
        <f t="shared" si="2"/>
        <v>4.57</v>
      </c>
      <c r="I70" s="13">
        <v>2.25</v>
      </c>
      <c r="J70" s="34">
        <f t="shared" si="3"/>
        <v>3.41</v>
      </c>
    </row>
    <row r="71" spans="1:10" x14ac:dyDescent="0.35">
      <c r="A71" s="30" t="s">
        <v>121</v>
      </c>
      <c r="B71" s="46">
        <v>68</v>
      </c>
      <c r="C71" s="28" t="s">
        <v>263</v>
      </c>
      <c r="D71" s="14" t="s">
        <v>123</v>
      </c>
      <c r="E71" s="15" t="s">
        <v>8</v>
      </c>
      <c r="F71" s="2">
        <v>5.03</v>
      </c>
      <c r="G71" s="2">
        <v>5.22</v>
      </c>
      <c r="H71" s="12">
        <f t="shared" si="2"/>
        <v>5.125</v>
      </c>
      <c r="I71" s="13">
        <v>2.1785714285714284</v>
      </c>
      <c r="J71" s="34">
        <f t="shared" si="3"/>
        <v>3.6517857142857144</v>
      </c>
    </row>
    <row r="72" spans="1:10" x14ac:dyDescent="0.35">
      <c r="A72" s="30" t="s">
        <v>121</v>
      </c>
      <c r="B72" s="46">
        <v>69</v>
      </c>
      <c r="C72" s="14" t="s">
        <v>256</v>
      </c>
      <c r="D72" s="14" t="s">
        <v>123</v>
      </c>
      <c r="E72" s="15" t="s">
        <v>8</v>
      </c>
      <c r="F72" s="2">
        <v>5.5</v>
      </c>
      <c r="G72" s="2">
        <v>3.61</v>
      </c>
      <c r="H72" s="12">
        <f t="shared" si="2"/>
        <v>4.5549999999999997</v>
      </c>
      <c r="I72" s="13">
        <v>1.5714285714285714</v>
      </c>
      <c r="J72" s="34">
        <f t="shared" si="3"/>
        <v>3.0632142857142854</v>
      </c>
    </row>
    <row r="73" spans="1:10" x14ac:dyDescent="0.35">
      <c r="A73" s="30" t="s">
        <v>121</v>
      </c>
      <c r="B73" s="46">
        <v>70</v>
      </c>
      <c r="C73" s="14" t="s">
        <v>697</v>
      </c>
      <c r="D73" s="14" t="s">
        <v>123</v>
      </c>
      <c r="E73" s="15" t="s">
        <v>8</v>
      </c>
      <c r="F73" s="2">
        <v>5.03</v>
      </c>
      <c r="G73" s="2">
        <v>5.0599999999999996</v>
      </c>
      <c r="H73" s="12">
        <f t="shared" si="2"/>
        <v>5.0449999999999999</v>
      </c>
      <c r="I73" s="13">
        <v>1.5357142857142858</v>
      </c>
      <c r="J73" s="34">
        <f t="shared" si="3"/>
        <v>3.2903571428571428</v>
      </c>
    </row>
    <row r="74" spans="1:10" x14ac:dyDescent="0.35">
      <c r="A74" s="30" t="s">
        <v>121</v>
      </c>
      <c r="B74" s="46">
        <v>71</v>
      </c>
      <c r="C74" s="14" t="s">
        <v>702</v>
      </c>
      <c r="D74" s="14" t="s">
        <v>123</v>
      </c>
      <c r="E74" s="15" t="s">
        <v>8</v>
      </c>
      <c r="F74" s="2">
        <v>5.28</v>
      </c>
      <c r="G74" s="2">
        <v>4</v>
      </c>
      <c r="H74" s="12">
        <f t="shared" si="2"/>
        <v>4.6400000000000006</v>
      </c>
      <c r="I74" s="13">
        <v>1.4642857142857142</v>
      </c>
      <c r="J74" s="34">
        <f t="shared" si="3"/>
        <v>3.0521428571428575</v>
      </c>
    </row>
    <row r="75" spans="1:10" x14ac:dyDescent="0.35">
      <c r="A75" s="30" t="s">
        <v>121</v>
      </c>
      <c r="B75" s="46">
        <v>72</v>
      </c>
      <c r="C75" s="14" t="s">
        <v>698</v>
      </c>
      <c r="D75" s="14" t="s">
        <v>123</v>
      </c>
      <c r="E75" s="15" t="s">
        <v>8</v>
      </c>
      <c r="F75" s="2">
        <v>5.0599999999999996</v>
      </c>
      <c r="G75" s="2">
        <v>2.5</v>
      </c>
      <c r="H75" s="12">
        <f t="shared" si="2"/>
        <v>3.78</v>
      </c>
      <c r="I75" s="13">
        <v>1.4642857142857142</v>
      </c>
      <c r="J75" s="34">
        <f t="shared" si="3"/>
        <v>2.6221428571428569</v>
      </c>
    </row>
    <row r="76" spans="1:10" x14ac:dyDescent="0.35">
      <c r="A76" s="30" t="s">
        <v>121</v>
      </c>
      <c r="B76" s="46">
        <v>73</v>
      </c>
      <c r="C76" s="14" t="s">
        <v>257</v>
      </c>
      <c r="D76" s="14" t="s">
        <v>123</v>
      </c>
      <c r="E76" s="15" t="s">
        <v>8</v>
      </c>
      <c r="F76" s="2">
        <v>5.39</v>
      </c>
      <c r="G76" s="2">
        <v>5</v>
      </c>
      <c r="H76" s="12">
        <f t="shared" si="2"/>
        <v>5.1950000000000003</v>
      </c>
      <c r="I76" s="13">
        <v>1.4642857142857142</v>
      </c>
      <c r="J76" s="34">
        <f t="shared" si="3"/>
        <v>3.3296428571428573</v>
      </c>
    </row>
    <row r="77" spans="1:10" x14ac:dyDescent="0.35">
      <c r="A77" s="30" t="s">
        <v>121</v>
      </c>
      <c r="B77" s="46">
        <v>74</v>
      </c>
      <c r="C77" s="14" t="s">
        <v>251</v>
      </c>
      <c r="D77" s="14" t="s">
        <v>123</v>
      </c>
      <c r="E77" s="15" t="s">
        <v>8</v>
      </c>
      <c r="F77" s="2">
        <v>5.22</v>
      </c>
      <c r="G77" s="2">
        <v>2.39</v>
      </c>
      <c r="H77" s="12">
        <f t="shared" si="2"/>
        <v>3.8049999999999997</v>
      </c>
      <c r="I77" s="13">
        <v>1.2142857142857142</v>
      </c>
      <c r="J77" s="34">
        <f t="shared" si="3"/>
        <v>2.5096428571428571</v>
      </c>
    </row>
    <row r="78" spans="1:10" x14ac:dyDescent="0.35">
      <c r="A78" s="30" t="s">
        <v>121</v>
      </c>
      <c r="B78" s="46">
        <v>75</v>
      </c>
      <c r="C78" s="14" t="s">
        <v>260</v>
      </c>
      <c r="D78" s="14" t="s">
        <v>123</v>
      </c>
      <c r="E78" s="15" t="s">
        <v>8</v>
      </c>
      <c r="F78" s="2">
        <v>3.78</v>
      </c>
      <c r="G78" s="2">
        <v>4.5</v>
      </c>
      <c r="H78" s="12">
        <f t="shared" si="2"/>
        <v>4.1399999999999997</v>
      </c>
      <c r="I78" s="13">
        <v>1.0892857142857142</v>
      </c>
      <c r="J78" s="34">
        <f t="shared" si="3"/>
        <v>2.614642857142857</v>
      </c>
    </row>
    <row r="79" spans="1:10" x14ac:dyDescent="0.35">
      <c r="A79" s="30" t="s">
        <v>121</v>
      </c>
      <c r="B79" s="46">
        <v>76</v>
      </c>
      <c r="C79" s="14" t="s">
        <v>254</v>
      </c>
      <c r="D79" s="14" t="s">
        <v>123</v>
      </c>
      <c r="E79" s="15" t="s">
        <v>8</v>
      </c>
      <c r="F79" s="2">
        <v>3.11</v>
      </c>
      <c r="G79" s="2">
        <v>2.67</v>
      </c>
      <c r="H79" s="12">
        <f t="shared" si="2"/>
        <v>2.8899999999999997</v>
      </c>
      <c r="I79" s="13">
        <v>1.0357142857142858</v>
      </c>
      <c r="J79" s="34">
        <f t="shared" si="3"/>
        <v>1.9628571428571426</v>
      </c>
    </row>
    <row r="80" spans="1:10" x14ac:dyDescent="0.35">
      <c r="A80" s="30" t="s">
        <v>121</v>
      </c>
      <c r="B80" s="46">
        <v>77</v>
      </c>
      <c r="C80" s="14" t="s">
        <v>252</v>
      </c>
      <c r="D80" s="14" t="s">
        <v>123</v>
      </c>
      <c r="E80" s="15" t="s">
        <v>8</v>
      </c>
      <c r="F80" s="2">
        <v>5.03</v>
      </c>
      <c r="G80" s="2">
        <v>2.2799999999999998</v>
      </c>
      <c r="H80" s="12">
        <f t="shared" si="2"/>
        <v>3.6550000000000002</v>
      </c>
      <c r="I80" s="13">
        <v>0</v>
      </c>
      <c r="J80" s="34">
        <f t="shared" si="3"/>
        <v>1.8275000000000001</v>
      </c>
    </row>
    <row r="81" spans="1:10" x14ac:dyDescent="0.35">
      <c r="A81" s="30" t="s">
        <v>121</v>
      </c>
      <c r="B81" s="46">
        <v>78</v>
      </c>
      <c r="C81" s="14" t="s">
        <v>259</v>
      </c>
      <c r="D81" s="14" t="s">
        <v>123</v>
      </c>
      <c r="E81" s="15" t="s">
        <v>8</v>
      </c>
      <c r="F81" s="2">
        <v>5.28</v>
      </c>
      <c r="G81" s="2">
        <v>4.53</v>
      </c>
      <c r="H81" s="12">
        <f t="shared" si="2"/>
        <v>4.9050000000000002</v>
      </c>
      <c r="I81" s="13">
        <v>0</v>
      </c>
      <c r="J81" s="34">
        <f t="shared" si="3"/>
        <v>2.4525000000000001</v>
      </c>
    </row>
    <row r="82" spans="1:10" x14ac:dyDescent="0.35">
      <c r="A82" s="30" t="s">
        <v>121</v>
      </c>
      <c r="B82" s="46">
        <v>79</v>
      </c>
      <c r="C82" s="14" t="s">
        <v>264</v>
      </c>
      <c r="D82" s="14" t="s">
        <v>123</v>
      </c>
      <c r="E82" s="15" t="s">
        <v>8</v>
      </c>
      <c r="F82" s="2">
        <v>5.56</v>
      </c>
      <c r="G82" s="2">
        <v>4.1100000000000003</v>
      </c>
      <c r="H82" s="12">
        <f t="shared" si="2"/>
        <v>4.835</v>
      </c>
      <c r="I82" s="13">
        <v>0</v>
      </c>
      <c r="J82" s="34">
        <f t="shared" si="3"/>
        <v>2.4175</v>
      </c>
    </row>
    <row r="83" spans="1:10" x14ac:dyDescent="0.35">
      <c r="A83" s="30" t="s">
        <v>121</v>
      </c>
      <c r="B83" s="46">
        <v>80</v>
      </c>
      <c r="C83" s="14" t="s">
        <v>95</v>
      </c>
      <c r="D83" s="14" t="s">
        <v>123</v>
      </c>
      <c r="E83" s="15" t="s">
        <v>8</v>
      </c>
      <c r="F83" s="2">
        <v>5.31</v>
      </c>
      <c r="G83" s="2">
        <v>5.5</v>
      </c>
      <c r="H83" s="12">
        <f t="shared" si="2"/>
        <v>5.4049999999999994</v>
      </c>
      <c r="I83" s="13">
        <v>0</v>
      </c>
      <c r="J83" s="34">
        <f t="shared" si="3"/>
        <v>2.7024999999999997</v>
      </c>
    </row>
    <row r="84" spans="1:10" x14ac:dyDescent="0.35">
      <c r="A84" s="30" t="s">
        <v>121</v>
      </c>
      <c r="B84" s="46">
        <v>81</v>
      </c>
      <c r="C84" s="14" t="s">
        <v>699</v>
      </c>
      <c r="D84" s="14" t="s">
        <v>123</v>
      </c>
      <c r="E84" s="15" t="s">
        <v>8</v>
      </c>
      <c r="F84" s="2">
        <v>5.56</v>
      </c>
      <c r="G84" s="2">
        <v>5.14</v>
      </c>
      <c r="H84" s="12">
        <f t="shared" si="2"/>
        <v>5.35</v>
      </c>
      <c r="I84" s="13">
        <v>0</v>
      </c>
      <c r="J84" s="34">
        <f t="shared" si="3"/>
        <v>2.6749999999999998</v>
      </c>
    </row>
    <row r="85" spans="1:10" x14ac:dyDescent="0.35">
      <c r="A85" s="31" t="s">
        <v>132</v>
      </c>
      <c r="B85" s="18">
        <v>82</v>
      </c>
      <c r="C85" s="25" t="s">
        <v>133</v>
      </c>
      <c r="D85" s="25" t="s">
        <v>123</v>
      </c>
      <c r="E85" s="26" t="s">
        <v>8</v>
      </c>
      <c r="F85" s="19">
        <v>7.83</v>
      </c>
      <c r="G85" s="19">
        <v>0</v>
      </c>
      <c r="H85" s="20">
        <f t="shared" si="2"/>
        <v>3.915</v>
      </c>
      <c r="I85" s="21">
        <v>7</v>
      </c>
      <c r="J85" s="33">
        <f t="shared" si="3"/>
        <v>5.4574999999999996</v>
      </c>
    </row>
    <row r="86" spans="1:10" x14ac:dyDescent="0.35">
      <c r="A86" s="31" t="s">
        <v>132</v>
      </c>
      <c r="B86" s="18">
        <v>83</v>
      </c>
      <c r="C86" s="25" t="s">
        <v>134</v>
      </c>
      <c r="D86" s="25" t="s">
        <v>123</v>
      </c>
      <c r="E86" s="26" t="s">
        <v>8</v>
      </c>
      <c r="F86" s="19">
        <v>8.33</v>
      </c>
      <c r="G86" s="19">
        <v>0</v>
      </c>
      <c r="H86" s="20">
        <f t="shared" si="2"/>
        <v>4.165</v>
      </c>
      <c r="I86" s="21">
        <v>6.6071428571428568</v>
      </c>
      <c r="J86" s="33">
        <f t="shared" si="3"/>
        <v>5.3860714285714284</v>
      </c>
    </row>
    <row r="87" spans="1:10" x14ac:dyDescent="0.35">
      <c r="A87" s="31" t="s">
        <v>132</v>
      </c>
      <c r="B87" s="18">
        <v>84</v>
      </c>
      <c r="C87" s="25" t="s">
        <v>135</v>
      </c>
      <c r="D87" s="25" t="s">
        <v>123</v>
      </c>
      <c r="E87" s="26" t="s">
        <v>8</v>
      </c>
      <c r="F87" s="19">
        <v>7.63</v>
      </c>
      <c r="G87" s="19">
        <v>0</v>
      </c>
      <c r="H87" s="20">
        <f t="shared" si="2"/>
        <v>3.8149999999999999</v>
      </c>
      <c r="I87" s="21">
        <v>6.5714285714285712</v>
      </c>
      <c r="J87" s="33">
        <f t="shared" si="3"/>
        <v>5.1932142857142853</v>
      </c>
    </row>
    <row r="88" spans="1:10" x14ac:dyDescent="0.35">
      <c r="A88" s="31" t="s">
        <v>132</v>
      </c>
      <c r="B88" s="18">
        <v>85</v>
      </c>
      <c r="C88" s="25" t="s">
        <v>136</v>
      </c>
      <c r="D88" s="25" t="s">
        <v>123</v>
      </c>
      <c r="E88" s="26" t="s">
        <v>8</v>
      </c>
      <c r="F88" s="19">
        <v>8.33</v>
      </c>
      <c r="G88" s="19">
        <v>0</v>
      </c>
      <c r="H88" s="20">
        <f t="shared" si="2"/>
        <v>4.165</v>
      </c>
      <c r="I88" s="21">
        <v>6.4642857142857144</v>
      </c>
      <c r="J88" s="33">
        <f t="shared" si="3"/>
        <v>5.3146428571428572</v>
      </c>
    </row>
    <row r="89" spans="1:10" x14ac:dyDescent="0.35">
      <c r="A89" s="31" t="s">
        <v>132</v>
      </c>
      <c r="B89" s="18">
        <v>86</v>
      </c>
      <c r="C89" s="25" t="s">
        <v>137</v>
      </c>
      <c r="D89" s="25" t="s">
        <v>124</v>
      </c>
      <c r="E89" s="26" t="s">
        <v>8</v>
      </c>
      <c r="F89" s="19">
        <v>7.22</v>
      </c>
      <c r="G89" s="19">
        <v>0</v>
      </c>
      <c r="H89" s="20">
        <f t="shared" si="2"/>
        <v>3.61</v>
      </c>
      <c r="I89" s="21">
        <v>6.4642857142857144</v>
      </c>
      <c r="J89" s="33">
        <f t="shared" si="3"/>
        <v>5.0371428571428574</v>
      </c>
    </row>
    <row r="90" spans="1:10" x14ac:dyDescent="0.35">
      <c r="A90" s="31" t="s">
        <v>132</v>
      </c>
      <c r="B90" s="18">
        <v>87</v>
      </c>
      <c r="C90" s="25" t="s">
        <v>138</v>
      </c>
      <c r="D90" s="25" t="s">
        <v>123</v>
      </c>
      <c r="E90" s="26" t="s">
        <v>8</v>
      </c>
      <c r="F90" s="19">
        <v>8.69</v>
      </c>
      <c r="G90" s="19">
        <v>0</v>
      </c>
      <c r="H90" s="20">
        <f t="shared" si="2"/>
        <v>4.3449999999999998</v>
      </c>
      <c r="I90" s="21">
        <v>6.1785714285714288</v>
      </c>
      <c r="J90" s="33">
        <f t="shared" si="3"/>
        <v>5.2617857142857147</v>
      </c>
    </row>
    <row r="91" spans="1:10" x14ac:dyDescent="0.35">
      <c r="A91" s="31" t="s">
        <v>132</v>
      </c>
      <c r="B91" s="18">
        <v>88</v>
      </c>
      <c r="C91" s="25" t="s">
        <v>704</v>
      </c>
      <c r="D91" s="25" t="s">
        <v>123</v>
      </c>
      <c r="E91" s="26" t="s">
        <v>8</v>
      </c>
      <c r="F91" s="19">
        <v>9.08</v>
      </c>
      <c r="G91" s="19">
        <v>0</v>
      </c>
      <c r="H91" s="20">
        <f t="shared" si="2"/>
        <v>4.54</v>
      </c>
      <c r="I91" s="21">
        <v>6.1785714285714288</v>
      </c>
      <c r="J91" s="33">
        <f t="shared" si="3"/>
        <v>5.3592857142857149</v>
      </c>
    </row>
    <row r="92" spans="1:10" x14ac:dyDescent="0.35">
      <c r="A92" s="31" t="s">
        <v>132</v>
      </c>
      <c r="B92" s="18">
        <v>89</v>
      </c>
      <c r="C92" s="25" t="s">
        <v>139</v>
      </c>
      <c r="D92" s="25" t="s">
        <v>123</v>
      </c>
      <c r="E92" s="26" t="s">
        <v>8</v>
      </c>
      <c r="F92" s="19">
        <v>7.05</v>
      </c>
      <c r="G92" s="19">
        <v>0</v>
      </c>
      <c r="H92" s="20">
        <f t="shared" si="2"/>
        <v>3.5249999999999999</v>
      </c>
      <c r="I92" s="21">
        <v>5.4642857142857144</v>
      </c>
      <c r="J92" s="33">
        <f t="shared" si="3"/>
        <v>4.4946428571428569</v>
      </c>
    </row>
    <row r="93" spans="1:10" x14ac:dyDescent="0.35">
      <c r="A93" s="31" t="s">
        <v>132</v>
      </c>
      <c r="B93" s="18">
        <v>90</v>
      </c>
      <c r="C93" s="25" t="s">
        <v>705</v>
      </c>
      <c r="D93" s="25" t="s">
        <v>124</v>
      </c>
      <c r="E93" s="26" t="s">
        <v>8</v>
      </c>
      <c r="F93" s="19">
        <v>7.55</v>
      </c>
      <c r="G93" s="19">
        <v>0</v>
      </c>
      <c r="H93" s="20">
        <f t="shared" si="2"/>
        <v>3.7749999999999999</v>
      </c>
      <c r="I93" s="21">
        <v>5.3214285714285712</v>
      </c>
      <c r="J93" s="33">
        <f t="shared" si="3"/>
        <v>4.5482142857142858</v>
      </c>
    </row>
    <row r="94" spans="1:10" x14ac:dyDescent="0.35">
      <c r="A94" s="31" t="s">
        <v>132</v>
      </c>
      <c r="B94" s="18">
        <v>91</v>
      </c>
      <c r="C94" s="25" t="s">
        <v>140</v>
      </c>
      <c r="D94" s="25" t="s">
        <v>123</v>
      </c>
      <c r="E94" s="26" t="s">
        <v>8</v>
      </c>
      <c r="F94" s="19">
        <v>8.44</v>
      </c>
      <c r="G94" s="19">
        <v>0</v>
      </c>
      <c r="H94" s="20">
        <f t="shared" si="2"/>
        <v>4.22</v>
      </c>
      <c r="I94" s="21">
        <v>5.3035714285714288</v>
      </c>
      <c r="J94" s="33">
        <f t="shared" si="3"/>
        <v>4.7617857142857147</v>
      </c>
    </row>
    <row r="95" spans="1:10" x14ac:dyDescent="0.35">
      <c r="A95" s="31" t="s">
        <v>132</v>
      </c>
      <c r="B95" s="18">
        <v>92</v>
      </c>
      <c r="C95" s="25" t="s">
        <v>141</v>
      </c>
      <c r="D95" s="25" t="s">
        <v>123</v>
      </c>
      <c r="E95" s="26" t="s">
        <v>8</v>
      </c>
      <c r="F95" s="19">
        <v>7.27</v>
      </c>
      <c r="G95" s="19">
        <v>0</v>
      </c>
      <c r="H95" s="20">
        <f t="shared" si="2"/>
        <v>3.6349999999999998</v>
      </c>
      <c r="I95" s="21">
        <v>4.6964285714285712</v>
      </c>
      <c r="J95" s="33">
        <f t="shared" si="3"/>
        <v>4.1657142857142855</v>
      </c>
    </row>
    <row r="96" spans="1:10" x14ac:dyDescent="0.35">
      <c r="A96" s="32" t="s">
        <v>132</v>
      </c>
      <c r="B96" s="46">
        <v>93</v>
      </c>
      <c r="C96" s="6" t="s">
        <v>277</v>
      </c>
      <c r="D96" s="6" t="s">
        <v>123</v>
      </c>
      <c r="E96" s="7" t="s">
        <v>8</v>
      </c>
      <c r="F96" s="2">
        <v>6.25</v>
      </c>
      <c r="G96" s="2">
        <v>0</v>
      </c>
      <c r="H96" s="12">
        <f t="shared" si="2"/>
        <v>3.125</v>
      </c>
      <c r="I96" s="13">
        <v>4</v>
      </c>
      <c r="J96" s="34">
        <f t="shared" si="3"/>
        <v>3.5625</v>
      </c>
    </row>
    <row r="97" spans="1:10" x14ac:dyDescent="0.35">
      <c r="A97" s="32" t="s">
        <v>132</v>
      </c>
      <c r="B97" s="46">
        <v>94</v>
      </c>
      <c r="C97" s="6" t="s">
        <v>703</v>
      </c>
      <c r="D97" s="6" t="s">
        <v>123</v>
      </c>
      <c r="E97" s="7" t="s">
        <v>8</v>
      </c>
      <c r="F97" s="2">
        <v>8.25</v>
      </c>
      <c r="G97" s="2">
        <v>0</v>
      </c>
      <c r="H97" s="12">
        <f t="shared" si="2"/>
        <v>4.125</v>
      </c>
      <c r="I97" s="13">
        <v>3.5178571428571428</v>
      </c>
      <c r="J97" s="34">
        <f t="shared" si="3"/>
        <v>3.8214285714285712</v>
      </c>
    </row>
    <row r="98" spans="1:10" x14ac:dyDescent="0.35">
      <c r="A98" s="32" t="s">
        <v>132</v>
      </c>
      <c r="B98" s="46">
        <v>95</v>
      </c>
      <c r="C98" s="6" t="s">
        <v>274</v>
      </c>
      <c r="D98" s="6" t="s">
        <v>124</v>
      </c>
      <c r="E98" s="7" t="s">
        <v>8</v>
      </c>
      <c r="F98" s="2">
        <v>7.11</v>
      </c>
      <c r="G98" s="2">
        <v>0</v>
      </c>
      <c r="H98" s="12">
        <f t="shared" si="2"/>
        <v>3.5550000000000002</v>
      </c>
      <c r="I98" s="13">
        <v>3.4107142857142856</v>
      </c>
      <c r="J98" s="34">
        <f t="shared" si="3"/>
        <v>3.4828571428571431</v>
      </c>
    </row>
    <row r="99" spans="1:10" x14ac:dyDescent="0.35">
      <c r="A99" s="32" t="s">
        <v>132</v>
      </c>
      <c r="B99" s="46">
        <v>96</v>
      </c>
      <c r="C99" s="6" t="s">
        <v>279</v>
      </c>
      <c r="D99" s="6" t="s">
        <v>123</v>
      </c>
      <c r="E99" s="7" t="s">
        <v>8</v>
      </c>
      <c r="F99" s="2">
        <v>7.38</v>
      </c>
      <c r="G99" s="2">
        <v>0</v>
      </c>
      <c r="H99" s="12">
        <f t="shared" si="2"/>
        <v>3.69</v>
      </c>
      <c r="I99" s="13">
        <v>3.3571428571428572</v>
      </c>
      <c r="J99" s="34">
        <f t="shared" si="3"/>
        <v>3.5235714285714286</v>
      </c>
    </row>
    <row r="100" spans="1:10" x14ac:dyDescent="0.35">
      <c r="A100" s="32" t="s">
        <v>132</v>
      </c>
      <c r="B100" s="46">
        <v>97</v>
      </c>
      <c r="C100" s="6" t="s">
        <v>247</v>
      </c>
      <c r="D100" s="6" t="s">
        <v>123</v>
      </c>
      <c r="E100" s="7" t="s">
        <v>8</v>
      </c>
      <c r="F100" s="2">
        <v>5.86</v>
      </c>
      <c r="G100" s="2">
        <v>0</v>
      </c>
      <c r="H100" s="12">
        <f t="shared" si="2"/>
        <v>2.93</v>
      </c>
      <c r="I100" s="13">
        <v>3.2142857142857144</v>
      </c>
      <c r="J100" s="34">
        <f t="shared" si="3"/>
        <v>3.0721428571428575</v>
      </c>
    </row>
    <row r="101" spans="1:10" x14ac:dyDescent="0.35">
      <c r="A101" s="32" t="s">
        <v>132</v>
      </c>
      <c r="B101" s="46">
        <v>98</v>
      </c>
      <c r="C101" s="6" t="s">
        <v>271</v>
      </c>
      <c r="D101" s="6" t="s">
        <v>123</v>
      </c>
      <c r="E101" s="7" t="s">
        <v>8</v>
      </c>
      <c r="F101" s="2">
        <v>5.69</v>
      </c>
      <c r="G101" s="2">
        <v>0</v>
      </c>
      <c r="H101" s="12">
        <f t="shared" si="2"/>
        <v>2.8450000000000002</v>
      </c>
      <c r="I101" s="13">
        <v>3.0178571428571428</v>
      </c>
      <c r="J101" s="34">
        <f t="shared" si="3"/>
        <v>2.9314285714285715</v>
      </c>
    </row>
    <row r="102" spans="1:10" x14ac:dyDescent="0.35">
      <c r="A102" s="32" t="s">
        <v>132</v>
      </c>
      <c r="B102" s="46">
        <v>99</v>
      </c>
      <c r="C102" s="6" t="s">
        <v>281</v>
      </c>
      <c r="D102" s="6" t="s">
        <v>123</v>
      </c>
      <c r="E102" s="7" t="s">
        <v>8</v>
      </c>
      <c r="F102" s="2">
        <v>6</v>
      </c>
      <c r="G102" s="2">
        <v>0</v>
      </c>
      <c r="H102" s="12">
        <f t="shared" si="2"/>
        <v>3</v>
      </c>
      <c r="I102" s="13">
        <v>2.5892857142857144</v>
      </c>
      <c r="J102" s="34">
        <f t="shared" si="3"/>
        <v>2.7946428571428572</v>
      </c>
    </row>
    <row r="103" spans="1:10" x14ac:dyDescent="0.35">
      <c r="A103" s="32" t="s">
        <v>132</v>
      </c>
      <c r="B103" s="46">
        <v>100</v>
      </c>
      <c r="C103" s="6" t="s">
        <v>275</v>
      </c>
      <c r="D103" s="6" t="s">
        <v>123</v>
      </c>
      <c r="E103" s="7" t="s">
        <v>8</v>
      </c>
      <c r="F103" s="2">
        <v>7.55</v>
      </c>
      <c r="G103" s="2">
        <v>0</v>
      </c>
      <c r="H103" s="12">
        <f t="shared" si="2"/>
        <v>3.7749999999999999</v>
      </c>
      <c r="I103" s="13">
        <v>2.5714285714285716</v>
      </c>
      <c r="J103" s="34">
        <f t="shared" si="3"/>
        <v>3.1732142857142858</v>
      </c>
    </row>
    <row r="104" spans="1:10" x14ac:dyDescent="0.35">
      <c r="A104" s="32" t="s">
        <v>132</v>
      </c>
      <c r="B104" s="46">
        <v>101</v>
      </c>
      <c r="C104" s="6" t="s">
        <v>273</v>
      </c>
      <c r="D104" s="6" t="s">
        <v>124</v>
      </c>
      <c r="E104" s="7" t="s">
        <v>8</v>
      </c>
      <c r="F104" s="2">
        <v>6.61</v>
      </c>
      <c r="G104" s="2">
        <v>0</v>
      </c>
      <c r="H104" s="12">
        <f t="shared" si="2"/>
        <v>3.3050000000000002</v>
      </c>
      <c r="I104" s="13">
        <v>2.0714285714285716</v>
      </c>
      <c r="J104" s="34">
        <f t="shared" si="3"/>
        <v>2.6882142857142859</v>
      </c>
    </row>
    <row r="105" spans="1:10" x14ac:dyDescent="0.35">
      <c r="A105" s="32" t="s">
        <v>132</v>
      </c>
      <c r="B105" s="46">
        <v>102</v>
      </c>
      <c r="C105" s="6" t="s">
        <v>276</v>
      </c>
      <c r="D105" s="6" t="s">
        <v>123</v>
      </c>
      <c r="E105" s="7" t="s">
        <v>8</v>
      </c>
      <c r="F105" s="2">
        <v>4.8600000000000003</v>
      </c>
      <c r="G105" s="2">
        <v>0</v>
      </c>
      <c r="H105" s="12">
        <f t="shared" si="2"/>
        <v>2.4300000000000002</v>
      </c>
      <c r="I105" s="13">
        <v>1.9285714285714286</v>
      </c>
      <c r="J105" s="34">
        <f t="shared" si="3"/>
        <v>2.1792857142857143</v>
      </c>
    </row>
    <row r="106" spans="1:10" x14ac:dyDescent="0.35">
      <c r="A106" s="32" t="s">
        <v>132</v>
      </c>
      <c r="B106" s="46">
        <v>103</v>
      </c>
      <c r="C106" s="6" t="s">
        <v>270</v>
      </c>
      <c r="D106" s="6" t="s">
        <v>123</v>
      </c>
      <c r="E106" s="7" t="s">
        <v>8</v>
      </c>
      <c r="F106" s="2">
        <v>5.72</v>
      </c>
      <c r="G106" s="2">
        <v>0</v>
      </c>
      <c r="H106" s="12">
        <f t="shared" si="2"/>
        <v>2.86</v>
      </c>
      <c r="I106" s="13">
        <v>1.75</v>
      </c>
      <c r="J106" s="34">
        <f t="shared" si="3"/>
        <v>2.3049999999999997</v>
      </c>
    </row>
    <row r="107" spans="1:10" x14ac:dyDescent="0.35">
      <c r="A107" s="32" t="s">
        <v>132</v>
      </c>
      <c r="B107" s="46">
        <v>104</v>
      </c>
      <c r="C107" s="6" t="s">
        <v>272</v>
      </c>
      <c r="D107" s="6" t="s">
        <v>123</v>
      </c>
      <c r="E107" s="7" t="s">
        <v>8</v>
      </c>
      <c r="F107" s="2">
        <v>6.63</v>
      </c>
      <c r="G107" s="2">
        <v>0</v>
      </c>
      <c r="H107" s="12">
        <f t="shared" si="2"/>
        <v>3.3149999999999999</v>
      </c>
      <c r="I107" s="13">
        <v>1.4285714285714286</v>
      </c>
      <c r="J107" s="34">
        <f t="shared" si="3"/>
        <v>2.3717857142857142</v>
      </c>
    </row>
    <row r="108" spans="1:10" x14ac:dyDescent="0.35">
      <c r="A108" s="32" t="s">
        <v>132</v>
      </c>
      <c r="B108" s="46">
        <v>105</v>
      </c>
      <c r="C108" s="6" t="s">
        <v>278</v>
      </c>
      <c r="D108" s="6" t="s">
        <v>123</v>
      </c>
      <c r="E108" s="7" t="s">
        <v>8</v>
      </c>
      <c r="F108" s="2">
        <v>4.1900000000000004</v>
      </c>
      <c r="G108" s="2">
        <v>0</v>
      </c>
      <c r="H108" s="12">
        <f t="shared" si="2"/>
        <v>2.0950000000000002</v>
      </c>
      <c r="I108" s="13">
        <v>0.8214285714285714</v>
      </c>
      <c r="J108" s="34">
        <f t="shared" si="3"/>
        <v>1.4582142857142859</v>
      </c>
    </row>
    <row r="109" spans="1:10" x14ac:dyDescent="0.35">
      <c r="A109" s="32" t="s">
        <v>132</v>
      </c>
      <c r="B109" s="46">
        <v>106</v>
      </c>
      <c r="C109" s="6" t="s">
        <v>280</v>
      </c>
      <c r="D109" s="6" t="s">
        <v>123</v>
      </c>
      <c r="E109" s="7" t="s">
        <v>8</v>
      </c>
      <c r="F109" s="2">
        <v>6.38</v>
      </c>
      <c r="G109" s="2">
        <v>0</v>
      </c>
      <c r="H109" s="12">
        <f t="shared" si="2"/>
        <v>3.19</v>
      </c>
      <c r="I109" s="13">
        <v>0</v>
      </c>
      <c r="J109" s="34">
        <f t="shared" si="3"/>
        <v>1.595</v>
      </c>
    </row>
    <row r="110" spans="1:10" x14ac:dyDescent="0.35">
      <c r="A110" s="32" t="s">
        <v>132</v>
      </c>
      <c r="B110" s="46">
        <v>107</v>
      </c>
      <c r="C110" s="6" t="s">
        <v>282</v>
      </c>
      <c r="D110" s="6" t="s">
        <v>123</v>
      </c>
      <c r="E110" s="7" t="s">
        <v>8</v>
      </c>
      <c r="F110" s="2">
        <v>5.91</v>
      </c>
      <c r="G110" s="2">
        <v>0</v>
      </c>
      <c r="H110" s="12">
        <f t="shared" si="2"/>
        <v>2.9550000000000001</v>
      </c>
      <c r="I110" s="13">
        <v>0</v>
      </c>
      <c r="J110" s="34">
        <f t="shared" si="3"/>
        <v>1.4775</v>
      </c>
    </row>
    <row r="111" spans="1:10" x14ac:dyDescent="0.35">
      <c r="A111" s="29" t="s">
        <v>58</v>
      </c>
      <c r="B111" s="18">
        <v>108</v>
      </c>
      <c r="C111" s="17" t="s">
        <v>59</v>
      </c>
      <c r="D111" s="17" t="s">
        <v>60</v>
      </c>
      <c r="E111" s="19" t="s">
        <v>8</v>
      </c>
      <c r="F111" s="19">
        <v>7.27</v>
      </c>
      <c r="G111" s="19">
        <v>6.83</v>
      </c>
      <c r="H111" s="20">
        <f t="shared" si="2"/>
        <v>7.05</v>
      </c>
      <c r="I111" s="21">
        <v>8.3571428571428577</v>
      </c>
      <c r="J111" s="33">
        <f t="shared" si="3"/>
        <v>7.7035714285714292</v>
      </c>
    </row>
    <row r="112" spans="1:10" x14ac:dyDescent="0.35">
      <c r="A112" s="29" t="s">
        <v>58</v>
      </c>
      <c r="B112" s="18">
        <v>109</v>
      </c>
      <c r="C112" s="17" t="s">
        <v>61</v>
      </c>
      <c r="D112" s="17" t="s">
        <v>60</v>
      </c>
      <c r="E112" s="19" t="s">
        <v>8</v>
      </c>
      <c r="F112" s="19">
        <v>9.1300000000000008</v>
      </c>
      <c r="G112" s="19">
        <v>7.91</v>
      </c>
      <c r="H112" s="20">
        <f t="shared" si="2"/>
        <v>8.52</v>
      </c>
      <c r="I112" s="21">
        <v>8.3214285714285712</v>
      </c>
      <c r="J112" s="33">
        <f t="shared" si="3"/>
        <v>8.4207142857142863</v>
      </c>
    </row>
    <row r="113" spans="1:10" x14ac:dyDescent="0.35">
      <c r="A113" s="29" t="s">
        <v>58</v>
      </c>
      <c r="B113" s="18">
        <v>110</v>
      </c>
      <c r="C113" s="17" t="s">
        <v>62</v>
      </c>
      <c r="D113" s="17" t="s">
        <v>60</v>
      </c>
      <c r="E113" s="19" t="s">
        <v>8</v>
      </c>
      <c r="F113" s="19">
        <v>6.25</v>
      </c>
      <c r="G113" s="19">
        <v>6.22</v>
      </c>
      <c r="H113" s="20">
        <f t="shared" si="2"/>
        <v>6.2349999999999994</v>
      </c>
      <c r="I113" s="21">
        <v>7.9285714285714288</v>
      </c>
      <c r="J113" s="33">
        <f t="shared" si="3"/>
        <v>7.0817857142857141</v>
      </c>
    </row>
    <row r="114" spans="1:10" x14ac:dyDescent="0.35">
      <c r="A114" s="29" t="s">
        <v>58</v>
      </c>
      <c r="B114" s="18">
        <v>111</v>
      </c>
      <c r="C114" s="17" t="s">
        <v>717</v>
      </c>
      <c r="D114" s="17" t="s">
        <v>63</v>
      </c>
      <c r="E114" s="19" t="s">
        <v>8</v>
      </c>
      <c r="F114" s="19">
        <v>6.11</v>
      </c>
      <c r="G114" s="19">
        <v>5.58</v>
      </c>
      <c r="H114" s="20">
        <f t="shared" si="2"/>
        <v>5.8450000000000006</v>
      </c>
      <c r="I114" s="21">
        <v>7</v>
      </c>
      <c r="J114" s="33">
        <f t="shared" si="3"/>
        <v>6.4225000000000003</v>
      </c>
    </row>
    <row r="115" spans="1:10" x14ac:dyDescent="0.35">
      <c r="A115" s="29" t="s">
        <v>58</v>
      </c>
      <c r="B115" s="18">
        <v>112</v>
      </c>
      <c r="C115" s="17" t="s">
        <v>64</v>
      </c>
      <c r="D115" s="17" t="s">
        <v>60</v>
      </c>
      <c r="E115" s="19" t="s">
        <v>8</v>
      </c>
      <c r="F115" s="19">
        <v>5</v>
      </c>
      <c r="G115" s="19">
        <v>6.08</v>
      </c>
      <c r="H115" s="20">
        <f t="shared" si="2"/>
        <v>5.54</v>
      </c>
      <c r="I115" s="21">
        <v>6.8928571428571432</v>
      </c>
      <c r="J115" s="33">
        <f t="shared" si="3"/>
        <v>6.2164285714285716</v>
      </c>
    </row>
    <row r="116" spans="1:10" x14ac:dyDescent="0.35">
      <c r="A116" s="29" t="s">
        <v>58</v>
      </c>
      <c r="B116" s="18">
        <v>113</v>
      </c>
      <c r="C116" s="17" t="s">
        <v>65</v>
      </c>
      <c r="D116" s="17" t="s">
        <v>60</v>
      </c>
      <c r="E116" s="19" t="s">
        <v>8</v>
      </c>
      <c r="F116" s="19">
        <v>6.05</v>
      </c>
      <c r="G116" s="19">
        <v>5.38</v>
      </c>
      <c r="H116" s="20">
        <f t="shared" si="2"/>
        <v>5.7149999999999999</v>
      </c>
      <c r="I116" s="21">
        <v>6.7857142857142856</v>
      </c>
      <c r="J116" s="33">
        <f t="shared" si="3"/>
        <v>6.2503571428571423</v>
      </c>
    </row>
    <row r="117" spans="1:10" x14ac:dyDescent="0.35">
      <c r="A117" s="29" t="s">
        <v>58</v>
      </c>
      <c r="B117" s="18">
        <v>114</v>
      </c>
      <c r="C117" s="17" t="s">
        <v>67</v>
      </c>
      <c r="D117" s="17" t="s">
        <v>60</v>
      </c>
      <c r="E117" s="19" t="s">
        <v>8</v>
      </c>
      <c r="F117" s="19">
        <v>5.69</v>
      </c>
      <c r="G117" s="19">
        <v>4.66</v>
      </c>
      <c r="H117" s="20">
        <f t="shared" si="2"/>
        <v>5.1750000000000007</v>
      </c>
      <c r="I117" s="21">
        <v>6.6428571428571432</v>
      </c>
      <c r="J117" s="33">
        <f t="shared" si="3"/>
        <v>5.9089285714285715</v>
      </c>
    </row>
    <row r="118" spans="1:10" x14ac:dyDescent="0.35">
      <c r="A118" s="29" t="s">
        <v>58</v>
      </c>
      <c r="B118" s="18">
        <v>115</v>
      </c>
      <c r="C118" s="17" t="s">
        <v>68</v>
      </c>
      <c r="D118" s="17" t="s">
        <v>60</v>
      </c>
      <c r="E118" s="19" t="s">
        <v>8</v>
      </c>
      <c r="F118" s="19">
        <v>6.61</v>
      </c>
      <c r="G118" s="19">
        <v>5.72</v>
      </c>
      <c r="H118" s="20">
        <f t="shared" si="2"/>
        <v>6.165</v>
      </c>
      <c r="I118" s="21">
        <v>6.625</v>
      </c>
      <c r="J118" s="33">
        <f t="shared" si="3"/>
        <v>6.3949999999999996</v>
      </c>
    </row>
    <row r="119" spans="1:10" x14ac:dyDescent="0.35">
      <c r="A119" s="29" t="s">
        <v>58</v>
      </c>
      <c r="B119" s="18">
        <v>116</v>
      </c>
      <c r="C119" s="17" t="s">
        <v>69</v>
      </c>
      <c r="D119" s="17" t="s">
        <v>60</v>
      </c>
      <c r="E119" s="19" t="s">
        <v>8</v>
      </c>
      <c r="F119" s="19">
        <v>7.08</v>
      </c>
      <c r="G119" s="19">
        <v>6.44</v>
      </c>
      <c r="H119" s="20">
        <f t="shared" si="2"/>
        <v>6.76</v>
      </c>
      <c r="I119" s="21">
        <v>6.5714285714285712</v>
      </c>
      <c r="J119" s="33">
        <f t="shared" si="3"/>
        <v>6.6657142857142855</v>
      </c>
    </row>
    <row r="120" spans="1:10" x14ac:dyDescent="0.35">
      <c r="A120" s="29" t="s">
        <v>58</v>
      </c>
      <c r="B120" s="18">
        <v>117</v>
      </c>
      <c r="C120" s="17" t="s">
        <v>715</v>
      </c>
      <c r="D120" s="17" t="s">
        <v>63</v>
      </c>
      <c r="E120" s="19" t="s">
        <v>8</v>
      </c>
      <c r="F120" s="19">
        <v>7.36</v>
      </c>
      <c r="G120" s="19">
        <v>5.36</v>
      </c>
      <c r="H120" s="20">
        <f t="shared" si="2"/>
        <v>6.36</v>
      </c>
      <c r="I120" s="21">
        <v>6.5535714285714288</v>
      </c>
      <c r="J120" s="33">
        <f t="shared" si="3"/>
        <v>6.456785714285715</v>
      </c>
    </row>
    <row r="121" spans="1:10" x14ac:dyDescent="0.35">
      <c r="A121" s="29" t="s">
        <v>58</v>
      </c>
      <c r="B121" s="18">
        <v>118</v>
      </c>
      <c r="C121" s="17" t="s">
        <v>70</v>
      </c>
      <c r="D121" s="17" t="s">
        <v>60</v>
      </c>
      <c r="E121" s="19" t="s">
        <v>8</v>
      </c>
      <c r="F121" s="19">
        <v>7.72</v>
      </c>
      <c r="G121" s="19">
        <v>5.33</v>
      </c>
      <c r="H121" s="20">
        <f t="shared" si="2"/>
        <v>6.5250000000000004</v>
      </c>
      <c r="I121" s="21">
        <v>6.4107142857142856</v>
      </c>
      <c r="J121" s="33">
        <f t="shared" si="3"/>
        <v>6.4678571428571434</v>
      </c>
    </row>
    <row r="122" spans="1:10" x14ac:dyDescent="0.35">
      <c r="A122" s="29" t="s">
        <v>58</v>
      </c>
      <c r="B122" s="18">
        <v>119</v>
      </c>
      <c r="C122" s="17" t="s">
        <v>71</v>
      </c>
      <c r="D122" s="17" t="s">
        <v>60</v>
      </c>
      <c r="E122" s="19" t="s">
        <v>8</v>
      </c>
      <c r="F122" s="19">
        <v>4.63</v>
      </c>
      <c r="G122" s="19">
        <v>4.3</v>
      </c>
      <c r="H122" s="20">
        <f t="shared" si="2"/>
        <v>4.4649999999999999</v>
      </c>
      <c r="I122" s="21">
        <v>5.8214285714285712</v>
      </c>
      <c r="J122" s="33">
        <f t="shared" si="3"/>
        <v>5.1432142857142855</v>
      </c>
    </row>
    <row r="123" spans="1:10" x14ac:dyDescent="0.35">
      <c r="A123" s="29" t="s">
        <v>58</v>
      </c>
      <c r="B123" s="18">
        <v>120</v>
      </c>
      <c r="C123" s="17" t="s">
        <v>72</v>
      </c>
      <c r="D123" s="17" t="s">
        <v>60</v>
      </c>
      <c r="E123" s="19" t="s">
        <v>8</v>
      </c>
      <c r="F123" s="19">
        <v>7.72</v>
      </c>
      <c r="G123" s="19">
        <v>5.84</v>
      </c>
      <c r="H123" s="20">
        <f t="shared" si="2"/>
        <v>6.7799999999999994</v>
      </c>
      <c r="I123" s="21">
        <v>5.8035714285714288</v>
      </c>
      <c r="J123" s="33">
        <f t="shared" si="3"/>
        <v>6.2917857142857141</v>
      </c>
    </row>
    <row r="124" spans="1:10" x14ac:dyDescent="0.35">
      <c r="A124" s="29" t="s">
        <v>58</v>
      </c>
      <c r="B124" s="18">
        <v>121</v>
      </c>
      <c r="C124" s="17" t="s">
        <v>73</v>
      </c>
      <c r="D124" s="17" t="s">
        <v>60</v>
      </c>
      <c r="E124" s="19" t="s">
        <v>8</v>
      </c>
      <c r="F124" s="19">
        <v>6.36</v>
      </c>
      <c r="G124" s="19">
        <v>5.55</v>
      </c>
      <c r="H124" s="20">
        <f t="shared" si="2"/>
        <v>5.9550000000000001</v>
      </c>
      <c r="I124" s="21">
        <v>5.6071428571428568</v>
      </c>
      <c r="J124" s="33">
        <f t="shared" si="3"/>
        <v>5.781071428571428</v>
      </c>
    </row>
    <row r="125" spans="1:10" x14ac:dyDescent="0.35">
      <c r="A125" s="29" t="s">
        <v>58</v>
      </c>
      <c r="B125" s="18">
        <v>122</v>
      </c>
      <c r="C125" s="17" t="s">
        <v>713</v>
      </c>
      <c r="D125" s="17" t="s">
        <v>60</v>
      </c>
      <c r="E125" s="19" t="s">
        <v>8</v>
      </c>
      <c r="F125" s="19">
        <v>3.25</v>
      </c>
      <c r="G125" s="19">
        <v>3.88</v>
      </c>
      <c r="H125" s="20">
        <f t="shared" si="2"/>
        <v>3.5649999999999999</v>
      </c>
      <c r="I125" s="21">
        <v>4.6071428571428568</v>
      </c>
      <c r="J125" s="33">
        <f t="shared" si="3"/>
        <v>4.0860714285714286</v>
      </c>
    </row>
    <row r="126" spans="1:10" x14ac:dyDescent="0.35">
      <c r="A126" s="30" t="s">
        <v>58</v>
      </c>
      <c r="B126" s="46">
        <v>123</v>
      </c>
      <c r="C126" s="1" t="s">
        <v>181</v>
      </c>
      <c r="D126" s="1" t="s">
        <v>60</v>
      </c>
      <c r="E126" s="2" t="s">
        <v>8</v>
      </c>
      <c r="F126" s="2">
        <v>2.2999999999999998</v>
      </c>
      <c r="G126" s="2">
        <v>2.58</v>
      </c>
      <c r="H126" s="12">
        <f t="shared" si="2"/>
        <v>2.44</v>
      </c>
      <c r="I126" s="13">
        <v>3.9107142857142856</v>
      </c>
      <c r="J126" s="34">
        <f t="shared" si="3"/>
        <v>3.175357142857143</v>
      </c>
    </row>
    <row r="127" spans="1:10" x14ac:dyDescent="0.35">
      <c r="A127" s="30" t="s">
        <v>58</v>
      </c>
      <c r="B127" s="46">
        <v>124</v>
      </c>
      <c r="C127" s="1" t="s">
        <v>718</v>
      </c>
      <c r="D127" s="1" t="s">
        <v>63</v>
      </c>
      <c r="E127" s="2" t="s">
        <v>8</v>
      </c>
      <c r="F127" s="2">
        <v>2.19</v>
      </c>
      <c r="G127" s="2">
        <v>1.97</v>
      </c>
      <c r="H127" s="12">
        <f t="shared" si="2"/>
        <v>2.08</v>
      </c>
      <c r="I127" s="13">
        <v>3.5714285714285716</v>
      </c>
      <c r="J127" s="34">
        <f t="shared" si="3"/>
        <v>2.8257142857142856</v>
      </c>
    </row>
    <row r="128" spans="1:10" x14ac:dyDescent="0.35">
      <c r="A128" s="30" t="s">
        <v>58</v>
      </c>
      <c r="B128" s="46">
        <v>125</v>
      </c>
      <c r="C128" s="1" t="s">
        <v>184</v>
      </c>
      <c r="D128" s="1" t="s">
        <v>60</v>
      </c>
      <c r="E128" s="2" t="s">
        <v>8</v>
      </c>
      <c r="F128" s="2">
        <v>4.13</v>
      </c>
      <c r="G128" s="2">
        <v>3.27</v>
      </c>
      <c r="H128" s="12">
        <f t="shared" si="2"/>
        <v>3.7</v>
      </c>
      <c r="I128" s="13">
        <v>3.5178571428571428</v>
      </c>
      <c r="J128" s="34">
        <f t="shared" si="3"/>
        <v>3.6089285714285717</v>
      </c>
    </row>
    <row r="129" spans="1:10" x14ac:dyDescent="0.35">
      <c r="A129" s="30" t="s">
        <v>58</v>
      </c>
      <c r="B129" s="46">
        <v>126</v>
      </c>
      <c r="C129" s="1" t="s">
        <v>177</v>
      </c>
      <c r="D129" s="1" t="s">
        <v>60</v>
      </c>
      <c r="E129" s="2" t="s">
        <v>8</v>
      </c>
      <c r="F129" s="2">
        <v>3.55</v>
      </c>
      <c r="G129" s="2">
        <v>3.83</v>
      </c>
      <c r="H129" s="12">
        <f t="shared" si="2"/>
        <v>3.69</v>
      </c>
      <c r="I129" s="13">
        <v>3.3928571428571428</v>
      </c>
      <c r="J129" s="34">
        <f t="shared" si="3"/>
        <v>3.5414285714285714</v>
      </c>
    </row>
    <row r="130" spans="1:10" x14ac:dyDescent="0.35">
      <c r="A130" s="30" t="s">
        <v>58</v>
      </c>
      <c r="B130" s="46">
        <v>127</v>
      </c>
      <c r="C130" s="1" t="s">
        <v>176</v>
      </c>
      <c r="D130" s="1" t="s">
        <v>60</v>
      </c>
      <c r="E130" s="2" t="s">
        <v>8</v>
      </c>
      <c r="F130" s="2">
        <v>3.61</v>
      </c>
      <c r="G130" s="2">
        <v>4</v>
      </c>
      <c r="H130" s="12">
        <f t="shared" si="2"/>
        <v>3.8049999999999997</v>
      </c>
      <c r="I130" s="13">
        <v>3.3392857142857144</v>
      </c>
      <c r="J130" s="34">
        <f t="shared" si="3"/>
        <v>3.5721428571428571</v>
      </c>
    </row>
    <row r="131" spans="1:10" x14ac:dyDescent="0.35">
      <c r="A131" s="30" t="s">
        <v>58</v>
      </c>
      <c r="B131" s="46">
        <v>128</v>
      </c>
      <c r="C131" s="1" t="s">
        <v>714</v>
      </c>
      <c r="D131" s="1" t="s">
        <v>63</v>
      </c>
      <c r="E131" s="2" t="s">
        <v>8</v>
      </c>
      <c r="F131" s="2">
        <v>3.55</v>
      </c>
      <c r="G131" s="2">
        <v>2.36</v>
      </c>
      <c r="H131" s="12">
        <f t="shared" si="2"/>
        <v>2.9550000000000001</v>
      </c>
      <c r="I131" s="13">
        <v>3.0714285714285716</v>
      </c>
      <c r="J131" s="34">
        <f t="shared" si="3"/>
        <v>3.0132142857142856</v>
      </c>
    </row>
    <row r="132" spans="1:10" x14ac:dyDescent="0.35">
      <c r="A132" s="30" t="s">
        <v>58</v>
      </c>
      <c r="B132" s="46">
        <v>129</v>
      </c>
      <c r="C132" s="1" t="s">
        <v>716</v>
      </c>
      <c r="D132" s="1" t="s">
        <v>63</v>
      </c>
      <c r="E132" s="2" t="s">
        <v>8</v>
      </c>
      <c r="F132" s="2">
        <v>4.63</v>
      </c>
      <c r="G132" s="2">
        <v>3.41</v>
      </c>
      <c r="H132" s="12">
        <f t="shared" ref="H132:H195" si="4">(F132+G132)/2</f>
        <v>4.0199999999999996</v>
      </c>
      <c r="I132" s="13">
        <v>3</v>
      </c>
      <c r="J132" s="34">
        <f t="shared" ref="J132:J195" si="5">(H132+I132)/2</f>
        <v>3.51</v>
      </c>
    </row>
    <row r="133" spans="1:10" x14ac:dyDescent="0.35">
      <c r="A133" s="30" t="s">
        <v>58</v>
      </c>
      <c r="B133" s="46">
        <v>130</v>
      </c>
      <c r="C133" s="1" t="s">
        <v>180</v>
      </c>
      <c r="D133" s="1" t="s">
        <v>60</v>
      </c>
      <c r="E133" s="2" t="s">
        <v>8</v>
      </c>
      <c r="F133" s="2">
        <v>2.88</v>
      </c>
      <c r="G133" s="2">
        <v>3.3</v>
      </c>
      <c r="H133" s="12">
        <f t="shared" si="4"/>
        <v>3.09</v>
      </c>
      <c r="I133" s="13">
        <v>3</v>
      </c>
      <c r="J133" s="34">
        <f t="shared" si="5"/>
        <v>3.0449999999999999</v>
      </c>
    </row>
    <row r="134" spans="1:10" x14ac:dyDescent="0.35">
      <c r="A134" s="30" t="s">
        <v>58</v>
      </c>
      <c r="B134" s="46">
        <v>131</v>
      </c>
      <c r="C134" s="1" t="s">
        <v>182</v>
      </c>
      <c r="D134" s="1" t="s">
        <v>60</v>
      </c>
      <c r="E134" s="2" t="s">
        <v>8</v>
      </c>
      <c r="F134" s="2">
        <v>4.6100000000000003</v>
      </c>
      <c r="G134" s="2">
        <v>3.69</v>
      </c>
      <c r="H134" s="12">
        <f t="shared" si="4"/>
        <v>4.1500000000000004</v>
      </c>
      <c r="I134" s="13">
        <v>2.75</v>
      </c>
      <c r="J134" s="34">
        <f t="shared" si="5"/>
        <v>3.45</v>
      </c>
    </row>
    <row r="135" spans="1:10" x14ac:dyDescent="0.35">
      <c r="A135" s="30" t="s">
        <v>58</v>
      </c>
      <c r="B135" s="46">
        <v>132</v>
      </c>
      <c r="C135" s="1" t="s">
        <v>321</v>
      </c>
      <c r="D135" s="1" t="s">
        <v>60</v>
      </c>
      <c r="E135" s="2" t="s">
        <v>8</v>
      </c>
      <c r="F135" s="2">
        <v>0</v>
      </c>
      <c r="G135" s="2">
        <v>2.83</v>
      </c>
      <c r="H135" s="12">
        <f t="shared" si="4"/>
        <v>1.415</v>
      </c>
      <c r="I135" s="13">
        <v>2.3928571428571428</v>
      </c>
      <c r="J135" s="34">
        <f t="shared" si="5"/>
        <v>1.9039285714285714</v>
      </c>
    </row>
    <row r="136" spans="1:10" x14ac:dyDescent="0.35">
      <c r="A136" s="30" t="s">
        <v>58</v>
      </c>
      <c r="B136" s="46">
        <v>133</v>
      </c>
      <c r="C136" s="1" t="s">
        <v>178</v>
      </c>
      <c r="D136" s="1" t="s">
        <v>60</v>
      </c>
      <c r="E136" s="2" t="s">
        <v>8</v>
      </c>
      <c r="F136" s="2">
        <v>2.5</v>
      </c>
      <c r="G136" s="2">
        <v>3.86</v>
      </c>
      <c r="H136" s="12">
        <f t="shared" si="4"/>
        <v>3.1799999999999997</v>
      </c>
      <c r="I136" s="13">
        <v>1.5714285714285714</v>
      </c>
      <c r="J136" s="34">
        <f t="shared" si="5"/>
        <v>2.3757142857142854</v>
      </c>
    </row>
    <row r="137" spans="1:10" x14ac:dyDescent="0.35">
      <c r="A137" s="30" t="s">
        <v>58</v>
      </c>
      <c r="B137" s="46">
        <v>134</v>
      </c>
      <c r="C137" s="1" t="s">
        <v>179</v>
      </c>
      <c r="D137" s="1" t="s">
        <v>60</v>
      </c>
      <c r="E137" s="2" t="s">
        <v>8</v>
      </c>
      <c r="F137" s="2">
        <v>3.19</v>
      </c>
      <c r="G137" s="2">
        <v>4.5</v>
      </c>
      <c r="H137" s="12">
        <f t="shared" si="4"/>
        <v>3.8449999999999998</v>
      </c>
      <c r="I137" s="13">
        <v>0.8928571428571429</v>
      </c>
      <c r="J137" s="34">
        <f t="shared" si="5"/>
        <v>2.3689285714285715</v>
      </c>
    </row>
    <row r="138" spans="1:10" x14ac:dyDescent="0.35">
      <c r="A138" s="30" t="s">
        <v>58</v>
      </c>
      <c r="B138" s="46">
        <v>135</v>
      </c>
      <c r="C138" s="1" t="s">
        <v>183</v>
      </c>
      <c r="D138" s="1" t="s">
        <v>60</v>
      </c>
      <c r="E138" s="2" t="s">
        <v>8</v>
      </c>
      <c r="F138" s="2">
        <v>2.72</v>
      </c>
      <c r="G138" s="2">
        <v>0</v>
      </c>
      <c r="H138" s="12">
        <f t="shared" si="4"/>
        <v>1.36</v>
      </c>
      <c r="I138" s="13">
        <v>0</v>
      </c>
      <c r="J138" s="34">
        <f t="shared" si="5"/>
        <v>0.68</v>
      </c>
    </row>
    <row r="139" spans="1:10" x14ac:dyDescent="0.35">
      <c r="A139" s="29" t="s">
        <v>74</v>
      </c>
      <c r="B139" s="18">
        <v>136</v>
      </c>
      <c r="C139" s="17" t="s">
        <v>200</v>
      </c>
      <c r="D139" s="17" t="s">
        <v>60</v>
      </c>
      <c r="E139" s="19" t="s">
        <v>8</v>
      </c>
      <c r="F139" s="19">
        <v>5.77</v>
      </c>
      <c r="G139" s="19">
        <v>6.66</v>
      </c>
      <c r="H139" s="20">
        <f t="shared" si="4"/>
        <v>6.2149999999999999</v>
      </c>
      <c r="I139" s="21">
        <v>8.5357142857142865</v>
      </c>
      <c r="J139" s="33">
        <f t="shared" si="5"/>
        <v>7.3753571428571432</v>
      </c>
    </row>
    <row r="140" spans="1:10" x14ac:dyDescent="0.35">
      <c r="A140" s="29" t="s">
        <v>74</v>
      </c>
      <c r="B140" s="18">
        <v>137</v>
      </c>
      <c r="C140" s="17" t="s">
        <v>201</v>
      </c>
      <c r="D140" s="17" t="s">
        <v>60</v>
      </c>
      <c r="E140" s="19" t="s">
        <v>8</v>
      </c>
      <c r="F140" s="19">
        <v>5.41</v>
      </c>
      <c r="G140" s="19">
        <v>6.72</v>
      </c>
      <c r="H140" s="20">
        <f t="shared" si="4"/>
        <v>6.0649999999999995</v>
      </c>
      <c r="I140" s="21">
        <v>8.3214285714285712</v>
      </c>
      <c r="J140" s="33">
        <f t="shared" si="5"/>
        <v>7.1932142857142853</v>
      </c>
    </row>
    <row r="141" spans="1:10" x14ac:dyDescent="0.35">
      <c r="A141" s="29" t="s">
        <v>74</v>
      </c>
      <c r="B141" s="18">
        <v>138</v>
      </c>
      <c r="C141" s="17" t="s">
        <v>78</v>
      </c>
      <c r="D141" s="17" t="s">
        <v>60</v>
      </c>
      <c r="E141" s="19" t="s">
        <v>8</v>
      </c>
      <c r="F141" s="19">
        <v>8.58</v>
      </c>
      <c r="G141" s="19">
        <v>8.8699999999999992</v>
      </c>
      <c r="H141" s="20">
        <f t="shared" si="4"/>
        <v>8.7249999999999996</v>
      </c>
      <c r="I141" s="21">
        <v>6.8035714285714288</v>
      </c>
      <c r="J141" s="33">
        <f t="shared" si="5"/>
        <v>7.7642857142857142</v>
      </c>
    </row>
    <row r="142" spans="1:10" x14ac:dyDescent="0.35">
      <c r="A142" s="29" t="s">
        <v>74</v>
      </c>
      <c r="B142" s="18">
        <v>139</v>
      </c>
      <c r="C142" s="17" t="s">
        <v>198</v>
      </c>
      <c r="D142" s="17" t="s">
        <v>60</v>
      </c>
      <c r="E142" s="19" t="s">
        <v>8</v>
      </c>
      <c r="F142" s="19">
        <v>0</v>
      </c>
      <c r="G142" s="19">
        <v>4</v>
      </c>
      <c r="H142" s="20">
        <f t="shared" si="4"/>
        <v>2</v>
      </c>
      <c r="I142" s="21">
        <v>6</v>
      </c>
      <c r="J142" s="33">
        <f t="shared" si="5"/>
        <v>4</v>
      </c>
    </row>
    <row r="143" spans="1:10" x14ac:dyDescent="0.35">
      <c r="A143" s="29" t="s">
        <v>74</v>
      </c>
      <c r="B143" s="18">
        <v>140</v>
      </c>
      <c r="C143" s="17" t="s">
        <v>80</v>
      </c>
      <c r="D143" s="17" t="s">
        <v>60</v>
      </c>
      <c r="E143" s="19" t="s">
        <v>8</v>
      </c>
      <c r="F143" s="19">
        <v>0</v>
      </c>
      <c r="G143" s="19">
        <v>8.17</v>
      </c>
      <c r="H143" s="20">
        <f t="shared" si="4"/>
        <v>4.085</v>
      </c>
      <c r="I143" s="21">
        <v>5.4821428571428568</v>
      </c>
      <c r="J143" s="33">
        <f t="shared" si="5"/>
        <v>4.7835714285714284</v>
      </c>
    </row>
    <row r="144" spans="1:10" x14ac:dyDescent="0.35">
      <c r="A144" s="29" t="s">
        <v>74</v>
      </c>
      <c r="B144" s="18">
        <v>141</v>
      </c>
      <c r="C144" s="17" t="s">
        <v>81</v>
      </c>
      <c r="D144" s="17" t="s">
        <v>60</v>
      </c>
      <c r="E144" s="19" t="s">
        <v>8</v>
      </c>
      <c r="F144" s="19">
        <v>6.61</v>
      </c>
      <c r="G144" s="19">
        <v>6.08</v>
      </c>
      <c r="H144" s="20">
        <f t="shared" si="4"/>
        <v>6.3450000000000006</v>
      </c>
      <c r="I144" s="21">
        <v>4.5778571428571402</v>
      </c>
      <c r="J144" s="33">
        <f t="shared" si="5"/>
        <v>5.46142857142857</v>
      </c>
    </row>
    <row r="145" spans="1:10" x14ac:dyDescent="0.35">
      <c r="A145" s="29" t="s">
        <v>74</v>
      </c>
      <c r="B145" s="18">
        <v>142</v>
      </c>
      <c r="C145" s="17" t="s">
        <v>188</v>
      </c>
      <c r="D145" s="17" t="s">
        <v>60</v>
      </c>
      <c r="E145" s="19" t="s">
        <v>8</v>
      </c>
      <c r="F145" s="19">
        <v>5</v>
      </c>
      <c r="G145" s="19">
        <v>5.0199999999999996</v>
      </c>
      <c r="H145" s="20">
        <f t="shared" si="4"/>
        <v>5.01</v>
      </c>
      <c r="I145" s="21">
        <v>4.53</v>
      </c>
      <c r="J145" s="33">
        <f t="shared" si="5"/>
        <v>4.7699999999999996</v>
      </c>
    </row>
    <row r="146" spans="1:10" x14ac:dyDescent="0.35">
      <c r="A146" s="29" t="s">
        <v>74</v>
      </c>
      <c r="B146" s="18">
        <v>143</v>
      </c>
      <c r="C146" s="17" t="s">
        <v>76</v>
      </c>
      <c r="D146" s="17" t="s">
        <v>60</v>
      </c>
      <c r="E146" s="19" t="s">
        <v>8</v>
      </c>
      <c r="F146" s="19">
        <v>8.41</v>
      </c>
      <c r="G146" s="19">
        <v>8.4700000000000006</v>
      </c>
      <c r="H146" s="20">
        <f t="shared" si="4"/>
        <v>8.4400000000000013</v>
      </c>
      <c r="I146" s="21">
        <v>4.5342857142857103</v>
      </c>
      <c r="J146" s="33">
        <f t="shared" si="5"/>
        <v>6.4871428571428558</v>
      </c>
    </row>
    <row r="147" spans="1:10" x14ac:dyDescent="0.35">
      <c r="A147" s="29" t="s">
        <v>74</v>
      </c>
      <c r="B147" s="18">
        <v>144</v>
      </c>
      <c r="C147" s="17" t="s">
        <v>205</v>
      </c>
      <c r="D147" s="17" t="s">
        <v>60</v>
      </c>
      <c r="E147" s="19" t="s">
        <v>8</v>
      </c>
      <c r="F147" s="19">
        <v>6.27</v>
      </c>
      <c r="G147" s="19">
        <v>6.05</v>
      </c>
      <c r="H147" s="20">
        <f t="shared" si="4"/>
        <v>6.16</v>
      </c>
      <c r="I147" s="21">
        <v>4.5214285714285696</v>
      </c>
      <c r="J147" s="33">
        <f t="shared" si="5"/>
        <v>5.3407142857142844</v>
      </c>
    </row>
    <row r="148" spans="1:10" x14ac:dyDescent="0.35">
      <c r="A148" s="29" t="s">
        <v>74</v>
      </c>
      <c r="B148" s="18">
        <v>145</v>
      </c>
      <c r="C148" s="17" t="s">
        <v>194</v>
      </c>
      <c r="D148" s="17" t="s">
        <v>60</v>
      </c>
      <c r="E148" s="19" t="s">
        <v>8</v>
      </c>
      <c r="F148" s="19">
        <v>5.38</v>
      </c>
      <c r="G148" s="19">
        <v>5.13</v>
      </c>
      <c r="H148" s="20">
        <f t="shared" si="4"/>
        <v>5.2549999999999999</v>
      </c>
      <c r="I148" s="21">
        <v>4.5</v>
      </c>
      <c r="J148" s="33">
        <f t="shared" si="5"/>
        <v>4.8774999999999995</v>
      </c>
    </row>
    <row r="149" spans="1:10" x14ac:dyDescent="0.35">
      <c r="A149" s="30" t="s">
        <v>74</v>
      </c>
      <c r="B149" s="46">
        <v>146</v>
      </c>
      <c r="C149" s="1" t="s">
        <v>77</v>
      </c>
      <c r="D149" s="1" t="s">
        <v>60</v>
      </c>
      <c r="E149" s="2" t="s">
        <v>8</v>
      </c>
      <c r="F149" s="2">
        <v>8.5</v>
      </c>
      <c r="G149" s="2">
        <v>8.5500000000000007</v>
      </c>
      <c r="H149" s="12">
        <f t="shared" si="4"/>
        <v>8.5250000000000004</v>
      </c>
      <c r="I149" s="13">
        <v>2.1964285714285716</v>
      </c>
      <c r="J149" s="34">
        <f t="shared" si="5"/>
        <v>5.3607142857142858</v>
      </c>
    </row>
    <row r="150" spans="1:10" x14ac:dyDescent="0.35">
      <c r="A150" s="30" t="s">
        <v>74</v>
      </c>
      <c r="B150" s="46">
        <v>147</v>
      </c>
      <c r="C150" s="1" t="s">
        <v>203</v>
      </c>
      <c r="D150" s="1" t="s">
        <v>60</v>
      </c>
      <c r="E150" s="2" t="s">
        <v>8</v>
      </c>
      <c r="F150" s="2">
        <v>5</v>
      </c>
      <c r="G150" s="2">
        <v>4.0199999999999996</v>
      </c>
      <c r="H150" s="12">
        <f t="shared" si="4"/>
        <v>4.51</v>
      </c>
      <c r="I150" s="13">
        <v>2.1428571428571428</v>
      </c>
      <c r="J150" s="34">
        <f t="shared" si="5"/>
        <v>3.3264285714285711</v>
      </c>
    </row>
    <row r="151" spans="1:10" x14ac:dyDescent="0.35">
      <c r="A151" s="30" t="s">
        <v>74</v>
      </c>
      <c r="B151" s="46">
        <v>148</v>
      </c>
      <c r="C151" s="1" t="s">
        <v>202</v>
      </c>
      <c r="D151" s="1" t="s">
        <v>60</v>
      </c>
      <c r="E151" s="2" t="s">
        <v>8</v>
      </c>
      <c r="F151" s="2">
        <v>5</v>
      </c>
      <c r="G151" s="2">
        <v>5.75</v>
      </c>
      <c r="H151" s="12">
        <f t="shared" si="4"/>
        <v>5.375</v>
      </c>
      <c r="I151" s="13">
        <v>2.0714285714285716</v>
      </c>
      <c r="J151" s="34">
        <f t="shared" si="5"/>
        <v>3.7232142857142856</v>
      </c>
    </row>
    <row r="152" spans="1:10" x14ac:dyDescent="0.35">
      <c r="A152" s="30" t="s">
        <v>74</v>
      </c>
      <c r="B152" s="46">
        <v>149</v>
      </c>
      <c r="C152" s="1" t="s">
        <v>79</v>
      </c>
      <c r="D152" s="1" t="s">
        <v>60</v>
      </c>
      <c r="E152" s="2" t="s">
        <v>8</v>
      </c>
      <c r="F152" s="2">
        <v>8.3000000000000007</v>
      </c>
      <c r="G152" s="2">
        <v>8.0500000000000007</v>
      </c>
      <c r="H152" s="12">
        <f t="shared" si="4"/>
        <v>8.1750000000000007</v>
      </c>
      <c r="I152" s="13">
        <v>1.9107142857142858</v>
      </c>
      <c r="J152" s="34">
        <f t="shared" si="5"/>
        <v>5.0428571428571436</v>
      </c>
    </row>
    <row r="153" spans="1:10" x14ac:dyDescent="0.35">
      <c r="A153" s="30" t="s">
        <v>74</v>
      </c>
      <c r="B153" s="46">
        <v>150</v>
      </c>
      <c r="C153" s="1" t="s">
        <v>185</v>
      </c>
      <c r="D153" s="1" t="s">
        <v>60</v>
      </c>
      <c r="E153" s="2" t="s">
        <v>8</v>
      </c>
      <c r="F153" s="2">
        <v>5.0199999999999996</v>
      </c>
      <c r="G153" s="2">
        <v>6.44</v>
      </c>
      <c r="H153" s="12">
        <f t="shared" si="4"/>
        <v>5.73</v>
      </c>
      <c r="I153" s="13">
        <v>1.8928571428571428</v>
      </c>
      <c r="J153" s="34">
        <f t="shared" si="5"/>
        <v>3.8114285714285714</v>
      </c>
    </row>
    <row r="154" spans="1:10" x14ac:dyDescent="0.35">
      <c r="A154" s="30" t="s">
        <v>74</v>
      </c>
      <c r="B154" s="46">
        <v>151</v>
      </c>
      <c r="C154" s="1" t="s">
        <v>191</v>
      </c>
      <c r="D154" s="1" t="s">
        <v>60</v>
      </c>
      <c r="E154" s="2" t="s">
        <v>8</v>
      </c>
      <c r="F154" s="2">
        <v>3.91</v>
      </c>
      <c r="G154" s="2">
        <v>5.87</v>
      </c>
      <c r="H154" s="12">
        <f t="shared" si="4"/>
        <v>4.8900000000000006</v>
      </c>
      <c r="I154" s="13">
        <v>1.8571428571428572</v>
      </c>
      <c r="J154" s="34">
        <f t="shared" si="5"/>
        <v>3.3735714285714291</v>
      </c>
    </row>
    <row r="155" spans="1:10" x14ac:dyDescent="0.35">
      <c r="A155" s="30" t="s">
        <v>74</v>
      </c>
      <c r="B155" s="46">
        <v>152</v>
      </c>
      <c r="C155" s="1" t="s">
        <v>155</v>
      </c>
      <c r="D155" s="1" t="s">
        <v>60</v>
      </c>
      <c r="E155" s="2" t="s">
        <v>8</v>
      </c>
      <c r="F155" s="2">
        <v>7.52</v>
      </c>
      <c r="G155" s="2">
        <v>5.63</v>
      </c>
      <c r="H155" s="12">
        <f t="shared" si="4"/>
        <v>6.5749999999999993</v>
      </c>
      <c r="I155" s="13">
        <v>1.8214285714285714</v>
      </c>
      <c r="J155" s="34">
        <f t="shared" si="5"/>
        <v>4.1982142857142852</v>
      </c>
    </row>
    <row r="156" spans="1:10" x14ac:dyDescent="0.35">
      <c r="A156" s="30" t="s">
        <v>74</v>
      </c>
      <c r="B156" s="46">
        <v>153</v>
      </c>
      <c r="C156" s="1" t="s">
        <v>196</v>
      </c>
      <c r="D156" s="1" t="s">
        <v>60</v>
      </c>
      <c r="E156" s="2" t="s">
        <v>8</v>
      </c>
      <c r="F156" s="2">
        <v>5.5</v>
      </c>
      <c r="G156" s="2">
        <v>6.08</v>
      </c>
      <c r="H156" s="12">
        <f t="shared" si="4"/>
        <v>5.79</v>
      </c>
      <c r="I156" s="13">
        <v>1.8035714285714286</v>
      </c>
      <c r="J156" s="34">
        <f t="shared" si="5"/>
        <v>3.7967857142857144</v>
      </c>
    </row>
    <row r="157" spans="1:10" x14ac:dyDescent="0.35">
      <c r="A157" s="30" t="s">
        <v>74</v>
      </c>
      <c r="B157" s="46">
        <v>154</v>
      </c>
      <c r="C157" s="1" t="s">
        <v>189</v>
      </c>
      <c r="D157" s="1" t="s">
        <v>60</v>
      </c>
      <c r="E157" s="2" t="s">
        <v>8</v>
      </c>
      <c r="F157" s="2">
        <v>5.36</v>
      </c>
      <c r="G157" s="2">
        <v>5.44</v>
      </c>
      <c r="H157" s="12">
        <f t="shared" si="4"/>
        <v>5.4</v>
      </c>
      <c r="I157" s="13">
        <v>1.75</v>
      </c>
      <c r="J157" s="34">
        <f t="shared" si="5"/>
        <v>3.5750000000000002</v>
      </c>
    </row>
    <row r="158" spans="1:10" x14ac:dyDescent="0.35">
      <c r="A158" s="30" t="s">
        <v>74</v>
      </c>
      <c r="B158" s="46">
        <v>155</v>
      </c>
      <c r="C158" s="1" t="s">
        <v>195</v>
      </c>
      <c r="D158" s="1" t="s">
        <v>60</v>
      </c>
      <c r="E158" s="2" t="s">
        <v>8</v>
      </c>
      <c r="F158" s="2">
        <v>5.25</v>
      </c>
      <c r="G158" s="2">
        <v>5.61</v>
      </c>
      <c r="H158" s="12">
        <f t="shared" si="4"/>
        <v>5.43</v>
      </c>
      <c r="I158" s="13">
        <v>1.6428571428571428</v>
      </c>
      <c r="J158" s="34">
        <f t="shared" si="5"/>
        <v>3.536428571428571</v>
      </c>
    </row>
    <row r="159" spans="1:10" x14ac:dyDescent="0.35">
      <c r="A159" s="30" t="s">
        <v>74</v>
      </c>
      <c r="B159" s="46">
        <v>156</v>
      </c>
      <c r="C159" s="1" t="s">
        <v>75</v>
      </c>
      <c r="D159" s="1" t="s">
        <v>60</v>
      </c>
      <c r="E159" s="2" t="s">
        <v>8</v>
      </c>
      <c r="F159" s="2">
        <v>8.8800000000000008</v>
      </c>
      <c r="G159" s="2">
        <v>8.94</v>
      </c>
      <c r="H159" s="12">
        <f t="shared" si="4"/>
        <v>8.91</v>
      </c>
      <c r="I159" s="13">
        <v>1.6428571428571428</v>
      </c>
      <c r="J159" s="34">
        <f t="shared" si="5"/>
        <v>5.2764285714285712</v>
      </c>
    </row>
    <row r="160" spans="1:10" x14ac:dyDescent="0.35">
      <c r="A160" s="30" t="s">
        <v>74</v>
      </c>
      <c r="B160" s="46">
        <v>157</v>
      </c>
      <c r="C160" s="1" t="s">
        <v>190</v>
      </c>
      <c r="D160" s="1" t="s">
        <v>60</v>
      </c>
      <c r="E160" s="2" t="s">
        <v>8</v>
      </c>
      <c r="F160" s="2">
        <v>6.41</v>
      </c>
      <c r="G160" s="2">
        <v>5</v>
      </c>
      <c r="H160" s="12">
        <f t="shared" si="4"/>
        <v>5.7050000000000001</v>
      </c>
      <c r="I160" s="13">
        <v>1.5714285714285714</v>
      </c>
      <c r="J160" s="34">
        <f t="shared" si="5"/>
        <v>3.6382142857142856</v>
      </c>
    </row>
    <row r="161" spans="1:10" x14ac:dyDescent="0.35">
      <c r="A161" s="30" t="s">
        <v>74</v>
      </c>
      <c r="B161" s="46">
        <v>158</v>
      </c>
      <c r="C161" s="1" t="s">
        <v>192</v>
      </c>
      <c r="D161" s="1" t="s">
        <v>60</v>
      </c>
      <c r="E161" s="2" t="s">
        <v>8</v>
      </c>
      <c r="F161" s="2">
        <v>6.33</v>
      </c>
      <c r="G161" s="2">
        <v>5.0199999999999996</v>
      </c>
      <c r="H161" s="12">
        <f t="shared" si="4"/>
        <v>5.6749999999999998</v>
      </c>
      <c r="I161" s="13">
        <v>1.5714285714285714</v>
      </c>
      <c r="J161" s="34">
        <f t="shared" si="5"/>
        <v>3.6232142857142855</v>
      </c>
    </row>
    <row r="162" spans="1:10" x14ac:dyDescent="0.35">
      <c r="A162" s="30" t="s">
        <v>74</v>
      </c>
      <c r="B162" s="46">
        <v>159</v>
      </c>
      <c r="C162" s="1" t="s">
        <v>186</v>
      </c>
      <c r="D162" s="1" t="s">
        <v>60</v>
      </c>
      <c r="E162" s="2" t="s">
        <v>8</v>
      </c>
      <c r="F162" s="2">
        <v>2.91</v>
      </c>
      <c r="G162" s="2">
        <v>3.27</v>
      </c>
      <c r="H162" s="12">
        <f t="shared" si="4"/>
        <v>3.09</v>
      </c>
      <c r="I162" s="13">
        <v>1.4285714285714286</v>
      </c>
      <c r="J162" s="34">
        <f t="shared" si="5"/>
        <v>2.2592857142857143</v>
      </c>
    </row>
    <row r="163" spans="1:10" x14ac:dyDescent="0.35">
      <c r="A163" s="30" t="s">
        <v>74</v>
      </c>
      <c r="B163" s="46">
        <v>160</v>
      </c>
      <c r="C163" s="1" t="s">
        <v>204</v>
      </c>
      <c r="D163" s="1" t="s">
        <v>60</v>
      </c>
      <c r="E163" s="2" t="s">
        <v>8</v>
      </c>
      <c r="F163" s="2">
        <v>5.0199999999999996</v>
      </c>
      <c r="G163" s="2">
        <v>4.5599999999999996</v>
      </c>
      <c r="H163" s="12">
        <f t="shared" si="4"/>
        <v>4.7899999999999991</v>
      </c>
      <c r="I163" s="13">
        <v>0</v>
      </c>
      <c r="J163" s="34">
        <f t="shared" si="5"/>
        <v>2.3949999999999996</v>
      </c>
    </row>
    <row r="164" spans="1:10" x14ac:dyDescent="0.35">
      <c r="A164" s="30" t="s">
        <v>74</v>
      </c>
      <c r="B164" s="46">
        <v>161</v>
      </c>
      <c r="C164" s="1" t="s">
        <v>199</v>
      </c>
      <c r="D164" s="1" t="s">
        <v>60</v>
      </c>
      <c r="E164" s="2" t="s">
        <v>8</v>
      </c>
      <c r="F164" s="2">
        <v>3.8</v>
      </c>
      <c r="G164" s="2">
        <v>5.77</v>
      </c>
      <c r="H164" s="12">
        <f t="shared" si="4"/>
        <v>4.7850000000000001</v>
      </c>
      <c r="I164" s="13">
        <v>0</v>
      </c>
      <c r="J164" s="34">
        <f t="shared" si="5"/>
        <v>2.3925000000000001</v>
      </c>
    </row>
    <row r="165" spans="1:10" x14ac:dyDescent="0.35">
      <c r="A165" s="30" t="s">
        <v>74</v>
      </c>
      <c r="B165" s="46">
        <v>162</v>
      </c>
      <c r="C165" s="1" t="s">
        <v>193</v>
      </c>
      <c r="D165" s="1" t="s">
        <v>60</v>
      </c>
      <c r="E165" s="2" t="s">
        <v>8</v>
      </c>
      <c r="F165" s="2">
        <v>3.25</v>
      </c>
      <c r="G165" s="2">
        <v>5.5</v>
      </c>
      <c r="H165" s="12">
        <f t="shared" si="4"/>
        <v>4.375</v>
      </c>
      <c r="I165" s="13">
        <v>0</v>
      </c>
      <c r="J165" s="34">
        <f t="shared" si="5"/>
        <v>2.1875</v>
      </c>
    </row>
    <row r="166" spans="1:10" x14ac:dyDescent="0.35">
      <c r="A166" s="30" t="s">
        <v>74</v>
      </c>
      <c r="B166" s="46">
        <v>163</v>
      </c>
      <c r="C166" s="1" t="s">
        <v>187</v>
      </c>
      <c r="D166" s="1" t="s">
        <v>60</v>
      </c>
      <c r="E166" s="2" t="s">
        <v>8</v>
      </c>
      <c r="F166" s="2">
        <v>5</v>
      </c>
      <c r="G166" s="2">
        <v>3.27</v>
      </c>
      <c r="H166" s="12">
        <f t="shared" si="4"/>
        <v>4.1349999999999998</v>
      </c>
      <c r="I166" s="13">
        <v>0</v>
      </c>
      <c r="J166" s="34">
        <f t="shared" si="5"/>
        <v>2.0674999999999999</v>
      </c>
    </row>
    <row r="167" spans="1:10" x14ac:dyDescent="0.35">
      <c r="A167" s="29" t="s">
        <v>82</v>
      </c>
      <c r="B167" s="18">
        <v>164</v>
      </c>
      <c r="C167" s="17" t="s">
        <v>83</v>
      </c>
      <c r="D167" s="17" t="s">
        <v>60</v>
      </c>
      <c r="E167" s="19" t="s">
        <v>8</v>
      </c>
      <c r="F167" s="19">
        <v>8.94</v>
      </c>
      <c r="G167" s="19">
        <v>9.0500000000000007</v>
      </c>
      <c r="H167" s="20">
        <f t="shared" si="4"/>
        <v>8.995000000000001</v>
      </c>
      <c r="I167" s="21">
        <v>7.2142857142857144</v>
      </c>
      <c r="J167" s="33">
        <f t="shared" si="5"/>
        <v>8.1046428571428581</v>
      </c>
    </row>
    <row r="168" spans="1:10" x14ac:dyDescent="0.35">
      <c r="A168" s="29" t="s">
        <v>82</v>
      </c>
      <c r="B168" s="18">
        <v>165</v>
      </c>
      <c r="C168" s="17" t="s">
        <v>84</v>
      </c>
      <c r="D168" s="17" t="s">
        <v>60</v>
      </c>
      <c r="E168" s="19" t="s">
        <v>8</v>
      </c>
      <c r="F168" s="19">
        <v>8.6300000000000008</v>
      </c>
      <c r="G168" s="19">
        <v>7.94</v>
      </c>
      <c r="H168" s="20">
        <f t="shared" si="4"/>
        <v>8.2850000000000001</v>
      </c>
      <c r="I168" s="21">
        <v>5.5892857142857144</v>
      </c>
      <c r="J168" s="33">
        <f t="shared" si="5"/>
        <v>6.9371428571428577</v>
      </c>
    </row>
    <row r="169" spans="1:10" x14ac:dyDescent="0.35">
      <c r="A169" s="29" t="s">
        <v>82</v>
      </c>
      <c r="B169" s="18">
        <v>166</v>
      </c>
      <c r="C169" s="17" t="s">
        <v>210</v>
      </c>
      <c r="D169" s="17" t="s">
        <v>60</v>
      </c>
      <c r="E169" s="19" t="s">
        <v>8</v>
      </c>
      <c r="F169" s="19">
        <v>6.33</v>
      </c>
      <c r="G169" s="19">
        <v>5.13</v>
      </c>
      <c r="H169" s="20">
        <f t="shared" si="4"/>
        <v>5.73</v>
      </c>
      <c r="I169" s="21">
        <v>4.5478571428571399</v>
      </c>
      <c r="J169" s="33">
        <f t="shared" si="5"/>
        <v>5.1389285714285702</v>
      </c>
    </row>
    <row r="170" spans="1:10" x14ac:dyDescent="0.35">
      <c r="A170" s="29" t="s">
        <v>82</v>
      </c>
      <c r="B170" s="18">
        <v>167</v>
      </c>
      <c r="C170" s="17" t="s">
        <v>213</v>
      </c>
      <c r="D170" s="17" t="s">
        <v>60</v>
      </c>
      <c r="E170" s="19" t="s">
        <v>8</v>
      </c>
      <c r="F170" s="19">
        <v>6.27</v>
      </c>
      <c r="G170" s="19">
        <v>5</v>
      </c>
      <c r="H170" s="20">
        <f t="shared" si="4"/>
        <v>5.6349999999999998</v>
      </c>
      <c r="I170" s="21">
        <v>4.5235714285714304</v>
      </c>
      <c r="J170" s="33">
        <f t="shared" si="5"/>
        <v>5.0792857142857155</v>
      </c>
    </row>
    <row r="171" spans="1:10" x14ac:dyDescent="0.35">
      <c r="A171" s="29" t="s">
        <v>82</v>
      </c>
      <c r="B171" s="18">
        <v>168</v>
      </c>
      <c r="C171" s="17" t="s">
        <v>214</v>
      </c>
      <c r="D171" s="17" t="s">
        <v>60</v>
      </c>
      <c r="E171" s="19" t="s">
        <v>8</v>
      </c>
      <c r="F171" s="19">
        <v>8.19</v>
      </c>
      <c r="G171" s="19">
        <v>5.52</v>
      </c>
      <c r="H171" s="20">
        <f t="shared" si="4"/>
        <v>6.8549999999999995</v>
      </c>
      <c r="I171" s="21">
        <v>4.5085714285714298</v>
      </c>
      <c r="J171" s="33">
        <f t="shared" si="5"/>
        <v>5.6817857142857147</v>
      </c>
    </row>
    <row r="172" spans="1:10" x14ac:dyDescent="0.35">
      <c r="A172" s="30" t="s">
        <v>82</v>
      </c>
      <c r="B172" s="46">
        <v>169</v>
      </c>
      <c r="C172" s="1" t="s">
        <v>110</v>
      </c>
      <c r="D172" s="1" t="s">
        <v>60</v>
      </c>
      <c r="E172" s="2" t="s">
        <v>8</v>
      </c>
      <c r="F172" s="2">
        <v>5.61</v>
      </c>
      <c r="G172" s="2">
        <v>5.0199999999999996</v>
      </c>
      <c r="H172" s="12">
        <f t="shared" si="4"/>
        <v>5.3149999999999995</v>
      </c>
      <c r="I172" s="13">
        <v>3.1785714285714284</v>
      </c>
      <c r="J172" s="34">
        <f t="shared" si="5"/>
        <v>4.2467857142857142</v>
      </c>
    </row>
    <row r="173" spans="1:10" x14ac:dyDescent="0.35">
      <c r="A173" s="30" t="s">
        <v>82</v>
      </c>
      <c r="B173" s="46">
        <v>170</v>
      </c>
      <c r="C173" s="1" t="s">
        <v>96</v>
      </c>
      <c r="D173" s="1" t="s">
        <v>60</v>
      </c>
      <c r="E173" s="2" t="s">
        <v>8</v>
      </c>
      <c r="F173" s="2">
        <v>6.7</v>
      </c>
      <c r="G173" s="2">
        <v>4.2699999999999996</v>
      </c>
      <c r="H173" s="12">
        <f t="shared" si="4"/>
        <v>5.4849999999999994</v>
      </c>
      <c r="I173" s="13">
        <v>2.5714285714285716</v>
      </c>
      <c r="J173" s="34">
        <f t="shared" si="5"/>
        <v>4.0282142857142853</v>
      </c>
    </row>
    <row r="174" spans="1:10" x14ac:dyDescent="0.35">
      <c r="A174" s="30" t="s">
        <v>82</v>
      </c>
      <c r="B174" s="46">
        <v>171</v>
      </c>
      <c r="C174" s="1" t="s">
        <v>209</v>
      </c>
      <c r="D174" s="1" t="s">
        <v>60</v>
      </c>
      <c r="E174" s="2" t="s">
        <v>8</v>
      </c>
      <c r="F174" s="2">
        <v>5.72</v>
      </c>
      <c r="G174" s="2">
        <v>4.55</v>
      </c>
      <c r="H174" s="12">
        <f t="shared" si="4"/>
        <v>5.1349999999999998</v>
      </c>
      <c r="I174" s="13">
        <v>2.5</v>
      </c>
      <c r="J174" s="34">
        <f t="shared" si="5"/>
        <v>3.8174999999999999</v>
      </c>
    </row>
    <row r="175" spans="1:10" x14ac:dyDescent="0.35">
      <c r="A175" s="30" t="s">
        <v>82</v>
      </c>
      <c r="B175" s="46">
        <v>172</v>
      </c>
      <c r="C175" s="1" t="s">
        <v>97</v>
      </c>
      <c r="D175" s="1" t="s">
        <v>60</v>
      </c>
      <c r="E175" s="2" t="s">
        <v>8</v>
      </c>
      <c r="F175" s="2">
        <v>6.27</v>
      </c>
      <c r="G175" s="2">
        <v>5</v>
      </c>
      <c r="H175" s="12">
        <f t="shared" si="4"/>
        <v>5.6349999999999998</v>
      </c>
      <c r="I175" s="13">
        <v>2.3214285714285716</v>
      </c>
      <c r="J175" s="34">
        <f t="shared" si="5"/>
        <v>3.9782142857142855</v>
      </c>
    </row>
    <row r="176" spans="1:10" x14ac:dyDescent="0.35">
      <c r="A176" s="30" t="s">
        <v>82</v>
      </c>
      <c r="B176" s="46">
        <v>173</v>
      </c>
      <c r="C176" s="1" t="s">
        <v>64</v>
      </c>
      <c r="D176" s="1" t="s">
        <v>60</v>
      </c>
      <c r="E176" s="2" t="s">
        <v>8</v>
      </c>
      <c r="F176" s="2">
        <v>6.72</v>
      </c>
      <c r="G176" s="2">
        <v>0</v>
      </c>
      <c r="H176" s="12">
        <f t="shared" si="4"/>
        <v>3.36</v>
      </c>
      <c r="I176" s="13">
        <v>2.0357142857142856</v>
      </c>
      <c r="J176" s="34">
        <f t="shared" si="5"/>
        <v>2.697857142857143</v>
      </c>
    </row>
    <row r="177" spans="1:10" x14ac:dyDescent="0.35">
      <c r="A177" s="30" t="s">
        <v>82</v>
      </c>
      <c r="B177" s="46">
        <v>174</v>
      </c>
      <c r="C177" s="1" t="s">
        <v>206</v>
      </c>
      <c r="D177" s="1" t="s">
        <v>60</v>
      </c>
      <c r="E177" s="2" t="s">
        <v>8</v>
      </c>
      <c r="F177" s="2">
        <v>6.33</v>
      </c>
      <c r="G177" s="2">
        <v>5.08</v>
      </c>
      <c r="H177" s="12">
        <f t="shared" si="4"/>
        <v>5.7050000000000001</v>
      </c>
      <c r="I177" s="13">
        <v>2.0178571428571428</v>
      </c>
      <c r="J177" s="34">
        <f t="shared" si="5"/>
        <v>3.8614285714285712</v>
      </c>
    </row>
    <row r="178" spans="1:10" x14ac:dyDescent="0.35">
      <c r="A178" s="30" t="s">
        <v>82</v>
      </c>
      <c r="B178" s="46">
        <v>175</v>
      </c>
      <c r="C178" s="1" t="s">
        <v>208</v>
      </c>
      <c r="D178" s="1" t="s">
        <v>60</v>
      </c>
      <c r="E178" s="2" t="s">
        <v>8</v>
      </c>
      <c r="F178" s="2">
        <v>0</v>
      </c>
      <c r="G178" s="2">
        <v>3.16</v>
      </c>
      <c r="H178" s="12">
        <f t="shared" si="4"/>
        <v>1.58</v>
      </c>
      <c r="I178" s="13">
        <v>1.7678571428571428</v>
      </c>
      <c r="J178" s="34">
        <f t="shared" si="5"/>
        <v>1.6739285714285714</v>
      </c>
    </row>
    <row r="179" spans="1:10" x14ac:dyDescent="0.35">
      <c r="A179" s="30" t="s">
        <v>82</v>
      </c>
      <c r="B179" s="46">
        <v>176</v>
      </c>
      <c r="C179" s="1" t="s">
        <v>211</v>
      </c>
      <c r="D179" s="1" t="s">
        <v>60</v>
      </c>
      <c r="E179" s="2" t="s">
        <v>8</v>
      </c>
      <c r="F179" s="2">
        <v>4.6100000000000003</v>
      </c>
      <c r="G179" s="2">
        <v>1.97</v>
      </c>
      <c r="H179" s="12">
        <f t="shared" si="4"/>
        <v>3.29</v>
      </c>
      <c r="I179" s="13">
        <v>1.6785714285714286</v>
      </c>
      <c r="J179" s="34">
        <f t="shared" si="5"/>
        <v>2.4842857142857144</v>
      </c>
    </row>
    <row r="180" spans="1:10" x14ac:dyDescent="0.35">
      <c r="A180" s="30" t="s">
        <v>82</v>
      </c>
      <c r="B180" s="46">
        <v>177</v>
      </c>
      <c r="C180" s="1" t="s">
        <v>207</v>
      </c>
      <c r="D180" s="1" t="s">
        <v>60</v>
      </c>
      <c r="E180" s="2" t="s">
        <v>8</v>
      </c>
      <c r="F180" s="2">
        <v>5.83</v>
      </c>
      <c r="G180" s="2">
        <v>2</v>
      </c>
      <c r="H180" s="12">
        <f t="shared" si="4"/>
        <v>3.915</v>
      </c>
      <c r="I180" s="13">
        <v>1.3928571428571428</v>
      </c>
      <c r="J180" s="34">
        <f t="shared" si="5"/>
        <v>2.6539285714285716</v>
      </c>
    </row>
    <row r="181" spans="1:10" x14ac:dyDescent="0.35">
      <c r="A181" s="30" t="s">
        <v>82</v>
      </c>
      <c r="B181" s="46">
        <v>178</v>
      </c>
      <c r="C181" s="1" t="s">
        <v>212</v>
      </c>
      <c r="D181" s="1" t="s">
        <v>60</v>
      </c>
      <c r="E181" s="2" t="s">
        <v>8</v>
      </c>
      <c r="F181" s="2">
        <v>5.44</v>
      </c>
      <c r="G181" s="2">
        <v>5.22</v>
      </c>
      <c r="H181" s="12">
        <f t="shared" si="4"/>
        <v>5.33</v>
      </c>
      <c r="I181" s="13">
        <v>0.8928571428571429</v>
      </c>
      <c r="J181" s="34">
        <f t="shared" si="5"/>
        <v>3.1114285714285717</v>
      </c>
    </row>
    <row r="182" spans="1:10" x14ac:dyDescent="0.35">
      <c r="A182" s="29" t="s">
        <v>142</v>
      </c>
      <c r="B182" s="18">
        <v>179</v>
      </c>
      <c r="C182" s="17" t="s">
        <v>144</v>
      </c>
      <c r="D182" s="17" t="s">
        <v>143</v>
      </c>
      <c r="E182" s="19" t="s">
        <v>8</v>
      </c>
      <c r="F182" s="19">
        <v>9.58</v>
      </c>
      <c r="G182" s="19">
        <v>9.0500000000000007</v>
      </c>
      <c r="H182" s="20">
        <f t="shared" si="4"/>
        <v>9.3150000000000013</v>
      </c>
      <c r="I182" s="21">
        <v>8.8571428571428577</v>
      </c>
      <c r="J182" s="33">
        <f t="shared" si="5"/>
        <v>9.0860714285714295</v>
      </c>
    </row>
    <row r="183" spans="1:10" x14ac:dyDescent="0.35">
      <c r="A183" s="29" t="s">
        <v>142</v>
      </c>
      <c r="B183" s="18">
        <v>180</v>
      </c>
      <c r="C183" s="17" t="s">
        <v>145</v>
      </c>
      <c r="D183" s="17" t="s">
        <v>143</v>
      </c>
      <c r="E183" s="19" t="s">
        <v>8</v>
      </c>
      <c r="F183" s="19">
        <v>9.5500000000000007</v>
      </c>
      <c r="G183" s="19">
        <v>7.85</v>
      </c>
      <c r="H183" s="20">
        <f t="shared" si="4"/>
        <v>8.6999999999999993</v>
      </c>
      <c r="I183" s="21">
        <v>8.2678571428571423</v>
      </c>
      <c r="J183" s="33">
        <f t="shared" si="5"/>
        <v>8.4839285714285708</v>
      </c>
    </row>
    <row r="184" spans="1:10" x14ac:dyDescent="0.35">
      <c r="A184" s="29" t="s">
        <v>142</v>
      </c>
      <c r="B184" s="18">
        <v>181</v>
      </c>
      <c r="C184" s="17" t="s">
        <v>146</v>
      </c>
      <c r="D184" s="17" t="s">
        <v>147</v>
      </c>
      <c r="E184" s="19" t="s">
        <v>8</v>
      </c>
      <c r="F184" s="19">
        <v>8.8000000000000007</v>
      </c>
      <c r="G184" s="19">
        <v>8.35</v>
      </c>
      <c r="H184" s="20">
        <f t="shared" si="4"/>
        <v>8.5749999999999993</v>
      </c>
      <c r="I184" s="21">
        <v>8.1428571428571423</v>
      </c>
      <c r="J184" s="33">
        <f t="shared" si="5"/>
        <v>8.3589285714285708</v>
      </c>
    </row>
    <row r="185" spans="1:10" x14ac:dyDescent="0.35">
      <c r="A185" s="29" t="s">
        <v>142</v>
      </c>
      <c r="B185" s="18">
        <v>182</v>
      </c>
      <c r="C185" s="17" t="s">
        <v>148</v>
      </c>
      <c r="D185" s="17" t="s">
        <v>143</v>
      </c>
      <c r="E185" s="19" t="s">
        <v>8</v>
      </c>
      <c r="F185" s="19">
        <v>8.77</v>
      </c>
      <c r="G185" s="19">
        <v>7.52</v>
      </c>
      <c r="H185" s="20">
        <f t="shared" si="4"/>
        <v>8.1449999999999996</v>
      </c>
      <c r="I185" s="21">
        <v>7.8571428571428568</v>
      </c>
      <c r="J185" s="33">
        <f t="shared" si="5"/>
        <v>8.0010714285714286</v>
      </c>
    </row>
    <row r="186" spans="1:10" x14ac:dyDescent="0.35">
      <c r="A186" s="29" t="s">
        <v>142</v>
      </c>
      <c r="B186" s="18">
        <v>183</v>
      </c>
      <c r="C186" s="17" t="s">
        <v>149</v>
      </c>
      <c r="D186" s="17" t="s">
        <v>150</v>
      </c>
      <c r="E186" s="19" t="s">
        <v>8</v>
      </c>
      <c r="F186" s="19">
        <v>9</v>
      </c>
      <c r="G186" s="19">
        <v>8.7899999999999991</v>
      </c>
      <c r="H186" s="20">
        <f t="shared" si="4"/>
        <v>8.8949999999999996</v>
      </c>
      <c r="I186" s="21">
        <v>7.6785714285714288</v>
      </c>
      <c r="J186" s="33">
        <f t="shared" si="5"/>
        <v>8.2867857142857133</v>
      </c>
    </row>
    <row r="187" spans="1:10" x14ac:dyDescent="0.35">
      <c r="A187" s="29" t="s">
        <v>142</v>
      </c>
      <c r="B187" s="18">
        <v>184</v>
      </c>
      <c r="C187" s="17" t="s">
        <v>151</v>
      </c>
      <c r="D187" s="17" t="s">
        <v>152</v>
      </c>
      <c r="E187" s="19" t="s">
        <v>8</v>
      </c>
      <c r="F187" s="19">
        <v>9.27</v>
      </c>
      <c r="G187" s="19">
        <v>7.35</v>
      </c>
      <c r="H187" s="20">
        <f t="shared" si="4"/>
        <v>8.3099999999999987</v>
      </c>
      <c r="I187" s="21">
        <v>6.5</v>
      </c>
      <c r="J187" s="33">
        <f t="shared" si="5"/>
        <v>7.4049999999999994</v>
      </c>
    </row>
    <row r="188" spans="1:10" x14ac:dyDescent="0.35">
      <c r="A188" s="29" t="s">
        <v>142</v>
      </c>
      <c r="B188" s="18">
        <v>185</v>
      </c>
      <c r="C188" s="17" t="s">
        <v>153</v>
      </c>
      <c r="D188" s="17" t="s">
        <v>150</v>
      </c>
      <c r="E188" s="19" t="s">
        <v>8</v>
      </c>
      <c r="F188" s="19">
        <v>8.33</v>
      </c>
      <c r="G188" s="19">
        <v>7</v>
      </c>
      <c r="H188" s="20">
        <f t="shared" si="4"/>
        <v>7.665</v>
      </c>
      <c r="I188" s="21">
        <v>6.4464285714285712</v>
      </c>
      <c r="J188" s="33">
        <f t="shared" si="5"/>
        <v>7.055714285714286</v>
      </c>
    </row>
    <row r="189" spans="1:10" x14ac:dyDescent="0.35">
      <c r="A189" s="29" t="s">
        <v>142</v>
      </c>
      <c r="B189" s="18">
        <v>186</v>
      </c>
      <c r="C189" s="17" t="s">
        <v>154</v>
      </c>
      <c r="D189" s="17" t="s">
        <v>150</v>
      </c>
      <c r="E189" s="19" t="s">
        <v>8</v>
      </c>
      <c r="F189" s="19">
        <v>7.8</v>
      </c>
      <c r="G189" s="19">
        <v>6.29</v>
      </c>
      <c r="H189" s="20">
        <f t="shared" si="4"/>
        <v>7.0449999999999999</v>
      </c>
      <c r="I189" s="21">
        <v>5.7857142857142856</v>
      </c>
      <c r="J189" s="33">
        <f t="shared" si="5"/>
        <v>6.4153571428571432</v>
      </c>
    </row>
    <row r="190" spans="1:10" x14ac:dyDescent="0.35">
      <c r="A190" s="29" t="s">
        <v>142</v>
      </c>
      <c r="B190" s="18">
        <v>187</v>
      </c>
      <c r="C190" s="17" t="s">
        <v>98</v>
      </c>
      <c r="D190" s="17" t="s">
        <v>143</v>
      </c>
      <c r="E190" s="19" t="s">
        <v>8</v>
      </c>
      <c r="F190" s="19">
        <v>6.3</v>
      </c>
      <c r="G190" s="19">
        <v>5.1100000000000003</v>
      </c>
      <c r="H190" s="20">
        <f t="shared" si="4"/>
        <v>5.7050000000000001</v>
      </c>
      <c r="I190" s="21">
        <v>4.9642857142857144</v>
      </c>
      <c r="J190" s="33">
        <f t="shared" si="5"/>
        <v>5.3346428571428568</v>
      </c>
    </row>
    <row r="191" spans="1:10" x14ac:dyDescent="0.35">
      <c r="A191" s="30" t="s">
        <v>142</v>
      </c>
      <c r="B191" s="46">
        <v>188</v>
      </c>
      <c r="C191" s="1" t="s">
        <v>325</v>
      </c>
      <c r="D191" s="1" t="s">
        <v>143</v>
      </c>
      <c r="E191" s="2" t="s">
        <v>8</v>
      </c>
      <c r="F191" s="2">
        <v>5.61</v>
      </c>
      <c r="G191" s="2">
        <v>4.4400000000000004</v>
      </c>
      <c r="H191" s="12">
        <f t="shared" si="4"/>
        <v>5.0250000000000004</v>
      </c>
      <c r="I191" s="13">
        <v>3.8928571428571428</v>
      </c>
      <c r="J191" s="34">
        <f t="shared" si="5"/>
        <v>4.4589285714285714</v>
      </c>
    </row>
    <row r="192" spans="1:10" x14ac:dyDescent="0.35">
      <c r="A192" s="30" t="s">
        <v>142</v>
      </c>
      <c r="B192" s="46">
        <v>189</v>
      </c>
      <c r="C192" s="1" t="s">
        <v>328</v>
      </c>
      <c r="D192" s="1" t="s">
        <v>143</v>
      </c>
      <c r="E192" s="2" t="s">
        <v>8</v>
      </c>
      <c r="F192" s="2">
        <v>5.25</v>
      </c>
      <c r="G192" s="2">
        <v>5.26</v>
      </c>
      <c r="H192" s="12">
        <f t="shared" si="4"/>
        <v>5.2549999999999999</v>
      </c>
      <c r="I192" s="13">
        <v>3.5892857142857144</v>
      </c>
      <c r="J192" s="34">
        <f t="shared" si="5"/>
        <v>4.4221428571428572</v>
      </c>
    </row>
    <row r="193" spans="1:10" x14ac:dyDescent="0.35">
      <c r="A193" s="30" t="s">
        <v>142</v>
      </c>
      <c r="B193" s="46">
        <v>190</v>
      </c>
      <c r="C193" s="1" t="s">
        <v>327</v>
      </c>
      <c r="D193" s="1" t="s">
        <v>143</v>
      </c>
      <c r="E193" s="2" t="s">
        <v>8</v>
      </c>
      <c r="F193" s="2">
        <v>5.16</v>
      </c>
      <c r="G193" s="2">
        <v>3.29</v>
      </c>
      <c r="H193" s="12">
        <f t="shared" si="4"/>
        <v>4.2249999999999996</v>
      </c>
      <c r="I193" s="13">
        <v>2.8214285714285716</v>
      </c>
      <c r="J193" s="34">
        <f t="shared" si="5"/>
        <v>3.5232142857142854</v>
      </c>
    </row>
    <row r="194" spans="1:10" x14ac:dyDescent="0.35">
      <c r="A194" s="30" t="s">
        <v>142</v>
      </c>
      <c r="B194" s="46">
        <v>191</v>
      </c>
      <c r="C194" s="1" t="s">
        <v>326</v>
      </c>
      <c r="D194" s="1" t="s">
        <v>150</v>
      </c>
      <c r="E194" s="2" t="s">
        <v>8</v>
      </c>
      <c r="F194" s="2">
        <v>6.47</v>
      </c>
      <c r="G194" s="2">
        <v>3.76</v>
      </c>
      <c r="H194" s="12">
        <f t="shared" si="4"/>
        <v>5.1150000000000002</v>
      </c>
      <c r="I194" s="13">
        <v>1.25</v>
      </c>
      <c r="J194" s="34">
        <f t="shared" si="5"/>
        <v>3.1825000000000001</v>
      </c>
    </row>
    <row r="195" spans="1:10" x14ac:dyDescent="0.35">
      <c r="A195" s="30" t="s">
        <v>142</v>
      </c>
      <c r="B195" s="46">
        <v>192</v>
      </c>
      <c r="C195" s="1" t="s">
        <v>324</v>
      </c>
      <c r="D195" s="1" t="s">
        <v>150</v>
      </c>
      <c r="E195" s="2" t="s">
        <v>8</v>
      </c>
      <c r="F195" s="2">
        <v>5.38</v>
      </c>
      <c r="G195" s="2">
        <v>3.88</v>
      </c>
      <c r="H195" s="12">
        <f t="shared" si="4"/>
        <v>4.63</v>
      </c>
      <c r="I195" s="13">
        <v>0</v>
      </c>
      <c r="J195" s="34">
        <f t="shared" si="5"/>
        <v>2.3149999999999999</v>
      </c>
    </row>
    <row r="196" spans="1:10" x14ac:dyDescent="0.35">
      <c r="A196" s="29" t="s">
        <v>85</v>
      </c>
      <c r="B196" s="18">
        <v>193</v>
      </c>
      <c r="C196" s="17" t="s">
        <v>87</v>
      </c>
      <c r="D196" s="17" t="s">
        <v>86</v>
      </c>
      <c r="E196" s="19" t="s">
        <v>8</v>
      </c>
      <c r="F196" s="19">
        <v>8.3800000000000008</v>
      </c>
      <c r="G196" s="19">
        <v>8.14</v>
      </c>
      <c r="H196" s="20">
        <f t="shared" ref="H196:H259" si="6">(F196+G196)/2</f>
        <v>8.2600000000000016</v>
      </c>
      <c r="I196" s="21">
        <v>6.1428571428571432</v>
      </c>
      <c r="J196" s="33">
        <f t="shared" ref="J196:J259" si="7">(H196+I196)/2</f>
        <v>7.201428571428572</v>
      </c>
    </row>
    <row r="197" spans="1:10" x14ac:dyDescent="0.35">
      <c r="A197" s="29" t="s">
        <v>85</v>
      </c>
      <c r="B197" s="18">
        <v>194</v>
      </c>
      <c r="C197" s="17" t="s">
        <v>88</v>
      </c>
      <c r="D197" s="17" t="s">
        <v>86</v>
      </c>
      <c r="E197" s="19" t="s">
        <v>8</v>
      </c>
      <c r="F197" s="19">
        <v>9.19</v>
      </c>
      <c r="G197" s="19">
        <v>7.52</v>
      </c>
      <c r="H197" s="20">
        <f t="shared" si="6"/>
        <v>8.3550000000000004</v>
      </c>
      <c r="I197" s="21">
        <v>5.6428571428571432</v>
      </c>
      <c r="J197" s="33">
        <f t="shared" si="7"/>
        <v>6.9989285714285714</v>
      </c>
    </row>
    <row r="198" spans="1:10" x14ac:dyDescent="0.35">
      <c r="A198" s="29" t="s">
        <v>85</v>
      </c>
      <c r="B198" s="18">
        <v>195</v>
      </c>
      <c r="C198" s="17" t="s">
        <v>89</v>
      </c>
      <c r="D198" s="17" t="s">
        <v>86</v>
      </c>
      <c r="E198" s="19" t="s">
        <v>8</v>
      </c>
      <c r="F198" s="19">
        <v>6.66</v>
      </c>
      <c r="G198" s="19">
        <v>6.58</v>
      </c>
      <c r="H198" s="20">
        <f t="shared" si="6"/>
        <v>6.62</v>
      </c>
      <c r="I198" s="21">
        <v>5.3571428571428568</v>
      </c>
      <c r="J198" s="33">
        <f t="shared" si="7"/>
        <v>5.9885714285714284</v>
      </c>
    </row>
    <row r="199" spans="1:10" x14ac:dyDescent="0.35">
      <c r="A199" s="29" t="s">
        <v>85</v>
      </c>
      <c r="B199" s="18">
        <v>196</v>
      </c>
      <c r="C199" s="17" t="s">
        <v>90</v>
      </c>
      <c r="D199" s="17" t="s">
        <v>86</v>
      </c>
      <c r="E199" s="19" t="s">
        <v>8</v>
      </c>
      <c r="F199" s="19">
        <v>7.44</v>
      </c>
      <c r="G199" s="19">
        <v>6.11</v>
      </c>
      <c r="H199" s="20">
        <f t="shared" si="6"/>
        <v>6.7750000000000004</v>
      </c>
      <c r="I199" s="21">
        <v>4.57</v>
      </c>
      <c r="J199" s="33">
        <f t="shared" si="7"/>
        <v>5.6725000000000003</v>
      </c>
    </row>
    <row r="200" spans="1:10" x14ac:dyDescent="0.35">
      <c r="A200" s="29" t="s">
        <v>85</v>
      </c>
      <c r="B200" s="18">
        <v>197</v>
      </c>
      <c r="C200" s="17" t="s">
        <v>221</v>
      </c>
      <c r="D200" s="17" t="s">
        <v>86</v>
      </c>
      <c r="E200" s="19" t="s">
        <v>8</v>
      </c>
      <c r="F200" s="19">
        <v>8.5500000000000007</v>
      </c>
      <c r="G200" s="19">
        <v>0</v>
      </c>
      <c r="H200" s="20">
        <f t="shared" si="6"/>
        <v>4.2750000000000004</v>
      </c>
      <c r="I200" s="21">
        <v>4.5614285714285696</v>
      </c>
      <c r="J200" s="33">
        <f t="shared" si="7"/>
        <v>4.418214285714285</v>
      </c>
    </row>
    <row r="201" spans="1:10" x14ac:dyDescent="0.35">
      <c r="A201" s="29" t="s">
        <v>85</v>
      </c>
      <c r="B201" s="18">
        <v>198</v>
      </c>
      <c r="C201" s="17" t="s">
        <v>229</v>
      </c>
      <c r="D201" s="17" t="s">
        <v>86</v>
      </c>
      <c r="E201" s="19" t="s">
        <v>8</v>
      </c>
      <c r="F201" s="19">
        <v>5.19</v>
      </c>
      <c r="G201" s="19">
        <v>4.96</v>
      </c>
      <c r="H201" s="20">
        <f t="shared" si="6"/>
        <v>5.0750000000000002</v>
      </c>
      <c r="I201" s="21">
        <v>4.5457142857142898</v>
      </c>
      <c r="J201" s="33">
        <f t="shared" si="7"/>
        <v>4.8103571428571446</v>
      </c>
    </row>
    <row r="202" spans="1:10" x14ac:dyDescent="0.35">
      <c r="A202" s="29" t="s">
        <v>85</v>
      </c>
      <c r="B202" s="18">
        <v>199</v>
      </c>
      <c r="C202" s="17" t="s">
        <v>223</v>
      </c>
      <c r="D202" s="17" t="s">
        <v>86</v>
      </c>
      <c r="E202" s="19" t="s">
        <v>8</v>
      </c>
      <c r="F202" s="19">
        <v>6.55</v>
      </c>
      <c r="G202" s="19">
        <v>5.69</v>
      </c>
      <c r="H202" s="20">
        <f t="shared" si="6"/>
        <v>6.12</v>
      </c>
      <c r="I202" s="21">
        <v>4.5047142857142903</v>
      </c>
      <c r="J202" s="33">
        <f t="shared" si="7"/>
        <v>5.3123571428571452</v>
      </c>
    </row>
    <row r="203" spans="1:10" x14ac:dyDescent="0.35">
      <c r="A203" s="29" t="s">
        <v>85</v>
      </c>
      <c r="B203" s="18">
        <v>200</v>
      </c>
      <c r="C203" s="17" t="s">
        <v>174</v>
      </c>
      <c r="D203" s="17" t="s">
        <v>86</v>
      </c>
      <c r="E203" s="19" t="s">
        <v>8</v>
      </c>
      <c r="F203" s="19">
        <v>6.5</v>
      </c>
      <c r="G203" s="19">
        <v>4.16</v>
      </c>
      <c r="H203" s="20">
        <f t="shared" si="6"/>
        <v>5.33</v>
      </c>
      <c r="I203" s="21">
        <v>4.49571428571429</v>
      </c>
      <c r="J203" s="33">
        <f t="shared" si="7"/>
        <v>4.9128571428571455</v>
      </c>
    </row>
    <row r="204" spans="1:10" x14ac:dyDescent="0.35">
      <c r="A204" s="30" t="s">
        <v>85</v>
      </c>
      <c r="B204" s="46">
        <v>201</v>
      </c>
      <c r="C204" s="1" t="s">
        <v>227</v>
      </c>
      <c r="D204" s="1" t="s">
        <v>86</v>
      </c>
      <c r="E204" s="2" t="s">
        <v>8</v>
      </c>
      <c r="F204" s="2">
        <v>5.69</v>
      </c>
      <c r="G204" s="2">
        <v>4.8499999999999996</v>
      </c>
      <c r="H204" s="12">
        <f t="shared" si="6"/>
        <v>5.27</v>
      </c>
      <c r="I204" s="13">
        <v>2.5357142857142856</v>
      </c>
      <c r="J204" s="34">
        <f t="shared" si="7"/>
        <v>3.9028571428571426</v>
      </c>
    </row>
    <row r="205" spans="1:10" x14ac:dyDescent="0.35">
      <c r="A205" s="30" t="s">
        <v>85</v>
      </c>
      <c r="B205" s="46">
        <v>202</v>
      </c>
      <c r="C205" s="1" t="s">
        <v>726</v>
      </c>
      <c r="D205" s="1" t="s">
        <v>86</v>
      </c>
      <c r="E205" s="2" t="s">
        <v>8</v>
      </c>
      <c r="F205" s="2">
        <v>6.88</v>
      </c>
      <c r="G205" s="2">
        <v>4.8600000000000003</v>
      </c>
      <c r="H205" s="12">
        <f t="shared" si="6"/>
        <v>5.87</v>
      </c>
      <c r="I205" s="13">
        <v>2.5</v>
      </c>
      <c r="J205" s="34">
        <f t="shared" si="7"/>
        <v>4.1850000000000005</v>
      </c>
    </row>
    <row r="206" spans="1:10" x14ac:dyDescent="0.35">
      <c r="A206" s="30" t="s">
        <v>85</v>
      </c>
      <c r="B206" s="46">
        <v>203</v>
      </c>
      <c r="C206" s="1" t="s">
        <v>217</v>
      </c>
      <c r="D206" s="1" t="s">
        <v>86</v>
      </c>
      <c r="E206" s="2" t="s">
        <v>8</v>
      </c>
      <c r="F206" s="2">
        <v>7.25</v>
      </c>
      <c r="G206" s="2">
        <v>5.44</v>
      </c>
      <c r="H206" s="12">
        <f t="shared" si="6"/>
        <v>6.3450000000000006</v>
      </c>
      <c r="I206" s="13">
        <v>1.9642857142857142</v>
      </c>
      <c r="J206" s="34">
        <f t="shared" si="7"/>
        <v>4.1546428571428571</v>
      </c>
    </row>
    <row r="207" spans="1:10" x14ac:dyDescent="0.35">
      <c r="A207" s="30" t="s">
        <v>85</v>
      </c>
      <c r="B207" s="46">
        <v>204</v>
      </c>
      <c r="C207" s="1" t="s">
        <v>230</v>
      </c>
      <c r="D207" s="1" t="s">
        <v>86</v>
      </c>
      <c r="E207" s="2" t="s">
        <v>8</v>
      </c>
      <c r="F207" s="2">
        <v>6.44</v>
      </c>
      <c r="G207" s="2">
        <v>3.25</v>
      </c>
      <c r="H207" s="12">
        <f t="shared" si="6"/>
        <v>4.8450000000000006</v>
      </c>
      <c r="I207" s="13">
        <v>1.6428571428571428</v>
      </c>
      <c r="J207" s="34">
        <f t="shared" si="7"/>
        <v>3.2439285714285715</v>
      </c>
    </row>
    <row r="208" spans="1:10" x14ac:dyDescent="0.35">
      <c r="A208" s="30" t="s">
        <v>85</v>
      </c>
      <c r="B208" s="46">
        <v>205</v>
      </c>
      <c r="C208" s="1" t="s">
        <v>723</v>
      </c>
      <c r="D208" s="1" t="s">
        <v>86</v>
      </c>
      <c r="E208" s="2" t="s">
        <v>8</v>
      </c>
      <c r="F208" s="2">
        <v>7.69</v>
      </c>
      <c r="G208" s="2">
        <v>4.38</v>
      </c>
      <c r="H208" s="12">
        <f t="shared" si="6"/>
        <v>6.0350000000000001</v>
      </c>
      <c r="I208" s="13">
        <v>1.6071428571428572</v>
      </c>
      <c r="J208" s="34">
        <f t="shared" si="7"/>
        <v>3.8210714285714289</v>
      </c>
    </row>
    <row r="209" spans="1:10" x14ac:dyDescent="0.35">
      <c r="A209" s="30" t="s">
        <v>85</v>
      </c>
      <c r="B209" s="46">
        <v>206</v>
      </c>
      <c r="C209" s="1" t="s">
        <v>215</v>
      </c>
      <c r="D209" s="1" t="s">
        <v>86</v>
      </c>
      <c r="E209" s="2" t="s">
        <v>8</v>
      </c>
      <c r="F209" s="2">
        <v>6.38</v>
      </c>
      <c r="G209" s="2">
        <v>5.41</v>
      </c>
      <c r="H209" s="12">
        <f t="shared" si="6"/>
        <v>5.8949999999999996</v>
      </c>
      <c r="I209" s="13">
        <v>1.2857142857142858</v>
      </c>
      <c r="J209" s="34">
        <f t="shared" si="7"/>
        <v>3.5903571428571426</v>
      </c>
    </row>
    <row r="210" spans="1:10" x14ac:dyDescent="0.35">
      <c r="A210" s="30" t="s">
        <v>85</v>
      </c>
      <c r="B210" s="46">
        <v>207</v>
      </c>
      <c r="C210" s="1" t="s">
        <v>219</v>
      </c>
      <c r="D210" s="1" t="s">
        <v>86</v>
      </c>
      <c r="E210" s="2" t="s">
        <v>8</v>
      </c>
      <c r="F210" s="2">
        <v>5.77</v>
      </c>
      <c r="G210" s="2">
        <v>3.3</v>
      </c>
      <c r="H210" s="12">
        <f t="shared" si="6"/>
        <v>4.5350000000000001</v>
      </c>
      <c r="I210" s="13">
        <v>1.2857142857142858</v>
      </c>
      <c r="J210" s="34">
        <f t="shared" si="7"/>
        <v>2.9103571428571429</v>
      </c>
    </row>
    <row r="211" spans="1:10" x14ac:dyDescent="0.35">
      <c r="A211" s="30" t="s">
        <v>85</v>
      </c>
      <c r="B211" s="46">
        <v>208</v>
      </c>
      <c r="C211" s="1" t="s">
        <v>224</v>
      </c>
      <c r="D211" s="1" t="s">
        <v>86</v>
      </c>
      <c r="E211" s="2" t="s">
        <v>8</v>
      </c>
      <c r="F211" s="2">
        <v>6.61</v>
      </c>
      <c r="G211" s="2">
        <v>5.25</v>
      </c>
      <c r="H211" s="12">
        <f t="shared" si="6"/>
        <v>5.93</v>
      </c>
      <c r="I211" s="13">
        <v>1.2857142857142858</v>
      </c>
      <c r="J211" s="34">
        <f t="shared" si="7"/>
        <v>3.6078571428571427</v>
      </c>
    </row>
    <row r="212" spans="1:10" x14ac:dyDescent="0.35">
      <c r="A212" s="30" t="s">
        <v>85</v>
      </c>
      <c r="B212" s="46">
        <v>209</v>
      </c>
      <c r="C212" s="1" t="s">
        <v>226</v>
      </c>
      <c r="D212" s="1" t="s">
        <v>86</v>
      </c>
      <c r="E212" s="2" t="s">
        <v>8</v>
      </c>
      <c r="F212" s="2">
        <v>3.58</v>
      </c>
      <c r="G212" s="2">
        <v>3.16</v>
      </c>
      <c r="H212" s="12">
        <f t="shared" si="6"/>
        <v>3.37</v>
      </c>
      <c r="I212" s="13">
        <v>1.25</v>
      </c>
      <c r="J212" s="34">
        <f t="shared" si="7"/>
        <v>2.31</v>
      </c>
    </row>
    <row r="213" spans="1:10" x14ac:dyDescent="0.35">
      <c r="A213" s="30" t="s">
        <v>85</v>
      </c>
      <c r="B213" s="46">
        <v>210</v>
      </c>
      <c r="C213" s="1" t="s">
        <v>724</v>
      </c>
      <c r="D213" s="1" t="s">
        <v>86</v>
      </c>
      <c r="E213" s="2" t="s">
        <v>8</v>
      </c>
      <c r="F213" s="2">
        <v>2.69</v>
      </c>
      <c r="G213" s="2">
        <v>2.38</v>
      </c>
      <c r="H213" s="12">
        <f t="shared" si="6"/>
        <v>2.5350000000000001</v>
      </c>
      <c r="I213" s="13">
        <v>1.2142857142857142</v>
      </c>
      <c r="J213" s="34">
        <f t="shared" si="7"/>
        <v>1.8746428571428573</v>
      </c>
    </row>
    <row r="214" spans="1:10" x14ac:dyDescent="0.35">
      <c r="A214" s="30" t="s">
        <v>85</v>
      </c>
      <c r="B214" s="46">
        <v>211</v>
      </c>
      <c r="C214" s="1" t="s">
        <v>216</v>
      </c>
      <c r="D214" s="1" t="s">
        <v>86</v>
      </c>
      <c r="E214" s="2" t="s">
        <v>8</v>
      </c>
      <c r="F214" s="2">
        <v>4.9400000000000004</v>
      </c>
      <c r="G214" s="2">
        <v>3.38</v>
      </c>
      <c r="H214" s="12">
        <f t="shared" si="6"/>
        <v>4.16</v>
      </c>
      <c r="I214" s="13">
        <v>1.1785714285714286</v>
      </c>
      <c r="J214" s="34">
        <f t="shared" si="7"/>
        <v>2.6692857142857145</v>
      </c>
    </row>
    <row r="215" spans="1:10" x14ac:dyDescent="0.35">
      <c r="A215" s="30" t="s">
        <v>85</v>
      </c>
      <c r="B215" s="46">
        <v>212</v>
      </c>
      <c r="C215" s="1" t="s">
        <v>220</v>
      </c>
      <c r="D215" s="1" t="s">
        <v>86</v>
      </c>
      <c r="E215" s="2" t="s">
        <v>8</v>
      </c>
      <c r="F215" s="2">
        <v>5.47</v>
      </c>
      <c r="G215" s="2">
        <v>5.0199999999999996</v>
      </c>
      <c r="H215" s="12">
        <f t="shared" si="6"/>
        <v>5.2449999999999992</v>
      </c>
      <c r="I215" s="13">
        <v>1.1785714285714286</v>
      </c>
      <c r="J215" s="34">
        <f t="shared" si="7"/>
        <v>3.211785714285714</v>
      </c>
    </row>
    <row r="216" spans="1:10" x14ac:dyDescent="0.35">
      <c r="A216" s="30" t="s">
        <v>85</v>
      </c>
      <c r="B216" s="46">
        <v>213</v>
      </c>
      <c r="C216" s="1" t="s">
        <v>218</v>
      </c>
      <c r="D216" s="1" t="s">
        <v>86</v>
      </c>
      <c r="E216" s="2" t="s">
        <v>8</v>
      </c>
      <c r="F216" s="2">
        <v>5</v>
      </c>
      <c r="G216" s="2">
        <v>4.9400000000000004</v>
      </c>
      <c r="H216" s="12">
        <f t="shared" si="6"/>
        <v>4.9700000000000006</v>
      </c>
      <c r="I216" s="13">
        <v>1</v>
      </c>
      <c r="J216" s="34">
        <f t="shared" si="7"/>
        <v>2.9850000000000003</v>
      </c>
    </row>
    <row r="217" spans="1:10" x14ac:dyDescent="0.35">
      <c r="A217" s="30" t="s">
        <v>85</v>
      </c>
      <c r="B217" s="46">
        <v>214</v>
      </c>
      <c r="C217" s="1" t="s">
        <v>725</v>
      </c>
      <c r="D217" s="1" t="s">
        <v>86</v>
      </c>
      <c r="E217" s="2" t="s">
        <v>8</v>
      </c>
      <c r="F217" s="2">
        <v>4.88</v>
      </c>
      <c r="G217" s="2">
        <v>6.83</v>
      </c>
      <c r="H217" s="12">
        <f t="shared" si="6"/>
        <v>5.8550000000000004</v>
      </c>
      <c r="I217" s="13">
        <v>0.9642857142857143</v>
      </c>
      <c r="J217" s="34">
        <f t="shared" si="7"/>
        <v>3.4096428571428574</v>
      </c>
    </row>
    <row r="218" spans="1:10" x14ac:dyDescent="0.35">
      <c r="A218" s="30" t="s">
        <v>85</v>
      </c>
      <c r="B218" s="46">
        <v>215</v>
      </c>
      <c r="C218" s="1" t="s">
        <v>225</v>
      </c>
      <c r="D218" s="1" t="s">
        <v>86</v>
      </c>
      <c r="E218" s="2" t="s">
        <v>8</v>
      </c>
      <c r="F218" s="2">
        <v>6.8</v>
      </c>
      <c r="G218" s="2">
        <v>4</v>
      </c>
      <c r="H218" s="12">
        <f t="shared" si="6"/>
        <v>5.4</v>
      </c>
      <c r="I218" s="13">
        <v>0.9642857142857143</v>
      </c>
      <c r="J218" s="34">
        <f t="shared" si="7"/>
        <v>3.1821428571428574</v>
      </c>
    </row>
    <row r="219" spans="1:10" x14ac:dyDescent="0.35">
      <c r="A219" s="30" t="s">
        <v>85</v>
      </c>
      <c r="B219" s="46">
        <v>216</v>
      </c>
      <c r="C219" s="1" t="s">
        <v>11</v>
      </c>
      <c r="D219" s="1" t="s">
        <v>86</v>
      </c>
      <c r="E219" s="2" t="s">
        <v>8</v>
      </c>
      <c r="F219" s="2">
        <v>6</v>
      </c>
      <c r="G219" s="2">
        <v>5.69</v>
      </c>
      <c r="H219" s="12">
        <f t="shared" si="6"/>
        <v>5.8450000000000006</v>
      </c>
      <c r="I219" s="13">
        <v>0.4642857142857143</v>
      </c>
      <c r="J219" s="34">
        <f t="shared" si="7"/>
        <v>3.1546428571428575</v>
      </c>
    </row>
    <row r="220" spans="1:10" x14ac:dyDescent="0.35">
      <c r="A220" s="30" t="s">
        <v>85</v>
      </c>
      <c r="B220" s="46">
        <v>217</v>
      </c>
      <c r="C220" s="1" t="s">
        <v>222</v>
      </c>
      <c r="D220" s="1" t="s">
        <v>86</v>
      </c>
      <c r="E220" s="2" t="s">
        <v>8</v>
      </c>
      <c r="F220" s="2">
        <v>6.44</v>
      </c>
      <c r="G220" s="2">
        <v>5.55</v>
      </c>
      <c r="H220" s="12">
        <f t="shared" si="6"/>
        <v>5.9950000000000001</v>
      </c>
      <c r="I220" s="13">
        <v>0</v>
      </c>
      <c r="J220" s="34">
        <f t="shared" si="7"/>
        <v>2.9975000000000001</v>
      </c>
    </row>
    <row r="221" spans="1:10" x14ac:dyDescent="0.35">
      <c r="A221" s="30" t="s">
        <v>85</v>
      </c>
      <c r="B221" s="46">
        <v>218</v>
      </c>
      <c r="C221" s="1" t="s">
        <v>228</v>
      </c>
      <c r="D221" s="1" t="s">
        <v>86</v>
      </c>
      <c r="E221" s="2" t="s">
        <v>8</v>
      </c>
      <c r="F221" s="2">
        <v>4.72</v>
      </c>
      <c r="G221" s="2">
        <v>0</v>
      </c>
      <c r="H221" s="12">
        <f t="shared" si="6"/>
        <v>2.36</v>
      </c>
      <c r="I221" s="13">
        <v>0</v>
      </c>
      <c r="J221" s="34">
        <f t="shared" si="7"/>
        <v>1.18</v>
      </c>
    </row>
    <row r="222" spans="1:10" x14ac:dyDescent="0.35">
      <c r="A222" s="29" t="s">
        <v>91</v>
      </c>
      <c r="B222" s="18">
        <v>219</v>
      </c>
      <c r="C222" s="17" t="s">
        <v>92</v>
      </c>
      <c r="D222" s="17" t="s">
        <v>93</v>
      </c>
      <c r="E222" s="19" t="s">
        <v>8</v>
      </c>
      <c r="F222" s="19">
        <v>9.33</v>
      </c>
      <c r="G222" s="19">
        <v>0</v>
      </c>
      <c r="H222" s="20">
        <f t="shared" si="6"/>
        <v>4.665</v>
      </c>
      <c r="I222" s="24">
        <v>7.6428571428571432</v>
      </c>
      <c r="J222" s="33">
        <f t="shared" si="7"/>
        <v>6.1539285714285716</v>
      </c>
    </row>
    <row r="223" spans="1:10" x14ac:dyDescent="0.35">
      <c r="A223" s="29" t="s">
        <v>91</v>
      </c>
      <c r="B223" s="18">
        <v>220</v>
      </c>
      <c r="C223" s="17" t="s">
        <v>323</v>
      </c>
      <c r="D223" s="17" t="s">
        <v>93</v>
      </c>
      <c r="E223" s="19" t="s">
        <v>8</v>
      </c>
      <c r="F223" s="19">
        <v>9.61</v>
      </c>
      <c r="G223" s="19">
        <v>9.66</v>
      </c>
      <c r="H223" s="20">
        <f t="shared" si="6"/>
        <v>9.6349999999999998</v>
      </c>
      <c r="I223" s="24">
        <v>6.9642857142857144</v>
      </c>
      <c r="J223" s="33">
        <f t="shared" si="7"/>
        <v>8.2996428571428567</v>
      </c>
    </row>
    <row r="224" spans="1:10" x14ac:dyDescent="0.35">
      <c r="A224" s="29" t="s">
        <v>91</v>
      </c>
      <c r="B224" s="18">
        <v>221</v>
      </c>
      <c r="C224" s="17" t="s">
        <v>237</v>
      </c>
      <c r="D224" s="17" t="s">
        <v>93</v>
      </c>
      <c r="E224" s="19" t="s">
        <v>8</v>
      </c>
      <c r="F224" s="19">
        <v>6.16</v>
      </c>
      <c r="G224" s="19">
        <v>7.22</v>
      </c>
      <c r="H224" s="20">
        <f t="shared" si="6"/>
        <v>6.6899999999999995</v>
      </c>
      <c r="I224" s="24">
        <v>4.5214285714285696</v>
      </c>
      <c r="J224" s="33">
        <f t="shared" si="7"/>
        <v>5.605714285714285</v>
      </c>
    </row>
    <row r="225" spans="1:10" x14ac:dyDescent="0.35">
      <c r="A225" s="29" t="s">
        <v>91</v>
      </c>
      <c r="B225" s="18">
        <v>222</v>
      </c>
      <c r="C225" s="17" t="s">
        <v>94</v>
      </c>
      <c r="D225" s="17" t="s">
        <v>93</v>
      </c>
      <c r="E225" s="19" t="s">
        <v>8</v>
      </c>
      <c r="F225" s="19">
        <v>8.33</v>
      </c>
      <c r="G225" s="19">
        <v>8.8800000000000008</v>
      </c>
      <c r="H225" s="20">
        <f t="shared" si="6"/>
        <v>8.6050000000000004</v>
      </c>
      <c r="I225" s="24">
        <v>4.5235714285714304</v>
      </c>
      <c r="J225" s="33">
        <f t="shared" si="7"/>
        <v>6.5642857142857149</v>
      </c>
    </row>
    <row r="226" spans="1:10" x14ac:dyDescent="0.35">
      <c r="A226" s="29" t="s">
        <v>91</v>
      </c>
      <c r="B226" s="18">
        <v>223</v>
      </c>
      <c r="C226" s="17" t="s">
        <v>239</v>
      </c>
      <c r="D226" s="17" t="s">
        <v>93</v>
      </c>
      <c r="E226" s="19" t="s">
        <v>8</v>
      </c>
      <c r="F226" s="19">
        <v>7.44</v>
      </c>
      <c r="G226" s="19">
        <v>5.61</v>
      </c>
      <c r="H226" s="20">
        <f t="shared" si="6"/>
        <v>6.5250000000000004</v>
      </c>
      <c r="I226" s="24">
        <v>4.5214285714285696</v>
      </c>
      <c r="J226" s="33">
        <f t="shared" si="7"/>
        <v>5.5232142857142854</v>
      </c>
    </row>
    <row r="227" spans="1:10" x14ac:dyDescent="0.35">
      <c r="A227" s="29" t="s">
        <v>91</v>
      </c>
      <c r="B227" s="18">
        <v>224</v>
      </c>
      <c r="C227" s="17" t="s">
        <v>238</v>
      </c>
      <c r="D227" s="17" t="s">
        <v>93</v>
      </c>
      <c r="E227" s="19" t="s">
        <v>8</v>
      </c>
      <c r="F227" s="19">
        <v>7.94</v>
      </c>
      <c r="G227" s="19">
        <v>6.3</v>
      </c>
      <c r="H227" s="20">
        <f t="shared" si="6"/>
        <v>7.12</v>
      </c>
      <c r="I227" s="24">
        <v>4.51</v>
      </c>
      <c r="J227" s="33">
        <f t="shared" si="7"/>
        <v>5.8149999999999995</v>
      </c>
    </row>
    <row r="228" spans="1:10" x14ac:dyDescent="0.35">
      <c r="A228" s="29" t="s">
        <v>91</v>
      </c>
      <c r="B228" s="18">
        <v>225</v>
      </c>
      <c r="C228" s="17" t="s">
        <v>728</v>
      </c>
      <c r="D228" s="17" t="s">
        <v>86</v>
      </c>
      <c r="E228" s="19" t="s">
        <v>8</v>
      </c>
      <c r="F228" s="19">
        <v>5.13</v>
      </c>
      <c r="G228" s="19">
        <v>4.8600000000000003</v>
      </c>
      <c r="H228" s="20">
        <f t="shared" si="6"/>
        <v>4.9950000000000001</v>
      </c>
      <c r="I228" s="24">
        <v>4.50142857142857</v>
      </c>
      <c r="J228" s="33">
        <f t="shared" si="7"/>
        <v>4.7482142857142851</v>
      </c>
    </row>
    <row r="229" spans="1:10" x14ac:dyDescent="0.35">
      <c r="A229" s="30" t="s">
        <v>91</v>
      </c>
      <c r="B229" s="46">
        <v>226</v>
      </c>
      <c r="C229" s="1" t="s">
        <v>231</v>
      </c>
      <c r="D229" s="1" t="s">
        <v>93</v>
      </c>
      <c r="E229" s="2" t="s">
        <v>8</v>
      </c>
      <c r="F229" s="2">
        <v>6.22</v>
      </c>
      <c r="G229" s="2">
        <v>5.33</v>
      </c>
      <c r="H229" s="12">
        <f t="shared" si="6"/>
        <v>5.7750000000000004</v>
      </c>
      <c r="I229" s="16">
        <v>1.5357142857142858</v>
      </c>
      <c r="J229" s="34">
        <f t="shared" si="7"/>
        <v>3.655357142857143</v>
      </c>
    </row>
    <row r="230" spans="1:10" x14ac:dyDescent="0.35">
      <c r="A230" s="30" t="s">
        <v>91</v>
      </c>
      <c r="B230" s="46">
        <v>227</v>
      </c>
      <c r="C230" s="1" t="s">
        <v>322</v>
      </c>
      <c r="D230" s="1" t="s">
        <v>93</v>
      </c>
      <c r="E230" s="2" t="s">
        <v>8</v>
      </c>
      <c r="F230" s="2">
        <v>6.66</v>
      </c>
      <c r="G230" s="2">
        <v>5.19</v>
      </c>
      <c r="H230" s="12">
        <f t="shared" si="6"/>
        <v>5.9250000000000007</v>
      </c>
      <c r="I230" s="16">
        <v>1.3392857142857142</v>
      </c>
      <c r="J230" s="34">
        <f t="shared" si="7"/>
        <v>3.6321428571428576</v>
      </c>
    </row>
    <row r="231" spans="1:10" x14ac:dyDescent="0.35">
      <c r="A231" s="30" t="s">
        <v>91</v>
      </c>
      <c r="B231" s="46">
        <v>228</v>
      </c>
      <c r="C231" s="1" t="s">
        <v>729</v>
      </c>
      <c r="D231" s="1" t="s">
        <v>93</v>
      </c>
      <c r="E231" s="2" t="s">
        <v>8</v>
      </c>
      <c r="F231" s="2">
        <v>5</v>
      </c>
      <c r="G231" s="2">
        <v>3.97</v>
      </c>
      <c r="H231" s="12">
        <f t="shared" si="6"/>
        <v>4.4850000000000003</v>
      </c>
      <c r="I231" s="16">
        <v>1.25</v>
      </c>
      <c r="J231" s="34">
        <f t="shared" si="7"/>
        <v>2.8675000000000002</v>
      </c>
    </row>
    <row r="232" spans="1:10" x14ac:dyDescent="0.35">
      <c r="A232" s="30" t="s">
        <v>91</v>
      </c>
      <c r="B232" s="46">
        <v>229</v>
      </c>
      <c r="C232" s="1" t="s">
        <v>232</v>
      </c>
      <c r="D232" s="1" t="s">
        <v>93</v>
      </c>
      <c r="E232" s="2" t="s">
        <v>8</v>
      </c>
      <c r="F232" s="2">
        <v>5.88</v>
      </c>
      <c r="G232" s="2">
        <v>6.44</v>
      </c>
      <c r="H232" s="12">
        <f t="shared" si="6"/>
        <v>6.16</v>
      </c>
      <c r="I232" s="16">
        <v>1.1785714285714286</v>
      </c>
      <c r="J232" s="34">
        <f t="shared" si="7"/>
        <v>3.6692857142857145</v>
      </c>
    </row>
    <row r="233" spans="1:10" x14ac:dyDescent="0.35">
      <c r="A233" s="30" t="s">
        <v>91</v>
      </c>
      <c r="B233" s="46">
        <v>230</v>
      </c>
      <c r="C233" s="1" t="s">
        <v>234</v>
      </c>
      <c r="D233" s="1" t="s">
        <v>93</v>
      </c>
      <c r="E233" s="2" t="s">
        <v>8</v>
      </c>
      <c r="F233" s="2">
        <v>5</v>
      </c>
      <c r="G233" s="2">
        <v>4.55</v>
      </c>
      <c r="H233" s="12">
        <f t="shared" si="6"/>
        <v>4.7750000000000004</v>
      </c>
      <c r="I233" s="16">
        <v>1.1428571428571428</v>
      </c>
      <c r="J233" s="34">
        <f t="shared" si="7"/>
        <v>2.9589285714285714</v>
      </c>
    </row>
    <row r="234" spans="1:10" x14ac:dyDescent="0.35">
      <c r="A234" s="30" t="s">
        <v>91</v>
      </c>
      <c r="B234" s="46">
        <v>231</v>
      </c>
      <c r="C234" s="1" t="s">
        <v>197</v>
      </c>
      <c r="D234" s="1" t="s">
        <v>93</v>
      </c>
      <c r="E234" s="2" t="s">
        <v>8</v>
      </c>
      <c r="F234" s="2">
        <v>6.44</v>
      </c>
      <c r="G234" s="2">
        <v>6.11</v>
      </c>
      <c r="H234" s="12">
        <f t="shared" si="6"/>
        <v>6.2750000000000004</v>
      </c>
      <c r="I234" s="16">
        <v>0.9642857142857143</v>
      </c>
      <c r="J234" s="34">
        <f t="shared" si="7"/>
        <v>3.6196428571428574</v>
      </c>
    </row>
    <row r="235" spans="1:10" x14ac:dyDescent="0.35">
      <c r="A235" s="30" t="s">
        <v>91</v>
      </c>
      <c r="B235" s="46">
        <v>232</v>
      </c>
      <c r="C235" s="1" t="s">
        <v>235</v>
      </c>
      <c r="D235" s="1" t="s">
        <v>93</v>
      </c>
      <c r="E235" s="2" t="s">
        <v>8</v>
      </c>
      <c r="F235" s="2">
        <v>5.08</v>
      </c>
      <c r="G235" s="2">
        <v>6.13</v>
      </c>
      <c r="H235" s="12">
        <f t="shared" si="6"/>
        <v>5.6050000000000004</v>
      </c>
      <c r="I235" s="16">
        <v>0.7678571428571429</v>
      </c>
      <c r="J235" s="34">
        <f t="shared" si="7"/>
        <v>3.1864285714285718</v>
      </c>
    </row>
    <row r="236" spans="1:10" x14ac:dyDescent="0.35">
      <c r="A236" s="30" t="s">
        <v>91</v>
      </c>
      <c r="B236" s="46">
        <v>233</v>
      </c>
      <c r="C236" s="1" t="s">
        <v>233</v>
      </c>
      <c r="D236" s="1" t="s">
        <v>93</v>
      </c>
      <c r="E236" s="2" t="s">
        <v>8</v>
      </c>
      <c r="F236" s="2">
        <v>3.66</v>
      </c>
      <c r="G236" s="2">
        <v>4.4400000000000004</v>
      </c>
      <c r="H236" s="12">
        <f t="shared" si="6"/>
        <v>4.0500000000000007</v>
      </c>
      <c r="I236" s="16">
        <v>0.6071428571428571</v>
      </c>
      <c r="J236" s="34">
        <f t="shared" si="7"/>
        <v>2.3285714285714287</v>
      </c>
    </row>
    <row r="237" spans="1:10" x14ac:dyDescent="0.35">
      <c r="A237" s="30" t="s">
        <v>91</v>
      </c>
      <c r="B237" s="46">
        <v>234</v>
      </c>
      <c r="C237" s="1" t="s">
        <v>236</v>
      </c>
      <c r="D237" s="1" t="s">
        <v>93</v>
      </c>
      <c r="E237" s="2" t="s">
        <v>8</v>
      </c>
      <c r="F237" s="2">
        <v>3.05</v>
      </c>
      <c r="G237" s="2">
        <v>4.1100000000000003</v>
      </c>
      <c r="H237" s="12">
        <f t="shared" si="6"/>
        <v>3.58</v>
      </c>
      <c r="I237" s="16">
        <v>0.4642857142857143</v>
      </c>
      <c r="J237" s="34">
        <f t="shared" si="7"/>
        <v>2.0221428571428572</v>
      </c>
    </row>
    <row r="238" spans="1:10" x14ac:dyDescent="0.35">
      <c r="A238" s="30" t="s">
        <v>91</v>
      </c>
      <c r="B238" s="46">
        <v>235</v>
      </c>
      <c r="C238" s="1" t="s">
        <v>240</v>
      </c>
      <c r="D238" s="1" t="s">
        <v>93</v>
      </c>
      <c r="E238" s="2" t="s">
        <v>8</v>
      </c>
      <c r="F238" s="2">
        <v>0</v>
      </c>
      <c r="G238" s="2">
        <v>7.22</v>
      </c>
      <c r="H238" s="12">
        <f t="shared" si="6"/>
        <v>3.61</v>
      </c>
      <c r="I238" s="16">
        <v>0</v>
      </c>
      <c r="J238" s="34">
        <f t="shared" si="7"/>
        <v>1.8049999999999999</v>
      </c>
    </row>
    <row r="239" spans="1:10" x14ac:dyDescent="0.35">
      <c r="A239" s="29" t="s">
        <v>12</v>
      </c>
      <c r="B239" s="18">
        <v>236</v>
      </c>
      <c r="C239" s="17" t="s">
        <v>13</v>
      </c>
      <c r="D239" s="17" t="s">
        <v>9</v>
      </c>
      <c r="E239" s="19" t="s">
        <v>8</v>
      </c>
      <c r="F239" s="19">
        <v>9.6300000000000008</v>
      </c>
      <c r="G239" s="19">
        <v>9.31</v>
      </c>
      <c r="H239" s="20">
        <f t="shared" si="6"/>
        <v>9.4700000000000006</v>
      </c>
      <c r="I239" s="24">
        <v>7.6071428571428568</v>
      </c>
      <c r="J239" s="33">
        <f t="shared" si="7"/>
        <v>8.5385714285714283</v>
      </c>
    </row>
    <row r="240" spans="1:10" x14ac:dyDescent="0.35">
      <c r="A240" s="29" t="s">
        <v>12</v>
      </c>
      <c r="B240" s="18">
        <v>237</v>
      </c>
      <c r="C240" s="17" t="s">
        <v>14</v>
      </c>
      <c r="D240" s="17" t="s">
        <v>9</v>
      </c>
      <c r="E240" s="19" t="s">
        <v>8</v>
      </c>
      <c r="F240" s="19">
        <v>9.52</v>
      </c>
      <c r="G240" s="19">
        <v>0</v>
      </c>
      <c r="H240" s="20">
        <f t="shared" si="6"/>
        <v>4.76</v>
      </c>
      <c r="I240" s="24">
        <v>7.5</v>
      </c>
      <c r="J240" s="33">
        <f t="shared" si="7"/>
        <v>6.13</v>
      </c>
    </row>
    <row r="241" spans="1:10" x14ac:dyDescent="0.35">
      <c r="A241" s="29" t="s">
        <v>12</v>
      </c>
      <c r="B241" s="18">
        <v>238</v>
      </c>
      <c r="C241" s="17" t="s">
        <v>15</v>
      </c>
      <c r="D241" s="17" t="s">
        <v>9</v>
      </c>
      <c r="E241" s="19" t="s">
        <v>8</v>
      </c>
      <c r="F241" s="19">
        <v>9.1300000000000008</v>
      </c>
      <c r="G241" s="19">
        <v>8.6300000000000008</v>
      </c>
      <c r="H241" s="20">
        <f t="shared" si="6"/>
        <v>8.8800000000000008</v>
      </c>
      <c r="I241" s="24">
        <v>6.75</v>
      </c>
      <c r="J241" s="33">
        <f t="shared" si="7"/>
        <v>7.8150000000000004</v>
      </c>
    </row>
    <row r="242" spans="1:10" x14ac:dyDescent="0.35">
      <c r="A242" s="29" t="s">
        <v>12</v>
      </c>
      <c r="B242" s="18">
        <v>239</v>
      </c>
      <c r="C242" s="17" t="s">
        <v>16</v>
      </c>
      <c r="D242" s="17" t="s">
        <v>9</v>
      </c>
      <c r="E242" s="19" t="s">
        <v>8</v>
      </c>
      <c r="F242" s="19">
        <v>8.36</v>
      </c>
      <c r="G242" s="19">
        <v>8.25</v>
      </c>
      <c r="H242" s="20">
        <f t="shared" si="6"/>
        <v>8.3049999999999997</v>
      </c>
      <c r="I242" s="21">
        <v>6.6071428571428568</v>
      </c>
      <c r="J242" s="33">
        <f t="shared" si="7"/>
        <v>7.4560714285714287</v>
      </c>
    </row>
    <row r="243" spans="1:10" x14ac:dyDescent="0.35">
      <c r="A243" s="29" t="s">
        <v>12</v>
      </c>
      <c r="B243" s="18">
        <v>240</v>
      </c>
      <c r="C243" s="17" t="s">
        <v>17</v>
      </c>
      <c r="D243" s="17" t="s">
        <v>9</v>
      </c>
      <c r="E243" s="19" t="s">
        <v>8</v>
      </c>
      <c r="F243" s="19">
        <v>9</v>
      </c>
      <c r="G243" s="19">
        <v>8.75</v>
      </c>
      <c r="H243" s="20">
        <f t="shared" si="6"/>
        <v>8.875</v>
      </c>
      <c r="I243" s="21">
        <v>6.4285714285714288</v>
      </c>
      <c r="J243" s="33">
        <f t="shared" si="7"/>
        <v>7.6517857142857144</v>
      </c>
    </row>
    <row r="244" spans="1:10" x14ac:dyDescent="0.35">
      <c r="A244" s="29" t="s">
        <v>12</v>
      </c>
      <c r="B244" s="18">
        <v>241</v>
      </c>
      <c r="C244" s="17" t="s">
        <v>18</v>
      </c>
      <c r="D244" s="17" t="s">
        <v>9</v>
      </c>
      <c r="E244" s="19" t="s">
        <v>8</v>
      </c>
      <c r="F244" s="19">
        <v>9.3800000000000008</v>
      </c>
      <c r="G244" s="19">
        <v>8.44</v>
      </c>
      <c r="H244" s="20">
        <f t="shared" si="6"/>
        <v>8.91</v>
      </c>
      <c r="I244" s="21">
        <v>6.2321428571428568</v>
      </c>
      <c r="J244" s="33">
        <f t="shared" si="7"/>
        <v>7.5710714285714289</v>
      </c>
    </row>
    <row r="245" spans="1:10" x14ac:dyDescent="0.35">
      <c r="A245" s="29" t="s">
        <v>12</v>
      </c>
      <c r="B245" s="18">
        <v>242</v>
      </c>
      <c r="C245" s="17" t="s">
        <v>19</v>
      </c>
      <c r="D245" s="17" t="s">
        <v>9</v>
      </c>
      <c r="E245" s="19" t="s">
        <v>8</v>
      </c>
      <c r="F245" s="19">
        <v>7.16</v>
      </c>
      <c r="G245" s="19">
        <v>4.7699999999999996</v>
      </c>
      <c r="H245" s="20">
        <f t="shared" si="6"/>
        <v>5.9649999999999999</v>
      </c>
      <c r="I245" s="21">
        <v>5.8571428571428568</v>
      </c>
      <c r="J245" s="33">
        <f t="shared" si="7"/>
        <v>5.9110714285714288</v>
      </c>
    </row>
    <row r="246" spans="1:10" x14ac:dyDescent="0.35">
      <c r="A246" s="29" t="s">
        <v>12</v>
      </c>
      <c r="B246" s="18">
        <v>243</v>
      </c>
      <c r="C246" s="17" t="s">
        <v>20</v>
      </c>
      <c r="D246" s="17" t="s">
        <v>9</v>
      </c>
      <c r="E246" s="19" t="s">
        <v>8</v>
      </c>
      <c r="F246" s="19">
        <v>8.1999999999999993</v>
      </c>
      <c r="G246" s="19">
        <v>8.16</v>
      </c>
      <c r="H246" s="20">
        <f t="shared" si="6"/>
        <v>8.18</v>
      </c>
      <c r="I246" s="21">
        <v>5.4285714285714288</v>
      </c>
      <c r="J246" s="33">
        <f t="shared" si="7"/>
        <v>6.8042857142857143</v>
      </c>
    </row>
    <row r="247" spans="1:10" x14ac:dyDescent="0.35">
      <c r="A247" s="29" t="s">
        <v>12</v>
      </c>
      <c r="B247" s="18">
        <v>244</v>
      </c>
      <c r="C247" s="17" t="s">
        <v>21</v>
      </c>
      <c r="D247" s="17" t="s">
        <v>22</v>
      </c>
      <c r="E247" s="19" t="s">
        <v>8</v>
      </c>
      <c r="F247" s="19">
        <v>8.77</v>
      </c>
      <c r="G247" s="19">
        <v>7.61</v>
      </c>
      <c r="H247" s="20">
        <f t="shared" si="6"/>
        <v>8.19</v>
      </c>
      <c r="I247" s="21">
        <v>5.1071428571428568</v>
      </c>
      <c r="J247" s="33">
        <f t="shared" si="7"/>
        <v>6.6485714285714277</v>
      </c>
    </row>
    <row r="248" spans="1:10" x14ac:dyDescent="0.35">
      <c r="A248" s="29" t="s">
        <v>12</v>
      </c>
      <c r="B248" s="18">
        <v>245</v>
      </c>
      <c r="C248" s="17" t="s">
        <v>23</v>
      </c>
      <c r="D248" s="17" t="s">
        <v>24</v>
      </c>
      <c r="E248" s="19" t="s">
        <v>8</v>
      </c>
      <c r="F248" s="19">
        <v>9.1199999999999992</v>
      </c>
      <c r="G248" s="19">
        <v>8.51</v>
      </c>
      <c r="H248" s="20">
        <f t="shared" si="6"/>
        <v>8.8149999999999995</v>
      </c>
      <c r="I248" s="21">
        <v>5</v>
      </c>
      <c r="J248" s="33">
        <f t="shared" si="7"/>
        <v>6.9074999999999998</v>
      </c>
    </row>
    <row r="249" spans="1:10" x14ac:dyDescent="0.35">
      <c r="A249" s="29" t="s">
        <v>12</v>
      </c>
      <c r="B249" s="18">
        <v>246</v>
      </c>
      <c r="C249" s="17" t="s">
        <v>25</v>
      </c>
      <c r="D249" s="17" t="s">
        <v>9</v>
      </c>
      <c r="E249" s="19" t="s">
        <v>8</v>
      </c>
      <c r="F249" s="19">
        <v>8</v>
      </c>
      <c r="G249" s="19">
        <v>8.6300000000000008</v>
      </c>
      <c r="H249" s="20">
        <f t="shared" si="6"/>
        <v>8.3150000000000013</v>
      </c>
      <c r="I249" s="21">
        <v>4.6785714285714288</v>
      </c>
      <c r="J249" s="33">
        <f t="shared" si="7"/>
        <v>6.4967857142857151</v>
      </c>
    </row>
    <row r="250" spans="1:10" x14ac:dyDescent="0.35">
      <c r="A250" s="29" t="s">
        <v>12</v>
      </c>
      <c r="B250" s="18">
        <v>247</v>
      </c>
      <c r="C250" s="17" t="s">
        <v>26</v>
      </c>
      <c r="D250" s="17" t="s">
        <v>9</v>
      </c>
      <c r="E250" s="19" t="s">
        <v>8</v>
      </c>
      <c r="F250" s="19">
        <v>5.52</v>
      </c>
      <c r="G250" s="19">
        <v>6.83</v>
      </c>
      <c r="H250" s="20">
        <f t="shared" si="6"/>
        <v>6.1749999999999998</v>
      </c>
      <c r="I250" s="21">
        <v>4.6014285714285696</v>
      </c>
      <c r="J250" s="33">
        <f t="shared" si="7"/>
        <v>5.3882142857142847</v>
      </c>
    </row>
    <row r="251" spans="1:10" x14ac:dyDescent="0.35">
      <c r="A251" s="30" t="s">
        <v>12</v>
      </c>
      <c r="B251" s="46">
        <v>248</v>
      </c>
      <c r="C251" s="1" t="s">
        <v>298</v>
      </c>
      <c r="D251" s="1" t="s">
        <v>9</v>
      </c>
      <c r="E251" s="2" t="s">
        <v>8</v>
      </c>
      <c r="F251" s="2">
        <v>5.94</v>
      </c>
      <c r="G251" s="2">
        <v>5.5</v>
      </c>
      <c r="H251" s="12">
        <f t="shared" si="6"/>
        <v>5.7200000000000006</v>
      </c>
      <c r="I251" s="13">
        <v>3.9285714285714284</v>
      </c>
      <c r="J251" s="34">
        <f t="shared" si="7"/>
        <v>4.8242857142857147</v>
      </c>
    </row>
    <row r="252" spans="1:10" x14ac:dyDescent="0.35">
      <c r="A252" s="30" t="s">
        <v>12</v>
      </c>
      <c r="B252" s="46">
        <v>249</v>
      </c>
      <c r="C252" s="1" t="s">
        <v>299</v>
      </c>
      <c r="D252" s="1" t="s">
        <v>9</v>
      </c>
      <c r="E252" s="2" t="s">
        <v>8</v>
      </c>
      <c r="F252" s="2">
        <v>7.02</v>
      </c>
      <c r="G252" s="2">
        <v>6.94</v>
      </c>
      <c r="H252" s="12">
        <f t="shared" si="6"/>
        <v>6.98</v>
      </c>
      <c r="I252" s="13">
        <v>3.7857142857142856</v>
      </c>
      <c r="J252" s="34">
        <f t="shared" si="7"/>
        <v>5.3828571428571426</v>
      </c>
    </row>
    <row r="253" spans="1:10" x14ac:dyDescent="0.35">
      <c r="A253" s="30" t="s">
        <v>12</v>
      </c>
      <c r="B253" s="46">
        <v>250</v>
      </c>
      <c r="C253" s="1" t="s">
        <v>300</v>
      </c>
      <c r="D253" s="1" t="s">
        <v>9</v>
      </c>
      <c r="E253" s="2" t="s">
        <v>8</v>
      </c>
      <c r="F253" s="2">
        <v>6.77</v>
      </c>
      <c r="G253" s="2">
        <v>5.72</v>
      </c>
      <c r="H253" s="12">
        <f t="shared" si="6"/>
        <v>6.2449999999999992</v>
      </c>
      <c r="I253" s="13">
        <v>3.75</v>
      </c>
      <c r="J253" s="34">
        <f t="shared" si="7"/>
        <v>4.9974999999999996</v>
      </c>
    </row>
    <row r="254" spans="1:10" x14ac:dyDescent="0.35">
      <c r="A254" s="30" t="s">
        <v>12</v>
      </c>
      <c r="B254" s="46">
        <v>251</v>
      </c>
      <c r="C254" s="1" t="s">
        <v>162</v>
      </c>
      <c r="D254" s="1" t="s">
        <v>9</v>
      </c>
      <c r="E254" s="2" t="s">
        <v>8</v>
      </c>
      <c r="F254" s="2">
        <v>3.97</v>
      </c>
      <c r="G254" s="2">
        <v>5.72</v>
      </c>
      <c r="H254" s="12">
        <f t="shared" si="6"/>
        <v>4.8449999999999998</v>
      </c>
      <c r="I254" s="13">
        <v>3.25</v>
      </c>
      <c r="J254" s="34">
        <f t="shared" si="7"/>
        <v>4.0474999999999994</v>
      </c>
    </row>
    <row r="255" spans="1:10" x14ac:dyDescent="0.35">
      <c r="A255" s="30" t="s">
        <v>12</v>
      </c>
      <c r="B255" s="46">
        <v>252</v>
      </c>
      <c r="C255" s="1" t="s">
        <v>301</v>
      </c>
      <c r="D255" s="1" t="s">
        <v>9</v>
      </c>
      <c r="E255" s="2" t="s">
        <v>8</v>
      </c>
      <c r="F255" s="2">
        <v>5.1100000000000003</v>
      </c>
      <c r="G255" s="2">
        <v>4.9400000000000004</v>
      </c>
      <c r="H255" s="12">
        <f t="shared" si="6"/>
        <v>5.0250000000000004</v>
      </c>
      <c r="I255" s="13">
        <v>3.1785714285714284</v>
      </c>
      <c r="J255" s="34">
        <f t="shared" si="7"/>
        <v>4.1017857142857146</v>
      </c>
    </row>
    <row r="256" spans="1:10" x14ac:dyDescent="0.35">
      <c r="A256" s="30" t="s">
        <v>12</v>
      </c>
      <c r="B256" s="46">
        <v>253</v>
      </c>
      <c r="C256" s="1" t="s">
        <v>302</v>
      </c>
      <c r="D256" s="1" t="s">
        <v>303</v>
      </c>
      <c r="E256" s="2" t="s">
        <v>8</v>
      </c>
      <c r="F256" s="2">
        <v>5</v>
      </c>
      <c r="G256" s="2">
        <v>7.66</v>
      </c>
      <c r="H256" s="12">
        <f t="shared" si="6"/>
        <v>6.33</v>
      </c>
      <c r="I256" s="13">
        <v>3.1428571428571428</v>
      </c>
      <c r="J256" s="34">
        <f t="shared" si="7"/>
        <v>4.7364285714285712</v>
      </c>
    </row>
    <row r="257" spans="1:10" x14ac:dyDescent="0.35">
      <c r="A257" s="30" t="s">
        <v>12</v>
      </c>
      <c r="B257" s="46">
        <v>254</v>
      </c>
      <c r="C257" s="1" t="s">
        <v>304</v>
      </c>
      <c r="D257" s="1" t="s">
        <v>9</v>
      </c>
      <c r="E257" s="2" t="s">
        <v>8</v>
      </c>
      <c r="F257" s="2">
        <v>5.75</v>
      </c>
      <c r="G257" s="2">
        <v>7.3</v>
      </c>
      <c r="H257" s="12">
        <f t="shared" si="6"/>
        <v>6.5250000000000004</v>
      </c>
      <c r="I257" s="13">
        <v>3</v>
      </c>
      <c r="J257" s="34">
        <f t="shared" si="7"/>
        <v>4.7625000000000002</v>
      </c>
    </row>
    <row r="258" spans="1:10" x14ac:dyDescent="0.35">
      <c r="A258" s="30" t="s">
        <v>12</v>
      </c>
      <c r="B258" s="46">
        <v>255</v>
      </c>
      <c r="C258" s="1" t="s">
        <v>305</v>
      </c>
      <c r="D258" s="1" t="s">
        <v>9</v>
      </c>
      <c r="E258" s="2" t="s">
        <v>8</v>
      </c>
      <c r="F258" s="2">
        <v>5.61</v>
      </c>
      <c r="G258" s="2">
        <v>5.19</v>
      </c>
      <c r="H258" s="12">
        <f t="shared" si="6"/>
        <v>5.4</v>
      </c>
      <c r="I258" s="13">
        <v>2.8928571428571428</v>
      </c>
      <c r="J258" s="34">
        <f t="shared" si="7"/>
        <v>4.1464285714285714</v>
      </c>
    </row>
    <row r="259" spans="1:10" x14ac:dyDescent="0.35">
      <c r="A259" s="30" t="s">
        <v>12</v>
      </c>
      <c r="B259" s="46">
        <v>256</v>
      </c>
      <c r="C259" s="1" t="s">
        <v>306</v>
      </c>
      <c r="D259" s="1" t="s">
        <v>9</v>
      </c>
      <c r="E259" s="2" t="s">
        <v>8</v>
      </c>
      <c r="F259" s="2">
        <v>4.66</v>
      </c>
      <c r="G259" s="2">
        <v>4.63</v>
      </c>
      <c r="H259" s="12">
        <f t="shared" si="6"/>
        <v>4.6449999999999996</v>
      </c>
      <c r="I259" s="13">
        <v>2.2857142857142856</v>
      </c>
      <c r="J259" s="34">
        <f t="shared" si="7"/>
        <v>3.4653571428571426</v>
      </c>
    </row>
    <row r="260" spans="1:10" x14ac:dyDescent="0.35">
      <c r="A260" s="30" t="s">
        <v>12</v>
      </c>
      <c r="B260" s="46">
        <v>257</v>
      </c>
      <c r="C260" s="1" t="s">
        <v>307</v>
      </c>
      <c r="D260" s="1" t="s">
        <v>9</v>
      </c>
      <c r="E260" s="2" t="s">
        <v>8</v>
      </c>
      <c r="F260" s="2">
        <v>5.94</v>
      </c>
      <c r="G260" s="2">
        <v>8.16</v>
      </c>
      <c r="H260" s="12">
        <f t="shared" ref="H260:H323" si="8">(F260+G260)/2</f>
        <v>7.0500000000000007</v>
      </c>
      <c r="I260" s="13">
        <v>2.2857142857142856</v>
      </c>
      <c r="J260" s="34">
        <f t="shared" ref="J260:J323" si="9">(H260+I260)/2</f>
        <v>4.6678571428571427</v>
      </c>
    </row>
    <row r="261" spans="1:10" x14ac:dyDescent="0.35">
      <c r="A261" s="30" t="s">
        <v>12</v>
      </c>
      <c r="B261" s="46">
        <v>258</v>
      </c>
      <c r="C261" s="1" t="s">
        <v>308</v>
      </c>
      <c r="D261" s="1" t="s">
        <v>9</v>
      </c>
      <c r="E261" s="2" t="s">
        <v>8</v>
      </c>
      <c r="F261" s="2">
        <v>5.08</v>
      </c>
      <c r="G261" s="2">
        <v>6.58</v>
      </c>
      <c r="H261" s="12">
        <f t="shared" si="8"/>
        <v>5.83</v>
      </c>
      <c r="I261" s="13">
        <v>1.7142857142857142</v>
      </c>
      <c r="J261" s="34">
        <f t="shared" si="9"/>
        <v>3.7721428571428572</v>
      </c>
    </row>
    <row r="262" spans="1:10" x14ac:dyDescent="0.35">
      <c r="A262" s="30" t="s">
        <v>12</v>
      </c>
      <c r="B262" s="46">
        <v>259</v>
      </c>
      <c r="C262" s="1" t="s">
        <v>309</v>
      </c>
      <c r="D262" s="1" t="s">
        <v>9</v>
      </c>
      <c r="E262" s="2" t="s">
        <v>8</v>
      </c>
      <c r="F262" s="2">
        <v>3.13</v>
      </c>
      <c r="G262" s="2">
        <v>3.33</v>
      </c>
      <c r="H262" s="12">
        <f t="shared" si="8"/>
        <v>3.23</v>
      </c>
      <c r="I262" s="13">
        <v>1.3928571428571428</v>
      </c>
      <c r="J262" s="34">
        <f t="shared" si="9"/>
        <v>2.3114285714285714</v>
      </c>
    </row>
    <row r="263" spans="1:10" x14ac:dyDescent="0.35">
      <c r="A263" s="30" t="s">
        <v>12</v>
      </c>
      <c r="B263" s="46">
        <v>260</v>
      </c>
      <c r="C263" s="1" t="s">
        <v>310</v>
      </c>
      <c r="D263" s="1" t="s">
        <v>9</v>
      </c>
      <c r="E263" s="2" t="s">
        <v>8</v>
      </c>
      <c r="F263" s="2">
        <v>4.2699999999999996</v>
      </c>
      <c r="G263" s="2">
        <v>4.45</v>
      </c>
      <c r="H263" s="12">
        <f t="shared" si="8"/>
        <v>4.3599999999999994</v>
      </c>
      <c r="I263" s="13">
        <v>1.3214285714285714</v>
      </c>
      <c r="J263" s="34">
        <f t="shared" si="9"/>
        <v>2.8407142857142853</v>
      </c>
    </row>
    <row r="264" spans="1:10" x14ac:dyDescent="0.35">
      <c r="A264" s="30" t="s">
        <v>12</v>
      </c>
      <c r="B264" s="46">
        <v>261</v>
      </c>
      <c r="C264" s="1" t="s">
        <v>311</v>
      </c>
      <c r="D264" s="1" t="s">
        <v>9</v>
      </c>
      <c r="E264" s="2" t="s">
        <v>8</v>
      </c>
      <c r="F264" s="2">
        <v>6.72</v>
      </c>
      <c r="G264" s="2">
        <v>5.94</v>
      </c>
      <c r="H264" s="12">
        <f t="shared" si="8"/>
        <v>6.33</v>
      </c>
      <c r="I264" s="13">
        <v>1.3214285714285714</v>
      </c>
      <c r="J264" s="34">
        <f t="shared" si="9"/>
        <v>3.8257142857142856</v>
      </c>
    </row>
    <row r="265" spans="1:10" x14ac:dyDescent="0.35">
      <c r="A265" s="30" t="s">
        <v>12</v>
      </c>
      <c r="B265" s="46">
        <v>262</v>
      </c>
      <c r="C265" s="1" t="s">
        <v>312</v>
      </c>
      <c r="D265" s="1" t="s">
        <v>313</v>
      </c>
      <c r="E265" s="2" t="s">
        <v>8</v>
      </c>
      <c r="F265" s="2">
        <v>4.1100000000000003</v>
      </c>
      <c r="G265" s="2">
        <v>5.22</v>
      </c>
      <c r="H265" s="12">
        <f t="shared" si="8"/>
        <v>4.665</v>
      </c>
      <c r="I265" s="13">
        <v>1.2857142857142858</v>
      </c>
      <c r="J265" s="34">
        <f t="shared" si="9"/>
        <v>2.9753571428571428</v>
      </c>
    </row>
    <row r="266" spans="1:10" x14ac:dyDescent="0.35">
      <c r="A266" s="30" t="s">
        <v>12</v>
      </c>
      <c r="B266" s="46">
        <v>263</v>
      </c>
      <c r="C266" s="1" t="s">
        <v>314</v>
      </c>
      <c r="D266" s="1" t="s">
        <v>9</v>
      </c>
      <c r="E266" s="2" t="s">
        <v>8</v>
      </c>
      <c r="F266" s="2">
        <v>4.6100000000000003</v>
      </c>
      <c r="G266" s="2">
        <v>6.41</v>
      </c>
      <c r="H266" s="12">
        <f t="shared" si="8"/>
        <v>5.51</v>
      </c>
      <c r="I266" s="13">
        <v>0.9642857142857143</v>
      </c>
      <c r="J266" s="34">
        <f t="shared" si="9"/>
        <v>3.2371428571428571</v>
      </c>
    </row>
    <row r="267" spans="1:10" x14ac:dyDescent="0.35">
      <c r="A267" s="30" t="s">
        <v>12</v>
      </c>
      <c r="B267" s="46">
        <v>264</v>
      </c>
      <c r="C267" s="1" t="s">
        <v>315</v>
      </c>
      <c r="D267" s="1" t="s">
        <v>9</v>
      </c>
      <c r="E267" s="2" t="s">
        <v>8</v>
      </c>
      <c r="F267" s="2">
        <v>1.94</v>
      </c>
      <c r="G267" s="2">
        <v>3.25</v>
      </c>
      <c r="H267" s="12">
        <f t="shared" si="8"/>
        <v>2.5949999999999998</v>
      </c>
      <c r="I267" s="13">
        <v>0.6071428571428571</v>
      </c>
      <c r="J267" s="34">
        <f t="shared" si="9"/>
        <v>1.6010714285714285</v>
      </c>
    </row>
    <row r="268" spans="1:10" x14ac:dyDescent="0.35">
      <c r="A268" s="30" t="s">
        <v>12</v>
      </c>
      <c r="B268" s="46">
        <v>265</v>
      </c>
      <c r="C268" s="1" t="s">
        <v>316</v>
      </c>
      <c r="D268" s="1" t="s">
        <v>9</v>
      </c>
      <c r="E268" s="2" t="s">
        <v>8</v>
      </c>
      <c r="F268" s="2">
        <v>6.66</v>
      </c>
      <c r="G268" s="2">
        <v>5.36</v>
      </c>
      <c r="H268" s="12">
        <f t="shared" si="8"/>
        <v>6.01</v>
      </c>
      <c r="I268" s="13">
        <v>0.54</v>
      </c>
      <c r="J268" s="34">
        <f t="shared" si="9"/>
        <v>3.2749999999999999</v>
      </c>
    </row>
    <row r="269" spans="1:10" x14ac:dyDescent="0.35">
      <c r="A269" s="30" t="s">
        <v>12</v>
      </c>
      <c r="B269" s="46">
        <v>266</v>
      </c>
      <c r="C269" s="1" t="s">
        <v>317</v>
      </c>
      <c r="D269" s="1" t="s">
        <v>9</v>
      </c>
      <c r="E269" s="2" t="s">
        <v>8</v>
      </c>
      <c r="F269" s="2">
        <v>4.6100000000000003</v>
      </c>
      <c r="G269" s="2">
        <v>4.25</v>
      </c>
      <c r="H269" s="12">
        <f t="shared" si="8"/>
        <v>4.43</v>
      </c>
      <c r="I269" s="13">
        <v>0.49</v>
      </c>
      <c r="J269" s="34">
        <f t="shared" si="9"/>
        <v>2.46</v>
      </c>
    </row>
    <row r="270" spans="1:10" x14ac:dyDescent="0.35">
      <c r="A270" s="30" t="s">
        <v>12</v>
      </c>
      <c r="B270" s="46">
        <v>267</v>
      </c>
      <c r="C270" s="1" t="s">
        <v>318</v>
      </c>
      <c r="D270" s="1" t="s">
        <v>9</v>
      </c>
      <c r="E270" s="2" t="s">
        <v>8</v>
      </c>
      <c r="F270" s="2">
        <v>3.75</v>
      </c>
      <c r="G270" s="2">
        <v>4.75</v>
      </c>
      <c r="H270" s="12">
        <f t="shared" si="8"/>
        <v>4.25</v>
      </c>
      <c r="I270" s="13">
        <v>0</v>
      </c>
      <c r="J270" s="34">
        <f t="shared" si="9"/>
        <v>2.125</v>
      </c>
    </row>
    <row r="271" spans="1:10" x14ac:dyDescent="0.35">
      <c r="A271" s="29" t="s">
        <v>102</v>
      </c>
      <c r="B271" s="18">
        <v>268</v>
      </c>
      <c r="C271" s="17" t="s">
        <v>103</v>
      </c>
      <c r="D271" s="17" t="s">
        <v>101</v>
      </c>
      <c r="E271" s="19" t="s">
        <v>8</v>
      </c>
      <c r="F271" s="19">
        <v>5.36</v>
      </c>
      <c r="G271" s="19">
        <v>8.27</v>
      </c>
      <c r="H271" s="20">
        <f t="shared" si="8"/>
        <v>6.8149999999999995</v>
      </c>
      <c r="I271" s="21">
        <v>9.0357142857142865</v>
      </c>
      <c r="J271" s="33">
        <f t="shared" si="9"/>
        <v>7.925357142857143</v>
      </c>
    </row>
    <row r="272" spans="1:10" x14ac:dyDescent="0.35">
      <c r="A272" s="29" t="s">
        <v>102</v>
      </c>
      <c r="B272" s="18">
        <v>269</v>
      </c>
      <c r="C272" s="17" t="s">
        <v>104</v>
      </c>
      <c r="D272" s="17" t="s">
        <v>101</v>
      </c>
      <c r="E272" s="19" t="s">
        <v>8</v>
      </c>
      <c r="F272" s="19">
        <v>9.86</v>
      </c>
      <c r="G272" s="19">
        <v>8.5</v>
      </c>
      <c r="H272" s="20">
        <f t="shared" si="8"/>
        <v>9.18</v>
      </c>
      <c r="I272" s="21">
        <v>8.8571428571428577</v>
      </c>
      <c r="J272" s="33">
        <f t="shared" si="9"/>
        <v>9.0185714285714287</v>
      </c>
    </row>
    <row r="273" spans="1:10" x14ac:dyDescent="0.35">
      <c r="A273" s="29" t="s">
        <v>102</v>
      </c>
      <c r="B273" s="18">
        <v>270</v>
      </c>
      <c r="C273" s="17" t="s">
        <v>105</v>
      </c>
      <c r="D273" s="17" t="s">
        <v>101</v>
      </c>
      <c r="E273" s="19" t="s">
        <v>8</v>
      </c>
      <c r="F273" s="19">
        <v>8.8800000000000008</v>
      </c>
      <c r="G273" s="19">
        <v>7.88</v>
      </c>
      <c r="H273" s="20">
        <f t="shared" si="8"/>
        <v>8.3800000000000008</v>
      </c>
      <c r="I273" s="21">
        <v>8</v>
      </c>
      <c r="J273" s="33">
        <f t="shared" si="9"/>
        <v>8.1900000000000013</v>
      </c>
    </row>
    <row r="274" spans="1:10" x14ac:dyDescent="0.35">
      <c r="A274" s="29" t="s">
        <v>102</v>
      </c>
      <c r="B274" s="18">
        <v>271</v>
      </c>
      <c r="C274" s="17" t="s">
        <v>106</v>
      </c>
      <c r="D274" s="17" t="s">
        <v>101</v>
      </c>
      <c r="E274" s="19" t="s">
        <v>8</v>
      </c>
      <c r="F274" s="19">
        <v>8.66</v>
      </c>
      <c r="G274" s="19">
        <v>7.94</v>
      </c>
      <c r="H274" s="20">
        <f t="shared" si="8"/>
        <v>8.3000000000000007</v>
      </c>
      <c r="I274" s="21">
        <v>7.6785714285714288</v>
      </c>
      <c r="J274" s="33">
        <f t="shared" si="9"/>
        <v>7.9892857142857148</v>
      </c>
    </row>
    <row r="275" spans="1:10" x14ac:dyDescent="0.35">
      <c r="A275" s="29" t="s">
        <v>102</v>
      </c>
      <c r="B275" s="18">
        <v>272</v>
      </c>
      <c r="C275" s="17" t="s">
        <v>107</v>
      </c>
      <c r="D275" s="17" t="s">
        <v>101</v>
      </c>
      <c r="E275" s="19" t="s">
        <v>8</v>
      </c>
      <c r="F275" s="19">
        <v>8.5500000000000007</v>
      </c>
      <c r="G275" s="19">
        <v>7</v>
      </c>
      <c r="H275" s="20">
        <f t="shared" si="8"/>
        <v>7.7750000000000004</v>
      </c>
      <c r="I275" s="21">
        <v>7.4285714285714288</v>
      </c>
      <c r="J275" s="33">
        <f t="shared" si="9"/>
        <v>7.6017857142857146</v>
      </c>
    </row>
    <row r="276" spans="1:10" x14ac:dyDescent="0.35">
      <c r="A276" s="29" t="s">
        <v>102</v>
      </c>
      <c r="B276" s="18">
        <v>273</v>
      </c>
      <c r="C276" s="17" t="s">
        <v>108</v>
      </c>
      <c r="D276" s="17" t="s">
        <v>320</v>
      </c>
      <c r="E276" s="19" t="s">
        <v>8</v>
      </c>
      <c r="F276" s="19">
        <v>5.88</v>
      </c>
      <c r="G276" s="19">
        <v>0</v>
      </c>
      <c r="H276" s="20">
        <f t="shared" si="8"/>
        <v>2.94</v>
      </c>
      <c r="I276" s="21">
        <v>7.1785714285714288</v>
      </c>
      <c r="J276" s="33">
        <f t="shared" si="9"/>
        <v>5.0592857142857142</v>
      </c>
    </row>
    <row r="277" spans="1:10" x14ac:dyDescent="0.35">
      <c r="A277" s="29" t="s">
        <v>102</v>
      </c>
      <c r="B277" s="18">
        <v>274</v>
      </c>
      <c r="C277" s="17" t="s">
        <v>109</v>
      </c>
      <c r="D277" s="17" t="s">
        <v>101</v>
      </c>
      <c r="E277" s="19" t="s">
        <v>8</v>
      </c>
      <c r="F277" s="19">
        <v>6.5</v>
      </c>
      <c r="G277" s="19">
        <v>6.63</v>
      </c>
      <c r="H277" s="20">
        <f t="shared" si="8"/>
        <v>6.5649999999999995</v>
      </c>
      <c r="I277" s="21">
        <v>7.1071428571428568</v>
      </c>
      <c r="J277" s="33">
        <f t="shared" si="9"/>
        <v>6.8360714285714277</v>
      </c>
    </row>
    <row r="278" spans="1:10" x14ac:dyDescent="0.35">
      <c r="A278" s="29" t="s">
        <v>102</v>
      </c>
      <c r="B278" s="18">
        <v>275</v>
      </c>
      <c r="C278" s="17" t="s">
        <v>110</v>
      </c>
      <c r="D278" s="17" t="s">
        <v>101</v>
      </c>
      <c r="E278" s="19" t="s">
        <v>8</v>
      </c>
      <c r="F278" s="19">
        <v>3.5</v>
      </c>
      <c r="G278" s="19">
        <v>4.3</v>
      </c>
      <c r="H278" s="20">
        <f t="shared" si="8"/>
        <v>3.9</v>
      </c>
      <c r="I278" s="21">
        <v>6.5357142857142856</v>
      </c>
      <c r="J278" s="33">
        <f t="shared" si="9"/>
        <v>5.2178571428571425</v>
      </c>
    </row>
    <row r="279" spans="1:10" x14ac:dyDescent="0.35">
      <c r="A279" s="29" t="s">
        <v>102</v>
      </c>
      <c r="B279" s="18">
        <v>276</v>
      </c>
      <c r="C279" s="17" t="s">
        <v>111</v>
      </c>
      <c r="D279" s="17" t="s">
        <v>101</v>
      </c>
      <c r="E279" s="19" t="s">
        <v>8</v>
      </c>
      <c r="F279" s="19">
        <v>9.2200000000000006</v>
      </c>
      <c r="G279" s="19">
        <v>8</v>
      </c>
      <c r="H279" s="20">
        <f t="shared" si="8"/>
        <v>8.61</v>
      </c>
      <c r="I279" s="21">
        <v>6.4285714285714288</v>
      </c>
      <c r="J279" s="33">
        <f t="shared" si="9"/>
        <v>7.5192857142857141</v>
      </c>
    </row>
    <row r="280" spans="1:10" x14ac:dyDescent="0.35">
      <c r="A280" s="29" t="s">
        <v>102</v>
      </c>
      <c r="B280" s="18">
        <v>277</v>
      </c>
      <c r="C280" s="17" t="s">
        <v>112</v>
      </c>
      <c r="D280" s="17" t="s">
        <v>101</v>
      </c>
      <c r="E280" s="19" t="s">
        <v>8</v>
      </c>
      <c r="F280" s="19">
        <v>9.27</v>
      </c>
      <c r="G280" s="19">
        <v>6.75</v>
      </c>
      <c r="H280" s="20">
        <f t="shared" si="8"/>
        <v>8.01</v>
      </c>
      <c r="I280" s="21">
        <v>6</v>
      </c>
      <c r="J280" s="33">
        <f t="shared" si="9"/>
        <v>7.0049999999999999</v>
      </c>
    </row>
    <row r="281" spans="1:10" x14ac:dyDescent="0.35">
      <c r="A281" s="29" t="s">
        <v>102</v>
      </c>
      <c r="B281" s="18">
        <v>278</v>
      </c>
      <c r="C281" s="17" t="s">
        <v>113</v>
      </c>
      <c r="D281" s="17" t="s">
        <v>101</v>
      </c>
      <c r="E281" s="19" t="s">
        <v>8</v>
      </c>
      <c r="F281" s="19">
        <v>8.3800000000000008</v>
      </c>
      <c r="G281" s="19">
        <v>7.27</v>
      </c>
      <c r="H281" s="20">
        <f t="shared" si="8"/>
        <v>7.8250000000000002</v>
      </c>
      <c r="I281" s="21">
        <v>5.4285714285714288</v>
      </c>
      <c r="J281" s="33">
        <f t="shared" si="9"/>
        <v>6.6267857142857149</v>
      </c>
    </row>
    <row r="282" spans="1:10" x14ac:dyDescent="0.35">
      <c r="A282" s="29" t="s">
        <v>102</v>
      </c>
      <c r="B282" s="18">
        <v>279</v>
      </c>
      <c r="C282" s="17" t="s">
        <v>114</v>
      </c>
      <c r="D282" s="17" t="s">
        <v>101</v>
      </c>
      <c r="E282" s="19" t="s">
        <v>8</v>
      </c>
      <c r="F282" s="19">
        <v>7.36</v>
      </c>
      <c r="G282" s="19">
        <v>5.77</v>
      </c>
      <c r="H282" s="20">
        <f t="shared" si="8"/>
        <v>6.5649999999999995</v>
      </c>
      <c r="I282" s="21">
        <v>5.3928571428571432</v>
      </c>
      <c r="J282" s="33">
        <f t="shared" si="9"/>
        <v>5.9789285714285718</v>
      </c>
    </row>
    <row r="283" spans="1:10" x14ac:dyDescent="0.35">
      <c r="A283" s="29" t="s">
        <v>102</v>
      </c>
      <c r="B283" s="18">
        <v>280</v>
      </c>
      <c r="C283" s="17" t="s">
        <v>115</v>
      </c>
      <c r="D283" s="17" t="s">
        <v>101</v>
      </c>
      <c r="E283" s="19" t="s">
        <v>8</v>
      </c>
      <c r="F283" s="19">
        <v>9.02</v>
      </c>
      <c r="G283" s="19">
        <v>5.94</v>
      </c>
      <c r="H283" s="20">
        <f t="shared" si="8"/>
        <v>7.48</v>
      </c>
      <c r="I283" s="21">
        <v>5.1428571428571432</v>
      </c>
      <c r="J283" s="33">
        <f t="shared" si="9"/>
        <v>6.3114285714285714</v>
      </c>
    </row>
    <row r="284" spans="1:10" x14ac:dyDescent="0.35">
      <c r="A284" s="29" t="s">
        <v>102</v>
      </c>
      <c r="B284" s="18">
        <v>281</v>
      </c>
      <c r="C284" s="17" t="s">
        <v>116</v>
      </c>
      <c r="D284" s="17" t="s">
        <v>100</v>
      </c>
      <c r="E284" s="19" t="s">
        <v>8</v>
      </c>
      <c r="F284" s="19">
        <v>5.66</v>
      </c>
      <c r="G284" s="19">
        <v>0</v>
      </c>
      <c r="H284" s="20">
        <f t="shared" si="8"/>
        <v>2.83</v>
      </c>
      <c r="I284" s="21">
        <v>5.1071428571428568</v>
      </c>
      <c r="J284" s="33">
        <f t="shared" si="9"/>
        <v>3.9685714285714284</v>
      </c>
    </row>
    <row r="285" spans="1:10" x14ac:dyDescent="0.35">
      <c r="A285" s="29" t="s">
        <v>102</v>
      </c>
      <c r="B285" s="18">
        <v>282</v>
      </c>
      <c r="C285" s="17" t="s">
        <v>117</v>
      </c>
      <c r="D285" s="17" t="s">
        <v>100</v>
      </c>
      <c r="E285" s="19" t="s">
        <v>8</v>
      </c>
      <c r="F285" s="19">
        <v>6.38</v>
      </c>
      <c r="G285" s="19">
        <v>0</v>
      </c>
      <c r="H285" s="20">
        <f t="shared" si="8"/>
        <v>3.19</v>
      </c>
      <c r="I285" s="21">
        <v>5.0357142857142856</v>
      </c>
      <c r="J285" s="33">
        <f t="shared" si="9"/>
        <v>4.112857142857143</v>
      </c>
    </row>
    <row r="286" spans="1:10" x14ac:dyDescent="0.35">
      <c r="A286" s="29" t="s">
        <v>102</v>
      </c>
      <c r="B286" s="18">
        <v>283</v>
      </c>
      <c r="C286" s="17" t="s">
        <v>118</v>
      </c>
      <c r="D286" s="17" t="s">
        <v>100</v>
      </c>
      <c r="E286" s="19" t="s">
        <v>8</v>
      </c>
      <c r="F286" s="19">
        <v>8.41</v>
      </c>
      <c r="G286" s="19">
        <v>4.4400000000000004</v>
      </c>
      <c r="H286" s="20">
        <f t="shared" si="8"/>
        <v>6.4250000000000007</v>
      </c>
      <c r="I286" s="21">
        <v>5</v>
      </c>
      <c r="J286" s="33">
        <f t="shared" si="9"/>
        <v>5.7125000000000004</v>
      </c>
    </row>
    <row r="287" spans="1:10" x14ac:dyDescent="0.35">
      <c r="A287" s="30" t="s">
        <v>102</v>
      </c>
      <c r="B287" s="46">
        <v>284</v>
      </c>
      <c r="C287" s="1" t="s">
        <v>119</v>
      </c>
      <c r="D287" s="1" t="s">
        <v>101</v>
      </c>
      <c r="E287" s="2" t="s">
        <v>8</v>
      </c>
      <c r="F287" s="2">
        <v>7.86</v>
      </c>
      <c r="G287" s="2">
        <v>4.25</v>
      </c>
      <c r="H287" s="12">
        <f t="shared" si="8"/>
        <v>6.0549999999999997</v>
      </c>
      <c r="I287" s="13">
        <v>4.47</v>
      </c>
      <c r="J287" s="34">
        <f t="shared" si="9"/>
        <v>5.2624999999999993</v>
      </c>
    </row>
    <row r="288" spans="1:10" x14ac:dyDescent="0.35">
      <c r="A288" s="30" t="s">
        <v>102</v>
      </c>
      <c r="B288" s="46">
        <v>285</v>
      </c>
      <c r="C288" s="1" t="s">
        <v>120</v>
      </c>
      <c r="D288" s="1" t="s">
        <v>101</v>
      </c>
      <c r="E288" s="2" t="s">
        <v>8</v>
      </c>
      <c r="F288" s="2">
        <v>6.08</v>
      </c>
      <c r="G288" s="2">
        <v>5.22</v>
      </c>
      <c r="H288" s="12">
        <f t="shared" si="8"/>
        <v>5.65</v>
      </c>
      <c r="I288" s="13">
        <v>4.4671428571428597</v>
      </c>
      <c r="J288" s="34">
        <f t="shared" si="9"/>
        <v>5.0585714285714296</v>
      </c>
    </row>
    <row r="289" spans="1:10" x14ac:dyDescent="0.35">
      <c r="A289" s="30" t="s">
        <v>102</v>
      </c>
      <c r="B289" s="46">
        <v>286</v>
      </c>
      <c r="C289" s="3" t="s">
        <v>242</v>
      </c>
      <c r="D289" s="1" t="s">
        <v>101</v>
      </c>
      <c r="E289" s="2" t="s">
        <v>8</v>
      </c>
      <c r="F289" s="2">
        <v>4.5</v>
      </c>
      <c r="G289" s="2">
        <v>5.52</v>
      </c>
      <c r="H289" s="12">
        <f t="shared" si="8"/>
        <v>5.01</v>
      </c>
      <c r="I289" s="13">
        <v>3.8571428571428572</v>
      </c>
      <c r="J289" s="34">
        <f t="shared" si="9"/>
        <v>4.4335714285714287</v>
      </c>
    </row>
    <row r="290" spans="1:10" x14ac:dyDescent="0.35">
      <c r="A290" s="30" t="s">
        <v>102</v>
      </c>
      <c r="B290" s="46">
        <v>287</v>
      </c>
      <c r="C290" s="1" t="s">
        <v>248</v>
      </c>
      <c r="D290" s="1" t="s">
        <v>101</v>
      </c>
      <c r="E290" s="2" t="s">
        <v>8</v>
      </c>
      <c r="F290" s="2">
        <v>2.5</v>
      </c>
      <c r="G290" s="2">
        <v>2.25</v>
      </c>
      <c r="H290" s="12">
        <f t="shared" si="8"/>
        <v>2.375</v>
      </c>
      <c r="I290" s="13">
        <v>1.75</v>
      </c>
      <c r="J290" s="34">
        <f t="shared" si="9"/>
        <v>2.0625</v>
      </c>
    </row>
    <row r="291" spans="1:10" x14ac:dyDescent="0.35">
      <c r="A291" s="30" t="s">
        <v>102</v>
      </c>
      <c r="B291" s="46">
        <v>288</v>
      </c>
      <c r="C291" s="1" t="s">
        <v>245</v>
      </c>
      <c r="D291" s="1" t="s">
        <v>100</v>
      </c>
      <c r="E291" s="2" t="s">
        <v>8</v>
      </c>
      <c r="F291" s="2">
        <v>8.8000000000000007</v>
      </c>
      <c r="G291" s="2">
        <v>3.88</v>
      </c>
      <c r="H291" s="12">
        <f t="shared" si="8"/>
        <v>6.34</v>
      </c>
      <c r="I291" s="13">
        <v>1.25</v>
      </c>
      <c r="J291" s="34">
        <f t="shared" si="9"/>
        <v>3.7949999999999999</v>
      </c>
    </row>
    <row r="292" spans="1:10" x14ac:dyDescent="0.35">
      <c r="A292" s="30" t="s">
        <v>102</v>
      </c>
      <c r="B292" s="46">
        <v>289</v>
      </c>
      <c r="C292" s="1" t="s">
        <v>241</v>
      </c>
      <c r="D292" s="1" t="s">
        <v>101</v>
      </c>
      <c r="E292" s="2" t="s">
        <v>8</v>
      </c>
      <c r="F292" s="2">
        <v>2.08</v>
      </c>
      <c r="G292" s="2">
        <v>4.9400000000000004</v>
      </c>
      <c r="H292" s="12">
        <f t="shared" si="8"/>
        <v>3.5100000000000002</v>
      </c>
      <c r="I292" s="13">
        <v>1.1428571428571428</v>
      </c>
      <c r="J292" s="34">
        <f t="shared" si="9"/>
        <v>2.3264285714285715</v>
      </c>
    </row>
    <row r="293" spans="1:10" x14ac:dyDescent="0.35">
      <c r="A293" s="30" t="s">
        <v>102</v>
      </c>
      <c r="B293" s="46">
        <v>290</v>
      </c>
      <c r="C293" s="1" t="s">
        <v>247</v>
      </c>
      <c r="D293" s="1" t="s">
        <v>101</v>
      </c>
      <c r="E293" s="2" t="s">
        <v>8</v>
      </c>
      <c r="F293" s="2">
        <v>1.88</v>
      </c>
      <c r="G293" s="2">
        <v>1.91</v>
      </c>
      <c r="H293" s="12">
        <f t="shared" si="8"/>
        <v>1.895</v>
      </c>
      <c r="I293" s="13">
        <v>1.0714285714285714</v>
      </c>
      <c r="J293" s="34">
        <f t="shared" si="9"/>
        <v>1.4832142857142858</v>
      </c>
    </row>
    <row r="294" spans="1:10" x14ac:dyDescent="0.35">
      <c r="A294" s="30" t="s">
        <v>102</v>
      </c>
      <c r="B294" s="46">
        <v>291</v>
      </c>
      <c r="C294" s="1" t="s">
        <v>244</v>
      </c>
      <c r="D294" s="1" t="s">
        <v>100</v>
      </c>
      <c r="E294" s="2" t="s">
        <v>8</v>
      </c>
      <c r="F294" s="2">
        <v>9.16</v>
      </c>
      <c r="G294" s="2">
        <v>5.36</v>
      </c>
      <c r="H294" s="12">
        <f t="shared" si="8"/>
        <v>7.26</v>
      </c>
      <c r="I294" s="13">
        <v>1</v>
      </c>
      <c r="J294" s="34">
        <f t="shared" si="9"/>
        <v>4.13</v>
      </c>
    </row>
    <row r="295" spans="1:10" x14ac:dyDescent="0.35">
      <c r="A295" s="30" t="s">
        <v>102</v>
      </c>
      <c r="B295" s="46">
        <v>292</v>
      </c>
      <c r="C295" s="1" t="s">
        <v>246</v>
      </c>
      <c r="D295" s="1" t="s">
        <v>101</v>
      </c>
      <c r="E295" s="2" t="s">
        <v>8</v>
      </c>
      <c r="F295" s="2">
        <v>3.55</v>
      </c>
      <c r="G295" s="2">
        <v>2.02</v>
      </c>
      <c r="H295" s="12">
        <f t="shared" si="8"/>
        <v>2.7850000000000001</v>
      </c>
      <c r="I295" s="13">
        <v>0</v>
      </c>
      <c r="J295" s="34">
        <f t="shared" si="9"/>
        <v>1.3925000000000001</v>
      </c>
    </row>
    <row r="296" spans="1:10" x14ac:dyDescent="0.35">
      <c r="A296" s="30" t="s">
        <v>102</v>
      </c>
      <c r="B296" s="46">
        <v>293</v>
      </c>
      <c r="C296" s="1" t="s">
        <v>249</v>
      </c>
      <c r="D296" s="1" t="s">
        <v>101</v>
      </c>
      <c r="E296" s="2" t="s">
        <v>8</v>
      </c>
      <c r="F296" s="2">
        <v>2.33</v>
      </c>
      <c r="G296" s="2">
        <v>2.38</v>
      </c>
      <c r="H296" s="12">
        <f t="shared" si="8"/>
        <v>2.355</v>
      </c>
      <c r="I296" s="13">
        <v>0</v>
      </c>
      <c r="J296" s="34">
        <f t="shared" si="9"/>
        <v>1.1775</v>
      </c>
    </row>
    <row r="297" spans="1:10" x14ac:dyDescent="0.35">
      <c r="A297" s="29" t="s">
        <v>46</v>
      </c>
      <c r="B297" s="18">
        <v>294</v>
      </c>
      <c r="C297" s="17" t="s">
        <v>47</v>
      </c>
      <c r="D297" s="17" t="s">
        <v>48</v>
      </c>
      <c r="E297" s="19" t="s">
        <v>8</v>
      </c>
      <c r="F297" s="19">
        <v>9</v>
      </c>
      <c r="G297" s="19">
        <v>8.9700000000000006</v>
      </c>
      <c r="H297" s="20">
        <f t="shared" si="8"/>
        <v>8.9849999999999994</v>
      </c>
      <c r="I297" s="21">
        <v>9.2321428571428577</v>
      </c>
      <c r="J297" s="33">
        <f t="shared" si="9"/>
        <v>9.1085714285714285</v>
      </c>
    </row>
    <row r="298" spans="1:10" x14ac:dyDescent="0.35">
      <c r="A298" s="29" t="s">
        <v>46</v>
      </c>
      <c r="B298" s="18">
        <v>295</v>
      </c>
      <c r="C298" s="17" t="s">
        <v>734</v>
      </c>
      <c r="D298" s="17" t="s">
        <v>48</v>
      </c>
      <c r="E298" s="19" t="s">
        <v>8</v>
      </c>
      <c r="F298" s="19">
        <v>7</v>
      </c>
      <c r="G298" s="19">
        <v>8.08</v>
      </c>
      <c r="H298" s="20">
        <f t="shared" si="8"/>
        <v>7.54</v>
      </c>
      <c r="I298" s="21">
        <v>8.2142857142857135</v>
      </c>
      <c r="J298" s="33">
        <f t="shared" si="9"/>
        <v>7.8771428571428572</v>
      </c>
    </row>
    <row r="299" spans="1:10" x14ac:dyDescent="0.35">
      <c r="A299" s="29" t="s">
        <v>46</v>
      </c>
      <c r="B299" s="18">
        <v>296</v>
      </c>
      <c r="C299" s="17" t="s">
        <v>49</v>
      </c>
      <c r="D299" s="17" t="s">
        <v>48</v>
      </c>
      <c r="E299" s="19" t="s">
        <v>8</v>
      </c>
      <c r="F299" s="19">
        <v>5.58</v>
      </c>
      <c r="G299" s="19">
        <v>7.47</v>
      </c>
      <c r="H299" s="20">
        <f t="shared" si="8"/>
        <v>6.5250000000000004</v>
      </c>
      <c r="I299" s="21">
        <v>7.6785714285714288</v>
      </c>
      <c r="J299" s="33">
        <f t="shared" si="9"/>
        <v>7.1017857142857146</v>
      </c>
    </row>
    <row r="300" spans="1:10" x14ac:dyDescent="0.35">
      <c r="A300" s="29" t="s">
        <v>46</v>
      </c>
      <c r="B300" s="18">
        <v>297</v>
      </c>
      <c r="C300" s="17" t="s">
        <v>50</v>
      </c>
      <c r="D300" s="17" t="s">
        <v>48</v>
      </c>
      <c r="E300" s="19" t="s">
        <v>8</v>
      </c>
      <c r="F300" s="19">
        <v>8.1300000000000008</v>
      </c>
      <c r="G300" s="19">
        <v>7.13</v>
      </c>
      <c r="H300" s="20">
        <f t="shared" si="8"/>
        <v>7.6300000000000008</v>
      </c>
      <c r="I300" s="21">
        <v>6.6071428571428568</v>
      </c>
      <c r="J300" s="33">
        <f t="shared" si="9"/>
        <v>7.1185714285714283</v>
      </c>
    </row>
    <row r="301" spans="1:10" x14ac:dyDescent="0.35">
      <c r="A301" s="29" t="s">
        <v>46</v>
      </c>
      <c r="B301" s="18">
        <v>298</v>
      </c>
      <c r="C301" s="17" t="s">
        <v>457</v>
      </c>
      <c r="D301" s="17" t="s">
        <v>51</v>
      </c>
      <c r="E301" s="19" t="s">
        <v>8</v>
      </c>
      <c r="F301" s="19">
        <v>7.48</v>
      </c>
      <c r="G301" s="19">
        <v>7.13</v>
      </c>
      <c r="H301" s="20">
        <f t="shared" si="8"/>
        <v>7.3049999999999997</v>
      </c>
      <c r="I301" s="21">
        <v>6.4464285714285712</v>
      </c>
      <c r="J301" s="33">
        <f t="shared" si="9"/>
        <v>6.8757142857142854</v>
      </c>
    </row>
    <row r="302" spans="1:10" x14ac:dyDescent="0.35">
      <c r="A302" s="29" t="s">
        <v>46</v>
      </c>
      <c r="B302" s="18">
        <v>299</v>
      </c>
      <c r="C302" s="17" t="s">
        <v>52</v>
      </c>
      <c r="D302" s="17" t="s">
        <v>48</v>
      </c>
      <c r="E302" s="19" t="s">
        <v>8</v>
      </c>
      <c r="F302" s="19">
        <v>7.77</v>
      </c>
      <c r="G302" s="19">
        <v>7</v>
      </c>
      <c r="H302" s="20">
        <f t="shared" si="8"/>
        <v>7.3849999999999998</v>
      </c>
      <c r="I302" s="21">
        <v>6.1428571428571432</v>
      </c>
      <c r="J302" s="33">
        <f t="shared" si="9"/>
        <v>6.763928571428572</v>
      </c>
    </row>
    <row r="303" spans="1:10" x14ac:dyDescent="0.35">
      <c r="A303" s="29" t="s">
        <v>46</v>
      </c>
      <c r="B303" s="18">
        <v>300</v>
      </c>
      <c r="C303" s="17" t="s">
        <v>53</v>
      </c>
      <c r="D303" s="17" t="s">
        <v>51</v>
      </c>
      <c r="E303" s="19" t="s">
        <v>8</v>
      </c>
      <c r="F303" s="19">
        <v>7.69</v>
      </c>
      <c r="G303" s="19">
        <v>8.52</v>
      </c>
      <c r="H303" s="20">
        <f t="shared" si="8"/>
        <v>8.1050000000000004</v>
      </c>
      <c r="I303" s="21">
        <v>5.7142857142857144</v>
      </c>
      <c r="J303" s="33">
        <f t="shared" si="9"/>
        <v>6.9096428571428579</v>
      </c>
    </row>
    <row r="304" spans="1:10" x14ac:dyDescent="0.35">
      <c r="A304" s="29" t="s">
        <v>46</v>
      </c>
      <c r="B304" s="18">
        <v>301</v>
      </c>
      <c r="C304" s="17" t="s">
        <v>735</v>
      </c>
      <c r="D304" s="17" t="s">
        <v>48</v>
      </c>
      <c r="E304" s="19" t="s">
        <v>8</v>
      </c>
      <c r="F304" s="19">
        <v>4.5199999999999996</v>
      </c>
      <c r="G304" s="19">
        <v>3.18</v>
      </c>
      <c r="H304" s="20">
        <f t="shared" si="8"/>
        <v>3.8499999999999996</v>
      </c>
      <c r="I304" s="21">
        <v>5.5357142857142856</v>
      </c>
      <c r="J304" s="33">
        <f t="shared" si="9"/>
        <v>4.6928571428571431</v>
      </c>
    </row>
    <row r="305" spans="1:10" x14ac:dyDescent="0.35">
      <c r="A305" s="29" t="s">
        <v>46</v>
      </c>
      <c r="B305" s="18">
        <v>302</v>
      </c>
      <c r="C305" s="17" t="s">
        <v>54</v>
      </c>
      <c r="D305" s="17" t="s">
        <v>48</v>
      </c>
      <c r="E305" s="19" t="s">
        <v>8</v>
      </c>
      <c r="F305" s="19">
        <v>7</v>
      </c>
      <c r="G305" s="19">
        <v>7.66</v>
      </c>
      <c r="H305" s="20">
        <f t="shared" si="8"/>
        <v>7.33</v>
      </c>
      <c r="I305" s="21">
        <v>5.4285714285714288</v>
      </c>
      <c r="J305" s="33">
        <f t="shared" si="9"/>
        <v>6.3792857142857144</v>
      </c>
    </row>
    <row r="306" spans="1:10" x14ac:dyDescent="0.35">
      <c r="A306" s="29" t="s">
        <v>46</v>
      </c>
      <c r="B306" s="18">
        <v>303</v>
      </c>
      <c r="C306" s="17" t="s">
        <v>736</v>
      </c>
      <c r="D306" s="17" t="s">
        <v>48</v>
      </c>
      <c r="E306" s="19" t="s">
        <v>8</v>
      </c>
      <c r="F306" s="19">
        <v>5.69</v>
      </c>
      <c r="G306" s="19">
        <v>5.97</v>
      </c>
      <c r="H306" s="20">
        <f t="shared" si="8"/>
        <v>5.83</v>
      </c>
      <c r="I306" s="21">
        <v>5.4285714285714288</v>
      </c>
      <c r="J306" s="33">
        <f t="shared" si="9"/>
        <v>5.6292857142857144</v>
      </c>
    </row>
    <row r="307" spans="1:10" x14ac:dyDescent="0.35">
      <c r="A307" s="29" t="s">
        <v>46</v>
      </c>
      <c r="B307" s="18">
        <v>304</v>
      </c>
      <c r="C307" s="17" t="s">
        <v>55</v>
      </c>
      <c r="D307" s="17" t="s">
        <v>51</v>
      </c>
      <c r="E307" s="19" t="s">
        <v>8</v>
      </c>
      <c r="F307" s="19">
        <v>6.62</v>
      </c>
      <c r="G307" s="19">
        <v>3.66</v>
      </c>
      <c r="H307" s="20">
        <f t="shared" si="8"/>
        <v>5.1400000000000006</v>
      </c>
      <c r="I307" s="21">
        <v>4.6785714285714288</v>
      </c>
      <c r="J307" s="33">
        <f t="shared" si="9"/>
        <v>4.9092857142857147</v>
      </c>
    </row>
    <row r="308" spans="1:10" x14ac:dyDescent="0.35">
      <c r="A308" s="29" t="s">
        <v>46</v>
      </c>
      <c r="B308" s="18">
        <v>305</v>
      </c>
      <c r="C308" s="17" t="s">
        <v>296</v>
      </c>
      <c r="D308" s="17" t="s">
        <v>51</v>
      </c>
      <c r="E308" s="19" t="s">
        <v>8</v>
      </c>
      <c r="F308" s="19">
        <v>6.63</v>
      </c>
      <c r="G308" s="19">
        <v>5.8</v>
      </c>
      <c r="H308" s="20">
        <f t="shared" si="8"/>
        <v>6.2149999999999999</v>
      </c>
      <c r="I308" s="21">
        <v>4.5047142857142903</v>
      </c>
      <c r="J308" s="33">
        <f t="shared" si="9"/>
        <v>5.3598571428571447</v>
      </c>
    </row>
    <row r="309" spans="1:10" x14ac:dyDescent="0.35">
      <c r="A309" s="30" t="s">
        <v>46</v>
      </c>
      <c r="B309" s="46">
        <v>306</v>
      </c>
      <c r="C309" s="1" t="s">
        <v>737</v>
      </c>
      <c r="D309" s="1" t="s">
        <v>48</v>
      </c>
      <c r="E309" s="2" t="s">
        <v>8</v>
      </c>
      <c r="F309" s="2">
        <v>4.63</v>
      </c>
      <c r="G309" s="2">
        <v>4.6900000000000004</v>
      </c>
      <c r="H309" s="12">
        <f t="shared" si="8"/>
        <v>4.66</v>
      </c>
      <c r="I309" s="13">
        <v>3.8928571428571428</v>
      </c>
      <c r="J309" s="34">
        <f t="shared" si="9"/>
        <v>4.2764285714285712</v>
      </c>
    </row>
    <row r="310" spans="1:10" x14ac:dyDescent="0.35">
      <c r="A310" s="30" t="s">
        <v>46</v>
      </c>
      <c r="B310" s="46">
        <v>307</v>
      </c>
      <c r="C310" s="1" t="s">
        <v>738</v>
      </c>
      <c r="D310" s="1" t="s">
        <v>48</v>
      </c>
      <c r="E310" s="2" t="s">
        <v>8</v>
      </c>
      <c r="F310" s="2">
        <v>5.47</v>
      </c>
      <c r="G310" s="2">
        <v>5.72</v>
      </c>
      <c r="H310" s="12">
        <f t="shared" si="8"/>
        <v>5.5949999999999998</v>
      </c>
      <c r="I310" s="13">
        <v>3.875</v>
      </c>
      <c r="J310" s="34">
        <f t="shared" si="9"/>
        <v>4.7349999999999994</v>
      </c>
    </row>
    <row r="311" spans="1:10" x14ac:dyDescent="0.35">
      <c r="A311" s="30" t="s">
        <v>46</v>
      </c>
      <c r="B311" s="46">
        <v>308</v>
      </c>
      <c r="C311" s="1" t="s">
        <v>739</v>
      </c>
      <c r="D311" s="1" t="s">
        <v>48</v>
      </c>
      <c r="E311" s="2" t="s">
        <v>8</v>
      </c>
      <c r="F311" s="2">
        <v>4.7699999999999996</v>
      </c>
      <c r="G311" s="2">
        <v>3.18</v>
      </c>
      <c r="H311" s="12">
        <f t="shared" si="8"/>
        <v>3.9749999999999996</v>
      </c>
      <c r="I311" s="13">
        <v>3.7142857142857144</v>
      </c>
      <c r="J311" s="34">
        <f t="shared" si="9"/>
        <v>3.844642857142857</v>
      </c>
    </row>
    <row r="312" spans="1:10" x14ac:dyDescent="0.35">
      <c r="A312" s="30" t="s">
        <v>46</v>
      </c>
      <c r="B312" s="46">
        <v>309</v>
      </c>
      <c r="C312" s="8" t="s">
        <v>288</v>
      </c>
      <c r="D312" s="1" t="s">
        <v>48</v>
      </c>
      <c r="E312" s="2" t="s">
        <v>8</v>
      </c>
      <c r="F312" s="2">
        <v>0</v>
      </c>
      <c r="G312" s="2">
        <v>5.25</v>
      </c>
      <c r="H312" s="12">
        <f t="shared" si="8"/>
        <v>2.625</v>
      </c>
      <c r="I312" s="13">
        <v>3.6428571428571428</v>
      </c>
      <c r="J312" s="34">
        <f t="shared" si="9"/>
        <v>3.1339285714285712</v>
      </c>
    </row>
    <row r="313" spans="1:10" x14ac:dyDescent="0.35">
      <c r="A313" s="30" t="s">
        <v>46</v>
      </c>
      <c r="B313" s="46">
        <v>310</v>
      </c>
      <c r="C313" s="1" t="s">
        <v>740</v>
      </c>
      <c r="D313" s="1" t="s">
        <v>48</v>
      </c>
      <c r="E313" s="2" t="s">
        <v>8</v>
      </c>
      <c r="F313" s="2">
        <v>6.55</v>
      </c>
      <c r="G313" s="2">
        <v>6.38</v>
      </c>
      <c r="H313" s="12">
        <f t="shared" si="8"/>
        <v>6.4649999999999999</v>
      </c>
      <c r="I313" s="13">
        <v>3.6071428571428572</v>
      </c>
      <c r="J313" s="34">
        <f t="shared" si="9"/>
        <v>5.0360714285714288</v>
      </c>
    </row>
    <row r="314" spans="1:10" x14ac:dyDescent="0.35">
      <c r="A314" s="30" t="s">
        <v>46</v>
      </c>
      <c r="B314" s="46">
        <v>311</v>
      </c>
      <c r="C314" s="1" t="s">
        <v>741</v>
      </c>
      <c r="D314" s="1" t="s">
        <v>51</v>
      </c>
      <c r="E314" s="2" t="s">
        <v>8</v>
      </c>
      <c r="F314" s="2">
        <v>4.1500000000000004</v>
      </c>
      <c r="G314" s="2">
        <v>0</v>
      </c>
      <c r="H314" s="12">
        <f t="shared" si="8"/>
        <v>2.0750000000000002</v>
      </c>
      <c r="I314" s="13">
        <v>3.2142857142857144</v>
      </c>
      <c r="J314" s="34">
        <f t="shared" si="9"/>
        <v>2.6446428571428573</v>
      </c>
    </row>
    <row r="315" spans="1:10" x14ac:dyDescent="0.35">
      <c r="A315" s="30" t="s">
        <v>46</v>
      </c>
      <c r="B315" s="46">
        <v>312</v>
      </c>
      <c r="C315" s="1" t="s">
        <v>287</v>
      </c>
      <c r="D315" s="1" t="s">
        <v>48</v>
      </c>
      <c r="E315" s="2" t="s">
        <v>8</v>
      </c>
      <c r="F315" s="2">
        <v>4.75</v>
      </c>
      <c r="G315" s="2">
        <v>4.16</v>
      </c>
      <c r="H315" s="12">
        <f t="shared" si="8"/>
        <v>4.4550000000000001</v>
      </c>
      <c r="I315" s="13">
        <v>2.9107142857142856</v>
      </c>
      <c r="J315" s="34">
        <f t="shared" si="9"/>
        <v>3.6828571428571428</v>
      </c>
    </row>
    <row r="316" spans="1:10" x14ac:dyDescent="0.35">
      <c r="A316" s="30" t="s">
        <v>46</v>
      </c>
      <c r="B316" s="46">
        <v>313</v>
      </c>
      <c r="C316" s="1" t="s">
        <v>295</v>
      </c>
      <c r="D316" s="1" t="s">
        <v>51</v>
      </c>
      <c r="E316" s="2" t="s">
        <v>8</v>
      </c>
      <c r="F316" s="2">
        <v>6.75</v>
      </c>
      <c r="G316" s="2">
        <v>4.97</v>
      </c>
      <c r="H316" s="12">
        <f t="shared" si="8"/>
        <v>5.8599999999999994</v>
      </c>
      <c r="I316" s="13">
        <v>2.6785714285714284</v>
      </c>
      <c r="J316" s="34">
        <f t="shared" si="9"/>
        <v>4.2692857142857141</v>
      </c>
    </row>
    <row r="317" spans="1:10" x14ac:dyDescent="0.35">
      <c r="A317" s="30" t="s">
        <v>46</v>
      </c>
      <c r="B317" s="46">
        <v>314</v>
      </c>
      <c r="C317" s="1" t="s">
        <v>286</v>
      </c>
      <c r="D317" s="1" t="s">
        <v>48</v>
      </c>
      <c r="E317" s="2" t="s">
        <v>8</v>
      </c>
      <c r="F317" s="2">
        <v>3.97</v>
      </c>
      <c r="G317" s="2">
        <v>4.75</v>
      </c>
      <c r="H317" s="12">
        <f t="shared" si="8"/>
        <v>4.3600000000000003</v>
      </c>
      <c r="I317" s="13">
        <v>2.6428571428571428</v>
      </c>
      <c r="J317" s="34">
        <f t="shared" si="9"/>
        <v>3.5014285714285718</v>
      </c>
    </row>
    <row r="318" spans="1:10" x14ac:dyDescent="0.35">
      <c r="A318" s="30" t="s">
        <v>46</v>
      </c>
      <c r="B318" s="46">
        <v>315</v>
      </c>
      <c r="C318" s="1" t="s">
        <v>290</v>
      </c>
      <c r="D318" s="1" t="s">
        <v>291</v>
      </c>
      <c r="E318" s="2" t="s">
        <v>8</v>
      </c>
      <c r="F318" s="2">
        <v>4.47</v>
      </c>
      <c r="G318" s="2">
        <v>3.19</v>
      </c>
      <c r="H318" s="12">
        <f t="shared" si="8"/>
        <v>3.83</v>
      </c>
      <c r="I318" s="13">
        <v>2.5</v>
      </c>
      <c r="J318" s="34">
        <f t="shared" si="9"/>
        <v>3.165</v>
      </c>
    </row>
    <row r="319" spans="1:10" x14ac:dyDescent="0.35">
      <c r="A319" s="30" t="s">
        <v>46</v>
      </c>
      <c r="B319" s="46">
        <v>316</v>
      </c>
      <c r="C319" s="1" t="s">
        <v>292</v>
      </c>
      <c r="D319" s="1" t="s">
        <v>51</v>
      </c>
      <c r="E319" s="2" t="s">
        <v>8</v>
      </c>
      <c r="F319" s="2">
        <v>6.75</v>
      </c>
      <c r="G319" s="2">
        <v>7.19</v>
      </c>
      <c r="H319" s="12">
        <f t="shared" si="8"/>
        <v>6.9700000000000006</v>
      </c>
      <c r="I319" s="13">
        <v>2.5</v>
      </c>
      <c r="J319" s="34">
        <f t="shared" si="9"/>
        <v>4.7350000000000003</v>
      </c>
    </row>
    <row r="320" spans="1:10" x14ac:dyDescent="0.35">
      <c r="A320" s="30" t="s">
        <v>46</v>
      </c>
      <c r="B320" s="46">
        <v>317</v>
      </c>
      <c r="C320" s="1" t="s">
        <v>293</v>
      </c>
      <c r="D320" s="1" t="s">
        <v>51</v>
      </c>
      <c r="E320" s="2" t="s">
        <v>8</v>
      </c>
      <c r="F320" s="2">
        <v>6.19</v>
      </c>
      <c r="G320" s="2">
        <v>4.04</v>
      </c>
      <c r="H320" s="12">
        <f t="shared" si="8"/>
        <v>5.1150000000000002</v>
      </c>
      <c r="I320" s="13">
        <v>2.0357142857142856</v>
      </c>
      <c r="J320" s="34">
        <f t="shared" si="9"/>
        <v>3.5753571428571429</v>
      </c>
    </row>
    <row r="321" spans="1:10" x14ac:dyDescent="0.35">
      <c r="A321" s="30" t="s">
        <v>46</v>
      </c>
      <c r="B321" s="46">
        <v>318</v>
      </c>
      <c r="C321" s="1" t="s">
        <v>284</v>
      </c>
      <c r="D321" s="1" t="s">
        <v>48</v>
      </c>
      <c r="E321" s="2" t="s">
        <v>8</v>
      </c>
      <c r="F321" s="2">
        <v>4.0199999999999996</v>
      </c>
      <c r="G321" s="2">
        <v>5.94</v>
      </c>
      <c r="H321" s="12">
        <f t="shared" si="8"/>
        <v>4.9800000000000004</v>
      </c>
      <c r="I321" s="13">
        <v>1.9285714285714286</v>
      </c>
      <c r="J321" s="34">
        <f t="shared" si="9"/>
        <v>3.4542857142857146</v>
      </c>
    </row>
    <row r="322" spans="1:10" x14ac:dyDescent="0.35">
      <c r="A322" s="30" t="s">
        <v>46</v>
      </c>
      <c r="B322" s="46">
        <v>319</v>
      </c>
      <c r="C322" s="1" t="s">
        <v>294</v>
      </c>
      <c r="D322" s="1" t="s">
        <v>51</v>
      </c>
      <c r="E322" s="2" t="s">
        <v>8</v>
      </c>
      <c r="F322" s="2">
        <v>5.34</v>
      </c>
      <c r="G322" s="2">
        <v>6.33</v>
      </c>
      <c r="H322" s="12">
        <f t="shared" si="8"/>
        <v>5.835</v>
      </c>
      <c r="I322" s="13">
        <v>1.9285714285714286</v>
      </c>
      <c r="J322" s="34">
        <f t="shared" si="9"/>
        <v>3.8817857142857144</v>
      </c>
    </row>
    <row r="323" spans="1:10" x14ac:dyDescent="0.35">
      <c r="A323" s="30" t="s">
        <v>46</v>
      </c>
      <c r="B323" s="46">
        <v>320</v>
      </c>
      <c r="C323" s="1" t="s">
        <v>285</v>
      </c>
      <c r="D323" s="1" t="s">
        <v>51</v>
      </c>
      <c r="E323" s="2" t="s">
        <v>8</v>
      </c>
      <c r="F323" s="2">
        <v>2.83</v>
      </c>
      <c r="G323" s="2">
        <v>1.79</v>
      </c>
      <c r="H323" s="12">
        <f t="shared" si="8"/>
        <v>2.31</v>
      </c>
      <c r="I323" s="13">
        <v>1.3571428571428572</v>
      </c>
      <c r="J323" s="34">
        <f t="shared" si="9"/>
        <v>1.8335714285714286</v>
      </c>
    </row>
    <row r="324" spans="1:10" x14ac:dyDescent="0.35">
      <c r="A324" s="30" t="s">
        <v>46</v>
      </c>
      <c r="B324" s="46">
        <v>321</v>
      </c>
      <c r="C324" s="1" t="s">
        <v>289</v>
      </c>
      <c r="D324" s="1" t="s">
        <v>48</v>
      </c>
      <c r="E324" s="2" t="s">
        <v>8</v>
      </c>
      <c r="F324" s="2">
        <v>4.8600000000000003</v>
      </c>
      <c r="G324" s="2">
        <v>8.68</v>
      </c>
      <c r="H324" s="12">
        <f t="shared" ref="H324:H326" si="10">(F324+G324)/2</f>
        <v>6.77</v>
      </c>
      <c r="I324" s="13">
        <v>0.9642857142857143</v>
      </c>
      <c r="J324" s="34">
        <f t="shared" ref="J324:J326" si="11">(H324+I324)/2</f>
        <v>3.867142857142857</v>
      </c>
    </row>
    <row r="325" spans="1:10" x14ac:dyDescent="0.35">
      <c r="A325" s="30" t="s">
        <v>46</v>
      </c>
      <c r="B325" s="46">
        <v>322</v>
      </c>
      <c r="C325" s="1" t="s">
        <v>297</v>
      </c>
      <c r="D325" s="1" t="s">
        <v>51</v>
      </c>
      <c r="E325" s="2" t="s">
        <v>8</v>
      </c>
      <c r="F325" s="2">
        <v>3.88</v>
      </c>
      <c r="G325" s="2">
        <v>0</v>
      </c>
      <c r="H325" s="12">
        <f t="shared" si="10"/>
        <v>1.94</v>
      </c>
      <c r="I325" s="13">
        <v>0</v>
      </c>
      <c r="J325" s="34">
        <f t="shared" si="11"/>
        <v>0.97</v>
      </c>
    </row>
    <row r="326" spans="1:10" x14ac:dyDescent="0.35">
      <c r="A326" s="37" t="s">
        <v>46</v>
      </c>
      <c r="B326" s="46">
        <v>323</v>
      </c>
      <c r="C326" s="38" t="s">
        <v>283</v>
      </c>
      <c r="D326" s="38" t="s">
        <v>51</v>
      </c>
      <c r="E326" s="39" t="s">
        <v>8</v>
      </c>
      <c r="F326" s="39">
        <v>3.72</v>
      </c>
      <c r="G326" s="39">
        <v>0</v>
      </c>
      <c r="H326" s="40">
        <f t="shared" si="10"/>
        <v>1.86</v>
      </c>
      <c r="I326" s="41">
        <v>0</v>
      </c>
      <c r="J326" s="42">
        <f t="shared" si="11"/>
        <v>0.93</v>
      </c>
    </row>
    <row r="327" spans="1:10" s="83" customFormat="1" x14ac:dyDescent="0.35">
      <c r="A327" s="75" t="s">
        <v>744</v>
      </c>
      <c r="B327" s="76">
        <f>SUBTOTAL(103,Table4[N° d''ordre])</f>
        <v>323</v>
      </c>
      <c r="C327" s="77"/>
      <c r="D327" s="77"/>
      <c r="E327" s="78"/>
      <c r="F327" s="79">
        <f>SUBTOTAL(101,Table4[M du 1er trimestre])</f>
        <v>5.987863777089788</v>
      </c>
      <c r="G327" s="79">
        <f>SUBTOTAL(101,Table4[M du 2e trimestre])</f>
        <v>4.8848297213622356</v>
      </c>
      <c r="H327" s="80">
        <f>SUBTOTAL(101,Table4[MA])</f>
        <v>5.4363467492260078</v>
      </c>
      <c r="I327" s="81">
        <f>SUBTOTAL(101,Table4[M/CFEPD])</f>
        <v>3.6508841220698796</v>
      </c>
      <c r="J327" s="82">
        <f>SUBTOTAL(101,Table4[MG])</f>
        <v>4.5436154356479461</v>
      </c>
    </row>
    <row r="333" spans="1:10" x14ac:dyDescent="0.35">
      <c r="E333" s="1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topLeftCell="C1" workbookViewId="0">
      <selection activeCell="I38" sqref="I38"/>
    </sheetView>
  </sheetViews>
  <sheetFormatPr defaultColWidth="10.90625" defaultRowHeight="14.5" x14ac:dyDescent="0.35"/>
  <sheetData>
    <row r="1" spans="1:15" x14ac:dyDescent="0.35">
      <c r="A1" s="4" t="s">
        <v>156</v>
      </c>
    </row>
    <row r="2" spans="1:15" x14ac:dyDescent="0.35">
      <c r="A2" s="4" t="s">
        <v>157</v>
      </c>
    </row>
    <row r="3" spans="1:15" x14ac:dyDescent="0.35">
      <c r="A3" s="4" t="s">
        <v>158</v>
      </c>
    </row>
    <row r="4" spans="1:15" x14ac:dyDescent="0.35">
      <c r="A4" s="4" t="s">
        <v>159</v>
      </c>
    </row>
    <row r="5" spans="1:15" x14ac:dyDescent="0.35">
      <c r="A5" s="4" t="s">
        <v>160</v>
      </c>
    </row>
    <row r="7" spans="1:15" x14ac:dyDescent="0.35">
      <c r="A7" s="4" t="s">
        <v>706</v>
      </c>
      <c r="E7" s="4" t="s">
        <v>719</v>
      </c>
      <c r="H7" s="4" t="s">
        <v>722</v>
      </c>
      <c r="I7" s="4"/>
      <c r="K7" s="4" t="s">
        <v>727</v>
      </c>
      <c r="L7" s="4"/>
      <c r="N7" t="s">
        <v>743</v>
      </c>
    </row>
    <row r="8" spans="1:15" ht="14" customHeight="1" x14ac:dyDescent="0.35">
      <c r="A8" s="4" t="s">
        <v>707</v>
      </c>
      <c r="B8">
        <v>26</v>
      </c>
      <c r="E8" s="4" t="s">
        <v>707</v>
      </c>
      <c r="F8">
        <v>29</v>
      </c>
      <c r="H8" s="4" t="s">
        <v>708</v>
      </c>
      <c r="I8">
        <v>1</v>
      </c>
      <c r="K8" s="4" t="s">
        <v>708</v>
      </c>
      <c r="L8">
        <v>2</v>
      </c>
      <c r="N8" s="4" t="s">
        <v>707</v>
      </c>
      <c r="O8">
        <v>32</v>
      </c>
    </row>
    <row r="9" spans="1:15" x14ac:dyDescent="0.35">
      <c r="A9" s="4" t="s">
        <v>708</v>
      </c>
      <c r="B9">
        <v>0</v>
      </c>
      <c r="E9" s="4" t="s">
        <v>708</v>
      </c>
      <c r="F9">
        <v>1</v>
      </c>
      <c r="H9" s="4" t="s">
        <v>709</v>
      </c>
      <c r="I9">
        <v>14</v>
      </c>
      <c r="K9" s="4" t="s">
        <v>709</v>
      </c>
      <c r="L9">
        <v>23</v>
      </c>
      <c r="N9" s="4" t="s">
        <v>708</v>
      </c>
      <c r="O9">
        <v>0</v>
      </c>
    </row>
    <row r="10" spans="1:15" x14ac:dyDescent="0.35">
      <c r="A10" s="4" t="s">
        <v>709</v>
      </c>
      <c r="B10">
        <v>26</v>
      </c>
      <c r="E10" s="4" t="s">
        <v>709</v>
      </c>
      <c r="F10">
        <v>29</v>
      </c>
      <c r="H10" s="4" t="s">
        <v>711</v>
      </c>
      <c r="I10">
        <v>9</v>
      </c>
      <c r="K10" s="4" t="s">
        <v>711</v>
      </c>
      <c r="L10">
        <v>8</v>
      </c>
      <c r="N10" s="4" t="s">
        <v>709</v>
      </c>
      <c r="O10">
        <v>32</v>
      </c>
    </row>
    <row r="11" spans="1:15" x14ac:dyDescent="0.35">
      <c r="A11" s="4" t="s">
        <v>711</v>
      </c>
      <c r="B11">
        <v>11</v>
      </c>
      <c r="E11" s="4" t="s">
        <v>711</v>
      </c>
      <c r="F11" s="4">
        <v>13</v>
      </c>
      <c r="G11" s="4"/>
      <c r="H11" s="4" t="s">
        <v>710</v>
      </c>
      <c r="K11" s="4" t="s">
        <v>710</v>
      </c>
      <c r="L11">
        <v>34.78</v>
      </c>
      <c r="N11" s="4" t="s">
        <v>711</v>
      </c>
      <c r="O11">
        <v>14</v>
      </c>
    </row>
    <row r="12" spans="1:15" x14ac:dyDescent="0.35">
      <c r="A12" s="4" t="s">
        <v>710</v>
      </c>
      <c r="B12">
        <v>42.3</v>
      </c>
      <c r="E12" s="4" t="s">
        <v>710</v>
      </c>
      <c r="F12">
        <v>44.42</v>
      </c>
      <c r="N12" s="4" t="s">
        <v>710</v>
      </c>
      <c r="O12">
        <v>43.75</v>
      </c>
    </row>
    <row r="13" spans="1:15" ht="15.5" x14ac:dyDescent="0.35">
      <c r="G13" s="5"/>
      <c r="H13" s="9"/>
    </row>
    <row r="14" spans="1:15" x14ac:dyDescent="0.35">
      <c r="A14" s="4" t="s">
        <v>712</v>
      </c>
      <c r="E14" s="4" t="s">
        <v>720</v>
      </c>
      <c r="H14" s="4" t="s">
        <v>721</v>
      </c>
      <c r="K14" t="s">
        <v>731</v>
      </c>
    </row>
    <row r="15" spans="1:15" x14ac:dyDescent="0.35">
      <c r="A15" s="4" t="s">
        <v>707</v>
      </c>
      <c r="B15">
        <v>34</v>
      </c>
      <c r="E15" s="4" t="s">
        <v>707</v>
      </c>
      <c r="F15">
        <v>28</v>
      </c>
      <c r="H15" s="4" t="s">
        <v>707</v>
      </c>
      <c r="I15">
        <v>15</v>
      </c>
      <c r="K15" s="4" t="s">
        <v>707</v>
      </c>
      <c r="L15">
        <v>17</v>
      </c>
    </row>
    <row r="16" spans="1:15" x14ac:dyDescent="0.35">
      <c r="A16" s="4" t="s">
        <v>708</v>
      </c>
      <c r="B16">
        <v>0</v>
      </c>
      <c r="E16" s="4" t="s">
        <v>708</v>
      </c>
      <c r="F16">
        <v>4</v>
      </c>
      <c r="H16" s="4" t="s">
        <v>708</v>
      </c>
      <c r="I16">
        <v>0</v>
      </c>
      <c r="K16" s="4" t="s">
        <v>708</v>
      </c>
      <c r="L16">
        <v>1</v>
      </c>
    </row>
    <row r="17" spans="1:12" x14ac:dyDescent="0.35">
      <c r="A17" s="4" t="s">
        <v>709</v>
      </c>
      <c r="B17">
        <v>34</v>
      </c>
      <c r="E17" s="4" t="s">
        <v>709</v>
      </c>
      <c r="F17">
        <v>24</v>
      </c>
      <c r="H17" s="4" t="s">
        <v>709</v>
      </c>
      <c r="I17">
        <v>15</v>
      </c>
      <c r="K17" s="4" t="s">
        <v>709</v>
      </c>
      <c r="L17">
        <v>16</v>
      </c>
    </row>
    <row r="18" spans="1:12" x14ac:dyDescent="0.35">
      <c r="A18" s="4" t="s">
        <v>711</v>
      </c>
      <c r="B18">
        <v>15</v>
      </c>
      <c r="E18" s="4" t="s">
        <v>711</v>
      </c>
      <c r="F18">
        <v>10</v>
      </c>
      <c r="H18" s="4" t="s">
        <v>711</v>
      </c>
      <c r="I18">
        <v>5</v>
      </c>
      <c r="K18" s="4" t="s">
        <v>711</v>
      </c>
      <c r="L18">
        <v>7</v>
      </c>
    </row>
    <row r="19" spans="1:12" x14ac:dyDescent="0.35">
      <c r="A19" s="4" t="s">
        <v>710</v>
      </c>
      <c r="B19">
        <v>44.11</v>
      </c>
      <c r="E19" s="4" t="s">
        <v>710</v>
      </c>
      <c r="F19">
        <v>41.66</v>
      </c>
      <c r="H19" s="4" t="s">
        <v>710</v>
      </c>
      <c r="I19">
        <v>33.33</v>
      </c>
      <c r="K19" s="4" t="s">
        <v>710</v>
      </c>
      <c r="L19">
        <v>43.75</v>
      </c>
    </row>
    <row r="22" spans="1:12" x14ac:dyDescent="0.35">
      <c r="A22" s="4" t="s">
        <v>730</v>
      </c>
      <c r="E22" s="4" t="s">
        <v>732</v>
      </c>
      <c r="H22" s="4" t="s">
        <v>733</v>
      </c>
      <c r="K22" s="4" t="s">
        <v>742</v>
      </c>
    </row>
    <row r="23" spans="1:12" x14ac:dyDescent="0.35">
      <c r="A23" s="4" t="s">
        <v>707</v>
      </c>
      <c r="B23">
        <v>14</v>
      </c>
      <c r="E23" s="4" t="s">
        <v>707</v>
      </c>
      <c r="F23">
        <v>32</v>
      </c>
      <c r="H23" s="4" t="s">
        <v>707</v>
      </c>
      <c r="I23">
        <v>30</v>
      </c>
      <c r="K23" s="4" t="s">
        <v>707</v>
      </c>
      <c r="L23">
        <v>26</v>
      </c>
    </row>
    <row r="24" spans="1:12" x14ac:dyDescent="0.35">
      <c r="A24" s="4" t="s">
        <v>708</v>
      </c>
      <c r="B24">
        <v>0</v>
      </c>
      <c r="E24" s="4" t="s">
        <v>708</v>
      </c>
      <c r="F24">
        <v>1</v>
      </c>
      <c r="H24" s="4" t="s">
        <v>708</v>
      </c>
      <c r="I24">
        <v>2</v>
      </c>
      <c r="K24" s="4" t="s">
        <v>708</v>
      </c>
      <c r="L24">
        <v>2</v>
      </c>
    </row>
    <row r="25" spans="1:12" x14ac:dyDescent="0.35">
      <c r="A25" s="4" t="s">
        <v>709</v>
      </c>
      <c r="B25">
        <v>14</v>
      </c>
      <c r="E25" s="4" t="s">
        <v>709</v>
      </c>
      <c r="F25">
        <v>31</v>
      </c>
      <c r="H25" s="4" t="s">
        <v>709</v>
      </c>
      <c r="I25">
        <v>28</v>
      </c>
      <c r="K25" s="4" t="s">
        <v>709</v>
      </c>
      <c r="L25">
        <v>24</v>
      </c>
    </row>
    <row r="26" spans="1:12" x14ac:dyDescent="0.35">
      <c r="A26" s="4" t="s">
        <v>711</v>
      </c>
      <c r="B26">
        <v>6</v>
      </c>
      <c r="E26" s="4" t="s">
        <v>711</v>
      </c>
      <c r="F26">
        <v>12</v>
      </c>
      <c r="H26" s="4" t="s">
        <v>711</v>
      </c>
      <c r="I26">
        <v>12</v>
      </c>
      <c r="K26" s="4" t="s">
        <v>711</v>
      </c>
      <c r="L26">
        <v>16</v>
      </c>
    </row>
    <row r="27" spans="1:12" x14ac:dyDescent="0.35">
      <c r="A27" s="4" t="s">
        <v>710</v>
      </c>
      <c r="B27">
        <v>42.85</v>
      </c>
      <c r="E27" s="4" t="s">
        <v>710</v>
      </c>
      <c r="F27">
        <v>38.700000000000003</v>
      </c>
      <c r="H27" s="4" t="s">
        <v>710</v>
      </c>
      <c r="I27">
        <v>42.85</v>
      </c>
      <c r="K27" s="4" t="s">
        <v>710</v>
      </c>
      <c r="L27">
        <v>66.66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285C-BEC0-F147-AF6A-1C9CD4B0169E}">
  <dimension ref="A4:J36"/>
  <sheetViews>
    <sheetView topLeftCell="C14" workbookViewId="0">
      <selection activeCell="I41" sqref="I41"/>
    </sheetView>
  </sheetViews>
  <sheetFormatPr defaultColWidth="10.90625" defaultRowHeight="14.5" x14ac:dyDescent="0.35"/>
  <cols>
    <col min="1" max="1" width="20" bestFit="1" customWidth="1"/>
    <col min="2" max="2" width="12.1796875" bestFit="1" customWidth="1"/>
    <col min="3" max="3" width="12.81640625" bestFit="1" customWidth="1"/>
    <col min="4" max="4" width="15.6328125" bestFit="1" customWidth="1"/>
    <col min="5" max="5" width="17.453125" bestFit="1" customWidth="1"/>
    <col min="6" max="6" width="17.6328125" bestFit="1" customWidth="1"/>
    <col min="7" max="7" width="17.36328125" bestFit="1" customWidth="1"/>
    <col min="8" max="8" width="15.1796875" bestFit="1" customWidth="1"/>
    <col min="9" max="9" width="18.1796875" bestFit="1" customWidth="1"/>
    <col min="10" max="10" width="24" bestFit="1" customWidth="1"/>
    <col min="11" max="11" width="15.1796875" bestFit="1" customWidth="1"/>
    <col min="12" max="12" width="53.453125" bestFit="1" customWidth="1"/>
  </cols>
  <sheetData>
    <row r="4" spans="1:10" ht="26" x14ac:dyDescent="0.35">
      <c r="E4" s="103" t="s">
        <v>760</v>
      </c>
      <c r="F4" s="103"/>
    </row>
    <row r="6" spans="1:10" s="88" customFormat="1" ht="18.5" x14ac:dyDescent="0.35">
      <c r="A6" s="74" t="s">
        <v>0</v>
      </c>
      <c r="B6" s="86" t="s">
        <v>707</v>
      </c>
      <c r="C6" s="86" t="s">
        <v>754</v>
      </c>
      <c r="D6" s="87" t="s">
        <v>709</v>
      </c>
      <c r="E6" s="74" t="s">
        <v>745</v>
      </c>
      <c r="F6" s="74" t="s">
        <v>755</v>
      </c>
      <c r="G6" s="74" t="s">
        <v>756</v>
      </c>
      <c r="H6" s="74" t="s">
        <v>746</v>
      </c>
      <c r="I6" s="74" t="s">
        <v>757</v>
      </c>
      <c r="J6" s="73" t="s">
        <v>747</v>
      </c>
    </row>
    <row r="7" spans="1:10" s="88" customFormat="1" ht="21" x14ac:dyDescent="0.5">
      <c r="A7" s="93" t="s">
        <v>28</v>
      </c>
      <c r="B7" s="84">
        <v>30</v>
      </c>
      <c r="C7">
        <v>0</v>
      </c>
      <c r="D7" s="84">
        <v>30</v>
      </c>
      <c r="E7" s="95">
        <v>29</v>
      </c>
      <c r="F7">
        <f>Table556[[#This Row],[Presentes]]-Table556[[#This Row],[Admises '#]]</f>
        <v>1</v>
      </c>
      <c r="G7" s="97">
        <f>Table556[[#This Row],[Abandonee '#]]/Table556[[#This Row],[Insrites]]</f>
        <v>0</v>
      </c>
      <c r="H7" s="97">
        <f>Table556[[#This Row],[Admises '#]]/Table556[[#This Row],[Presentes]]</f>
        <v>0.96666666666666667</v>
      </c>
      <c r="I7" s="97">
        <f>Table556[[#This Row],[Non Admise '#]]/Table556[[#This Row],[Presentes]]</f>
        <v>3.3333333333333333E-2</v>
      </c>
      <c r="J7" s="89"/>
    </row>
    <row r="8" spans="1:10" s="88" customFormat="1" ht="18.5" x14ac:dyDescent="0.35">
      <c r="A8" s="47" t="s">
        <v>56</v>
      </c>
      <c r="B8" s="85">
        <v>21</v>
      </c>
      <c r="C8">
        <v>0</v>
      </c>
      <c r="D8" s="85">
        <v>21</v>
      </c>
      <c r="E8" s="95">
        <v>20</v>
      </c>
      <c r="F8">
        <f>Table556[[#This Row],[Presentes]]-Table556[[#This Row],[Admises '#]]</f>
        <v>1</v>
      </c>
      <c r="G8" s="97">
        <f>Table556[[#This Row],[Abandonee '#]]/Table556[[#This Row],[Insrites]]</f>
        <v>0</v>
      </c>
      <c r="H8" s="97">
        <f>Table556[[#This Row],[Admises '#]]/Table556[[#This Row],[Presentes]]</f>
        <v>0.95238095238095233</v>
      </c>
      <c r="I8" s="97">
        <f>Table556[[#This Row],[Non Admise '#]]/Table556[[#This Row],[Presentes]]</f>
        <v>4.7619047619047616E-2</v>
      </c>
      <c r="J8"/>
    </row>
    <row r="9" spans="1:10" s="88" customFormat="1" ht="18.5" x14ac:dyDescent="0.35">
      <c r="A9" s="93" t="s">
        <v>121</v>
      </c>
      <c r="B9" s="84">
        <v>25</v>
      </c>
      <c r="C9">
        <v>0</v>
      </c>
      <c r="D9" s="84">
        <v>25</v>
      </c>
      <c r="E9" s="95">
        <v>18</v>
      </c>
      <c r="F9">
        <f>Table556[[#This Row],[Presentes]]-Table556[[#This Row],[Admises '#]]</f>
        <v>7</v>
      </c>
      <c r="G9" s="97">
        <f>Table556[[#This Row],[Abandonee '#]]/Table556[[#This Row],[Insrites]]</f>
        <v>0</v>
      </c>
      <c r="H9" s="97">
        <f>Table556[[#This Row],[Admises '#]]/Table556[[#This Row],[Presentes]]</f>
        <v>0.72</v>
      </c>
      <c r="I9" s="97">
        <f>Table556[[#This Row],[Non Admise '#]]/Table556[[#This Row],[Presentes]]</f>
        <v>0.28000000000000003</v>
      </c>
      <c r="J9"/>
    </row>
    <row r="10" spans="1:10" s="88" customFormat="1" ht="18.5" x14ac:dyDescent="0.35">
      <c r="A10" s="47" t="s">
        <v>132</v>
      </c>
      <c r="B10" s="85">
        <v>45</v>
      </c>
      <c r="C10">
        <v>0</v>
      </c>
      <c r="D10" s="85">
        <v>45</v>
      </c>
      <c r="E10" s="95">
        <v>35</v>
      </c>
      <c r="F10">
        <f>Table556[[#This Row],[Presentes]]-Table556[[#This Row],[Admises '#]]</f>
        <v>10</v>
      </c>
      <c r="G10" s="97">
        <f>Table556[[#This Row],[Abandonee '#]]/Table556[[#This Row],[Insrites]]</f>
        <v>0</v>
      </c>
      <c r="H10" s="97">
        <f>Table556[[#This Row],[Admises '#]]/Table556[[#This Row],[Presentes]]</f>
        <v>0.77777777777777779</v>
      </c>
      <c r="I10" s="97">
        <f>Table556[[#This Row],[Non Admise '#]]/Table556[[#This Row],[Presentes]]</f>
        <v>0.22222222222222221</v>
      </c>
      <c r="J10"/>
    </row>
    <row r="11" spans="1:10" s="88" customFormat="1" ht="18.5" x14ac:dyDescent="0.35">
      <c r="A11" s="93" t="s">
        <v>58</v>
      </c>
      <c r="B11" s="84">
        <v>21</v>
      </c>
      <c r="C11">
        <v>0</v>
      </c>
      <c r="D11" s="84">
        <v>21</v>
      </c>
      <c r="E11" s="95">
        <v>16</v>
      </c>
      <c r="F11">
        <f>Table556[[#This Row],[Presentes]]-Table556[[#This Row],[Admises '#]]</f>
        <v>5</v>
      </c>
      <c r="G11" s="97">
        <f>Table556[[#This Row],[Abandonee '#]]/Table556[[#This Row],[Insrites]]</f>
        <v>0</v>
      </c>
      <c r="H11" s="97">
        <f>Table556[[#This Row],[Admises '#]]/Table556[[#This Row],[Presentes]]</f>
        <v>0.76190476190476186</v>
      </c>
      <c r="I11" s="97">
        <f>Table556[[#This Row],[Non Admise '#]]/Table556[[#This Row],[Presentes]]</f>
        <v>0.23809523809523808</v>
      </c>
      <c r="J11"/>
    </row>
    <row r="12" spans="1:10" s="88" customFormat="1" ht="18.5" x14ac:dyDescent="0.35">
      <c r="A12" s="47" t="s">
        <v>74</v>
      </c>
      <c r="B12" s="85">
        <v>40</v>
      </c>
      <c r="C12">
        <v>0</v>
      </c>
      <c r="D12" s="85">
        <v>40</v>
      </c>
      <c r="E12" s="95">
        <v>37</v>
      </c>
      <c r="F12">
        <f>Table556[[#This Row],[Presentes]]-Table556[[#This Row],[Admises '#]]</f>
        <v>3</v>
      </c>
      <c r="G12" s="97">
        <f>Table556[[#This Row],[Abandonee '#]]/Table556[[#This Row],[Insrites]]</f>
        <v>0</v>
      </c>
      <c r="H12" s="97">
        <f>Table556[[#This Row],[Admises '#]]/Table556[[#This Row],[Presentes]]</f>
        <v>0.92500000000000004</v>
      </c>
      <c r="I12" s="97">
        <f>Table556[[#This Row],[Non Admise '#]]/Table556[[#This Row],[Presentes]]</f>
        <v>7.4999999999999997E-2</v>
      </c>
      <c r="J12"/>
    </row>
    <row r="13" spans="1:10" s="88" customFormat="1" ht="18.5" x14ac:dyDescent="0.35">
      <c r="A13" s="93" t="s">
        <v>82</v>
      </c>
      <c r="B13" s="84">
        <v>20</v>
      </c>
      <c r="C13">
        <v>0</v>
      </c>
      <c r="D13" s="84">
        <v>20</v>
      </c>
      <c r="E13" s="95">
        <v>10</v>
      </c>
      <c r="F13">
        <f>Table556[[#This Row],[Presentes]]-Table556[[#This Row],[Admises '#]]</f>
        <v>10</v>
      </c>
      <c r="G13" s="97">
        <f>Table556[[#This Row],[Abandonee '#]]/Table556[[#This Row],[Insrites]]</f>
        <v>0</v>
      </c>
      <c r="H13" s="97">
        <f>Table556[[#This Row],[Admises '#]]/Table556[[#This Row],[Presentes]]</f>
        <v>0.5</v>
      </c>
      <c r="I13" s="97">
        <f>Table556[[#This Row],[Non Admise '#]]/Table556[[#This Row],[Presentes]]</f>
        <v>0.5</v>
      </c>
      <c r="J13"/>
    </row>
    <row r="14" spans="1:10" s="88" customFormat="1" ht="18.5" x14ac:dyDescent="0.35">
      <c r="A14" s="47" t="s">
        <v>142</v>
      </c>
      <c r="B14" s="85">
        <v>32</v>
      </c>
      <c r="C14">
        <v>1</v>
      </c>
      <c r="D14" s="85">
        <v>31</v>
      </c>
      <c r="E14" s="95">
        <v>31</v>
      </c>
      <c r="F14">
        <f>Table556[[#This Row],[Presentes]]-Table556[[#This Row],[Admises '#]]</f>
        <v>0</v>
      </c>
      <c r="G14" s="97">
        <f>Table556[[#This Row],[Abandonee '#]]/Table556[[#This Row],[Insrites]]</f>
        <v>3.125E-2</v>
      </c>
      <c r="H14" s="97">
        <f>Table556[[#This Row],[Admises '#]]/Table556[[#This Row],[Presentes]]</f>
        <v>1</v>
      </c>
      <c r="I14" s="97">
        <f>Table556[[#This Row],[Non Admise '#]]/Table556[[#This Row],[Presentes]]</f>
        <v>0</v>
      </c>
      <c r="J14"/>
    </row>
    <row r="15" spans="1:10" s="88" customFormat="1" ht="18.5" x14ac:dyDescent="0.35">
      <c r="A15" s="93" t="s">
        <v>85</v>
      </c>
      <c r="B15" s="84">
        <v>18</v>
      </c>
      <c r="C15">
        <v>0</v>
      </c>
      <c r="D15" s="84">
        <v>18</v>
      </c>
      <c r="E15" s="96">
        <v>18</v>
      </c>
      <c r="F15" s="88">
        <f>Table556[[#This Row],[Presentes]]-Table556[[#This Row],[Admises '#]]</f>
        <v>0</v>
      </c>
      <c r="G15" s="98">
        <f>Table556[[#This Row],[Abandonee '#]]/Table556[[#This Row],[Insrites]]</f>
        <v>0</v>
      </c>
      <c r="H15" s="98">
        <f>Table556[[#This Row],[Admises '#]]/Table556[[#This Row],[Presentes]]</f>
        <v>1</v>
      </c>
      <c r="I15" s="98">
        <f>Table556[[#This Row],[Non Admise '#]]/Table556[[#This Row],[Presentes]]</f>
        <v>0</v>
      </c>
    </row>
    <row r="16" spans="1:10" s="88" customFormat="1" ht="18.5" x14ac:dyDescent="0.35">
      <c r="A16" s="47" t="s">
        <v>91</v>
      </c>
      <c r="B16" s="85">
        <v>27</v>
      </c>
      <c r="C16">
        <v>0</v>
      </c>
      <c r="D16" s="85">
        <v>27</v>
      </c>
      <c r="E16" s="96">
        <v>23</v>
      </c>
      <c r="F16" s="88">
        <f>Table556[[#This Row],[Presentes]]-Table556[[#This Row],[Admises '#]]</f>
        <v>4</v>
      </c>
      <c r="G16" s="98">
        <f>Table556[[#This Row],[Abandonee '#]]/Table556[[#This Row],[Insrites]]</f>
        <v>0</v>
      </c>
      <c r="H16" s="98">
        <f>Table556[[#This Row],[Admises '#]]/Table556[[#This Row],[Presentes]]</f>
        <v>0.85185185185185186</v>
      </c>
      <c r="I16" s="98">
        <f>Table556[[#This Row],[Non Admise '#]]/Table556[[#This Row],[Presentes]]</f>
        <v>0.14814814814814814</v>
      </c>
    </row>
    <row r="17" spans="1:10" s="88" customFormat="1" ht="18.5" x14ac:dyDescent="0.35">
      <c r="A17" s="93" t="s">
        <v>12</v>
      </c>
      <c r="B17" s="84">
        <v>28</v>
      </c>
      <c r="C17">
        <v>0</v>
      </c>
      <c r="D17" s="84">
        <v>28</v>
      </c>
      <c r="E17" s="96">
        <v>26</v>
      </c>
      <c r="F17" s="88">
        <f>Table556[[#This Row],[Presentes]]-Table556[[#This Row],[Admises '#]]</f>
        <v>2</v>
      </c>
      <c r="G17" s="98">
        <f>Table556[[#This Row],[Abandonee '#]]/Table556[[#This Row],[Insrites]]</f>
        <v>0</v>
      </c>
      <c r="H17" s="98">
        <f>Table556[[#This Row],[Admises '#]]/Table556[[#This Row],[Presentes]]</f>
        <v>0.9285714285714286</v>
      </c>
      <c r="I17" s="98">
        <f>Table556[[#This Row],[Non Admise '#]]/Table556[[#This Row],[Presentes]]</f>
        <v>7.1428571428571425E-2</v>
      </c>
    </row>
    <row r="18" spans="1:10" s="88" customFormat="1" ht="18.5" x14ac:dyDescent="0.35">
      <c r="A18" s="47" t="s">
        <v>102</v>
      </c>
      <c r="B18" s="85">
        <v>15</v>
      </c>
      <c r="C18">
        <v>0</v>
      </c>
      <c r="D18" s="85">
        <v>15</v>
      </c>
      <c r="E18" s="96">
        <v>9</v>
      </c>
      <c r="F18" s="88">
        <f>Table556[[#This Row],[Presentes]]-Table556[[#This Row],[Admises '#]]</f>
        <v>6</v>
      </c>
      <c r="G18" s="98">
        <f>Table556[[#This Row],[Abandonee '#]]/Table556[[#This Row],[Insrites]]</f>
        <v>0</v>
      </c>
      <c r="H18" s="98">
        <f>Table556[[#This Row],[Admises '#]]/Table556[[#This Row],[Presentes]]</f>
        <v>0.6</v>
      </c>
      <c r="I18" s="98">
        <f>Table556[[#This Row],[Non Admise '#]]/Table556[[#This Row],[Presentes]]</f>
        <v>0.4</v>
      </c>
    </row>
    <row r="19" spans="1:10" s="88" customFormat="1" ht="18.5" x14ac:dyDescent="0.35">
      <c r="A19" s="94" t="s">
        <v>46</v>
      </c>
      <c r="B19" s="84">
        <v>37</v>
      </c>
      <c r="C19">
        <v>0</v>
      </c>
      <c r="D19" s="84">
        <v>37</v>
      </c>
      <c r="E19" s="96">
        <v>35</v>
      </c>
      <c r="F19" s="88">
        <f>Table556[[#This Row],[Presentes]]-Table556[[#This Row],[Admises '#]]</f>
        <v>2</v>
      </c>
      <c r="G19" s="98">
        <f>Table556[[#This Row],[Abandonee '#]]/Table556[[#This Row],[Insrites]]</f>
        <v>0</v>
      </c>
      <c r="H19" s="98">
        <f>Table556[[#This Row],[Admises '#]]/Table556[[#This Row],[Presentes]]</f>
        <v>0.94594594594594594</v>
      </c>
      <c r="I19" s="98">
        <f>Table556[[#This Row],[Non Admise '#]]/Table556[[#This Row],[Presentes]]</f>
        <v>5.4054054054054057E-2</v>
      </c>
    </row>
    <row r="20" spans="1:10" s="88" customFormat="1" ht="18.5" x14ac:dyDescent="0.35">
      <c r="A20" s="90" t="s">
        <v>744</v>
      </c>
      <c r="B20" s="83">
        <f>SUBTOTAL(109,Table556[Insrites])</f>
        <v>359</v>
      </c>
      <c r="C20" s="83">
        <f>SUBTOTAL(109,Table556[Abandonee '#])</f>
        <v>1</v>
      </c>
      <c r="D20" s="83">
        <f>SUBTOTAL(109,Table556[Presentes])</f>
        <v>358</v>
      </c>
      <c r="E20" s="83">
        <f>SUBTOTAL(109,Table556[Admises '#])</f>
        <v>307</v>
      </c>
      <c r="F20" s="83">
        <f>SUBTOTAL(109,Table556[Non Admise '#])</f>
        <v>51</v>
      </c>
      <c r="G20" s="102">
        <f>Table556[[#Totals],[Abandonee '#]]/Table556[[#Totals],[Insrites]]</f>
        <v>2.7855153203342618E-3</v>
      </c>
      <c r="H20" s="102">
        <f>Table556[[#Totals],[Admises '#]]/Table556[[#Totals],[Presentes]]</f>
        <v>0.85754189944134074</v>
      </c>
      <c r="I20" s="102">
        <f>Table556[[#Totals],[Non Admise '#]]/Table556[[#Totals],[Presentes]]</f>
        <v>0.14245810055865921</v>
      </c>
      <c r="J20" s="83"/>
    </row>
    <row r="21" spans="1:10" s="88" customFormat="1" ht="26" x14ac:dyDescent="0.35">
      <c r="E21" s="103" t="s">
        <v>758</v>
      </c>
      <c r="F21" s="103"/>
    </row>
    <row r="22" spans="1:10" s="88" customFormat="1" ht="18.5" x14ac:dyDescent="0.35">
      <c r="A22" s="74" t="s">
        <v>0</v>
      </c>
      <c r="B22" s="86" t="s">
        <v>707</v>
      </c>
      <c r="C22" s="86" t="s">
        <v>754</v>
      </c>
      <c r="D22" s="87" t="s">
        <v>759</v>
      </c>
      <c r="E22" s="74" t="s">
        <v>745</v>
      </c>
      <c r="F22" s="74" t="s">
        <v>755</v>
      </c>
      <c r="G22" s="92" t="s">
        <v>756</v>
      </c>
      <c r="H22" s="74" t="s">
        <v>746</v>
      </c>
      <c r="I22" s="74" t="s">
        <v>757</v>
      </c>
      <c r="J22" s="73" t="s">
        <v>747</v>
      </c>
    </row>
    <row r="23" spans="1:10" s="88" customFormat="1" ht="21" x14ac:dyDescent="0.5">
      <c r="A23" s="47" t="s">
        <v>28</v>
      </c>
      <c r="B23">
        <v>32</v>
      </c>
      <c r="C23">
        <v>0</v>
      </c>
      <c r="D23">
        <f t="shared" ref="D23:D35" si="0">B23-C23</f>
        <v>32</v>
      </c>
      <c r="E23">
        <v>14</v>
      </c>
      <c r="F23">
        <f>Table54[[#This Row],[Presentes '#]]-Table54[[#This Row],[Admises '#]]</f>
        <v>18</v>
      </c>
      <c r="G23" s="49">
        <v>0</v>
      </c>
      <c r="H23" s="49">
        <f>Table54[[#This Row],[Admises '#]]/Table54[[#This Row],[Presentes '#]]</f>
        <v>0.4375</v>
      </c>
      <c r="I23" s="49">
        <f>Table54[[#This Row],[Non Admise '#]]/Table54[[#This Row],[Presentes '#]]</f>
        <v>0.5625</v>
      </c>
      <c r="J23" s="89"/>
    </row>
    <row r="24" spans="1:10" s="88" customFormat="1" ht="18.5" x14ac:dyDescent="0.35">
      <c r="A24" s="47" t="s">
        <v>56</v>
      </c>
      <c r="B24">
        <v>14</v>
      </c>
      <c r="C24">
        <v>0</v>
      </c>
      <c r="D24">
        <f t="shared" si="0"/>
        <v>14</v>
      </c>
      <c r="E24">
        <v>6</v>
      </c>
      <c r="F24">
        <f>Table54[[#This Row],[Presentes '#]]-Table54[[#This Row],[Admises '#]]</f>
        <v>8</v>
      </c>
      <c r="G24" s="49">
        <v>0</v>
      </c>
      <c r="H24" s="49">
        <f>Table54[[#This Row],[Admises '#]]/Table54[[#This Row],[Presentes '#]]</f>
        <v>0.42857142857142855</v>
      </c>
      <c r="I24" s="49">
        <f>Table54[[#This Row],[Non Admise '#]]/Table54[[#This Row],[Presentes '#]]</f>
        <v>0.5714285714285714</v>
      </c>
      <c r="J24"/>
    </row>
    <row r="25" spans="1:10" s="88" customFormat="1" ht="18.5" x14ac:dyDescent="0.35">
      <c r="A25" s="47" t="s">
        <v>121</v>
      </c>
      <c r="B25">
        <v>35</v>
      </c>
      <c r="C25">
        <v>5</v>
      </c>
      <c r="D25">
        <f t="shared" si="0"/>
        <v>30</v>
      </c>
      <c r="E25">
        <v>15</v>
      </c>
      <c r="F25">
        <f>Table54[[#This Row],[Presentes '#]]-Table54[[#This Row],[Admises '#]]</f>
        <v>15</v>
      </c>
      <c r="G25" s="49">
        <f>Table54[[#This Row],[Abandonee '#]]/Table54[[#This Row],[Insrites]]</f>
        <v>0.14285714285714285</v>
      </c>
      <c r="H25" s="49">
        <f>Table54[[#This Row],[Admises '#]]/Table54[[#This Row],[Presentes '#]]</f>
        <v>0.5</v>
      </c>
      <c r="I25" s="49">
        <f>Table54[[#This Row],[Non Admise '#]]/Table54[[#This Row],[Presentes '#]]</f>
        <v>0.5</v>
      </c>
      <c r="J25"/>
    </row>
    <row r="26" spans="1:10" s="88" customFormat="1" ht="18.5" x14ac:dyDescent="0.35">
      <c r="A26" s="47" t="s">
        <v>132</v>
      </c>
      <c r="B26">
        <v>26</v>
      </c>
      <c r="C26">
        <v>2</v>
      </c>
      <c r="D26">
        <f t="shared" si="0"/>
        <v>24</v>
      </c>
      <c r="E26">
        <v>11</v>
      </c>
      <c r="F26">
        <f>Table54[[#This Row],[Presentes '#]]-Table54[[#This Row],[Admises '#]]</f>
        <v>13</v>
      </c>
      <c r="G26" s="49">
        <f>Table54[[#This Row],[Abandonee '#]]/Table54[[#This Row],[Insrites]]</f>
        <v>7.6923076923076927E-2</v>
      </c>
      <c r="H26" s="49">
        <f>Table54[[#This Row],[Admises '#]]/Table54[[#This Row],[Presentes '#]]</f>
        <v>0.45833333333333331</v>
      </c>
      <c r="I26" s="49">
        <f>Table54[[#This Row],[Non Admise '#]]/Table54[[#This Row],[Presentes '#]]</f>
        <v>0.54166666666666663</v>
      </c>
      <c r="J26"/>
    </row>
    <row r="27" spans="1:10" s="88" customFormat="1" ht="18.5" x14ac:dyDescent="0.35">
      <c r="A27" s="47" t="s">
        <v>58</v>
      </c>
      <c r="B27">
        <v>28</v>
      </c>
      <c r="C27">
        <v>1</v>
      </c>
      <c r="D27">
        <f t="shared" si="0"/>
        <v>27</v>
      </c>
      <c r="E27">
        <v>15</v>
      </c>
      <c r="F27">
        <f>Table54[[#This Row],[Presentes '#]]-Table54[[#This Row],[Admises '#]]</f>
        <v>12</v>
      </c>
      <c r="G27" s="49">
        <f>Table54[[#This Row],[Abandonee '#]]/Table54[[#This Row],[Insrites]]</f>
        <v>3.5714285714285712E-2</v>
      </c>
      <c r="H27" s="49">
        <f>Table54[[#This Row],[Admises '#]]/Table54[[#This Row],[Presentes '#]]</f>
        <v>0.55555555555555558</v>
      </c>
      <c r="I27" s="49">
        <f>Table54[[#This Row],[Non Admise '#]]/Table54[[#This Row],[Presentes '#]]</f>
        <v>0.44444444444444442</v>
      </c>
      <c r="J27"/>
    </row>
    <row r="28" spans="1:10" x14ac:dyDescent="0.35">
      <c r="A28" s="47" t="s">
        <v>74</v>
      </c>
      <c r="B28">
        <v>28</v>
      </c>
      <c r="C28">
        <v>4</v>
      </c>
      <c r="D28">
        <f t="shared" si="0"/>
        <v>24</v>
      </c>
      <c r="E28">
        <v>10</v>
      </c>
      <c r="F28">
        <f>Table54[[#This Row],[Presentes '#]]-Table54[[#This Row],[Admises '#]]</f>
        <v>14</v>
      </c>
      <c r="G28" s="49">
        <f>Table54[[#This Row],[Abandonee '#]]/Table54[[#This Row],[Insrites]]</f>
        <v>0.14285714285714285</v>
      </c>
      <c r="H28" s="49">
        <f>Table54[[#This Row],[Admises '#]]/Table54[[#This Row],[Presentes '#]]</f>
        <v>0.41666666666666669</v>
      </c>
      <c r="I28" s="49">
        <f>Table54[[#This Row],[Non Admise '#]]/Table54[[#This Row],[Presentes '#]]</f>
        <v>0.58333333333333337</v>
      </c>
    </row>
    <row r="29" spans="1:10" ht="18.5" x14ac:dyDescent="0.35">
      <c r="A29" s="47" t="s">
        <v>82</v>
      </c>
      <c r="B29">
        <v>15</v>
      </c>
      <c r="C29">
        <v>0</v>
      </c>
      <c r="D29">
        <f t="shared" si="0"/>
        <v>15</v>
      </c>
      <c r="E29">
        <v>5</v>
      </c>
      <c r="F29" s="99">
        <f>Table54[[#This Row],[Presentes '#]]-Table54[[#This Row],[Admises '#]]</f>
        <v>10</v>
      </c>
      <c r="G29" s="49">
        <f>Table54[[#This Row],[Abandonee '#]]/Table54[[#This Row],[Insrites]]</f>
        <v>0</v>
      </c>
      <c r="H29" s="100">
        <f>Table54[[#This Row],[Admises '#]]/Table54[[#This Row],[Presentes '#]]</f>
        <v>0.33333333333333331</v>
      </c>
      <c r="I29" s="91">
        <f>Table54[[#This Row],[Non Admise '#]]/Table54[[#This Row],[Presentes '#]]</f>
        <v>0.66666666666666663</v>
      </c>
      <c r="J29" s="88"/>
    </row>
    <row r="30" spans="1:10" ht="18.5" x14ac:dyDescent="0.35">
      <c r="A30" s="47" t="s">
        <v>142</v>
      </c>
      <c r="B30">
        <v>14</v>
      </c>
      <c r="C30">
        <v>1</v>
      </c>
      <c r="D30">
        <f t="shared" si="0"/>
        <v>13</v>
      </c>
      <c r="E30">
        <v>9</v>
      </c>
      <c r="F30" s="99">
        <f>Table54[[#This Row],[Presentes '#]]-Table54[[#This Row],[Admises '#]]</f>
        <v>4</v>
      </c>
      <c r="G30" s="49">
        <f>Table54[[#This Row],[Abandonee '#]]/Table54[[#This Row],[Insrites]]</f>
        <v>7.1428571428571425E-2</v>
      </c>
      <c r="H30" s="100">
        <f>Table54[[#This Row],[Admises '#]]/Table54[[#This Row],[Presentes '#]]</f>
        <v>0.69230769230769229</v>
      </c>
      <c r="I30" s="91">
        <f>Table54[[#This Row],[Non Admise '#]]/Table54[[#This Row],[Presentes '#]]</f>
        <v>0.30769230769230771</v>
      </c>
      <c r="J30" s="88"/>
    </row>
    <row r="31" spans="1:10" x14ac:dyDescent="0.35">
      <c r="A31" s="47" t="s">
        <v>85</v>
      </c>
      <c r="B31">
        <v>26</v>
      </c>
      <c r="C31">
        <v>2</v>
      </c>
      <c r="D31">
        <f t="shared" si="0"/>
        <v>24</v>
      </c>
      <c r="E31">
        <v>8</v>
      </c>
      <c r="F31">
        <f>Table54[[#This Row],[Presentes '#]]-Table54[[#This Row],[Admises '#]]</f>
        <v>16</v>
      </c>
      <c r="G31" s="49">
        <f>Table54[[#This Row],[Abandonee '#]]/Table54[[#This Row],[Insrites]]</f>
        <v>7.6923076923076927E-2</v>
      </c>
      <c r="H31" s="101">
        <f>Table54[[#This Row],[Admises '#]]/Table54[[#This Row],[Presentes '#]]</f>
        <v>0.33333333333333331</v>
      </c>
      <c r="I31" s="49">
        <f>Table54[[#This Row],[Non Admise '#]]/Table54[[#This Row],[Presentes '#]]</f>
        <v>0.66666666666666663</v>
      </c>
    </row>
    <row r="32" spans="1:10" x14ac:dyDescent="0.35">
      <c r="A32" s="47" t="s">
        <v>91</v>
      </c>
      <c r="B32">
        <v>17</v>
      </c>
      <c r="C32">
        <v>1</v>
      </c>
      <c r="D32">
        <f t="shared" si="0"/>
        <v>16</v>
      </c>
      <c r="E32">
        <v>7</v>
      </c>
      <c r="F32">
        <f>Table54[[#This Row],[Presentes '#]]-Table54[[#This Row],[Admises '#]]</f>
        <v>9</v>
      </c>
      <c r="G32" s="49">
        <f>Table54[[#This Row],[Abandonee '#]]/Table54[[#This Row],[Insrites]]</f>
        <v>5.8823529411764705E-2</v>
      </c>
      <c r="H32" s="101">
        <f>Table54[[#This Row],[Admises '#]]/Table54[[#This Row],[Presentes '#]]</f>
        <v>0.4375</v>
      </c>
      <c r="I32" s="49">
        <f>Table54[[#This Row],[Non Admise '#]]/Table54[[#This Row],[Presentes '#]]</f>
        <v>0.5625</v>
      </c>
    </row>
    <row r="33" spans="1:10" x14ac:dyDescent="0.35">
      <c r="A33" s="47" t="s">
        <v>12</v>
      </c>
      <c r="B33">
        <v>32</v>
      </c>
      <c r="C33">
        <v>1</v>
      </c>
      <c r="D33">
        <f t="shared" si="0"/>
        <v>31</v>
      </c>
      <c r="E33">
        <v>12</v>
      </c>
      <c r="F33">
        <f>Table54[[#This Row],[Presentes '#]]-Table54[[#This Row],[Admises '#]]</f>
        <v>19</v>
      </c>
      <c r="G33" s="49">
        <f>Table54[[#This Row],[Abandonee '#]]/Table54[[#This Row],[Insrites]]</f>
        <v>3.125E-2</v>
      </c>
      <c r="H33" s="101">
        <f>Table54[[#This Row],[Admises '#]]/Table54[[#This Row],[Presentes '#]]</f>
        <v>0.38709677419354838</v>
      </c>
      <c r="I33" s="49">
        <f>Table54[[#This Row],[Non Admise '#]]/Table54[[#This Row],[Presentes '#]]</f>
        <v>0.61290322580645162</v>
      </c>
    </row>
    <row r="34" spans="1:10" x14ac:dyDescent="0.35">
      <c r="A34" s="47" t="s">
        <v>102</v>
      </c>
      <c r="B34">
        <v>26</v>
      </c>
      <c r="C34">
        <v>2</v>
      </c>
      <c r="D34">
        <f t="shared" si="0"/>
        <v>24</v>
      </c>
      <c r="E34">
        <v>16</v>
      </c>
      <c r="F34">
        <f>Table54[[#This Row],[Presentes '#]]-Table54[[#This Row],[Admises '#]]</f>
        <v>8</v>
      </c>
      <c r="G34" s="49">
        <f>Table54[[#This Row],[Abandonee '#]]/Table54[[#This Row],[Insrites]]</f>
        <v>7.6923076923076927E-2</v>
      </c>
      <c r="H34" s="101">
        <f>Table54[[#This Row],[Admises '#]]/Table54[[#This Row],[Presentes '#]]</f>
        <v>0.66666666666666663</v>
      </c>
      <c r="I34" s="49">
        <f>Table54[[#This Row],[Non Admise '#]]/Table54[[#This Row],[Presentes '#]]</f>
        <v>0.33333333333333331</v>
      </c>
    </row>
    <row r="35" spans="1:10" x14ac:dyDescent="0.35">
      <c r="A35" s="54" t="s">
        <v>46</v>
      </c>
      <c r="B35">
        <v>30</v>
      </c>
      <c r="C35">
        <v>2</v>
      </c>
      <c r="D35">
        <f t="shared" si="0"/>
        <v>28</v>
      </c>
      <c r="E35">
        <v>12</v>
      </c>
      <c r="F35">
        <f>Table54[[#This Row],[Presentes '#]]-Table54[[#This Row],[Admises '#]]</f>
        <v>16</v>
      </c>
      <c r="G35" s="49">
        <f>Table54[[#This Row],[Abandonee '#]]/Table54[[#This Row],[Insrites]]</f>
        <v>6.6666666666666666E-2</v>
      </c>
      <c r="H35" s="101">
        <f>Table54[[#This Row],[Admises '#]]/Table54[[#This Row],[Presentes '#]]</f>
        <v>0.42857142857142855</v>
      </c>
      <c r="I35" s="49">
        <f>Table54[[#This Row],[Non Admise '#]]/Table54[[#This Row],[Presentes '#]]</f>
        <v>0.5714285714285714</v>
      </c>
    </row>
    <row r="36" spans="1:10" x14ac:dyDescent="0.35">
      <c r="A36" s="90" t="s">
        <v>744</v>
      </c>
      <c r="B36" s="83">
        <f>SUBTOTAL(109,Table54[Insrites])</f>
        <v>323</v>
      </c>
      <c r="C36" s="83">
        <f>SUBTOTAL(109,Table54[Abandonee '#])</f>
        <v>21</v>
      </c>
      <c r="D36" s="83">
        <f>SUBTOTAL(109,Table54[Presentes '#])</f>
        <v>302</v>
      </c>
      <c r="E36" s="83">
        <f>SUBTOTAL(109,Table54[Admises '#])</f>
        <v>140</v>
      </c>
      <c r="F36" s="83">
        <f>SUBTOTAL(109,Table54[Non Admise '#])</f>
        <v>162</v>
      </c>
      <c r="G36" s="102">
        <f>Table54[[#Totals],[Abandonee '#]]/Table54[[#Totals],[Insrites]]</f>
        <v>6.5015479876160992E-2</v>
      </c>
      <c r="H36" s="102">
        <f>Table54[[#Totals],[Admises '#]]/Table54[[#Totals],[Presentes '#]]</f>
        <v>0.46357615894039733</v>
      </c>
      <c r="I36" s="102">
        <f>Table54[[#Totals],[Non Admise '#]]/Table54[[#Totals],[Presentes '#]]</f>
        <v>0.53642384105960261</v>
      </c>
      <c r="J36" s="83"/>
    </row>
  </sheetData>
  <mergeCells count="2">
    <mergeCell ref="E21:F21"/>
    <mergeCell ref="E4:F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MD Résultats CM1</vt:lpstr>
      <vt:lpstr>MD CM1 Syntheses</vt:lpstr>
      <vt:lpstr>MD Résultats CM2</vt:lpstr>
      <vt:lpstr>Original CM2 Synthèse</vt:lpstr>
      <vt:lpstr>CM1 &amp; CM2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ICEP-TIBIRI 1</dc:creator>
  <cp:lastModifiedBy>Meghan Gauthier</cp:lastModifiedBy>
  <dcterms:created xsi:type="dcterms:W3CDTF">2032-05-05T01:07:39Z</dcterms:created>
  <dcterms:modified xsi:type="dcterms:W3CDTF">2024-11-05T20:34:35Z</dcterms:modified>
</cp:coreProperties>
</file>